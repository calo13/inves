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mgt-my.sharepoint.com/personal/rixcotm_miumg_edu_gt/Documents/Investigacion de Operaciones Ingenieria/2026/"/>
    </mc:Choice>
  </mc:AlternateContent>
  <xr:revisionPtr revIDLastSave="47" documentId="11_8835AFD8AA8B2F9686E63FD4BFF9D5FE04B29305" xr6:coauthVersionLast="47" xr6:coauthVersionMax="47" xr10:uidLastSave="{82BEBB34-D214-458A-BDBE-828515D552DD}"/>
  <bookViews>
    <workbookView xWindow="22932" yWindow="-108" windowWidth="23256" windowHeight="12456" tabRatio="639" firstSheet="2" activeTab="5" xr2:uid="{00000000-000D-0000-FFFF-FFFF00000000}"/>
  </bookViews>
  <sheets>
    <sheet name="Programación" sheetId="1" state="hidden" r:id="rId1"/>
    <sheet name="Listas" sheetId="2" state="hidden" r:id="rId2"/>
    <sheet name="Registro" sheetId="4" r:id="rId3"/>
    <sheet name="GestionDocente" sheetId="5" r:id="rId4"/>
    <sheet name="Datos Reportes" sheetId="6" state="hidden" r:id="rId5"/>
    <sheet name="EjecucionXGrupos" sheetId="7" r:id="rId6"/>
    <sheet name="Sesiones" sheetId="8" r:id="rId7"/>
    <sheet name="Docentes" sheetId="9" r:id="rId8"/>
    <sheet name="DB_Docentes" sheetId="10" r:id="rId9"/>
    <sheet name="Incidencias Abiertas" sheetId="11" r:id="rId10"/>
    <sheet name="Busqueda" sheetId="12" r:id="rId11"/>
    <sheet name="Reportes" sheetId="13" r:id="rId12"/>
  </sheets>
  <definedNames>
    <definedName name="_xlnm._FilterDatabase" localSheetId="2" hidden="1">Registro!$B$7:$AD$997</definedName>
    <definedName name="Abierto" localSheetId="11">OFFSET(Reportes!$BA$12,1,0,COUNTA(Reportes!$AZ$13:$AZ$116)-COUNTIF(Reportes!$AZ$13:$AZ$116,"")+1,1)</definedName>
    <definedName name="_xlnm.Print_Area" localSheetId="11">Reportes!$A$1:$Q$61</definedName>
    <definedName name="Nombre" localSheetId="11">OFFSET(Reportes!$AZ$12,1,0,COUNTA(Reportes!$AZ$13:$AZ$116)-COUNTIF(Reportes!$AZ$13:$AZ$116,"")+1,1)</definedName>
    <definedName name="Resuelto" localSheetId="11">OFFSET(Reportes!$BB$12,1,0,COUNTA(Reportes!$AZ$13:$AZ$116)-COUNTIF(Reportes!$AZ$13:$AZ$116,"")+1,1)</definedName>
    <definedName name="SegmentaciónDeDatos_Asignado_a">#N/A</definedName>
    <definedName name="SegmentaciónDeDatos_Asignado_a1">#N/A</definedName>
    <definedName name="SegmentaciónDeDatos_Dependencia">#N/A</definedName>
    <definedName name="SegmentaciónDeDatos_Estado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9" i="13" l="1"/>
  <c r="AM18" i="13"/>
  <c r="AM17" i="13"/>
  <c r="AM16" i="13"/>
  <c r="F7" i="13"/>
  <c r="E7" i="13"/>
  <c r="D7" i="13"/>
  <c r="C7" i="13"/>
  <c r="F6" i="13"/>
  <c r="E6" i="13"/>
  <c r="D6" i="13"/>
  <c r="C6" i="13"/>
  <c r="F5" i="13"/>
  <c r="E5" i="13"/>
  <c r="D5" i="13"/>
  <c r="C5" i="13"/>
  <c r="D1" i="13"/>
  <c r="K5" i="12"/>
  <c r="F5" i="12"/>
  <c r="C4" i="12"/>
  <c r="C9" i="12" s="1"/>
  <c r="J346" i="9"/>
  <c r="I346" i="9"/>
  <c r="F346" i="9"/>
  <c r="D346" i="9"/>
  <c r="C346" i="9"/>
  <c r="A346" i="9"/>
  <c r="J345" i="9"/>
  <c r="I345" i="9"/>
  <c r="F345" i="9"/>
  <c r="D345" i="9"/>
  <c r="C345" i="9"/>
  <c r="A345" i="9"/>
  <c r="J344" i="9"/>
  <c r="I344" i="9"/>
  <c r="F344" i="9"/>
  <c r="D344" i="9"/>
  <c r="C344" i="9"/>
  <c r="A344" i="9"/>
  <c r="J343" i="9"/>
  <c r="I343" i="9"/>
  <c r="F343" i="9"/>
  <c r="D343" i="9"/>
  <c r="C343" i="9"/>
  <c r="A343" i="9"/>
  <c r="J342" i="9"/>
  <c r="I342" i="9"/>
  <c r="F342" i="9"/>
  <c r="D342" i="9"/>
  <c r="C342" i="9"/>
  <c r="A342" i="9"/>
  <c r="J341" i="9"/>
  <c r="I341" i="9"/>
  <c r="F341" i="9"/>
  <c r="D341" i="9"/>
  <c r="C341" i="9"/>
  <c r="A341" i="9"/>
  <c r="J340" i="9"/>
  <c r="I340" i="9"/>
  <c r="F340" i="9"/>
  <c r="D340" i="9"/>
  <c r="C340" i="9"/>
  <c r="A340" i="9"/>
  <c r="J339" i="9"/>
  <c r="I339" i="9"/>
  <c r="F339" i="9"/>
  <c r="D339" i="9"/>
  <c r="C339" i="9"/>
  <c r="A339" i="9"/>
  <c r="J338" i="9"/>
  <c r="I338" i="9"/>
  <c r="F338" i="9"/>
  <c r="D338" i="9"/>
  <c r="C338" i="9"/>
  <c r="A338" i="9"/>
  <c r="J337" i="9"/>
  <c r="I337" i="9"/>
  <c r="F337" i="9"/>
  <c r="D337" i="9"/>
  <c r="C337" i="9"/>
  <c r="A337" i="9"/>
  <c r="J336" i="9"/>
  <c r="I336" i="9"/>
  <c r="F336" i="9"/>
  <c r="D336" i="9"/>
  <c r="C336" i="9"/>
  <c r="A336" i="9"/>
  <c r="J335" i="9"/>
  <c r="I335" i="9"/>
  <c r="F335" i="9"/>
  <c r="D335" i="9"/>
  <c r="C335" i="9"/>
  <c r="A335" i="9"/>
  <c r="J334" i="9"/>
  <c r="I334" i="9"/>
  <c r="F334" i="9"/>
  <c r="D334" i="9"/>
  <c r="C334" i="9"/>
  <c r="A334" i="9"/>
  <c r="J333" i="9"/>
  <c r="I333" i="9"/>
  <c r="F333" i="9"/>
  <c r="D333" i="9"/>
  <c r="C333" i="9"/>
  <c r="A333" i="9"/>
  <c r="J332" i="9"/>
  <c r="I332" i="9"/>
  <c r="F332" i="9"/>
  <c r="D332" i="9"/>
  <c r="C332" i="9"/>
  <c r="A332" i="9"/>
  <c r="J331" i="9"/>
  <c r="I331" i="9"/>
  <c r="F331" i="9"/>
  <c r="D331" i="9"/>
  <c r="C331" i="9"/>
  <c r="A331" i="9"/>
  <c r="J330" i="9"/>
  <c r="I330" i="9"/>
  <c r="F330" i="9"/>
  <c r="D330" i="9"/>
  <c r="C330" i="9"/>
  <c r="A330" i="9"/>
  <c r="J329" i="9"/>
  <c r="I329" i="9"/>
  <c r="F329" i="9"/>
  <c r="D329" i="9"/>
  <c r="C329" i="9"/>
  <c r="A329" i="9"/>
  <c r="J328" i="9"/>
  <c r="I328" i="9"/>
  <c r="F328" i="9"/>
  <c r="D328" i="9"/>
  <c r="C328" i="9"/>
  <c r="A328" i="9"/>
  <c r="J327" i="9"/>
  <c r="I327" i="9"/>
  <c r="F327" i="9"/>
  <c r="D327" i="9"/>
  <c r="C327" i="9"/>
  <c r="A327" i="9"/>
  <c r="J326" i="9"/>
  <c r="I326" i="9"/>
  <c r="F326" i="9"/>
  <c r="D326" i="9"/>
  <c r="C326" i="9"/>
  <c r="A326" i="9"/>
  <c r="J325" i="9"/>
  <c r="I325" i="9"/>
  <c r="F325" i="9"/>
  <c r="D325" i="9"/>
  <c r="C325" i="9"/>
  <c r="A325" i="9"/>
  <c r="J324" i="9"/>
  <c r="I324" i="9"/>
  <c r="F324" i="9"/>
  <c r="D324" i="9"/>
  <c r="C324" i="9"/>
  <c r="A324" i="9"/>
  <c r="J323" i="9"/>
  <c r="I323" i="9"/>
  <c r="F323" i="9"/>
  <c r="D323" i="9"/>
  <c r="C323" i="9"/>
  <c r="A323" i="9"/>
  <c r="J322" i="9"/>
  <c r="I322" i="9"/>
  <c r="F322" i="9"/>
  <c r="D322" i="9"/>
  <c r="C322" i="9"/>
  <c r="A322" i="9"/>
  <c r="J321" i="9"/>
  <c r="I321" i="9"/>
  <c r="F321" i="9"/>
  <c r="D321" i="9"/>
  <c r="C321" i="9"/>
  <c r="A321" i="9"/>
  <c r="J320" i="9"/>
  <c r="I320" i="9"/>
  <c r="F320" i="9"/>
  <c r="D320" i="9"/>
  <c r="C320" i="9"/>
  <c r="A320" i="9"/>
  <c r="J319" i="9"/>
  <c r="I319" i="9"/>
  <c r="F319" i="9"/>
  <c r="D319" i="9"/>
  <c r="C319" i="9"/>
  <c r="A319" i="9"/>
  <c r="J318" i="9"/>
  <c r="I318" i="9"/>
  <c r="F318" i="9"/>
  <c r="D318" i="9"/>
  <c r="C318" i="9"/>
  <c r="A318" i="9"/>
  <c r="J317" i="9"/>
  <c r="I317" i="9"/>
  <c r="F317" i="9"/>
  <c r="D317" i="9"/>
  <c r="C317" i="9"/>
  <c r="A317" i="9"/>
  <c r="J316" i="9"/>
  <c r="I316" i="9"/>
  <c r="F316" i="9"/>
  <c r="D316" i="9"/>
  <c r="C316" i="9"/>
  <c r="A316" i="9"/>
  <c r="J315" i="9"/>
  <c r="I315" i="9"/>
  <c r="F315" i="9"/>
  <c r="D315" i="9"/>
  <c r="C315" i="9"/>
  <c r="A315" i="9"/>
  <c r="J314" i="9"/>
  <c r="I314" i="9"/>
  <c r="F314" i="9"/>
  <c r="D314" i="9"/>
  <c r="C314" i="9"/>
  <c r="A314" i="9"/>
  <c r="J313" i="9"/>
  <c r="I313" i="9"/>
  <c r="F313" i="9"/>
  <c r="D313" i="9"/>
  <c r="C313" i="9"/>
  <c r="A313" i="9"/>
  <c r="J312" i="9"/>
  <c r="I312" i="9"/>
  <c r="F312" i="9"/>
  <c r="D312" i="9"/>
  <c r="C312" i="9"/>
  <c r="A312" i="9"/>
  <c r="J311" i="9"/>
  <c r="I311" i="9"/>
  <c r="F311" i="9"/>
  <c r="D311" i="9"/>
  <c r="C311" i="9"/>
  <c r="A311" i="9"/>
  <c r="J310" i="9"/>
  <c r="I310" i="9"/>
  <c r="F310" i="9"/>
  <c r="D310" i="9"/>
  <c r="C310" i="9"/>
  <c r="A310" i="9"/>
  <c r="J309" i="9"/>
  <c r="I309" i="9"/>
  <c r="F309" i="9"/>
  <c r="D309" i="9"/>
  <c r="C309" i="9"/>
  <c r="A309" i="9"/>
  <c r="J308" i="9"/>
  <c r="I308" i="9"/>
  <c r="F308" i="9"/>
  <c r="D308" i="9"/>
  <c r="C308" i="9"/>
  <c r="A308" i="9"/>
  <c r="J307" i="9"/>
  <c r="I307" i="9"/>
  <c r="F307" i="9"/>
  <c r="D307" i="9"/>
  <c r="C307" i="9"/>
  <c r="A307" i="9"/>
  <c r="J306" i="9"/>
  <c r="I306" i="9"/>
  <c r="F306" i="9"/>
  <c r="D306" i="9"/>
  <c r="C306" i="9"/>
  <c r="A306" i="9"/>
  <c r="J305" i="9"/>
  <c r="I305" i="9"/>
  <c r="F305" i="9"/>
  <c r="D305" i="9"/>
  <c r="C305" i="9"/>
  <c r="A305" i="9"/>
  <c r="J304" i="9"/>
  <c r="I304" i="9"/>
  <c r="F304" i="9"/>
  <c r="D304" i="9"/>
  <c r="C304" i="9"/>
  <c r="A304" i="9"/>
  <c r="J303" i="9"/>
  <c r="I303" i="9"/>
  <c r="F303" i="9"/>
  <c r="D303" i="9"/>
  <c r="C303" i="9"/>
  <c r="A303" i="9"/>
  <c r="J302" i="9"/>
  <c r="I302" i="9"/>
  <c r="F302" i="9"/>
  <c r="D302" i="9"/>
  <c r="C302" i="9"/>
  <c r="A302" i="9"/>
  <c r="J301" i="9"/>
  <c r="I301" i="9"/>
  <c r="F301" i="9"/>
  <c r="D301" i="9"/>
  <c r="C301" i="9"/>
  <c r="A301" i="9"/>
  <c r="J300" i="9"/>
  <c r="I300" i="9"/>
  <c r="F300" i="9"/>
  <c r="D300" i="9"/>
  <c r="C300" i="9"/>
  <c r="A300" i="9"/>
  <c r="J299" i="9"/>
  <c r="I299" i="9"/>
  <c r="F299" i="9"/>
  <c r="D299" i="9"/>
  <c r="C299" i="9"/>
  <c r="A299" i="9"/>
  <c r="J298" i="9"/>
  <c r="I298" i="9"/>
  <c r="F298" i="9"/>
  <c r="D298" i="9"/>
  <c r="C298" i="9"/>
  <c r="A298" i="9"/>
  <c r="J297" i="9"/>
  <c r="I297" i="9"/>
  <c r="F297" i="9"/>
  <c r="D297" i="9"/>
  <c r="C297" i="9"/>
  <c r="A297" i="9"/>
  <c r="J296" i="9"/>
  <c r="I296" i="9"/>
  <c r="F296" i="9"/>
  <c r="D296" i="9"/>
  <c r="C296" i="9"/>
  <c r="A296" i="9"/>
  <c r="J295" i="9"/>
  <c r="I295" i="9"/>
  <c r="F295" i="9"/>
  <c r="D295" i="9"/>
  <c r="C295" i="9"/>
  <c r="A295" i="9"/>
  <c r="J294" i="9"/>
  <c r="I294" i="9"/>
  <c r="F294" i="9"/>
  <c r="D294" i="9"/>
  <c r="C294" i="9"/>
  <c r="A294" i="9"/>
  <c r="J293" i="9"/>
  <c r="I293" i="9"/>
  <c r="F293" i="9"/>
  <c r="D293" i="9"/>
  <c r="C293" i="9"/>
  <c r="A293" i="9"/>
  <c r="J292" i="9"/>
  <c r="I292" i="9"/>
  <c r="F292" i="9"/>
  <c r="D292" i="9"/>
  <c r="C292" i="9"/>
  <c r="A292" i="9"/>
  <c r="J291" i="9"/>
  <c r="I291" i="9"/>
  <c r="F291" i="9"/>
  <c r="D291" i="9"/>
  <c r="C291" i="9"/>
  <c r="A291" i="9"/>
  <c r="J290" i="9"/>
  <c r="I290" i="9"/>
  <c r="F290" i="9"/>
  <c r="D290" i="9"/>
  <c r="C290" i="9"/>
  <c r="A290" i="9"/>
  <c r="J289" i="9"/>
  <c r="I289" i="9"/>
  <c r="F289" i="9"/>
  <c r="D289" i="9"/>
  <c r="C289" i="9"/>
  <c r="A289" i="9"/>
  <c r="J288" i="9"/>
  <c r="I288" i="9"/>
  <c r="F288" i="9"/>
  <c r="D288" i="9"/>
  <c r="C288" i="9"/>
  <c r="A288" i="9"/>
  <c r="J287" i="9"/>
  <c r="I287" i="9"/>
  <c r="F287" i="9"/>
  <c r="D287" i="9"/>
  <c r="C287" i="9"/>
  <c r="A287" i="9"/>
  <c r="J286" i="9"/>
  <c r="I286" i="9"/>
  <c r="F286" i="9"/>
  <c r="D286" i="9"/>
  <c r="C286" i="9"/>
  <c r="A286" i="9"/>
  <c r="J285" i="9"/>
  <c r="I285" i="9"/>
  <c r="F285" i="9"/>
  <c r="D285" i="9"/>
  <c r="C285" i="9"/>
  <c r="A285" i="9"/>
  <c r="J284" i="9"/>
  <c r="I284" i="9"/>
  <c r="F284" i="9"/>
  <c r="D284" i="9"/>
  <c r="C284" i="9"/>
  <c r="A284" i="9"/>
  <c r="J283" i="9"/>
  <c r="I283" i="9"/>
  <c r="F283" i="9"/>
  <c r="D283" i="9"/>
  <c r="C283" i="9"/>
  <c r="A283" i="9"/>
  <c r="J282" i="9"/>
  <c r="I282" i="9"/>
  <c r="F282" i="9"/>
  <c r="D282" i="9"/>
  <c r="C282" i="9"/>
  <c r="A282" i="9"/>
  <c r="J281" i="9"/>
  <c r="I281" i="9"/>
  <c r="F281" i="9"/>
  <c r="D281" i="9"/>
  <c r="C281" i="9"/>
  <c r="A281" i="9"/>
  <c r="J280" i="9"/>
  <c r="I280" i="9"/>
  <c r="F280" i="9"/>
  <c r="D280" i="9"/>
  <c r="C280" i="9"/>
  <c r="A280" i="9"/>
  <c r="J279" i="9"/>
  <c r="I279" i="9"/>
  <c r="F279" i="9"/>
  <c r="D279" i="9"/>
  <c r="C279" i="9"/>
  <c r="A279" i="9"/>
  <c r="J278" i="9"/>
  <c r="I278" i="9"/>
  <c r="F278" i="9"/>
  <c r="D278" i="9"/>
  <c r="C278" i="9"/>
  <c r="A278" i="9"/>
  <c r="J277" i="9"/>
  <c r="I277" i="9"/>
  <c r="F277" i="9"/>
  <c r="D277" i="9"/>
  <c r="C277" i="9"/>
  <c r="A277" i="9"/>
  <c r="J276" i="9"/>
  <c r="I276" i="9"/>
  <c r="F276" i="9"/>
  <c r="D276" i="9"/>
  <c r="C276" i="9"/>
  <c r="A276" i="9"/>
  <c r="J275" i="9"/>
  <c r="I275" i="9"/>
  <c r="F275" i="9"/>
  <c r="D275" i="9"/>
  <c r="C275" i="9"/>
  <c r="A275" i="9"/>
  <c r="J274" i="9"/>
  <c r="I274" i="9"/>
  <c r="F274" i="9"/>
  <c r="D274" i="9"/>
  <c r="C274" i="9"/>
  <c r="A274" i="9"/>
  <c r="J273" i="9"/>
  <c r="I273" i="9"/>
  <c r="F273" i="9"/>
  <c r="D273" i="9"/>
  <c r="C273" i="9"/>
  <c r="A273" i="9"/>
  <c r="J272" i="9"/>
  <c r="I272" i="9"/>
  <c r="F272" i="9"/>
  <c r="D272" i="9"/>
  <c r="C272" i="9"/>
  <c r="A272" i="9"/>
  <c r="J271" i="9"/>
  <c r="I271" i="9"/>
  <c r="F271" i="9"/>
  <c r="D271" i="9"/>
  <c r="C271" i="9"/>
  <c r="A271" i="9"/>
  <c r="J270" i="9"/>
  <c r="I270" i="9"/>
  <c r="F270" i="9"/>
  <c r="D270" i="9"/>
  <c r="C270" i="9"/>
  <c r="A270" i="9"/>
  <c r="J269" i="9"/>
  <c r="I269" i="9"/>
  <c r="F269" i="9"/>
  <c r="D269" i="9"/>
  <c r="C269" i="9"/>
  <c r="A269" i="9"/>
  <c r="J268" i="9"/>
  <c r="I268" i="9"/>
  <c r="F268" i="9"/>
  <c r="D268" i="9"/>
  <c r="C268" i="9"/>
  <c r="A268" i="9"/>
  <c r="J267" i="9"/>
  <c r="I267" i="9"/>
  <c r="F267" i="9"/>
  <c r="D267" i="9"/>
  <c r="C267" i="9"/>
  <c r="A267" i="9"/>
  <c r="J266" i="9"/>
  <c r="I266" i="9"/>
  <c r="F266" i="9"/>
  <c r="D266" i="9"/>
  <c r="C266" i="9"/>
  <c r="A266" i="9"/>
  <c r="J265" i="9"/>
  <c r="I265" i="9"/>
  <c r="F265" i="9"/>
  <c r="D265" i="9"/>
  <c r="C265" i="9"/>
  <c r="A265" i="9"/>
  <c r="J264" i="9"/>
  <c r="I264" i="9"/>
  <c r="F264" i="9"/>
  <c r="D264" i="9"/>
  <c r="C264" i="9"/>
  <c r="A264" i="9"/>
  <c r="J263" i="9"/>
  <c r="I263" i="9"/>
  <c r="F263" i="9"/>
  <c r="D263" i="9"/>
  <c r="C263" i="9"/>
  <c r="A263" i="9"/>
  <c r="J262" i="9"/>
  <c r="I262" i="9"/>
  <c r="F262" i="9"/>
  <c r="D262" i="9"/>
  <c r="C262" i="9"/>
  <c r="A262" i="9"/>
  <c r="J261" i="9"/>
  <c r="I261" i="9"/>
  <c r="F261" i="9"/>
  <c r="D261" i="9"/>
  <c r="C261" i="9"/>
  <c r="A261" i="9"/>
  <c r="J260" i="9"/>
  <c r="I260" i="9"/>
  <c r="F260" i="9"/>
  <c r="D260" i="9"/>
  <c r="C260" i="9"/>
  <c r="A260" i="9"/>
  <c r="J259" i="9"/>
  <c r="I259" i="9"/>
  <c r="F259" i="9"/>
  <c r="D259" i="9"/>
  <c r="C259" i="9"/>
  <c r="A259" i="9"/>
  <c r="J258" i="9"/>
  <c r="I258" i="9"/>
  <c r="F258" i="9"/>
  <c r="D258" i="9"/>
  <c r="C258" i="9"/>
  <c r="A258" i="9"/>
  <c r="J257" i="9"/>
  <c r="I257" i="9"/>
  <c r="F257" i="9"/>
  <c r="D257" i="9"/>
  <c r="C257" i="9"/>
  <c r="A257" i="9"/>
  <c r="J256" i="9"/>
  <c r="I256" i="9"/>
  <c r="F256" i="9"/>
  <c r="D256" i="9"/>
  <c r="C256" i="9"/>
  <c r="A256" i="9"/>
  <c r="J255" i="9"/>
  <c r="I255" i="9"/>
  <c r="F255" i="9"/>
  <c r="D255" i="9"/>
  <c r="C255" i="9"/>
  <c r="A255" i="9"/>
  <c r="J254" i="9"/>
  <c r="I254" i="9"/>
  <c r="F254" i="9"/>
  <c r="D254" i="9"/>
  <c r="C254" i="9"/>
  <c r="A254" i="9"/>
  <c r="J253" i="9"/>
  <c r="I253" i="9"/>
  <c r="F253" i="9"/>
  <c r="D253" i="9"/>
  <c r="C253" i="9"/>
  <c r="A253" i="9"/>
  <c r="J252" i="9"/>
  <c r="I252" i="9"/>
  <c r="F252" i="9"/>
  <c r="D252" i="9"/>
  <c r="C252" i="9"/>
  <c r="A252" i="9"/>
  <c r="J251" i="9"/>
  <c r="I251" i="9"/>
  <c r="F251" i="9"/>
  <c r="D251" i="9"/>
  <c r="C251" i="9"/>
  <c r="A251" i="9"/>
  <c r="J250" i="9"/>
  <c r="I250" i="9"/>
  <c r="F250" i="9"/>
  <c r="D250" i="9"/>
  <c r="C250" i="9"/>
  <c r="A250" i="9"/>
  <c r="J249" i="9"/>
  <c r="I249" i="9"/>
  <c r="F249" i="9"/>
  <c r="D249" i="9"/>
  <c r="C249" i="9"/>
  <c r="A249" i="9"/>
  <c r="J248" i="9"/>
  <c r="I248" i="9"/>
  <c r="F248" i="9"/>
  <c r="D248" i="9"/>
  <c r="C248" i="9"/>
  <c r="A248" i="9"/>
  <c r="J247" i="9"/>
  <c r="I247" i="9"/>
  <c r="F247" i="9"/>
  <c r="D247" i="9"/>
  <c r="C247" i="9"/>
  <c r="A247" i="9"/>
  <c r="J246" i="9"/>
  <c r="I246" i="9"/>
  <c r="F246" i="9"/>
  <c r="D246" i="9"/>
  <c r="C246" i="9"/>
  <c r="A246" i="9"/>
  <c r="J245" i="9"/>
  <c r="I245" i="9"/>
  <c r="F245" i="9"/>
  <c r="D245" i="9"/>
  <c r="C245" i="9"/>
  <c r="A245" i="9"/>
  <c r="J244" i="9"/>
  <c r="I244" i="9"/>
  <c r="F244" i="9"/>
  <c r="D244" i="9"/>
  <c r="C244" i="9"/>
  <c r="A244" i="9"/>
  <c r="J243" i="9"/>
  <c r="I243" i="9"/>
  <c r="F243" i="9"/>
  <c r="D243" i="9"/>
  <c r="C243" i="9"/>
  <c r="A243" i="9"/>
  <c r="J242" i="9"/>
  <c r="I242" i="9"/>
  <c r="F242" i="9"/>
  <c r="D242" i="9"/>
  <c r="C242" i="9"/>
  <c r="A242" i="9"/>
  <c r="J241" i="9"/>
  <c r="I241" i="9"/>
  <c r="F241" i="9"/>
  <c r="D241" i="9"/>
  <c r="C241" i="9"/>
  <c r="A241" i="9"/>
  <c r="J240" i="9"/>
  <c r="I240" i="9"/>
  <c r="F240" i="9"/>
  <c r="D240" i="9"/>
  <c r="C240" i="9"/>
  <c r="A240" i="9"/>
  <c r="J239" i="9"/>
  <c r="I239" i="9"/>
  <c r="F239" i="9"/>
  <c r="D239" i="9"/>
  <c r="C239" i="9"/>
  <c r="A239" i="9"/>
  <c r="J238" i="9"/>
  <c r="I238" i="9"/>
  <c r="F238" i="9"/>
  <c r="D238" i="9"/>
  <c r="C238" i="9"/>
  <c r="A238" i="9"/>
  <c r="J237" i="9"/>
  <c r="I237" i="9"/>
  <c r="F237" i="9"/>
  <c r="D237" i="9"/>
  <c r="C237" i="9"/>
  <c r="A237" i="9"/>
  <c r="J236" i="9"/>
  <c r="I236" i="9"/>
  <c r="F236" i="9"/>
  <c r="D236" i="9"/>
  <c r="C236" i="9"/>
  <c r="A236" i="9"/>
  <c r="J235" i="9"/>
  <c r="I235" i="9"/>
  <c r="F235" i="9"/>
  <c r="D235" i="9"/>
  <c r="C235" i="9"/>
  <c r="A235" i="9"/>
  <c r="J234" i="9"/>
  <c r="I234" i="9"/>
  <c r="F234" i="9"/>
  <c r="D234" i="9"/>
  <c r="C234" i="9"/>
  <c r="A234" i="9"/>
  <c r="J233" i="9"/>
  <c r="I233" i="9"/>
  <c r="F233" i="9"/>
  <c r="D233" i="9"/>
  <c r="C233" i="9"/>
  <c r="A233" i="9"/>
  <c r="J232" i="9"/>
  <c r="I232" i="9"/>
  <c r="F232" i="9"/>
  <c r="D232" i="9"/>
  <c r="C232" i="9"/>
  <c r="A232" i="9"/>
  <c r="J231" i="9"/>
  <c r="I231" i="9"/>
  <c r="F231" i="9"/>
  <c r="D231" i="9"/>
  <c r="C231" i="9"/>
  <c r="A231" i="9"/>
  <c r="J230" i="9"/>
  <c r="I230" i="9"/>
  <c r="F230" i="9"/>
  <c r="D230" i="9"/>
  <c r="C230" i="9"/>
  <c r="A230" i="9"/>
  <c r="J229" i="9"/>
  <c r="I229" i="9"/>
  <c r="F229" i="9"/>
  <c r="D229" i="9"/>
  <c r="C229" i="9"/>
  <c r="A229" i="9"/>
  <c r="J228" i="9"/>
  <c r="I228" i="9"/>
  <c r="F228" i="9"/>
  <c r="D228" i="9"/>
  <c r="C228" i="9"/>
  <c r="A228" i="9"/>
  <c r="J227" i="9"/>
  <c r="I227" i="9"/>
  <c r="F227" i="9"/>
  <c r="D227" i="9"/>
  <c r="C227" i="9"/>
  <c r="A227" i="9"/>
  <c r="J226" i="9"/>
  <c r="I226" i="9"/>
  <c r="F226" i="9"/>
  <c r="D226" i="9"/>
  <c r="C226" i="9"/>
  <c r="A226" i="9"/>
  <c r="J225" i="9"/>
  <c r="I225" i="9"/>
  <c r="F225" i="9"/>
  <c r="D225" i="9"/>
  <c r="C225" i="9"/>
  <c r="A225" i="9"/>
  <c r="J224" i="9"/>
  <c r="I224" i="9"/>
  <c r="F224" i="9"/>
  <c r="D224" i="9"/>
  <c r="C224" i="9"/>
  <c r="A224" i="9"/>
  <c r="J223" i="9"/>
  <c r="I223" i="9"/>
  <c r="D223" i="9"/>
  <c r="C223" i="9"/>
  <c r="A223" i="9"/>
  <c r="J222" i="9"/>
  <c r="I222" i="9"/>
  <c r="F222" i="9"/>
  <c r="D222" i="9"/>
  <c r="C222" i="9"/>
  <c r="A222" i="9"/>
  <c r="J221" i="9"/>
  <c r="I221" i="9"/>
  <c r="F221" i="9"/>
  <c r="D221" i="9"/>
  <c r="C221" i="9"/>
  <c r="A221" i="9"/>
  <c r="J220" i="9"/>
  <c r="I220" i="9"/>
  <c r="F220" i="9"/>
  <c r="D220" i="9"/>
  <c r="C220" i="9"/>
  <c r="A220" i="9"/>
  <c r="J219" i="9"/>
  <c r="I219" i="9"/>
  <c r="F219" i="9"/>
  <c r="D219" i="9"/>
  <c r="C219" i="9"/>
  <c r="A219" i="9"/>
  <c r="J218" i="9"/>
  <c r="I218" i="9"/>
  <c r="F218" i="9"/>
  <c r="D218" i="9"/>
  <c r="C218" i="9"/>
  <c r="A218" i="9"/>
  <c r="J217" i="9"/>
  <c r="I217" i="9"/>
  <c r="F217" i="9"/>
  <c r="D217" i="9"/>
  <c r="C217" i="9"/>
  <c r="A217" i="9"/>
  <c r="J216" i="9"/>
  <c r="I216" i="9"/>
  <c r="F216" i="9"/>
  <c r="D216" i="9"/>
  <c r="C216" i="9"/>
  <c r="A216" i="9"/>
  <c r="J215" i="9"/>
  <c r="I215" i="9"/>
  <c r="F215" i="9"/>
  <c r="D215" i="9"/>
  <c r="C215" i="9"/>
  <c r="A215" i="9"/>
  <c r="J214" i="9"/>
  <c r="I214" i="9"/>
  <c r="F214" i="9"/>
  <c r="D214" i="9"/>
  <c r="C214" i="9"/>
  <c r="A214" i="9"/>
  <c r="J213" i="9"/>
  <c r="I213" i="9"/>
  <c r="F213" i="9"/>
  <c r="D213" i="9"/>
  <c r="C213" i="9"/>
  <c r="A213" i="9"/>
  <c r="J212" i="9"/>
  <c r="I212" i="9"/>
  <c r="F212" i="9"/>
  <c r="D212" i="9"/>
  <c r="C212" i="9"/>
  <c r="A212" i="9"/>
  <c r="J211" i="9"/>
  <c r="I211" i="9"/>
  <c r="F211" i="9"/>
  <c r="D211" i="9"/>
  <c r="C211" i="9"/>
  <c r="A211" i="9"/>
  <c r="J210" i="9"/>
  <c r="I210" i="9"/>
  <c r="F210" i="9"/>
  <c r="D210" i="9"/>
  <c r="C210" i="9"/>
  <c r="A210" i="9"/>
  <c r="J209" i="9"/>
  <c r="I209" i="9"/>
  <c r="F209" i="9"/>
  <c r="D209" i="9"/>
  <c r="C209" i="9"/>
  <c r="A209" i="9"/>
  <c r="J208" i="9"/>
  <c r="I208" i="9"/>
  <c r="F208" i="9"/>
  <c r="D208" i="9"/>
  <c r="C208" i="9"/>
  <c r="A208" i="9"/>
  <c r="J207" i="9"/>
  <c r="I207" i="9"/>
  <c r="D207" i="9"/>
  <c r="C207" i="9"/>
  <c r="A207" i="9"/>
  <c r="J206" i="9"/>
  <c r="I206" i="9"/>
  <c r="F206" i="9"/>
  <c r="D206" i="9"/>
  <c r="C206" i="9"/>
  <c r="A206" i="9"/>
  <c r="J205" i="9"/>
  <c r="I205" i="9"/>
  <c r="F205" i="9"/>
  <c r="D205" i="9"/>
  <c r="C205" i="9"/>
  <c r="A205" i="9"/>
  <c r="J204" i="9"/>
  <c r="I204" i="9"/>
  <c r="F204" i="9"/>
  <c r="D204" i="9"/>
  <c r="C204" i="9"/>
  <c r="A204" i="9"/>
  <c r="J203" i="9"/>
  <c r="I203" i="9"/>
  <c r="F203" i="9"/>
  <c r="D203" i="9"/>
  <c r="C203" i="9"/>
  <c r="A203" i="9"/>
  <c r="J202" i="9"/>
  <c r="I202" i="9"/>
  <c r="F202" i="9"/>
  <c r="D202" i="9"/>
  <c r="C202" i="9"/>
  <c r="A202" i="9"/>
  <c r="J201" i="9"/>
  <c r="I201" i="9"/>
  <c r="F201" i="9"/>
  <c r="D201" i="9"/>
  <c r="C201" i="9"/>
  <c r="A201" i="9"/>
  <c r="J200" i="9"/>
  <c r="I200" i="9"/>
  <c r="F200" i="9"/>
  <c r="D200" i="9"/>
  <c r="C200" i="9"/>
  <c r="A200" i="9"/>
  <c r="J199" i="9"/>
  <c r="I199" i="9"/>
  <c r="F199" i="9"/>
  <c r="D199" i="9"/>
  <c r="C199" i="9"/>
  <c r="A199" i="9"/>
  <c r="J198" i="9"/>
  <c r="I198" i="9"/>
  <c r="F198" i="9"/>
  <c r="D198" i="9"/>
  <c r="C198" i="9"/>
  <c r="A198" i="9"/>
  <c r="J197" i="9"/>
  <c r="I197" i="9"/>
  <c r="F197" i="9"/>
  <c r="D197" i="9"/>
  <c r="C197" i="9"/>
  <c r="A197" i="9"/>
  <c r="J196" i="9"/>
  <c r="I196" i="9"/>
  <c r="F196" i="9"/>
  <c r="D196" i="9"/>
  <c r="C196" i="9"/>
  <c r="A196" i="9"/>
  <c r="J195" i="9"/>
  <c r="I195" i="9"/>
  <c r="F195" i="9"/>
  <c r="D195" i="9"/>
  <c r="C195" i="9"/>
  <c r="A195" i="9"/>
  <c r="J194" i="9"/>
  <c r="I194" i="9"/>
  <c r="F194" i="9"/>
  <c r="D194" i="9"/>
  <c r="C194" i="9"/>
  <c r="A194" i="9"/>
  <c r="J193" i="9"/>
  <c r="I193" i="9"/>
  <c r="F193" i="9"/>
  <c r="D193" i="9"/>
  <c r="C193" i="9"/>
  <c r="A193" i="9"/>
  <c r="J192" i="9"/>
  <c r="I192" i="9"/>
  <c r="F192" i="9"/>
  <c r="D192" i="9"/>
  <c r="C192" i="9"/>
  <c r="A192" i="9"/>
  <c r="J191" i="9"/>
  <c r="I191" i="9"/>
  <c r="F191" i="9"/>
  <c r="D191" i="9"/>
  <c r="C191" i="9"/>
  <c r="A191" i="9"/>
  <c r="J190" i="9"/>
  <c r="I190" i="9"/>
  <c r="F190" i="9"/>
  <c r="D190" i="9"/>
  <c r="C190" i="9"/>
  <c r="A190" i="9"/>
  <c r="J189" i="9"/>
  <c r="I189" i="9"/>
  <c r="F189" i="9"/>
  <c r="D189" i="9"/>
  <c r="C189" i="9"/>
  <c r="A189" i="9"/>
  <c r="J188" i="9"/>
  <c r="I188" i="9"/>
  <c r="F188" i="9"/>
  <c r="D188" i="9"/>
  <c r="C188" i="9"/>
  <c r="A188" i="9"/>
  <c r="J187" i="9"/>
  <c r="I187" i="9"/>
  <c r="F187" i="9"/>
  <c r="D187" i="9"/>
  <c r="C187" i="9"/>
  <c r="A187" i="9"/>
  <c r="J186" i="9"/>
  <c r="I186" i="9"/>
  <c r="F186" i="9"/>
  <c r="D186" i="9"/>
  <c r="C186" i="9"/>
  <c r="A186" i="9"/>
  <c r="J185" i="9"/>
  <c r="I185" i="9"/>
  <c r="F185" i="9"/>
  <c r="D185" i="9"/>
  <c r="C185" i="9"/>
  <c r="A185" i="9"/>
  <c r="J184" i="9"/>
  <c r="I184" i="9"/>
  <c r="F184" i="9"/>
  <c r="D184" i="9"/>
  <c r="C184" i="9"/>
  <c r="A184" i="9"/>
  <c r="J183" i="9"/>
  <c r="I183" i="9"/>
  <c r="F183" i="9"/>
  <c r="D183" i="9"/>
  <c r="C183" i="9"/>
  <c r="A183" i="9"/>
  <c r="J182" i="9"/>
  <c r="I182" i="9"/>
  <c r="F182" i="9"/>
  <c r="D182" i="9"/>
  <c r="C182" i="9"/>
  <c r="A182" i="9"/>
  <c r="J181" i="9"/>
  <c r="I181" i="9"/>
  <c r="F181" i="9"/>
  <c r="D181" i="9"/>
  <c r="C181" i="9"/>
  <c r="A181" i="9"/>
  <c r="J180" i="9"/>
  <c r="I180" i="9"/>
  <c r="F180" i="9"/>
  <c r="D180" i="9"/>
  <c r="C180" i="9"/>
  <c r="A180" i="9"/>
  <c r="J179" i="9"/>
  <c r="I179" i="9"/>
  <c r="F179" i="9"/>
  <c r="D179" i="9"/>
  <c r="C179" i="9"/>
  <c r="A179" i="9"/>
  <c r="J178" i="9"/>
  <c r="I178" i="9"/>
  <c r="F178" i="9"/>
  <c r="D178" i="9"/>
  <c r="C178" i="9"/>
  <c r="A178" i="9"/>
  <c r="J177" i="9"/>
  <c r="I177" i="9"/>
  <c r="F177" i="9"/>
  <c r="D177" i="9"/>
  <c r="C177" i="9"/>
  <c r="A177" i="9"/>
  <c r="J176" i="9"/>
  <c r="I176" i="9"/>
  <c r="F176" i="9"/>
  <c r="D176" i="9"/>
  <c r="C176" i="9"/>
  <c r="A176" i="9"/>
  <c r="J175" i="9"/>
  <c r="I175" i="9"/>
  <c r="F175" i="9"/>
  <c r="D175" i="9"/>
  <c r="C175" i="9"/>
  <c r="A175" i="9"/>
  <c r="J174" i="9"/>
  <c r="I174" i="9"/>
  <c r="F174" i="9"/>
  <c r="D174" i="9"/>
  <c r="C174" i="9"/>
  <c r="A174" i="9"/>
  <c r="J173" i="9"/>
  <c r="I173" i="9"/>
  <c r="F173" i="9"/>
  <c r="D173" i="9"/>
  <c r="C173" i="9"/>
  <c r="A173" i="9"/>
  <c r="J172" i="9"/>
  <c r="I172" i="9"/>
  <c r="F172" i="9"/>
  <c r="D172" i="9"/>
  <c r="C172" i="9"/>
  <c r="A172" i="9"/>
  <c r="J171" i="9"/>
  <c r="I171" i="9"/>
  <c r="F171" i="9"/>
  <c r="D171" i="9"/>
  <c r="C171" i="9"/>
  <c r="A171" i="9"/>
  <c r="J170" i="9"/>
  <c r="I170" i="9"/>
  <c r="F170" i="9"/>
  <c r="D170" i="9"/>
  <c r="C170" i="9"/>
  <c r="A170" i="9"/>
  <c r="J169" i="9"/>
  <c r="I169" i="9"/>
  <c r="F169" i="9"/>
  <c r="D169" i="9"/>
  <c r="C169" i="9"/>
  <c r="A169" i="9"/>
  <c r="J168" i="9"/>
  <c r="I168" i="9"/>
  <c r="F168" i="9"/>
  <c r="D168" i="9"/>
  <c r="C168" i="9"/>
  <c r="A168" i="9"/>
  <c r="J167" i="9"/>
  <c r="I167" i="9"/>
  <c r="F167" i="9"/>
  <c r="D167" i="9"/>
  <c r="C167" i="9"/>
  <c r="A167" i="9"/>
  <c r="J166" i="9"/>
  <c r="I166" i="9"/>
  <c r="F166" i="9"/>
  <c r="D166" i="9"/>
  <c r="C166" i="9"/>
  <c r="A166" i="9"/>
  <c r="J165" i="9"/>
  <c r="I165" i="9"/>
  <c r="F165" i="9"/>
  <c r="D165" i="9"/>
  <c r="C165" i="9"/>
  <c r="A165" i="9"/>
  <c r="J164" i="9"/>
  <c r="I164" i="9"/>
  <c r="F164" i="9"/>
  <c r="D164" i="9"/>
  <c r="C164" i="9"/>
  <c r="A164" i="9"/>
  <c r="J163" i="9"/>
  <c r="I163" i="9"/>
  <c r="F163" i="9"/>
  <c r="D163" i="9"/>
  <c r="C163" i="9"/>
  <c r="A163" i="9"/>
  <c r="J162" i="9"/>
  <c r="I162" i="9"/>
  <c r="F162" i="9"/>
  <c r="D162" i="9"/>
  <c r="C162" i="9"/>
  <c r="A162" i="9"/>
  <c r="J161" i="9"/>
  <c r="I161" i="9"/>
  <c r="F161" i="9"/>
  <c r="D161" i="9"/>
  <c r="C161" i="9"/>
  <c r="A161" i="9"/>
  <c r="J160" i="9"/>
  <c r="I160" i="9"/>
  <c r="F160" i="9"/>
  <c r="D160" i="9"/>
  <c r="C160" i="9"/>
  <c r="A160" i="9"/>
  <c r="J159" i="9"/>
  <c r="I159" i="9"/>
  <c r="F159" i="9"/>
  <c r="D159" i="9"/>
  <c r="C159" i="9"/>
  <c r="A159" i="9"/>
  <c r="J158" i="9"/>
  <c r="I158" i="9"/>
  <c r="F158" i="9"/>
  <c r="D158" i="9"/>
  <c r="C158" i="9"/>
  <c r="A158" i="9"/>
  <c r="J157" i="9"/>
  <c r="I157" i="9"/>
  <c r="F157" i="9"/>
  <c r="D157" i="9"/>
  <c r="C157" i="9"/>
  <c r="A157" i="9"/>
  <c r="J156" i="9"/>
  <c r="I156" i="9"/>
  <c r="F156" i="9"/>
  <c r="D156" i="9"/>
  <c r="C156" i="9"/>
  <c r="A156" i="9"/>
  <c r="J155" i="9"/>
  <c r="I155" i="9"/>
  <c r="F155" i="9"/>
  <c r="D155" i="9"/>
  <c r="C155" i="9"/>
  <c r="A155" i="9"/>
  <c r="J154" i="9"/>
  <c r="I154" i="9"/>
  <c r="F154" i="9"/>
  <c r="D154" i="9"/>
  <c r="C154" i="9"/>
  <c r="A154" i="9"/>
  <c r="J153" i="9"/>
  <c r="I153" i="9"/>
  <c r="F153" i="9"/>
  <c r="D153" i="9"/>
  <c r="C153" i="9"/>
  <c r="A153" i="9"/>
  <c r="J152" i="9"/>
  <c r="I152" i="9"/>
  <c r="F152" i="9"/>
  <c r="D152" i="9"/>
  <c r="C152" i="9"/>
  <c r="A152" i="9"/>
  <c r="J151" i="9"/>
  <c r="I151" i="9"/>
  <c r="F151" i="9"/>
  <c r="D151" i="9"/>
  <c r="C151" i="9"/>
  <c r="A151" i="9"/>
  <c r="J150" i="9"/>
  <c r="I150" i="9"/>
  <c r="F150" i="9"/>
  <c r="D150" i="9"/>
  <c r="C150" i="9"/>
  <c r="A150" i="9"/>
  <c r="J149" i="9"/>
  <c r="I149" i="9"/>
  <c r="F149" i="9"/>
  <c r="D149" i="9"/>
  <c r="C149" i="9"/>
  <c r="A149" i="9"/>
  <c r="J148" i="9"/>
  <c r="I148" i="9"/>
  <c r="F148" i="9"/>
  <c r="D148" i="9"/>
  <c r="C148" i="9"/>
  <c r="A148" i="9"/>
  <c r="J147" i="9"/>
  <c r="I147" i="9"/>
  <c r="F147" i="9"/>
  <c r="D147" i="9"/>
  <c r="C147" i="9"/>
  <c r="A147" i="9"/>
  <c r="J146" i="9"/>
  <c r="I146" i="9"/>
  <c r="F146" i="9"/>
  <c r="D146" i="9"/>
  <c r="C146" i="9"/>
  <c r="A146" i="9"/>
  <c r="J145" i="9"/>
  <c r="I145" i="9"/>
  <c r="F145" i="9"/>
  <c r="D145" i="9"/>
  <c r="C145" i="9"/>
  <c r="A145" i="9"/>
  <c r="J144" i="9"/>
  <c r="I144" i="9"/>
  <c r="F144" i="9"/>
  <c r="D144" i="9"/>
  <c r="C144" i="9"/>
  <c r="A144" i="9"/>
  <c r="J143" i="9"/>
  <c r="I143" i="9"/>
  <c r="F143" i="9"/>
  <c r="D143" i="9"/>
  <c r="C143" i="9"/>
  <c r="A143" i="9"/>
  <c r="J142" i="9"/>
  <c r="I142" i="9"/>
  <c r="F142" i="9"/>
  <c r="D142" i="9"/>
  <c r="C142" i="9"/>
  <c r="A142" i="9"/>
  <c r="J141" i="9"/>
  <c r="I141" i="9"/>
  <c r="F141" i="9"/>
  <c r="D141" i="9"/>
  <c r="C141" i="9"/>
  <c r="A141" i="9"/>
  <c r="J140" i="9"/>
  <c r="I140" i="9"/>
  <c r="F140" i="9"/>
  <c r="D140" i="9"/>
  <c r="C140" i="9"/>
  <c r="A140" i="9"/>
  <c r="J139" i="9"/>
  <c r="I139" i="9"/>
  <c r="F139" i="9"/>
  <c r="D139" i="9"/>
  <c r="C139" i="9"/>
  <c r="A139" i="9"/>
  <c r="J138" i="9"/>
  <c r="I138" i="9"/>
  <c r="F138" i="9"/>
  <c r="D138" i="9"/>
  <c r="C138" i="9"/>
  <c r="A138" i="9"/>
  <c r="J137" i="9"/>
  <c r="I137" i="9"/>
  <c r="F137" i="9"/>
  <c r="D137" i="9"/>
  <c r="A137" i="9"/>
  <c r="J136" i="9"/>
  <c r="I136" i="9"/>
  <c r="F136" i="9"/>
  <c r="D136" i="9"/>
  <c r="C136" i="9"/>
  <c r="A136" i="9"/>
  <c r="J135" i="9"/>
  <c r="I135" i="9"/>
  <c r="F135" i="9"/>
  <c r="D135" i="9"/>
  <c r="C135" i="9"/>
  <c r="A135" i="9"/>
  <c r="J134" i="9"/>
  <c r="I134" i="9"/>
  <c r="F134" i="9"/>
  <c r="D134" i="9"/>
  <c r="C134" i="9"/>
  <c r="A134" i="9"/>
  <c r="J133" i="9"/>
  <c r="I133" i="9"/>
  <c r="F133" i="9"/>
  <c r="D133" i="9"/>
  <c r="C133" i="9"/>
  <c r="A133" i="9"/>
  <c r="J132" i="9"/>
  <c r="I132" i="9"/>
  <c r="F132" i="9"/>
  <c r="D132" i="9"/>
  <c r="C132" i="9"/>
  <c r="A132" i="9"/>
  <c r="J131" i="9"/>
  <c r="I131" i="9"/>
  <c r="F131" i="9"/>
  <c r="D131" i="9"/>
  <c r="C131" i="9"/>
  <c r="A131" i="9"/>
  <c r="J130" i="9"/>
  <c r="I130" i="9"/>
  <c r="F130" i="9"/>
  <c r="D130" i="9"/>
  <c r="C130" i="9"/>
  <c r="A130" i="9"/>
  <c r="J129" i="9"/>
  <c r="I129" i="9"/>
  <c r="F129" i="9"/>
  <c r="D129" i="9"/>
  <c r="C129" i="9"/>
  <c r="A129" i="9"/>
  <c r="J128" i="9"/>
  <c r="I128" i="9"/>
  <c r="F128" i="9"/>
  <c r="D128" i="9"/>
  <c r="C128" i="9"/>
  <c r="A128" i="9"/>
  <c r="J127" i="9"/>
  <c r="I127" i="9"/>
  <c r="F127" i="9"/>
  <c r="D127" i="9"/>
  <c r="C127" i="9"/>
  <c r="A127" i="9"/>
  <c r="J126" i="9"/>
  <c r="I126" i="9"/>
  <c r="F126" i="9"/>
  <c r="D126" i="9"/>
  <c r="C126" i="9"/>
  <c r="A126" i="9"/>
  <c r="J125" i="9"/>
  <c r="I125" i="9"/>
  <c r="F125" i="9"/>
  <c r="D125" i="9"/>
  <c r="C125" i="9"/>
  <c r="A125" i="9"/>
  <c r="J124" i="9"/>
  <c r="I124" i="9"/>
  <c r="F124" i="9"/>
  <c r="D124" i="9"/>
  <c r="C124" i="9"/>
  <c r="A124" i="9"/>
  <c r="J123" i="9"/>
  <c r="I123" i="9"/>
  <c r="F123" i="9"/>
  <c r="D123" i="9"/>
  <c r="C123" i="9"/>
  <c r="A123" i="9"/>
  <c r="J122" i="9"/>
  <c r="I122" i="9"/>
  <c r="F122" i="9"/>
  <c r="D122" i="9"/>
  <c r="C122" i="9"/>
  <c r="A122" i="9"/>
  <c r="J121" i="9"/>
  <c r="I121" i="9"/>
  <c r="F121" i="9"/>
  <c r="D121" i="9"/>
  <c r="C121" i="9"/>
  <c r="A121" i="9"/>
  <c r="J120" i="9"/>
  <c r="I120" i="9"/>
  <c r="F120" i="9"/>
  <c r="D120" i="9"/>
  <c r="C120" i="9"/>
  <c r="A120" i="9"/>
  <c r="J119" i="9"/>
  <c r="I119" i="9"/>
  <c r="F119" i="9"/>
  <c r="D119" i="9"/>
  <c r="C119" i="9"/>
  <c r="A119" i="9"/>
  <c r="J118" i="9"/>
  <c r="I118" i="9"/>
  <c r="F118" i="9"/>
  <c r="D118" i="9"/>
  <c r="C118" i="9"/>
  <c r="A118" i="9"/>
  <c r="J117" i="9"/>
  <c r="I117" i="9"/>
  <c r="F117" i="9"/>
  <c r="D117" i="9"/>
  <c r="C117" i="9"/>
  <c r="A117" i="9"/>
  <c r="J116" i="9"/>
  <c r="I116" i="9"/>
  <c r="F116" i="9"/>
  <c r="D116" i="9"/>
  <c r="C116" i="9"/>
  <c r="A116" i="9"/>
  <c r="J115" i="9"/>
  <c r="I115" i="9"/>
  <c r="F115" i="9"/>
  <c r="D115" i="9"/>
  <c r="C115" i="9"/>
  <c r="A115" i="9"/>
  <c r="J114" i="9"/>
  <c r="I114" i="9"/>
  <c r="F114" i="9"/>
  <c r="D114" i="9"/>
  <c r="C114" i="9"/>
  <c r="A114" i="9"/>
  <c r="J113" i="9"/>
  <c r="I113" i="9"/>
  <c r="F113" i="9"/>
  <c r="D113" i="9"/>
  <c r="C113" i="9"/>
  <c r="A113" i="9"/>
  <c r="J112" i="9"/>
  <c r="I112" i="9"/>
  <c r="F112" i="9"/>
  <c r="D112" i="9"/>
  <c r="C112" i="9"/>
  <c r="A112" i="9"/>
  <c r="J111" i="9"/>
  <c r="I111" i="9"/>
  <c r="F111" i="9"/>
  <c r="D111" i="9"/>
  <c r="C111" i="9"/>
  <c r="A111" i="9"/>
  <c r="J110" i="9"/>
  <c r="I110" i="9"/>
  <c r="F110" i="9"/>
  <c r="D110" i="9"/>
  <c r="C110" i="9"/>
  <c r="A110" i="9"/>
  <c r="J109" i="9"/>
  <c r="I109" i="9"/>
  <c r="F109" i="9"/>
  <c r="D109" i="9"/>
  <c r="C109" i="9"/>
  <c r="A109" i="9"/>
  <c r="J108" i="9"/>
  <c r="I108" i="9"/>
  <c r="F108" i="9"/>
  <c r="D108" i="9"/>
  <c r="C108" i="9"/>
  <c r="A108" i="9"/>
  <c r="J107" i="9"/>
  <c r="I107" i="9"/>
  <c r="F107" i="9"/>
  <c r="D107" i="9"/>
  <c r="C107" i="9"/>
  <c r="A107" i="9"/>
  <c r="J106" i="9"/>
  <c r="I106" i="9"/>
  <c r="F106" i="9"/>
  <c r="D106" i="9"/>
  <c r="C106" i="9"/>
  <c r="A106" i="9"/>
  <c r="J105" i="9"/>
  <c r="I105" i="9"/>
  <c r="F105" i="9"/>
  <c r="D105" i="9"/>
  <c r="C105" i="9"/>
  <c r="A105" i="9"/>
  <c r="J104" i="9"/>
  <c r="I104" i="9"/>
  <c r="F104" i="9"/>
  <c r="D104" i="9"/>
  <c r="C104" i="9"/>
  <c r="A104" i="9"/>
  <c r="J103" i="9"/>
  <c r="I103" i="9"/>
  <c r="F103" i="9"/>
  <c r="D103" i="9"/>
  <c r="C103" i="9"/>
  <c r="A103" i="9"/>
  <c r="J102" i="9"/>
  <c r="I102" i="9"/>
  <c r="F102" i="9"/>
  <c r="D102" i="9"/>
  <c r="C102" i="9"/>
  <c r="A102" i="9"/>
  <c r="J101" i="9"/>
  <c r="I101" i="9"/>
  <c r="F101" i="9"/>
  <c r="D101" i="9"/>
  <c r="C101" i="9"/>
  <c r="A101" i="9"/>
  <c r="J100" i="9"/>
  <c r="I100" i="9"/>
  <c r="F100" i="9"/>
  <c r="D100" i="9"/>
  <c r="C100" i="9"/>
  <c r="A100" i="9"/>
  <c r="J99" i="9"/>
  <c r="I99" i="9"/>
  <c r="F99" i="9"/>
  <c r="D99" i="9"/>
  <c r="C99" i="9"/>
  <c r="A99" i="9"/>
  <c r="J98" i="9"/>
  <c r="I98" i="9"/>
  <c r="F98" i="9"/>
  <c r="D98" i="9"/>
  <c r="C98" i="9"/>
  <c r="A98" i="9"/>
  <c r="J97" i="9"/>
  <c r="I97" i="9"/>
  <c r="F97" i="9"/>
  <c r="D97" i="9"/>
  <c r="C97" i="9"/>
  <c r="A97" i="9"/>
  <c r="J96" i="9"/>
  <c r="I96" i="9"/>
  <c r="F96" i="9"/>
  <c r="D96" i="9"/>
  <c r="C96" i="9"/>
  <c r="A96" i="9"/>
  <c r="J95" i="9"/>
  <c r="I95" i="9"/>
  <c r="F95" i="9"/>
  <c r="D95" i="9"/>
  <c r="C95" i="9"/>
  <c r="A95" i="9"/>
  <c r="J94" i="9"/>
  <c r="I94" i="9"/>
  <c r="F94" i="9"/>
  <c r="D94" i="9"/>
  <c r="C94" i="9"/>
  <c r="A94" i="9"/>
  <c r="J93" i="9"/>
  <c r="I93" i="9"/>
  <c r="F93" i="9"/>
  <c r="D93" i="9"/>
  <c r="C93" i="9"/>
  <c r="A93" i="9"/>
  <c r="J92" i="9"/>
  <c r="I92" i="9"/>
  <c r="F92" i="9"/>
  <c r="D92" i="9"/>
  <c r="C92" i="9"/>
  <c r="A92" i="9"/>
  <c r="J91" i="9"/>
  <c r="I91" i="9"/>
  <c r="F91" i="9"/>
  <c r="D91" i="9"/>
  <c r="C91" i="9"/>
  <c r="A91" i="9"/>
  <c r="J90" i="9"/>
  <c r="I90" i="9"/>
  <c r="F90" i="9"/>
  <c r="D90" i="9"/>
  <c r="C90" i="9"/>
  <c r="A90" i="9"/>
  <c r="J89" i="9"/>
  <c r="I89" i="9"/>
  <c r="D89" i="9"/>
  <c r="C89" i="9"/>
  <c r="A89" i="9"/>
  <c r="J88" i="9"/>
  <c r="I88" i="9"/>
  <c r="D88" i="9"/>
  <c r="C88" i="9"/>
  <c r="A88" i="9"/>
  <c r="J87" i="9"/>
  <c r="I87" i="9"/>
  <c r="D87" i="9"/>
  <c r="C87" i="9"/>
  <c r="A87" i="9"/>
  <c r="J86" i="9"/>
  <c r="I86" i="9"/>
  <c r="D86" i="9"/>
  <c r="C86" i="9"/>
  <c r="A86" i="9"/>
  <c r="J85" i="9"/>
  <c r="I85" i="9"/>
  <c r="D85" i="9"/>
  <c r="C85" i="9"/>
  <c r="A85" i="9"/>
  <c r="J84" i="9"/>
  <c r="I84" i="9"/>
  <c r="D84" i="9"/>
  <c r="C84" i="9"/>
  <c r="A84" i="9"/>
  <c r="J83" i="9"/>
  <c r="I83" i="9"/>
  <c r="D83" i="9"/>
  <c r="C83" i="9"/>
  <c r="A83" i="9"/>
  <c r="J82" i="9"/>
  <c r="I82" i="9"/>
  <c r="F82" i="9"/>
  <c r="D82" i="9"/>
  <c r="C82" i="9"/>
  <c r="A82" i="9"/>
  <c r="J81" i="9"/>
  <c r="I81" i="9"/>
  <c r="D81" i="9"/>
  <c r="C81" i="9"/>
  <c r="A81" i="9"/>
  <c r="J80" i="9"/>
  <c r="I80" i="9"/>
  <c r="D80" i="9"/>
  <c r="C80" i="9"/>
  <c r="A80" i="9"/>
  <c r="J79" i="9"/>
  <c r="I79" i="9"/>
  <c r="D79" i="9"/>
  <c r="C79" i="9"/>
  <c r="A79" i="9"/>
  <c r="J78" i="9"/>
  <c r="I78" i="9"/>
  <c r="D78" i="9"/>
  <c r="C78" i="9"/>
  <c r="A78" i="9"/>
  <c r="J77" i="9"/>
  <c r="I77" i="9"/>
  <c r="D77" i="9"/>
  <c r="C77" i="9"/>
  <c r="A77" i="9"/>
  <c r="J76" i="9"/>
  <c r="I76" i="9"/>
  <c r="D76" i="9"/>
  <c r="C76" i="9"/>
  <c r="A76" i="9"/>
  <c r="J75" i="9"/>
  <c r="I75" i="9"/>
  <c r="F75" i="9"/>
  <c r="D75" i="9"/>
  <c r="C75" i="9"/>
  <c r="A75" i="9"/>
  <c r="J74" i="9"/>
  <c r="I74" i="9"/>
  <c r="F74" i="9"/>
  <c r="D74" i="9"/>
  <c r="C74" i="9"/>
  <c r="A74" i="9"/>
  <c r="J73" i="9"/>
  <c r="I73" i="9"/>
  <c r="F73" i="9"/>
  <c r="D73" i="9"/>
  <c r="C73" i="9"/>
  <c r="A73" i="9"/>
  <c r="J72" i="9"/>
  <c r="I72" i="9"/>
  <c r="F72" i="9"/>
  <c r="D72" i="9"/>
  <c r="C72" i="9"/>
  <c r="A72" i="9"/>
  <c r="J71" i="9"/>
  <c r="I71" i="9"/>
  <c r="F71" i="9"/>
  <c r="D71" i="9"/>
  <c r="C71" i="9"/>
  <c r="A71" i="9"/>
  <c r="J70" i="9"/>
  <c r="I70" i="9"/>
  <c r="F70" i="9"/>
  <c r="D70" i="9"/>
  <c r="C70" i="9"/>
  <c r="A70" i="9"/>
  <c r="J69" i="9"/>
  <c r="I69" i="9"/>
  <c r="F69" i="9"/>
  <c r="D69" i="9"/>
  <c r="C69" i="9"/>
  <c r="A69" i="9"/>
  <c r="J68" i="9"/>
  <c r="I68" i="9"/>
  <c r="F68" i="9"/>
  <c r="D68" i="9"/>
  <c r="C68" i="9"/>
  <c r="A68" i="9"/>
  <c r="J67" i="9"/>
  <c r="I67" i="9"/>
  <c r="F67" i="9"/>
  <c r="D67" i="9"/>
  <c r="C67" i="9"/>
  <c r="A67" i="9"/>
  <c r="J66" i="9"/>
  <c r="I66" i="9"/>
  <c r="F66" i="9"/>
  <c r="D66" i="9"/>
  <c r="C66" i="9"/>
  <c r="A66" i="9"/>
  <c r="J65" i="9"/>
  <c r="I65" i="9"/>
  <c r="F65" i="9"/>
  <c r="D65" i="9"/>
  <c r="C65" i="9"/>
  <c r="A65" i="9"/>
  <c r="J64" i="9"/>
  <c r="I64" i="9"/>
  <c r="F64" i="9"/>
  <c r="D64" i="9"/>
  <c r="C64" i="9"/>
  <c r="A64" i="9"/>
  <c r="J63" i="9"/>
  <c r="I63" i="9"/>
  <c r="F63" i="9"/>
  <c r="D63" i="9"/>
  <c r="C63" i="9"/>
  <c r="A63" i="9"/>
  <c r="J62" i="9"/>
  <c r="I62" i="9"/>
  <c r="F62" i="9"/>
  <c r="D62" i="9"/>
  <c r="C62" i="9"/>
  <c r="A62" i="9"/>
  <c r="J61" i="9"/>
  <c r="I61" i="9"/>
  <c r="F61" i="9"/>
  <c r="D61" i="9"/>
  <c r="C61" i="9"/>
  <c r="A61" i="9"/>
  <c r="J60" i="9"/>
  <c r="I60" i="9"/>
  <c r="F60" i="9"/>
  <c r="D60" i="9"/>
  <c r="C60" i="9"/>
  <c r="A60" i="9"/>
  <c r="J59" i="9"/>
  <c r="I59" i="9"/>
  <c r="F59" i="9"/>
  <c r="D59" i="9"/>
  <c r="C59" i="9"/>
  <c r="A59" i="9"/>
  <c r="J58" i="9"/>
  <c r="I58" i="9"/>
  <c r="F58" i="9"/>
  <c r="D58" i="9"/>
  <c r="C58" i="9"/>
  <c r="A58" i="9"/>
  <c r="J57" i="9"/>
  <c r="I57" i="9"/>
  <c r="F57" i="9"/>
  <c r="D57" i="9"/>
  <c r="C57" i="9"/>
  <c r="A57" i="9"/>
  <c r="J56" i="9"/>
  <c r="I56" i="9"/>
  <c r="F56" i="9"/>
  <c r="D56" i="9"/>
  <c r="C56" i="9"/>
  <c r="A56" i="9"/>
  <c r="J55" i="9"/>
  <c r="I55" i="9"/>
  <c r="F55" i="9"/>
  <c r="D55" i="9"/>
  <c r="C55" i="9"/>
  <c r="A55" i="9"/>
  <c r="J54" i="9"/>
  <c r="I54" i="9"/>
  <c r="F54" i="9"/>
  <c r="D54" i="9"/>
  <c r="C54" i="9"/>
  <c r="A54" i="9"/>
  <c r="J53" i="9"/>
  <c r="I53" i="9"/>
  <c r="F53" i="9"/>
  <c r="D53" i="9"/>
  <c r="C53" i="9"/>
  <c r="A53" i="9"/>
  <c r="J52" i="9"/>
  <c r="I52" i="9"/>
  <c r="F52" i="9"/>
  <c r="D52" i="9"/>
  <c r="C52" i="9"/>
  <c r="A52" i="9"/>
  <c r="J51" i="9"/>
  <c r="I51" i="9"/>
  <c r="F51" i="9"/>
  <c r="D51" i="9"/>
  <c r="C51" i="9"/>
  <c r="A51" i="9"/>
  <c r="J50" i="9"/>
  <c r="I50" i="9"/>
  <c r="F50" i="9"/>
  <c r="D50" i="9"/>
  <c r="C50" i="9"/>
  <c r="A50" i="9"/>
  <c r="J49" i="9"/>
  <c r="I49" i="9"/>
  <c r="F49" i="9"/>
  <c r="D49" i="9"/>
  <c r="C49" i="9"/>
  <c r="A49" i="9"/>
  <c r="J48" i="9"/>
  <c r="I48" i="9"/>
  <c r="F48" i="9"/>
  <c r="D48" i="9"/>
  <c r="C48" i="9"/>
  <c r="A48" i="9"/>
  <c r="J47" i="9"/>
  <c r="I47" i="9"/>
  <c r="F47" i="9"/>
  <c r="D47" i="9"/>
  <c r="C47" i="9"/>
  <c r="A47" i="9"/>
  <c r="J46" i="9"/>
  <c r="I46" i="9"/>
  <c r="F46" i="9"/>
  <c r="D46" i="9"/>
  <c r="C46" i="9"/>
  <c r="A46" i="9"/>
  <c r="J45" i="9"/>
  <c r="I45" i="9"/>
  <c r="F45" i="9"/>
  <c r="D45" i="9"/>
  <c r="C45" i="9"/>
  <c r="A45" i="9"/>
  <c r="J44" i="9"/>
  <c r="I44" i="9"/>
  <c r="F44" i="9"/>
  <c r="D44" i="9"/>
  <c r="C44" i="9"/>
  <c r="A44" i="9"/>
  <c r="J43" i="9"/>
  <c r="I43" i="9"/>
  <c r="F43" i="9"/>
  <c r="D43" i="9"/>
  <c r="C43" i="9"/>
  <c r="A43" i="9"/>
  <c r="J42" i="9"/>
  <c r="I42" i="9"/>
  <c r="F42" i="9"/>
  <c r="D42" i="9"/>
  <c r="C42" i="9"/>
  <c r="A42" i="9"/>
  <c r="J41" i="9"/>
  <c r="I41" i="9"/>
  <c r="F41" i="9"/>
  <c r="D41" i="9"/>
  <c r="C41" i="9"/>
  <c r="A41" i="9"/>
  <c r="J40" i="9"/>
  <c r="I40" i="9"/>
  <c r="F40" i="9"/>
  <c r="D40" i="9"/>
  <c r="C40" i="9"/>
  <c r="A40" i="9"/>
  <c r="J39" i="9"/>
  <c r="I39" i="9"/>
  <c r="F39" i="9"/>
  <c r="D39" i="9"/>
  <c r="C39" i="9"/>
  <c r="A39" i="9"/>
  <c r="J38" i="9"/>
  <c r="I38" i="9"/>
  <c r="F38" i="9"/>
  <c r="D38" i="9"/>
  <c r="C38" i="9"/>
  <c r="A38" i="9"/>
  <c r="J37" i="9"/>
  <c r="I37" i="9"/>
  <c r="F37" i="9"/>
  <c r="D37" i="9"/>
  <c r="C37" i="9"/>
  <c r="A37" i="9"/>
  <c r="J36" i="9"/>
  <c r="I36" i="9"/>
  <c r="F36" i="9"/>
  <c r="D36" i="9"/>
  <c r="C36" i="9"/>
  <c r="A36" i="9"/>
  <c r="J35" i="9"/>
  <c r="I35" i="9"/>
  <c r="F35" i="9"/>
  <c r="D35" i="9"/>
  <c r="C35" i="9"/>
  <c r="A35" i="9"/>
  <c r="J34" i="9"/>
  <c r="I34" i="9"/>
  <c r="F34" i="9"/>
  <c r="D34" i="9"/>
  <c r="C34" i="9"/>
  <c r="A34" i="9"/>
  <c r="J33" i="9"/>
  <c r="I33" i="9"/>
  <c r="F33" i="9"/>
  <c r="D33" i="9"/>
  <c r="C33" i="9"/>
  <c r="A33" i="9"/>
  <c r="J32" i="9"/>
  <c r="I32" i="9"/>
  <c r="F32" i="9"/>
  <c r="D32" i="9"/>
  <c r="C32" i="9"/>
  <c r="A32" i="9"/>
  <c r="J31" i="9"/>
  <c r="I31" i="9"/>
  <c r="F31" i="9"/>
  <c r="D31" i="9"/>
  <c r="C31" i="9"/>
  <c r="A31" i="9"/>
  <c r="J30" i="9"/>
  <c r="I30" i="9"/>
  <c r="F30" i="9"/>
  <c r="D30" i="9"/>
  <c r="C30" i="9"/>
  <c r="A30" i="9"/>
  <c r="J29" i="9"/>
  <c r="I29" i="9"/>
  <c r="F29" i="9"/>
  <c r="D29" i="9"/>
  <c r="C29" i="9"/>
  <c r="A29" i="9"/>
  <c r="J28" i="9"/>
  <c r="I28" i="9"/>
  <c r="F28" i="9"/>
  <c r="D28" i="9"/>
  <c r="C28" i="9"/>
  <c r="A28" i="9"/>
  <c r="J27" i="9"/>
  <c r="I27" i="9"/>
  <c r="F27" i="9"/>
  <c r="D27" i="9"/>
  <c r="C27" i="9"/>
  <c r="A27" i="9"/>
  <c r="J26" i="9"/>
  <c r="I26" i="9"/>
  <c r="F26" i="9"/>
  <c r="D26" i="9"/>
  <c r="C26" i="9"/>
  <c r="A26" i="9"/>
  <c r="J25" i="9"/>
  <c r="I25" i="9"/>
  <c r="F25" i="9"/>
  <c r="D25" i="9"/>
  <c r="C25" i="9"/>
  <c r="A25" i="9"/>
  <c r="J24" i="9"/>
  <c r="I24" i="9"/>
  <c r="F24" i="9"/>
  <c r="D24" i="9"/>
  <c r="C24" i="9"/>
  <c r="A24" i="9"/>
  <c r="J23" i="9"/>
  <c r="I23" i="9"/>
  <c r="F23" i="9"/>
  <c r="D23" i="9"/>
  <c r="C23" i="9"/>
  <c r="A23" i="9"/>
  <c r="J22" i="9"/>
  <c r="I22" i="9"/>
  <c r="F22" i="9"/>
  <c r="D22" i="9"/>
  <c r="C22" i="9"/>
  <c r="A22" i="9"/>
  <c r="J21" i="9"/>
  <c r="I21" i="9"/>
  <c r="F21" i="9"/>
  <c r="D21" i="9"/>
  <c r="C21" i="9"/>
  <c r="A21" i="9"/>
  <c r="J20" i="9"/>
  <c r="I20" i="9"/>
  <c r="F20" i="9"/>
  <c r="D20" i="9"/>
  <c r="C20" i="9"/>
  <c r="A20" i="9"/>
  <c r="J19" i="9"/>
  <c r="I19" i="9"/>
  <c r="F19" i="9"/>
  <c r="D19" i="9"/>
  <c r="C19" i="9"/>
  <c r="A19" i="9"/>
  <c r="J18" i="9"/>
  <c r="I18" i="9"/>
  <c r="F18" i="9"/>
  <c r="D18" i="9"/>
  <c r="C18" i="9"/>
  <c r="A18" i="9"/>
  <c r="J17" i="9"/>
  <c r="I17" i="9"/>
  <c r="F17" i="9"/>
  <c r="D17" i="9"/>
  <c r="C17" i="9"/>
  <c r="A17" i="9"/>
  <c r="J16" i="9"/>
  <c r="I16" i="9"/>
  <c r="F16" i="9"/>
  <c r="D16" i="9"/>
  <c r="C16" i="9"/>
  <c r="A16" i="9"/>
  <c r="J15" i="9"/>
  <c r="I15" i="9"/>
  <c r="F15" i="9"/>
  <c r="D15" i="9"/>
  <c r="C15" i="9"/>
  <c r="A15" i="9"/>
  <c r="J14" i="9"/>
  <c r="I14" i="9"/>
  <c r="F14" i="9"/>
  <c r="D14" i="9"/>
  <c r="C14" i="9"/>
  <c r="A14" i="9"/>
  <c r="J13" i="9"/>
  <c r="I13" i="9"/>
  <c r="F13" i="9"/>
  <c r="D13" i="9"/>
  <c r="C13" i="9"/>
  <c r="A13" i="9"/>
  <c r="J12" i="9"/>
  <c r="I12" i="9"/>
  <c r="F12" i="9"/>
  <c r="D12" i="9"/>
  <c r="C12" i="9"/>
  <c r="A12" i="9"/>
  <c r="J11" i="9"/>
  <c r="I11" i="9"/>
  <c r="F11" i="9"/>
  <c r="D11" i="9"/>
  <c r="C11" i="9"/>
  <c r="A11" i="9"/>
  <c r="J10" i="9"/>
  <c r="I10" i="9"/>
  <c r="F10" i="9"/>
  <c r="D10" i="9"/>
  <c r="C10" i="9"/>
  <c r="A10" i="9"/>
  <c r="J9" i="9"/>
  <c r="I9" i="9"/>
  <c r="F9" i="9"/>
  <c r="D9" i="9"/>
  <c r="C9" i="9"/>
  <c r="A9" i="9"/>
  <c r="J8" i="9"/>
  <c r="I8" i="9"/>
  <c r="F8" i="9"/>
  <c r="D8" i="9"/>
  <c r="C8" i="9"/>
  <c r="A8" i="9"/>
  <c r="J7" i="9"/>
  <c r="I7" i="9"/>
  <c r="F7" i="9"/>
  <c r="D7" i="9"/>
  <c r="C7" i="9"/>
  <c r="A7" i="9"/>
  <c r="J6" i="9"/>
  <c r="I6" i="9"/>
  <c r="F6" i="9"/>
  <c r="D6" i="9"/>
  <c r="C6" i="9"/>
  <c r="A6" i="9"/>
  <c r="J5" i="9"/>
  <c r="I5" i="9"/>
  <c r="F5" i="9"/>
  <c r="D5" i="9"/>
  <c r="C5" i="9"/>
  <c r="A5" i="9"/>
  <c r="D393" i="8"/>
  <c r="C393" i="8"/>
  <c r="A393" i="8"/>
  <c r="D392" i="8"/>
  <c r="C392" i="8"/>
  <c r="A392" i="8"/>
  <c r="D391" i="8"/>
  <c r="C391" i="8"/>
  <c r="A391" i="8"/>
  <c r="D390" i="8"/>
  <c r="C390" i="8"/>
  <c r="A390" i="8"/>
  <c r="D389" i="8"/>
  <c r="C389" i="8"/>
  <c r="A389" i="8"/>
  <c r="D388" i="8"/>
  <c r="C388" i="8"/>
  <c r="A388" i="8"/>
  <c r="D387" i="8"/>
  <c r="C387" i="8"/>
  <c r="A387" i="8"/>
  <c r="D386" i="8"/>
  <c r="C386" i="8"/>
  <c r="A386" i="8"/>
  <c r="D385" i="8"/>
  <c r="C385" i="8"/>
  <c r="A385" i="8"/>
  <c r="D384" i="8"/>
  <c r="C384" i="8"/>
  <c r="A384" i="8"/>
  <c r="D383" i="8"/>
  <c r="C383" i="8"/>
  <c r="A383" i="8"/>
  <c r="D382" i="8"/>
  <c r="C382" i="8"/>
  <c r="A382" i="8"/>
  <c r="D381" i="8"/>
  <c r="C381" i="8"/>
  <c r="A381" i="8"/>
  <c r="D380" i="8"/>
  <c r="C380" i="8"/>
  <c r="A380" i="8"/>
  <c r="D379" i="8"/>
  <c r="C379" i="8"/>
  <c r="A379" i="8"/>
  <c r="D378" i="8"/>
  <c r="C378" i="8"/>
  <c r="A378" i="8"/>
  <c r="D377" i="8"/>
  <c r="C377" i="8"/>
  <c r="A377" i="8"/>
  <c r="D376" i="8"/>
  <c r="C376" i="8"/>
  <c r="A376" i="8"/>
  <c r="D375" i="8"/>
  <c r="C375" i="8"/>
  <c r="A375" i="8"/>
  <c r="D374" i="8"/>
  <c r="C374" i="8"/>
  <c r="A374" i="8"/>
  <c r="D373" i="8"/>
  <c r="C373" i="8"/>
  <c r="A373" i="8"/>
  <c r="D372" i="8"/>
  <c r="C372" i="8"/>
  <c r="A372" i="8"/>
  <c r="D371" i="8"/>
  <c r="C371" i="8"/>
  <c r="A371" i="8"/>
  <c r="D370" i="8"/>
  <c r="C370" i="8"/>
  <c r="A370" i="8"/>
  <c r="D369" i="8"/>
  <c r="C369" i="8"/>
  <c r="A369" i="8"/>
  <c r="D368" i="8"/>
  <c r="C368" i="8"/>
  <c r="A368" i="8"/>
  <c r="D367" i="8"/>
  <c r="C367" i="8"/>
  <c r="A367" i="8"/>
  <c r="D366" i="8"/>
  <c r="C366" i="8"/>
  <c r="A366" i="8"/>
  <c r="D365" i="8"/>
  <c r="C365" i="8"/>
  <c r="A365" i="8"/>
  <c r="D364" i="8"/>
  <c r="C364" i="8"/>
  <c r="A364" i="8"/>
  <c r="D363" i="8"/>
  <c r="C363" i="8"/>
  <c r="A363" i="8"/>
  <c r="D362" i="8"/>
  <c r="C362" i="8"/>
  <c r="A362" i="8"/>
  <c r="D361" i="8"/>
  <c r="C361" i="8"/>
  <c r="A361" i="8"/>
  <c r="D360" i="8"/>
  <c r="C360" i="8"/>
  <c r="A360" i="8"/>
  <c r="D359" i="8"/>
  <c r="C359" i="8"/>
  <c r="A359" i="8"/>
  <c r="D358" i="8"/>
  <c r="C358" i="8"/>
  <c r="A358" i="8"/>
  <c r="D357" i="8"/>
  <c r="C357" i="8"/>
  <c r="A357" i="8"/>
  <c r="D356" i="8"/>
  <c r="C356" i="8"/>
  <c r="A356" i="8"/>
  <c r="D355" i="8"/>
  <c r="C355" i="8"/>
  <c r="A355" i="8"/>
  <c r="D354" i="8"/>
  <c r="C354" i="8"/>
  <c r="A354" i="8"/>
  <c r="D353" i="8"/>
  <c r="C353" i="8"/>
  <c r="A353" i="8"/>
  <c r="D352" i="8"/>
  <c r="C352" i="8"/>
  <c r="A352" i="8"/>
  <c r="D351" i="8"/>
  <c r="C351" i="8"/>
  <c r="A351" i="8"/>
  <c r="D350" i="8"/>
  <c r="C350" i="8"/>
  <c r="A350" i="8"/>
  <c r="D349" i="8"/>
  <c r="C349" i="8"/>
  <c r="A349" i="8"/>
  <c r="D348" i="8"/>
  <c r="C348" i="8"/>
  <c r="A348" i="8"/>
  <c r="D347" i="8"/>
  <c r="C347" i="8"/>
  <c r="A347" i="8"/>
  <c r="D346" i="8"/>
  <c r="C346" i="8"/>
  <c r="A346" i="8"/>
  <c r="D345" i="8"/>
  <c r="C345" i="8"/>
  <c r="A345" i="8"/>
  <c r="D344" i="8"/>
  <c r="C344" i="8"/>
  <c r="A344" i="8"/>
  <c r="D343" i="8"/>
  <c r="C343" i="8"/>
  <c r="A343" i="8"/>
  <c r="D342" i="8"/>
  <c r="C342" i="8"/>
  <c r="A342" i="8"/>
  <c r="D341" i="8"/>
  <c r="C341" i="8"/>
  <c r="A341" i="8"/>
  <c r="D340" i="8"/>
  <c r="C340" i="8"/>
  <c r="A340" i="8"/>
  <c r="D339" i="8"/>
  <c r="C339" i="8"/>
  <c r="A339" i="8"/>
  <c r="D338" i="8"/>
  <c r="C338" i="8"/>
  <c r="A338" i="8"/>
  <c r="D337" i="8"/>
  <c r="C337" i="8"/>
  <c r="A337" i="8"/>
  <c r="D336" i="8"/>
  <c r="C336" i="8"/>
  <c r="A336" i="8"/>
  <c r="D335" i="8"/>
  <c r="C335" i="8"/>
  <c r="A335" i="8"/>
  <c r="D334" i="8"/>
  <c r="C334" i="8"/>
  <c r="A334" i="8"/>
  <c r="D333" i="8"/>
  <c r="C333" i="8"/>
  <c r="A333" i="8"/>
  <c r="D332" i="8"/>
  <c r="C332" i="8"/>
  <c r="A332" i="8"/>
  <c r="D331" i="8"/>
  <c r="C331" i="8"/>
  <c r="A331" i="8"/>
  <c r="D330" i="8"/>
  <c r="C330" i="8"/>
  <c r="A330" i="8"/>
  <c r="D329" i="8"/>
  <c r="C329" i="8"/>
  <c r="A329" i="8"/>
  <c r="D328" i="8"/>
  <c r="C328" i="8"/>
  <c r="A328" i="8"/>
  <c r="D327" i="8"/>
  <c r="C327" i="8"/>
  <c r="A327" i="8"/>
  <c r="D326" i="8"/>
  <c r="C326" i="8"/>
  <c r="A326" i="8"/>
  <c r="D325" i="8"/>
  <c r="C325" i="8"/>
  <c r="A325" i="8"/>
  <c r="D324" i="8"/>
  <c r="C324" i="8"/>
  <c r="A324" i="8"/>
  <c r="D323" i="8"/>
  <c r="C323" i="8"/>
  <c r="A323" i="8"/>
  <c r="D322" i="8"/>
  <c r="C322" i="8"/>
  <c r="A322" i="8"/>
  <c r="D321" i="8"/>
  <c r="C321" i="8"/>
  <c r="A321" i="8"/>
  <c r="D320" i="8"/>
  <c r="C320" i="8"/>
  <c r="A320" i="8"/>
  <c r="D319" i="8"/>
  <c r="C319" i="8"/>
  <c r="A319" i="8"/>
  <c r="D318" i="8"/>
  <c r="C318" i="8"/>
  <c r="A318" i="8"/>
  <c r="D317" i="8"/>
  <c r="C317" i="8"/>
  <c r="A317" i="8"/>
  <c r="D316" i="8"/>
  <c r="C316" i="8"/>
  <c r="A316" i="8"/>
  <c r="D315" i="8"/>
  <c r="C315" i="8"/>
  <c r="A315" i="8"/>
  <c r="D314" i="8"/>
  <c r="C314" i="8"/>
  <c r="A314" i="8"/>
  <c r="D313" i="8"/>
  <c r="C313" i="8"/>
  <c r="A313" i="8"/>
  <c r="D312" i="8"/>
  <c r="C312" i="8"/>
  <c r="A312" i="8"/>
  <c r="D311" i="8"/>
  <c r="C311" i="8"/>
  <c r="A311" i="8"/>
  <c r="D310" i="8"/>
  <c r="C310" i="8"/>
  <c r="A310" i="8"/>
  <c r="D309" i="8"/>
  <c r="C309" i="8"/>
  <c r="A309" i="8"/>
  <c r="D308" i="8"/>
  <c r="C308" i="8"/>
  <c r="A308" i="8"/>
  <c r="D307" i="8"/>
  <c r="C307" i="8"/>
  <c r="A307" i="8"/>
  <c r="D306" i="8"/>
  <c r="C306" i="8"/>
  <c r="A306" i="8"/>
  <c r="D305" i="8"/>
  <c r="C305" i="8"/>
  <c r="A305" i="8"/>
  <c r="D304" i="8"/>
  <c r="C304" i="8"/>
  <c r="A304" i="8"/>
  <c r="D303" i="8"/>
  <c r="C303" i="8"/>
  <c r="A303" i="8"/>
  <c r="D302" i="8"/>
  <c r="C302" i="8"/>
  <c r="A302" i="8"/>
  <c r="D301" i="8"/>
  <c r="C301" i="8"/>
  <c r="A301" i="8"/>
  <c r="D300" i="8"/>
  <c r="C300" i="8"/>
  <c r="A300" i="8"/>
  <c r="D299" i="8"/>
  <c r="C299" i="8"/>
  <c r="A299" i="8"/>
  <c r="D298" i="8"/>
  <c r="C298" i="8"/>
  <c r="A298" i="8"/>
  <c r="D297" i="8"/>
  <c r="C297" i="8"/>
  <c r="A297" i="8"/>
  <c r="D296" i="8"/>
  <c r="C296" i="8"/>
  <c r="A296" i="8"/>
  <c r="D295" i="8"/>
  <c r="C295" i="8"/>
  <c r="A295" i="8"/>
  <c r="D294" i="8"/>
  <c r="C294" i="8"/>
  <c r="A294" i="8"/>
  <c r="D293" i="8"/>
  <c r="C293" i="8"/>
  <c r="A293" i="8"/>
  <c r="D292" i="8"/>
  <c r="C292" i="8"/>
  <c r="A292" i="8"/>
  <c r="D291" i="8"/>
  <c r="C291" i="8"/>
  <c r="A291" i="8"/>
  <c r="D290" i="8"/>
  <c r="C290" i="8"/>
  <c r="A290" i="8"/>
  <c r="D289" i="8"/>
  <c r="C289" i="8"/>
  <c r="A289" i="8"/>
  <c r="D288" i="8"/>
  <c r="C288" i="8"/>
  <c r="A288" i="8"/>
  <c r="D287" i="8"/>
  <c r="C287" i="8"/>
  <c r="A287" i="8"/>
  <c r="D286" i="8"/>
  <c r="C286" i="8"/>
  <c r="A286" i="8"/>
  <c r="D285" i="8"/>
  <c r="C285" i="8"/>
  <c r="A285" i="8"/>
  <c r="D284" i="8"/>
  <c r="C284" i="8"/>
  <c r="A284" i="8"/>
  <c r="D283" i="8"/>
  <c r="C283" i="8"/>
  <c r="A283" i="8"/>
  <c r="D282" i="8"/>
  <c r="C282" i="8"/>
  <c r="A282" i="8"/>
  <c r="D281" i="8"/>
  <c r="C281" i="8"/>
  <c r="A281" i="8"/>
  <c r="D280" i="8"/>
  <c r="C280" i="8"/>
  <c r="A280" i="8"/>
  <c r="D279" i="8"/>
  <c r="C279" i="8"/>
  <c r="A279" i="8"/>
  <c r="D278" i="8"/>
  <c r="C278" i="8"/>
  <c r="A278" i="8"/>
  <c r="D277" i="8"/>
  <c r="C277" i="8"/>
  <c r="A277" i="8"/>
  <c r="D276" i="8"/>
  <c r="C276" i="8"/>
  <c r="A276" i="8"/>
  <c r="D275" i="8"/>
  <c r="C275" i="8"/>
  <c r="A275" i="8"/>
  <c r="D274" i="8"/>
  <c r="C274" i="8"/>
  <c r="A274" i="8"/>
  <c r="D273" i="8"/>
  <c r="C273" i="8"/>
  <c r="A273" i="8"/>
  <c r="D272" i="8"/>
  <c r="C272" i="8"/>
  <c r="A272" i="8"/>
  <c r="D271" i="8"/>
  <c r="C271" i="8"/>
  <c r="A271" i="8"/>
  <c r="D270" i="8"/>
  <c r="C270" i="8"/>
  <c r="A270" i="8"/>
  <c r="D269" i="8"/>
  <c r="C269" i="8"/>
  <c r="A269" i="8"/>
  <c r="D268" i="8"/>
  <c r="C268" i="8"/>
  <c r="A268" i="8"/>
  <c r="D267" i="8"/>
  <c r="C267" i="8"/>
  <c r="A267" i="8"/>
  <c r="D266" i="8"/>
  <c r="C266" i="8"/>
  <c r="A266" i="8"/>
  <c r="D265" i="8"/>
  <c r="C265" i="8"/>
  <c r="A265" i="8"/>
  <c r="D264" i="8"/>
  <c r="C264" i="8"/>
  <c r="A264" i="8"/>
  <c r="D263" i="8"/>
  <c r="C263" i="8"/>
  <c r="A263" i="8"/>
  <c r="D262" i="8"/>
  <c r="C262" i="8"/>
  <c r="A262" i="8"/>
  <c r="D261" i="8"/>
  <c r="C261" i="8"/>
  <c r="A261" i="8"/>
  <c r="D260" i="8"/>
  <c r="C260" i="8"/>
  <c r="A260" i="8"/>
  <c r="D259" i="8"/>
  <c r="C259" i="8"/>
  <c r="A259" i="8"/>
  <c r="D258" i="8"/>
  <c r="C258" i="8"/>
  <c r="A258" i="8"/>
  <c r="D257" i="8"/>
  <c r="C257" i="8"/>
  <c r="A257" i="8"/>
  <c r="D256" i="8"/>
  <c r="C256" i="8"/>
  <c r="A256" i="8"/>
  <c r="D255" i="8"/>
  <c r="C255" i="8"/>
  <c r="A255" i="8"/>
  <c r="D254" i="8"/>
  <c r="C254" i="8"/>
  <c r="A254" i="8"/>
  <c r="D253" i="8"/>
  <c r="C253" i="8"/>
  <c r="A253" i="8"/>
  <c r="D252" i="8"/>
  <c r="C252" i="8"/>
  <c r="A252" i="8"/>
  <c r="D251" i="8"/>
  <c r="C251" i="8"/>
  <c r="A251" i="8"/>
  <c r="D250" i="8"/>
  <c r="C250" i="8"/>
  <c r="A250" i="8"/>
  <c r="D249" i="8"/>
  <c r="C249" i="8"/>
  <c r="A249" i="8"/>
  <c r="D248" i="8"/>
  <c r="C248" i="8"/>
  <c r="A248" i="8"/>
  <c r="D247" i="8"/>
  <c r="C247" i="8"/>
  <c r="A247" i="8"/>
  <c r="D246" i="8"/>
  <c r="C246" i="8"/>
  <c r="A246" i="8"/>
  <c r="D245" i="8"/>
  <c r="C245" i="8"/>
  <c r="A245" i="8"/>
  <c r="D244" i="8"/>
  <c r="C244" i="8"/>
  <c r="A244" i="8"/>
  <c r="D243" i="8"/>
  <c r="C243" i="8"/>
  <c r="A243" i="8"/>
  <c r="D242" i="8"/>
  <c r="C242" i="8"/>
  <c r="A242" i="8"/>
  <c r="D241" i="8"/>
  <c r="C241" i="8"/>
  <c r="A241" i="8"/>
  <c r="D240" i="8"/>
  <c r="C240" i="8"/>
  <c r="A240" i="8"/>
  <c r="D239" i="8"/>
  <c r="C239" i="8"/>
  <c r="A239" i="8"/>
  <c r="D238" i="8"/>
  <c r="C238" i="8"/>
  <c r="A238" i="8"/>
  <c r="D237" i="8"/>
  <c r="C237" i="8"/>
  <c r="A237" i="8"/>
  <c r="D236" i="8"/>
  <c r="C236" i="8"/>
  <c r="A236" i="8"/>
  <c r="D235" i="8"/>
  <c r="C235" i="8"/>
  <c r="A235" i="8"/>
  <c r="D234" i="8"/>
  <c r="C234" i="8"/>
  <c r="A234" i="8"/>
  <c r="D233" i="8"/>
  <c r="C233" i="8"/>
  <c r="A233" i="8"/>
  <c r="D232" i="8"/>
  <c r="C232" i="8"/>
  <c r="A232" i="8"/>
  <c r="D231" i="8"/>
  <c r="C231" i="8"/>
  <c r="A231" i="8"/>
  <c r="D230" i="8"/>
  <c r="C230" i="8"/>
  <c r="A230" i="8"/>
  <c r="D229" i="8"/>
  <c r="C229" i="8"/>
  <c r="A229" i="8"/>
  <c r="D228" i="8"/>
  <c r="C228" i="8"/>
  <c r="A228" i="8"/>
  <c r="D227" i="8"/>
  <c r="C227" i="8"/>
  <c r="A227" i="8"/>
  <c r="D226" i="8"/>
  <c r="C226" i="8"/>
  <c r="A226" i="8"/>
  <c r="D225" i="8"/>
  <c r="C225" i="8"/>
  <c r="A225" i="8"/>
  <c r="D224" i="8"/>
  <c r="C224" i="8"/>
  <c r="A224" i="8"/>
  <c r="D223" i="8"/>
  <c r="C223" i="8"/>
  <c r="A223" i="8"/>
  <c r="D222" i="8"/>
  <c r="C222" i="8"/>
  <c r="A222" i="8"/>
  <c r="D221" i="8"/>
  <c r="C221" i="8"/>
  <c r="A221" i="8"/>
  <c r="D220" i="8"/>
  <c r="C220" i="8"/>
  <c r="A220" i="8"/>
  <c r="D219" i="8"/>
  <c r="C219" i="8"/>
  <c r="A219" i="8"/>
  <c r="D218" i="8"/>
  <c r="C218" i="8"/>
  <c r="A218" i="8"/>
  <c r="D217" i="8"/>
  <c r="C217" i="8"/>
  <c r="A217" i="8"/>
  <c r="D216" i="8"/>
  <c r="C216" i="8"/>
  <c r="A216" i="8"/>
  <c r="D215" i="8"/>
  <c r="C215" i="8"/>
  <c r="A215" i="8"/>
  <c r="D214" i="8"/>
  <c r="C214" i="8"/>
  <c r="A214" i="8"/>
  <c r="D213" i="8"/>
  <c r="C213" i="8"/>
  <c r="A213" i="8"/>
  <c r="D212" i="8"/>
  <c r="C212" i="8"/>
  <c r="A212" i="8"/>
  <c r="D211" i="8"/>
  <c r="C211" i="8"/>
  <c r="A211" i="8"/>
  <c r="D210" i="8"/>
  <c r="C210" i="8"/>
  <c r="A210" i="8"/>
  <c r="D209" i="8"/>
  <c r="C209" i="8"/>
  <c r="A209" i="8"/>
  <c r="D208" i="8"/>
  <c r="C208" i="8"/>
  <c r="A208" i="8"/>
  <c r="D207" i="8"/>
  <c r="C207" i="8"/>
  <c r="A207" i="8"/>
  <c r="D206" i="8"/>
  <c r="C206" i="8"/>
  <c r="A206" i="8"/>
  <c r="D205" i="8"/>
  <c r="C205" i="8"/>
  <c r="A205" i="8"/>
  <c r="D204" i="8"/>
  <c r="C204" i="8"/>
  <c r="A204" i="8"/>
  <c r="D203" i="8"/>
  <c r="C203" i="8"/>
  <c r="A203" i="8"/>
  <c r="D202" i="8"/>
  <c r="C202" i="8"/>
  <c r="A202" i="8"/>
  <c r="D201" i="8"/>
  <c r="C201" i="8"/>
  <c r="A201" i="8"/>
  <c r="D200" i="8"/>
  <c r="C200" i="8"/>
  <c r="A200" i="8"/>
  <c r="D199" i="8"/>
  <c r="C199" i="8"/>
  <c r="A199" i="8"/>
  <c r="D198" i="8"/>
  <c r="C198" i="8"/>
  <c r="A198" i="8"/>
  <c r="D197" i="8"/>
  <c r="C197" i="8"/>
  <c r="A197" i="8"/>
  <c r="D196" i="8"/>
  <c r="C196" i="8"/>
  <c r="A196" i="8"/>
  <c r="D195" i="8"/>
  <c r="C195" i="8"/>
  <c r="A195" i="8"/>
  <c r="D194" i="8"/>
  <c r="C194" i="8"/>
  <c r="A194" i="8"/>
  <c r="D193" i="8"/>
  <c r="C193" i="8"/>
  <c r="A193" i="8"/>
  <c r="D192" i="8"/>
  <c r="C192" i="8"/>
  <c r="A192" i="8"/>
  <c r="D191" i="8"/>
  <c r="C191" i="8"/>
  <c r="A191" i="8"/>
  <c r="D190" i="8"/>
  <c r="C190" i="8"/>
  <c r="A190" i="8"/>
  <c r="D189" i="8"/>
  <c r="C189" i="8"/>
  <c r="A189" i="8"/>
  <c r="D188" i="8"/>
  <c r="C188" i="8"/>
  <c r="A188" i="8"/>
  <c r="D187" i="8"/>
  <c r="C187" i="8"/>
  <c r="A187" i="8"/>
  <c r="D186" i="8"/>
  <c r="C186" i="8"/>
  <c r="A186" i="8"/>
  <c r="D185" i="8"/>
  <c r="C185" i="8"/>
  <c r="A185" i="8"/>
  <c r="D184" i="8"/>
  <c r="C184" i="8"/>
  <c r="A184" i="8"/>
  <c r="D183" i="8"/>
  <c r="C183" i="8"/>
  <c r="A183" i="8"/>
  <c r="D182" i="8"/>
  <c r="C182" i="8"/>
  <c r="A182" i="8"/>
  <c r="D181" i="8"/>
  <c r="C181" i="8"/>
  <c r="A181" i="8"/>
  <c r="D180" i="8"/>
  <c r="C180" i="8"/>
  <c r="A180" i="8"/>
  <c r="D179" i="8"/>
  <c r="C179" i="8"/>
  <c r="A179" i="8"/>
  <c r="D178" i="8"/>
  <c r="C178" i="8"/>
  <c r="A178" i="8"/>
  <c r="D177" i="8"/>
  <c r="C177" i="8"/>
  <c r="A177" i="8"/>
  <c r="D176" i="8"/>
  <c r="C176" i="8"/>
  <c r="A176" i="8"/>
  <c r="D175" i="8"/>
  <c r="C175" i="8"/>
  <c r="A175" i="8"/>
  <c r="D174" i="8"/>
  <c r="C174" i="8"/>
  <c r="A174" i="8"/>
  <c r="D173" i="8"/>
  <c r="C173" i="8"/>
  <c r="A173" i="8"/>
  <c r="D172" i="8"/>
  <c r="C172" i="8"/>
  <c r="A172" i="8"/>
  <c r="D171" i="8"/>
  <c r="C171" i="8"/>
  <c r="A171" i="8"/>
  <c r="D170" i="8"/>
  <c r="C170" i="8"/>
  <c r="A170" i="8"/>
  <c r="D169" i="8"/>
  <c r="C169" i="8"/>
  <c r="A169" i="8"/>
  <c r="D168" i="8"/>
  <c r="C168" i="8"/>
  <c r="A168" i="8"/>
  <c r="D167" i="8"/>
  <c r="C167" i="8"/>
  <c r="A167" i="8"/>
  <c r="D166" i="8"/>
  <c r="C166" i="8"/>
  <c r="A166" i="8"/>
  <c r="D165" i="8"/>
  <c r="C165" i="8"/>
  <c r="A165" i="8"/>
  <c r="D164" i="8"/>
  <c r="C164" i="8"/>
  <c r="A164" i="8"/>
  <c r="D163" i="8"/>
  <c r="C163" i="8"/>
  <c r="A163" i="8"/>
  <c r="D162" i="8"/>
  <c r="C162" i="8"/>
  <c r="A162" i="8"/>
  <c r="D161" i="8"/>
  <c r="C161" i="8"/>
  <c r="A161" i="8"/>
  <c r="D160" i="8"/>
  <c r="C160" i="8"/>
  <c r="A160" i="8"/>
  <c r="D159" i="8"/>
  <c r="C159" i="8"/>
  <c r="A159" i="8"/>
  <c r="D158" i="8"/>
  <c r="C158" i="8"/>
  <c r="A158" i="8"/>
  <c r="D157" i="8"/>
  <c r="C157" i="8"/>
  <c r="A157" i="8"/>
  <c r="D156" i="8"/>
  <c r="C156" i="8"/>
  <c r="A156" i="8"/>
  <c r="D155" i="8"/>
  <c r="C155" i="8"/>
  <c r="A155" i="8"/>
  <c r="D154" i="8"/>
  <c r="C154" i="8"/>
  <c r="A154" i="8"/>
  <c r="D153" i="8"/>
  <c r="C153" i="8"/>
  <c r="A153" i="8"/>
  <c r="D152" i="8"/>
  <c r="C152" i="8"/>
  <c r="A152" i="8"/>
  <c r="D151" i="8"/>
  <c r="C151" i="8"/>
  <c r="A151" i="8"/>
  <c r="D150" i="8"/>
  <c r="C150" i="8"/>
  <c r="A150" i="8"/>
  <c r="D149" i="8"/>
  <c r="C149" i="8"/>
  <c r="A149" i="8"/>
  <c r="D148" i="8"/>
  <c r="C148" i="8"/>
  <c r="A148" i="8"/>
  <c r="D147" i="8"/>
  <c r="C147" i="8"/>
  <c r="A147" i="8"/>
  <c r="D146" i="8"/>
  <c r="C146" i="8"/>
  <c r="A146" i="8"/>
  <c r="D145" i="8"/>
  <c r="C145" i="8"/>
  <c r="A145" i="8"/>
  <c r="D144" i="8"/>
  <c r="C144" i="8"/>
  <c r="A144" i="8"/>
  <c r="D143" i="8"/>
  <c r="C143" i="8"/>
  <c r="A143" i="8"/>
  <c r="D142" i="8"/>
  <c r="C142" i="8"/>
  <c r="A142" i="8"/>
  <c r="D141" i="8"/>
  <c r="C141" i="8"/>
  <c r="A141" i="8"/>
  <c r="D140" i="8"/>
  <c r="C140" i="8"/>
  <c r="A140" i="8"/>
  <c r="D139" i="8"/>
  <c r="C139" i="8"/>
  <c r="A139" i="8"/>
  <c r="D138" i="8"/>
  <c r="C138" i="8"/>
  <c r="A138" i="8"/>
  <c r="D137" i="8"/>
  <c r="C137" i="8"/>
  <c r="A137" i="8"/>
  <c r="D136" i="8"/>
  <c r="C136" i="8"/>
  <c r="A136" i="8"/>
  <c r="D135" i="8"/>
  <c r="C135" i="8"/>
  <c r="A135" i="8"/>
  <c r="D134" i="8"/>
  <c r="C134" i="8"/>
  <c r="A134" i="8"/>
  <c r="D133" i="8"/>
  <c r="C133" i="8"/>
  <c r="A133" i="8"/>
  <c r="D132" i="8"/>
  <c r="C132" i="8"/>
  <c r="A132" i="8"/>
  <c r="D131" i="8"/>
  <c r="C131" i="8"/>
  <c r="A131" i="8"/>
  <c r="D130" i="8"/>
  <c r="C130" i="8"/>
  <c r="A130" i="8"/>
  <c r="D129" i="8"/>
  <c r="C129" i="8"/>
  <c r="A129" i="8"/>
  <c r="D128" i="8"/>
  <c r="C128" i="8"/>
  <c r="A128" i="8"/>
  <c r="D127" i="8"/>
  <c r="C127" i="8"/>
  <c r="A127" i="8"/>
  <c r="D126" i="8"/>
  <c r="C126" i="8"/>
  <c r="A126" i="8"/>
  <c r="D125" i="8"/>
  <c r="C125" i="8"/>
  <c r="A125" i="8"/>
  <c r="D124" i="8"/>
  <c r="C124" i="8"/>
  <c r="A124" i="8"/>
  <c r="D123" i="8"/>
  <c r="C123" i="8"/>
  <c r="A123" i="8"/>
  <c r="D122" i="8"/>
  <c r="C122" i="8"/>
  <c r="A122" i="8"/>
  <c r="D121" i="8"/>
  <c r="C121" i="8"/>
  <c r="A121" i="8"/>
  <c r="D120" i="8"/>
  <c r="C120" i="8"/>
  <c r="A120" i="8"/>
  <c r="D119" i="8"/>
  <c r="C119" i="8"/>
  <c r="A119" i="8"/>
  <c r="D118" i="8"/>
  <c r="C118" i="8"/>
  <c r="A118" i="8"/>
  <c r="D117" i="8"/>
  <c r="C117" i="8"/>
  <c r="A117" i="8"/>
  <c r="D116" i="8"/>
  <c r="C116" i="8"/>
  <c r="A116" i="8"/>
  <c r="D115" i="8"/>
  <c r="C115" i="8"/>
  <c r="A115" i="8"/>
  <c r="D114" i="8"/>
  <c r="C114" i="8"/>
  <c r="A114" i="8"/>
  <c r="D113" i="8"/>
  <c r="C113" i="8"/>
  <c r="A113" i="8"/>
  <c r="D112" i="8"/>
  <c r="C112" i="8"/>
  <c r="A112" i="8"/>
  <c r="D111" i="8"/>
  <c r="C111" i="8"/>
  <c r="A111" i="8"/>
  <c r="D110" i="8"/>
  <c r="C110" i="8"/>
  <c r="A110" i="8"/>
  <c r="D109" i="8"/>
  <c r="C109" i="8"/>
  <c r="A109" i="8"/>
  <c r="D108" i="8"/>
  <c r="C108" i="8"/>
  <c r="A108" i="8"/>
  <c r="D107" i="8"/>
  <c r="C107" i="8"/>
  <c r="A107" i="8"/>
  <c r="D106" i="8"/>
  <c r="C106" i="8"/>
  <c r="A106" i="8"/>
  <c r="D105" i="8"/>
  <c r="C105" i="8"/>
  <c r="A105" i="8"/>
  <c r="D104" i="8"/>
  <c r="C104" i="8"/>
  <c r="A104" i="8"/>
  <c r="D103" i="8"/>
  <c r="C103" i="8"/>
  <c r="A103" i="8"/>
  <c r="D102" i="8"/>
  <c r="C102" i="8"/>
  <c r="A102" i="8"/>
  <c r="D101" i="8"/>
  <c r="C101" i="8"/>
  <c r="A101" i="8"/>
  <c r="D100" i="8"/>
  <c r="C100" i="8"/>
  <c r="A100" i="8"/>
  <c r="D99" i="8"/>
  <c r="C99" i="8"/>
  <c r="A99" i="8"/>
  <c r="D98" i="8"/>
  <c r="C98" i="8"/>
  <c r="A98" i="8"/>
  <c r="D97" i="8"/>
  <c r="C97" i="8"/>
  <c r="A97" i="8"/>
  <c r="D96" i="8"/>
  <c r="C96" i="8"/>
  <c r="A96" i="8"/>
  <c r="D95" i="8"/>
  <c r="C95" i="8"/>
  <c r="A95" i="8"/>
  <c r="D94" i="8"/>
  <c r="C94" i="8"/>
  <c r="A94" i="8"/>
  <c r="D93" i="8"/>
  <c r="C93" i="8"/>
  <c r="A93" i="8"/>
  <c r="D92" i="8"/>
  <c r="C92" i="8"/>
  <c r="A92" i="8"/>
  <c r="D91" i="8"/>
  <c r="C91" i="8"/>
  <c r="A91" i="8"/>
  <c r="D90" i="8"/>
  <c r="C90" i="8"/>
  <c r="A90" i="8"/>
  <c r="D89" i="8"/>
  <c r="C89" i="8"/>
  <c r="A89" i="8"/>
  <c r="D88" i="8"/>
  <c r="C88" i="8"/>
  <c r="A88" i="8"/>
  <c r="D87" i="8"/>
  <c r="C87" i="8"/>
  <c r="A87" i="8"/>
  <c r="D86" i="8"/>
  <c r="C86" i="8"/>
  <c r="A86" i="8"/>
  <c r="D85" i="8"/>
  <c r="C85" i="8"/>
  <c r="A85" i="8"/>
  <c r="D84" i="8"/>
  <c r="C84" i="8"/>
  <c r="A84" i="8"/>
  <c r="D83" i="8"/>
  <c r="C83" i="8"/>
  <c r="A83" i="8"/>
  <c r="D82" i="8"/>
  <c r="C82" i="8"/>
  <c r="A82" i="8"/>
  <c r="D81" i="8"/>
  <c r="C81" i="8"/>
  <c r="A81" i="8"/>
  <c r="D80" i="8"/>
  <c r="C80" i="8"/>
  <c r="A80" i="8"/>
  <c r="D79" i="8"/>
  <c r="C79" i="8"/>
  <c r="A79" i="8"/>
  <c r="D78" i="8"/>
  <c r="C78" i="8"/>
  <c r="A78" i="8"/>
  <c r="D77" i="8"/>
  <c r="C77" i="8"/>
  <c r="A77" i="8"/>
  <c r="D76" i="8"/>
  <c r="C76" i="8"/>
  <c r="A76" i="8"/>
  <c r="D75" i="8"/>
  <c r="C75" i="8"/>
  <c r="A75" i="8"/>
  <c r="D74" i="8"/>
  <c r="C74" i="8"/>
  <c r="A74" i="8"/>
  <c r="D73" i="8"/>
  <c r="C73" i="8"/>
  <c r="A73" i="8"/>
  <c r="D72" i="8"/>
  <c r="C72" i="8"/>
  <c r="A72" i="8"/>
  <c r="D71" i="8"/>
  <c r="C71" i="8"/>
  <c r="A71" i="8"/>
  <c r="D70" i="8"/>
  <c r="C70" i="8"/>
  <c r="A70" i="8"/>
  <c r="D69" i="8"/>
  <c r="C69" i="8"/>
  <c r="A69" i="8"/>
  <c r="D68" i="8"/>
  <c r="C68" i="8"/>
  <c r="A68" i="8"/>
  <c r="D67" i="8"/>
  <c r="C67" i="8"/>
  <c r="A67" i="8"/>
  <c r="D66" i="8"/>
  <c r="C66" i="8"/>
  <c r="A66" i="8"/>
  <c r="D65" i="8"/>
  <c r="C65" i="8"/>
  <c r="A65" i="8"/>
  <c r="D64" i="8"/>
  <c r="C64" i="8"/>
  <c r="A64" i="8"/>
  <c r="D63" i="8"/>
  <c r="C63" i="8"/>
  <c r="A63" i="8"/>
  <c r="D62" i="8"/>
  <c r="C62" i="8"/>
  <c r="A62" i="8"/>
  <c r="D61" i="8"/>
  <c r="C61" i="8"/>
  <c r="A61" i="8"/>
  <c r="D60" i="8"/>
  <c r="C60" i="8"/>
  <c r="A60" i="8"/>
  <c r="D59" i="8"/>
  <c r="C59" i="8"/>
  <c r="A59" i="8"/>
  <c r="D58" i="8"/>
  <c r="C58" i="8"/>
  <c r="A58" i="8"/>
  <c r="D57" i="8"/>
  <c r="C57" i="8"/>
  <c r="A57" i="8"/>
  <c r="D56" i="8"/>
  <c r="C56" i="8"/>
  <c r="A56" i="8"/>
  <c r="D55" i="8"/>
  <c r="C55" i="8"/>
  <c r="A55" i="8"/>
  <c r="D54" i="8"/>
  <c r="C54" i="8"/>
  <c r="A54" i="8"/>
  <c r="D53" i="8"/>
  <c r="C53" i="8"/>
  <c r="A53" i="8"/>
  <c r="D52" i="8"/>
  <c r="C52" i="8"/>
  <c r="A52" i="8"/>
  <c r="D51" i="8"/>
  <c r="C51" i="8"/>
  <c r="A51" i="8"/>
  <c r="D50" i="8"/>
  <c r="C50" i="8"/>
  <c r="A50" i="8"/>
  <c r="D49" i="8"/>
  <c r="C49" i="8"/>
  <c r="A49" i="8"/>
  <c r="D48" i="8"/>
  <c r="C48" i="8"/>
  <c r="A48" i="8"/>
  <c r="D47" i="8"/>
  <c r="C47" i="8"/>
  <c r="A47" i="8"/>
  <c r="D46" i="8"/>
  <c r="C46" i="8"/>
  <c r="A46" i="8"/>
  <c r="D45" i="8"/>
  <c r="C45" i="8"/>
  <c r="A45" i="8"/>
  <c r="D44" i="8"/>
  <c r="C44" i="8"/>
  <c r="A44" i="8"/>
  <c r="D43" i="8"/>
  <c r="C43" i="8"/>
  <c r="A43" i="8"/>
  <c r="D42" i="8"/>
  <c r="C42" i="8"/>
  <c r="A42" i="8"/>
  <c r="D41" i="8"/>
  <c r="C41" i="8"/>
  <c r="A41" i="8"/>
  <c r="D40" i="8"/>
  <c r="C40" i="8"/>
  <c r="A40" i="8"/>
  <c r="D39" i="8"/>
  <c r="C39" i="8"/>
  <c r="A39" i="8"/>
  <c r="D38" i="8"/>
  <c r="C38" i="8"/>
  <c r="A38" i="8"/>
  <c r="D37" i="8"/>
  <c r="C37" i="8"/>
  <c r="A37" i="8"/>
  <c r="D36" i="8"/>
  <c r="C36" i="8"/>
  <c r="A36" i="8"/>
  <c r="D35" i="8"/>
  <c r="C35" i="8"/>
  <c r="A35" i="8"/>
  <c r="D34" i="8"/>
  <c r="C34" i="8"/>
  <c r="A34" i="8"/>
  <c r="D33" i="8"/>
  <c r="C33" i="8"/>
  <c r="A33" i="8"/>
  <c r="D32" i="8"/>
  <c r="C32" i="8"/>
  <c r="A32" i="8"/>
  <c r="D31" i="8"/>
  <c r="C31" i="8"/>
  <c r="A31" i="8"/>
  <c r="D30" i="8"/>
  <c r="C30" i="8"/>
  <c r="A30" i="8"/>
  <c r="D29" i="8"/>
  <c r="C29" i="8"/>
  <c r="A29" i="8"/>
  <c r="D28" i="8"/>
  <c r="C28" i="8"/>
  <c r="A28" i="8"/>
  <c r="D27" i="8"/>
  <c r="C27" i="8"/>
  <c r="A27" i="8"/>
  <c r="D26" i="8"/>
  <c r="C26" i="8"/>
  <c r="A26" i="8"/>
  <c r="D25" i="8"/>
  <c r="C25" i="8"/>
  <c r="A25" i="8"/>
  <c r="D24" i="8"/>
  <c r="C24" i="8"/>
  <c r="A24" i="8"/>
  <c r="D23" i="8"/>
  <c r="C23" i="8"/>
  <c r="A23" i="8"/>
  <c r="D22" i="8"/>
  <c r="C22" i="8"/>
  <c r="A22" i="8"/>
  <c r="D21" i="8"/>
  <c r="C21" i="8"/>
  <c r="A21" i="8"/>
  <c r="D20" i="8"/>
  <c r="C20" i="8"/>
  <c r="A20" i="8"/>
  <c r="D19" i="8"/>
  <c r="C19" i="8"/>
  <c r="A19" i="8"/>
  <c r="D18" i="8"/>
  <c r="C18" i="8"/>
  <c r="A18" i="8"/>
  <c r="D17" i="8"/>
  <c r="C17" i="8"/>
  <c r="A17" i="8"/>
  <c r="D16" i="8"/>
  <c r="C16" i="8"/>
  <c r="A16" i="8"/>
  <c r="D15" i="8"/>
  <c r="C15" i="8"/>
  <c r="A15" i="8"/>
  <c r="D14" i="8"/>
  <c r="C14" i="8"/>
  <c r="A14" i="8"/>
  <c r="D13" i="8"/>
  <c r="C13" i="8"/>
  <c r="A13" i="8"/>
  <c r="D12" i="8"/>
  <c r="C12" i="8"/>
  <c r="A12" i="8"/>
  <c r="D11" i="8"/>
  <c r="C11" i="8"/>
  <c r="A11" i="8"/>
  <c r="D10" i="8"/>
  <c r="C10" i="8"/>
  <c r="A10" i="8"/>
  <c r="D9" i="8"/>
  <c r="C9" i="8"/>
  <c r="A9" i="8"/>
  <c r="D8" i="8"/>
  <c r="C8" i="8"/>
  <c r="A8" i="8"/>
  <c r="D7" i="8"/>
  <c r="C7" i="8"/>
  <c r="A7" i="8"/>
  <c r="D6" i="8"/>
  <c r="C6" i="8"/>
  <c r="A6" i="8"/>
  <c r="D5" i="8"/>
  <c r="C5" i="8"/>
  <c r="A5" i="8"/>
  <c r="K338" i="7"/>
  <c r="D338" i="7"/>
  <c r="C338" i="7"/>
  <c r="E338" i="7" s="1"/>
  <c r="A338" i="7"/>
  <c r="K337" i="7"/>
  <c r="D337" i="7"/>
  <c r="C337" i="7"/>
  <c r="E337" i="7" s="1"/>
  <c r="A337" i="7"/>
  <c r="K336" i="7"/>
  <c r="D336" i="7"/>
  <c r="C336" i="7"/>
  <c r="E336" i="7" s="1"/>
  <c r="A336" i="7"/>
  <c r="K335" i="7"/>
  <c r="D335" i="7"/>
  <c r="C335" i="7"/>
  <c r="E335" i="7" s="1"/>
  <c r="A335" i="7"/>
  <c r="K334" i="7"/>
  <c r="D334" i="7"/>
  <c r="C334" i="7"/>
  <c r="E334" i="7" s="1"/>
  <c r="A334" i="7"/>
  <c r="K333" i="7"/>
  <c r="D333" i="7"/>
  <c r="C333" i="7"/>
  <c r="E333" i="7" s="1"/>
  <c r="A333" i="7"/>
  <c r="K332" i="7"/>
  <c r="D332" i="7"/>
  <c r="C332" i="7"/>
  <c r="E332" i="7" s="1"/>
  <c r="A332" i="7"/>
  <c r="K331" i="7"/>
  <c r="D331" i="7"/>
  <c r="C331" i="7"/>
  <c r="E331" i="7" s="1"/>
  <c r="A331" i="7"/>
  <c r="K330" i="7"/>
  <c r="D330" i="7"/>
  <c r="C330" i="7"/>
  <c r="E330" i="7" s="1"/>
  <c r="A330" i="7"/>
  <c r="K329" i="7"/>
  <c r="D329" i="7"/>
  <c r="C329" i="7"/>
  <c r="E329" i="7" s="1"/>
  <c r="A329" i="7"/>
  <c r="K328" i="7"/>
  <c r="D328" i="7"/>
  <c r="C328" i="7"/>
  <c r="E328" i="7" s="1"/>
  <c r="A328" i="7"/>
  <c r="K327" i="7"/>
  <c r="D327" i="7"/>
  <c r="C327" i="7"/>
  <c r="E327" i="7" s="1"/>
  <c r="A327" i="7"/>
  <c r="K326" i="7"/>
  <c r="D326" i="7"/>
  <c r="C326" i="7"/>
  <c r="E326" i="7" s="1"/>
  <c r="A326" i="7"/>
  <c r="K325" i="7"/>
  <c r="D325" i="7"/>
  <c r="C325" i="7"/>
  <c r="E325" i="7" s="1"/>
  <c r="A325" i="7"/>
  <c r="K324" i="7"/>
  <c r="D324" i="7"/>
  <c r="C324" i="7"/>
  <c r="E324" i="7" s="1"/>
  <c r="A324" i="7"/>
  <c r="K323" i="7"/>
  <c r="D323" i="7"/>
  <c r="C323" i="7"/>
  <c r="E323" i="7" s="1"/>
  <c r="A323" i="7"/>
  <c r="K322" i="7"/>
  <c r="D322" i="7"/>
  <c r="C322" i="7"/>
  <c r="E322" i="7" s="1"/>
  <c r="A322" i="7"/>
  <c r="K321" i="7"/>
  <c r="D321" i="7"/>
  <c r="C321" i="7"/>
  <c r="E321" i="7" s="1"/>
  <c r="A321" i="7"/>
  <c r="K320" i="7"/>
  <c r="D320" i="7"/>
  <c r="C320" i="7"/>
  <c r="E320" i="7" s="1"/>
  <c r="A320" i="7"/>
  <c r="K319" i="7"/>
  <c r="D319" i="7"/>
  <c r="C319" i="7"/>
  <c r="E319" i="7" s="1"/>
  <c r="A319" i="7"/>
  <c r="K318" i="7"/>
  <c r="D318" i="7"/>
  <c r="C318" i="7"/>
  <c r="E318" i="7" s="1"/>
  <c r="A318" i="7"/>
  <c r="K317" i="7"/>
  <c r="D317" i="7"/>
  <c r="C317" i="7"/>
  <c r="E317" i="7" s="1"/>
  <c r="A317" i="7"/>
  <c r="K316" i="7"/>
  <c r="D316" i="7"/>
  <c r="C316" i="7"/>
  <c r="E316" i="7" s="1"/>
  <c r="A316" i="7"/>
  <c r="K315" i="7"/>
  <c r="D315" i="7"/>
  <c r="C315" i="7"/>
  <c r="E315" i="7" s="1"/>
  <c r="A315" i="7"/>
  <c r="K314" i="7"/>
  <c r="D314" i="7"/>
  <c r="C314" i="7"/>
  <c r="E314" i="7" s="1"/>
  <c r="A314" i="7"/>
  <c r="K313" i="7"/>
  <c r="D313" i="7"/>
  <c r="C313" i="7"/>
  <c r="E313" i="7" s="1"/>
  <c r="A313" i="7"/>
  <c r="K312" i="7"/>
  <c r="D312" i="7"/>
  <c r="C312" i="7"/>
  <c r="E312" i="7" s="1"/>
  <c r="A312" i="7"/>
  <c r="K311" i="7"/>
  <c r="D311" i="7"/>
  <c r="C311" i="7"/>
  <c r="E311" i="7" s="1"/>
  <c r="A311" i="7"/>
  <c r="K310" i="7"/>
  <c r="D310" i="7"/>
  <c r="C310" i="7"/>
  <c r="E310" i="7" s="1"/>
  <c r="A310" i="7"/>
  <c r="K309" i="7"/>
  <c r="D309" i="7"/>
  <c r="C309" i="7"/>
  <c r="E309" i="7" s="1"/>
  <c r="A309" i="7"/>
  <c r="K308" i="7"/>
  <c r="D308" i="7"/>
  <c r="C308" i="7"/>
  <c r="E308" i="7" s="1"/>
  <c r="A308" i="7"/>
  <c r="K307" i="7"/>
  <c r="D307" i="7"/>
  <c r="C307" i="7"/>
  <c r="E307" i="7" s="1"/>
  <c r="A307" i="7"/>
  <c r="K306" i="7"/>
  <c r="D306" i="7"/>
  <c r="C306" i="7"/>
  <c r="E306" i="7" s="1"/>
  <c r="A306" i="7"/>
  <c r="K305" i="7"/>
  <c r="D305" i="7"/>
  <c r="C305" i="7"/>
  <c r="E305" i="7" s="1"/>
  <c r="A305" i="7"/>
  <c r="K304" i="7"/>
  <c r="D304" i="7"/>
  <c r="C304" i="7"/>
  <c r="E304" i="7" s="1"/>
  <c r="A304" i="7"/>
  <c r="K303" i="7"/>
  <c r="D303" i="7"/>
  <c r="C303" i="7"/>
  <c r="E303" i="7" s="1"/>
  <c r="A303" i="7"/>
  <c r="K302" i="7"/>
  <c r="D302" i="7"/>
  <c r="C302" i="7"/>
  <c r="E302" i="7" s="1"/>
  <c r="A302" i="7"/>
  <c r="K301" i="7"/>
  <c r="D301" i="7"/>
  <c r="C301" i="7"/>
  <c r="E301" i="7" s="1"/>
  <c r="A301" i="7"/>
  <c r="K300" i="7"/>
  <c r="D300" i="7"/>
  <c r="C300" i="7"/>
  <c r="E300" i="7" s="1"/>
  <c r="A300" i="7"/>
  <c r="K299" i="7"/>
  <c r="D299" i="7"/>
  <c r="C299" i="7"/>
  <c r="E299" i="7" s="1"/>
  <c r="A299" i="7"/>
  <c r="K298" i="7"/>
  <c r="D298" i="7"/>
  <c r="C298" i="7"/>
  <c r="E298" i="7" s="1"/>
  <c r="A298" i="7"/>
  <c r="K297" i="7"/>
  <c r="D297" i="7"/>
  <c r="C297" i="7"/>
  <c r="E297" i="7" s="1"/>
  <c r="A297" i="7"/>
  <c r="K296" i="7"/>
  <c r="D296" i="7"/>
  <c r="C296" i="7"/>
  <c r="E296" i="7" s="1"/>
  <c r="A296" i="7"/>
  <c r="K295" i="7"/>
  <c r="D295" i="7"/>
  <c r="C295" i="7"/>
  <c r="E295" i="7" s="1"/>
  <c r="A295" i="7"/>
  <c r="K294" i="7"/>
  <c r="D294" i="7"/>
  <c r="C294" i="7"/>
  <c r="E294" i="7" s="1"/>
  <c r="A294" i="7"/>
  <c r="K293" i="7"/>
  <c r="D293" i="7"/>
  <c r="C293" i="7"/>
  <c r="E293" i="7" s="1"/>
  <c r="A293" i="7"/>
  <c r="K292" i="7"/>
  <c r="D292" i="7"/>
  <c r="C292" i="7"/>
  <c r="E292" i="7" s="1"/>
  <c r="A292" i="7"/>
  <c r="K291" i="7"/>
  <c r="D291" i="7"/>
  <c r="C291" i="7"/>
  <c r="E291" i="7" s="1"/>
  <c r="A291" i="7"/>
  <c r="K290" i="7"/>
  <c r="D290" i="7"/>
  <c r="C290" i="7"/>
  <c r="E290" i="7" s="1"/>
  <c r="A290" i="7"/>
  <c r="K289" i="7"/>
  <c r="D289" i="7"/>
  <c r="C289" i="7"/>
  <c r="E289" i="7" s="1"/>
  <c r="A289" i="7"/>
  <c r="K288" i="7"/>
  <c r="D288" i="7"/>
  <c r="C288" i="7"/>
  <c r="E288" i="7" s="1"/>
  <c r="A288" i="7"/>
  <c r="K287" i="7"/>
  <c r="D287" i="7"/>
  <c r="C287" i="7"/>
  <c r="E287" i="7" s="1"/>
  <c r="A287" i="7"/>
  <c r="K286" i="7"/>
  <c r="D286" i="7"/>
  <c r="C286" i="7"/>
  <c r="E286" i="7" s="1"/>
  <c r="A286" i="7"/>
  <c r="K285" i="7"/>
  <c r="D285" i="7"/>
  <c r="C285" i="7"/>
  <c r="E285" i="7" s="1"/>
  <c r="A285" i="7"/>
  <c r="K284" i="7"/>
  <c r="D284" i="7"/>
  <c r="C284" i="7"/>
  <c r="E284" i="7" s="1"/>
  <c r="A284" i="7"/>
  <c r="K283" i="7"/>
  <c r="D283" i="7"/>
  <c r="C283" i="7"/>
  <c r="E283" i="7" s="1"/>
  <c r="A283" i="7"/>
  <c r="K282" i="7"/>
  <c r="D282" i="7"/>
  <c r="C282" i="7"/>
  <c r="E282" i="7" s="1"/>
  <c r="A282" i="7"/>
  <c r="K281" i="7"/>
  <c r="D281" i="7"/>
  <c r="C281" i="7"/>
  <c r="E281" i="7" s="1"/>
  <c r="A281" i="7"/>
  <c r="K280" i="7"/>
  <c r="D280" i="7"/>
  <c r="C280" i="7"/>
  <c r="E280" i="7" s="1"/>
  <c r="A280" i="7"/>
  <c r="K279" i="7"/>
  <c r="D279" i="7"/>
  <c r="C279" i="7"/>
  <c r="E279" i="7" s="1"/>
  <c r="A279" i="7"/>
  <c r="K278" i="7"/>
  <c r="D278" i="7"/>
  <c r="C278" i="7"/>
  <c r="E278" i="7" s="1"/>
  <c r="A278" i="7"/>
  <c r="K277" i="7"/>
  <c r="D277" i="7"/>
  <c r="C277" i="7"/>
  <c r="E277" i="7" s="1"/>
  <c r="A277" i="7"/>
  <c r="K276" i="7"/>
  <c r="D276" i="7"/>
  <c r="C276" i="7"/>
  <c r="E276" i="7" s="1"/>
  <c r="A276" i="7"/>
  <c r="K275" i="7"/>
  <c r="D275" i="7"/>
  <c r="C275" i="7"/>
  <c r="E275" i="7" s="1"/>
  <c r="A275" i="7"/>
  <c r="K274" i="7"/>
  <c r="D274" i="7"/>
  <c r="C274" i="7"/>
  <c r="E274" i="7" s="1"/>
  <c r="A274" i="7"/>
  <c r="K273" i="7"/>
  <c r="D273" i="7"/>
  <c r="C273" i="7"/>
  <c r="E273" i="7" s="1"/>
  <c r="A273" i="7"/>
  <c r="K272" i="7"/>
  <c r="D272" i="7"/>
  <c r="C272" i="7"/>
  <c r="E272" i="7" s="1"/>
  <c r="A272" i="7"/>
  <c r="K271" i="7"/>
  <c r="D271" i="7"/>
  <c r="C271" i="7"/>
  <c r="E271" i="7" s="1"/>
  <c r="A271" i="7"/>
  <c r="K270" i="7"/>
  <c r="D270" i="7"/>
  <c r="C270" i="7"/>
  <c r="E270" i="7" s="1"/>
  <c r="A270" i="7"/>
  <c r="K269" i="7"/>
  <c r="D269" i="7"/>
  <c r="C269" i="7"/>
  <c r="E269" i="7" s="1"/>
  <c r="A269" i="7"/>
  <c r="K268" i="7"/>
  <c r="D268" i="7"/>
  <c r="C268" i="7"/>
  <c r="E268" i="7" s="1"/>
  <c r="A268" i="7"/>
  <c r="K267" i="7"/>
  <c r="D267" i="7"/>
  <c r="C267" i="7"/>
  <c r="E267" i="7" s="1"/>
  <c r="A267" i="7"/>
  <c r="K266" i="7"/>
  <c r="D266" i="7"/>
  <c r="C266" i="7"/>
  <c r="E266" i="7" s="1"/>
  <c r="A266" i="7"/>
  <c r="K265" i="7"/>
  <c r="D265" i="7"/>
  <c r="C265" i="7"/>
  <c r="E265" i="7" s="1"/>
  <c r="A265" i="7"/>
  <c r="K264" i="7"/>
  <c r="D264" i="7"/>
  <c r="C264" i="7"/>
  <c r="E264" i="7" s="1"/>
  <c r="A264" i="7"/>
  <c r="K263" i="7"/>
  <c r="D263" i="7"/>
  <c r="C263" i="7"/>
  <c r="E263" i="7" s="1"/>
  <c r="A263" i="7"/>
  <c r="K262" i="7"/>
  <c r="D262" i="7"/>
  <c r="C262" i="7"/>
  <c r="E262" i="7" s="1"/>
  <c r="A262" i="7"/>
  <c r="K261" i="7"/>
  <c r="D261" i="7"/>
  <c r="C261" i="7"/>
  <c r="E261" i="7" s="1"/>
  <c r="A261" i="7"/>
  <c r="K260" i="7"/>
  <c r="D260" i="7"/>
  <c r="C260" i="7"/>
  <c r="E260" i="7" s="1"/>
  <c r="A260" i="7"/>
  <c r="K259" i="7"/>
  <c r="D259" i="7"/>
  <c r="C259" i="7"/>
  <c r="E259" i="7" s="1"/>
  <c r="A259" i="7"/>
  <c r="K258" i="7"/>
  <c r="D258" i="7"/>
  <c r="C258" i="7"/>
  <c r="E258" i="7" s="1"/>
  <c r="A258" i="7"/>
  <c r="K257" i="7"/>
  <c r="D257" i="7"/>
  <c r="C257" i="7"/>
  <c r="E257" i="7" s="1"/>
  <c r="A257" i="7"/>
  <c r="K256" i="7"/>
  <c r="D256" i="7"/>
  <c r="C256" i="7"/>
  <c r="E256" i="7" s="1"/>
  <c r="A256" i="7"/>
  <c r="K255" i="7"/>
  <c r="D255" i="7"/>
  <c r="C255" i="7"/>
  <c r="E255" i="7" s="1"/>
  <c r="A255" i="7"/>
  <c r="K254" i="7"/>
  <c r="D254" i="7"/>
  <c r="C254" i="7"/>
  <c r="E254" i="7" s="1"/>
  <c r="A254" i="7"/>
  <c r="K253" i="7"/>
  <c r="D253" i="7"/>
  <c r="C253" i="7"/>
  <c r="E253" i="7" s="1"/>
  <c r="A253" i="7"/>
  <c r="K252" i="7"/>
  <c r="D252" i="7"/>
  <c r="C252" i="7"/>
  <c r="E252" i="7" s="1"/>
  <c r="A252" i="7"/>
  <c r="K251" i="7"/>
  <c r="D251" i="7"/>
  <c r="C251" i="7"/>
  <c r="E251" i="7" s="1"/>
  <c r="A251" i="7"/>
  <c r="K250" i="7"/>
  <c r="D250" i="7"/>
  <c r="C250" i="7"/>
  <c r="E250" i="7" s="1"/>
  <c r="A250" i="7"/>
  <c r="K249" i="7"/>
  <c r="D249" i="7"/>
  <c r="C249" i="7"/>
  <c r="E249" i="7" s="1"/>
  <c r="A249" i="7"/>
  <c r="K248" i="7"/>
  <c r="D248" i="7"/>
  <c r="C248" i="7"/>
  <c r="E248" i="7" s="1"/>
  <c r="A248" i="7"/>
  <c r="K247" i="7"/>
  <c r="D247" i="7"/>
  <c r="C247" i="7"/>
  <c r="E247" i="7" s="1"/>
  <c r="A247" i="7"/>
  <c r="K246" i="7"/>
  <c r="D246" i="7"/>
  <c r="C246" i="7"/>
  <c r="E246" i="7" s="1"/>
  <c r="A246" i="7"/>
  <c r="K245" i="7"/>
  <c r="D245" i="7"/>
  <c r="C245" i="7"/>
  <c r="E245" i="7" s="1"/>
  <c r="A245" i="7"/>
  <c r="K244" i="7"/>
  <c r="D244" i="7"/>
  <c r="C244" i="7"/>
  <c r="E244" i="7" s="1"/>
  <c r="A244" i="7"/>
  <c r="K243" i="7"/>
  <c r="D243" i="7"/>
  <c r="C243" i="7"/>
  <c r="E243" i="7" s="1"/>
  <c r="A243" i="7"/>
  <c r="K242" i="7"/>
  <c r="D242" i="7"/>
  <c r="C242" i="7"/>
  <c r="E242" i="7" s="1"/>
  <c r="A242" i="7"/>
  <c r="K241" i="7"/>
  <c r="D241" i="7"/>
  <c r="C241" i="7"/>
  <c r="E241" i="7" s="1"/>
  <c r="A241" i="7"/>
  <c r="K240" i="7"/>
  <c r="D240" i="7"/>
  <c r="C240" i="7"/>
  <c r="E240" i="7" s="1"/>
  <c r="A240" i="7"/>
  <c r="K239" i="7"/>
  <c r="D239" i="7"/>
  <c r="C239" i="7"/>
  <c r="E239" i="7" s="1"/>
  <c r="A239" i="7"/>
  <c r="K238" i="7"/>
  <c r="D238" i="7"/>
  <c r="C238" i="7"/>
  <c r="E238" i="7" s="1"/>
  <c r="A238" i="7"/>
  <c r="K237" i="7"/>
  <c r="D237" i="7"/>
  <c r="C237" i="7"/>
  <c r="E237" i="7" s="1"/>
  <c r="A237" i="7"/>
  <c r="K236" i="7"/>
  <c r="D236" i="7"/>
  <c r="C236" i="7"/>
  <c r="E236" i="7" s="1"/>
  <c r="A236" i="7"/>
  <c r="K235" i="7"/>
  <c r="D235" i="7"/>
  <c r="C235" i="7"/>
  <c r="E235" i="7" s="1"/>
  <c r="A235" i="7"/>
  <c r="K234" i="7"/>
  <c r="D234" i="7"/>
  <c r="C234" i="7"/>
  <c r="E234" i="7" s="1"/>
  <c r="A234" i="7"/>
  <c r="K233" i="7"/>
  <c r="D233" i="7"/>
  <c r="C233" i="7"/>
  <c r="E233" i="7" s="1"/>
  <c r="A233" i="7"/>
  <c r="K232" i="7"/>
  <c r="D232" i="7"/>
  <c r="C232" i="7"/>
  <c r="E232" i="7" s="1"/>
  <c r="A232" i="7"/>
  <c r="K231" i="7"/>
  <c r="D231" i="7"/>
  <c r="C231" i="7"/>
  <c r="E231" i="7" s="1"/>
  <c r="A231" i="7"/>
  <c r="K230" i="7"/>
  <c r="D230" i="7"/>
  <c r="C230" i="7"/>
  <c r="E230" i="7" s="1"/>
  <c r="A230" i="7"/>
  <c r="K229" i="7"/>
  <c r="D229" i="7"/>
  <c r="C229" i="7"/>
  <c r="E229" i="7" s="1"/>
  <c r="A229" i="7"/>
  <c r="K228" i="7"/>
  <c r="D228" i="7"/>
  <c r="C228" i="7"/>
  <c r="E228" i="7" s="1"/>
  <c r="A228" i="7"/>
  <c r="K227" i="7"/>
  <c r="D227" i="7"/>
  <c r="C227" i="7"/>
  <c r="E227" i="7" s="1"/>
  <c r="A227" i="7"/>
  <c r="K226" i="7"/>
  <c r="D226" i="7"/>
  <c r="C226" i="7"/>
  <c r="E226" i="7" s="1"/>
  <c r="A226" i="7"/>
  <c r="K225" i="7"/>
  <c r="D225" i="7"/>
  <c r="C225" i="7"/>
  <c r="E225" i="7" s="1"/>
  <c r="A225" i="7"/>
  <c r="K224" i="7"/>
  <c r="D224" i="7"/>
  <c r="C224" i="7"/>
  <c r="E224" i="7" s="1"/>
  <c r="A224" i="7"/>
  <c r="K223" i="7"/>
  <c r="D223" i="7"/>
  <c r="C223" i="7"/>
  <c r="E223" i="7" s="1"/>
  <c r="A223" i="7"/>
  <c r="K222" i="7"/>
  <c r="D222" i="7"/>
  <c r="C222" i="7"/>
  <c r="E222" i="7" s="1"/>
  <c r="A222" i="7"/>
  <c r="K221" i="7"/>
  <c r="D221" i="7"/>
  <c r="C221" i="7"/>
  <c r="E221" i="7" s="1"/>
  <c r="A221" i="7"/>
  <c r="K220" i="7"/>
  <c r="D220" i="7"/>
  <c r="C220" i="7"/>
  <c r="E220" i="7" s="1"/>
  <c r="A220" i="7"/>
  <c r="K219" i="7"/>
  <c r="D219" i="7"/>
  <c r="C219" i="7"/>
  <c r="E219" i="7" s="1"/>
  <c r="A219" i="7"/>
  <c r="K218" i="7"/>
  <c r="D218" i="7"/>
  <c r="C218" i="7"/>
  <c r="E218" i="7" s="1"/>
  <c r="A218" i="7"/>
  <c r="K217" i="7"/>
  <c r="D217" i="7"/>
  <c r="C217" i="7"/>
  <c r="E217" i="7" s="1"/>
  <c r="A217" i="7"/>
  <c r="K216" i="7"/>
  <c r="D216" i="7"/>
  <c r="C216" i="7"/>
  <c r="E216" i="7" s="1"/>
  <c r="A216" i="7"/>
  <c r="K215" i="7"/>
  <c r="D215" i="7"/>
  <c r="C215" i="7"/>
  <c r="E215" i="7" s="1"/>
  <c r="A215" i="7"/>
  <c r="K214" i="7"/>
  <c r="D214" i="7"/>
  <c r="C214" i="7"/>
  <c r="E214" i="7" s="1"/>
  <c r="A214" i="7"/>
  <c r="K213" i="7"/>
  <c r="D213" i="7"/>
  <c r="C213" i="7"/>
  <c r="E213" i="7" s="1"/>
  <c r="A213" i="7"/>
  <c r="K212" i="7"/>
  <c r="D212" i="7"/>
  <c r="C212" i="7"/>
  <c r="E212" i="7" s="1"/>
  <c r="A212" i="7"/>
  <c r="K211" i="7"/>
  <c r="D211" i="7"/>
  <c r="C211" i="7"/>
  <c r="E211" i="7" s="1"/>
  <c r="A211" i="7"/>
  <c r="K210" i="7"/>
  <c r="D210" i="7"/>
  <c r="C210" i="7"/>
  <c r="E210" i="7" s="1"/>
  <c r="A210" i="7"/>
  <c r="K209" i="7"/>
  <c r="D209" i="7"/>
  <c r="C209" i="7"/>
  <c r="E209" i="7" s="1"/>
  <c r="A209" i="7"/>
  <c r="K208" i="7"/>
  <c r="D208" i="7"/>
  <c r="C208" i="7"/>
  <c r="E208" i="7" s="1"/>
  <c r="A208" i="7"/>
  <c r="K207" i="7"/>
  <c r="D207" i="7"/>
  <c r="C207" i="7"/>
  <c r="E207" i="7" s="1"/>
  <c r="A207" i="7"/>
  <c r="K206" i="7"/>
  <c r="D206" i="7"/>
  <c r="C206" i="7"/>
  <c r="E206" i="7" s="1"/>
  <c r="A206" i="7"/>
  <c r="K205" i="7"/>
  <c r="D205" i="7"/>
  <c r="C205" i="7"/>
  <c r="E205" i="7" s="1"/>
  <c r="A205" i="7"/>
  <c r="K204" i="7"/>
  <c r="D204" i="7"/>
  <c r="C204" i="7"/>
  <c r="E204" i="7" s="1"/>
  <c r="A204" i="7"/>
  <c r="K203" i="7"/>
  <c r="D203" i="7"/>
  <c r="C203" i="7"/>
  <c r="E203" i="7" s="1"/>
  <c r="A203" i="7"/>
  <c r="K202" i="7"/>
  <c r="D202" i="7"/>
  <c r="C202" i="7"/>
  <c r="E202" i="7" s="1"/>
  <c r="A202" i="7"/>
  <c r="K201" i="7"/>
  <c r="D201" i="7"/>
  <c r="C201" i="7"/>
  <c r="E201" i="7" s="1"/>
  <c r="A201" i="7"/>
  <c r="K200" i="7"/>
  <c r="D200" i="7"/>
  <c r="C200" i="7"/>
  <c r="E200" i="7" s="1"/>
  <c r="A200" i="7"/>
  <c r="K199" i="7"/>
  <c r="D199" i="7"/>
  <c r="C199" i="7"/>
  <c r="E199" i="7" s="1"/>
  <c r="A199" i="7"/>
  <c r="K198" i="7"/>
  <c r="D198" i="7"/>
  <c r="C198" i="7"/>
  <c r="E198" i="7" s="1"/>
  <c r="A198" i="7"/>
  <c r="K197" i="7"/>
  <c r="D197" i="7"/>
  <c r="C197" i="7"/>
  <c r="E197" i="7" s="1"/>
  <c r="A197" i="7"/>
  <c r="K196" i="7"/>
  <c r="D196" i="7"/>
  <c r="C196" i="7"/>
  <c r="E196" i="7" s="1"/>
  <c r="A196" i="7"/>
  <c r="K195" i="7"/>
  <c r="D195" i="7"/>
  <c r="C195" i="7"/>
  <c r="E195" i="7" s="1"/>
  <c r="A195" i="7"/>
  <c r="K194" i="7"/>
  <c r="D194" i="7"/>
  <c r="C194" i="7"/>
  <c r="E194" i="7" s="1"/>
  <c r="A194" i="7"/>
  <c r="K193" i="7"/>
  <c r="D193" i="7"/>
  <c r="C193" i="7"/>
  <c r="E193" i="7" s="1"/>
  <c r="A193" i="7"/>
  <c r="K192" i="7"/>
  <c r="D192" i="7"/>
  <c r="C192" i="7"/>
  <c r="E192" i="7" s="1"/>
  <c r="A192" i="7"/>
  <c r="K191" i="7"/>
  <c r="D191" i="7"/>
  <c r="C191" i="7"/>
  <c r="E191" i="7" s="1"/>
  <c r="A191" i="7"/>
  <c r="K190" i="7"/>
  <c r="D190" i="7"/>
  <c r="C190" i="7"/>
  <c r="E190" i="7" s="1"/>
  <c r="A190" i="7"/>
  <c r="K189" i="7"/>
  <c r="D189" i="7"/>
  <c r="C189" i="7"/>
  <c r="E189" i="7" s="1"/>
  <c r="A189" i="7"/>
  <c r="K188" i="7"/>
  <c r="D188" i="7"/>
  <c r="C188" i="7"/>
  <c r="E188" i="7" s="1"/>
  <c r="A188" i="7"/>
  <c r="K187" i="7"/>
  <c r="D187" i="7"/>
  <c r="C187" i="7"/>
  <c r="E187" i="7" s="1"/>
  <c r="A187" i="7"/>
  <c r="K186" i="7"/>
  <c r="D186" i="7"/>
  <c r="C186" i="7"/>
  <c r="E186" i="7" s="1"/>
  <c r="A186" i="7"/>
  <c r="K185" i="7"/>
  <c r="D185" i="7"/>
  <c r="C185" i="7"/>
  <c r="E185" i="7" s="1"/>
  <c r="A185" i="7"/>
  <c r="K184" i="7"/>
  <c r="D184" i="7"/>
  <c r="C184" i="7"/>
  <c r="E184" i="7" s="1"/>
  <c r="A184" i="7"/>
  <c r="K183" i="7"/>
  <c r="D183" i="7"/>
  <c r="C183" i="7"/>
  <c r="E183" i="7" s="1"/>
  <c r="A183" i="7"/>
  <c r="K182" i="7"/>
  <c r="D182" i="7"/>
  <c r="C182" i="7"/>
  <c r="E182" i="7" s="1"/>
  <c r="A182" i="7"/>
  <c r="K181" i="7"/>
  <c r="D181" i="7"/>
  <c r="C181" i="7"/>
  <c r="E181" i="7" s="1"/>
  <c r="A181" i="7"/>
  <c r="K180" i="7"/>
  <c r="D180" i="7"/>
  <c r="C180" i="7"/>
  <c r="E180" i="7" s="1"/>
  <c r="A180" i="7"/>
  <c r="K179" i="7"/>
  <c r="D179" i="7"/>
  <c r="C179" i="7"/>
  <c r="E179" i="7" s="1"/>
  <c r="A179" i="7"/>
  <c r="K178" i="7"/>
  <c r="D178" i="7"/>
  <c r="C178" i="7"/>
  <c r="E178" i="7" s="1"/>
  <c r="A178" i="7"/>
  <c r="K177" i="7"/>
  <c r="D177" i="7"/>
  <c r="C177" i="7"/>
  <c r="E177" i="7" s="1"/>
  <c r="A177" i="7"/>
  <c r="K176" i="7"/>
  <c r="D176" i="7"/>
  <c r="C176" i="7"/>
  <c r="E176" i="7" s="1"/>
  <c r="A176" i="7"/>
  <c r="K175" i="7"/>
  <c r="D175" i="7"/>
  <c r="C175" i="7"/>
  <c r="E175" i="7" s="1"/>
  <c r="A175" i="7"/>
  <c r="K174" i="7"/>
  <c r="D174" i="7"/>
  <c r="C174" i="7"/>
  <c r="E174" i="7" s="1"/>
  <c r="A174" i="7"/>
  <c r="K173" i="7"/>
  <c r="D173" i="7"/>
  <c r="C173" i="7"/>
  <c r="E173" i="7" s="1"/>
  <c r="A173" i="7"/>
  <c r="K172" i="7"/>
  <c r="D172" i="7"/>
  <c r="C172" i="7"/>
  <c r="E172" i="7" s="1"/>
  <c r="A172" i="7"/>
  <c r="K171" i="7"/>
  <c r="D171" i="7"/>
  <c r="C171" i="7"/>
  <c r="E171" i="7" s="1"/>
  <c r="A171" i="7"/>
  <c r="K170" i="7"/>
  <c r="D170" i="7"/>
  <c r="C170" i="7"/>
  <c r="E170" i="7" s="1"/>
  <c r="A170" i="7"/>
  <c r="K169" i="7"/>
  <c r="D169" i="7"/>
  <c r="C169" i="7"/>
  <c r="E169" i="7" s="1"/>
  <c r="A169" i="7"/>
  <c r="K168" i="7"/>
  <c r="D168" i="7"/>
  <c r="C168" i="7"/>
  <c r="E168" i="7" s="1"/>
  <c r="A168" i="7"/>
  <c r="K167" i="7"/>
  <c r="D167" i="7"/>
  <c r="C167" i="7"/>
  <c r="E167" i="7" s="1"/>
  <c r="A167" i="7"/>
  <c r="K166" i="7"/>
  <c r="D166" i="7"/>
  <c r="C166" i="7"/>
  <c r="E166" i="7" s="1"/>
  <c r="A166" i="7"/>
  <c r="K165" i="7"/>
  <c r="D165" i="7"/>
  <c r="C165" i="7"/>
  <c r="E165" i="7" s="1"/>
  <c r="A165" i="7"/>
  <c r="K164" i="7"/>
  <c r="D164" i="7"/>
  <c r="C164" i="7"/>
  <c r="E164" i="7" s="1"/>
  <c r="A164" i="7"/>
  <c r="K163" i="7"/>
  <c r="D163" i="7"/>
  <c r="C163" i="7"/>
  <c r="E163" i="7" s="1"/>
  <c r="A163" i="7"/>
  <c r="K162" i="7"/>
  <c r="D162" i="7"/>
  <c r="C162" i="7"/>
  <c r="E162" i="7" s="1"/>
  <c r="A162" i="7"/>
  <c r="K161" i="7"/>
  <c r="D161" i="7"/>
  <c r="C161" i="7"/>
  <c r="E161" i="7" s="1"/>
  <c r="A161" i="7"/>
  <c r="K160" i="7"/>
  <c r="D160" i="7"/>
  <c r="C160" i="7"/>
  <c r="E160" i="7" s="1"/>
  <c r="A160" i="7"/>
  <c r="K159" i="7"/>
  <c r="D159" i="7"/>
  <c r="C159" i="7"/>
  <c r="E159" i="7" s="1"/>
  <c r="A159" i="7"/>
  <c r="K158" i="7"/>
  <c r="D158" i="7"/>
  <c r="C158" i="7"/>
  <c r="E158" i="7" s="1"/>
  <c r="A158" i="7"/>
  <c r="K157" i="7"/>
  <c r="D157" i="7"/>
  <c r="C157" i="7"/>
  <c r="E157" i="7" s="1"/>
  <c r="A157" i="7"/>
  <c r="K156" i="7"/>
  <c r="D156" i="7"/>
  <c r="C156" i="7"/>
  <c r="E156" i="7" s="1"/>
  <c r="A156" i="7"/>
  <c r="K155" i="7"/>
  <c r="D155" i="7"/>
  <c r="C155" i="7"/>
  <c r="E155" i="7" s="1"/>
  <c r="A155" i="7"/>
  <c r="K154" i="7"/>
  <c r="D154" i="7"/>
  <c r="C154" i="7"/>
  <c r="E154" i="7" s="1"/>
  <c r="A154" i="7"/>
  <c r="K153" i="7"/>
  <c r="D153" i="7"/>
  <c r="C153" i="7"/>
  <c r="E153" i="7" s="1"/>
  <c r="A153" i="7"/>
  <c r="K152" i="7"/>
  <c r="D152" i="7"/>
  <c r="C152" i="7"/>
  <c r="E152" i="7" s="1"/>
  <c r="A152" i="7"/>
  <c r="K151" i="7"/>
  <c r="D151" i="7"/>
  <c r="C151" i="7"/>
  <c r="E151" i="7" s="1"/>
  <c r="A151" i="7"/>
  <c r="K150" i="7"/>
  <c r="D150" i="7"/>
  <c r="C150" i="7"/>
  <c r="E150" i="7" s="1"/>
  <c r="A150" i="7"/>
  <c r="K149" i="7"/>
  <c r="D149" i="7"/>
  <c r="C149" i="7"/>
  <c r="E149" i="7" s="1"/>
  <c r="A149" i="7"/>
  <c r="K148" i="7"/>
  <c r="D148" i="7"/>
  <c r="C148" i="7"/>
  <c r="E148" i="7" s="1"/>
  <c r="A148" i="7"/>
  <c r="K147" i="7"/>
  <c r="D147" i="7"/>
  <c r="C147" i="7"/>
  <c r="E147" i="7" s="1"/>
  <c r="A147" i="7"/>
  <c r="K146" i="7"/>
  <c r="D146" i="7"/>
  <c r="C146" i="7"/>
  <c r="E146" i="7" s="1"/>
  <c r="A146" i="7"/>
  <c r="K145" i="7"/>
  <c r="D145" i="7"/>
  <c r="C145" i="7"/>
  <c r="E145" i="7" s="1"/>
  <c r="A145" i="7"/>
  <c r="K144" i="7"/>
  <c r="D144" i="7"/>
  <c r="C144" i="7"/>
  <c r="E144" i="7" s="1"/>
  <c r="A144" i="7"/>
  <c r="K143" i="7"/>
  <c r="D143" i="7"/>
  <c r="C143" i="7"/>
  <c r="E143" i="7" s="1"/>
  <c r="A143" i="7"/>
  <c r="K142" i="7"/>
  <c r="D142" i="7"/>
  <c r="C142" i="7"/>
  <c r="E142" i="7" s="1"/>
  <c r="A142" i="7"/>
  <c r="K141" i="7"/>
  <c r="D141" i="7"/>
  <c r="C141" i="7"/>
  <c r="E141" i="7" s="1"/>
  <c r="A141" i="7"/>
  <c r="K140" i="7"/>
  <c r="D140" i="7"/>
  <c r="C140" i="7"/>
  <c r="E140" i="7" s="1"/>
  <c r="A140" i="7"/>
  <c r="K139" i="7"/>
  <c r="D139" i="7"/>
  <c r="C139" i="7"/>
  <c r="E139" i="7" s="1"/>
  <c r="A139" i="7"/>
  <c r="K138" i="7"/>
  <c r="D138" i="7"/>
  <c r="C138" i="7"/>
  <c r="E138" i="7" s="1"/>
  <c r="A138" i="7"/>
  <c r="K137" i="7"/>
  <c r="D137" i="7"/>
  <c r="C137" i="7"/>
  <c r="E137" i="7" s="1"/>
  <c r="A137" i="7"/>
  <c r="K136" i="7"/>
  <c r="D136" i="7"/>
  <c r="C136" i="7"/>
  <c r="E136" i="7" s="1"/>
  <c r="A136" i="7"/>
  <c r="K135" i="7"/>
  <c r="D135" i="7"/>
  <c r="C135" i="7"/>
  <c r="E135" i="7" s="1"/>
  <c r="A135" i="7"/>
  <c r="K134" i="7"/>
  <c r="D134" i="7"/>
  <c r="C134" i="7"/>
  <c r="E134" i="7" s="1"/>
  <c r="A134" i="7"/>
  <c r="K133" i="7"/>
  <c r="D133" i="7"/>
  <c r="C133" i="7"/>
  <c r="E133" i="7" s="1"/>
  <c r="A133" i="7"/>
  <c r="K132" i="7"/>
  <c r="D132" i="7"/>
  <c r="C132" i="7"/>
  <c r="E132" i="7" s="1"/>
  <c r="A132" i="7"/>
  <c r="K131" i="7"/>
  <c r="D131" i="7"/>
  <c r="C131" i="7"/>
  <c r="E131" i="7" s="1"/>
  <c r="A131" i="7"/>
  <c r="K130" i="7"/>
  <c r="D130" i="7"/>
  <c r="C130" i="7"/>
  <c r="E130" i="7" s="1"/>
  <c r="A130" i="7"/>
  <c r="K129" i="7"/>
  <c r="D129" i="7"/>
  <c r="C129" i="7"/>
  <c r="E129" i="7" s="1"/>
  <c r="A129" i="7"/>
  <c r="K128" i="7"/>
  <c r="D128" i="7"/>
  <c r="C128" i="7"/>
  <c r="E128" i="7" s="1"/>
  <c r="A128" i="7"/>
  <c r="K127" i="7"/>
  <c r="D127" i="7"/>
  <c r="C127" i="7"/>
  <c r="E127" i="7" s="1"/>
  <c r="A127" i="7"/>
  <c r="K126" i="7"/>
  <c r="D126" i="7"/>
  <c r="C126" i="7"/>
  <c r="E126" i="7" s="1"/>
  <c r="A126" i="7"/>
  <c r="K125" i="7"/>
  <c r="D125" i="7"/>
  <c r="C125" i="7"/>
  <c r="E125" i="7" s="1"/>
  <c r="A125" i="7"/>
  <c r="K124" i="7"/>
  <c r="D124" i="7"/>
  <c r="C124" i="7"/>
  <c r="E124" i="7" s="1"/>
  <c r="A124" i="7"/>
  <c r="K123" i="7"/>
  <c r="D123" i="7"/>
  <c r="C123" i="7"/>
  <c r="E123" i="7" s="1"/>
  <c r="A123" i="7"/>
  <c r="K122" i="7"/>
  <c r="D122" i="7"/>
  <c r="C122" i="7"/>
  <c r="E122" i="7" s="1"/>
  <c r="A122" i="7"/>
  <c r="K121" i="7"/>
  <c r="D121" i="7"/>
  <c r="C121" i="7"/>
  <c r="E121" i="7" s="1"/>
  <c r="A121" i="7"/>
  <c r="K120" i="7"/>
  <c r="D120" i="7"/>
  <c r="C120" i="7"/>
  <c r="E120" i="7" s="1"/>
  <c r="A120" i="7"/>
  <c r="K119" i="7"/>
  <c r="D119" i="7"/>
  <c r="C119" i="7"/>
  <c r="E119" i="7" s="1"/>
  <c r="A119" i="7"/>
  <c r="K118" i="7"/>
  <c r="D118" i="7"/>
  <c r="C118" i="7"/>
  <c r="E118" i="7" s="1"/>
  <c r="A118" i="7"/>
  <c r="K117" i="7"/>
  <c r="D117" i="7"/>
  <c r="C117" i="7"/>
  <c r="E117" i="7" s="1"/>
  <c r="A117" i="7"/>
  <c r="K116" i="7"/>
  <c r="D116" i="7"/>
  <c r="C116" i="7"/>
  <c r="E116" i="7" s="1"/>
  <c r="A116" i="7"/>
  <c r="K115" i="7"/>
  <c r="D115" i="7"/>
  <c r="C115" i="7"/>
  <c r="E115" i="7" s="1"/>
  <c r="A115" i="7"/>
  <c r="K114" i="7"/>
  <c r="D114" i="7"/>
  <c r="C114" i="7"/>
  <c r="E114" i="7" s="1"/>
  <c r="A114" i="7"/>
  <c r="K113" i="7"/>
  <c r="D113" i="7"/>
  <c r="C113" i="7"/>
  <c r="E113" i="7" s="1"/>
  <c r="A113" i="7"/>
  <c r="K112" i="7"/>
  <c r="D112" i="7"/>
  <c r="C112" i="7"/>
  <c r="E112" i="7" s="1"/>
  <c r="A112" i="7"/>
  <c r="K111" i="7"/>
  <c r="D111" i="7"/>
  <c r="C111" i="7"/>
  <c r="E111" i="7" s="1"/>
  <c r="A111" i="7"/>
  <c r="K110" i="7"/>
  <c r="D110" i="7"/>
  <c r="C110" i="7"/>
  <c r="E110" i="7" s="1"/>
  <c r="A110" i="7"/>
  <c r="K109" i="7"/>
  <c r="D109" i="7"/>
  <c r="C109" i="7"/>
  <c r="E109" i="7" s="1"/>
  <c r="A109" i="7"/>
  <c r="K108" i="7"/>
  <c r="D108" i="7"/>
  <c r="C108" i="7"/>
  <c r="E108" i="7" s="1"/>
  <c r="A108" i="7"/>
  <c r="K107" i="7"/>
  <c r="D107" i="7"/>
  <c r="C107" i="7"/>
  <c r="E107" i="7" s="1"/>
  <c r="A107" i="7"/>
  <c r="K106" i="7"/>
  <c r="D106" i="7"/>
  <c r="C106" i="7"/>
  <c r="E106" i="7" s="1"/>
  <c r="A106" i="7"/>
  <c r="K105" i="7"/>
  <c r="D105" i="7"/>
  <c r="C105" i="7"/>
  <c r="E105" i="7" s="1"/>
  <c r="A105" i="7"/>
  <c r="K104" i="7"/>
  <c r="D104" i="7"/>
  <c r="C104" i="7"/>
  <c r="E104" i="7" s="1"/>
  <c r="A104" i="7"/>
  <c r="K103" i="7"/>
  <c r="D103" i="7"/>
  <c r="C103" i="7"/>
  <c r="E103" i="7" s="1"/>
  <c r="A103" i="7"/>
  <c r="K102" i="7"/>
  <c r="D102" i="7"/>
  <c r="C102" i="7"/>
  <c r="E102" i="7" s="1"/>
  <c r="A102" i="7"/>
  <c r="K101" i="7"/>
  <c r="D101" i="7"/>
  <c r="C101" i="7"/>
  <c r="E101" i="7" s="1"/>
  <c r="A101" i="7"/>
  <c r="K100" i="7"/>
  <c r="D100" i="7"/>
  <c r="C100" i="7"/>
  <c r="E100" i="7" s="1"/>
  <c r="A100" i="7"/>
  <c r="K99" i="7"/>
  <c r="D99" i="7"/>
  <c r="C99" i="7"/>
  <c r="E99" i="7" s="1"/>
  <c r="A99" i="7"/>
  <c r="K98" i="7"/>
  <c r="D98" i="7"/>
  <c r="C98" i="7"/>
  <c r="E98" i="7" s="1"/>
  <c r="A98" i="7"/>
  <c r="K97" i="7"/>
  <c r="D97" i="7"/>
  <c r="C97" i="7"/>
  <c r="E97" i="7" s="1"/>
  <c r="A97" i="7"/>
  <c r="K96" i="7"/>
  <c r="D96" i="7"/>
  <c r="C96" i="7"/>
  <c r="E96" i="7" s="1"/>
  <c r="A96" i="7"/>
  <c r="K95" i="7"/>
  <c r="D95" i="7"/>
  <c r="C95" i="7"/>
  <c r="E95" i="7" s="1"/>
  <c r="A95" i="7"/>
  <c r="K94" i="7"/>
  <c r="D94" i="7"/>
  <c r="C94" i="7"/>
  <c r="E94" i="7" s="1"/>
  <c r="A94" i="7"/>
  <c r="K93" i="7"/>
  <c r="D93" i="7"/>
  <c r="C93" i="7"/>
  <c r="E93" i="7" s="1"/>
  <c r="A93" i="7"/>
  <c r="K92" i="7"/>
  <c r="D92" i="7"/>
  <c r="C92" i="7"/>
  <c r="E92" i="7" s="1"/>
  <c r="A92" i="7"/>
  <c r="K91" i="7"/>
  <c r="D91" i="7"/>
  <c r="C91" i="7"/>
  <c r="E91" i="7" s="1"/>
  <c r="A91" i="7"/>
  <c r="K90" i="7"/>
  <c r="D90" i="7"/>
  <c r="C90" i="7"/>
  <c r="E90" i="7" s="1"/>
  <c r="A90" i="7"/>
  <c r="K89" i="7"/>
  <c r="D89" i="7"/>
  <c r="C89" i="7"/>
  <c r="E89" i="7" s="1"/>
  <c r="A89" i="7"/>
  <c r="K88" i="7"/>
  <c r="D88" i="7"/>
  <c r="C88" i="7"/>
  <c r="E88" i="7" s="1"/>
  <c r="A88" i="7"/>
  <c r="K87" i="7"/>
  <c r="D87" i="7"/>
  <c r="C87" i="7"/>
  <c r="E87" i="7" s="1"/>
  <c r="A87" i="7"/>
  <c r="K86" i="7"/>
  <c r="D86" i="7"/>
  <c r="C86" i="7"/>
  <c r="E86" i="7" s="1"/>
  <c r="A86" i="7"/>
  <c r="K85" i="7"/>
  <c r="D85" i="7"/>
  <c r="C85" i="7"/>
  <c r="E85" i="7" s="1"/>
  <c r="A85" i="7"/>
  <c r="K84" i="7"/>
  <c r="D84" i="7"/>
  <c r="C84" i="7"/>
  <c r="E84" i="7" s="1"/>
  <c r="A84" i="7"/>
  <c r="K83" i="7"/>
  <c r="D83" i="7"/>
  <c r="C83" i="7"/>
  <c r="E83" i="7" s="1"/>
  <c r="A83" i="7"/>
  <c r="K82" i="7"/>
  <c r="D82" i="7"/>
  <c r="C82" i="7"/>
  <c r="E82" i="7" s="1"/>
  <c r="A82" i="7"/>
  <c r="K81" i="7"/>
  <c r="D81" i="7"/>
  <c r="C81" i="7"/>
  <c r="E81" i="7" s="1"/>
  <c r="A81" i="7"/>
  <c r="K80" i="7"/>
  <c r="D80" i="7"/>
  <c r="C80" i="7"/>
  <c r="E80" i="7" s="1"/>
  <c r="A80" i="7"/>
  <c r="K79" i="7"/>
  <c r="D79" i="7"/>
  <c r="C79" i="7"/>
  <c r="E79" i="7" s="1"/>
  <c r="A79" i="7"/>
  <c r="K78" i="7"/>
  <c r="D78" i="7"/>
  <c r="C78" i="7"/>
  <c r="E78" i="7" s="1"/>
  <c r="A78" i="7"/>
  <c r="K77" i="7"/>
  <c r="D77" i="7"/>
  <c r="C77" i="7"/>
  <c r="E77" i="7" s="1"/>
  <c r="A77" i="7"/>
  <c r="K76" i="7"/>
  <c r="D76" i="7"/>
  <c r="C76" i="7"/>
  <c r="E76" i="7" s="1"/>
  <c r="A76" i="7"/>
  <c r="K75" i="7"/>
  <c r="D75" i="7"/>
  <c r="C75" i="7"/>
  <c r="E75" i="7" s="1"/>
  <c r="A75" i="7"/>
  <c r="K74" i="7"/>
  <c r="D74" i="7"/>
  <c r="C74" i="7"/>
  <c r="E74" i="7" s="1"/>
  <c r="A74" i="7"/>
  <c r="K73" i="7"/>
  <c r="D73" i="7"/>
  <c r="C73" i="7"/>
  <c r="E73" i="7" s="1"/>
  <c r="A73" i="7"/>
  <c r="K72" i="7"/>
  <c r="D72" i="7"/>
  <c r="C72" i="7"/>
  <c r="E72" i="7" s="1"/>
  <c r="A72" i="7"/>
  <c r="K71" i="7"/>
  <c r="D71" i="7"/>
  <c r="C71" i="7"/>
  <c r="E71" i="7" s="1"/>
  <c r="A71" i="7"/>
  <c r="K70" i="7"/>
  <c r="D70" i="7"/>
  <c r="C70" i="7"/>
  <c r="E70" i="7" s="1"/>
  <c r="A70" i="7"/>
  <c r="K69" i="7"/>
  <c r="D69" i="7"/>
  <c r="C69" i="7"/>
  <c r="E69" i="7" s="1"/>
  <c r="A69" i="7"/>
  <c r="K68" i="7"/>
  <c r="D68" i="7"/>
  <c r="C68" i="7"/>
  <c r="E68" i="7" s="1"/>
  <c r="A68" i="7"/>
  <c r="K67" i="7"/>
  <c r="D67" i="7"/>
  <c r="C67" i="7"/>
  <c r="E67" i="7" s="1"/>
  <c r="A67" i="7"/>
  <c r="K66" i="7"/>
  <c r="D66" i="7"/>
  <c r="C66" i="7"/>
  <c r="E66" i="7" s="1"/>
  <c r="A66" i="7"/>
  <c r="K65" i="7"/>
  <c r="D65" i="7"/>
  <c r="C65" i="7"/>
  <c r="E65" i="7" s="1"/>
  <c r="A65" i="7"/>
  <c r="K64" i="7"/>
  <c r="D64" i="7"/>
  <c r="C64" i="7"/>
  <c r="E64" i="7" s="1"/>
  <c r="A64" i="7"/>
  <c r="K63" i="7"/>
  <c r="D63" i="7"/>
  <c r="C63" i="7"/>
  <c r="E63" i="7" s="1"/>
  <c r="A63" i="7"/>
  <c r="K62" i="7"/>
  <c r="D62" i="7"/>
  <c r="C62" i="7"/>
  <c r="E62" i="7" s="1"/>
  <c r="A62" i="7"/>
  <c r="K61" i="7"/>
  <c r="D61" i="7"/>
  <c r="C61" i="7"/>
  <c r="E61" i="7" s="1"/>
  <c r="A61" i="7"/>
  <c r="K60" i="7"/>
  <c r="D60" i="7"/>
  <c r="C60" i="7"/>
  <c r="E60" i="7" s="1"/>
  <c r="A60" i="7"/>
  <c r="K59" i="7"/>
  <c r="D59" i="7"/>
  <c r="C59" i="7"/>
  <c r="E59" i="7" s="1"/>
  <c r="A59" i="7"/>
  <c r="K58" i="7"/>
  <c r="D58" i="7"/>
  <c r="C58" i="7"/>
  <c r="E58" i="7" s="1"/>
  <c r="A58" i="7"/>
  <c r="K57" i="7"/>
  <c r="D57" i="7"/>
  <c r="C57" i="7"/>
  <c r="E57" i="7" s="1"/>
  <c r="A57" i="7"/>
  <c r="K56" i="7"/>
  <c r="D56" i="7"/>
  <c r="C56" i="7"/>
  <c r="E56" i="7" s="1"/>
  <c r="A56" i="7"/>
  <c r="K55" i="7"/>
  <c r="D55" i="7"/>
  <c r="C55" i="7"/>
  <c r="E55" i="7" s="1"/>
  <c r="A55" i="7"/>
  <c r="K54" i="7"/>
  <c r="D54" i="7"/>
  <c r="C54" i="7"/>
  <c r="E54" i="7" s="1"/>
  <c r="A54" i="7"/>
  <c r="K53" i="7"/>
  <c r="D53" i="7"/>
  <c r="C53" i="7"/>
  <c r="E53" i="7" s="1"/>
  <c r="A53" i="7"/>
  <c r="K52" i="7"/>
  <c r="D52" i="7"/>
  <c r="C52" i="7"/>
  <c r="E52" i="7" s="1"/>
  <c r="A52" i="7"/>
  <c r="K51" i="7"/>
  <c r="D51" i="7"/>
  <c r="C51" i="7"/>
  <c r="E51" i="7" s="1"/>
  <c r="A51" i="7"/>
  <c r="K50" i="7"/>
  <c r="D50" i="7"/>
  <c r="C50" i="7"/>
  <c r="E50" i="7" s="1"/>
  <c r="A50" i="7"/>
  <c r="K49" i="7"/>
  <c r="D49" i="7"/>
  <c r="C49" i="7"/>
  <c r="E49" i="7" s="1"/>
  <c r="A49" i="7"/>
  <c r="K48" i="7"/>
  <c r="D48" i="7"/>
  <c r="C48" i="7"/>
  <c r="E48" i="7" s="1"/>
  <c r="A48" i="7"/>
  <c r="K47" i="7"/>
  <c r="D47" i="7"/>
  <c r="C47" i="7"/>
  <c r="E47" i="7" s="1"/>
  <c r="A47" i="7"/>
  <c r="K46" i="7"/>
  <c r="D46" i="7"/>
  <c r="C46" i="7"/>
  <c r="E46" i="7" s="1"/>
  <c r="A46" i="7"/>
  <c r="K45" i="7"/>
  <c r="D45" i="7"/>
  <c r="C45" i="7"/>
  <c r="E45" i="7" s="1"/>
  <c r="A45" i="7"/>
  <c r="K44" i="7"/>
  <c r="D44" i="7"/>
  <c r="C44" i="7"/>
  <c r="E44" i="7" s="1"/>
  <c r="A44" i="7"/>
  <c r="K43" i="7"/>
  <c r="D43" i="7"/>
  <c r="C43" i="7"/>
  <c r="E43" i="7" s="1"/>
  <c r="A43" i="7"/>
  <c r="K42" i="7"/>
  <c r="D42" i="7"/>
  <c r="C42" i="7"/>
  <c r="E42" i="7" s="1"/>
  <c r="A42" i="7"/>
  <c r="K41" i="7"/>
  <c r="D41" i="7"/>
  <c r="C41" i="7"/>
  <c r="E41" i="7" s="1"/>
  <c r="A41" i="7"/>
  <c r="K40" i="7"/>
  <c r="D40" i="7"/>
  <c r="C40" i="7"/>
  <c r="E40" i="7" s="1"/>
  <c r="A40" i="7"/>
  <c r="K39" i="7"/>
  <c r="D39" i="7"/>
  <c r="C39" i="7"/>
  <c r="E39" i="7" s="1"/>
  <c r="A39" i="7"/>
  <c r="K38" i="7"/>
  <c r="D38" i="7"/>
  <c r="C38" i="7"/>
  <c r="E38" i="7" s="1"/>
  <c r="A38" i="7"/>
  <c r="K37" i="7"/>
  <c r="D37" i="7"/>
  <c r="C37" i="7"/>
  <c r="E37" i="7" s="1"/>
  <c r="A37" i="7"/>
  <c r="K36" i="7"/>
  <c r="D36" i="7"/>
  <c r="C36" i="7"/>
  <c r="E36" i="7" s="1"/>
  <c r="A36" i="7"/>
  <c r="K35" i="7"/>
  <c r="D35" i="7"/>
  <c r="C35" i="7"/>
  <c r="E35" i="7" s="1"/>
  <c r="A35" i="7"/>
  <c r="K34" i="7"/>
  <c r="D34" i="7"/>
  <c r="C34" i="7"/>
  <c r="E34" i="7" s="1"/>
  <c r="A34" i="7"/>
  <c r="K33" i="7"/>
  <c r="D33" i="7"/>
  <c r="C33" i="7"/>
  <c r="E33" i="7" s="1"/>
  <c r="A33" i="7"/>
  <c r="K32" i="7"/>
  <c r="D32" i="7"/>
  <c r="C32" i="7"/>
  <c r="E32" i="7" s="1"/>
  <c r="A32" i="7"/>
  <c r="K31" i="7"/>
  <c r="D31" i="7"/>
  <c r="C31" i="7"/>
  <c r="E31" i="7" s="1"/>
  <c r="A31" i="7"/>
  <c r="K30" i="7"/>
  <c r="D30" i="7"/>
  <c r="C30" i="7"/>
  <c r="E30" i="7" s="1"/>
  <c r="A30" i="7"/>
  <c r="K29" i="7"/>
  <c r="D29" i="7"/>
  <c r="C29" i="7"/>
  <c r="E29" i="7" s="1"/>
  <c r="A29" i="7"/>
  <c r="K28" i="7"/>
  <c r="D28" i="7"/>
  <c r="C28" i="7"/>
  <c r="E28" i="7" s="1"/>
  <c r="A28" i="7"/>
  <c r="K27" i="7"/>
  <c r="D27" i="7"/>
  <c r="C27" i="7"/>
  <c r="E27" i="7" s="1"/>
  <c r="A27" i="7"/>
  <c r="K26" i="7"/>
  <c r="D26" i="7"/>
  <c r="C26" i="7"/>
  <c r="E26" i="7" s="1"/>
  <c r="A26" i="7"/>
  <c r="K25" i="7"/>
  <c r="D25" i="7"/>
  <c r="C25" i="7"/>
  <c r="E25" i="7" s="1"/>
  <c r="A25" i="7"/>
  <c r="K24" i="7"/>
  <c r="D24" i="7"/>
  <c r="C24" i="7"/>
  <c r="E24" i="7" s="1"/>
  <c r="A24" i="7"/>
  <c r="K23" i="7"/>
  <c r="D23" i="7"/>
  <c r="C23" i="7"/>
  <c r="E23" i="7" s="1"/>
  <c r="A23" i="7"/>
  <c r="K22" i="7"/>
  <c r="D22" i="7"/>
  <c r="C22" i="7"/>
  <c r="E22" i="7" s="1"/>
  <c r="A22" i="7"/>
  <c r="K21" i="7"/>
  <c r="D21" i="7"/>
  <c r="C21" i="7"/>
  <c r="E21" i="7" s="1"/>
  <c r="A21" i="7"/>
  <c r="K20" i="7"/>
  <c r="D20" i="7"/>
  <c r="C20" i="7"/>
  <c r="E20" i="7" s="1"/>
  <c r="A20" i="7"/>
  <c r="K19" i="7"/>
  <c r="D19" i="7"/>
  <c r="C19" i="7"/>
  <c r="E19" i="7" s="1"/>
  <c r="A19" i="7"/>
  <c r="K18" i="7"/>
  <c r="D18" i="7"/>
  <c r="C18" i="7"/>
  <c r="E18" i="7" s="1"/>
  <c r="A18" i="7"/>
  <c r="K17" i="7"/>
  <c r="D17" i="7"/>
  <c r="C17" i="7"/>
  <c r="E17" i="7" s="1"/>
  <c r="A17" i="7"/>
  <c r="K16" i="7"/>
  <c r="D16" i="7"/>
  <c r="C16" i="7"/>
  <c r="E16" i="7" s="1"/>
  <c r="A16" i="7"/>
  <c r="K15" i="7"/>
  <c r="D15" i="7"/>
  <c r="C15" i="7"/>
  <c r="E15" i="7" s="1"/>
  <c r="A15" i="7"/>
  <c r="K14" i="7"/>
  <c r="D14" i="7"/>
  <c r="C14" i="7"/>
  <c r="E14" i="7" s="1"/>
  <c r="A14" i="7"/>
  <c r="K13" i="7"/>
  <c r="D13" i="7"/>
  <c r="C13" i="7"/>
  <c r="E13" i="7" s="1"/>
  <c r="A13" i="7"/>
  <c r="K12" i="7"/>
  <c r="D12" i="7"/>
  <c r="C12" i="7"/>
  <c r="E12" i="7" s="1"/>
  <c r="A12" i="7"/>
  <c r="K11" i="7"/>
  <c r="D9" i="6" s="1"/>
  <c r="D11" i="7"/>
  <c r="C11" i="7"/>
  <c r="E11" i="7" s="1"/>
  <c r="A11" i="7"/>
  <c r="K10" i="7"/>
  <c r="D10" i="7"/>
  <c r="C10" i="7"/>
  <c r="E10" i="7" s="1"/>
  <c r="A10" i="7"/>
  <c r="K9" i="7"/>
  <c r="D9" i="7"/>
  <c r="C9" i="7"/>
  <c r="E9" i="7" s="1"/>
  <c r="A9" i="7"/>
  <c r="K8" i="7"/>
  <c r="D8" i="7"/>
  <c r="C8" i="7"/>
  <c r="E8" i="7" s="1"/>
  <c r="A8" i="7"/>
  <c r="K7" i="7"/>
  <c r="D7" i="7"/>
  <c r="C7" i="7"/>
  <c r="E7" i="7" s="1"/>
  <c r="A7" i="7"/>
  <c r="K6" i="7"/>
  <c r="D6" i="7"/>
  <c r="C6" i="7"/>
  <c r="E6" i="7" s="1"/>
  <c r="A6" i="7"/>
  <c r="K5" i="7"/>
  <c r="D5" i="7"/>
  <c r="C5" i="7"/>
  <c r="E5" i="7" s="1"/>
  <c r="A5" i="7"/>
  <c r="T3" i="7"/>
  <c r="R3" i="7"/>
  <c r="H18" i="6"/>
  <c r="E18" i="6"/>
  <c r="I2" i="6"/>
  <c r="H2" i="6"/>
  <c r="G2" i="6"/>
  <c r="F2" i="6"/>
  <c r="E2" i="6"/>
  <c r="D2" i="6"/>
  <c r="L999" i="5"/>
  <c r="D999" i="5"/>
  <c r="C999" i="5"/>
  <c r="B999" i="5"/>
  <c r="A999" i="5"/>
  <c r="L998" i="5"/>
  <c r="E998" i="5"/>
  <c r="D998" i="5"/>
  <c r="C998" i="5"/>
  <c r="B998" i="5"/>
  <c r="A998" i="5"/>
  <c r="F998" i="5" s="1"/>
  <c r="L997" i="5"/>
  <c r="D997" i="5"/>
  <c r="C997" i="5"/>
  <c r="B997" i="5"/>
  <c r="A997" i="5"/>
  <c r="E997" i="5" s="1"/>
  <c r="L996" i="5"/>
  <c r="D996" i="5"/>
  <c r="C996" i="5"/>
  <c r="B996" i="5"/>
  <c r="A996" i="5"/>
  <c r="L995" i="5"/>
  <c r="D995" i="5"/>
  <c r="C995" i="5"/>
  <c r="B995" i="5"/>
  <c r="A995" i="5"/>
  <c r="E995" i="5" s="1"/>
  <c r="L994" i="5"/>
  <c r="D994" i="5"/>
  <c r="C994" i="5"/>
  <c r="B994" i="5"/>
  <c r="A994" i="5"/>
  <c r="L993" i="5"/>
  <c r="D993" i="5"/>
  <c r="C993" i="5"/>
  <c r="B993" i="5"/>
  <c r="A993" i="5"/>
  <c r="L992" i="5"/>
  <c r="D992" i="5"/>
  <c r="C992" i="5"/>
  <c r="B992" i="5"/>
  <c r="A992" i="5"/>
  <c r="F992" i="5" s="1"/>
  <c r="L991" i="5"/>
  <c r="D991" i="5"/>
  <c r="C991" i="5"/>
  <c r="B991" i="5"/>
  <c r="A991" i="5"/>
  <c r="F991" i="5" s="1"/>
  <c r="L990" i="5"/>
  <c r="D990" i="5"/>
  <c r="C990" i="5"/>
  <c r="B990" i="5"/>
  <c r="A990" i="5"/>
  <c r="F990" i="5" s="1"/>
  <c r="L989" i="5"/>
  <c r="D989" i="5"/>
  <c r="C989" i="5"/>
  <c r="B989" i="5"/>
  <c r="A989" i="5"/>
  <c r="F989" i="5" s="1"/>
  <c r="L988" i="5"/>
  <c r="D988" i="5"/>
  <c r="C988" i="5"/>
  <c r="B988" i="5"/>
  <c r="A988" i="5"/>
  <c r="E988" i="5" s="1"/>
  <c r="L987" i="5"/>
  <c r="D987" i="5"/>
  <c r="C987" i="5"/>
  <c r="B987" i="5"/>
  <c r="A987" i="5"/>
  <c r="L986" i="5"/>
  <c r="D986" i="5"/>
  <c r="C986" i="5"/>
  <c r="B986" i="5"/>
  <c r="A986" i="5"/>
  <c r="F986" i="5" s="1"/>
  <c r="L985" i="5"/>
  <c r="D985" i="5"/>
  <c r="C985" i="5"/>
  <c r="B985" i="5"/>
  <c r="A985" i="5"/>
  <c r="L984" i="5"/>
  <c r="D984" i="5"/>
  <c r="C984" i="5"/>
  <c r="B984" i="5"/>
  <c r="A984" i="5"/>
  <c r="L983" i="5"/>
  <c r="D983" i="5"/>
  <c r="C983" i="5"/>
  <c r="B983" i="5"/>
  <c r="A983" i="5"/>
  <c r="L982" i="5"/>
  <c r="D982" i="5"/>
  <c r="C982" i="5"/>
  <c r="B982" i="5"/>
  <c r="A982" i="5"/>
  <c r="L981" i="5"/>
  <c r="D981" i="5"/>
  <c r="C981" i="5"/>
  <c r="B981" i="5"/>
  <c r="A981" i="5"/>
  <c r="L980" i="5"/>
  <c r="D980" i="5"/>
  <c r="C980" i="5"/>
  <c r="B980" i="5"/>
  <c r="A980" i="5"/>
  <c r="L979" i="5"/>
  <c r="D979" i="5"/>
  <c r="C979" i="5"/>
  <c r="B979" i="5"/>
  <c r="A979" i="5"/>
  <c r="L978" i="5"/>
  <c r="D978" i="5"/>
  <c r="C978" i="5"/>
  <c r="B978" i="5"/>
  <c r="A978" i="5"/>
  <c r="L977" i="5"/>
  <c r="D977" i="5"/>
  <c r="C977" i="5"/>
  <c r="B977" i="5"/>
  <c r="A977" i="5"/>
  <c r="L976" i="5"/>
  <c r="D976" i="5"/>
  <c r="C976" i="5"/>
  <c r="B976" i="5"/>
  <c r="A976" i="5"/>
  <c r="L975" i="5"/>
  <c r="D975" i="5"/>
  <c r="C975" i="5"/>
  <c r="B975" i="5"/>
  <c r="A975" i="5"/>
  <c r="F975" i="5" s="1"/>
  <c r="L974" i="5"/>
  <c r="D974" i="5"/>
  <c r="C974" i="5"/>
  <c r="B974" i="5"/>
  <c r="A974" i="5"/>
  <c r="F974" i="5" s="1"/>
  <c r="L973" i="5"/>
  <c r="D973" i="5"/>
  <c r="C973" i="5"/>
  <c r="B973" i="5"/>
  <c r="A973" i="5"/>
  <c r="L972" i="5"/>
  <c r="D972" i="5"/>
  <c r="C972" i="5"/>
  <c r="B972" i="5"/>
  <c r="A972" i="5"/>
  <c r="L971" i="5"/>
  <c r="D971" i="5"/>
  <c r="C971" i="5"/>
  <c r="B971" i="5"/>
  <c r="A971" i="5"/>
  <c r="L970" i="5"/>
  <c r="D970" i="5"/>
  <c r="C970" i="5"/>
  <c r="B970" i="5"/>
  <c r="A970" i="5"/>
  <c r="L969" i="5"/>
  <c r="D969" i="5"/>
  <c r="C969" i="5"/>
  <c r="B969" i="5"/>
  <c r="A969" i="5"/>
  <c r="L968" i="5"/>
  <c r="D968" i="5"/>
  <c r="C968" i="5"/>
  <c r="B968" i="5"/>
  <c r="A968" i="5"/>
  <c r="E968" i="5" s="1"/>
  <c r="L967" i="5"/>
  <c r="D967" i="5"/>
  <c r="C967" i="5"/>
  <c r="B967" i="5"/>
  <c r="A967" i="5"/>
  <c r="L966" i="5"/>
  <c r="D966" i="5"/>
  <c r="C966" i="5"/>
  <c r="B966" i="5"/>
  <c r="A966" i="5"/>
  <c r="L965" i="5"/>
  <c r="D965" i="5"/>
  <c r="C965" i="5"/>
  <c r="B965" i="5"/>
  <c r="A965" i="5"/>
  <c r="F965" i="5" s="1"/>
  <c r="L964" i="5"/>
  <c r="D964" i="5"/>
  <c r="C964" i="5"/>
  <c r="B964" i="5"/>
  <c r="A964" i="5"/>
  <c r="L963" i="5"/>
  <c r="D963" i="5"/>
  <c r="C963" i="5"/>
  <c r="B963" i="5"/>
  <c r="A963" i="5"/>
  <c r="L962" i="5"/>
  <c r="D962" i="5"/>
  <c r="C962" i="5"/>
  <c r="B962" i="5"/>
  <c r="A962" i="5"/>
  <c r="L961" i="5"/>
  <c r="D961" i="5"/>
  <c r="C961" i="5"/>
  <c r="B961" i="5"/>
  <c r="A961" i="5"/>
  <c r="E961" i="5" s="1"/>
  <c r="L960" i="5"/>
  <c r="D960" i="5"/>
  <c r="C960" i="5"/>
  <c r="B960" i="5"/>
  <c r="A960" i="5"/>
  <c r="L959" i="5"/>
  <c r="D959" i="5"/>
  <c r="C959" i="5"/>
  <c r="B959" i="5"/>
  <c r="A959" i="5"/>
  <c r="E959" i="5" s="1"/>
  <c r="L958" i="5"/>
  <c r="D958" i="5"/>
  <c r="C958" i="5"/>
  <c r="B958" i="5"/>
  <c r="A958" i="5"/>
  <c r="F958" i="5" s="1"/>
  <c r="L957" i="5"/>
  <c r="D957" i="5"/>
  <c r="C957" i="5"/>
  <c r="B957" i="5"/>
  <c r="A957" i="5"/>
  <c r="F957" i="5" s="1"/>
  <c r="L956" i="5"/>
  <c r="D956" i="5"/>
  <c r="C956" i="5"/>
  <c r="B956" i="5"/>
  <c r="A956" i="5"/>
  <c r="F956" i="5" s="1"/>
  <c r="L955" i="5"/>
  <c r="D955" i="5"/>
  <c r="C955" i="5"/>
  <c r="B955" i="5"/>
  <c r="A955" i="5"/>
  <c r="F955" i="5" s="1"/>
  <c r="L954" i="5"/>
  <c r="D954" i="5"/>
  <c r="C954" i="5"/>
  <c r="B954" i="5"/>
  <c r="A954" i="5"/>
  <c r="E954" i="5" s="1"/>
  <c r="L953" i="5"/>
  <c r="D953" i="5"/>
  <c r="C953" i="5"/>
  <c r="B953" i="5"/>
  <c r="A953" i="5"/>
  <c r="L952" i="5"/>
  <c r="D952" i="5"/>
  <c r="C952" i="5"/>
  <c r="B952" i="5"/>
  <c r="A952" i="5"/>
  <c r="L951" i="5"/>
  <c r="D951" i="5"/>
  <c r="C951" i="5"/>
  <c r="B951" i="5"/>
  <c r="A951" i="5"/>
  <c r="E951" i="5" s="1"/>
  <c r="L950" i="5"/>
  <c r="D950" i="5"/>
  <c r="C950" i="5"/>
  <c r="B950" i="5"/>
  <c r="A950" i="5"/>
  <c r="L949" i="5"/>
  <c r="D949" i="5"/>
  <c r="C949" i="5"/>
  <c r="B949" i="5"/>
  <c r="A949" i="5"/>
  <c r="L948" i="5"/>
  <c r="D948" i="5"/>
  <c r="C948" i="5"/>
  <c r="B948" i="5"/>
  <c r="A948" i="5"/>
  <c r="F948" i="5" s="1"/>
  <c r="L947" i="5"/>
  <c r="D947" i="5"/>
  <c r="C947" i="5"/>
  <c r="B947" i="5"/>
  <c r="A947" i="5"/>
  <c r="L946" i="5"/>
  <c r="D946" i="5"/>
  <c r="C946" i="5"/>
  <c r="B946" i="5"/>
  <c r="A946" i="5"/>
  <c r="F946" i="5" s="1"/>
  <c r="L945" i="5"/>
  <c r="D945" i="5"/>
  <c r="C945" i="5"/>
  <c r="B945" i="5"/>
  <c r="A945" i="5"/>
  <c r="L944" i="5"/>
  <c r="D944" i="5"/>
  <c r="C944" i="5"/>
  <c r="B944" i="5"/>
  <c r="A944" i="5"/>
  <c r="E944" i="5" s="1"/>
  <c r="L943" i="5"/>
  <c r="D943" i="5"/>
  <c r="C943" i="5"/>
  <c r="B943" i="5"/>
  <c r="A943" i="5"/>
  <c r="E943" i="5" s="1"/>
  <c r="L942" i="5"/>
  <c r="D942" i="5"/>
  <c r="C942" i="5"/>
  <c r="B942" i="5"/>
  <c r="A942" i="5"/>
  <c r="E942" i="5" s="1"/>
  <c r="L941" i="5"/>
  <c r="D941" i="5"/>
  <c r="C941" i="5"/>
  <c r="B941" i="5"/>
  <c r="A941" i="5"/>
  <c r="L940" i="5"/>
  <c r="D940" i="5"/>
  <c r="C940" i="5"/>
  <c r="B940" i="5"/>
  <c r="A940" i="5"/>
  <c r="E940" i="5" s="1"/>
  <c r="L939" i="5"/>
  <c r="D939" i="5"/>
  <c r="C939" i="5"/>
  <c r="B939" i="5"/>
  <c r="A939" i="5"/>
  <c r="F939" i="5" s="1"/>
  <c r="L938" i="5"/>
  <c r="D938" i="5"/>
  <c r="C938" i="5"/>
  <c r="B938" i="5"/>
  <c r="A938" i="5"/>
  <c r="L937" i="5"/>
  <c r="D937" i="5"/>
  <c r="C937" i="5"/>
  <c r="B937" i="5"/>
  <c r="A937" i="5"/>
  <c r="F937" i="5" s="1"/>
  <c r="L936" i="5"/>
  <c r="D936" i="5"/>
  <c r="C936" i="5"/>
  <c r="B936" i="5"/>
  <c r="A936" i="5"/>
  <c r="F936" i="5" s="1"/>
  <c r="L935" i="5"/>
  <c r="D935" i="5"/>
  <c r="C935" i="5"/>
  <c r="B935" i="5"/>
  <c r="A935" i="5"/>
  <c r="E935" i="5" s="1"/>
  <c r="L934" i="5"/>
  <c r="D934" i="5"/>
  <c r="C934" i="5"/>
  <c r="B934" i="5"/>
  <c r="A934" i="5"/>
  <c r="F934" i="5" s="1"/>
  <c r="L933" i="5"/>
  <c r="D933" i="5"/>
  <c r="C933" i="5"/>
  <c r="B933" i="5"/>
  <c r="A933" i="5"/>
  <c r="F933" i="5" s="1"/>
  <c r="L932" i="5"/>
  <c r="D932" i="5"/>
  <c r="C932" i="5"/>
  <c r="B932" i="5"/>
  <c r="A932" i="5"/>
  <c r="E932" i="5" s="1"/>
  <c r="L931" i="5"/>
  <c r="D931" i="5"/>
  <c r="C931" i="5"/>
  <c r="B931" i="5"/>
  <c r="A931" i="5"/>
  <c r="L930" i="5"/>
  <c r="D930" i="5"/>
  <c r="C930" i="5"/>
  <c r="B930" i="5"/>
  <c r="A930" i="5"/>
  <c r="F930" i="5" s="1"/>
  <c r="L929" i="5"/>
  <c r="D929" i="5"/>
  <c r="C929" i="5"/>
  <c r="B929" i="5"/>
  <c r="A929" i="5"/>
  <c r="L928" i="5"/>
  <c r="D928" i="5"/>
  <c r="C928" i="5"/>
  <c r="B928" i="5"/>
  <c r="A928" i="5"/>
  <c r="L927" i="5"/>
  <c r="D927" i="5"/>
  <c r="C927" i="5"/>
  <c r="B927" i="5"/>
  <c r="A927" i="5"/>
  <c r="L926" i="5"/>
  <c r="D926" i="5"/>
  <c r="C926" i="5"/>
  <c r="B926" i="5"/>
  <c r="A926" i="5"/>
  <c r="L925" i="5"/>
  <c r="D925" i="5"/>
  <c r="C925" i="5"/>
  <c r="B925" i="5"/>
  <c r="A925" i="5"/>
  <c r="L924" i="5"/>
  <c r="D924" i="5"/>
  <c r="C924" i="5"/>
  <c r="B924" i="5"/>
  <c r="A924" i="5"/>
  <c r="L923" i="5"/>
  <c r="D923" i="5"/>
  <c r="C923" i="5"/>
  <c r="B923" i="5"/>
  <c r="A923" i="5"/>
  <c r="L922" i="5"/>
  <c r="D922" i="5"/>
  <c r="C922" i="5"/>
  <c r="B922" i="5"/>
  <c r="A922" i="5"/>
  <c r="F922" i="5" s="1"/>
  <c r="L921" i="5"/>
  <c r="D921" i="5"/>
  <c r="C921" i="5"/>
  <c r="B921" i="5"/>
  <c r="A921" i="5"/>
  <c r="L920" i="5"/>
  <c r="D920" i="5"/>
  <c r="C920" i="5"/>
  <c r="B920" i="5"/>
  <c r="A920" i="5"/>
  <c r="L919" i="5"/>
  <c r="D919" i="5"/>
  <c r="C919" i="5"/>
  <c r="B919" i="5"/>
  <c r="A919" i="5"/>
  <c r="L918" i="5"/>
  <c r="D918" i="5"/>
  <c r="C918" i="5"/>
  <c r="B918" i="5"/>
  <c r="A918" i="5"/>
  <c r="L917" i="5"/>
  <c r="D917" i="5"/>
  <c r="C917" i="5"/>
  <c r="B917" i="5"/>
  <c r="A917" i="5"/>
  <c r="F917" i="5" s="1"/>
  <c r="L916" i="5"/>
  <c r="D916" i="5"/>
  <c r="C916" i="5"/>
  <c r="B916" i="5"/>
  <c r="A916" i="5"/>
  <c r="L915" i="5"/>
  <c r="D915" i="5"/>
  <c r="C915" i="5"/>
  <c r="B915" i="5"/>
  <c r="A915" i="5"/>
  <c r="E915" i="5" s="1"/>
  <c r="L914" i="5"/>
  <c r="D914" i="5"/>
  <c r="C914" i="5"/>
  <c r="B914" i="5"/>
  <c r="A914" i="5"/>
  <c r="L913" i="5"/>
  <c r="D913" i="5"/>
  <c r="C913" i="5"/>
  <c r="B913" i="5"/>
  <c r="A913" i="5"/>
  <c r="E913" i="5" s="1"/>
  <c r="L912" i="5"/>
  <c r="D912" i="5"/>
  <c r="C912" i="5"/>
  <c r="B912" i="5"/>
  <c r="A912" i="5"/>
  <c r="L911" i="5"/>
  <c r="D911" i="5"/>
  <c r="C911" i="5"/>
  <c r="B911" i="5"/>
  <c r="A911" i="5"/>
  <c r="E911" i="5" s="1"/>
  <c r="L910" i="5"/>
  <c r="D910" i="5"/>
  <c r="C910" i="5"/>
  <c r="B910" i="5"/>
  <c r="A910" i="5"/>
  <c r="L909" i="5"/>
  <c r="D909" i="5"/>
  <c r="C909" i="5"/>
  <c r="B909" i="5"/>
  <c r="A909" i="5"/>
  <c r="F909" i="5" s="1"/>
  <c r="L908" i="5"/>
  <c r="D908" i="5"/>
  <c r="C908" i="5"/>
  <c r="B908" i="5"/>
  <c r="A908" i="5"/>
  <c r="E908" i="5" s="1"/>
  <c r="L907" i="5"/>
  <c r="D907" i="5"/>
  <c r="C907" i="5"/>
  <c r="B907" i="5"/>
  <c r="A907" i="5"/>
  <c r="E907" i="5" s="1"/>
  <c r="L906" i="5"/>
  <c r="D906" i="5"/>
  <c r="C906" i="5"/>
  <c r="B906" i="5"/>
  <c r="A906" i="5"/>
  <c r="E906" i="5" s="1"/>
  <c r="L905" i="5"/>
  <c r="D905" i="5"/>
  <c r="C905" i="5"/>
  <c r="B905" i="5"/>
  <c r="A905" i="5"/>
  <c r="F905" i="5" s="1"/>
  <c r="L904" i="5"/>
  <c r="D904" i="5"/>
  <c r="C904" i="5"/>
  <c r="B904" i="5"/>
  <c r="A904" i="5"/>
  <c r="E904" i="5" s="1"/>
  <c r="L903" i="5"/>
  <c r="D903" i="5"/>
  <c r="C903" i="5"/>
  <c r="B903" i="5"/>
  <c r="A903" i="5"/>
  <c r="E903" i="5" s="1"/>
  <c r="L902" i="5"/>
  <c r="D902" i="5"/>
  <c r="C902" i="5"/>
  <c r="B902" i="5"/>
  <c r="A902" i="5"/>
  <c r="E902" i="5" s="1"/>
  <c r="L901" i="5"/>
  <c r="D901" i="5"/>
  <c r="C901" i="5"/>
  <c r="B901" i="5"/>
  <c r="A901" i="5"/>
  <c r="L900" i="5"/>
  <c r="D900" i="5"/>
  <c r="C900" i="5"/>
  <c r="B900" i="5"/>
  <c r="A900" i="5"/>
  <c r="E900" i="5" s="1"/>
  <c r="L899" i="5"/>
  <c r="D899" i="5"/>
  <c r="C899" i="5"/>
  <c r="B899" i="5"/>
  <c r="A899" i="5"/>
  <c r="E899" i="5" s="1"/>
  <c r="L898" i="5"/>
  <c r="D898" i="5"/>
  <c r="C898" i="5"/>
  <c r="B898" i="5"/>
  <c r="A898" i="5"/>
  <c r="F898" i="5" s="1"/>
  <c r="L897" i="5"/>
  <c r="D897" i="5"/>
  <c r="C897" i="5"/>
  <c r="B897" i="5"/>
  <c r="A897" i="5"/>
  <c r="F897" i="5" s="1"/>
  <c r="L896" i="5"/>
  <c r="D896" i="5"/>
  <c r="C896" i="5"/>
  <c r="B896" i="5"/>
  <c r="A896" i="5"/>
  <c r="F896" i="5" s="1"/>
  <c r="L895" i="5"/>
  <c r="D895" i="5"/>
  <c r="C895" i="5"/>
  <c r="B895" i="5"/>
  <c r="A895" i="5"/>
  <c r="E895" i="5" s="1"/>
  <c r="L894" i="5"/>
  <c r="D894" i="5"/>
  <c r="C894" i="5"/>
  <c r="B894" i="5"/>
  <c r="A894" i="5"/>
  <c r="E894" i="5" s="1"/>
  <c r="L893" i="5"/>
  <c r="D893" i="5"/>
  <c r="C893" i="5"/>
  <c r="B893" i="5"/>
  <c r="A893" i="5"/>
  <c r="E893" i="5" s="1"/>
  <c r="L892" i="5"/>
  <c r="D892" i="5"/>
  <c r="C892" i="5"/>
  <c r="B892" i="5"/>
  <c r="A892" i="5"/>
  <c r="E892" i="5" s="1"/>
  <c r="L891" i="5"/>
  <c r="D891" i="5"/>
  <c r="C891" i="5"/>
  <c r="B891" i="5"/>
  <c r="A891" i="5"/>
  <c r="L890" i="5"/>
  <c r="D890" i="5"/>
  <c r="C890" i="5"/>
  <c r="B890" i="5"/>
  <c r="A890" i="5"/>
  <c r="L889" i="5"/>
  <c r="D889" i="5"/>
  <c r="C889" i="5"/>
  <c r="B889" i="5"/>
  <c r="A889" i="5"/>
  <c r="F889" i="5" s="1"/>
  <c r="L888" i="5"/>
  <c r="D888" i="5"/>
  <c r="C888" i="5"/>
  <c r="B888" i="5"/>
  <c r="A888" i="5"/>
  <c r="E888" i="5" s="1"/>
  <c r="L887" i="5"/>
  <c r="D887" i="5"/>
  <c r="C887" i="5"/>
  <c r="B887" i="5"/>
  <c r="A887" i="5"/>
  <c r="F887" i="5" s="1"/>
  <c r="L886" i="5"/>
  <c r="D886" i="5"/>
  <c r="C886" i="5"/>
  <c r="B886" i="5"/>
  <c r="A886" i="5"/>
  <c r="E886" i="5" s="1"/>
  <c r="L885" i="5"/>
  <c r="D885" i="5"/>
  <c r="C885" i="5"/>
  <c r="B885" i="5"/>
  <c r="A885" i="5"/>
  <c r="L884" i="5"/>
  <c r="D884" i="5"/>
  <c r="C884" i="5"/>
  <c r="B884" i="5"/>
  <c r="A884" i="5"/>
  <c r="L883" i="5"/>
  <c r="D883" i="5"/>
  <c r="C883" i="5"/>
  <c r="B883" i="5"/>
  <c r="A883" i="5"/>
  <c r="L882" i="5"/>
  <c r="D882" i="5"/>
  <c r="C882" i="5"/>
  <c r="B882" i="5"/>
  <c r="A882" i="5"/>
  <c r="L881" i="5"/>
  <c r="D881" i="5"/>
  <c r="C881" i="5"/>
  <c r="B881" i="5"/>
  <c r="A881" i="5"/>
  <c r="L880" i="5"/>
  <c r="D880" i="5"/>
  <c r="C880" i="5"/>
  <c r="B880" i="5"/>
  <c r="A880" i="5"/>
  <c r="L879" i="5"/>
  <c r="D879" i="5"/>
  <c r="C879" i="5"/>
  <c r="B879" i="5"/>
  <c r="A879" i="5"/>
  <c r="F879" i="5" s="1"/>
  <c r="L878" i="5"/>
  <c r="D878" i="5"/>
  <c r="C878" i="5"/>
  <c r="B878" i="5"/>
  <c r="A878" i="5"/>
  <c r="F878" i="5" s="1"/>
  <c r="L877" i="5"/>
  <c r="D877" i="5"/>
  <c r="C877" i="5"/>
  <c r="B877" i="5"/>
  <c r="A877" i="5"/>
  <c r="E877" i="5" s="1"/>
  <c r="L876" i="5"/>
  <c r="D876" i="5"/>
  <c r="C876" i="5"/>
  <c r="B876" i="5"/>
  <c r="A876" i="5"/>
  <c r="F876" i="5" s="1"/>
  <c r="L875" i="5"/>
  <c r="D875" i="5"/>
  <c r="C875" i="5"/>
  <c r="B875" i="5"/>
  <c r="A875" i="5"/>
  <c r="F875" i="5" s="1"/>
  <c r="L874" i="5"/>
  <c r="D874" i="5"/>
  <c r="C874" i="5"/>
  <c r="B874" i="5"/>
  <c r="A874" i="5"/>
  <c r="E874" i="5" s="1"/>
  <c r="L873" i="5"/>
  <c r="D873" i="5"/>
  <c r="C873" i="5"/>
  <c r="B873" i="5"/>
  <c r="A873" i="5"/>
  <c r="F873" i="5" s="1"/>
  <c r="L872" i="5"/>
  <c r="D872" i="5"/>
  <c r="C872" i="5"/>
  <c r="B872" i="5"/>
  <c r="A872" i="5"/>
  <c r="F872" i="5" s="1"/>
  <c r="L871" i="5"/>
  <c r="D871" i="5"/>
  <c r="C871" i="5"/>
  <c r="B871" i="5"/>
  <c r="A871" i="5"/>
  <c r="F871" i="5" s="1"/>
  <c r="L870" i="5"/>
  <c r="D870" i="5"/>
  <c r="C870" i="5"/>
  <c r="B870" i="5"/>
  <c r="A870" i="5"/>
  <c r="L869" i="5"/>
  <c r="D869" i="5"/>
  <c r="C869" i="5"/>
  <c r="B869" i="5"/>
  <c r="A869" i="5"/>
  <c r="L868" i="5"/>
  <c r="D868" i="5"/>
  <c r="C868" i="5"/>
  <c r="B868" i="5"/>
  <c r="A868" i="5"/>
  <c r="L867" i="5"/>
  <c r="D867" i="5"/>
  <c r="C867" i="5"/>
  <c r="B867" i="5"/>
  <c r="A867" i="5"/>
  <c r="L866" i="5"/>
  <c r="D866" i="5"/>
  <c r="C866" i="5"/>
  <c r="B866" i="5"/>
  <c r="A866" i="5"/>
  <c r="L865" i="5"/>
  <c r="D865" i="5"/>
  <c r="C865" i="5"/>
  <c r="B865" i="5"/>
  <c r="A865" i="5"/>
  <c r="F865" i="5" s="1"/>
  <c r="L864" i="5"/>
  <c r="D864" i="5"/>
  <c r="C864" i="5"/>
  <c r="B864" i="5"/>
  <c r="A864" i="5"/>
  <c r="L863" i="5"/>
  <c r="D863" i="5"/>
  <c r="C863" i="5"/>
  <c r="B863" i="5"/>
  <c r="A863" i="5"/>
  <c r="L862" i="5"/>
  <c r="D862" i="5"/>
  <c r="C862" i="5"/>
  <c r="B862" i="5"/>
  <c r="A862" i="5"/>
  <c r="L861" i="5"/>
  <c r="D861" i="5"/>
  <c r="C861" i="5"/>
  <c r="B861" i="5"/>
  <c r="A861" i="5"/>
  <c r="L860" i="5"/>
  <c r="D860" i="5"/>
  <c r="C860" i="5"/>
  <c r="B860" i="5"/>
  <c r="A860" i="5"/>
  <c r="L859" i="5"/>
  <c r="D859" i="5"/>
  <c r="C859" i="5"/>
  <c r="B859" i="5"/>
  <c r="A859" i="5"/>
  <c r="L858" i="5"/>
  <c r="D858" i="5"/>
  <c r="C858" i="5"/>
  <c r="B858" i="5"/>
  <c r="A858" i="5"/>
  <c r="F858" i="5" s="1"/>
  <c r="L857" i="5"/>
  <c r="D857" i="5"/>
  <c r="C857" i="5"/>
  <c r="B857" i="5"/>
  <c r="A857" i="5"/>
  <c r="L856" i="5"/>
  <c r="D856" i="5"/>
  <c r="C856" i="5"/>
  <c r="B856" i="5"/>
  <c r="A856" i="5"/>
  <c r="E856" i="5" s="1"/>
  <c r="L855" i="5"/>
  <c r="D855" i="5"/>
  <c r="C855" i="5"/>
  <c r="B855" i="5"/>
  <c r="A855" i="5"/>
  <c r="L854" i="5"/>
  <c r="D854" i="5"/>
  <c r="C854" i="5"/>
  <c r="B854" i="5"/>
  <c r="A854" i="5"/>
  <c r="F854" i="5" s="1"/>
  <c r="L853" i="5"/>
  <c r="D853" i="5"/>
  <c r="C853" i="5"/>
  <c r="B853" i="5"/>
  <c r="A853" i="5"/>
  <c r="F853" i="5" s="1"/>
  <c r="L852" i="5"/>
  <c r="D852" i="5"/>
  <c r="C852" i="5"/>
  <c r="B852" i="5"/>
  <c r="A852" i="5"/>
  <c r="F852" i="5" s="1"/>
  <c r="L851" i="5"/>
  <c r="D851" i="5"/>
  <c r="C851" i="5"/>
  <c r="B851" i="5"/>
  <c r="A851" i="5"/>
  <c r="F851" i="5" s="1"/>
  <c r="L850" i="5"/>
  <c r="D850" i="5"/>
  <c r="C850" i="5"/>
  <c r="B850" i="5"/>
  <c r="A850" i="5"/>
  <c r="F850" i="5" s="1"/>
  <c r="L849" i="5"/>
  <c r="D849" i="5"/>
  <c r="C849" i="5"/>
  <c r="B849" i="5"/>
  <c r="A849" i="5"/>
  <c r="L848" i="5"/>
  <c r="D848" i="5"/>
  <c r="C848" i="5"/>
  <c r="B848" i="5"/>
  <c r="A848" i="5"/>
  <c r="F848" i="5" s="1"/>
  <c r="L847" i="5"/>
  <c r="D847" i="5"/>
  <c r="C847" i="5"/>
  <c r="B847" i="5"/>
  <c r="A847" i="5"/>
  <c r="F847" i="5" s="1"/>
  <c r="L846" i="5"/>
  <c r="D846" i="5"/>
  <c r="C846" i="5"/>
  <c r="B846" i="5"/>
  <c r="A846" i="5"/>
  <c r="E846" i="5" s="1"/>
  <c r="L845" i="5"/>
  <c r="D845" i="5"/>
  <c r="C845" i="5"/>
  <c r="B845" i="5"/>
  <c r="A845" i="5"/>
  <c r="L844" i="5"/>
  <c r="D844" i="5"/>
  <c r="C844" i="5"/>
  <c r="B844" i="5"/>
  <c r="A844" i="5"/>
  <c r="E844" i="5" s="1"/>
  <c r="L843" i="5"/>
  <c r="D843" i="5"/>
  <c r="C843" i="5"/>
  <c r="B843" i="5"/>
  <c r="A843" i="5"/>
  <c r="L842" i="5"/>
  <c r="D842" i="5"/>
  <c r="C842" i="5"/>
  <c r="B842" i="5"/>
  <c r="A842" i="5"/>
  <c r="L841" i="5"/>
  <c r="D841" i="5"/>
  <c r="C841" i="5"/>
  <c r="B841" i="5"/>
  <c r="A841" i="5"/>
  <c r="E841" i="5" s="1"/>
  <c r="L840" i="5"/>
  <c r="D840" i="5"/>
  <c r="C840" i="5"/>
  <c r="B840" i="5"/>
  <c r="A840" i="5"/>
  <c r="F840" i="5" s="1"/>
  <c r="L839" i="5"/>
  <c r="D839" i="5"/>
  <c r="C839" i="5"/>
  <c r="B839" i="5"/>
  <c r="A839" i="5"/>
  <c r="F839" i="5" s="1"/>
  <c r="L838" i="5"/>
  <c r="D838" i="5"/>
  <c r="C838" i="5"/>
  <c r="B838" i="5"/>
  <c r="A838" i="5"/>
  <c r="F838" i="5" s="1"/>
  <c r="L837" i="5"/>
  <c r="D837" i="5"/>
  <c r="C837" i="5"/>
  <c r="B837" i="5"/>
  <c r="A837" i="5"/>
  <c r="F837" i="5" s="1"/>
  <c r="L836" i="5"/>
  <c r="D836" i="5"/>
  <c r="C836" i="5"/>
  <c r="B836" i="5"/>
  <c r="A836" i="5"/>
  <c r="E836" i="5" s="1"/>
  <c r="L835" i="5"/>
  <c r="D835" i="5"/>
  <c r="C835" i="5"/>
  <c r="B835" i="5"/>
  <c r="A835" i="5"/>
  <c r="E835" i="5" s="1"/>
  <c r="L834" i="5"/>
  <c r="D834" i="5"/>
  <c r="C834" i="5"/>
  <c r="B834" i="5"/>
  <c r="A834" i="5"/>
  <c r="E834" i="5" s="1"/>
  <c r="L833" i="5"/>
  <c r="D833" i="5"/>
  <c r="C833" i="5"/>
  <c r="B833" i="5"/>
  <c r="A833" i="5"/>
  <c r="L832" i="5"/>
  <c r="D832" i="5"/>
  <c r="C832" i="5"/>
  <c r="B832" i="5"/>
  <c r="A832" i="5"/>
  <c r="E832" i="5" s="1"/>
  <c r="L831" i="5"/>
  <c r="D831" i="5"/>
  <c r="C831" i="5"/>
  <c r="B831" i="5"/>
  <c r="A831" i="5"/>
  <c r="L830" i="5"/>
  <c r="D830" i="5"/>
  <c r="C830" i="5"/>
  <c r="B830" i="5"/>
  <c r="A830" i="5"/>
  <c r="F830" i="5" s="1"/>
  <c r="L829" i="5"/>
  <c r="D829" i="5"/>
  <c r="C829" i="5"/>
  <c r="B829" i="5"/>
  <c r="A829" i="5"/>
  <c r="L828" i="5"/>
  <c r="D828" i="5"/>
  <c r="C828" i="5"/>
  <c r="B828" i="5"/>
  <c r="A828" i="5"/>
  <c r="F828" i="5" s="1"/>
  <c r="L827" i="5"/>
  <c r="D827" i="5"/>
  <c r="C827" i="5"/>
  <c r="B827" i="5"/>
  <c r="A827" i="5"/>
  <c r="L826" i="5"/>
  <c r="D826" i="5"/>
  <c r="C826" i="5"/>
  <c r="B826" i="5"/>
  <c r="A826" i="5"/>
  <c r="F826" i="5" s="1"/>
  <c r="L825" i="5"/>
  <c r="D825" i="5"/>
  <c r="C825" i="5"/>
  <c r="B825" i="5"/>
  <c r="A825" i="5"/>
  <c r="L824" i="5"/>
  <c r="D824" i="5"/>
  <c r="C824" i="5"/>
  <c r="B824" i="5"/>
  <c r="A824" i="5"/>
  <c r="F824" i="5" s="1"/>
  <c r="L823" i="5"/>
  <c r="D823" i="5"/>
  <c r="C823" i="5"/>
  <c r="B823" i="5"/>
  <c r="A823" i="5"/>
  <c r="F823" i="5" s="1"/>
  <c r="L822" i="5"/>
  <c r="D822" i="5"/>
  <c r="C822" i="5"/>
  <c r="B822" i="5"/>
  <c r="A822" i="5"/>
  <c r="F822" i="5" s="1"/>
  <c r="L821" i="5"/>
  <c r="D821" i="5"/>
  <c r="C821" i="5"/>
  <c r="B821" i="5"/>
  <c r="A821" i="5"/>
  <c r="L820" i="5"/>
  <c r="D820" i="5"/>
  <c r="C820" i="5"/>
  <c r="B820" i="5"/>
  <c r="A820" i="5"/>
  <c r="L819" i="5"/>
  <c r="D819" i="5"/>
  <c r="C819" i="5"/>
  <c r="B819" i="5"/>
  <c r="A819" i="5"/>
  <c r="L818" i="5"/>
  <c r="D818" i="5"/>
  <c r="C818" i="5"/>
  <c r="B818" i="5"/>
  <c r="A818" i="5"/>
  <c r="L817" i="5"/>
  <c r="D817" i="5"/>
  <c r="C817" i="5"/>
  <c r="B817" i="5"/>
  <c r="A817" i="5"/>
  <c r="L816" i="5"/>
  <c r="D816" i="5"/>
  <c r="C816" i="5"/>
  <c r="B816" i="5"/>
  <c r="A816" i="5"/>
  <c r="F816" i="5" s="1"/>
  <c r="L815" i="5"/>
  <c r="D815" i="5"/>
  <c r="C815" i="5"/>
  <c r="B815" i="5"/>
  <c r="A815" i="5"/>
  <c r="L814" i="5"/>
  <c r="D814" i="5"/>
  <c r="C814" i="5"/>
  <c r="B814" i="5"/>
  <c r="A814" i="5"/>
  <c r="L813" i="5"/>
  <c r="D813" i="5"/>
  <c r="C813" i="5"/>
  <c r="B813" i="5"/>
  <c r="A813" i="5"/>
  <c r="L812" i="5"/>
  <c r="D812" i="5"/>
  <c r="C812" i="5"/>
  <c r="B812" i="5"/>
  <c r="A812" i="5"/>
  <c r="F812" i="5" s="1"/>
  <c r="L811" i="5"/>
  <c r="D811" i="5"/>
  <c r="C811" i="5"/>
  <c r="B811" i="5"/>
  <c r="A811" i="5"/>
  <c r="L810" i="5"/>
  <c r="D810" i="5"/>
  <c r="C810" i="5"/>
  <c r="B810" i="5"/>
  <c r="A810" i="5"/>
  <c r="F810" i="5" s="1"/>
  <c r="L809" i="5"/>
  <c r="D809" i="5"/>
  <c r="C809" i="5"/>
  <c r="B809" i="5"/>
  <c r="A809" i="5"/>
  <c r="E809" i="5" s="1"/>
  <c r="L808" i="5"/>
  <c r="D808" i="5"/>
  <c r="C808" i="5"/>
  <c r="B808" i="5"/>
  <c r="A808" i="5"/>
  <c r="E808" i="5" s="1"/>
  <c r="L807" i="5"/>
  <c r="D807" i="5"/>
  <c r="C807" i="5"/>
  <c r="B807" i="5"/>
  <c r="A807" i="5"/>
  <c r="L806" i="5"/>
  <c r="D806" i="5"/>
  <c r="C806" i="5"/>
  <c r="B806" i="5"/>
  <c r="A806" i="5"/>
  <c r="F806" i="5" s="1"/>
  <c r="L805" i="5"/>
  <c r="D805" i="5"/>
  <c r="C805" i="5"/>
  <c r="B805" i="5"/>
  <c r="A805" i="5"/>
  <c r="L804" i="5"/>
  <c r="D804" i="5"/>
  <c r="C804" i="5"/>
  <c r="B804" i="5"/>
  <c r="A804" i="5"/>
  <c r="L803" i="5"/>
  <c r="D803" i="5"/>
  <c r="C803" i="5"/>
  <c r="B803" i="5"/>
  <c r="A803" i="5"/>
  <c r="F803" i="5" s="1"/>
  <c r="L802" i="5"/>
  <c r="D802" i="5"/>
  <c r="C802" i="5"/>
  <c r="B802" i="5"/>
  <c r="A802" i="5"/>
  <c r="F802" i="5" s="1"/>
  <c r="L801" i="5"/>
  <c r="D801" i="5"/>
  <c r="C801" i="5"/>
  <c r="B801" i="5"/>
  <c r="A801" i="5"/>
  <c r="L800" i="5"/>
  <c r="D800" i="5"/>
  <c r="C800" i="5"/>
  <c r="B800" i="5"/>
  <c r="A800" i="5"/>
  <c r="F800" i="5" s="1"/>
  <c r="L799" i="5"/>
  <c r="D799" i="5"/>
  <c r="C799" i="5"/>
  <c r="B799" i="5"/>
  <c r="A799" i="5"/>
  <c r="E799" i="5" s="1"/>
  <c r="L798" i="5"/>
  <c r="D798" i="5"/>
  <c r="C798" i="5"/>
  <c r="B798" i="5"/>
  <c r="A798" i="5"/>
  <c r="E798" i="5" s="1"/>
  <c r="L797" i="5"/>
  <c r="D797" i="5"/>
  <c r="C797" i="5"/>
  <c r="B797" i="5"/>
  <c r="A797" i="5"/>
  <c r="F797" i="5" s="1"/>
  <c r="L796" i="5"/>
  <c r="D796" i="5"/>
  <c r="C796" i="5"/>
  <c r="B796" i="5"/>
  <c r="A796" i="5"/>
  <c r="L795" i="5"/>
  <c r="D795" i="5"/>
  <c r="C795" i="5"/>
  <c r="B795" i="5"/>
  <c r="A795" i="5"/>
  <c r="F795" i="5" s="1"/>
  <c r="L794" i="5"/>
  <c r="D794" i="5"/>
  <c r="C794" i="5"/>
  <c r="B794" i="5"/>
  <c r="A794" i="5"/>
  <c r="F794" i="5" s="1"/>
  <c r="L793" i="5"/>
  <c r="D793" i="5"/>
  <c r="C793" i="5"/>
  <c r="B793" i="5"/>
  <c r="A793" i="5"/>
  <c r="F793" i="5" s="1"/>
  <c r="L792" i="5"/>
  <c r="D792" i="5"/>
  <c r="C792" i="5"/>
  <c r="B792" i="5"/>
  <c r="A792" i="5"/>
  <c r="F792" i="5" s="1"/>
  <c r="L791" i="5"/>
  <c r="D791" i="5"/>
  <c r="C791" i="5"/>
  <c r="B791" i="5"/>
  <c r="A791" i="5"/>
  <c r="L790" i="5"/>
  <c r="D790" i="5"/>
  <c r="C790" i="5"/>
  <c r="B790" i="5"/>
  <c r="A790" i="5"/>
  <c r="F790" i="5" s="1"/>
  <c r="L789" i="5"/>
  <c r="D789" i="5"/>
  <c r="C789" i="5"/>
  <c r="B789" i="5"/>
  <c r="A789" i="5"/>
  <c r="L788" i="5"/>
  <c r="D788" i="5"/>
  <c r="C788" i="5"/>
  <c r="B788" i="5"/>
  <c r="A788" i="5"/>
  <c r="F788" i="5" s="1"/>
  <c r="L787" i="5"/>
  <c r="D787" i="5"/>
  <c r="C787" i="5"/>
  <c r="B787" i="5"/>
  <c r="A787" i="5"/>
  <c r="L786" i="5"/>
  <c r="D786" i="5"/>
  <c r="C786" i="5"/>
  <c r="B786" i="5"/>
  <c r="A786" i="5"/>
  <c r="F786" i="5" s="1"/>
  <c r="L785" i="5"/>
  <c r="D785" i="5"/>
  <c r="C785" i="5"/>
  <c r="B785" i="5"/>
  <c r="A785" i="5"/>
  <c r="F785" i="5" s="1"/>
  <c r="L784" i="5"/>
  <c r="D784" i="5"/>
  <c r="C784" i="5"/>
  <c r="B784" i="5"/>
  <c r="A784" i="5"/>
  <c r="E784" i="5" s="1"/>
  <c r="L783" i="5"/>
  <c r="D783" i="5"/>
  <c r="C783" i="5"/>
  <c r="B783" i="5"/>
  <c r="A783" i="5"/>
  <c r="E783" i="5" s="1"/>
  <c r="L782" i="5"/>
  <c r="D782" i="5"/>
  <c r="C782" i="5"/>
  <c r="B782" i="5"/>
  <c r="A782" i="5"/>
  <c r="F782" i="5" s="1"/>
  <c r="L781" i="5"/>
  <c r="D781" i="5"/>
  <c r="C781" i="5"/>
  <c r="B781" i="5"/>
  <c r="A781" i="5"/>
  <c r="F781" i="5" s="1"/>
  <c r="L780" i="5"/>
  <c r="D780" i="5"/>
  <c r="C780" i="5"/>
  <c r="B780" i="5"/>
  <c r="A780" i="5"/>
  <c r="F780" i="5" s="1"/>
  <c r="L779" i="5"/>
  <c r="D779" i="5"/>
  <c r="C779" i="5"/>
  <c r="B779" i="5"/>
  <c r="A779" i="5"/>
  <c r="F779" i="5" s="1"/>
  <c r="L778" i="5"/>
  <c r="D778" i="5"/>
  <c r="C778" i="5"/>
  <c r="B778" i="5"/>
  <c r="A778" i="5"/>
  <c r="E778" i="5" s="1"/>
  <c r="L777" i="5"/>
  <c r="D777" i="5"/>
  <c r="C777" i="5"/>
  <c r="B777" i="5"/>
  <c r="A777" i="5"/>
  <c r="F777" i="5" s="1"/>
  <c r="L776" i="5"/>
  <c r="D776" i="5"/>
  <c r="C776" i="5"/>
  <c r="B776" i="5"/>
  <c r="A776" i="5"/>
  <c r="F776" i="5" s="1"/>
  <c r="L775" i="5"/>
  <c r="D775" i="5"/>
  <c r="C775" i="5"/>
  <c r="B775" i="5"/>
  <c r="A775" i="5"/>
  <c r="L774" i="5"/>
  <c r="D774" i="5"/>
  <c r="C774" i="5"/>
  <c r="B774" i="5"/>
  <c r="A774" i="5"/>
  <c r="F774" i="5" s="1"/>
  <c r="L773" i="5"/>
  <c r="D773" i="5"/>
  <c r="C773" i="5"/>
  <c r="B773" i="5"/>
  <c r="A773" i="5"/>
  <c r="F773" i="5" s="1"/>
  <c r="L772" i="5"/>
  <c r="D772" i="5"/>
  <c r="C772" i="5"/>
  <c r="B772" i="5"/>
  <c r="A772" i="5"/>
  <c r="L771" i="5"/>
  <c r="D771" i="5"/>
  <c r="C771" i="5"/>
  <c r="B771" i="5"/>
  <c r="A771" i="5"/>
  <c r="E771" i="5" s="1"/>
  <c r="L770" i="5"/>
  <c r="D770" i="5"/>
  <c r="C770" i="5"/>
  <c r="B770" i="5"/>
  <c r="A770" i="5"/>
  <c r="F770" i="5" s="1"/>
  <c r="L769" i="5"/>
  <c r="D769" i="5"/>
  <c r="C769" i="5"/>
  <c r="B769" i="5"/>
  <c r="A769" i="5"/>
  <c r="E769" i="5" s="1"/>
  <c r="L768" i="5"/>
  <c r="D768" i="5"/>
  <c r="C768" i="5"/>
  <c r="B768" i="5"/>
  <c r="A768" i="5"/>
  <c r="F768" i="5" s="1"/>
  <c r="L767" i="5"/>
  <c r="D767" i="5"/>
  <c r="C767" i="5"/>
  <c r="B767" i="5"/>
  <c r="A767" i="5"/>
  <c r="F767" i="5" s="1"/>
  <c r="L766" i="5"/>
  <c r="D766" i="5"/>
  <c r="C766" i="5"/>
  <c r="B766" i="5"/>
  <c r="A766" i="5"/>
  <c r="F766" i="5" s="1"/>
  <c r="L765" i="5"/>
  <c r="D765" i="5"/>
  <c r="C765" i="5"/>
  <c r="B765" i="5"/>
  <c r="A765" i="5"/>
  <c r="F765" i="5" s="1"/>
  <c r="L764" i="5"/>
  <c r="D764" i="5"/>
  <c r="C764" i="5"/>
  <c r="B764" i="5"/>
  <c r="A764" i="5"/>
  <c r="E764" i="5" s="1"/>
  <c r="L763" i="5"/>
  <c r="D763" i="5"/>
  <c r="C763" i="5"/>
  <c r="B763" i="5"/>
  <c r="A763" i="5"/>
  <c r="F763" i="5" s="1"/>
  <c r="L762" i="5"/>
  <c r="D762" i="5"/>
  <c r="C762" i="5"/>
  <c r="B762" i="5"/>
  <c r="A762" i="5"/>
  <c r="L761" i="5"/>
  <c r="D761" i="5"/>
  <c r="C761" i="5"/>
  <c r="B761" i="5"/>
  <c r="A761" i="5"/>
  <c r="F761" i="5" s="1"/>
  <c r="L760" i="5"/>
  <c r="D760" i="5"/>
  <c r="C760" i="5"/>
  <c r="B760" i="5"/>
  <c r="A760" i="5"/>
  <c r="L759" i="5"/>
  <c r="D759" i="5"/>
  <c r="C759" i="5"/>
  <c r="B759" i="5"/>
  <c r="A759" i="5"/>
  <c r="F759" i="5" s="1"/>
  <c r="L758" i="5"/>
  <c r="D758" i="5"/>
  <c r="C758" i="5"/>
  <c r="B758" i="5"/>
  <c r="A758" i="5"/>
  <c r="E758" i="5" s="1"/>
  <c r="L757" i="5"/>
  <c r="D757" i="5"/>
  <c r="C757" i="5"/>
  <c r="B757" i="5"/>
  <c r="A757" i="5"/>
  <c r="L756" i="5"/>
  <c r="D756" i="5"/>
  <c r="C756" i="5"/>
  <c r="B756" i="5"/>
  <c r="A756" i="5"/>
  <c r="L755" i="5"/>
  <c r="D755" i="5"/>
  <c r="C755" i="5"/>
  <c r="B755" i="5"/>
  <c r="A755" i="5"/>
  <c r="E755" i="5" s="1"/>
  <c r="L754" i="5"/>
  <c r="D754" i="5"/>
  <c r="C754" i="5"/>
  <c r="B754" i="5"/>
  <c r="A754" i="5"/>
  <c r="F754" i="5" s="1"/>
  <c r="L753" i="5"/>
  <c r="D753" i="5"/>
  <c r="C753" i="5"/>
  <c r="B753" i="5"/>
  <c r="A753" i="5"/>
  <c r="F753" i="5" s="1"/>
  <c r="L752" i="5"/>
  <c r="D752" i="5"/>
  <c r="C752" i="5"/>
  <c r="B752" i="5"/>
  <c r="A752" i="5"/>
  <c r="F752" i="5" s="1"/>
  <c r="L751" i="5"/>
  <c r="D751" i="5"/>
  <c r="C751" i="5"/>
  <c r="B751" i="5"/>
  <c r="A751" i="5"/>
  <c r="E751" i="5" s="1"/>
  <c r="L750" i="5"/>
  <c r="D750" i="5"/>
  <c r="C750" i="5"/>
  <c r="B750" i="5"/>
  <c r="A750" i="5"/>
  <c r="L749" i="5"/>
  <c r="D749" i="5"/>
  <c r="C749" i="5"/>
  <c r="B749" i="5"/>
  <c r="A749" i="5"/>
  <c r="E749" i="5" s="1"/>
  <c r="L748" i="5"/>
  <c r="D748" i="5"/>
  <c r="C748" i="5"/>
  <c r="B748" i="5"/>
  <c r="A748" i="5"/>
  <c r="E748" i="5" s="1"/>
  <c r="L747" i="5"/>
  <c r="D747" i="5"/>
  <c r="C747" i="5"/>
  <c r="B747" i="5"/>
  <c r="A747" i="5"/>
  <c r="E747" i="5" s="1"/>
  <c r="L746" i="5"/>
  <c r="D746" i="5"/>
  <c r="C746" i="5"/>
  <c r="B746" i="5"/>
  <c r="A746" i="5"/>
  <c r="F746" i="5" s="1"/>
  <c r="L745" i="5"/>
  <c r="D745" i="5"/>
  <c r="C745" i="5"/>
  <c r="B745" i="5"/>
  <c r="A745" i="5"/>
  <c r="F745" i="5" s="1"/>
  <c r="L744" i="5"/>
  <c r="D744" i="5"/>
  <c r="C744" i="5"/>
  <c r="B744" i="5"/>
  <c r="A744" i="5"/>
  <c r="F744" i="5" s="1"/>
  <c r="L743" i="5"/>
  <c r="D743" i="5"/>
  <c r="C743" i="5"/>
  <c r="B743" i="5"/>
  <c r="A743" i="5"/>
  <c r="E743" i="5" s="1"/>
  <c r="L742" i="5"/>
  <c r="D742" i="5"/>
  <c r="C742" i="5"/>
  <c r="B742" i="5"/>
  <c r="A742" i="5"/>
  <c r="E742" i="5" s="1"/>
  <c r="L741" i="5"/>
  <c r="D741" i="5"/>
  <c r="C741" i="5"/>
  <c r="B741" i="5"/>
  <c r="A741" i="5"/>
  <c r="F741" i="5" s="1"/>
  <c r="L740" i="5"/>
  <c r="D740" i="5"/>
  <c r="C740" i="5"/>
  <c r="B740" i="5"/>
  <c r="A740" i="5"/>
  <c r="F740" i="5" s="1"/>
  <c r="L739" i="5"/>
  <c r="D739" i="5"/>
  <c r="C739" i="5"/>
  <c r="B739" i="5"/>
  <c r="A739" i="5"/>
  <c r="L738" i="5"/>
  <c r="D738" i="5"/>
  <c r="C738" i="5"/>
  <c r="B738" i="5"/>
  <c r="A738" i="5"/>
  <c r="F738" i="5" s="1"/>
  <c r="L737" i="5"/>
  <c r="D737" i="5"/>
  <c r="C737" i="5"/>
  <c r="B737" i="5"/>
  <c r="A737" i="5"/>
  <c r="F737" i="5" s="1"/>
  <c r="L736" i="5"/>
  <c r="D736" i="5"/>
  <c r="C736" i="5"/>
  <c r="B736" i="5"/>
  <c r="A736" i="5"/>
  <c r="E736" i="5" s="1"/>
  <c r="L735" i="5"/>
  <c r="D735" i="5"/>
  <c r="C735" i="5"/>
  <c r="B735" i="5"/>
  <c r="A735" i="5"/>
  <c r="E735" i="5" s="1"/>
  <c r="L734" i="5"/>
  <c r="D734" i="5"/>
  <c r="C734" i="5"/>
  <c r="B734" i="5"/>
  <c r="A734" i="5"/>
  <c r="L733" i="5"/>
  <c r="D733" i="5"/>
  <c r="C733" i="5"/>
  <c r="B733" i="5"/>
  <c r="A733" i="5"/>
  <c r="E733" i="5" s="1"/>
  <c r="L732" i="5"/>
  <c r="D732" i="5"/>
  <c r="C732" i="5"/>
  <c r="B732" i="5"/>
  <c r="A732" i="5"/>
  <c r="L731" i="5"/>
  <c r="D731" i="5"/>
  <c r="C731" i="5"/>
  <c r="B731" i="5"/>
  <c r="A731" i="5"/>
  <c r="F731" i="5" s="1"/>
  <c r="L730" i="5"/>
  <c r="D730" i="5"/>
  <c r="C730" i="5"/>
  <c r="B730" i="5"/>
  <c r="A730" i="5"/>
  <c r="L729" i="5"/>
  <c r="D729" i="5"/>
  <c r="C729" i="5"/>
  <c r="B729" i="5"/>
  <c r="A729" i="5"/>
  <c r="F729" i="5" s="1"/>
  <c r="L728" i="5"/>
  <c r="D728" i="5"/>
  <c r="C728" i="5"/>
  <c r="B728" i="5"/>
  <c r="A728" i="5"/>
  <c r="E728" i="5" s="1"/>
  <c r="L727" i="5"/>
  <c r="D727" i="5"/>
  <c r="C727" i="5"/>
  <c r="B727" i="5"/>
  <c r="A727" i="5"/>
  <c r="F727" i="5" s="1"/>
  <c r="L726" i="5"/>
  <c r="D726" i="5"/>
  <c r="C726" i="5"/>
  <c r="B726" i="5"/>
  <c r="A726" i="5"/>
  <c r="E726" i="5" s="1"/>
  <c r="L725" i="5"/>
  <c r="D725" i="5"/>
  <c r="C725" i="5"/>
  <c r="B725" i="5"/>
  <c r="A725" i="5"/>
  <c r="F725" i="5" s="1"/>
  <c r="L724" i="5"/>
  <c r="D724" i="5"/>
  <c r="C724" i="5"/>
  <c r="B724" i="5"/>
  <c r="A724" i="5"/>
  <c r="E724" i="5" s="1"/>
  <c r="L723" i="5"/>
  <c r="D723" i="5"/>
  <c r="C723" i="5"/>
  <c r="B723" i="5"/>
  <c r="A723" i="5"/>
  <c r="E723" i="5" s="1"/>
  <c r="L722" i="5"/>
  <c r="D722" i="5"/>
  <c r="C722" i="5"/>
  <c r="B722" i="5"/>
  <c r="A722" i="5"/>
  <c r="L721" i="5"/>
  <c r="D721" i="5"/>
  <c r="C721" i="5"/>
  <c r="B721" i="5"/>
  <c r="A721" i="5"/>
  <c r="F721" i="5" s="1"/>
  <c r="L720" i="5"/>
  <c r="D720" i="5"/>
  <c r="C720" i="5"/>
  <c r="B720" i="5"/>
  <c r="A720" i="5"/>
  <c r="E720" i="5" s="1"/>
  <c r="L719" i="5"/>
  <c r="D719" i="5"/>
  <c r="C719" i="5"/>
  <c r="B719" i="5"/>
  <c r="A719" i="5"/>
  <c r="L718" i="5"/>
  <c r="D718" i="5"/>
  <c r="C718" i="5"/>
  <c r="B718" i="5"/>
  <c r="A718" i="5"/>
  <c r="L717" i="5"/>
  <c r="D717" i="5"/>
  <c r="C717" i="5"/>
  <c r="B717" i="5"/>
  <c r="A717" i="5"/>
  <c r="F717" i="5" s="1"/>
  <c r="L716" i="5"/>
  <c r="D716" i="5"/>
  <c r="C716" i="5"/>
  <c r="B716" i="5"/>
  <c r="A716" i="5"/>
  <c r="E716" i="5" s="1"/>
  <c r="L715" i="5"/>
  <c r="D715" i="5"/>
  <c r="C715" i="5"/>
  <c r="B715" i="5"/>
  <c r="A715" i="5"/>
  <c r="L714" i="5"/>
  <c r="D714" i="5"/>
  <c r="C714" i="5"/>
  <c r="B714" i="5"/>
  <c r="A714" i="5"/>
  <c r="E714" i="5" s="1"/>
  <c r="L713" i="5"/>
  <c r="D713" i="5"/>
  <c r="C713" i="5"/>
  <c r="B713" i="5"/>
  <c r="A713" i="5"/>
  <c r="L712" i="5"/>
  <c r="D712" i="5"/>
  <c r="C712" i="5"/>
  <c r="B712" i="5"/>
  <c r="A712" i="5"/>
  <c r="L711" i="5"/>
  <c r="D711" i="5"/>
  <c r="C711" i="5"/>
  <c r="B711" i="5"/>
  <c r="A711" i="5"/>
  <c r="L710" i="5"/>
  <c r="D710" i="5"/>
  <c r="C710" i="5"/>
  <c r="B710" i="5"/>
  <c r="A710" i="5"/>
  <c r="L709" i="5"/>
  <c r="D709" i="5"/>
  <c r="C709" i="5"/>
  <c r="B709" i="5"/>
  <c r="A709" i="5"/>
  <c r="F709" i="5" s="1"/>
  <c r="L708" i="5"/>
  <c r="D708" i="5"/>
  <c r="C708" i="5"/>
  <c r="B708" i="5"/>
  <c r="A708" i="5"/>
  <c r="L707" i="5"/>
  <c r="D707" i="5"/>
  <c r="C707" i="5"/>
  <c r="B707" i="5"/>
  <c r="A707" i="5"/>
  <c r="F707" i="5" s="1"/>
  <c r="L706" i="5"/>
  <c r="D706" i="5"/>
  <c r="C706" i="5"/>
  <c r="B706" i="5"/>
  <c r="A706" i="5"/>
  <c r="F706" i="5" s="1"/>
  <c r="L705" i="5"/>
  <c r="D705" i="5"/>
  <c r="C705" i="5"/>
  <c r="B705" i="5"/>
  <c r="A705" i="5"/>
  <c r="L704" i="5"/>
  <c r="D704" i="5"/>
  <c r="C704" i="5"/>
  <c r="B704" i="5"/>
  <c r="A704" i="5"/>
  <c r="F704" i="5" s="1"/>
  <c r="L703" i="5"/>
  <c r="D703" i="5"/>
  <c r="C703" i="5"/>
  <c r="B703" i="5"/>
  <c r="A703" i="5"/>
  <c r="F703" i="5" s="1"/>
  <c r="L702" i="5"/>
  <c r="D702" i="5"/>
  <c r="C702" i="5"/>
  <c r="B702" i="5"/>
  <c r="A702" i="5"/>
  <c r="F702" i="5" s="1"/>
  <c r="L701" i="5"/>
  <c r="D701" i="5"/>
  <c r="C701" i="5"/>
  <c r="B701" i="5"/>
  <c r="A701" i="5"/>
  <c r="F701" i="5" s="1"/>
  <c r="L700" i="5"/>
  <c r="D700" i="5"/>
  <c r="C700" i="5"/>
  <c r="B700" i="5"/>
  <c r="A700" i="5"/>
  <c r="E700" i="5" s="1"/>
  <c r="L699" i="5"/>
  <c r="D699" i="5"/>
  <c r="C699" i="5"/>
  <c r="B699" i="5"/>
  <c r="A699" i="5"/>
  <c r="F699" i="5" s="1"/>
  <c r="L698" i="5"/>
  <c r="D698" i="5"/>
  <c r="C698" i="5"/>
  <c r="B698" i="5"/>
  <c r="A698" i="5"/>
  <c r="F698" i="5" s="1"/>
  <c r="L697" i="5"/>
  <c r="D697" i="5"/>
  <c r="C697" i="5"/>
  <c r="B697" i="5"/>
  <c r="A697" i="5"/>
  <c r="E697" i="5" s="1"/>
  <c r="L696" i="5"/>
  <c r="D696" i="5"/>
  <c r="C696" i="5"/>
  <c r="B696" i="5"/>
  <c r="A696" i="5"/>
  <c r="F696" i="5" s="1"/>
  <c r="L695" i="5"/>
  <c r="D695" i="5"/>
  <c r="C695" i="5"/>
  <c r="B695" i="5"/>
  <c r="A695" i="5"/>
  <c r="E695" i="5" s="1"/>
  <c r="L694" i="5"/>
  <c r="D694" i="5"/>
  <c r="C694" i="5"/>
  <c r="B694" i="5"/>
  <c r="A694" i="5"/>
  <c r="F694" i="5" s="1"/>
  <c r="L693" i="5"/>
  <c r="D693" i="5"/>
  <c r="C693" i="5"/>
  <c r="B693" i="5"/>
  <c r="A693" i="5"/>
  <c r="L692" i="5"/>
  <c r="D692" i="5"/>
  <c r="C692" i="5"/>
  <c r="B692" i="5"/>
  <c r="A692" i="5"/>
  <c r="F692" i="5" s="1"/>
  <c r="L691" i="5"/>
  <c r="D691" i="5"/>
  <c r="C691" i="5"/>
  <c r="B691" i="5"/>
  <c r="A691" i="5"/>
  <c r="L690" i="5"/>
  <c r="D690" i="5"/>
  <c r="C690" i="5"/>
  <c r="B690" i="5"/>
  <c r="A690" i="5"/>
  <c r="E690" i="5" s="1"/>
  <c r="L689" i="5"/>
  <c r="D689" i="5"/>
  <c r="C689" i="5"/>
  <c r="B689" i="5"/>
  <c r="A689" i="5"/>
  <c r="L688" i="5"/>
  <c r="D688" i="5"/>
  <c r="C688" i="5"/>
  <c r="B688" i="5"/>
  <c r="A688" i="5"/>
  <c r="E688" i="5" s="1"/>
  <c r="L687" i="5"/>
  <c r="D687" i="5"/>
  <c r="C687" i="5"/>
  <c r="B687" i="5"/>
  <c r="A687" i="5"/>
  <c r="F687" i="5" s="1"/>
  <c r="L686" i="5"/>
  <c r="D686" i="5"/>
  <c r="C686" i="5"/>
  <c r="B686" i="5"/>
  <c r="A686" i="5"/>
  <c r="F686" i="5" s="1"/>
  <c r="L685" i="5"/>
  <c r="D685" i="5"/>
  <c r="C685" i="5"/>
  <c r="B685" i="5"/>
  <c r="A685" i="5"/>
  <c r="E685" i="5" s="1"/>
  <c r="L684" i="5"/>
  <c r="D684" i="5"/>
  <c r="C684" i="5"/>
  <c r="B684" i="5"/>
  <c r="A684" i="5"/>
  <c r="E684" i="5" s="1"/>
  <c r="L683" i="5"/>
  <c r="D683" i="5"/>
  <c r="C683" i="5"/>
  <c r="B683" i="5"/>
  <c r="A683" i="5"/>
  <c r="L682" i="5"/>
  <c r="D682" i="5"/>
  <c r="C682" i="5"/>
  <c r="B682" i="5"/>
  <c r="A682" i="5"/>
  <c r="L681" i="5"/>
  <c r="D681" i="5"/>
  <c r="C681" i="5"/>
  <c r="B681" i="5"/>
  <c r="A681" i="5"/>
  <c r="F681" i="5" s="1"/>
  <c r="L680" i="5"/>
  <c r="D680" i="5"/>
  <c r="C680" i="5"/>
  <c r="B680" i="5"/>
  <c r="A680" i="5"/>
  <c r="E680" i="5" s="1"/>
  <c r="L679" i="5"/>
  <c r="D679" i="5"/>
  <c r="C679" i="5"/>
  <c r="B679" i="5"/>
  <c r="A679" i="5"/>
  <c r="F679" i="5" s="1"/>
  <c r="L678" i="5"/>
  <c r="D678" i="5"/>
  <c r="C678" i="5"/>
  <c r="B678" i="5"/>
  <c r="A678" i="5"/>
  <c r="L677" i="5"/>
  <c r="D677" i="5"/>
  <c r="C677" i="5"/>
  <c r="B677" i="5"/>
  <c r="A677" i="5"/>
  <c r="F677" i="5" s="1"/>
  <c r="L676" i="5"/>
  <c r="D676" i="5"/>
  <c r="C676" i="5"/>
  <c r="B676" i="5"/>
  <c r="A676" i="5"/>
  <c r="E676" i="5" s="1"/>
  <c r="L675" i="5"/>
  <c r="D675" i="5"/>
  <c r="C675" i="5"/>
  <c r="B675" i="5"/>
  <c r="A675" i="5"/>
  <c r="E675" i="5" s="1"/>
  <c r="L674" i="5"/>
  <c r="D674" i="5"/>
  <c r="C674" i="5"/>
  <c r="B674" i="5"/>
  <c r="A674" i="5"/>
  <c r="F674" i="5" s="1"/>
  <c r="L673" i="5"/>
  <c r="D673" i="5"/>
  <c r="C673" i="5"/>
  <c r="B673" i="5"/>
  <c r="A673" i="5"/>
  <c r="E673" i="5" s="1"/>
  <c r="L672" i="5"/>
  <c r="D672" i="5"/>
  <c r="C672" i="5"/>
  <c r="B672" i="5"/>
  <c r="A672" i="5"/>
  <c r="F672" i="5" s="1"/>
  <c r="L671" i="5"/>
  <c r="D671" i="5"/>
  <c r="C671" i="5"/>
  <c r="B671" i="5"/>
  <c r="A671" i="5"/>
  <c r="F671" i="5" s="1"/>
  <c r="L670" i="5"/>
  <c r="D670" i="5"/>
  <c r="C670" i="5"/>
  <c r="B670" i="5"/>
  <c r="A670" i="5"/>
  <c r="F670" i="5" s="1"/>
  <c r="L669" i="5"/>
  <c r="D669" i="5"/>
  <c r="C669" i="5"/>
  <c r="B669" i="5"/>
  <c r="A669" i="5"/>
  <c r="L668" i="5"/>
  <c r="D668" i="5"/>
  <c r="C668" i="5"/>
  <c r="B668" i="5"/>
  <c r="A668" i="5"/>
  <c r="F668" i="5" s="1"/>
  <c r="L667" i="5"/>
  <c r="D667" i="5"/>
  <c r="C667" i="5"/>
  <c r="B667" i="5"/>
  <c r="A667" i="5"/>
  <c r="F667" i="5" s="1"/>
  <c r="L666" i="5"/>
  <c r="D666" i="5"/>
  <c r="C666" i="5"/>
  <c r="B666" i="5"/>
  <c r="A666" i="5"/>
  <c r="F666" i="5" s="1"/>
  <c r="L665" i="5"/>
  <c r="D665" i="5"/>
  <c r="C665" i="5"/>
  <c r="B665" i="5"/>
  <c r="A665" i="5"/>
  <c r="F665" i="5" s="1"/>
  <c r="L664" i="5"/>
  <c r="D664" i="5"/>
  <c r="C664" i="5"/>
  <c r="B664" i="5"/>
  <c r="A664" i="5"/>
  <c r="E664" i="5" s="1"/>
  <c r="L663" i="5"/>
  <c r="D663" i="5"/>
  <c r="C663" i="5"/>
  <c r="B663" i="5"/>
  <c r="A663" i="5"/>
  <c r="E663" i="5" s="1"/>
  <c r="L662" i="5"/>
  <c r="D662" i="5"/>
  <c r="C662" i="5"/>
  <c r="B662" i="5"/>
  <c r="A662" i="5"/>
  <c r="L661" i="5"/>
  <c r="D661" i="5"/>
  <c r="C661" i="5"/>
  <c r="B661" i="5"/>
  <c r="A661" i="5"/>
  <c r="L660" i="5"/>
  <c r="D660" i="5"/>
  <c r="C660" i="5"/>
  <c r="B660" i="5"/>
  <c r="A660" i="5"/>
  <c r="F660" i="5" s="1"/>
  <c r="L659" i="5"/>
  <c r="D659" i="5"/>
  <c r="C659" i="5"/>
  <c r="B659" i="5"/>
  <c r="A659" i="5"/>
  <c r="E659" i="5" s="1"/>
  <c r="L658" i="5"/>
  <c r="D658" i="5"/>
  <c r="C658" i="5"/>
  <c r="B658" i="5"/>
  <c r="A658" i="5"/>
  <c r="F658" i="5" s="1"/>
  <c r="L657" i="5"/>
  <c r="D657" i="5"/>
  <c r="C657" i="5"/>
  <c r="B657" i="5"/>
  <c r="A657" i="5"/>
  <c r="F657" i="5" s="1"/>
  <c r="L656" i="5"/>
  <c r="D656" i="5"/>
  <c r="C656" i="5"/>
  <c r="B656" i="5"/>
  <c r="A656" i="5"/>
  <c r="L655" i="5"/>
  <c r="D655" i="5"/>
  <c r="C655" i="5"/>
  <c r="B655" i="5"/>
  <c r="A655" i="5"/>
  <c r="F655" i="5" s="1"/>
  <c r="L654" i="5"/>
  <c r="D654" i="5"/>
  <c r="C654" i="5"/>
  <c r="B654" i="5"/>
  <c r="A654" i="5"/>
  <c r="E654" i="5" s="1"/>
  <c r="L653" i="5"/>
  <c r="D653" i="5"/>
  <c r="C653" i="5"/>
  <c r="B653" i="5"/>
  <c r="A653" i="5"/>
  <c r="F653" i="5" s="1"/>
  <c r="L652" i="5"/>
  <c r="D652" i="5"/>
  <c r="C652" i="5"/>
  <c r="B652" i="5"/>
  <c r="A652" i="5"/>
  <c r="E652" i="5" s="1"/>
  <c r="L651" i="5"/>
  <c r="D651" i="5"/>
  <c r="C651" i="5"/>
  <c r="B651" i="5"/>
  <c r="A651" i="5"/>
  <c r="E651" i="5" s="1"/>
  <c r="L650" i="5"/>
  <c r="D650" i="5"/>
  <c r="C650" i="5"/>
  <c r="B650" i="5"/>
  <c r="A650" i="5"/>
  <c r="F650" i="5" s="1"/>
  <c r="L649" i="5"/>
  <c r="D649" i="5"/>
  <c r="C649" i="5"/>
  <c r="B649" i="5"/>
  <c r="A649" i="5"/>
  <c r="E649" i="5" s="1"/>
  <c r="L648" i="5"/>
  <c r="D648" i="5"/>
  <c r="C648" i="5"/>
  <c r="B648" i="5"/>
  <c r="A648" i="5"/>
  <c r="F648" i="5" s="1"/>
  <c r="L647" i="5"/>
  <c r="D647" i="5"/>
  <c r="C647" i="5"/>
  <c r="B647" i="5"/>
  <c r="A647" i="5"/>
  <c r="L646" i="5"/>
  <c r="D646" i="5"/>
  <c r="C646" i="5"/>
  <c r="B646" i="5"/>
  <c r="A646" i="5"/>
  <c r="L645" i="5"/>
  <c r="D645" i="5"/>
  <c r="C645" i="5"/>
  <c r="B645" i="5"/>
  <c r="A645" i="5"/>
  <c r="L644" i="5"/>
  <c r="D644" i="5"/>
  <c r="C644" i="5"/>
  <c r="B644" i="5"/>
  <c r="A644" i="5"/>
  <c r="L643" i="5"/>
  <c r="D643" i="5"/>
  <c r="C643" i="5"/>
  <c r="B643" i="5"/>
  <c r="A643" i="5"/>
  <c r="L642" i="5"/>
  <c r="D642" i="5"/>
  <c r="C642" i="5"/>
  <c r="B642" i="5"/>
  <c r="A642" i="5"/>
  <c r="F642" i="5" s="1"/>
  <c r="L641" i="5"/>
  <c r="D641" i="5"/>
  <c r="C641" i="5"/>
  <c r="B641" i="5"/>
  <c r="A641" i="5"/>
  <c r="L640" i="5"/>
  <c r="D640" i="5"/>
  <c r="C640" i="5"/>
  <c r="B640" i="5"/>
  <c r="A640" i="5"/>
  <c r="L639" i="5"/>
  <c r="D639" i="5"/>
  <c r="C639" i="5"/>
  <c r="B639" i="5"/>
  <c r="A639" i="5"/>
  <c r="L638" i="5"/>
  <c r="D638" i="5"/>
  <c r="C638" i="5"/>
  <c r="B638" i="5"/>
  <c r="A638" i="5"/>
  <c r="L637" i="5"/>
  <c r="D637" i="5"/>
  <c r="C637" i="5"/>
  <c r="B637" i="5"/>
  <c r="A637" i="5"/>
  <c r="F637" i="5" s="1"/>
  <c r="L636" i="5"/>
  <c r="D636" i="5"/>
  <c r="C636" i="5"/>
  <c r="B636" i="5"/>
  <c r="A636" i="5"/>
  <c r="L635" i="5"/>
  <c r="D635" i="5"/>
  <c r="C635" i="5"/>
  <c r="B635" i="5"/>
  <c r="A635" i="5"/>
  <c r="F635" i="5" s="1"/>
  <c r="L634" i="5"/>
  <c r="D634" i="5"/>
  <c r="C634" i="5"/>
  <c r="B634" i="5"/>
  <c r="A634" i="5"/>
  <c r="L633" i="5"/>
  <c r="D633" i="5"/>
  <c r="C633" i="5"/>
  <c r="B633" i="5"/>
  <c r="A633" i="5"/>
  <c r="L632" i="5"/>
  <c r="D632" i="5"/>
  <c r="C632" i="5"/>
  <c r="B632" i="5"/>
  <c r="A632" i="5"/>
  <c r="F632" i="5" s="1"/>
  <c r="L631" i="5"/>
  <c r="D631" i="5"/>
  <c r="C631" i="5"/>
  <c r="B631" i="5"/>
  <c r="A631" i="5"/>
  <c r="F631" i="5" s="1"/>
  <c r="L630" i="5"/>
  <c r="D630" i="5"/>
  <c r="C630" i="5"/>
  <c r="B630" i="5"/>
  <c r="A630" i="5"/>
  <c r="F630" i="5" s="1"/>
  <c r="L629" i="5"/>
  <c r="D629" i="5"/>
  <c r="C629" i="5"/>
  <c r="B629" i="5"/>
  <c r="A629" i="5"/>
  <c r="F629" i="5" s="1"/>
  <c r="L628" i="5"/>
  <c r="D628" i="5"/>
  <c r="C628" i="5"/>
  <c r="B628" i="5"/>
  <c r="A628" i="5"/>
  <c r="E628" i="5" s="1"/>
  <c r="L627" i="5"/>
  <c r="D627" i="5"/>
  <c r="C627" i="5"/>
  <c r="B627" i="5"/>
  <c r="A627" i="5"/>
  <c r="E627" i="5" s="1"/>
  <c r="L626" i="5"/>
  <c r="D626" i="5"/>
  <c r="C626" i="5"/>
  <c r="B626" i="5"/>
  <c r="A626" i="5"/>
  <c r="L625" i="5"/>
  <c r="D625" i="5"/>
  <c r="C625" i="5"/>
  <c r="B625" i="5"/>
  <c r="A625" i="5"/>
  <c r="L624" i="5"/>
  <c r="D624" i="5"/>
  <c r="C624" i="5"/>
  <c r="B624" i="5"/>
  <c r="A624" i="5"/>
  <c r="F624" i="5" s="1"/>
  <c r="L623" i="5"/>
  <c r="D623" i="5"/>
  <c r="C623" i="5"/>
  <c r="B623" i="5"/>
  <c r="A623" i="5"/>
  <c r="E623" i="5" s="1"/>
  <c r="L622" i="5"/>
  <c r="D622" i="5"/>
  <c r="C622" i="5"/>
  <c r="B622" i="5"/>
  <c r="A622" i="5"/>
  <c r="L621" i="5"/>
  <c r="D621" i="5"/>
  <c r="C621" i="5"/>
  <c r="B621" i="5"/>
  <c r="A621" i="5"/>
  <c r="F621" i="5" s="1"/>
  <c r="L620" i="5"/>
  <c r="D620" i="5"/>
  <c r="C620" i="5"/>
  <c r="B620" i="5"/>
  <c r="A620" i="5"/>
  <c r="F620" i="5" s="1"/>
  <c r="L619" i="5"/>
  <c r="D619" i="5"/>
  <c r="C619" i="5"/>
  <c r="B619" i="5"/>
  <c r="A619" i="5"/>
  <c r="E619" i="5" s="1"/>
  <c r="L618" i="5"/>
  <c r="D618" i="5"/>
  <c r="C618" i="5"/>
  <c r="B618" i="5"/>
  <c r="A618" i="5"/>
  <c r="E618" i="5" s="1"/>
  <c r="L617" i="5"/>
  <c r="D617" i="5"/>
  <c r="C617" i="5"/>
  <c r="B617" i="5"/>
  <c r="A617" i="5"/>
  <c r="F617" i="5" s="1"/>
  <c r="L616" i="5"/>
  <c r="D616" i="5"/>
  <c r="C616" i="5"/>
  <c r="B616" i="5"/>
  <c r="A616" i="5"/>
  <c r="E616" i="5" s="1"/>
  <c r="L615" i="5"/>
  <c r="D615" i="5"/>
  <c r="C615" i="5"/>
  <c r="B615" i="5"/>
  <c r="A615" i="5"/>
  <c r="F615" i="5" s="1"/>
  <c r="L614" i="5"/>
  <c r="D614" i="5"/>
  <c r="C614" i="5"/>
  <c r="B614" i="5"/>
  <c r="A614" i="5"/>
  <c r="E614" i="5" s="1"/>
  <c r="L613" i="5"/>
  <c r="D613" i="5"/>
  <c r="C613" i="5"/>
  <c r="B613" i="5"/>
  <c r="A613" i="5"/>
  <c r="L612" i="5"/>
  <c r="D612" i="5"/>
  <c r="C612" i="5"/>
  <c r="B612" i="5"/>
  <c r="A612" i="5"/>
  <c r="L611" i="5"/>
  <c r="D611" i="5"/>
  <c r="C611" i="5"/>
  <c r="B611" i="5"/>
  <c r="A611" i="5"/>
  <c r="L610" i="5"/>
  <c r="D610" i="5"/>
  <c r="C610" i="5"/>
  <c r="B610" i="5"/>
  <c r="A610" i="5"/>
  <c r="F610" i="5" s="1"/>
  <c r="L609" i="5"/>
  <c r="D609" i="5"/>
  <c r="C609" i="5"/>
  <c r="B609" i="5"/>
  <c r="A609" i="5"/>
  <c r="L608" i="5"/>
  <c r="D608" i="5"/>
  <c r="C608" i="5"/>
  <c r="B608" i="5"/>
  <c r="A608" i="5"/>
  <c r="E608" i="5" s="1"/>
  <c r="L607" i="5"/>
  <c r="D607" i="5"/>
  <c r="C607" i="5"/>
  <c r="B607" i="5"/>
  <c r="A607" i="5"/>
  <c r="E607" i="5" s="1"/>
  <c r="L606" i="5"/>
  <c r="D606" i="5"/>
  <c r="C606" i="5"/>
  <c r="B606" i="5"/>
  <c r="A606" i="5"/>
  <c r="F606" i="5" s="1"/>
  <c r="L605" i="5"/>
  <c r="D605" i="5"/>
  <c r="C605" i="5"/>
  <c r="B605" i="5"/>
  <c r="A605" i="5"/>
  <c r="E605" i="5" s="1"/>
  <c r="L604" i="5"/>
  <c r="D604" i="5"/>
  <c r="C604" i="5"/>
  <c r="B604" i="5"/>
  <c r="A604" i="5"/>
  <c r="L603" i="5"/>
  <c r="D603" i="5"/>
  <c r="C603" i="5"/>
  <c r="B603" i="5"/>
  <c r="A603" i="5"/>
  <c r="L602" i="5"/>
  <c r="D602" i="5"/>
  <c r="C602" i="5"/>
  <c r="B602" i="5"/>
  <c r="A602" i="5"/>
  <c r="L601" i="5"/>
  <c r="D601" i="5"/>
  <c r="C601" i="5"/>
  <c r="B601" i="5"/>
  <c r="A601" i="5"/>
  <c r="F601" i="5" s="1"/>
  <c r="L600" i="5"/>
  <c r="D600" i="5"/>
  <c r="C600" i="5"/>
  <c r="B600" i="5"/>
  <c r="A600" i="5"/>
  <c r="E600" i="5" s="1"/>
  <c r="L599" i="5"/>
  <c r="D599" i="5"/>
  <c r="C599" i="5"/>
  <c r="B599" i="5"/>
  <c r="A599" i="5"/>
  <c r="L598" i="5"/>
  <c r="D598" i="5"/>
  <c r="C598" i="5"/>
  <c r="B598" i="5"/>
  <c r="A598" i="5"/>
  <c r="E598" i="5" s="1"/>
  <c r="L597" i="5"/>
  <c r="D597" i="5"/>
  <c r="C597" i="5"/>
  <c r="B597" i="5"/>
  <c r="A597" i="5"/>
  <c r="L596" i="5"/>
  <c r="D596" i="5"/>
  <c r="C596" i="5"/>
  <c r="B596" i="5"/>
  <c r="A596" i="5"/>
  <c r="E596" i="5" s="1"/>
  <c r="L595" i="5"/>
  <c r="D595" i="5"/>
  <c r="C595" i="5"/>
  <c r="B595" i="5"/>
  <c r="A595" i="5"/>
  <c r="L594" i="5"/>
  <c r="D594" i="5"/>
  <c r="C594" i="5"/>
  <c r="B594" i="5"/>
  <c r="A594" i="5"/>
  <c r="F594" i="5" s="1"/>
  <c r="L593" i="5"/>
  <c r="D593" i="5"/>
  <c r="C593" i="5"/>
  <c r="B593" i="5"/>
  <c r="A593" i="5"/>
  <c r="F593" i="5" s="1"/>
  <c r="L592" i="5"/>
  <c r="D592" i="5"/>
  <c r="C592" i="5"/>
  <c r="B592" i="5"/>
  <c r="A592" i="5"/>
  <c r="L591" i="5"/>
  <c r="D591" i="5"/>
  <c r="C591" i="5"/>
  <c r="B591" i="5"/>
  <c r="A591" i="5"/>
  <c r="F591" i="5" s="1"/>
  <c r="L590" i="5"/>
  <c r="D590" i="5"/>
  <c r="C590" i="5"/>
  <c r="B590" i="5"/>
  <c r="A590" i="5"/>
  <c r="L589" i="5"/>
  <c r="D589" i="5"/>
  <c r="C589" i="5"/>
  <c r="B589" i="5"/>
  <c r="A589" i="5"/>
  <c r="L588" i="5"/>
  <c r="D588" i="5"/>
  <c r="C588" i="5"/>
  <c r="B588" i="5"/>
  <c r="A588" i="5"/>
  <c r="L587" i="5"/>
  <c r="D587" i="5"/>
  <c r="C587" i="5"/>
  <c r="B587" i="5"/>
  <c r="A587" i="5"/>
  <c r="E587" i="5" s="1"/>
  <c r="L586" i="5"/>
  <c r="D586" i="5"/>
  <c r="C586" i="5"/>
  <c r="B586" i="5"/>
  <c r="A586" i="5"/>
  <c r="L585" i="5"/>
  <c r="D585" i="5"/>
  <c r="C585" i="5"/>
  <c r="B585" i="5"/>
  <c r="A585" i="5"/>
  <c r="L584" i="5"/>
  <c r="D584" i="5"/>
  <c r="C584" i="5"/>
  <c r="B584" i="5"/>
  <c r="A584" i="5"/>
  <c r="F584" i="5" s="1"/>
  <c r="L583" i="5"/>
  <c r="D583" i="5"/>
  <c r="C583" i="5"/>
  <c r="B583" i="5"/>
  <c r="A583" i="5"/>
  <c r="E583" i="5" s="1"/>
  <c r="L582" i="5"/>
  <c r="D582" i="5"/>
  <c r="C582" i="5"/>
  <c r="B582" i="5"/>
  <c r="A582" i="5"/>
  <c r="E582" i="5" s="1"/>
  <c r="L581" i="5"/>
  <c r="D581" i="5"/>
  <c r="C581" i="5"/>
  <c r="B581" i="5"/>
  <c r="A581" i="5"/>
  <c r="L580" i="5"/>
  <c r="D580" i="5"/>
  <c r="C580" i="5"/>
  <c r="B580" i="5"/>
  <c r="A580" i="5"/>
  <c r="E580" i="5" s="1"/>
  <c r="L579" i="5"/>
  <c r="D579" i="5"/>
  <c r="C579" i="5"/>
  <c r="B579" i="5"/>
  <c r="A579" i="5"/>
  <c r="F579" i="5" s="1"/>
  <c r="L578" i="5"/>
  <c r="D578" i="5"/>
  <c r="C578" i="5"/>
  <c r="B578" i="5"/>
  <c r="A578" i="5"/>
  <c r="L577" i="5"/>
  <c r="D577" i="5"/>
  <c r="C577" i="5"/>
  <c r="B577" i="5"/>
  <c r="A577" i="5"/>
  <c r="F577" i="5" s="1"/>
  <c r="L576" i="5"/>
  <c r="D576" i="5"/>
  <c r="C576" i="5"/>
  <c r="B576" i="5"/>
  <c r="A576" i="5"/>
  <c r="E576" i="5" s="1"/>
  <c r="L575" i="5"/>
  <c r="D575" i="5"/>
  <c r="C575" i="5"/>
  <c r="B575" i="5"/>
  <c r="A575" i="5"/>
  <c r="E575" i="5" s="1"/>
  <c r="L574" i="5"/>
  <c r="D574" i="5"/>
  <c r="C574" i="5"/>
  <c r="B574" i="5"/>
  <c r="A574" i="5"/>
  <c r="F574" i="5" s="1"/>
  <c r="L573" i="5"/>
  <c r="D573" i="5"/>
  <c r="C573" i="5"/>
  <c r="B573" i="5"/>
  <c r="A573" i="5"/>
  <c r="F573" i="5" s="1"/>
  <c r="L572" i="5"/>
  <c r="D572" i="5"/>
  <c r="C572" i="5"/>
  <c r="B572" i="5"/>
  <c r="A572" i="5"/>
  <c r="E572" i="5" s="1"/>
  <c r="L571" i="5"/>
  <c r="D571" i="5"/>
  <c r="C571" i="5"/>
  <c r="B571" i="5"/>
  <c r="A571" i="5"/>
  <c r="F571" i="5" s="1"/>
  <c r="L570" i="5"/>
  <c r="D570" i="5"/>
  <c r="C570" i="5"/>
  <c r="B570" i="5"/>
  <c r="A570" i="5"/>
  <c r="E570" i="5" s="1"/>
  <c r="L569" i="5"/>
  <c r="D569" i="5"/>
  <c r="C569" i="5"/>
  <c r="B569" i="5"/>
  <c r="A569" i="5"/>
  <c r="L568" i="5"/>
  <c r="D568" i="5"/>
  <c r="C568" i="5"/>
  <c r="B568" i="5"/>
  <c r="A568" i="5"/>
  <c r="L567" i="5"/>
  <c r="D567" i="5"/>
  <c r="C567" i="5"/>
  <c r="B567" i="5"/>
  <c r="A567" i="5"/>
  <c r="L566" i="5"/>
  <c r="D566" i="5"/>
  <c r="C566" i="5"/>
  <c r="B566" i="5"/>
  <c r="A566" i="5"/>
  <c r="L565" i="5"/>
  <c r="D565" i="5"/>
  <c r="C565" i="5"/>
  <c r="B565" i="5"/>
  <c r="A565" i="5"/>
  <c r="L564" i="5"/>
  <c r="D564" i="5"/>
  <c r="C564" i="5"/>
  <c r="B564" i="5"/>
  <c r="A564" i="5"/>
  <c r="F564" i="5" s="1"/>
  <c r="L563" i="5"/>
  <c r="D563" i="5"/>
  <c r="C563" i="5"/>
  <c r="B563" i="5"/>
  <c r="A563" i="5"/>
  <c r="L562" i="5"/>
  <c r="D562" i="5"/>
  <c r="C562" i="5"/>
  <c r="B562" i="5"/>
  <c r="A562" i="5"/>
  <c r="F562" i="5" s="1"/>
  <c r="L561" i="5"/>
  <c r="D561" i="5"/>
  <c r="C561" i="5"/>
  <c r="B561" i="5"/>
  <c r="A561" i="5"/>
  <c r="F561" i="5" s="1"/>
  <c r="L560" i="5"/>
  <c r="D560" i="5"/>
  <c r="C560" i="5"/>
  <c r="B560" i="5"/>
  <c r="A560" i="5"/>
  <c r="F560" i="5" s="1"/>
  <c r="L559" i="5"/>
  <c r="D559" i="5"/>
  <c r="C559" i="5"/>
  <c r="B559" i="5"/>
  <c r="A559" i="5"/>
  <c r="L558" i="5"/>
  <c r="D558" i="5"/>
  <c r="C558" i="5"/>
  <c r="B558" i="5"/>
  <c r="A558" i="5"/>
  <c r="F558" i="5" s="1"/>
  <c r="L557" i="5"/>
  <c r="D557" i="5"/>
  <c r="C557" i="5"/>
  <c r="B557" i="5"/>
  <c r="A557" i="5"/>
  <c r="F557" i="5" s="1"/>
  <c r="L556" i="5"/>
  <c r="D556" i="5"/>
  <c r="C556" i="5"/>
  <c r="B556" i="5"/>
  <c r="A556" i="5"/>
  <c r="E556" i="5" s="1"/>
  <c r="L555" i="5"/>
  <c r="D555" i="5"/>
  <c r="C555" i="5"/>
  <c r="B555" i="5"/>
  <c r="A555" i="5"/>
  <c r="E555" i="5" s="1"/>
  <c r="L554" i="5"/>
  <c r="D554" i="5"/>
  <c r="C554" i="5"/>
  <c r="B554" i="5"/>
  <c r="A554" i="5"/>
  <c r="L553" i="5"/>
  <c r="D553" i="5"/>
  <c r="C553" i="5"/>
  <c r="B553" i="5"/>
  <c r="A553" i="5"/>
  <c r="L552" i="5"/>
  <c r="D552" i="5"/>
  <c r="C552" i="5"/>
  <c r="B552" i="5"/>
  <c r="A552" i="5"/>
  <c r="L551" i="5"/>
  <c r="D551" i="5"/>
  <c r="C551" i="5"/>
  <c r="B551" i="5"/>
  <c r="A551" i="5"/>
  <c r="F551" i="5" s="1"/>
  <c r="L550" i="5"/>
  <c r="D550" i="5"/>
  <c r="C550" i="5"/>
  <c r="B550" i="5"/>
  <c r="A550" i="5"/>
  <c r="F550" i="5" s="1"/>
  <c r="L549" i="5"/>
  <c r="D549" i="5"/>
  <c r="C549" i="5"/>
  <c r="B549" i="5"/>
  <c r="A549" i="5"/>
  <c r="L548" i="5"/>
  <c r="D548" i="5"/>
  <c r="C548" i="5"/>
  <c r="B548" i="5"/>
  <c r="A548" i="5"/>
  <c r="F548" i="5" s="1"/>
  <c r="L547" i="5"/>
  <c r="D547" i="5"/>
  <c r="C547" i="5"/>
  <c r="B547" i="5"/>
  <c r="A547" i="5"/>
  <c r="F547" i="5" s="1"/>
  <c r="L546" i="5"/>
  <c r="D546" i="5"/>
  <c r="C546" i="5"/>
  <c r="B546" i="5"/>
  <c r="A546" i="5"/>
  <c r="E546" i="5" s="1"/>
  <c r="L545" i="5"/>
  <c r="D545" i="5"/>
  <c r="C545" i="5"/>
  <c r="B545" i="5"/>
  <c r="A545" i="5"/>
  <c r="F545" i="5" s="1"/>
  <c r="L544" i="5"/>
  <c r="D544" i="5"/>
  <c r="C544" i="5"/>
  <c r="B544" i="5"/>
  <c r="A544" i="5"/>
  <c r="E544" i="5" s="1"/>
  <c r="L543" i="5"/>
  <c r="D543" i="5"/>
  <c r="C543" i="5"/>
  <c r="B543" i="5"/>
  <c r="A543" i="5"/>
  <c r="F543" i="5" s="1"/>
  <c r="L542" i="5"/>
  <c r="D542" i="5"/>
  <c r="C542" i="5"/>
  <c r="B542" i="5"/>
  <c r="A542" i="5"/>
  <c r="E542" i="5" s="1"/>
  <c r="L541" i="5"/>
  <c r="D541" i="5"/>
  <c r="C541" i="5"/>
  <c r="B541" i="5"/>
  <c r="A541" i="5"/>
  <c r="E541" i="5" s="1"/>
  <c r="L540" i="5"/>
  <c r="D540" i="5"/>
  <c r="C540" i="5"/>
  <c r="B540" i="5"/>
  <c r="A540" i="5"/>
  <c r="L539" i="5"/>
  <c r="D539" i="5"/>
  <c r="C539" i="5"/>
  <c r="B539" i="5"/>
  <c r="A539" i="5"/>
  <c r="L538" i="5"/>
  <c r="D538" i="5"/>
  <c r="C538" i="5"/>
  <c r="B538" i="5"/>
  <c r="A538" i="5"/>
  <c r="L537" i="5"/>
  <c r="D537" i="5"/>
  <c r="C537" i="5"/>
  <c r="B537" i="5"/>
  <c r="A537" i="5"/>
  <c r="L536" i="5"/>
  <c r="D536" i="5"/>
  <c r="C536" i="5"/>
  <c r="B536" i="5"/>
  <c r="A536" i="5"/>
  <c r="L535" i="5"/>
  <c r="D535" i="5"/>
  <c r="C535" i="5"/>
  <c r="B535" i="5"/>
  <c r="A535" i="5"/>
  <c r="L534" i="5"/>
  <c r="D534" i="5"/>
  <c r="C534" i="5"/>
  <c r="B534" i="5"/>
  <c r="A534" i="5"/>
  <c r="L533" i="5"/>
  <c r="D533" i="5"/>
  <c r="C533" i="5"/>
  <c r="B533" i="5"/>
  <c r="A533" i="5"/>
  <c r="E533" i="5" s="1"/>
  <c r="L532" i="5"/>
  <c r="D532" i="5"/>
  <c r="C532" i="5"/>
  <c r="B532" i="5"/>
  <c r="A532" i="5"/>
  <c r="L531" i="5"/>
  <c r="D531" i="5"/>
  <c r="C531" i="5"/>
  <c r="B531" i="5"/>
  <c r="A531" i="5"/>
  <c r="L530" i="5"/>
  <c r="D530" i="5"/>
  <c r="C530" i="5"/>
  <c r="B530" i="5"/>
  <c r="A530" i="5"/>
  <c r="L529" i="5"/>
  <c r="D529" i="5"/>
  <c r="C529" i="5"/>
  <c r="B529" i="5"/>
  <c r="A529" i="5"/>
  <c r="F529" i="5" s="1"/>
  <c r="L528" i="5"/>
  <c r="D528" i="5"/>
  <c r="C528" i="5"/>
  <c r="B528" i="5"/>
  <c r="A528" i="5"/>
  <c r="F528" i="5" s="1"/>
  <c r="L527" i="5"/>
  <c r="D527" i="5"/>
  <c r="C527" i="5"/>
  <c r="B527" i="5"/>
  <c r="A527" i="5"/>
  <c r="E527" i="5" s="1"/>
  <c r="L526" i="5"/>
  <c r="D526" i="5"/>
  <c r="C526" i="5"/>
  <c r="B526" i="5"/>
  <c r="A526" i="5"/>
  <c r="L525" i="5"/>
  <c r="D525" i="5"/>
  <c r="C525" i="5"/>
  <c r="B525" i="5"/>
  <c r="A525" i="5"/>
  <c r="L524" i="5"/>
  <c r="D524" i="5"/>
  <c r="C524" i="5"/>
  <c r="B524" i="5"/>
  <c r="A524" i="5"/>
  <c r="L523" i="5"/>
  <c r="D523" i="5"/>
  <c r="C523" i="5"/>
  <c r="B523" i="5"/>
  <c r="A523" i="5"/>
  <c r="L522" i="5"/>
  <c r="D522" i="5"/>
  <c r="C522" i="5"/>
  <c r="B522" i="5"/>
  <c r="A522" i="5"/>
  <c r="L521" i="5"/>
  <c r="D521" i="5"/>
  <c r="C521" i="5"/>
  <c r="B521" i="5"/>
  <c r="A521" i="5"/>
  <c r="E521" i="5" s="1"/>
  <c r="L520" i="5"/>
  <c r="D520" i="5"/>
  <c r="C520" i="5"/>
  <c r="B520" i="5"/>
  <c r="A520" i="5"/>
  <c r="E520" i="5" s="1"/>
  <c r="L519" i="5"/>
  <c r="D519" i="5"/>
  <c r="C519" i="5"/>
  <c r="B519" i="5"/>
  <c r="A519" i="5"/>
  <c r="L518" i="5"/>
  <c r="D518" i="5"/>
  <c r="C518" i="5"/>
  <c r="B518" i="5"/>
  <c r="A518" i="5"/>
  <c r="L517" i="5"/>
  <c r="D517" i="5"/>
  <c r="C517" i="5"/>
  <c r="B517" i="5"/>
  <c r="A517" i="5"/>
  <c r="E517" i="5" s="1"/>
  <c r="L516" i="5"/>
  <c r="D516" i="5"/>
  <c r="C516" i="5"/>
  <c r="B516" i="5"/>
  <c r="A516" i="5"/>
  <c r="F516" i="5" s="1"/>
  <c r="L515" i="5"/>
  <c r="D515" i="5"/>
  <c r="C515" i="5"/>
  <c r="B515" i="5"/>
  <c r="A515" i="5"/>
  <c r="F515" i="5" s="1"/>
  <c r="L514" i="5"/>
  <c r="D514" i="5"/>
  <c r="C514" i="5"/>
  <c r="B514" i="5"/>
  <c r="A514" i="5"/>
  <c r="F514" i="5" s="1"/>
  <c r="L513" i="5"/>
  <c r="D513" i="5"/>
  <c r="C513" i="5"/>
  <c r="B513" i="5"/>
  <c r="A513" i="5"/>
  <c r="F513" i="5" s="1"/>
  <c r="L512" i="5"/>
  <c r="D512" i="5"/>
  <c r="C512" i="5"/>
  <c r="B512" i="5"/>
  <c r="A512" i="5"/>
  <c r="L511" i="5"/>
  <c r="D511" i="5"/>
  <c r="C511" i="5"/>
  <c r="B511" i="5"/>
  <c r="A511" i="5"/>
  <c r="L510" i="5"/>
  <c r="D510" i="5"/>
  <c r="C510" i="5"/>
  <c r="B510" i="5"/>
  <c r="A510" i="5"/>
  <c r="L509" i="5"/>
  <c r="D509" i="5"/>
  <c r="C509" i="5"/>
  <c r="B509" i="5"/>
  <c r="A509" i="5"/>
  <c r="F509" i="5" s="1"/>
  <c r="L508" i="5"/>
  <c r="D508" i="5"/>
  <c r="C508" i="5"/>
  <c r="B508" i="5"/>
  <c r="A508" i="5"/>
  <c r="L507" i="5"/>
  <c r="D507" i="5"/>
  <c r="C507" i="5"/>
  <c r="B507" i="5"/>
  <c r="A507" i="5"/>
  <c r="F507" i="5" s="1"/>
  <c r="L506" i="5"/>
  <c r="D506" i="5"/>
  <c r="C506" i="5"/>
  <c r="B506" i="5"/>
  <c r="A506" i="5"/>
  <c r="F506" i="5" s="1"/>
  <c r="L505" i="5"/>
  <c r="D505" i="5"/>
  <c r="C505" i="5"/>
  <c r="B505" i="5"/>
  <c r="A505" i="5"/>
  <c r="F505" i="5" s="1"/>
  <c r="L504" i="5"/>
  <c r="D504" i="5"/>
  <c r="C504" i="5"/>
  <c r="B504" i="5"/>
  <c r="A504" i="5"/>
  <c r="F504" i="5" s="1"/>
  <c r="L503" i="5"/>
  <c r="D503" i="5"/>
  <c r="C503" i="5"/>
  <c r="B503" i="5"/>
  <c r="A503" i="5"/>
  <c r="E503" i="5" s="1"/>
  <c r="L502" i="5"/>
  <c r="D502" i="5"/>
  <c r="C502" i="5"/>
  <c r="B502" i="5"/>
  <c r="A502" i="5"/>
  <c r="F502" i="5" s="1"/>
  <c r="L501" i="5"/>
  <c r="D501" i="5"/>
  <c r="C501" i="5"/>
  <c r="B501" i="5"/>
  <c r="A501" i="5"/>
  <c r="F501" i="5" s="1"/>
  <c r="L500" i="5"/>
  <c r="D500" i="5"/>
  <c r="C500" i="5"/>
  <c r="B500" i="5"/>
  <c r="A500" i="5"/>
  <c r="E500" i="5" s="1"/>
  <c r="L499" i="5"/>
  <c r="D499" i="5"/>
  <c r="C499" i="5"/>
  <c r="B499" i="5"/>
  <c r="A499" i="5"/>
  <c r="L498" i="5"/>
  <c r="D498" i="5"/>
  <c r="C498" i="5"/>
  <c r="B498" i="5"/>
  <c r="A498" i="5"/>
  <c r="F498" i="5" s="1"/>
  <c r="L497" i="5"/>
  <c r="D497" i="5"/>
  <c r="C497" i="5"/>
  <c r="B497" i="5"/>
  <c r="A497" i="5"/>
  <c r="E497" i="5" s="1"/>
  <c r="L496" i="5"/>
  <c r="D496" i="5"/>
  <c r="C496" i="5"/>
  <c r="B496" i="5"/>
  <c r="A496" i="5"/>
  <c r="E496" i="5" s="1"/>
  <c r="L495" i="5"/>
  <c r="D495" i="5"/>
  <c r="C495" i="5"/>
  <c r="B495" i="5"/>
  <c r="A495" i="5"/>
  <c r="L494" i="5"/>
  <c r="D494" i="5"/>
  <c r="C494" i="5"/>
  <c r="B494" i="5"/>
  <c r="A494" i="5"/>
  <c r="L493" i="5"/>
  <c r="D493" i="5"/>
  <c r="C493" i="5"/>
  <c r="B493" i="5"/>
  <c r="A493" i="5"/>
  <c r="F493" i="5" s="1"/>
  <c r="L492" i="5"/>
  <c r="D492" i="5"/>
  <c r="C492" i="5"/>
  <c r="B492" i="5"/>
  <c r="A492" i="5"/>
  <c r="L491" i="5"/>
  <c r="D491" i="5"/>
  <c r="C491" i="5"/>
  <c r="B491" i="5"/>
  <c r="A491" i="5"/>
  <c r="L490" i="5"/>
  <c r="D490" i="5"/>
  <c r="C490" i="5"/>
  <c r="B490" i="5"/>
  <c r="A490" i="5"/>
  <c r="L489" i="5"/>
  <c r="D489" i="5"/>
  <c r="C489" i="5"/>
  <c r="B489" i="5"/>
  <c r="A489" i="5"/>
  <c r="L488" i="5"/>
  <c r="D488" i="5"/>
  <c r="C488" i="5"/>
  <c r="B488" i="5"/>
  <c r="A488" i="5"/>
  <c r="L487" i="5"/>
  <c r="D487" i="5"/>
  <c r="C487" i="5"/>
  <c r="B487" i="5"/>
  <c r="A487" i="5"/>
  <c r="L486" i="5"/>
  <c r="D486" i="5"/>
  <c r="C486" i="5"/>
  <c r="B486" i="5"/>
  <c r="A486" i="5"/>
  <c r="L485" i="5"/>
  <c r="D485" i="5"/>
  <c r="C485" i="5"/>
  <c r="B485" i="5"/>
  <c r="A485" i="5"/>
  <c r="L484" i="5"/>
  <c r="D484" i="5"/>
  <c r="C484" i="5"/>
  <c r="B484" i="5"/>
  <c r="A484" i="5"/>
  <c r="E484" i="5" s="1"/>
  <c r="L483" i="5"/>
  <c r="D483" i="5"/>
  <c r="C483" i="5"/>
  <c r="B483" i="5"/>
  <c r="A483" i="5"/>
  <c r="L482" i="5"/>
  <c r="D482" i="5"/>
  <c r="C482" i="5"/>
  <c r="B482" i="5"/>
  <c r="A482" i="5"/>
  <c r="F482" i="5" s="1"/>
  <c r="L481" i="5"/>
  <c r="D481" i="5"/>
  <c r="C481" i="5"/>
  <c r="B481" i="5"/>
  <c r="A481" i="5"/>
  <c r="L480" i="5"/>
  <c r="D480" i="5"/>
  <c r="C480" i="5"/>
  <c r="B480" i="5"/>
  <c r="A480" i="5"/>
  <c r="L479" i="5"/>
  <c r="D479" i="5"/>
  <c r="C479" i="5"/>
  <c r="B479" i="5"/>
  <c r="A479" i="5"/>
  <c r="F479" i="5" s="1"/>
  <c r="L478" i="5"/>
  <c r="D478" i="5"/>
  <c r="C478" i="5"/>
  <c r="B478" i="5"/>
  <c r="A478" i="5"/>
  <c r="F478" i="5" s="1"/>
  <c r="L477" i="5"/>
  <c r="D477" i="5"/>
  <c r="C477" i="5"/>
  <c r="B477" i="5"/>
  <c r="A477" i="5"/>
  <c r="L476" i="5"/>
  <c r="D476" i="5"/>
  <c r="C476" i="5"/>
  <c r="B476" i="5"/>
  <c r="A476" i="5"/>
  <c r="F476" i="5" s="1"/>
  <c r="L475" i="5"/>
  <c r="D475" i="5"/>
  <c r="C475" i="5"/>
  <c r="B475" i="5"/>
  <c r="A475" i="5"/>
  <c r="E475" i="5" s="1"/>
  <c r="L474" i="5"/>
  <c r="D474" i="5"/>
  <c r="C474" i="5"/>
  <c r="B474" i="5"/>
  <c r="A474" i="5"/>
  <c r="E474" i="5" s="1"/>
  <c r="L473" i="5"/>
  <c r="D473" i="5"/>
  <c r="C473" i="5"/>
  <c r="B473" i="5"/>
  <c r="A473" i="5"/>
  <c r="F473" i="5" s="1"/>
  <c r="L472" i="5"/>
  <c r="D472" i="5"/>
  <c r="C472" i="5"/>
  <c r="B472" i="5"/>
  <c r="A472" i="5"/>
  <c r="E472" i="5" s="1"/>
  <c r="L471" i="5"/>
  <c r="D471" i="5"/>
  <c r="C471" i="5"/>
  <c r="B471" i="5"/>
  <c r="A471" i="5"/>
  <c r="L470" i="5"/>
  <c r="D470" i="5"/>
  <c r="C470" i="5"/>
  <c r="B470" i="5"/>
  <c r="A470" i="5"/>
  <c r="L469" i="5"/>
  <c r="D469" i="5"/>
  <c r="C469" i="5"/>
  <c r="B469" i="5"/>
  <c r="A469" i="5"/>
  <c r="L468" i="5"/>
  <c r="D468" i="5"/>
  <c r="C468" i="5"/>
  <c r="B468" i="5"/>
  <c r="A468" i="5"/>
  <c r="L467" i="5"/>
  <c r="D467" i="5"/>
  <c r="C467" i="5"/>
  <c r="B467" i="5"/>
  <c r="A467" i="5"/>
  <c r="E467" i="5" s="1"/>
  <c r="L466" i="5"/>
  <c r="D466" i="5"/>
  <c r="C466" i="5"/>
  <c r="B466" i="5"/>
  <c r="A466" i="5"/>
  <c r="F466" i="5" s="1"/>
  <c r="L465" i="5"/>
  <c r="D465" i="5"/>
  <c r="C465" i="5"/>
  <c r="B465" i="5"/>
  <c r="A465" i="5"/>
  <c r="F465" i="5" s="1"/>
  <c r="L464" i="5"/>
  <c r="D464" i="5"/>
  <c r="C464" i="5"/>
  <c r="B464" i="5"/>
  <c r="A464" i="5"/>
  <c r="F464" i="5" s="1"/>
  <c r="L463" i="5"/>
  <c r="D463" i="5"/>
  <c r="C463" i="5"/>
  <c r="B463" i="5"/>
  <c r="A463" i="5"/>
  <c r="L462" i="5"/>
  <c r="D462" i="5"/>
  <c r="C462" i="5"/>
  <c r="B462" i="5"/>
  <c r="A462" i="5"/>
  <c r="F462" i="5" s="1"/>
  <c r="L461" i="5"/>
  <c r="D461" i="5"/>
  <c r="C461" i="5"/>
  <c r="B461" i="5"/>
  <c r="A461" i="5"/>
  <c r="F461" i="5" s="1"/>
  <c r="L460" i="5"/>
  <c r="D460" i="5"/>
  <c r="C460" i="5"/>
  <c r="B460" i="5"/>
  <c r="A460" i="5"/>
  <c r="L459" i="5"/>
  <c r="D459" i="5"/>
  <c r="C459" i="5"/>
  <c r="B459" i="5"/>
  <c r="A459" i="5"/>
  <c r="E459" i="5" s="1"/>
  <c r="L458" i="5"/>
  <c r="D458" i="5"/>
  <c r="C458" i="5"/>
  <c r="B458" i="5"/>
  <c r="A458" i="5"/>
  <c r="L457" i="5"/>
  <c r="D457" i="5"/>
  <c r="C457" i="5"/>
  <c r="B457" i="5"/>
  <c r="A457" i="5"/>
  <c r="E457" i="5" s="1"/>
  <c r="L456" i="5"/>
  <c r="D456" i="5"/>
  <c r="C456" i="5"/>
  <c r="B456" i="5"/>
  <c r="A456" i="5"/>
  <c r="E456" i="5" s="1"/>
  <c r="L455" i="5"/>
  <c r="D455" i="5"/>
  <c r="C455" i="5"/>
  <c r="B455" i="5"/>
  <c r="A455" i="5"/>
  <c r="F455" i="5" s="1"/>
  <c r="L454" i="5"/>
  <c r="D454" i="5"/>
  <c r="C454" i="5"/>
  <c r="B454" i="5"/>
  <c r="A454" i="5"/>
  <c r="E454" i="5" s="1"/>
  <c r="L453" i="5"/>
  <c r="D453" i="5"/>
  <c r="C453" i="5"/>
  <c r="B453" i="5"/>
  <c r="A453" i="5"/>
  <c r="F453" i="5" s="1"/>
  <c r="L452" i="5"/>
  <c r="D452" i="5"/>
  <c r="C452" i="5"/>
  <c r="B452" i="5"/>
  <c r="A452" i="5"/>
  <c r="E452" i="5" s="1"/>
  <c r="L451" i="5"/>
  <c r="D451" i="5"/>
  <c r="C451" i="5"/>
  <c r="B451" i="5"/>
  <c r="A451" i="5"/>
  <c r="F451" i="5" s="1"/>
  <c r="L450" i="5"/>
  <c r="D450" i="5"/>
  <c r="C450" i="5"/>
  <c r="B450" i="5"/>
  <c r="A450" i="5"/>
  <c r="E450" i="5" s="1"/>
  <c r="L449" i="5"/>
  <c r="D449" i="5"/>
  <c r="C449" i="5"/>
  <c r="B449" i="5"/>
  <c r="A449" i="5"/>
  <c r="L448" i="5"/>
  <c r="D448" i="5"/>
  <c r="C448" i="5"/>
  <c r="B448" i="5"/>
  <c r="A448" i="5"/>
  <c r="L447" i="5"/>
  <c r="D447" i="5"/>
  <c r="C447" i="5"/>
  <c r="B447" i="5"/>
  <c r="A447" i="5"/>
  <c r="L446" i="5"/>
  <c r="D446" i="5"/>
  <c r="C446" i="5"/>
  <c r="B446" i="5"/>
  <c r="A446" i="5"/>
  <c r="F446" i="5" s="1"/>
  <c r="L445" i="5"/>
  <c r="D445" i="5"/>
  <c r="C445" i="5"/>
  <c r="B445" i="5"/>
  <c r="A445" i="5"/>
  <c r="L444" i="5"/>
  <c r="D444" i="5"/>
  <c r="C444" i="5"/>
  <c r="B444" i="5"/>
  <c r="A444" i="5"/>
  <c r="F444" i="5" s="1"/>
  <c r="L443" i="5"/>
  <c r="D443" i="5"/>
  <c r="C443" i="5"/>
  <c r="B443" i="5"/>
  <c r="A443" i="5"/>
  <c r="L442" i="5"/>
  <c r="D442" i="5"/>
  <c r="C442" i="5"/>
  <c r="B442" i="5"/>
  <c r="A442" i="5"/>
  <c r="F442" i="5" s="1"/>
  <c r="L441" i="5"/>
  <c r="D441" i="5"/>
  <c r="C441" i="5"/>
  <c r="B441" i="5"/>
  <c r="A441" i="5"/>
  <c r="L440" i="5"/>
  <c r="D440" i="5"/>
  <c r="C440" i="5"/>
  <c r="B440" i="5"/>
  <c r="A440" i="5"/>
  <c r="E440" i="5" s="1"/>
  <c r="L439" i="5"/>
  <c r="D439" i="5"/>
  <c r="C439" i="5"/>
  <c r="B439" i="5"/>
  <c r="A439" i="5"/>
  <c r="L438" i="5"/>
  <c r="D438" i="5"/>
  <c r="C438" i="5"/>
  <c r="B438" i="5"/>
  <c r="A438" i="5"/>
  <c r="E438" i="5" s="1"/>
  <c r="L437" i="5"/>
  <c r="D437" i="5"/>
  <c r="C437" i="5"/>
  <c r="B437" i="5"/>
  <c r="A437" i="5"/>
  <c r="L436" i="5"/>
  <c r="D436" i="5"/>
  <c r="C436" i="5"/>
  <c r="B436" i="5"/>
  <c r="A436" i="5"/>
  <c r="E436" i="5" s="1"/>
  <c r="L435" i="5"/>
  <c r="D435" i="5"/>
  <c r="C435" i="5"/>
  <c r="B435" i="5"/>
  <c r="A435" i="5"/>
  <c r="F435" i="5" s="1"/>
  <c r="L434" i="5"/>
  <c r="D434" i="5"/>
  <c r="C434" i="5"/>
  <c r="B434" i="5"/>
  <c r="A434" i="5"/>
  <c r="F434" i="5" s="1"/>
  <c r="L433" i="5"/>
  <c r="D433" i="5"/>
  <c r="C433" i="5"/>
  <c r="B433" i="5"/>
  <c r="A433" i="5"/>
  <c r="F433" i="5" s="1"/>
  <c r="L432" i="5"/>
  <c r="D432" i="5"/>
  <c r="C432" i="5"/>
  <c r="B432" i="5"/>
  <c r="A432" i="5"/>
  <c r="E432" i="5" s="1"/>
  <c r="L431" i="5"/>
  <c r="D431" i="5"/>
  <c r="C431" i="5"/>
  <c r="B431" i="5"/>
  <c r="A431" i="5"/>
  <c r="L430" i="5"/>
  <c r="D430" i="5"/>
  <c r="C430" i="5"/>
  <c r="B430" i="5"/>
  <c r="A430" i="5"/>
  <c r="F430" i="5" s="1"/>
  <c r="L429" i="5"/>
  <c r="D429" i="5"/>
  <c r="C429" i="5"/>
  <c r="B429" i="5"/>
  <c r="A429" i="5"/>
  <c r="L428" i="5"/>
  <c r="D428" i="5"/>
  <c r="C428" i="5"/>
  <c r="B428" i="5"/>
  <c r="A428" i="5"/>
  <c r="F428" i="5" s="1"/>
  <c r="L427" i="5"/>
  <c r="D427" i="5"/>
  <c r="C427" i="5"/>
  <c r="B427" i="5"/>
  <c r="A427" i="5"/>
  <c r="L426" i="5"/>
  <c r="D426" i="5"/>
  <c r="C426" i="5"/>
  <c r="B426" i="5"/>
  <c r="A426" i="5"/>
  <c r="L425" i="5"/>
  <c r="D425" i="5"/>
  <c r="C425" i="5"/>
  <c r="B425" i="5"/>
  <c r="A425" i="5"/>
  <c r="L424" i="5"/>
  <c r="D424" i="5"/>
  <c r="C424" i="5"/>
  <c r="B424" i="5"/>
  <c r="A424" i="5"/>
  <c r="L423" i="5"/>
  <c r="D423" i="5"/>
  <c r="C423" i="5"/>
  <c r="B423" i="5"/>
  <c r="A423" i="5"/>
  <c r="L422" i="5"/>
  <c r="D422" i="5"/>
  <c r="C422" i="5"/>
  <c r="B422" i="5"/>
  <c r="A422" i="5"/>
  <c r="L421" i="5"/>
  <c r="D421" i="5"/>
  <c r="C421" i="5"/>
  <c r="B421" i="5"/>
  <c r="A421" i="5"/>
  <c r="L420" i="5"/>
  <c r="D420" i="5"/>
  <c r="C420" i="5"/>
  <c r="B420" i="5"/>
  <c r="A420" i="5"/>
  <c r="F420" i="5" s="1"/>
  <c r="L419" i="5"/>
  <c r="D419" i="5"/>
  <c r="C419" i="5"/>
  <c r="B419" i="5"/>
  <c r="A419" i="5"/>
  <c r="L418" i="5"/>
  <c r="D418" i="5"/>
  <c r="C418" i="5"/>
  <c r="B418" i="5"/>
  <c r="A418" i="5"/>
  <c r="E418" i="5" s="1"/>
  <c r="L417" i="5"/>
  <c r="D417" i="5"/>
  <c r="C417" i="5"/>
  <c r="B417" i="5"/>
  <c r="A417" i="5"/>
  <c r="L416" i="5"/>
  <c r="D416" i="5"/>
  <c r="C416" i="5"/>
  <c r="B416" i="5"/>
  <c r="A416" i="5"/>
  <c r="F416" i="5" s="1"/>
  <c r="L415" i="5"/>
  <c r="D415" i="5"/>
  <c r="C415" i="5"/>
  <c r="B415" i="5"/>
  <c r="A415" i="5"/>
  <c r="L414" i="5"/>
  <c r="D414" i="5"/>
  <c r="C414" i="5"/>
  <c r="B414" i="5"/>
  <c r="A414" i="5"/>
  <c r="F414" i="5" s="1"/>
  <c r="L413" i="5"/>
  <c r="D413" i="5"/>
  <c r="C413" i="5"/>
  <c r="B413" i="5"/>
  <c r="A413" i="5"/>
  <c r="F413" i="5" s="1"/>
  <c r="L412" i="5"/>
  <c r="D412" i="5"/>
  <c r="C412" i="5"/>
  <c r="B412" i="5"/>
  <c r="A412" i="5"/>
  <c r="L411" i="5"/>
  <c r="D411" i="5"/>
  <c r="C411" i="5"/>
  <c r="B411" i="5"/>
  <c r="A411" i="5"/>
  <c r="L410" i="5"/>
  <c r="D410" i="5"/>
  <c r="C410" i="5"/>
  <c r="B410" i="5"/>
  <c r="A410" i="5"/>
  <c r="E410" i="5" s="1"/>
  <c r="L409" i="5"/>
  <c r="D409" i="5"/>
  <c r="C409" i="5"/>
  <c r="B409" i="5"/>
  <c r="A409" i="5"/>
  <c r="E409" i="5" s="1"/>
  <c r="L408" i="5"/>
  <c r="D408" i="5"/>
  <c r="C408" i="5"/>
  <c r="B408" i="5"/>
  <c r="A408" i="5"/>
  <c r="F408" i="5" s="1"/>
  <c r="L407" i="5"/>
  <c r="D407" i="5"/>
  <c r="C407" i="5"/>
  <c r="B407" i="5"/>
  <c r="A407" i="5"/>
  <c r="E407" i="5" s="1"/>
  <c r="L406" i="5"/>
  <c r="D406" i="5"/>
  <c r="C406" i="5"/>
  <c r="B406" i="5"/>
  <c r="A406" i="5"/>
  <c r="F406" i="5" s="1"/>
  <c r="L405" i="5"/>
  <c r="D405" i="5"/>
  <c r="C405" i="5"/>
  <c r="B405" i="5"/>
  <c r="A405" i="5"/>
  <c r="F405" i="5" s="1"/>
  <c r="L404" i="5"/>
  <c r="D404" i="5"/>
  <c r="C404" i="5"/>
  <c r="B404" i="5"/>
  <c r="A404" i="5"/>
  <c r="E404" i="5" s="1"/>
  <c r="L403" i="5"/>
  <c r="D403" i="5"/>
  <c r="C403" i="5"/>
  <c r="B403" i="5"/>
  <c r="A403" i="5"/>
  <c r="F403" i="5" s="1"/>
  <c r="L402" i="5"/>
  <c r="D402" i="5"/>
  <c r="C402" i="5"/>
  <c r="B402" i="5"/>
  <c r="A402" i="5"/>
  <c r="L401" i="5"/>
  <c r="D401" i="5"/>
  <c r="C401" i="5"/>
  <c r="B401" i="5"/>
  <c r="A401" i="5"/>
  <c r="F401" i="5" s="1"/>
  <c r="L400" i="5"/>
  <c r="D400" i="5"/>
  <c r="C400" i="5"/>
  <c r="B400" i="5"/>
  <c r="A400" i="5"/>
  <c r="L399" i="5"/>
  <c r="D399" i="5"/>
  <c r="C399" i="5"/>
  <c r="B399" i="5"/>
  <c r="A399" i="5"/>
  <c r="F399" i="5" s="1"/>
  <c r="L398" i="5"/>
  <c r="D398" i="5"/>
  <c r="C398" i="5"/>
  <c r="B398" i="5"/>
  <c r="A398" i="5"/>
  <c r="L397" i="5"/>
  <c r="D397" i="5"/>
  <c r="C397" i="5"/>
  <c r="B397" i="5"/>
  <c r="A397" i="5"/>
  <c r="E397" i="5" s="1"/>
  <c r="L396" i="5"/>
  <c r="D396" i="5"/>
  <c r="C396" i="5"/>
  <c r="B396" i="5"/>
  <c r="A396" i="5"/>
  <c r="L395" i="5"/>
  <c r="D395" i="5"/>
  <c r="C395" i="5"/>
  <c r="B395" i="5"/>
  <c r="A395" i="5"/>
  <c r="E395" i="5" s="1"/>
  <c r="L394" i="5"/>
  <c r="D394" i="5"/>
  <c r="C394" i="5"/>
  <c r="B394" i="5"/>
  <c r="A394" i="5"/>
  <c r="L393" i="5"/>
  <c r="D393" i="5"/>
  <c r="C393" i="5"/>
  <c r="B393" i="5"/>
  <c r="A393" i="5"/>
  <c r="F393" i="5" s="1"/>
  <c r="L392" i="5"/>
  <c r="D392" i="5"/>
  <c r="C392" i="5"/>
  <c r="B392" i="5"/>
  <c r="A392" i="5"/>
  <c r="L391" i="5"/>
  <c r="D391" i="5"/>
  <c r="C391" i="5"/>
  <c r="B391" i="5"/>
  <c r="A391" i="5"/>
  <c r="E391" i="5" s="1"/>
  <c r="L390" i="5"/>
  <c r="D390" i="5"/>
  <c r="C390" i="5"/>
  <c r="B390" i="5"/>
  <c r="A390" i="5"/>
  <c r="E390" i="5" s="1"/>
  <c r="L389" i="5"/>
  <c r="D389" i="5"/>
  <c r="C389" i="5"/>
  <c r="B389" i="5"/>
  <c r="A389" i="5"/>
  <c r="L388" i="5"/>
  <c r="D388" i="5"/>
  <c r="C388" i="5"/>
  <c r="B388" i="5"/>
  <c r="A388" i="5"/>
  <c r="L387" i="5"/>
  <c r="D387" i="5"/>
  <c r="C387" i="5"/>
  <c r="B387" i="5"/>
  <c r="A387" i="5"/>
  <c r="L386" i="5"/>
  <c r="D386" i="5"/>
  <c r="C386" i="5"/>
  <c r="B386" i="5"/>
  <c r="A386" i="5"/>
  <c r="F386" i="5" s="1"/>
  <c r="L385" i="5"/>
  <c r="D385" i="5"/>
  <c r="C385" i="5"/>
  <c r="B385" i="5"/>
  <c r="A385" i="5"/>
  <c r="L384" i="5"/>
  <c r="D384" i="5"/>
  <c r="C384" i="5"/>
  <c r="B384" i="5"/>
  <c r="A384" i="5"/>
  <c r="L383" i="5"/>
  <c r="D383" i="5"/>
  <c r="C383" i="5"/>
  <c r="B383" i="5"/>
  <c r="A383" i="5"/>
  <c r="L382" i="5"/>
  <c r="D382" i="5"/>
  <c r="C382" i="5"/>
  <c r="B382" i="5"/>
  <c r="A382" i="5"/>
  <c r="E382" i="5" s="1"/>
  <c r="L381" i="5"/>
  <c r="D381" i="5"/>
  <c r="C381" i="5"/>
  <c r="B381" i="5"/>
  <c r="A381" i="5"/>
  <c r="F381" i="5" s="1"/>
  <c r="L380" i="5"/>
  <c r="D380" i="5"/>
  <c r="C380" i="5"/>
  <c r="B380" i="5"/>
  <c r="A380" i="5"/>
  <c r="L379" i="5"/>
  <c r="D379" i="5"/>
  <c r="C379" i="5"/>
  <c r="B379" i="5"/>
  <c r="A379" i="5"/>
  <c r="L378" i="5"/>
  <c r="D378" i="5"/>
  <c r="C378" i="5"/>
  <c r="B378" i="5"/>
  <c r="A378" i="5"/>
  <c r="L377" i="5"/>
  <c r="D377" i="5"/>
  <c r="C377" i="5"/>
  <c r="B377" i="5"/>
  <c r="A377" i="5"/>
  <c r="E377" i="5" s="1"/>
  <c r="L376" i="5"/>
  <c r="D376" i="5"/>
  <c r="C376" i="5"/>
  <c r="B376" i="5"/>
  <c r="A376" i="5"/>
  <c r="L375" i="5"/>
  <c r="D375" i="5"/>
  <c r="C375" i="5"/>
  <c r="B375" i="5"/>
  <c r="A375" i="5"/>
  <c r="L374" i="5"/>
  <c r="D374" i="5"/>
  <c r="C374" i="5"/>
  <c r="B374" i="5"/>
  <c r="A374" i="5"/>
  <c r="L373" i="5"/>
  <c r="D373" i="5"/>
  <c r="C373" i="5"/>
  <c r="B373" i="5"/>
  <c r="A373" i="5"/>
  <c r="E373" i="5" s="1"/>
  <c r="L372" i="5"/>
  <c r="D372" i="5"/>
  <c r="C372" i="5"/>
  <c r="B372" i="5"/>
  <c r="A372" i="5"/>
  <c r="F372" i="5" s="1"/>
  <c r="L371" i="5"/>
  <c r="D371" i="5"/>
  <c r="C371" i="5"/>
  <c r="B371" i="5"/>
  <c r="A371" i="5"/>
  <c r="E371" i="5" s="1"/>
  <c r="L370" i="5"/>
  <c r="D370" i="5"/>
  <c r="C370" i="5"/>
  <c r="B370" i="5"/>
  <c r="A370" i="5"/>
  <c r="E370" i="5" s="1"/>
  <c r="L369" i="5"/>
  <c r="D369" i="5"/>
  <c r="C369" i="5"/>
  <c r="B369" i="5"/>
  <c r="A369" i="5"/>
  <c r="F369" i="5" s="1"/>
  <c r="L368" i="5"/>
  <c r="D368" i="5"/>
  <c r="C368" i="5"/>
  <c r="B368" i="5"/>
  <c r="A368" i="5"/>
  <c r="L367" i="5"/>
  <c r="D367" i="5"/>
  <c r="C367" i="5"/>
  <c r="B367" i="5"/>
  <c r="A367" i="5"/>
  <c r="F367" i="5" s="1"/>
  <c r="L366" i="5"/>
  <c r="D366" i="5"/>
  <c r="C366" i="5"/>
  <c r="B366" i="5"/>
  <c r="A366" i="5"/>
  <c r="E366" i="5" s="1"/>
  <c r="L365" i="5"/>
  <c r="D365" i="5"/>
  <c r="C365" i="5"/>
  <c r="B365" i="5"/>
  <c r="A365" i="5"/>
  <c r="L364" i="5"/>
  <c r="D364" i="5"/>
  <c r="C364" i="5"/>
  <c r="B364" i="5"/>
  <c r="A364" i="5"/>
  <c r="E364" i="5" s="1"/>
  <c r="L363" i="5"/>
  <c r="D363" i="5"/>
  <c r="C363" i="5"/>
  <c r="B363" i="5"/>
  <c r="A363" i="5"/>
  <c r="E363" i="5" s="1"/>
  <c r="L362" i="5"/>
  <c r="D362" i="5"/>
  <c r="C362" i="5"/>
  <c r="B362" i="5"/>
  <c r="A362" i="5"/>
  <c r="L361" i="5"/>
  <c r="D361" i="5"/>
  <c r="C361" i="5"/>
  <c r="B361" i="5"/>
  <c r="A361" i="5"/>
  <c r="F361" i="5" s="1"/>
  <c r="L360" i="5"/>
  <c r="D360" i="5"/>
  <c r="C360" i="5"/>
  <c r="B360" i="5"/>
  <c r="A360" i="5"/>
  <c r="E360" i="5" s="1"/>
  <c r="L359" i="5"/>
  <c r="D359" i="5"/>
  <c r="C359" i="5"/>
  <c r="B359" i="5"/>
  <c r="A359" i="5"/>
  <c r="E359" i="5" s="1"/>
  <c r="L358" i="5"/>
  <c r="D358" i="5"/>
  <c r="C358" i="5"/>
  <c r="B358" i="5"/>
  <c r="A358" i="5"/>
  <c r="L357" i="5"/>
  <c r="D357" i="5"/>
  <c r="C357" i="5"/>
  <c r="B357" i="5"/>
  <c r="A357" i="5"/>
  <c r="L356" i="5"/>
  <c r="D356" i="5"/>
  <c r="C356" i="5"/>
  <c r="B356" i="5"/>
  <c r="A356" i="5"/>
  <c r="E356" i="5" s="1"/>
  <c r="L355" i="5"/>
  <c r="D355" i="5"/>
  <c r="C355" i="5"/>
  <c r="B355" i="5"/>
  <c r="A355" i="5"/>
  <c r="L354" i="5"/>
  <c r="D354" i="5"/>
  <c r="C354" i="5"/>
  <c r="B354" i="5"/>
  <c r="A354" i="5"/>
  <c r="E354" i="5" s="1"/>
  <c r="L353" i="5"/>
  <c r="D353" i="5"/>
  <c r="C353" i="5"/>
  <c r="B353" i="5"/>
  <c r="A353" i="5"/>
  <c r="L352" i="5"/>
  <c r="D352" i="5"/>
  <c r="C352" i="5"/>
  <c r="B352" i="5"/>
  <c r="A352" i="5"/>
  <c r="L351" i="5"/>
  <c r="D351" i="5"/>
  <c r="C351" i="5"/>
  <c r="B351" i="5"/>
  <c r="A351" i="5"/>
  <c r="E351" i="5" s="1"/>
  <c r="L350" i="5"/>
  <c r="D350" i="5"/>
  <c r="C350" i="5"/>
  <c r="B350" i="5"/>
  <c r="A350" i="5"/>
  <c r="F350" i="5" s="1"/>
  <c r="L349" i="5"/>
  <c r="D349" i="5"/>
  <c r="C349" i="5"/>
  <c r="B349" i="5"/>
  <c r="A349" i="5"/>
  <c r="E349" i="5" s="1"/>
  <c r="L348" i="5"/>
  <c r="D348" i="5"/>
  <c r="C348" i="5"/>
  <c r="B348" i="5"/>
  <c r="A348" i="5"/>
  <c r="L347" i="5"/>
  <c r="D347" i="5"/>
  <c r="C347" i="5"/>
  <c r="B347" i="5"/>
  <c r="A347" i="5"/>
  <c r="F347" i="5" s="1"/>
  <c r="L346" i="5"/>
  <c r="D346" i="5"/>
  <c r="C346" i="5"/>
  <c r="B346" i="5"/>
  <c r="A346" i="5"/>
  <c r="F346" i="5" s="1"/>
  <c r="L345" i="5"/>
  <c r="D345" i="5"/>
  <c r="C345" i="5"/>
  <c r="B345" i="5"/>
  <c r="A345" i="5"/>
  <c r="L344" i="5"/>
  <c r="D344" i="5"/>
  <c r="C344" i="5"/>
  <c r="B344" i="5"/>
  <c r="A344" i="5"/>
  <c r="L343" i="5"/>
  <c r="D343" i="5"/>
  <c r="C343" i="5"/>
  <c r="B343" i="5"/>
  <c r="A343" i="5"/>
  <c r="L342" i="5"/>
  <c r="D342" i="5"/>
  <c r="C342" i="5"/>
  <c r="B342" i="5"/>
  <c r="A342" i="5"/>
  <c r="F342" i="5" s="1"/>
  <c r="L341" i="5"/>
  <c r="D341" i="5"/>
  <c r="C341" i="5"/>
  <c r="B341" i="5"/>
  <c r="A341" i="5"/>
  <c r="L340" i="5"/>
  <c r="D340" i="5"/>
  <c r="C340" i="5"/>
  <c r="B340" i="5"/>
  <c r="A340" i="5"/>
  <c r="L339" i="5"/>
  <c r="D339" i="5"/>
  <c r="C339" i="5"/>
  <c r="B339" i="5"/>
  <c r="A339" i="5"/>
  <c r="F339" i="5" s="1"/>
  <c r="L338" i="5"/>
  <c r="D338" i="5"/>
  <c r="C338" i="5"/>
  <c r="B338" i="5"/>
  <c r="A338" i="5"/>
  <c r="F338" i="5" s="1"/>
  <c r="L337" i="5"/>
  <c r="D337" i="5"/>
  <c r="C337" i="5"/>
  <c r="B337" i="5"/>
  <c r="A337" i="5"/>
  <c r="E337" i="5" s="1"/>
  <c r="L336" i="5"/>
  <c r="D336" i="5"/>
  <c r="C336" i="5"/>
  <c r="B336" i="5"/>
  <c r="A336" i="5"/>
  <c r="F336" i="5" s="1"/>
  <c r="L335" i="5"/>
  <c r="D335" i="5"/>
  <c r="C335" i="5"/>
  <c r="B335" i="5"/>
  <c r="A335" i="5"/>
  <c r="F335" i="5" s="1"/>
  <c r="L334" i="5"/>
  <c r="D334" i="5"/>
  <c r="C334" i="5"/>
  <c r="B334" i="5"/>
  <c r="A334" i="5"/>
  <c r="F334" i="5" s="1"/>
  <c r="L333" i="5"/>
  <c r="D333" i="5"/>
  <c r="C333" i="5"/>
  <c r="B333" i="5"/>
  <c r="A333" i="5"/>
  <c r="F333" i="5" s="1"/>
  <c r="L332" i="5"/>
  <c r="D332" i="5"/>
  <c r="C332" i="5"/>
  <c r="B332" i="5"/>
  <c r="A332" i="5"/>
  <c r="F332" i="5" s="1"/>
  <c r="L331" i="5"/>
  <c r="D331" i="5"/>
  <c r="C331" i="5"/>
  <c r="B331" i="5"/>
  <c r="A331" i="5"/>
  <c r="E331" i="5" s="1"/>
  <c r="L330" i="5"/>
  <c r="D330" i="5"/>
  <c r="C330" i="5"/>
  <c r="B330" i="5"/>
  <c r="A330" i="5"/>
  <c r="E330" i="5" s="1"/>
  <c r="L329" i="5"/>
  <c r="D329" i="5"/>
  <c r="C329" i="5"/>
  <c r="B329" i="5"/>
  <c r="A329" i="5"/>
  <c r="L328" i="5"/>
  <c r="D328" i="5"/>
  <c r="C328" i="5"/>
  <c r="B328" i="5"/>
  <c r="A328" i="5"/>
  <c r="E328" i="5" s="1"/>
  <c r="L327" i="5"/>
  <c r="D327" i="5"/>
  <c r="C327" i="5"/>
  <c r="B327" i="5"/>
  <c r="A327" i="5"/>
  <c r="F327" i="5" s="1"/>
  <c r="L326" i="5"/>
  <c r="D326" i="5"/>
  <c r="C326" i="5"/>
  <c r="B326" i="5"/>
  <c r="A326" i="5"/>
  <c r="F326" i="5" s="1"/>
  <c r="L325" i="5"/>
  <c r="D325" i="5"/>
  <c r="C325" i="5"/>
  <c r="B325" i="5"/>
  <c r="A325" i="5"/>
  <c r="F325" i="5" s="1"/>
  <c r="L324" i="5"/>
  <c r="D324" i="5"/>
  <c r="C324" i="5"/>
  <c r="B324" i="5"/>
  <c r="A324" i="5"/>
  <c r="L323" i="5"/>
  <c r="D323" i="5"/>
  <c r="C323" i="5"/>
  <c r="B323" i="5"/>
  <c r="A323" i="5"/>
  <c r="E323" i="5" s="1"/>
  <c r="L322" i="5"/>
  <c r="D322" i="5"/>
  <c r="C322" i="5"/>
  <c r="B322" i="5"/>
  <c r="A322" i="5"/>
  <c r="L321" i="5"/>
  <c r="D321" i="5"/>
  <c r="C321" i="5"/>
  <c r="B321" i="5"/>
  <c r="A321" i="5"/>
  <c r="F321" i="5" s="1"/>
  <c r="L320" i="5"/>
  <c r="D320" i="5"/>
  <c r="C320" i="5"/>
  <c r="B320" i="5"/>
  <c r="A320" i="5"/>
  <c r="L319" i="5"/>
  <c r="D319" i="5"/>
  <c r="C319" i="5"/>
  <c r="B319" i="5"/>
  <c r="A319" i="5"/>
  <c r="F319" i="5" s="1"/>
  <c r="L318" i="5"/>
  <c r="D318" i="5"/>
  <c r="C318" i="5"/>
  <c r="B318" i="5"/>
  <c r="A318" i="5"/>
  <c r="L317" i="5"/>
  <c r="D317" i="5"/>
  <c r="C317" i="5"/>
  <c r="B317" i="5"/>
  <c r="A317" i="5"/>
  <c r="E317" i="5" s="1"/>
  <c r="L316" i="5"/>
  <c r="D316" i="5"/>
  <c r="C316" i="5"/>
  <c r="B316" i="5"/>
  <c r="A316" i="5"/>
  <c r="E316" i="5" s="1"/>
  <c r="L315" i="5"/>
  <c r="D315" i="5"/>
  <c r="C315" i="5"/>
  <c r="B315" i="5"/>
  <c r="A315" i="5"/>
  <c r="E315" i="5" s="1"/>
  <c r="L314" i="5"/>
  <c r="D314" i="5"/>
  <c r="C314" i="5"/>
  <c r="B314" i="5"/>
  <c r="A314" i="5"/>
  <c r="F314" i="5" s="1"/>
  <c r="L313" i="5"/>
  <c r="D313" i="5"/>
  <c r="C313" i="5"/>
  <c r="B313" i="5"/>
  <c r="A313" i="5"/>
  <c r="E313" i="5" s="1"/>
  <c r="L312" i="5"/>
  <c r="D312" i="5"/>
  <c r="C312" i="5"/>
  <c r="B312" i="5"/>
  <c r="A312" i="5"/>
  <c r="L311" i="5"/>
  <c r="D311" i="5"/>
  <c r="C311" i="5"/>
  <c r="B311" i="5"/>
  <c r="A311" i="5"/>
  <c r="L310" i="5"/>
  <c r="D310" i="5"/>
  <c r="C310" i="5"/>
  <c r="B310" i="5"/>
  <c r="A310" i="5"/>
  <c r="L309" i="5"/>
  <c r="D309" i="5"/>
  <c r="C309" i="5"/>
  <c r="B309" i="5"/>
  <c r="A309" i="5"/>
  <c r="L308" i="5"/>
  <c r="D308" i="5"/>
  <c r="C308" i="5"/>
  <c r="B308" i="5"/>
  <c r="A308" i="5"/>
  <c r="E308" i="5" s="1"/>
  <c r="L307" i="5"/>
  <c r="D307" i="5"/>
  <c r="C307" i="5"/>
  <c r="B307" i="5"/>
  <c r="A307" i="5"/>
  <c r="L306" i="5"/>
  <c r="D306" i="5"/>
  <c r="C306" i="5"/>
  <c r="B306" i="5"/>
  <c r="A306" i="5"/>
  <c r="F306" i="5" s="1"/>
  <c r="L305" i="5"/>
  <c r="D305" i="5"/>
  <c r="C305" i="5"/>
  <c r="B305" i="5"/>
  <c r="A305" i="5"/>
  <c r="F305" i="5" s="1"/>
  <c r="L304" i="5"/>
  <c r="D304" i="5"/>
  <c r="C304" i="5"/>
  <c r="B304" i="5"/>
  <c r="A304" i="5"/>
  <c r="E304" i="5" s="1"/>
  <c r="L303" i="5"/>
  <c r="D303" i="5"/>
  <c r="C303" i="5"/>
  <c r="B303" i="5"/>
  <c r="A303" i="5"/>
  <c r="F303" i="5" s="1"/>
  <c r="L302" i="5"/>
  <c r="D302" i="5"/>
  <c r="C302" i="5"/>
  <c r="B302" i="5"/>
  <c r="A302" i="5"/>
  <c r="F302" i="5" s="1"/>
  <c r="L301" i="5"/>
  <c r="D301" i="5"/>
  <c r="C301" i="5"/>
  <c r="B301" i="5"/>
  <c r="A301" i="5"/>
  <c r="L300" i="5"/>
  <c r="D300" i="5"/>
  <c r="C300" i="5"/>
  <c r="B300" i="5"/>
  <c r="A300" i="5"/>
  <c r="F300" i="5" s="1"/>
  <c r="L299" i="5"/>
  <c r="D299" i="5"/>
  <c r="C299" i="5"/>
  <c r="B299" i="5"/>
  <c r="A299" i="5"/>
  <c r="L298" i="5"/>
  <c r="D298" i="5"/>
  <c r="C298" i="5"/>
  <c r="B298" i="5"/>
  <c r="A298" i="5"/>
  <c r="L297" i="5"/>
  <c r="D297" i="5"/>
  <c r="C297" i="5"/>
  <c r="B297" i="5"/>
  <c r="A297" i="5"/>
  <c r="L296" i="5"/>
  <c r="D296" i="5"/>
  <c r="C296" i="5"/>
  <c r="B296" i="5"/>
  <c r="A296" i="5"/>
  <c r="E296" i="5" s="1"/>
  <c r="L295" i="5"/>
  <c r="D295" i="5"/>
  <c r="C295" i="5"/>
  <c r="B295" i="5"/>
  <c r="A295" i="5"/>
  <c r="L294" i="5"/>
  <c r="D294" i="5"/>
  <c r="C294" i="5"/>
  <c r="B294" i="5"/>
  <c r="A294" i="5"/>
  <c r="L293" i="5"/>
  <c r="D293" i="5"/>
  <c r="C293" i="5"/>
  <c r="B293" i="5"/>
  <c r="A293" i="5"/>
  <c r="L292" i="5"/>
  <c r="D292" i="5"/>
  <c r="C292" i="5"/>
  <c r="B292" i="5"/>
  <c r="A292" i="5"/>
  <c r="L291" i="5"/>
  <c r="D291" i="5"/>
  <c r="C291" i="5"/>
  <c r="B291" i="5"/>
  <c r="A291" i="5"/>
  <c r="F291" i="5" s="1"/>
  <c r="L290" i="5"/>
  <c r="D290" i="5"/>
  <c r="C290" i="5"/>
  <c r="B290" i="5"/>
  <c r="A290" i="5"/>
  <c r="L289" i="5"/>
  <c r="D289" i="5"/>
  <c r="C289" i="5"/>
  <c r="B289" i="5"/>
  <c r="A289" i="5"/>
  <c r="L288" i="5"/>
  <c r="D288" i="5"/>
  <c r="C288" i="5"/>
  <c r="B288" i="5"/>
  <c r="A288" i="5"/>
  <c r="L287" i="5"/>
  <c r="D287" i="5"/>
  <c r="C287" i="5"/>
  <c r="B287" i="5"/>
  <c r="A287" i="5"/>
  <c r="L286" i="5"/>
  <c r="D286" i="5"/>
  <c r="C286" i="5"/>
  <c r="B286" i="5"/>
  <c r="A286" i="5"/>
  <c r="L285" i="5"/>
  <c r="D285" i="5"/>
  <c r="C285" i="5"/>
  <c r="B285" i="5"/>
  <c r="A285" i="5"/>
  <c r="L284" i="5"/>
  <c r="D284" i="5"/>
  <c r="C284" i="5"/>
  <c r="B284" i="5"/>
  <c r="A284" i="5"/>
  <c r="F284" i="5" s="1"/>
  <c r="L283" i="5"/>
  <c r="D283" i="5"/>
  <c r="C283" i="5"/>
  <c r="B283" i="5"/>
  <c r="A283" i="5"/>
  <c r="F283" i="5" s="1"/>
  <c r="L282" i="5"/>
  <c r="D282" i="5"/>
  <c r="C282" i="5"/>
  <c r="B282" i="5"/>
  <c r="A282" i="5"/>
  <c r="F282" i="5" s="1"/>
  <c r="L281" i="5"/>
  <c r="D281" i="5"/>
  <c r="C281" i="5"/>
  <c r="B281" i="5"/>
  <c r="A281" i="5"/>
  <c r="F281" i="5" s="1"/>
  <c r="L280" i="5"/>
  <c r="D280" i="5"/>
  <c r="C280" i="5"/>
  <c r="B280" i="5"/>
  <c r="A280" i="5"/>
  <c r="E280" i="5" s="1"/>
  <c r="L279" i="5"/>
  <c r="D279" i="5"/>
  <c r="C279" i="5"/>
  <c r="B279" i="5"/>
  <c r="A279" i="5"/>
  <c r="F279" i="5" s="1"/>
  <c r="L278" i="5"/>
  <c r="D278" i="5"/>
  <c r="C278" i="5"/>
  <c r="B278" i="5"/>
  <c r="A278" i="5"/>
  <c r="L277" i="5"/>
  <c r="D277" i="5"/>
  <c r="C277" i="5"/>
  <c r="B277" i="5"/>
  <c r="A277" i="5"/>
  <c r="E277" i="5" s="1"/>
  <c r="L276" i="5"/>
  <c r="D276" i="5"/>
  <c r="C276" i="5"/>
  <c r="B276" i="5"/>
  <c r="A276" i="5"/>
  <c r="E276" i="5" s="1"/>
  <c r="L275" i="5"/>
  <c r="D275" i="5"/>
  <c r="C275" i="5"/>
  <c r="B275" i="5"/>
  <c r="A275" i="5"/>
  <c r="L274" i="5"/>
  <c r="D274" i="5"/>
  <c r="C274" i="5"/>
  <c r="B274" i="5"/>
  <c r="A274" i="5"/>
  <c r="L273" i="5"/>
  <c r="D273" i="5"/>
  <c r="C273" i="5"/>
  <c r="B273" i="5"/>
  <c r="A273" i="5"/>
  <c r="L272" i="5"/>
  <c r="D272" i="5"/>
  <c r="C272" i="5"/>
  <c r="B272" i="5"/>
  <c r="A272" i="5"/>
  <c r="E272" i="5" s="1"/>
  <c r="L271" i="5"/>
  <c r="D271" i="5"/>
  <c r="C271" i="5"/>
  <c r="B271" i="5"/>
  <c r="A271" i="5"/>
  <c r="L270" i="5"/>
  <c r="D270" i="5"/>
  <c r="C270" i="5"/>
  <c r="B270" i="5"/>
  <c r="A270" i="5"/>
  <c r="F270" i="5" s="1"/>
  <c r="L269" i="5"/>
  <c r="D269" i="5"/>
  <c r="C269" i="5"/>
  <c r="B269" i="5"/>
  <c r="A269" i="5"/>
  <c r="F269" i="5" s="1"/>
  <c r="L268" i="5"/>
  <c r="D268" i="5"/>
  <c r="C268" i="5"/>
  <c r="B268" i="5"/>
  <c r="A268" i="5"/>
  <c r="E268" i="5" s="1"/>
  <c r="L267" i="5"/>
  <c r="D267" i="5"/>
  <c r="C267" i="5"/>
  <c r="B267" i="5"/>
  <c r="A267" i="5"/>
  <c r="F267" i="5" s="1"/>
  <c r="L266" i="5"/>
  <c r="D266" i="5"/>
  <c r="C266" i="5"/>
  <c r="B266" i="5"/>
  <c r="A266" i="5"/>
  <c r="E266" i="5" s="1"/>
  <c r="L265" i="5"/>
  <c r="D265" i="5"/>
  <c r="C265" i="5"/>
  <c r="B265" i="5"/>
  <c r="A265" i="5"/>
  <c r="E265" i="5" s="1"/>
  <c r="L264" i="5"/>
  <c r="D264" i="5"/>
  <c r="C264" i="5"/>
  <c r="B264" i="5"/>
  <c r="A264" i="5"/>
  <c r="L263" i="5"/>
  <c r="D263" i="5"/>
  <c r="C263" i="5"/>
  <c r="B263" i="5"/>
  <c r="A263" i="5"/>
  <c r="L262" i="5"/>
  <c r="D262" i="5"/>
  <c r="C262" i="5"/>
  <c r="B262" i="5"/>
  <c r="A262" i="5"/>
  <c r="L261" i="5"/>
  <c r="D261" i="5"/>
  <c r="C261" i="5"/>
  <c r="B261" i="5"/>
  <c r="A261" i="5"/>
  <c r="F261" i="5" s="1"/>
  <c r="L260" i="5"/>
  <c r="D260" i="5"/>
  <c r="C260" i="5"/>
  <c r="B260" i="5"/>
  <c r="A260" i="5"/>
  <c r="F260" i="5" s="1"/>
  <c r="L259" i="5"/>
  <c r="D259" i="5"/>
  <c r="C259" i="5"/>
  <c r="B259" i="5"/>
  <c r="A259" i="5"/>
  <c r="L258" i="5"/>
  <c r="D258" i="5"/>
  <c r="C258" i="5"/>
  <c r="B258" i="5"/>
  <c r="A258" i="5"/>
  <c r="F258" i="5" s="1"/>
  <c r="L257" i="5"/>
  <c r="D257" i="5"/>
  <c r="C257" i="5"/>
  <c r="B257" i="5"/>
  <c r="A257" i="5"/>
  <c r="E257" i="5" s="1"/>
  <c r="L256" i="5"/>
  <c r="D256" i="5"/>
  <c r="C256" i="5"/>
  <c r="B256" i="5"/>
  <c r="A256" i="5"/>
  <c r="E256" i="5" s="1"/>
  <c r="L255" i="5"/>
  <c r="D255" i="5"/>
  <c r="C255" i="5"/>
  <c r="B255" i="5"/>
  <c r="A255" i="5"/>
  <c r="L254" i="5"/>
  <c r="D254" i="5"/>
  <c r="C254" i="5"/>
  <c r="B254" i="5"/>
  <c r="A254" i="5"/>
  <c r="F254" i="5" s="1"/>
  <c r="L253" i="5"/>
  <c r="D253" i="5"/>
  <c r="C253" i="5"/>
  <c r="B253" i="5"/>
  <c r="A253" i="5"/>
  <c r="L252" i="5"/>
  <c r="D252" i="5"/>
  <c r="C252" i="5"/>
  <c r="B252" i="5"/>
  <c r="A252" i="5"/>
  <c r="L251" i="5"/>
  <c r="D251" i="5"/>
  <c r="C251" i="5"/>
  <c r="B251" i="5"/>
  <c r="A251" i="5"/>
  <c r="L250" i="5"/>
  <c r="D250" i="5"/>
  <c r="C250" i="5"/>
  <c r="B250" i="5"/>
  <c r="A250" i="5"/>
  <c r="L249" i="5"/>
  <c r="D249" i="5"/>
  <c r="C249" i="5"/>
  <c r="B249" i="5"/>
  <c r="A249" i="5"/>
  <c r="L248" i="5"/>
  <c r="D248" i="5"/>
  <c r="C248" i="5"/>
  <c r="B248" i="5"/>
  <c r="A248" i="5"/>
  <c r="L247" i="5"/>
  <c r="D247" i="5"/>
  <c r="C247" i="5"/>
  <c r="B247" i="5"/>
  <c r="A247" i="5"/>
  <c r="F247" i="5" s="1"/>
  <c r="L246" i="5"/>
  <c r="D246" i="5"/>
  <c r="C246" i="5"/>
  <c r="B246" i="5"/>
  <c r="A246" i="5"/>
  <c r="E246" i="5" s="1"/>
  <c r="L245" i="5"/>
  <c r="D245" i="5"/>
  <c r="C245" i="5"/>
  <c r="B245" i="5"/>
  <c r="A245" i="5"/>
  <c r="E245" i="5" s="1"/>
  <c r="L244" i="5"/>
  <c r="D244" i="5"/>
  <c r="C244" i="5"/>
  <c r="B244" i="5"/>
  <c r="A244" i="5"/>
  <c r="L243" i="5"/>
  <c r="D243" i="5"/>
  <c r="C243" i="5"/>
  <c r="B243" i="5"/>
  <c r="A243" i="5"/>
  <c r="L242" i="5"/>
  <c r="D242" i="5"/>
  <c r="C242" i="5"/>
  <c r="B242" i="5"/>
  <c r="A242" i="5"/>
  <c r="L241" i="5"/>
  <c r="D241" i="5"/>
  <c r="C241" i="5"/>
  <c r="B241" i="5"/>
  <c r="A241" i="5"/>
  <c r="E241" i="5" s="1"/>
  <c r="L240" i="5"/>
  <c r="D240" i="5"/>
  <c r="C240" i="5"/>
  <c r="B240" i="5"/>
  <c r="A240" i="5"/>
  <c r="L239" i="5"/>
  <c r="D239" i="5"/>
  <c r="C239" i="5"/>
  <c r="B239" i="5"/>
  <c r="A239" i="5"/>
  <c r="F239" i="5" s="1"/>
  <c r="L238" i="5"/>
  <c r="D238" i="5"/>
  <c r="C238" i="5"/>
  <c r="B238" i="5"/>
  <c r="A238" i="5"/>
  <c r="E238" i="5" s="1"/>
  <c r="L237" i="5"/>
  <c r="D237" i="5"/>
  <c r="C237" i="5"/>
  <c r="B237" i="5"/>
  <c r="A237" i="5"/>
  <c r="F237" i="5" s="1"/>
  <c r="L236" i="5"/>
  <c r="D236" i="5"/>
  <c r="C236" i="5"/>
  <c r="B236" i="5"/>
  <c r="A236" i="5"/>
  <c r="F236" i="5" s="1"/>
  <c r="L235" i="5"/>
  <c r="D235" i="5"/>
  <c r="C235" i="5"/>
  <c r="B235" i="5"/>
  <c r="A235" i="5"/>
  <c r="L234" i="5"/>
  <c r="D234" i="5"/>
  <c r="C234" i="5"/>
  <c r="B234" i="5"/>
  <c r="A234" i="5"/>
  <c r="F234" i="5" s="1"/>
  <c r="L233" i="5"/>
  <c r="D233" i="5"/>
  <c r="C233" i="5"/>
  <c r="B233" i="5"/>
  <c r="A233" i="5"/>
  <c r="L232" i="5"/>
  <c r="D232" i="5"/>
  <c r="C232" i="5"/>
  <c r="B232" i="5"/>
  <c r="A232" i="5"/>
  <c r="E232" i="5" s="1"/>
  <c r="L231" i="5"/>
  <c r="D231" i="5"/>
  <c r="C231" i="5"/>
  <c r="B231" i="5"/>
  <c r="A231" i="5"/>
  <c r="L230" i="5"/>
  <c r="D230" i="5"/>
  <c r="C230" i="5"/>
  <c r="B230" i="5"/>
  <c r="A230" i="5"/>
  <c r="E230" i="5" s="1"/>
  <c r="L229" i="5"/>
  <c r="D229" i="5"/>
  <c r="C229" i="5"/>
  <c r="B229" i="5"/>
  <c r="A229" i="5"/>
  <c r="F229" i="5" s="1"/>
  <c r="L228" i="5"/>
  <c r="D228" i="5"/>
  <c r="C228" i="5"/>
  <c r="B228" i="5"/>
  <c r="A228" i="5"/>
  <c r="F228" i="5" s="1"/>
  <c r="L227" i="5"/>
  <c r="D227" i="5"/>
  <c r="C227" i="5"/>
  <c r="B227" i="5"/>
  <c r="A227" i="5"/>
  <c r="F227" i="5" s="1"/>
  <c r="L226" i="5"/>
  <c r="D226" i="5"/>
  <c r="C226" i="5"/>
  <c r="B226" i="5"/>
  <c r="A226" i="5"/>
  <c r="L225" i="5"/>
  <c r="D225" i="5"/>
  <c r="C225" i="5"/>
  <c r="B225" i="5"/>
  <c r="A225" i="5"/>
  <c r="L224" i="5"/>
  <c r="D224" i="5"/>
  <c r="C224" i="5"/>
  <c r="B224" i="5"/>
  <c r="A224" i="5"/>
  <c r="F224" i="5" s="1"/>
  <c r="L223" i="5"/>
  <c r="D223" i="5"/>
  <c r="C223" i="5"/>
  <c r="B223" i="5"/>
  <c r="A223" i="5"/>
  <c r="L222" i="5"/>
  <c r="D222" i="5"/>
  <c r="C222" i="5"/>
  <c r="B222" i="5"/>
  <c r="A222" i="5"/>
  <c r="F222" i="5" s="1"/>
  <c r="L221" i="5"/>
  <c r="D221" i="5"/>
  <c r="C221" i="5"/>
  <c r="B221" i="5"/>
  <c r="A221" i="5"/>
  <c r="E221" i="5" s="1"/>
  <c r="L220" i="5"/>
  <c r="D220" i="5"/>
  <c r="C220" i="5"/>
  <c r="B220" i="5"/>
  <c r="A220" i="5"/>
  <c r="E220" i="5" s="1"/>
  <c r="L219" i="5"/>
  <c r="D219" i="5"/>
  <c r="C219" i="5"/>
  <c r="B219" i="5"/>
  <c r="A219" i="5"/>
  <c r="F219" i="5" s="1"/>
  <c r="L218" i="5"/>
  <c r="D218" i="5"/>
  <c r="C218" i="5"/>
  <c r="B218" i="5"/>
  <c r="A218" i="5"/>
  <c r="F218" i="5" s="1"/>
  <c r="L217" i="5"/>
  <c r="D217" i="5"/>
  <c r="C217" i="5"/>
  <c r="B217" i="5"/>
  <c r="A217" i="5"/>
  <c r="E217" i="5" s="1"/>
  <c r="L216" i="5"/>
  <c r="D216" i="5"/>
  <c r="C216" i="5"/>
  <c r="B216" i="5"/>
  <c r="A216" i="5"/>
  <c r="F216" i="5" s="1"/>
  <c r="L215" i="5"/>
  <c r="D215" i="5"/>
  <c r="C215" i="5"/>
  <c r="B215" i="5"/>
  <c r="A215" i="5"/>
  <c r="F215" i="5" s="1"/>
  <c r="L214" i="5"/>
  <c r="D214" i="5"/>
  <c r="C214" i="5"/>
  <c r="B214" i="5"/>
  <c r="A214" i="5"/>
  <c r="L213" i="5"/>
  <c r="D213" i="5"/>
  <c r="C213" i="5"/>
  <c r="B213" i="5"/>
  <c r="A213" i="5"/>
  <c r="F213" i="5" s="1"/>
  <c r="L212" i="5"/>
  <c r="D212" i="5"/>
  <c r="C212" i="5"/>
  <c r="B212" i="5"/>
  <c r="A212" i="5"/>
  <c r="F212" i="5" s="1"/>
  <c r="L211" i="5"/>
  <c r="D211" i="5"/>
  <c r="C211" i="5"/>
  <c r="B211" i="5"/>
  <c r="A211" i="5"/>
  <c r="L210" i="5"/>
  <c r="D210" i="5"/>
  <c r="C210" i="5"/>
  <c r="B210" i="5"/>
  <c r="A210" i="5"/>
  <c r="F210" i="5" s="1"/>
  <c r="L209" i="5"/>
  <c r="D209" i="5"/>
  <c r="C209" i="5"/>
  <c r="B209" i="5"/>
  <c r="A209" i="5"/>
  <c r="F209" i="5" s="1"/>
  <c r="L208" i="5"/>
  <c r="D208" i="5"/>
  <c r="C208" i="5"/>
  <c r="B208" i="5"/>
  <c r="A208" i="5"/>
  <c r="E208" i="5" s="1"/>
  <c r="L207" i="5"/>
  <c r="D207" i="5"/>
  <c r="C207" i="5"/>
  <c r="B207" i="5"/>
  <c r="A207" i="5"/>
  <c r="F207" i="5" s="1"/>
  <c r="L206" i="5"/>
  <c r="D206" i="5"/>
  <c r="C206" i="5"/>
  <c r="B206" i="5"/>
  <c r="A206" i="5"/>
  <c r="F206" i="5" s="1"/>
  <c r="L205" i="5"/>
  <c r="D205" i="5"/>
  <c r="C205" i="5"/>
  <c r="B205" i="5"/>
  <c r="A205" i="5"/>
  <c r="F205" i="5" s="1"/>
  <c r="L204" i="5"/>
  <c r="D204" i="5"/>
  <c r="C204" i="5"/>
  <c r="B204" i="5"/>
  <c r="A204" i="5"/>
  <c r="F204" i="5" s="1"/>
  <c r="L203" i="5"/>
  <c r="D203" i="5"/>
  <c r="C203" i="5"/>
  <c r="B203" i="5"/>
  <c r="A203" i="5"/>
  <c r="F203" i="5" s="1"/>
  <c r="L202" i="5"/>
  <c r="D202" i="5"/>
  <c r="C202" i="5"/>
  <c r="B202" i="5"/>
  <c r="A202" i="5"/>
  <c r="L201" i="5"/>
  <c r="D201" i="5"/>
  <c r="C201" i="5"/>
  <c r="B201" i="5"/>
  <c r="A201" i="5"/>
  <c r="F201" i="5" s="1"/>
  <c r="L200" i="5"/>
  <c r="D200" i="5"/>
  <c r="C200" i="5"/>
  <c r="B200" i="5"/>
  <c r="A200" i="5"/>
  <c r="F200" i="5" s="1"/>
  <c r="L199" i="5"/>
  <c r="D199" i="5"/>
  <c r="C199" i="5"/>
  <c r="B199" i="5"/>
  <c r="A199" i="5"/>
  <c r="F199" i="5" s="1"/>
  <c r="L198" i="5"/>
  <c r="D198" i="5"/>
  <c r="C198" i="5"/>
  <c r="B198" i="5"/>
  <c r="A198" i="5"/>
  <c r="F198" i="5" s="1"/>
  <c r="L197" i="5"/>
  <c r="D197" i="5"/>
  <c r="C197" i="5"/>
  <c r="B197" i="5"/>
  <c r="A197" i="5"/>
  <c r="F197" i="5" s="1"/>
  <c r="L196" i="5"/>
  <c r="D196" i="5"/>
  <c r="C196" i="5"/>
  <c r="B196" i="5"/>
  <c r="A196" i="5"/>
  <c r="E196" i="5" s="1"/>
  <c r="L195" i="5"/>
  <c r="D195" i="5"/>
  <c r="C195" i="5"/>
  <c r="B195" i="5"/>
  <c r="A195" i="5"/>
  <c r="F195" i="5" s="1"/>
  <c r="L194" i="5"/>
  <c r="D194" i="5"/>
  <c r="C194" i="5"/>
  <c r="B194" i="5"/>
  <c r="A194" i="5"/>
  <c r="E194" i="5" s="1"/>
  <c r="L193" i="5"/>
  <c r="D193" i="5"/>
  <c r="C193" i="5"/>
  <c r="B193" i="5"/>
  <c r="A193" i="5"/>
  <c r="F193" i="5" s="1"/>
  <c r="L192" i="5"/>
  <c r="D192" i="5"/>
  <c r="C192" i="5"/>
  <c r="B192" i="5"/>
  <c r="A192" i="5"/>
  <c r="F192" i="5" s="1"/>
  <c r="L191" i="5"/>
  <c r="D191" i="5"/>
  <c r="C191" i="5"/>
  <c r="B191" i="5"/>
  <c r="A191" i="5"/>
  <c r="L190" i="5"/>
  <c r="D190" i="5"/>
  <c r="C190" i="5"/>
  <c r="B190" i="5"/>
  <c r="A190" i="5"/>
  <c r="E190" i="5" s="1"/>
  <c r="L189" i="5"/>
  <c r="D189" i="5"/>
  <c r="C189" i="5"/>
  <c r="B189" i="5"/>
  <c r="A189" i="5"/>
  <c r="F189" i="5" s="1"/>
  <c r="L188" i="5"/>
  <c r="D188" i="5"/>
  <c r="C188" i="5"/>
  <c r="B188" i="5"/>
  <c r="A188" i="5"/>
  <c r="E188" i="5" s="1"/>
  <c r="L187" i="5"/>
  <c r="D187" i="5"/>
  <c r="C187" i="5"/>
  <c r="B187" i="5"/>
  <c r="A187" i="5"/>
  <c r="F187" i="5" s="1"/>
  <c r="L186" i="5"/>
  <c r="D186" i="5"/>
  <c r="C186" i="5"/>
  <c r="B186" i="5"/>
  <c r="A186" i="5"/>
  <c r="F186" i="5" s="1"/>
  <c r="L185" i="5"/>
  <c r="D185" i="5"/>
  <c r="C185" i="5"/>
  <c r="B185" i="5"/>
  <c r="A185" i="5"/>
  <c r="F185" i="5" s="1"/>
  <c r="L184" i="5"/>
  <c r="D184" i="5"/>
  <c r="C184" i="5"/>
  <c r="B184" i="5"/>
  <c r="A184" i="5"/>
  <c r="L183" i="5"/>
  <c r="D183" i="5"/>
  <c r="C183" i="5"/>
  <c r="B183" i="5"/>
  <c r="A183" i="5"/>
  <c r="F183" i="5" s="1"/>
  <c r="L182" i="5"/>
  <c r="D182" i="5"/>
  <c r="C182" i="5"/>
  <c r="B182" i="5"/>
  <c r="A182" i="5"/>
  <c r="E182" i="5" s="1"/>
  <c r="L181" i="5"/>
  <c r="D181" i="5"/>
  <c r="C181" i="5"/>
  <c r="B181" i="5"/>
  <c r="A181" i="5"/>
  <c r="F181" i="5" s="1"/>
  <c r="L180" i="5"/>
  <c r="D180" i="5"/>
  <c r="C180" i="5"/>
  <c r="B180" i="5"/>
  <c r="A180" i="5"/>
  <c r="F180" i="5" s="1"/>
  <c r="L179" i="5"/>
  <c r="D179" i="5"/>
  <c r="C179" i="5"/>
  <c r="B179" i="5"/>
  <c r="A179" i="5"/>
  <c r="F179" i="5" s="1"/>
  <c r="L178" i="5"/>
  <c r="D178" i="5"/>
  <c r="C178" i="5"/>
  <c r="B178" i="5"/>
  <c r="A178" i="5"/>
  <c r="E178" i="5" s="1"/>
  <c r="L177" i="5"/>
  <c r="D177" i="5"/>
  <c r="C177" i="5"/>
  <c r="B177" i="5"/>
  <c r="A177" i="5"/>
  <c r="F177" i="5" s="1"/>
  <c r="L176" i="5"/>
  <c r="D176" i="5"/>
  <c r="C176" i="5"/>
  <c r="B176" i="5"/>
  <c r="A176" i="5"/>
  <c r="L175" i="5"/>
  <c r="D175" i="5"/>
  <c r="C175" i="5"/>
  <c r="B175" i="5"/>
  <c r="A175" i="5"/>
  <c r="L174" i="5"/>
  <c r="D174" i="5"/>
  <c r="C174" i="5"/>
  <c r="B174" i="5"/>
  <c r="A174" i="5"/>
  <c r="F174" i="5" s="1"/>
  <c r="L173" i="5"/>
  <c r="D173" i="5"/>
  <c r="C173" i="5"/>
  <c r="B173" i="5"/>
  <c r="A173" i="5"/>
  <c r="F173" i="5" s="1"/>
  <c r="L172" i="5"/>
  <c r="D172" i="5"/>
  <c r="C172" i="5"/>
  <c r="B172" i="5"/>
  <c r="A172" i="5"/>
  <c r="L171" i="5"/>
  <c r="D171" i="5"/>
  <c r="C171" i="5"/>
  <c r="B171" i="5"/>
  <c r="A171" i="5"/>
  <c r="L170" i="5"/>
  <c r="D170" i="5"/>
  <c r="C170" i="5"/>
  <c r="B170" i="5"/>
  <c r="A170" i="5"/>
  <c r="F170" i="5" s="1"/>
  <c r="L169" i="5"/>
  <c r="D169" i="5"/>
  <c r="C169" i="5"/>
  <c r="B169" i="5"/>
  <c r="A169" i="5"/>
  <c r="L168" i="5"/>
  <c r="D168" i="5"/>
  <c r="C168" i="5"/>
  <c r="B168" i="5"/>
  <c r="A168" i="5"/>
  <c r="F168" i="5" s="1"/>
  <c r="L167" i="5"/>
  <c r="D167" i="5"/>
  <c r="C167" i="5"/>
  <c r="B167" i="5"/>
  <c r="A167" i="5"/>
  <c r="L166" i="5"/>
  <c r="D166" i="5"/>
  <c r="C166" i="5"/>
  <c r="B166" i="5"/>
  <c r="A166" i="5"/>
  <c r="E166" i="5" s="1"/>
  <c r="L165" i="5"/>
  <c r="D165" i="5"/>
  <c r="C165" i="5"/>
  <c r="B165" i="5"/>
  <c r="A165" i="5"/>
  <c r="L164" i="5"/>
  <c r="D164" i="5"/>
  <c r="C164" i="5"/>
  <c r="B164" i="5"/>
  <c r="A164" i="5"/>
  <c r="F164" i="5" s="1"/>
  <c r="L163" i="5"/>
  <c r="D163" i="5"/>
  <c r="C163" i="5"/>
  <c r="B163" i="5"/>
  <c r="A163" i="5"/>
  <c r="L162" i="5"/>
  <c r="D162" i="5"/>
  <c r="C162" i="5"/>
  <c r="B162" i="5"/>
  <c r="A162" i="5"/>
  <c r="F162" i="5" s="1"/>
  <c r="L161" i="5"/>
  <c r="D161" i="5"/>
  <c r="C161" i="5"/>
  <c r="B161" i="5"/>
  <c r="A161" i="5"/>
  <c r="F161" i="5" s="1"/>
  <c r="L160" i="5"/>
  <c r="D160" i="5"/>
  <c r="C160" i="5"/>
  <c r="B160" i="5"/>
  <c r="A160" i="5"/>
  <c r="L159" i="5"/>
  <c r="D159" i="5"/>
  <c r="C159" i="5"/>
  <c r="B159" i="5"/>
  <c r="A159" i="5"/>
  <c r="L158" i="5"/>
  <c r="D158" i="5"/>
  <c r="C158" i="5"/>
  <c r="B158" i="5"/>
  <c r="A158" i="5"/>
  <c r="F158" i="5" s="1"/>
  <c r="L157" i="5"/>
  <c r="D157" i="5"/>
  <c r="C157" i="5"/>
  <c r="B157" i="5"/>
  <c r="A157" i="5"/>
  <c r="L156" i="5"/>
  <c r="D156" i="5"/>
  <c r="C156" i="5"/>
  <c r="B156" i="5"/>
  <c r="A156" i="5"/>
  <c r="E156" i="5" s="1"/>
  <c r="L155" i="5"/>
  <c r="D155" i="5"/>
  <c r="C155" i="5"/>
  <c r="B155" i="5"/>
  <c r="A155" i="5"/>
  <c r="E155" i="5" s="1"/>
  <c r="L154" i="5"/>
  <c r="D154" i="5"/>
  <c r="C154" i="5"/>
  <c r="B154" i="5"/>
  <c r="A154" i="5"/>
  <c r="E154" i="5" s="1"/>
  <c r="L153" i="5"/>
  <c r="D153" i="5"/>
  <c r="C153" i="5"/>
  <c r="B153" i="5"/>
  <c r="A153" i="5"/>
  <c r="L152" i="5"/>
  <c r="D152" i="5"/>
  <c r="C152" i="5"/>
  <c r="B152" i="5"/>
  <c r="A152" i="5"/>
  <c r="L151" i="5"/>
  <c r="D151" i="5"/>
  <c r="C151" i="5"/>
  <c r="B151" i="5"/>
  <c r="A151" i="5"/>
  <c r="L150" i="5"/>
  <c r="D150" i="5"/>
  <c r="C150" i="5"/>
  <c r="B150" i="5"/>
  <c r="A150" i="5"/>
  <c r="L149" i="5"/>
  <c r="D149" i="5"/>
  <c r="C149" i="5"/>
  <c r="B149" i="5"/>
  <c r="A149" i="5"/>
  <c r="F149" i="5" s="1"/>
  <c r="L148" i="5"/>
  <c r="D148" i="5"/>
  <c r="C148" i="5"/>
  <c r="B148" i="5"/>
  <c r="A148" i="5"/>
  <c r="E148" i="5" s="1"/>
  <c r="L147" i="5"/>
  <c r="D147" i="5"/>
  <c r="C147" i="5"/>
  <c r="B147" i="5"/>
  <c r="A147" i="5"/>
  <c r="F147" i="5" s="1"/>
  <c r="L146" i="5"/>
  <c r="D146" i="5"/>
  <c r="C146" i="5"/>
  <c r="B146" i="5"/>
  <c r="A146" i="5"/>
  <c r="E146" i="5" s="1"/>
  <c r="L145" i="5"/>
  <c r="D145" i="5"/>
  <c r="C145" i="5"/>
  <c r="B145" i="5"/>
  <c r="A145" i="5"/>
  <c r="F145" i="5" s="1"/>
  <c r="L144" i="5"/>
  <c r="D144" i="5"/>
  <c r="C144" i="5"/>
  <c r="B144" i="5"/>
  <c r="A144" i="5"/>
  <c r="L143" i="5"/>
  <c r="D143" i="5"/>
  <c r="C143" i="5"/>
  <c r="B143" i="5"/>
  <c r="A143" i="5"/>
  <c r="E143" i="5" s="1"/>
  <c r="L142" i="5"/>
  <c r="D142" i="5"/>
  <c r="C142" i="5"/>
  <c r="B142" i="5"/>
  <c r="A142" i="5"/>
  <c r="E142" i="5" s="1"/>
  <c r="L141" i="5"/>
  <c r="D141" i="5"/>
  <c r="C141" i="5"/>
  <c r="B141" i="5"/>
  <c r="A141" i="5"/>
  <c r="L140" i="5"/>
  <c r="D140" i="5"/>
  <c r="C140" i="5"/>
  <c r="B140" i="5"/>
  <c r="A140" i="5"/>
  <c r="E140" i="5" s="1"/>
  <c r="L139" i="5"/>
  <c r="D139" i="5"/>
  <c r="C139" i="5"/>
  <c r="B139" i="5"/>
  <c r="A139" i="5"/>
  <c r="F139" i="5" s="1"/>
  <c r="L138" i="5"/>
  <c r="D138" i="5"/>
  <c r="C138" i="5"/>
  <c r="B138" i="5"/>
  <c r="A138" i="5"/>
  <c r="F138" i="5" s="1"/>
  <c r="L137" i="5"/>
  <c r="D137" i="5"/>
  <c r="C137" i="5"/>
  <c r="B137" i="5"/>
  <c r="A137" i="5"/>
  <c r="F137" i="5" s="1"/>
  <c r="L136" i="5"/>
  <c r="D136" i="5"/>
  <c r="C136" i="5"/>
  <c r="B136" i="5"/>
  <c r="A136" i="5"/>
  <c r="E136" i="5" s="1"/>
  <c r="L135" i="5"/>
  <c r="D135" i="5"/>
  <c r="C135" i="5"/>
  <c r="B135" i="5"/>
  <c r="A135" i="5"/>
  <c r="F135" i="5" s="1"/>
  <c r="L134" i="5"/>
  <c r="D134" i="5"/>
  <c r="C134" i="5"/>
  <c r="B134" i="5"/>
  <c r="A134" i="5"/>
  <c r="L133" i="5"/>
  <c r="D133" i="5"/>
  <c r="C133" i="5"/>
  <c r="B133" i="5"/>
  <c r="A133" i="5"/>
  <c r="E133" i="5" s="1"/>
  <c r="L132" i="5"/>
  <c r="D132" i="5"/>
  <c r="C132" i="5"/>
  <c r="B132" i="5"/>
  <c r="A132" i="5"/>
  <c r="E132" i="5" s="1"/>
  <c r="L131" i="5"/>
  <c r="D131" i="5"/>
  <c r="C131" i="5"/>
  <c r="B131" i="5"/>
  <c r="A131" i="5"/>
  <c r="L130" i="5"/>
  <c r="D130" i="5"/>
  <c r="C130" i="5"/>
  <c r="B130" i="5"/>
  <c r="A130" i="5"/>
  <c r="E130" i="5" s="1"/>
  <c r="L129" i="5"/>
  <c r="D129" i="5"/>
  <c r="C129" i="5"/>
  <c r="B129" i="5"/>
  <c r="A129" i="5"/>
  <c r="L128" i="5"/>
  <c r="D128" i="5"/>
  <c r="C128" i="5"/>
  <c r="B128" i="5"/>
  <c r="A128" i="5"/>
  <c r="F128" i="5" s="1"/>
  <c r="L127" i="5"/>
  <c r="D127" i="5"/>
  <c r="C127" i="5"/>
  <c r="B127" i="5"/>
  <c r="A127" i="5"/>
  <c r="F127" i="5" s="1"/>
  <c r="L126" i="5"/>
  <c r="D126" i="5"/>
  <c r="C126" i="5"/>
  <c r="B126" i="5"/>
  <c r="A126" i="5"/>
  <c r="E126" i="5" s="1"/>
  <c r="L125" i="5"/>
  <c r="D125" i="5"/>
  <c r="C125" i="5"/>
  <c r="B125" i="5"/>
  <c r="A125" i="5"/>
  <c r="F125" i="5" s="1"/>
  <c r="L124" i="5"/>
  <c r="D124" i="5"/>
  <c r="C124" i="5"/>
  <c r="B124" i="5"/>
  <c r="A124" i="5"/>
  <c r="E124" i="5" s="1"/>
  <c r="L123" i="5"/>
  <c r="D123" i="5"/>
  <c r="C123" i="5"/>
  <c r="B123" i="5"/>
  <c r="A123" i="5"/>
  <c r="F123" i="5" s="1"/>
  <c r="L122" i="5"/>
  <c r="D122" i="5"/>
  <c r="C122" i="5"/>
  <c r="B122" i="5"/>
  <c r="A122" i="5"/>
  <c r="L121" i="5"/>
  <c r="D121" i="5"/>
  <c r="C121" i="5"/>
  <c r="B121" i="5"/>
  <c r="A121" i="5"/>
  <c r="E121" i="5" s="1"/>
  <c r="L120" i="5"/>
  <c r="D120" i="5"/>
  <c r="C120" i="5"/>
  <c r="B120" i="5"/>
  <c r="A120" i="5"/>
  <c r="L119" i="5"/>
  <c r="D119" i="5"/>
  <c r="C119" i="5"/>
  <c r="B119" i="5"/>
  <c r="A119" i="5"/>
  <c r="E119" i="5" s="1"/>
  <c r="L118" i="5"/>
  <c r="D118" i="5"/>
  <c r="C118" i="5"/>
  <c r="B118" i="5"/>
  <c r="A118" i="5"/>
  <c r="E118" i="5" s="1"/>
  <c r="L117" i="5"/>
  <c r="D117" i="5"/>
  <c r="C117" i="5"/>
  <c r="B117" i="5"/>
  <c r="A117" i="5"/>
  <c r="L116" i="5"/>
  <c r="D116" i="5"/>
  <c r="C116" i="5"/>
  <c r="B116" i="5"/>
  <c r="A116" i="5"/>
  <c r="E116" i="5" s="1"/>
  <c r="L115" i="5"/>
  <c r="D115" i="5"/>
  <c r="C115" i="5"/>
  <c r="B115" i="5"/>
  <c r="A115" i="5"/>
  <c r="E115" i="5" s="1"/>
  <c r="L114" i="5"/>
  <c r="D114" i="5"/>
  <c r="C114" i="5"/>
  <c r="B114" i="5"/>
  <c r="A114" i="5"/>
  <c r="L113" i="5"/>
  <c r="D113" i="5"/>
  <c r="C113" i="5"/>
  <c r="B113" i="5"/>
  <c r="A113" i="5"/>
  <c r="E113" i="5" s="1"/>
  <c r="L112" i="5"/>
  <c r="D112" i="5"/>
  <c r="C112" i="5"/>
  <c r="B112" i="5"/>
  <c r="A112" i="5"/>
  <c r="E112" i="5" s="1"/>
  <c r="L111" i="5"/>
  <c r="D111" i="5"/>
  <c r="C111" i="5"/>
  <c r="B111" i="5"/>
  <c r="A111" i="5"/>
  <c r="L110" i="5"/>
  <c r="D110" i="5"/>
  <c r="C110" i="5"/>
  <c r="B110" i="5"/>
  <c r="A110" i="5"/>
  <c r="E110" i="5" s="1"/>
  <c r="L109" i="5"/>
  <c r="D109" i="5"/>
  <c r="C109" i="5"/>
  <c r="B109" i="5"/>
  <c r="A109" i="5"/>
  <c r="L108" i="5"/>
  <c r="D108" i="5"/>
  <c r="C108" i="5"/>
  <c r="B108" i="5"/>
  <c r="A108" i="5"/>
  <c r="E108" i="5" s="1"/>
  <c r="L107" i="5"/>
  <c r="D107" i="5"/>
  <c r="C107" i="5"/>
  <c r="B107" i="5"/>
  <c r="A107" i="5"/>
  <c r="E107" i="5" s="1"/>
  <c r="L106" i="5"/>
  <c r="D106" i="5"/>
  <c r="C106" i="5"/>
  <c r="B106" i="5"/>
  <c r="A106" i="5"/>
  <c r="E106" i="5" s="1"/>
  <c r="L105" i="5"/>
  <c r="D105" i="5"/>
  <c r="C105" i="5"/>
  <c r="B105" i="5"/>
  <c r="A105" i="5"/>
  <c r="E105" i="5" s="1"/>
  <c r="L104" i="5"/>
  <c r="D104" i="5"/>
  <c r="C104" i="5"/>
  <c r="B104" i="5"/>
  <c r="A104" i="5"/>
  <c r="E104" i="5" s="1"/>
  <c r="L103" i="5"/>
  <c r="D103" i="5"/>
  <c r="C103" i="5"/>
  <c r="B103" i="5"/>
  <c r="A103" i="5"/>
  <c r="E103" i="5" s="1"/>
  <c r="L102" i="5"/>
  <c r="D102" i="5"/>
  <c r="C102" i="5"/>
  <c r="B102" i="5"/>
  <c r="A102" i="5"/>
  <c r="E102" i="5" s="1"/>
  <c r="L101" i="5"/>
  <c r="D101" i="5"/>
  <c r="C101" i="5"/>
  <c r="B101" i="5"/>
  <c r="A101" i="5"/>
  <c r="E101" i="5" s="1"/>
  <c r="L100" i="5"/>
  <c r="D100" i="5"/>
  <c r="C100" i="5"/>
  <c r="B100" i="5"/>
  <c r="A100" i="5"/>
  <c r="E100" i="5" s="1"/>
  <c r="L99" i="5"/>
  <c r="D99" i="5"/>
  <c r="C99" i="5"/>
  <c r="B99" i="5"/>
  <c r="A99" i="5"/>
  <c r="L98" i="5"/>
  <c r="D98" i="5"/>
  <c r="C98" i="5"/>
  <c r="B98" i="5"/>
  <c r="A98" i="5"/>
  <c r="E98" i="5" s="1"/>
  <c r="L97" i="5"/>
  <c r="D97" i="5"/>
  <c r="C97" i="5"/>
  <c r="B97" i="5"/>
  <c r="A97" i="5"/>
  <c r="E97" i="5" s="1"/>
  <c r="L96" i="5"/>
  <c r="D96" i="5"/>
  <c r="C96" i="5"/>
  <c r="B96" i="5"/>
  <c r="A96" i="5"/>
  <c r="E96" i="5" s="1"/>
  <c r="L95" i="5"/>
  <c r="D95" i="5"/>
  <c r="C95" i="5"/>
  <c r="B95" i="5"/>
  <c r="A95" i="5"/>
  <c r="E95" i="5" s="1"/>
  <c r="L94" i="5"/>
  <c r="D94" i="5"/>
  <c r="C94" i="5"/>
  <c r="B94" i="5"/>
  <c r="A94" i="5"/>
  <c r="E94" i="5" s="1"/>
  <c r="L93" i="5"/>
  <c r="D93" i="5"/>
  <c r="C93" i="5"/>
  <c r="B93" i="5"/>
  <c r="A93" i="5"/>
  <c r="E93" i="5" s="1"/>
  <c r="L92" i="5"/>
  <c r="D92" i="5"/>
  <c r="C92" i="5"/>
  <c r="B92" i="5"/>
  <c r="A92" i="5"/>
  <c r="E92" i="5" s="1"/>
  <c r="L91" i="5"/>
  <c r="D91" i="5"/>
  <c r="C91" i="5"/>
  <c r="B91" i="5"/>
  <c r="A91" i="5"/>
  <c r="L90" i="5"/>
  <c r="D90" i="5"/>
  <c r="C90" i="5"/>
  <c r="B90" i="5"/>
  <c r="A90" i="5"/>
  <c r="L89" i="5"/>
  <c r="D89" i="5"/>
  <c r="C89" i="5"/>
  <c r="B89" i="5"/>
  <c r="A89" i="5"/>
  <c r="L88" i="5"/>
  <c r="D88" i="5"/>
  <c r="C88" i="5"/>
  <c r="B88" i="5"/>
  <c r="A88" i="5"/>
  <c r="E88" i="5" s="1"/>
  <c r="L87" i="5"/>
  <c r="D87" i="5"/>
  <c r="C87" i="5"/>
  <c r="B87" i="5"/>
  <c r="A87" i="5"/>
  <c r="L86" i="5"/>
  <c r="D86" i="5"/>
  <c r="C86" i="5"/>
  <c r="B86" i="5"/>
  <c r="A86" i="5"/>
  <c r="E86" i="5" s="1"/>
  <c r="L85" i="5"/>
  <c r="D85" i="5"/>
  <c r="C85" i="5"/>
  <c r="B85" i="5"/>
  <c r="A85" i="5"/>
  <c r="E85" i="5" s="1"/>
  <c r="L84" i="5"/>
  <c r="D84" i="5"/>
  <c r="C84" i="5"/>
  <c r="B84" i="5"/>
  <c r="A84" i="5"/>
  <c r="E84" i="5" s="1"/>
  <c r="L83" i="5"/>
  <c r="D83" i="5"/>
  <c r="C83" i="5"/>
  <c r="B83" i="5"/>
  <c r="A83" i="5"/>
  <c r="E83" i="5" s="1"/>
  <c r="L82" i="5"/>
  <c r="D82" i="5"/>
  <c r="C82" i="5"/>
  <c r="B82" i="5"/>
  <c r="A82" i="5"/>
  <c r="D81" i="5"/>
  <c r="C81" i="5"/>
  <c r="B81" i="5"/>
  <c r="A81" i="5"/>
  <c r="E81" i="5" s="1"/>
  <c r="D80" i="5"/>
  <c r="C80" i="5"/>
  <c r="B80" i="5"/>
  <c r="A80" i="5"/>
  <c r="E80" i="5" s="1"/>
  <c r="D79" i="5"/>
  <c r="C79" i="5"/>
  <c r="B79" i="5"/>
  <c r="A79" i="5"/>
  <c r="E79" i="5" s="1"/>
  <c r="D78" i="5"/>
  <c r="C78" i="5"/>
  <c r="B78" i="5"/>
  <c r="A78" i="5"/>
  <c r="E78" i="5" s="1"/>
  <c r="D77" i="5"/>
  <c r="C77" i="5"/>
  <c r="B77" i="5"/>
  <c r="A77" i="5"/>
  <c r="D76" i="5"/>
  <c r="C76" i="5"/>
  <c r="F76" i="5" s="1"/>
  <c r="B76" i="5"/>
  <c r="E75" i="5"/>
  <c r="D75" i="5"/>
  <c r="C75" i="5"/>
  <c r="B75" i="5"/>
  <c r="D74" i="5"/>
  <c r="B74" i="5"/>
  <c r="A74" i="5"/>
  <c r="E74" i="5" s="1"/>
  <c r="F74" i="5" s="1"/>
  <c r="B73" i="5"/>
  <c r="A73" i="5"/>
  <c r="F73" i="5" s="1"/>
  <c r="E72" i="5"/>
  <c r="D72" i="5"/>
  <c r="C72" i="5"/>
  <c r="B72" i="5"/>
  <c r="D71" i="5"/>
  <c r="C71" i="5"/>
  <c r="B71" i="5"/>
  <c r="A71" i="5"/>
  <c r="E71" i="5" s="1"/>
  <c r="E70" i="5"/>
  <c r="F70" i="5" s="1"/>
  <c r="D70" i="5"/>
  <c r="B70" i="5"/>
  <c r="D69" i="5"/>
  <c r="C69" i="5"/>
  <c r="B69" i="5"/>
  <c r="A69" i="5"/>
  <c r="E69" i="5" s="1"/>
  <c r="D68" i="5"/>
  <c r="C68" i="5"/>
  <c r="B68" i="5"/>
  <c r="A68" i="5"/>
  <c r="E68" i="5" s="1"/>
  <c r="D67" i="5"/>
  <c r="B67" i="5"/>
  <c r="A67" i="5"/>
  <c r="D66" i="5"/>
  <c r="C66" i="5"/>
  <c r="B66" i="5"/>
  <c r="A66" i="5"/>
  <c r="E66" i="5" s="1"/>
  <c r="L65" i="5"/>
  <c r="D65" i="5"/>
  <c r="C65" i="5"/>
  <c r="B65" i="5"/>
  <c r="A65" i="5"/>
  <c r="E65" i="5" s="1"/>
  <c r="D64" i="5"/>
  <c r="C64" i="5"/>
  <c r="B64" i="5"/>
  <c r="A64" i="5"/>
  <c r="E64" i="5" s="1"/>
  <c r="L63" i="5"/>
  <c r="D63" i="5"/>
  <c r="C63" i="5"/>
  <c r="B63" i="5"/>
  <c r="A63" i="5"/>
  <c r="E62" i="5"/>
  <c r="D62" i="5"/>
  <c r="C62" i="5"/>
  <c r="D61" i="5"/>
  <c r="C61" i="5"/>
  <c r="B61" i="5"/>
  <c r="A61" i="5"/>
  <c r="D60" i="5"/>
  <c r="C60" i="5"/>
  <c r="B60" i="5"/>
  <c r="A60" i="5"/>
  <c r="D59" i="5"/>
  <c r="C59" i="5"/>
  <c r="B59" i="5"/>
  <c r="A59" i="5"/>
  <c r="L58" i="5"/>
  <c r="D58" i="5"/>
  <c r="B58" i="5"/>
  <c r="A58" i="5"/>
  <c r="E58" i="5" s="1"/>
  <c r="F58" i="5" s="1"/>
  <c r="L57" i="5"/>
  <c r="D57" i="5"/>
  <c r="C57" i="5"/>
  <c r="B57" i="5"/>
  <c r="A57" i="5"/>
  <c r="E57" i="5" s="1"/>
  <c r="L56" i="5"/>
  <c r="D56" i="5"/>
  <c r="C56" i="5"/>
  <c r="B56" i="5"/>
  <c r="A56" i="5"/>
  <c r="L55" i="5"/>
  <c r="D55" i="5"/>
  <c r="C55" i="5"/>
  <c r="B55" i="5"/>
  <c r="A55" i="5"/>
  <c r="E55" i="5" s="1"/>
  <c r="L54" i="5"/>
  <c r="D54" i="5"/>
  <c r="C54" i="5"/>
  <c r="B54" i="5"/>
  <c r="A54" i="5"/>
  <c r="E54" i="5" s="1"/>
  <c r="L53" i="5"/>
  <c r="D53" i="5"/>
  <c r="C53" i="5"/>
  <c r="B53" i="5"/>
  <c r="A53" i="5"/>
  <c r="E53" i="5" s="1"/>
  <c r="L52" i="5"/>
  <c r="D52" i="5"/>
  <c r="C52" i="5"/>
  <c r="B52" i="5"/>
  <c r="A52" i="5"/>
  <c r="E52" i="5" s="1"/>
  <c r="L51" i="5"/>
  <c r="D51" i="5"/>
  <c r="C51" i="5"/>
  <c r="B51" i="5"/>
  <c r="A51" i="5"/>
  <c r="E51" i="5" s="1"/>
  <c r="L50" i="5"/>
  <c r="D50" i="5"/>
  <c r="C50" i="5"/>
  <c r="F50" i="5" s="1"/>
  <c r="L49" i="5"/>
  <c r="D49" i="5"/>
  <c r="C49" i="5"/>
  <c r="B49" i="5"/>
  <c r="A49" i="5"/>
  <c r="L48" i="5"/>
  <c r="D48" i="5"/>
  <c r="C48" i="5"/>
  <c r="B48" i="5"/>
  <c r="A48" i="5"/>
  <c r="D47" i="5"/>
  <c r="C47" i="5"/>
  <c r="B47" i="5"/>
  <c r="A47" i="5"/>
  <c r="L46" i="5"/>
  <c r="D46" i="5"/>
  <c r="C46" i="5"/>
  <c r="B46" i="5"/>
  <c r="A46" i="5"/>
  <c r="E46" i="5" s="1"/>
  <c r="D45" i="5"/>
  <c r="C45" i="5"/>
  <c r="B45" i="5"/>
  <c r="A45" i="5"/>
  <c r="E45" i="5" s="1"/>
  <c r="L44" i="5"/>
  <c r="D44" i="5"/>
  <c r="C44" i="5"/>
  <c r="B44" i="5"/>
  <c r="A44" i="5"/>
  <c r="L43" i="5"/>
  <c r="D43" i="5"/>
  <c r="C43" i="5"/>
  <c r="B43" i="5"/>
  <c r="A43" i="5"/>
  <c r="L42" i="5"/>
  <c r="D42" i="5"/>
  <c r="C42" i="5"/>
  <c r="B42" i="5"/>
  <c r="A42" i="5"/>
  <c r="E42" i="5" s="1"/>
  <c r="L41" i="5"/>
  <c r="D41" i="5"/>
  <c r="C41" i="5"/>
  <c r="B41" i="5"/>
  <c r="A41" i="5"/>
  <c r="L40" i="5"/>
  <c r="D40" i="5"/>
  <c r="C40" i="5"/>
  <c r="B40" i="5"/>
  <c r="A40" i="5"/>
  <c r="E40" i="5" s="1"/>
  <c r="D39" i="5"/>
  <c r="C39" i="5"/>
  <c r="B39" i="5"/>
  <c r="A39" i="5"/>
  <c r="L38" i="5"/>
  <c r="D38" i="5"/>
  <c r="C38" i="5"/>
  <c r="B38" i="5"/>
  <c r="A38" i="5"/>
  <c r="E38" i="5" s="1"/>
  <c r="D37" i="5"/>
  <c r="C37" i="5"/>
  <c r="L37" i="5" s="1"/>
  <c r="B37" i="5"/>
  <c r="A37" i="5"/>
  <c r="E37" i="5" s="1"/>
  <c r="D36" i="5"/>
  <c r="C36" i="5"/>
  <c r="L36" i="5" s="1"/>
  <c r="B36" i="5"/>
  <c r="A36" i="5"/>
  <c r="D35" i="5"/>
  <c r="C35" i="5"/>
  <c r="B35" i="5"/>
  <c r="A35" i="5"/>
  <c r="E35" i="5" s="1"/>
  <c r="D34" i="5"/>
  <c r="C34" i="5"/>
  <c r="B34" i="5"/>
  <c r="A34" i="5"/>
  <c r="E34" i="5" s="1"/>
  <c r="D33" i="5"/>
  <c r="C33" i="5"/>
  <c r="L33" i="5" s="1"/>
  <c r="B33" i="5"/>
  <c r="A33" i="5"/>
  <c r="E33" i="5" s="1"/>
  <c r="D32" i="5"/>
  <c r="C32" i="5"/>
  <c r="B32" i="5"/>
  <c r="A32" i="5"/>
  <c r="E32" i="5" s="1"/>
  <c r="L31" i="5"/>
  <c r="D31" i="5"/>
  <c r="C31" i="5"/>
  <c r="B31" i="5"/>
  <c r="A31" i="5"/>
  <c r="L30" i="5"/>
  <c r="D30" i="5"/>
  <c r="C30" i="5"/>
  <c r="B30" i="5"/>
  <c r="A30" i="5"/>
  <c r="E30" i="5" s="1"/>
  <c r="L29" i="5"/>
  <c r="D29" i="5"/>
  <c r="C29" i="5"/>
  <c r="B29" i="5"/>
  <c r="A29" i="5"/>
  <c r="E29" i="5" s="1"/>
  <c r="D28" i="5"/>
  <c r="C28" i="5"/>
  <c r="B28" i="5"/>
  <c r="A28" i="5"/>
  <c r="E28" i="5" s="1"/>
  <c r="L27" i="5"/>
  <c r="D27" i="5"/>
  <c r="C27" i="5"/>
  <c r="B27" i="5"/>
  <c r="A27" i="5"/>
  <c r="L26" i="5"/>
  <c r="D26" i="5"/>
  <c r="C26" i="5"/>
  <c r="B26" i="5"/>
  <c r="A26" i="5"/>
  <c r="E26" i="5" s="1"/>
  <c r="D25" i="5"/>
  <c r="C25" i="5"/>
  <c r="B25" i="5"/>
  <c r="A25" i="5"/>
  <c r="E25" i="5" s="1"/>
  <c r="L24" i="5"/>
  <c r="D24" i="5"/>
  <c r="C24" i="5"/>
  <c r="B24" i="5"/>
  <c r="A24" i="5"/>
  <c r="D23" i="5"/>
  <c r="C23" i="5"/>
  <c r="B23" i="5"/>
  <c r="A23" i="5"/>
  <c r="E23" i="5" s="1"/>
  <c r="L22" i="5"/>
  <c r="D22" i="5"/>
  <c r="C22" i="5"/>
  <c r="B22" i="5"/>
  <c r="A22" i="5"/>
  <c r="E22" i="5" s="1"/>
  <c r="L21" i="5"/>
  <c r="D21" i="5"/>
  <c r="C21" i="5"/>
  <c r="B21" i="5"/>
  <c r="A21" i="5"/>
  <c r="E21" i="5" s="1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L16" i="5"/>
  <c r="D16" i="5"/>
  <c r="C16" i="5"/>
  <c r="B16" i="5"/>
  <c r="A16" i="5"/>
  <c r="E16" i="5" s="1"/>
  <c r="D15" i="5"/>
  <c r="C15" i="5"/>
  <c r="B15" i="5"/>
  <c r="A15" i="5"/>
  <c r="E15" i="5" s="1"/>
  <c r="L14" i="5"/>
  <c r="D14" i="5"/>
  <c r="C14" i="5"/>
  <c r="B14" i="5"/>
  <c r="A14" i="5"/>
  <c r="E14" i="5" s="1"/>
  <c r="D13" i="5"/>
  <c r="C13" i="5"/>
  <c r="B13" i="5"/>
  <c r="A13" i="5"/>
  <c r="E13" i="5" s="1"/>
  <c r="L12" i="5"/>
  <c r="D12" i="5"/>
  <c r="C12" i="5"/>
  <c r="B12" i="5"/>
  <c r="A12" i="5"/>
  <c r="E12" i="5" s="1"/>
  <c r="D11" i="5"/>
  <c r="C11" i="5"/>
  <c r="B11" i="5"/>
  <c r="A11" i="5"/>
  <c r="L10" i="5"/>
  <c r="D10" i="5"/>
  <c r="C10" i="5"/>
  <c r="B10" i="5"/>
  <c r="A10" i="5"/>
  <c r="E10" i="5" s="1"/>
  <c r="L9" i="5"/>
  <c r="D9" i="5"/>
  <c r="C9" i="5"/>
  <c r="B9" i="5"/>
  <c r="A9" i="5"/>
  <c r="L8" i="5"/>
  <c r="D8" i="5"/>
  <c r="C8" i="5"/>
  <c r="B8" i="5"/>
  <c r="A8" i="5"/>
  <c r="Z997" i="4"/>
  <c r="Y997" i="4"/>
  <c r="X997" i="4"/>
  <c r="W997" i="4"/>
  <c r="T997" i="4"/>
  <c r="Z996" i="4"/>
  <c r="Y996" i="4"/>
  <c r="X996" i="4"/>
  <c r="W996" i="4"/>
  <c r="T996" i="4"/>
  <c r="Z995" i="4"/>
  <c r="Y995" i="4"/>
  <c r="X995" i="4"/>
  <c r="W995" i="4"/>
  <c r="T995" i="4"/>
  <c r="Z994" i="4"/>
  <c r="Y994" i="4"/>
  <c r="X994" i="4"/>
  <c r="W994" i="4"/>
  <c r="T994" i="4"/>
  <c r="Z993" i="4"/>
  <c r="Y993" i="4"/>
  <c r="X993" i="4"/>
  <c r="W993" i="4"/>
  <c r="T993" i="4"/>
  <c r="Z992" i="4"/>
  <c r="Y992" i="4"/>
  <c r="X992" i="4"/>
  <c r="W992" i="4"/>
  <c r="T992" i="4"/>
  <c r="Z991" i="4"/>
  <c r="Y991" i="4"/>
  <c r="X991" i="4"/>
  <c r="W991" i="4"/>
  <c r="T991" i="4"/>
  <c r="Z990" i="4"/>
  <c r="Y990" i="4"/>
  <c r="X990" i="4"/>
  <c r="W990" i="4"/>
  <c r="T990" i="4"/>
  <c r="Z989" i="4"/>
  <c r="Y989" i="4"/>
  <c r="X989" i="4"/>
  <c r="W989" i="4"/>
  <c r="T989" i="4"/>
  <c r="Z988" i="4"/>
  <c r="Y988" i="4"/>
  <c r="X988" i="4"/>
  <c r="W988" i="4"/>
  <c r="T988" i="4"/>
  <c r="Z987" i="4"/>
  <c r="Y987" i="4"/>
  <c r="X987" i="4"/>
  <c r="W987" i="4"/>
  <c r="T987" i="4"/>
  <c r="Z986" i="4"/>
  <c r="Y986" i="4"/>
  <c r="X986" i="4"/>
  <c r="W986" i="4"/>
  <c r="T986" i="4"/>
  <c r="Z985" i="4"/>
  <c r="Y985" i="4"/>
  <c r="X985" i="4"/>
  <c r="W985" i="4"/>
  <c r="T985" i="4"/>
  <c r="Z984" i="4"/>
  <c r="Y984" i="4"/>
  <c r="X984" i="4"/>
  <c r="W984" i="4"/>
  <c r="T984" i="4"/>
  <c r="Z983" i="4"/>
  <c r="Y983" i="4"/>
  <c r="X983" i="4"/>
  <c r="W983" i="4"/>
  <c r="T983" i="4"/>
  <c r="Z982" i="4"/>
  <c r="Y982" i="4"/>
  <c r="X982" i="4"/>
  <c r="W982" i="4"/>
  <c r="T982" i="4"/>
  <c r="Z981" i="4"/>
  <c r="Y981" i="4"/>
  <c r="X981" i="4"/>
  <c r="W981" i="4"/>
  <c r="T981" i="4"/>
  <c r="Z980" i="4"/>
  <c r="Y980" i="4"/>
  <c r="X980" i="4"/>
  <c r="W980" i="4"/>
  <c r="T980" i="4"/>
  <c r="Z979" i="4"/>
  <c r="Y979" i="4"/>
  <c r="X979" i="4"/>
  <c r="W979" i="4"/>
  <c r="T979" i="4"/>
  <c r="Z978" i="4"/>
  <c r="Y978" i="4"/>
  <c r="X978" i="4"/>
  <c r="W978" i="4"/>
  <c r="T978" i="4"/>
  <c r="Z977" i="4"/>
  <c r="Y977" i="4"/>
  <c r="X977" i="4"/>
  <c r="W977" i="4"/>
  <c r="T977" i="4"/>
  <c r="Z976" i="4"/>
  <c r="Y976" i="4"/>
  <c r="X976" i="4"/>
  <c r="W976" i="4"/>
  <c r="T976" i="4"/>
  <c r="Z975" i="4"/>
  <c r="Y975" i="4"/>
  <c r="X975" i="4"/>
  <c r="W975" i="4"/>
  <c r="T975" i="4"/>
  <c r="Z974" i="4"/>
  <c r="Y974" i="4"/>
  <c r="X974" i="4"/>
  <c r="W974" i="4"/>
  <c r="T974" i="4"/>
  <c r="Z973" i="4"/>
  <c r="Y973" i="4"/>
  <c r="X973" i="4"/>
  <c r="W973" i="4"/>
  <c r="T973" i="4"/>
  <c r="Z972" i="4"/>
  <c r="Y972" i="4"/>
  <c r="X972" i="4"/>
  <c r="W972" i="4"/>
  <c r="T972" i="4"/>
  <c r="Z971" i="4"/>
  <c r="Y971" i="4"/>
  <c r="X971" i="4"/>
  <c r="W971" i="4"/>
  <c r="T971" i="4"/>
  <c r="Z970" i="4"/>
  <c r="Y970" i="4"/>
  <c r="X970" i="4"/>
  <c r="W970" i="4"/>
  <c r="T970" i="4"/>
  <c r="Z969" i="4"/>
  <c r="Y969" i="4"/>
  <c r="X969" i="4"/>
  <c r="W969" i="4"/>
  <c r="T969" i="4"/>
  <c r="Z968" i="4"/>
  <c r="Y968" i="4"/>
  <c r="X968" i="4"/>
  <c r="W968" i="4"/>
  <c r="T968" i="4"/>
  <c r="Z967" i="4"/>
  <c r="Y967" i="4"/>
  <c r="X967" i="4"/>
  <c r="W967" i="4"/>
  <c r="T967" i="4"/>
  <c r="Z966" i="4"/>
  <c r="Y966" i="4"/>
  <c r="X966" i="4"/>
  <c r="W966" i="4"/>
  <c r="T966" i="4"/>
  <c r="Z965" i="4"/>
  <c r="Y965" i="4"/>
  <c r="X965" i="4"/>
  <c r="W965" i="4"/>
  <c r="T965" i="4"/>
  <c r="Z964" i="4"/>
  <c r="Y964" i="4"/>
  <c r="X964" i="4"/>
  <c r="W964" i="4"/>
  <c r="T964" i="4"/>
  <c r="Z963" i="4"/>
  <c r="Y963" i="4"/>
  <c r="X963" i="4"/>
  <c r="W963" i="4"/>
  <c r="T963" i="4"/>
  <c r="Z962" i="4"/>
  <c r="Y962" i="4"/>
  <c r="X962" i="4"/>
  <c r="W962" i="4"/>
  <c r="T962" i="4"/>
  <c r="Z961" i="4"/>
  <c r="Y961" i="4"/>
  <c r="X961" i="4"/>
  <c r="W961" i="4"/>
  <c r="T961" i="4"/>
  <c r="Z960" i="4"/>
  <c r="Y960" i="4"/>
  <c r="X960" i="4"/>
  <c r="W960" i="4"/>
  <c r="T960" i="4"/>
  <c r="Z959" i="4"/>
  <c r="Y959" i="4"/>
  <c r="X959" i="4"/>
  <c r="W959" i="4"/>
  <c r="T959" i="4"/>
  <c r="Z958" i="4"/>
  <c r="Y958" i="4"/>
  <c r="X958" i="4"/>
  <c r="W958" i="4"/>
  <c r="T958" i="4"/>
  <c r="Z957" i="4"/>
  <c r="Y957" i="4"/>
  <c r="X957" i="4"/>
  <c r="W957" i="4"/>
  <c r="T957" i="4"/>
  <c r="Z956" i="4"/>
  <c r="Y956" i="4"/>
  <c r="X956" i="4"/>
  <c r="W956" i="4"/>
  <c r="T956" i="4"/>
  <c r="Z955" i="4"/>
  <c r="Y955" i="4"/>
  <c r="X955" i="4"/>
  <c r="W955" i="4"/>
  <c r="T955" i="4"/>
  <c r="Z954" i="4"/>
  <c r="Y954" i="4"/>
  <c r="X954" i="4"/>
  <c r="W954" i="4"/>
  <c r="T954" i="4"/>
  <c r="Z953" i="4"/>
  <c r="Y953" i="4"/>
  <c r="X953" i="4"/>
  <c r="W953" i="4"/>
  <c r="T953" i="4"/>
  <c r="Z952" i="4"/>
  <c r="Y952" i="4"/>
  <c r="X952" i="4"/>
  <c r="W952" i="4"/>
  <c r="T952" i="4"/>
  <c r="Z951" i="4"/>
  <c r="Y951" i="4"/>
  <c r="X951" i="4"/>
  <c r="W951" i="4"/>
  <c r="T951" i="4"/>
  <c r="Z950" i="4"/>
  <c r="Y950" i="4"/>
  <c r="X950" i="4"/>
  <c r="W950" i="4"/>
  <c r="T950" i="4"/>
  <c r="Z949" i="4"/>
  <c r="Y949" i="4"/>
  <c r="X949" i="4"/>
  <c r="W949" i="4"/>
  <c r="T949" i="4"/>
  <c r="Z948" i="4"/>
  <c r="Y948" i="4"/>
  <c r="X948" i="4"/>
  <c r="W948" i="4"/>
  <c r="T948" i="4"/>
  <c r="Z947" i="4"/>
  <c r="Y947" i="4"/>
  <c r="X947" i="4"/>
  <c r="W947" i="4"/>
  <c r="T947" i="4"/>
  <c r="Z946" i="4"/>
  <c r="Y946" i="4"/>
  <c r="X946" i="4"/>
  <c r="W946" i="4"/>
  <c r="T946" i="4"/>
  <c r="Z945" i="4"/>
  <c r="Y945" i="4"/>
  <c r="X945" i="4"/>
  <c r="W945" i="4"/>
  <c r="T945" i="4"/>
  <c r="Z944" i="4"/>
  <c r="Y944" i="4"/>
  <c r="X944" i="4"/>
  <c r="W944" i="4"/>
  <c r="T944" i="4"/>
  <c r="Z943" i="4"/>
  <c r="Y943" i="4"/>
  <c r="X943" i="4"/>
  <c r="W943" i="4"/>
  <c r="T943" i="4"/>
  <c r="Z942" i="4"/>
  <c r="Y942" i="4"/>
  <c r="X942" i="4"/>
  <c r="W942" i="4"/>
  <c r="T942" i="4"/>
  <c r="Z941" i="4"/>
  <c r="Y941" i="4"/>
  <c r="X941" i="4"/>
  <c r="W941" i="4"/>
  <c r="T941" i="4"/>
  <c r="Z940" i="4"/>
  <c r="Y940" i="4"/>
  <c r="X940" i="4"/>
  <c r="W940" i="4"/>
  <c r="T940" i="4"/>
  <c r="Z939" i="4"/>
  <c r="Y939" i="4"/>
  <c r="X939" i="4"/>
  <c r="W939" i="4"/>
  <c r="T939" i="4"/>
  <c r="Z938" i="4"/>
  <c r="Y938" i="4"/>
  <c r="X938" i="4"/>
  <c r="W938" i="4"/>
  <c r="T938" i="4"/>
  <c r="Z937" i="4"/>
  <c r="Y937" i="4"/>
  <c r="X937" i="4"/>
  <c r="W937" i="4"/>
  <c r="T937" i="4"/>
  <c r="Z936" i="4"/>
  <c r="Y936" i="4"/>
  <c r="X936" i="4"/>
  <c r="W936" i="4"/>
  <c r="T936" i="4"/>
  <c r="Z935" i="4"/>
  <c r="Y935" i="4"/>
  <c r="X935" i="4"/>
  <c r="W935" i="4"/>
  <c r="T935" i="4"/>
  <c r="Z934" i="4"/>
  <c r="Y934" i="4"/>
  <c r="X934" i="4"/>
  <c r="W934" i="4"/>
  <c r="T934" i="4"/>
  <c r="Z933" i="4"/>
  <c r="Y933" i="4"/>
  <c r="X933" i="4"/>
  <c r="W933" i="4"/>
  <c r="T933" i="4"/>
  <c r="Z932" i="4"/>
  <c r="Y932" i="4"/>
  <c r="X932" i="4"/>
  <c r="W932" i="4"/>
  <c r="T932" i="4"/>
  <c r="Z931" i="4"/>
  <c r="Y931" i="4"/>
  <c r="X931" i="4"/>
  <c r="W931" i="4"/>
  <c r="T931" i="4"/>
  <c r="Z930" i="4"/>
  <c r="Y930" i="4"/>
  <c r="X930" i="4"/>
  <c r="W930" i="4"/>
  <c r="T930" i="4"/>
  <c r="Z929" i="4"/>
  <c r="Y929" i="4"/>
  <c r="X929" i="4"/>
  <c r="W929" i="4"/>
  <c r="T929" i="4"/>
  <c r="Z928" i="4"/>
  <c r="Y928" i="4"/>
  <c r="X928" i="4"/>
  <c r="W928" i="4"/>
  <c r="T928" i="4"/>
  <c r="Z927" i="4"/>
  <c r="Y927" i="4"/>
  <c r="X927" i="4"/>
  <c r="W927" i="4"/>
  <c r="T927" i="4"/>
  <c r="Z926" i="4"/>
  <c r="Y926" i="4"/>
  <c r="X926" i="4"/>
  <c r="W926" i="4"/>
  <c r="T926" i="4"/>
  <c r="Z925" i="4"/>
  <c r="Y925" i="4"/>
  <c r="X925" i="4"/>
  <c r="W925" i="4"/>
  <c r="T925" i="4"/>
  <c r="Z924" i="4"/>
  <c r="Y924" i="4"/>
  <c r="X924" i="4"/>
  <c r="W924" i="4"/>
  <c r="T924" i="4"/>
  <c r="Z923" i="4"/>
  <c r="Y923" i="4"/>
  <c r="X923" i="4"/>
  <c r="W923" i="4"/>
  <c r="T923" i="4"/>
  <c r="Z922" i="4"/>
  <c r="Y922" i="4"/>
  <c r="X922" i="4"/>
  <c r="W922" i="4"/>
  <c r="T922" i="4"/>
  <c r="Z921" i="4"/>
  <c r="Y921" i="4"/>
  <c r="X921" i="4"/>
  <c r="W921" i="4"/>
  <c r="T921" i="4"/>
  <c r="Z920" i="4"/>
  <c r="Y920" i="4"/>
  <c r="X920" i="4"/>
  <c r="W920" i="4"/>
  <c r="T920" i="4"/>
  <c r="Z919" i="4"/>
  <c r="Y919" i="4"/>
  <c r="X919" i="4"/>
  <c r="W919" i="4"/>
  <c r="T919" i="4"/>
  <c r="Z918" i="4"/>
  <c r="Y918" i="4"/>
  <c r="X918" i="4"/>
  <c r="W918" i="4"/>
  <c r="T918" i="4"/>
  <c r="Z917" i="4"/>
  <c r="Y917" i="4"/>
  <c r="X917" i="4"/>
  <c r="W917" i="4"/>
  <c r="T917" i="4"/>
  <c r="Z916" i="4"/>
  <c r="Y916" i="4"/>
  <c r="X916" i="4"/>
  <c r="W916" i="4"/>
  <c r="T916" i="4"/>
  <c r="Z915" i="4"/>
  <c r="Y915" i="4"/>
  <c r="X915" i="4"/>
  <c r="W915" i="4"/>
  <c r="T915" i="4"/>
  <c r="Z914" i="4"/>
  <c r="Y914" i="4"/>
  <c r="X914" i="4"/>
  <c r="W914" i="4"/>
  <c r="T914" i="4"/>
  <c r="Z913" i="4"/>
  <c r="Y913" i="4"/>
  <c r="X913" i="4"/>
  <c r="W913" i="4"/>
  <c r="T913" i="4"/>
  <c r="Z912" i="4"/>
  <c r="Y912" i="4"/>
  <c r="X912" i="4"/>
  <c r="W912" i="4"/>
  <c r="T912" i="4"/>
  <c r="Z911" i="4"/>
  <c r="Y911" i="4"/>
  <c r="X911" i="4"/>
  <c r="W911" i="4"/>
  <c r="T911" i="4"/>
  <c r="Z910" i="4"/>
  <c r="Y910" i="4"/>
  <c r="X910" i="4"/>
  <c r="W910" i="4"/>
  <c r="T910" i="4"/>
  <c r="Z909" i="4"/>
  <c r="Y909" i="4"/>
  <c r="X909" i="4"/>
  <c r="W909" i="4"/>
  <c r="T909" i="4"/>
  <c r="Z908" i="4"/>
  <c r="Y908" i="4"/>
  <c r="X908" i="4"/>
  <c r="W908" i="4"/>
  <c r="T908" i="4"/>
  <c r="Z907" i="4"/>
  <c r="Y907" i="4"/>
  <c r="X907" i="4"/>
  <c r="W907" i="4"/>
  <c r="T907" i="4"/>
  <c r="Z906" i="4"/>
  <c r="Y906" i="4"/>
  <c r="X906" i="4"/>
  <c r="W906" i="4"/>
  <c r="T906" i="4"/>
  <c r="Z905" i="4"/>
  <c r="Y905" i="4"/>
  <c r="X905" i="4"/>
  <c r="W905" i="4"/>
  <c r="T905" i="4"/>
  <c r="Z904" i="4"/>
  <c r="Y904" i="4"/>
  <c r="X904" i="4"/>
  <c r="W904" i="4"/>
  <c r="T904" i="4"/>
  <c r="Z903" i="4"/>
  <c r="Y903" i="4"/>
  <c r="X903" i="4"/>
  <c r="W903" i="4"/>
  <c r="T903" i="4"/>
  <c r="Z902" i="4"/>
  <c r="Y902" i="4"/>
  <c r="X902" i="4"/>
  <c r="W902" i="4"/>
  <c r="T902" i="4"/>
  <c r="Z901" i="4"/>
  <c r="Y901" i="4"/>
  <c r="X901" i="4"/>
  <c r="W901" i="4"/>
  <c r="T901" i="4"/>
  <c r="Z900" i="4"/>
  <c r="Y900" i="4"/>
  <c r="X900" i="4"/>
  <c r="W900" i="4"/>
  <c r="T900" i="4"/>
  <c r="Z899" i="4"/>
  <c r="Y899" i="4"/>
  <c r="X899" i="4"/>
  <c r="W899" i="4"/>
  <c r="T899" i="4"/>
  <c r="Z898" i="4"/>
  <c r="Y898" i="4"/>
  <c r="X898" i="4"/>
  <c r="W898" i="4"/>
  <c r="T898" i="4"/>
  <c r="Z897" i="4"/>
  <c r="Y897" i="4"/>
  <c r="X897" i="4"/>
  <c r="W897" i="4"/>
  <c r="T897" i="4"/>
  <c r="Z896" i="4"/>
  <c r="Y896" i="4"/>
  <c r="X896" i="4"/>
  <c r="W896" i="4"/>
  <c r="T896" i="4"/>
  <c r="Z895" i="4"/>
  <c r="Y895" i="4"/>
  <c r="X895" i="4"/>
  <c r="W895" i="4"/>
  <c r="T895" i="4"/>
  <c r="Z894" i="4"/>
  <c r="Y894" i="4"/>
  <c r="X894" i="4"/>
  <c r="W894" i="4"/>
  <c r="T894" i="4"/>
  <c r="Z893" i="4"/>
  <c r="Y893" i="4"/>
  <c r="X893" i="4"/>
  <c r="W893" i="4"/>
  <c r="T893" i="4"/>
  <c r="Z892" i="4"/>
  <c r="Y892" i="4"/>
  <c r="X892" i="4"/>
  <c r="W892" i="4"/>
  <c r="T892" i="4"/>
  <c r="Z891" i="4"/>
  <c r="Y891" i="4"/>
  <c r="X891" i="4"/>
  <c r="W891" i="4"/>
  <c r="T891" i="4"/>
  <c r="Z890" i="4"/>
  <c r="Y890" i="4"/>
  <c r="X890" i="4"/>
  <c r="W890" i="4"/>
  <c r="T890" i="4"/>
  <c r="Z889" i="4"/>
  <c r="Y889" i="4"/>
  <c r="X889" i="4"/>
  <c r="W889" i="4"/>
  <c r="T889" i="4"/>
  <c r="Z888" i="4"/>
  <c r="Y888" i="4"/>
  <c r="X888" i="4"/>
  <c r="W888" i="4"/>
  <c r="T888" i="4"/>
  <c r="Z887" i="4"/>
  <c r="Y887" i="4"/>
  <c r="X887" i="4"/>
  <c r="W887" i="4"/>
  <c r="T887" i="4"/>
  <c r="Z886" i="4"/>
  <c r="Y886" i="4"/>
  <c r="X886" i="4"/>
  <c r="W886" i="4"/>
  <c r="T886" i="4"/>
  <c r="Z885" i="4"/>
  <c r="Y885" i="4"/>
  <c r="X885" i="4"/>
  <c r="W885" i="4"/>
  <c r="T885" i="4"/>
  <c r="Z884" i="4"/>
  <c r="Y884" i="4"/>
  <c r="X884" i="4"/>
  <c r="W884" i="4"/>
  <c r="T884" i="4"/>
  <c r="Z883" i="4"/>
  <c r="Y883" i="4"/>
  <c r="X883" i="4"/>
  <c r="W883" i="4"/>
  <c r="T883" i="4"/>
  <c r="Z882" i="4"/>
  <c r="Y882" i="4"/>
  <c r="X882" i="4"/>
  <c r="W882" i="4"/>
  <c r="T882" i="4"/>
  <c r="Z881" i="4"/>
  <c r="Y881" i="4"/>
  <c r="X881" i="4"/>
  <c r="W881" i="4"/>
  <c r="T881" i="4"/>
  <c r="Z880" i="4"/>
  <c r="Y880" i="4"/>
  <c r="X880" i="4"/>
  <c r="W880" i="4"/>
  <c r="T880" i="4"/>
  <c r="Z879" i="4"/>
  <c r="Y879" i="4"/>
  <c r="X879" i="4"/>
  <c r="W879" i="4"/>
  <c r="T879" i="4"/>
  <c r="Z878" i="4"/>
  <c r="Y878" i="4"/>
  <c r="X878" i="4"/>
  <c r="W878" i="4"/>
  <c r="T878" i="4"/>
  <c r="Z877" i="4"/>
  <c r="Y877" i="4"/>
  <c r="X877" i="4"/>
  <c r="W877" i="4"/>
  <c r="T877" i="4"/>
  <c r="Z876" i="4"/>
  <c r="Y876" i="4"/>
  <c r="X876" i="4"/>
  <c r="W876" i="4"/>
  <c r="T876" i="4"/>
  <c r="Z875" i="4"/>
  <c r="Y875" i="4"/>
  <c r="X875" i="4"/>
  <c r="W875" i="4"/>
  <c r="T875" i="4"/>
  <c r="Z874" i="4"/>
  <c r="Y874" i="4"/>
  <c r="X874" i="4"/>
  <c r="W874" i="4"/>
  <c r="T874" i="4"/>
  <c r="Z873" i="4"/>
  <c r="Y873" i="4"/>
  <c r="X873" i="4"/>
  <c r="W873" i="4"/>
  <c r="T873" i="4"/>
  <c r="Z872" i="4"/>
  <c r="Y872" i="4"/>
  <c r="X872" i="4"/>
  <c r="W872" i="4"/>
  <c r="T872" i="4"/>
  <c r="Z871" i="4"/>
  <c r="Y871" i="4"/>
  <c r="X871" i="4"/>
  <c r="W871" i="4"/>
  <c r="T871" i="4"/>
  <c r="Z870" i="4"/>
  <c r="Y870" i="4"/>
  <c r="X870" i="4"/>
  <c r="W870" i="4"/>
  <c r="T870" i="4"/>
  <c r="Z869" i="4"/>
  <c r="Y869" i="4"/>
  <c r="X869" i="4"/>
  <c r="W869" i="4"/>
  <c r="T869" i="4"/>
  <c r="Z868" i="4"/>
  <c r="Y868" i="4"/>
  <c r="X868" i="4"/>
  <c r="W868" i="4"/>
  <c r="T868" i="4"/>
  <c r="Z867" i="4"/>
  <c r="Y867" i="4"/>
  <c r="X867" i="4"/>
  <c r="W867" i="4"/>
  <c r="T867" i="4"/>
  <c r="Z866" i="4"/>
  <c r="Y866" i="4"/>
  <c r="X866" i="4"/>
  <c r="W866" i="4"/>
  <c r="T866" i="4"/>
  <c r="Z865" i="4"/>
  <c r="Y865" i="4"/>
  <c r="X865" i="4"/>
  <c r="W865" i="4"/>
  <c r="T865" i="4"/>
  <c r="Z864" i="4"/>
  <c r="Y864" i="4"/>
  <c r="X864" i="4"/>
  <c r="W864" i="4"/>
  <c r="T864" i="4"/>
  <c r="Z863" i="4"/>
  <c r="Y863" i="4"/>
  <c r="X863" i="4"/>
  <c r="W863" i="4"/>
  <c r="T863" i="4"/>
  <c r="Z862" i="4"/>
  <c r="Y862" i="4"/>
  <c r="X862" i="4"/>
  <c r="W862" i="4"/>
  <c r="T862" i="4"/>
  <c r="Z861" i="4"/>
  <c r="Y861" i="4"/>
  <c r="X861" i="4"/>
  <c r="W861" i="4"/>
  <c r="T861" i="4"/>
  <c r="Z860" i="4"/>
  <c r="Y860" i="4"/>
  <c r="X860" i="4"/>
  <c r="W860" i="4"/>
  <c r="T860" i="4"/>
  <c r="Z859" i="4"/>
  <c r="Y859" i="4"/>
  <c r="X859" i="4"/>
  <c r="W859" i="4"/>
  <c r="T859" i="4"/>
  <c r="Z858" i="4"/>
  <c r="Y858" i="4"/>
  <c r="X858" i="4"/>
  <c r="W858" i="4"/>
  <c r="T858" i="4"/>
  <c r="Z857" i="4"/>
  <c r="Y857" i="4"/>
  <c r="X857" i="4"/>
  <c r="W857" i="4"/>
  <c r="T857" i="4"/>
  <c r="Z856" i="4"/>
  <c r="Y856" i="4"/>
  <c r="X856" i="4"/>
  <c r="W856" i="4"/>
  <c r="T856" i="4"/>
  <c r="Z855" i="4"/>
  <c r="Y855" i="4"/>
  <c r="X855" i="4"/>
  <c r="W855" i="4"/>
  <c r="T855" i="4"/>
  <c r="Z854" i="4"/>
  <c r="Y854" i="4"/>
  <c r="X854" i="4"/>
  <c r="W854" i="4"/>
  <c r="T854" i="4"/>
  <c r="Z853" i="4"/>
  <c r="Y853" i="4"/>
  <c r="X853" i="4"/>
  <c r="W853" i="4"/>
  <c r="T853" i="4"/>
  <c r="Z852" i="4"/>
  <c r="Y852" i="4"/>
  <c r="X852" i="4"/>
  <c r="W852" i="4"/>
  <c r="T852" i="4"/>
  <c r="Z851" i="4"/>
  <c r="Y851" i="4"/>
  <c r="X851" i="4"/>
  <c r="W851" i="4"/>
  <c r="T851" i="4"/>
  <c r="Z850" i="4"/>
  <c r="Y850" i="4"/>
  <c r="X850" i="4"/>
  <c r="W850" i="4"/>
  <c r="T850" i="4"/>
  <c r="Z849" i="4"/>
  <c r="Y849" i="4"/>
  <c r="X849" i="4"/>
  <c r="W849" i="4"/>
  <c r="T849" i="4"/>
  <c r="Z848" i="4"/>
  <c r="Y848" i="4"/>
  <c r="X848" i="4"/>
  <c r="W848" i="4"/>
  <c r="T848" i="4"/>
  <c r="Z847" i="4"/>
  <c r="Y847" i="4"/>
  <c r="X847" i="4"/>
  <c r="W847" i="4"/>
  <c r="T847" i="4"/>
  <c r="Z846" i="4"/>
  <c r="Y846" i="4"/>
  <c r="X846" i="4"/>
  <c r="W846" i="4"/>
  <c r="T846" i="4"/>
  <c r="Z845" i="4"/>
  <c r="Y845" i="4"/>
  <c r="X845" i="4"/>
  <c r="W845" i="4"/>
  <c r="T845" i="4"/>
  <c r="Z844" i="4"/>
  <c r="Y844" i="4"/>
  <c r="X844" i="4"/>
  <c r="W844" i="4"/>
  <c r="T844" i="4"/>
  <c r="Z843" i="4"/>
  <c r="Y843" i="4"/>
  <c r="X843" i="4"/>
  <c r="W843" i="4"/>
  <c r="T843" i="4"/>
  <c r="Z842" i="4"/>
  <c r="Y842" i="4"/>
  <c r="X842" i="4"/>
  <c r="W842" i="4"/>
  <c r="T842" i="4"/>
  <c r="Z841" i="4"/>
  <c r="Y841" i="4"/>
  <c r="X841" i="4"/>
  <c r="W841" i="4"/>
  <c r="T841" i="4"/>
  <c r="Z840" i="4"/>
  <c r="Y840" i="4"/>
  <c r="X840" i="4"/>
  <c r="W840" i="4"/>
  <c r="T840" i="4"/>
  <c r="Z839" i="4"/>
  <c r="Y839" i="4"/>
  <c r="X839" i="4"/>
  <c r="W839" i="4"/>
  <c r="T839" i="4"/>
  <c r="Z838" i="4"/>
  <c r="Y838" i="4"/>
  <c r="X838" i="4"/>
  <c r="W838" i="4"/>
  <c r="T838" i="4"/>
  <c r="Z837" i="4"/>
  <c r="Y837" i="4"/>
  <c r="X837" i="4"/>
  <c r="W837" i="4"/>
  <c r="T837" i="4"/>
  <c r="Z836" i="4"/>
  <c r="Y836" i="4"/>
  <c r="X836" i="4"/>
  <c r="W836" i="4"/>
  <c r="T836" i="4"/>
  <c r="Z835" i="4"/>
  <c r="Y835" i="4"/>
  <c r="X835" i="4"/>
  <c r="W835" i="4"/>
  <c r="T835" i="4"/>
  <c r="Z834" i="4"/>
  <c r="Y834" i="4"/>
  <c r="X834" i="4"/>
  <c r="W834" i="4"/>
  <c r="T834" i="4"/>
  <c r="Z833" i="4"/>
  <c r="Y833" i="4"/>
  <c r="X833" i="4"/>
  <c r="W833" i="4"/>
  <c r="T833" i="4"/>
  <c r="Z832" i="4"/>
  <c r="Y832" i="4"/>
  <c r="X832" i="4"/>
  <c r="W832" i="4"/>
  <c r="T832" i="4"/>
  <c r="Z831" i="4"/>
  <c r="Y831" i="4"/>
  <c r="X831" i="4"/>
  <c r="W831" i="4"/>
  <c r="T831" i="4"/>
  <c r="Z830" i="4"/>
  <c r="Y830" i="4"/>
  <c r="X830" i="4"/>
  <c r="W830" i="4"/>
  <c r="T830" i="4"/>
  <c r="Z829" i="4"/>
  <c r="Y829" i="4"/>
  <c r="X829" i="4"/>
  <c r="W829" i="4"/>
  <c r="T829" i="4"/>
  <c r="Z828" i="4"/>
  <c r="Y828" i="4"/>
  <c r="X828" i="4"/>
  <c r="W828" i="4"/>
  <c r="T828" i="4"/>
  <c r="Z827" i="4"/>
  <c r="Y827" i="4"/>
  <c r="X827" i="4"/>
  <c r="W827" i="4"/>
  <c r="T827" i="4"/>
  <c r="Z826" i="4"/>
  <c r="Y826" i="4"/>
  <c r="X826" i="4"/>
  <c r="W826" i="4"/>
  <c r="T826" i="4"/>
  <c r="Z825" i="4"/>
  <c r="Y825" i="4"/>
  <c r="X825" i="4"/>
  <c r="W825" i="4"/>
  <c r="T825" i="4"/>
  <c r="Z824" i="4"/>
  <c r="Y824" i="4"/>
  <c r="X824" i="4"/>
  <c r="W824" i="4"/>
  <c r="T824" i="4"/>
  <c r="Z823" i="4"/>
  <c r="Y823" i="4"/>
  <c r="X823" i="4"/>
  <c r="W823" i="4"/>
  <c r="T823" i="4"/>
  <c r="Z822" i="4"/>
  <c r="Y822" i="4"/>
  <c r="X822" i="4"/>
  <c r="W822" i="4"/>
  <c r="T822" i="4"/>
  <c r="Z821" i="4"/>
  <c r="Y821" i="4"/>
  <c r="X821" i="4"/>
  <c r="W821" i="4"/>
  <c r="T821" i="4"/>
  <c r="Z820" i="4"/>
  <c r="Y820" i="4"/>
  <c r="X820" i="4"/>
  <c r="W820" i="4"/>
  <c r="T820" i="4"/>
  <c r="Z819" i="4"/>
  <c r="Y819" i="4"/>
  <c r="X819" i="4"/>
  <c r="W819" i="4"/>
  <c r="T819" i="4"/>
  <c r="Z818" i="4"/>
  <c r="Y818" i="4"/>
  <c r="X818" i="4"/>
  <c r="W818" i="4"/>
  <c r="T818" i="4"/>
  <c r="Z817" i="4"/>
  <c r="Y817" i="4"/>
  <c r="X817" i="4"/>
  <c r="W817" i="4"/>
  <c r="T817" i="4"/>
  <c r="Z816" i="4"/>
  <c r="Y816" i="4"/>
  <c r="X816" i="4"/>
  <c r="W816" i="4"/>
  <c r="T816" i="4"/>
  <c r="Z815" i="4"/>
  <c r="Y815" i="4"/>
  <c r="X815" i="4"/>
  <c r="W815" i="4"/>
  <c r="T815" i="4"/>
  <c r="Z814" i="4"/>
  <c r="Y814" i="4"/>
  <c r="X814" i="4"/>
  <c r="W814" i="4"/>
  <c r="T814" i="4"/>
  <c r="Z813" i="4"/>
  <c r="Y813" i="4"/>
  <c r="X813" i="4"/>
  <c r="W813" i="4"/>
  <c r="T813" i="4"/>
  <c r="Z812" i="4"/>
  <c r="Y812" i="4"/>
  <c r="X812" i="4"/>
  <c r="W812" i="4"/>
  <c r="T812" i="4"/>
  <c r="Z811" i="4"/>
  <c r="Y811" i="4"/>
  <c r="X811" i="4"/>
  <c r="W811" i="4"/>
  <c r="T811" i="4"/>
  <c r="Z810" i="4"/>
  <c r="Y810" i="4"/>
  <c r="X810" i="4"/>
  <c r="W810" i="4"/>
  <c r="T810" i="4"/>
  <c r="Z809" i="4"/>
  <c r="Y809" i="4"/>
  <c r="X809" i="4"/>
  <c r="W809" i="4"/>
  <c r="T809" i="4"/>
  <c r="Z808" i="4"/>
  <c r="Y808" i="4"/>
  <c r="X808" i="4"/>
  <c r="W808" i="4"/>
  <c r="T808" i="4"/>
  <c r="Z807" i="4"/>
  <c r="Y807" i="4"/>
  <c r="X807" i="4"/>
  <c r="W807" i="4"/>
  <c r="T807" i="4"/>
  <c r="Z806" i="4"/>
  <c r="Y806" i="4"/>
  <c r="X806" i="4"/>
  <c r="W806" i="4"/>
  <c r="T806" i="4"/>
  <c r="Z805" i="4"/>
  <c r="Y805" i="4"/>
  <c r="X805" i="4"/>
  <c r="W805" i="4"/>
  <c r="T805" i="4"/>
  <c r="Z804" i="4"/>
  <c r="Y804" i="4"/>
  <c r="X804" i="4"/>
  <c r="W804" i="4"/>
  <c r="T804" i="4"/>
  <c r="Z803" i="4"/>
  <c r="Y803" i="4"/>
  <c r="X803" i="4"/>
  <c r="W803" i="4"/>
  <c r="T803" i="4"/>
  <c r="Z802" i="4"/>
  <c r="Y802" i="4"/>
  <c r="X802" i="4"/>
  <c r="W802" i="4"/>
  <c r="T802" i="4"/>
  <c r="Z801" i="4"/>
  <c r="Y801" i="4"/>
  <c r="X801" i="4"/>
  <c r="W801" i="4"/>
  <c r="T801" i="4"/>
  <c r="Z800" i="4"/>
  <c r="Y800" i="4"/>
  <c r="X800" i="4"/>
  <c r="W800" i="4"/>
  <c r="T800" i="4"/>
  <c r="Z799" i="4"/>
  <c r="Y799" i="4"/>
  <c r="X799" i="4"/>
  <c r="W799" i="4"/>
  <c r="T799" i="4"/>
  <c r="Z798" i="4"/>
  <c r="Y798" i="4"/>
  <c r="X798" i="4"/>
  <c r="W798" i="4"/>
  <c r="T798" i="4"/>
  <c r="Z797" i="4"/>
  <c r="Y797" i="4"/>
  <c r="X797" i="4"/>
  <c r="W797" i="4"/>
  <c r="T797" i="4"/>
  <c r="Z796" i="4"/>
  <c r="Y796" i="4"/>
  <c r="X796" i="4"/>
  <c r="W796" i="4"/>
  <c r="T796" i="4"/>
  <c r="Z795" i="4"/>
  <c r="Y795" i="4"/>
  <c r="X795" i="4"/>
  <c r="W795" i="4"/>
  <c r="T795" i="4"/>
  <c r="Z794" i="4"/>
  <c r="Y794" i="4"/>
  <c r="X794" i="4"/>
  <c r="W794" i="4"/>
  <c r="T794" i="4"/>
  <c r="Z793" i="4"/>
  <c r="Y793" i="4"/>
  <c r="X793" i="4"/>
  <c r="W793" i="4"/>
  <c r="T793" i="4"/>
  <c r="Z792" i="4"/>
  <c r="Y792" i="4"/>
  <c r="X792" i="4"/>
  <c r="W792" i="4"/>
  <c r="T792" i="4"/>
  <c r="Z791" i="4"/>
  <c r="Y791" i="4"/>
  <c r="X791" i="4"/>
  <c r="W791" i="4"/>
  <c r="T791" i="4"/>
  <c r="Z790" i="4"/>
  <c r="Y790" i="4"/>
  <c r="X790" i="4"/>
  <c r="W790" i="4"/>
  <c r="T790" i="4"/>
  <c r="Z789" i="4"/>
  <c r="Y789" i="4"/>
  <c r="X789" i="4"/>
  <c r="W789" i="4"/>
  <c r="T789" i="4"/>
  <c r="Z788" i="4"/>
  <c r="Y788" i="4"/>
  <c r="X788" i="4"/>
  <c r="W788" i="4"/>
  <c r="T788" i="4"/>
  <c r="Z787" i="4"/>
  <c r="Y787" i="4"/>
  <c r="X787" i="4"/>
  <c r="W787" i="4"/>
  <c r="T787" i="4"/>
  <c r="Z786" i="4"/>
  <c r="Y786" i="4"/>
  <c r="X786" i="4"/>
  <c r="W786" i="4"/>
  <c r="T786" i="4"/>
  <c r="Z785" i="4"/>
  <c r="Y785" i="4"/>
  <c r="X785" i="4"/>
  <c r="W785" i="4"/>
  <c r="T785" i="4"/>
  <c r="Z784" i="4"/>
  <c r="Y784" i="4"/>
  <c r="X784" i="4"/>
  <c r="W784" i="4"/>
  <c r="T784" i="4"/>
  <c r="Z783" i="4"/>
  <c r="Y783" i="4"/>
  <c r="X783" i="4"/>
  <c r="W783" i="4"/>
  <c r="T783" i="4"/>
  <c r="Z782" i="4"/>
  <c r="Y782" i="4"/>
  <c r="X782" i="4"/>
  <c r="W782" i="4"/>
  <c r="T782" i="4"/>
  <c r="Z781" i="4"/>
  <c r="Y781" i="4"/>
  <c r="X781" i="4"/>
  <c r="W781" i="4"/>
  <c r="T781" i="4"/>
  <c r="Z780" i="4"/>
  <c r="Y780" i="4"/>
  <c r="X780" i="4"/>
  <c r="W780" i="4"/>
  <c r="T780" i="4"/>
  <c r="Z779" i="4"/>
  <c r="Y779" i="4"/>
  <c r="X779" i="4"/>
  <c r="W779" i="4"/>
  <c r="T779" i="4"/>
  <c r="Z778" i="4"/>
  <c r="Y778" i="4"/>
  <c r="X778" i="4"/>
  <c r="W778" i="4"/>
  <c r="T778" i="4"/>
  <c r="Z777" i="4"/>
  <c r="Y777" i="4"/>
  <c r="X777" i="4"/>
  <c r="W777" i="4"/>
  <c r="T777" i="4"/>
  <c r="Z776" i="4"/>
  <c r="Y776" i="4"/>
  <c r="X776" i="4"/>
  <c r="W776" i="4"/>
  <c r="T776" i="4"/>
  <c r="Z775" i="4"/>
  <c r="Y775" i="4"/>
  <c r="X775" i="4"/>
  <c r="W775" i="4"/>
  <c r="T775" i="4"/>
  <c r="Z774" i="4"/>
  <c r="Y774" i="4"/>
  <c r="X774" i="4"/>
  <c r="W774" i="4"/>
  <c r="T774" i="4"/>
  <c r="Z773" i="4"/>
  <c r="Y773" i="4"/>
  <c r="X773" i="4"/>
  <c r="W773" i="4"/>
  <c r="T773" i="4"/>
  <c r="Z772" i="4"/>
  <c r="Y772" i="4"/>
  <c r="X772" i="4"/>
  <c r="W772" i="4"/>
  <c r="T772" i="4"/>
  <c r="Z771" i="4"/>
  <c r="Y771" i="4"/>
  <c r="X771" i="4"/>
  <c r="W771" i="4"/>
  <c r="T771" i="4"/>
  <c r="Z770" i="4"/>
  <c r="Y770" i="4"/>
  <c r="X770" i="4"/>
  <c r="W770" i="4"/>
  <c r="T770" i="4"/>
  <c r="Z769" i="4"/>
  <c r="Y769" i="4"/>
  <c r="X769" i="4"/>
  <c r="W769" i="4"/>
  <c r="T769" i="4"/>
  <c r="Z768" i="4"/>
  <c r="Y768" i="4"/>
  <c r="X768" i="4"/>
  <c r="W768" i="4"/>
  <c r="T768" i="4"/>
  <c r="Z767" i="4"/>
  <c r="Y767" i="4"/>
  <c r="X767" i="4"/>
  <c r="W767" i="4"/>
  <c r="T767" i="4"/>
  <c r="Z766" i="4"/>
  <c r="Y766" i="4"/>
  <c r="X766" i="4"/>
  <c r="W766" i="4"/>
  <c r="T766" i="4"/>
  <c r="Z765" i="4"/>
  <c r="Y765" i="4"/>
  <c r="X765" i="4"/>
  <c r="W765" i="4"/>
  <c r="T765" i="4"/>
  <c r="Z764" i="4"/>
  <c r="Y764" i="4"/>
  <c r="X764" i="4"/>
  <c r="W764" i="4"/>
  <c r="T764" i="4"/>
  <c r="Z763" i="4"/>
  <c r="Y763" i="4"/>
  <c r="X763" i="4"/>
  <c r="W763" i="4"/>
  <c r="T763" i="4"/>
  <c r="Z762" i="4"/>
  <c r="Y762" i="4"/>
  <c r="X762" i="4"/>
  <c r="W762" i="4"/>
  <c r="T762" i="4"/>
  <c r="Z761" i="4"/>
  <c r="Y761" i="4"/>
  <c r="X761" i="4"/>
  <c r="W761" i="4"/>
  <c r="T761" i="4"/>
  <c r="Z760" i="4"/>
  <c r="Y760" i="4"/>
  <c r="X760" i="4"/>
  <c r="W760" i="4"/>
  <c r="T760" i="4"/>
  <c r="Z759" i="4"/>
  <c r="Y759" i="4"/>
  <c r="X759" i="4"/>
  <c r="W759" i="4"/>
  <c r="T759" i="4"/>
  <c r="Z758" i="4"/>
  <c r="Y758" i="4"/>
  <c r="X758" i="4"/>
  <c r="W758" i="4"/>
  <c r="T758" i="4"/>
  <c r="Z757" i="4"/>
  <c r="Y757" i="4"/>
  <c r="X757" i="4"/>
  <c r="W757" i="4"/>
  <c r="T757" i="4"/>
  <c r="Z756" i="4"/>
  <c r="Y756" i="4"/>
  <c r="X756" i="4"/>
  <c r="W756" i="4"/>
  <c r="T756" i="4"/>
  <c r="Z755" i="4"/>
  <c r="Y755" i="4"/>
  <c r="X755" i="4"/>
  <c r="W755" i="4"/>
  <c r="T755" i="4"/>
  <c r="Z754" i="4"/>
  <c r="Y754" i="4"/>
  <c r="X754" i="4"/>
  <c r="W754" i="4"/>
  <c r="T754" i="4"/>
  <c r="Z753" i="4"/>
  <c r="Y753" i="4"/>
  <c r="X753" i="4"/>
  <c r="W753" i="4"/>
  <c r="T753" i="4"/>
  <c r="Z752" i="4"/>
  <c r="Y752" i="4"/>
  <c r="X752" i="4"/>
  <c r="W752" i="4"/>
  <c r="T752" i="4"/>
  <c r="Z751" i="4"/>
  <c r="Y751" i="4"/>
  <c r="X751" i="4"/>
  <c r="W751" i="4"/>
  <c r="T751" i="4"/>
  <c r="Z750" i="4"/>
  <c r="Y750" i="4"/>
  <c r="X750" i="4"/>
  <c r="W750" i="4"/>
  <c r="T750" i="4"/>
  <c r="Z749" i="4"/>
  <c r="Y749" i="4"/>
  <c r="X749" i="4"/>
  <c r="W749" i="4"/>
  <c r="T749" i="4"/>
  <c r="Z748" i="4"/>
  <c r="Y748" i="4"/>
  <c r="X748" i="4"/>
  <c r="W748" i="4"/>
  <c r="T748" i="4"/>
  <c r="Z747" i="4"/>
  <c r="Y747" i="4"/>
  <c r="X747" i="4"/>
  <c r="W747" i="4"/>
  <c r="T747" i="4"/>
  <c r="Z746" i="4"/>
  <c r="Y746" i="4"/>
  <c r="X746" i="4"/>
  <c r="W746" i="4"/>
  <c r="T746" i="4"/>
  <c r="Z745" i="4"/>
  <c r="Y745" i="4"/>
  <c r="X745" i="4"/>
  <c r="W745" i="4"/>
  <c r="T745" i="4"/>
  <c r="Z744" i="4"/>
  <c r="Y744" i="4"/>
  <c r="X744" i="4"/>
  <c r="W744" i="4"/>
  <c r="T744" i="4"/>
  <c r="Z743" i="4"/>
  <c r="Y743" i="4"/>
  <c r="X743" i="4"/>
  <c r="W743" i="4"/>
  <c r="T743" i="4"/>
  <c r="Z742" i="4"/>
  <c r="Y742" i="4"/>
  <c r="X742" i="4"/>
  <c r="W742" i="4"/>
  <c r="T742" i="4"/>
  <c r="Z741" i="4"/>
  <c r="Y741" i="4"/>
  <c r="X741" i="4"/>
  <c r="W741" i="4"/>
  <c r="T741" i="4"/>
  <c r="Z740" i="4"/>
  <c r="Y740" i="4"/>
  <c r="X740" i="4"/>
  <c r="W740" i="4"/>
  <c r="T740" i="4"/>
  <c r="Z739" i="4"/>
  <c r="Y739" i="4"/>
  <c r="X739" i="4"/>
  <c r="W739" i="4"/>
  <c r="T739" i="4"/>
  <c r="Z738" i="4"/>
  <c r="Y738" i="4"/>
  <c r="X738" i="4"/>
  <c r="W738" i="4"/>
  <c r="T738" i="4"/>
  <c r="Z737" i="4"/>
  <c r="Y737" i="4"/>
  <c r="X737" i="4"/>
  <c r="W737" i="4"/>
  <c r="T737" i="4"/>
  <c r="Z736" i="4"/>
  <c r="Y736" i="4"/>
  <c r="X736" i="4"/>
  <c r="W736" i="4"/>
  <c r="T736" i="4"/>
  <c r="Z735" i="4"/>
  <c r="Y735" i="4"/>
  <c r="X735" i="4"/>
  <c r="W735" i="4"/>
  <c r="T735" i="4"/>
  <c r="Z734" i="4"/>
  <c r="Y734" i="4"/>
  <c r="X734" i="4"/>
  <c r="W734" i="4"/>
  <c r="T734" i="4"/>
  <c r="Z733" i="4"/>
  <c r="Y733" i="4"/>
  <c r="X733" i="4"/>
  <c r="W733" i="4"/>
  <c r="T733" i="4"/>
  <c r="Z732" i="4"/>
  <c r="Y732" i="4"/>
  <c r="X732" i="4"/>
  <c r="W732" i="4"/>
  <c r="T732" i="4"/>
  <c r="Z731" i="4"/>
  <c r="Y731" i="4"/>
  <c r="X731" i="4"/>
  <c r="W731" i="4"/>
  <c r="T731" i="4"/>
  <c r="Z730" i="4"/>
  <c r="Y730" i="4"/>
  <c r="X730" i="4"/>
  <c r="W730" i="4"/>
  <c r="T730" i="4"/>
  <c r="Z729" i="4"/>
  <c r="Y729" i="4"/>
  <c r="X729" i="4"/>
  <c r="W729" i="4"/>
  <c r="T729" i="4"/>
  <c r="Z728" i="4"/>
  <c r="Y728" i="4"/>
  <c r="X728" i="4"/>
  <c r="W728" i="4"/>
  <c r="T728" i="4"/>
  <c r="Z727" i="4"/>
  <c r="Y727" i="4"/>
  <c r="X727" i="4"/>
  <c r="W727" i="4"/>
  <c r="T727" i="4"/>
  <c r="Z726" i="4"/>
  <c r="Y726" i="4"/>
  <c r="X726" i="4"/>
  <c r="W726" i="4"/>
  <c r="T726" i="4"/>
  <c r="Z725" i="4"/>
  <c r="Y725" i="4"/>
  <c r="X725" i="4"/>
  <c r="W725" i="4"/>
  <c r="T725" i="4"/>
  <c r="Z724" i="4"/>
  <c r="Y724" i="4"/>
  <c r="X724" i="4"/>
  <c r="W724" i="4"/>
  <c r="T724" i="4"/>
  <c r="Z723" i="4"/>
  <c r="Y723" i="4"/>
  <c r="X723" i="4"/>
  <c r="W723" i="4"/>
  <c r="T723" i="4"/>
  <c r="Z722" i="4"/>
  <c r="Y722" i="4"/>
  <c r="X722" i="4"/>
  <c r="W722" i="4"/>
  <c r="T722" i="4"/>
  <c r="Z721" i="4"/>
  <c r="Y721" i="4"/>
  <c r="X721" i="4"/>
  <c r="W721" i="4"/>
  <c r="T721" i="4"/>
  <c r="Z720" i="4"/>
  <c r="Y720" i="4"/>
  <c r="X720" i="4"/>
  <c r="W720" i="4"/>
  <c r="T720" i="4"/>
  <c r="Z719" i="4"/>
  <c r="Y719" i="4"/>
  <c r="X719" i="4"/>
  <c r="W719" i="4"/>
  <c r="T719" i="4"/>
  <c r="Z718" i="4"/>
  <c r="Y718" i="4"/>
  <c r="X718" i="4"/>
  <c r="W718" i="4"/>
  <c r="T718" i="4"/>
  <c r="Z717" i="4"/>
  <c r="Y717" i="4"/>
  <c r="X717" i="4"/>
  <c r="W717" i="4"/>
  <c r="T717" i="4"/>
  <c r="Z716" i="4"/>
  <c r="Y716" i="4"/>
  <c r="X716" i="4"/>
  <c r="W716" i="4"/>
  <c r="T716" i="4"/>
  <c r="Z715" i="4"/>
  <c r="Y715" i="4"/>
  <c r="X715" i="4"/>
  <c r="W715" i="4"/>
  <c r="T715" i="4"/>
  <c r="Z714" i="4"/>
  <c r="Y714" i="4"/>
  <c r="X714" i="4"/>
  <c r="W714" i="4"/>
  <c r="T714" i="4"/>
  <c r="Z713" i="4"/>
  <c r="Y713" i="4"/>
  <c r="X713" i="4"/>
  <c r="W713" i="4"/>
  <c r="T713" i="4"/>
  <c r="Z712" i="4"/>
  <c r="Y712" i="4"/>
  <c r="X712" i="4"/>
  <c r="W712" i="4"/>
  <c r="T712" i="4"/>
  <c r="Z711" i="4"/>
  <c r="Y711" i="4"/>
  <c r="X711" i="4"/>
  <c r="W711" i="4"/>
  <c r="T711" i="4"/>
  <c r="Z710" i="4"/>
  <c r="Y710" i="4"/>
  <c r="X710" i="4"/>
  <c r="W710" i="4"/>
  <c r="T710" i="4"/>
  <c r="Z709" i="4"/>
  <c r="Y709" i="4"/>
  <c r="X709" i="4"/>
  <c r="W709" i="4"/>
  <c r="T709" i="4"/>
  <c r="Z708" i="4"/>
  <c r="Y708" i="4"/>
  <c r="X708" i="4"/>
  <c r="W708" i="4"/>
  <c r="T708" i="4"/>
  <c r="Z707" i="4"/>
  <c r="Y707" i="4"/>
  <c r="X707" i="4"/>
  <c r="W707" i="4"/>
  <c r="T707" i="4"/>
  <c r="Z706" i="4"/>
  <c r="Y706" i="4"/>
  <c r="X706" i="4"/>
  <c r="W706" i="4"/>
  <c r="T706" i="4"/>
  <c r="Z705" i="4"/>
  <c r="Y705" i="4"/>
  <c r="X705" i="4"/>
  <c r="W705" i="4"/>
  <c r="T705" i="4"/>
  <c r="Z704" i="4"/>
  <c r="Y704" i="4"/>
  <c r="X704" i="4"/>
  <c r="W704" i="4"/>
  <c r="T704" i="4"/>
  <c r="Z703" i="4"/>
  <c r="Y703" i="4"/>
  <c r="X703" i="4"/>
  <c r="W703" i="4"/>
  <c r="T703" i="4"/>
  <c r="Z702" i="4"/>
  <c r="Y702" i="4"/>
  <c r="X702" i="4"/>
  <c r="W702" i="4"/>
  <c r="T702" i="4"/>
  <c r="Z701" i="4"/>
  <c r="Y701" i="4"/>
  <c r="X701" i="4"/>
  <c r="W701" i="4"/>
  <c r="T701" i="4"/>
  <c r="Z700" i="4"/>
  <c r="Y700" i="4"/>
  <c r="X700" i="4"/>
  <c r="W700" i="4"/>
  <c r="T700" i="4"/>
  <c r="Z699" i="4"/>
  <c r="Y699" i="4"/>
  <c r="X699" i="4"/>
  <c r="W699" i="4"/>
  <c r="T699" i="4"/>
  <c r="Z698" i="4"/>
  <c r="Y698" i="4"/>
  <c r="X698" i="4"/>
  <c r="W698" i="4"/>
  <c r="T698" i="4"/>
  <c r="Z697" i="4"/>
  <c r="Y697" i="4"/>
  <c r="X697" i="4"/>
  <c r="W697" i="4"/>
  <c r="T697" i="4"/>
  <c r="Z696" i="4"/>
  <c r="Y696" i="4"/>
  <c r="X696" i="4"/>
  <c r="W696" i="4"/>
  <c r="T696" i="4"/>
  <c r="Z695" i="4"/>
  <c r="Y695" i="4"/>
  <c r="X695" i="4"/>
  <c r="W695" i="4"/>
  <c r="T695" i="4"/>
  <c r="Z694" i="4"/>
  <c r="Y694" i="4"/>
  <c r="X694" i="4"/>
  <c r="W694" i="4"/>
  <c r="T694" i="4"/>
  <c r="Z693" i="4"/>
  <c r="Y693" i="4"/>
  <c r="X693" i="4"/>
  <c r="W693" i="4"/>
  <c r="T693" i="4"/>
  <c r="Z692" i="4"/>
  <c r="Y692" i="4"/>
  <c r="X692" i="4"/>
  <c r="W692" i="4"/>
  <c r="T692" i="4"/>
  <c r="Z691" i="4"/>
  <c r="Y691" i="4"/>
  <c r="X691" i="4"/>
  <c r="W691" i="4"/>
  <c r="T691" i="4"/>
  <c r="Z690" i="4"/>
  <c r="Y690" i="4"/>
  <c r="X690" i="4"/>
  <c r="W690" i="4"/>
  <c r="T690" i="4"/>
  <c r="Z689" i="4"/>
  <c r="Y689" i="4"/>
  <c r="X689" i="4"/>
  <c r="W689" i="4"/>
  <c r="T689" i="4"/>
  <c r="Z688" i="4"/>
  <c r="Y688" i="4"/>
  <c r="X688" i="4"/>
  <c r="W688" i="4"/>
  <c r="T688" i="4"/>
  <c r="Z687" i="4"/>
  <c r="Y687" i="4"/>
  <c r="X687" i="4"/>
  <c r="W687" i="4"/>
  <c r="T687" i="4"/>
  <c r="Z686" i="4"/>
  <c r="Y686" i="4"/>
  <c r="X686" i="4"/>
  <c r="W686" i="4"/>
  <c r="T686" i="4"/>
  <c r="Z685" i="4"/>
  <c r="Y685" i="4"/>
  <c r="X685" i="4"/>
  <c r="W685" i="4"/>
  <c r="T685" i="4"/>
  <c r="Z684" i="4"/>
  <c r="Y684" i="4"/>
  <c r="X684" i="4"/>
  <c r="W684" i="4"/>
  <c r="T684" i="4"/>
  <c r="Z683" i="4"/>
  <c r="Y683" i="4"/>
  <c r="X683" i="4"/>
  <c r="W683" i="4"/>
  <c r="T683" i="4"/>
  <c r="Z682" i="4"/>
  <c r="Y682" i="4"/>
  <c r="X682" i="4"/>
  <c r="W682" i="4"/>
  <c r="T682" i="4"/>
  <c r="Z681" i="4"/>
  <c r="Y681" i="4"/>
  <c r="X681" i="4"/>
  <c r="W681" i="4"/>
  <c r="T681" i="4"/>
  <c r="Z680" i="4"/>
  <c r="Y680" i="4"/>
  <c r="X680" i="4"/>
  <c r="W680" i="4"/>
  <c r="T680" i="4"/>
  <c r="Z679" i="4"/>
  <c r="Y679" i="4"/>
  <c r="X679" i="4"/>
  <c r="W679" i="4"/>
  <c r="T679" i="4"/>
  <c r="Z678" i="4"/>
  <c r="Y678" i="4"/>
  <c r="X678" i="4"/>
  <c r="W678" i="4"/>
  <c r="T678" i="4"/>
  <c r="Z677" i="4"/>
  <c r="Y677" i="4"/>
  <c r="X677" i="4"/>
  <c r="W677" i="4"/>
  <c r="T677" i="4"/>
  <c r="Z676" i="4"/>
  <c r="Y676" i="4"/>
  <c r="X676" i="4"/>
  <c r="W676" i="4"/>
  <c r="T676" i="4"/>
  <c r="Z675" i="4"/>
  <c r="Y675" i="4"/>
  <c r="X675" i="4"/>
  <c r="W675" i="4"/>
  <c r="T675" i="4"/>
  <c r="Z674" i="4"/>
  <c r="Y674" i="4"/>
  <c r="X674" i="4"/>
  <c r="W674" i="4"/>
  <c r="T674" i="4"/>
  <c r="Z673" i="4"/>
  <c r="Y673" i="4"/>
  <c r="X673" i="4"/>
  <c r="W673" i="4"/>
  <c r="T673" i="4"/>
  <c r="Z672" i="4"/>
  <c r="Y672" i="4"/>
  <c r="X672" i="4"/>
  <c r="W672" i="4"/>
  <c r="T672" i="4"/>
  <c r="Z671" i="4"/>
  <c r="Y671" i="4"/>
  <c r="X671" i="4"/>
  <c r="W671" i="4"/>
  <c r="T671" i="4"/>
  <c r="Z670" i="4"/>
  <c r="Y670" i="4"/>
  <c r="X670" i="4"/>
  <c r="W670" i="4"/>
  <c r="T670" i="4"/>
  <c r="Z669" i="4"/>
  <c r="Y669" i="4"/>
  <c r="X669" i="4"/>
  <c r="W669" i="4"/>
  <c r="T669" i="4"/>
  <c r="Z668" i="4"/>
  <c r="Y668" i="4"/>
  <c r="X668" i="4"/>
  <c r="W668" i="4"/>
  <c r="T668" i="4"/>
  <c r="Z667" i="4"/>
  <c r="Y667" i="4"/>
  <c r="X667" i="4"/>
  <c r="W667" i="4"/>
  <c r="T667" i="4"/>
  <c r="Z666" i="4"/>
  <c r="Y666" i="4"/>
  <c r="X666" i="4"/>
  <c r="W666" i="4"/>
  <c r="T666" i="4"/>
  <c r="Z665" i="4"/>
  <c r="Y665" i="4"/>
  <c r="X665" i="4"/>
  <c r="W665" i="4"/>
  <c r="T665" i="4"/>
  <c r="Z664" i="4"/>
  <c r="Y664" i="4"/>
  <c r="X664" i="4"/>
  <c r="W664" i="4"/>
  <c r="T664" i="4"/>
  <c r="Z663" i="4"/>
  <c r="Y663" i="4"/>
  <c r="X663" i="4"/>
  <c r="W663" i="4"/>
  <c r="T663" i="4"/>
  <c r="Z662" i="4"/>
  <c r="Y662" i="4"/>
  <c r="X662" i="4"/>
  <c r="W662" i="4"/>
  <c r="T662" i="4"/>
  <c r="Z661" i="4"/>
  <c r="Y661" i="4"/>
  <c r="X661" i="4"/>
  <c r="W661" i="4"/>
  <c r="T661" i="4"/>
  <c r="Z660" i="4"/>
  <c r="Y660" i="4"/>
  <c r="X660" i="4"/>
  <c r="W660" i="4"/>
  <c r="T660" i="4"/>
  <c r="Z659" i="4"/>
  <c r="Y659" i="4"/>
  <c r="X659" i="4"/>
  <c r="W659" i="4"/>
  <c r="T659" i="4"/>
  <c r="Z658" i="4"/>
  <c r="Y658" i="4"/>
  <c r="X658" i="4"/>
  <c r="W658" i="4"/>
  <c r="T658" i="4"/>
  <c r="Z657" i="4"/>
  <c r="Y657" i="4"/>
  <c r="X657" i="4"/>
  <c r="W657" i="4"/>
  <c r="T657" i="4"/>
  <c r="Z656" i="4"/>
  <c r="Y656" i="4"/>
  <c r="X656" i="4"/>
  <c r="W656" i="4"/>
  <c r="T656" i="4"/>
  <c r="Z655" i="4"/>
  <c r="Y655" i="4"/>
  <c r="X655" i="4"/>
  <c r="W655" i="4"/>
  <c r="T655" i="4"/>
  <c r="Z654" i="4"/>
  <c r="Y654" i="4"/>
  <c r="X654" i="4"/>
  <c r="W654" i="4"/>
  <c r="T654" i="4"/>
  <c r="Z653" i="4"/>
  <c r="Y653" i="4"/>
  <c r="X653" i="4"/>
  <c r="W653" i="4"/>
  <c r="T653" i="4"/>
  <c r="Z652" i="4"/>
  <c r="Y652" i="4"/>
  <c r="X652" i="4"/>
  <c r="W652" i="4"/>
  <c r="T652" i="4"/>
  <c r="Z651" i="4"/>
  <c r="Y651" i="4"/>
  <c r="X651" i="4"/>
  <c r="W651" i="4"/>
  <c r="T651" i="4"/>
  <c r="Z650" i="4"/>
  <c r="Y650" i="4"/>
  <c r="X650" i="4"/>
  <c r="W650" i="4"/>
  <c r="T650" i="4"/>
  <c r="Z649" i="4"/>
  <c r="Y649" i="4"/>
  <c r="X649" i="4"/>
  <c r="W649" i="4"/>
  <c r="T649" i="4"/>
  <c r="Z648" i="4"/>
  <c r="Y648" i="4"/>
  <c r="X648" i="4"/>
  <c r="W648" i="4"/>
  <c r="T648" i="4"/>
  <c r="Z647" i="4"/>
  <c r="Y647" i="4"/>
  <c r="X647" i="4"/>
  <c r="W647" i="4"/>
  <c r="T647" i="4"/>
  <c r="Z646" i="4"/>
  <c r="Y646" i="4"/>
  <c r="X646" i="4"/>
  <c r="W646" i="4"/>
  <c r="T646" i="4"/>
  <c r="Z645" i="4"/>
  <c r="Y645" i="4"/>
  <c r="X645" i="4"/>
  <c r="W645" i="4"/>
  <c r="T645" i="4"/>
  <c r="Z644" i="4"/>
  <c r="Y644" i="4"/>
  <c r="X644" i="4"/>
  <c r="W644" i="4"/>
  <c r="T644" i="4"/>
  <c r="Z643" i="4"/>
  <c r="Y643" i="4"/>
  <c r="X643" i="4"/>
  <c r="W643" i="4"/>
  <c r="T643" i="4"/>
  <c r="Z642" i="4"/>
  <c r="Y642" i="4"/>
  <c r="X642" i="4"/>
  <c r="W642" i="4"/>
  <c r="T642" i="4"/>
  <c r="Z641" i="4"/>
  <c r="Y641" i="4"/>
  <c r="X641" i="4"/>
  <c r="W641" i="4"/>
  <c r="T641" i="4"/>
  <c r="Z640" i="4"/>
  <c r="Y640" i="4"/>
  <c r="X640" i="4"/>
  <c r="W640" i="4"/>
  <c r="T640" i="4"/>
  <c r="Z639" i="4"/>
  <c r="Y639" i="4"/>
  <c r="X639" i="4"/>
  <c r="W639" i="4"/>
  <c r="T639" i="4"/>
  <c r="Z638" i="4"/>
  <c r="Y638" i="4"/>
  <c r="X638" i="4"/>
  <c r="W638" i="4"/>
  <c r="T638" i="4"/>
  <c r="Z637" i="4"/>
  <c r="Y637" i="4"/>
  <c r="X637" i="4"/>
  <c r="W637" i="4"/>
  <c r="T637" i="4"/>
  <c r="Z636" i="4"/>
  <c r="Y636" i="4"/>
  <c r="X636" i="4"/>
  <c r="W636" i="4"/>
  <c r="T636" i="4"/>
  <c r="Z635" i="4"/>
  <c r="Y635" i="4"/>
  <c r="X635" i="4"/>
  <c r="W635" i="4"/>
  <c r="T635" i="4"/>
  <c r="Z634" i="4"/>
  <c r="Y634" i="4"/>
  <c r="X634" i="4"/>
  <c r="W634" i="4"/>
  <c r="T634" i="4"/>
  <c r="Z633" i="4"/>
  <c r="Y633" i="4"/>
  <c r="X633" i="4"/>
  <c r="W633" i="4"/>
  <c r="T633" i="4"/>
  <c r="Z632" i="4"/>
  <c r="Y632" i="4"/>
  <c r="X632" i="4"/>
  <c r="W632" i="4"/>
  <c r="T632" i="4"/>
  <c r="Z631" i="4"/>
  <c r="Y631" i="4"/>
  <c r="X631" i="4"/>
  <c r="W631" i="4"/>
  <c r="T631" i="4"/>
  <c r="Z630" i="4"/>
  <c r="Y630" i="4"/>
  <c r="X630" i="4"/>
  <c r="W630" i="4"/>
  <c r="T630" i="4"/>
  <c r="Z629" i="4"/>
  <c r="Y629" i="4"/>
  <c r="X629" i="4"/>
  <c r="W629" i="4"/>
  <c r="T629" i="4"/>
  <c r="Z628" i="4"/>
  <c r="Y628" i="4"/>
  <c r="X628" i="4"/>
  <c r="W628" i="4"/>
  <c r="T628" i="4"/>
  <c r="Z627" i="4"/>
  <c r="Y627" i="4"/>
  <c r="X627" i="4"/>
  <c r="W627" i="4"/>
  <c r="T627" i="4"/>
  <c r="Z626" i="4"/>
  <c r="Y626" i="4"/>
  <c r="X626" i="4"/>
  <c r="W626" i="4"/>
  <c r="T626" i="4"/>
  <c r="Z625" i="4"/>
  <c r="Y625" i="4"/>
  <c r="X625" i="4"/>
  <c r="W625" i="4"/>
  <c r="T625" i="4"/>
  <c r="Z624" i="4"/>
  <c r="Y624" i="4"/>
  <c r="X624" i="4"/>
  <c r="W624" i="4"/>
  <c r="T624" i="4"/>
  <c r="Z623" i="4"/>
  <c r="Y623" i="4"/>
  <c r="X623" i="4"/>
  <c r="W623" i="4"/>
  <c r="T623" i="4"/>
  <c r="Z622" i="4"/>
  <c r="Y622" i="4"/>
  <c r="X622" i="4"/>
  <c r="W622" i="4"/>
  <c r="T622" i="4"/>
  <c r="Z621" i="4"/>
  <c r="Y621" i="4"/>
  <c r="X621" i="4"/>
  <c r="W621" i="4"/>
  <c r="T621" i="4"/>
  <c r="Z620" i="4"/>
  <c r="Y620" i="4"/>
  <c r="X620" i="4"/>
  <c r="W620" i="4"/>
  <c r="T620" i="4"/>
  <c r="Z619" i="4"/>
  <c r="Y619" i="4"/>
  <c r="X619" i="4"/>
  <c r="W619" i="4"/>
  <c r="T619" i="4"/>
  <c r="Z618" i="4"/>
  <c r="Y618" i="4"/>
  <c r="X618" i="4"/>
  <c r="W618" i="4"/>
  <c r="T618" i="4"/>
  <c r="Z617" i="4"/>
  <c r="Y617" i="4"/>
  <c r="X617" i="4"/>
  <c r="W617" i="4"/>
  <c r="T617" i="4"/>
  <c r="Z616" i="4"/>
  <c r="Y616" i="4"/>
  <c r="X616" i="4"/>
  <c r="W616" i="4"/>
  <c r="T616" i="4"/>
  <c r="Z615" i="4"/>
  <c r="Y615" i="4"/>
  <c r="X615" i="4"/>
  <c r="W615" i="4"/>
  <c r="T615" i="4"/>
  <c r="Z614" i="4"/>
  <c r="Y614" i="4"/>
  <c r="X614" i="4"/>
  <c r="W614" i="4"/>
  <c r="T614" i="4"/>
  <c r="Z613" i="4"/>
  <c r="Y613" i="4"/>
  <c r="X613" i="4"/>
  <c r="W613" i="4"/>
  <c r="T613" i="4"/>
  <c r="Z612" i="4"/>
  <c r="Y612" i="4"/>
  <c r="X612" i="4"/>
  <c r="W612" i="4"/>
  <c r="T612" i="4"/>
  <c r="Z611" i="4"/>
  <c r="Y611" i="4"/>
  <c r="X611" i="4"/>
  <c r="W611" i="4"/>
  <c r="T611" i="4"/>
  <c r="Z610" i="4"/>
  <c r="Y610" i="4"/>
  <c r="X610" i="4"/>
  <c r="W610" i="4"/>
  <c r="T610" i="4"/>
  <c r="Z609" i="4"/>
  <c r="Y609" i="4"/>
  <c r="X609" i="4"/>
  <c r="W609" i="4"/>
  <c r="T609" i="4"/>
  <c r="Z608" i="4"/>
  <c r="Y608" i="4"/>
  <c r="X608" i="4"/>
  <c r="W608" i="4"/>
  <c r="T608" i="4"/>
  <c r="Z607" i="4"/>
  <c r="Y607" i="4"/>
  <c r="X607" i="4"/>
  <c r="W607" i="4"/>
  <c r="T607" i="4"/>
  <c r="Z606" i="4"/>
  <c r="Y606" i="4"/>
  <c r="X606" i="4"/>
  <c r="W606" i="4"/>
  <c r="T606" i="4"/>
  <c r="Z605" i="4"/>
  <c r="Y605" i="4"/>
  <c r="X605" i="4"/>
  <c r="W605" i="4"/>
  <c r="T605" i="4"/>
  <c r="Z604" i="4"/>
  <c r="Y604" i="4"/>
  <c r="X604" i="4"/>
  <c r="W604" i="4"/>
  <c r="T604" i="4"/>
  <c r="Z603" i="4"/>
  <c r="Y603" i="4"/>
  <c r="X603" i="4"/>
  <c r="W603" i="4"/>
  <c r="T603" i="4"/>
  <c r="Z602" i="4"/>
  <c r="Y602" i="4"/>
  <c r="X602" i="4"/>
  <c r="W602" i="4"/>
  <c r="T602" i="4"/>
  <c r="Z601" i="4"/>
  <c r="Y601" i="4"/>
  <c r="X601" i="4"/>
  <c r="W601" i="4"/>
  <c r="T601" i="4"/>
  <c r="Z600" i="4"/>
  <c r="Y600" i="4"/>
  <c r="X600" i="4"/>
  <c r="W600" i="4"/>
  <c r="T600" i="4"/>
  <c r="Z599" i="4"/>
  <c r="Y599" i="4"/>
  <c r="X599" i="4"/>
  <c r="W599" i="4"/>
  <c r="T599" i="4"/>
  <c r="Z598" i="4"/>
  <c r="Y598" i="4"/>
  <c r="X598" i="4"/>
  <c r="W598" i="4"/>
  <c r="T598" i="4"/>
  <c r="Z597" i="4"/>
  <c r="Y597" i="4"/>
  <c r="X597" i="4"/>
  <c r="W597" i="4"/>
  <c r="T597" i="4"/>
  <c r="Z596" i="4"/>
  <c r="Y596" i="4"/>
  <c r="X596" i="4"/>
  <c r="W596" i="4"/>
  <c r="T596" i="4"/>
  <c r="Z595" i="4"/>
  <c r="Y595" i="4"/>
  <c r="X595" i="4"/>
  <c r="W595" i="4"/>
  <c r="T595" i="4"/>
  <c r="Z594" i="4"/>
  <c r="Y594" i="4"/>
  <c r="X594" i="4"/>
  <c r="W594" i="4"/>
  <c r="T594" i="4"/>
  <c r="Z593" i="4"/>
  <c r="Y593" i="4"/>
  <c r="X593" i="4"/>
  <c r="W593" i="4"/>
  <c r="T593" i="4"/>
  <c r="Z592" i="4"/>
  <c r="Y592" i="4"/>
  <c r="X592" i="4"/>
  <c r="W592" i="4"/>
  <c r="T592" i="4"/>
  <c r="Z591" i="4"/>
  <c r="Y591" i="4"/>
  <c r="X591" i="4"/>
  <c r="W591" i="4"/>
  <c r="T591" i="4"/>
  <c r="Z590" i="4"/>
  <c r="Y590" i="4"/>
  <c r="X590" i="4"/>
  <c r="W590" i="4"/>
  <c r="T590" i="4"/>
  <c r="Z589" i="4"/>
  <c r="Y589" i="4"/>
  <c r="X589" i="4"/>
  <c r="W589" i="4"/>
  <c r="T589" i="4"/>
  <c r="Z588" i="4"/>
  <c r="Y588" i="4"/>
  <c r="X588" i="4"/>
  <c r="W588" i="4"/>
  <c r="T588" i="4"/>
  <c r="Z587" i="4"/>
  <c r="Y587" i="4"/>
  <c r="X587" i="4"/>
  <c r="W587" i="4"/>
  <c r="T587" i="4"/>
  <c r="Z586" i="4"/>
  <c r="Y586" i="4"/>
  <c r="X586" i="4"/>
  <c r="W586" i="4"/>
  <c r="T586" i="4"/>
  <c r="Z585" i="4"/>
  <c r="Y585" i="4"/>
  <c r="X585" i="4"/>
  <c r="W585" i="4"/>
  <c r="T585" i="4"/>
  <c r="Z584" i="4"/>
  <c r="Y584" i="4"/>
  <c r="X584" i="4"/>
  <c r="W584" i="4"/>
  <c r="T584" i="4"/>
  <c r="Z583" i="4"/>
  <c r="Y583" i="4"/>
  <c r="X583" i="4"/>
  <c r="W583" i="4"/>
  <c r="T583" i="4"/>
  <c r="Z582" i="4"/>
  <c r="Y582" i="4"/>
  <c r="X582" i="4"/>
  <c r="W582" i="4"/>
  <c r="T582" i="4"/>
  <c r="Z581" i="4"/>
  <c r="Y581" i="4"/>
  <c r="X581" i="4"/>
  <c r="W581" i="4"/>
  <c r="T581" i="4"/>
  <c r="Z580" i="4"/>
  <c r="Y580" i="4"/>
  <c r="X580" i="4"/>
  <c r="W580" i="4"/>
  <c r="T580" i="4"/>
  <c r="Z579" i="4"/>
  <c r="Y579" i="4"/>
  <c r="X579" i="4"/>
  <c r="W579" i="4"/>
  <c r="T579" i="4"/>
  <c r="Z578" i="4"/>
  <c r="Y578" i="4"/>
  <c r="X578" i="4"/>
  <c r="W578" i="4"/>
  <c r="T578" i="4"/>
  <c r="Z577" i="4"/>
  <c r="Y577" i="4"/>
  <c r="X577" i="4"/>
  <c r="W577" i="4"/>
  <c r="T577" i="4"/>
  <c r="Z576" i="4"/>
  <c r="Y576" i="4"/>
  <c r="X576" i="4"/>
  <c r="W576" i="4"/>
  <c r="T576" i="4"/>
  <c r="Z575" i="4"/>
  <c r="Y575" i="4"/>
  <c r="X575" i="4"/>
  <c r="W575" i="4"/>
  <c r="T575" i="4"/>
  <c r="Z574" i="4"/>
  <c r="Y574" i="4"/>
  <c r="X574" i="4"/>
  <c r="W574" i="4"/>
  <c r="T574" i="4"/>
  <c r="Z573" i="4"/>
  <c r="Y573" i="4"/>
  <c r="X573" i="4"/>
  <c r="W573" i="4"/>
  <c r="T573" i="4"/>
  <c r="Z572" i="4"/>
  <c r="Y572" i="4"/>
  <c r="X572" i="4"/>
  <c r="W572" i="4"/>
  <c r="T572" i="4"/>
  <c r="Z571" i="4"/>
  <c r="Y571" i="4"/>
  <c r="X571" i="4"/>
  <c r="W571" i="4"/>
  <c r="T571" i="4"/>
  <c r="Z570" i="4"/>
  <c r="Y570" i="4"/>
  <c r="X570" i="4"/>
  <c r="W570" i="4"/>
  <c r="T570" i="4"/>
  <c r="Z569" i="4"/>
  <c r="Y569" i="4"/>
  <c r="X569" i="4"/>
  <c r="W569" i="4"/>
  <c r="T569" i="4"/>
  <c r="Z568" i="4"/>
  <c r="Y568" i="4"/>
  <c r="X568" i="4"/>
  <c r="W568" i="4"/>
  <c r="T568" i="4"/>
  <c r="Z567" i="4"/>
  <c r="Y567" i="4"/>
  <c r="X567" i="4"/>
  <c r="W567" i="4"/>
  <c r="T567" i="4"/>
  <c r="Z566" i="4"/>
  <c r="Y566" i="4"/>
  <c r="X566" i="4"/>
  <c r="W566" i="4"/>
  <c r="T566" i="4"/>
  <c r="Z565" i="4"/>
  <c r="Y565" i="4"/>
  <c r="X565" i="4"/>
  <c r="W565" i="4"/>
  <c r="T565" i="4"/>
  <c r="Z564" i="4"/>
  <c r="Y564" i="4"/>
  <c r="X564" i="4"/>
  <c r="W564" i="4"/>
  <c r="T564" i="4"/>
  <c r="Z563" i="4"/>
  <c r="Y563" i="4"/>
  <c r="X563" i="4"/>
  <c r="W563" i="4"/>
  <c r="T563" i="4"/>
  <c r="Z562" i="4"/>
  <c r="Y562" i="4"/>
  <c r="X562" i="4"/>
  <c r="W562" i="4"/>
  <c r="T562" i="4"/>
  <c r="Z561" i="4"/>
  <c r="Y561" i="4"/>
  <c r="X561" i="4"/>
  <c r="W561" i="4"/>
  <c r="T561" i="4"/>
  <c r="Z560" i="4"/>
  <c r="Y560" i="4"/>
  <c r="X560" i="4"/>
  <c r="W560" i="4"/>
  <c r="T560" i="4"/>
  <c r="Z559" i="4"/>
  <c r="Y559" i="4"/>
  <c r="X559" i="4"/>
  <c r="W559" i="4"/>
  <c r="T559" i="4"/>
  <c r="Z558" i="4"/>
  <c r="Y558" i="4"/>
  <c r="X558" i="4"/>
  <c r="W558" i="4"/>
  <c r="T558" i="4"/>
  <c r="Z557" i="4"/>
  <c r="Y557" i="4"/>
  <c r="X557" i="4"/>
  <c r="W557" i="4"/>
  <c r="T557" i="4"/>
  <c r="Z556" i="4"/>
  <c r="Y556" i="4"/>
  <c r="X556" i="4"/>
  <c r="W556" i="4"/>
  <c r="T556" i="4"/>
  <c r="Z555" i="4"/>
  <c r="Y555" i="4"/>
  <c r="X555" i="4"/>
  <c r="W555" i="4"/>
  <c r="T555" i="4"/>
  <c r="Z554" i="4"/>
  <c r="Y554" i="4"/>
  <c r="X554" i="4"/>
  <c r="W554" i="4"/>
  <c r="T554" i="4"/>
  <c r="Z553" i="4"/>
  <c r="Y553" i="4"/>
  <c r="X553" i="4"/>
  <c r="W553" i="4"/>
  <c r="T553" i="4"/>
  <c r="Z552" i="4"/>
  <c r="Y552" i="4"/>
  <c r="X552" i="4"/>
  <c r="W552" i="4"/>
  <c r="T552" i="4"/>
  <c r="Z551" i="4"/>
  <c r="Y551" i="4"/>
  <c r="X551" i="4"/>
  <c r="W551" i="4"/>
  <c r="T551" i="4"/>
  <c r="Z550" i="4"/>
  <c r="Y550" i="4"/>
  <c r="X550" i="4"/>
  <c r="W550" i="4"/>
  <c r="T550" i="4"/>
  <c r="Z549" i="4"/>
  <c r="Y549" i="4"/>
  <c r="X549" i="4"/>
  <c r="W549" i="4"/>
  <c r="T549" i="4"/>
  <c r="Z548" i="4"/>
  <c r="Y548" i="4"/>
  <c r="X548" i="4"/>
  <c r="W548" i="4"/>
  <c r="T548" i="4"/>
  <c r="Z547" i="4"/>
  <c r="Y547" i="4"/>
  <c r="X547" i="4"/>
  <c r="W547" i="4"/>
  <c r="T547" i="4"/>
  <c r="Z546" i="4"/>
  <c r="Y546" i="4"/>
  <c r="X546" i="4"/>
  <c r="W546" i="4"/>
  <c r="T546" i="4"/>
  <c r="Z545" i="4"/>
  <c r="Y545" i="4"/>
  <c r="X545" i="4"/>
  <c r="W545" i="4"/>
  <c r="T545" i="4"/>
  <c r="Z544" i="4"/>
  <c r="Y544" i="4"/>
  <c r="X544" i="4"/>
  <c r="W544" i="4"/>
  <c r="T544" i="4"/>
  <c r="Z543" i="4"/>
  <c r="Y543" i="4"/>
  <c r="X543" i="4"/>
  <c r="W543" i="4"/>
  <c r="T543" i="4"/>
  <c r="Z542" i="4"/>
  <c r="Y542" i="4"/>
  <c r="X542" i="4"/>
  <c r="W542" i="4"/>
  <c r="T542" i="4"/>
  <c r="Z541" i="4"/>
  <c r="Y541" i="4"/>
  <c r="X541" i="4"/>
  <c r="W541" i="4"/>
  <c r="T541" i="4"/>
  <c r="Z540" i="4"/>
  <c r="Y540" i="4"/>
  <c r="X540" i="4"/>
  <c r="W540" i="4"/>
  <c r="T540" i="4"/>
  <c r="Z539" i="4"/>
  <c r="Y539" i="4"/>
  <c r="X539" i="4"/>
  <c r="W539" i="4"/>
  <c r="T539" i="4"/>
  <c r="Z538" i="4"/>
  <c r="Y538" i="4"/>
  <c r="X538" i="4"/>
  <c r="W538" i="4"/>
  <c r="T538" i="4"/>
  <c r="Z537" i="4"/>
  <c r="Y537" i="4"/>
  <c r="X537" i="4"/>
  <c r="W537" i="4"/>
  <c r="T537" i="4"/>
  <c r="Z536" i="4"/>
  <c r="Y536" i="4"/>
  <c r="X536" i="4"/>
  <c r="W536" i="4"/>
  <c r="T536" i="4"/>
  <c r="Z535" i="4"/>
  <c r="Y535" i="4"/>
  <c r="X535" i="4"/>
  <c r="W535" i="4"/>
  <c r="T535" i="4"/>
  <c r="Z534" i="4"/>
  <c r="Y534" i="4"/>
  <c r="X534" i="4"/>
  <c r="W534" i="4"/>
  <c r="T534" i="4"/>
  <c r="Z533" i="4"/>
  <c r="Y533" i="4"/>
  <c r="X533" i="4"/>
  <c r="W533" i="4"/>
  <c r="T533" i="4"/>
  <c r="Z532" i="4"/>
  <c r="Y532" i="4"/>
  <c r="X532" i="4"/>
  <c r="W532" i="4"/>
  <c r="T532" i="4"/>
  <c r="Z531" i="4"/>
  <c r="Y531" i="4"/>
  <c r="X531" i="4"/>
  <c r="W531" i="4"/>
  <c r="T531" i="4"/>
  <c r="Z530" i="4"/>
  <c r="Y530" i="4"/>
  <c r="X530" i="4"/>
  <c r="W530" i="4"/>
  <c r="T530" i="4"/>
  <c r="Z529" i="4"/>
  <c r="Y529" i="4"/>
  <c r="X529" i="4"/>
  <c r="W529" i="4"/>
  <c r="T529" i="4"/>
  <c r="Z528" i="4"/>
  <c r="Y528" i="4"/>
  <c r="X528" i="4"/>
  <c r="W528" i="4"/>
  <c r="T528" i="4"/>
  <c r="Z527" i="4"/>
  <c r="Y527" i="4"/>
  <c r="X527" i="4"/>
  <c r="W527" i="4"/>
  <c r="T527" i="4"/>
  <c r="Z526" i="4"/>
  <c r="Y526" i="4"/>
  <c r="X526" i="4"/>
  <c r="W526" i="4"/>
  <c r="T526" i="4"/>
  <c r="Z525" i="4"/>
  <c r="Y525" i="4"/>
  <c r="X525" i="4"/>
  <c r="W525" i="4"/>
  <c r="T525" i="4"/>
  <c r="Z524" i="4"/>
  <c r="Y524" i="4"/>
  <c r="X524" i="4"/>
  <c r="W524" i="4"/>
  <c r="T524" i="4"/>
  <c r="Z523" i="4"/>
  <c r="Y523" i="4"/>
  <c r="X523" i="4"/>
  <c r="W523" i="4"/>
  <c r="T523" i="4"/>
  <c r="Z522" i="4"/>
  <c r="Y522" i="4"/>
  <c r="X522" i="4"/>
  <c r="W522" i="4"/>
  <c r="T522" i="4"/>
  <c r="Z521" i="4"/>
  <c r="Y521" i="4"/>
  <c r="X521" i="4"/>
  <c r="W521" i="4"/>
  <c r="T521" i="4"/>
  <c r="Z520" i="4"/>
  <c r="Y520" i="4"/>
  <c r="X520" i="4"/>
  <c r="W520" i="4"/>
  <c r="T520" i="4"/>
  <c r="Z519" i="4"/>
  <c r="Y519" i="4"/>
  <c r="X519" i="4"/>
  <c r="W519" i="4"/>
  <c r="T519" i="4"/>
  <c r="Z518" i="4"/>
  <c r="Y518" i="4"/>
  <c r="X518" i="4"/>
  <c r="W518" i="4"/>
  <c r="T518" i="4"/>
  <c r="Z517" i="4"/>
  <c r="Y517" i="4"/>
  <c r="X517" i="4"/>
  <c r="W517" i="4"/>
  <c r="T517" i="4"/>
  <c r="Z516" i="4"/>
  <c r="Y516" i="4"/>
  <c r="X516" i="4"/>
  <c r="W516" i="4"/>
  <c r="T516" i="4"/>
  <c r="Z515" i="4"/>
  <c r="Y515" i="4"/>
  <c r="X515" i="4"/>
  <c r="W515" i="4"/>
  <c r="T515" i="4"/>
  <c r="Z514" i="4"/>
  <c r="Y514" i="4"/>
  <c r="X514" i="4"/>
  <c r="W514" i="4"/>
  <c r="T514" i="4"/>
  <c r="Z513" i="4"/>
  <c r="Y513" i="4"/>
  <c r="X513" i="4"/>
  <c r="W513" i="4"/>
  <c r="T513" i="4"/>
  <c r="Z512" i="4"/>
  <c r="Y512" i="4"/>
  <c r="X512" i="4"/>
  <c r="W512" i="4"/>
  <c r="T512" i="4"/>
  <c r="Z511" i="4"/>
  <c r="Y511" i="4"/>
  <c r="X511" i="4"/>
  <c r="W511" i="4"/>
  <c r="T511" i="4"/>
  <c r="Z510" i="4"/>
  <c r="Y510" i="4"/>
  <c r="X510" i="4"/>
  <c r="W510" i="4"/>
  <c r="T510" i="4"/>
  <c r="Z509" i="4"/>
  <c r="Y509" i="4"/>
  <c r="X509" i="4"/>
  <c r="W509" i="4"/>
  <c r="T509" i="4"/>
  <c r="Z508" i="4"/>
  <c r="Y508" i="4"/>
  <c r="X508" i="4"/>
  <c r="W508" i="4"/>
  <c r="T508" i="4"/>
  <c r="Z507" i="4"/>
  <c r="Y507" i="4"/>
  <c r="X507" i="4"/>
  <c r="W507" i="4"/>
  <c r="T507" i="4"/>
  <c r="Z506" i="4"/>
  <c r="Y506" i="4"/>
  <c r="X506" i="4"/>
  <c r="W506" i="4"/>
  <c r="T506" i="4"/>
  <c r="Z505" i="4"/>
  <c r="Y505" i="4"/>
  <c r="X505" i="4"/>
  <c r="W505" i="4"/>
  <c r="T505" i="4"/>
  <c r="Z504" i="4"/>
  <c r="Y504" i="4"/>
  <c r="X504" i="4"/>
  <c r="W504" i="4"/>
  <c r="T504" i="4"/>
  <c r="Z503" i="4"/>
  <c r="Y503" i="4"/>
  <c r="X503" i="4"/>
  <c r="W503" i="4"/>
  <c r="T503" i="4"/>
  <c r="Z502" i="4"/>
  <c r="Y502" i="4"/>
  <c r="X502" i="4"/>
  <c r="W502" i="4"/>
  <c r="T502" i="4"/>
  <c r="Z501" i="4"/>
  <c r="Y501" i="4"/>
  <c r="X501" i="4"/>
  <c r="W501" i="4"/>
  <c r="T501" i="4"/>
  <c r="Z500" i="4"/>
  <c r="Y500" i="4"/>
  <c r="X500" i="4"/>
  <c r="W500" i="4"/>
  <c r="T500" i="4"/>
  <c r="Z499" i="4"/>
  <c r="Y499" i="4"/>
  <c r="X499" i="4"/>
  <c r="W499" i="4"/>
  <c r="T499" i="4"/>
  <c r="Z498" i="4"/>
  <c r="Y498" i="4"/>
  <c r="X498" i="4"/>
  <c r="W498" i="4"/>
  <c r="T498" i="4"/>
  <c r="Z497" i="4"/>
  <c r="Y497" i="4"/>
  <c r="X497" i="4"/>
  <c r="W497" i="4"/>
  <c r="T497" i="4"/>
  <c r="Z496" i="4"/>
  <c r="Y496" i="4"/>
  <c r="X496" i="4"/>
  <c r="W496" i="4"/>
  <c r="T496" i="4"/>
  <c r="Z495" i="4"/>
  <c r="Y495" i="4"/>
  <c r="X495" i="4"/>
  <c r="W495" i="4"/>
  <c r="T495" i="4"/>
  <c r="Z494" i="4"/>
  <c r="Y494" i="4"/>
  <c r="X494" i="4"/>
  <c r="W494" i="4"/>
  <c r="T494" i="4"/>
  <c r="Z493" i="4"/>
  <c r="Y493" i="4"/>
  <c r="X493" i="4"/>
  <c r="W493" i="4"/>
  <c r="T493" i="4"/>
  <c r="Z492" i="4"/>
  <c r="Y492" i="4"/>
  <c r="X492" i="4"/>
  <c r="W492" i="4"/>
  <c r="T492" i="4"/>
  <c r="Z491" i="4"/>
  <c r="Y491" i="4"/>
  <c r="X491" i="4"/>
  <c r="W491" i="4"/>
  <c r="T491" i="4"/>
  <c r="Z490" i="4"/>
  <c r="Y490" i="4"/>
  <c r="X490" i="4"/>
  <c r="W490" i="4"/>
  <c r="T490" i="4"/>
  <c r="Z489" i="4"/>
  <c r="Y489" i="4"/>
  <c r="X489" i="4"/>
  <c r="W489" i="4"/>
  <c r="T489" i="4"/>
  <c r="Z488" i="4"/>
  <c r="Y488" i="4"/>
  <c r="X488" i="4"/>
  <c r="W488" i="4"/>
  <c r="T488" i="4"/>
  <c r="Z487" i="4"/>
  <c r="Y487" i="4"/>
  <c r="X487" i="4"/>
  <c r="W487" i="4"/>
  <c r="T487" i="4"/>
  <c r="Z486" i="4"/>
  <c r="Y486" i="4"/>
  <c r="X486" i="4"/>
  <c r="W486" i="4"/>
  <c r="T486" i="4"/>
  <c r="Z485" i="4"/>
  <c r="Y485" i="4"/>
  <c r="X485" i="4"/>
  <c r="W485" i="4"/>
  <c r="T485" i="4"/>
  <c r="Z484" i="4"/>
  <c r="Y484" i="4"/>
  <c r="X484" i="4"/>
  <c r="W484" i="4"/>
  <c r="T484" i="4"/>
  <c r="Z483" i="4"/>
  <c r="Y483" i="4"/>
  <c r="X483" i="4"/>
  <c r="W483" i="4"/>
  <c r="T483" i="4"/>
  <c r="Z482" i="4"/>
  <c r="Y482" i="4"/>
  <c r="X482" i="4"/>
  <c r="W482" i="4"/>
  <c r="T482" i="4"/>
  <c r="Z481" i="4"/>
  <c r="Y481" i="4"/>
  <c r="X481" i="4"/>
  <c r="W481" i="4"/>
  <c r="T481" i="4"/>
  <c r="Z480" i="4"/>
  <c r="Y480" i="4"/>
  <c r="X480" i="4"/>
  <c r="W480" i="4"/>
  <c r="T480" i="4"/>
  <c r="Z479" i="4"/>
  <c r="Y479" i="4"/>
  <c r="X479" i="4"/>
  <c r="W479" i="4"/>
  <c r="T479" i="4"/>
  <c r="Z478" i="4"/>
  <c r="Y478" i="4"/>
  <c r="X478" i="4"/>
  <c r="W478" i="4"/>
  <c r="T478" i="4"/>
  <c r="Z477" i="4"/>
  <c r="Y477" i="4"/>
  <c r="X477" i="4"/>
  <c r="W477" i="4"/>
  <c r="T477" i="4"/>
  <c r="Z476" i="4"/>
  <c r="Y476" i="4"/>
  <c r="X476" i="4"/>
  <c r="W476" i="4"/>
  <c r="T476" i="4"/>
  <c r="Z475" i="4"/>
  <c r="Y475" i="4"/>
  <c r="X475" i="4"/>
  <c r="W475" i="4"/>
  <c r="T475" i="4"/>
  <c r="Z474" i="4"/>
  <c r="Y474" i="4"/>
  <c r="X474" i="4"/>
  <c r="W474" i="4"/>
  <c r="T474" i="4"/>
  <c r="Z473" i="4"/>
  <c r="Y473" i="4"/>
  <c r="X473" i="4"/>
  <c r="W473" i="4"/>
  <c r="T473" i="4"/>
  <c r="Z472" i="4"/>
  <c r="Y472" i="4"/>
  <c r="X472" i="4"/>
  <c r="W472" i="4"/>
  <c r="T472" i="4"/>
  <c r="Z471" i="4"/>
  <c r="Y471" i="4"/>
  <c r="X471" i="4"/>
  <c r="W471" i="4"/>
  <c r="T471" i="4"/>
  <c r="Z470" i="4"/>
  <c r="Y470" i="4"/>
  <c r="X470" i="4"/>
  <c r="W470" i="4"/>
  <c r="T470" i="4"/>
  <c r="Z469" i="4"/>
  <c r="Y469" i="4"/>
  <c r="X469" i="4"/>
  <c r="W469" i="4"/>
  <c r="T469" i="4"/>
  <c r="Z468" i="4"/>
  <c r="Y468" i="4"/>
  <c r="X468" i="4"/>
  <c r="W468" i="4"/>
  <c r="T468" i="4"/>
  <c r="Z467" i="4"/>
  <c r="Y467" i="4"/>
  <c r="X467" i="4"/>
  <c r="W467" i="4"/>
  <c r="T467" i="4"/>
  <c r="Z466" i="4"/>
  <c r="Y466" i="4"/>
  <c r="X466" i="4"/>
  <c r="W466" i="4"/>
  <c r="T466" i="4"/>
  <c r="Z465" i="4"/>
  <c r="Y465" i="4"/>
  <c r="X465" i="4"/>
  <c r="W465" i="4"/>
  <c r="T465" i="4"/>
  <c r="Z464" i="4"/>
  <c r="Y464" i="4"/>
  <c r="X464" i="4"/>
  <c r="W464" i="4"/>
  <c r="T464" i="4"/>
  <c r="Z463" i="4"/>
  <c r="Y463" i="4"/>
  <c r="X463" i="4"/>
  <c r="W463" i="4"/>
  <c r="T463" i="4"/>
  <c r="Z462" i="4"/>
  <c r="Y462" i="4"/>
  <c r="X462" i="4"/>
  <c r="W462" i="4"/>
  <c r="T462" i="4"/>
  <c r="Z461" i="4"/>
  <c r="Y461" i="4"/>
  <c r="X461" i="4"/>
  <c r="W461" i="4"/>
  <c r="T461" i="4"/>
  <c r="Z460" i="4"/>
  <c r="Y460" i="4"/>
  <c r="X460" i="4"/>
  <c r="W460" i="4"/>
  <c r="T460" i="4"/>
  <c r="Z459" i="4"/>
  <c r="Y459" i="4"/>
  <c r="X459" i="4"/>
  <c r="W459" i="4"/>
  <c r="T459" i="4"/>
  <c r="Z458" i="4"/>
  <c r="Y458" i="4"/>
  <c r="X458" i="4"/>
  <c r="W458" i="4"/>
  <c r="T458" i="4"/>
  <c r="Z457" i="4"/>
  <c r="Y457" i="4"/>
  <c r="X457" i="4"/>
  <c r="W457" i="4"/>
  <c r="T457" i="4"/>
  <c r="Z456" i="4"/>
  <c r="Y456" i="4"/>
  <c r="X456" i="4"/>
  <c r="W456" i="4"/>
  <c r="T456" i="4"/>
  <c r="Z455" i="4"/>
  <c r="Y455" i="4"/>
  <c r="X455" i="4"/>
  <c r="W455" i="4"/>
  <c r="T455" i="4"/>
  <c r="Z454" i="4"/>
  <c r="Y454" i="4"/>
  <c r="X454" i="4"/>
  <c r="W454" i="4"/>
  <c r="T454" i="4"/>
  <c r="Z453" i="4"/>
  <c r="Y453" i="4"/>
  <c r="X453" i="4"/>
  <c r="W453" i="4"/>
  <c r="T453" i="4"/>
  <c r="Z452" i="4"/>
  <c r="Y452" i="4"/>
  <c r="X452" i="4"/>
  <c r="W452" i="4"/>
  <c r="T452" i="4"/>
  <c r="Z451" i="4"/>
  <c r="Y451" i="4"/>
  <c r="X451" i="4"/>
  <c r="W451" i="4"/>
  <c r="T451" i="4"/>
  <c r="Z450" i="4"/>
  <c r="Y450" i="4"/>
  <c r="X450" i="4"/>
  <c r="W450" i="4"/>
  <c r="T450" i="4"/>
  <c r="Z449" i="4"/>
  <c r="Y449" i="4"/>
  <c r="X449" i="4"/>
  <c r="W449" i="4"/>
  <c r="T449" i="4"/>
  <c r="Z448" i="4"/>
  <c r="Y448" i="4"/>
  <c r="X448" i="4"/>
  <c r="W448" i="4"/>
  <c r="T448" i="4"/>
  <c r="Z447" i="4"/>
  <c r="Y447" i="4"/>
  <c r="X447" i="4"/>
  <c r="W447" i="4"/>
  <c r="T447" i="4"/>
  <c r="Z446" i="4"/>
  <c r="Y446" i="4"/>
  <c r="X446" i="4"/>
  <c r="W446" i="4"/>
  <c r="T446" i="4"/>
  <c r="Z445" i="4"/>
  <c r="Y445" i="4"/>
  <c r="X445" i="4"/>
  <c r="W445" i="4"/>
  <c r="T445" i="4"/>
  <c r="Z444" i="4"/>
  <c r="Y444" i="4"/>
  <c r="X444" i="4"/>
  <c r="W444" i="4"/>
  <c r="T444" i="4"/>
  <c r="Z443" i="4"/>
  <c r="Y443" i="4"/>
  <c r="X443" i="4"/>
  <c r="W443" i="4"/>
  <c r="T443" i="4"/>
  <c r="Z442" i="4"/>
  <c r="Y442" i="4"/>
  <c r="X442" i="4"/>
  <c r="W442" i="4"/>
  <c r="T442" i="4"/>
  <c r="Z441" i="4"/>
  <c r="Y441" i="4"/>
  <c r="X441" i="4"/>
  <c r="W441" i="4"/>
  <c r="T441" i="4"/>
  <c r="Z440" i="4"/>
  <c r="Y440" i="4"/>
  <c r="X440" i="4"/>
  <c r="W440" i="4"/>
  <c r="T440" i="4"/>
  <c r="Z439" i="4"/>
  <c r="Y439" i="4"/>
  <c r="X439" i="4"/>
  <c r="W439" i="4"/>
  <c r="T439" i="4"/>
  <c r="Z438" i="4"/>
  <c r="Y438" i="4"/>
  <c r="X438" i="4"/>
  <c r="W438" i="4"/>
  <c r="T438" i="4"/>
  <c r="Z437" i="4"/>
  <c r="Y437" i="4"/>
  <c r="X437" i="4"/>
  <c r="W437" i="4"/>
  <c r="T437" i="4"/>
  <c r="Z436" i="4"/>
  <c r="Y436" i="4"/>
  <c r="X436" i="4"/>
  <c r="W436" i="4"/>
  <c r="T436" i="4"/>
  <c r="Z435" i="4"/>
  <c r="Y435" i="4"/>
  <c r="X435" i="4"/>
  <c r="W435" i="4"/>
  <c r="T435" i="4"/>
  <c r="Z434" i="4"/>
  <c r="Y434" i="4"/>
  <c r="X434" i="4"/>
  <c r="W434" i="4"/>
  <c r="T434" i="4"/>
  <c r="Z433" i="4"/>
  <c r="Y433" i="4"/>
  <c r="X433" i="4"/>
  <c r="W433" i="4"/>
  <c r="T433" i="4"/>
  <c r="Z432" i="4"/>
  <c r="Y432" i="4"/>
  <c r="X432" i="4"/>
  <c r="W432" i="4"/>
  <c r="T432" i="4"/>
  <c r="Z431" i="4"/>
  <c r="Y431" i="4"/>
  <c r="X431" i="4"/>
  <c r="W431" i="4"/>
  <c r="T431" i="4"/>
  <c r="Z430" i="4"/>
  <c r="Y430" i="4"/>
  <c r="X430" i="4"/>
  <c r="W430" i="4"/>
  <c r="T430" i="4"/>
  <c r="Z429" i="4"/>
  <c r="Y429" i="4"/>
  <c r="X429" i="4"/>
  <c r="W429" i="4"/>
  <c r="T429" i="4"/>
  <c r="Z428" i="4"/>
  <c r="Y428" i="4"/>
  <c r="X428" i="4"/>
  <c r="W428" i="4"/>
  <c r="T428" i="4"/>
  <c r="Z427" i="4"/>
  <c r="Y427" i="4"/>
  <c r="X427" i="4"/>
  <c r="W427" i="4"/>
  <c r="T427" i="4"/>
  <c r="Z426" i="4"/>
  <c r="Y426" i="4"/>
  <c r="X426" i="4"/>
  <c r="W426" i="4"/>
  <c r="T426" i="4"/>
  <c r="Z425" i="4"/>
  <c r="Y425" i="4"/>
  <c r="X425" i="4"/>
  <c r="W425" i="4"/>
  <c r="T425" i="4"/>
  <c r="Z424" i="4"/>
  <c r="Y424" i="4"/>
  <c r="X424" i="4"/>
  <c r="W424" i="4"/>
  <c r="T424" i="4"/>
  <c r="Z423" i="4"/>
  <c r="Y423" i="4"/>
  <c r="X423" i="4"/>
  <c r="W423" i="4"/>
  <c r="T423" i="4"/>
  <c r="Z422" i="4"/>
  <c r="Y422" i="4"/>
  <c r="X422" i="4"/>
  <c r="W422" i="4"/>
  <c r="T422" i="4"/>
  <c r="Z421" i="4"/>
  <c r="Y421" i="4"/>
  <c r="X421" i="4"/>
  <c r="W421" i="4"/>
  <c r="T421" i="4"/>
  <c r="Z420" i="4"/>
  <c r="Y420" i="4"/>
  <c r="X420" i="4"/>
  <c r="W420" i="4"/>
  <c r="T420" i="4"/>
  <c r="Z419" i="4"/>
  <c r="Y419" i="4"/>
  <c r="X419" i="4"/>
  <c r="W419" i="4"/>
  <c r="T419" i="4"/>
  <c r="Z418" i="4"/>
  <c r="Y418" i="4"/>
  <c r="X418" i="4"/>
  <c r="W418" i="4"/>
  <c r="T418" i="4"/>
  <c r="Z417" i="4"/>
  <c r="Y417" i="4"/>
  <c r="X417" i="4"/>
  <c r="W417" i="4"/>
  <c r="T417" i="4"/>
  <c r="Z416" i="4"/>
  <c r="Y416" i="4"/>
  <c r="X416" i="4"/>
  <c r="W416" i="4"/>
  <c r="T416" i="4"/>
  <c r="Z415" i="4"/>
  <c r="Y415" i="4"/>
  <c r="X415" i="4"/>
  <c r="W415" i="4"/>
  <c r="T415" i="4"/>
  <c r="Z414" i="4"/>
  <c r="Y414" i="4"/>
  <c r="X414" i="4"/>
  <c r="W414" i="4"/>
  <c r="T414" i="4"/>
  <c r="Z413" i="4"/>
  <c r="Y413" i="4"/>
  <c r="X413" i="4"/>
  <c r="W413" i="4"/>
  <c r="T413" i="4"/>
  <c r="Z412" i="4"/>
  <c r="Y412" i="4"/>
  <c r="X412" i="4"/>
  <c r="W412" i="4"/>
  <c r="T412" i="4"/>
  <c r="Z411" i="4"/>
  <c r="Y411" i="4"/>
  <c r="X411" i="4"/>
  <c r="W411" i="4"/>
  <c r="T411" i="4"/>
  <c r="Z410" i="4"/>
  <c r="Y410" i="4"/>
  <c r="X410" i="4"/>
  <c r="W410" i="4"/>
  <c r="T410" i="4"/>
  <c r="Z409" i="4"/>
  <c r="Y409" i="4"/>
  <c r="X409" i="4"/>
  <c r="W409" i="4"/>
  <c r="T409" i="4"/>
  <c r="Z408" i="4"/>
  <c r="Y408" i="4"/>
  <c r="X408" i="4"/>
  <c r="W408" i="4"/>
  <c r="T408" i="4"/>
  <c r="Z407" i="4"/>
  <c r="Y407" i="4"/>
  <c r="X407" i="4"/>
  <c r="W407" i="4"/>
  <c r="T407" i="4"/>
  <c r="Z406" i="4"/>
  <c r="Y406" i="4"/>
  <c r="X406" i="4"/>
  <c r="W406" i="4"/>
  <c r="T406" i="4"/>
  <c r="Z405" i="4"/>
  <c r="Y405" i="4"/>
  <c r="X405" i="4"/>
  <c r="W405" i="4"/>
  <c r="T405" i="4"/>
  <c r="Z404" i="4"/>
  <c r="Y404" i="4"/>
  <c r="X404" i="4"/>
  <c r="W404" i="4"/>
  <c r="T404" i="4"/>
  <c r="Z403" i="4"/>
  <c r="Y403" i="4"/>
  <c r="X403" i="4"/>
  <c r="W403" i="4"/>
  <c r="T403" i="4"/>
  <c r="Z402" i="4"/>
  <c r="Y402" i="4"/>
  <c r="X402" i="4"/>
  <c r="W402" i="4"/>
  <c r="T402" i="4"/>
  <c r="Z401" i="4"/>
  <c r="Y401" i="4"/>
  <c r="X401" i="4"/>
  <c r="W401" i="4"/>
  <c r="T401" i="4"/>
  <c r="Z400" i="4"/>
  <c r="Y400" i="4"/>
  <c r="X400" i="4"/>
  <c r="W400" i="4"/>
  <c r="T400" i="4"/>
  <c r="Z399" i="4"/>
  <c r="Y399" i="4"/>
  <c r="X399" i="4"/>
  <c r="W399" i="4"/>
  <c r="T399" i="4"/>
  <c r="Z398" i="4"/>
  <c r="Y398" i="4"/>
  <c r="X398" i="4"/>
  <c r="W398" i="4"/>
  <c r="T398" i="4"/>
  <c r="Z397" i="4"/>
  <c r="Y397" i="4"/>
  <c r="X397" i="4"/>
  <c r="W397" i="4"/>
  <c r="T397" i="4"/>
  <c r="Z396" i="4"/>
  <c r="Y396" i="4"/>
  <c r="X396" i="4"/>
  <c r="W396" i="4"/>
  <c r="T396" i="4"/>
  <c r="Z395" i="4"/>
  <c r="Y395" i="4"/>
  <c r="X395" i="4"/>
  <c r="W395" i="4"/>
  <c r="T395" i="4"/>
  <c r="Z394" i="4"/>
  <c r="Y394" i="4"/>
  <c r="X394" i="4"/>
  <c r="W394" i="4"/>
  <c r="T394" i="4"/>
  <c r="Z393" i="4"/>
  <c r="Y393" i="4"/>
  <c r="X393" i="4"/>
  <c r="W393" i="4"/>
  <c r="T393" i="4"/>
  <c r="Z392" i="4"/>
  <c r="Y392" i="4"/>
  <c r="X392" i="4"/>
  <c r="W392" i="4"/>
  <c r="T392" i="4"/>
  <c r="Z391" i="4"/>
  <c r="Y391" i="4"/>
  <c r="X391" i="4"/>
  <c r="W391" i="4"/>
  <c r="T391" i="4"/>
  <c r="Z390" i="4"/>
  <c r="Y390" i="4"/>
  <c r="X390" i="4"/>
  <c r="W390" i="4"/>
  <c r="T390" i="4"/>
  <c r="Z389" i="4"/>
  <c r="Y389" i="4"/>
  <c r="X389" i="4"/>
  <c r="W389" i="4"/>
  <c r="T389" i="4"/>
  <c r="Z388" i="4"/>
  <c r="Y388" i="4"/>
  <c r="X388" i="4"/>
  <c r="W388" i="4"/>
  <c r="T388" i="4"/>
  <c r="Z387" i="4"/>
  <c r="Y387" i="4"/>
  <c r="X387" i="4"/>
  <c r="W387" i="4"/>
  <c r="T387" i="4"/>
  <c r="Z386" i="4"/>
  <c r="Y386" i="4"/>
  <c r="X386" i="4"/>
  <c r="W386" i="4"/>
  <c r="T386" i="4"/>
  <c r="Z385" i="4"/>
  <c r="Y385" i="4"/>
  <c r="X385" i="4"/>
  <c r="W385" i="4"/>
  <c r="T385" i="4"/>
  <c r="Z384" i="4"/>
  <c r="Y384" i="4"/>
  <c r="X384" i="4"/>
  <c r="W384" i="4"/>
  <c r="T384" i="4"/>
  <c r="Z383" i="4"/>
  <c r="Y383" i="4"/>
  <c r="X383" i="4"/>
  <c r="W383" i="4"/>
  <c r="T383" i="4"/>
  <c r="Z382" i="4"/>
  <c r="Y382" i="4"/>
  <c r="X382" i="4"/>
  <c r="W382" i="4"/>
  <c r="T382" i="4"/>
  <c r="Z381" i="4"/>
  <c r="Y381" i="4"/>
  <c r="X381" i="4"/>
  <c r="W381" i="4"/>
  <c r="T381" i="4"/>
  <c r="Z380" i="4"/>
  <c r="Y380" i="4"/>
  <c r="X380" i="4"/>
  <c r="W380" i="4"/>
  <c r="T380" i="4"/>
  <c r="Z379" i="4"/>
  <c r="Y379" i="4"/>
  <c r="X379" i="4"/>
  <c r="W379" i="4"/>
  <c r="T379" i="4"/>
  <c r="Z378" i="4"/>
  <c r="Y378" i="4"/>
  <c r="X378" i="4"/>
  <c r="W378" i="4"/>
  <c r="T378" i="4"/>
  <c r="Z377" i="4"/>
  <c r="Y377" i="4"/>
  <c r="X377" i="4"/>
  <c r="W377" i="4"/>
  <c r="T377" i="4"/>
  <c r="Z376" i="4"/>
  <c r="Y376" i="4"/>
  <c r="X376" i="4"/>
  <c r="W376" i="4"/>
  <c r="T376" i="4"/>
  <c r="Z375" i="4"/>
  <c r="Y375" i="4"/>
  <c r="X375" i="4"/>
  <c r="W375" i="4"/>
  <c r="T375" i="4"/>
  <c r="Z374" i="4"/>
  <c r="Y374" i="4"/>
  <c r="X374" i="4"/>
  <c r="W374" i="4"/>
  <c r="T374" i="4"/>
  <c r="Z373" i="4"/>
  <c r="Y373" i="4"/>
  <c r="X373" i="4"/>
  <c r="W373" i="4"/>
  <c r="T373" i="4"/>
  <c r="Z372" i="4"/>
  <c r="Y372" i="4"/>
  <c r="X372" i="4"/>
  <c r="W372" i="4"/>
  <c r="T372" i="4"/>
  <c r="Z371" i="4"/>
  <c r="Y371" i="4"/>
  <c r="X371" i="4"/>
  <c r="W371" i="4"/>
  <c r="T371" i="4"/>
  <c r="Z370" i="4"/>
  <c r="Y370" i="4"/>
  <c r="X370" i="4"/>
  <c r="W370" i="4"/>
  <c r="T370" i="4"/>
  <c r="Z369" i="4"/>
  <c r="Y369" i="4"/>
  <c r="X369" i="4"/>
  <c r="W369" i="4"/>
  <c r="T369" i="4"/>
  <c r="Z368" i="4"/>
  <c r="Y368" i="4"/>
  <c r="X368" i="4"/>
  <c r="W368" i="4"/>
  <c r="T368" i="4"/>
  <c r="Z367" i="4"/>
  <c r="Y367" i="4"/>
  <c r="X367" i="4"/>
  <c r="W367" i="4"/>
  <c r="T367" i="4"/>
  <c r="Z366" i="4"/>
  <c r="Y366" i="4"/>
  <c r="X366" i="4"/>
  <c r="W366" i="4"/>
  <c r="T366" i="4"/>
  <c r="Z365" i="4"/>
  <c r="Y365" i="4"/>
  <c r="X365" i="4"/>
  <c r="W365" i="4"/>
  <c r="T365" i="4"/>
  <c r="Z364" i="4"/>
  <c r="Y364" i="4"/>
  <c r="X364" i="4"/>
  <c r="W364" i="4"/>
  <c r="T364" i="4"/>
  <c r="Z363" i="4"/>
  <c r="Y363" i="4"/>
  <c r="X363" i="4"/>
  <c r="W363" i="4"/>
  <c r="T363" i="4"/>
  <c r="Z362" i="4"/>
  <c r="Y362" i="4"/>
  <c r="X362" i="4"/>
  <c r="W362" i="4"/>
  <c r="T362" i="4"/>
  <c r="Z361" i="4"/>
  <c r="Y361" i="4"/>
  <c r="X361" i="4"/>
  <c r="W361" i="4"/>
  <c r="T361" i="4"/>
  <c r="Z360" i="4"/>
  <c r="Y360" i="4"/>
  <c r="X360" i="4"/>
  <c r="W360" i="4"/>
  <c r="T360" i="4"/>
  <c r="Z359" i="4"/>
  <c r="Y359" i="4"/>
  <c r="X359" i="4"/>
  <c r="W359" i="4"/>
  <c r="T359" i="4"/>
  <c r="Z358" i="4"/>
  <c r="Y358" i="4"/>
  <c r="X358" i="4"/>
  <c r="W358" i="4"/>
  <c r="T358" i="4"/>
  <c r="Z357" i="4"/>
  <c r="Y357" i="4"/>
  <c r="X357" i="4"/>
  <c r="W357" i="4"/>
  <c r="T357" i="4"/>
  <c r="Z356" i="4"/>
  <c r="Y356" i="4"/>
  <c r="X356" i="4"/>
  <c r="W356" i="4"/>
  <c r="T356" i="4"/>
  <c r="Z355" i="4"/>
  <c r="Y355" i="4"/>
  <c r="X355" i="4"/>
  <c r="W355" i="4"/>
  <c r="T355" i="4"/>
  <c r="Z354" i="4"/>
  <c r="Y354" i="4"/>
  <c r="X354" i="4"/>
  <c r="W354" i="4"/>
  <c r="T354" i="4"/>
  <c r="Z353" i="4"/>
  <c r="Y353" i="4"/>
  <c r="X353" i="4"/>
  <c r="W353" i="4"/>
  <c r="T353" i="4"/>
  <c r="Z352" i="4"/>
  <c r="Y352" i="4"/>
  <c r="X352" i="4"/>
  <c r="W352" i="4"/>
  <c r="T352" i="4"/>
  <c r="Z351" i="4"/>
  <c r="Y351" i="4"/>
  <c r="X351" i="4"/>
  <c r="W351" i="4"/>
  <c r="T351" i="4"/>
  <c r="Z350" i="4"/>
  <c r="Y350" i="4"/>
  <c r="X350" i="4"/>
  <c r="W350" i="4"/>
  <c r="T350" i="4"/>
  <c r="Z349" i="4"/>
  <c r="Y349" i="4"/>
  <c r="X349" i="4"/>
  <c r="W349" i="4"/>
  <c r="T349" i="4"/>
  <c r="Z348" i="4"/>
  <c r="Y348" i="4"/>
  <c r="X348" i="4"/>
  <c r="W348" i="4"/>
  <c r="T348" i="4"/>
  <c r="Z347" i="4"/>
  <c r="Y347" i="4"/>
  <c r="X347" i="4"/>
  <c r="W347" i="4"/>
  <c r="T347" i="4"/>
  <c r="Z346" i="4"/>
  <c r="Y346" i="4"/>
  <c r="X346" i="4"/>
  <c r="W346" i="4"/>
  <c r="T346" i="4"/>
  <c r="Z345" i="4"/>
  <c r="Y345" i="4"/>
  <c r="X345" i="4"/>
  <c r="W345" i="4"/>
  <c r="T345" i="4"/>
  <c r="Z344" i="4"/>
  <c r="Y344" i="4"/>
  <c r="X344" i="4"/>
  <c r="W344" i="4"/>
  <c r="T344" i="4"/>
  <c r="Z343" i="4"/>
  <c r="Y343" i="4"/>
  <c r="X343" i="4"/>
  <c r="W343" i="4"/>
  <c r="T343" i="4"/>
  <c r="Z342" i="4"/>
  <c r="Y342" i="4"/>
  <c r="X342" i="4"/>
  <c r="W342" i="4"/>
  <c r="T342" i="4"/>
  <c r="Z341" i="4"/>
  <c r="Y341" i="4"/>
  <c r="X341" i="4"/>
  <c r="W341" i="4"/>
  <c r="T341" i="4"/>
  <c r="Z340" i="4"/>
  <c r="Y340" i="4"/>
  <c r="X340" i="4"/>
  <c r="W340" i="4"/>
  <c r="T340" i="4"/>
  <c r="Z339" i="4"/>
  <c r="Y339" i="4"/>
  <c r="X339" i="4"/>
  <c r="W339" i="4"/>
  <c r="T339" i="4"/>
  <c r="Z338" i="4"/>
  <c r="Y338" i="4"/>
  <c r="X338" i="4"/>
  <c r="W338" i="4"/>
  <c r="T338" i="4"/>
  <c r="Z337" i="4"/>
  <c r="Y337" i="4"/>
  <c r="X337" i="4"/>
  <c r="W337" i="4"/>
  <c r="T337" i="4"/>
  <c r="Z336" i="4"/>
  <c r="Y336" i="4"/>
  <c r="X336" i="4"/>
  <c r="W336" i="4"/>
  <c r="T336" i="4"/>
  <c r="Z335" i="4"/>
  <c r="Y335" i="4"/>
  <c r="X335" i="4"/>
  <c r="W335" i="4"/>
  <c r="T335" i="4"/>
  <c r="Z334" i="4"/>
  <c r="Y334" i="4"/>
  <c r="X334" i="4"/>
  <c r="W334" i="4"/>
  <c r="T334" i="4"/>
  <c r="Z333" i="4"/>
  <c r="Y333" i="4"/>
  <c r="X333" i="4"/>
  <c r="W333" i="4"/>
  <c r="T333" i="4"/>
  <c r="Z332" i="4"/>
  <c r="Y332" i="4"/>
  <c r="X332" i="4"/>
  <c r="W332" i="4"/>
  <c r="T332" i="4"/>
  <c r="Z331" i="4"/>
  <c r="Y331" i="4"/>
  <c r="X331" i="4"/>
  <c r="W331" i="4"/>
  <c r="T331" i="4"/>
  <c r="Z330" i="4"/>
  <c r="Y330" i="4"/>
  <c r="X330" i="4"/>
  <c r="W330" i="4"/>
  <c r="T330" i="4"/>
  <c r="Z329" i="4"/>
  <c r="Y329" i="4"/>
  <c r="X329" i="4"/>
  <c r="W329" i="4"/>
  <c r="T329" i="4"/>
  <c r="Z328" i="4"/>
  <c r="Y328" i="4"/>
  <c r="X328" i="4"/>
  <c r="W328" i="4"/>
  <c r="T328" i="4"/>
  <c r="Z327" i="4"/>
  <c r="Y327" i="4"/>
  <c r="X327" i="4"/>
  <c r="W327" i="4"/>
  <c r="T327" i="4"/>
  <c r="Z326" i="4"/>
  <c r="Y326" i="4"/>
  <c r="X326" i="4"/>
  <c r="W326" i="4"/>
  <c r="T326" i="4"/>
  <c r="Z325" i="4"/>
  <c r="Y325" i="4"/>
  <c r="X325" i="4"/>
  <c r="W325" i="4"/>
  <c r="T325" i="4"/>
  <c r="Z324" i="4"/>
  <c r="Y324" i="4"/>
  <c r="X324" i="4"/>
  <c r="W324" i="4"/>
  <c r="T324" i="4"/>
  <c r="Z323" i="4"/>
  <c r="Y323" i="4"/>
  <c r="X323" i="4"/>
  <c r="W323" i="4"/>
  <c r="T323" i="4"/>
  <c r="Z322" i="4"/>
  <c r="Y322" i="4"/>
  <c r="X322" i="4"/>
  <c r="W322" i="4"/>
  <c r="T322" i="4"/>
  <c r="Z321" i="4"/>
  <c r="Y321" i="4"/>
  <c r="X321" i="4"/>
  <c r="W321" i="4"/>
  <c r="T321" i="4"/>
  <c r="Z320" i="4"/>
  <c r="Y320" i="4"/>
  <c r="X320" i="4"/>
  <c r="W320" i="4"/>
  <c r="T320" i="4"/>
  <c r="Z319" i="4"/>
  <c r="Y319" i="4"/>
  <c r="X319" i="4"/>
  <c r="W319" i="4"/>
  <c r="T319" i="4"/>
  <c r="Z318" i="4"/>
  <c r="Y318" i="4"/>
  <c r="X318" i="4"/>
  <c r="W318" i="4"/>
  <c r="T318" i="4"/>
  <c r="Z317" i="4"/>
  <c r="Y317" i="4"/>
  <c r="X317" i="4"/>
  <c r="W317" i="4"/>
  <c r="T317" i="4"/>
  <c r="Z316" i="4"/>
  <c r="Y316" i="4"/>
  <c r="X316" i="4"/>
  <c r="W316" i="4"/>
  <c r="T316" i="4"/>
  <c r="Z315" i="4"/>
  <c r="Y315" i="4"/>
  <c r="X315" i="4"/>
  <c r="W315" i="4"/>
  <c r="T315" i="4"/>
  <c r="Z314" i="4"/>
  <c r="Y314" i="4"/>
  <c r="X314" i="4"/>
  <c r="W314" i="4"/>
  <c r="T314" i="4"/>
  <c r="Z313" i="4"/>
  <c r="Y313" i="4"/>
  <c r="X313" i="4"/>
  <c r="W313" i="4"/>
  <c r="T313" i="4"/>
  <c r="Z312" i="4"/>
  <c r="Y312" i="4"/>
  <c r="X312" i="4"/>
  <c r="W312" i="4"/>
  <c r="T312" i="4"/>
  <c r="Z311" i="4"/>
  <c r="Y311" i="4"/>
  <c r="X311" i="4"/>
  <c r="W311" i="4"/>
  <c r="T311" i="4"/>
  <c r="Z310" i="4"/>
  <c r="Y310" i="4"/>
  <c r="X310" i="4"/>
  <c r="W310" i="4"/>
  <c r="T310" i="4"/>
  <c r="Z309" i="4"/>
  <c r="Y309" i="4"/>
  <c r="X309" i="4"/>
  <c r="W309" i="4"/>
  <c r="T309" i="4"/>
  <c r="Z308" i="4"/>
  <c r="Y308" i="4"/>
  <c r="X308" i="4"/>
  <c r="W308" i="4"/>
  <c r="T308" i="4"/>
  <c r="Z307" i="4"/>
  <c r="Y307" i="4"/>
  <c r="X307" i="4"/>
  <c r="W307" i="4"/>
  <c r="T307" i="4"/>
  <c r="Z306" i="4"/>
  <c r="Y306" i="4"/>
  <c r="X306" i="4"/>
  <c r="W306" i="4"/>
  <c r="T306" i="4"/>
  <c r="Z305" i="4"/>
  <c r="Y305" i="4"/>
  <c r="X305" i="4"/>
  <c r="W305" i="4"/>
  <c r="T305" i="4"/>
  <c r="Z304" i="4"/>
  <c r="Y304" i="4"/>
  <c r="X304" i="4"/>
  <c r="W304" i="4"/>
  <c r="T304" i="4"/>
  <c r="Z303" i="4"/>
  <c r="Y303" i="4"/>
  <c r="X303" i="4"/>
  <c r="W303" i="4"/>
  <c r="T303" i="4"/>
  <c r="Z302" i="4"/>
  <c r="Y302" i="4"/>
  <c r="X302" i="4"/>
  <c r="W302" i="4"/>
  <c r="T302" i="4"/>
  <c r="Z301" i="4"/>
  <c r="Y301" i="4"/>
  <c r="X301" i="4"/>
  <c r="W301" i="4"/>
  <c r="T301" i="4"/>
  <c r="Z300" i="4"/>
  <c r="Y300" i="4"/>
  <c r="X300" i="4"/>
  <c r="W300" i="4"/>
  <c r="T300" i="4"/>
  <c r="Z299" i="4"/>
  <c r="Y299" i="4"/>
  <c r="X299" i="4"/>
  <c r="W299" i="4"/>
  <c r="T299" i="4"/>
  <c r="Z298" i="4"/>
  <c r="Y298" i="4"/>
  <c r="X298" i="4"/>
  <c r="W298" i="4"/>
  <c r="T298" i="4"/>
  <c r="Z297" i="4"/>
  <c r="Y297" i="4"/>
  <c r="X297" i="4"/>
  <c r="W297" i="4"/>
  <c r="T297" i="4"/>
  <c r="Z296" i="4"/>
  <c r="Y296" i="4"/>
  <c r="X296" i="4"/>
  <c r="W296" i="4"/>
  <c r="T296" i="4"/>
  <c r="Z295" i="4"/>
  <c r="Y295" i="4"/>
  <c r="X295" i="4"/>
  <c r="W295" i="4"/>
  <c r="T295" i="4"/>
  <c r="Z294" i="4"/>
  <c r="Y294" i="4"/>
  <c r="X294" i="4"/>
  <c r="W294" i="4"/>
  <c r="T294" i="4"/>
  <c r="Z293" i="4"/>
  <c r="Y293" i="4"/>
  <c r="X293" i="4"/>
  <c r="W293" i="4"/>
  <c r="T293" i="4"/>
  <c r="Z292" i="4"/>
  <c r="Y292" i="4"/>
  <c r="X292" i="4"/>
  <c r="W292" i="4"/>
  <c r="T292" i="4"/>
  <c r="Z291" i="4"/>
  <c r="Y291" i="4"/>
  <c r="X291" i="4"/>
  <c r="W291" i="4"/>
  <c r="T291" i="4"/>
  <c r="Z290" i="4"/>
  <c r="Y290" i="4"/>
  <c r="X290" i="4"/>
  <c r="W290" i="4"/>
  <c r="T290" i="4"/>
  <c r="Z289" i="4"/>
  <c r="Y289" i="4"/>
  <c r="X289" i="4"/>
  <c r="W289" i="4"/>
  <c r="T289" i="4"/>
  <c r="Z288" i="4"/>
  <c r="Y288" i="4"/>
  <c r="X288" i="4"/>
  <c r="W288" i="4"/>
  <c r="T288" i="4"/>
  <c r="Z287" i="4"/>
  <c r="Y287" i="4"/>
  <c r="X287" i="4"/>
  <c r="W287" i="4"/>
  <c r="T287" i="4"/>
  <c r="Z286" i="4"/>
  <c r="Y286" i="4"/>
  <c r="X286" i="4"/>
  <c r="W286" i="4"/>
  <c r="T286" i="4"/>
  <c r="Z285" i="4"/>
  <c r="Y285" i="4"/>
  <c r="X285" i="4"/>
  <c r="W285" i="4"/>
  <c r="T285" i="4"/>
  <c r="Z284" i="4"/>
  <c r="Y284" i="4"/>
  <c r="X284" i="4"/>
  <c r="W284" i="4"/>
  <c r="T284" i="4"/>
  <c r="Z283" i="4"/>
  <c r="Y283" i="4"/>
  <c r="X283" i="4"/>
  <c r="W283" i="4"/>
  <c r="T283" i="4"/>
  <c r="Z282" i="4"/>
  <c r="Y282" i="4"/>
  <c r="X282" i="4"/>
  <c r="W282" i="4"/>
  <c r="T282" i="4"/>
  <c r="Z281" i="4"/>
  <c r="Y281" i="4"/>
  <c r="X281" i="4"/>
  <c r="W281" i="4"/>
  <c r="T281" i="4"/>
  <c r="Z280" i="4"/>
  <c r="Y280" i="4"/>
  <c r="X280" i="4"/>
  <c r="W280" i="4"/>
  <c r="T280" i="4"/>
  <c r="Z279" i="4"/>
  <c r="Y279" i="4"/>
  <c r="X279" i="4"/>
  <c r="W279" i="4"/>
  <c r="T279" i="4"/>
  <c r="Z278" i="4"/>
  <c r="Y278" i="4"/>
  <c r="X278" i="4"/>
  <c r="W278" i="4"/>
  <c r="T278" i="4"/>
  <c r="Z277" i="4"/>
  <c r="Y277" i="4"/>
  <c r="X277" i="4"/>
  <c r="W277" i="4"/>
  <c r="T277" i="4"/>
  <c r="Z276" i="4"/>
  <c r="Y276" i="4"/>
  <c r="X276" i="4"/>
  <c r="W276" i="4"/>
  <c r="T276" i="4"/>
  <c r="Z275" i="4"/>
  <c r="Y275" i="4"/>
  <c r="X275" i="4"/>
  <c r="W275" i="4"/>
  <c r="T275" i="4"/>
  <c r="Z274" i="4"/>
  <c r="Y274" i="4"/>
  <c r="X274" i="4"/>
  <c r="W274" i="4"/>
  <c r="T274" i="4"/>
  <c r="Z273" i="4"/>
  <c r="Y273" i="4"/>
  <c r="X273" i="4"/>
  <c r="W273" i="4"/>
  <c r="T273" i="4"/>
  <c r="Z272" i="4"/>
  <c r="Y272" i="4"/>
  <c r="X272" i="4"/>
  <c r="W272" i="4"/>
  <c r="T272" i="4"/>
  <c r="Z271" i="4"/>
  <c r="Y271" i="4"/>
  <c r="X271" i="4"/>
  <c r="W271" i="4"/>
  <c r="T271" i="4"/>
  <c r="Z270" i="4"/>
  <c r="Y270" i="4"/>
  <c r="X270" i="4"/>
  <c r="W270" i="4"/>
  <c r="T270" i="4"/>
  <c r="Z269" i="4"/>
  <c r="Y269" i="4"/>
  <c r="X269" i="4"/>
  <c r="W269" i="4"/>
  <c r="T269" i="4"/>
  <c r="Z268" i="4"/>
  <c r="Y268" i="4"/>
  <c r="X268" i="4"/>
  <c r="W268" i="4"/>
  <c r="T268" i="4"/>
  <c r="Z267" i="4"/>
  <c r="Y267" i="4"/>
  <c r="X267" i="4"/>
  <c r="W267" i="4"/>
  <c r="T267" i="4"/>
  <c r="Z266" i="4"/>
  <c r="Y266" i="4"/>
  <c r="X266" i="4"/>
  <c r="W266" i="4"/>
  <c r="T266" i="4"/>
  <c r="Z265" i="4"/>
  <c r="Y265" i="4"/>
  <c r="X265" i="4"/>
  <c r="W265" i="4"/>
  <c r="T265" i="4"/>
  <c r="Z264" i="4"/>
  <c r="Y264" i="4"/>
  <c r="X264" i="4"/>
  <c r="W264" i="4"/>
  <c r="T264" i="4"/>
  <c r="Z263" i="4"/>
  <c r="Y263" i="4"/>
  <c r="X263" i="4"/>
  <c r="W263" i="4"/>
  <c r="T263" i="4"/>
  <c r="Z262" i="4"/>
  <c r="Y262" i="4"/>
  <c r="X262" i="4"/>
  <c r="W262" i="4"/>
  <c r="T262" i="4"/>
  <c r="Z261" i="4"/>
  <c r="Y261" i="4"/>
  <c r="X261" i="4"/>
  <c r="W261" i="4"/>
  <c r="T261" i="4"/>
  <c r="Z260" i="4"/>
  <c r="Y260" i="4"/>
  <c r="X260" i="4"/>
  <c r="W260" i="4"/>
  <c r="T260" i="4"/>
  <c r="Z259" i="4"/>
  <c r="Y259" i="4"/>
  <c r="X259" i="4"/>
  <c r="W259" i="4"/>
  <c r="T259" i="4"/>
  <c r="Z258" i="4"/>
  <c r="Y258" i="4"/>
  <c r="X258" i="4"/>
  <c r="W258" i="4"/>
  <c r="T258" i="4"/>
  <c r="Z257" i="4"/>
  <c r="Y257" i="4"/>
  <c r="X257" i="4"/>
  <c r="W257" i="4"/>
  <c r="T257" i="4"/>
  <c r="Z256" i="4"/>
  <c r="Y256" i="4"/>
  <c r="X256" i="4"/>
  <c r="W256" i="4"/>
  <c r="T256" i="4"/>
  <c r="Z255" i="4"/>
  <c r="Y255" i="4"/>
  <c r="X255" i="4"/>
  <c r="W255" i="4"/>
  <c r="T255" i="4"/>
  <c r="Z254" i="4"/>
  <c r="Y254" i="4"/>
  <c r="X254" i="4"/>
  <c r="W254" i="4"/>
  <c r="T254" i="4"/>
  <c r="Z253" i="4"/>
  <c r="Y253" i="4"/>
  <c r="X253" i="4"/>
  <c r="W253" i="4"/>
  <c r="T253" i="4"/>
  <c r="Z252" i="4"/>
  <c r="Y252" i="4"/>
  <c r="X252" i="4"/>
  <c r="W252" i="4"/>
  <c r="T252" i="4"/>
  <c r="Z251" i="4"/>
  <c r="Y251" i="4"/>
  <c r="X251" i="4"/>
  <c r="W251" i="4"/>
  <c r="T251" i="4"/>
  <c r="Z250" i="4"/>
  <c r="Y250" i="4"/>
  <c r="X250" i="4"/>
  <c r="W250" i="4"/>
  <c r="T250" i="4"/>
  <c r="Z249" i="4"/>
  <c r="Y249" i="4"/>
  <c r="X249" i="4"/>
  <c r="W249" i="4"/>
  <c r="T249" i="4"/>
  <c r="Z248" i="4"/>
  <c r="Y248" i="4"/>
  <c r="X248" i="4"/>
  <c r="W248" i="4"/>
  <c r="T248" i="4"/>
  <c r="Z247" i="4"/>
  <c r="Y247" i="4"/>
  <c r="X247" i="4"/>
  <c r="W247" i="4"/>
  <c r="T247" i="4"/>
  <c r="Z246" i="4"/>
  <c r="Y246" i="4"/>
  <c r="X246" i="4"/>
  <c r="W246" i="4"/>
  <c r="T246" i="4"/>
  <c r="Z245" i="4"/>
  <c r="Y245" i="4"/>
  <c r="X245" i="4"/>
  <c r="W245" i="4"/>
  <c r="T245" i="4"/>
  <c r="Z244" i="4"/>
  <c r="Y244" i="4"/>
  <c r="X244" i="4"/>
  <c r="W244" i="4"/>
  <c r="T244" i="4"/>
  <c r="Z243" i="4"/>
  <c r="Y243" i="4"/>
  <c r="X243" i="4"/>
  <c r="W243" i="4"/>
  <c r="T243" i="4"/>
  <c r="Z242" i="4"/>
  <c r="Y242" i="4"/>
  <c r="X242" i="4"/>
  <c r="W242" i="4"/>
  <c r="T242" i="4"/>
  <c r="Z241" i="4"/>
  <c r="Y241" i="4"/>
  <c r="X241" i="4"/>
  <c r="W241" i="4"/>
  <c r="T241" i="4"/>
  <c r="Z240" i="4"/>
  <c r="Y240" i="4"/>
  <c r="X240" i="4"/>
  <c r="W240" i="4"/>
  <c r="T240" i="4"/>
  <c r="Z239" i="4"/>
  <c r="Y239" i="4"/>
  <c r="X239" i="4"/>
  <c r="W239" i="4"/>
  <c r="T239" i="4"/>
  <c r="Z238" i="4"/>
  <c r="Y238" i="4"/>
  <c r="X238" i="4"/>
  <c r="W238" i="4"/>
  <c r="T238" i="4"/>
  <c r="Z237" i="4"/>
  <c r="Y237" i="4"/>
  <c r="X237" i="4"/>
  <c r="W237" i="4"/>
  <c r="T237" i="4"/>
  <c r="Z236" i="4"/>
  <c r="Y236" i="4"/>
  <c r="X236" i="4"/>
  <c r="W236" i="4"/>
  <c r="T236" i="4"/>
  <c r="Z235" i="4"/>
  <c r="Y235" i="4"/>
  <c r="X235" i="4"/>
  <c r="W235" i="4"/>
  <c r="T235" i="4"/>
  <c r="Z234" i="4"/>
  <c r="Y234" i="4"/>
  <c r="X234" i="4"/>
  <c r="W234" i="4"/>
  <c r="T234" i="4"/>
  <c r="Z233" i="4"/>
  <c r="Y233" i="4"/>
  <c r="X233" i="4"/>
  <c r="W233" i="4"/>
  <c r="T233" i="4"/>
  <c r="Z232" i="4"/>
  <c r="Y232" i="4"/>
  <c r="X232" i="4"/>
  <c r="W232" i="4"/>
  <c r="T232" i="4"/>
  <c r="Z231" i="4"/>
  <c r="Y231" i="4"/>
  <c r="X231" i="4"/>
  <c r="W231" i="4"/>
  <c r="T231" i="4"/>
  <c r="Z230" i="4"/>
  <c r="Y230" i="4"/>
  <c r="X230" i="4"/>
  <c r="W230" i="4"/>
  <c r="T230" i="4"/>
  <c r="Z229" i="4"/>
  <c r="Y229" i="4"/>
  <c r="X229" i="4"/>
  <c r="W229" i="4"/>
  <c r="T229" i="4"/>
  <c r="Z228" i="4"/>
  <c r="Y228" i="4"/>
  <c r="X228" i="4"/>
  <c r="W228" i="4"/>
  <c r="T228" i="4"/>
  <c r="Z227" i="4"/>
  <c r="Y227" i="4"/>
  <c r="X227" i="4"/>
  <c r="W227" i="4"/>
  <c r="T227" i="4"/>
  <c r="Z226" i="4"/>
  <c r="Y226" i="4"/>
  <c r="X226" i="4"/>
  <c r="W226" i="4"/>
  <c r="T226" i="4"/>
  <c r="Z225" i="4"/>
  <c r="Y225" i="4"/>
  <c r="X225" i="4"/>
  <c r="W225" i="4"/>
  <c r="T225" i="4"/>
  <c r="Z224" i="4"/>
  <c r="Y224" i="4"/>
  <c r="X224" i="4"/>
  <c r="W224" i="4"/>
  <c r="T224" i="4"/>
  <c r="Z223" i="4"/>
  <c r="Y223" i="4"/>
  <c r="X223" i="4"/>
  <c r="W223" i="4"/>
  <c r="T223" i="4"/>
  <c r="Z222" i="4"/>
  <c r="Y222" i="4"/>
  <c r="X222" i="4"/>
  <c r="W222" i="4"/>
  <c r="T222" i="4"/>
  <c r="Z221" i="4"/>
  <c r="Y221" i="4"/>
  <c r="X221" i="4"/>
  <c r="W221" i="4"/>
  <c r="T221" i="4"/>
  <c r="Z220" i="4"/>
  <c r="Y220" i="4"/>
  <c r="X220" i="4"/>
  <c r="W220" i="4"/>
  <c r="T220" i="4"/>
  <c r="Z219" i="4"/>
  <c r="Y219" i="4"/>
  <c r="X219" i="4"/>
  <c r="W219" i="4"/>
  <c r="T219" i="4"/>
  <c r="Z218" i="4"/>
  <c r="Y218" i="4"/>
  <c r="X218" i="4"/>
  <c r="W218" i="4"/>
  <c r="T218" i="4"/>
  <c r="Z217" i="4"/>
  <c r="Y217" i="4"/>
  <c r="X217" i="4"/>
  <c r="W217" i="4"/>
  <c r="T217" i="4"/>
  <c r="Z216" i="4"/>
  <c r="Y216" i="4"/>
  <c r="X216" i="4"/>
  <c r="W216" i="4"/>
  <c r="T216" i="4"/>
  <c r="Z215" i="4"/>
  <c r="Y215" i="4"/>
  <c r="X215" i="4"/>
  <c r="W215" i="4"/>
  <c r="T215" i="4"/>
  <c r="Z214" i="4"/>
  <c r="Y214" i="4"/>
  <c r="X214" i="4"/>
  <c r="W214" i="4"/>
  <c r="T214" i="4"/>
  <c r="Z213" i="4"/>
  <c r="Y213" i="4"/>
  <c r="X213" i="4"/>
  <c r="W213" i="4"/>
  <c r="T213" i="4"/>
  <c r="Z212" i="4"/>
  <c r="Y212" i="4"/>
  <c r="X212" i="4"/>
  <c r="W212" i="4"/>
  <c r="T212" i="4"/>
  <c r="Z211" i="4"/>
  <c r="Y211" i="4"/>
  <c r="X211" i="4"/>
  <c r="W211" i="4"/>
  <c r="T211" i="4"/>
  <c r="Z210" i="4"/>
  <c r="Y210" i="4"/>
  <c r="X210" i="4"/>
  <c r="W210" i="4"/>
  <c r="T210" i="4"/>
  <c r="Z209" i="4"/>
  <c r="Y209" i="4"/>
  <c r="X209" i="4"/>
  <c r="W209" i="4"/>
  <c r="T209" i="4"/>
  <c r="Z208" i="4"/>
  <c r="Y208" i="4"/>
  <c r="X208" i="4"/>
  <c r="W208" i="4"/>
  <c r="T208" i="4"/>
  <c r="Z207" i="4"/>
  <c r="Y207" i="4"/>
  <c r="X207" i="4"/>
  <c r="W207" i="4"/>
  <c r="T207" i="4"/>
  <c r="Z206" i="4"/>
  <c r="Y206" i="4"/>
  <c r="X206" i="4"/>
  <c r="W206" i="4"/>
  <c r="T206" i="4"/>
  <c r="Z205" i="4"/>
  <c r="Y205" i="4"/>
  <c r="X205" i="4"/>
  <c r="W205" i="4"/>
  <c r="T205" i="4"/>
  <c r="Z204" i="4"/>
  <c r="Y204" i="4"/>
  <c r="X204" i="4"/>
  <c r="W204" i="4"/>
  <c r="T204" i="4"/>
  <c r="Z203" i="4"/>
  <c r="Y203" i="4"/>
  <c r="X203" i="4"/>
  <c r="W203" i="4"/>
  <c r="T203" i="4"/>
  <c r="Z202" i="4"/>
  <c r="Y202" i="4"/>
  <c r="X202" i="4"/>
  <c r="W202" i="4"/>
  <c r="T202" i="4"/>
  <c r="Z201" i="4"/>
  <c r="Y201" i="4"/>
  <c r="X201" i="4"/>
  <c r="W201" i="4"/>
  <c r="T201" i="4"/>
  <c r="Z200" i="4"/>
  <c r="Y200" i="4"/>
  <c r="X200" i="4"/>
  <c r="W200" i="4"/>
  <c r="T200" i="4"/>
  <c r="Z199" i="4"/>
  <c r="Y199" i="4"/>
  <c r="X199" i="4"/>
  <c r="W199" i="4"/>
  <c r="T199" i="4"/>
  <c r="Z198" i="4"/>
  <c r="Y198" i="4"/>
  <c r="X198" i="4"/>
  <c r="W198" i="4"/>
  <c r="T198" i="4"/>
  <c r="Z197" i="4"/>
  <c r="Y197" i="4"/>
  <c r="X197" i="4"/>
  <c r="W197" i="4"/>
  <c r="T197" i="4"/>
  <c r="Z196" i="4"/>
  <c r="Y196" i="4"/>
  <c r="X196" i="4"/>
  <c r="W196" i="4"/>
  <c r="T196" i="4"/>
  <c r="Z195" i="4"/>
  <c r="Y195" i="4"/>
  <c r="X195" i="4"/>
  <c r="W195" i="4"/>
  <c r="T195" i="4"/>
  <c r="Z194" i="4"/>
  <c r="Y194" i="4"/>
  <c r="X194" i="4"/>
  <c r="W194" i="4"/>
  <c r="T194" i="4"/>
  <c r="Z193" i="4"/>
  <c r="Y193" i="4"/>
  <c r="X193" i="4"/>
  <c r="W193" i="4"/>
  <c r="T193" i="4"/>
  <c r="Z192" i="4"/>
  <c r="Y192" i="4"/>
  <c r="X192" i="4"/>
  <c r="W192" i="4"/>
  <c r="T192" i="4"/>
  <c r="Z191" i="4"/>
  <c r="Y191" i="4"/>
  <c r="X191" i="4"/>
  <c r="W191" i="4"/>
  <c r="T191" i="4"/>
  <c r="Z190" i="4"/>
  <c r="Y190" i="4"/>
  <c r="X190" i="4"/>
  <c r="W190" i="4"/>
  <c r="T190" i="4"/>
  <c r="Z189" i="4"/>
  <c r="Y189" i="4"/>
  <c r="X189" i="4"/>
  <c r="W189" i="4"/>
  <c r="T189" i="4"/>
  <c r="Z188" i="4"/>
  <c r="Y188" i="4"/>
  <c r="X188" i="4"/>
  <c r="W188" i="4"/>
  <c r="T188" i="4"/>
  <c r="Z187" i="4"/>
  <c r="Y187" i="4"/>
  <c r="X187" i="4"/>
  <c r="W187" i="4"/>
  <c r="T187" i="4"/>
  <c r="Z186" i="4"/>
  <c r="Y186" i="4"/>
  <c r="X186" i="4"/>
  <c r="W186" i="4"/>
  <c r="T186" i="4"/>
  <c r="Z185" i="4"/>
  <c r="Y185" i="4"/>
  <c r="X185" i="4"/>
  <c r="W185" i="4"/>
  <c r="T185" i="4"/>
  <c r="Z184" i="4"/>
  <c r="Y184" i="4"/>
  <c r="X184" i="4"/>
  <c r="W184" i="4"/>
  <c r="T184" i="4"/>
  <c r="Z183" i="4"/>
  <c r="Y183" i="4"/>
  <c r="X183" i="4"/>
  <c r="W183" i="4"/>
  <c r="T183" i="4"/>
  <c r="Z182" i="4"/>
  <c r="Y182" i="4"/>
  <c r="X182" i="4"/>
  <c r="W182" i="4"/>
  <c r="T182" i="4"/>
  <c r="Z181" i="4"/>
  <c r="Y181" i="4"/>
  <c r="X181" i="4"/>
  <c r="W181" i="4"/>
  <c r="T181" i="4"/>
  <c r="Z180" i="4"/>
  <c r="Y180" i="4"/>
  <c r="X180" i="4"/>
  <c r="W180" i="4"/>
  <c r="T180" i="4"/>
  <c r="Z179" i="4"/>
  <c r="Y179" i="4"/>
  <c r="X179" i="4"/>
  <c r="W179" i="4"/>
  <c r="T179" i="4"/>
  <c r="Z178" i="4"/>
  <c r="Y178" i="4"/>
  <c r="X178" i="4"/>
  <c r="W178" i="4"/>
  <c r="T178" i="4"/>
  <c r="Z177" i="4"/>
  <c r="Y177" i="4"/>
  <c r="X177" i="4"/>
  <c r="W177" i="4"/>
  <c r="T177" i="4"/>
  <c r="Z176" i="4"/>
  <c r="Y176" i="4"/>
  <c r="X176" i="4"/>
  <c r="W176" i="4"/>
  <c r="T176" i="4"/>
  <c r="Z175" i="4"/>
  <c r="Y175" i="4"/>
  <c r="X175" i="4"/>
  <c r="W175" i="4"/>
  <c r="T175" i="4"/>
  <c r="Z174" i="4"/>
  <c r="Y174" i="4"/>
  <c r="X174" i="4"/>
  <c r="W174" i="4"/>
  <c r="T174" i="4"/>
  <c r="Z173" i="4"/>
  <c r="Y173" i="4"/>
  <c r="X173" i="4"/>
  <c r="W173" i="4"/>
  <c r="T173" i="4"/>
  <c r="Z172" i="4"/>
  <c r="Y172" i="4"/>
  <c r="X172" i="4"/>
  <c r="W172" i="4"/>
  <c r="T172" i="4"/>
  <c r="Z171" i="4"/>
  <c r="Y171" i="4"/>
  <c r="X171" i="4"/>
  <c r="W171" i="4"/>
  <c r="T171" i="4"/>
  <c r="Z170" i="4"/>
  <c r="Y170" i="4"/>
  <c r="X170" i="4"/>
  <c r="W170" i="4"/>
  <c r="T170" i="4"/>
  <c r="Z169" i="4"/>
  <c r="Y169" i="4"/>
  <c r="X169" i="4"/>
  <c r="W169" i="4"/>
  <c r="T169" i="4"/>
  <c r="Z168" i="4"/>
  <c r="Y168" i="4"/>
  <c r="X168" i="4"/>
  <c r="W168" i="4"/>
  <c r="T168" i="4"/>
  <c r="Z167" i="4"/>
  <c r="Y167" i="4"/>
  <c r="X167" i="4"/>
  <c r="W167" i="4"/>
  <c r="T167" i="4"/>
  <c r="Z166" i="4"/>
  <c r="Y166" i="4"/>
  <c r="X166" i="4"/>
  <c r="W166" i="4"/>
  <c r="T166" i="4"/>
  <c r="Z165" i="4"/>
  <c r="Y165" i="4"/>
  <c r="X165" i="4"/>
  <c r="W165" i="4"/>
  <c r="T165" i="4"/>
  <c r="Z164" i="4"/>
  <c r="Y164" i="4"/>
  <c r="X164" i="4"/>
  <c r="W164" i="4"/>
  <c r="T164" i="4"/>
  <c r="Z163" i="4"/>
  <c r="Y163" i="4"/>
  <c r="X163" i="4"/>
  <c r="W163" i="4"/>
  <c r="T163" i="4"/>
  <c r="Z162" i="4"/>
  <c r="Y162" i="4"/>
  <c r="X162" i="4"/>
  <c r="W162" i="4"/>
  <c r="T162" i="4"/>
  <c r="Z161" i="4"/>
  <c r="Y161" i="4"/>
  <c r="X161" i="4"/>
  <c r="W161" i="4"/>
  <c r="T161" i="4"/>
  <c r="Z160" i="4"/>
  <c r="Y160" i="4"/>
  <c r="X160" i="4"/>
  <c r="W160" i="4"/>
  <c r="T160" i="4"/>
  <c r="Z159" i="4"/>
  <c r="Y159" i="4"/>
  <c r="X159" i="4"/>
  <c r="W159" i="4"/>
  <c r="T159" i="4"/>
  <c r="Z158" i="4"/>
  <c r="Y158" i="4"/>
  <c r="X158" i="4"/>
  <c r="W158" i="4"/>
  <c r="T158" i="4"/>
  <c r="Z157" i="4"/>
  <c r="Y157" i="4"/>
  <c r="X157" i="4"/>
  <c r="W157" i="4"/>
  <c r="T157" i="4"/>
  <c r="Z156" i="4"/>
  <c r="Y156" i="4"/>
  <c r="X156" i="4"/>
  <c r="W156" i="4"/>
  <c r="T156" i="4"/>
  <c r="Z155" i="4"/>
  <c r="Y155" i="4"/>
  <c r="X155" i="4"/>
  <c r="W155" i="4"/>
  <c r="T155" i="4"/>
  <c r="Z154" i="4"/>
  <c r="Y154" i="4"/>
  <c r="X154" i="4"/>
  <c r="W154" i="4"/>
  <c r="T154" i="4"/>
  <c r="Z153" i="4"/>
  <c r="Y153" i="4"/>
  <c r="X153" i="4"/>
  <c r="W153" i="4"/>
  <c r="T153" i="4"/>
  <c r="Z152" i="4"/>
  <c r="Y152" i="4"/>
  <c r="X152" i="4"/>
  <c r="W152" i="4"/>
  <c r="T152" i="4"/>
  <c r="Z151" i="4"/>
  <c r="Y151" i="4"/>
  <c r="X151" i="4"/>
  <c r="W151" i="4"/>
  <c r="T151" i="4"/>
  <c r="Z150" i="4"/>
  <c r="Y150" i="4"/>
  <c r="X150" i="4"/>
  <c r="W150" i="4"/>
  <c r="T150" i="4"/>
  <c r="Z149" i="4"/>
  <c r="Y149" i="4"/>
  <c r="X149" i="4"/>
  <c r="W149" i="4"/>
  <c r="T149" i="4"/>
  <c r="Z148" i="4"/>
  <c r="Y148" i="4"/>
  <c r="X148" i="4"/>
  <c r="W148" i="4"/>
  <c r="T148" i="4"/>
  <c r="Z147" i="4"/>
  <c r="Y147" i="4"/>
  <c r="X147" i="4"/>
  <c r="W147" i="4"/>
  <c r="T147" i="4"/>
  <c r="Z146" i="4"/>
  <c r="Y146" i="4"/>
  <c r="X146" i="4"/>
  <c r="W146" i="4"/>
  <c r="T146" i="4"/>
  <c r="Z145" i="4"/>
  <c r="Y145" i="4"/>
  <c r="X145" i="4"/>
  <c r="W145" i="4"/>
  <c r="T145" i="4"/>
  <c r="Z144" i="4"/>
  <c r="Y144" i="4"/>
  <c r="X144" i="4"/>
  <c r="W144" i="4"/>
  <c r="T144" i="4"/>
  <c r="Z143" i="4"/>
  <c r="Y143" i="4"/>
  <c r="X143" i="4"/>
  <c r="W143" i="4"/>
  <c r="T143" i="4"/>
  <c r="Z142" i="4"/>
  <c r="Y142" i="4"/>
  <c r="X142" i="4"/>
  <c r="W142" i="4"/>
  <c r="T142" i="4"/>
  <c r="Z141" i="4"/>
  <c r="Y141" i="4"/>
  <c r="X141" i="4"/>
  <c r="W141" i="4"/>
  <c r="T141" i="4"/>
  <c r="Z140" i="4"/>
  <c r="Y140" i="4"/>
  <c r="X140" i="4"/>
  <c r="W140" i="4"/>
  <c r="T140" i="4"/>
  <c r="Z139" i="4"/>
  <c r="Y139" i="4"/>
  <c r="X139" i="4"/>
  <c r="W139" i="4"/>
  <c r="T139" i="4"/>
  <c r="Z138" i="4"/>
  <c r="Y138" i="4"/>
  <c r="X138" i="4"/>
  <c r="W138" i="4"/>
  <c r="T138" i="4"/>
  <c r="Z137" i="4"/>
  <c r="Y137" i="4"/>
  <c r="X137" i="4"/>
  <c r="W137" i="4"/>
  <c r="T137" i="4"/>
  <c r="Z136" i="4"/>
  <c r="Y136" i="4"/>
  <c r="X136" i="4"/>
  <c r="W136" i="4"/>
  <c r="T136" i="4"/>
  <c r="Z135" i="4"/>
  <c r="Y135" i="4"/>
  <c r="X135" i="4"/>
  <c r="W135" i="4"/>
  <c r="T135" i="4"/>
  <c r="Z134" i="4"/>
  <c r="Y134" i="4"/>
  <c r="X134" i="4"/>
  <c r="W134" i="4"/>
  <c r="T134" i="4"/>
  <c r="Z133" i="4"/>
  <c r="Y133" i="4"/>
  <c r="X133" i="4"/>
  <c r="W133" i="4"/>
  <c r="T133" i="4"/>
  <c r="Z132" i="4"/>
  <c r="Y132" i="4"/>
  <c r="X132" i="4"/>
  <c r="W132" i="4"/>
  <c r="T132" i="4"/>
  <c r="Z131" i="4"/>
  <c r="Y131" i="4"/>
  <c r="X131" i="4"/>
  <c r="W131" i="4"/>
  <c r="T131" i="4"/>
  <c r="Z130" i="4"/>
  <c r="Y130" i="4"/>
  <c r="X130" i="4"/>
  <c r="W130" i="4"/>
  <c r="T130" i="4"/>
  <c r="Z129" i="4"/>
  <c r="Y129" i="4"/>
  <c r="X129" i="4"/>
  <c r="W129" i="4"/>
  <c r="T129" i="4"/>
  <c r="Z128" i="4"/>
  <c r="Y128" i="4"/>
  <c r="X128" i="4"/>
  <c r="W128" i="4"/>
  <c r="T128" i="4"/>
  <c r="Z127" i="4"/>
  <c r="Y127" i="4"/>
  <c r="X127" i="4"/>
  <c r="W127" i="4"/>
  <c r="T127" i="4"/>
  <c r="Z126" i="4"/>
  <c r="Y126" i="4"/>
  <c r="X126" i="4"/>
  <c r="W126" i="4"/>
  <c r="T126" i="4"/>
  <c r="Z125" i="4"/>
  <c r="Y125" i="4"/>
  <c r="X125" i="4"/>
  <c r="W125" i="4"/>
  <c r="T125" i="4"/>
  <c r="Z124" i="4"/>
  <c r="Y124" i="4"/>
  <c r="X124" i="4"/>
  <c r="W124" i="4"/>
  <c r="T124" i="4"/>
  <c r="Z123" i="4"/>
  <c r="Y123" i="4"/>
  <c r="X123" i="4"/>
  <c r="W123" i="4"/>
  <c r="T123" i="4"/>
  <c r="Z122" i="4"/>
  <c r="Y122" i="4"/>
  <c r="X122" i="4"/>
  <c r="W122" i="4"/>
  <c r="T122" i="4"/>
  <c r="Z121" i="4"/>
  <c r="Y121" i="4"/>
  <c r="X121" i="4"/>
  <c r="W121" i="4"/>
  <c r="T121" i="4"/>
  <c r="Z120" i="4"/>
  <c r="Y120" i="4"/>
  <c r="X120" i="4"/>
  <c r="W120" i="4"/>
  <c r="T120" i="4" s="1"/>
  <c r="Z119" i="4"/>
  <c r="Y119" i="4"/>
  <c r="X119" i="4"/>
  <c r="W119" i="4"/>
  <c r="T119" i="4" s="1"/>
  <c r="Z118" i="4"/>
  <c r="Y118" i="4"/>
  <c r="X118" i="4"/>
  <c r="W118" i="4"/>
  <c r="T118" i="4"/>
  <c r="Z117" i="4"/>
  <c r="Y117" i="4"/>
  <c r="X117" i="4"/>
  <c r="W117" i="4"/>
  <c r="T117" i="4" s="1"/>
  <c r="Z116" i="4"/>
  <c r="Y116" i="4"/>
  <c r="X116" i="4"/>
  <c r="W116" i="4"/>
  <c r="T116" i="4" s="1"/>
  <c r="Z115" i="4"/>
  <c r="Y115" i="4"/>
  <c r="X115" i="4"/>
  <c r="W115" i="4"/>
  <c r="T115" i="4" s="1"/>
  <c r="Z114" i="4"/>
  <c r="Y114" i="4"/>
  <c r="X114" i="4"/>
  <c r="W114" i="4"/>
  <c r="T114" i="4" s="1"/>
  <c r="Z113" i="4"/>
  <c r="Y113" i="4"/>
  <c r="X113" i="4"/>
  <c r="W113" i="4"/>
  <c r="T113" i="4" s="1"/>
  <c r="Z112" i="4"/>
  <c r="Y112" i="4"/>
  <c r="X112" i="4"/>
  <c r="T112" i="4"/>
  <c r="Z111" i="4"/>
  <c r="Y111" i="4"/>
  <c r="X111" i="4"/>
  <c r="T111" i="4"/>
  <c r="Z110" i="4"/>
  <c r="Y110" i="4"/>
  <c r="X110" i="4"/>
  <c r="T110" i="4"/>
  <c r="Z109" i="4"/>
  <c r="Y109" i="4"/>
  <c r="X109" i="4"/>
  <c r="T109" i="4"/>
  <c r="Z108" i="4"/>
  <c r="Y108" i="4"/>
  <c r="X108" i="4"/>
  <c r="T108" i="4"/>
  <c r="Z107" i="4"/>
  <c r="Y107" i="4"/>
  <c r="X107" i="4"/>
  <c r="T107" i="4"/>
  <c r="Z106" i="4"/>
  <c r="Y106" i="4"/>
  <c r="X106" i="4"/>
  <c r="T106" i="4"/>
  <c r="Z105" i="4"/>
  <c r="Y105" i="4"/>
  <c r="X105" i="4"/>
  <c r="T105" i="4"/>
  <c r="Z104" i="4"/>
  <c r="Y104" i="4"/>
  <c r="X104" i="4"/>
  <c r="T104" i="4"/>
  <c r="Z103" i="4"/>
  <c r="Y103" i="4"/>
  <c r="X103" i="4"/>
  <c r="T103" i="4"/>
  <c r="Z102" i="4"/>
  <c r="Y102" i="4"/>
  <c r="X102" i="4"/>
  <c r="T102" i="4"/>
  <c r="Z101" i="4"/>
  <c r="Y101" i="4"/>
  <c r="X101" i="4"/>
  <c r="T101" i="4"/>
  <c r="Z100" i="4"/>
  <c r="Y100" i="4"/>
  <c r="X100" i="4"/>
  <c r="T100" i="4"/>
  <c r="Z99" i="4"/>
  <c r="Y99" i="4"/>
  <c r="X99" i="4"/>
  <c r="W99" i="4"/>
  <c r="T99" i="4"/>
  <c r="Z98" i="4"/>
  <c r="Y98" i="4"/>
  <c r="X98" i="4"/>
  <c r="W98" i="4"/>
  <c r="T98" i="4"/>
  <c r="Z97" i="4"/>
  <c r="Y97" i="4"/>
  <c r="X97" i="4"/>
  <c r="W97" i="4"/>
  <c r="T97" i="4" s="1"/>
  <c r="Z96" i="4"/>
  <c r="Y96" i="4"/>
  <c r="X96" i="4"/>
  <c r="T96" i="4"/>
  <c r="Z95" i="4"/>
  <c r="Y95" i="4"/>
  <c r="X95" i="4"/>
  <c r="W95" i="4"/>
  <c r="T95" i="4" s="1"/>
  <c r="Z94" i="4"/>
  <c r="Y94" i="4"/>
  <c r="X94" i="4"/>
  <c r="T94" i="4"/>
  <c r="Z93" i="4"/>
  <c r="Y93" i="4"/>
  <c r="X93" i="4"/>
  <c r="W93" i="4"/>
  <c r="T93" i="4" s="1"/>
  <c r="Z92" i="4"/>
  <c r="Y92" i="4"/>
  <c r="X92" i="4"/>
  <c r="T92" i="4"/>
  <c r="Z91" i="4"/>
  <c r="Y91" i="4"/>
  <c r="X91" i="4"/>
  <c r="T91" i="4"/>
  <c r="Z90" i="4"/>
  <c r="T90" i="4"/>
  <c r="Y89" i="4"/>
  <c r="X89" i="4"/>
  <c r="T89" i="4"/>
  <c r="Z88" i="4"/>
  <c r="Y88" i="4"/>
  <c r="X88" i="4"/>
  <c r="W88" i="4"/>
  <c r="T88" i="4" s="1"/>
  <c r="Z87" i="4"/>
  <c r="X87" i="4"/>
  <c r="W87" i="4"/>
  <c r="T87" i="4" s="1"/>
  <c r="Z86" i="4"/>
  <c r="Y86" i="4"/>
  <c r="X86" i="4"/>
  <c r="W86" i="4"/>
  <c r="T86" i="4" s="1"/>
  <c r="Z85" i="4"/>
  <c r="Y85" i="4"/>
  <c r="X85" i="4"/>
  <c r="W85" i="4"/>
  <c r="T85" i="4" s="1"/>
  <c r="Z84" i="4"/>
  <c r="Y84" i="4"/>
  <c r="X84" i="4"/>
  <c r="W84" i="4"/>
  <c r="T84" i="4" s="1"/>
  <c r="Z83" i="4"/>
  <c r="Y83" i="4"/>
  <c r="X83" i="4"/>
  <c r="W83" i="4"/>
  <c r="T83" i="4" s="1"/>
  <c r="Z82" i="4"/>
  <c r="Y82" i="4"/>
  <c r="X82" i="4"/>
  <c r="W82" i="4"/>
  <c r="T82" i="4" s="1"/>
  <c r="Z81" i="4"/>
  <c r="Y81" i="4"/>
  <c r="X81" i="4"/>
  <c r="T81" i="4"/>
  <c r="Z80" i="4"/>
  <c r="Y80" i="4"/>
  <c r="X80" i="4"/>
  <c r="T80" i="4"/>
  <c r="Z79" i="4"/>
  <c r="Y79" i="4"/>
  <c r="X79" i="4"/>
  <c r="T79" i="4"/>
  <c r="Z78" i="4"/>
  <c r="Y78" i="4"/>
  <c r="X78" i="4"/>
  <c r="T78" i="4"/>
  <c r="Z77" i="4"/>
  <c r="Y77" i="4"/>
  <c r="T77" i="4"/>
  <c r="Z76" i="4"/>
  <c r="Y76" i="4"/>
  <c r="X76" i="4"/>
  <c r="T76" i="4"/>
  <c r="Z75" i="4"/>
  <c r="Y75" i="4"/>
  <c r="X75" i="4"/>
  <c r="T75" i="4"/>
  <c r="Z74" i="4"/>
  <c r="Y74" i="4"/>
  <c r="X74" i="4"/>
  <c r="T74" i="4"/>
  <c r="Z73" i="4"/>
  <c r="Y73" i="4"/>
  <c r="X73" i="4"/>
  <c r="W73" i="4"/>
  <c r="T73" i="4" s="1"/>
  <c r="Z72" i="4"/>
  <c r="Y72" i="4"/>
  <c r="X72" i="4"/>
  <c r="T72" i="4"/>
  <c r="Z71" i="4"/>
  <c r="Y71" i="4"/>
  <c r="X71" i="4"/>
  <c r="T71" i="4"/>
  <c r="Z70" i="4"/>
  <c r="T70" i="4"/>
  <c r="Z69" i="4"/>
  <c r="Y69" i="4"/>
  <c r="X69" i="4"/>
  <c r="T69" i="4"/>
  <c r="Z68" i="4"/>
  <c r="Y68" i="4"/>
  <c r="X68" i="4"/>
  <c r="T68" i="4"/>
  <c r="Z67" i="4"/>
  <c r="Y67" i="4"/>
  <c r="X67" i="4"/>
  <c r="T67" i="4"/>
  <c r="Z66" i="4"/>
  <c r="Y66" i="4"/>
  <c r="X66" i="4"/>
  <c r="T66" i="4"/>
  <c r="Z65" i="4"/>
  <c r="Y65" i="4"/>
  <c r="X65" i="4"/>
  <c r="W65" i="4"/>
  <c r="T65" i="4" s="1"/>
  <c r="Z64" i="4"/>
  <c r="Y64" i="4"/>
  <c r="X64" i="4"/>
  <c r="T64" i="4"/>
  <c r="Z63" i="4"/>
  <c r="Y63" i="4"/>
  <c r="X63" i="4"/>
  <c r="W63" i="4"/>
  <c r="T63" i="4" s="1"/>
  <c r="Z62" i="4"/>
  <c r="Y62" i="4"/>
  <c r="T62" i="4"/>
  <c r="Z61" i="4"/>
  <c r="Y61" i="4"/>
  <c r="X61" i="4"/>
  <c r="T61" i="4"/>
  <c r="Z60" i="4"/>
  <c r="Y60" i="4"/>
  <c r="X60" i="4"/>
  <c r="T60" i="4"/>
  <c r="Z59" i="4"/>
  <c r="Y59" i="4"/>
  <c r="X59" i="4"/>
  <c r="T59" i="4"/>
  <c r="Z58" i="4"/>
  <c r="Y58" i="4"/>
  <c r="X58" i="4"/>
  <c r="W58" i="4"/>
  <c r="T58" i="4" s="1"/>
  <c r="Z57" i="4"/>
  <c r="Y57" i="4"/>
  <c r="T57" i="4"/>
  <c r="Z56" i="4"/>
  <c r="Y56" i="4"/>
  <c r="X56" i="4"/>
  <c r="T56" i="4"/>
  <c r="Z55" i="4"/>
  <c r="Y55" i="4"/>
  <c r="X55" i="4"/>
  <c r="W55" i="4"/>
  <c r="T55" i="4" s="1"/>
  <c r="Z54" i="4"/>
  <c r="Y54" i="4"/>
  <c r="X54" i="4"/>
  <c r="W54" i="4"/>
  <c r="T54" i="4"/>
  <c r="Z53" i="4"/>
  <c r="Y53" i="4"/>
  <c r="X53" i="4"/>
  <c r="W53" i="4"/>
  <c r="T53" i="4"/>
  <c r="Z52" i="4"/>
  <c r="Y52" i="4"/>
  <c r="X52" i="4"/>
  <c r="W52" i="4"/>
  <c r="T52" i="4"/>
  <c r="Z51" i="4"/>
  <c r="Y51" i="4"/>
  <c r="W51" i="4"/>
  <c r="T51" i="4"/>
  <c r="Z50" i="4"/>
  <c r="Y50" i="4"/>
  <c r="X50" i="4"/>
  <c r="T50" i="4"/>
  <c r="Z49" i="4"/>
  <c r="Y49" i="4"/>
  <c r="X49" i="4"/>
  <c r="W49" i="4"/>
  <c r="T49" i="4" s="1"/>
  <c r="Z48" i="4"/>
  <c r="Y48" i="4"/>
  <c r="X48" i="4"/>
  <c r="W48" i="4"/>
  <c r="T48" i="4" s="1"/>
  <c r="Z47" i="4"/>
  <c r="Y47" i="4"/>
  <c r="X47" i="4"/>
  <c r="W47" i="4"/>
  <c r="T47" i="4" s="1"/>
  <c r="Z46" i="4"/>
  <c r="Y46" i="4"/>
  <c r="X46" i="4"/>
  <c r="W46" i="4"/>
  <c r="T46" i="4" s="1"/>
  <c r="Z45" i="4"/>
  <c r="Y45" i="4"/>
  <c r="X45" i="4"/>
  <c r="W45" i="4"/>
  <c r="T45" i="4" s="1"/>
  <c r="Z44" i="4"/>
  <c r="Y44" i="4"/>
  <c r="X44" i="4"/>
  <c r="W44" i="4"/>
  <c r="T44" i="4" s="1"/>
  <c r="Z43" i="4"/>
  <c r="Y43" i="4"/>
  <c r="X43" i="4"/>
  <c r="W43" i="4"/>
  <c r="T43" i="4" s="1"/>
  <c r="Z42" i="4"/>
  <c r="Y42" i="4"/>
  <c r="X42" i="4"/>
  <c r="W42" i="4"/>
  <c r="T42" i="4" s="1"/>
  <c r="Z41" i="4"/>
  <c r="Y41" i="4"/>
  <c r="X41" i="4"/>
  <c r="W41" i="4"/>
  <c r="T41" i="4" s="1"/>
  <c r="Z40" i="4"/>
  <c r="Y40" i="4"/>
  <c r="X40" i="4"/>
  <c r="W40" i="4"/>
  <c r="T40" i="4" s="1"/>
  <c r="Z39" i="4"/>
  <c r="Y39" i="4"/>
  <c r="X39" i="4"/>
  <c r="W39" i="4"/>
  <c r="T39" i="4" s="1"/>
  <c r="Z38" i="4"/>
  <c r="Y38" i="4"/>
  <c r="X38" i="4"/>
  <c r="W38" i="4"/>
  <c r="T38" i="4" s="1"/>
  <c r="Z37" i="4"/>
  <c r="Y37" i="4"/>
  <c r="X37" i="4"/>
  <c r="W37" i="4"/>
  <c r="T37" i="4" s="1"/>
  <c r="Z36" i="4"/>
  <c r="Y36" i="4"/>
  <c r="X36" i="4"/>
  <c r="W36" i="4"/>
  <c r="T36" i="4" s="1"/>
  <c r="Z35" i="4"/>
  <c r="Y35" i="4"/>
  <c r="X35" i="4"/>
  <c r="W35" i="4"/>
  <c r="T35" i="4" s="1"/>
  <c r="Z34" i="4"/>
  <c r="Y34" i="4"/>
  <c r="X34" i="4"/>
  <c r="W34" i="4"/>
  <c r="T34" i="4" s="1"/>
  <c r="Z33" i="4"/>
  <c r="Y33" i="4"/>
  <c r="X33" i="4"/>
  <c r="W33" i="4"/>
  <c r="T33" i="4" s="1"/>
  <c r="Z32" i="4"/>
  <c r="Y32" i="4"/>
  <c r="X32" i="4"/>
  <c r="W32" i="4"/>
  <c r="T32" i="4" s="1"/>
  <c r="Z31" i="4"/>
  <c r="Y31" i="4"/>
  <c r="X31" i="4"/>
  <c r="W31" i="4"/>
  <c r="T31" i="4" s="1"/>
  <c r="Z30" i="4"/>
  <c r="Y30" i="4"/>
  <c r="X30" i="4"/>
  <c r="W30" i="4"/>
  <c r="T30" i="4" s="1"/>
  <c r="Z29" i="4"/>
  <c r="Y29" i="4"/>
  <c r="X29" i="4"/>
  <c r="W29" i="4"/>
  <c r="T29" i="4" s="1"/>
  <c r="Z28" i="4"/>
  <c r="Y28" i="4"/>
  <c r="X28" i="4"/>
  <c r="W28" i="4"/>
  <c r="T28" i="4" s="1"/>
  <c r="Z27" i="4"/>
  <c r="Y27" i="4"/>
  <c r="X27" i="4"/>
  <c r="W27" i="4"/>
  <c r="T27" i="4" s="1"/>
  <c r="Z26" i="4"/>
  <c r="Y26" i="4"/>
  <c r="X26" i="4"/>
  <c r="W26" i="4"/>
  <c r="T26" i="4" s="1"/>
  <c r="Z25" i="4"/>
  <c r="Y25" i="4"/>
  <c r="X25" i="4"/>
  <c r="W25" i="4"/>
  <c r="T25" i="4" s="1"/>
  <c r="Z24" i="4"/>
  <c r="Y24" i="4"/>
  <c r="X24" i="4"/>
  <c r="W24" i="4"/>
  <c r="T24" i="4" s="1"/>
  <c r="Z23" i="4"/>
  <c r="Y23" i="4"/>
  <c r="X23" i="4"/>
  <c r="W23" i="4"/>
  <c r="T23" i="4" s="1"/>
  <c r="Z22" i="4"/>
  <c r="Y22" i="4"/>
  <c r="X22" i="4"/>
  <c r="W22" i="4"/>
  <c r="T22" i="4" s="1"/>
  <c r="Z21" i="4"/>
  <c r="Y21" i="4"/>
  <c r="X21" i="4"/>
  <c r="W21" i="4"/>
  <c r="T21" i="4" s="1"/>
  <c r="Z20" i="4"/>
  <c r="Y20" i="4"/>
  <c r="X20" i="4"/>
  <c r="W20" i="4"/>
  <c r="T20" i="4" s="1"/>
  <c r="Z19" i="4"/>
  <c r="Y19" i="4"/>
  <c r="X19" i="4"/>
  <c r="W19" i="4"/>
  <c r="T19" i="4" s="1"/>
  <c r="Z18" i="4"/>
  <c r="Y18" i="4"/>
  <c r="X18" i="4"/>
  <c r="W18" i="4"/>
  <c r="T18" i="4" s="1"/>
  <c r="Z17" i="4"/>
  <c r="Y17" i="4"/>
  <c r="X17" i="4"/>
  <c r="W17" i="4"/>
  <c r="T17" i="4" s="1"/>
  <c r="Z16" i="4"/>
  <c r="Y16" i="4"/>
  <c r="X16" i="4"/>
  <c r="W16" i="4"/>
  <c r="T16" i="4" s="1"/>
  <c r="Z15" i="4"/>
  <c r="Y15" i="4"/>
  <c r="X15" i="4"/>
  <c r="W15" i="4"/>
  <c r="T15" i="4" s="1"/>
  <c r="Z14" i="4"/>
  <c r="Y14" i="4"/>
  <c r="X14" i="4"/>
  <c r="W14" i="4"/>
  <c r="T14" i="4" s="1"/>
  <c r="Z13" i="4"/>
  <c r="Y13" i="4"/>
  <c r="X13" i="4"/>
  <c r="W13" i="4"/>
  <c r="T13" i="4" s="1"/>
  <c r="Z12" i="4"/>
  <c r="Y12" i="4"/>
  <c r="X12" i="4"/>
  <c r="W12" i="4"/>
  <c r="T12" i="4" s="1"/>
  <c r="Z11" i="4"/>
  <c r="Y11" i="4"/>
  <c r="X11" i="4"/>
  <c r="W11" i="4"/>
  <c r="T11" i="4" s="1"/>
  <c r="Z10" i="4"/>
  <c r="W10" i="4"/>
  <c r="T10" i="4" s="1"/>
  <c r="Z9" i="4"/>
  <c r="Y9" i="4"/>
  <c r="X9" i="4"/>
  <c r="W9" i="4"/>
  <c r="T9" i="4" s="1"/>
  <c r="Z8" i="4"/>
  <c r="Y8" i="4"/>
  <c r="X8" i="4"/>
  <c r="W8" i="4"/>
  <c r="T8" i="4" s="1"/>
  <c r="X1000" i="1"/>
  <c r="W1000" i="1" s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X999" i="1"/>
  <c r="W999" i="1" s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X998" i="1"/>
  <c r="W998" i="1" s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X997" i="1"/>
  <c r="W997" i="1" s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X996" i="1"/>
  <c r="W996" i="1" s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X995" i="1"/>
  <c r="W995" i="1" s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X994" i="1"/>
  <c r="W994" i="1" s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X993" i="1"/>
  <c r="W993" i="1" s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X992" i="1"/>
  <c r="W992" i="1" s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X991" i="1"/>
  <c r="W991" i="1" s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X990" i="1"/>
  <c r="W990" i="1" s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X989" i="1"/>
  <c r="W989" i="1" s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X988" i="1"/>
  <c r="W988" i="1" s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X987" i="1"/>
  <c r="W987" i="1" s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X986" i="1"/>
  <c r="W986" i="1" s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X985" i="1"/>
  <c r="W985" i="1" s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X984" i="1"/>
  <c r="W984" i="1" s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X983" i="1"/>
  <c r="W983" i="1" s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X982" i="1"/>
  <c r="W982" i="1" s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X981" i="1"/>
  <c r="W981" i="1" s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X980" i="1"/>
  <c r="W980" i="1" s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X979" i="1"/>
  <c r="W979" i="1" s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X978" i="1"/>
  <c r="W978" i="1" s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X977" i="1"/>
  <c r="W977" i="1" s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X976" i="1"/>
  <c r="W976" i="1" s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X975" i="1"/>
  <c r="W975" i="1" s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X974" i="1"/>
  <c r="W974" i="1" s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X973" i="1"/>
  <c r="W973" i="1" s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X972" i="1"/>
  <c r="W972" i="1" s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X971" i="1"/>
  <c r="W971" i="1" s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X970" i="1"/>
  <c r="W970" i="1" s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X969" i="1"/>
  <c r="W969" i="1" s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X968" i="1"/>
  <c r="W968" i="1" s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X967" i="1"/>
  <c r="W967" i="1" s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X966" i="1"/>
  <c r="W966" i="1" s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X965" i="1"/>
  <c r="W965" i="1" s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X964" i="1"/>
  <c r="W964" i="1" s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X963" i="1"/>
  <c r="W963" i="1" s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X962" i="1"/>
  <c r="W962" i="1" s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X961" i="1"/>
  <c r="W961" i="1" s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X960" i="1"/>
  <c r="W960" i="1" s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X959" i="1"/>
  <c r="W959" i="1" s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X958" i="1"/>
  <c r="W958" i="1" s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X957" i="1"/>
  <c r="W957" i="1" s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X956" i="1"/>
  <c r="W956" i="1" s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X955" i="1"/>
  <c r="W955" i="1" s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X954" i="1"/>
  <c r="W954" i="1" s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X953" i="1"/>
  <c r="W953" i="1" s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X952" i="1"/>
  <c r="W952" i="1" s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X951" i="1"/>
  <c r="W951" i="1" s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X950" i="1"/>
  <c r="W950" i="1" s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X949" i="1"/>
  <c r="W949" i="1" s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X948" i="1"/>
  <c r="W948" i="1" s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X947" i="1"/>
  <c r="W947" i="1" s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X946" i="1"/>
  <c r="W946" i="1" s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X945" i="1"/>
  <c r="W945" i="1" s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X944" i="1"/>
  <c r="W944" i="1" s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X943" i="1"/>
  <c r="W943" i="1" s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X942" i="1"/>
  <c r="W942" i="1" s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X941" i="1"/>
  <c r="W941" i="1" s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X940" i="1"/>
  <c r="W940" i="1" s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X939" i="1"/>
  <c r="W939" i="1" s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X938" i="1"/>
  <c r="W938" i="1" s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X937" i="1"/>
  <c r="W937" i="1" s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X936" i="1"/>
  <c r="W936" i="1" s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X935" i="1"/>
  <c r="W935" i="1" s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X934" i="1"/>
  <c r="W934" i="1" s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X933" i="1"/>
  <c r="W933" i="1" s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X932" i="1"/>
  <c r="W932" i="1" s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X931" i="1"/>
  <c r="W931" i="1" s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X930" i="1"/>
  <c r="W930" i="1" s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X929" i="1"/>
  <c r="W929" i="1" s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X928" i="1"/>
  <c r="W928" i="1" s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X927" i="1"/>
  <c r="W927" i="1" s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X926" i="1"/>
  <c r="W926" i="1" s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X925" i="1"/>
  <c r="W925" i="1" s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X924" i="1"/>
  <c r="W924" i="1" s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X923" i="1"/>
  <c r="W923" i="1" s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X922" i="1"/>
  <c r="W922" i="1" s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X921" i="1"/>
  <c r="W921" i="1" s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X920" i="1"/>
  <c r="W920" i="1" s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X919" i="1"/>
  <c r="W919" i="1" s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X918" i="1"/>
  <c r="W918" i="1" s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X917" i="1"/>
  <c r="W917" i="1" s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X916" i="1"/>
  <c r="W916" i="1" s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X915" i="1"/>
  <c r="W915" i="1" s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X914" i="1"/>
  <c r="W914" i="1" s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X913" i="1"/>
  <c r="W913" i="1" s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X912" i="1"/>
  <c r="W912" i="1" s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X911" i="1"/>
  <c r="W911" i="1" s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X910" i="1"/>
  <c r="W910" i="1" s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X909" i="1"/>
  <c r="W909" i="1" s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X908" i="1"/>
  <c r="W908" i="1" s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X907" i="1"/>
  <c r="W907" i="1" s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X906" i="1"/>
  <c r="W906" i="1" s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X905" i="1"/>
  <c r="W905" i="1" s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X904" i="1"/>
  <c r="W904" i="1" s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X903" i="1"/>
  <c r="W903" i="1" s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X902" i="1"/>
  <c r="W902" i="1" s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X901" i="1"/>
  <c r="W901" i="1" s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X900" i="1"/>
  <c r="W900" i="1" s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X899" i="1"/>
  <c r="W899" i="1" s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X898" i="1"/>
  <c r="W898" i="1" s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X897" i="1"/>
  <c r="W897" i="1" s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X896" i="1"/>
  <c r="W896" i="1" s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X895" i="1"/>
  <c r="W895" i="1" s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X894" i="1"/>
  <c r="W894" i="1" s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X893" i="1"/>
  <c r="W893" i="1" s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X892" i="1"/>
  <c r="W892" i="1" s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X891" i="1"/>
  <c r="W891" i="1" s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X890" i="1"/>
  <c r="W890" i="1" s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X889" i="1"/>
  <c r="W889" i="1" s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X888" i="1"/>
  <c r="W888" i="1" s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X887" i="1"/>
  <c r="W887" i="1" s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X886" i="1"/>
  <c r="W886" i="1" s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X885" i="1"/>
  <c r="W885" i="1" s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X884" i="1"/>
  <c r="W884" i="1" s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X883" i="1"/>
  <c r="W883" i="1" s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X882" i="1"/>
  <c r="W882" i="1" s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X881" i="1"/>
  <c r="W881" i="1" s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X880" i="1"/>
  <c r="W880" i="1" s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X879" i="1"/>
  <c r="W879" i="1" s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X878" i="1"/>
  <c r="W878" i="1" s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X877" i="1"/>
  <c r="W877" i="1" s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X876" i="1"/>
  <c r="W876" i="1" s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X875" i="1"/>
  <c r="W875" i="1" s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X874" i="1"/>
  <c r="W874" i="1" s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X873" i="1"/>
  <c r="W873" i="1" s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X872" i="1"/>
  <c r="W872" i="1" s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X871" i="1"/>
  <c r="W871" i="1" s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X870" i="1"/>
  <c r="W870" i="1" s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X869" i="1"/>
  <c r="W869" i="1" s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X868" i="1"/>
  <c r="W868" i="1" s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X867" i="1"/>
  <c r="W867" i="1" s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X866" i="1"/>
  <c r="W866" i="1" s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X865" i="1"/>
  <c r="W865" i="1" s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X864" i="1"/>
  <c r="W864" i="1" s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X863" i="1"/>
  <c r="W863" i="1" s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X862" i="1"/>
  <c r="W862" i="1" s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X861" i="1"/>
  <c r="W861" i="1" s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X860" i="1"/>
  <c r="W860" i="1" s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X859" i="1"/>
  <c r="W859" i="1" s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X858" i="1"/>
  <c r="W858" i="1" s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X857" i="1"/>
  <c r="W857" i="1" s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X856" i="1"/>
  <c r="W856" i="1" s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X855" i="1"/>
  <c r="W855" i="1" s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X854" i="1"/>
  <c r="W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X853" i="1"/>
  <c r="W853" i="1" s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X852" i="1"/>
  <c r="W852" i="1" s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X851" i="1"/>
  <c r="W851" i="1" s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X850" i="1"/>
  <c r="W850" i="1" s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X849" i="1"/>
  <c r="W849" i="1" s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X848" i="1"/>
  <c r="W848" i="1" s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X847" i="1"/>
  <c r="W847" i="1" s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X846" i="1"/>
  <c r="W846" i="1" s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X845" i="1"/>
  <c r="W845" i="1" s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X844" i="1"/>
  <c r="W844" i="1" s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X843" i="1"/>
  <c r="W843" i="1" s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X842" i="1"/>
  <c r="W842" i="1" s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X841" i="1"/>
  <c r="W841" i="1" s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X840" i="1"/>
  <c r="W840" i="1" s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X839" i="1"/>
  <c r="W839" i="1" s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X838" i="1"/>
  <c r="W838" i="1" s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X837" i="1"/>
  <c r="W837" i="1" s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X836" i="1"/>
  <c r="W836" i="1" s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X835" i="1"/>
  <c r="W835" i="1" s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X834" i="1"/>
  <c r="W834" i="1" s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X833" i="1"/>
  <c r="W833" i="1" s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X832" i="1"/>
  <c r="W832" i="1" s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X831" i="1"/>
  <c r="W831" i="1" s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X830" i="1"/>
  <c r="W830" i="1" s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X829" i="1"/>
  <c r="W829" i="1" s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X828" i="1"/>
  <c r="W828" i="1" s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X827" i="1"/>
  <c r="W827" i="1" s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X826" i="1"/>
  <c r="W826" i="1" s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X825" i="1"/>
  <c r="W825" i="1" s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X824" i="1"/>
  <c r="W824" i="1" s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X823" i="1"/>
  <c r="W823" i="1" s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X822" i="1"/>
  <c r="W822" i="1" s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X821" i="1"/>
  <c r="W821" i="1" s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X820" i="1"/>
  <c r="W820" i="1" s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X819" i="1"/>
  <c r="W819" i="1" s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X818" i="1"/>
  <c r="W818" i="1" s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X817" i="1"/>
  <c r="W817" i="1" s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X816" i="1"/>
  <c r="W816" i="1" s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X815" i="1"/>
  <c r="W815" i="1" s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X814" i="1"/>
  <c r="W814" i="1" s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X813" i="1"/>
  <c r="W813" i="1" s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X812" i="1"/>
  <c r="W812" i="1" s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X811" i="1"/>
  <c r="W811" i="1" s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X810" i="1"/>
  <c r="W810" i="1" s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X809" i="1"/>
  <c r="W809" i="1" s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X808" i="1"/>
  <c r="W808" i="1" s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X807" i="1"/>
  <c r="W807" i="1" s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X806" i="1"/>
  <c r="W806" i="1" s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X805" i="1"/>
  <c r="W805" i="1" s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X804" i="1"/>
  <c r="W804" i="1" s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X803" i="1"/>
  <c r="W803" i="1" s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X802" i="1"/>
  <c r="W802" i="1" s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X801" i="1"/>
  <c r="W801" i="1" s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X800" i="1"/>
  <c r="W800" i="1" s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X799" i="1"/>
  <c r="W799" i="1" s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X798" i="1"/>
  <c r="W798" i="1" s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X797" i="1"/>
  <c r="W797" i="1" s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X796" i="1"/>
  <c r="W796" i="1" s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X795" i="1"/>
  <c r="W795" i="1" s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X794" i="1"/>
  <c r="W794" i="1" s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X793" i="1"/>
  <c r="W793" i="1" s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X792" i="1"/>
  <c r="W792" i="1" s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X791" i="1"/>
  <c r="W791" i="1" s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X790" i="1"/>
  <c r="W790" i="1" s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X789" i="1"/>
  <c r="W789" i="1" s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X788" i="1"/>
  <c r="W788" i="1" s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X787" i="1"/>
  <c r="W787" i="1" s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X786" i="1"/>
  <c r="W786" i="1" s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X785" i="1"/>
  <c r="W785" i="1" s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X784" i="1"/>
  <c r="W784" i="1" s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X783" i="1"/>
  <c r="W783" i="1" s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X782" i="1"/>
  <c r="W782" i="1" s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X781" i="1"/>
  <c r="W781" i="1" s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X780" i="1"/>
  <c r="W780" i="1" s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X779" i="1"/>
  <c r="W779" i="1" s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X778" i="1"/>
  <c r="W778" i="1" s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X777" i="1"/>
  <c r="W777" i="1" s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X776" i="1"/>
  <c r="W776" i="1" s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X775" i="1"/>
  <c r="W775" i="1" s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X774" i="1"/>
  <c r="W774" i="1" s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X773" i="1"/>
  <c r="W773" i="1" s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X772" i="1"/>
  <c r="W772" i="1" s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X771" i="1"/>
  <c r="W771" i="1" s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X770" i="1"/>
  <c r="W770" i="1" s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X769" i="1"/>
  <c r="W769" i="1" s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X768" i="1"/>
  <c r="W768" i="1" s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X767" i="1"/>
  <c r="W767" i="1" s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X766" i="1"/>
  <c r="W766" i="1" s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X765" i="1"/>
  <c r="W765" i="1" s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X764" i="1"/>
  <c r="W764" i="1" s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X763" i="1"/>
  <c r="W763" i="1" s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X762" i="1"/>
  <c r="W762" i="1" s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X761" i="1"/>
  <c r="W761" i="1" s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X760" i="1"/>
  <c r="W760" i="1" s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X759" i="1"/>
  <c r="W759" i="1" s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X758" i="1"/>
  <c r="W758" i="1" s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X757" i="1"/>
  <c r="W757" i="1" s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X756" i="1"/>
  <c r="W756" i="1" s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X755" i="1"/>
  <c r="W755" i="1" s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X754" i="1"/>
  <c r="W754" i="1" s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X753" i="1"/>
  <c r="W753" i="1" s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X752" i="1"/>
  <c r="W752" i="1" s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X751" i="1"/>
  <c r="W751" i="1" s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X750" i="1"/>
  <c r="W750" i="1" s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X749" i="1"/>
  <c r="W749" i="1" s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X748" i="1"/>
  <c r="W748" i="1" s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X747" i="1"/>
  <c r="W747" i="1" s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X746" i="1"/>
  <c r="W746" i="1" s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X745" i="1"/>
  <c r="W745" i="1" s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X744" i="1"/>
  <c r="W744" i="1" s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X743" i="1"/>
  <c r="W743" i="1" s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X742" i="1"/>
  <c r="W742" i="1" s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X741" i="1"/>
  <c r="W741" i="1" s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X740" i="1"/>
  <c r="W740" i="1" s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X739" i="1"/>
  <c r="W739" i="1" s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X738" i="1"/>
  <c r="W738" i="1" s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X737" i="1"/>
  <c r="W737" i="1" s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X736" i="1"/>
  <c r="W736" i="1" s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X735" i="1"/>
  <c r="W735" i="1" s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X734" i="1"/>
  <c r="W734" i="1" s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X733" i="1"/>
  <c r="W733" i="1" s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X732" i="1"/>
  <c r="W732" i="1" s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X731" i="1"/>
  <c r="W731" i="1" s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X730" i="1"/>
  <c r="W730" i="1" s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X729" i="1"/>
  <c r="W729" i="1" s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X728" i="1"/>
  <c r="W728" i="1" s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X727" i="1"/>
  <c r="W727" i="1" s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X726" i="1"/>
  <c r="W726" i="1" s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X725" i="1"/>
  <c r="W725" i="1" s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X724" i="1"/>
  <c r="W724" i="1" s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X723" i="1"/>
  <c r="W723" i="1" s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X722" i="1"/>
  <c r="W722" i="1" s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X721" i="1"/>
  <c r="W721" i="1" s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X720" i="1"/>
  <c r="W720" i="1" s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X719" i="1"/>
  <c r="W719" i="1" s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X718" i="1"/>
  <c r="W718" i="1" s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X717" i="1"/>
  <c r="W717" i="1" s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X716" i="1"/>
  <c r="W716" i="1" s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X715" i="1"/>
  <c r="W715" i="1" s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X714" i="1"/>
  <c r="W714" i="1" s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X713" i="1"/>
  <c r="W713" i="1" s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X712" i="1"/>
  <c r="W712" i="1" s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X711" i="1"/>
  <c r="W711" i="1" s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X710" i="1"/>
  <c r="W710" i="1" s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X709" i="1"/>
  <c r="W709" i="1" s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X708" i="1"/>
  <c r="W708" i="1" s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X707" i="1"/>
  <c r="W707" i="1" s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X706" i="1"/>
  <c r="W706" i="1" s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X705" i="1"/>
  <c r="W705" i="1" s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X704" i="1"/>
  <c r="W704" i="1" s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X703" i="1"/>
  <c r="W703" i="1" s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X702" i="1"/>
  <c r="W702" i="1" s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X701" i="1"/>
  <c r="W701" i="1" s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X700" i="1"/>
  <c r="W700" i="1" s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X699" i="1"/>
  <c r="W699" i="1" s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X698" i="1"/>
  <c r="W698" i="1" s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X697" i="1"/>
  <c r="W697" i="1" s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X696" i="1"/>
  <c r="W696" i="1" s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X695" i="1"/>
  <c r="W695" i="1" s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X694" i="1"/>
  <c r="W694" i="1" s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X693" i="1"/>
  <c r="W693" i="1" s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X692" i="1"/>
  <c r="W692" i="1" s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X691" i="1"/>
  <c r="W691" i="1" s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X690" i="1"/>
  <c r="W690" i="1" s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X689" i="1"/>
  <c r="W689" i="1" s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X688" i="1"/>
  <c r="W688" i="1" s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X687" i="1"/>
  <c r="W687" i="1" s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X686" i="1"/>
  <c r="W686" i="1" s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X685" i="1"/>
  <c r="W685" i="1" s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X684" i="1"/>
  <c r="W684" i="1" s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X683" i="1"/>
  <c r="W683" i="1" s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X682" i="1"/>
  <c r="W682" i="1" s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X681" i="1"/>
  <c r="W681" i="1" s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X680" i="1"/>
  <c r="W680" i="1" s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X679" i="1"/>
  <c r="W679" i="1" s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X678" i="1"/>
  <c r="W678" i="1" s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X677" i="1"/>
  <c r="W677" i="1" s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X676" i="1"/>
  <c r="W676" i="1" s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X675" i="1"/>
  <c r="W675" i="1" s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X674" i="1"/>
  <c r="W674" i="1" s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X673" i="1"/>
  <c r="W673" i="1" s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X672" i="1"/>
  <c r="W672" i="1" s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X671" i="1"/>
  <c r="W671" i="1" s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X670" i="1"/>
  <c r="W670" i="1" s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X669" i="1"/>
  <c r="W669" i="1" s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X668" i="1"/>
  <c r="W668" i="1" s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X667" i="1"/>
  <c r="W667" i="1" s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X666" i="1"/>
  <c r="W666" i="1" s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X665" i="1"/>
  <c r="W665" i="1" s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X664" i="1"/>
  <c r="W664" i="1" s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X663" i="1"/>
  <c r="W663" i="1" s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X662" i="1"/>
  <c r="W662" i="1" s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X661" i="1"/>
  <c r="W661" i="1" s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X660" i="1"/>
  <c r="W660" i="1" s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X659" i="1"/>
  <c r="W659" i="1" s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X658" i="1"/>
  <c r="W658" i="1" s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X657" i="1"/>
  <c r="W657" i="1" s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X656" i="1"/>
  <c r="W656" i="1" s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X655" i="1"/>
  <c r="W655" i="1" s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X654" i="1"/>
  <c r="W654" i="1" s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X653" i="1"/>
  <c r="W653" i="1" s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X652" i="1"/>
  <c r="W652" i="1" s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X651" i="1"/>
  <c r="W651" i="1" s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X650" i="1"/>
  <c r="W650" i="1" s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X649" i="1"/>
  <c r="W649" i="1" s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X648" i="1"/>
  <c r="W648" i="1" s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X647" i="1"/>
  <c r="W647" i="1" s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X646" i="1"/>
  <c r="W646" i="1" s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X645" i="1"/>
  <c r="W645" i="1" s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X644" i="1"/>
  <c r="W644" i="1" s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X643" i="1"/>
  <c r="W643" i="1" s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X642" i="1"/>
  <c r="W642" i="1" s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X641" i="1"/>
  <c r="W641" i="1" s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X640" i="1"/>
  <c r="W640" i="1" s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X639" i="1"/>
  <c r="W639" i="1" s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X638" i="1"/>
  <c r="W638" i="1" s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X637" i="1"/>
  <c r="W637" i="1" s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X636" i="1"/>
  <c r="W636" i="1" s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X635" i="1"/>
  <c r="W635" i="1" s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X634" i="1"/>
  <c r="W634" i="1" s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X633" i="1"/>
  <c r="W633" i="1" s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X632" i="1"/>
  <c r="W632" i="1" s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X631" i="1"/>
  <c r="W631" i="1" s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X630" i="1"/>
  <c r="W630" i="1" s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X629" i="1"/>
  <c r="W629" i="1" s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X628" i="1"/>
  <c r="W628" i="1" s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X627" i="1"/>
  <c r="W627" i="1" s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X626" i="1"/>
  <c r="W626" i="1" s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X625" i="1"/>
  <c r="W625" i="1" s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X624" i="1"/>
  <c r="W624" i="1" s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X623" i="1"/>
  <c r="W623" i="1" s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X622" i="1"/>
  <c r="W622" i="1" s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X621" i="1"/>
  <c r="W621" i="1" s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X620" i="1"/>
  <c r="W620" i="1" s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X619" i="1"/>
  <c r="W619" i="1" s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X618" i="1"/>
  <c r="W618" i="1" s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X617" i="1"/>
  <c r="W617" i="1" s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X616" i="1"/>
  <c r="W616" i="1" s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X615" i="1"/>
  <c r="W615" i="1" s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X614" i="1"/>
  <c r="W614" i="1" s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X613" i="1"/>
  <c r="W613" i="1" s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X612" i="1"/>
  <c r="W612" i="1" s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X611" i="1"/>
  <c r="W611" i="1" s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X610" i="1"/>
  <c r="W610" i="1" s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X609" i="1"/>
  <c r="W609" i="1" s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X608" i="1"/>
  <c r="W608" i="1" s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X607" i="1"/>
  <c r="W607" i="1" s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X606" i="1"/>
  <c r="W606" i="1" s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X605" i="1"/>
  <c r="W605" i="1" s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X604" i="1"/>
  <c r="W604" i="1" s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X603" i="1"/>
  <c r="W603" i="1" s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X602" i="1"/>
  <c r="W602" i="1" s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X601" i="1"/>
  <c r="W601" i="1" s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X600" i="1"/>
  <c r="W600" i="1" s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X599" i="1"/>
  <c r="W599" i="1" s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X598" i="1"/>
  <c r="W598" i="1" s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X597" i="1"/>
  <c r="W597" i="1" s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X596" i="1"/>
  <c r="W596" i="1" s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X595" i="1"/>
  <c r="W595" i="1" s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X594" i="1"/>
  <c r="W594" i="1" s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X593" i="1"/>
  <c r="W593" i="1" s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X592" i="1"/>
  <c r="W592" i="1" s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X591" i="1"/>
  <c r="W591" i="1" s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X590" i="1"/>
  <c r="W590" i="1" s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X589" i="1"/>
  <c r="W589" i="1" s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X588" i="1"/>
  <c r="W588" i="1" s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X587" i="1"/>
  <c r="W587" i="1" s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X586" i="1"/>
  <c r="W586" i="1" s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X585" i="1"/>
  <c r="W585" i="1" s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X584" i="1"/>
  <c r="W584" i="1" s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X583" i="1"/>
  <c r="W583" i="1" s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X582" i="1"/>
  <c r="W582" i="1" s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X581" i="1"/>
  <c r="W581" i="1" s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X580" i="1"/>
  <c r="W580" i="1" s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X579" i="1"/>
  <c r="W579" i="1" s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X578" i="1"/>
  <c r="W578" i="1" s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X577" i="1"/>
  <c r="W577" i="1" s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X576" i="1"/>
  <c r="W576" i="1" s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X575" i="1"/>
  <c r="W575" i="1" s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X574" i="1"/>
  <c r="W574" i="1" s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X573" i="1"/>
  <c r="W573" i="1" s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X572" i="1"/>
  <c r="W572" i="1" s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X571" i="1"/>
  <c r="W571" i="1" s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X570" i="1"/>
  <c r="W570" i="1" s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X569" i="1"/>
  <c r="W569" i="1" s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X568" i="1"/>
  <c r="W568" i="1" s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X567" i="1"/>
  <c r="W567" i="1" s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X566" i="1"/>
  <c r="W566" i="1" s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X565" i="1"/>
  <c r="W565" i="1" s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X564" i="1"/>
  <c r="W564" i="1" s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X563" i="1"/>
  <c r="W563" i="1" s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X562" i="1"/>
  <c r="W562" i="1" s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X561" i="1"/>
  <c r="W561" i="1" s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X560" i="1"/>
  <c r="W560" i="1" s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X559" i="1"/>
  <c r="W559" i="1" s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X558" i="1"/>
  <c r="W558" i="1" s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X557" i="1"/>
  <c r="W557" i="1" s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X556" i="1"/>
  <c r="W556" i="1" s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X555" i="1"/>
  <c r="W555" i="1" s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X554" i="1"/>
  <c r="W554" i="1" s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X553" i="1"/>
  <c r="W553" i="1" s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X552" i="1"/>
  <c r="W552" i="1" s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X551" i="1"/>
  <c r="W551" i="1" s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X550" i="1"/>
  <c r="W550" i="1" s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X549" i="1"/>
  <c r="W549" i="1" s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X548" i="1"/>
  <c r="W548" i="1" s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X547" i="1"/>
  <c r="W547" i="1" s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X546" i="1"/>
  <c r="W546" i="1" s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X545" i="1"/>
  <c r="W545" i="1" s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X544" i="1"/>
  <c r="W544" i="1" s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X543" i="1"/>
  <c r="W543" i="1" s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X542" i="1"/>
  <c r="W542" i="1" s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X541" i="1"/>
  <c r="W541" i="1" s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X540" i="1"/>
  <c r="W540" i="1" s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X539" i="1"/>
  <c r="W539" i="1" s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X538" i="1"/>
  <c r="W538" i="1" s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X537" i="1"/>
  <c r="W537" i="1" s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X536" i="1"/>
  <c r="W536" i="1" s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X535" i="1"/>
  <c r="W535" i="1" s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X534" i="1"/>
  <c r="W534" i="1" s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X533" i="1"/>
  <c r="W533" i="1" s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X532" i="1"/>
  <c r="W532" i="1" s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X531" i="1"/>
  <c r="W531" i="1" s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X530" i="1"/>
  <c r="W530" i="1" s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X529" i="1"/>
  <c r="W529" i="1" s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X528" i="1"/>
  <c r="W528" i="1" s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X527" i="1"/>
  <c r="W527" i="1" s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X526" i="1"/>
  <c r="W526" i="1" s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X525" i="1"/>
  <c r="W525" i="1" s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X524" i="1"/>
  <c r="W524" i="1" s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X523" i="1"/>
  <c r="W523" i="1" s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X522" i="1"/>
  <c r="W522" i="1" s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X521" i="1"/>
  <c r="W521" i="1" s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X520" i="1"/>
  <c r="W520" i="1" s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X519" i="1"/>
  <c r="W519" i="1" s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X518" i="1"/>
  <c r="W518" i="1" s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X517" i="1"/>
  <c r="W517" i="1" s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X516" i="1"/>
  <c r="W516" i="1" s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X515" i="1"/>
  <c r="W515" i="1" s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X514" i="1"/>
  <c r="W514" i="1" s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X513" i="1"/>
  <c r="W513" i="1" s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X512" i="1"/>
  <c r="W512" i="1" s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X511" i="1"/>
  <c r="W511" i="1" s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X510" i="1"/>
  <c r="W510" i="1" s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X509" i="1"/>
  <c r="W509" i="1" s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X508" i="1"/>
  <c r="W508" i="1" s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X507" i="1"/>
  <c r="W507" i="1" s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X506" i="1"/>
  <c r="W506" i="1" s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X505" i="1"/>
  <c r="W505" i="1" s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X504" i="1"/>
  <c r="W504" i="1" s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X503" i="1"/>
  <c r="W503" i="1" s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X502" i="1"/>
  <c r="W502" i="1" s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X501" i="1"/>
  <c r="W501" i="1" s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X500" i="1"/>
  <c r="W500" i="1" s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X499" i="1"/>
  <c r="W499" i="1" s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X498" i="1"/>
  <c r="W498" i="1" s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X497" i="1"/>
  <c r="W497" i="1" s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X496" i="1"/>
  <c r="W496" i="1" s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X495" i="1"/>
  <c r="W495" i="1" s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X494" i="1"/>
  <c r="W494" i="1" s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X493" i="1"/>
  <c r="W493" i="1" s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X492" i="1"/>
  <c r="W492" i="1" s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X491" i="1"/>
  <c r="W491" i="1" s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X490" i="1"/>
  <c r="W490" i="1" s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X489" i="1"/>
  <c r="W489" i="1" s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X488" i="1"/>
  <c r="W488" i="1" s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X487" i="1"/>
  <c r="W487" i="1" s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X486" i="1"/>
  <c r="W486" i="1" s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X485" i="1"/>
  <c r="W485" i="1" s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X484" i="1"/>
  <c r="W484" i="1" s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X483" i="1"/>
  <c r="W483" i="1" s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X482" i="1"/>
  <c r="W482" i="1" s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X481" i="1"/>
  <c r="W481" i="1" s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X480" i="1"/>
  <c r="W480" i="1" s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X479" i="1"/>
  <c r="W479" i="1" s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X478" i="1"/>
  <c r="W478" i="1" s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X477" i="1"/>
  <c r="W477" i="1" s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X476" i="1"/>
  <c r="W476" i="1" s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X475" i="1"/>
  <c r="W475" i="1" s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X474" i="1"/>
  <c r="W474" i="1" s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X473" i="1"/>
  <c r="W473" i="1" s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X472" i="1"/>
  <c r="W472" i="1" s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X471" i="1"/>
  <c r="W471" i="1" s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X470" i="1"/>
  <c r="W470" i="1" s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X469" i="1"/>
  <c r="W469" i="1" s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X468" i="1"/>
  <c r="W468" i="1" s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X467" i="1"/>
  <c r="W467" i="1" s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X466" i="1"/>
  <c r="W466" i="1" s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X465" i="1"/>
  <c r="W465" i="1" s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X464" i="1"/>
  <c r="W464" i="1" s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X463" i="1"/>
  <c r="W463" i="1" s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X462" i="1"/>
  <c r="W462" i="1" s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X461" i="1"/>
  <c r="W461" i="1" s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X460" i="1"/>
  <c r="W460" i="1" s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X459" i="1"/>
  <c r="W459" i="1" s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X458" i="1"/>
  <c r="W458" i="1" s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X457" i="1"/>
  <c r="W457" i="1" s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X456" i="1"/>
  <c r="W456" i="1" s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X455" i="1"/>
  <c r="W455" i="1" s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X454" i="1"/>
  <c r="W454" i="1" s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X453" i="1"/>
  <c r="W453" i="1" s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X452" i="1"/>
  <c r="W452" i="1" s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X451" i="1"/>
  <c r="W451" i="1" s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X450" i="1"/>
  <c r="W450" i="1" s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X449" i="1"/>
  <c r="W449" i="1" s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X448" i="1"/>
  <c r="W448" i="1" s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X447" i="1"/>
  <c r="W447" i="1" s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X446" i="1"/>
  <c r="W446" i="1" s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X445" i="1"/>
  <c r="W445" i="1" s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X444" i="1"/>
  <c r="W444" i="1" s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X443" i="1"/>
  <c r="W443" i="1" s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X442" i="1"/>
  <c r="W442" i="1" s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X441" i="1"/>
  <c r="W441" i="1" s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X440" i="1"/>
  <c r="W440" i="1" s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X439" i="1"/>
  <c r="W439" i="1" s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X438" i="1"/>
  <c r="W438" i="1" s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X437" i="1"/>
  <c r="W437" i="1" s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X436" i="1"/>
  <c r="W436" i="1" s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X435" i="1"/>
  <c r="W435" i="1" s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X434" i="1"/>
  <c r="W434" i="1" s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X433" i="1"/>
  <c r="W433" i="1" s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X432" i="1"/>
  <c r="W432" i="1" s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X431" i="1"/>
  <c r="W431" i="1" s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X430" i="1"/>
  <c r="W430" i="1" s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X429" i="1"/>
  <c r="W429" i="1" s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X428" i="1"/>
  <c r="W428" i="1" s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X427" i="1"/>
  <c r="W427" i="1" s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X426" i="1"/>
  <c r="W426" i="1" s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X425" i="1"/>
  <c r="W425" i="1" s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X424" i="1"/>
  <c r="W424" i="1" s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X423" i="1"/>
  <c r="W423" i="1" s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X422" i="1"/>
  <c r="W422" i="1" s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X421" i="1"/>
  <c r="W421" i="1" s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X420" i="1"/>
  <c r="W420" i="1" s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X419" i="1"/>
  <c r="W419" i="1" s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X418" i="1"/>
  <c r="W418" i="1" s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X417" i="1"/>
  <c r="W417" i="1" s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X416" i="1"/>
  <c r="W416" i="1" s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X415" i="1"/>
  <c r="W415" i="1" s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X414" i="1"/>
  <c r="W414" i="1" s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X413" i="1"/>
  <c r="W413" i="1" s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X412" i="1"/>
  <c r="W412" i="1" s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X411" i="1"/>
  <c r="W411" i="1" s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X410" i="1"/>
  <c r="W410" i="1" s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X409" i="1"/>
  <c r="W409" i="1" s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X408" i="1"/>
  <c r="W408" i="1" s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X407" i="1"/>
  <c r="W407" i="1" s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X406" i="1"/>
  <c r="W406" i="1" s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X405" i="1"/>
  <c r="W405" i="1" s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X404" i="1"/>
  <c r="W404" i="1" s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X403" i="1"/>
  <c r="W403" i="1" s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X402" i="1"/>
  <c r="W402" i="1" s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X401" i="1"/>
  <c r="W401" i="1" s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X400" i="1"/>
  <c r="W400" i="1" s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X399" i="1"/>
  <c r="W399" i="1" s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X398" i="1"/>
  <c r="W398" i="1" s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X397" i="1"/>
  <c r="W397" i="1" s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X396" i="1"/>
  <c r="W396" i="1" s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X395" i="1"/>
  <c r="W395" i="1" s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X394" i="1"/>
  <c r="W394" i="1" s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X393" i="1"/>
  <c r="W393" i="1" s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X392" i="1"/>
  <c r="W392" i="1" s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X391" i="1"/>
  <c r="W391" i="1" s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X390" i="1"/>
  <c r="W390" i="1" s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X389" i="1"/>
  <c r="W389" i="1" s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X388" i="1"/>
  <c r="W388" i="1" s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X387" i="1"/>
  <c r="W387" i="1" s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X386" i="1"/>
  <c r="W386" i="1" s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X385" i="1"/>
  <c r="W385" i="1" s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X384" i="1"/>
  <c r="W384" i="1" s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X383" i="1"/>
  <c r="W383" i="1" s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X382" i="1"/>
  <c r="W382" i="1" s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X381" i="1"/>
  <c r="W381" i="1" s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X380" i="1"/>
  <c r="W380" i="1" s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X379" i="1"/>
  <c r="W379" i="1" s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X378" i="1"/>
  <c r="W378" i="1" s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X377" i="1"/>
  <c r="W377" i="1" s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X376" i="1"/>
  <c r="W376" i="1" s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X375" i="1"/>
  <c r="W375" i="1" s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X374" i="1"/>
  <c r="W374" i="1" s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X373" i="1"/>
  <c r="W373" i="1" s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X372" i="1"/>
  <c r="W372" i="1" s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X371" i="1"/>
  <c r="W371" i="1" s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X370" i="1"/>
  <c r="W370" i="1" s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X369" i="1"/>
  <c r="W369" i="1" s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X368" i="1"/>
  <c r="W368" i="1" s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X367" i="1"/>
  <c r="W367" i="1" s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X366" i="1"/>
  <c r="W366" i="1" s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X365" i="1"/>
  <c r="W365" i="1" s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X364" i="1"/>
  <c r="W364" i="1" s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X363" i="1"/>
  <c r="W363" i="1" s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X362" i="1"/>
  <c r="W362" i="1" s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X361" i="1"/>
  <c r="W361" i="1" s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X360" i="1"/>
  <c r="W360" i="1" s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X359" i="1"/>
  <c r="W359" i="1" s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X358" i="1"/>
  <c r="W358" i="1" s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X357" i="1"/>
  <c r="W357" i="1" s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X356" i="1"/>
  <c r="W356" i="1" s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X355" i="1"/>
  <c r="W355" i="1" s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X354" i="1"/>
  <c r="W354" i="1" s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X353" i="1"/>
  <c r="W353" i="1" s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X352" i="1"/>
  <c r="W352" i="1" s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X351" i="1"/>
  <c r="W351" i="1" s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X350" i="1"/>
  <c r="W350" i="1" s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X349" i="1"/>
  <c r="W349" i="1" s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X348" i="1"/>
  <c r="W348" i="1" s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X347" i="1"/>
  <c r="W347" i="1" s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X346" i="1"/>
  <c r="W346" i="1" s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X345" i="1"/>
  <c r="W345" i="1" s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X344" i="1"/>
  <c r="W344" i="1" s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X343" i="1"/>
  <c r="W343" i="1" s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X342" i="1"/>
  <c r="W342" i="1" s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X341" i="1"/>
  <c r="W341" i="1" s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X340" i="1"/>
  <c r="W340" i="1" s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X339" i="1"/>
  <c r="W339" i="1" s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X338" i="1"/>
  <c r="W338" i="1" s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X337" i="1"/>
  <c r="W337" i="1" s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X336" i="1"/>
  <c r="W336" i="1" s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X335" i="1"/>
  <c r="W335" i="1" s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X334" i="1"/>
  <c r="W334" i="1" s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X333" i="1"/>
  <c r="W333" i="1" s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X332" i="1"/>
  <c r="W332" i="1" s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X331" i="1"/>
  <c r="W331" i="1" s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X330" i="1"/>
  <c r="W330" i="1" s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X329" i="1"/>
  <c r="W329" i="1" s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X328" i="1"/>
  <c r="W328" i="1" s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X327" i="1"/>
  <c r="W327" i="1" s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X326" i="1"/>
  <c r="W326" i="1" s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X325" i="1"/>
  <c r="W325" i="1" s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X324" i="1"/>
  <c r="W324" i="1" s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X323" i="1"/>
  <c r="W323" i="1" s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X322" i="1"/>
  <c r="W322" i="1" s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X321" i="1"/>
  <c r="W321" i="1" s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X320" i="1"/>
  <c r="W320" i="1" s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X319" i="1"/>
  <c r="W319" i="1" s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X318" i="1"/>
  <c r="W318" i="1" s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X317" i="1"/>
  <c r="W317" i="1" s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X316" i="1"/>
  <c r="W316" i="1" s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X315" i="1"/>
  <c r="W315" i="1" s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X314" i="1"/>
  <c r="W314" i="1" s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X313" i="1"/>
  <c r="W313" i="1" s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X312" i="1"/>
  <c r="W312" i="1" s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X311" i="1"/>
  <c r="W311" i="1" s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X310" i="1"/>
  <c r="W310" i="1" s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X309" i="1"/>
  <c r="W309" i="1" s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X308" i="1"/>
  <c r="W308" i="1" s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X307" i="1"/>
  <c r="W307" i="1" s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X306" i="1"/>
  <c r="W306" i="1" s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X305" i="1"/>
  <c r="W305" i="1" s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X304" i="1"/>
  <c r="W304" i="1" s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X303" i="1"/>
  <c r="W303" i="1" s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X302" i="1"/>
  <c r="W302" i="1" s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X301" i="1"/>
  <c r="W301" i="1" s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X300" i="1"/>
  <c r="W300" i="1" s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X299" i="1"/>
  <c r="W299" i="1" s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X298" i="1"/>
  <c r="W298" i="1" s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X297" i="1"/>
  <c r="W297" i="1" s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X296" i="1"/>
  <c r="W296" i="1" s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X295" i="1"/>
  <c r="W295" i="1" s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X294" i="1"/>
  <c r="W294" i="1" s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X293" i="1"/>
  <c r="W293" i="1" s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X292" i="1"/>
  <c r="W292" i="1" s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X291" i="1"/>
  <c r="W291" i="1" s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X290" i="1"/>
  <c r="W290" i="1" s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X289" i="1"/>
  <c r="W289" i="1" s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X288" i="1"/>
  <c r="W288" i="1" s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X287" i="1"/>
  <c r="W287" i="1" s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X286" i="1"/>
  <c r="W286" i="1" s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X285" i="1"/>
  <c r="W285" i="1" s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X284" i="1"/>
  <c r="W284" i="1" s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X283" i="1"/>
  <c r="W283" i="1" s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X282" i="1"/>
  <c r="W282" i="1" s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X281" i="1"/>
  <c r="W281" i="1" s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X280" i="1"/>
  <c r="W280" i="1" s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X279" i="1"/>
  <c r="W279" i="1" s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X278" i="1"/>
  <c r="W278" i="1" s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X277" i="1"/>
  <c r="W277" i="1" s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X276" i="1"/>
  <c r="W276" i="1" s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X275" i="1"/>
  <c r="W275" i="1" s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X274" i="1"/>
  <c r="W274" i="1" s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X273" i="1"/>
  <c r="W273" i="1" s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X272" i="1"/>
  <c r="W272" i="1" s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X271" i="1"/>
  <c r="W271" i="1" s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X270" i="1"/>
  <c r="W270" i="1" s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X269" i="1"/>
  <c r="W269" i="1" s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X268" i="1"/>
  <c r="W268" i="1" s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X267" i="1"/>
  <c r="W267" i="1" s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X266" i="1"/>
  <c r="W266" i="1" s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X265" i="1"/>
  <c r="W265" i="1" s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X264" i="1"/>
  <c r="W264" i="1" s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X263" i="1"/>
  <c r="W263" i="1" s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X262" i="1"/>
  <c r="W262" i="1" s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X261" i="1"/>
  <c r="W261" i="1" s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X260" i="1"/>
  <c r="W260" i="1" s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X259" i="1"/>
  <c r="W259" i="1" s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X258" i="1"/>
  <c r="W258" i="1" s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X257" i="1"/>
  <c r="W257" i="1" s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X256" i="1"/>
  <c r="W256" i="1" s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X255" i="1"/>
  <c r="W255" i="1" s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X254" i="1"/>
  <c r="W254" i="1" s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X253" i="1"/>
  <c r="W253" i="1" s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X252" i="1"/>
  <c r="W252" i="1" s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X251" i="1"/>
  <c r="W251" i="1" s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X250" i="1"/>
  <c r="W250" i="1" s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X249" i="1"/>
  <c r="W249" i="1" s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X248" i="1"/>
  <c r="W248" i="1" s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X247" i="1"/>
  <c r="W247" i="1" s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X246" i="1"/>
  <c r="W246" i="1" s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X245" i="1"/>
  <c r="W245" i="1" s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X244" i="1"/>
  <c r="W244" i="1" s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X243" i="1"/>
  <c r="W243" i="1" s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X242" i="1"/>
  <c r="W242" i="1" s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X241" i="1"/>
  <c r="W241" i="1" s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X240" i="1"/>
  <c r="W240" i="1" s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X239" i="1"/>
  <c r="W239" i="1" s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X238" i="1"/>
  <c r="W238" i="1" s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X237" i="1"/>
  <c r="W237" i="1" s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X236" i="1"/>
  <c r="W236" i="1" s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X235" i="1"/>
  <c r="W235" i="1" s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X234" i="1"/>
  <c r="W234" i="1" s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X233" i="1"/>
  <c r="W233" i="1" s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X232" i="1"/>
  <c r="W232" i="1" s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X231" i="1"/>
  <c r="W231" i="1" s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X230" i="1"/>
  <c r="W230" i="1" s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X229" i="1"/>
  <c r="W229" i="1" s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X228" i="1"/>
  <c r="W228" i="1" s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X227" i="1"/>
  <c r="W227" i="1" s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X226" i="1"/>
  <c r="W226" i="1" s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X225" i="1"/>
  <c r="W225" i="1" s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X224" i="1"/>
  <c r="W224" i="1" s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X223" i="1"/>
  <c r="W223" i="1" s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X222" i="1"/>
  <c r="W222" i="1" s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X221" i="1"/>
  <c r="W221" i="1" s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X220" i="1"/>
  <c r="W220" i="1" s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X219" i="1"/>
  <c r="W219" i="1" s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X218" i="1"/>
  <c r="W218" i="1" s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X217" i="1"/>
  <c r="W217" i="1" s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X216" i="1"/>
  <c r="W216" i="1" s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X215" i="1"/>
  <c r="W215" i="1" s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X214" i="1"/>
  <c r="W214" i="1" s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X213" i="1"/>
  <c r="W213" i="1" s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X212" i="1"/>
  <c r="W212" i="1" s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X211" i="1"/>
  <c r="W211" i="1" s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X210" i="1"/>
  <c r="W210" i="1" s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X209" i="1"/>
  <c r="W209" i="1" s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X208" i="1"/>
  <c r="W208" i="1" s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X207" i="1"/>
  <c r="W207" i="1" s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X206" i="1"/>
  <c r="W206" i="1" s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X205" i="1"/>
  <c r="W205" i="1" s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X204" i="1"/>
  <c r="W204" i="1" s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X203" i="1"/>
  <c r="W203" i="1" s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X202" i="1"/>
  <c r="W202" i="1" s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X201" i="1"/>
  <c r="W201" i="1" s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X200" i="1"/>
  <c r="W200" i="1" s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X199" i="1"/>
  <c r="W199" i="1" s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X198" i="1"/>
  <c r="W198" i="1" s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X197" i="1"/>
  <c r="W197" i="1" s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X196" i="1"/>
  <c r="W196" i="1" s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X195" i="1"/>
  <c r="W195" i="1" s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X194" i="1"/>
  <c r="W194" i="1" s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X193" i="1"/>
  <c r="W193" i="1" s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X192" i="1"/>
  <c r="W192" i="1" s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X191" i="1"/>
  <c r="W191" i="1" s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X190" i="1"/>
  <c r="W190" i="1" s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X189" i="1"/>
  <c r="W189" i="1" s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X188" i="1"/>
  <c r="W188" i="1" s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X187" i="1"/>
  <c r="W187" i="1" s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X186" i="1"/>
  <c r="W186" i="1" s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X185" i="1"/>
  <c r="W185" i="1" s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X184" i="1"/>
  <c r="W184" i="1" s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X183" i="1"/>
  <c r="W183" i="1" s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X182" i="1"/>
  <c r="W182" i="1" s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X181" i="1"/>
  <c r="W181" i="1" s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X180" i="1"/>
  <c r="W180" i="1" s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X179" i="1"/>
  <c r="W179" i="1" s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X178" i="1"/>
  <c r="W178" i="1" s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X177" i="1"/>
  <c r="W177" i="1" s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X176" i="1"/>
  <c r="W176" i="1" s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X175" i="1"/>
  <c r="W175" i="1" s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X174" i="1"/>
  <c r="W174" i="1" s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X173" i="1"/>
  <c r="W173" i="1" s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X172" i="1"/>
  <c r="W172" i="1" s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X171" i="1"/>
  <c r="W171" i="1" s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X170" i="1"/>
  <c r="W170" i="1" s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X169" i="1"/>
  <c r="W169" i="1" s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X168" i="1"/>
  <c r="W168" i="1" s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X167" i="1"/>
  <c r="W167" i="1" s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X166" i="1"/>
  <c r="W166" i="1" s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X165" i="1"/>
  <c r="W165" i="1" s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X164" i="1"/>
  <c r="W164" i="1" s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X163" i="1"/>
  <c r="W163" i="1" s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X162" i="1"/>
  <c r="W162" i="1" s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X161" i="1"/>
  <c r="W161" i="1" s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X160" i="1"/>
  <c r="W160" i="1" s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X159" i="1"/>
  <c r="W159" i="1" s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X158" i="1"/>
  <c r="W158" i="1" s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X157" i="1"/>
  <c r="W157" i="1" s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X156" i="1"/>
  <c r="W156" i="1" s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X155" i="1"/>
  <c r="W155" i="1" s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X154" i="1"/>
  <c r="W154" i="1" s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X153" i="1"/>
  <c r="W153" i="1" s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X152" i="1"/>
  <c r="W152" i="1" s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X151" i="1"/>
  <c r="W151" i="1" s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X150" i="1"/>
  <c r="W150" i="1" s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X149" i="1"/>
  <c r="W149" i="1" s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X148" i="1"/>
  <c r="W148" i="1" s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X147" i="1"/>
  <c r="W147" i="1" s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X146" i="1"/>
  <c r="W146" i="1" s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X145" i="1"/>
  <c r="W145" i="1" s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X144" i="1"/>
  <c r="W144" i="1" s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X143" i="1"/>
  <c r="W143" i="1" s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X142" i="1"/>
  <c r="W142" i="1" s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X141" i="1"/>
  <c r="W141" i="1" s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X140" i="1"/>
  <c r="W140" i="1" s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X139" i="1"/>
  <c r="W139" i="1" s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X138" i="1"/>
  <c r="W138" i="1" s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X137" i="1"/>
  <c r="W137" i="1" s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X136" i="1"/>
  <c r="W136" i="1" s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X135" i="1"/>
  <c r="W135" i="1" s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X134" i="1"/>
  <c r="W134" i="1" s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X133" i="1"/>
  <c r="W133" i="1" s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X132" i="1"/>
  <c r="W132" i="1" s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X131" i="1"/>
  <c r="W131" i="1" s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X130" i="1"/>
  <c r="W130" i="1" s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X129" i="1"/>
  <c r="W129" i="1" s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X128" i="1"/>
  <c r="W128" i="1" s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X127" i="1"/>
  <c r="W127" i="1" s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X126" i="1"/>
  <c r="W126" i="1" s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X125" i="1"/>
  <c r="W125" i="1" s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X124" i="1"/>
  <c r="W124" i="1" s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X123" i="1"/>
  <c r="W123" i="1" s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X122" i="1"/>
  <c r="W122" i="1" s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L121" i="1"/>
  <c r="K121" i="1"/>
  <c r="J121" i="1"/>
  <c r="I121" i="1"/>
  <c r="H121" i="1"/>
  <c r="G121" i="1"/>
  <c r="E121" i="1"/>
  <c r="D121" i="1"/>
  <c r="C121" i="1"/>
  <c r="B121" i="1"/>
  <c r="A121" i="1"/>
  <c r="L120" i="1"/>
  <c r="K120" i="1"/>
  <c r="J120" i="1"/>
  <c r="I120" i="1"/>
  <c r="H120" i="1"/>
  <c r="G120" i="1"/>
  <c r="F120" i="1"/>
  <c r="E120" i="1"/>
  <c r="D120" i="1"/>
  <c r="B120" i="1"/>
  <c r="A120" i="1"/>
  <c r="L119" i="1"/>
  <c r="K119" i="1"/>
  <c r="J119" i="1"/>
  <c r="I119" i="1"/>
  <c r="H119" i="1"/>
  <c r="G119" i="1"/>
  <c r="E119" i="1"/>
  <c r="D119" i="1"/>
  <c r="C119" i="1"/>
  <c r="B119" i="1"/>
  <c r="A119" i="1"/>
  <c r="L118" i="1"/>
  <c r="K118" i="1"/>
  <c r="J118" i="1"/>
  <c r="I118" i="1"/>
  <c r="H118" i="1"/>
  <c r="G118" i="1"/>
  <c r="E118" i="1"/>
  <c r="D118" i="1"/>
  <c r="C118" i="1"/>
  <c r="B118" i="1"/>
  <c r="A118" i="1"/>
  <c r="L117" i="1"/>
  <c r="K117" i="1"/>
  <c r="J117" i="1"/>
  <c r="I117" i="1"/>
  <c r="H117" i="1"/>
  <c r="G117" i="1"/>
  <c r="F117" i="1"/>
  <c r="E117" i="1"/>
  <c r="D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L114" i="1"/>
  <c r="K114" i="1"/>
  <c r="J114" i="1"/>
  <c r="H114" i="1"/>
  <c r="G114" i="1"/>
  <c r="F114" i="1"/>
  <c r="E114" i="1"/>
  <c r="D114" i="1"/>
  <c r="C114" i="1"/>
  <c r="B114" i="1"/>
  <c r="A114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L89" i="1"/>
  <c r="K89" i="1"/>
  <c r="J89" i="1"/>
  <c r="I89" i="1"/>
  <c r="H89" i="1"/>
  <c r="G89" i="1"/>
  <c r="E89" i="1"/>
  <c r="D89" i="1"/>
  <c r="C89" i="1"/>
  <c r="B89" i="1"/>
  <c r="A89" i="1"/>
  <c r="L88" i="1"/>
  <c r="K88" i="1"/>
  <c r="J88" i="1"/>
  <c r="I88" i="1"/>
  <c r="H88" i="1"/>
  <c r="G88" i="1"/>
  <c r="E88" i="1"/>
  <c r="D88" i="1"/>
  <c r="C88" i="1"/>
  <c r="B88" i="1"/>
  <c r="A88" i="1"/>
  <c r="L87" i="1"/>
  <c r="K87" i="1"/>
  <c r="J87" i="1"/>
  <c r="H87" i="1"/>
  <c r="G87" i="1"/>
  <c r="F87" i="1"/>
  <c r="E87" i="1"/>
  <c r="D87" i="1"/>
  <c r="C87" i="1"/>
  <c r="B87" i="1"/>
  <c r="A87" i="1"/>
  <c r="L86" i="1"/>
  <c r="K86" i="1"/>
  <c r="J86" i="1"/>
  <c r="I86" i="1"/>
  <c r="H86" i="1"/>
  <c r="G86" i="1"/>
  <c r="E86" i="1"/>
  <c r="D86" i="1"/>
  <c r="C86" i="1"/>
  <c r="B86" i="1"/>
  <c r="A86" i="1"/>
  <c r="L85" i="1"/>
  <c r="K85" i="1"/>
  <c r="J85" i="1"/>
  <c r="H85" i="1"/>
  <c r="G85" i="1"/>
  <c r="F85" i="1"/>
  <c r="E85" i="1"/>
  <c r="D85" i="1"/>
  <c r="C85" i="1"/>
  <c r="B85" i="1"/>
  <c r="A85" i="1"/>
  <c r="L84" i="1"/>
  <c r="K84" i="1"/>
  <c r="J84" i="1"/>
  <c r="I84" i="1"/>
  <c r="H84" i="1"/>
  <c r="G84" i="1"/>
  <c r="E84" i="1"/>
  <c r="D84" i="1"/>
  <c r="C84" i="1"/>
  <c r="B84" i="1"/>
  <c r="A84" i="1"/>
  <c r="L83" i="1"/>
  <c r="K83" i="1"/>
  <c r="J83" i="1"/>
  <c r="I83" i="1"/>
  <c r="H83" i="1"/>
  <c r="G83" i="1"/>
  <c r="E83" i="1"/>
  <c r="D83" i="1"/>
  <c r="C83" i="1"/>
  <c r="B83" i="1"/>
  <c r="A83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L47" i="1"/>
  <c r="K47" i="1"/>
  <c r="J47" i="1"/>
  <c r="H47" i="1"/>
  <c r="G47" i="1"/>
  <c r="F47" i="1"/>
  <c r="E47" i="1"/>
  <c r="D47" i="1"/>
  <c r="C47" i="1"/>
  <c r="B47" i="1"/>
  <c r="A47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H32" i="1"/>
  <c r="G32" i="1"/>
  <c r="F32" i="1"/>
  <c r="E32" i="1"/>
  <c r="D32" i="1"/>
  <c r="C32" i="1"/>
  <c r="B32" i="1"/>
  <c r="A32" i="1"/>
  <c r="L31" i="1"/>
  <c r="K31" i="1"/>
  <c r="J31" i="1"/>
  <c r="H31" i="1"/>
  <c r="G31" i="1"/>
  <c r="F31" i="1"/>
  <c r="E31" i="1"/>
  <c r="D31" i="1"/>
  <c r="C31" i="1"/>
  <c r="B31" i="1"/>
  <c r="A31" i="1"/>
  <c r="L30" i="1"/>
  <c r="K30" i="1"/>
  <c r="J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L27" i="1"/>
  <c r="K27" i="1"/>
  <c r="J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L20" i="1"/>
  <c r="K20" i="1"/>
  <c r="J20" i="1"/>
  <c r="I20" i="1"/>
  <c r="H20" i="1"/>
  <c r="G20" i="1"/>
  <c r="F20" i="1"/>
  <c r="E20" i="1"/>
  <c r="D20" i="1"/>
  <c r="C20" i="1"/>
  <c r="B20" i="1"/>
  <c r="A20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U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U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U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U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X9" i="1"/>
  <c r="W9" i="1" s="1"/>
  <c r="U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E573" i="5" l="1"/>
  <c r="E703" i="5"/>
  <c r="F8" i="13"/>
  <c r="E135" i="5"/>
  <c r="E137" i="5"/>
  <c r="F136" i="5"/>
  <c r="E138" i="5"/>
  <c r="F475" i="5"/>
  <c r="E212" i="5"/>
  <c r="F583" i="5"/>
  <c r="E210" i="5"/>
  <c r="F246" i="5"/>
  <c r="E433" i="5"/>
  <c r="F194" i="5"/>
  <c r="F608" i="5"/>
  <c r="F65" i="5"/>
  <c r="E505" i="5"/>
  <c r="F34" i="5"/>
  <c r="E658" i="5"/>
  <c r="F102" i="5"/>
  <c r="F196" i="5"/>
  <c r="F156" i="5"/>
  <c r="F217" i="5"/>
  <c r="E473" i="5"/>
  <c r="E853" i="5"/>
  <c r="E896" i="5"/>
  <c r="F903" i="5"/>
  <c r="E435" i="5"/>
  <c r="F140" i="5"/>
  <c r="F166" i="5"/>
  <c r="F296" i="5"/>
  <c r="E303" i="5"/>
  <c r="F317" i="5"/>
  <c r="E509" i="5"/>
  <c r="F623" i="5"/>
  <c r="F680" i="5"/>
  <c r="E773" i="5"/>
  <c r="E828" i="5"/>
  <c r="F995" i="5"/>
  <c r="E413" i="5"/>
  <c r="F432" i="5"/>
  <c r="E498" i="5"/>
  <c r="F607" i="5"/>
  <c r="F895" i="5"/>
  <c r="E218" i="5"/>
  <c r="F503" i="5"/>
  <c r="F572" i="5"/>
  <c r="E707" i="5"/>
  <c r="F124" i="5"/>
  <c r="F391" i="5"/>
  <c r="F649" i="5"/>
  <c r="E744" i="5"/>
  <c r="F280" i="5"/>
  <c r="E282" i="5"/>
  <c r="E501" i="5"/>
  <c r="F736" i="5"/>
  <c r="E738" i="5"/>
  <c r="E785" i="5"/>
  <c r="F35" i="5"/>
  <c r="F51" i="5"/>
  <c r="F238" i="5"/>
  <c r="F438" i="5"/>
  <c r="F457" i="5"/>
  <c r="F605" i="5"/>
  <c r="E704" i="5"/>
  <c r="E706" i="5"/>
  <c r="F743" i="5"/>
  <c r="F961" i="5"/>
  <c r="F22" i="5"/>
  <c r="F80" i="5"/>
  <c r="F695" i="5"/>
  <c r="F888" i="5"/>
  <c r="F959" i="5"/>
  <c r="E195" i="5"/>
  <c r="E197" i="5"/>
  <c r="F356" i="5"/>
  <c r="F363" i="5"/>
  <c r="E401" i="5"/>
  <c r="E506" i="5"/>
  <c r="F520" i="5"/>
  <c r="E584" i="5"/>
  <c r="F220" i="5"/>
  <c r="F241" i="5"/>
  <c r="E279" i="5"/>
  <c r="E281" i="5"/>
  <c r="F735" i="5"/>
  <c r="E737" i="5"/>
  <c r="F81" i="5"/>
  <c r="F126" i="5"/>
  <c r="F230" i="5"/>
  <c r="E326" i="5"/>
  <c r="F496" i="5"/>
  <c r="O116" i="1"/>
  <c r="F75" i="5"/>
  <c r="F84" i="5"/>
  <c r="O96" i="1"/>
  <c r="M100" i="1"/>
  <c r="E123" i="5"/>
  <c r="E125" i="5"/>
  <c r="E325" i="5"/>
  <c r="F450" i="5"/>
  <c r="F472" i="5"/>
  <c r="F474" i="5"/>
  <c r="F497" i="5"/>
  <c r="E507" i="5"/>
  <c r="E606" i="5"/>
  <c r="E610" i="5"/>
  <c r="F673" i="5"/>
  <c r="E686" i="5"/>
  <c r="E717" i="5"/>
  <c r="E767" i="5"/>
  <c r="E851" i="5"/>
  <c r="O55" i="1"/>
  <c r="O43" i="1"/>
  <c r="F72" i="5"/>
  <c r="E258" i="5"/>
  <c r="E332" i="5"/>
  <c r="E369" i="5"/>
  <c r="F418" i="5"/>
  <c r="E493" i="5"/>
  <c r="E514" i="5"/>
  <c r="E516" i="5"/>
  <c r="F542" i="5"/>
  <c r="E551" i="5"/>
  <c r="F751" i="5"/>
  <c r="E779" i="5"/>
  <c r="E826" i="5"/>
  <c r="E847" i="5"/>
  <c r="E858" i="5"/>
  <c r="E865" i="5"/>
  <c r="F908" i="5"/>
  <c r="F915" i="5"/>
  <c r="O14" i="1"/>
  <c r="O27" i="1"/>
  <c r="F69" i="5"/>
  <c r="F110" i="5"/>
  <c r="E193" i="5"/>
  <c r="E270" i="5"/>
  <c r="F330" i="5"/>
  <c r="E334" i="5"/>
  <c r="E381" i="5"/>
  <c r="E455" i="5"/>
  <c r="F459" i="5"/>
  <c r="E593" i="5"/>
  <c r="E660" i="5"/>
  <c r="F700" i="5"/>
  <c r="E729" i="5"/>
  <c r="E740" i="5"/>
  <c r="E812" i="5"/>
  <c r="F856" i="5"/>
  <c r="E879" i="5"/>
  <c r="F886" i="5"/>
  <c r="E955" i="5"/>
  <c r="F997" i="5"/>
  <c r="E222" i="5"/>
  <c r="E224" i="5"/>
  <c r="E319" i="5"/>
  <c r="E386" i="5"/>
  <c r="E414" i="5"/>
  <c r="E464" i="5"/>
  <c r="E466" i="5"/>
  <c r="F500" i="5"/>
  <c r="E502" i="5"/>
  <c r="E504" i="5"/>
  <c r="F676" i="5"/>
  <c r="E696" i="5"/>
  <c r="E875" i="5"/>
  <c r="F25" i="5"/>
  <c r="E674" i="5"/>
  <c r="F685" i="5"/>
  <c r="F716" i="5"/>
  <c r="E850" i="5"/>
  <c r="E930" i="5"/>
  <c r="F944" i="5"/>
  <c r="F26" i="5"/>
  <c r="F106" i="5"/>
  <c r="E513" i="5"/>
  <c r="E543" i="5"/>
  <c r="E550" i="5"/>
  <c r="E564" i="5"/>
  <c r="F587" i="5"/>
  <c r="E668" i="5"/>
  <c r="E670" i="5"/>
  <c r="E752" i="5"/>
  <c r="F846" i="5"/>
  <c r="F907" i="5"/>
  <c r="E192" i="5"/>
  <c r="E333" i="5"/>
  <c r="E335" i="5"/>
  <c r="F440" i="5"/>
  <c r="F454" i="5"/>
  <c r="F456" i="5"/>
  <c r="E594" i="5"/>
  <c r="E601" i="5"/>
  <c r="F614" i="5"/>
  <c r="E679" i="5"/>
  <c r="F690" i="5"/>
  <c r="E699" i="5"/>
  <c r="E721" i="5"/>
  <c r="F728" i="5"/>
  <c r="E887" i="5"/>
  <c r="F940" i="5"/>
  <c r="F954" i="5"/>
  <c r="E956" i="5"/>
  <c r="F288" i="5"/>
  <c r="E288" i="5"/>
  <c r="E383" i="5"/>
  <c r="F383" i="5"/>
  <c r="F470" i="5"/>
  <c r="E470" i="5"/>
  <c r="F641" i="5"/>
  <c r="E641" i="5"/>
  <c r="F814" i="5"/>
  <c r="E814" i="5"/>
  <c r="F973" i="5"/>
  <c r="E973" i="5"/>
  <c r="O30" i="1"/>
  <c r="O38" i="1"/>
  <c r="O54" i="1"/>
  <c r="O66" i="1"/>
  <c r="E374" i="5"/>
  <c r="F374" i="5"/>
  <c r="E388" i="5"/>
  <c r="F388" i="5"/>
  <c r="E468" i="5"/>
  <c r="F468" i="5"/>
  <c r="E639" i="5"/>
  <c r="F639" i="5"/>
  <c r="E678" i="5"/>
  <c r="F678" i="5"/>
  <c r="E863" i="5"/>
  <c r="F863" i="5"/>
  <c r="F920" i="5"/>
  <c r="E920" i="5"/>
  <c r="E978" i="5"/>
  <c r="F978" i="5"/>
  <c r="O20" i="1"/>
  <c r="O53" i="1"/>
  <c r="E644" i="5"/>
  <c r="F644" i="5"/>
  <c r="E756" i="5"/>
  <c r="F756" i="5"/>
  <c r="F843" i="5"/>
  <c r="E843" i="5"/>
  <c r="E976" i="5"/>
  <c r="F976" i="5"/>
  <c r="E486" i="5"/>
  <c r="F486" i="5"/>
  <c r="F646" i="5"/>
  <c r="E646" i="5"/>
  <c r="O37" i="1"/>
  <c r="O84" i="1"/>
  <c r="E519" i="5"/>
  <c r="F519" i="5"/>
  <c r="F861" i="5"/>
  <c r="E861" i="5"/>
  <c r="E918" i="5"/>
  <c r="F918" i="5"/>
  <c r="F512" i="5"/>
  <c r="E512" i="5"/>
  <c r="O99" i="1"/>
  <c r="E9" i="5"/>
  <c r="F9" i="5" s="1"/>
  <c r="E122" i="5"/>
  <c r="F122" i="5"/>
  <c r="F289" i="5"/>
  <c r="E289" i="5"/>
  <c r="F384" i="5"/>
  <c r="E384" i="5"/>
  <c r="F426" i="5"/>
  <c r="E426" i="5"/>
  <c r="E471" i="5"/>
  <c r="F471" i="5"/>
  <c r="E796" i="5"/>
  <c r="F796" i="5"/>
  <c r="F175" i="5"/>
  <c r="E175" i="5"/>
  <c r="F487" i="5"/>
  <c r="E487" i="5"/>
  <c r="F524" i="5"/>
  <c r="E524" i="5"/>
  <c r="F979" i="5"/>
  <c r="E979" i="5"/>
  <c r="F469" i="5"/>
  <c r="E469" i="5"/>
  <c r="F511" i="5"/>
  <c r="E511" i="5"/>
  <c r="F522" i="5"/>
  <c r="E522" i="5"/>
  <c r="F633" i="5"/>
  <c r="E633" i="5"/>
  <c r="F757" i="5"/>
  <c r="E757" i="5"/>
  <c r="F977" i="5"/>
  <c r="E977" i="5"/>
  <c r="O89" i="1"/>
  <c r="F134" i="5"/>
  <c r="E134" i="5"/>
  <c r="F152" i="5"/>
  <c r="E152" i="5"/>
  <c r="E262" i="5"/>
  <c r="F262" i="5"/>
  <c r="F490" i="5"/>
  <c r="E490" i="5"/>
  <c r="F638" i="5"/>
  <c r="E638" i="5"/>
  <c r="F804" i="5"/>
  <c r="E804" i="5"/>
  <c r="F862" i="5"/>
  <c r="E862" i="5"/>
  <c r="F919" i="5"/>
  <c r="E919" i="5"/>
  <c r="F375" i="5"/>
  <c r="E375" i="5"/>
  <c r="E640" i="5"/>
  <c r="F640" i="5"/>
  <c r="E864" i="5"/>
  <c r="F864" i="5"/>
  <c r="F972" i="5"/>
  <c r="E972" i="5"/>
  <c r="F171" i="5"/>
  <c r="E171" i="5"/>
  <c r="E385" i="5"/>
  <c r="F385" i="5"/>
  <c r="F643" i="5"/>
  <c r="E643" i="5"/>
  <c r="E842" i="5"/>
  <c r="F842" i="5"/>
  <c r="E150" i="5"/>
  <c r="F150" i="5"/>
  <c r="F176" i="5"/>
  <c r="E176" i="5"/>
  <c r="E488" i="5"/>
  <c r="F488" i="5"/>
  <c r="E518" i="5"/>
  <c r="F518" i="5"/>
  <c r="F537" i="5"/>
  <c r="E537" i="5"/>
  <c r="F860" i="5"/>
  <c r="E860" i="5"/>
  <c r="F980" i="5"/>
  <c r="E980" i="5"/>
  <c r="F104" i="5"/>
  <c r="E36" i="5"/>
  <c r="F36" i="5" s="1"/>
  <c r="F64" i="5"/>
  <c r="F100" i="5"/>
  <c r="F146" i="5"/>
  <c r="E186" i="5"/>
  <c r="F188" i="5"/>
  <c r="E267" i="5"/>
  <c r="E269" i="5"/>
  <c r="E284" i="5"/>
  <c r="E327" i="5"/>
  <c r="E342" i="5"/>
  <c r="E399" i="5"/>
  <c r="E453" i="5"/>
  <c r="E461" i="5"/>
  <c r="E482" i="5"/>
  <c r="F544" i="5"/>
  <c r="F546" i="5"/>
  <c r="E548" i="5"/>
  <c r="F651" i="5"/>
  <c r="E653" i="5"/>
  <c r="E655" i="5"/>
  <c r="E698" i="5"/>
  <c r="E702" i="5"/>
  <c r="E765" i="5"/>
  <c r="F769" i="5"/>
  <c r="F771" i="5"/>
  <c r="F809" i="5"/>
  <c r="E854" i="5"/>
  <c r="F902" i="5"/>
  <c r="E933" i="5"/>
  <c r="F935" i="5"/>
  <c r="E937" i="5"/>
  <c r="E939" i="5"/>
  <c r="F943" i="5"/>
  <c r="F12" i="5"/>
  <c r="E173" i="5"/>
  <c r="F208" i="5"/>
  <c r="E247" i="5"/>
  <c r="E254" i="5"/>
  <c r="F555" i="5"/>
  <c r="E557" i="5"/>
  <c r="E591" i="5"/>
  <c r="F627" i="5"/>
  <c r="E629" i="5"/>
  <c r="E635" i="5"/>
  <c r="E637" i="5"/>
  <c r="F664" i="5"/>
  <c r="E759" i="5"/>
  <c r="E761" i="5"/>
  <c r="E780" i="5"/>
  <c r="E786" i="5"/>
  <c r="E795" i="5"/>
  <c r="F799" i="5"/>
  <c r="E803" i="5"/>
  <c r="E876" i="5"/>
  <c r="E889" i="5"/>
  <c r="F911" i="5"/>
  <c r="E922" i="5"/>
  <c r="E965" i="5"/>
  <c r="E989" i="5"/>
  <c r="F95" i="5"/>
  <c r="F108" i="5"/>
  <c r="E145" i="5"/>
  <c r="E158" i="5"/>
  <c r="E187" i="5"/>
  <c r="E189" i="5"/>
  <c r="F232" i="5"/>
  <c r="F266" i="5"/>
  <c r="F268" i="5"/>
  <c r="E283" i="5"/>
  <c r="F407" i="5"/>
  <c r="F436" i="5"/>
  <c r="F452" i="5"/>
  <c r="E545" i="5"/>
  <c r="E547" i="5"/>
  <c r="E562" i="5"/>
  <c r="F652" i="5"/>
  <c r="F654" i="5"/>
  <c r="F688" i="5"/>
  <c r="F764" i="5"/>
  <c r="E768" i="5"/>
  <c r="E770" i="5"/>
  <c r="F892" i="5"/>
  <c r="F932" i="5"/>
  <c r="E934" i="5"/>
  <c r="E936" i="5"/>
  <c r="F942" i="5"/>
  <c r="E946" i="5"/>
  <c r="E957" i="5"/>
  <c r="F968" i="5"/>
  <c r="F10" i="5"/>
  <c r="D8" i="13"/>
  <c r="F16" i="5"/>
  <c r="E170" i="5"/>
  <c r="E174" i="5"/>
  <c r="E213" i="5"/>
  <c r="F313" i="5"/>
  <c r="E367" i="5"/>
  <c r="E428" i="5"/>
  <c r="E479" i="5"/>
  <c r="F556" i="5"/>
  <c r="E558" i="5"/>
  <c r="F628" i="5"/>
  <c r="E630" i="5"/>
  <c r="E632" i="5"/>
  <c r="F663" i="5"/>
  <c r="E665" i="5"/>
  <c r="F714" i="5"/>
  <c r="E777" i="5"/>
  <c r="E781" i="5"/>
  <c r="F783" i="5"/>
  <c r="E794" i="5"/>
  <c r="F798" i="5"/>
  <c r="E800" i="5"/>
  <c r="E802" i="5"/>
  <c r="E806" i="5"/>
  <c r="E822" i="5"/>
  <c r="F877" i="5"/>
  <c r="E975" i="5"/>
  <c r="F988" i="5"/>
  <c r="E990" i="5"/>
  <c r="O100" i="1"/>
  <c r="O86" i="1"/>
  <c r="O117" i="1"/>
  <c r="O118" i="1"/>
  <c r="E368" i="5"/>
  <c r="F368" i="5"/>
  <c r="F429" i="5"/>
  <c r="E429" i="5"/>
  <c r="F449" i="5"/>
  <c r="E449" i="5"/>
  <c r="F708" i="5"/>
  <c r="E708" i="5"/>
  <c r="E807" i="5"/>
  <c r="F807" i="5"/>
  <c r="F929" i="5"/>
  <c r="E929" i="5"/>
  <c r="O120" i="1"/>
  <c r="O85" i="1"/>
  <c r="O119" i="1"/>
  <c r="E77" i="5"/>
  <c r="F77" i="5" s="1"/>
  <c r="F169" i="5"/>
  <c r="E169" i="5"/>
  <c r="E263" i="5"/>
  <c r="F263" i="5"/>
  <c r="E312" i="5"/>
  <c r="F312" i="5"/>
  <c r="F491" i="5"/>
  <c r="E491" i="5"/>
  <c r="F559" i="5"/>
  <c r="E559" i="5"/>
  <c r="E805" i="5"/>
  <c r="F805" i="5"/>
  <c r="F821" i="5"/>
  <c r="E821" i="5"/>
  <c r="E867" i="5"/>
  <c r="F867" i="5"/>
  <c r="O15" i="1"/>
  <c r="O24" i="1"/>
  <c r="O40" i="1"/>
  <c r="O44" i="1"/>
  <c r="O64" i="1"/>
  <c r="F54" i="5"/>
  <c r="F151" i="5"/>
  <c r="E151" i="5"/>
  <c r="F425" i="5"/>
  <c r="E425" i="5"/>
  <c r="F447" i="5"/>
  <c r="E447" i="5"/>
  <c r="F489" i="5"/>
  <c r="E489" i="5"/>
  <c r="E536" i="5"/>
  <c r="F536" i="5"/>
  <c r="E553" i="5"/>
  <c r="F553" i="5"/>
  <c r="E927" i="5"/>
  <c r="F927" i="5"/>
  <c r="F167" i="5"/>
  <c r="E167" i="5"/>
  <c r="F191" i="5"/>
  <c r="E191" i="5"/>
  <c r="F357" i="5"/>
  <c r="E357" i="5"/>
  <c r="F380" i="5"/>
  <c r="E380" i="5"/>
  <c r="E819" i="5"/>
  <c r="F819" i="5"/>
  <c r="F165" i="5"/>
  <c r="E165" i="5"/>
  <c r="E250" i="5"/>
  <c r="F250" i="5"/>
  <c r="F259" i="5"/>
  <c r="E259" i="5"/>
  <c r="F324" i="5"/>
  <c r="E324" i="5"/>
  <c r="E423" i="5"/>
  <c r="F423" i="5"/>
  <c r="E445" i="5"/>
  <c r="F445" i="5"/>
  <c r="F483" i="5"/>
  <c r="E483" i="5"/>
  <c r="F534" i="5"/>
  <c r="E534" i="5"/>
  <c r="F849" i="5"/>
  <c r="E849" i="5"/>
  <c r="F925" i="5"/>
  <c r="E925" i="5"/>
  <c r="F378" i="5"/>
  <c r="E378" i="5"/>
  <c r="F656" i="5"/>
  <c r="E656" i="5"/>
  <c r="F817" i="5"/>
  <c r="E817" i="5"/>
  <c r="F983" i="5"/>
  <c r="E983" i="5"/>
  <c r="O83" i="1"/>
  <c r="F28" i="5"/>
  <c r="F68" i="5"/>
  <c r="F163" i="5"/>
  <c r="E163" i="5"/>
  <c r="F248" i="5"/>
  <c r="E248" i="5"/>
  <c r="E292" i="5"/>
  <c r="F292" i="5"/>
  <c r="E299" i="5"/>
  <c r="F299" i="5"/>
  <c r="F322" i="5"/>
  <c r="E322" i="5"/>
  <c r="F421" i="5"/>
  <c r="E421" i="5"/>
  <c r="F443" i="5"/>
  <c r="E443" i="5"/>
  <c r="F831" i="5"/>
  <c r="E831" i="5"/>
  <c r="F890" i="5"/>
  <c r="E890" i="5"/>
  <c r="F923" i="5"/>
  <c r="E923" i="5"/>
  <c r="F966" i="5"/>
  <c r="E966" i="5"/>
  <c r="O16" i="1"/>
  <c r="E244" i="5"/>
  <c r="F244" i="5"/>
  <c r="E376" i="5"/>
  <c r="F376" i="5"/>
  <c r="F396" i="5"/>
  <c r="E396" i="5"/>
  <c r="F525" i="5"/>
  <c r="E525" i="5"/>
  <c r="E567" i="5"/>
  <c r="F567" i="5"/>
  <c r="F612" i="5"/>
  <c r="E612" i="5"/>
  <c r="F787" i="5"/>
  <c r="E787" i="5"/>
  <c r="F815" i="5"/>
  <c r="E815" i="5"/>
  <c r="F884" i="5"/>
  <c r="E884" i="5"/>
  <c r="F921" i="5"/>
  <c r="E921" i="5"/>
  <c r="O47" i="1"/>
  <c r="O87" i="1"/>
  <c r="O114" i="1"/>
  <c r="E24" i="5"/>
  <c r="F24" i="5" s="1"/>
  <c r="F290" i="5"/>
  <c r="E290" i="5"/>
  <c r="F320" i="5"/>
  <c r="E320" i="5"/>
  <c r="F419" i="5"/>
  <c r="E419" i="5"/>
  <c r="F523" i="5"/>
  <c r="E523" i="5"/>
  <c r="F829" i="5"/>
  <c r="E829" i="5"/>
  <c r="E949" i="5"/>
  <c r="F949" i="5"/>
  <c r="E43" i="5"/>
  <c r="F43" i="5" s="1"/>
  <c r="F242" i="5"/>
  <c r="E242" i="5"/>
  <c r="F286" i="5"/>
  <c r="E286" i="5"/>
  <c r="F318" i="5"/>
  <c r="E318" i="5"/>
  <c r="E344" i="5"/>
  <c r="F344" i="5"/>
  <c r="F394" i="5"/>
  <c r="E394" i="5"/>
  <c r="F417" i="5"/>
  <c r="E417" i="5"/>
  <c r="F463" i="5"/>
  <c r="E463" i="5"/>
  <c r="F565" i="5"/>
  <c r="E565" i="5"/>
  <c r="F597" i="5"/>
  <c r="E597" i="5"/>
  <c r="F811" i="5"/>
  <c r="E811" i="5"/>
  <c r="E827" i="5"/>
  <c r="F827" i="5"/>
  <c r="F882" i="5"/>
  <c r="E882" i="5"/>
  <c r="O88" i="1"/>
  <c r="E41" i="5"/>
  <c r="F41" i="5" s="1"/>
  <c r="F159" i="5"/>
  <c r="E159" i="5"/>
  <c r="F240" i="5"/>
  <c r="E240" i="5"/>
  <c r="F278" i="5"/>
  <c r="E278" i="5"/>
  <c r="E431" i="5"/>
  <c r="F431" i="5"/>
  <c r="E563" i="5"/>
  <c r="F563" i="5"/>
  <c r="F586" i="5"/>
  <c r="E586" i="5"/>
  <c r="F710" i="5"/>
  <c r="E710" i="5"/>
  <c r="E719" i="5"/>
  <c r="F719" i="5"/>
  <c r="F825" i="5"/>
  <c r="E825" i="5"/>
  <c r="E947" i="5"/>
  <c r="F947" i="5"/>
  <c r="E56" i="5"/>
  <c r="F56" i="5" s="1"/>
  <c r="F157" i="5"/>
  <c r="E157" i="5"/>
  <c r="F271" i="5"/>
  <c r="E271" i="5"/>
  <c r="F392" i="5"/>
  <c r="E392" i="5"/>
  <c r="F869" i="5"/>
  <c r="E869" i="5"/>
  <c r="F931" i="5"/>
  <c r="E931" i="5"/>
  <c r="F945" i="5"/>
  <c r="E945" i="5"/>
  <c r="F98" i="5"/>
  <c r="E168" i="5"/>
  <c r="F256" i="5"/>
  <c r="E260" i="5"/>
  <c r="E291" i="5"/>
  <c r="E294" i="5"/>
  <c r="F294" i="5"/>
  <c r="F307" i="5"/>
  <c r="E307" i="5"/>
  <c r="F315" i="5"/>
  <c r="E321" i="5"/>
  <c r="F323" i="5"/>
  <c r="F348" i="5"/>
  <c r="E348" i="5"/>
  <c r="F354" i="5"/>
  <c r="F377" i="5"/>
  <c r="E393" i="5"/>
  <c r="F395" i="5"/>
  <c r="F397" i="5"/>
  <c r="E416" i="5"/>
  <c r="E420" i="5"/>
  <c r="E430" i="5"/>
  <c r="E444" i="5"/>
  <c r="E446" i="5"/>
  <c r="E560" i="5"/>
  <c r="F569" i="5"/>
  <c r="E569" i="5"/>
  <c r="F596" i="5"/>
  <c r="F598" i="5"/>
  <c r="E709" i="5"/>
  <c r="E712" i="5"/>
  <c r="F712" i="5"/>
  <c r="E788" i="5"/>
  <c r="E816" i="5"/>
  <c r="E830" i="5"/>
  <c r="F45" i="5"/>
  <c r="F79" i="5"/>
  <c r="F86" i="5"/>
  <c r="E90" i="5"/>
  <c r="F90" i="5" s="1"/>
  <c r="F94" i="5"/>
  <c r="E139" i="5"/>
  <c r="F143" i="5"/>
  <c r="E149" i="5"/>
  <c r="F178" i="5"/>
  <c r="E180" i="5"/>
  <c r="F182" i="5"/>
  <c r="E198" i="5"/>
  <c r="E200" i="5"/>
  <c r="E204" i="5"/>
  <c r="E206" i="5"/>
  <c r="E228" i="5"/>
  <c r="E234" i="5"/>
  <c r="E236" i="5"/>
  <c r="F337" i="5"/>
  <c r="E339" i="5"/>
  <c r="E350" i="5"/>
  <c r="E353" i="5"/>
  <c r="F353" i="5"/>
  <c r="E361" i="5"/>
  <c r="F404" i="5"/>
  <c r="E406" i="5"/>
  <c r="F410" i="5"/>
  <c r="E476" i="5"/>
  <c r="E515" i="5"/>
  <c r="F527" i="5"/>
  <c r="E529" i="5"/>
  <c r="E571" i="5"/>
  <c r="F575" i="5"/>
  <c r="E577" i="5"/>
  <c r="E579" i="5"/>
  <c r="F595" i="5"/>
  <c r="E595" i="5"/>
  <c r="E620" i="5"/>
  <c r="E642" i="5"/>
  <c r="E648" i="5"/>
  <c r="E666" i="5"/>
  <c r="F684" i="5"/>
  <c r="E692" i="5"/>
  <c r="E694" i="5"/>
  <c r="F723" i="5"/>
  <c r="E725" i="5"/>
  <c r="E727" i="5"/>
  <c r="E731" i="5"/>
  <c r="F733" i="5"/>
  <c r="E741" i="5"/>
  <c r="E745" i="5"/>
  <c r="F749" i="5"/>
  <c r="E753" i="5"/>
  <c r="F755" i="5"/>
  <c r="E763" i="5"/>
  <c r="E793" i="5"/>
  <c r="E837" i="5"/>
  <c r="E839" i="5"/>
  <c r="E871" i="5"/>
  <c r="F894" i="5"/>
  <c r="F900" i="5"/>
  <c r="F904" i="5"/>
  <c r="F906" i="5"/>
  <c r="F951" i="5"/>
  <c r="F981" i="5"/>
  <c r="E981" i="5"/>
  <c r="E991" i="5"/>
  <c r="F88" i="5"/>
  <c r="E127" i="5"/>
  <c r="E147" i="5"/>
  <c r="F155" i="5"/>
  <c r="E161" i="5"/>
  <c r="E305" i="5"/>
  <c r="F310" i="5"/>
  <c r="E310" i="5"/>
  <c r="E372" i="5"/>
  <c r="E532" i="5"/>
  <c r="F532" i="5"/>
  <c r="E604" i="5"/>
  <c r="F604" i="5"/>
  <c r="E880" i="5"/>
  <c r="F880" i="5"/>
  <c r="E994" i="5"/>
  <c r="F994" i="5"/>
  <c r="E274" i="5"/>
  <c r="F274" i="5"/>
  <c r="F295" i="5"/>
  <c r="E295" i="5"/>
  <c r="E340" i="5"/>
  <c r="F340" i="5"/>
  <c r="F362" i="5"/>
  <c r="E362" i="5"/>
  <c r="F477" i="5"/>
  <c r="E477" i="5"/>
  <c r="F713" i="5"/>
  <c r="E713" i="5"/>
  <c r="F251" i="5"/>
  <c r="E251" i="5"/>
  <c r="F494" i="5"/>
  <c r="E494" i="5"/>
  <c r="F526" i="5"/>
  <c r="E526" i="5"/>
  <c r="E539" i="5"/>
  <c r="F539" i="5"/>
  <c r="E589" i="5"/>
  <c r="F589" i="5"/>
  <c r="F602" i="5"/>
  <c r="E602" i="5"/>
  <c r="F722" i="5"/>
  <c r="E722" i="5"/>
  <c r="E950" i="5"/>
  <c r="F950" i="5"/>
  <c r="F15" i="5"/>
  <c r="F33" i="5"/>
  <c r="F85" i="5"/>
  <c r="F97" i="5"/>
  <c r="F293" i="5"/>
  <c r="E293" i="5"/>
  <c r="F613" i="5"/>
  <c r="E613" i="5"/>
  <c r="E711" i="5"/>
  <c r="F711" i="5"/>
  <c r="F885" i="5"/>
  <c r="E885" i="5"/>
  <c r="F967" i="5"/>
  <c r="E967" i="5"/>
  <c r="F984" i="5"/>
  <c r="E984" i="5"/>
  <c r="F29" i="5"/>
  <c r="F46" i="5"/>
  <c r="F249" i="5"/>
  <c r="E249" i="5"/>
  <c r="F535" i="5"/>
  <c r="E535" i="5"/>
  <c r="E878" i="5"/>
  <c r="F913" i="5"/>
  <c r="E958" i="5"/>
  <c r="F23" i="5"/>
  <c r="F78" i="5"/>
  <c r="F142" i="5"/>
  <c r="E177" i="5"/>
  <c r="E179" i="5"/>
  <c r="E181" i="5"/>
  <c r="E183" i="5"/>
  <c r="E203" i="5"/>
  <c r="E205" i="5"/>
  <c r="E227" i="5"/>
  <c r="F298" i="5"/>
  <c r="E298" i="5"/>
  <c r="F308" i="5"/>
  <c r="F311" i="5"/>
  <c r="E311" i="5"/>
  <c r="F328" i="5"/>
  <c r="E336" i="5"/>
  <c r="E338" i="5"/>
  <c r="F343" i="5"/>
  <c r="E343" i="5"/>
  <c r="F349" i="5"/>
  <c r="F360" i="5"/>
  <c r="F365" i="5"/>
  <c r="E365" i="5"/>
  <c r="E405" i="5"/>
  <c r="F409" i="5"/>
  <c r="F480" i="5"/>
  <c r="E480" i="5"/>
  <c r="E528" i="5"/>
  <c r="F570" i="5"/>
  <c r="F576" i="5"/>
  <c r="F585" i="5"/>
  <c r="E585" i="5"/>
  <c r="F619" i="5"/>
  <c r="F724" i="5"/>
  <c r="F726" i="5"/>
  <c r="F748" i="5"/>
  <c r="E754" i="5"/>
  <c r="E792" i="5"/>
  <c r="F836" i="5"/>
  <c r="E838" i="5"/>
  <c r="F866" i="5"/>
  <c r="E866" i="5"/>
  <c r="E872" i="5"/>
  <c r="F899" i="5"/>
  <c r="E905" i="5"/>
  <c r="F924" i="5"/>
  <c r="E924" i="5"/>
  <c r="E986" i="5"/>
  <c r="E992" i="5"/>
  <c r="F53" i="5"/>
  <c r="F57" i="5"/>
  <c r="E114" i="5"/>
  <c r="F114" i="5" s="1"/>
  <c r="F118" i="5"/>
  <c r="E128" i="5"/>
  <c r="F130" i="5"/>
  <c r="E162" i="5"/>
  <c r="E164" i="5"/>
  <c r="E201" i="5"/>
  <c r="E207" i="5"/>
  <c r="E209" i="5"/>
  <c r="E215" i="5"/>
  <c r="F221" i="5"/>
  <c r="E229" i="5"/>
  <c r="E237" i="5"/>
  <c r="E239" i="5"/>
  <c r="F272" i="5"/>
  <c r="F304" i="5"/>
  <c r="E306" i="5"/>
  <c r="E347" i="5"/>
  <c r="E352" i="5"/>
  <c r="F352" i="5"/>
  <c r="F371" i="5"/>
  <c r="F373" i="5"/>
  <c r="F499" i="5"/>
  <c r="E499" i="5"/>
  <c r="E615" i="5"/>
  <c r="E617" i="5"/>
  <c r="E621" i="5"/>
  <c r="F626" i="5"/>
  <c r="E626" i="5"/>
  <c r="F659" i="5"/>
  <c r="E667" i="5"/>
  <c r="E671" i="5"/>
  <c r="F675" i="5"/>
  <c r="E677" i="5"/>
  <c r="E687" i="5"/>
  <c r="F697" i="5"/>
  <c r="E746" i="5"/>
  <c r="F758" i="5"/>
  <c r="E766" i="5"/>
  <c r="E774" i="5"/>
  <c r="E776" i="5"/>
  <c r="E810" i="5"/>
  <c r="E824" i="5"/>
  <c r="E840" i="5"/>
  <c r="F844" i="5"/>
  <c r="E848" i="5"/>
  <c r="E897" i="5"/>
  <c r="F953" i="5"/>
  <c r="E953" i="5"/>
  <c r="F14" i="5"/>
  <c r="F96" i="5"/>
  <c r="E252" i="5"/>
  <c r="F252" i="5"/>
  <c r="E603" i="5"/>
  <c r="F603" i="5"/>
  <c r="F662" i="5"/>
  <c r="E662" i="5"/>
  <c r="F910" i="5"/>
  <c r="E910" i="5"/>
  <c r="F970" i="5"/>
  <c r="E970" i="5"/>
  <c r="F993" i="5"/>
  <c r="E993" i="5"/>
  <c r="C8" i="13"/>
  <c r="E8" i="13"/>
  <c r="N36" i="1"/>
  <c r="N48" i="1"/>
  <c r="N38" i="1"/>
  <c r="N118" i="1"/>
  <c r="K2" i="6"/>
  <c r="D12" i="6"/>
  <c r="N24" i="1"/>
  <c r="N47" i="1"/>
  <c r="N32" i="1"/>
  <c r="N15" i="1"/>
  <c r="N86" i="1"/>
  <c r="N14" i="1"/>
  <c r="N20" i="1"/>
  <c r="N29" i="1"/>
  <c r="N17" i="1"/>
  <c r="N53" i="1"/>
  <c r="N89" i="1"/>
  <c r="N99" i="1"/>
  <c r="N100" i="1"/>
  <c r="N119" i="1"/>
  <c r="N27" i="1"/>
  <c r="N88" i="1"/>
  <c r="N116" i="1"/>
  <c r="N120" i="1"/>
  <c r="N26" i="1"/>
  <c r="N83" i="1"/>
  <c r="N115" i="1"/>
  <c r="N30" i="1"/>
  <c r="N121" i="1"/>
  <c r="N40" i="1"/>
  <c r="N44" i="1"/>
  <c r="N85" i="1"/>
  <c r="N39" i="1"/>
  <c r="N64" i="1"/>
  <c r="N84" i="1"/>
  <c r="N96" i="1"/>
  <c r="N117" i="1"/>
  <c r="N42" i="1"/>
  <c r="N54" i="1"/>
  <c r="N66" i="1"/>
  <c r="O115" i="1"/>
  <c r="Y9" i="1"/>
  <c r="M20" i="1"/>
  <c r="C120" i="1"/>
  <c r="M120" i="1" s="1"/>
  <c r="O42" i="1"/>
  <c r="N114" i="1"/>
  <c r="N37" i="1"/>
  <c r="O39" i="1"/>
  <c r="N43" i="1"/>
  <c r="O48" i="1"/>
  <c r="N55" i="1"/>
  <c r="C117" i="1"/>
  <c r="O29" i="1"/>
  <c r="O34" i="1"/>
  <c r="O26" i="1"/>
  <c r="N34" i="1"/>
  <c r="X10" i="1"/>
  <c r="X11" i="1" s="1"/>
  <c r="N16" i="1"/>
  <c r="O31" i="1"/>
  <c r="N31" i="1"/>
  <c r="O36" i="1"/>
  <c r="O17" i="1"/>
  <c r="O32" i="1"/>
  <c r="N87" i="1"/>
  <c r="O121" i="1"/>
  <c r="F233" i="5"/>
  <c r="E233" i="5"/>
  <c r="F235" i="5"/>
  <c r="E235" i="5"/>
  <c r="F389" i="5"/>
  <c r="E389" i="5"/>
  <c r="F223" i="5"/>
  <c r="E223" i="5"/>
  <c r="F225" i="5"/>
  <c r="E225" i="5"/>
  <c r="E554" i="5"/>
  <c r="F554" i="5"/>
  <c r="F987" i="5"/>
  <c r="E987" i="5"/>
  <c r="F540" i="5"/>
  <c r="E540" i="5"/>
  <c r="E971" i="5"/>
  <c r="F971" i="5"/>
  <c r="E184" i="5"/>
  <c r="F184" i="5"/>
  <c r="F358" i="5"/>
  <c r="E358" i="5"/>
  <c r="E734" i="5"/>
  <c r="F734" i="5"/>
  <c r="E963" i="5"/>
  <c r="F963" i="5"/>
  <c r="F530" i="5"/>
  <c r="E530" i="5"/>
  <c r="E916" i="5"/>
  <c r="F916" i="5"/>
  <c r="E144" i="5"/>
  <c r="F144" i="5"/>
  <c r="E683" i="5"/>
  <c r="F683" i="5"/>
  <c r="F458" i="5"/>
  <c r="E458" i="5"/>
  <c r="E855" i="5"/>
  <c r="F855" i="5"/>
  <c r="E611" i="5"/>
  <c r="F611" i="5"/>
  <c r="F427" i="5"/>
  <c r="E427" i="5"/>
  <c r="E820" i="5"/>
  <c r="F820" i="5"/>
  <c r="E82" i="5"/>
  <c r="F82" i="5" s="1"/>
  <c r="F92" i="5"/>
  <c r="F116" i="5"/>
  <c r="F231" i="5"/>
  <c r="E231" i="5"/>
  <c r="E387" i="5"/>
  <c r="F387" i="5"/>
  <c r="F538" i="5"/>
  <c r="E538" i="5"/>
  <c r="F552" i="5"/>
  <c r="E552" i="5"/>
  <c r="F609" i="5"/>
  <c r="E609" i="5"/>
  <c r="E625" i="5"/>
  <c r="F625" i="5"/>
  <c r="F691" i="5"/>
  <c r="E691" i="5"/>
  <c r="F693" i="5"/>
  <c r="E693" i="5"/>
  <c r="F730" i="5"/>
  <c r="E730" i="5"/>
  <c r="F732" i="5"/>
  <c r="E732" i="5"/>
  <c r="E791" i="5"/>
  <c r="F791" i="5"/>
  <c r="F818" i="5"/>
  <c r="E818" i="5"/>
  <c r="F914" i="5"/>
  <c r="E914" i="5"/>
  <c r="F969" i="5"/>
  <c r="E969" i="5"/>
  <c r="E985" i="5"/>
  <c r="F985" i="5"/>
  <c r="F112" i="5"/>
  <c r="F132" i="5"/>
  <c r="F243" i="5"/>
  <c r="E243" i="5"/>
  <c r="F276" i="5"/>
  <c r="F329" i="5"/>
  <c r="E329" i="5"/>
  <c r="E346" i="5"/>
  <c r="E403" i="5"/>
  <c r="F439" i="5"/>
  <c r="E439" i="5"/>
  <c r="F441" i="5"/>
  <c r="E441" i="5"/>
  <c r="E462" i="5"/>
  <c r="E650" i="5"/>
  <c r="F689" i="5"/>
  <c r="E689" i="5"/>
  <c r="F720" i="5"/>
  <c r="F789" i="5"/>
  <c r="E789" i="5"/>
  <c r="F801" i="5"/>
  <c r="E801" i="5"/>
  <c r="F912" i="5"/>
  <c r="E912" i="5"/>
  <c r="E928" i="5"/>
  <c r="F928" i="5"/>
  <c r="D11" i="6"/>
  <c r="C15" i="6"/>
  <c r="D6" i="6"/>
  <c r="E17" i="5"/>
  <c r="F17" i="5" s="1"/>
  <c r="E48" i="5"/>
  <c r="F48" i="5" s="1"/>
  <c r="F253" i="5"/>
  <c r="E253" i="5"/>
  <c r="F255" i="5"/>
  <c r="E255" i="5"/>
  <c r="F437" i="5"/>
  <c r="E437" i="5"/>
  <c r="F492" i="5"/>
  <c r="E492" i="5"/>
  <c r="E568" i="5"/>
  <c r="F568" i="5"/>
  <c r="F705" i="5"/>
  <c r="E705" i="5"/>
  <c r="F750" i="5"/>
  <c r="E750" i="5"/>
  <c r="F881" i="5"/>
  <c r="E881" i="5"/>
  <c r="F883" i="5"/>
  <c r="E883" i="5"/>
  <c r="F926" i="5"/>
  <c r="E926" i="5"/>
  <c r="E999" i="5"/>
  <c r="F999" i="5"/>
  <c r="D8" i="6"/>
  <c r="E31" i="5"/>
  <c r="F31" i="5" s="1"/>
  <c r="E202" i="5"/>
  <c r="F202" i="5"/>
  <c r="F341" i="5"/>
  <c r="E341" i="5"/>
  <c r="E412" i="5"/>
  <c r="F412" i="5"/>
  <c r="F566" i="5"/>
  <c r="E566" i="5"/>
  <c r="F578" i="5"/>
  <c r="E578" i="5"/>
  <c r="F590" i="5"/>
  <c r="E590" i="5"/>
  <c r="E592" i="5"/>
  <c r="F592" i="5"/>
  <c r="E647" i="5"/>
  <c r="F647" i="5"/>
  <c r="E762" i="5"/>
  <c r="F762" i="5"/>
  <c r="F938" i="5"/>
  <c r="E938" i="5"/>
  <c r="E27" i="5"/>
  <c r="F27" i="5" s="1"/>
  <c r="E99" i="5"/>
  <c r="F99" i="5" s="1"/>
  <c r="E109" i="5"/>
  <c r="F109" i="5" s="1"/>
  <c r="E111" i="5"/>
  <c r="F111" i="5" s="1"/>
  <c r="F131" i="5"/>
  <c r="E131" i="5"/>
  <c r="E160" i="5"/>
  <c r="F160" i="5"/>
  <c r="E214" i="5"/>
  <c r="F214" i="5"/>
  <c r="F245" i="5"/>
  <c r="F275" i="5"/>
  <c r="E275" i="5"/>
  <c r="E302" i="5"/>
  <c r="F331" i="5"/>
  <c r="F345" i="5"/>
  <c r="E345" i="5"/>
  <c r="F370" i="5"/>
  <c r="E402" i="5"/>
  <c r="F402" i="5"/>
  <c r="F484" i="5"/>
  <c r="E510" i="5"/>
  <c r="F510" i="5"/>
  <c r="F588" i="5"/>
  <c r="E588" i="5"/>
  <c r="F645" i="5"/>
  <c r="E645" i="5"/>
  <c r="E681" i="5"/>
  <c r="F715" i="5"/>
  <c r="E715" i="5"/>
  <c r="E760" i="5"/>
  <c r="F760" i="5"/>
  <c r="E772" i="5"/>
  <c r="F772" i="5"/>
  <c r="F834" i="5"/>
  <c r="E873" i="5"/>
  <c r="E11" i="5"/>
  <c r="F11" i="5" s="1"/>
  <c r="F42" i="5"/>
  <c r="F55" i="5"/>
  <c r="E59" i="5"/>
  <c r="F59" i="5" s="1"/>
  <c r="F62" i="5"/>
  <c r="F83" i="5"/>
  <c r="E89" i="5"/>
  <c r="F89" i="5" s="1"/>
  <c r="E91" i="5"/>
  <c r="F91" i="5" s="1"/>
  <c r="F107" i="5"/>
  <c r="F119" i="5"/>
  <c r="F121" i="5"/>
  <c r="F129" i="5"/>
  <c r="E129" i="5"/>
  <c r="E226" i="5"/>
  <c r="F226" i="5"/>
  <c r="F257" i="5"/>
  <c r="F265" i="5"/>
  <c r="F273" i="5"/>
  <c r="E273" i="5"/>
  <c r="E287" i="5"/>
  <c r="F287" i="5"/>
  <c r="E300" i="5"/>
  <c r="F355" i="5"/>
  <c r="E355" i="5"/>
  <c r="F398" i="5"/>
  <c r="E398" i="5"/>
  <c r="E400" i="5"/>
  <c r="F400" i="5"/>
  <c r="E424" i="5"/>
  <c r="F424" i="5"/>
  <c r="E508" i="5"/>
  <c r="F508" i="5"/>
  <c r="F521" i="5"/>
  <c r="E531" i="5"/>
  <c r="F531" i="5"/>
  <c r="F742" i="5"/>
  <c r="F813" i="5"/>
  <c r="E813" i="5"/>
  <c r="F832" i="5"/>
  <c r="E891" i="5"/>
  <c r="F891" i="5"/>
  <c r="F901" i="5"/>
  <c r="E901" i="5"/>
  <c r="E952" i="5"/>
  <c r="F952" i="5"/>
  <c r="E964" i="5"/>
  <c r="F964" i="5"/>
  <c r="C14" i="6"/>
  <c r="E18" i="5"/>
  <c r="F18" i="5" s="1"/>
  <c r="E44" i="5"/>
  <c r="F44" i="5" s="1"/>
  <c r="E67" i="5"/>
  <c r="F67" i="5" s="1"/>
  <c r="E87" i="5"/>
  <c r="F87" i="5" s="1"/>
  <c r="F141" i="5"/>
  <c r="E141" i="5"/>
  <c r="F154" i="5"/>
  <c r="F285" i="5"/>
  <c r="E285" i="5"/>
  <c r="F422" i="5"/>
  <c r="E422" i="5"/>
  <c r="E451" i="5"/>
  <c r="F485" i="5"/>
  <c r="E485" i="5"/>
  <c r="F549" i="5"/>
  <c r="E549" i="5"/>
  <c r="F582" i="5"/>
  <c r="F622" i="5"/>
  <c r="E622" i="5"/>
  <c r="F682" i="5"/>
  <c r="E682" i="5"/>
  <c r="E870" i="5"/>
  <c r="F870" i="5"/>
  <c r="F960" i="5"/>
  <c r="E960" i="5"/>
  <c r="F962" i="5"/>
  <c r="E962" i="5"/>
  <c r="F982" i="5"/>
  <c r="E982" i="5"/>
  <c r="F101" i="5"/>
  <c r="F113" i="5"/>
  <c r="F133" i="5"/>
  <c r="E216" i="5"/>
  <c r="F277" i="5"/>
  <c r="F297" i="5"/>
  <c r="E297" i="5"/>
  <c r="E301" i="5"/>
  <c r="F301" i="5"/>
  <c r="E481" i="5"/>
  <c r="F481" i="5"/>
  <c r="F580" i="5"/>
  <c r="F600" i="5"/>
  <c r="F634" i="5"/>
  <c r="E634" i="5"/>
  <c r="F636" i="5"/>
  <c r="E636" i="5"/>
  <c r="E661" i="5"/>
  <c r="F661" i="5"/>
  <c r="E672" i="5"/>
  <c r="F739" i="5"/>
  <c r="E739" i="5"/>
  <c r="F833" i="5"/>
  <c r="E833" i="5"/>
  <c r="E868" i="5"/>
  <c r="F868" i="5"/>
  <c r="F32" i="5"/>
  <c r="E63" i="5"/>
  <c r="F63" i="5" s="1"/>
  <c r="E120" i="5"/>
  <c r="F120" i="5" s="1"/>
  <c r="E172" i="5"/>
  <c r="F172" i="5"/>
  <c r="E185" i="5"/>
  <c r="F264" i="5"/>
  <c r="E264" i="5"/>
  <c r="F359" i="5"/>
  <c r="F382" i="5"/>
  <c r="F390" i="5"/>
  <c r="E448" i="5"/>
  <c r="F448" i="5"/>
  <c r="E495" i="5"/>
  <c r="F495" i="5"/>
  <c r="F533" i="5"/>
  <c r="F541" i="5"/>
  <c r="F778" i="5"/>
  <c r="E823" i="5"/>
  <c r="F845" i="5"/>
  <c r="E845" i="5"/>
  <c r="F893" i="5"/>
  <c r="E917" i="5"/>
  <c r="E974" i="5"/>
  <c r="F996" i="5"/>
  <c r="E996" i="5"/>
  <c r="F30" i="5"/>
  <c r="F38" i="5"/>
  <c r="E60" i="5"/>
  <c r="F60" i="5" s="1"/>
  <c r="F153" i="5"/>
  <c r="E153" i="5"/>
  <c r="F309" i="5"/>
  <c r="E309" i="5"/>
  <c r="F415" i="5"/>
  <c r="E415" i="5"/>
  <c r="F581" i="5"/>
  <c r="E581" i="5"/>
  <c r="F941" i="5"/>
  <c r="E941" i="5"/>
  <c r="E19" i="5"/>
  <c r="F19" i="5" s="1"/>
  <c r="E47" i="5"/>
  <c r="F47" i="5" s="1"/>
  <c r="F71" i="5"/>
  <c r="F211" i="5"/>
  <c r="E211" i="5"/>
  <c r="F379" i="5"/>
  <c r="E379" i="5"/>
  <c r="F411" i="5"/>
  <c r="E411" i="5"/>
  <c r="E442" i="5"/>
  <c r="E460" i="5"/>
  <c r="F460" i="5"/>
  <c r="F599" i="5"/>
  <c r="E599" i="5"/>
  <c r="E624" i="5"/>
  <c r="F669" i="5"/>
  <c r="E669" i="5"/>
  <c r="F718" i="5"/>
  <c r="E718" i="5"/>
  <c r="F775" i="5"/>
  <c r="E775" i="5"/>
  <c r="E790" i="5"/>
  <c r="F835" i="5"/>
  <c r="F857" i="5"/>
  <c r="E857" i="5"/>
  <c r="F859" i="5"/>
  <c r="E859" i="5"/>
  <c r="F874" i="5"/>
  <c r="F37" i="5"/>
  <c r="F115" i="5"/>
  <c r="D16" i="6"/>
  <c r="D10" i="6"/>
  <c r="D13" i="6"/>
  <c r="C7" i="6"/>
  <c r="C17" i="6"/>
  <c r="C10" i="6"/>
  <c r="D15" i="6"/>
  <c r="C9" i="6"/>
  <c r="D7" i="6"/>
  <c r="C16" i="6"/>
  <c r="F49" i="5"/>
  <c r="C8" i="6"/>
  <c r="D17" i="6"/>
  <c r="E8" i="5"/>
  <c r="F8" i="5" s="1"/>
  <c r="E20" i="5"/>
  <c r="F20" i="5" s="1"/>
  <c r="E39" i="5"/>
  <c r="F39" i="5" s="1"/>
  <c r="F52" i="5"/>
  <c r="E61" i="5"/>
  <c r="F61" i="5" s="1"/>
  <c r="F66" i="5"/>
  <c r="F103" i="5"/>
  <c r="E117" i="5"/>
  <c r="F117" i="5" s="1"/>
  <c r="F148" i="5"/>
  <c r="F190" i="5"/>
  <c r="E199" i="5"/>
  <c r="E219" i="5"/>
  <c r="E261" i="5"/>
  <c r="E314" i="5"/>
  <c r="F316" i="5"/>
  <c r="F351" i="5"/>
  <c r="F364" i="5"/>
  <c r="F366" i="5"/>
  <c r="E408" i="5"/>
  <c r="E434" i="5"/>
  <c r="E465" i="5"/>
  <c r="F467" i="5"/>
  <c r="E478" i="5"/>
  <c r="F517" i="5"/>
  <c r="E561" i="5"/>
  <c r="E574" i="5"/>
  <c r="F616" i="5"/>
  <c r="F618" i="5"/>
  <c r="E631" i="5"/>
  <c r="E657" i="5"/>
  <c r="E701" i="5"/>
  <c r="F747" i="5"/>
  <c r="E782" i="5"/>
  <c r="F784" i="5"/>
  <c r="E797" i="5"/>
  <c r="F808" i="5"/>
  <c r="F841" i="5"/>
  <c r="E852" i="5"/>
  <c r="E898" i="5"/>
  <c r="E909" i="5"/>
  <c r="E948" i="5"/>
  <c r="C11" i="6"/>
  <c r="F21" i="5"/>
  <c r="F40" i="5"/>
  <c r="F105" i="5"/>
  <c r="C12" i="6"/>
  <c r="F13" i="5"/>
  <c r="C13" i="6"/>
  <c r="F93" i="5"/>
  <c r="C6" i="6"/>
  <c r="D14" i="6"/>
  <c r="K9" i="12" a="1"/>
  <c r="K9" i="12" s="1"/>
  <c r="D9" i="12" a="1"/>
  <c r="D9" i="12" s="1"/>
  <c r="E9" i="12" s="1"/>
  <c r="J9" i="12" a="1"/>
  <c r="J9" i="12" s="1"/>
  <c r="I9" i="12" a="1"/>
  <c r="I9" i="12" s="1"/>
  <c r="H9" i="12" a="1"/>
  <c r="H9" i="12" s="1"/>
  <c r="G9" i="12" a="1"/>
  <c r="G9" i="12" s="1"/>
  <c r="C10" i="12"/>
  <c r="F9" i="12" a="1"/>
  <c r="F9" i="12" s="1"/>
  <c r="L9" i="12" a="1"/>
  <c r="L9" i="12" s="1"/>
  <c r="AM12" i="13"/>
  <c r="AM13" i="13"/>
  <c r="F84" i="1" l="1"/>
  <c r="M84" i="1" s="1"/>
  <c r="F119" i="1"/>
  <c r="M119" i="1" s="1"/>
  <c r="F88" i="1"/>
  <c r="M88" i="1" s="1"/>
  <c r="F121" i="1"/>
  <c r="M121" i="1" s="1"/>
  <c r="F83" i="1"/>
  <c r="H10" i="12" a="1"/>
  <c r="H10" i="12" s="1"/>
  <c r="G10" i="12" a="1"/>
  <c r="G10" i="12" s="1"/>
  <c r="C11" i="12"/>
  <c r="L10" i="12" a="1"/>
  <c r="L10" i="12" s="1"/>
  <c r="F10" i="12" a="1"/>
  <c r="F10" i="12" s="1"/>
  <c r="K10" i="12" a="1"/>
  <c r="K10" i="12" s="1"/>
  <c r="D10" i="12" a="1"/>
  <c r="D10" i="12" s="1"/>
  <c r="E10" i="12" s="1"/>
  <c r="J10" i="12" a="1"/>
  <c r="J10" i="12" s="1"/>
  <c r="I10" i="12" a="1"/>
  <c r="I10" i="12" s="1"/>
  <c r="D18" i="6"/>
  <c r="C18" i="6"/>
  <c r="AZ13" i="13"/>
  <c r="AQ13" i="13"/>
  <c r="F86" i="1"/>
  <c r="M86" i="1" s="1"/>
  <c r="F89" i="1"/>
  <c r="M89" i="1" s="1"/>
  <c r="F118" i="1"/>
  <c r="M118" i="1" s="1"/>
  <c r="X12" i="1"/>
  <c r="M117" i="1"/>
  <c r="W10" i="1"/>
  <c r="W11" i="1" s="1"/>
  <c r="I31" i="1" l="1"/>
  <c r="M31" i="1" s="1"/>
  <c r="M83" i="1"/>
  <c r="I87" i="1"/>
  <c r="M87" i="1" s="1"/>
  <c r="BB13" i="13"/>
  <c r="BA13" i="13"/>
  <c r="AX13" i="13"/>
  <c r="AW13" i="13"/>
  <c r="AV13" i="13"/>
  <c r="AU2" i="13"/>
  <c r="AU13" i="13"/>
  <c r="AS13" i="13"/>
  <c r="AR13" i="13"/>
  <c r="I114" i="1"/>
  <c r="M114" i="1" s="1"/>
  <c r="I85" i="1"/>
  <c r="M85" i="1" s="1"/>
  <c r="I30" i="1"/>
  <c r="M30" i="1" s="1"/>
  <c r="I32" i="1"/>
  <c r="M32" i="1" s="1"/>
  <c r="W12" i="1"/>
  <c r="X13" i="1"/>
  <c r="K11" i="12" a="1"/>
  <c r="K11" i="12" s="1"/>
  <c r="D11" i="12" a="1"/>
  <c r="D11" i="12" s="1"/>
  <c r="E11" i="12" s="1"/>
  <c r="J11" i="12" a="1"/>
  <c r="J11" i="12" s="1"/>
  <c r="I11" i="12" a="1"/>
  <c r="I11" i="12" s="1"/>
  <c r="H11" i="12" a="1"/>
  <c r="H11" i="12" s="1"/>
  <c r="G11" i="12" a="1"/>
  <c r="G11" i="12" s="1"/>
  <c r="C12" i="12"/>
  <c r="L11" i="12" a="1"/>
  <c r="L11" i="12" s="1"/>
  <c r="F11" i="12" a="1"/>
  <c r="F11" i="12" s="1"/>
  <c r="Y10" i="1"/>
  <c r="Y12" i="1"/>
  <c r="Y11" i="1"/>
  <c r="I27" i="1"/>
  <c r="I47" i="1"/>
  <c r="M47" i="1" s="1"/>
  <c r="L26" i="1" l="1"/>
  <c r="M26" i="1" s="1"/>
  <c r="AT13" i="13"/>
  <c r="L16" i="1"/>
  <c r="M16" i="1" s="1"/>
  <c r="L53" i="1"/>
  <c r="M53" i="1" s="1"/>
  <c r="L42" i="1"/>
  <c r="M42" i="1" s="1"/>
  <c r="L15" i="1"/>
  <c r="M15" i="1" s="1"/>
  <c r="L38" i="1"/>
  <c r="M38" i="1" s="1"/>
  <c r="L14" i="1"/>
  <c r="M14" i="1" s="1"/>
  <c r="L99" i="1"/>
  <c r="M99" i="1" s="1"/>
  <c r="L34" i="1"/>
  <c r="M34" i="1" s="1"/>
  <c r="W13" i="1"/>
  <c r="X14" i="1"/>
  <c r="L44" i="1"/>
  <c r="M44" i="1" s="1"/>
  <c r="L48" i="1"/>
  <c r="M48" i="1" s="1"/>
  <c r="M27" i="1"/>
  <c r="L96" i="1"/>
  <c r="M96" i="1" s="1"/>
  <c r="AZ14" i="13"/>
  <c r="AQ14" i="13"/>
  <c r="L55" i="1"/>
  <c r="M55" i="1" s="1"/>
  <c r="L36" i="1"/>
  <c r="M36" i="1" s="1"/>
  <c r="L40" i="1"/>
  <c r="M40" i="1" s="1"/>
  <c r="L37" i="1"/>
  <c r="M37" i="1" s="1"/>
  <c r="L64" i="1"/>
  <c r="M64" i="1" s="1"/>
  <c r="L115" i="1"/>
  <c r="M115" i="1" s="1"/>
  <c r="L24" i="1"/>
  <c r="M24" i="1" s="1"/>
  <c r="L66" i="1"/>
  <c r="M66" i="1" s="1"/>
  <c r="L54" i="1"/>
  <c r="M54" i="1" s="1"/>
  <c r="L17" i="1"/>
  <c r="M17" i="1" s="1"/>
  <c r="L43" i="1"/>
  <c r="M43" i="1" s="1"/>
  <c r="L29" i="1"/>
  <c r="M29" i="1" s="1"/>
  <c r="AZ15" i="13"/>
  <c r="AQ15" i="13"/>
  <c r="AZ16" i="13"/>
  <c r="AQ16" i="13"/>
  <c r="H12" i="12" a="1"/>
  <c r="H12" i="12" s="1"/>
  <c r="G12" i="12" a="1"/>
  <c r="G12" i="12" s="1"/>
  <c r="C13" i="12"/>
  <c r="L12" i="12" a="1"/>
  <c r="L12" i="12" s="1"/>
  <c r="F12" i="12" a="1"/>
  <c r="F12" i="12" s="1"/>
  <c r="K12" i="12" a="1"/>
  <c r="K12" i="12" s="1"/>
  <c r="D12" i="12" a="1"/>
  <c r="D12" i="12" s="1"/>
  <c r="E12" i="12" s="1"/>
  <c r="J12" i="12" a="1"/>
  <c r="J12" i="12" s="1"/>
  <c r="I12" i="12" a="1"/>
  <c r="I12" i="12" s="1"/>
  <c r="L116" i="1"/>
  <c r="M116" i="1" s="1"/>
  <c r="L39" i="1"/>
  <c r="M39" i="1" s="1"/>
  <c r="Q43" i="1" l="1"/>
  <c r="D43" i="11" s="1"/>
  <c r="R34" i="1"/>
  <c r="R173" i="1"/>
  <c r="Q972" i="1"/>
  <c r="R43" i="1"/>
  <c r="Q34" i="1"/>
  <c r="D34" i="11" s="1"/>
  <c r="R35" i="1"/>
  <c r="Q35" i="1"/>
  <c r="D35" i="11" s="1"/>
  <c r="R963" i="1"/>
  <c r="Q14" i="1"/>
  <c r="D14" i="11" s="1"/>
  <c r="Q121" i="1"/>
  <c r="D121" i="11" s="1"/>
  <c r="Q153" i="1"/>
  <c r="D153" i="11" s="1"/>
  <c r="R535" i="1"/>
  <c r="R52" i="1"/>
  <c r="Q638" i="1"/>
  <c r="R783" i="1"/>
  <c r="Q216" i="1"/>
  <c r="Q339" i="1"/>
  <c r="R405" i="1"/>
  <c r="Q776" i="1"/>
  <c r="Q864" i="1"/>
  <c r="Q295" i="1"/>
  <c r="R917" i="1"/>
  <c r="Q71" i="1"/>
  <c r="D71" i="11" s="1"/>
  <c r="Q874" i="1"/>
  <c r="R995" i="1"/>
  <c r="R971" i="1"/>
  <c r="Q348" i="1"/>
  <c r="Q256" i="1"/>
  <c r="Q670" i="1"/>
  <c r="R32" i="1"/>
  <c r="Q399" i="1"/>
  <c r="Q493" i="1"/>
  <c r="Q522" i="1"/>
  <c r="Q357" i="1"/>
  <c r="R283" i="1"/>
  <c r="R412" i="1"/>
  <c r="R79" i="1"/>
  <c r="Q268" i="1"/>
  <c r="R703" i="1"/>
  <c r="R56" i="1"/>
  <c r="R724" i="1"/>
  <c r="R429" i="1"/>
  <c r="R252" i="1"/>
  <c r="Q740" i="1"/>
  <c r="Q362" i="1"/>
  <c r="Q439" i="1"/>
  <c r="R804" i="1"/>
  <c r="Q763" i="1"/>
  <c r="R308" i="1"/>
  <c r="R959" i="1"/>
  <c r="R554" i="1"/>
  <c r="R120" i="1"/>
  <c r="R635" i="1"/>
  <c r="R251" i="1"/>
  <c r="R744" i="1"/>
  <c r="R351" i="1"/>
  <c r="Q512" i="1"/>
  <c r="R998" i="1"/>
  <c r="Q777" i="1"/>
  <c r="R12" i="1"/>
  <c r="R481" i="1"/>
  <c r="R463" i="1"/>
  <c r="R974" i="1"/>
  <c r="Q952" i="1"/>
  <c r="R115" i="1"/>
  <c r="Q806" i="1"/>
  <c r="R325" i="1"/>
  <c r="Q309" i="1"/>
  <c r="Q675" i="1"/>
  <c r="R941" i="1"/>
  <c r="Q779" i="1"/>
  <c r="R810" i="1"/>
  <c r="Q314" i="1"/>
  <c r="Q427" i="1"/>
  <c r="R272" i="1"/>
  <c r="R518" i="1"/>
  <c r="R155" i="1"/>
  <c r="R215" i="1"/>
  <c r="R661" i="1"/>
  <c r="R315" i="1"/>
  <c r="R455" i="1"/>
  <c r="Q581" i="1"/>
  <c r="Q107" i="1"/>
  <c r="D107" i="11" s="1"/>
  <c r="Q189" i="1"/>
  <c r="D189" i="11" s="1"/>
  <c r="R354" i="1"/>
  <c r="R592" i="1"/>
  <c r="Q626" i="1"/>
  <c r="R951" i="1"/>
  <c r="R361" i="1"/>
  <c r="Q219" i="1"/>
  <c r="R793" i="1"/>
  <c r="Q202" i="1"/>
  <c r="Q490" i="1"/>
  <c r="R495" i="1"/>
  <c r="Q304" i="1"/>
  <c r="R835" i="1"/>
  <c r="R486" i="1"/>
  <c r="R531" i="1"/>
  <c r="Q591" i="1"/>
  <c r="R608" i="1"/>
  <c r="R324" i="1"/>
  <c r="R331" i="1"/>
  <c r="R525" i="1"/>
  <c r="Q312" i="1"/>
  <c r="R286" i="1"/>
  <c r="R808" i="1"/>
  <c r="R285" i="1"/>
  <c r="R891" i="1"/>
  <c r="R649" i="1"/>
  <c r="R92" i="1"/>
  <c r="Q570" i="1"/>
  <c r="Q187" i="1"/>
  <c r="D187" i="11" s="1"/>
  <c r="Q787" i="1"/>
  <c r="R615" i="1"/>
  <c r="R584" i="1"/>
  <c r="Q262" i="1"/>
  <c r="Q891" i="1"/>
  <c r="R935" i="1"/>
  <c r="Q884" i="1"/>
  <c r="Q914" i="1"/>
  <c r="Q205" i="1"/>
  <c r="Q834" i="1"/>
  <c r="Q335" i="1"/>
  <c r="Q780" i="1"/>
  <c r="Q979" i="1"/>
  <c r="R894" i="1"/>
  <c r="Q15" i="1"/>
  <c r="D15" i="11" s="1"/>
  <c r="R914" i="1"/>
  <c r="R829" i="1"/>
  <c r="R761" i="1"/>
  <c r="R202" i="1"/>
  <c r="Q537" i="1"/>
  <c r="Q754" i="1"/>
  <c r="Q745" i="1"/>
  <c r="BB16" i="13"/>
  <c r="BA16" i="13"/>
  <c r="Q876" i="1"/>
  <c r="R709" i="1"/>
  <c r="Q781" i="1"/>
  <c r="Q345" i="1"/>
  <c r="R216" i="1"/>
  <c r="R277" i="1"/>
  <c r="R849" i="1"/>
  <c r="R751" i="1"/>
  <c r="Q713" i="1"/>
  <c r="Q408" i="1"/>
  <c r="R594" i="1"/>
  <c r="R988" i="1"/>
  <c r="Q360" i="1"/>
  <c r="R334" i="1"/>
  <c r="R424" i="1"/>
  <c r="Q610" i="1"/>
  <c r="Q437" i="1"/>
  <c r="Q257" i="1"/>
  <c r="R742" i="1"/>
  <c r="Q235" i="1"/>
  <c r="Q637" i="1"/>
  <c r="Q770" i="1"/>
  <c r="R620" i="1"/>
  <c r="Q298" i="1"/>
  <c r="Q949" i="1"/>
  <c r="Q909" i="1"/>
  <c r="R519" i="1"/>
  <c r="Q950" i="1"/>
  <c r="Q241" i="1"/>
  <c r="Q870" i="1"/>
  <c r="Q371" i="1"/>
  <c r="R856" i="1"/>
  <c r="R863" i="1"/>
  <c r="Q882" i="1"/>
  <c r="AX16" i="13"/>
  <c r="AW16" i="13"/>
  <c r="AV16" i="13"/>
  <c r="AU16" i="13"/>
  <c r="AT16" i="13" s="1"/>
  <c r="AS16" i="13"/>
  <c r="AR16" i="13"/>
  <c r="Q677" i="1"/>
  <c r="R694" i="1"/>
  <c r="R422" i="1"/>
  <c r="R234" i="1"/>
  <c r="R672" i="1"/>
  <c r="Q885" i="1"/>
  <c r="Q396" i="1"/>
  <c r="Q306" i="1"/>
  <c r="Q133" i="1"/>
  <c r="D133" i="11" s="1"/>
  <c r="Q687" i="1"/>
  <c r="Q597" i="1"/>
  <c r="Q327" i="1"/>
  <c r="Q815" i="1"/>
  <c r="Q603" i="1"/>
  <c r="R848" i="1"/>
  <c r="Q480" i="1"/>
  <c r="Q835" i="1"/>
  <c r="Q54" i="1"/>
  <c r="D54" i="11" s="1"/>
  <c r="Q67" i="1"/>
  <c r="D67" i="11" s="1"/>
  <c r="Q712" i="1"/>
  <c r="R496" i="1"/>
  <c r="Q395" i="1"/>
  <c r="Q237" i="1"/>
  <c r="R946" i="1"/>
  <c r="Q18" i="1"/>
  <c r="D18" i="11" s="1"/>
  <c r="Q488" i="1"/>
  <c r="Q301" i="1"/>
  <c r="Q830" i="1"/>
  <c r="Q276" i="1"/>
  <c r="Q527" i="1"/>
  <c r="R322" i="1"/>
  <c r="Q653" i="1"/>
  <c r="R171" i="1"/>
  <c r="Q341" i="1"/>
  <c r="Q821" i="1"/>
  <c r="R181" i="1"/>
  <c r="Q560" i="1"/>
  <c r="Q724" i="1"/>
  <c r="R617" i="1"/>
  <c r="Q417" i="1"/>
  <c r="R528" i="1"/>
  <c r="Q558" i="1"/>
  <c r="R378" i="1"/>
  <c r="R537" i="1"/>
  <c r="Q308" i="1"/>
  <c r="R44" i="1"/>
  <c r="R993" i="1"/>
  <c r="Q519" i="1"/>
  <c r="R150" i="1"/>
  <c r="R700" i="1"/>
  <c r="R999" i="1"/>
  <c r="Q447" i="1"/>
  <c r="R803" i="1"/>
  <c r="R27" i="1"/>
  <c r="R723" i="1"/>
  <c r="Q113" i="1"/>
  <c r="D113" i="11" s="1"/>
  <c r="Q463" i="1"/>
  <c r="R746" i="1"/>
  <c r="Q538" i="1"/>
  <c r="Q727" i="1"/>
  <c r="R899" i="1"/>
  <c r="Q931" i="1"/>
  <c r="W14" i="1"/>
  <c r="X15" i="1"/>
  <c r="Q32" i="1"/>
  <c r="D32" i="11" s="1"/>
  <c r="Q180" i="1"/>
  <c r="D180" i="11" s="1"/>
  <c r="Q142" i="1"/>
  <c r="D142" i="11" s="1"/>
  <c r="Q664" i="1"/>
  <c r="Q182" i="1"/>
  <c r="D182" i="11" s="1"/>
  <c r="R71" i="1"/>
  <c r="Q46" i="1"/>
  <c r="D46" i="11" s="1"/>
  <c r="Q135" i="1"/>
  <c r="D135" i="11" s="1"/>
  <c r="Q247" i="1"/>
  <c r="R105" i="1"/>
  <c r="Q659" i="1"/>
  <c r="R392" i="1"/>
  <c r="R788" i="1"/>
  <c r="R98" i="1"/>
  <c r="Q81" i="1"/>
  <c r="D81" i="11" s="1"/>
  <c r="R360" i="1"/>
  <c r="R476" i="1"/>
  <c r="R417" i="1"/>
  <c r="R370" i="1"/>
  <c r="Q880" i="1"/>
  <c r="Q386" i="1"/>
  <c r="R983" i="1"/>
  <c r="R184" i="1"/>
  <c r="Q344" i="1"/>
  <c r="Q552" i="1"/>
  <c r="R797" i="1"/>
  <c r="R577" i="1"/>
  <c r="Q605" i="1"/>
  <c r="R632" i="1"/>
  <c r="Q513" i="1"/>
  <c r="Q714" i="1"/>
  <c r="Q491" i="1"/>
  <c r="R273" i="1"/>
  <c r="R536" i="1"/>
  <c r="Q663" i="1"/>
  <c r="Q194" i="1"/>
  <c r="D194" i="11" s="1"/>
  <c r="R880" i="1"/>
  <c r="Q935" i="1"/>
  <c r="R574" i="1"/>
  <c r="R839" i="1"/>
  <c r="Q13" i="1"/>
  <c r="D13" i="11" s="1"/>
  <c r="Q811" i="1"/>
  <c r="R15" i="1"/>
  <c r="R981" i="1"/>
  <c r="R782" i="1"/>
  <c r="R396" i="1"/>
  <c r="Q817" i="1"/>
  <c r="Q167" i="1"/>
  <c r="D167" i="11" s="1"/>
  <c r="R794" i="1"/>
  <c r="Q660" i="1"/>
  <c r="R560" i="1"/>
  <c r="R214" i="1"/>
  <c r="Q792" i="1"/>
  <c r="Q230" i="1"/>
  <c r="R461" i="1"/>
  <c r="R141" i="1"/>
  <c r="Q628" i="1"/>
  <c r="Q239" i="1"/>
  <c r="R982" i="1"/>
  <c r="R13" i="1"/>
  <c r="R368" i="1"/>
  <c r="Q684" i="1"/>
  <c r="Q394" i="1"/>
  <c r="Q833" i="1"/>
  <c r="Q252" i="1"/>
  <c r="R942" i="1"/>
  <c r="Q749" i="1"/>
  <c r="R824" i="1"/>
  <c r="Q305" i="1"/>
  <c r="R780" i="1"/>
  <c r="Q181" i="1"/>
  <c r="D181" i="11" s="1"/>
  <c r="R390" i="1"/>
  <c r="Q326" i="1"/>
  <c r="Q452" i="1"/>
  <c r="C35" i="11"/>
  <c r="M35" i="11"/>
  <c r="E35" i="11"/>
  <c r="L35" i="11"/>
  <c r="G35" i="11"/>
  <c r="F35" i="11"/>
  <c r="K35" i="11"/>
  <c r="J35" i="11"/>
  <c r="H35" i="11"/>
  <c r="Q999" i="1"/>
  <c r="Q188" i="1"/>
  <c r="D188" i="11" s="1"/>
  <c r="R765" i="1"/>
  <c r="R164" i="1"/>
  <c r="R881" i="1"/>
  <c r="R449" i="1"/>
  <c r="C43" i="11"/>
  <c r="H43" i="11"/>
  <c r="G43" i="11"/>
  <c r="K43" i="11"/>
  <c r="F43" i="11"/>
  <c r="E43" i="11"/>
  <c r="M43" i="11"/>
  <c r="L43" i="11"/>
  <c r="J43" i="11"/>
  <c r="Q793" i="1"/>
  <c r="R107" i="1"/>
  <c r="R274" i="1"/>
  <c r="R605" i="1"/>
  <c r="R48" i="1"/>
  <c r="R830" i="1"/>
  <c r="Q233" i="1"/>
  <c r="R973" i="1"/>
  <c r="Q217" i="1"/>
  <c r="Q103" i="1"/>
  <c r="D103" i="11" s="1"/>
  <c r="Q446" i="1"/>
  <c r="R487" i="1"/>
  <c r="Q520" i="1"/>
  <c r="R812" i="1"/>
  <c r="Q764" i="1"/>
  <c r="Q634" i="1"/>
  <c r="R350" i="1"/>
  <c r="R263" i="1"/>
  <c r="R989" i="1"/>
  <c r="Q910" i="1"/>
  <c r="R244" i="1"/>
  <c r="Q22" i="1"/>
  <c r="D22" i="11" s="1"/>
  <c r="R597" i="1"/>
  <c r="Q154" i="1"/>
  <c r="D154" i="11" s="1"/>
  <c r="AX15" i="13"/>
  <c r="AW15" i="13"/>
  <c r="AV15" i="13"/>
  <c r="AU15" i="13"/>
  <c r="AS15" i="13"/>
  <c r="AR15" i="13"/>
  <c r="Q294" i="1"/>
  <c r="R771" i="1"/>
  <c r="R607" i="1"/>
  <c r="Q145" i="1"/>
  <c r="D145" i="11" s="1"/>
  <c r="Q448" i="1"/>
  <c r="R752" i="1"/>
  <c r="R432" i="1"/>
  <c r="R210" i="1"/>
  <c r="Q351" i="1"/>
  <c r="R406" i="1"/>
  <c r="Q361" i="1"/>
  <c r="Q130" i="1"/>
  <c r="D130" i="11" s="1"/>
  <c r="Q220" i="1"/>
  <c r="Q119" i="1"/>
  <c r="D119" i="11" s="1"/>
  <c r="R279" i="1"/>
  <c r="Q746" i="1"/>
  <c r="R353" i="1"/>
  <c r="R669" i="1"/>
  <c r="Q802" i="1"/>
  <c r="R599" i="1"/>
  <c r="BB15" i="13"/>
  <c r="BA15" i="13"/>
  <c r="Q415" i="1"/>
  <c r="R652" i="1"/>
  <c r="Q253" i="1"/>
  <c r="Q270" i="1"/>
  <c r="R643" i="1"/>
  <c r="Q623" i="1"/>
  <c r="R201" i="1"/>
  <c r="Q514" i="1"/>
  <c r="R189" i="1"/>
  <c r="Q165" i="1"/>
  <c r="D165" i="11" s="1"/>
  <c r="R77" i="1"/>
  <c r="R262" i="1"/>
  <c r="R228" i="1"/>
  <c r="Q525" i="1"/>
  <c r="R319" i="1"/>
  <c r="Q168" i="1"/>
  <c r="D168" i="11" s="1"/>
  <c r="Q429" i="1"/>
  <c r="Q258" i="1"/>
  <c r="K13" i="12" a="1"/>
  <c r="K13" i="12" s="1"/>
  <c r="D13" i="12" a="1"/>
  <c r="D13" i="12" s="1"/>
  <c r="E13" i="12" s="1"/>
  <c r="J13" i="12" a="1"/>
  <c r="J13" i="12" s="1"/>
  <c r="I13" i="12" a="1"/>
  <c r="I13" i="12" s="1"/>
  <c r="H13" i="12" a="1"/>
  <c r="H13" i="12" s="1"/>
  <c r="G13" i="12" a="1"/>
  <c r="G13" i="12" s="1"/>
  <c r="C14" i="12"/>
  <c r="L13" i="12" a="1"/>
  <c r="L13" i="12" s="1"/>
  <c r="F13" i="12" a="1"/>
  <c r="F13" i="12" s="1"/>
  <c r="AX14" i="13"/>
  <c r="AW14" i="13"/>
  <c r="AV14" i="13"/>
  <c r="AU14" i="13"/>
  <c r="AS14" i="13"/>
  <c r="AR14" i="13"/>
  <c r="Q275" i="1"/>
  <c r="Q436" i="1"/>
  <c r="R609" i="1"/>
  <c r="R139" i="1"/>
  <c r="Q617" i="1"/>
  <c r="Q171" i="1"/>
  <c r="D171" i="11" s="1"/>
  <c r="R408" i="1"/>
  <c r="R367" i="1"/>
  <c r="Q856" i="1"/>
  <c r="Q16" i="1"/>
  <c r="D16" i="11" s="1"/>
  <c r="Q383" i="1"/>
  <c r="R702" i="1"/>
  <c r="R489" i="1"/>
  <c r="R192" i="1"/>
  <c r="Q466" i="1"/>
  <c r="Q501" i="1"/>
  <c r="R9" i="1"/>
  <c r="R227" i="1"/>
  <c r="Q784" i="1"/>
  <c r="R165" i="1"/>
  <c r="Q347" i="1"/>
  <c r="R838" i="1"/>
  <c r="R143" i="1"/>
  <c r="R281" i="1"/>
  <c r="R962" i="1"/>
  <c r="Q481" i="1"/>
  <c r="Q585" i="1"/>
  <c r="R260" i="1"/>
  <c r="Q587" i="1"/>
  <c r="R97" i="1"/>
  <c r="Q191" i="1"/>
  <c r="D191" i="11" s="1"/>
  <c r="Q24" i="1"/>
  <c r="D24" i="11" s="1"/>
  <c r="Q845" i="1"/>
  <c r="R128" i="1"/>
  <c r="Q948" i="1"/>
  <c r="Q498" i="1"/>
  <c r="R199" i="1"/>
  <c r="Q936" i="1"/>
  <c r="R205" i="1"/>
  <c r="R310" i="1"/>
  <c r="R641" i="1"/>
  <c r="Q751" i="1"/>
  <c r="Q489" i="1"/>
  <c r="Q12" i="1"/>
  <c r="D12" i="11" s="1"/>
  <c r="Q161" i="1"/>
  <c r="D161" i="11" s="1"/>
  <c r="Q122" i="1"/>
  <c r="D122" i="11" s="1"/>
  <c r="Q225" i="1"/>
  <c r="R722" i="1"/>
  <c r="Q810" i="1"/>
  <c r="R600" i="1"/>
  <c r="R706" i="1"/>
  <c r="Q434" i="1"/>
  <c r="Q732" i="1"/>
  <c r="R140" i="1"/>
  <c r="R791" i="1"/>
  <c r="Q879" i="1"/>
  <c r="Q36" i="1"/>
  <c r="D36" i="11" s="1"/>
  <c r="R966" i="1"/>
  <c r="R533" i="1"/>
  <c r="R550" i="1"/>
  <c r="R603" i="1"/>
  <c r="Q933" i="1"/>
  <c r="R568" i="1"/>
  <c r="R738" i="1"/>
  <c r="Q743" i="1"/>
  <c r="R552" i="1"/>
  <c r="Q263" i="1"/>
  <c r="Q372" i="1"/>
  <c r="R47" i="1"/>
  <c r="Q149" i="1"/>
  <c r="D149" i="11" s="1"/>
  <c r="Q989" i="1"/>
  <c r="R674" i="1"/>
  <c r="Q928" i="1"/>
  <c r="R947" i="1"/>
  <c r="Q595" i="1"/>
  <c r="Q964" i="1"/>
  <c r="R616" i="1"/>
  <c r="R343" i="1"/>
  <c r="Q496" i="1"/>
  <c r="Q521" i="1"/>
  <c r="R384" i="1"/>
  <c r="Q117" i="1"/>
  <c r="D117" i="11" s="1"/>
  <c r="Q141" i="1"/>
  <c r="D141" i="11" s="1"/>
  <c r="R36" i="1"/>
  <c r="R953" i="1"/>
  <c r="R527" i="1"/>
  <c r="Q536" i="1"/>
  <c r="R978" i="1"/>
  <c r="R929" i="1"/>
  <c r="Q554" i="1"/>
  <c r="R727" i="1"/>
  <c r="R178" i="1"/>
  <c r="R740" i="1"/>
  <c r="R158" i="1"/>
  <c r="R809" i="1"/>
  <c r="R72" i="1"/>
  <c r="R878" i="1"/>
  <c r="R938" i="1"/>
  <c r="R421" i="1"/>
  <c r="Q700" i="1"/>
  <c r="R211" i="1"/>
  <c r="R731" i="1"/>
  <c r="Q819" i="1"/>
  <c r="R625" i="1"/>
  <c r="Q728" i="1"/>
  <c r="Q443" i="1"/>
  <c r="Q757" i="1"/>
  <c r="Q418" i="1"/>
  <c r="Q190" i="1"/>
  <c r="D190" i="11" s="1"/>
  <c r="R200" i="1"/>
  <c r="Q604" i="1"/>
  <c r="Q38" i="1"/>
  <c r="D38" i="11" s="1"/>
  <c r="Q102" i="1"/>
  <c r="D102" i="11" s="1"/>
  <c r="Q922" i="1"/>
  <c r="R512" i="1"/>
  <c r="Q500" i="1"/>
  <c r="Q892" i="1"/>
  <c r="Q890" i="1"/>
  <c r="R689" i="1"/>
  <c r="R570" i="1"/>
  <c r="Q893" i="1"/>
  <c r="R304" i="1"/>
  <c r="Q403" i="1"/>
  <c r="Q471" i="1"/>
  <c r="R255" i="1"/>
  <c r="R84" i="1"/>
  <c r="R965" i="1"/>
  <c r="Q377" i="1"/>
  <c r="R54" i="1"/>
  <c r="R868" i="1"/>
  <c r="Q756" i="1"/>
  <c r="R732" i="1"/>
  <c r="R116" i="1"/>
  <c r="Q218" i="1"/>
  <c r="R94" i="1"/>
  <c r="R153" i="1"/>
  <c r="R357" i="1"/>
  <c r="Q829" i="1"/>
  <c r="R906" i="1"/>
  <c r="R901" i="1"/>
  <c r="Q328" i="1"/>
  <c r="R194" i="1"/>
  <c r="Q814" i="1"/>
  <c r="R157" i="1"/>
  <c r="Q959" i="1"/>
  <c r="Q636" i="1"/>
  <c r="R579" i="1"/>
  <c r="Q393" i="1"/>
  <c r="Q459" i="1"/>
  <c r="R480" i="1"/>
  <c r="Q47" i="1"/>
  <c r="D47" i="11" s="1"/>
  <c r="R159" i="1"/>
  <c r="R777" i="1"/>
  <c r="R883" i="1"/>
  <c r="Q872" i="1"/>
  <c r="Q322" i="1"/>
  <c r="R188" i="1"/>
  <c r="Q737" i="1"/>
  <c r="R163" i="1"/>
  <c r="R45" i="1"/>
  <c r="Q561" i="1"/>
  <c r="Q883" i="1"/>
  <c r="Q465" i="1"/>
  <c r="R468" i="1"/>
  <c r="Q251" i="1"/>
  <c r="R411" i="1"/>
  <c r="R114" i="1"/>
  <c r="R921" i="1"/>
  <c r="Q523" i="1"/>
  <c r="R688" i="1"/>
  <c r="Q578" i="1"/>
  <c r="R275" i="1"/>
  <c r="R372" i="1"/>
  <c r="R62" i="1"/>
  <c r="Q39" i="1"/>
  <c r="D39" i="11" s="1"/>
  <c r="Q988" i="1"/>
  <c r="Q847" i="1"/>
  <c r="Q438" i="1"/>
  <c r="R441" i="1"/>
  <c r="Q242" i="1"/>
  <c r="R118" i="1"/>
  <c r="Q123" i="1"/>
  <c r="D123" i="11" s="1"/>
  <c r="Q64" i="1"/>
  <c r="D64" i="11" s="1"/>
  <c r="Q730" i="1"/>
  <c r="Q413" i="1"/>
  <c r="Q629" i="1"/>
  <c r="Q635" i="1"/>
  <c r="Q287" i="1"/>
  <c r="R507" i="1"/>
  <c r="Q126" i="1"/>
  <c r="D126" i="11" s="1"/>
  <c r="R992" i="1"/>
  <c r="R645" i="1"/>
  <c r="R807" i="1"/>
  <c r="R223" i="1"/>
  <c r="R311" i="1"/>
  <c r="Q442" i="1"/>
  <c r="R26" i="1"/>
  <c r="R222" i="1"/>
  <c r="R475" i="1"/>
  <c r="Q411" i="1"/>
  <c r="Q148" i="1"/>
  <c r="D148" i="11" s="1"/>
  <c r="Q655" i="1"/>
  <c r="R792" i="1"/>
  <c r="R799" i="1"/>
  <c r="Q292" i="1"/>
  <c r="R654" i="1"/>
  <c r="Q384" i="1"/>
  <c r="Q204" i="1"/>
  <c r="Q158" i="1"/>
  <c r="D158" i="11" s="1"/>
  <c r="Q92" i="1"/>
  <c r="D92" i="11" s="1"/>
  <c r="R70" i="1"/>
  <c r="Q1000" i="1"/>
  <c r="R686" i="1"/>
  <c r="R996" i="1"/>
  <c r="R986" i="1"/>
  <c r="Q620" i="1"/>
  <c r="Q398" i="1"/>
  <c r="Q649" i="1"/>
  <c r="R176" i="1"/>
  <c r="R755" i="1"/>
  <c r="Q843" i="1"/>
  <c r="R89" i="1"/>
  <c r="Q984" i="1"/>
  <c r="R497" i="1"/>
  <c r="R472" i="1"/>
  <c r="Q832" i="1"/>
  <c r="R859" i="1"/>
  <c r="R900" i="1"/>
  <c r="R655" i="1"/>
  <c r="Q388" i="1"/>
  <c r="Q421" i="1"/>
  <c r="Q227" i="1"/>
  <c r="Q336" i="1"/>
  <c r="R145" i="1"/>
  <c r="Q164" i="1"/>
  <c r="D164" i="11" s="1"/>
  <c r="Q953" i="1"/>
  <c r="R638" i="1"/>
  <c r="R802" i="1"/>
  <c r="Q851" i="1"/>
  <c r="R501" i="1"/>
  <c r="Q823" i="1"/>
  <c r="Q530" i="1"/>
  <c r="R307" i="1"/>
  <c r="Q391" i="1"/>
  <c r="Q368" i="1"/>
  <c r="R348" i="1"/>
  <c r="Q157" i="1"/>
  <c r="D157" i="11" s="1"/>
  <c r="R177" i="1"/>
  <c r="Q105" i="1"/>
  <c r="D105" i="11" s="1"/>
  <c r="Q966" i="1"/>
  <c r="R491" i="1"/>
  <c r="R466" i="1"/>
  <c r="Q808" i="1"/>
  <c r="R847" i="1"/>
  <c r="R876" i="1"/>
  <c r="Q641" i="1"/>
  <c r="Q261" i="1"/>
  <c r="R704" i="1"/>
  <c r="Q200" i="1"/>
  <c r="R773" i="1"/>
  <c r="R125" i="1"/>
  <c r="R842" i="1"/>
  <c r="R957" i="1"/>
  <c r="Q990" i="1"/>
  <c r="R606" i="1"/>
  <c r="Q279" i="1"/>
  <c r="R695" i="1"/>
  <c r="Q921" i="1"/>
  <c r="Q539" i="1"/>
  <c r="Q642" i="1"/>
  <c r="Q407" i="1"/>
  <c r="R663" i="1"/>
  <c r="R364" i="1"/>
  <c r="Q618" i="1"/>
  <c r="Q723" i="1"/>
  <c r="Q433" i="1"/>
  <c r="Q74" i="1"/>
  <c r="D74" i="11" s="1"/>
  <c r="Q186" i="1"/>
  <c r="D186" i="11" s="1"/>
  <c r="R925" i="1"/>
  <c r="Q997" i="1"/>
  <c r="R451" i="1"/>
  <c r="Q772" i="1"/>
  <c r="Q818" i="1"/>
  <c r="R557" i="1"/>
  <c r="R778" i="1"/>
  <c r="Q762" i="1"/>
  <c r="R259" i="1"/>
  <c r="R347" i="1"/>
  <c r="Q621" i="1"/>
  <c r="R38" i="1"/>
  <c r="R240" i="1"/>
  <c r="R547" i="1"/>
  <c r="Q278" i="1"/>
  <c r="Q995" i="1"/>
  <c r="Q672" i="1"/>
  <c r="R604" i="1"/>
  <c r="Q409" i="1"/>
  <c r="Q477" i="1"/>
  <c r="Q497" i="1"/>
  <c r="Q41" i="1"/>
  <c r="D41" i="11" s="1"/>
  <c r="Q228" i="1"/>
  <c r="Q759" i="1"/>
  <c r="Q608" i="1"/>
  <c r="Q753" i="1"/>
  <c r="Q771" i="1"/>
  <c r="Q283" i="1"/>
  <c r="R556" i="1"/>
  <c r="Q375" i="1"/>
  <c r="Q98" i="1"/>
  <c r="D98" i="11" s="1"/>
  <c r="R860" i="1"/>
  <c r="R739" i="1"/>
  <c r="R816" i="1"/>
  <c r="R340" i="1"/>
  <c r="Q542" i="1"/>
  <c r="R585" i="1"/>
  <c r="Q124" i="1"/>
  <c r="D124" i="11" s="1"/>
  <c r="Q240" i="1"/>
  <c r="R561" i="1"/>
  <c r="R720" i="1"/>
  <c r="Q760" i="1"/>
  <c r="Q271" i="1"/>
  <c r="Q499" i="1"/>
  <c r="Q363" i="1"/>
  <c r="Q111" i="1"/>
  <c r="D111" i="11" s="1"/>
  <c r="R31" i="1"/>
  <c r="R55" i="1"/>
  <c r="Q965" i="1"/>
  <c r="R650" i="1"/>
  <c r="Q853" i="1"/>
  <c r="Q875" i="1"/>
  <c r="Q534" i="1"/>
  <c r="Q871" i="1"/>
  <c r="R555" i="1"/>
  <c r="Q231" i="1"/>
  <c r="R719" i="1"/>
  <c r="Q993" i="1"/>
  <c r="R57" i="1"/>
  <c r="R893" i="1"/>
  <c r="R969" i="1"/>
  <c r="R436" i="1"/>
  <c r="Q736" i="1"/>
  <c r="R781" i="1"/>
  <c r="Q773" i="1"/>
  <c r="Q569" i="1"/>
  <c r="Q352" i="1"/>
  <c r="R362" i="1"/>
  <c r="Q682" i="1"/>
  <c r="Q300" i="1"/>
  <c r="Q185" i="1"/>
  <c r="D185" i="11" s="1"/>
  <c r="R110" i="1"/>
  <c r="Q917" i="1"/>
  <c r="R602" i="1"/>
  <c r="Q716" i="1"/>
  <c r="R772" i="1"/>
  <c r="R452" i="1"/>
  <c r="Q734" i="1"/>
  <c r="R889" i="1"/>
  <c r="R271" i="1"/>
  <c r="Q510" i="1"/>
  <c r="Q332" i="1"/>
  <c r="R312" i="1"/>
  <c r="R231" i="1"/>
  <c r="R138" i="1"/>
  <c r="R63" i="1"/>
  <c r="R887" i="1"/>
  <c r="R956" i="1"/>
  <c r="R430" i="1"/>
  <c r="R714" i="1"/>
  <c r="Q767" i="1"/>
  <c r="R985" i="1"/>
  <c r="Q555" i="1"/>
  <c r="Q983" i="1"/>
  <c r="Q152" i="1"/>
  <c r="D152" i="11" s="1"/>
  <c r="R183" i="1"/>
  <c r="R737" i="1"/>
  <c r="R161" i="1"/>
  <c r="R806" i="1"/>
  <c r="Q894" i="1"/>
  <c r="R805" i="1"/>
  <c r="R523" i="1"/>
  <c r="Q974" i="1"/>
  <c r="R659" i="1"/>
  <c r="Q889" i="1"/>
  <c r="R892" i="1"/>
  <c r="Q559" i="1"/>
  <c r="Q906" i="1"/>
  <c r="R580" i="1"/>
  <c r="R328" i="1"/>
  <c r="R450" i="1"/>
  <c r="Q389" i="1"/>
  <c r="R369" i="1"/>
  <c r="Q136" i="1"/>
  <c r="D136" i="11" s="1"/>
  <c r="R78" i="1"/>
  <c r="R872" i="1"/>
  <c r="Q925" i="1"/>
  <c r="R415" i="1"/>
  <c r="R678" i="1"/>
  <c r="Q731" i="1"/>
  <c r="Q943" i="1"/>
  <c r="Q606" i="1"/>
  <c r="Q768" i="1"/>
  <c r="R936" i="1"/>
  <c r="R299" i="1"/>
  <c r="Q406" i="1"/>
  <c r="Q85" i="1"/>
  <c r="D85" i="11" s="1"/>
  <c r="Q683" i="1"/>
  <c r="Q557" i="1"/>
  <c r="Q654" i="1"/>
  <c r="R896" i="1"/>
  <c r="Q761" i="1"/>
  <c r="R852" i="1"/>
  <c r="R352" i="1"/>
  <c r="R571" i="1"/>
  <c r="Q632" i="1"/>
  <c r="R96" i="1"/>
  <c r="Q89" i="1"/>
  <c r="D89" i="11" s="1"/>
  <c r="Q77" i="1"/>
  <c r="D77" i="11" s="1"/>
  <c r="R442" i="1"/>
  <c r="R576" i="1"/>
  <c r="R630" i="1"/>
  <c r="Q232" i="1"/>
  <c r="Q359" i="1"/>
  <c r="Q324" i="1"/>
  <c r="Q114" i="1"/>
  <c r="D114" i="11" s="1"/>
  <c r="R653" i="1"/>
  <c r="Q531" i="1"/>
  <c r="Q857" i="1"/>
  <c r="R295" i="1"/>
  <c r="R383" i="1"/>
  <c r="Q444" i="1"/>
  <c r="Q169" i="1"/>
  <c r="D169" i="11" s="1"/>
  <c r="Q108" i="1"/>
  <c r="D108" i="11" s="1"/>
  <c r="R427" i="1"/>
  <c r="Q551" i="1"/>
  <c r="R619" i="1"/>
  <c r="Q223" i="1"/>
  <c r="Q350" i="1"/>
  <c r="Q315" i="1"/>
  <c r="R121" i="1"/>
  <c r="Q923" i="1"/>
  <c r="Q614" i="1"/>
  <c r="R543" i="1"/>
  <c r="R385" i="1"/>
  <c r="Q441" i="1"/>
  <c r="R462" i="1"/>
  <c r="Q53" i="1"/>
  <c r="D53" i="11" s="1"/>
  <c r="R126" i="1"/>
  <c r="Q738" i="1"/>
  <c r="Q866" i="1"/>
  <c r="R853" i="1"/>
  <c r="Q310" i="1"/>
  <c r="Q862" i="1"/>
  <c r="Q564" i="1"/>
  <c r="R169" i="1"/>
  <c r="Q963" i="1"/>
  <c r="R945" i="1"/>
  <c r="R532" i="1"/>
  <c r="R373" i="1"/>
  <c r="Q405" i="1"/>
  <c r="R426" i="1"/>
  <c r="Q65" i="1"/>
  <c r="D65" i="11" s="1"/>
  <c r="R132" i="1"/>
  <c r="R83" i="1"/>
  <c r="Q758" i="1"/>
  <c r="Q673" i="1"/>
  <c r="Q484" i="1"/>
  <c r="Q563" i="1"/>
  <c r="Q729" i="1"/>
  <c r="Q17" i="1"/>
  <c r="D17" i="11" s="1"/>
  <c r="R135" i="1"/>
  <c r="Q903" i="1"/>
  <c r="R404" i="1"/>
  <c r="R967" i="1"/>
  <c r="Q346" i="1"/>
  <c r="R212" i="1"/>
  <c r="R309" i="1"/>
  <c r="R136" i="1"/>
  <c r="Q27" i="1"/>
  <c r="D27" i="11" s="1"/>
  <c r="Q916" i="1"/>
  <c r="R217" i="1"/>
  <c r="Q132" i="1"/>
  <c r="D132" i="11" s="1"/>
  <c r="Q918" i="1"/>
  <c r="Q467" i="1"/>
  <c r="Q544" i="1"/>
  <c r="Q196" i="1"/>
  <c r="D196" i="11" s="1"/>
  <c r="Q323" i="1"/>
  <c r="Q748" i="1"/>
  <c r="Q25" i="1"/>
  <c r="D25" i="11" s="1"/>
  <c r="Q100" i="1"/>
  <c r="D100" i="11" s="1"/>
  <c r="Q33" i="1"/>
  <c r="D33" i="11" s="1"/>
  <c r="Q120" i="1"/>
  <c r="D120" i="11" s="1"/>
  <c r="Q929" i="1"/>
  <c r="R614" i="1"/>
  <c r="R741" i="1"/>
  <c r="Q805" i="1"/>
  <c r="R464" i="1"/>
  <c r="R759" i="1"/>
  <c r="R928" i="1"/>
  <c r="Q998" i="1"/>
  <c r="R683" i="1"/>
  <c r="R990" i="1"/>
  <c r="R102" i="1"/>
  <c r="R857" i="1"/>
  <c r="Q985" i="1"/>
  <c r="R400" i="1"/>
  <c r="R642" i="1"/>
  <c r="Q695" i="1"/>
  <c r="Q881" i="1"/>
  <c r="Q679" i="1"/>
  <c r="Q316" i="1"/>
  <c r="R326" i="1"/>
  <c r="R453" i="1"/>
  <c r="Q553" i="1"/>
  <c r="R204" i="1"/>
  <c r="Q57" i="1"/>
  <c r="D57" i="11" s="1"/>
  <c r="Q945" i="1"/>
  <c r="R566" i="1"/>
  <c r="Q630" i="1"/>
  <c r="Q686" i="1"/>
  <c r="R416" i="1"/>
  <c r="Q648" i="1"/>
  <c r="R817" i="1"/>
  <c r="R235" i="1"/>
  <c r="Q423" i="1"/>
  <c r="Q296" i="1"/>
  <c r="R610" i="1"/>
  <c r="R14" i="1"/>
  <c r="R174" i="1"/>
  <c r="R113" i="1"/>
  <c r="R851" i="1"/>
  <c r="R975" i="1"/>
  <c r="R394" i="1"/>
  <c r="R631" i="1"/>
  <c r="Q681" i="1"/>
  <c r="Q869" i="1"/>
  <c r="R22" i="1"/>
  <c r="Q947" i="1"/>
  <c r="R37" i="1"/>
  <c r="Q267" i="1"/>
  <c r="R701" i="1"/>
  <c r="R207" i="1"/>
  <c r="R770" i="1"/>
  <c r="Q858" i="1"/>
  <c r="Q719" i="1"/>
  <c r="Q176" i="1"/>
  <c r="D176" i="11" s="1"/>
  <c r="Q938" i="1"/>
  <c r="R623" i="1"/>
  <c r="R766" i="1"/>
  <c r="R820" i="1"/>
  <c r="R473" i="1"/>
  <c r="R784" i="1"/>
  <c r="R955" i="1"/>
  <c r="R292" i="1"/>
  <c r="Q704" i="1"/>
  <c r="Q353" i="1"/>
  <c r="R333" i="1"/>
  <c r="Q172" i="1"/>
  <c r="D172" i="11" s="1"/>
  <c r="R131" i="1"/>
  <c r="R836" i="1"/>
  <c r="R944" i="1"/>
  <c r="Q924" i="1"/>
  <c r="R595" i="1"/>
  <c r="Q645" i="1"/>
  <c r="Q861" i="1"/>
  <c r="R458" i="1"/>
  <c r="R627" i="1"/>
  <c r="Q382" i="1"/>
  <c r="R248" i="1"/>
  <c r="R345" i="1"/>
  <c r="R151" i="1"/>
  <c r="Q844" i="1"/>
  <c r="Q445" i="1"/>
  <c r="Q424" i="1"/>
  <c r="R680" i="1"/>
  <c r="Q567" i="1"/>
  <c r="R886" i="1"/>
  <c r="R301" i="1"/>
  <c r="R389" i="1"/>
  <c r="Q462" i="1"/>
  <c r="Q163" i="1"/>
  <c r="D163" i="11" s="1"/>
  <c r="R246" i="1"/>
  <c r="Q197" i="1"/>
  <c r="D197" i="11" s="1"/>
  <c r="R822" i="1"/>
  <c r="Q449" i="1"/>
  <c r="R511" i="1"/>
  <c r="Q184" i="1"/>
  <c r="D184" i="11" s="1"/>
  <c r="Q311" i="1"/>
  <c r="R679" i="1"/>
  <c r="R524" i="1"/>
  <c r="Q739" i="1"/>
  <c r="R977" i="1"/>
  <c r="R247" i="1"/>
  <c r="R335" i="1"/>
  <c r="Q535" i="1"/>
  <c r="R64" i="1"/>
  <c r="Q21" i="1"/>
  <c r="D21" i="11" s="1"/>
  <c r="Q51" i="1"/>
  <c r="D51" i="11" s="1"/>
  <c r="Q981" i="1"/>
  <c r="R578" i="1"/>
  <c r="R658" i="1"/>
  <c r="R711" i="1"/>
  <c r="R428" i="1"/>
  <c r="R676" i="1"/>
  <c r="R841" i="1"/>
  <c r="Q962" i="1"/>
  <c r="R647" i="1"/>
  <c r="Q841" i="1"/>
  <c r="R146" i="1"/>
  <c r="R821" i="1"/>
  <c r="Q913" i="1"/>
  <c r="R858" i="1"/>
  <c r="R559" i="1"/>
  <c r="Q609" i="1"/>
  <c r="Q809" i="1"/>
  <c r="R498" i="1"/>
  <c r="Q280" i="1"/>
  <c r="R290" i="1"/>
  <c r="Q615" i="1"/>
  <c r="R447" i="1"/>
  <c r="R187" i="1"/>
  <c r="R39" i="1"/>
  <c r="Q958" i="1"/>
  <c r="R530" i="1"/>
  <c r="Q547" i="1"/>
  <c r="Q982" i="1"/>
  <c r="R931" i="1"/>
  <c r="Q565" i="1"/>
  <c r="Q735" i="1"/>
  <c r="R646" i="1"/>
  <c r="R546" i="1"/>
  <c r="Q260" i="1"/>
  <c r="Q369" i="1"/>
  <c r="R50" i="1"/>
  <c r="Q264" i="1"/>
  <c r="R152" i="1"/>
  <c r="R815" i="1"/>
  <c r="R903" i="1"/>
  <c r="R834" i="1"/>
  <c r="Q545" i="1"/>
  <c r="Q598" i="1"/>
  <c r="Q798" i="1"/>
  <c r="R81" i="1"/>
  <c r="Q911" i="1"/>
  <c r="R28" i="1"/>
  <c r="Q980" i="1"/>
  <c r="R665" i="1"/>
  <c r="R195" i="1"/>
  <c r="R734" i="1"/>
  <c r="Q822" i="1"/>
  <c r="Q633" i="1"/>
  <c r="R61" i="1"/>
  <c r="Q902" i="1"/>
  <c r="R587" i="1"/>
  <c r="Q680" i="1"/>
  <c r="R736" i="1"/>
  <c r="R437" i="1"/>
  <c r="Q698" i="1"/>
  <c r="Q860" i="1"/>
  <c r="R256" i="1"/>
  <c r="Q482" i="1"/>
  <c r="Q317" i="1"/>
  <c r="Q946" i="1"/>
  <c r="R261" i="1"/>
  <c r="R167" i="1"/>
  <c r="R800" i="1"/>
  <c r="Q888" i="1"/>
  <c r="Q791" i="1"/>
  <c r="Q509" i="1"/>
  <c r="Q562" i="1"/>
  <c r="R905" i="1"/>
  <c r="R964" i="1"/>
  <c r="R932" i="1"/>
  <c r="Q337" i="1"/>
  <c r="R203" i="1"/>
  <c r="R300" i="1"/>
  <c r="Q90" i="1"/>
  <c r="D90" i="11" s="1"/>
  <c r="Q800" i="1"/>
  <c r="R316" i="1"/>
  <c r="R306" i="1"/>
  <c r="R545" i="1"/>
  <c r="Q750" i="1"/>
  <c r="R754" i="1"/>
  <c r="R253" i="1"/>
  <c r="R341" i="1"/>
  <c r="Q593" i="1"/>
  <c r="R267" i="1"/>
  <c r="Q66" i="1"/>
  <c r="D66" i="11" s="1"/>
  <c r="R144" i="1"/>
  <c r="Q611" i="1"/>
  <c r="R927" i="1"/>
  <c r="Q507" i="1"/>
  <c r="R510" i="1"/>
  <c r="Q266" i="1"/>
  <c r="R456" i="1"/>
  <c r="R87" i="1"/>
  <c r="Q967" i="1"/>
  <c r="R562" i="1"/>
  <c r="R735" i="1"/>
  <c r="R618" i="1"/>
  <c r="R284" i="1"/>
  <c r="R381" i="1"/>
  <c r="R53" i="1"/>
  <c r="Q183" i="1"/>
  <c r="D183" i="11" s="1"/>
  <c r="R589" i="1"/>
  <c r="Q895" i="1"/>
  <c r="Q474" i="1"/>
  <c r="R477" i="1"/>
  <c r="Q254" i="1"/>
  <c r="R420" i="1"/>
  <c r="R73" i="1"/>
  <c r="R16" i="1"/>
  <c r="R51" i="1"/>
  <c r="R984" i="1"/>
  <c r="R542" i="1"/>
  <c r="Q572" i="1"/>
  <c r="R628" i="1"/>
  <c r="Q970" i="1"/>
  <c r="Q590" i="1"/>
  <c r="R76" i="1"/>
  <c r="Q926" i="1"/>
  <c r="R611" i="1"/>
  <c r="Q170" i="1"/>
  <c r="D170" i="11" s="1"/>
  <c r="R193" i="1"/>
  <c r="R785" i="1"/>
  <c r="Q873" i="1"/>
  <c r="Q755" i="1"/>
  <c r="R897" i="1"/>
  <c r="Q526" i="1"/>
  <c r="Q942" i="1"/>
  <c r="R393" i="1"/>
  <c r="Q244" i="1"/>
  <c r="R254" i="1"/>
  <c r="R483" i="1"/>
  <c r="R103" i="1"/>
  <c r="Q40" i="1"/>
  <c r="D40" i="11" s="1"/>
  <c r="Q97" i="1"/>
  <c r="D97" i="11" s="1"/>
  <c r="R979" i="1"/>
  <c r="R494" i="1"/>
  <c r="R469" i="1"/>
  <c r="Q820" i="1"/>
  <c r="Q854" i="1"/>
  <c r="R888" i="1"/>
  <c r="Q652" i="1"/>
  <c r="Q385" i="1"/>
  <c r="Q412" i="1"/>
  <c r="Q224" i="1"/>
  <c r="Q333" i="1"/>
  <c r="Q93" i="1"/>
  <c r="D93" i="11" s="1"/>
  <c r="Q179" i="1"/>
  <c r="D179" i="11" s="1"/>
  <c r="Q207" i="1"/>
  <c r="R779" i="1"/>
  <c r="Q867" i="1"/>
  <c r="Q741" i="1"/>
  <c r="R873" i="1"/>
  <c r="R504" i="1"/>
  <c r="R909" i="1"/>
  <c r="R33" i="1"/>
  <c r="Q927" i="1"/>
  <c r="Q48" i="1"/>
  <c r="D48" i="11" s="1"/>
  <c r="Q944" i="1"/>
  <c r="R629" i="1"/>
  <c r="Q273" i="1"/>
  <c r="R698" i="1"/>
  <c r="R934" i="1"/>
  <c r="Q550" i="1"/>
  <c r="Q9" i="1"/>
  <c r="D9" i="11" s="1"/>
  <c r="R904" i="1"/>
  <c r="R551" i="1"/>
  <c r="Q594" i="1"/>
  <c r="Q650" i="1"/>
  <c r="R401" i="1"/>
  <c r="Q612" i="1"/>
  <c r="Q785" i="1"/>
  <c r="R220" i="1"/>
  <c r="R721" i="1"/>
  <c r="Q281" i="1"/>
  <c r="Q390" i="1"/>
  <c r="R29" i="1"/>
  <c r="Q80" i="1"/>
  <c r="D80" i="11" s="1"/>
  <c r="R764" i="1"/>
  <c r="Q852" i="1"/>
  <c r="Q705" i="1"/>
  <c r="R813" i="1"/>
  <c r="Q476" i="1"/>
  <c r="Q644" i="1"/>
  <c r="Q789" i="1"/>
  <c r="Q796" i="1"/>
  <c r="Q289" i="1"/>
  <c r="Q600" i="1"/>
  <c r="Q381" i="1"/>
  <c r="Q106" i="1"/>
  <c r="D106" i="11" s="1"/>
  <c r="R467" i="1"/>
  <c r="R505" i="1"/>
  <c r="Q342" i="1"/>
  <c r="R920" i="1"/>
  <c r="R573" i="1"/>
  <c r="R760" i="1"/>
  <c r="Q765" i="1"/>
  <c r="R296" i="1"/>
  <c r="Q397" i="1"/>
  <c r="R41" i="1"/>
  <c r="Q807" i="1"/>
  <c r="R86" i="1"/>
  <c r="Q863" i="1"/>
  <c r="R748" i="1"/>
  <c r="Q726" i="1"/>
  <c r="Q886" i="1"/>
  <c r="Q215" i="1"/>
  <c r="R91" i="1"/>
  <c r="Q150" i="1"/>
  <c r="D150" i="11" s="1"/>
  <c r="Q828" i="1"/>
  <c r="R440" i="1"/>
  <c r="Q588" i="1"/>
  <c r="Q373" i="1"/>
  <c r="R239" i="1"/>
  <c r="R336" i="1"/>
  <c r="Q112" i="1"/>
  <c r="D112" i="11" s="1"/>
  <c r="R134" i="1"/>
  <c r="R832" i="1"/>
  <c r="R712" i="1"/>
  <c r="Q574" i="1"/>
  <c r="R693" i="1"/>
  <c r="Q206" i="1"/>
  <c r="R82" i="1"/>
  <c r="Q156" i="1"/>
  <c r="D156" i="11" s="1"/>
  <c r="R509" i="1"/>
  <c r="Q703" i="1"/>
  <c r="R879" i="1"/>
  <c r="R241" i="1"/>
  <c r="R329" i="1"/>
  <c r="Q504" i="1"/>
  <c r="R291" i="1"/>
  <c r="Q116" i="1"/>
  <c r="D116" i="11" s="1"/>
  <c r="Q766" i="1"/>
  <c r="Q428" i="1"/>
  <c r="R657" i="1"/>
  <c r="R685" i="1"/>
  <c r="Q293" i="1"/>
  <c r="Q543" i="1"/>
  <c r="Q52" i="1"/>
  <c r="D52" i="11" s="1"/>
  <c r="R488" i="1"/>
  <c r="Q667" i="1"/>
  <c r="R843" i="1"/>
  <c r="R229" i="1"/>
  <c r="R317" i="1"/>
  <c r="Q460" i="1"/>
  <c r="R20" i="1"/>
  <c r="R196" i="1"/>
  <c r="R19" i="1"/>
  <c r="Q72" i="1"/>
  <c r="D72" i="11" s="1"/>
  <c r="Q11" i="1"/>
  <c r="D11" i="11" s="1"/>
  <c r="Q131" i="1"/>
  <c r="D131" i="11" s="1"/>
  <c r="R912" i="1"/>
  <c r="R506" i="1"/>
  <c r="Q486" i="1"/>
  <c r="Q868" i="1"/>
  <c r="Q878" i="1"/>
  <c r="Q960" i="1"/>
  <c r="Q134" i="1"/>
  <c r="D134" i="11" s="1"/>
  <c r="R976" i="1"/>
  <c r="R575" i="1"/>
  <c r="Q104" i="1"/>
  <c r="D104" i="11" s="1"/>
  <c r="R749" i="1"/>
  <c r="Q837" i="1"/>
  <c r="Q669" i="1"/>
  <c r="Q775" i="1"/>
  <c r="Q461" i="1"/>
  <c r="R796" i="1"/>
  <c r="Q472" i="1"/>
  <c r="Q208" i="1"/>
  <c r="R218" i="1"/>
  <c r="R911" i="1"/>
  <c r="Q20" i="1"/>
  <c r="D20" i="11" s="1"/>
  <c r="Q76" i="1"/>
  <c r="D76" i="11" s="1"/>
  <c r="R60" i="1"/>
  <c r="R890" i="1"/>
  <c r="Q961" i="1"/>
  <c r="R433" i="1"/>
  <c r="Q725" i="1"/>
  <c r="Q778" i="1"/>
  <c r="Q987" i="1"/>
  <c r="R558" i="1"/>
  <c r="Q349" i="1"/>
  <c r="R359" i="1"/>
  <c r="Q671" i="1"/>
  <c r="Q297" i="1"/>
  <c r="R148" i="1"/>
  <c r="R270" i="1"/>
  <c r="Q115" i="1"/>
  <c r="D115" i="11" s="1"/>
  <c r="R743" i="1"/>
  <c r="Q831" i="1"/>
  <c r="Q658" i="1"/>
  <c r="R753" i="1"/>
  <c r="Q455" i="1"/>
  <c r="Q782" i="1"/>
  <c r="Q60" i="1"/>
  <c r="D60" i="11" s="1"/>
  <c r="R948" i="1"/>
  <c r="Q143" i="1"/>
  <c r="D143" i="11" s="1"/>
  <c r="Q908" i="1"/>
  <c r="R593" i="1"/>
  <c r="Q977" i="1"/>
  <c r="R662" i="1"/>
  <c r="Q901" i="1"/>
  <c r="Q899" i="1"/>
  <c r="R24" i="1"/>
  <c r="R930" i="1"/>
  <c r="R515" i="1"/>
  <c r="Q511" i="1"/>
  <c r="R910" i="1"/>
  <c r="R895" i="1"/>
  <c r="Q529" i="1"/>
  <c r="Q699" i="1"/>
  <c r="Q532" i="1"/>
  <c r="Q475" i="1"/>
  <c r="Q245" i="1"/>
  <c r="Q354" i="1"/>
  <c r="Q291" i="1"/>
  <c r="Q213" i="1"/>
  <c r="R728" i="1"/>
  <c r="Q816" i="1"/>
  <c r="Q622" i="1"/>
  <c r="R717" i="1"/>
  <c r="Q440" i="1"/>
  <c r="R460" i="1"/>
  <c r="R612" i="1"/>
  <c r="R666" i="1"/>
  <c r="Q238" i="1"/>
  <c r="Q365" i="1"/>
  <c r="Q330" i="1"/>
  <c r="Q28" i="1"/>
  <c r="D28" i="11" s="1"/>
  <c r="R811" i="1"/>
  <c r="Q343" i="1"/>
  <c r="Q29" i="1"/>
  <c r="D29" i="11" s="1"/>
  <c r="Q849" i="1"/>
  <c r="R446" i="1"/>
  <c r="Q602" i="1"/>
  <c r="Q379" i="1"/>
  <c r="R245" i="1"/>
  <c r="R342" i="1"/>
  <c r="R154" i="1"/>
  <c r="R265" i="1"/>
  <c r="Q968" i="1"/>
  <c r="R664" i="1"/>
  <c r="Q601" i="1"/>
  <c r="Q400" i="1"/>
  <c r="Q468" i="1"/>
  <c r="R492" i="1"/>
  <c r="Q44" i="1"/>
  <c r="D44" i="11" s="1"/>
  <c r="R208" i="1"/>
  <c r="Q788" i="1"/>
  <c r="R902" i="1"/>
  <c r="R877" i="1"/>
  <c r="Q325" i="1"/>
  <c r="R191" i="1"/>
  <c r="R757" i="1"/>
  <c r="R160" i="1"/>
  <c r="Q932" i="1"/>
  <c r="Q625" i="1"/>
  <c r="Q576" i="1"/>
  <c r="R388" i="1"/>
  <c r="Q450" i="1"/>
  <c r="R471" i="1"/>
  <c r="Q50" i="1"/>
  <c r="D50" i="11" s="1"/>
  <c r="R123" i="1"/>
  <c r="R939" i="1"/>
  <c r="R526" i="1"/>
  <c r="Q721" i="1"/>
  <c r="R582" i="1"/>
  <c r="R278" i="1"/>
  <c r="R375" i="1"/>
  <c r="R59" i="1"/>
  <c r="R276" i="1"/>
  <c r="R553" i="1"/>
  <c r="Q859" i="1"/>
  <c r="Q456" i="1"/>
  <c r="R459" i="1"/>
  <c r="Q248" i="1"/>
  <c r="R402" i="1"/>
  <c r="Q162" i="1"/>
  <c r="D162" i="11" s="1"/>
  <c r="Q900" i="1"/>
  <c r="R490" i="1"/>
  <c r="Q685" i="1"/>
  <c r="Q528" i="1"/>
  <c r="R269" i="1"/>
  <c r="R366" i="1"/>
  <c r="R65" i="1"/>
  <c r="R288" i="1"/>
  <c r="R485" i="1"/>
  <c r="Q656" i="1"/>
  <c r="R831" i="1"/>
  <c r="R226" i="1"/>
  <c r="R314" i="1"/>
  <c r="Q451" i="1"/>
  <c r="R23" i="1"/>
  <c r="R294" i="1"/>
  <c r="R697" i="1"/>
  <c r="Q410" i="1"/>
  <c r="Q599" i="1"/>
  <c r="R624" i="1"/>
  <c r="Q284" i="1"/>
  <c r="Q502" i="1"/>
  <c r="Q61" i="1"/>
  <c r="D61" i="11" s="1"/>
  <c r="R725" i="1"/>
  <c r="R991" i="1"/>
  <c r="R305" i="1"/>
  <c r="R997" i="1"/>
  <c r="Q797" i="1"/>
  <c r="R923" i="1"/>
  <c r="R358" i="1"/>
  <c r="Q676" i="1"/>
  <c r="Q701" i="1"/>
  <c r="R80" i="1"/>
  <c r="R147" i="1"/>
  <c r="Q69" i="1"/>
  <c r="D69" i="11" s="1"/>
  <c r="R46" i="1"/>
  <c r="Q155" i="1"/>
  <c r="D155" i="11" s="1"/>
  <c r="Q198" i="1"/>
  <c r="D198" i="11" s="1"/>
  <c r="R907" i="1"/>
  <c r="R987" i="1"/>
  <c r="R445" i="1"/>
  <c r="R750" i="1"/>
  <c r="Q803" i="1"/>
  <c r="Q795" i="1"/>
  <c r="Q84" i="1"/>
  <c r="D84" i="11" s="1"/>
  <c r="Q976" i="1"/>
  <c r="R539" i="1"/>
  <c r="R186" i="1"/>
  <c r="Q243" i="1"/>
  <c r="R713" i="1"/>
  <c r="Q975" i="1"/>
  <c r="Q586" i="1"/>
  <c r="R681" i="1"/>
  <c r="Q425" i="1"/>
  <c r="Q710" i="1"/>
  <c r="R382" i="1"/>
  <c r="Q790" i="1"/>
  <c r="R182" i="1"/>
  <c r="Q483" i="1"/>
  <c r="Q56" i="1"/>
  <c r="D56" i="11" s="1"/>
  <c r="Q138" i="1"/>
  <c r="D138" i="11" s="1"/>
  <c r="Q110" i="1"/>
  <c r="D110" i="11" s="1"/>
  <c r="R854" i="1"/>
  <c r="R980" i="1"/>
  <c r="R397" i="1"/>
  <c r="Q639" i="1"/>
  <c r="R684" i="1"/>
  <c r="R874" i="1"/>
  <c r="Q668" i="1"/>
  <c r="Q313" i="1"/>
  <c r="R323" i="1"/>
  <c r="R444" i="1"/>
  <c r="R549" i="1"/>
  <c r="Q192" i="1"/>
  <c r="D192" i="11" s="1"/>
  <c r="Q146" i="1"/>
  <c r="D146" i="11" s="1"/>
  <c r="Q255" i="1"/>
  <c r="R707" i="1"/>
  <c r="Q957" i="1"/>
  <c r="R564" i="1"/>
  <c r="R670" i="1"/>
  <c r="Q419" i="1"/>
  <c r="Q696" i="1"/>
  <c r="R108" i="1"/>
  <c r="R961" i="1"/>
  <c r="Q137" i="1"/>
  <c r="D137" i="11" s="1"/>
  <c r="R922" i="1"/>
  <c r="Q140" i="1"/>
  <c r="D140" i="11" s="1"/>
  <c r="Q941" i="1"/>
  <c r="R626" i="1"/>
  <c r="Q774" i="1"/>
  <c r="Q827" i="1"/>
  <c r="R179" i="1"/>
  <c r="Q930" i="1"/>
  <c r="R479" i="1"/>
  <c r="R454" i="1"/>
  <c r="R775" i="1"/>
  <c r="R823" i="1"/>
  <c r="R828" i="1"/>
  <c r="Q616" i="1"/>
  <c r="Q370" i="1"/>
  <c r="R380" i="1"/>
  <c r="Q209" i="1"/>
  <c r="Q318" i="1"/>
  <c r="Q83" i="1"/>
  <c r="D83" i="11" s="1"/>
  <c r="Q285" i="1"/>
  <c r="R692" i="1"/>
  <c r="R916" i="1"/>
  <c r="R1000" i="1"/>
  <c r="R634" i="1"/>
  <c r="Q404" i="1"/>
  <c r="R882" i="1"/>
  <c r="Q464" i="1"/>
  <c r="Q533" i="1"/>
  <c r="Q193" i="1"/>
  <c r="D193" i="11" s="1"/>
  <c r="Q320" i="1"/>
  <c r="Q707" i="1"/>
  <c r="Q70" i="1"/>
  <c r="D70" i="11" s="1"/>
  <c r="R637" i="1"/>
  <c r="Q199" i="1"/>
  <c r="D199" i="11" s="1"/>
  <c r="R243" i="1"/>
  <c r="Q865" i="1"/>
  <c r="R919" i="1"/>
  <c r="Q907" i="1"/>
  <c r="Q331" i="1"/>
  <c r="R197" i="1"/>
  <c r="R913" i="1"/>
  <c r="R93" i="1"/>
  <c r="Q250" i="1"/>
  <c r="R869" i="1"/>
  <c r="Q747" i="1"/>
  <c r="R840" i="1"/>
  <c r="R349" i="1"/>
  <c r="R567" i="1"/>
  <c r="R621" i="1"/>
  <c r="Q101" i="1"/>
  <c r="D101" i="11" s="1"/>
  <c r="R156" i="1"/>
  <c r="Q583" i="1"/>
  <c r="R745" i="1"/>
  <c r="R763" i="1"/>
  <c r="Q274" i="1"/>
  <c r="Q517" i="1"/>
  <c r="Q366" i="1"/>
  <c r="Q109" i="1"/>
  <c r="D109" i="11" s="1"/>
  <c r="R833" i="1"/>
  <c r="Q711" i="1"/>
  <c r="R798" i="1"/>
  <c r="R337" i="1"/>
  <c r="R517" i="1"/>
  <c r="Q579" i="1"/>
  <c r="Q127" i="1"/>
  <c r="D127" i="11" s="1"/>
  <c r="R162" i="1"/>
  <c r="Q813" i="1"/>
  <c r="R425" i="1"/>
  <c r="Q566" i="1"/>
  <c r="Q364" i="1"/>
  <c r="R230" i="1"/>
  <c r="R327" i="1"/>
  <c r="R124" i="1"/>
  <c r="R170" i="1"/>
  <c r="Q794" i="1"/>
  <c r="R687" i="1"/>
  <c r="Q516" i="1"/>
  <c r="Q665" i="1"/>
  <c r="Q850" i="1"/>
  <c r="Q10" i="1"/>
  <c r="D10" i="11" s="1"/>
  <c r="R129" i="1"/>
  <c r="R952" i="1"/>
  <c r="R410" i="1"/>
  <c r="R544" i="1"/>
  <c r="Q358" i="1"/>
  <c r="R224" i="1"/>
  <c r="R321" i="1"/>
  <c r="R130" i="1"/>
  <c r="Q954" i="1"/>
  <c r="Q897" i="1"/>
  <c r="Q487" i="1"/>
  <c r="Q674" i="1"/>
  <c r="Q524" i="1"/>
  <c r="R266" i="1"/>
  <c r="R363" i="1"/>
  <c r="R68" i="1"/>
  <c r="Q951" i="1"/>
  <c r="R795" i="1"/>
  <c r="Q420" i="1"/>
  <c r="R423" i="1"/>
  <c r="Q236" i="1"/>
  <c r="R112" i="1"/>
  <c r="Q129" i="1"/>
  <c r="D129" i="11" s="1"/>
  <c r="R572" i="1"/>
  <c r="Q473" i="1"/>
  <c r="R682" i="1"/>
  <c r="R716" i="1"/>
  <c r="Q592" i="1"/>
  <c r="Q915" i="1"/>
  <c r="R313" i="1"/>
  <c r="Q430" i="1"/>
  <c r="Q492" i="1"/>
  <c r="R18" i="1"/>
  <c r="Q125" i="1"/>
  <c r="D125" i="11" s="1"/>
  <c r="R58" i="1"/>
  <c r="Q94" i="1"/>
  <c r="D94" i="11" s="1"/>
  <c r="R866" i="1"/>
  <c r="R915" i="1"/>
  <c r="R409" i="1"/>
  <c r="R667" i="1"/>
  <c r="Q717" i="1"/>
  <c r="R898" i="1"/>
  <c r="R49" i="1"/>
  <c r="Q904" i="1"/>
  <c r="R503" i="1"/>
  <c r="Q128" i="1"/>
  <c r="D128" i="11" s="1"/>
  <c r="Q992" i="1"/>
  <c r="R677" i="1"/>
  <c r="Q955" i="1"/>
  <c r="R949" i="1"/>
  <c r="R598" i="1"/>
  <c r="Q991" i="1"/>
  <c r="Q624" i="1"/>
  <c r="R346" i="1"/>
  <c r="Q505" i="1"/>
  <c r="Q546" i="1"/>
  <c r="R387" i="1"/>
  <c r="R104" i="1"/>
  <c r="Q174" i="1"/>
  <c r="D174" i="11" s="1"/>
  <c r="R149" i="1"/>
  <c r="R818" i="1"/>
  <c r="R908" i="1"/>
  <c r="R846" i="1"/>
  <c r="Q556" i="1"/>
  <c r="R601" i="1"/>
  <c r="R801" i="1"/>
  <c r="R484" i="1"/>
  <c r="Q277" i="1"/>
  <c r="R287" i="1"/>
  <c r="Q589" i="1"/>
  <c r="R438" i="1"/>
  <c r="Q82" i="1"/>
  <c r="D82" i="11" s="1"/>
  <c r="R99" i="1"/>
  <c r="Q986" i="1"/>
  <c r="R671" i="1"/>
  <c r="R924" i="1"/>
  <c r="R937" i="1"/>
  <c r="Q584" i="1"/>
  <c r="R960" i="1"/>
  <c r="Q613" i="1"/>
  <c r="R66" i="1"/>
  <c r="R884" i="1"/>
  <c r="R30" i="1"/>
  <c r="Q940" i="1"/>
  <c r="Q173" i="1"/>
  <c r="D173" i="11" s="1"/>
  <c r="Q905" i="1"/>
  <c r="R590" i="1"/>
  <c r="Q691" i="1"/>
  <c r="Q744" i="1"/>
  <c r="R75" i="1"/>
  <c r="R875" i="1"/>
  <c r="R933" i="1"/>
  <c r="R418" i="1"/>
  <c r="Q689" i="1"/>
  <c r="Q742" i="1"/>
  <c r="R950" i="1"/>
  <c r="R522" i="1"/>
  <c r="Q334" i="1"/>
  <c r="R344" i="1"/>
  <c r="Q506" i="1"/>
  <c r="R696" i="1"/>
  <c r="R40" i="1"/>
  <c r="Q971" i="1"/>
  <c r="R656" i="1"/>
  <c r="Q877" i="1"/>
  <c r="Q887" i="1"/>
  <c r="Q548" i="1"/>
  <c r="Q75" i="1"/>
  <c r="D75" i="11" s="1"/>
  <c r="Q647" i="1"/>
  <c r="Q392" i="1"/>
  <c r="R520" i="1"/>
  <c r="Q582" i="1"/>
  <c r="Q272" i="1"/>
  <c r="R474" i="1"/>
  <c r="Q144" i="1"/>
  <c r="D144" i="11" s="1"/>
  <c r="Q401" i="1"/>
  <c r="R414" i="1"/>
  <c r="R74" i="1"/>
  <c r="Q619" i="1"/>
  <c r="R756" i="1"/>
  <c r="R774" i="1"/>
  <c r="Q286" i="1"/>
  <c r="Q571" i="1"/>
  <c r="Q378" i="1"/>
  <c r="Q31" i="1"/>
  <c r="D31" i="11" s="1"/>
  <c r="Q503" i="1"/>
  <c r="R668" i="1"/>
  <c r="R534" i="1"/>
  <c r="R862" i="1"/>
  <c r="R298" i="1"/>
  <c r="R386" i="1"/>
  <c r="Q453" i="1"/>
  <c r="Q166" i="1"/>
  <c r="D166" i="11" s="1"/>
  <c r="Q234" i="1"/>
  <c r="R439" i="1"/>
  <c r="Q573" i="1"/>
  <c r="Q627" i="1"/>
  <c r="Q229" i="1"/>
  <c r="Q356" i="1"/>
  <c r="Q321" i="1"/>
  <c r="Q37" i="1"/>
  <c r="D37" i="11" s="1"/>
  <c r="R644" i="1"/>
  <c r="Q978" i="1"/>
  <c r="R850" i="1"/>
  <c r="R289" i="1"/>
  <c r="R377" i="1"/>
  <c r="Q426" i="1"/>
  <c r="Q175" i="1"/>
  <c r="D175" i="11" s="1"/>
  <c r="Q246" i="1"/>
  <c r="Q752" i="1"/>
  <c r="R871" i="1"/>
  <c r="R865" i="1"/>
  <c r="Q319" i="1"/>
  <c r="R185" i="1"/>
  <c r="Q718" i="1"/>
  <c r="R166" i="1"/>
  <c r="R994" i="1"/>
  <c r="R972" i="1"/>
  <c r="Q540" i="1"/>
  <c r="R376" i="1"/>
  <c r="Q414" i="1"/>
  <c r="R435" i="1"/>
  <c r="Q62" i="1"/>
  <c r="D62" i="11" s="1"/>
  <c r="R168" i="1"/>
  <c r="R730" i="1"/>
  <c r="Q842" i="1"/>
  <c r="Q848" i="1"/>
  <c r="Q307" i="1"/>
  <c r="Q801" i="1"/>
  <c r="R502" i="1"/>
  <c r="R172" i="1"/>
  <c r="Q838" i="1"/>
  <c r="Q939" i="1"/>
  <c r="R407" i="1"/>
  <c r="Q969" i="1"/>
  <c r="Q355" i="1"/>
  <c r="R221" i="1"/>
  <c r="R318" i="1"/>
  <c r="R133" i="1"/>
  <c r="Q96" i="1"/>
  <c r="D96" i="11" s="1"/>
  <c r="R747" i="1"/>
  <c r="Q662" i="1"/>
  <c r="Q454" i="1"/>
  <c r="R508" i="1"/>
  <c r="R660" i="1"/>
  <c r="Q26" i="1"/>
  <c r="D26" i="11" s="1"/>
  <c r="Q30" i="1"/>
  <c r="D30" i="11" s="1"/>
  <c r="R11" i="1"/>
  <c r="Q45" i="1"/>
  <c r="D45" i="11" s="1"/>
  <c r="Q88" i="1"/>
  <c r="D88" i="11" s="1"/>
  <c r="R758" i="1"/>
  <c r="Q846" i="1"/>
  <c r="Q694" i="1"/>
  <c r="R789" i="1"/>
  <c r="Q470" i="1"/>
  <c r="R819" i="1"/>
  <c r="Q203" i="1"/>
  <c r="R827" i="1"/>
  <c r="R926" i="1"/>
  <c r="R42" i="1"/>
  <c r="R958" i="1"/>
  <c r="R569" i="1"/>
  <c r="R633" i="1"/>
  <c r="Q697" i="1"/>
  <c r="R419" i="1"/>
  <c r="R651" i="1"/>
  <c r="Q824" i="1"/>
  <c r="R238" i="1"/>
  <c r="Q432" i="1"/>
  <c r="Q299" i="1"/>
  <c r="R690" i="1"/>
  <c r="R10" i="1"/>
  <c r="R198" i="1"/>
  <c r="Q249" i="1"/>
  <c r="R710" i="1"/>
  <c r="R970" i="1"/>
  <c r="Q575" i="1"/>
  <c r="Q678" i="1"/>
  <c r="Q422" i="1"/>
  <c r="R699" i="1"/>
  <c r="R379" i="1"/>
  <c r="R715" i="1"/>
  <c r="Q973" i="1"/>
  <c r="Q478" i="1"/>
  <c r="Q59" i="1"/>
  <c r="D59" i="11" s="1"/>
  <c r="Q79" i="1"/>
  <c r="D79" i="11" s="1"/>
  <c r="Q78" i="1"/>
  <c r="D78" i="11" s="1"/>
  <c r="R940" i="1"/>
  <c r="R563" i="1"/>
  <c r="R622" i="1"/>
  <c r="R675" i="1"/>
  <c r="R413" i="1"/>
  <c r="R640" i="1"/>
  <c r="Q812" i="1"/>
  <c r="Q195" i="1"/>
  <c r="D195" i="11" s="1"/>
  <c r="R776" i="1"/>
  <c r="R122" i="1"/>
  <c r="R845" i="1"/>
  <c r="Q118" i="1"/>
  <c r="D118" i="11" s="1"/>
  <c r="R943" i="1"/>
  <c r="R482" i="1"/>
  <c r="R457" i="1"/>
  <c r="Q783" i="1"/>
  <c r="R297" i="1"/>
  <c r="R767" i="1"/>
  <c r="Q855" i="1"/>
  <c r="R708" i="1"/>
  <c r="R825" i="1"/>
  <c r="Q479" i="1"/>
  <c r="R855" i="1"/>
  <c r="Q640" i="1"/>
  <c r="Q226" i="1"/>
  <c r="R236" i="1"/>
  <c r="Q435" i="1"/>
  <c r="R85" i="1"/>
  <c r="R21" i="1"/>
  <c r="Q994" i="1"/>
  <c r="R548" i="1"/>
  <c r="R586" i="1"/>
  <c r="R639" i="1"/>
  <c r="R398" i="1"/>
  <c r="Q912" i="1"/>
  <c r="R786" i="1"/>
  <c r="R864" i="1"/>
  <c r="R355" i="1"/>
  <c r="Q596" i="1"/>
  <c r="Q643" i="1"/>
  <c r="Q160" i="1"/>
  <c r="D160" i="11" s="1"/>
  <c r="Q222" i="1"/>
  <c r="Q804" i="1"/>
  <c r="R209" i="1"/>
  <c r="Q288" i="1"/>
  <c r="R636" i="1"/>
  <c r="R954" i="1"/>
  <c r="R516" i="1"/>
  <c r="R538" i="1"/>
  <c r="Q269" i="1"/>
  <c r="R465" i="1"/>
  <c r="Q201" i="1"/>
  <c r="R513" i="1"/>
  <c r="Q840" i="1"/>
  <c r="R443" i="1"/>
  <c r="R591" i="1"/>
  <c r="Q376" i="1"/>
  <c r="R242" i="1"/>
  <c r="R339" i="1"/>
  <c r="R101" i="1"/>
  <c r="Q99" i="1"/>
  <c r="D99" i="11" s="1"/>
  <c r="Q839" i="1"/>
  <c r="Q720" i="1"/>
  <c r="Q657" i="1"/>
  <c r="Q715" i="1"/>
  <c r="Q212" i="1"/>
  <c r="R88" i="1"/>
  <c r="Q210" i="1"/>
  <c r="Q825" i="1"/>
  <c r="R431" i="1"/>
  <c r="Q577" i="1"/>
  <c r="Q367" i="1"/>
  <c r="R233" i="1"/>
  <c r="R330" i="1"/>
  <c r="R117" i="1"/>
  <c r="Q63" i="1"/>
  <c r="D63" i="11" s="1"/>
  <c r="R769" i="1"/>
  <c r="Q431" i="1"/>
  <c r="R726" i="1"/>
  <c r="Q898" i="1"/>
  <c r="Q302" i="1"/>
  <c r="Q568" i="1"/>
  <c r="Q49" i="1"/>
  <c r="D49" i="11" s="1"/>
  <c r="R500" i="1"/>
  <c r="Q692" i="1"/>
  <c r="R867" i="1"/>
  <c r="R232" i="1"/>
  <c r="R320" i="1"/>
  <c r="Q469" i="1"/>
  <c r="R17" i="1"/>
  <c r="R282" i="1"/>
  <c r="R733" i="1"/>
  <c r="Q416" i="1"/>
  <c r="Q651" i="1"/>
  <c r="Q646" i="1"/>
  <c r="Q290" i="1"/>
  <c r="R541" i="1"/>
  <c r="Q55" i="1"/>
  <c r="D55" i="11" s="1"/>
  <c r="R90" i="1"/>
  <c r="R403" i="1"/>
  <c r="R493" i="1"/>
  <c r="R583" i="1"/>
  <c r="Q211" i="1"/>
  <c r="Q338" i="1"/>
  <c r="Q303" i="1"/>
  <c r="Q58" i="1"/>
  <c r="D58" i="11" s="1"/>
  <c r="R581" i="1"/>
  <c r="R837" i="1"/>
  <c r="R790" i="1"/>
  <c r="R268" i="1"/>
  <c r="R356" i="1"/>
  <c r="R768" i="1"/>
  <c r="R237" i="1"/>
  <c r="Q282" i="1"/>
  <c r="Q666" i="1"/>
  <c r="Q688" i="1"/>
  <c r="R109" i="1"/>
  <c r="R918" i="1"/>
  <c r="R968" i="1"/>
  <c r="Q934" i="1"/>
  <c r="Q340" i="1"/>
  <c r="R206" i="1"/>
  <c r="R303" i="1"/>
  <c r="R142" i="1"/>
  <c r="Q631" i="1"/>
  <c r="R249" i="1"/>
  <c r="Q374" i="1"/>
  <c r="Q402" i="1"/>
  <c r="Q786" i="1"/>
  <c r="Q387" i="1"/>
  <c r="Q722" i="1"/>
  <c r="Q19" i="1"/>
  <c r="D19" i="11" s="1"/>
  <c r="Q329" i="1"/>
  <c r="Q580" i="1"/>
  <c r="R391" i="1"/>
  <c r="R175" i="1"/>
  <c r="R762" i="1"/>
  <c r="Q836" i="1"/>
  <c r="Q702" i="1"/>
  <c r="R213" i="1"/>
  <c r="Q607" i="1"/>
  <c r="R673" i="1"/>
  <c r="R180" i="1"/>
  <c r="R371" i="1"/>
  <c r="R529" i="1"/>
  <c r="Q159" i="1"/>
  <c r="D159" i="11" s="1"/>
  <c r="Q494" i="1"/>
  <c r="R787" i="1"/>
  <c r="R264" i="1"/>
  <c r="R332" i="1"/>
  <c r="R521" i="1"/>
  <c r="Q508" i="1"/>
  <c r="R293" i="1"/>
  <c r="Q147" i="1"/>
  <c r="D147" i="11" s="1"/>
  <c r="R870" i="1"/>
  <c r="R613" i="1"/>
  <c r="R434" i="1"/>
  <c r="R395" i="1"/>
  <c r="R565" i="1"/>
  <c r="Q937" i="1"/>
  <c r="R69" i="1"/>
  <c r="Q769" i="1"/>
  <c r="Q23" i="1"/>
  <c r="D23" i="11" s="1"/>
  <c r="Q458" i="1"/>
  <c r="R95" i="1"/>
  <c r="Q896" i="1"/>
  <c r="Q920" i="1"/>
  <c r="R826" i="1"/>
  <c r="R137" i="1"/>
  <c r="R302" i="1"/>
  <c r="R729" i="1"/>
  <c r="Q457" i="1"/>
  <c r="Q259" i="1"/>
  <c r="R499" i="1"/>
  <c r="R588" i="1"/>
  <c r="Q690" i="1"/>
  <c r="Q733" i="1"/>
  <c r="R514" i="1"/>
  <c r="R705" i="1"/>
  <c r="Q826" i="1"/>
  <c r="R225" i="1"/>
  <c r="Q42" i="1"/>
  <c r="D42" i="11" s="1"/>
  <c r="R106" i="1"/>
  <c r="Q693" i="1"/>
  <c r="Q68" i="1"/>
  <c r="D68" i="11" s="1"/>
  <c r="Q518" i="1"/>
  <c r="R280" i="1"/>
  <c r="Q265" i="1"/>
  <c r="R190" i="1"/>
  <c r="Q95" i="1"/>
  <c r="D95" i="11" s="1"/>
  <c r="R250" i="1"/>
  <c r="R119" i="1"/>
  <c r="R399" i="1"/>
  <c r="Q799" i="1"/>
  <c r="R885" i="1"/>
  <c r="Q91" i="1"/>
  <c r="D91" i="11" s="1"/>
  <c r="Q151" i="1"/>
  <c r="D151" i="11" s="1"/>
  <c r="R257" i="1"/>
  <c r="Q549" i="1"/>
  <c r="Q708" i="1"/>
  <c r="R718" i="1"/>
  <c r="Q996" i="1"/>
  <c r="Q87" i="1"/>
  <c r="D87" i="11" s="1"/>
  <c r="Q380" i="1"/>
  <c r="R691" i="1"/>
  <c r="R478" i="1"/>
  <c r="R219" i="1"/>
  <c r="R365" i="1"/>
  <c r="R814" i="1"/>
  <c r="R596" i="1"/>
  <c r="Q139" i="1"/>
  <c r="D139" i="11" s="1"/>
  <c r="Q214" i="1"/>
  <c r="R861" i="1"/>
  <c r="R127" i="1"/>
  <c r="Q485" i="1"/>
  <c r="Q706" i="1"/>
  <c r="Q177" i="1"/>
  <c r="D177" i="11" s="1"/>
  <c r="R374" i="1"/>
  <c r="Q709" i="1"/>
  <c r="R111" i="1"/>
  <c r="Q178" i="1"/>
  <c r="D178" i="11" s="1"/>
  <c r="R258" i="1"/>
  <c r="Q919" i="1"/>
  <c r="R338" i="1"/>
  <c r="Q73" i="1"/>
  <c r="D73" i="11" s="1"/>
  <c r="R448" i="1"/>
  <c r="Q221" i="1"/>
  <c r="R470" i="1"/>
  <c r="Q495" i="1"/>
  <c r="R648" i="1"/>
  <c r="Q661" i="1"/>
  <c r="R67" i="1"/>
  <c r="R844" i="1"/>
  <c r="R100" i="1"/>
  <c r="Q515" i="1"/>
  <c r="R25" i="1"/>
  <c r="Q541" i="1"/>
  <c r="Q956" i="1"/>
  <c r="R540" i="1"/>
  <c r="Q86" i="1"/>
  <c r="D86" i="11" s="1"/>
  <c r="C34" i="11"/>
  <c r="M34" i="11"/>
  <c r="E34" i="11"/>
  <c r="L34" i="11"/>
  <c r="K34" i="11"/>
  <c r="J34" i="11"/>
  <c r="H34" i="11"/>
  <c r="G34" i="11"/>
  <c r="F34" i="11"/>
  <c r="BA14" i="13"/>
  <c r="BB14" i="13"/>
  <c r="I35" i="11" l="1"/>
  <c r="AT15" i="13"/>
  <c r="AT14" i="13"/>
  <c r="I43" i="11"/>
  <c r="I34" i="11"/>
  <c r="N34" i="11"/>
  <c r="N35" i="11"/>
  <c r="G164" i="11"/>
  <c r="F164" i="11"/>
  <c r="C164" i="11"/>
  <c r="N164" i="11" s="1"/>
  <c r="M164" i="11"/>
  <c r="L164" i="11"/>
  <c r="E164" i="11"/>
  <c r="K164" i="11"/>
  <c r="J164" i="11"/>
  <c r="I164" i="11" s="1"/>
  <c r="H164" i="11"/>
  <c r="C42" i="11"/>
  <c r="F42" i="11"/>
  <c r="E42" i="11"/>
  <c r="G42" i="11"/>
  <c r="J42" i="11"/>
  <c r="M42" i="11"/>
  <c r="H42" i="11"/>
  <c r="L42" i="11"/>
  <c r="K42" i="11"/>
  <c r="G109" i="11"/>
  <c r="F109" i="11"/>
  <c r="C109" i="11"/>
  <c r="N109" i="11" s="1"/>
  <c r="J109" i="11"/>
  <c r="I109" i="11" s="1"/>
  <c r="H109" i="11"/>
  <c r="M109" i="11"/>
  <c r="K109" i="11"/>
  <c r="L109" i="11"/>
  <c r="E109" i="11"/>
  <c r="G199" i="11"/>
  <c r="F199" i="11"/>
  <c r="C199" i="11"/>
  <c r="N199" i="11" s="1"/>
  <c r="J199" i="11"/>
  <c r="I199" i="11" s="1"/>
  <c r="H199" i="11"/>
  <c r="M199" i="11"/>
  <c r="K199" i="11"/>
  <c r="E199" i="11"/>
  <c r="L199" i="11"/>
  <c r="G69" i="11"/>
  <c r="C69" i="11"/>
  <c r="N69" i="11" s="1"/>
  <c r="L69" i="11"/>
  <c r="H69" i="11"/>
  <c r="J69" i="11"/>
  <c r="I69" i="11" s="1"/>
  <c r="F69" i="11"/>
  <c r="E69" i="11"/>
  <c r="K69" i="11"/>
  <c r="M69" i="11"/>
  <c r="G61" i="11"/>
  <c r="C61" i="11"/>
  <c r="N61" i="11" s="1"/>
  <c r="J61" i="11"/>
  <c r="I61" i="11" s="1"/>
  <c r="E61" i="11"/>
  <c r="H61" i="11"/>
  <c r="F61" i="11"/>
  <c r="K61" i="11"/>
  <c r="M61" i="11"/>
  <c r="L61" i="11"/>
  <c r="C28" i="11"/>
  <c r="L28" i="11"/>
  <c r="M28" i="11"/>
  <c r="K28" i="11"/>
  <c r="J28" i="11"/>
  <c r="H28" i="11"/>
  <c r="G28" i="11"/>
  <c r="F28" i="11"/>
  <c r="E28" i="11"/>
  <c r="G150" i="11"/>
  <c r="F150" i="11"/>
  <c r="C150" i="11"/>
  <c r="N150" i="11" s="1"/>
  <c r="M150" i="11"/>
  <c r="K150" i="11"/>
  <c r="E150" i="11"/>
  <c r="L150" i="11"/>
  <c r="J150" i="11"/>
  <c r="I150" i="11" s="1"/>
  <c r="H150" i="11"/>
  <c r="G197" i="11"/>
  <c r="F197" i="11"/>
  <c r="C197" i="11"/>
  <c r="N197" i="11" s="1"/>
  <c r="M197" i="11"/>
  <c r="L197" i="11"/>
  <c r="H197" i="11"/>
  <c r="E197" i="11"/>
  <c r="K197" i="11"/>
  <c r="J197" i="11"/>
  <c r="I197" i="11" s="1"/>
  <c r="G92" i="11"/>
  <c r="C92" i="11"/>
  <c r="N92" i="11" s="1"/>
  <c r="K92" i="11"/>
  <c r="M92" i="11"/>
  <c r="L92" i="11"/>
  <c r="J92" i="11"/>
  <c r="I92" i="11" s="1"/>
  <c r="H92" i="11"/>
  <c r="F92" i="11"/>
  <c r="E92" i="11"/>
  <c r="G191" i="11"/>
  <c r="F191" i="11"/>
  <c r="C191" i="11"/>
  <c r="N191" i="11" s="1"/>
  <c r="M191" i="11"/>
  <c r="L191" i="11"/>
  <c r="H191" i="11"/>
  <c r="E191" i="11"/>
  <c r="K191" i="11"/>
  <c r="J191" i="11"/>
  <c r="I191" i="11" s="1"/>
  <c r="C22" i="11"/>
  <c r="M22" i="11"/>
  <c r="K22" i="11"/>
  <c r="L22" i="11"/>
  <c r="E22" i="11"/>
  <c r="J22" i="11"/>
  <c r="H22" i="11"/>
  <c r="G22" i="11"/>
  <c r="F22" i="11"/>
  <c r="G103" i="11"/>
  <c r="F103" i="11"/>
  <c r="C103" i="11"/>
  <c r="N103" i="11" s="1"/>
  <c r="J103" i="11"/>
  <c r="I103" i="11" s="1"/>
  <c r="H103" i="11"/>
  <c r="M103" i="11"/>
  <c r="K103" i="11"/>
  <c r="E103" i="11"/>
  <c r="L103" i="11"/>
  <c r="C15" i="11"/>
  <c r="M15" i="11"/>
  <c r="F15" i="11"/>
  <c r="E15" i="11"/>
  <c r="L15" i="11"/>
  <c r="K15" i="11"/>
  <c r="J15" i="11"/>
  <c r="H15" i="11"/>
  <c r="G15" i="11"/>
  <c r="G162" i="11"/>
  <c r="F162" i="11"/>
  <c r="C162" i="11"/>
  <c r="N162" i="11" s="1"/>
  <c r="M162" i="11"/>
  <c r="K162" i="11"/>
  <c r="E162" i="11"/>
  <c r="H162" i="11"/>
  <c r="J162" i="11"/>
  <c r="I162" i="11" s="1"/>
  <c r="L162" i="11"/>
  <c r="G133" i="11"/>
  <c r="F133" i="11"/>
  <c r="C133" i="11"/>
  <c r="N133" i="11" s="1"/>
  <c r="J133" i="11"/>
  <c r="I133" i="11" s="1"/>
  <c r="H133" i="11"/>
  <c r="M133" i="11"/>
  <c r="K133" i="11"/>
  <c r="E133" i="11"/>
  <c r="L133" i="11"/>
  <c r="G86" i="11"/>
  <c r="C86" i="11"/>
  <c r="N86" i="11" s="1"/>
  <c r="J86" i="11"/>
  <c r="I86" i="11" s="1"/>
  <c r="K86" i="11"/>
  <c r="M86" i="11"/>
  <c r="L86" i="11"/>
  <c r="H86" i="11"/>
  <c r="F86" i="11"/>
  <c r="E86" i="11"/>
  <c r="G99" i="11"/>
  <c r="F99" i="11"/>
  <c r="C99" i="11"/>
  <c r="N99" i="11" s="1"/>
  <c r="M99" i="11"/>
  <c r="K99" i="11"/>
  <c r="E99" i="11"/>
  <c r="L99" i="11"/>
  <c r="J99" i="11"/>
  <c r="I99" i="11" s="1"/>
  <c r="H99" i="11"/>
  <c r="G96" i="11"/>
  <c r="F96" i="11"/>
  <c r="C96" i="11"/>
  <c r="N96" i="11" s="1"/>
  <c r="M96" i="11"/>
  <c r="K96" i="11"/>
  <c r="E96" i="11"/>
  <c r="L96" i="11"/>
  <c r="J96" i="11"/>
  <c r="I96" i="11" s="1"/>
  <c r="H96" i="11"/>
  <c r="G75" i="11"/>
  <c r="C75" i="11"/>
  <c r="N75" i="11" s="1"/>
  <c r="M75" i="11"/>
  <c r="H75" i="11"/>
  <c r="E75" i="11"/>
  <c r="J75" i="11"/>
  <c r="I75" i="11" s="1"/>
  <c r="K75" i="11"/>
  <c r="F75" i="11"/>
  <c r="L75" i="11"/>
  <c r="G82" i="11"/>
  <c r="C82" i="11"/>
  <c r="N82" i="11" s="1"/>
  <c r="J82" i="11"/>
  <c r="I82" i="11" s="1"/>
  <c r="K82" i="11"/>
  <c r="E82" i="11"/>
  <c r="M82" i="11"/>
  <c r="L82" i="11"/>
  <c r="H82" i="11"/>
  <c r="F82" i="11"/>
  <c r="G94" i="11"/>
  <c r="C94" i="11"/>
  <c r="N94" i="11" s="1"/>
  <c r="J94" i="11"/>
  <c r="I94" i="11" s="1"/>
  <c r="K94" i="11"/>
  <c r="M94" i="11"/>
  <c r="E94" i="11"/>
  <c r="L94" i="11"/>
  <c r="H94" i="11"/>
  <c r="F94" i="11"/>
  <c r="C10" i="11"/>
  <c r="L10" i="11"/>
  <c r="F10" i="11"/>
  <c r="E10" i="11"/>
  <c r="M10" i="11"/>
  <c r="K10" i="11"/>
  <c r="J10" i="11"/>
  <c r="G10" i="11"/>
  <c r="H10" i="11"/>
  <c r="G70" i="11"/>
  <c r="C70" i="11"/>
  <c r="N70" i="11" s="1"/>
  <c r="J70" i="11"/>
  <c r="I70" i="11" s="1"/>
  <c r="K70" i="11"/>
  <c r="M70" i="11"/>
  <c r="E70" i="11"/>
  <c r="L70" i="11"/>
  <c r="H70" i="11"/>
  <c r="F70" i="11"/>
  <c r="G84" i="11"/>
  <c r="C84" i="11"/>
  <c r="N84" i="11" s="1"/>
  <c r="K84" i="11"/>
  <c r="M84" i="11"/>
  <c r="L84" i="11"/>
  <c r="J84" i="11"/>
  <c r="I84" i="11" s="1"/>
  <c r="H84" i="11"/>
  <c r="F84" i="11"/>
  <c r="E84" i="11"/>
  <c r="G93" i="11"/>
  <c r="C93" i="11"/>
  <c r="N93" i="11" s="1"/>
  <c r="F93" i="11"/>
  <c r="L93" i="11"/>
  <c r="H93" i="11"/>
  <c r="J93" i="11"/>
  <c r="I93" i="11" s="1"/>
  <c r="K93" i="11"/>
  <c r="E93" i="11"/>
  <c r="M93" i="11"/>
  <c r="G97" i="11"/>
  <c r="F97" i="11"/>
  <c r="C97" i="11"/>
  <c r="N97" i="11" s="1"/>
  <c r="J97" i="11"/>
  <c r="I97" i="11" s="1"/>
  <c r="H97" i="11"/>
  <c r="K97" i="11"/>
  <c r="L97" i="11"/>
  <c r="M97" i="11"/>
  <c r="E97" i="11"/>
  <c r="G90" i="11"/>
  <c r="C90" i="11"/>
  <c r="N90" i="11" s="1"/>
  <c r="J90" i="11"/>
  <c r="I90" i="11" s="1"/>
  <c r="K90" i="11"/>
  <c r="M90" i="11"/>
  <c r="L90" i="11"/>
  <c r="H90" i="11"/>
  <c r="F90" i="11"/>
  <c r="E90" i="11"/>
  <c r="G163" i="11"/>
  <c r="F163" i="11"/>
  <c r="C163" i="11"/>
  <c r="N163" i="11" s="1"/>
  <c r="J163" i="11"/>
  <c r="I163" i="11" s="1"/>
  <c r="H163" i="11"/>
  <c r="M163" i="11"/>
  <c r="K163" i="11"/>
  <c r="L163" i="11"/>
  <c r="E163" i="11"/>
  <c r="G114" i="11"/>
  <c r="F114" i="11"/>
  <c r="C114" i="11"/>
  <c r="N114" i="11" s="1"/>
  <c r="M114" i="11"/>
  <c r="K114" i="11"/>
  <c r="E114" i="11"/>
  <c r="L114" i="11"/>
  <c r="H114" i="11"/>
  <c r="J114" i="11"/>
  <c r="I114" i="11" s="1"/>
  <c r="G124" i="11"/>
  <c r="F124" i="11"/>
  <c r="C124" i="11"/>
  <c r="N124" i="11" s="1"/>
  <c r="J124" i="11"/>
  <c r="I124" i="11" s="1"/>
  <c r="H124" i="11"/>
  <c r="M124" i="11"/>
  <c r="K124" i="11"/>
  <c r="L124" i="11"/>
  <c r="E124" i="11"/>
  <c r="C38" i="11"/>
  <c r="K38" i="11"/>
  <c r="M38" i="11"/>
  <c r="J38" i="11"/>
  <c r="G38" i="11"/>
  <c r="F38" i="11"/>
  <c r="H38" i="11"/>
  <c r="E38" i="11"/>
  <c r="L38" i="11"/>
  <c r="G180" i="11"/>
  <c r="F180" i="11"/>
  <c r="C180" i="11"/>
  <c r="N180" i="11" s="1"/>
  <c r="M180" i="11"/>
  <c r="L180" i="11"/>
  <c r="K180" i="11"/>
  <c r="E180" i="11"/>
  <c r="J180" i="11"/>
  <c r="I180" i="11" s="1"/>
  <c r="H180" i="11"/>
  <c r="G113" i="11"/>
  <c r="F113" i="11"/>
  <c r="C113" i="11"/>
  <c r="N113" i="11" s="1"/>
  <c r="M113" i="11"/>
  <c r="L113" i="11"/>
  <c r="E113" i="11"/>
  <c r="K113" i="11"/>
  <c r="J113" i="11"/>
  <c r="I113" i="11" s="1"/>
  <c r="H113" i="11"/>
  <c r="G55" i="11"/>
  <c r="C55" i="11"/>
  <c r="N55" i="11" s="1"/>
  <c r="M55" i="11"/>
  <c r="L55" i="11"/>
  <c r="K55" i="11"/>
  <c r="J55" i="11"/>
  <c r="I55" i="11" s="1"/>
  <c r="E55" i="11"/>
  <c r="H55" i="11"/>
  <c r="F55" i="11"/>
  <c r="G179" i="11"/>
  <c r="F179" i="11"/>
  <c r="C179" i="11"/>
  <c r="N179" i="11" s="1"/>
  <c r="M179" i="11"/>
  <c r="L179" i="11"/>
  <c r="H179" i="11"/>
  <c r="E179" i="11"/>
  <c r="K179" i="11"/>
  <c r="J179" i="11"/>
  <c r="I179" i="11" s="1"/>
  <c r="G65" i="11"/>
  <c r="C65" i="11"/>
  <c r="N65" i="11" s="1"/>
  <c r="L65" i="11"/>
  <c r="H65" i="11"/>
  <c r="M65" i="11"/>
  <c r="K65" i="11"/>
  <c r="J65" i="11"/>
  <c r="I65" i="11" s="1"/>
  <c r="F65" i="11"/>
  <c r="E65" i="11"/>
  <c r="G158" i="11"/>
  <c r="F158" i="11"/>
  <c r="C158" i="11"/>
  <c r="N158" i="11" s="1"/>
  <c r="M158" i="11"/>
  <c r="L158" i="11"/>
  <c r="E158" i="11"/>
  <c r="H158" i="11"/>
  <c r="K158" i="11"/>
  <c r="J158" i="11"/>
  <c r="I158" i="11" s="1"/>
  <c r="G171" i="11"/>
  <c r="F171" i="11"/>
  <c r="C171" i="11"/>
  <c r="N171" i="11" s="1"/>
  <c r="M171" i="11"/>
  <c r="K171" i="11"/>
  <c r="E171" i="11"/>
  <c r="L171" i="11"/>
  <c r="J171" i="11"/>
  <c r="I171" i="11" s="1"/>
  <c r="H171" i="11"/>
  <c r="G119" i="11"/>
  <c r="F119" i="11"/>
  <c r="C119" i="11"/>
  <c r="N119" i="11" s="1"/>
  <c r="M119" i="11"/>
  <c r="L119" i="11"/>
  <c r="E119" i="11"/>
  <c r="K119" i="11"/>
  <c r="J119" i="11"/>
  <c r="I119" i="11" s="1"/>
  <c r="H119" i="11"/>
  <c r="G78" i="11"/>
  <c r="C78" i="11"/>
  <c r="N78" i="11" s="1"/>
  <c r="J78" i="11"/>
  <c r="I78" i="11" s="1"/>
  <c r="K78" i="11"/>
  <c r="M78" i="11"/>
  <c r="E78" i="11"/>
  <c r="L78" i="11"/>
  <c r="H78" i="11"/>
  <c r="F78" i="11"/>
  <c r="G83" i="11"/>
  <c r="C83" i="11"/>
  <c r="N83" i="11" s="1"/>
  <c r="M83" i="11"/>
  <c r="H83" i="11"/>
  <c r="E83" i="11"/>
  <c r="J83" i="11"/>
  <c r="I83" i="11" s="1"/>
  <c r="K83" i="11"/>
  <c r="F83" i="11"/>
  <c r="L83" i="11"/>
  <c r="G50" i="11"/>
  <c r="C50" i="11"/>
  <c r="M50" i="11"/>
  <c r="L50" i="11"/>
  <c r="K50" i="11"/>
  <c r="J50" i="11"/>
  <c r="H50" i="11"/>
  <c r="F50" i="11"/>
  <c r="E50" i="11"/>
  <c r="C48" i="11"/>
  <c r="F48" i="11"/>
  <c r="H48" i="11"/>
  <c r="E48" i="11"/>
  <c r="G48" i="11"/>
  <c r="M48" i="11"/>
  <c r="L48" i="11"/>
  <c r="K48" i="11"/>
  <c r="J48" i="11"/>
  <c r="C40" i="11"/>
  <c r="K40" i="11"/>
  <c r="M40" i="11"/>
  <c r="L40" i="11"/>
  <c r="J40" i="11"/>
  <c r="H40" i="11"/>
  <c r="G40" i="11"/>
  <c r="F40" i="11"/>
  <c r="E40" i="11"/>
  <c r="G66" i="11"/>
  <c r="C66" i="11"/>
  <c r="N66" i="11" s="1"/>
  <c r="K66" i="11"/>
  <c r="E66" i="11"/>
  <c r="H66" i="11"/>
  <c r="M66" i="11"/>
  <c r="F66" i="11"/>
  <c r="L66" i="11"/>
  <c r="J66" i="11"/>
  <c r="I66" i="11" s="1"/>
  <c r="G64" i="11"/>
  <c r="K64" i="11"/>
  <c r="C64" i="11"/>
  <c r="N64" i="11" s="1"/>
  <c r="F64" i="11"/>
  <c r="J64" i="11"/>
  <c r="I64" i="11" s="1"/>
  <c r="E64" i="11"/>
  <c r="L64" i="11"/>
  <c r="M64" i="11"/>
  <c r="H64" i="11"/>
  <c r="G130" i="11"/>
  <c r="F130" i="11"/>
  <c r="C130" i="11"/>
  <c r="N130" i="11" s="1"/>
  <c r="J130" i="11"/>
  <c r="I130" i="11" s="1"/>
  <c r="H130" i="11"/>
  <c r="M130" i="11"/>
  <c r="K130" i="11"/>
  <c r="L130" i="11"/>
  <c r="E130" i="11"/>
  <c r="G181" i="11"/>
  <c r="F181" i="11"/>
  <c r="C181" i="11"/>
  <c r="N181" i="11" s="1"/>
  <c r="J181" i="11"/>
  <c r="I181" i="11" s="1"/>
  <c r="H181" i="11"/>
  <c r="M181" i="11"/>
  <c r="K181" i="11"/>
  <c r="E181" i="11"/>
  <c r="L181" i="11"/>
  <c r="C32" i="11"/>
  <c r="K32" i="11"/>
  <c r="H32" i="11"/>
  <c r="J32" i="11"/>
  <c r="G32" i="11"/>
  <c r="F32" i="11"/>
  <c r="M32" i="11"/>
  <c r="E32" i="11"/>
  <c r="L32" i="11"/>
  <c r="G67" i="11"/>
  <c r="C67" i="11"/>
  <c r="N67" i="11" s="1"/>
  <c r="H67" i="11"/>
  <c r="E67" i="11"/>
  <c r="L67" i="11"/>
  <c r="M67" i="11"/>
  <c r="K67" i="11"/>
  <c r="J67" i="11"/>
  <c r="I67" i="11" s="1"/>
  <c r="F67" i="11"/>
  <c r="G187" i="11"/>
  <c r="F187" i="11"/>
  <c r="C187" i="11"/>
  <c r="N187" i="11" s="1"/>
  <c r="J187" i="11"/>
  <c r="I187" i="11" s="1"/>
  <c r="H187" i="11"/>
  <c r="M187" i="11"/>
  <c r="K187" i="11"/>
  <c r="L187" i="11"/>
  <c r="E187" i="11"/>
  <c r="G116" i="11"/>
  <c r="F116" i="11"/>
  <c r="C116" i="11"/>
  <c r="N116" i="11" s="1"/>
  <c r="M116" i="11"/>
  <c r="L116" i="11"/>
  <c r="E116" i="11"/>
  <c r="K116" i="11"/>
  <c r="J116" i="11"/>
  <c r="I116" i="11" s="1"/>
  <c r="H116" i="11"/>
  <c r="G176" i="11"/>
  <c r="F176" i="11"/>
  <c r="C176" i="11"/>
  <c r="N176" i="11" s="1"/>
  <c r="M176" i="11"/>
  <c r="L176" i="11"/>
  <c r="E176" i="11"/>
  <c r="H176" i="11"/>
  <c r="J176" i="11"/>
  <c r="I176" i="11" s="1"/>
  <c r="K176" i="11"/>
  <c r="G102" i="11"/>
  <c r="F102" i="11"/>
  <c r="C102" i="11"/>
  <c r="N102" i="11" s="1"/>
  <c r="M102" i="11"/>
  <c r="K102" i="11"/>
  <c r="E102" i="11"/>
  <c r="L102" i="11"/>
  <c r="J102" i="11"/>
  <c r="I102" i="11" s="1"/>
  <c r="H102" i="11"/>
  <c r="G168" i="11"/>
  <c r="F168" i="11"/>
  <c r="C168" i="11"/>
  <c r="N168" i="11" s="1"/>
  <c r="M168" i="11"/>
  <c r="K168" i="11"/>
  <c r="E168" i="11"/>
  <c r="L168" i="11"/>
  <c r="J168" i="11"/>
  <c r="I168" i="11" s="1"/>
  <c r="H168" i="11"/>
  <c r="G188" i="11"/>
  <c r="F188" i="11"/>
  <c r="C188" i="11"/>
  <c r="N188" i="11" s="1"/>
  <c r="M188" i="11"/>
  <c r="L188" i="11"/>
  <c r="H188" i="11"/>
  <c r="E188" i="11"/>
  <c r="J188" i="11"/>
  <c r="I188" i="11" s="1"/>
  <c r="K188" i="11"/>
  <c r="G142" i="11"/>
  <c r="F142" i="11"/>
  <c r="C142" i="11"/>
  <c r="N142" i="11" s="1"/>
  <c r="J142" i="11"/>
  <c r="I142" i="11" s="1"/>
  <c r="H142" i="11"/>
  <c r="M142" i="11"/>
  <c r="K142" i="11"/>
  <c r="L142" i="11"/>
  <c r="E142" i="11"/>
  <c r="G174" i="11"/>
  <c r="F174" i="11"/>
  <c r="C174" i="11"/>
  <c r="N174" i="11" s="1"/>
  <c r="M174" i="11"/>
  <c r="K174" i="11"/>
  <c r="E174" i="11"/>
  <c r="L174" i="11"/>
  <c r="J174" i="11"/>
  <c r="I174" i="11" s="1"/>
  <c r="H174" i="11"/>
  <c r="G95" i="11"/>
  <c r="F95" i="11"/>
  <c r="C95" i="11"/>
  <c r="N95" i="11" s="1"/>
  <c r="L95" i="11"/>
  <c r="E95" i="11"/>
  <c r="K95" i="11"/>
  <c r="J95" i="11"/>
  <c r="I95" i="11" s="1"/>
  <c r="H95" i="11"/>
  <c r="M95" i="11"/>
  <c r="G49" i="11"/>
  <c r="C49" i="11"/>
  <c r="J49" i="11"/>
  <c r="H49" i="11"/>
  <c r="E49" i="11"/>
  <c r="F49" i="11"/>
  <c r="M49" i="11"/>
  <c r="L49" i="11"/>
  <c r="K49" i="11"/>
  <c r="G79" i="11"/>
  <c r="C79" i="11"/>
  <c r="N79" i="11" s="1"/>
  <c r="M79" i="11"/>
  <c r="H79" i="11"/>
  <c r="E79" i="11"/>
  <c r="J79" i="11"/>
  <c r="I79" i="11" s="1"/>
  <c r="F79" i="11"/>
  <c r="L79" i="11"/>
  <c r="K79" i="11"/>
  <c r="G88" i="11"/>
  <c r="C88" i="11"/>
  <c r="N88" i="11" s="1"/>
  <c r="K88" i="11"/>
  <c r="M88" i="11"/>
  <c r="L88" i="11"/>
  <c r="J88" i="11"/>
  <c r="I88" i="11" s="1"/>
  <c r="H88" i="11"/>
  <c r="F88" i="11"/>
  <c r="E88" i="11"/>
  <c r="G128" i="11"/>
  <c r="F128" i="11"/>
  <c r="C128" i="11"/>
  <c r="N128" i="11" s="1"/>
  <c r="M128" i="11"/>
  <c r="L128" i="11"/>
  <c r="E128" i="11"/>
  <c r="K128" i="11"/>
  <c r="J128" i="11"/>
  <c r="I128" i="11" s="1"/>
  <c r="H128" i="11"/>
  <c r="G125" i="11"/>
  <c r="F125" i="11"/>
  <c r="C125" i="11"/>
  <c r="N125" i="11" s="1"/>
  <c r="M125" i="11"/>
  <c r="L125" i="11"/>
  <c r="E125" i="11"/>
  <c r="K125" i="11"/>
  <c r="J125" i="11"/>
  <c r="I125" i="11" s="1"/>
  <c r="H125" i="11"/>
  <c r="G170" i="11"/>
  <c r="F170" i="11"/>
  <c r="C170" i="11"/>
  <c r="N170" i="11" s="1"/>
  <c r="M170" i="11"/>
  <c r="L170" i="11"/>
  <c r="E170" i="11"/>
  <c r="K170" i="11"/>
  <c r="J170" i="11"/>
  <c r="I170" i="11" s="1"/>
  <c r="H170" i="11"/>
  <c r="G53" i="11"/>
  <c r="C53" i="11"/>
  <c r="N53" i="11" s="1"/>
  <c r="J53" i="11"/>
  <c r="I53" i="11" s="1"/>
  <c r="L53" i="11"/>
  <c r="H53" i="11"/>
  <c r="F53" i="11"/>
  <c r="E53" i="11"/>
  <c r="M53" i="11"/>
  <c r="K53" i="11"/>
  <c r="G186" i="11"/>
  <c r="F186" i="11"/>
  <c r="C186" i="11"/>
  <c r="N186" i="11" s="1"/>
  <c r="M186" i="11"/>
  <c r="L186" i="11"/>
  <c r="K186" i="11"/>
  <c r="E186" i="11"/>
  <c r="J186" i="11"/>
  <c r="I186" i="11" s="1"/>
  <c r="H186" i="11"/>
  <c r="G123" i="11"/>
  <c r="F123" i="11"/>
  <c r="C123" i="11"/>
  <c r="N123" i="11" s="1"/>
  <c r="M123" i="11"/>
  <c r="K123" i="11"/>
  <c r="E123" i="11"/>
  <c r="L123" i="11"/>
  <c r="J123" i="11"/>
  <c r="I123" i="11" s="1"/>
  <c r="H123" i="11"/>
  <c r="H14" i="12" a="1"/>
  <c r="H14" i="12" s="1"/>
  <c r="G14" i="12" a="1"/>
  <c r="G14" i="12" s="1"/>
  <c r="C15" i="12"/>
  <c r="L14" i="12" a="1"/>
  <c r="L14" i="12" s="1"/>
  <c r="F14" i="12" a="1"/>
  <c r="F14" i="12" s="1"/>
  <c r="K14" i="12" a="1"/>
  <c r="K14" i="12" s="1"/>
  <c r="D14" i="12" a="1"/>
  <c r="D14" i="12" s="1"/>
  <c r="E14" i="12" s="1"/>
  <c r="J14" i="12" a="1"/>
  <c r="J14" i="12" s="1"/>
  <c r="I14" i="12" a="1"/>
  <c r="I14" i="12" s="1"/>
  <c r="G167" i="11"/>
  <c r="F167" i="11"/>
  <c r="C167" i="11"/>
  <c r="N167" i="11" s="1"/>
  <c r="M167" i="11"/>
  <c r="L167" i="11"/>
  <c r="E167" i="11"/>
  <c r="K167" i="11"/>
  <c r="J167" i="11"/>
  <c r="I167" i="11" s="1"/>
  <c r="H167" i="11"/>
  <c r="G194" i="11"/>
  <c r="F194" i="11"/>
  <c r="C194" i="11"/>
  <c r="N194" i="11" s="1"/>
  <c r="M194" i="11"/>
  <c r="L194" i="11"/>
  <c r="H194" i="11"/>
  <c r="E194" i="11"/>
  <c r="J194" i="11"/>
  <c r="I194" i="11" s="1"/>
  <c r="K194" i="11"/>
  <c r="X16" i="1"/>
  <c r="X17" i="1" s="1"/>
  <c r="W17" i="1" s="1"/>
  <c r="G54" i="11"/>
  <c r="C54" i="11"/>
  <c r="N54" i="11" s="1"/>
  <c r="M54" i="11"/>
  <c r="L54" i="11"/>
  <c r="J54" i="11"/>
  <c r="I54" i="11" s="1"/>
  <c r="K54" i="11"/>
  <c r="H54" i="11"/>
  <c r="F54" i="11"/>
  <c r="E54" i="11"/>
  <c r="G56" i="11"/>
  <c r="C56" i="11"/>
  <c r="N56" i="11" s="1"/>
  <c r="E56" i="11"/>
  <c r="F56" i="11"/>
  <c r="H56" i="11"/>
  <c r="M56" i="11"/>
  <c r="L56" i="11"/>
  <c r="K56" i="11"/>
  <c r="J56" i="11"/>
  <c r="I56" i="11" s="1"/>
  <c r="C47" i="11"/>
  <c r="M47" i="11"/>
  <c r="G47" i="11"/>
  <c r="L47" i="11"/>
  <c r="K47" i="11"/>
  <c r="E47" i="11"/>
  <c r="J47" i="11"/>
  <c r="H47" i="11"/>
  <c r="F47" i="11"/>
  <c r="G173" i="11"/>
  <c r="F173" i="11"/>
  <c r="C173" i="11"/>
  <c r="N173" i="11" s="1"/>
  <c r="M173" i="11"/>
  <c r="L173" i="11"/>
  <c r="E173" i="11"/>
  <c r="H173" i="11"/>
  <c r="K173" i="11"/>
  <c r="J173" i="11"/>
  <c r="I173" i="11" s="1"/>
  <c r="G172" i="11"/>
  <c r="F172" i="11"/>
  <c r="C172" i="11"/>
  <c r="N172" i="11" s="1"/>
  <c r="J172" i="11"/>
  <c r="I172" i="11" s="1"/>
  <c r="H172" i="11"/>
  <c r="M172" i="11"/>
  <c r="K172" i="11"/>
  <c r="L172" i="11"/>
  <c r="E172" i="11"/>
  <c r="G196" i="11"/>
  <c r="F196" i="11"/>
  <c r="C196" i="11"/>
  <c r="N196" i="11" s="1"/>
  <c r="J196" i="11"/>
  <c r="I196" i="11" s="1"/>
  <c r="H196" i="11"/>
  <c r="M196" i="11"/>
  <c r="K196" i="11"/>
  <c r="L196" i="11"/>
  <c r="E196" i="11"/>
  <c r="G81" i="11"/>
  <c r="C81" i="11"/>
  <c r="N81" i="11" s="1"/>
  <c r="F81" i="11"/>
  <c r="L81" i="11"/>
  <c r="H81" i="11"/>
  <c r="J81" i="11"/>
  <c r="I81" i="11" s="1"/>
  <c r="M81" i="11"/>
  <c r="E81" i="11"/>
  <c r="K81" i="11"/>
  <c r="G87" i="11"/>
  <c r="C87" i="11"/>
  <c r="N87" i="11" s="1"/>
  <c r="M87" i="11"/>
  <c r="H87" i="11"/>
  <c r="E87" i="11"/>
  <c r="J87" i="11"/>
  <c r="I87" i="11" s="1"/>
  <c r="F87" i="11"/>
  <c r="K87" i="11"/>
  <c r="L87" i="11"/>
  <c r="C19" i="11"/>
  <c r="H19" i="11"/>
  <c r="F19" i="11"/>
  <c r="E19" i="11"/>
  <c r="G19" i="11"/>
  <c r="K19" i="11"/>
  <c r="J19" i="11"/>
  <c r="L19" i="11"/>
  <c r="M19" i="11"/>
  <c r="G118" i="11"/>
  <c r="F118" i="11"/>
  <c r="C118" i="11"/>
  <c r="N118" i="11" s="1"/>
  <c r="J118" i="11"/>
  <c r="I118" i="11" s="1"/>
  <c r="H118" i="11"/>
  <c r="M118" i="11"/>
  <c r="K118" i="11"/>
  <c r="L118" i="11"/>
  <c r="E118" i="11"/>
  <c r="G129" i="11"/>
  <c r="F129" i="11"/>
  <c r="C129" i="11"/>
  <c r="N129" i="11" s="1"/>
  <c r="M129" i="11"/>
  <c r="K129" i="11"/>
  <c r="E129" i="11"/>
  <c r="J129" i="11"/>
  <c r="I129" i="11" s="1"/>
  <c r="H129" i="11"/>
  <c r="L129" i="11"/>
  <c r="G73" i="11"/>
  <c r="C73" i="11"/>
  <c r="N73" i="11" s="1"/>
  <c r="F73" i="11"/>
  <c r="L73" i="11"/>
  <c r="H73" i="11"/>
  <c r="J73" i="11"/>
  <c r="I73" i="11" s="1"/>
  <c r="M73" i="11"/>
  <c r="E73" i="11"/>
  <c r="K73" i="11"/>
  <c r="G147" i="11"/>
  <c r="F147" i="11"/>
  <c r="C147" i="11"/>
  <c r="N147" i="11" s="1"/>
  <c r="M147" i="11"/>
  <c r="K147" i="11"/>
  <c r="E147" i="11"/>
  <c r="J147" i="11"/>
  <c r="I147" i="11" s="1"/>
  <c r="H147" i="11"/>
  <c r="L147" i="11"/>
  <c r="G58" i="11"/>
  <c r="C58" i="11"/>
  <c r="N58" i="11" s="1"/>
  <c r="M58" i="11"/>
  <c r="L58" i="11"/>
  <c r="K58" i="11"/>
  <c r="J58" i="11"/>
  <c r="I58" i="11" s="1"/>
  <c r="H58" i="11"/>
  <c r="F58" i="11"/>
  <c r="E58" i="11"/>
  <c r="G59" i="11"/>
  <c r="C59" i="11"/>
  <c r="N59" i="11" s="1"/>
  <c r="M59" i="11"/>
  <c r="L59" i="11"/>
  <c r="K59" i="11"/>
  <c r="J59" i="11"/>
  <c r="I59" i="11" s="1"/>
  <c r="H59" i="11"/>
  <c r="F59" i="11"/>
  <c r="E59" i="11"/>
  <c r="C45" i="11"/>
  <c r="M45" i="11"/>
  <c r="L45" i="11"/>
  <c r="K45" i="11"/>
  <c r="J45" i="11"/>
  <c r="H45" i="11"/>
  <c r="G45" i="11"/>
  <c r="F45" i="11"/>
  <c r="E45" i="11"/>
  <c r="C37" i="11"/>
  <c r="H37" i="11"/>
  <c r="E37" i="11"/>
  <c r="J37" i="11"/>
  <c r="G37" i="11"/>
  <c r="F37" i="11"/>
  <c r="L37" i="11"/>
  <c r="M37" i="11"/>
  <c r="K37" i="11"/>
  <c r="G127" i="11"/>
  <c r="F127" i="11"/>
  <c r="C127" i="11"/>
  <c r="N127" i="11" s="1"/>
  <c r="J127" i="11"/>
  <c r="I127" i="11" s="1"/>
  <c r="H127" i="11"/>
  <c r="M127" i="11"/>
  <c r="K127" i="11"/>
  <c r="L127" i="11"/>
  <c r="E127" i="11"/>
  <c r="G193" i="11"/>
  <c r="F193" i="11"/>
  <c r="C193" i="11"/>
  <c r="N193" i="11" s="1"/>
  <c r="J193" i="11"/>
  <c r="I193" i="11" s="1"/>
  <c r="H193" i="11"/>
  <c r="M193" i="11"/>
  <c r="K193" i="11"/>
  <c r="L193" i="11"/>
  <c r="E193" i="11"/>
  <c r="G115" i="11"/>
  <c r="F115" i="11"/>
  <c r="C115" i="11"/>
  <c r="N115" i="11" s="1"/>
  <c r="J115" i="11"/>
  <c r="I115" i="11" s="1"/>
  <c r="H115" i="11"/>
  <c r="M115" i="11"/>
  <c r="K115" i="11"/>
  <c r="E115" i="11"/>
  <c r="L115" i="11"/>
  <c r="G112" i="11"/>
  <c r="F112" i="11"/>
  <c r="C112" i="11"/>
  <c r="N112" i="11" s="1"/>
  <c r="J112" i="11"/>
  <c r="I112" i="11" s="1"/>
  <c r="H112" i="11"/>
  <c r="M112" i="11"/>
  <c r="K112" i="11"/>
  <c r="L112" i="11"/>
  <c r="E112" i="11"/>
  <c r="G132" i="11"/>
  <c r="F132" i="11"/>
  <c r="C132" i="11"/>
  <c r="N132" i="11" s="1"/>
  <c r="M132" i="11"/>
  <c r="K132" i="11"/>
  <c r="E132" i="11"/>
  <c r="L132" i="11"/>
  <c r="J132" i="11"/>
  <c r="I132" i="11" s="1"/>
  <c r="H132" i="11"/>
  <c r="C17" i="11"/>
  <c r="M17" i="11"/>
  <c r="L17" i="11"/>
  <c r="K17" i="11"/>
  <c r="F17" i="11"/>
  <c r="E17" i="11"/>
  <c r="J17" i="11"/>
  <c r="H17" i="11"/>
  <c r="G17" i="11"/>
  <c r="G152" i="11"/>
  <c r="F152" i="11"/>
  <c r="C152" i="11"/>
  <c r="N152" i="11" s="1"/>
  <c r="M152" i="11"/>
  <c r="L152" i="11"/>
  <c r="E152" i="11"/>
  <c r="K152" i="11"/>
  <c r="J152" i="11"/>
  <c r="I152" i="11" s="1"/>
  <c r="H152" i="11"/>
  <c r="G185" i="11"/>
  <c r="F185" i="11"/>
  <c r="C185" i="11"/>
  <c r="N185" i="11" s="1"/>
  <c r="M185" i="11"/>
  <c r="L185" i="11"/>
  <c r="H185" i="11"/>
  <c r="E185" i="11"/>
  <c r="K185" i="11"/>
  <c r="J185" i="11"/>
  <c r="I185" i="11" s="1"/>
  <c r="G74" i="11"/>
  <c r="C74" i="11"/>
  <c r="N74" i="11" s="1"/>
  <c r="J74" i="11"/>
  <c r="I74" i="11" s="1"/>
  <c r="K74" i="11"/>
  <c r="M74" i="11"/>
  <c r="L74" i="11"/>
  <c r="H74" i="11"/>
  <c r="F74" i="11"/>
  <c r="E74" i="11"/>
  <c r="G190" i="11"/>
  <c r="F190" i="11"/>
  <c r="C190" i="11"/>
  <c r="N190" i="11" s="1"/>
  <c r="J190" i="11"/>
  <c r="I190" i="11" s="1"/>
  <c r="H190" i="11"/>
  <c r="M190" i="11"/>
  <c r="K190" i="11"/>
  <c r="L190" i="11"/>
  <c r="E190" i="11"/>
  <c r="G63" i="11"/>
  <c r="C63" i="11"/>
  <c r="N63" i="11" s="1"/>
  <c r="M63" i="11"/>
  <c r="L63" i="11"/>
  <c r="K63" i="11"/>
  <c r="J63" i="11"/>
  <c r="I63" i="11" s="1"/>
  <c r="H63" i="11"/>
  <c r="F63" i="11"/>
  <c r="E63" i="11"/>
  <c r="G166" i="11"/>
  <c r="F166" i="11"/>
  <c r="C166" i="11"/>
  <c r="N166" i="11" s="1"/>
  <c r="J166" i="11"/>
  <c r="I166" i="11" s="1"/>
  <c r="H166" i="11"/>
  <c r="M166" i="11"/>
  <c r="K166" i="11"/>
  <c r="L166" i="11"/>
  <c r="E166" i="11"/>
  <c r="C44" i="11"/>
  <c r="K44" i="11"/>
  <c r="M44" i="11"/>
  <c r="J44" i="11"/>
  <c r="G44" i="11"/>
  <c r="H44" i="11"/>
  <c r="F44" i="11"/>
  <c r="E44" i="11"/>
  <c r="L44" i="11"/>
  <c r="G52" i="11"/>
  <c r="C52" i="11"/>
  <c r="E52" i="11"/>
  <c r="H52" i="11"/>
  <c r="M52" i="11"/>
  <c r="F52" i="11"/>
  <c r="L52" i="11"/>
  <c r="K52" i="11"/>
  <c r="J52" i="11"/>
  <c r="G111" i="11"/>
  <c r="F111" i="11"/>
  <c r="C111" i="11"/>
  <c r="N111" i="11" s="1"/>
  <c r="M111" i="11"/>
  <c r="K111" i="11"/>
  <c r="E111" i="11"/>
  <c r="J111" i="11"/>
  <c r="I111" i="11" s="1"/>
  <c r="H111" i="11"/>
  <c r="L111" i="11"/>
  <c r="C41" i="11"/>
  <c r="E41" i="11"/>
  <c r="M41" i="11"/>
  <c r="L41" i="11"/>
  <c r="K41" i="11"/>
  <c r="F41" i="11"/>
  <c r="G41" i="11"/>
  <c r="J41" i="11"/>
  <c r="H41" i="11"/>
  <c r="G159" i="11"/>
  <c r="F159" i="11"/>
  <c r="C159" i="11"/>
  <c r="N159" i="11" s="1"/>
  <c r="M159" i="11"/>
  <c r="K159" i="11"/>
  <c r="E159" i="11"/>
  <c r="L159" i="11"/>
  <c r="J159" i="11"/>
  <c r="I159" i="11" s="1"/>
  <c r="H159" i="11"/>
  <c r="G131" i="11"/>
  <c r="F131" i="11"/>
  <c r="C131" i="11"/>
  <c r="N131" i="11" s="1"/>
  <c r="M131" i="11"/>
  <c r="L131" i="11"/>
  <c r="E131" i="11"/>
  <c r="K131" i="11"/>
  <c r="J131" i="11"/>
  <c r="I131" i="11" s="1"/>
  <c r="H131" i="11"/>
  <c r="G108" i="11"/>
  <c r="F108" i="11"/>
  <c r="C108" i="11"/>
  <c r="N108" i="11" s="1"/>
  <c r="M108" i="11"/>
  <c r="K108" i="11"/>
  <c r="E108" i="11"/>
  <c r="J108" i="11"/>
  <c r="I108" i="11" s="1"/>
  <c r="H108" i="11"/>
  <c r="L108" i="11"/>
  <c r="G139" i="11"/>
  <c r="F139" i="11"/>
  <c r="C139" i="11"/>
  <c r="N139" i="11" s="1"/>
  <c r="J139" i="11"/>
  <c r="I139" i="11" s="1"/>
  <c r="H139" i="11"/>
  <c r="M139" i="11"/>
  <c r="K139" i="11"/>
  <c r="L139" i="11"/>
  <c r="E139" i="11"/>
  <c r="G195" i="11"/>
  <c r="F195" i="11"/>
  <c r="C195" i="11"/>
  <c r="N195" i="11" s="1"/>
  <c r="M195" i="11"/>
  <c r="L195" i="11"/>
  <c r="K195" i="11"/>
  <c r="E195" i="11"/>
  <c r="J195" i="11"/>
  <c r="I195" i="11" s="1"/>
  <c r="H195" i="11"/>
  <c r="C30" i="11"/>
  <c r="F30" i="11"/>
  <c r="G30" i="11"/>
  <c r="E30" i="11"/>
  <c r="M30" i="11"/>
  <c r="J30" i="11"/>
  <c r="H30" i="11"/>
  <c r="L30" i="11"/>
  <c r="K30" i="11"/>
  <c r="G62" i="11"/>
  <c r="C62" i="11"/>
  <c r="N62" i="11" s="1"/>
  <c r="M62" i="11"/>
  <c r="L62" i="11"/>
  <c r="J62" i="11"/>
  <c r="I62" i="11" s="1"/>
  <c r="K62" i="11"/>
  <c r="H62" i="11"/>
  <c r="F62" i="11"/>
  <c r="E62" i="11"/>
  <c r="G144" i="11"/>
  <c r="F144" i="11"/>
  <c r="C144" i="11"/>
  <c r="N144" i="11" s="1"/>
  <c r="M144" i="11"/>
  <c r="K144" i="11"/>
  <c r="E144" i="11"/>
  <c r="J144" i="11"/>
  <c r="I144" i="11" s="1"/>
  <c r="H144" i="11"/>
  <c r="L144" i="11"/>
  <c r="C11" i="11"/>
  <c r="K11" i="11"/>
  <c r="F11" i="11"/>
  <c r="M11" i="11"/>
  <c r="L11" i="11"/>
  <c r="J11" i="11"/>
  <c r="E11" i="11"/>
  <c r="H11" i="11"/>
  <c r="G11" i="11"/>
  <c r="G106" i="11"/>
  <c r="F106" i="11"/>
  <c r="C106" i="11"/>
  <c r="N106" i="11" s="1"/>
  <c r="J106" i="11"/>
  <c r="I106" i="11" s="1"/>
  <c r="H106" i="11"/>
  <c r="M106" i="11"/>
  <c r="K106" i="11"/>
  <c r="L106" i="11"/>
  <c r="E106" i="11"/>
  <c r="G80" i="11"/>
  <c r="C80" i="11"/>
  <c r="N80" i="11" s="1"/>
  <c r="K80" i="11"/>
  <c r="M80" i="11"/>
  <c r="L80" i="11"/>
  <c r="E80" i="11"/>
  <c r="J80" i="11"/>
  <c r="I80" i="11" s="1"/>
  <c r="H80" i="11"/>
  <c r="F80" i="11"/>
  <c r="G57" i="11"/>
  <c r="C57" i="11"/>
  <c r="N57" i="11" s="1"/>
  <c r="J57" i="11"/>
  <c r="I57" i="11" s="1"/>
  <c r="E57" i="11"/>
  <c r="H57" i="11"/>
  <c r="F57" i="11"/>
  <c r="M57" i="11"/>
  <c r="L57" i="11"/>
  <c r="K57" i="11"/>
  <c r="G120" i="11"/>
  <c r="F120" i="11"/>
  <c r="C120" i="11"/>
  <c r="N120" i="11" s="1"/>
  <c r="M120" i="11"/>
  <c r="K120" i="11"/>
  <c r="E120" i="11"/>
  <c r="L120" i="11"/>
  <c r="J120" i="11"/>
  <c r="I120" i="11" s="1"/>
  <c r="H120" i="11"/>
  <c r="G169" i="11"/>
  <c r="F169" i="11"/>
  <c r="C169" i="11"/>
  <c r="N169" i="11" s="1"/>
  <c r="J169" i="11"/>
  <c r="I169" i="11" s="1"/>
  <c r="H169" i="11"/>
  <c r="M169" i="11"/>
  <c r="K169" i="11"/>
  <c r="L169" i="11"/>
  <c r="E169" i="11"/>
  <c r="G141" i="11"/>
  <c r="F141" i="11"/>
  <c r="C141" i="11"/>
  <c r="N141" i="11" s="1"/>
  <c r="M141" i="11"/>
  <c r="K141" i="11"/>
  <c r="E141" i="11"/>
  <c r="H141" i="11"/>
  <c r="L141" i="11"/>
  <c r="J141" i="11"/>
  <c r="I141" i="11" s="1"/>
  <c r="G165" i="11"/>
  <c r="F165" i="11"/>
  <c r="C165" i="11"/>
  <c r="N165" i="11" s="1"/>
  <c r="M165" i="11"/>
  <c r="K165" i="11"/>
  <c r="E165" i="11"/>
  <c r="J165" i="11"/>
  <c r="I165" i="11" s="1"/>
  <c r="L165" i="11"/>
  <c r="H165" i="11"/>
  <c r="G189" i="11"/>
  <c r="F189" i="11"/>
  <c r="C189" i="11"/>
  <c r="N189" i="11" s="1"/>
  <c r="M189" i="11"/>
  <c r="L189" i="11"/>
  <c r="K189" i="11"/>
  <c r="E189" i="11"/>
  <c r="J189" i="11"/>
  <c r="I189" i="11" s="1"/>
  <c r="H189" i="11"/>
  <c r="G134" i="11"/>
  <c r="F134" i="11"/>
  <c r="C134" i="11"/>
  <c r="N134" i="11" s="1"/>
  <c r="M134" i="11"/>
  <c r="L134" i="11"/>
  <c r="E134" i="11"/>
  <c r="K134" i="11"/>
  <c r="J134" i="11"/>
  <c r="I134" i="11" s="1"/>
  <c r="H134" i="11"/>
  <c r="G177" i="11"/>
  <c r="F177" i="11"/>
  <c r="C177" i="11"/>
  <c r="N177" i="11" s="1"/>
  <c r="M177" i="11"/>
  <c r="L177" i="11"/>
  <c r="K177" i="11"/>
  <c r="E177" i="11"/>
  <c r="J177" i="11"/>
  <c r="I177" i="11" s="1"/>
  <c r="H177" i="11"/>
  <c r="C23" i="11"/>
  <c r="M23" i="11"/>
  <c r="L23" i="11"/>
  <c r="K23" i="11"/>
  <c r="F23" i="11"/>
  <c r="E23" i="11"/>
  <c r="J23" i="11"/>
  <c r="H23" i="11"/>
  <c r="G23" i="11"/>
  <c r="C26" i="11"/>
  <c r="K26" i="11"/>
  <c r="M26" i="11"/>
  <c r="J26" i="11"/>
  <c r="G26" i="11"/>
  <c r="H26" i="11"/>
  <c r="F26" i="11"/>
  <c r="L26" i="11"/>
  <c r="E26" i="11"/>
  <c r="G101" i="11"/>
  <c r="F101" i="11"/>
  <c r="C101" i="11"/>
  <c r="N101" i="11" s="1"/>
  <c r="M101" i="11"/>
  <c r="L101" i="11"/>
  <c r="E101" i="11"/>
  <c r="H101" i="11"/>
  <c r="K101" i="11"/>
  <c r="J101" i="11"/>
  <c r="I101" i="11" s="1"/>
  <c r="G140" i="11"/>
  <c r="F140" i="11"/>
  <c r="C140" i="11"/>
  <c r="N140" i="11" s="1"/>
  <c r="M140" i="11"/>
  <c r="L140" i="11"/>
  <c r="E140" i="11"/>
  <c r="H140" i="11"/>
  <c r="J140" i="11"/>
  <c r="I140" i="11" s="1"/>
  <c r="K140" i="11"/>
  <c r="G146" i="11"/>
  <c r="F146" i="11"/>
  <c r="C146" i="11"/>
  <c r="N146" i="11" s="1"/>
  <c r="M146" i="11"/>
  <c r="L146" i="11"/>
  <c r="E146" i="11"/>
  <c r="K146" i="11"/>
  <c r="J146" i="11"/>
  <c r="I146" i="11" s="1"/>
  <c r="H146" i="11"/>
  <c r="G143" i="11"/>
  <c r="F143" i="11"/>
  <c r="C143" i="11"/>
  <c r="N143" i="11" s="1"/>
  <c r="M143" i="11"/>
  <c r="L143" i="11"/>
  <c r="E143" i="11"/>
  <c r="K143" i="11"/>
  <c r="J143" i="11"/>
  <c r="I143" i="11" s="1"/>
  <c r="H143" i="11"/>
  <c r="G76" i="11"/>
  <c r="C76" i="11"/>
  <c r="N76" i="11" s="1"/>
  <c r="K76" i="11"/>
  <c r="M76" i="11"/>
  <c r="L76" i="11"/>
  <c r="J76" i="11"/>
  <c r="I76" i="11" s="1"/>
  <c r="H76" i="11"/>
  <c r="F76" i="11"/>
  <c r="E76" i="11"/>
  <c r="G104" i="11"/>
  <c r="F104" i="11"/>
  <c r="C104" i="11"/>
  <c r="N104" i="11" s="1"/>
  <c r="M104" i="11"/>
  <c r="L104" i="11"/>
  <c r="E104" i="11"/>
  <c r="H104" i="11"/>
  <c r="K104" i="11"/>
  <c r="J104" i="11"/>
  <c r="I104" i="11" s="1"/>
  <c r="G72" i="11"/>
  <c r="C72" i="11"/>
  <c r="N72" i="11" s="1"/>
  <c r="K72" i="11"/>
  <c r="M72" i="11"/>
  <c r="L72" i="11"/>
  <c r="J72" i="11"/>
  <c r="I72" i="11" s="1"/>
  <c r="H72" i="11"/>
  <c r="F72" i="11"/>
  <c r="E72" i="11"/>
  <c r="C9" i="11"/>
  <c r="M9" i="11"/>
  <c r="L9" i="11"/>
  <c r="K9" i="11"/>
  <c r="J9" i="11"/>
  <c r="F9" i="11"/>
  <c r="E9" i="11"/>
  <c r="H9" i="11"/>
  <c r="G9" i="11"/>
  <c r="G184" i="11"/>
  <c r="F184" i="11"/>
  <c r="C184" i="11"/>
  <c r="N184" i="11" s="1"/>
  <c r="J184" i="11"/>
  <c r="I184" i="11" s="1"/>
  <c r="H184" i="11"/>
  <c r="M184" i="11"/>
  <c r="K184" i="11"/>
  <c r="L184" i="11"/>
  <c r="E184" i="11"/>
  <c r="C33" i="11"/>
  <c r="M33" i="11"/>
  <c r="J33" i="11"/>
  <c r="L33" i="11"/>
  <c r="K33" i="11"/>
  <c r="H33" i="11"/>
  <c r="G33" i="11"/>
  <c r="F33" i="11"/>
  <c r="E33" i="11"/>
  <c r="C27" i="11"/>
  <c r="M27" i="11"/>
  <c r="K27" i="11"/>
  <c r="L27" i="11"/>
  <c r="J27" i="11"/>
  <c r="H27" i="11"/>
  <c r="G27" i="11"/>
  <c r="F27" i="11"/>
  <c r="E27" i="11"/>
  <c r="G126" i="11"/>
  <c r="F126" i="11"/>
  <c r="C126" i="11"/>
  <c r="N126" i="11" s="1"/>
  <c r="M126" i="11"/>
  <c r="K126" i="11"/>
  <c r="E126" i="11"/>
  <c r="H126" i="11"/>
  <c r="J126" i="11"/>
  <c r="I126" i="11" s="1"/>
  <c r="L126" i="11"/>
  <c r="G117" i="11"/>
  <c r="F117" i="11"/>
  <c r="C117" i="11"/>
  <c r="N117" i="11" s="1"/>
  <c r="M117" i="11"/>
  <c r="K117" i="11"/>
  <c r="E117" i="11"/>
  <c r="L117" i="11"/>
  <c r="J117" i="11"/>
  <c r="I117" i="11" s="1"/>
  <c r="H117" i="11"/>
  <c r="G149" i="11"/>
  <c r="F149" i="11"/>
  <c r="C149" i="11"/>
  <c r="N149" i="11" s="1"/>
  <c r="M149" i="11"/>
  <c r="L149" i="11"/>
  <c r="E149" i="11"/>
  <c r="K149" i="11"/>
  <c r="J149" i="11"/>
  <c r="I149" i="11" s="1"/>
  <c r="H149" i="11"/>
  <c r="G122" i="11"/>
  <c r="F122" i="11"/>
  <c r="C122" i="11"/>
  <c r="N122" i="11" s="1"/>
  <c r="M122" i="11"/>
  <c r="L122" i="11"/>
  <c r="E122" i="11"/>
  <c r="H122" i="11"/>
  <c r="K122" i="11"/>
  <c r="J122" i="11"/>
  <c r="I122" i="11" s="1"/>
  <c r="N43" i="11"/>
  <c r="G135" i="11"/>
  <c r="F135" i="11"/>
  <c r="C135" i="11"/>
  <c r="N135" i="11" s="1"/>
  <c r="M135" i="11"/>
  <c r="K135" i="11"/>
  <c r="E135" i="11"/>
  <c r="L135" i="11"/>
  <c r="J135" i="11"/>
  <c r="I135" i="11" s="1"/>
  <c r="H135" i="11"/>
  <c r="G107" i="11"/>
  <c r="F107" i="11"/>
  <c r="C107" i="11"/>
  <c r="N107" i="11" s="1"/>
  <c r="M107" i="11"/>
  <c r="L107" i="11"/>
  <c r="E107" i="11"/>
  <c r="K107" i="11"/>
  <c r="J107" i="11"/>
  <c r="I107" i="11" s="1"/>
  <c r="H107" i="11"/>
  <c r="G71" i="11"/>
  <c r="C71" i="11"/>
  <c r="N71" i="11" s="1"/>
  <c r="M71" i="11"/>
  <c r="H71" i="11"/>
  <c r="E71" i="11"/>
  <c r="J71" i="11"/>
  <c r="I71" i="11" s="1"/>
  <c r="L71" i="11"/>
  <c r="F71" i="11"/>
  <c r="K71" i="11"/>
  <c r="G153" i="11"/>
  <c r="F153" i="11"/>
  <c r="C153" i="11"/>
  <c r="N153" i="11" s="1"/>
  <c r="M153" i="11"/>
  <c r="K153" i="11"/>
  <c r="E153" i="11"/>
  <c r="L153" i="11"/>
  <c r="J153" i="11"/>
  <c r="I153" i="11" s="1"/>
  <c r="H153" i="11"/>
  <c r="G178" i="11"/>
  <c r="F178" i="11"/>
  <c r="C178" i="11"/>
  <c r="N178" i="11" s="1"/>
  <c r="J178" i="11"/>
  <c r="I178" i="11" s="1"/>
  <c r="H178" i="11"/>
  <c r="M178" i="11"/>
  <c r="K178" i="11"/>
  <c r="L178" i="11"/>
  <c r="E178" i="11"/>
  <c r="G68" i="11"/>
  <c r="C68" i="11"/>
  <c r="N68" i="11" s="1"/>
  <c r="K68" i="11"/>
  <c r="M68" i="11"/>
  <c r="L68" i="11"/>
  <c r="J68" i="11"/>
  <c r="I68" i="11" s="1"/>
  <c r="H68" i="11"/>
  <c r="F68" i="11"/>
  <c r="E68" i="11"/>
  <c r="G110" i="11"/>
  <c r="F110" i="11"/>
  <c r="C110" i="11"/>
  <c r="N110" i="11" s="1"/>
  <c r="M110" i="11"/>
  <c r="L110" i="11"/>
  <c r="E110" i="11"/>
  <c r="K110" i="11"/>
  <c r="J110" i="11"/>
  <c r="I110" i="11" s="1"/>
  <c r="H110" i="11"/>
  <c r="C29" i="11"/>
  <c r="M29" i="11"/>
  <c r="F29" i="11"/>
  <c r="L29" i="11"/>
  <c r="K29" i="11"/>
  <c r="J29" i="11"/>
  <c r="H29" i="11"/>
  <c r="G29" i="11"/>
  <c r="E29" i="11"/>
  <c r="G156" i="11"/>
  <c r="F156" i="11"/>
  <c r="C156" i="11"/>
  <c r="N156" i="11" s="1"/>
  <c r="M156" i="11"/>
  <c r="K156" i="11"/>
  <c r="E156" i="11"/>
  <c r="L156" i="11"/>
  <c r="J156" i="11"/>
  <c r="I156" i="11" s="1"/>
  <c r="H156" i="11"/>
  <c r="G85" i="11"/>
  <c r="C85" i="11"/>
  <c r="N85" i="11" s="1"/>
  <c r="F85" i="11"/>
  <c r="L85" i="11"/>
  <c r="H85" i="11"/>
  <c r="J85" i="11"/>
  <c r="I85" i="11" s="1"/>
  <c r="M85" i="11"/>
  <c r="E85" i="11"/>
  <c r="K85" i="11"/>
  <c r="G98" i="11"/>
  <c r="F98" i="11"/>
  <c r="C98" i="11"/>
  <c r="N98" i="11" s="1"/>
  <c r="L98" i="11"/>
  <c r="E98" i="11"/>
  <c r="H98" i="11"/>
  <c r="J98" i="11"/>
  <c r="I98" i="11" s="1"/>
  <c r="K98" i="11"/>
  <c r="M98" i="11"/>
  <c r="G148" i="11"/>
  <c r="F148" i="11"/>
  <c r="C148" i="11"/>
  <c r="N148" i="11" s="1"/>
  <c r="J148" i="11"/>
  <c r="I148" i="11" s="1"/>
  <c r="H148" i="11"/>
  <c r="M148" i="11"/>
  <c r="K148" i="11"/>
  <c r="L148" i="11"/>
  <c r="E148" i="11"/>
  <c r="C36" i="11"/>
  <c r="F36" i="11"/>
  <c r="E36" i="11"/>
  <c r="M36" i="11"/>
  <c r="J36" i="11"/>
  <c r="H36" i="11"/>
  <c r="L36" i="11"/>
  <c r="K36" i="11"/>
  <c r="G36" i="11"/>
  <c r="C16" i="11"/>
  <c r="L16" i="11"/>
  <c r="M16" i="11"/>
  <c r="E16" i="11"/>
  <c r="F16" i="11"/>
  <c r="K16" i="11"/>
  <c r="J16" i="11"/>
  <c r="H16" i="11"/>
  <c r="G16" i="11"/>
  <c r="C46" i="11"/>
  <c r="L46" i="11"/>
  <c r="K46" i="11"/>
  <c r="E46" i="11"/>
  <c r="M46" i="11"/>
  <c r="J46" i="11"/>
  <c r="H46" i="11"/>
  <c r="G46" i="11"/>
  <c r="F46" i="11"/>
  <c r="C18" i="11"/>
  <c r="F18" i="11"/>
  <c r="G18" i="11"/>
  <c r="E18" i="11"/>
  <c r="J18" i="11"/>
  <c r="M18" i="11"/>
  <c r="L18" i="11"/>
  <c r="K18" i="11"/>
  <c r="H18" i="11"/>
  <c r="G121" i="11"/>
  <c r="F121" i="11"/>
  <c r="C121" i="11"/>
  <c r="N121" i="11" s="1"/>
  <c r="J121" i="11"/>
  <c r="I121" i="11" s="1"/>
  <c r="H121" i="11"/>
  <c r="M121" i="11"/>
  <c r="K121" i="11"/>
  <c r="L121" i="11"/>
  <c r="E121" i="11"/>
  <c r="G183" i="11"/>
  <c r="F183" i="11"/>
  <c r="C183" i="11"/>
  <c r="N183" i="11" s="1"/>
  <c r="M183" i="11"/>
  <c r="L183" i="11"/>
  <c r="K183" i="11"/>
  <c r="E183" i="11"/>
  <c r="J183" i="11"/>
  <c r="I183" i="11" s="1"/>
  <c r="H183" i="11"/>
  <c r="G151" i="11"/>
  <c r="F151" i="11"/>
  <c r="C151" i="11"/>
  <c r="N151" i="11" s="1"/>
  <c r="J151" i="11"/>
  <c r="I151" i="11" s="1"/>
  <c r="H151" i="11"/>
  <c r="M151" i="11"/>
  <c r="K151" i="11"/>
  <c r="E151" i="11"/>
  <c r="L151" i="11"/>
  <c r="C31" i="11"/>
  <c r="H31" i="11"/>
  <c r="G31" i="11"/>
  <c r="F31" i="11"/>
  <c r="E31" i="11"/>
  <c r="J31" i="11"/>
  <c r="L31" i="11"/>
  <c r="M31" i="11"/>
  <c r="K31" i="11"/>
  <c r="G192" i="11"/>
  <c r="F192" i="11"/>
  <c r="C192" i="11"/>
  <c r="N192" i="11" s="1"/>
  <c r="M192" i="11"/>
  <c r="L192" i="11"/>
  <c r="K192" i="11"/>
  <c r="E192" i="11"/>
  <c r="J192" i="11"/>
  <c r="I192" i="11" s="1"/>
  <c r="H192" i="11"/>
  <c r="G198" i="11"/>
  <c r="F198" i="11"/>
  <c r="C198" i="11"/>
  <c r="N198" i="11" s="1"/>
  <c r="M198" i="11"/>
  <c r="L198" i="11"/>
  <c r="K198" i="11"/>
  <c r="E198" i="11"/>
  <c r="J198" i="11"/>
  <c r="I198" i="11" s="1"/>
  <c r="H198" i="11"/>
  <c r="C20" i="11"/>
  <c r="K20" i="11"/>
  <c r="M20" i="11"/>
  <c r="J20" i="11"/>
  <c r="H20" i="11"/>
  <c r="G20" i="11"/>
  <c r="F20" i="11"/>
  <c r="E20" i="11"/>
  <c r="L20" i="11"/>
  <c r="G51" i="11"/>
  <c r="C51" i="11"/>
  <c r="M51" i="11"/>
  <c r="L51" i="11"/>
  <c r="E51" i="11"/>
  <c r="K51" i="11"/>
  <c r="J51" i="11"/>
  <c r="H51" i="11"/>
  <c r="F51" i="11"/>
  <c r="G100" i="11"/>
  <c r="F100" i="11"/>
  <c r="C100" i="11"/>
  <c r="N100" i="11" s="1"/>
  <c r="J100" i="11"/>
  <c r="I100" i="11" s="1"/>
  <c r="H100" i="11"/>
  <c r="K100" i="11"/>
  <c r="M100" i="11"/>
  <c r="L100" i="11"/>
  <c r="E100" i="11"/>
  <c r="G77" i="11"/>
  <c r="C77" i="11"/>
  <c r="N77" i="11" s="1"/>
  <c r="F77" i="11"/>
  <c r="L77" i="11"/>
  <c r="H77" i="11"/>
  <c r="J77" i="11"/>
  <c r="I77" i="11" s="1"/>
  <c r="E77" i="11"/>
  <c r="K77" i="11"/>
  <c r="M77" i="11"/>
  <c r="G105" i="11"/>
  <c r="F105" i="11"/>
  <c r="C105" i="11"/>
  <c r="N105" i="11" s="1"/>
  <c r="M105" i="11"/>
  <c r="K105" i="11"/>
  <c r="E105" i="11"/>
  <c r="L105" i="11"/>
  <c r="J105" i="11"/>
  <c r="I105" i="11" s="1"/>
  <c r="H105" i="11"/>
  <c r="G161" i="11"/>
  <c r="F161" i="11"/>
  <c r="C161" i="11"/>
  <c r="N161" i="11" s="1"/>
  <c r="M161" i="11"/>
  <c r="L161" i="11"/>
  <c r="E161" i="11"/>
  <c r="K161" i="11"/>
  <c r="J161" i="11"/>
  <c r="I161" i="11" s="1"/>
  <c r="H161" i="11"/>
  <c r="G91" i="11"/>
  <c r="C91" i="11"/>
  <c r="N91" i="11" s="1"/>
  <c r="M91" i="11"/>
  <c r="H91" i="11"/>
  <c r="E91" i="11"/>
  <c r="J91" i="11"/>
  <c r="I91" i="11" s="1"/>
  <c r="L91" i="11"/>
  <c r="F91" i="11"/>
  <c r="K91" i="11"/>
  <c r="G160" i="11"/>
  <c r="F160" i="11"/>
  <c r="C160" i="11"/>
  <c r="N160" i="11" s="1"/>
  <c r="J160" i="11"/>
  <c r="I160" i="11" s="1"/>
  <c r="H160" i="11"/>
  <c r="M160" i="11"/>
  <c r="K160" i="11"/>
  <c r="L160" i="11"/>
  <c r="E160" i="11"/>
  <c r="G175" i="11"/>
  <c r="F175" i="11"/>
  <c r="C175" i="11"/>
  <c r="N175" i="11" s="1"/>
  <c r="J175" i="11"/>
  <c r="I175" i="11" s="1"/>
  <c r="H175" i="11"/>
  <c r="M175" i="11"/>
  <c r="K175" i="11"/>
  <c r="L175" i="11"/>
  <c r="E175" i="11"/>
  <c r="G137" i="11"/>
  <c r="F137" i="11"/>
  <c r="C137" i="11"/>
  <c r="N137" i="11" s="1"/>
  <c r="M137" i="11"/>
  <c r="L137" i="11"/>
  <c r="E137" i="11"/>
  <c r="H137" i="11"/>
  <c r="K137" i="11"/>
  <c r="J137" i="11"/>
  <c r="I137" i="11" s="1"/>
  <c r="G138" i="11"/>
  <c r="F138" i="11"/>
  <c r="C138" i="11"/>
  <c r="N138" i="11" s="1"/>
  <c r="M138" i="11"/>
  <c r="K138" i="11"/>
  <c r="E138" i="11"/>
  <c r="L138" i="11"/>
  <c r="J138" i="11"/>
  <c r="I138" i="11" s="1"/>
  <c r="H138" i="11"/>
  <c r="G155" i="11"/>
  <c r="F155" i="11"/>
  <c r="C155" i="11"/>
  <c r="N155" i="11" s="1"/>
  <c r="M155" i="11"/>
  <c r="L155" i="11"/>
  <c r="E155" i="11"/>
  <c r="H155" i="11"/>
  <c r="K155" i="11"/>
  <c r="J155" i="11"/>
  <c r="I155" i="11" s="1"/>
  <c r="G60" i="11"/>
  <c r="C60" i="11"/>
  <c r="N60" i="11" s="1"/>
  <c r="E60" i="11"/>
  <c r="F60" i="11"/>
  <c r="H60" i="11"/>
  <c r="M60" i="11"/>
  <c r="L60" i="11"/>
  <c r="K60" i="11"/>
  <c r="J60" i="11"/>
  <c r="I60" i="11" s="1"/>
  <c r="C21" i="11"/>
  <c r="M21" i="11"/>
  <c r="L21" i="11"/>
  <c r="K21" i="11"/>
  <c r="J21" i="11"/>
  <c r="H21" i="11"/>
  <c r="G21" i="11"/>
  <c r="F21" i="11"/>
  <c r="E21" i="11"/>
  <c r="C25" i="11"/>
  <c r="H25" i="11"/>
  <c r="G25" i="11"/>
  <c r="F25" i="11"/>
  <c r="L25" i="11"/>
  <c r="E25" i="11"/>
  <c r="M25" i="11"/>
  <c r="K25" i="11"/>
  <c r="J25" i="11"/>
  <c r="G89" i="11"/>
  <c r="C89" i="11"/>
  <c r="N89" i="11" s="1"/>
  <c r="F89" i="11"/>
  <c r="L89" i="11"/>
  <c r="H89" i="11"/>
  <c r="J89" i="11"/>
  <c r="I89" i="11" s="1"/>
  <c r="E89" i="11"/>
  <c r="M89" i="11"/>
  <c r="K89" i="11"/>
  <c r="G136" i="11"/>
  <c r="F136" i="11"/>
  <c r="C136" i="11"/>
  <c r="N136" i="11" s="1"/>
  <c r="J136" i="11"/>
  <c r="I136" i="11" s="1"/>
  <c r="H136" i="11"/>
  <c r="M136" i="11"/>
  <c r="K136" i="11"/>
  <c r="L136" i="11"/>
  <c r="E136" i="11"/>
  <c r="C12" i="11"/>
  <c r="M12" i="11"/>
  <c r="L12" i="11"/>
  <c r="K12" i="11"/>
  <c r="F12" i="11"/>
  <c r="J12" i="11"/>
  <c r="G12" i="11"/>
  <c r="H12" i="11"/>
  <c r="E12" i="11"/>
  <c r="G154" i="11"/>
  <c r="F154" i="11"/>
  <c r="C154" i="11"/>
  <c r="N154" i="11" s="1"/>
  <c r="J154" i="11"/>
  <c r="I154" i="11" s="1"/>
  <c r="H154" i="11"/>
  <c r="M154" i="11"/>
  <c r="K154" i="11"/>
  <c r="L154" i="11"/>
  <c r="E154" i="11"/>
  <c r="C14" i="11"/>
  <c r="M14" i="11"/>
  <c r="L14" i="11"/>
  <c r="E14" i="11"/>
  <c r="K14" i="11"/>
  <c r="J14" i="11"/>
  <c r="F14" i="11"/>
  <c r="H14" i="11"/>
  <c r="G14" i="11"/>
  <c r="G157" i="11"/>
  <c r="F157" i="11"/>
  <c r="C157" i="11"/>
  <c r="N157" i="11" s="1"/>
  <c r="J157" i="11"/>
  <c r="I157" i="11" s="1"/>
  <c r="H157" i="11"/>
  <c r="M157" i="11"/>
  <c r="K157" i="11"/>
  <c r="L157" i="11"/>
  <c r="E157" i="11"/>
  <c r="C39" i="11"/>
  <c r="M39" i="11"/>
  <c r="L39" i="11"/>
  <c r="K39" i="11"/>
  <c r="J39" i="11"/>
  <c r="H39" i="11"/>
  <c r="G39" i="11"/>
  <c r="F39" i="11"/>
  <c r="E39" i="11"/>
  <c r="C24" i="11"/>
  <c r="F24" i="11"/>
  <c r="G24" i="11"/>
  <c r="E24" i="11"/>
  <c r="M24" i="11"/>
  <c r="K24" i="11"/>
  <c r="J24" i="11"/>
  <c r="L24" i="11"/>
  <c r="H24" i="11"/>
  <c r="G145" i="11"/>
  <c r="F145" i="11"/>
  <c r="C145" i="11"/>
  <c r="N145" i="11" s="1"/>
  <c r="J145" i="11"/>
  <c r="I145" i="11" s="1"/>
  <c r="H145" i="11"/>
  <c r="M145" i="11"/>
  <c r="K145" i="11"/>
  <c r="L145" i="11"/>
  <c r="E145" i="11"/>
  <c r="C13" i="11"/>
  <c r="M13" i="11"/>
  <c r="K13" i="11"/>
  <c r="L13" i="11"/>
  <c r="J13" i="11"/>
  <c r="E13" i="11"/>
  <c r="H13" i="11"/>
  <c r="G13" i="11"/>
  <c r="F13" i="11"/>
  <c r="G182" i="11"/>
  <c r="F182" i="11"/>
  <c r="C182" i="11"/>
  <c r="N182" i="11" s="1"/>
  <c r="M182" i="11"/>
  <c r="L182" i="11"/>
  <c r="H182" i="11"/>
  <c r="E182" i="11"/>
  <c r="K182" i="11"/>
  <c r="J182" i="11"/>
  <c r="I182" i="11" s="1"/>
  <c r="W15" i="1"/>
  <c r="I40" i="11" l="1"/>
  <c r="X18" i="1"/>
  <c r="I51" i="11"/>
  <c r="I11" i="11"/>
  <c r="I16" i="11"/>
  <c r="I52" i="11"/>
  <c r="I20" i="11"/>
  <c r="I32" i="11"/>
  <c r="I10" i="11"/>
  <c r="I39" i="11"/>
  <c r="I12" i="11"/>
  <c r="I25" i="11"/>
  <c r="I48" i="11"/>
  <c r="I50" i="11"/>
  <c r="N39" i="11"/>
  <c r="N50" i="11"/>
  <c r="I14" i="11"/>
  <c r="I36" i="11"/>
  <c r="I38" i="11"/>
  <c r="N24" i="11"/>
  <c r="I9" i="11"/>
  <c r="I46" i="11"/>
  <c r="I22" i="11"/>
  <c r="I26" i="11"/>
  <c r="N48" i="11"/>
  <c r="N9" i="11"/>
  <c r="N29" i="11"/>
  <c r="N26" i="11"/>
  <c r="I31" i="11"/>
  <c r="I21" i="11"/>
  <c r="I29" i="11"/>
  <c r="I41" i="11"/>
  <c r="I23" i="11"/>
  <c r="I45" i="11"/>
  <c r="N41" i="11"/>
  <c r="I44" i="11"/>
  <c r="I47" i="11"/>
  <c r="I15" i="11"/>
  <c r="I28" i="11"/>
  <c r="N42" i="11"/>
  <c r="I18" i="11"/>
  <c r="N44" i="11"/>
  <c r="N17" i="11"/>
  <c r="I19" i="11"/>
  <c r="N20" i="11"/>
  <c r="N36" i="11"/>
  <c r="I33" i="11"/>
  <c r="W16" i="1"/>
  <c r="N28" i="11"/>
  <c r="I13" i="11"/>
  <c r="I27" i="11"/>
  <c r="I30" i="11"/>
  <c r="N52" i="11"/>
  <c r="N40" i="11"/>
  <c r="N12" i="11"/>
  <c r="N21" i="11"/>
  <c r="N51" i="11"/>
  <c r="N33" i="11"/>
  <c r="I37" i="11"/>
  <c r="N45" i="11"/>
  <c r="N47" i="11"/>
  <c r="N15" i="11"/>
  <c r="N22" i="11"/>
  <c r="N18" i="11"/>
  <c r="N16" i="11"/>
  <c r="N11" i="11"/>
  <c r="I49" i="11"/>
  <c r="N10" i="11"/>
  <c r="N31" i="11"/>
  <c r="N49" i="11"/>
  <c r="N32" i="11"/>
  <c r="N13" i="11"/>
  <c r="I24" i="11"/>
  <c r="N25" i="11"/>
  <c r="N27" i="11"/>
  <c r="N23" i="11"/>
  <c r="I17" i="11"/>
  <c r="N37" i="11"/>
  <c r="N19" i="11"/>
  <c r="I42" i="11"/>
  <c r="N46" i="11"/>
  <c r="N30" i="11"/>
  <c r="K15" i="12" a="1"/>
  <c r="K15" i="12" s="1"/>
  <c r="D15" i="12" a="1"/>
  <c r="D15" i="12" s="1"/>
  <c r="E15" i="12" s="1"/>
  <c r="J15" i="12" a="1"/>
  <c r="J15" i="12" s="1"/>
  <c r="I15" i="12" a="1"/>
  <c r="I15" i="12" s="1"/>
  <c r="H15" i="12" a="1"/>
  <c r="H15" i="12" s="1"/>
  <c r="G15" i="12" a="1"/>
  <c r="G15" i="12" s="1"/>
  <c r="C16" i="12"/>
  <c r="L15" i="12" a="1"/>
  <c r="L15" i="12" s="1"/>
  <c r="F15" i="12" a="1"/>
  <c r="F15" i="12" s="1"/>
  <c r="N38" i="11"/>
  <c r="N14" i="11"/>
  <c r="W18" i="1" l="1"/>
  <c r="X19" i="1"/>
  <c r="X20" i="1" s="1"/>
  <c r="W20" i="1" s="1"/>
  <c r="Y13" i="1"/>
  <c r="H16" i="12" a="1"/>
  <c r="H16" i="12" s="1"/>
  <c r="G16" i="12" a="1"/>
  <c r="G16" i="12" s="1"/>
  <c r="L16" i="12" a="1"/>
  <c r="L16" i="12" s="1"/>
  <c r="F16" i="12" a="1"/>
  <c r="F16" i="12" s="1"/>
  <c r="K16" i="12" a="1"/>
  <c r="K16" i="12" s="1"/>
  <c r="D16" i="12" a="1"/>
  <c r="D16" i="12" s="1"/>
  <c r="E16" i="12" s="1"/>
  <c r="J16" i="12" a="1"/>
  <c r="J16" i="12" s="1"/>
  <c r="I16" i="12" a="1"/>
  <c r="I16" i="12" s="1"/>
  <c r="X21" i="1" l="1"/>
  <c r="W21" i="1" s="1"/>
  <c r="W19" i="1"/>
  <c r="AZ17" i="13"/>
  <c r="AQ17" i="13"/>
  <c r="X22" i="1" l="1"/>
  <c r="W22" i="1" s="1"/>
  <c r="BB17" i="13"/>
  <c r="BA17" i="13"/>
  <c r="AX17" i="13"/>
  <c r="AW17" i="13"/>
  <c r="AV17" i="13"/>
  <c r="AU17" i="13"/>
  <c r="AS17" i="13"/>
  <c r="AR17" i="13"/>
  <c r="X23" i="1" l="1"/>
  <c r="W23" i="1" s="1"/>
  <c r="AT17" i="13"/>
  <c r="X24" i="1" l="1"/>
  <c r="W24" i="1" s="1"/>
  <c r="X25" i="1" l="1"/>
  <c r="W25" i="1" s="1"/>
  <c r="X26" i="1" l="1"/>
  <c r="W26" i="1" s="1"/>
  <c r="X27" i="1" l="1"/>
  <c r="W27" i="1" s="1"/>
  <c r="X28" i="1" l="1"/>
  <c r="W28" i="1" s="1"/>
  <c r="X29" i="1" l="1"/>
  <c r="W29" i="1" s="1"/>
  <c r="X30" i="1" l="1"/>
  <c r="W30" i="1" s="1"/>
  <c r="X31" i="1" l="1"/>
  <c r="W31" i="1" s="1"/>
  <c r="X32" i="1" l="1"/>
  <c r="W32" i="1" s="1"/>
  <c r="X33" i="1" l="1"/>
  <c r="W33" i="1" s="1"/>
  <c r="X34" i="1" l="1"/>
  <c r="W34" i="1" s="1"/>
  <c r="X35" i="1" l="1"/>
  <c r="W35" i="1" s="1"/>
  <c r="X36" i="1" l="1"/>
  <c r="W36" i="1" s="1"/>
  <c r="X37" i="1" l="1"/>
  <c r="X38" i="1" s="1"/>
  <c r="W38" i="1" s="1"/>
  <c r="W37" i="1" l="1"/>
  <c r="X39" i="1"/>
  <c r="W39" i="1" s="1"/>
  <c r="X40" i="1" l="1"/>
  <c r="W40" i="1" s="1"/>
  <c r="X41" i="1" l="1"/>
  <c r="X42" i="1" l="1"/>
  <c r="W42" i="1" s="1"/>
  <c r="W41" i="1"/>
  <c r="X43" i="1" l="1"/>
  <c r="W43" i="1" s="1"/>
  <c r="X44" i="1" l="1"/>
  <c r="W44" i="1" s="1"/>
  <c r="X45" i="1" l="1"/>
  <c r="W45" i="1" s="1"/>
  <c r="X46" i="1"/>
  <c r="X47" i="1" s="1"/>
  <c r="W46" i="1" l="1"/>
  <c r="W47" i="1"/>
  <c r="X48" i="1"/>
  <c r="X49" i="1" l="1"/>
  <c r="W48" i="1"/>
  <c r="W49" i="1" l="1"/>
  <c r="X50" i="1"/>
  <c r="X51" i="1" l="1"/>
  <c r="W50" i="1"/>
  <c r="W51" i="1" l="1"/>
  <c r="X52" i="1"/>
  <c r="W52" i="1" l="1"/>
  <c r="X53" i="1"/>
  <c r="W53" i="1" s="1"/>
  <c r="X54" i="1" l="1"/>
  <c r="W54" i="1" s="1"/>
  <c r="X55" i="1" l="1"/>
  <c r="W55" i="1" s="1"/>
  <c r="X56" i="1" l="1"/>
  <c r="W56" i="1" s="1"/>
  <c r="X57" i="1" l="1"/>
  <c r="W57" i="1" s="1"/>
  <c r="X58" i="1" l="1"/>
  <c r="W58" i="1" s="1"/>
  <c r="X59" i="1" l="1"/>
  <c r="W59" i="1" s="1"/>
  <c r="X60" i="1" l="1"/>
  <c r="W60" i="1" s="1"/>
  <c r="X61" i="1" l="1"/>
  <c r="W61" i="1" l="1"/>
  <c r="X62" i="1"/>
  <c r="W62" i="1" l="1"/>
  <c r="X63" i="1"/>
  <c r="W63" i="1" s="1"/>
  <c r="X64" i="1" l="1"/>
  <c r="W64" i="1" s="1"/>
  <c r="X65" i="1" l="1"/>
  <c r="W65" i="1" s="1"/>
  <c r="X66" i="1" l="1"/>
  <c r="W66" i="1" l="1"/>
  <c r="X67" i="1"/>
  <c r="W67" i="1" s="1"/>
  <c r="X68" i="1" l="1"/>
  <c r="W68" i="1" s="1"/>
  <c r="X69" i="1" l="1"/>
  <c r="W69" i="1" l="1"/>
  <c r="X70" i="1"/>
  <c r="W70" i="1" s="1"/>
  <c r="X71" i="1" l="1"/>
  <c r="W71" i="1" s="1"/>
  <c r="X72" i="1" l="1"/>
  <c r="W72" i="1" l="1"/>
  <c r="X73" i="1"/>
  <c r="W73" i="1" l="1"/>
  <c r="X74" i="1"/>
  <c r="W74" i="1" l="1"/>
  <c r="X75" i="1"/>
  <c r="W75" i="1" l="1"/>
  <c r="X76" i="1"/>
  <c r="W76" i="1" s="1"/>
  <c r="X77" i="1" l="1"/>
  <c r="W77" i="1" s="1"/>
  <c r="X78" i="1" l="1"/>
  <c r="W78" i="1" s="1"/>
  <c r="X79" i="1" l="1"/>
  <c r="W79" i="1" s="1"/>
  <c r="X80" i="1" l="1"/>
  <c r="W80" i="1" s="1"/>
  <c r="X81" i="1" l="1"/>
  <c r="W81" i="1" s="1"/>
  <c r="X82" i="1" l="1"/>
  <c r="W82" i="1" s="1"/>
  <c r="X83" i="1" l="1"/>
  <c r="W83" i="1" s="1"/>
  <c r="X84" i="1" l="1"/>
  <c r="W84" i="1" s="1"/>
  <c r="X85" i="1" l="1"/>
  <c r="W85" i="1" s="1"/>
  <c r="X86" i="1" l="1"/>
  <c r="W86" i="1" s="1"/>
  <c r="X87" i="1"/>
  <c r="W87" i="1" s="1"/>
  <c r="X88" i="1" l="1"/>
  <c r="W88" i="1" s="1"/>
  <c r="X89" i="1" l="1"/>
  <c r="W89" i="1" s="1"/>
  <c r="X90" i="1" l="1"/>
  <c r="W90" i="1" s="1"/>
  <c r="X91" i="1" l="1"/>
  <c r="W91" i="1" s="1"/>
  <c r="X92" i="1" l="1"/>
  <c r="W92" i="1" s="1"/>
  <c r="X93" i="1" l="1"/>
  <c r="W93" i="1" s="1"/>
  <c r="X94" i="1" l="1"/>
  <c r="W94" i="1" s="1"/>
  <c r="X95" i="1" l="1"/>
  <c r="W95" i="1" s="1"/>
  <c r="X96" i="1" l="1"/>
  <c r="W96" i="1" s="1"/>
  <c r="X97" i="1" l="1"/>
  <c r="W97" i="1" s="1"/>
  <c r="X98" i="1" l="1"/>
  <c r="W98" i="1" s="1"/>
  <c r="X99" i="1" l="1"/>
  <c r="W99" i="1" s="1"/>
  <c r="X100" i="1" l="1"/>
  <c r="W100" i="1" s="1"/>
  <c r="X101" i="1"/>
  <c r="W101" i="1" l="1"/>
  <c r="X102" i="1"/>
  <c r="W102" i="1" l="1"/>
  <c r="X103" i="1"/>
  <c r="W103" i="1" l="1"/>
  <c r="X104" i="1"/>
  <c r="W104" i="1" l="1"/>
  <c r="X105" i="1"/>
  <c r="W105" i="1" l="1"/>
  <c r="X106" i="1"/>
  <c r="W106" i="1" l="1"/>
  <c r="X107" i="1"/>
  <c r="W107" i="1" l="1"/>
  <c r="X108" i="1"/>
  <c r="W108" i="1" l="1"/>
  <c r="X109" i="1"/>
  <c r="W109" i="1" l="1"/>
  <c r="X110" i="1"/>
  <c r="W110" i="1" l="1"/>
  <c r="X111" i="1"/>
  <c r="W111" i="1" l="1"/>
  <c r="X112" i="1"/>
  <c r="W112" i="1" l="1"/>
  <c r="X113" i="1"/>
  <c r="W113" i="1" l="1"/>
  <c r="X114" i="1"/>
  <c r="W114" i="1" l="1"/>
  <c r="X115" i="1"/>
  <c r="W115" i="1" l="1"/>
  <c r="X116" i="1"/>
  <c r="W116" i="1" l="1"/>
  <c r="X117" i="1"/>
  <c r="W117" i="1" l="1"/>
  <c r="X118" i="1"/>
  <c r="W118" i="1" l="1"/>
  <c r="X119" i="1"/>
  <c r="W119" i="1" l="1"/>
  <c r="X120" i="1"/>
  <c r="W120" i="1" l="1"/>
  <c r="X121" i="1"/>
  <c r="W121" i="1" l="1"/>
  <c r="Y55" i="1" s="1"/>
  <c r="Y711" i="1"/>
  <c r="Y111" i="1"/>
  <c r="Y411" i="1"/>
  <c r="Y562" i="1"/>
  <c r="Y822" i="1"/>
  <c r="Y672" i="1"/>
  <c r="Y197" i="1"/>
  <c r="Y744" i="1"/>
  <c r="Y659" i="1"/>
  <c r="Y910" i="1"/>
  <c r="Y238" i="1"/>
  <c r="Y569" i="1"/>
  <c r="Y945" i="1"/>
  <c r="Y818" i="1"/>
  <c r="Y420" i="1"/>
  <c r="Y414" i="1"/>
  <c r="Y904" i="1"/>
  <c r="Y753" i="1"/>
  <c r="Y417" i="1"/>
  <c r="Y184" i="1"/>
  <c r="Y823" i="1"/>
  <c r="Y333" i="1"/>
  <c r="Y613" i="1"/>
  <c r="Y574" i="1"/>
  <c r="Y591" i="1"/>
  <c r="Y470" i="1"/>
  <c r="Y899" i="1"/>
  <c r="Y247" i="1"/>
  <c r="Y646" i="1"/>
  <c r="Y573" i="1"/>
  <c r="Y973" i="1"/>
  <c r="Y89" i="1"/>
  <c r="Y730" i="1"/>
  <c r="Y355" i="1"/>
  <c r="Y547" i="1"/>
  <c r="Y674" i="1"/>
  <c r="Y61" i="1"/>
  <c r="Y593" i="1"/>
  <c r="Y883" i="1"/>
  <c r="Y131" i="1"/>
  <c r="Y37" i="1"/>
  <c r="Y597" i="1"/>
  <c r="Y798" i="1"/>
  <c r="Y405" i="1"/>
  <c r="Y25" i="1"/>
  <c r="Y624" i="1"/>
  <c r="Y702" i="1"/>
  <c r="Y203" i="1"/>
  <c r="Y964" i="1"/>
  <c r="Y136" i="1"/>
  <c r="Y667" i="1"/>
  <c r="Y864" i="1"/>
  <c r="Y164" i="1"/>
  <c r="Y754" i="1"/>
  <c r="Y260" i="1"/>
  <c r="Y489" i="1"/>
  <c r="Y463" i="1"/>
  <c r="Y340" i="1"/>
  <c r="Y145" i="1"/>
  <c r="Y437" i="1"/>
  <c r="Y272" i="1"/>
  <c r="Y244" i="1"/>
  <c r="Y507" i="1"/>
  <c r="Y953" i="1"/>
  <c r="Y522" i="1"/>
  <c r="Y16" i="1"/>
  <c r="Y731" i="1"/>
  <c r="Y972" i="1"/>
  <c r="Y944" i="1"/>
  <c r="Y320" i="1"/>
  <c r="Y255" i="1"/>
  <c r="Y521" i="1"/>
  <c r="Y524" i="1"/>
  <c r="Y914" i="1"/>
  <c r="Y298" i="1"/>
  <c r="Y135" i="1"/>
  <c r="Y476" i="1"/>
  <c r="Y998" i="1"/>
  <c r="Y31" i="1"/>
  <c r="Y812" i="1"/>
  <c r="Y29" i="1"/>
  <c r="Y833" i="1"/>
  <c r="Y530" i="1"/>
  <c r="Y668" i="1"/>
  <c r="Y606" i="1"/>
  <c r="Y206" i="1"/>
  <c r="Y438" i="1"/>
  <c r="Y793" i="1"/>
  <c r="Y751" i="1"/>
  <c r="Y205" i="1"/>
  <c r="Y853" i="1"/>
  <c r="Y171" i="1"/>
  <c r="Y109" i="1"/>
  <c r="Y568" i="1"/>
  <c r="Y769" i="1"/>
  <c r="Y631" i="1"/>
  <c r="Y821" i="1"/>
  <c r="Y365" i="1"/>
  <c r="Y235" i="1"/>
  <c r="Y490" i="1"/>
  <c r="Y735" i="1"/>
  <c r="Y112" i="1"/>
  <c r="Y991" i="1"/>
  <c r="Y186" i="1"/>
  <c r="Y893" i="1"/>
  <c r="Y678" i="1"/>
  <c r="Y748" i="1"/>
  <c r="Y174" i="1"/>
  <c r="Y626" i="1"/>
  <c r="Y983" i="1"/>
  <c r="Y424" i="1"/>
  <c r="Y469" i="1"/>
  <c r="Y677" i="1"/>
  <c r="Y625" i="1"/>
  <c r="Y984" i="1"/>
  <c r="Y91" i="1"/>
  <c r="Y846" i="1"/>
  <c r="Y941" i="1"/>
  <c r="Y859" i="1"/>
  <c r="Y327" i="1"/>
  <c r="Y539" i="1"/>
  <c r="Y862" i="1"/>
  <c r="Y329" i="1"/>
  <c r="Y263" i="1"/>
  <c r="Y376" i="1"/>
  <c r="Y931" i="1"/>
  <c r="Y858" i="1"/>
  <c r="Y307" i="1"/>
  <c r="Y988" i="1"/>
  <c r="Y123" i="1"/>
  <c r="Y768" i="1"/>
  <c r="Y726" i="1"/>
  <c r="Y26" i="1"/>
  <c r="Y393" i="1"/>
  <c r="Y978" i="1"/>
  <c r="Y963" i="1"/>
  <c r="Y81" i="1"/>
  <c r="Y240" i="1"/>
  <c r="Y313" i="1"/>
  <c r="Y485" i="1"/>
  <c r="Y103" i="1"/>
  <c r="Y621" i="1"/>
  <c r="Y336" i="1"/>
  <c r="Y323" i="1"/>
  <c r="Y912" i="1"/>
  <c r="Y738" i="1"/>
  <c r="Y68" i="1"/>
  <c r="Y387" i="1"/>
  <c r="Y746" i="1"/>
  <c r="Y58" i="1"/>
  <c r="Y285" i="1"/>
  <c r="Y292" i="1"/>
  <c r="Y404" i="1"/>
  <c r="Y202" i="1"/>
  <c r="Y743" i="1"/>
  <c r="Y132" i="1"/>
  <c r="Y442" i="1"/>
  <c r="Y150" i="1"/>
  <c r="Y189" i="1"/>
  <c r="Y687" i="1"/>
  <c r="Y790" i="1"/>
  <c r="Y999" i="1"/>
  <c r="Y901" i="1"/>
  <c r="Y620" i="1"/>
  <c r="Y517" i="1"/>
  <c r="Y337" i="1"/>
  <c r="Y503" i="1"/>
  <c r="Y724" i="1"/>
  <c r="Y213" i="1"/>
  <c r="Y540" i="1"/>
  <c r="Y148" i="1"/>
  <c r="Y257" i="1"/>
  <c r="Y804" i="1"/>
  <c r="Y27" i="1"/>
  <c r="Y318" i="1"/>
  <c r="Y283" i="1"/>
  <c r="Y851" i="1"/>
  <c r="Y84" i="1"/>
  <c r="Y665" i="1"/>
  <c r="Y106" i="1"/>
  <c r="Y789" i="1"/>
  <c r="Y173" i="1"/>
  <c r="Y518" i="1"/>
  <c r="Y658" i="1"/>
  <c r="Y32" i="1"/>
  <c r="Y693" i="1"/>
  <c r="Y345" i="1"/>
  <c r="Y356" i="1"/>
  <c r="Y378" i="1"/>
  <c r="Y256" i="1"/>
  <c r="Y212" i="1"/>
  <c r="Y954" i="1"/>
  <c r="Y861" i="1"/>
  <c r="Y325" i="1"/>
  <c r="Y905" i="1"/>
  <c r="Y873" i="1"/>
  <c r="Y777" i="1"/>
  <c r="Y907" i="1"/>
  <c r="Y48" i="1"/>
  <c r="Y831" i="1"/>
  <c r="Y909" i="1"/>
  <c r="Y65" i="1"/>
  <c r="Y141" i="1"/>
  <c r="Y886" i="1"/>
  <c r="Y774" i="1"/>
  <c r="Y688" i="1"/>
  <c r="Y380" i="1"/>
  <c r="Y979" i="1"/>
  <c r="Y467" i="1"/>
  <c r="Y805" i="1"/>
  <c r="Y740" i="1"/>
  <c r="Y809" i="1"/>
  <c r="Y426" i="1"/>
  <c r="Y580" i="1"/>
  <c r="Y461" i="1"/>
  <c r="Y338" i="1"/>
  <c r="Y923" i="1"/>
  <c r="Y468" i="1"/>
  <c r="Y581" i="1"/>
  <c r="Y965" i="1"/>
  <c r="Y86" i="1"/>
  <c r="Y149" i="1"/>
  <c r="Y275" i="1"/>
  <c r="Y511" i="1"/>
  <c r="Y284" i="1"/>
  <c r="Y732" i="1"/>
  <c r="Y515" i="1"/>
  <c r="Y829" i="1"/>
  <c r="Y199" i="1"/>
  <c r="Y611" i="1"/>
  <c r="Y792" i="1"/>
  <c r="Y976" i="1"/>
  <c r="Y839" i="1"/>
  <c r="Y913" i="1"/>
  <c r="Y296" i="1"/>
  <c r="Y900" i="1"/>
  <c r="Y41" i="1"/>
  <c r="Y721" i="1"/>
  <c r="Y882" i="1"/>
  <c r="Y372" i="1"/>
  <c r="Y315" i="1"/>
  <c r="Y856" i="1"/>
  <c r="Y254" i="1"/>
  <c r="Y460" i="1"/>
  <c r="Y391" i="1"/>
  <c r="Y209" i="1"/>
  <c r="Y871" i="1"/>
  <c r="Y492" i="1"/>
  <c r="Y449" i="1"/>
  <c r="Y734" i="1"/>
  <c r="Y69" i="1"/>
  <c r="Y403" i="1"/>
  <c r="Y935" i="1"/>
  <c r="Y752" i="1"/>
  <c r="Y604" i="1"/>
  <c r="Y564" i="1"/>
  <c r="Y854" i="1"/>
  <c r="Y529" i="1"/>
  <c r="Y800" i="1"/>
  <c r="Y401" i="1"/>
  <c r="Y778" i="1"/>
  <c r="Y261" i="1"/>
  <c r="Y894" i="1"/>
  <c r="Y663" i="1"/>
  <c r="Y592" i="1"/>
  <c r="Y428" i="1"/>
  <c r="Y523" i="1"/>
  <c r="Y290" i="1"/>
  <c r="Y618" i="1"/>
  <c r="Y425" i="1"/>
  <c r="Y368" i="1"/>
  <c r="Y385" i="1"/>
  <c r="Y491" i="1"/>
  <c r="Y929" i="1"/>
  <c r="Y359" i="1"/>
  <c r="Y727" i="1"/>
  <c r="Y312" i="1"/>
  <c r="Y510" i="1"/>
  <c r="Y435" i="1"/>
  <c r="Y474" i="1"/>
  <c r="Y505" i="1"/>
  <c r="Y799" i="1"/>
  <c r="Y151" i="1"/>
  <c r="Y252" i="1"/>
  <c r="Y96" i="1"/>
  <c r="Y181" i="1"/>
  <c r="Y600" i="1"/>
  <c r="Y932" i="1"/>
  <c r="Y457" i="1"/>
  <c r="Y556" i="1"/>
  <c r="Y373" i="1"/>
  <c r="Y758" i="1"/>
  <c r="Y210" i="1"/>
  <c r="Y767" i="1"/>
  <c r="Y685" i="1"/>
  <c r="Y270" i="1"/>
  <c r="Y289" i="1"/>
  <c r="Y334" i="1"/>
  <c r="Y462" i="1"/>
  <c r="Y849" i="1"/>
  <c r="Y844" i="1"/>
  <c r="Y654" i="1"/>
  <c r="Y614" i="1"/>
  <c r="Y73" i="1"/>
  <c r="Y305" i="1"/>
  <c r="Y350" i="1"/>
  <c r="Y409" i="1"/>
  <c r="Y471" i="1"/>
  <c r="Y533" i="1"/>
  <c r="Y780" i="1"/>
  <c r="Y622" i="1"/>
  <c r="Y379" i="1"/>
  <c r="Y408" i="1"/>
  <c r="Y874" i="1"/>
  <c r="Y725" i="1"/>
  <c r="Y588" i="1"/>
  <c r="Y56" i="1"/>
  <c r="Y23" i="1"/>
  <c r="Y788" i="1"/>
  <c r="Y39" i="1"/>
  <c r="Y436" i="1"/>
  <c r="Y502" i="1"/>
  <c r="Y942" i="1"/>
  <c r="Y615" i="1"/>
  <c r="Y271" i="1"/>
  <c r="Y98" i="1"/>
  <c r="Y80" i="1"/>
  <c r="Y906" i="1"/>
  <c r="Y750" i="1"/>
  <c r="Y543" i="1"/>
  <c r="Y156" i="1"/>
  <c r="Y128" i="1"/>
  <c r="Y295" i="1"/>
  <c r="Y683" i="1"/>
  <c r="Y309" i="1"/>
  <c r="Y62" i="1"/>
  <c r="Y497" i="1"/>
  <c r="Y664" i="1"/>
  <c r="Y825" i="1"/>
  <c r="Y528" i="1"/>
  <c r="Y45" i="1"/>
  <c r="Y602" i="1"/>
  <c r="Y607" i="1"/>
  <c r="Y897" i="1"/>
  <c r="Y670" i="1"/>
  <c r="Y951" i="1"/>
  <c r="Y402" i="1"/>
  <c r="Y101" i="1"/>
  <c r="Y15" i="1"/>
  <c r="Y651" i="1"/>
  <c r="Y742" i="1"/>
  <c r="Y852" i="1"/>
  <c r="Y855" i="1"/>
  <c r="Y834" i="1"/>
  <c r="Y877" i="1"/>
  <c r="Y520" i="1"/>
  <c r="Y464" i="1"/>
  <c r="Y92" i="1"/>
  <c r="Y167" i="1"/>
  <c r="Y158" i="1"/>
  <c r="Y643" i="1"/>
  <c r="Y550" i="1"/>
  <c r="Y14" i="1"/>
  <c r="Y811" i="1"/>
  <c r="Y870" i="1"/>
  <c r="Y629" i="1"/>
  <c r="Y948" i="1"/>
  <c r="Y406" i="1"/>
  <c r="Y165" i="1"/>
  <c r="Y259" i="1"/>
  <c r="Y168" i="1"/>
  <c r="Y40" i="1"/>
  <c r="Y692" i="1"/>
  <c r="Y34" i="1"/>
  <c r="Y204" i="1"/>
  <c r="Y21" i="1"/>
  <c r="Y996" i="1"/>
  <c r="Y776" i="1"/>
  <c r="Y311" i="1"/>
  <c r="Y499" i="1"/>
  <c r="Y728" i="1"/>
  <c r="Y546" i="1"/>
  <c r="Y169" i="1"/>
  <c r="Y628" i="1"/>
  <c r="Y989" i="1"/>
  <c r="Y191" i="1"/>
  <c r="Y519" i="1"/>
  <c r="Y452" i="1"/>
  <c r="Y466" i="1"/>
  <c r="Y549" i="1"/>
  <c r="Y52" i="1"/>
  <c r="Y717" i="1"/>
  <c r="Y977" i="1"/>
  <c r="Y153" i="1"/>
  <c r="Y946" i="1"/>
  <c r="Y278" i="1"/>
  <c r="Y228" i="1"/>
  <c r="Y396" i="1"/>
  <c r="Y673" i="1"/>
  <c r="Y432" i="1"/>
  <c r="Y381" i="1"/>
  <c r="Y796" i="1"/>
  <c r="Y830" i="1"/>
  <c r="Y782" i="1"/>
  <c r="Y286" i="1"/>
  <c r="Y77" i="1"/>
  <c r="Y303" i="1"/>
  <c r="Y60" i="1"/>
  <c r="Y273" i="1"/>
  <c r="Y314" i="1"/>
  <c r="Y891" i="1"/>
  <c r="Y279" i="1"/>
  <c r="Y775" i="1"/>
  <c r="Y527" i="1"/>
  <c r="Y498" i="1"/>
  <c r="Y274" i="1"/>
  <c r="Y332" i="1"/>
  <c r="Y960" i="1"/>
  <c r="Y797" i="1"/>
  <c r="Y584" i="1"/>
  <c r="Y915" i="1"/>
  <c r="Y124" i="1"/>
  <c r="Y697" i="1"/>
  <c r="Y630" i="1"/>
  <c r="Y599" i="1"/>
  <c r="Y759" i="1"/>
  <c r="Y509" i="1"/>
  <c r="Y896" i="1"/>
  <c r="Y64" i="1"/>
  <c r="Y248" i="1"/>
  <c r="Y185" i="1"/>
  <c r="Y936" i="1"/>
  <c r="Y696" i="1"/>
  <c r="Y694" i="1"/>
  <c r="Y410" i="1"/>
  <c r="Y930" i="1"/>
  <c r="Y242" i="1"/>
  <c r="Y440" i="1"/>
  <c r="Y819" i="1"/>
  <c r="Y538" i="1"/>
  <c r="Y201" i="1"/>
  <c r="Y845" i="1"/>
  <c r="Y243" i="1"/>
  <c r="Y215" i="1"/>
  <c r="Y669" i="1"/>
  <c r="Y749" i="1"/>
  <c r="Y937" i="1"/>
  <c r="Y104" i="1"/>
  <c r="Y848" i="1"/>
  <c r="Y869" i="1"/>
  <c r="Y496" i="1"/>
  <c r="Y605" i="1"/>
  <c r="Y114" i="1"/>
  <c r="Y987" i="1"/>
  <c r="Y535" i="1"/>
  <c r="Y310" i="1"/>
  <c r="Y699" i="1"/>
  <c r="Y826" i="1"/>
  <c r="Y785" i="1"/>
  <c r="Y757" i="1"/>
  <c r="Y93" i="1"/>
  <c r="Y224" i="1"/>
  <c r="Y589" i="1"/>
  <c r="Y729" i="1"/>
  <c r="Y94" i="1"/>
  <c r="Y596" i="1"/>
  <c r="Y354" i="1"/>
  <c r="Y253" i="1"/>
  <c r="Y71" i="1"/>
  <c r="Y36" i="1"/>
  <c r="Y803" i="1"/>
  <c r="Y195" i="1"/>
  <c r="Y134" i="1"/>
  <c r="Y704" i="1"/>
  <c r="Y439" i="1"/>
  <c r="Y997" i="1"/>
  <c r="Y555" i="1"/>
  <c r="Y282" i="1"/>
  <c r="Y234" i="1"/>
  <c r="Y133" i="1"/>
  <c r="Y925" i="1"/>
  <c r="Y231" i="1"/>
  <c r="Y585" i="1"/>
  <c r="Y661" i="1"/>
  <c r="Y17" i="1"/>
  <c r="Y927" i="1"/>
  <c r="Y172" i="1"/>
  <c r="Y967" i="1"/>
  <c r="Y475" i="1"/>
  <c r="Y565" i="1"/>
  <c r="Y627" i="1"/>
  <c r="Y423" i="1"/>
  <c r="Y947" i="1"/>
  <c r="Y850" i="1"/>
  <c r="Y816" i="1"/>
  <c r="Y342" i="1"/>
  <c r="Y479" i="1"/>
  <c r="Y226" i="1"/>
  <c r="Y59" i="1"/>
  <c r="Y766" i="1"/>
  <c r="Y324" i="1"/>
  <c r="Y264" i="1"/>
  <c r="Y575" i="1"/>
  <c r="Y716" i="1"/>
  <c r="Y700" i="1"/>
  <c r="Y117" i="1"/>
  <c r="Y501" i="1"/>
  <c r="Y595" i="1"/>
  <c r="Y875" i="1"/>
  <c r="Y603" i="1"/>
  <c r="Y326" i="1"/>
  <c r="Y681" i="1"/>
  <c r="Y339" i="1"/>
  <c r="Y772" i="1"/>
  <c r="Y400" i="1"/>
  <c r="Y537" i="1"/>
  <c r="Y154" i="1"/>
  <c r="Y358" i="1"/>
  <c r="Y288" i="1"/>
  <c r="Y341" i="1"/>
  <c r="Y413" i="1"/>
  <c r="Y990" i="1"/>
  <c r="Y249" i="1"/>
  <c r="Y297" i="1"/>
  <c r="Y919" i="1"/>
  <c r="Y433" i="1"/>
  <c r="Y578" i="1"/>
  <c r="Y608" i="1"/>
  <c r="Y650" i="1"/>
  <c r="Y560" i="1"/>
  <c r="Y949" i="1"/>
  <c r="Y525" i="1"/>
  <c r="Y955" i="1"/>
  <c r="Y193" i="1"/>
  <c r="Y576" i="1"/>
  <c r="Y386" i="1"/>
  <c r="Y99" i="1"/>
  <c r="Y969" i="1"/>
  <c r="Y388" i="1"/>
  <c r="Y720" i="1"/>
  <c r="Y487" i="1"/>
  <c r="Y975" i="1"/>
  <c r="Y684" i="1"/>
  <c r="Y53" i="1"/>
  <c r="Y397" i="1"/>
  <c r="Y113" i="1"/>
  <c r="Y83" i="1"/>
  <c r="Y251" i="1"/>
  <c r="Y472" i="1"/>
  <c r="Y163" i="1"/>
  <c r="Y217" i="1"/>
  <c r="Y884" i="1"/>
  <c r="Y832" i="1"/>
  <c r="Y623" i="1"/>
  <c r="Y389" i="1"/>
  <c r="Y982" i="1"/>
  <c r="Y824" i="1"/>
  <c r="Y170" i="1"/>
  <c r="Y230" i="1"/>
  <c r="Y610" i="1"/>
  <c r="Y322" i="1"/>
  <c r="Y680" i="1"/>
  <c r="Y590" i="1"/>
  <c r="Y737" i="1"/>
  <c r="Y416" i="1"/>
  <c r="Y348" i="1"/>
  <c r="Y412" i="1"/>
  <c r="Y512" i="1"/>
  <c r="Y227" i="1"/>
  <c r="Y276" i="1"/>
  <c r="Y455" i="1"/>
  <c r="Y786" i="1"/>
  <c r="Y66" i="1"/>
  <c r="Y349" i="1"/>
  <c r="Y762" i="1"/>
  <c r="Y647" i="1"/>
  <c r="Y47" i="1"/>
  <c r="Y617" i="1"/>
  <c r="Y245" i="1"/>
  <c r="Y306" i="1"/>
  <c r="Y429" i="1"/>
  <c r="Y395" i="1"/>
  <c r="Y24" i="1"/>
  <c r="Y939" i="1"/>
  <c r="Y51" i="1"/>
  <c r="Y115" i="1"/>
  <c r="Y42" i="1"/>
  <c r="Y938" i="1"/>
  <c r="Y486" i="1"/>
  <c r="Y495" i="1"/>
  <c r="Y162" i="1"/>
  <c r="Y504" i="1"/>
  <c r="Y633" i="1"/>
  <c r="Y481" i="1"/>
  <c r="Y638" i="1"/>
  <c r="Y159" i="1"/>
  <c r="Y962" i="1"/>
  <c r="Y223" i="1"/>
  <c r="Y500" i="1"/>
  <c r="Y940" i="1"/>
  <c r="Y971" i="1"/>
  <c r="Y316" i="1"/>
  <c r="Y993" i="1"/>
  <c r="Y361" i="1"/>
  <c r="Y698" i="1"/>
  <c r="Y966" i="1"/>
  <c r="Y483" i="1"/>
  <c r="Y709" i="1"/>
  <c r="Y105" i="1"/>
  <c r="Y28" i="1"/>
  <c r="Y304" i="1"/>
  <c r="Y961" i="1"/>
  <c r="Y566" i="1"/>
  <c r="Y280" i="1"/>
  <c r="Y54" i="1"/>
  <c r="Y447" i="1"/>
  <c r="Y130" i="1"/>
  <c r="Y144" i="1"/>
  <c r="Y352" i="1"/>
  <c r="Y480" i="1"/>
  <c r="Y760" i="1"/>
  <c r="Y222" i="1"/>
  <c r="Y817" i="1"/>
  <c r="Y415" i="1"/>
  <c r="Y934" i="1"/>
  <c r="Y791" i="1"/>
  <c r="Y38" i="1"/>
  <c r="Y536" i="1"/>
  <c r="Y72" i="1"/>
  <c r="Y635" i="1"/>
  <c r="Y294" i="1"/>
  <c r="Y161" i="1"/>
  <c r="Y176" i="1"/>
  <c r="Y707" i="1"/>
  <c r="Y371" i="1"/>
  <c r="Y958" i="1"/>
  <c r="Y76" i="1"/>
  <c r="Y553" i="1"/>
  <c r="Y300" i="1"/>
  <c r="Y843" i="1"/>
  <c r="Y802" i="1"/>
  <c r="Y567" i="1"/>
  <c r="Y763" i="1"/>
  <c r="Y653" i="1"/>
  <c r="Y992" i="1"/>
  <c r="Y981" i="1"/>
  <c r="Y369" i="1"/>
  <c r="Y835" i="1"/>
  <c r="Y90" i="1"/>
  <c r="Y708" i="1"/>
  <c r="Y214" i="1"/>
  <c r="Y924" i="1"/>
  <c r="Y840" i="1"/>
  <c r="Y733" i="1"/>
  <c r="Y364" i="1"/>
  <c r="Y506" i="1"/>
  <c r="Y968" i="1"/>
  <c r="Y868" i="1"/>
  <c r="Y407" i="1"/>
  <c r="Y266" i="1"/>
  <c r="Y179" i="1"/>
  <c r="Y582" i="1"/>
  <c r="Y561" i="1"/>
  <c r="Y451" i="1"/>
  <c r="Y344" i="1"/>
  <c r="Y138" i="1"/>
  <c r="Y594" i="1"/>
  <c r="Y879" i="1"/>
  <c r="Y377" i="1"/>
  <c r="Y801" i="1"/>
  <c r="Y634" i="1"/>
  <c r="Y484" i="1"/>
  <c r="Y887" i="1"/>
  <c r="Y129" i="1"/>
  <c r="Y343" i="1"/>
  <c r="Y545" i="1"/>
  <c r="Y689" i="1"/>
  <c r="Y152" i="1"/>
  <c r="Y262" i="1"/>
  <c r="Y157" i="1"/>
  <c r="Y269" i="1"/>
  <c r="Y126" i="1"/>
  <c r="Y881" i="1"/>
  <c r="Y922" i="1"/>
  <c r="Y686" i="1"/>
  <c r="Y857" i="1"/>
  <c r="Y810" i="1"/>
  <c r="Y441" i="1"/>
  <c r="Y219" i="1"/>
  <c r="Y583" i="1"/>
  <c r="Y551" i="1"/>
  <c r="Y706" i="1"/>
  <c r="Y959" i="1"/>
  <c r="Y601" i="1"/>
  <c r="Y287" i="1"/>
  <c r="Y641" i="1"/>
  <c r="Y645" i="1"/>
  <c r="Y182" i="1"/>
  <c r="Y636" i="1"/>
  <c r="Y232" i="1"/>
  <c r="Y863" i="1"/>
  <c r="Y952" i="1"/>
  <c r="Y609" i="1"/>
  <c r="Y956" i="1"/>
  <c r="Y548" i="1"/>
  <c r="Y888" i="1"/>
  <c r="Y986" i="1"/>
  <c r="Y795" i="1"/>
  <c r="Y770" i="1"/>
  <c r="Y330" i="1"/>
  <c r="Y443" i="1"/>
  <c r="Y200" i="1"/>
  <c r="Y177" i="1"/>
  <c r="Y74" i="1"/>
  <c r="Y100" i="1"/>
  <c r="Y690" i="1"/>
  <c r="Y903" i="1"/>
  <c r="Y892" i="1"/>
  <c r="Y639" i="1"/>
  <c r="Y57" i="1"/>
  <c r="Y347" i="1"/>
  <c r="Y367" i="1"/>
  <c r="Y422" i="1"/>
  <c r="Y267" i="1"/>
  <c r="Y806" i="1"/>
  <c r="Y116" i="1"/>
  <c r="Y444" i="1"/>
  <c r="Y889" i="1"/>
  <c r="Y747" i="1"/>
  <c r="Y554" i="1"/>
  <c r="Y920" i="1"/>
  <c r="Y902" i="1"/>
  <c r="Y917" i="1"/>
  <c r="Y458" i="1"/>
  <c r="Y995" i="1"/>
  <c r="Y836" i="1"/>
  <c r="Y715" i="1"/>
  <c r="Y872" i="1"/>
  <c r="Y166" i="1"/>
  <c r="Y655" i="1"/>
  <c r="Y908" i="1"/>
  <c r="Y301" i="1"/>
  <c r="Y508" i="1"/>
  <c r="Y652" i="1"/>
  <c r="Y526" i="1"/>
  <c r="Y710" i="1"/>
  <c r="Y293" i="1"/>
  <c r="Y916" i="1"/>
  <c r="Y430" i="1"/>
  <c r="Y450" i="1"/>
  <c r="Y374" i="1"/>
  <c r="Y745" i="1"/>
  <c r="Y110" i="1"/>
  <c r="Y657" i="1"/>
  <c r="Y127" i="1"/>
  <c r="Y384" i="1"/>
  <c r="Y268" i="1"/>
  <c r="Y180" i="1"/>
  <c r="Y867" i="1"/>
  <c r="Y448" i="1"/>
  <c r="Y847" i="1"/>
  <c r="Y122" i="1"/>
  <c r="Y865" i="1"/>
  <c r="Y691" i="1"/>
  <c r="Y454" i="1"/>
  <c r="Y719" i="1"/>
  <c r="Y75" i="1"/>
  <c r="Y421" i="1"/>
  <c r="Y577" i="1"/>
  <c r="Y705" i="1"/>
  <c r="Y465" i="1"/>
  <c r="Y351" i="1"/>
  <c r="Y360" i="1"/>
  <c r="Y427" i="1"/>
  <c r="Y950" i="1"/>
  <c r="Y198" i="1"/>
  <c r="Y660" i="1"/>
  <c r="Y890" i="1"/>
  <c r="Y784" i="1"/>
  <c r="Y418" i="1"/>
  <c r="Y612" i="1"/>
  <c r="Y866" i="1"/>
  <c r="Y828" i="1"/>
  <c r="Y229" i="1"/>
  <c r="Y820" i="1"/>
  <c r="Y649" i="1"/>
  <c r="Y779" i="1"/>
  <c r="Y570" i="1"/>
  <c r="Y434" i="1"/>
  <c r="Y764" i="1"/>
  <c r="Y366" i="1"/>
  <c r="Y446" i="1"/>
  <c r="Y357" i="1"/>
  <c r="Y656" i="1"/>
  <c r="Y382" i="1"/>
  <c r="Y637" i="1"/>
  <c r="Y82" i="1"/>
  <c r="Y192" i="1"/>
  <c r="Y695" i="1"/>
  <c r="Y682" i="1"/>
  <c r="Y815" i="1"/>
  <c r="Y534" i="1"/>
  <c r="Y95" i="1"/>
  <c r="Y531" i="1"/>
  <c r="Y155" i="1"/>
  <c r="Y985" i="1"/>
  <c r="Y346" i="1"/>
  <c r="Y363" i="1"/>
  <c r="Y108" i="1"/>
  <c r="Y353" i="1"/>
  <c r="Y107" i="1"/>
  <c r="Y87" i="1"/>
  <c r="Y445" i="1"/>
  <c r="Y773" i="1"/>
  <c r="Y419" i="1"/>
  <c r="Y616" i="1"/>
  <c r="Y383" i="1"/>
  <c r="Y943" i="1"/>
  <c r="Y587" i="1"/>
  <c r="Y146" i="1"/>
  <c r="Y586" i="1"/>
  <c r="Y35" i="1"/>
  <c r="Y302" i="1"/>
  <c r="Y233" i="1"/>
  <c r="Y456" i="1"/>
  <c r="Y642" i="1"/>
  <c r="Y211" i="1"/>
  <c r="Y787" i="1"/>
  <c r="Y994" i="1"/>
  <c r="Y921" i="1"/>
  <c r="Y571" i="1"/>
  <c r="Y644" i="1"/>
  <c r="Y723" i="1"/>
  <c r="Y18" i="1"/>
  <c r="Y33" i="1"/>
  <c r="Y331" i="1"/>
  <c r="Y739" i="1"/>
  <c r="Y632" i="1"/>
  <c r="Y712" i="1"/>
  <c r="Y291" i="1"/>
  <c r="Y928" i="1"/>
  <c r="Y514" i="1"/>
  <c r="Y453" i="1"/>
  <c r="Y876" i="1"/>
  <c r="Y516" i="1"/>
  <c r="Y781" i="1"/>
  <c r="Y808" i="1"/>
  <c r="Y317" i="1"/>
  <c r="Y394" i="1"/>
  <c r="Y473" i="1"/>
  <c r="Y119" i="1"/>
  <c r="Y50" i="1"/>
  <c r="Y701" i="1"/>
  <c r="Y241" i="1"/>
  <c r="Y761" i="1"/>
  <c r="Y813" i="1"/>
  <c r="Y598" i="1"/>
  <c r="Y147" i="1"/>
  <c r="Y392" i="1"/>
  <c r="Y837" i="1"/>
  <c r="Y807" i="1"/>
  <c r="Y85" i="1"/>
  <c r="Y431" i="1"/>
  <c r="Y220" i="1"/>
  <c r="Y277" i="1"/>
  <c r="Y70" i="1"/>
  <c r="Y239" i="1"/>
  <c r="Y722" i="1"/>
  <c r="Y67" i="1"/>
  <c r="Y885" i="1"/>
  <c r="Y30" i="1"/>
  <c r="Y208" i="1"/>
  <c r="Y118" i="1"/>
  <c r="Y43" i="1"/>
  <c r="Y102" i="1"/>
  <c r="Y79" i="1"/>
  <c r="Y676" i="1"/>
  <c r="Y390" i="1"/>
  <c r="Y237" i="1"/>
  <c r="Y20" i="1"/>
  <c r="Y477" i="1"/>
  <c r="Y619" i="1"/>
  <c r="Y482" i="1"/>
  <c r="Y572" i="1"/>
  <c r="Y755" i="1"/>
  <c r="Y143" i="1"/>
  <c r="Y321" i="1"/>
  <c r="Y216" i="1"/>
  <c r="Y557" i="1"/>
  <c r="Y121" i="1"/>
  <c r="Y49" i="1"/>
  <c r="Y494" i="1"/>
  <c r="Y281" i="1"/>
  <c r="Y175" i="1"/>
  <c r="Y207" i="1"/>
  <c r="Y183" i="1"/>
  <c r="Y46" i="1"/>
  <c r="Y558" i="1"/>
  <c r="Y160" i="1"/>
  <c r="Y398" i="1"/>
  <c r="Y714" i="1"/>
  <c r="Y579" i="1"/>
  <c r="Y926" i="1"/>
  <c r="Y838" i="1"/>
  <c r="Y756" i="1"/>
  <c r="Y88" i="1"/>
  <c r="Y552" i="1"/>
  <c r="Y328" i="1"/>
  <c r="Y980" i="1"/>
  <c r="Y221" i="1"/>
  <c r="Y880" i="1"/>
  <c r="Y771" i="1"/>
  <c r="Y860" i="1"/>
  <c r="Y957" i="1"/>
  <c r="Y544" i="1"/>
  <c r="Y736" i="1"/>
  <c r="Y178" i="1"/>
  <c r="Y542" i="1"/>
  <c r="Y187" i="1"/>
  <c r="Y878" i="1"/>
  <c r="Y194" i="1"/>
  <c r="Y375" i="1"/>
  <c r="Y974" i="1"/>
  <c r="Y841" i="1"/>
  <c r="Y783" i="1"/>
  <c r="Y188" i="1"/>
  <c r="Y713" i="1"/>
  <c r="Y662" i="1"/>
  <c r="Y541" i="1"/>
  <c r="Y563" i="1"/>
  <c r="Y97" i="1"/>
  <c r="Y308" i="1"/>
  <c r="Y918" i="1"/>
  <c r="Y265" i="1"/>
  <c r="Y335" i="1"/>
  <c r="Y765" i="1"/>
  <c r="Y19" i="1"/>
  <c r="Y22" i="1"/>
  <c r="Y319" i="1" l="1"/>
  <c r="Y666" i="1"/>
  <c r="Y933" i="1"/>
  <c r="Y488" i="1"/>
  <c r="Y671" i="1"/>
  <c r="Y1000" i="1"/>
  <c r="Y532" i="1"/>
  <c r="AQ61" i="13"/>
  <c r="AZ61" i="13"/>
  <c r="AQ49" i="13"/>
  <c r="AZ49" i="13"/>
  <c r="AZ91" i="13"/>
  <c r="AQ91" i="13"/>
  <c r="AQ32" i="13"/>
  <c r="AZ32" i="13"/>
  <c r="AQ83" i="13"/>
  <c r="AZ83" i="13"/>
  <c r="AQ98" i="13"/>
  <c r="AZ98" i="13"/>
  <c r="AQ71" i="13"/>
  <c r="AZ71" i="13"/>
  <c r="AZ90" i="13"/>
  <c r="AQ90" i="13"/>
  <c r="Y911" i="1"/>
  <c r="AZ102" i="13"/>
  <c r="AQ102" i="13"/>
  <c r="AQ109" i="13"/>
  <c r="AZ109" i="13"/>
  <c r="AZ93" i="13"/>
  <c r="AQ93" i="13"/>
  <c r="AZ45" i="13"/>
  <c r="AQ45" i="13"/>
  <c r="AQ97" i="13"/>
  <c r="AZ97" i="13"/>
  <c r="Y895" i="1"/>
  <c r="Y246" i="1"/>
  <c r="AZ57" i="13"/>
  <c r="AQ57" i="13"/>
  <c r="AZ103" i="13"/>
  <c r="AQ103" i="13"/>
  <c r="AQ34" i="13"/>
  <c r="AZ34" i="13"/>
  <c r="AQ37" i="13"/>
  <c r="AZ37" i="13"/>
  <c r="AQ113" i="13"/>
  <c r="AZ113" i="13"/>
  <c r="AQ106" i="13"/>
  <c r="AZ106" i="13"/>
  <c r="AZ28" i="13"/>
  <c r="AQ28" i="13"/>
  <c r="AQ89" i="13"/>
  <c r="AZ89" i="13"/>
  <c r="AQ65" i="13"/>
  <c r="AZ65" i="13"/>
  <c r="AQ58" i="13"/>
  <c r="AZ58" i="13"/>
  <c r="AZ54" i="13"/>
  <c r="AQ54" i="13"/>
  <c r="AQ35" i="13"/>
  <c r="AZ35" i="13"/>
  <c r="AQ100" i="13"/>
  <c r="AZ100" i="13"/>
  <c r="AQ27" i="13"/>
  <c r="AZ27" i="13"/>
  <c r="AZ31" i="13"/>
  <c r="AQ31" i="13"/>
  <c r="AQ64" i="13"/>
  <c r="AZ64" i="13"/>
  <c r="AQ20" i="13"/>
  <c r="AZ20" i="13"/>
  <c r="AQ95" i="13"/>
  <c r="AZ95" i="13"/>
  <c r="Y250" i="1"/>
  <c r="Y648" i="1"/>
  <c r="Y640" i="1"/>
  <c r="AZ105" i="13"/>
  <c r="AQ105" i="13"/>
  <c r="AQ94" i="13"/>
  <c r="AZ94" i="13"/>
  <c r="AZ22" i="13"/>
  <c r="AQ22" i="13"/>
  <c r="AZ78" i="13"/>
  <c r="AQ78" i="13"/>
  <c r="AQ21" i="13"/>
  <c r="AZ21" i="13"/>
  <c r="AQ99" i="13"/>
  <c r="AZ99" i="13"/>
  <c r="AQ51" i="13"/>
  <c r="AZ51" i="13"/>
  <c r="AQ62" i="13"/>
  <c r="AZ62" i="13"/>
  <c r="AZ92" i="13"/>
  <c r="AQ92" i="13"/>
  <c r="AQ36" i="13"/>
  <c r="AZ36" i="13"/>
  <c r="AQ87" i="13"/>
  <c r="AZ87" i="13"/>
  <c r="AZ43" i="13"/>
  <c r="AQ43" i="13"/>
  <c r="Y675" i="1"/>
  <c r="Y236" i="1"/>
  <c r="AQ52" i="13"/>
  <c r="AZ52" i="13"/>
  <c r="AQ24" i="13"/>
  <c r="AZ24" i="13"/>
  <c r="AQ59" i="13"/>
  <c r="AZ59" i="13"/>
  <c r="AQ110" i="13"/>
  <c r="AZ110" i="13"/>
  <c r="AQ25" i="13"/>
  <c r="AZ25" i="13"/>
  <c r="AZ79" i="13"/>
  <c r="AQ79" i="13"/>
  <c r="Y299" i="1"/>
  <c r="Y970" i="1"/>
  <c r="Y190" i="1"/>
  <c r="Y814" i="1"/>
  <c r="Y218" i="1"/>
  <c r="Y794" i="1"/>
  <c r="AQ111" i="13"/>
  <c r="AZ111" i="13"/>
  <c r="AZ80" i="13"/>
  <c r="AQ80" i="13"/>
  <c r="AQ73" i="13"/>
  <c r="AZ73" i="13"/>
  <c r="AZ114" i="13"/>
  <c r="AQ114" i="13"/>
  <c r="AZ44" i="13"/>
  <c r="AQ44" i="13"/>
  <c r="AZ18" i="13"/>
  <c r="AQ18" i="13"/>
  <c r="AQ86" i="13"/>
  <c r="AZ86" i="13"/>
  <c r="AQ74" i="13"/>
  <c r="AZ74" i="13"/>
  <c r="Y120" i="1"/>
  <c r="Y842" i="1"/>
  <c r="Y827" i="1"/>
  <c r="Y196" i="1"/>
  <c r="Y559" i="1"/>
  <c r="Y493" i="1"/>
  <c r="AZ115" i="13"/>
  <c r="AQ115" i="13"/>
  <c r="AQ39" i="13"/>
  <c r="AZ39" i="13"/>
  <c r="AZ55" i="13"/>
  <c r="AQ55" i="13"/>
  <c r="AQ60" i="13"/>
  <c r="AZ60" i="13"/>
  <c r="AQ26" i="13"/>
  <c r="AZ26" i="13"/>
  <c r="AQ76" i="13"/>
  <c r="AZ76" i="13"/>
  <c r="AQ38" i="13"/>
  <c r="AZ38" i="13"/>
  <c r="AZ104" i="13"/>
  <c r="AQ104" i="13"/>
  <c r="Y63" i="1"/>
  <c r="Y741" i="1"/>
  <c r="Y137" i="1"/>
  <c r="Y679" i="1"/>
  <c r="Y362" i="1"/>
  <c r="Y125" i="1"/>
  <c r="AZ116" i="13"/>
  <c r="AQ116" i="13"/>
  <c r="AQ47" i="13"/>
  <c r="AZ47" i="13"/>
  <c r="AZ29" i="13"/>
  <c r="AQ29" i="13"/>
  <c r="AZ30" i="13"/>
  <c r="AQ30" i="13"/>
  <c r="Y703" i="1"/>
  <c r="Y898" i="1"/>
  <c r="Y478" i="1"/>
  <c r="Y459" i="1"/>
  <c r="Y370" i="1"/>
  <c r="Y140" i="1"/>
  <c r="Y142" i="1"/>
  <c r="Y513" i="1"/>
  <c r="AQ72" i="13"/>
  <c r="AZ72" i="13"/>
  <c r="AQ88" i="13"/>
  <c r="AZ88" i="13"/>
  <c r="AZ41" i="13"/>
  <c r="AQ41" i="13"/>
  <c r="AQ23" i="13"/>
  <c r="AZ23" i="13"/>
  <c r="AQ96" i="13"/>
  <c r="AZ96" i="13"/>
  <c r="AQ82" i="13"/>
  <c r="AZ82" i="13"/>
  <c r="AQ53" i="13"/>
  <c r="AZ53" i="13"/>
  <c r="AQ77" i="13"/>
  <c r="AZ77" i="13"/>
  <c r="AZ19" i="13"/>
  <c r="AQ19" i="13"/>
  <c r="AQ85" i="13"/>
  <c r="AZ85" i="13"/>
  <c r="AZ56" i="13"/>
  <c r="AQ56" i="13"/>
  <c r="AQ63" i="13"/>
  <c r="AZ63" i="13"/>
  <c r="AZ66" i="13"/>
  <c r="AQ66" i="13"/>
  <c r="AQ46" i="13"/>
  <c r="AZ46" i="13"/>
  <c r="AQ107" i="13"/>
  <c r="AZ107" i="13"/>
  <c r="AZ68" i="13"/>
  <c r="AQ68" i="13"/>
  <c r="AQ112" i="13"/>
  <c r="AZ112" i="13"/>
  <c r="Y258" i="1"/>
  <c r="Y225" i="1"/>
  <c r="Y78" i="1"/>
  <c r="Y718" i="1"/>
  <c r="Y399" i="1"/>
  <c r="Y44" i="1"/>
  <c r="Y139" i="1"/>
  <c r="AQ70" i="13"/>
  <c r="AZ70" i="13"/>
  <c r="AQ33" i="13"/>
  <c r="AZ33" i="13"/>
  <c r="AQ108" i="13"/>
  <c r="AZ108" i="13"/>
  <c r="AQ101" i="13"/>
  <c r="AZ101" i="13"/>
  <c r="AZ81" i="13"/>
  <c r="AQ81" i="13"/>
  <c r="AQ48" i="13"/>
  <c r="AZ48" i="13"/>
  <c r="AQ75" i="13"/>
  <c r="AZ75" i="13"/>
  <c r="AZ67" i="13"/>
  <c r="AQ67" i="13"/>
  <c r="AX77" i="13" l="1"/>
  <c r="AW77" i="13"/>
  <c r="AV77" i="13"/>
  <c r="AU77" i="13"/>
  <c r="AT77" i="13"/>
  <c r="AS77" i="13"/>
  <c r="AR77" i="13"/>
  <c r="BB80" i="13"/>
  <c r="BA80" i="13"/>
  <c r="AX102" i="13"/>
  <c r="AW102" i="13"/>
  <c r="AV102" i="13"/>
  <c r="AU102" i="13"/>
  <c r="AT102" i="13"/>
  <c r="AS102" i="13"/>
  <c r="AR102" i="13"/>
  <c r="AX66" i="13"/>
  <c r="AW66" i="13"/>
  <c r="AV66" i="13"/>
  <c r="AU66" i="13"/>
  <c r="AT66" i="13"/>
  <c r="AS66" i="13"/>
  <c r="AR66" i="13"/>
  <c r="BB86" i="13"/>
  <c r="BA86" i="13"/>
  <c r="BA67" i="13"/>
  <c r="BB67" i="13"/>
  <c r="AR33" i="13"/>
  <c r="AX33" i="13"/>
  <c r="AW33" i="13"/>
  <c r="AV33" i="13"/>
  <c r="AU33" i="13"/>
  <c r="AT33" i="13"/>
  <c r="AS33" i="13"/>
  <c r="AX68" i="13"/>
  <c r="AW68" i="13"/>
  <c r="AV68" i="13"/>
  <c r="AU68" i="13"/>
  <c r="AT68" i="13"/>
  <c r="AS68" i="13"/>
  <c r="AR68" i="13"/>
  <c r="BB23" i="13"/>
  <c r="BA23" i="13"/>
  <c r="AX114" i="13"/>
  <c r="AW114" i="13"/>
  <c r="AV114" i="13"/>
  <c r="AU114" i="13"/>
  <c r="AT114" i="13"/>
  <c r="AS114" i="13"/>
  <c r="AR114" i="13"/>
  <c r="BB52" i="13"/>
  <c r="BA52" i="13"/>
  <c r="BB62" i="13"/>
  <c r="BA62" i="13"/>
  <c r="AW64" i="13"/>
  <c r="AV64" i="13"/>
  <c r="AU64" i="13"/>
  <c r="AT64" i="13"/>
  <c r="AS64" i="13"/>
  <c r="AR64" i="13"/>
  <c r="AX64" i="13"/>
  <c r="AV37" i="13"/>
  <c r="AU37" i="13"/>
  <c r="AT37" i="13"/>
  <c r="AS37" i="13"/>
  <c r="AR37" i="13"/>
  <c r="AX37" i="13"/>
  <c r="AW37" i="13"/>
  <c r="BB98" i="13"/>
  <c r="BA98" i="13"/>
  <c r="BB70" i="13"/>
  <c r="BA70" i="13"/>
  <c r="BB68" i="13"/>
  <c r="BA68" i="13"/>
  <c r="AT85" i="13"/>
  <c r="AS85" i="13"/>
  <c r="AR85" i="13"/>
  <c r="AX85" i="13"/>
  <c r="AW85" i="13"/>
  <c r="AV85" i="13"/>
  <c r="AU85" i="13"/>
  <c r="AT23" i="13"/>
  <c r="AS23" i="13"/>
  <c r="AR23" i="13"/>
  <c r="AX23" i="13"/>
  <c r="AW23" i="13"/>
  <c r="AV23" i="13"/>
  <c r="AU23" i="13"/>
  <c r="BB114" i="13"/>
  <c r="BA114" i="13"/>
  <c r="AW52" i="13"/>
  <c r="AV52" i="13"/>
  <c r="AU52" i="13"/>
  <c r="AT52" i="13"/>
  <c r="AS52" i="13"/>
  <c r="AR52" i="13"/>
  <c r="AX52" i="13"/>
  <c r="AX94" i="13"/>
  <c r="AW94" i="13"/>
  <c r="AV94" i="13"/>
  <c r="AU94" i="13"/>
  <c r="AT94" i="13"/>
  <c r="AS94" i="13"/>
  <c r="AR94" i="13"/>
  <c r="BB65" i="13"/>
  <c r="BA65" i="13"/>
  <c r="BB34" i="13"/>
  <c r="BA34" i="13"/>
  <c r="AX93" i="13"/>
  <c r="AW93" i="13"/>
  <c r="AV93" i="13"/>
  <c r="AU93" i="13"/>
  <c r="AT93" i="13"/>
  <c r="AS93" i="13"/>
  <c r="AR93" i="13"/>
  <c r="AV75" i="13"/>
  <c r="AU75" i="13"/>
  <c r="AT75" i="13"/>
  <c r="AS75" i="13"/>
  <c r="AR75" i="13"/>
  <c r="AX75" i="13"/>
  <c r="AW75" i="13"/>
  <c r="AX19" i="13"/>
  <c r="AW19" i="13"/>
  <c r="AV19" i="13"/>
  <c r="AU19" i="13"/>
  <c r="AT19" i="13"/>
  <c r="AS19" i="13"/>
  <c r="AR19" i="13"/>
  <c r="BB60" i="13"/>
  <c r="BA60" i="13"/>
  <c r="BB51" i="13"/>
  <c r="BA51" i="13"/>
  <c r="AX65" i="13"/>
  <c r="AW65" i="13"/>
  <c r="AV65" i="13"/>
  <c r="AU65" i="13"/>
  <c r="AT65" i="13"/>
  <c r="AS65" i="13"/>
  <c r="AR65" i="13"/>
  <c r="BB83" i="13"/>
  <c r="BA83" i="13"/>
  <c r="BB48" i="13"/>
  <c r="BA48" i="13"/>
  <c r="AR107" i="13"/>
  <c r="AX107" i="13"/>
  <c r="AW107" i="13"/>
  <c r="AV107" i="13"/>
  <c r="AU107" i="13"/>
  <c r="AT107" i="13"/>
  <c r="AS107" i="13"/>
  <c r="BB19" i="13"/>
  <c r="BA19" i="13"/>
  <c r="BB41" i="13"/>
  <c r="BA41" i="13"/>
  <c r="AS60" i="13"/>
  <c r="AR60" i="13"/>
  <c r="AX60" i="13"/>
  <c r="AW60" i="13"/>
  <c r="AV60" i="13"/>
  <c r="AU60" i="13"/>
  <c r="AT60" i="13"/>
  <c r="AT73" i="13"/>
  <c r="AS73" i="13"/>
  <c r="AR73" i="13"/>
  <c r="AX73" i="13"/>
  <c r="AW73" i="13"/>
  <c r="AV73" i="13"/>
  <c r="AU73" i="13"/>
  <c r="BA79" i="13"/>
  <c r="BB79" i="13"/>
  <c r="AV51" i="13"/>
  <c r="AU51" i="13"/>
  <c r="AT51" i="13"/>
  <c r="AS51" i="13"/>
  <c r="AR51" i="13"/>
  <c r="AX51" i="13"/>
  <c r="AW51" i="13"/>
  <c r="BB105" i="13"/>
  <c r="BA105" i="13"/>
  <c r="BB27" i="13"/>
  <c r="BA27" i="13"/>
  <c r="BB89" i="13"/>
  <c r="BA89" i="13"/>
  <c r="AX103" i="13"/>
  <c r="AW103" i="13"/>
  <c r="AV103" i="13"/>
  <c r="AU103" i="13"/>
  <c r="AT103" i="13"/>
  <c r="AS103" i="13"/>
  <c r="AR103" i="13"/>
  <c r="BB109" i="13"/>
  <c r="BA109" i="13"/>
  <c r="AR83" i="13"/>
  <c r="AX83" i="13"/>
  <c r="AW83" i="13"/>
  <c r="AV83" i="13"/>
  <c r="AU83" i="13"/>
  <c r="AT83" i="13"/>
  <c r="AS83" i="13"/>
  <c r="AU74" i="13"/>
  <c r="AT74" i="13"/>
  <c r="AS74" i="13"/>
  <c r="AR74" i="13"/>
  <c r="AX74" i="13"/>
  <c r="AW74" i="13"/>
  <c r="AV74" i="13"/>
  <c r="BB111" i="13"/>
  <c r="BA111" i="13"/>
  <c r="BB85" i="13"/>
  <c r="BA85" i="13"/>
  <c r="BB26" i="13"/>
  <c r="BA26" i="13"/>
  <c r="BB94" i="13"/>
  <c r="BA94" i="13"/>
  <c r="AX58" i="13"/>
  <c r="AW58" i="13"/>
  <c r="AV58" i="13"/>
  <c r="AU58" i="13"/>
  <c r="AT58" i="13"/>
  <c r="AS58" i="13"/>
  <c r="AR58" i="13"/>
  <c r="BB45" i="13"/>
  <c r="BA45" i="13"/>
  <c r="BB75" i="13"/>
  <c r="BA75" i="13"/>
  <c r="AW26" i="13"/>
  <c r="AV26" i="13"/>
  <c r="AU26" i="13"/>
  <c r="AT26" i="13"/>
  <c r="AS26" i="13"/>
  <c r="AR26" i="13"/>
  <c r="AX26" i="13"/>
  <c r="AU62" i="13"/>
  <c r="AT62" i="13"/>
  <c r="AS62" i="13"/>
  <c r="AR62" i="13"/>
  <c r="AX62" i="13"/>
  <c r="AW62" i="13"/>
  <c r="AV62" i="13"/>
  <c r="AX31" i="13"/>
  <c r="AW31" i="13"/>
  <c r="AV31" i="13"/>
  <c r="AU31" i="13"/>
  <c r="AT31" i="13"/>
  <c r="AS31" i="13"/>
  <c r="AR31" i="13"/>
  <c r="AU98" i="13"/>
  <c r="AT98" i="13"/>
  <c r="AS98" i="13"/>
  <c r="AR98" i="13"/>
  <c r="AX98" i="13"/>
  <c r="AW98" i="13"/>
  <c r="AV98" i="13"/>
  <c r="AX70" i="13"/>
  <c r="AW70" i="13"/>
  <c r="AV70" i="13"/>
  <c r="AU70" i="13"/>
  <c r="AT70" i="13"/>
  <c r="AS70" i="13"/>
  <c r="AR70" i="13"/>
  <c r="BB107" i="13"/>
  <c r="BA107" i="13"/>
  <c r="AX41" i="13"/>
  <c r="AW41" i="13"/>
  <c r="AV41" i="13"/>
  <c r="AU41" i="13"/>
  <c r="AT41" i="13"/>
  <c r="AS41" i="13"/>
  <c r="AR41" i="13"/>
  <c r="BB73" i="13"/>
  <c r="BA73" i="13"/>
  <c r="AX79" i="13"/>
  <c r="AW79" i="13"/>
  <c r="AV79" i="13"/>
  <c r="AU79" i="13"/>
  <c r="AT79" i="13"/>
  <c r="AS79" i="13"/>
  <c r="AR79" i="13"/>
  <c r="AX105" i="13"/>
  <c r="AW105" i="13"/>
  <c r="AV105" i="13"/>
  <c r="AU105" i="13"/>
  <c r="AT105" i="13"/>
  <c r="AS105" i="13"/>
  <c r="AR105" i="13"/>
  <c r="BB31" i="13"/>
  <c r="BA31" i="13"/>
  <c r="AS34" i="13"/>
  <c r="AR34" i="13"/>
  <c r="AX34" i="13"/>
  <c r="AW34" i="13"/>
  <c r="AV34" i="13"/>
  <c r="AU34" i="13"/>
  <c r="AT34" i="13"/>
  <c r="BB93" i="13"/>
  <c r="BA93" i="13"/>
  <c r="AS48" i="13"/>
  <c r="AR48" i="13"/>
  <c r="AX48" i="13"/>
  <c r="AW48" i="13"/>
  <c r="AV48" i="13"/>
  <c r="AU48" i="13"/>
  <c r="AT48" i="13"/>
  <c r="AQ50" i="13"/>
  <c r="AZ50" i="13"/>
  <c r="BB46" i="13"/>
  <c r="BA46" i="13"/>
  <c r="BB77" i="13"/>
  <c r="BA77" i="13"/>
  <c r="BB88" i="13"/>
  <c r="BA88" i="13"/>
  <c r="AX30" i="13"/>
  <c r="AW30" i="13"/>
  <c r="AV30" i="13"/>
  <c r="AU30" i="13"/>
  <c r="AT30" i="13"/>
  <c r="AS30" i="13"/>
  <c r="AR30" i="13"/>
  <c r="AX55" i="13"/>
  <c r="AW55" i="13"/>
  <c r="AV55" i="13"/>
  <c r="AU55" i="13"/>
  <c r="AT55" i="13"/>
  <c r="AS55" i="13"/>
  <c r="AR55" i="13"/>
  <c r="BB74" i="13"/>
  <c r="BA74" i="13"/>
  <c r="AX80" i="13"/>
  <c r="AW80" i="13"/>
  <c r="AV80" i="13"/>
  <c r="AU80" i="13"/>
  <c r="AT80" i="13"/>
  <c r="AS80" i="13"/>
  <c r="AR80" i="13"/>
  <c r="BB25" i="13"/>
  <c r="BA25" i="13"/>
  <c r="AX43" i="13"/>
  <c r="AW43" i="13"/>
  <c r="AV43" i="13"/>
  <c r="AU43" i="13"/>
  <c r="AT43" i="13"/>
  <c r="AS43" i="13"/>
  <c r="AR43" i="13"/>
  <c r="BB99" i="13"/>
  <c r="BA99" i="13"/>
  <c r="AX27" i="13"/>
  <c r="AW27" i="13"/>
  <c r="AV27" i="13"/>
  <c r="AU27" i="13"/>
  <c r="AT27" i="13"/>
  <c r="AS27" i="13"/>
  <c r="AR27" i="13"/>
  <c r="AX89" i="13"/>
  <c r="AW89" i="13"/>
  <c r="AV89" i="13"/>
  <c r="AU89" i="13"/>
  <c r="AT89" i="13"/>
  <c r="AS89" i="13"/>
  <c r="AR89" i="13"/>
  <c r="BA103" i="13"/>
  <c r="BB103" i="13"/>
  <c r="AT109" i="13"/>
  <c r="AS109" i="13"/>
  <c r="AR109" i="13"/>
  <c r="AX109" i="13"/>
  <c r="AW109" i="13"/>
  <c r="AV109" i="13"/>
  <c r="AU109" i="13"/>
  <c r="BB32" i="13"/>
  <c r="BA32" i="13"/>
  <c r="AX32" i="13"/>
  <c r="AW32" i="13"/>
  <c r="AV32" i="13"/>
  <c r="AU32" i="13"/>
  <c r="AT32" i="13"/>
  <c r="AS32" i="13"/>
  <c r="AR32" i="13"/>
  <c r="AX81" i="13"/>
  <c r="AW81" i="13"/>
  <c r="AV81" i="13"/>
  <c r="AU81" i="13"/>
  <c r="AT81" i="13"/>
  <c r="AS81" i="13"/>
  <c r="AR81" i="13"/>
  <c r="AW88" i="13"/>
  <c r="AV88" i="13"/>
  <c r="AU88" i="13"/>
  <c r="AT88" i="13"/>
  <c r="AS88" i="13"/>
  <c r="AR88" i="13"/>
  <c r="AX88" i="13"/>
  <c r="AX29" i="13"/>
  <c r="AW29" i="13"/>
  <c r="AV29" i="13"/>
  <c r="AU29" i="13"/>
  <c r="AT29" i="13"/>
  <c r="AS29" i="13"/>
  <c r="AR29" i="13"/>
  <c r="AX91" i="13"/>
  <c r="AW91" i="13"/>
  <c r="AV91" i="13"/>
  <c r="AU91" i="13"/>
  <c r="AT91" i="13"/>
  <c r="AS91" i="13"/>
  <c r="AR91" i="13"/>
  <c r="AX46" i="13"/>
  <c r="AW46" i="13"/>
  <c r="AV46" i="13"/>
  <c r="AU46" i="13"/>
  <c r="AT46" i="13"/>
  <c r="AS46" i="13"/>
  <c r="AR46" i="13"/>
  <c r="BA55" i="13"/>
  <c r="BB55" i="13"/>
  <c r="BB100" i="13"/>
  <c r="BA100" i="13"/>
  <c r="BB53" i="13"/>
  <c r="BA53" i="13"/>
  <c r="BB110" i="13"/>
  <c r="BA110" i="13"/>
  <c r="AX39" i="13"/>
  <c r="AW39" i="13"/>
  <c r="AV39" i="13"/>
  <c r="AU39" i="13"/>
  <c r="AT39" i="13"/>
  <c r="AS39" i="13"/>
  <c r="AR39" i="13"/>
  <c r="BA91" i="13"/>
  <c r="BB91" i="13"/>
  <c r="BB30" i="13"/>
  <c r="BA30" i="13"/>
  <c r="AV25" i="13"/>
  <c r="AU25" i="13"/>
  <c r="AT25" i="13"/>
  <c r="AS25" i="13"/>
  <c r="AR25" i="13"/>
  <c r="AX25" i="13"/>
  <c r="AW25" i="13"/>
  <c r="AX28" i="13"/>
  <c r="AW28" i="13"/>
  <c r="AV28" i="13"/>
  <c r="AU28" i="13"/>
  <c r="AT28" i="13"/>
  <c r="AS28" i="13"/>
  <c r="AR28" i="13"/>
  <c r="BB81" i="13"/>
  <c r="BA81" i="13"/>
  <c r="BB39" i="13"/>
  <c r="BA39" i="13"/>
  <c r="BB87" i="13"/>
  <c r="BA87" i="13"/>
  <c r="BB21" i="13"/>
  <c r="BA21" i="13"/>
  <c r="BB28" i="13"/>
  <c r="BA28" i="13"/>
  <c r="BB102" i="13"/>
  <c r="BA102" i="13"/>
  <c r="BB66" i="13"/>
  <c r="BA66" i="13"/>
  <c r="BB104" i="13"/>
  <c r="BA104" i="13"/>
  <c r="AV111" i="13"/>
  <c r="AU111" i="13"/>
  <c r="AT111" i="13"/>
  <c r="AS111" i="13"/>
  <c r="AR111" i="13"/>
  <c r="AX111" i="13"/>
  <c r="AW111" i="13"/>
  <c r="BB95" i="13"/>
  <c r="BA95" i="13"/>
  <c r="BB63" i="13"/>
  <c r="BA63" i="13"/>
  <c r="BB47" i="13"/>
  <c r="BA47" i="13"/>
  <c r="BB38" i="13"/>
  <c r="BA38" i="13"/>
  <c r="AX18" i="13"/>
  <c r="AW18" i="13"/>
  <c r="AV18" i="13"/>
  <c r="AU18" i="13"/>
  <c r="AT18" i="13"/>
  <c r="AS18" i="13"/>
  <c r="AR18" i="13"/>
  <c r="BB59" i="13"/>
  <c r="BA59" i="13"/>
  <c r="AR95" i="13"/>
  <c r="AX95" i="13"/>
  <c r="AW95" i="13"/>
  <c r="AV95" i="13"/>
  <c r="AU95" i="13"/>
  <c r="AT95" i="13"/>
  <c r="AS95" i="13"/>
  <c r="AX90" i="13"/>
  <c r="AW90" i="13"/>
  <c r="AV90" i="13"/>
  <c r="AU90" i="13"/>
  <c r="AT90" i="13"/>
  <c r="AS90" i="13"/>
  <c r="AR90" i="13"/>
  <c r="BB49" i="13"/>
  <c r="BA49" i="13"/>
  <c r="AX104" i="13"/>
  <c r="AW104" i="13"/>
  <c r="AV104" i="13"/>
  <c r="AU104" i="13"/>
  <c r="AT104" i="13"/>
  <c r="AS104" i="13"/>
  <c r="AR104" i="13"/>
  <c r="AX53" i="13"/>
  <c r="AW53" i="13"/>
  <c r="AV53" i="13"/>
  <c r="AU53" i="13"/>
  <c r="AT53" i="13"/>
  <c r="AS53" i="13"/>
  <c r="AR53" i="13"/>
  <c r="AV63" i="13"/>
  <c r="AU63" i="13"/>
  <c r="AT63" i="13"/>
  <c r="AS63" i="13"/>
  <c r="AR63" i="13"/>
  <c r="AX63" i="13"/>
  <c r="AW63" i="13"/>
  <c r="AX82" i="13"/>
  <c r="AW82" i="13"/>
  <c r="AV82" i="13"/>
  <c r="AU82" i="13"/>
  <c r="AT82" i="13"/>
  <c r="AS82" i="13"/>
  <c r="AR82" i="13"/>
  <c r="AR47" i="13"/>
  <c r="AX47" i="13"/>
  <c r="AW47" i="13"/>
  <c r="AV47" i="13"/>
  <c r="AU47" i="13"/>
  <c r="AT47" i="13"/>
  <c r="AS47" i="13"/>
  <c r="AW38" i="13"/>
  <c r="AV38" i="13"/>
  <c r="AU38" i="13"/>
  <c r="AT38" i="13"/>
  <c r="AS38" i="13"/>
  <c r="AR38" i="13"/>
  <c r="AX38" i="13"/>
  <c r="BA115" i="13"/>
  <c r="BB115" i="13"/>
  <c r="BB18" i="13"/>
  <c r="BA18" i="13"/>
  <c r="AR59" i="13"/>
  <c r="AX59" i="13"/>
  <c r="AW59" i="13"/>
  <c r="AV59" i="13"/>
  <c r="AU59" i="13"/>
  <c r="AT59" i="13"/>
  <c r="AS59" i="13"/>
  <c r="AU36" i="13"/>
  <c r="AT36" i="13"/>
  <c r="AS36" i="13"/>
  <c r="AR36" i="13"/>
  <c r="AX36" i="13"/>
  <c r="AW36" i="13"/>
  <c r="AV36" i="13"/>
  <c r="BB78" i="13"/>
  <c r="BA78" i="13"/>
  <c r="BB20" i="13"/>
  <c r="BA20" i="13"/>
  <c r="AX54" i="13"/>
  <c r="AW54" i="13"/>
  <c r="AV54" i="13"/>
  <c r="AU54" i="13"/>
  <c r="AT54" i="13"/>
  <c r="AS54" i="13"/>
  <c r="AR54" i="13"/>
  <c r="BB113" i="13"/>
  <c r="BA113" i="13"/>
  <c r="BB97" i="13"/>
  <c r="BA97" i="13"/>
  <c r="BB90" i="13"/>
  <c r="BA90" i="13"/>
  <c r="AT49" i="13"/>
  <c r="AS49" i="13"/>
  <c r="AR49" i="13"/>
  <c r="AX49" i="13"/>
  <c r="AW49" i="13"/>
  <c r="AV49" i="13"/>
  <c r="AU49" i="13"/>
  <c r="AZ69" i="13"/>
  <c r="AQ69" i="13"/>
  <c r="BA43" i="13"/>
  <c r="BB43" i="13"/>
  <c r="AX57" i="13"/>
  <c r="AW57" i="13"/>
  <c r="AV57" i="13"/>
  <c r="AU57" i="13"/>
  <c r="AT57" i="13"/>
  <c r="AS57" i="13"/>
  <c r="AR57" i="13"/>
  <c r="BB72" i="13"/>
  <c r="BA72" i="13"/>
  <c r="AW100" i="13"/>
  <c r="AV100" i="13"/>
  <c r="AU100" i="13"/>
  <c r="AT100" i="13"/>
  <c r="AS100" i="13"/>
  <c r="AR100" i="13"/>
  <c r="AX100" i="13"/>
  <c r="AQ84" i="13"/>
  <c r="AZ84" i="13"/>
  <c r="BA29" i="13"/>
  <c r="BB29" i="13"/>
  <c r="AU110" i="13"/>
  <c r="AT110" i="13"/>
  <c r="AS110" i="13"/>
  <c r="AR110" i="13"/>
  <c r="AX110" i="13"/>
  <c r="AW110" i="13"/>
  <c r="AV110" i="13"/>
  <c r="BB35" i="13"/>
  <c r="BA35" i="13"/>
  <c r="AX101" i="13"/>
  <c r="AW101" i="13"/>
  <c r="AV101" i="13"/>
  <c r="AU101" i="13"/>
  <c r="AT101" i="13"/>
  <c r="AS101" i="13"/>
  <c r="AR101" i="13"/>
  <c r="BB82" i="13"/>
  <c r="BA82" i="13"/>
  <c r="BB36" i="13"/>
  <c r="BA36" i="13"/>
  <c r="AX78" i="13"/>
  <c r="AW78" i="13"/>
  <c r="AV78" i="13"/>
  <c r="AU78" i="13"/>
  <c r="AT78" i="13"/>
  <c r="AS78" i="13"/>
  <c r="AR78" i="13"/>
  <c r="AX106" i="13"/>
  <c r="AW106" i="13"/>
  <c r="AV106" i="13"/>
  <c r="AU106" i="13"/>
  <c r="AT106" i="13"/>
  <c r="AS106" i="13"/>
  <c r="AR106" i="13"/>
  <c r="BB112" i="13"/>
  <c r="BA112" i="13"/>
  <c r="BB96" i="13"/>
  <c r="BA96" i="13"/>
  <c r="BB24" i="13"/>
  <c r="BA24" i="13"/>
  <c r="AX92" i="13"/>
  <c r="AW92" i="13"/>
  <c r="AV92" i="13"/>
  <c r="AU92" i="13"/>
  <c r="AT92" i="13"/>
  <c r="AS92" i="13"/>
  <c r="AR92" i="13"/>
  <c r="AX22" i="13"/>
  <c r="AW22" i="13"/>
  <c r="AV22" i="13"/>
  <c r="AU22" i="13"/>
  <c r="AT22" i="13"/>
  <c r="AS22" i="13"/>
  <c r="AR22" i="13"/>
  <c r="AX20" i="13"/>
  <c r="AW20" i="13"/>
  <c r="AV20" i="13"/>
  <c r="AU20" i="13"/>
  <c r="AT20" i="13"/>
  <c r="AS20" i="13"/>
  <c r="AR20" i="13"/>
  <c r="BB54" i="13"/>
  <c r="BA54" i="13"/>
  <c r="AX113" i="13"/>
  <c r="AW113" i="13"/>
  <c r="AV113" i="13"/>
  <c r="AU113" i="13"/>
  <c r="AT113" i="13"/>
  <c r="AS113" i="13"/>
  <c r="AR113" i="13"/>
  <c r="AT97" i="13"/>
  <c r="AS97" i="13"/>
  <c r="AR97" i="13"/>
  <c r="AX97" i="13"/>
  <c r="AW97" i="13"/>
  <c r="AV97" i="13"/>
  <c r="AU97" i="13"/>
  <c r="BB71" i="13"/>
  <c r="BA71" i="13"/>
  <c r="BB61" i="13"/>
  <c r="BA61" i="13"/>
  <c r="AV99" i="13"/>
  <c r="AU99" i="13"/>
  <c r="AT99" i="13"/>
  <c r="AS99" i="13"/>
  <c r="AR99" i="13"/>
  <c r="AX99" i="13"/>
  <c r="AW99" i="13"/>
  <c r="BB57" i="13"/>
  <c r="BA57" i="13"/>
  <c r="BB101" i="13"/>
  <c r="BA101" i="13"/>
  <c r="AS72" i="13"/>
  <c r="AR72" i="13"/>
  <c r="AX72" i="13"/>
  <c r="AW72" i="13"/>
  <c r="AV72" i="13"/>
  <c r="AU72" i="13"/>
  <c r="AT72" i="13"/>
  <c r="AU86" i="13"/>
  <c r="AT86" i="13"/>
  <c r="AS86" i="13"/>
  <c r="AR86" i="13"/>
  <c r="AX86" i="13"/>
  <c r="AW86" i="13"/>
  <c r="AV86" i="13"/>
  <c r="AV87" i="13"/>
  <c r="AU87" i="13"/>
  <c r="AT87" i="13"/>
  <c r="AS87" i="13"/>
  <c r="AR87" i="13"/>
  <c r="AX87" i="13"/>
  <c r="AW87" i="13"/>
  <c r="AR21" i="13"/>
  <c r="AX21" i="13"/>
  <c r="AW21" i="13"/>
  <c r="AV21" i="13"/>
  <c r="AU21" i="13"/>
  <c r="AT21" i="13"/>
  <c r="AS21" i="13"/>
  <c r="BB106" i="13"/>
  <c r="BA106" i="13"/>
  <c r="AX115" i="13"/>
  <c r="AW115" i="13"/>
  <c r="AV115" i="13"/>
  <c r="AU115" i="13"/>
  <c r="AT115" i="13"/>
  <c r="AS115" i="13"/>
  <c r="AR115" i="13"/>
  <c r="AT35" i="13"/>
  <c r="AS35" i="13"/>
  <c r="AR35" i="13"/>
  <c r="AX35" i="13"/>
  <c r="AW35" i="13"/>
  <c r="AV35" i="13"/>
  <c r="AU35" i="13"/>
  <c r="BB108" i="13"/>
  <c r="BA108" i="13"/>
  <c r="AS108" i="13"/>
  <c r="AR108" i="13"/>
  <c r="AX108" i="13"/>
  <c r="AW108" i="13"/>
  <c r="AV108" i="13"/>
  <c r="AU108" i="13"/>
  <c r="AT108" i="13"/>
  <c r="AX56" i="13"/>
  <c r="AW56" i="13"/>
  <c r="AV56" i="13"/>
  <c r="AU56" i="13"/>
  <c r="AT56" i="13"/>
  <c r="AS56" i="13"/>
  <c r="AR56" i="13"/>
  <c r="AX116" i="13"/>
  <c r="AW116" i="13"/>
  <c r="AV116" i="13"/>
  <c r="AU116" i="13"/>
  <c r="AT116" i="13"/>
  <c r="AS116" i="13"/>
  <c r="AR116" i="13"/>
  <c r="BB76" i="13"/>
  <c r="BA76" i="13"/>
  <c r="AX44" i="13"/>
  <c r="AW44" i="13"/>
  <c r="AV44" i="13"/>
  <c r="AU44" i="13"/>
  <c r="AT44" i="13"/>
  <c r="AS44" i="13"/>
  <c r="AR44" i="13"/>
  <c r="AX67" i="13"/>
  <c r="AW67" i="13"/>
  <c r="AV67" i="13"/>
  <c r="AU67" i="13"/>
  <c r="AT67" i="13"/>
  <c r="AS67" i="13"/>
  <c r="AR67" i="13"/>
  <c r="BB33" i="13"/>
  <c r="BA33" i="13"/>
  <c r="AW112" i="13"/>
  <c r="AV112" i="13"/>
  <c r="AU112" i="13"/>
  <c r="AT112" i="13"/>
  <c r="AS112" i="13"/>
  <c r="AR112" i="13"/>
  <c r="AX112" i="13"/>
  <c r="BB56" i="13"/>
  <c r="BA56" i="13"/>
  <c r="AS96" i="13"/>
  <c r="AR96" i="13"/>
  <c r="AX96" i="13"/>
  <c r="AW96" i="13"/>
  <c r="AV96" i="13"/>
  <c r="AU96" i="13"/>
  <c r="AT96" i="13"/>
  <c r="BB116" i="13"/>
  <c r="BA116" i="13"/>
  <c r="AW76" i="13"/>
  <c r="AV76" i="13"/>
  <c r="AU76" i="13"/>
  <c r="AT76" i="13"/>
  <c r="AS76" i="13"/>
  <c r="AR76" i="13"/>
  <c r="AX76" i="13"/>
  <c r="BB44" i="13"/>
  <c r="BA44" i="13"/>
  <c r="AU24" i="13"/>
  <c r="AT24" i="13"/>
  <c r="AS24" i="13"/>
  <c r="AR24" i="13"/>
  <c r="AX24" i="13"/>
  <c r="AW24" i="13"/>
  <c r="AV24" i="13"/>
  <c r="BB92" i="13"/>
  <c r="BA92" i="13"/>
  <c r="BB22" i="13"/>
  <c r="BA22" i="13"/>
  <c r="BB64" i="13"/>
  <c r="BA64" i="13"/>
  <c r="BB58" i="13"/>
  <c r="BA58" i="13"/>
  <c r="BB37" i="13"/>
  <c r="BA37" i="13"/>
  <c r="AX45" i="13"/>
  <c r="AW45" i="13"/>
  <c r="AV45" i="13"/>
  <c r="AU45" i="13"/>
  <c r="AT45" i="13"/>
  <c r="AS45" i="13"/>
  <c r="AR45" i="13"/>
  <c r="AR71" i="13"/>
  <c r="AX71" i="13"/>
  <c r="AW71" i="13"/>
  <c r="AV71" i="13"/>
  <c r="AU71" i="13"/>
  <c r="AT71" i="13"/>
  <c r="AS71" i="13"/>
  <c r="AT61" i="13"/>
  <c r="AS61" i="13"/>
  <c r="AR61" i="13"/>
  <c r="AX61" i="13"/>
  <c r="AW61" i="13"/>
  <c r="AV61" i="13"/>
  <c r="AU61" i="13"/>
  <c r="AX69" i="13" l="1"/>
  <c r="AW69" i="13"/>
  <c r="AV69" i="13"/>
  <c r="AU69" i="13"/>
  <c r="AT69" i="13"/>
  <c r="AS69" i="13"/>
  <c r="AR69" i="13"/>
  <c r="BB84" i="13"/>
  <c r="BA84" i="13"/>
  <c r="AS84" i="13"/>
  <c r="AR84" i="13"/>
  <c r="AX84" i="13"/>
  <c r="AW84" i="13"/>
  <c r="AV84" i="13"/>
  <c r="AU84" i="13"/>
  <c r="AT84" i="13"/>
  <c r="BB50" i="13"/>
  <c r="BA50" i="13"/>
  <c r="AU50" i="13"/>
  <c r="AT50" i="13"/>
  <c r="AS50" i="13"/>
  <c r="AR50" i="13"/>
  <c r="AX50" i="13"/>
  <c r="AW50" i="13"/>
  <c r="AV50" i="13"/>
  <c r="BB69" i="13"/>
  <c r="BA69" i="13"/>
</calcChain>
</file>

<file path=xl/sharedStrings.xml><?xml version="1.0" encoding="utf-8"?>
<sst xmlns="http://schemas.openxmlformats.org/spreadsheetml/2006/main" count="12462" uniqueCount="8164">
  <si>
    <t>Control de Eventos Formativos</t>
  </si>
  <si>
    <t>Link Registro</t>
  </si>
  <si>
    <t>Ticket #</t>
  </si>
  <si>
    <t>Asignado a:</t>
  </si>
  <si>
    <t>Evento Formativo según PFA / Extraordinario</t>
  </si>
  <si>
    <t>Dependencia</t>
  </si>
  <si>
    <t>Fecha de finalización</t>
  </si>
  <si>
    <t>.</t>
  </si>
  <si>
    <t>Grupos Programados</t>
  </si>
  <si>
    <t>Grupos ejecutados</t>
  </si>
  <si>
    <t>Grupos no Iniciados</t>
  </si>
  <si>
    <t>Grupos en proceso</t>
  </si>
  <si>
    <t>No nombrados</t>
  </si>
  <si>
    <t>Programación:</t>
  </si>
  <si>
    <t># Tickets abiertos</t>
  </si>
  <si>
    <t>Resumen</t>
  </si>
  <si>
    <t>Urgente</t>
  </si>
  <si>
    <t>Alta</t>
  </si>
  <si>
    <t>Media</t>
  </si>
  <si>
    <t>Baja</t>
  </si>
  <si>
    <t>Agrupa</t>
  </si>
  <si>
    <t>#</t>
  </si>
  <si>
    <t>Dias ab.</t>
  </si>
  <si>
    <t>Jer. Inv</t>
  </si>
  <si>
    <t>Contador</t>
  </si>
  <si>
    <t># ord.</t>
  </si>
  <si>
    <t>Dias ab. Ordenado</t>
  </si>
  <si>
    <t>Tickets</t>
  </si>
  <si>
    <t>Cantidad</t>
  </si>
  <si>
    <t>N°</t>
  </si>
  <si>
    <t>Nombre</t>
  </si>
  <si>
    <t>Nombre ordenado</t>
  </si>
  <si>
    <t>Abierto</t>
  </si>
  <si>
    <t>Nombres</t>
  </si>
  <si>
    <t>Gestor 1</t>
  </si>
  <si>
    <t>Gestor 2</t>
  </si>
  <si>
    <t>Gestor 3</t>
  </si>
  <si>
    <t>Gestor 4</t>
  </si>
  <si>
    <t>Gestor 5</t>
  </si>
  <si>
    <t>Modalidad</t>
  </si>
  <si>
    <t>Presencial</t>
  </si>
  <si>
    <t>Virtual Sincrónico</t>
  </si>
  <si>
    <t>Virtual Asincrónico</t>
  </si>
  <si>
    <t>Mixto</t>
  </si>
  <si>
    <t>Dependencias</t>
  </si>
  <si>
    <t>Comunicación Social Externa</t>
  </si>
  <si>
    <t>Despacho del Superintendente</t>
  </si>
  <si>
    <t xml:space="preserve">Directorio </t>
  </si>
  <si>
    <t>Gerencia Administrativa Financiera</t>
  </si>
  <si>
    <t>Gerencia de Asuntos Internos</t>
  </si>
  <si>
    <t>Auditoria Interna</t>
  </si>
  <si>
    <t>Gerencia de Contribuyentes Especiales Grandes</t>
  </si>
  <si>
    <t>Gerencia de Contribuyentes Especiales Medianos</t>
  </si>
  <si>
    <t>Gerencia de Formación de Personal SAT</t>
  </si>
  <si>
    <t>Gerencia de Informática</t>
  </si>
  <si>
    <t>Gerencia de Infraestructura</t>
  </si>
  <si>
    <t>Gerencia de investigación Fiscal</t>
  </si>
  <si>
    <t>Gerencia de Planificación y Cooperación</t>
  </si>
  <si>
    <t>Gerencia de Recursos Humanos</t>
  </si>
  <si>
    <t>Gerencia de Seguridad Institucional</t>
  </si>
  <si>
    <t>Gerencia Regional Central</t>
  </si>
  <si>
    <t>Gerencia Regional Nororiente</t>
  </si>
  <si>
    <t>Gerencia Regional Occidente</t>
  </si>
  <si>
    <t>Gerencia Regional Sur</t>
  </si>
  <si>
    <t>Intendencia de Aduanas</t>
  </si>
  <si>
    <t>Intendencia de Asuntos Jurídicos</t>
  </si>
  <si>
    <t>Intendencia de Atención al Contribuyente</t>
  </si>
  <si>
    <t>Intendencia de Fiscalización</t>
  </si>
  <si>
    <t>Intendencia de Recaudación</t>
  </si>
  <si>
    <t>Secretaría General</t>
  </si>
  <si>
    <t>TRIBUTA</t>
  </si>
  <si>
    <t>Gerencia de Gestión de Riesgo y Gobernanza de Datos</t>
  </si>
  <si>
    <t>SITRASAT</t>
  </si>
  <si>
    <t>Varias Dependencias</t>
  </si>
  <si>
    <t>Estado</t>
  </si>
  <si>
    <t>Finalizado</t>
  </si>
  <si>
    <t>No Iniciado</t>
  </si>
  <si>
    <t>Cancelado</t>
  </si>
  <si>
    <t>Suspedido temporalmente</t>
  </si>
  <si>
    <t>En Proceso</t>
  </si>
  <si>
    <t>Tipo docete</t>
  </si>
  <si>
    <t>Interno</t>
  </si>
  <si>
    <t>Externo</t>
  </si>
  <si>
    <t>Cooperante</t>
  </si>
  <si>
    <t>Control de Ejecución de Eventos Formativos</t>
  </si>
  <si>
    <t>Link del Ticket</t>
  </si>
  <si>
    <t>Prioridad</t>
  </si>
  <si>
    <t>Tipo de evento</t>
  </si>
  <si>
    <t>Programa</t>
  </si>
  <si>
    <t>Trasladado por:</t>
  </si>
  <si>
    <t>Fecha de ingreso</t>
  </si>
  <si>
    <t>Fecha de Asignación</t>
  </si>
  <si>
    <t>Código de insumo</t>
  </si>
  <si>
    <t>Nombre del código de insumo</t>
  </si>
  <si>
    <t>Requisición</t>
  </si>
  <si>
    <t>Costo Docente</t>
  </si>
  <si>
    <t>Inicio del Evento</t>
  </si>
  <si>
    <t>Fin del Evento</t>
  </si>
  <si>
    <t>R/N</t>
  </si>
  <si>
    <t>Grupos programados</t>
  </si>
  <si>
    <t>Sesiones por grupo</t>
  </si>
  <si>
    <t>Grupos Atendidos</t>
  </si>
  <si>
    <t>Grupos No Iniciados</t>
  </si>
  <si>
    <t>Total de sesiones</t>
  </si>
  <si>
    <t>Sesiones terminadas</t>
  </si>
  <si>
    <t>Sesiones faltantes</t>
  </si>
  <si>
    <t>Tipo docente</t>
  </si>
  <si>
    <t>Observaciones</t>
  </si>
  <si>
    <t>6262-PFIN-26</t>
  </si>
  <si>
    <t>https://sistema-eventos.edu.gt/ticket?id=8</t>
  </si>
  <si>
    <t>Resuelto</t>
  </si>
  <si>
    <t>Mesa de Entrada</t>
  </si>
  <si>
    <t>CAMBIO DINÁMICO: Interno a Externo</t>
  </si>
  <si>
    <t>6261-PFIN-26</t>
  </si>
  <si>
    <t>https://sistema-eventos.edu.gt/ticket?id=9</t>
  </si>
  <si>
    <t>TRASLADO A DFV - Ruta B</t>
  </si>
  <si>
    <t>6275-PFIN-26</t>
  </si>
  <si>
    <t>https://sistema-eventos.edu.gt/ticket?id=10</t>
  </si>
  <si>
    <t>OBLIGATORIO - Docente Nuevo</t>
  </si>
  <si>
    <t>6276-PFIN-26</t>
  </si>
  <si>
    <t>https://sistema-eventos.edu.gt/ticket?id=11</t>
  </si>
  <si>
    <t>Capacitación sobre detección de mentiras en la entrevista laboral</t>
  </si>
  <si>
    <t>26-17046</t>
  </si>
  <si>
    <t>6278-PFIN-26</t>
  </si>
  <si>
    <t>https://sistema-eventos.edu.gt/ticket?id=12</t>
  </si>
  <si>
    <t>6281-PFIN-26</t>
  </si>
  <si>
    <t>https://sistema-eventos.edu.gt/ticket?id=13</t>
  </si>
  <si>
    <t>Capacitación sobre el tema investigaciones internas forense corporativo</t>
  </si>
  <si>
    <t>26-18548.</t>
  </si>
  <si>
    <t>OBLIGATORIO - Tema Nuevo</t>
  </si>
  <si>
    <t>6283-PFIN-26</t>
  </si>
  <si>
    <t>https://sistema-eventos.edu.gt/ticket?id=14</t>
  </si>
  <si>
    <t>OBLIGATORIO - Primera Vez</t>
  </si>
  <si>
    <t>6284-PFIN-26</t>
  </si>
  <si>
    <t>https://sistema-eventos.edu.gt/ticket?id=15</t>
  </si>
  <si>
    <t>Capacitación sobre el tema análisis socioeconómico financiero</t>
  </si>
  <si>
    <t>26-21929</t>
  </si>
  <si>
    <t>6286-PFIN-26</t>
  </si>
  <si>
    <t>https://sistema-eventos.edu.gt/ticket?id=16</t>
  </si>
  <si>
    <t>26-18209</t>
  </si>
  <si>
    <t>6288-PFIN-26</t>
  </si>
  <si>
    <t>https://sistema-eventos.edu.gt/ticket?id=17</t>
  </si>
  <si>
    <t xml:space="preserve"> Capacitación sobre el manejo de bizagi (modelo y notación de procesos de negocio)</t>
  </si>
  <si>
    <t>26-17547</t>
  </si>
  <si>
    <t>6282-PFIN-26</t>
  </si>
  <si>
    <t>https://sistema-eventos.edu.gt/ticket?id=18</t>
  </si>
  <si>
    <t xml:space="preserve">Capacitación sobre el tema identificación de documentos falsos </t>
  </si>
  <si>
    <t>26-18481</t>
  </si>
  <si>
    <t>6289-PFIN-26</t>
  </si>
  <si>
    <t>https://sistema-eventos.edu.gt/ticket?id=19</t>
  </si>
  <si>
    <t>Capacitación para integración de equipos de alto desempeño  </t>
  </si>
  <si>
    <t>26-17574</t>
  </si>
  <si>
    <t>6290-PFIN-26</t>
  </si>
  <si>
    <t>https://sistema-eventos.edu.gt/ticket?id=20</t>
  </si>
  <si>
    <t>6291-PFIN-26</t>
  </si>
  <si>
    <t>https://sistema-eventos.edu.gt/ticket?id=21</t>
  </si>
  <si>
    <t>6292-PFIN-26</t>
  </si>
  <si>
    <t>https://sistema-eventos.edu.gt/ticket?id=22</t>
  </si>
  <si>
    <t>REGULAR - Muestreo Aleatorio</t>
  </si>
  <si>
    <t>6294-PFIN-26</t>
  </si>
  <si>
    <t>https://sistema-eventos.edu.gt/ticket?id=23</t>
  </si>
  <si>
    <t>Curso de Alto Desempeño y Protocolo</t>
  </si>
  <si>
    <t>26-17535</t>
  </si>
  <si>
    <t>6296-EXTNN-26</t>
  </si>
  <si>
    <t>https://sistema-eventos.edu.gt/ticket?id=24</t>
  </si>
  <si>
    <t>6297-PFIN-26</t>
  </si>
  <si>
    <t>https://sistema-eventos.edu.gt/ticket?id=25</t>
  </si>
  <si>
    <t>Curso sobre las herramientas y procedimientos para medición de combustible</t>
  </si>
  <si>
    <t>26-17544</t>
  </si>
  <si>
    <t>6295-PFIN-26</t>
  </si>
  <si>
    <t>https://sistema-eventos.edu.gt/ticket?id=26</t>
  </si>
  <si>
    <t>6298-PFIN-26</t>
  </si>
  <si>
    <t>https://sistema-eventos.edu.gt/ticket?id=27</t>
  </si>
  <si>
    <t>6299-PFIN-26</t>
  </si>
  <si>
    <t>https://sistema-eventos.edu.gt/ticket?id=28</t>
  </si>
  <si>
    <t>Capacitación sobre el tema de curso de casos prácticos sobre la determinación del impuesto sobre la renta en empresas productoras de café</t>
  </si>
  <si>
    <t>6304-PFIN-26</t>
  </si>
  <si>
    <t>https://sistema-eventos.edu.gt/ticket?id=29</t>
  </si>
  <si>
    <t>6305-PFIN-26</t>
  </si>
  <si>
    <t>https://sistema-eventos.edu.gt/ticket?id=30</t>
  </si>
  <si>
    <t>6306-PFIN-26</t>
  </si>
  <si>
    <t>https://sistema-eventos.edu.gt/ticket?id=31</t>
  </si>
  <si>
    <t>6312-PFIN-26</t>
  </si>
  <si>
    <t>https://sistema-eventos.edu.gt/ticket?id=32</t>
  </si>
  <si>
    <t>Capacitación en redes y telecomunicaciones</t>
  </si>
  <si>
    <t>26-18204</t>
  </si>
  <si>
    <t>6313-PFIN-26</t>
  </si>
  <si>
    <t>https://sistema-eventos.edu.gt/ticket?id=33</t>
  </si>
  <si>
    <t>Curso sobre técnicas de negociación y comunicación asertiva</t>
  </si>
  <si>
    <t>26-19540</t>
  </si>
  <si>
    <t>6315-PFIN-26</t>
  </si>
  <si>
    <t>https://sistema-eventos.edu.gt/ticket?id=34</t>
  </si>
  <si>
    <t>Curso de jurisprudencia y sentencia</t>
  </si>
  <si>
    <t>26-18315</t>
  </si>
  <si>
    <t>6316-PFIN-26</t>
  </si>
  <si>
    <t>https://sistema-eventos.edu.gt/ticket?id=35</t>
  </si>
  <si>
    <t>Curso sobre impugnaciones y medios de impugnación</t>
  </si>
  <si>
    <t>26-18318</t>
  </si>
  <si>
    <t>6319-PFIN-26</t>
  </si>
  <si>
    <t>https://sistema-eventos.edu.gt/ticket?id=36</t>
  </si>
  <si>
    <t>Capacitación de impugnaciones y medios de impugnación con énfasis en la apelación especial y casación</t>
  </si>
  <si>
    <t>26-18311</t>
  </si>
  <si>
    <t>6320-PFIN-26</t>
  </si>
  <si>
    <t>https://sistema-eventos.edu.gt/ticket?id=37</t>
  </si>
  <si>
    <t>Capacitación sobre el impuesto sobre la renta (isr) y su aplicación en materia contencioso administrativa</t>
  </si>
  <si>
    <t>26-19784</t>
  </si>
  <si>
    <t>6321-PFIN-26</t>
  </si>
  <si>
    <t>https://sistema-eventos.edu.gt/ticket?id=38</t>
  </si>
  <si>
    <t>Curso sobre aplicación del procedimiento especial de aceptación de cargos en procesos penales en materia tributaria</t>
  </si>
  <si>
    <t>26-19842</t>
  </si>
  <si>
    <t>6322-PFIN-26</t>
  </si>
  <si>
    <t>https://sistema-eventos.edu.gt/ticket?id=39</t>
  </si>
  <si>
    <t>Curso sobre origen, tratados y convenios internacionales</t>
  </si>
  <si>
    <t>26-19307</t>
  </si>
  <si>
    <t>6333-PFIN-26</t>
  </si>
  <si>
    <t>https://sistema-eventos.edu.gt/ticket?id=40</t>
  </si>
  <si>
    <t>6340-PFIN-26</t>
  </si>
  <si>
    <t>https://sistema-eventos.edu.gt/ticket?id=41</t>
  </si>
  <si>
    <t>6341-PFIN-26</t>
  </si>
  <si>
    <t>https://sistema-eventos.edu.gt/ticket?id=42</t>
  </si>
  <si>
    <t>6342-PFIN-26</t>
  </si>
  <si>
    <t>https://sistema-eventos.edu.gt/ticket?id=43</t>
  </si>
  <si>
    <t>6347-PFIN-26</t>
  </si>
  <si>
    <t>https://sistema-eventos.edu.gt/ticket?id=44</t>
  </si>
  <si>
    <t>6346-PFIN-26</t>
  </si>
  <si>
    <t>https://sistema-eventos.edu.gt/ticket?id=45</t>
  </si>
  <si>
    <t>Curso de Primeros Auxilios básicos</t>
  </si>
  <si>
    <t>26-19260</t>
  </si>
  <si>
    <t>6348-PFIN-26</t>
  </si>
  <si>
    <t>https://sistema-eventos.edu.gt/ticket?id=46</t>
  </si>
  <si>
    <t>117594 </t>
  </si>
  <si>
    <t>6285-PFIN-26</t>
  </si>
  <si>
    <t>https://sistema-eventos.edu.gt/ticket?id=47</t>
  </si>
  <si>
    <t>Capacitación sobre gestión de talento humano</t>
  </si>
  <si>
    <t>26-19239</t>
  </si>
  <si>
    <t>6357-PFIN-26</t>
  </si>
  <si>
    <t>https://sistema-eventos.edu.gt/ticket?id=48</t>
  </si>
  <si>
    <t xml:space="preserve">Capacitación team building </t>
  </si>
  <si>
    <t>26-20289</t>
  </si>
  <si>
    <t>5792-PFAN-26</t>
  </si>
  <si>
    <t>https://sistema-eventos.edu.gt/ticket?id=49</t>
  </si>
  <si>
    <t xml:space="preserve">Gobernanza de Datos </t>
  </si>
  <si>
    <t>5793-PFAN-26</t>
  </si>
  <si>
    <t>https://sistema-eventos.edu.gt/ticket?id=50</t>
  </si>
  <si>
    <t>Metodologías en análisis de datos aplicadas al Modelo de Gobierno de Datos en la SAT</t>
  </si>
  <si>
    <t>5794-PFAN-26</t>
  </si>
  <si>
    <t>https://sistema-eventos.edu.gt/ticket?id=51</t>
  </si>
  <si>
    <t>5795-PFAN-26</t>
  </si>
  <si>
    <t>https://sistema-eventos.edu.gt/ticket?id=52</t>
  </si>
  <si>
    <t>5796-PFAN-26</t>
  </si>
  <si>
    <t>https://sistema-eventos.edu.gt/ticket?id=53</t>
  </si>
  <si>
    <t>5797-PFAN-26</t>
  </si>
  <si>
    <t>https://sistema-eventos.edu.gt/ticket?id=54</t>
  </si>
  <si>
    <t>5808-PFAN-26</t>
  </si>
  <si>
    <t>https://sistema-eventos.edu.gt/ticket?id=55</t>
  </si>
  <si>
    <t>5809-PFAN-26</t>
  </si>
  <si>
    <t>https://sistema-eventos.edu.gt/ticket?id=56</t>
  </si>
  <si>
    <t>5810-PFAN-26</t>
  </si>
  <si>
    <t>https://sistema-eventos.edu.gt/ticket?id=57</t>
  </si>
  <si>
    <t>5811-PFAN-26</t>
  </si>
  <si>
    <t>https://sistema-eventos.edu.gt/ticket?id=58</t>
  </si>
  <si>
    <t>5814-PFAN-26</t>
  </si>
  <si>
    <t>https://sistema-eventos.edu.gt/ticket?id=59</t>
  </si>
  <si>
    <t xml:space="preserve"> 5/1/2026 9:15 </t>
  </si>
  <si>
    <t>Curso de diseño curricular</t>
  </si>
  <si>
    <t>26-0906</t>
  </si>
  <si>
    <t>5817-PFAN-26</t>
  </si>
  <si>
    <t>https://sistema-eventos.edu.gt/ticket?id=60</t>
  </si>
  <si>
    <t>05/01/2026 08/06</t>
  </si>
  <si>
    <t>5818-PFAN-26</t>
  </si>
  <si>
    <t>https://sistema-eventos.edu.gt/ticket?id=61</t>
  </si>
  <si>
    <t xml:space="preserve"> 5/1/2026 15:59 </t>
  </si>
  <si>
    <t>Curso sobre el trabajo en equipo para la eficiencia y productividad</t>
  </si>
  <si>
    <t>26-0908</t>
  </si>
  <si>
    <t>5822-PFAN-26</t>
  </si>
  <si>
    <t>https://sistema-eventos.edu.gt/ticket?id=62</t>
  </si>
  <si>
    <t xml:space="preserve">Gestión del Cambio </t>
  </si>
  <si>
    <t>6360-PFIN-26</t>
  </si>
  <si>
    <t>https://sistema-eventos.edu.gt/ticket?id=63</t>
  </si>
  <si>
    <t>Experiencia de Atención y Cultura de Servicio al Contribuyente</t>
  </si>
  <si>
    <t>26-19679</t>
  </si>
  <si>
    <t>5836-PFAN-26</t>
  </si>
  <si>
    <t>https://sistema-eventos.edu.gt/ticket?id=64</t>
  </si>
  <si>
    <t>Servicios de capacitación en materia de atención al contribuyente</t>
  </si>
  <si>
    <t>26-2056</t>
  </si>
  <si>
    <t>6359-PFIN-26</t>
  </si>
  <si>
    <t>https://sistema-eventos.edu.gt/ticket?id=65</t>
  </si>
  <si>
    <t>26-19676</t>
  </si>
  <si>
    <t>5837-PFAN-26</t>
  </si>
  <si>
    <t>https://sistema-eventos.edu.gt/ticket?id=66</t>
  </si>
  <si>
    <t>Cultura de Servicio y Competencias de Atención al Contribuyente</t>
  </si>
  <si>
    <t>26-3718</t>
  </si>
  <si>
    <t>5829-PFAN-26</t>
  </si>
  <si>
    <t>https://sistema-eventos.edu.gt/ticket?id=67</t>
  </si>
  <si>
    <t>Capacitación de protocolo para eventos oficiales</t>
  </si>
  <si>
    <t>26-2229</t>
  </si>
  <si>
    <t>5838-PFAN-26</t>
  </si>
  <si>
    <t>https://sistema-eventos.edu.gt/ticket?id=68</t>
  </si>
  <si>
    <t>Ergonomía y prevención de riesgos laborales</t>
  </si>
  <si>
    <t>5845-PFA-26</t>
  </si>
  <si>
    <t>https://sistema-eventos.edu.gt/ticket?id=69</t>
  </si>
  <si>
    <t>5846-PFAN-26</t>
  </si>
  <si>
    <t>https://sistema-eventos.edu.gt/ticket?id=70</t>
  </si>
  <si>
    <t>5847-PFAN-26</t>
  </si>
  <si>
    <t>https://sistema-eventos.edu.gt/ticket?id=71</t>
  </si>
  <si>
    <t>5848-PFAN-26</t>
  </si>
  <si>
    <t>https://sistema-eventos.edu.gt/ticket?id=72</t>
  </si>
  <si>
    <t>26-4098</t>
  </si>
  <si>
    <t>5849-PFAN-26</t>
  </si>
  <si>
    <t>https://sistema-eventos.edu.gt/ticket?id=73</t>
  </si>
  <si>
    <t>N/A</t>
  </si>
  <si>
    <t>5850-PFAN-26</t>
  </si>
  <si>
    <t>https://sistema-eventos.edu.gt/ticket?id=74</t>
  </si>
  <si>
    <t>5851-PFAN-26</t>
  </si>
  <si>
    <t>https://sistema-eventos.edu.gt/ticket?id=75</t>
  </si>
  <si>
    <t>5852-PFAN-26</t>
  </si>
  <si>
    <t>https://sistema-eventos.edu.gt/ticket?id=76</t>
  </si>
  <si>
    <t>5853-PFAN-26</t>
  </si>
  <si>
    <t>https://sistema-eventos.edu.gt/ticket?id=77</t>
  </si>
  <si>
    <t>5854-PFAN-26</t>
  </si>
  <si>
    <t>https://sistema-eventos.edu.gt/ticket?id=78</t>
  </si>
  <si>
    <t>5855-PFAN-26</t>
  </si>
  <si>
    <t>https://sistema-eventos.edu.gt/ticket?id=79</t>
  </si>
  <si>
    <t>5856-PFAN-26</t>
  </si>
  <si>
    <t>https://sistema-eventos.edu.gt/ticket?id=80</t>
  </si>
  <si>
    <t>5857-PFAN-26</t>
  </si>
  <si>
    <t>https://sistema-eventos.edu.gt/ticket?id=81</t>
  </si>
  <si>
    <t>6373-PFIN-26</t>
  </si>
  <si>
    <t>https://sistema-eventos.edu.gt/ticket?id=82</t>
  </si>
  <si>
    <t>Curso de recursos administrativos en materia tributaria y ley de lo contencioso administrativo</t>
  </si>
  <si>
    <t>26-20805</t>
  </si>
  <si>
    <t>6371-PFIN-26</t>
  </si>
  <si>
    <t>https://sistema-eventos.edu.gt/ticket?id=83</t>
  </si>
  <si>
    <t>202719 </t>
  </si>
  <si>
    <t>Curso sobre impacto Fiscal y operativo de la adición de etanol a los combustibles </t>
  </si>
  <si>
    <t>26-22278</t>
  </si>
  <si>
    <t>6374-PFIN-26</t>
  </si>
  <si>
    <t>https://sistema-eventos.edu.gt/ticket?id=84</t>
  </si>
  <si>
    <t>Curso sobre modelos de compliance penal y administrativo</t>
  </si>
  <si>
    <t>26-21621</t>
  </si>
  <si>
    <t>6375-PFIN-26</t>
  </si>
  <si>
    <t>https://sistema-eventos.edu.gt/ticket?id=85</t>
  </si>
  <si>
    <t>Curso sobre análisis e interpretación de la ley de alcoholes, bebidas alcohólicas y fermentadas y su reglamento y su aplicación</t>
  </si>
  <si>
    <t>26-20318</t>
  </si>
  <si>
    <t>6376-PFIN-26</t>
  </si>
  <si>
    <t>https://sistema-eventos.edu.gt/ticket?id=86</t>
  </si>
  <si>
    <t>Curso sobre digitalización y archivo electrónico</t>
  </si>
  <si>
    <t>26-20920</t>
  </si>
  <si>
    <t>6377-PFIN-26</t>
  </si>
  <si>
    <t>https://sistema-eventos.edu.gt/ticket?id=87</t>
  </si>
  <si>
    <t>Curso de capacitación sobre auditoría a la ciberseguridad.</t>
  </si>
  <si>
    <t>26-21282</t>
  </si>
  <si>
    <t>6378-PFIN-26</t>
  </si>
  <si>
    <t>https://sistema-eventos.edu.gt/ticket?id=88</t>
  </si>
  <si>
    <t>Curso sobre el tema detección y análisis de fraude financiero</t>
  </si>
  <si>
    <t>26-21169</t>
  </si>
  <si>
    <t>6257-PFIN-26</t>
  </si>
  <si>
    <t>https://sistema-eventos.edu.gt/ticket?id=89</t>
  </si>
  <si>
    <t xml:space="preserve">Capacitación para escalas salariales </t>
  </si>
  <si>
    <t>26-16686</t>
  </si>
  <si>
    <t>6253-PFIN-26</t>
  </si>
  <si>
    <t>https://sistema-eventos.edu.gt/ticket?id=90</t>
  </si>
  <si>
    <t>6252-PFIN-26</t>
  </si>
  <si>
    <t>https://sistema-eventos.edu.gt/ticket?id=91</t>
  </si>
  <si>
    <t>6251-PFIN-26</t>
  </si>
  <si>
    <t>https://sistema-eventos.edu.gt/ticket?id=92</t>
  </si>
  <si>
    <t>6250-PFIN-26</t>
  </si>
  <si>
    <t>https://sistema-eventos.edu.gt/ticket?id=93</t>
  </si>
  <si>
    <t>6240-PFIN-26</t>
  </si>
  <si>
    <t>https://sistema-eventos.edu.gt/ticket?id=94</t>
  </si>
  <si>
    <t>Capacitación de certificación cisco ccna2</t>
  </si>
  <si>
    <t>26-16350</t>
  </si>
  <si>
    <t>6234-PFIN-26</t>
  </si>
  <si>
    <t>https://sistema-eventos.edu.gt/ticket?id=95</t>
  </si>
  <si>
    <t>Capacitación sobre control de inventarios</t>
  </si>
  <si>
    <t>26-16345</t>
  </si>
  <si>
    <t>6232-PFIN-26</t>
  </si>
  <si>
    <t>https://sistema-eventos.edu.gt/ticket?id=96</t>
  </si>
  <si>
    <t>6223-EXTCC-26</t>
  </si>
  <si>
    <t>https://sistema-eventos.edu.gt/ticket?id=97</t>
  </si>
  <si>
    <t xml:space="preserve">Capacitación sobre motivación laboral </t>
  </si>
  <si>
    <t>6384-PFIN-26</t>
  </si>
  <si>
    <t>https://sistema-eventos.edu.gt/ticket?id=98</t>
  </si>
  <si>
    <t>6222-PFIN-26</t>
  </si>
  <si>
    <t>https://sistema-eventos.edu.gt/ticket?id=99</t>
  </si>
  <si>
    <t>6221-PFIN-26</t>
  </si>
  <si>
    <t>https://sistema-eventos.edu.gt/ticket?id=100</t>
  </si>
  <si>
    <t>26-14732</t>
  </si>
  <si>
    <t>6220-PFIN-26</t>
  </si>
  <si>
    <t>https://sistema-eventos.edu.gt/ticket?id=101</t>
  </si>
  <si>
    <t>6215-PFIN-26</t>
  </si>
  <si>
    <t>https://sistema-eventos.edu.gt/ticket?id=102</t>
  </si>
  <si>
    <t>6212-PFIN-26</t>
  </si>
  <si>
    <t>https://sistema-eventos.edu.gt/ticket?id=103</t>
  </si>
  <si>
    <t>Curso para el diseño de protocolo de inspección, auditorias y supervisión de empresas de almacenamiento, envasado y distribución de hidrocarburos</t>
  </si>
  <si>
    <t>26-16363</t>
  </si>
  <si>
    <t>https://sistema-eventos.edu.gt/ticket?id=104</t>
  </si>
  <si>
    <t>26-19144</t>
  </si>
  <si>
    <t>6211-PFIN-26</t>
  </si>
  <si>
    <t>https://sistema-eventos.edu.gt/ticket?id=105</t>
  </si>
  <si>
    <t>Capacitación sobre la conservación y restauración de documentos</t>
  </si>
  <si>
    <t>26-14164</t>
  </si>
  <si>
    <t>6210-PFIN-26</t>
  </si>
  <si>
    <t>https://sistema-eventos.edu.gt/ticket?id=106</t>
  </si>
  <si>
    <t>6209-PFIN-26</t>
  </si>
  <si>
    <t>https://sistema-eventos.edu.gt/ticket?id=107</t>
  </si>
  <si>
    <t>6208-PFIN-26</t>
  </si>
  <si>
    <t>https://sistema-eventos.edu.gt/ticket?id=108</t>
  </si>
  <si>
    <t>Curso sobre neurociencia y heurística</t>
  </si>
  <si>
    <t>26-14755</t>
  </si>
  <si>
    <t>6207-PFIN-26</t>
  </si>
  <si>
    <t>https://sistema-eventos.edu.gt/ticket?id=109</t>
  </si>
  <si>
    <t>Capacitación sobre el tema de cultura ambidiestra</t>
  </si>
  <si>
    <t>6206-PFIN-26</t>
  </si>
  <si>
    <t>https://sistema-eventos.edu.gt/ticket?id=110</t>
  </si>
  <si>
    <t>Actividades Económicas de Industrias Especializadas</t>
  </si>
  <si>
    <t>26-13981</t>
  </si>
  <si>
    <t>6205-PFIN-26</t>
  </si>
  <si>
    <t>https://sistema-eventos.edu.gt/ticket?id=111</t>
  </si>
  <si>
    <t>Capacitación sobre el tema de biohacking y productividad</t>
  </si>
  <si>
    <t>26-14579</t>
  </si>
  <si>
    <t>6204-PFIN-26</t>
  </si>
  <si>
    <t>https://sistema-eventos.edu.gt/ticket?id=112</t>
  </si>
  <si>
    <t>Implementación de NIIF 18 (Sustitución NIC 1)</t>
  </si>
  <si>
    <t>26-14165</t>
  </si>
  <si>
    <t>6387-PFIN-26</t>
  </si>
  <si>
    <t>https://sistema-eventos.edu.gt/ticket?id=113</t>
  </si>
  <si>
    <t>Curso evaluación del desempeño</t>
  </si>
  <si>
    <t>26-21168</t>
  </si>
  <si>
    <t>6389-PFIN-26</t>
  </si>
  <si>
    <t>https://sistema-eventos.edu.gt/ticket?id=114</t>
  </si>
  <si>
    <t>Curso sobre implantación de controles de inteligencia artificial</t>
  </si>
  <si>
    <t>6400-PFIN-26</t>
  </si>
  <si>
    <t>https://sistema-eventos.edu.gt/ticket?id=115</t>
  </si>
  <si>
    <t>6405-PFIN-26</t>
  </si>
  <si>
    <t>https://sistema-eventos.edu.gt/ticket?id=116</t>
  </si>
  <si>
    <t>Curso de gestión y dirección de alto desempeño</t>
  </si>
  <si>
    <t>26-21538</t>
  </si>
  <si>
    <t>6412-PFIN-26</t>
  </si>
  <si>
    <t>https://sistema-eventos.edu.gt/ticket?id=117</t>
  </si>
  <si>
    <t>Capacitación sobre el tema cultura de servicio</t>
  </si>
  <si>
    <t xml:space="preserve"> 6/10/26 8:57</t>
  </si>
  <si>
    <t>26-21798</t>
  </si>
  <si>
    <t>6404-PFIN-26</t>
  </si>
  <si>
    <t>https://sistema-eventos.edu.gt/ticket?id=118</t>
  </si>
  <si>
    <t>6411-PFIN-26</t>
  </si>
  <si>
    <t>https://sistema-eventos.edu.gt/ticket?id=119</t>
  </si>
  <si>
    <t>6418-PFIN-26</t>
  </si>
  <si>
    <t>https://sistema-eventos.edu.gt/ticket?id=120</t>
  </si>
  <si>
    <t xml:space="preserve">Nombre del evento formativo </t>
  </si>
  <si>
    <t>Fecha de asignación</t>
  </si>
  <si>
    <t>Fecha de inicio del curso</t>
  </si>
  <si>
    <t>Dias hábiles para el inicio</t>
  </si>
  <si>
    <t>Dias Docente antes del inicio</t>
  </si>
  <si>
    <t>Fecha Propuesta Docente</t>
  </si>
  <si>
    <t>Fecha de solicitud a la Depen / Coop</t>
  </si>
  <si>
    <t>Observaciones interno / Cooperación</t>
  </si>
  <si>
    <t>Solicitud de verificación presupuestaria</t>
  </si>
  <si>
    <t>Asignación - Solicitud verificación</t>
  </si>
  <si>
    <t>Observaciones Externo</t>
  </si>
  <si>
    <t>Fecha de asignación  / adjudicación docente</t>
  </si>
  <si>
    <t xml:space="preserve">Solicitud de creación código de insumo </t>
  </si>
  <si>
    <t xml:space="preserve">Angie Merida </t>
  </si>
  <si>
    <t>Nombados</t>
  </si>
  <si>
    <t>Aprobados</t>
  </si>
  <si>
    <t>Reprobados</t>
  </si>
  <si>
    <t>Inactivos</t>
  </si>
  <si>
    <t>Mes</t>
  </si>
  <si>
    <t>Ejecutado</t>
  </si>
  <si>
    <t>Proyectado</t>
  </si>
  <si>
    <t>Indicador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</si>
  <si>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</si>
  <si>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</si>
  <si>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</si>
  <si>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</si>
  <si>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</si>
  <si>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</si>
  <si>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</si>
  <si>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</si>
  <si>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</si>
  <si>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</si>
  <si>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</si>
  <si>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</si>
  <si>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</si>
  <si>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Correlativo</t>
  </si>
  <si>
    <t>No. Solicitud</t>
  </si>
  <si>
    <t>Asignado a</t>
  </si>
  <si>
    <t>Link de Registro en control</t>
  </si>
  <si>
    <t>Grupo</t>
  </si>
  <si>
    <t>PC</t>
  </si>
  <si>
    <t>Fecha Inicio</t>
  </si>
  <si>
    <t>Fecha Fin</t>
  </si>
  <si>
    <t>Nun_MES</t>
  </si>
  <si>
    <t>Cantidad de Participantes solicitados</t>
  </si>
  <si>
    <t>Cantidad de Participantes nombrados</t>
  </si>
  <si>
    <t>Participantes Aprobados</t>
  </si>
  <si>
    <t>Participantes Reprobados</t>
  </si>
  <si>
    <t>Participantes Inactivos</t>
  </si>
  <si>
    <t>Link de curso en plataforma</t>
  </si>
  <si>
    <t>Cierre del curso</t>
  </si>
  <si>
    <t>9810-2026</t>
  </si>
  <si>
    <t>9976-2026</t>
  </si>
  <si>
    <t>10111-2026</t>
  </si>
  <si>
    <t>9998-2026</t>
  </si>
  <si>
    <t>10265-2026</t>
  </si>
  <si>
    <t>10415-2026</t>
  </si>
  <si>
    <t>10645-2026</t>
  </si>
  <si>
    <t>9653-2026</t>
  </si>
  <si>
    <t>9658-2026</t>
  </si>
  <si>
    <t>9809-2026</t>
  </si>
  <si>
    <t xml:space="preserve"> 9852-2026</t>
  </si>
  <si>
    <t>9884-2026</t>
  </si>
  <si>
    <t>9912-2028</t>
  </si>
  <si>
    <t>10190-2026</t>
  </si>
  <si>
    <t>10264-2026</t>
  </si>
  <si>
    <t>10350-2026</t>
  </si>
  <si>
    <t>10394-2026</t>
  </si>
  <si>
    <t>10429-2026</t>
  </si>
  <si>
    <t>10374-2026</t>
  </si>
  <si>
    <t>10454-2026</t>
  </si>
  <si>
    <t>10526-2026</t>
  </si>
  <si>
    <t>9567-2025</t>
  </si>
  <si>
    <t>10017-2026</t>
  </si>
  <si>
    <t>10103-2026</t>
  </si>
  <si>
    <t>10036-2026</t>
  </si>
  <si>
    <t>10150-2026</t>
  </si>
  <si>
    <t xml:space="preserve">9845-2026 </t>
  </si>
  <si>
    <t>https://ecampus.sat.gob.gt/formacionsat/course/view.php?id=9019</t>
  </si>
  <si>
    <t>https://ecampus.sat.gob.gt/formacionsat/course/view.php?id=9042</t>
  </si>
  <si>
    <t>9960-2026</t>
  </si>
  <si>
    <t>https://ecampus.sat.gob.gt/formacionsat/course/view.php?id=9043</t>
  </si>
  <si>
    <t>9994-2026</t>
  </si>
  <si>
    <t>https://ecampus.sat.gob.gt/formacionsat/course/view.php?id=9070</t>
  </si>
  <si>
    <t>9578-2026</t>
  </si>
  <si>
    <t>9665-2026</t>
  </si>
  <si>
    <t>9679-2026</t>
  </si>
  <si>
    <t>9831-2026</t>
  </si>
  <si>
    <t>9866-2026</t>
  </si>
  <si>
    <t>Modalidad Virtual</t>
  </si>
  <si>
    <t>9868-2026</t>
  </si>
  <si>
    <t>9869-2026</t>
  </si>
  <si>
    <t xml:space="preserve"> 9870-2026</t>
  </si>
  <si>
    <t>9871-2026</t>
  </si>
  <si>
    <t xml:space="preserve"> 9886-2026</t>
  </si>
  <si>
    <t>9887-2026</t>
  </si>
  <si>
    <t>9888-2026</t>
  </si>
  <si>
    <t>9893-2026</t>
  </si>
  <si>
    <t>9894-2026</t>
  </si>
  <si>
    <t>10189-2026</t>
  </si>
  <si>
    <t>9619-2026</t>
  </si>
  <si>
    <t>9752-2026</t>
  </si>
  <si>
    <t xml:space="preserve"> 9800-2026</t>
  </si>
  <si>
    <t>9876-2026</t>
  </si>
  <si>
    <t>9933-2026</t>
  </si>
  <si>
    <t>10032-2026</t>
  </si>
  <si>
    <t>10070-2026.</t>
  </si>
  <si>
    <t xml:space="preserve"> 10130-2026</t>
  </si>
  <si>
    <t>10231-2026.</t>
  </si>
  <si>
    <t>9620-2026</t>
  </si>
  <si>
    <t>9755-2026</t>
  </si>
  <si>
    <t>9802-2026</t>
  </si>
  <si>
    <t>9877-2026</t>
  </si>
  <si>
    <t>9935-2026</t>
  </si>
  <si>
    <t xml:space="preserve"> 10132-2026</t>
  </si>
  <si>
    <t>10033-2026</t>
  </si>
  <si>
    <t>10174-2026</t>
  </si>
  <si>
    <t>102514-2026</t>
  </si>
  <si>
    <t>10076-2026</t>
  </si>
  <si>
    <t>9621-2026</t>
  </si>
  <si>
    <t>finalizado</t>
  </si>
  <si>
    <t>9708-2026</t>
  </si>
  <si>
    <t>9803-2026</t>
  </si>
  <si>
    <t>9875-2026</t>
  </si>
  <si>
    <t>9938-2026</t>
  </si>
  <si>
    <t>10039-2026</t>
  </si>
  <si>
    <t>10077-2026</t>
  </si>
  <si>
    <t>10133-202</t>
  </si>
  <si>
    <t>10191-2026</t>
  </si>
  <si>
    <t>10252-2026</t>
  </si>
  <si>
    <t>9853-2026</t>
  </si>
  <si>
    <t>9890-2026</t>
  </si>
  <si>
    <t>9908-2026</t>
  </si>
  <si>
    <t>9930-2026</t>
  </si>
  <si>
    <t>9913-2026</t>
  </si>
  <si>
    <t>9636-2026</t>
  </si>
  <si>
    <t>9697-2026</t>
  </si>
  <si>
    <t>9815-2026</t>
  </si>
  <si>
    <t>9920-2026</t>
  </si>
  <si>
    <t>9979-2026</t>
  </si>
  <si>
    <t>10055-2026</t>
  </si>
  <si>
    <t>10096-2026</t>
  </si>
  <si>
    <t xml:space="preserve">No se localizó listado en el ticket </t>
  </si>
  <si>
    <t>10167-2026</t>
  </si>
  <si>
    <t>10201-2026</t>
  </si>
  <si>
    <t>10294-2026.</t>
  </si>
  <si>
    <t>9628-2026</t>
  </si>
  <si>
    <t>9693-2026</t>
  </si>
  <si>
    <t>9804-2026</t>
  </si>
  <si>
    <t>9878-2026</t>
  </si>
  <si>
    <t>10047-2026</t>
  </si>
  <si>
    <t>10085-2026</t>
  </si>
  <si>
    <t>10155-2026</t>
  </si>
  <si>
    <t>10195-2026</t>
  </si>
  <si>
    <t>10287-2026.</t>
  </si>
  <si>
    <t>9630-2026</t>
  </si>
  <si>
    <t>9694-2026</t>
  </si>
  <si>
    <t>9805-2026</t>
  </si>
  <si>
    <t>9899-2026</t>
  </si>
  <si>
    <t>9942-2026</t>
  </si>
  <si>
    <t>10050-2026</t>
  </si>
  <si>
    <t>10087-2026</t>
  </si>
  <si>
    <t>10160-2026</t>
  </si>
  <si>
    <t>10193-2026.</t>
  </si>
  <si>
    <t>10288-2026</t>
  </si>
  <si>
    <t>9637-2026</t>
  </si>
  <si>
    <t>9652-2026</t>
  </si>
  <si>
    <t>9816-2026</t>
  </si>
  <si>
    <t>9921-2026</t>
  </si>
  <si>
    <t>9951-2026</t>
  </si>
  <si>
    <t>10057-2026.</t>
  </si>
  <si>
    <t>10097-2026</t>
  </si>
  <si>
    <t>10168-2026.</t>
  </si>
  <si>
    <t>10200-2026</t>
  </si>
  <si>
    <t>10296-2026</t>
  </si>
  <si>
    <t>9631-2026</t>
  </si>
  <si>
    <t>9695-2026</t>
  </si>
  <si>
    <t>9806-2026</t>
  </si>
  <si>
    <t>9911-2026</t>
  </si>
  <si>
    <t>9950-2026</t>
  </si>
  <si>
    <t>10052-2026.</t>
  </si>
  <si>
    <t>10088-2026.</t>
  </si>
  <si>
    <t>10165-2026.</t>
  </si>
  <si>
    <t>10196-2026</t>
  </si>
  <si>
    <t>10289-2026</t>
  </si>
  <si>
    <t>9698-2026</t>
  </si>
  <si>
    <t>9644-2026</t>
  </si>
  <si>
    <t>9858-2026</t>
  </si>
  <si>
    <t>9923-2026</t>
  </si>
  <si>
    <t>9952-2026</t>
  </si>
  <si>
    <t>10066-2026</t>
  </si>
  <si>
    <t>10098-2026</t>
  </si>
  <si>
    <t>10170-2026</t>
  </si>
  <si>
    <t>10209-2026</t>
  </si>
  <si>
    <t>10310-2026</t>
  </si>
  <si>
    <t>9635-2026</t>
  </si>
  <si>
    <t>9696-2026</t>
  </si>
  <si>
    <t>9811-2026</t>
  </si>
  <si>
    <t>9919-202</t>
  </si>
  <si>
    <t>10054-2026</t>
  </si>
  <si>
    <t>10091-2026.</t>
  </si>
  <si>
    <t>10166-2026</t>
  </si>
  <si>
    <t>10217-2026</t>
  </si>
  <si>
    <t>10293-2026</t>
  </si>
  <si>
    <t>9645-2026</t>
  </si>
  <si>
    <t>9699-2026</t>
  </si>
  <si>
    <t>9836-2026</t>
  </si>
  <si>
    <t>9928-2026</t>
  </si>
  <si>
    <t>9953-2026</t>
  </si>
  <si>
    <t>10067-2026</t>
  </si>
  <si>
    <t>10104-2026.</t>
  </si>
  <si>
    <t>10173-2026</t>
  </si>
  <si>
    <t>10210-2026</t>
  </si>
  <si>
    <t>10312-2026</t>
  </si>
  <si>
    <t>9646-2026</t>
  </si>
  <si>
    <t>9700-2026</t>
  </si>
  <si>
    <t>9834-2026</t>
  </si>
  <si>
    <t>9929-2026</t>
  </si>
  <si>
    <t>9954-2026</t>
  </si>
  <si>
    <t>10069-2026</t>
  </si>
  <si>
    <t>10105-2026</t>
  </si>
  <si>
    <t>10188-2026</t>
  </si>
  <si>
    <t>10211-2026</t>
  </si>
  <si>
    <t>10315-2026</t>
  </si>
  <si>
    <t>10437-2026</t>
  </si>
  <si>
    <t>10438-2026</t>
  </si>
  <si>
    <t>10300-2026</t>
  </si>
  <si>
    <t>No se consignan datos por la modalidad del evento</t>
  </si>
  <si>
    <t>10457-2026</t>
  </si>
  <si>
    <t>https://ecampus.sat.gob.gt/formacionsat/course/view.php?id=9269</t>
  </si>
  <si>
    <t>104513-2026</t>
  </si>
  <si>
    <t>https://ecampus.sat.gob.gt/formacionsat/course/view.php?id=9274</t>
  </si>
  <si>
    <t>10303-2026</t>
  </si>
  <si>
    <t>10304-2026</t>
  </si>
  <si>
    <t>10291-2026</t>
  </si>
  <si>
    <t>10307-2026</t>
  </si>
  <si>
    <t>10534-2026</t>
  </si>
  <si>
    <t>https://ecampus.sat.gob.gt/formacionsat/course/view.php?id=9280</t>
  </si>
  <si>
    <t>10579-2026</t>
  </si>
  <si>
    <t>https://ecampus.sat.gob.gt/formacionsat/course/view.php?id=9284</t>
  </si>
  <si>
    <t>10504-2026</t>
  </si>
  <si>
    <t>https://ecampus.sat.gob.gt/formacionsat/course/view.php?id=9305</t>
  </si>
  <si>
    <t>10503-2026</t>
  </si>
  <si>
    <t>https://ecampus.sat.gob.gt/formacionsat/course/view.php?id=9306</t>
  </si>
  <si>
    <t>10669-2026</t>
  </si>
  <si>
    <t>https://ecampus.sat.gob.gt/formacionsat/course/view.php?id=9327</t>
  </si>
  <si>
    <t>10676-2026</t>
  </si>
  <si>
    <t>https://ecampus.sat.gob.gt/formacionsat/course/view.php?id=9329</t>
  </si>
  <si>
    <t>10306-2026</t>
  </si>
  <si>
    <t>10305-2026</t>
  </si>
  <si>
    <t>10408-2026</t>
  </si>
  <si>
    <t>10409-2026</t>
  </si>
  <si>
    <t>10410-2026</t>
  </si>
  <si>
    <t>10398-2026</t>
  </si>
  <si>
    <t>https://ecampus.sat.gob.gt/formacionsat/course/view.php?id=9262</t>
  </si>
  <si>
    <t>10488-2026</t>
  </si>
  <si>
    <t>https://ecampus.sat.gob.gt/formacionsat/course/view.php?id=9263</t>
  </si>
  <si>
    <t xml:space="preserve">No se consigna información debido a la modalidad del evento formativo. </t>
  </si>
  <si>
    <t>10631-2026</t>
  </si>
  <si>
    <t>10479-2026</t>
  </si>
  <si>
    <t>10601-2026</t>
  </si>
  <si>
    <t>10621-2026</t>
  </si>
  <si>
    <t>10732-2026</t>
  </si>
  <si>
    <t>10734-2026</t>
  </si>
  <si>
    <t>10625-2026</t>
  </si>
  <si>
    <t>10584-2026</t>
  </si>
  <si>
    <t>10587-2026</t>
  </si>
  <si>
    <t>10582-2026</t>
  </si>
  <si>
    <t>10583-2026</t>
  </si>
  <si>
    <t>10642-2026</t>
  </si>
  <si>
    <t>https://ecampus.sat.gob.gt/formacionsat/course/view.php?id=9304</t>
  </si>
  <si>
    <t>10644-2026</t>
  </si>
  <si>
    <t>https://ecampus.sat.gob.gt/formacionsat/course/view.php?id=9314</t>
  </si>
  <si>
    <t>10700-2026</t>
  </si>
  <si>
    <t>10702-2026</t>
  </si>
  <si>
    <t>10903-2026</t>
  </si>
  <si>
    <t>https://ecampus.sat.gob.gt/formacionsat/course/view.php?id=9374#section-0</t>
  </si>
  <si>
    <t>10626-2026</t>
  </si>
  <si>
    <t>10721-2026</t>
  </si>
  <si>
    <t>10681-2026</t>
  </si>
  <si>
    <t>10735-2026</t>
  </si>
  <si>
    <t>https://ecampus.sat.gob.gt/formacionsat/course/view.php?id=9353</t>
  </si>
  <si>
    <t>10736-2026</t>
  </si>
  <si>
    <t>https://ecampus.sat.gob.gt/formacionsat/course/view.php?id=9372</t>
  </si>
  <si>
    <t>10633-2026</t>
  </si>
  <si>
    <t>https://ecampus.sat.gob.gt/formacionsat/course/view.php?id=9334</t>
  </si>
  <si>
    <t>10635-2026</t>
  </si>
  <si>
    <t>https://ecampus.sat.gob.gt/formacionsat/course/view.php?id=9352</t>
  </si>
  <si>
    <t>10690-2026</t>
  </si>
  <si>
    <t>https://ecampus.sat.gob.gt/formacionsat/course/view.php?id=9338</t>
  </si>
  <si>
    <t>10674-2026</t>
  </si>
  <si>
    <t>https://ecampus.sat.gob.gt/formacionsat/course/view.php?id=9339</t>
  </si>
  <si>
    <t>10675-2026</t>
  </si>
  <si>
    <t>https://ecampus.sat.gob.gt/formacionsat/course/view.php?id=9344</t>
  </si>
  <si>
    <t>10915-2026</t>
  </si>
  <si>
    <t>10924-2026</t>
  </si>
  <si>
    <t>10581-2026</t>
  </si>
  <si>
    <t>https://ecampus.sat.gob.gt/formacionsat/course/view.php?id=9297</t>
  </si>
  <si>
    <t>10863-2026</t>
  </si>
  <si>
    <t>10892-2026</t>
  </si>
  <si>
    <t>10779-2026</t>
  </si>
  <si>
    <t>https://ecampus.sat.gob.gt/formacionsat/course/view.php?id=9377</t>
  </si>
  <si>
    <t>10780-2026</t>
  </si>
  <si>
    <t>https://ecampus.sat.gob.gt/formacionsat/course/view.php?id=9380</t>
  </si>
  <si>
    <t>10905-2026</t>
  </si>
  <si>
    <t>10906-2026</t>
  </si>
  <si>
    <t>10811-2026</t>
  </si>
  <si>
    <t>10821-2026</t>
  </si>
  <si>
    <t>https://ecampus.sat.gob.gt/formacionsat/course/view.php?id=9355</t>
  </si>
  <si>
    <t>https://ecampus.sat.gob.gt/formacionsat/course/view.php?id=9369</t>
  </si>
  <si>
    <t>10873-2026</t>
  </si>
  <si>
    <t>Indefinido</t>
  </si>
  <si>
    <t>10845-2026</t>
  </si>
  <si>
    <t>10923-2026</t>
  </si>
  <si>
    <t>Modalidad virtual asincrónico</t>
  </si>
  <si>
    <t>10832-2026</t>
  </si>
  <si>
    <t>10851-2026</t>
  </si>
  <si>
    <t>10876-2026</t>
  </si>
  <si>
    <t>10882-2026</t>
  </si>
  <si>
    <t>10883-2026</t>
  </si>
  <si>
    <t>10662-2026</t>
  </si>
  <si>
    <t>Derivado de la modalidad "charla motivacional" no se realizó evaluación</t>
  </si>
  <si>
    <t>10664-2026</t>
  </si>
  <si>
    <t>10661-2026</t>
  </si>
  <si>
    <t>10663-2026</t>
  </si>
  <si>
    <t>10888-2026</t>
  </si>
  <si>
    <t>10887-2026</t>
  </si>
  <si>
    <t>10904-2026</t>
  </si>
  <si>
    <t>10822-2026</t>
  </si>
  <si>
    <t>10825-2026</t>
  </si>
  <si>
    <t>10932-2026</t>
  </si>
  <si>
    <t>10912-2026</t>
  </si>
  <si>
    <t>10875-2026</t>
  </si>
  <si>
    <t>10899-2026</t>
  </si>
  <si>
    <t>10868-2026</t>
  </si>
  <si>
    <t>10913-2026</t>
  </si>
  <si>
    <t>Modalidad virtual asincrónico
No se consignan datos, debido a la naturaleza del evento</t>
  </si>
  <si>
    <t>10835-2026</t>
  </si>
  <si>
    <t>Sesión</t>
  </si>
  <si>
    <t>Fecha</t>
  </si>
  <si>
    <t>Hora de inicio</t>
  </si>
  <si>
    <t>Hora de fin</t>
  </si>
  <si>
    <t xml:space="preserve">No se consigna sesión debido a la modalidad de ejecución. </t>
  </si>
  <si>
    <t>No se consignan datos de PC derivado de la modalidad en la que fue ejecutado y solicitado el evento formativo</t>
  </si>
  <si>
    <t>19/011/2026</t>
  </si>
  <si>
    <t>NIT/DPI/Pasaporte</t>
  </si>
  <si>
    <t>Docente</t>
  </si>
  <si>
    <t>Horas de docencia</t>
  </si>
  <si>
    <t>Sesiones</t>
  </si>
  <si>
    <t>NIT-20005</t>
  </si>
  <si>
    <t>NIT-20006</t>
  </si>
  <si>
    <t>NIT-20007</t>
  </si>
  <si>
    <t>NIT-20008</t>
  </si>
  <si>
    <t>NIT-20009</t>
  </si>
  <si>
    <t>NIT-20010</t>
  </si>
  <si>
    <t>NIT-20011</t>
  </si>
  <si>
    <t>NIT-20012</t>
  </si>
  <si>
    <t>NIT-20013</t>
  </si>
  <si>
    <t>NIT-20014</t>
  </si>
  <si>
    <t>NIT-20015</t>
  </si>
  <si>
    <t>NIT-20016</t>
  </si>
  <si>
    <t>NIT-20017</t>
  </si>
  <si>
    <t>NIT-20018</t>
  </si>
  <si>
    <t>NIT-20019</t>
  </si>
  <si>
    <t>NIT-20020</t>
  </si>
  <si>
    <t>NIT-20021</t>
  </si>
  <si>
    <t>NIT-20022</t>
  </si>
  <si>
    <t>NIT-20023</t>
  </si>
  <si>
    <t>NIT-20024</t>
  </si>
  <si>
    <t>NIT-20025</t>
  </si>
  <si>
    <t>NIT-20026</t>
  </si>
  <si>
    <t>NIT-20027</t>
  </si>
  <si>
    <t>NIT-20028</t>
  </si>
  <si>
    <t>NIT-20029</t>
  </si>
  <si>
    <t>NIT-20030</t>
  </si>
  <si>
    <t>NIT-20031</t>
  </si>
  <si>
    <t>NIT-20032</t>
  </si>
  <si>
    <t>NIT-20033</t>
  </si>
  <si>
    <t>NIT-20034</t>
  </si>
  <si>
    <t>NIT-20035</t>
  </si>
  <si>
    <t>NIT-20036</t>
  </si>
  <si>
    <t>NIT-20037</t>
  </si>
  <si>
    <t>NIT-20038</t>
  </si>
  <si>
    <t>NIT-20039</t>
  </si>
  <si>
    <t>NIT-20040</t>
  </si>
  <si>
    <t>NIT-20041</t>
  </si>
  <si>
    <t>NIT-20042</t>
  </si>
  <si>
    <t>NIT-20043</t>
  </si>
  <si>
    <t>NIT-20044</t>
  </si>
  <si>
    <t>NIT-20045</t>
  </si>
  <si>
    <t>NIT-20046</t>
  </si>
  <si>
    <t>NIT-20047</t>
  </si>
  <si>
    <t>NIT-20048</t>
  </si>
  <si>
    <t>NIT-20049</t>
  </si>
  <si>
    <t>NIT-20050</t>
  </si>
  <si>
    <t>NIT-20051</t>
  </si>
  <si>
    <t>NIT-20052</t>
  </si>
  <si>
    <t>NIT-20053</t>
  </si>
  <si>
    <t>NIT-20054</t>
  </si>
  <si>
    <t>NIT-20055</t>
  </si>
  <si>
    <t>NIT-20056</t>
  </si>
  <si>
    <t>NIT-20057</t>
  </si>
  <si>
    <t>NIT-20058</t>
  </si>
  <si>
    <t>NIT-20059</t>
  </si>
  <si>
    <t>NIT-20060</t>
  </si>
  <si>
    <t>NIT-20061</t>
  </si>
  <si>
    <t>NIT-20062</t>
  </si>
  <si>
    <t>NIT-20063</t>
  </si>
  <si>
    <t>NIT-20064</t>
  </si>
  <si>
    <t>NIT-20065</t>
  </si>
  <si>
    <t>NIT-20066</t>
  </si>
  <si>
    <t>NIT-20067</t>
  </si>
  <si>
    <t>NIT-20068</t>
  </si>
  <si>
    <t>NIT-20069</t>
  </si>
  <si>
    <t>NIT-20070</t>
  </si>
  <si>
    <t>NIT-20071</t>
  </si>
  <si>
    <t>NIT-20072</t>
  </si>
  <si>
    <t>NIT-20073</t>
  </si>
  <si>
    <t>NIT-20074</t>
  </si>
  <si>
    <t>NIT-20075</t>
  </si>
  <si>
    <t>NIT-20076</t>
  </si>
  <si>
    <t>NIT-20077</t>
  </si>
  <si>
    <t>NIT-20078</t>
  </si>
  <si>
    <t>NIT-20079</t>
  </si>
  <si>
    <t>NIT-20080</t>
  </si>
  <si>
    <t>NIT-20081</t>
  </si>
  <si>
    <t>NIT-20082</t>
  </si>
  <si>
    <t>NIT-20083</t>
  </si>
  <si>
    <t>NIT-20084</t>
  </si>
  <si>
    <t>NIT-20085</t>
  </si>
  <si>
    <t>NIT-20086</t>
  </si>
  <si>
    <t>NIT-20087</t>
  </si>
  <si>
    <t>NIT-20088</t>
  </si>
  <si>
    <t>NIT-20089</t>
  </si>
  <si>
    <t>NIT-20090</t>
  </si>
  <si>
    <t>NIT-20091</t>
  </si>
  <si>
    <t>NIT-20092</t>
  </si>
  <si>
    <t>NIT-20093</t>
  </si>
  <si>
    <t>NIT-20094</t>
  </si>
  <si>
    <t>NIT-20095</t>
  </si>
  <si>
    <t>NIT-20096</t>
  </si>
  <si>
    <t>NIT-20097</t>
  </si>
  <si>
    <t>NIT-20098</t>
  </si>
  <si>
    <t>NIT-20099</t>
  </si>
  <si>
    <t>NIT-20100</t>
  </si>
  <si>
    <t>NIT-20101</t>
  </si>
  <si>
    <t>NIT-20102</t>
  </si>
  <si>
    <t>NIT-20103</t>
  </si>
  <si>
    <t>NIT-20104</t>
  </si>
  <si>
    <t>NIT-20105</t>
  </si>
  <si>
    <t>NIT-20106</t>
  </si>
  <si>
    <t>NIT-20107</t>
  </si>
  <si>
    <t>NIT-20108</t>
  </si>
  <si>
    <t>NIT-20109</t>
  </si>
  <si>
    <t>NIT-20110</t>
  </si>
  <si>
    <t>NIT-20111</t>
  </si>
  <si>
    <t>NIT-20112</t>
  </si>
  <si>
    <t>NIT-20113</t>
  </si>
  <si>
    <t>NIT-20114</t>
  </si>
  <si>
    <t>NIT-20115</t>
  </si>
  <si>
    <t>NIT-20116</t>
  </si>
  <si>
    <t>NIT-20117</t>
  </si>
  <si>
    <t>NIT-20118</t>
  </si>
  <si>
    <t>NIT-20119</t>
  </si>
  <si>
    <t>NIT-20120</t>
  </si>
  <si>
    <t>NIT-20121</t>
  </si>
  <si>
    <t>NIT-20122</t>
  </si>
  <si>
    <t>NIT-20123</t>
  </si>
  <si>
    <t>NIT-20124</t>
  </si>
  <si>
    <t>NIT-20125</t>
  </si>
  <si>
    <t>NIT-20126</t>
  </si>
  <si>
    <t>NIT-20127</t>
  </si>
  <si>
    <t>NIT-20128</t>
  </si>
  <si>
    <t>NIT-20129</t>
  </si>
  <si>
    <t>NIT-20130</t>
  </si>
  <si>
    <t>NIT-20131</t>
  </si>
  <si>
    <t>NIT-20132</t>
  </si>
  <si>
    <t>NIT-20133</t>
  </si>
  <si>
    <t>NIT-20134</t>
  </si>
  <si>
    <t>NIT-20135</t>
  </si>
  <si>
    <t>NIT-20136</t>
  </si>
  <si>
    <t>NIT-20137</t>
  </si>
  <si>
    <t>NIT-20138</t>
  </si>
  <si>
    <t>NIT-20139</t>
  </si>
  <si>
    <t>NIT-20140</t>
  </si>
  <si>
    <t>NIT-20141</t>
  </si>
  <si>
    <t>NIT-20142</t>
  </si>
  <si>
    <t>NIT-20143</t>
  </si>
  <si>
    <t>NIT-20144</t>
  </si>
  <si>
    <t>NIT-20145</t>
  </si>
  <si>
    <t>NIT-20146</t>
  </si>
  <si>
    <t>NIT-20147</t>
  </si>
  <si>
    <t>NIT-20148</t>
  </si>
  <si>
    <t>NIT-20149</t>
  </si>
  <si>
    <t>NIT-20000</t>
  </si>
  <si>
    <t>NIT-20001</t>
  </si>
  <si>
    <t>NIT-20002</t>
  </si>
  <si>
    <t>NIT-20003</t>
  </si>
  <si>
    <t>NIT-20004</t>
  </si>
  <si>
    <t xml:space="preserve">El modelado del curso se realizo conforme a los socumentos compartidos por el MINEX durante la ejecusión del curso que posee el mismo nombre pero fue realizado en modalidad presencial. </t>
  </si>
  <si>
    <t>No se consignan datos debido a la naturalidad del evento, pero se hace mención que los ponentes son miembros de Directorio</t>
  </si>
  <si>
    <t>DPI/pasaporte</t>
  </si>
  <si>
    <t>NIT docente</t>
  </si>
  <si>
    <t>Nombre docente</t>
  </si>
  <si>
    <t>Interno / Externo</t>
  </si>
  <si>
    <t>Correo</t>
  </si>
  <si>
    <t>Número de teléfono</t>
  </si>
  <si>
    <t>DPI-10002</t>
  </si>
  <si>
    <t>Docente Especialista 1</t>
  </si>
  <si>
    <t>docente1@correo.edu.gt</t>
  </si>
  <si>
    <t>5555-1002</t>
  </si>
  <si>
    <t>DPI-10003</t>
  </si>
  <si>
    <t>Docente Especialista 2</t>
  </si>
  <si>
    <t>docente2@correo.edu.gt</t>
  </si>
  <si>
    <t>5555-1003</t>
  </si>
  <si>
    <t>DPI-10004</t>
  </si>
  <si>
    <t>Docente Especialista 3</t>
  </si>
  <si>
    <t>docente3@correo.edu.gt</t>
  </si>
  <si>
    <t>5555-1004</t>
  </si>
  <si>
    <t>DPI-10005</t>
  </si>
  <si>
    <t>Docente Especialista 4</t>
  </si>
  <si>
    <t>docente4@correo.edu.gt</t>
  </si>
  <si>
    <t>5555-1005</t>
  </si>
  <si>
    <t>DPI-10006</t>
  </si>
  <si>
    <t>Docente Especialista 5</t>
  </si>
  <si>
    <t>docente5@correo.edu.gt</t>
  </si>
  <si>
    <t>5555-1006</t>
  </si>
  <si>
    <t>DPI-10007</t>
  </si>
  <si>
    <t>Docente Especialista 6</t>
  </si>
  <si>
    <t>docente6@correo.edu.gt</t>
  </si>
  <si>
    <t>5555-1007</t>
  </si>
  <si>
    <t>DPI-10008</t>
  </si>
  <si>
    <t>Docente Especialista 7</t>
  </si>
  <si>
    <t>docente7@correo.edu.gt</t>
  </si>
  <si>
    <t>5555-1008</t>
  </si>
  <si>
    <t>DPI-10009</t>
  </si>
  <si>
    <t>Docente Especialista 8</t>
  </si>
  <si>
    <t>docente8@correo.edu.gt</t>
  </si>
  <si>
    <t>5555-1009</t>
  </si>
  <si>
    <t>DPI-10010</t>
  </si>
  <si>
    <t>Docente Especialista 9</t>
  </si>
  <si>
    <t>docente9@correo.edu.gt</t>
  </si>
  <si>
    <t>5555-1010</t>
  </si>
  <si>
    <t>DPI-10011</t>
  </si>
  <si>
    <t>Docente Especialista 10</t>
  </si>
  <si>
    <t>docente10@correo.edu.gt</t>
  </si>
  <si>
    <t>5555-1011</t>
  </si>
  <si>
    <t>DPI-10012</t>
  </si>
  <si>
    <t>Docente Especialista 11</t>
  </si>
  <si>
    <t>docente11@correo.edu.gt</t>
  </si>
  <si>
    <t>5555-1012</t>
  </si>
  <si>
    <t>DPI-10013</t>
  </si>
  <si>
    <t>Docente Especialista 12</t>
  </si>
  <si>
    <t>docente12@correo.edu.gt</t>
  </si>
  <si>
    <t>5555-1013</t>
  </si>
  <si>
    <t>DPI-10014</t>
  </si>
  <si>
    <t>Docente Especialista 13</t>
  </si>
  <si>
    <t>docente13@correo.edu.gt</t>
  </si>
  <si>
    <t>5555-1014</t>
  </si>
  <si>
    <t>DPI-10015</t>
  </si>
  <si>
    <t>Docente Especialista 14</t>
  </si>
  <si>
    <t>docente14@correo.edu.gt</t>
  </si>
  <si>
    <t>5555-1015</t>
  </si>
  <si>
    <t>DPI-10016</t>
  </si>
  <si>
    <t>Docente Especialista 15</t>
  </si>
  <si>
    <t>docente15@correo.edu.gt</t>
  </si>
  <si>
    <t>5555-1016</t>
  </si>
  <si>
    <t>DPI-10017</t>
  </si>
  <si>
    <t>Docente Especialista 16</t>
  </si>
  <si>
    <t>docente16@correo.edu.gt</t>
  </si>
  <si>
    <t>5555-1017</t>
  </si>
  <si>
    <t>DPI-10018</t>
  </si>
  <si>
    <t>Docente Especialista 17</t>
  </si>
  <si>
    <t>docente17@correo.edu.gt</t>
  </si>
  <si>
    <t>5555-1018</t>
  </si>
  <si>
    <t>DPI-10019</t>
  </si>
  <si>
    <t>Docente Especialista 18</t>
  </si>
  <si>
    <t>docente18@correo.edu.gt</t>
  </si>
  <si>
    <t>5555-1019</t>
  </si>
  <si>
    <t>DPI-10020</t>
  </si>
  <si>
    <t>Docente Especialista 19</t>
  </si>
  <si>
    <t>docente19@correo.edu.gt</t>
  </si>
  <si>
    <t>5555-1020</t>
  </si>
  <si>
    <t>DPI-10021</t>
  </si>
  <si>
    <t>Docente Especialista 20</t>
  </si>
  <si>
    <t>docente20@correo.edu.gt</t>
  </si>
  <si>
    <t>5555-1021</t>
  </si>
  <si>
    <t>DPI-10022</t>
  </si>
  <si>
    <t>Docente Especialista 21</t>
  </si>
  <si>
    <t>docente21@correo.edu.gt</t>
  </si>
  <si>
    <t>5555-1022</t>
  </si>
  <si>
    <t>DPI-10023</t>
  </si>
  <si>
    <t>Docente Especialista 22</t>
  </si>
  <si>
    <t>docente22@correo.edu.gt</t>
  </si>
  <si>
    <t>5555-1023</t>
  </si>
  <si>
    <t>DPI-10024</t>
  </si>
  <si>
    <t>Docente Especialista 23</t>
  </si>
  <si>
    <t>docente23@correo.edu.gt</t>
  </si>
  <si>
    <t>5555-1024</t>
  </si>
  <si>
    <t>DPI-10025</t>
  </si>
  <si>
    <t>Docente Especialista 24</t>
  </si>
  <si>
    <t>docente24@correo.edu.gt</t>
  </si>
  <si>
    <t>5555-1025</t>
  </si>
  <si>
    <t>DPI-10026</t>
  </si>
  <si>
    <t>Docente Especialista 25</t>
  </si>
  <si>
    <t>docente25@correo.edu.gt</t>
  </si>
  <si>
    <t>5555-1026</t>
  </si>
  <si>
    <t>DPI-10027</t>
  </si>
  <si>
    <t>Docente Especialista 26</t>
  </si>
  <si>
    <t>docente26@correo.edu.gt</t>
  </si>
  <si>
    <t>5555-1027</t>
  </si>
  <si>
    <t>DPI-10028</t>
  </si>
  <si>
    <t>Docente Especialista 27</t>
  </si>
  <si>
    <t>docente27@correo.edu.gt</t>
  </si>
  <si>
    <t>5555-1028</t>
  </si>
  <si>
    <t>DPI-10029</t>
  </si>
  <si>
    <t>Docente Especialista 28</t>
  </si>
  <si>
    <t>docente28@correo.edu.gt</t>
  </si>
  <si>
    <t>5555-1029</t>
  </si>
  <si>
    <t>DPI-10030</t>
  </si>
  <si>
    <t>Docente Especialista 29</t>
  </si>
  <si>
    <t>docente29@correo.edu.gt</t>
  </si>
  <si>
    <t>5555-1030</t>
  </si>
  <si>
    <t>DPI-10031</t>
  </si>
  <si>
    <t>Docente Especialista 30</t>
  </si>
  <si>
    <t>docente30@correo.edu.gt</t>
  </si>
  <si>
    <t>5555-1031</t>
  </si>
  <si>
    <t>DPI-10032</t>
  </si>
  <si>
    <t>Docente Especialista 31</t>
  </si>
  <si>
    <t>docente31@correo.edu.gt</t>
  </si>
  <si>
    <t>5555-1032</t>
  </si>
  <si>
    <t>DPI-10033</t>
  </si>
  <si>
    <t>Docente Especialista 32</t>
  </si>
  <si>
    <t>docente32@correo.edu.gt</t>
  </si>
  <si>
    <t>5555-1033</t>
  </si>
  <si>
    <t>DPI-10034</t>
  </si>
  <si>
    <t>Docente Especialista 33</t>
  </si>
  <si>
    <t>docente33@correo.edu.gt</t>
  </si>
  <si>
    <t>5555-1034</t>
  </si>
  <si>
    <t>DPI-10035</t>
  </si>
  <si>
    <t>Docente Especialista 34</t>
  </si>
  <si>
    <t>docente34@correo.edu.gt</t>
  </si>
  <si>
    <t>5555-1035</t>
  </si>
  <si>
    <t>DPI-10036</t>
  </si>
  <si>
    <t>Docente Especialista 35</t>
  </si>
  <si>
    <t>docente35@correo.edu.gt</t>
  </si>
  <si>
    <t>5555-1036</t>
  </si>
  <si>
    <t>DPI-10037</t>
  </si>
  <si>
    <t>Docente Especialista 36</t>
  </si>
  <si>
    <t>docente36@correo.edu.gt</t>
  </si>
  <si>
    <t>5555-1037</t>
  </si>
  <si>
    <t>DPI-10038</t>
  </si>
  <si>
    <t>Docente Especialista 37</t>
  </si>
  <si>
    <t>docente37@correo.edu.gt</t>
  </si>
  <si>
    <t>5555-1038</t>
  </si>
  <si>
    <t>DPI-10039</t>
  </si>
  <si>
    <t>Docente Especialista 38</t>
  </si>
  <si>
    <t>docente38@correo.edu.gt</t>
  </si>
  <si>
    <t>5555-1039</t>
  </si>
  <si>
    <t>DPI-10040</t>
  </si>
  <si>
    <t>Docente Especialista 39</t>
  </si>
  <si>
    <t>docente39@correo.edu.gt</t>
  </si>
  <si>
    <t>5555-1040</t>
  </si>
  <si>
    <t>DPI-10041</t>
  </si>
  <si>
    <t>Docente Especialista 40</t>
  </si>
  <si>
    <t>docente40@correo.edu.gt</t>
  </si>
  <si>
    <t>5555-1041</t>
  </si>
  <si>
    <t>DPI-10042</t>
  </si>
  <si>
    <t>Docente Especialista 41</t>
  </si>
  <si>
    <t>docente41@correo.edu.gt</t>
  </si>
  <si>
    <t>5555-1042</t>
  </si>
  <si>
    <t>DPI-10043</t>
  </si>
  <si>
    <t>Docente Especialista 42</t>
  </si>
  <si>
    <t>docente42@correo.edu.gt</t>
  </si>
  <si>
    <t>5555-1043</t>
  </si>
  <si>
    <t>DPI-10044</t>
  </si>
  <si>
    <t>Docente Especialista 43</t>
  </si>
  <si>
    <t>docente43@correo.edu.gt</t>
  </si>
  <si>
    <t>5555-1044</t>
  </si>
  <si>
    <t>DPI-10045</t>
  </si>
  <si>
    <t>Docente Especialista 44</t>
  </si>
  <si>
    <t>docente44@correo.edu.gt</t>
  </si>
  <si>
    <t>5555-1045</t>
  </si>
  <si>
    <t>DPI-10046</t>
  </si>
  <si>
    <t>Docente Especialista 45</t>
  </si>
  <si>
    <t>docente45@correo.edu.gt</t>
  </si>
  <si>
    <t>5555-1046</t>
  </si>
  <si>
    <t>DPI-10047</t>
  </si>
  <si>
    <t>Docente Especialista 46</t>
  </si>
  <si>
    <t>docente46@correo.edu.gt</t>
  </si>
  <si>
    <t>5555-1047</t>
  </si>
  <si>
    <t>DPI-10048</t>
  </si>
  <si>
    <t>Docente Especialista 47</t>
  </si>
  <si>
    <t>docente47@correo.edu.gt</t>
  </si>
  <si>
    <t>5555-1048</t>
  </si>
  <si>
    <t>DPI-10049</t>
  </si>
  <si>
    <t>Docente Especialista 48</t>
  </si>
  <si>
    <t>docente48@correo.edu.gt</t>
  </si>
  <si>
    <t>5555-1049</t>
  </si>
  <si>
    <t>DPI-10050</t>
  </si>
  <si>
    <t>Docente Especialista 49</t>
  </si>
  <si>
    <t>docente49@correo.edu.gt</t>
  </si>
  <si>
    <t>5555-1050</t>
  </si>
  <si>
    <t>DPI-10051</t>
  </si>
  <si>
    <t>Docente Especialista 50</t>
  </si>
  <si>
    <t>docente50@correo.edu.gt</t>
  </si>
  <si>
    <t>5555-1051</t>
  </si>
  <si>
    <t>DPI-10052</t>
  </si>
  <si>
    <t>Docente Especialista 51</t>
  </si>
  <si>
    <t>docente51@correo.edu.gt</t>
  </si>
  <si>
    <t>5555-1052</t>
  </si>
  <si>
    <t>DPI-10053</t>
  </si>
  <si>
    <t>Docente Especialista 52</t>
  </si>
  <si>
    <t>docente52@correo.edu.gt</t>
  </si>
  <si>
    <t>5555-1053</t>
  </si>
  <si>
    <t>DPI-10054</t>
  </si>
  <si>
    <t>Docente Especialista 53</t>
  </si>
  <si>
    <t>docente53@correo.edu.gt</t>
  </si>
  <si>
    <t>5555-1054</t>
  </si>
  <si>
    <t>DPI-10055</t>
  </si>
  <si>
    <t>Docente Especialista 54</t>
  </si>
  <si>
    <t>docente54@correo.edu.gt</t>
  </si>
  <si>
    <t>5555-1055</t>
  </si>
  <si>
    <t>DPI-10056</t>
  </si>
  <si>
    <t>Docente Especialista 55</t>
  </si>
  <si>
    <t>docente55@correo.edu.gt</t>
  </si>
  <si>
    <t>5555-1056</t>
  </si>
  <si>
    <t>DPI-10057</t>
  </si>
  <si>
    <t>Docente Especialista 56</t>
  </si>
  <si>
    <t>docente56@correo.edu.gt</t>
  </si>
  <si>
    <t>5555-1057</t>
  </si>
  <si>
    <t>DPI-10058</t>
  </si>
  <si>
    <t>Docente Especialista 57</t>
  </si>
  <si>
    <t>docente57@correo.edu.gt</t>
  </si>
  <si>
    <t>5555-1058</t>
  </si>
  <si>
    <t>DPI-10059</t>
  </si>
  <si>
    <t>Docente Especialista 58</t>
  </si>
  <si>
    <t>docente58@correo.edu.gt</t>
  </si>
  <si>
    <t>5555-1059</t>
  </si>
  <si>
    <t>DPI-10060</t>
  </si>
  <si>
    <t>Docente Especialista 59</t>
  </si>
  <si>
    <t>docente59@correo.edu.gt</t>
  </si>
  <si>
    <t>5555-1060</t>
  </si>
  <si>
    <t>DPI-10061</t>
  </si>
  <si>
    <t>Docente Especialista 60</t>
  </si>
  <si>
    <t>docente60@correo.edu.gt</t>
  </si>
  <si>
    <t>5555-1061</t>
  </si>
  <si>
    <t>DPI-10062</t>
  </si>
  <si>
    <t>Docente Especialista 61</t>
  </si>
  <si>
    <t>docente61@correo.edu.gt</t>
  </si>
  <si>
    <t>5555-1062</t>
  </si>
  <si>
    <t>DPI-10063</t>
  </si>
  <si>
    <t>Docente Especialista 62</t>
  </si>
  <si>
    <t>docente62@correo.edu.gt</t>
  </si>
  <si>
    <t>5555-1063</t>
  </si>
  <si>
    <t>DPI-10064</t>
  </si>
  <si>
    <t>Docente Especialista 63</t>
  </si>
  <si>
    <t>docente63@correo.edu.gt</t>
  </si>
  <si>
    <t>5555-1064</t>
  </si>
  <si>
    <t>DPI-10065</t>
  </si>
  <si>
    <t>Docente Especialista 64</t>
  </si>
  <si>
    <t>docente64@correo.edu.gt</t>
  </si>
  <si>
    <t>5555-1065</t>
  </si>
  <si>
    <t>DPI-10066</t>
  </si>
  <si>
    <t>Docente Especialista 65</t>
  </si>
  <si>
    <t>docente65@correo.edu.gt</t>
  </si>
  <si>
    <t>5555-1066</t>
  </si>
  <si>
    <t>DPI-10067</t>
  </si>
  <si>
    <t>Docente Especialista 66</t>
  </si>
  <si>
    <t>docente66@correo.edu.gt</t>
  </si>
  <si>
    <t>5555-1067</t>
  </si>
  <si>
    <t>DPI-10068</t>
  </si>
  <si>
    <t>Docente Especialista 67</t>
  </si>
  <si>
    <t>docente67@correo.edu.gt</t>
  </si>
  <si>
    <t>5555-1068</t>
  </si>
  <si>
    <t>DPI-10069</t>
  </si>
  <si>
    <t>Docente Especialista 68</t>
  </si>
  <si>
    <t>docente68@correo.edu.gt</t>
  </si>
  <si>
    <t>5555-1069</t>
  </si>
  <si>
    <t>DPI-10070</t>
  </si>
  <si>
    <t>Docente Especialista 69</t>
  </si>
  <si>
    <t>docente69@correo.edu.gt</t>
  </si>
  <si>
    <t>5555-1070</t>
  </si>
  <si>
    <t>DPI-10071</t>
  </si>
  <si>
    <t>Docente Especialista 70</t>
  </si>
  <si>
    <t>docente70@correo.edu.gt</t>
  </si>
  <si>
    <t>5555-1071</t>
  </si>
  <si>
    <t>DPI-10072</t>
  </si>
  <si>
    <t>Docente Especialista 71</t>
  </si>
  <si>
    <t>docente71@correo.edu.gt</t>
  </si>
  <si>
    <t>5555-1072</t>
  </si>
  <si>
    <t>DPI-10073</t>
  </si>
  <si>
    <t>Docente Especialista 72</t>
  </si>
  <si>
    <t>docente72@correo.edu.gt</t>
  </si>
  <si>
    <t>5555-1073</t>
  </si>
  <si>
    <t>DPI-10074</t>
  </si>
  <si>
    <t>Docente Especialista 73</t>
  </si>
  <si>
    <t>docente73@correo.edu.gt</t>
  </si>
  <si>
    <t>5555-1074</t>
  </si>
  <si>
    <t>DPI-10075</t>
  </si>
  <si>
    <t>Docente Especialista 74</t>
  </si>
  <si>
    <t>docente74@correo.edu.gt</t>
  </si>
  <si>
    <t>5555-1075</t>
  </si>
  <si>
    <t>DPI-10076</t>
  </si>
  <si>
    <t>Docente Especialista 75</t>
  </si>
  <si>
    <t>docente75@correo.edu.gt</t>
  </si>
  <si>
    <t>5555-1076</t>
  </si>
  <si>
    <t>DPI-10077</t>
  </si>
  <si>
    <t>Docente Especialista 76</t>
  </si>
  <si>
    <t>docente76@correo.edu.gt</t>
  </si>
  <si>
    <t>5555-1077</t>
  </si>
  <si>
    <t>DPI-10078</t>
  </si>
  <si>
    <t>Docente Especialista 77</t>
  </si>
  <si>
    <t>docente77@correo.edu.gt</t>
  </si>
  <si>
    <t>5555-1078</t>
  </si>
  <si>
    <t>DPI-10079</t>
  </si>
  <si>
    <t>Docente Especialista 78</t>
  </si>
  <si>
    <t>docente78@correo.edu.gt</t>
  </si>
  <si>
    <t>5555-1079</t>
  </si>
  <si>
    <t>DPI-10080</t>
  </si>
  <si>
    <t>Docente Especialista 79</t>
  </si>
  <si>
    <t>docente79@correo.edu.gt</t>
  </si>
  <si>
    <t>5555-1080</t>
  </si>
  <si>
    <t>DPI-10081</t>
  </si>
  <si>
    <t>Docente Especialista 80</t>
  </si>
  <si>
    <t>docente80@correo.edu.gt</t>
  </si>
  <si>
    <t>5555-1081</t>
  </si>
  <si>
    <t>DPI-10082</t>
  </si>
  <si>
    <t>Docente Especialista 81</t>
  </si>
  <si>
    <t>docente81@correo.edu.gt</t>
  </si>
  <si>
    <t>5555-1082</t>
  </si>
  <si>
    <t>DPI-10083</t>
  </si>
  <si>
    <t>Docente Especialista 82</t>
  </si>
  <si>
    <t>docente82@correo.edu.gt</t>
  </si>
  <si>
    <t>5555-1083</t>
  </si>
  <si>
    <t>DPI-10084</t>
  </si>
  <si>
    <t>Docente Especialista 83</t>
  </si>
  <si>
    <t>docente83@correo.edu.gt</t>
  </si>
  <si>
    <t>5555-1084</t>
  </si>
  <si>
    <t>DPI-10085</t>
  </si>
  <si>
    <t>Docente Especialista 84</t>
  </si>
  <si>
    <t>docente84@correo.edu.gt</t>
  </si>
  <si>
    <t>5555-1085</t>
  </si>
  <si>
    <t>DPI-10086</t>
  </si>
  <si>
    <t>Docente Especialista 85</t>
  </si>
  <si>
    <t>docente85@correo.edu.gt</t>
  </si>
  <si>
    <t>5555-1086</t>
  </si>
  <si>
    <t>DPI-10087</t>
  </si>
  <si>
    <t>Docente Especialista 86</t>
  </si>
  <si>
    <t>docente86@correo.edu.gt</t>
  </si>
  <si>
    <t>5555-1087</t>
  </si>
  <si>
    <t>DPI-10088</t>
  </si>
  <si>
    <t>Docente Especialista 87</t>
  </si>
  <si>
    <t>docente87@correo.edu.gt</t>
  </si>
  <si>
    <t>5555-1088</t>
  </si>
  <si>
    <t>DPI-10089</t>
  </si>
  <si>
    <t>Docente Especialista 88</t>
  </si>
  <si>
    <t>docente88@correo.edu.gt</t>
  </si>
  <si>
    <t>5555-1089</t>
  </si>
  <si>
    <t>DPI-10090</t>
  </si>
  <si>
    <t>Docente Especialista 89</t>
  </si>
  <si>
    <t>docente89@correo.edu.gt</t>
  </si>
  <si>
    <t>5555-1090</t>
  </si>
  <si>
    <t>DPI-10091</t>
  </si>
  <si>
    <t>Docente Especialista 90</t>
  </si>
  <si>
    <t>docente90@correo.edu.gt</t>
  </si>
  <si>
    <t>5555-1091</t>
  </si>
  <si>
    <t>DPI-10092</t>
  </si>
  <si>
    <t>Docente Especialista 91</t>
  </si>
  <si>
    <t>docente91@correo.edu.gt</t>
  </si>
  <si>
    <t>5555-1092</t>
  </si>
  <si>
    <t>DPI-10093</t>
  </si>
  <si>
    <t>Docente Especialista 92</t>
  </si>
  <si>
    <t>docente92@correo.edu.gt</t>
  </si>
  <si>
    <t>5555-1093</t>
  </si>
  <si>
    <t>DPI-10094</t>
  </si>
  <si>
    <t>Docente Especialista 93</t>
  </si>
  <si>
    <t>docente93@correo.edu.gt</t>
  </si>
  <si>
    <t>5555-1094</t>
  </si>
  <si>
    <t>DPI-10095</t>
  </si>
  <si>
    <t>Docente Especialista 94</t>
  </si>
  <si>
    <t>docente94@correo.edu.gt</t>
  </si>
  <si>
    <t>5555-1095</t>
  </si>
  <si>
    <t>DPI-10096</t>
  </si>
  <si>
    <t>Docente Especialista 95</t>
  </si>
  <si>
    <t>docente95@correo.edu.gt</t>
  </si>
  <si>
    <t>5555-1096</t>
  </si>
  <si>
    <t>DPI-10097</t>
  </si>
  <si>
    <t>Docente Especialista 96</t>
  </si>
  <si>
    <t>docente96@correo.edu.gt</t>
  </si>
  <si>
    <t>5555-1097</t>
  </si>
  <si>
    <t>DPI-10098</t>
  </si>
  <si>
    <t>Docente Especialista 97</t>
  </si>
  <si>
    <t>docente97@correo.edu.gt</t>
  </si>
  <si>
    <t>5555-1098</t>
  </si>
  <si>
    <t>DPI-10099</t>
  </si>
  <si>
    <t>Docente Especialista 98</t>
  </si>
  <si>
    <t>docente98@correo.edu.gt</t>
  </si>
  <si>
    <t>5555-1099</t>
  </si>
  <si>
    <t>DPI-10100</t>
  </si>
  <si>
    <t>Docente Especialista 99</t>
  </si>
  <si>
    <t>docente99@correo.edu.gt</t>
  </si>
  <si>
    <t>5555-1100</t>
  </si>
  <si>
    <t>DPI-10101</t>
  </si>
  <si>
    <t>Docente Especialista 100</t>
  </si>
  <si>
    <t>docente100@correo.edu.gt</t>
  </si>
  <si>
    <t>5555-1101</t>
  </si>
  <si>
    <t>DPI-10102</t>
  </si>
  <si>
    <t>Docente Especialista 101</t>
  </si>
  <si>
    <t>docente101@correo.edu.gt</t>
  </si>
  <si>
    <t>5555-1102</t>
  </si>
  <si>
    <t>DPI-10103</t>
  </si>
  <si>
    <t>Docente Especialista 102</t>
  </si>
  <si>
    <t>docente102@correo.edu.gt</t>
  </si>
  <si>
    <t>5555-1103</t>
  </si>
  <si>
    <t>DPI-10104</t>
  </si>
  <si>
    <t>Docente Especialista 103</t>
  </si>
  <si>
    <t>docente103@correo.edu.gt</t>
  </si>
  <si>
    <t>5555-1104</t>
  </si>
  <si>
    <t>DPI-10105</t>
  </si>
  <si>
    <t>Docente Especialista 104</t>
  </si>
  <si>
    <t>docente104@correo.edu.gt</t>
  </si>
  <si>
    <t>5555-1105</t>
  </si>
  <si>
    <t>DPI-10106</t>
  </si>
  <si>
    <t>Docente Especialista 105</t>
  </si>
  <si>
    <t>docente105@correo.edu.gt</t>
  </si>
  <si>
    <t>5555-1106</t>
  </si>
  <si>
    <t>DPI-10107</t>
  </si>
  <si>
    <t>Docente Especialista 106</t>
  </si>
  <si>
    <t>docente106@correo.edu.gt</t>
  </si>
  <si>
    <t>5555-1107</t>
  </si>
  <si>
    <t>DPI-10108</t>
  </si>
  <si>
    <t>Docente Especialista 107</t>
  </si>
  <si>
    <t>docente107@correo.edu.gt</t>
  </si>
  <si>
    <t>5555-1108</t>
  </si>
  <si>
    <t>DPI-10109</t>
  </si>
  <si>
    <t>Docente Especialista 108</t>
  </si>
  <si>
    <t>docente108@correo.edu.gt</t>
  </si>
  <si>
    <t>5555-1109</t>
  </si>
  <si>
    <t>DPI-10110</t>
  </si>
  <si>
    <t>Docente Especialista 109</t>
  </si>
  <si>
    <t>docente109@correo.edu.gt</t>
  </si>
  <si>
    <t>5555-1110</t>
  </si>
  <si>
    <t>DPI-10111</t>
  </si>
  <si>
    <t>Docente Especialista 110</t>
  </si>
  <si>
    <t>docente110@correo.edu.gt</t>
  </si>
  <si>
    <t>5555-1111</t>
  </si>
  <si>
    <t>DPI-10112</t>
  </si>
  <si>
    <t>Docente Especialista 111</t>
  </si>
  <si>
    <t>docente111@correo.edu.gt</t>
  </si>
  <si>
    <t>5555-1112</t>
  </si>
  <si>
    <t>DPI-10113</t>
  </si>
  <si>
    <t>Docente Especialista 112</t>
  </si>
  <si>
    <t>docente112@correo.edu.gt</t>
  </si>
  <si>
    <t>5555-1113</t>
  </si>
  <si>
    <t>DPI-10114</t>
  </si>
  <si>
    <t>Docente Especialista 113</t>
  </si>
  <si>
    <t>docente113@correo.edu.gt</t>
  </si>
  <si>
    <t>5555-1114</t>
  </si>
  <si>
    <t>DPI-10115</t>
  </si>
  <si>
    <t>Docente Especialista 114</t>
  </si>
  <si>
    <t>docente114@correo.edu.gt</t>
  </si>
  <si>
    <t>5555-1115</t>
  </si>
  <si>
    <t>DPI-10116</t>
  </si>
  <si>
    <t>Docente Especialista 115</t>
  </si>
  <si>
    <t>docente115@correo.edu.gt</t>
  </si>
  <si>
    <t>5555-1116</t>
  </si>
  <si>
    <t>DPI-10117</t>
  </si>
  <si>
    <t>Docente Especialista 116</t>
  </si>
  <si>
    <t>docente116@correo.edu.gt</t>
  </si>
  <si>
    <t>5555-1117</t>
  </si>
  <si>
    <t>DPI-10118</t>
  </si>
  <si>
    <t>Docente Especialista 117</t>
  </si>
  <si>
    <t>docente117@correo.edu.gt</t>
  </si>
  <si>
    <t>5555-1118</t>
  </si>
  <si>
    <t>DPI-10119</t>
  </si>
  <si>
    <t>Docente Especialista 118</t>
  </si>
  <si>
    <t>docente118@correo.edu.gt</t>
  </si>
  <si>
    <t>5555-1119</t>
  </si>
  <si>
    <t>DPI-10120</t>
  </si>
  <si>
    <t>Docente Especialista 119</t>
  </si>
  <si>
    <t>docente119@correo.edu.gt</t>
  </si>
  <si>
    <t>5555-1120</t>
  </si>
  <si>
    <t>DPI-10121</t>
  </si>
  <si>
    <t>Docente Especialista 120</t>
  </si>
  <si>
    <t>docente120@correo.edu.gt</t>
  </si>
  <si>
    <t>5555-1121</t>
  </si>
  <si>
    <t>DPI-10122</t>
  </si>
  <si>
    <t>Docente Especialista 121</t>
  </si>
  <si>
    <t>docente121@correo.edu.gt</t>
  </si>
  <si>
    <t>5555-1122</t>
  </si>
  <si>
    <t>DPI-10123</t>
  </si>
  <si>
    <t>Docente Especialista 122</t>
  </si>
  <si>
    <t>docente122@correo.edu.gt</t>
  </si>
  <si>
    <t>5555-1123</t>
  </si>
  <si>
    <t>DPI-10124</t>
  </si>
  <si>
    <t>Docente Especialista 123</t>
  </si>
  <si>
    <t>docente123@correo.edu.gt</t>
  </si>
  <si>
    <t>5555-1124</t>
  </si>
  <si>
    <t>DPI-10125</t>
  </si>
  <si>
    <t>Docente Especialista 124</t>
  </si>
  <si>
    <t>docente124@correo.edu.gt</t>
  </si>
  <si>
    <t>5555-1125</t>
  </si>
  <si>
    <t>DPI-10126</t>
  </si>
  <si>
    <t>Docente Especialista 125</t>
  </si>
  <si>
    <t>docente125@correo.edu.gt</t>
  </si>
  <si>
    <t>5555-1126</t>
  </si>
  <si>
    <t>DPI-10127</t>
  </si>
  <si>
    <t>Docente Especialista 126</t>
  </si>
  <si>
    <t>docente126@correo.edu.gt</t>
  </si>
  <si>
    <t>5555-1127</t>
  </si>
  <si>
    <t>DPI-10128</t>
  </si>
  <si>
    <t>Docente Especialista 127</t>
  </si>
  <si>
    <t>docente127@correo.edu.gt</t>
  </si>
  <si>
    <t>5555-1128</t>
  </si>
  <si>
    <t>DPI-10129</t>
  </si>
  <si>
    <t>Docente Especialista 128</t>
  </si>
  <si>
    <t>docente128@correo.edu.gt</t>
  </si>
  <si>
    <t>5555-1129</t>
  </si>
  <si>
    <t>DPI-10130</t>
  </si>
  <si>
    <t>Docente Especialista 129</t>
  </si>
  <si>
    <t>docente129@correo.edu.gt</t>
  </si>
  <si>
    <t>5555-1130</t>
  </si>
  <si>
    <t>DPI-10131</t>
  </si>
  <si>
    <t>Docente Especialista 130</t>
  </si>
  <si>
    <t>docente130@correo.edu.gt</t>
  </si>
  <si>
    <t>5555-1131</t>
  </si>
  <si>
    <t>DPI-10132</t>
  </si>
  <si>
    <t>Docente Especialista 131</t>
  </si>
  <si>
    <t>docente131@correo.edu.gt</t>
  </si>
  <si>
    <t>5555-1132</t>
  </si>
  <si>
    <t>DPI-10133</t>
  </si>
  <si>
    <t>Docente Especialista 132</t>
  </si>
  <si>
    <t>docente132@correo.edu.gt</t>
  </si>
  <si>
    <t>5555-1133</t>
  </si>
  <si>
    <t>DPI-10134</t>
  </si>
  <si>
    <t>Docente Especialista 133</t>
  </si>
  <si>
    <t>docente133@correo.edu.gt</t>
  </si>
  <si>
    <t>5555-1134</t>
  </si>
  <si>
    <t>DPI-10135</t>
  </si>
  <si>
    <t>Docente Especialista 134</t>
  </si>
  <si>
    <t>docente134@correo.edu.gt</t>
  </si>
  <si>
    <t>5555-1135</t>
  </si>
  <si>
    <t>DPI-10136</t>
  </si>
  <si>
    <t>Docente Especialista 135</t>
  </si>
  <si>
    <t>docente135@correo.edu.gt</t>
  </si>
  <si>
    <t>5555-1136</t>
  </si>
  <si>
    <t>DPI-10137</t>
  </si>
  <si>
    <t>Docente Especialista 136</t>
  </si>
  <si>
    <t>docente136@correo.edu.gt</t>
  </si>
  <si>
    <t>5555-1137</t>
  </si>
  <si>
    <t>DPI-10138</t>
  </si>
  <si>
    <t>Docente Especialista 137</t>
  </si>
  <si>
    <t>docente137@correo.edu.gt</t>
  </si>
  <si>
    <t>5555-1138</t>
  </si>
  <si>
    <t>DPI-10139</t>
  </si>
  <si>
    <t>Docente Especialista 138</t>
  </si>
  <si>
    <t>docente138@correo.edu.gt</t>
  </si>
  <si>
    <t>5555-1139</t>
  </si>
  <si>
    <t>DPI-10140</t>
  </si>
  <si>
    <t>Docente Especialista 139</t>
  </si>
  <si>
    <t>docente139@correo.edu.gt</t>
  </si>
  <si>
    <t>5555-1140</t>
  </si>
  <si>
    <t>DPI-10141</t>
  </si>
  <si>
    <t>Docente Especialista 140</t>
  </si>
  <si>
    <t>docente140@correo.edu.gt</t>
  </si>
  <si>
    <t>5555-1141</t>
  </si>
  <si>
    <t>DPI-10142</t>
  </si>
  <si>
    <t>Docente Especialista 141</t>
  </si>
  <si>
    <t>docente141@correo.edu.gt</t>
  </si>
  <si>
    <t>5555-1142</t>
  </si>
  <si>
    <t>DPI-10143</t>
  </si>
  <si>
    <t>Docente Especialista 142</t>
  </si>
  <si>
    <t>docente142@correo.edu.gt</t>
  </si>
  <si>
    <t>5555-1143</t>
  </si>
  <si>
    <t>DPI-10144</t>
  </si>
  <si>
    <t>Docente Especialista 143</t>
  </si>
  <si>
    <t>docente143@correo.edu.gt</t>
  </si>
  <si>
    <t>5555-1144</t>
  </si>
  <si>
    <t>DPI-10145</t>
  </si>
  <si>
    <t>Docente Especialista 144</t>
  </si>
  <si>
    <t>docente144@correo.edu.gt</t>
  </si>
  <si>
    <t>5555-1145</t>
  </si>
  <si>
    <t>DPI-10146</t>
  </si>
  <si>
    <t>Docente Especialista 145</t>
  </si>
  <si>
    <t>docente145@correo.edu.gt</t>
  </si>
  <si>
    <t>5555-1146</t>
  </si>
  <si>
    <t>DPI-10147</t>
  </si>
  <si>
    <t>Docente Especialista 146</t>
  </si>
  <si>
    <t>docente146@correo.edu.gt</t>
  </si>
  <si>
    <t>5555-1147</t>
  </si>
  <si>
    <t>DPI-10148</t>
  </si>
  <si>
    <t>Docente Especialista 147</t>
  </si>
  <si>
    <t>docente147@correo.edu.gt</t>
  </si>
  <si>
    <t>5555-1148</t>
  </si>
  <si>
    <t>DPI-10149</t>
  </si>
  <si>
    <t>Docente Especialista 148</t>
  </si>
  <si>
    <t>docente148@correo.edu.gt</t>
  </si>
  <si>
    <t>5555-1149</t>
  </si>
  <si>
    <t>DPI-10150</t>
  </si>
  <si>
    <t>NIT-20150</t>
  </si>
  <si>
    <t>Docente Especialista 149</t>
  </si>
  <si>
    <t>docente149@correo.edu.gt</t>
  </si>
  <si>
    <t>5555-1150</t>
  </si>
  <si>
    <t>DPI-10151</t>
  </si>
  <si>
    <t>NIT-20151</t>
  </si>
  <si>
    <t>Docente Especialista 150</t>
  </si>
  <si>
    <t>docente150@correo.edu.gt</t>
  </si>
  <si>
    <t>5555-1151</t>
  </si>
  <si>
    <t>DPI-10152</t>
  </si>
  <si>
    <t>NIT-20152</t>
  </si>
  <si>
    <t>Docente Especialista 151</t>
  </si>
  <si>
    <t>docente151@correo.edu.gt</t>
  </si>
  <si>
    <t>5555-1152</t>
  </si>
  <si>
    <t>DPI-10153</t>
  </si>
  <si>
    <t>NIT-20153</t>
  </si>
  <si>
    <t>Docente Especialista 152</t>
  </si>
  <si>
    <t>docente152@correo.edu.gt</t>
  </si>
  <si>
    <t>5555-1153</t>
  </si>
  <si>
    <t>DPI-10154</t>
  </si>
  <si>
    <t>NIT-20154</t>
  </si>
  <si>
    <t>Docente Especialista 153</t>
  </si>
  <si>
    <t>docente153@correo.edu.gt</t>
  </si>
  <si>
    <t>5555-1154</t>
  </si>
  <si>
    <t>DPI-10155</t>
  </si>
  <si>
    <t>NIT-20155</t>
  </si>
  <si>
    <t>Docente Especialista 154</t>
  </si>
  <si>
    <t>docente154@correo.edu.gt</t>
  </si>
  <si>
    <t>5555-1155</t>
  </si>
  <si>
    <t>DPI-10156</t>
  </si>
  <si>
    <t>NIT-20156</t>
  </si>
  <si>
    <t>Docente Especialista 155</t>
  </si>
  <si>
    <t>docente155@correo.edu.gt</t>
  </si>
  <si>
    <t>5555-1156</t>
  </si>
  <si>
    <t>DPI-10157</t>
  </si>
  <si>
    <t>NIT-20157</t>
  </si>
  <si>
    <t>Docente Especialista 156</t>
  </si>
  <si>
    <t>docente156@correo.edu.gt</t>
  </si>
  <si>
    <t>5555-1157</t>
  </si>
  <si>
    <t>DPI-10158</t>
  </si>
  <si>
    <t>NIT-20158</t>
  </si>
  <si>
    <t>Docente Especialista 157</t>
  </si>
  <si>
    <t>docente157@correo.edu.gt</t>
  </si>
  <si>
    <t>5555-1158</t>
  </si>
  <si>
    <t>DPI-10159</t>
  </si>
  <si>
    <t>NIT-20159</t>
  </si>
  <si>
    <t>Docente Especialista 158</t>
  </si>
  <si>
    <t>docente158@correo.edu.gt</t>
  </si>
  <si>
    <t>5555-1159</t>
  </si>
  <si>
    <t>DPI-10160</t>
  </si>
  <si>
    <t>NIT-20160</t>
  </si>
  <si>
    <t>Docente Especialista 159</t>
  </si>
  <si>
    <t>docente159@correo.edu.gt</t>
  </si>
  <si>
    <t>5555-1160</t>
  </si>
  <si>
    <t>DPI-10161</t>
  </si>
  <si>
    <t>NIT-20161</t>
  </si>
  <si>
    <t>Docente Especialista 160</t>
  </si>
  <si>
    <t>docente160@correo.edu.gt</t>
  </si>
  <si>
    <t>5555-1161</t>
  </si>
  <si>
    <t>DPI-10162</t>
  </si>
  <si>
    <t>NIT-20162</t>
  </si>
  <si>
    <t>Docente Especialista 161</t>
  </si>
  <si>
    <t>docente161@correo.edu.gt</t>
  </si>
  <si>
    <t>5555-1162</t>
  </si>
  <si>
    <t>DPI-10163</t>
  </si>
  <si>
    <t>NIT-20163</t>
  </si>
  <si>
    <t>Docente Especialista 162</t>
  </si>
  <si>
    <t>docente162@correo.edu.gt</t>
  </si>
  <si>
    <t>5555-1163</t>
  </si>
  <si>
    <t>DPI-10164</t>
  </si>
  <si>
    <t>NIT-20164</t>
  </si>
  <si>
    <t>Docente Especialista 163</t>
  </si>
  <si>
    <t>docente163@correo.edu.gt</t>
  </si>
  <si>
    <t>5555-1164</t>
  </si>
  <si>
    <t>DPI-10165</t>
  </si>
  <si>
    <t>NIT-20165</t>
  </si>
  <si>
    <t>Docente Especialista 164</t>
  </si>
  <si>
    <t>docente164@correo.edu.gt</t>
  </si>
  <si>
    <t>5555-1165</t>
  </si>
  <si>
    <t>DPI-10166</t>
  </si>
  <si>
    <t>NIT-20166</t>
  </si>
  <si>
    <t>Docente Especialista 165</t>
  </si>
  <si>
    <t>docente165@correo.edu.gt</t>
  </si>
  <si>
    <t>5555-1166</t>
  </si>
  <si>
    <t>DPI-10167</t>
  </si>
  <si>
    <t>NIT-20167</t>
  </si>
  <si>
    <t>Docente Especialista 166</t>
  </si>
  <si>
    <t>docente166@correo.edu.gt</t>
  </si>
  <si>
    <t>5555-1167</t>
  </si>
  <si>
    <t>DPI-10168</t>
  </si>
  <si>
    <t>NIT-20168</t>
  </si>
  <si>
    <t>Docente Especialista 167</t>
  </si>
  <si>
    <t>docente167@correo.edu.gt</t>
  </si>
  <si>
    <t>5555-1168</t>
  </si>
  <si>
    <t>DPI-10169</t>
  </si>
  <si>
    <t>NIT-20169</t>
  </si>
  <si>
    <t>Docente Especialista 168</t>
  </si>
  <si>
    <t>docente168@correo.edu.gt</t>
  </si>
  <si>
    <t>5555-1169</t>
  </si>
  <si>
    <t>DPI-10170</t>
  </si>
  <si>
    <t>NIT-20170</t>
  </si>
  <si>
    <t>Docente Especialista 169</t>
  </si>
  <si>
    <t>docente169@correo.edu.gt</t>
  </si>
  <si>
    <t>5555-1170</t>
  </si>
  <si>
    <t>DPI-10171</t>
  </si>
  <si>
    <t>NIT-20171</t>
  </si>
  <si>
    <t>Docente Especialista 170</t>
  </si>
  <si>
    <t>docente170@correo.edu.gt</t>
  </si>
  <si>
    <t>5555-1171</t>
  </si>
  <si>
    <t>DPI-10172</t>
  </si>
  <si>
    <t>NIT-20172</t>
  </si>
  <si>
    <t>Docente Especialista 171</t>
  </si>
  <si>
    <t>docente171@correo.edu.gt</t>
  </si>
  <si>
    <t>5555-1172</t>
  </si>
  <si>
    <t>DPI-10173</t>
  </si>
  <si>
    <t>NIT-20173</t>
  </si>
  <si>
    <t>Docente Especialista 172</t>
  </si>
  <si>
    <t>docente172@correo.edu.gt</t>
  </si>
  <si>
    <t>5555-1173</t>
  </si>
  <si>
    <t>DPI-10174</t>
  </si>
  <si>
    <t>NIT-20174</t>
  </si>
  <si>
    <t>Docente Especialista 173</t>
  </si>
  <si>
    <t>docente173@correo.edu.gt</t>
  </si>
  <si>
    <t>5555-1174</t>
  </si>
  <si>
    <t>DPI-10175</t>
  </si>
  <si>
    <t>NIT-20175</t>
  </si>
  <si>
    <t>Docente Especialista 174</t>
  </si>
  <si>
    <t>docente174@correo.edu.gt</t>
  </si>
  <si>
    <t>5555-1175</t>
  </si>
  <si>
    <t>DPI-10176</t>
  </si>
  <si>
    <t>NIT-20176</t>
  </si>
  <si>
    <t>Docente Especialista 175</t>
  </si>
  <si>
    <t>docente175@correo.edu.gt</t>
  </si>
  <si>
    <t>5555-1176</t>
  </si>
  <si>
    <t>DPI-10177</t>
  </si>
  <si>
    <t>NIT-20177</t>
  </si>
  <si>
    <t>Docente Especialista 176</t>
  </si>
  <si>
    <t>docente176@correo.edu.gt</t>
  </si>
  <si>
    <t>5555-1177</t>
  </si>
  <si>
    <t>DPI-10178</t>
  </si>
  <si>
    <t>NIT-20178</t>
  </si>
  <si>
    <t>Docente Especialista 177</t>
  </si>
  <si>
    <t>docente177@correo.edu.gt</t>
  </si>
  <si>
    <t>5555-1178</t>
  </si>
  <si>
    <t>DPI-10179</t>
  </si>
  <si>
    <t>NIT-20179</t>
  </si>
  <si>
    <t>Docente Especialista 178</t>
  </si>
  <si>
    <t>docente178@correo.edu.gt</t>
  </si>
  <si>
    <t>5555-1179</t>
  </si>
  <si>
    <t>DPI-10180</t>
  </si>
  <si>
    <t>NIT-20180</t>
  </si>
  <si>
    <t>Docente Especialista 179</t>
  </si>
  <si>
    <t>docente179@correo.edu.gt</t>
  </si>
  <si>
    <t>5555-1180</t>
  </si>
  <si>
    <t>DPI-10181</t>
  </si>
  <si>
    <t>NIT-20181</t>
  </si>
  <si>
    <t>Docente Especialista 180</t>
  </si>
  <si>
    <t>docente180@correo.edu.gt</t>
  </si>
  <si>
    <t>5555-1181</t>
  </si>
  <si>
    <t>DPI-10182</t>
  </si>
  <si>
    <t>NIT-20182</t>
  </si>
  <si>
    <t>Docente Especialista 181</t>
  </si>
  <si>
    <t>docente181@correo.edu.gt</t>
  </si>
  <si>
    <t>5555-1182</t>
  </si>
  <si>
    <t>DPI-10183</t>
  </si>
  <si>
    <t>NIT-20183</t>
  </si>
  <si>
    <t>Docente Especialista 182</t>
  </si>
  <si>
    <t>docente182@correo.edu.gt</t>
  </si>
  <si>
    <t>5555-1183</t>
  </si>
  <si>
    <t>DPI-10184</t>
  </si>
  <si>
    <t>NIT-20184</t>
  </si>
  <si>
    <t>Docente Especialista 183</t>
  </si>
  <si>
    <t>docente183@correo.edu.gt</t>
  </si>
  <si>
    <t>5555-1184</t>
  </si>
  <si>
    <t>DPI-10185</t>
  </si>
  <si>
    <t>NIT-20185</t>
  </si>
  <si>
    <t>Docente Especialista 184</t>
  </si>
  <si>
    <t>docente184@correo.edu.gt</t>
  </si>
  <si>
    <t>5555-1185</t>
  </si>
  <si>
    <t>DPI-10186</t>
  </si>
  <si>
    <t>NIT-20186</t>
  </si>
  <si>
    <t>Docente Especialista 185</t>
  </si>
  <si>
    <t>docente185@correo.edu.gt</t>
  </si>
  <si>
    <t>5555-1186</t>
  </si>
  <si>
    <t>DPI-10187</t>
  </si>
  <si>
    <t>NIT-20187</t>
  </si>
  <si>
    <t>Docente Especialista 186</t>
  </si>
  <si>
    <t>docente186@correo.edu.gt</t>
  </si>
  <si>
    <t>5555-1187</t>
  </si>
  <si>
    <t>DPI-10188</t>
  </si>
  <si>
    <t>NIT-20188</t>
  </si>
  <si>
    <t>Docente Especialista 187</t>
  </si>
  <si>
    <t>docente187@correo.edu.gt</t>
  </si>
  <si>
    <t>5555-1188</t>
  </si>
  <si>
    <t>DPI-10189</t>
  </si>
  <si>
    <t>NIT-20189</t>
  </si>
  <si>
    <t>Docente Especialista 188</t>
  </si>
  <si>
    <t>docente188@correo.edu.gt</t>
  </si>
  <si>
    <t>5555-1189</t>
  </si>
  <si>
    <t>DPI-10190</t>
  </si>
  <si>
    <t>NIT-20190</t>
  </si>
  <si>
    <t>Docente Especialista 189</t>
  </si>
  <si>
    <t>docente189@correo.edu.gt</t>
  </si>
  <si>
    <t>5555-1190</t>
  </si>
  <si>
    <t>DPI-10191</t>
  </si>
  <si>
    <t>NIT-20191</t>
  </si>
  <si>
    <t>Docente Especialista 190</t>
  </si>
  <si>
    <t>docente190@correo.edu.gt</t>
  </si>
  <si>
    <t>5555-1191</t>
  </si>
  <si>
    <t>DPI-10192</t>
  </si>
  <si>
    <t>NIT-20192</t>
  </si>
  <si>
    <t>Docente Especialista 191</t>
  </si>
  <si>
    <t>docente191@correo.edu.gt</t>
  </si>
  <si>
    <t>5555-1192</t>
  </si>
  <si>
    <t>DPI-10193</t>
  </si>
  <si>
    <t>NIT-20193</t>
  </si>
  <si>
    <t>Docente Especialista 192</t>
  </si>
  <si>
    <t>docente192@correo.edu.gt</t>
  </si>
  <si>
    <t>5555-1193</t>
  </si>
  <si>
    <t>DPI-10194</t>
  </si>
  <si>
    <t>NIT-20194</t>
  </si>
  <si>
    <t>Docente Especialista 193</t>
  </si>
  <si>
    <t>docente193@correo.edu.gt</t>
  </si>
  <si>
    <t>5555-1194</t>
  </si>
  <si>
    <t>DPI-10195</t>
  </si>
  <si>
    <t>NIT-20195</t>
  </si>
  <si>
    <t>Docente Especialista 194</t>
  </si>
  <si>
    <t>docente194@correo.edu.gt</t>
  </si>
  <si>
    <t>5555-1195</t>
  </si>
  <si>
    <t>DPI-10196</t>
  </si>
  <si>
    <t>NIT-20196</t>
  </si>
  <si>
    <t>Docente Especialista 195</t>
  </si>
  <si>
    <t>docente195@correo.edu.gt</t>
  </si>
  <si>
    <t>5555-1196</t>
  </si>
  <si>
    <t>DPI-10197</t>
  </si>
  <si>
    <t>NIT-20197</t>
  </si>
  <si>
    <t>Docente Especialista 196</t>
  </si>
  <si>
    <t>docente196@correo.edu.gt</t>
  </si>
  <si>
    <t>5555-1197</t>
  </si>
  <si>
    <t>DPI-10198</t>
  </si>
  <si>
    <t>NIT-20198</t>
  </si>
  <si>
    <t>Docente Especialista 197</t>
  </si>
  <si>
    <t>docente197@correo.edu.gt</t>
  </si>
  <si>
    <t>5555-1198</t>
  </si>
  <si>
    <t>DPI-10199</t>
  </si>
  <si>
    <t>NIT-20199</t>
  </si>
  <si>
    <t>Docente Especialista 198</t>
  </si>
  <si>
    <t>docente198@correo.edu.gt</t>
  </si>
  <si>
    <t>5555-1199</t>
  </si>
  <si>
    <t>DPI-10200</t>
  </si>
  <si>
    <t>NIT-20200</t>
  </si>
  <si>
    <t>Docente Especialista 199</t>
  </si>
  <si>
    <t>docente199@correo.edu.gt</t>
  </si>
  <si>
    <t>5555-1200</t>
  </si>
  <si>
    <t>DPI-10201</t>
  </si>
  <si>
    <t>NIT-20201</t>
  </si>
  <si>
    <t>Docente Especialista 200</t>
  </si>
  <si>
    <t>docente200@correo.edu.gt</t>
  </si>
  <si>
    <t>5555-1201</t>
  </si>
  <si>
    <t>DPI-10202</t>
  </si>
  <si>
    <t>NIT-20202</t>
  </si>
  <si>
    <t>Docente Especialista 201</t>
  </si>
  <si>
    <t>docente201@correo.edu.gt</t>
  </si>
  <si>
    <t>5555-1202</t>
  </si>
  <si>
    <t>DPI-10203</t>
  </si>
  <si>
    <t>NIT-20203</t>
  </si>
  <si>
    <t>Docente Especialista 202</t>
  </si>
  <si>
    <t>docente202@correo.edu.gt</t>
  </si>
  <si>
    <t>5555-1203</t>
  </si>
  <si>
    <t>DPI-10204</t>
  </si>
  <si>
    <t>NIT-20204</t>
  </si>
  <si>
    <t>Docente Especialista 203</t>
  </si>
  <si>
    <t>docente203@correo.edu.gt</t>
  </si>
  <si>
    <t>5555-1204</t>
  </si>
  <si>
    <t>DPI-10205</t>
  </si>
  <si>
    <t>NIT-20205</t>
  </si>
  <si>
    <t>Docente Especialista 204</t>
  </si>
  <si>
    <t>docente204@correo.edu.gt</t>
  </si>
  <si>
    <t>5555-1205</t>
  </si>
  <si>
    <t>DPI-10206</t>
  </si>
  <si>
    <t>NIT-20206</t>
  </si>
  <si>
    <t>Docente Especialista 205</t>
  </si>
  <si>
    <t>docente205@correo.edu.gt</t>
  </si>
  <si>
    <t>5555-1206</t>
  </si>
  <si>
    <t>DPI-10207</t>
  </si>
  <si>
    <t>NIT-20207</t>
  </si>
  <si>
    <t>Docente Especialista 206</t>
  </si>
  <si>
    <t>docente206@correo.edu.gt</t>
  </si>
  <si>
    <t>5555-1207</t>
  </si>
  <si>
    <t>DPI-10208</t>
  </si>
  <si>
    <t>NIT-20208</t>
  </si>
  <si>
    <t>Docente Especialista 207</t>
  </si>
  <si>
    <t>docente207@correo.edu.gt</t>
  </si>
  <si>
    <t>5555-1208</t>
  </si>
  <si>
    <t>DPI-10209</t>
  </si>
  <si>
    <t>NIT-20209</t>
  </si>
  <si>
    <t>Docente Especialista 208</t>
  </si>
  <si>
    <t>docente208@correo.edu.gt</t>
  </si>
  <si>
    <t>5555-1209</t>
  </si>
  <si>
    <t>DPI-10210</t>
  </si>
  <si>
    <t>NIT-20210</t>
  </si>
  <si>
    <t>Docente Especialista 209</t>
  </si>
  <si>
    <t>docente209@correo.edu.gt</t>
  </si>
  <si>
    <t>5555-1210</t>
  </si>
  <si>
    <t>DPI-10211</t>
  </si>
  <si>
    <t>NIT-20211</t>
  </si>
  <si>
    <t>Docente Especialista 210</t>
  </si>
  <si>
    <t>docente210@correo.edu.gt</t>
  </si>
  <si>
    <t>5555-1211</t>
  </si>
  <si>
    <t>DPI-10212</t>
  </si>
  <si>
    <t>NIT-20212</t>
  </si>
  <si>
    <t>Docente Especialista 211</t>
  </si>
  <si>
    <t>docente211@correo.edu.gt</t>
  </si>
  <si>
    <t>5555-1212</t>
  </si>
  <si>
    <t>DPI-10213</t>
  </si>
  <si>
    <t>NIT-20213</t>
  </si>
  <si>
    <t>Docente Especialista 212</t>
  </si>
  <si>
    <t>docente212@correo.edu.gt</t>
  </si>
  <si>
    <t>5555-1213</t>
  </si>
  <si>
    <t>DPI-10214</t>
  </si>
  <si>
    <t>NIT-20214</t>
  </si>
  <si>
    <t>Docente Especialista 213</t>
  </si>
  <si>
    <t>docente213@correo.edu.gt</t>
  </si>
  <si>
    <t>5555-1214</t>
  </si>
  <si>
    <t>DPI-10215</t>
  </si>
  <si>
    <t>NIT-20215</t>
  </si>
  <si>
    <t>Docente Especialista 214</t>
  </si>
  <si>
    <t>docente214@correo.edu.gt</t>
  </si>
  <si>
    <t>5555-1215</t>
  </si>
  <si>
    <t>DPI-10216</t>
  </si>
  <si>
    <t>NIT-20216</t>
  </si>
  <si>
    <t>Docente Especialista 215</t>
  </si>
  <si>
    <t>docente215@correo.edu.gt</t>
  </si>
  <si>
    <t>5555-1216</t>
  </si>
  <si>
    <t>DPI-10217</t>
  </si>
  <si>
    <t>NIT-20217</t>
  </si>
  <si>
    <t>Docente Especialista 216</t>
  </si>
  <si>
    <t>docente216@correo.edu.gt</t>
  </si>
  <si>
    <t>5555-1217</t>
  </si>
  <si>
    <t>DPI-10218</t>
  </si>
  <si>
    <t>NIT-20218</t>
  </si>
  <si>
    <t>Docente Especialista 217</t>
  </si>
  <si>
    <t>docente217@correo.edu.gt</t>
  </si>
  <si>
    <t>5555-1218</t>
  </si>
  <si>
    <t>DPI-10219</t>
  </si>
  <si>
    <t>NIT-20219</t>
  </si>
  <si>
    <t>Docente Especialista 218</t>
  </si>
  <si>
    <t>docente218@correo.edu.gt</t>
  </si>
  <si>
    <t>5555-1219</t>
  </si>
  <si>
    <t>DPI-10220</t>
  </si>
  <si>
    <t>NIT-20220</t>
  </si>
  <si>
    <t>Docente Especialista 219</t>
  </si>
  <si>
    <t>docente219@correo.edu.gt</t>
  </si>
  <si>
    <t>5555-1220</t>
  </si>
  <si>
    <t>DPI-10221</t>
  </si>
  <si>
    <t>NIT-20221</t>
  </si>
  <si>
    <t>Docente Especialista 220</t>
  </si>
  <si>
    <t>docente220@correo.edu.gt</t>
  </si>
  <si>
    <t>5555-1221</t>
  </si>
  <si>
    <t>DPI-10222</t>
  </si>
  <si>
    <t>NIT-20222</t>
  </si>
  <si>
    <t>Docente Especialista 221</t>
  </si>
  <si>
    <t>docente221@correo.edu.gt</t>
  </si>
  <si>
    <t>5555-1222</t>
  </si>
  <si>
    <t>DPI-10223</t>
  </si>
  <si>
    <t>NIT-20223</t>
  </si>
  <si>
    <t>Docente Especialista 222</t>
  </si>
  <si>
    <t>docente222@correo.edu.gt</t>
  </si>
  <si>
    <t>5555-1223</t>
  </si>
  <si>
    <t>DPI-10224</t>
  </si>
  <si>
    <t>NIT-20224</t>
  </si>
  <si>
    <t>Docente Especialista 223</t>
  </si>
  <si>
    <t>docente223@correo.edu.gt</t>
  </si>
  <si>
    <t>5555-1224</t>
  </si>
  <si>
    <t>DPI-10225</t>
  </si>
  <si>
    <t>NIT-20225</t>
  </si>
  <si>
    <t>Docente Especialista 224</t>
  </si>
  <si>
    <t>docente224@correo.edu.gt</t>
  </si>
  <si>
    <t>5555-1225</t>
  </si>
  <si>
    <t>DPI-10226</t>
  </si>
  <si>
    <t>NIT-20226</t>
  </si>
  <si>
    <t>Docente Especialista 225</t>
  </si>
  <si>
    <t>docente225@correo.edu.gt</t>
  </si>
  <si>
    <t>5555-1226</t>
  </si>
  <si>
    <t>DPI-10227</t>
  </si>
  <si>
    <t>NIT-20227</t>
  </si>
  <si>
    <t>Docente Especialista 226</t>
  </si>
  <si>
    <t>docente226@correo.edu.gt</t>
  </si>
  <si>
    <t>5555-1227</t>
  </si>
  <si>
    <t>DPI-10228</t>
  </si>
  <si>
    <t>NIT-20228</t>
  </si>
  <si>
    <t>Docente Especialista 227</t>
  </si>
  <si>
    <t>docente227@correo.edu.gt</t>
  </si>
  <si>
    <t>5555-1228</t>
  </si>
  <si>
    <t>DPI-10229</t>
  </si>
  <si>
    <t>NIT-20229</t>
  </si>
  <si>
    <t>Docente Especialista 228</t>
  </si>
  <si>
    <t>docente228@correo.edu.gt</t>
  </si>
  <si>
    <t>5555-1229</t>
  </si>
  <si>
    <t>DPI-10230</t>
  </si>
  <si>
    <t>NIT-20230</t>
  </si>
  <si>
    <t>Docente Especialista 229</t>
  </si>
  <si>
    <t>docente229@correo.edu.gt</t>
  </si>
  <si>
    <t>5555-1230</t>
  </si>
  <si>
    <t>DPI-10231</t>
  </si>
  <si>
    <t>NIT-20231</t>
  </si>
  <si>
    <t>Docente Especialista 230</t>
  </si>
  <si>
    <t>docente230@correo.edu.gt</t>
  </si>
  <si>
    <t>5555-1231</t>
  </si>
  <si>
    <t>DPI-10232</t>
  </si>
  <si>
    <t>NIT-20232</t>
  </si>
  <si>
    <t>Docente Especialista 231</t>
  </si>
  <si>
    <t>docente231@correo.edu.gt</t>
  </si>
  <si>
    <t>5555-1232</t>
  </si>
  <si>
    <t>DPI-10233</t>
  </si>
  <si>
    <t>NIT-20233</t>
  </si>
  <si>
    <t>Docente Especialista 232</t>
  </si>
  <si>
    <t>docente232@correo.edu.gt</t>
  </si>
  <si>
    <t>5555-1233</t>
  </si>
  <si>
    <t>DPI-10234</t>
  </si>
  <si>
    <t>NIT-20234</t>
  </si>
  <si>
    <t>Docente Especialista 233</t>
  </si>
  <si>
    <t>docente233@correo.edu.gt</t>
  </si>
  <si>
    <t>5555-1234</t>
  </si>
  <si>
    <t>DPI-10235</t>
  </si>
  <si>
    <t>NIT-20235</t>
  </si>
  <si>
    <t>Docente Especialista 234</t>
  </si>
  <si>
    <t>docente234@correo.edu.gt</t>
  </si>
  <si>
    <t>5555-1235</t>
  </si>
  <si>
    <t>DPI-10236</t>
  </si>
  <si>
    <t>NIT-20236</t>
  </si>
  <si>
    <t>Docente Especialista 235</t>
  </si>
  <si>
    <t>docente235@correo.edu.gt</t>
  </si>
  <si>
    <t>5555-1236</t>
  </si>
  <si>
    <t>DPI-10237</t>
  </si>
  <si>
    <t>NIT-20237</t>
  </si>
  <si>
    <t>Docente Especialista 236</t>
  </si>
  <si>
    <t>docente236@correo.edu.gt</t>
  </si>
  <si>
    <t>5555-1237</t>
  </si>
  <si>
    <t>DPI-10238</t>
  </si>
  <si>
    <t>NIT-20238</t>
  </si>
  <si>
    <t>Docente Especialista 237</t>
  </si>
  <si>
    <t>docente237@correo.edu.gt</t>
  </si>
  <si>
    <t>5555-1238</t>
  </si>
  <si>
    <t>DPI-10239</t>
  </si>
  <si>
    <t>NIT-20239</t>
  </si>
  <si>
    <t>Docente Especialista 238</t>
  </si>
  <si>
    <t>docente238@correo.edu.gt</t>
  </si>
  <si>
    <t>5555-1239</t>
  </si>
  <si>
    <t>DPI-10240</t>
  </si>
  <si>
    <t>NIT-20240</t>
  </si>
  <si>
    <t>Docente Especialista 239</t>
  </si>
  <si>
    <t>docente239@correo.edu.gt</t>
  </si>
  <si>
    <t>5555-1240</t>
  </si>
  <si>
    <t>DPI-10241</t>
  </si>
  <si>
    <t>NIT-20241</t>
  </si>
  <si>
    <t>Docente Especialista 240</t>
  </si>
  <si>
    <t>docente240@correo.edu.gt</t>
  </si>
  <si>
    <t>5555-1241</t>
  </si>
  <si>
    <t>DPI-10242</t>
  </si>
  <si>
    <t>NIT-20242</t>
  </si>
  <si>
    <t>Docente Especialista 241</t>
  </si>
  <si>
    <t>docente241@correo.edu.gt</t>
  </si>
  <si>
    <t>5555-1242</t>
  </si>
  <si>
    <t>DPI-10243</t>
  </si>
  <si>
    <t>NIT-20243</t>
  </si>
  <si>
    <t>Docente Especialista 242</t>
  </si>
  <si>
    <t>docente242@correo.edu.gt</t>
  </si>
  <si>
    <t>5555-1243</t>
  </si>
  <si>
    <t>DPI-10244</t>
  </si>
  <si>
    <t>NIT-20244</t>
  </si>
  <si>
    <t>Docente Especialista 243</t>
  </si>
  <si>
    <t>docente243@correo.edu.gt</t>
  </si>
  <si>
    <t>5555-1244</t>
  </si>
  <si>
    <t>DPI-10245</t>
  </si>
  <si>
    <t>NIT-20245</t>
  </si>
  <si>
    <t>Docente Especialista 244</t>
  </si>
  <si>
    <t>docente244@correo.edu.gt</t>
  </si>
  <si>
    <t>5555-1245</t>
  </si>
  <si>
    <t>DPI-10246</t>
  </si>
  <si>
    <t>NIT-20246</t>
  </si>
  <si>
    <t>Docente Especialista 245</t>
  </si>
  <si>
    <t>docente245@correo.edu.gt</t>
  </si>
  <si>
    <t>5555-1246</t>
  </si>
  <si>
    <t>DPI-10247</t>
  </si>
  <si>
    <t>NIT-20247</t>
  </si>
  <si>
    <t>Docente Especialista 246</t>
  </si>
  <si>
    <t>docente246@correo.edu.gt</t>
  </si>
  <si>
    <t>5555-1247</t>
  </si>
  <si>
    <t>DPI-10248</t>
  </si>
  <si>
    <t>NIT-20248</t>
  </si>
  <si>
    <t>Docente Especialista 247</t>
  </si>
  <si>
    <t>docente247@correo.edu.gt</t>
  </si>
  <si>
    <t>5555-1248</t>
  </si>
  <si>
    <t>DPI-10249</t>
  </si>
  <si>
    <t>NIT-20249</t>
  </si>
  <si>
    <t>Docente Especialista 248</t>
  </si>
  <si>
    <t>docente248@correo.edu.gt</t>
  </si>
  <si>
    <t>5555-1249</t>
  </si>
  <si>
    <t>DPI-10250</t>
  </si>
  <si>
    <t>NIT-20250</t>
  </si>
  <si>
    <t>Docente Especialista 249</t>
  </si>
  <si>
    <t>docente249@correo.edu.gt</t>
  </si>
  <si>
    <t>5555-1250</t>
  </si>
  <si>
    <t>DPI-10251</t>
  </si>
  <si>
    <t>NIT-20251</t>
  </si>
  <si>
    <t>Docente Especialista 250</t>
  </si>
  <si>
    <t>docente250@correo.edu.gt</t>
  </si>
  <si>
    <t>5555-1251</t>
  </si>
  <si>
    <t>DPI-10252</t>
  </si>
  <si>
    <t>NIT-20252</t>
  </si>
  <si>
    <t>Docente Especialista 251</t>
  </si>
  <si>
    <t>docente251@correo.edu.gt</t>
  </si>
  <si>
    <t>5555-1252</t>
  </si>
  <si>
    <t>DPI-10253</t>
  </si>
  <si>
    <t>NIT-20253</t>
  </si>
  <si>
    <t>Docente Especialista 252</t>
  </si>
  <si>
    <t>docente252@correo.edu.gt</t>
  </si>
  <si>
    <t>5555-1253</t>
  </si>
  <si>
    <t>DPI-10254</t>
  </si>
  <si>
    <t>NIT-20254</t>
  </si>
  <si>
    <t>Docente Especialista 253</t>
  </si>
  <si>
    <t>docente253@correo.edu.gt</t>
  </si>
  <si>
    <t>5555-1254</t>
  </si>
  <si>
    <t>DPI-10255</t>
  </si>
  <si>
    <t>NIT-20255</t>
  </si>
  <si>
    <t>Docente Especialista 254</t>
  </si>
  <si>
    <t>docente254@correo.edu.gt</t>
  </si>
  <si>
    <t>5555-1255</t>
  </si>
  <si>
    <t>DPI-10256</t>
  </si>
  <si>
    <t>NIT-20256</t>
  </si>
  <si>
    <t>Docente Especialista 255</t>
  </si>
  <si>
    <t>docente255@correo.edu.gt</t>
  </si>
  <si>
    <t>5555-1256</t>
  </si>
  <si>
    <t>DPI-10257</t>
  </si>
  <si>
    <t>NIT-20257</t>
  </si>
  <si>
    <t>Docente Especialista 256</t>
  </si>
  <si>
    <t>docente256@correo.edu.gt</t>
  </si>
  <si>
    <t>5555-1257</t>
  </si>
  <si>
    <t>DPI-10258</t>
  </si>
  <si>
    <t>NIT-20258</t>
  </si>
  <si>
    <t>Docente Especialista 257</t>
  </si>
  <si>
    <t>docente257@correo.edu.gt</t>
  </si>
  <si>
    <t>5555-1258</t>
  </si>
  <si>
    <t>DPI-10259</t>
  </si>
  <si>
    <t>NIT-20259</t>
  </si>
  <si>
    <t>Docente Especialista 258</t>
  </si>
  <si>
    <t>docente258@correo.edu.gt</t>
  </si>
  <si>
    <t>5555-1259</t>
  </si>
  <si>
    <t>DPI-10260</t>
  </si>
  <si>
    <t>NIT-20260</t>
  </si>
  <si>
    <t>Docente Especialista 259</t>
  </si>
  <si>
    <t>docente259@correo.edu.gt</t>
  </si>
  <si>
    <t>5555-1260</t>
  </si>
  <si>
    <t>DPI-10261</t>
  </si>
  <si>
    <t>NIT-20261</t>
  </si>
  <si>
    <t>Docente Especialista 260</t>
  </si>
  <si>
    <t>docente260@correo.edu.gt</t>
  </si>
  <si>
    <t>5555-1261</t>
  </si>
  <si>
    <t>DPI-10262</t>
  </si>
  <si>
    <t>NIT-20262</t>
  </si>
  <si>
    <t>Docente Especialista 261</t>
  </si>
  <si>
    <t>docente261@correo.edu.gt</t>
  </si>
  <si>
    <t>5555-1262</t>
  </si>
  <si>
    <t>DPI-10263</t>
  </si>
  <si>
    <t>NIT-20263</t>
  </si>
  <si>
    <t>Docente Especialista 262</t>
  </si>
  <si>
    <t>docente262@correo.edu.gt</t>
  </si>
  <si>
    <t>5555-1263</t>
  </si>
  <si>
    <t>DPI-10264</t>
  </si>
  <si>
    <t>NIT-20264</t>
  </si>
  <si>
    <t>Docente Especialista 263</t>
  </si>
  <si>
    <t>docente263@correo.edu.gt</t>
  </si>
  <si>
    <t>5555-1264</t>
  </si>
  <si>
    <t>DPI-10265</t>
  </si>
  <si>
    <t>NIT-20265</t>
  </si>
  <si>
    <t>Docente Especialista 264</t>
  </si>
  <si>
    <t>docente264@correo.edu.gt</t>
  </si>
  <si>
    <t>5555-1265</t>
  </si>
  <si>
    <t>DPI-10266</t>
  </si>
  <si>
    <t>NIT-20266</t>
  </si>
  <si>
    <t>Docente Especialista 265</t>
  </si>
  <si>
    <t>docente265@correo.edu.gt</t>
  </si>
  <si>
    <t>5555-1266</t>
  </si>
  <si>
    <t>DPI-10267</t>
  </si>
  <si>
    <t>NIT-20267</t>
  </si>
  <si>
    <t>Docente Especialista 266</t>
  </si>
  <si>
    <t>docente266@correo.edu.gt</t>
  </si>
  <si>
    <t>5555-1267</t>
  </si>
  <si>
    <t>DPI-10268</t>
  </si>
  <si>
    <t>NIT-20268</t>
  </si>
  <si>
    <t>Docente Especialista 267</t>
  </si>
  <si>
    <t>docente267@correo.edu.gt</t>
  </si>
  <si>
    <t>5555-1268</t>
  </si>
  <si>
    <t>DPI-10269</t>
  </si>
  <si>
    <t>NIT-20269</t>
  </si>
  <si>
    <t>Docente Especialista 268</t>
  </si>
  <si>
    <t>docente268@correo.edu.gt</t>
  </si>
  <si>
    <t>5555-1269</t>
  </si>
  <si>
    <t>DPI-10270</t>
  </si>
  <si>
    <t>NIT-20270</t>
  </si>
  <si>
    <t>Docente Especialista 269</t>
  </si>
  <si>
    <t>docente269@correo.edu.gt</t>
  </si>
  <si>
    <t>5555-1270</t>
  </si>
  <si>
    <t>DPI-10271</t>
  </si>
  <si>
    <t>NIT-20271</t>
  </si>
  <si>
    <t>Docente Especialista 270</t>
  </si>
  <si>
    <t>docente270@correo.edu.gt</t>
  </si>
  <si>
    <t>5555-1271</t>
  </si>
  <si>
    <t>DPI-10272</t>
  </si>
  <si>
    <t>NIT-20272</t>
  </si>
  <si>
    <t>Docente Especialista 271</t>
  </si>
  <si>
    <t>docente271@correo.edu.gt</t>
  </si>
  <si>
    <t>5555-1272</t>
  </si>
  <si>
    <t>DPI-10273</t>
  </si>
  <si>
    <t>NIT-20273</t>
  </si>
  <si>
    <t>Docente Especialista 272</t>
  </si>
  <si>
    <t>docente272@correo.edu.gt</t>
  </si>
  <si>
    <t>5555-1273</t>
  </si>
  <si>
    <t>DPI-10274</t>
  </si>
  <si>
    <t>NIT-20274</t>
  </si>
  <si>
    <t>Docente Especialista 273</t>
  </si>
  <si>
    <t>docente273@correo.edu.gt</t>
  </si>
  <si>
    <t>5555-1274</t>
  </si>
  <si>
    <t>DPI-10275</t>
  </si>
  <si>
    <t>NIT-20275</t>
  </si>
  <si>
    <t>Docente Especialista 274</t>
  </si>
  <si>
    <t>docente274@correo.edu.gt</t>
  </si>
  <si>
    <t>5555-1275</t>
  </si>
  <si>
    <t>DPI-10276</t>
  </si>
  <si>
    <t>NIT-20276</t>
  </si>
  <si>
    <t>Docente Especialista 275</t>
  </si>
  <si>
    <t>docente275@correo.edu.gt</t>
  </si>
  <si>
    <t>5555-1276</t>
  </si>
  <si>
    <t>DPI-10277</t>
  </si>
  <si>
    <t>NIT-20277</t>
  </si>
  <si>
    <t>Docente Especialista 276</t>
  </si>
  <si>
    <t>docente276@correo.edu.gt</t>
  </si>
  <si>
    <t>5555-1277</t>
  </si>
  <si>
    <t>DPI-10278</t>
  </si>
  <si>
    <t>NIT-20278</t>
  </si>
  <si>
    <t>Docente Especialista 277</t>
  </si>
  <si>
    <t>docente277@correo.edu.gt</t>
  </si>
  <si>
    <t>5555-1278</t>
  </si>
  <si>
    <t>DPI-10279</t>
  </si>
  <si>
    <t>NIT-20279</t>
  </si>
  <si>
    <t>Docente Especialista 278</t>
  </si>
  <si>
    <t>docente278@correo.edu.gt</t>
  </si>
  <si>
    <t>5555-1279</t>
  </si>
  <si>
    <t>DPI-10280</t>
  </si>
  <si>
    <t>NIT-20280</t>
  </si>
  <si>
    <t>Docente Especialista 279</t>
  </si>
  <si>
    <t>docente279@correo.edu.gt</t>
  </si>
  <si>
    <t>5555-1280</t>
  </si>
  <si>
    <t>DPI-10281</t>
  </si>
  <si>
    <t>NIT-20281</t>
  </si>
  <si>
    <t>Docente Especialista 280</t>
  </si>
  <si>
    <t>docente280@correo.edu.gt</t>
  </si>
  <si>
    <t>5555-1281</t>
  </si>
  <si>
    <t>DPI-10282</t>
  </si>
  <si>
    <t>NIT-20282</t>
  </si>
  <si>
    <t>Docente Especialista 281</t>
  </si>
  <si>
    <t>docente281@correo.edu.gt</t>
  </si>
  <si>
    <t>5555-1282</t>
  </si>
  <si>
    <t>DPI-10283</t>
  </si>
  <si>
    <t>NIT-20283</t>
  </si>
  <si>
    <t>Docente Especialista 282</t>
  </si>
  <si>
    <t>docente282@correo.edu.gt</t>
  </si>
  <si>
    <t>5555-1283</t>
  </si>
  <si>
    <t>DPI-10284</t>
  </si>
  <si>
    <t>NIT-20284</t>
  </si>
  <si>
    <t>Docente Especialista 283</t>
  </si>
  <si>
    <t>docente283@correo.edu.gt</t>
  </si>
  <si>
    <t>5555-1284</t>
  </si>
  <si>
    <t>DPI-10285</t>
  </si>
  <si>
    <t>NIT-20285</t>
  </si>
  <si>
    <t>Docente Especialista 284</t>
  </si>
  <si>
    <t>docente284@correo.edu.gt</t>
  </si>
  <si>
    <t>5555-1285</t>
  </si>
  <si>
    <t>DPI-10286</t>
  </si>
  <si>
    <t>NIT-20286</t>
  </si>
  <si>
    <t>Docente Especialista 285</t>
  </si>
  <si>
    <t>docente285@correo.edu.gt</t>
  </si>
  <si>
    <t>5555-1286</t>
  </si>
  <si>
    <t>DPI-10287</t>
  </si>
  <si>
    <t>NIT-20287</t>
  </si>
  <si>
    <t>Docente Especialista 286</t>
  </si>
  <si>
    <t>docente286@correo.edu.gt</t>
  </si>
  <si>
    <t>5555-1287</t>
  </si>
  <si>
    <t>DPI-10288</t>
  </si>
  <si>
    <t>NIT-20288</t>
  </si>
  <si>
    <t>Docente Especialista 287</t>
  </si>
  <si>
    <t>docente287@correo.edu.gt</t>
  </si>
  <si>
    <t>5555-1288</t>
  </si>
  <si>
    <t>DPI-10289</t>
  </si>
  <si>
    <t>NIT-20289</t>
  </si>
  <si>
    <t>Docente Especialista 288</t>
  </si>
  <si>
    <t>docente288@correo.edu.gt</t>
  </si>
  <si>
    <t>5555-1289</t>
  </si>
  <si>
    <t>DPI-10290</t>
  </si>
  <si>
    <t>NIT-20290</t>
  </si>
  <si>
    <t>Docente Especialista 289</t>
  </si>
  <si>
    <t>docente289@correo.edu.gt</t>
  </si>
  <si>
    <t>5555-1290</t>
  </si>
  <si>
    <t>DPI-10291</t>
  </si>
  <si>
    <t>NIT-20291</t>
  </si>
  <si>
    <t>Docente Especialista 290</t>
  </si>
  <si>
    <t>docente290@correo.edu.gt</t>
  </si>
  <si>
    <t>5555-1291</t>
  </si>
  <si>
    <t>DPI-10292</t>
  </si>
  <si>
    <t>NIT-20292</t>
  </si>
  <si>
    <t>Docente Especialista 291</t>
  </si>
  <si>
    <t>docente291@correo.edu.gt</t>
  </si>
  <si>
    <t>5555-1292</t>
  </si>
  <si>
    <t>DPI-10293</t>
  </si>
  <si>
    <t>NIT-20293</t>
  </si>
  <si>
    <t>Docente Especialista 292</t>
  </si>
  <si>
    <t>docente292@correo.edu.gt</t>
  </si>
  <si>
    <t>5555-1293</t>
  </si>
  <si>
    <t>DPI-10294</t>
  </si>
  <si>
    <t>NIT-20294</t>
  </si>
  <si>
    <t>Docente Especialista 293</t>
  </si>
  <si>
    <t>docente293@correo.edu.gt</t>
  </si>
  <si>
    <t>5555-1294</t>
  </si>
  <si>
    <t>DPI-10295</t>
  </si>
  <si>
    <t>NIT-20295</t>
  </si>
  <si>
    <t>Docente Especialista 294</t>
  </si>
  <si>
    <t>docente294@correo.edu.gt</t>
  </si>
  <si>
    <t>5555-1295</t>
  </si>
  <si>
    <t>DPI-10296</t>
  </si>
  <si>
    <t>NIT-20296</t>
  </si>
  <si>
    <t>Docente Especialista 295</t>
  </si>
  <si>
    <t>docente295@correo.edu.gt</t>
  </si>
  <si>
    <t>5555-1296</t>
  </si>
  <si>
    <t>DPI-10297</t>
  </si>
  <si>
    <t>NIT-20297</t>
  </si>
  <si>
    <t>Docente Especialista 296</t>
  </si>
  <si>
    <t>docente296@correo.edu.gt</t>
  </si>
  <si>
    <t>5555-1297</t>
  </si>
  <si>
    <t>DPI-10298</t>
  </si>
  <si>
    <t>NIT-20298</t>
  </si>
  <si>
    <t>Docente Especialista 297</t>
  </si>
  <si>
    <t>docente297@correo.edu.gt</t>
  </si>
  <si>
    <t>5555-1298</t>
  </si>
  <si>
    <t>DPI-10299</t>
  </si>
  <si>
    <t>NIT-20299</t>
  </si>
  <si>
    <t>Docente Especialista 298</t>
  </si>
  <si>
    <t>docente298@correo.edu.gt</t>
  </si>
  <si>
    <t>5555-1299</t>
  </si>
  <si>
    <t>DPI-10300</t>
  </si>
  <si>
    <t>NIT-20300</t>
  </si>
  <si>
    <t>Docente Especialista 299</t>
  </si>
  <si>
    <t>docente299@correo.edu.gt</t>
  </si>
  <si>
    <t>5555-1300</t>
  </si>
  <si>
    <t>DPI-10301</t>
  </si>
  <si>
    <t>NIT-20301</t>
  </si>
  <si>
    <t>Docente Especialista 300</t>
  </si>
  <si>
    <t>docente300@correo.edu.gt</t>
  </si>
  <si>
    <t>5555-1301</t>
  </si>
  <si>
    <t>DPI-10302</t>
  </si>
  <si>
    <t>NIT-20302</t>
  </si>
  <si>
    <t>Docente Especialista 301</t>
  </si>
  <si>
    <t>docente301@correo.edu.gt</t>
  </si>
  <si>
    <t>5555-1302</t>
  </si>
  <si>
    <t>DPI-10303</t>
  </si>
  <si>
    <t>NIT-20303</t>
  </si>
  <si>
    <t>Docente Especialista 302</t>
  </si>
  <si>
    <t>docente302@correo.edu.gt</t>
  </si>
  <si>
    <t>5555-1303</t>
  </si>
  <si>
    <t>DPI-10304</t>
  </si>
  <si>
    <t>NIT-20304</t>
  </si>
  <si>
    <t>Docente Especialista 303</t>
  </si>
  <si>
    <t>docente303@correo.edu.gt</t>
  </si>
  <si>
    <t>5555-1304</t>
  </si>
  <si>
    <t>DPI-10305</t>
  </si>
  <si>
    <t>NIT-20305</t>
  </si>
  <si>
    <t>Docente Especialista 304</t>
  </si>
  <si>
    <t>docente304@correo.edu.gt</t>
  </si>
  <si>
    <t>5555-1305</t>
  </si>
  <si>
    <t>DPI-10306</t>
  </si>
  <si>
    <t>NIT-20306</t>
  </si>
  <si>
    <t>Docente Especialista 305</t>
  </si>
  <si>
    <t>docente305@correo.edu.gt</t>
  </si>
  <si>
    <t>5555-1306</t>
  </si>
  <si>
    <t>DPI-10307</t>
  </si>
  <si>
    <t>NIT-20307</t>
  </si>
  <si>
    <t>Docente Especialista 306</t>
  </si>
  <si>
    <t>docente306@correo.edu.gt</t>
  </si>
  <si>
    <t>5555-1307</t>
  </si>
  <si>
    <t>DPI-10308</t>
  </si>
  <si>
    <t>NIT-20308</t>
  </si>
  <si>
    <t>Docente Especialista 307</t>
  </si>
  <si>
    <t>docente307@correo.edu.gt</t>
  </si>
  <si>
    <t>5555-1308</t>
  </si>
  <si>
    <t>DPI-10309</t>
  </si>
  <si>
    <t>NIT-20309</t>
  </si>
  <si>
    <t>Docente Especialista 308</t>
  </si>
  <si>
    <t>docente308@correo.edu.gt</t>
  </si>
  <si>
    <t>5555-1309</t>
  </si>
  <si>
    <t>DPI-10310</t>
  </si>
  <si>
    <t>NIT-20310</t>
  </si>
  <si>
    <t>Docente Especialista 309</t>
  </si>
  <si>
    <t>docente309@correo.edu.gt</t>
  </si>
  <si>
    <t>5555-1310</t>
  </si>
  <si>
    <t>DPI-10311</t>
  </si>
  <si>
    <t>NIT-20311</t>
  </si>
  <si>
    <t>Docente Especialista 310</t>
  </si>
  <si>
    <t>docente310@correo.edu.gt</t>
  </si>
  <si>
    <t>5555-1311</t>
  </si>
  <si>
    <t>DPI-10312</t>
  </si>
  <si>
    <t>NIT-20312</t>
  </si>
  <si>
    <t>Docente Especialista 311</t>
  </si>
  <si>
    <t>docente311@correo.edu.gt</t>
  </si>
  <si>
    <t>5555-1312</t>
  </si>
  <si>
    <t>DPI-10313</t>
  </si>
  <si>
    <t>NIT-20313</t>
  </si>
  <si>
    <t>Docente Especialista 312</t>
  </si>
  <si>
    <t>docente312@correo.edu.gt</t>
  </si>
  <si>
    <t>5555-1313</t>
  </si>
  <si>
    <t>DPI-10314</t>
  </si>
  <si>
    <t>NIT-20314</t>
  </si>
  <si>
    <t>Docente Especialista 313</t>
  </si>
  <si>
    <t>docente313@correo.edu.gt</t>
  </si>
  <si>
    <t>5555-1314</t>
  </si>
  <si>
    <t>DPI-10315</t>
  </si>
  <si>
    <t>NIT-20315</t>
  </si>
  <si>
    <t>Docente Especialista 314</t>
  </si>
  <si>
    <t>docente314@correo.edu.gt</t>
  </si>
  <si>
    <t>5555-1315</t>
  </si>
  <si>
    <t>DPI-10316</t>
  </si>
  <si>
    <t>NIT-20316</t>
  </si>
  <si>
    <t>Docente Especialista 315</t>
  </si>
  <si>
    <t>docente315@correo.edu.gt</t>
  </si>
  <si>
    <t>5555-1316</t>
  </si>
  <si>
    <t>DPI-10317</t>
  </si>
  <si>
    <t>NIT-20317</t>
  </si>
  <si>
    <t>Docente Especialista 316</t>
  </si>
  <si>
    <t>docente316@correo.edu.gt</t>
  </si>
  <si>
    <t>5555-1317</t>
  </si>
  <si>
    <t>DPI-10318</t>
  </si>
  <si>
    <t>NIT-20318</t>
  </si>
  <si>
    <t>Docente Especialista 317</t>
  </si>
  <si>
    <t>docente317@correo.edu.gt</t>
  </si>
  <si>
    <t>5555-1318</t>
  </si>
  <si>
    <t>DPI-10319</t>
  </si>
  <si>
    <t>NIT-20319</t>
  </si>
  <si>
    <t>Docente Especialista 318</t>
  </si>
  <si>
    <t>docente318@correo.edu.gt</t>
  </si>
  <si>
    <t>5555-1319</t>
  </si>
  <si>
    <t>DPI-10320</t>
  </si>
  <si>
    <t>NIT-20320</t>
  </si>
  <si>
    <t>Docente Especialista 319</t>
  </si>
  <si>
    <t>docente319@correo.edu.gt</t>
  </si>
  <si>
    <t>5555-1320</t>
  </si>
  <si>
    <t>DPI-10321</t>
  </si>
  <si>
    <t>NIT-20321</t>
  </si>
  <si>
    <t>Docente Especialista 320</t>
  </si>
  <si>
    <t>docente320@correo.edu.gt</t>
  </si>
  <si>
    <t>5555-1321</t>
  </si>
  <si>
    <t>DPI-10322</t>
  </si>
  <si>
    <t>NIT-20322</t>
  </si>
  <si>
    <t>Docente Especialista 321</t>
  </si>
  <si>
    <t>docente321@correo.edu.gt</t>
  </si>
  <si>
    <t>5555-1322</t>
  </si>
  <si>
    <t>DPI-10323</t>
  </si>
  <si>
    <t>NIT-20323</t>
  </si>
  <si>
    <t>Docente Especialista 322</t>
  </si>
  <si>
    <t>docente322@correo.edu.gt</t>
  </si>
  <si>
    <t>5555-1323</t>
  </si>
  <si>
    <t>DPI-10324</t>
  </si>
  <si>
    <t>NIT-20324</t>
  </si>
  <si>
    <t>Docente Especialista 323</t>
  </si>
  <si>
    <t>docente323@correo.edu.gt</t>
  </si>
  <si>
    <t>5555-1324</t>
  </si>
  <si>
    <t>DPI-10325</t>
  </si>
  <si>
    <t>NIT-20325</t>
  </si>
  <si>
    <t>Docente Especialista 324</t>
  </si>
  <si>
    <t>docente324@correo.edu.gt</t>
  </si>
  <si>
    <t>5555-1325</t>
  </si>
  <si>
    <t>DPI-10326</t>
  </si>
  <si>
    <t>NIT-20326</t>
  </si>
  <si>
    <t>Docente Especialista 325</t>
  </si>
  <si>
    <t>docente325@correo.edu.gt</t>
  </si>
  <si>
    <t>5555-1326</t>
  </si>
  <si>
    <t>DPI-10327</t>
  </si>
  <si>
    <t>NIT-20327</t>
  </si>
  <si>
    <t>Docente Especialista 326</t>
  </si>
  <si>
    <t>docente326@correo.edu.gt</t>
  </si>
  <si>
    <t>5555-1327</t>
  </si>
  <si>
    <t>DPI-10328</t>
  </si>
  <si>
    <t>NIT-20328</t>
  </si>
  <si>
    <t>Docente Especialista 327</t>
  </si>
  <si>
    <t>docente327@correo.edu.gt</t>
  </si>
  <si>
    <t>5555-1328</t>
  </si>
  <si>
    <t>DPI-10329</t>
  </si>
  <si>
    <t>NIT-20329</t>
  </si>
  <si>
    <t>Docente Especialista 328</t>
  </si>
  <si>
    <t>docente328@correo.edu.gt</t>
  </si>
  <si>
    <t>5555-1329</t>
  </si>
  <si>
    <t>DPI-10330</t>
  </si>
  <si>
    <t>NIT-20330</t>
  </si>
  <si>
    <t>Docente Especialista 329</t>
  </si>
  <si>
    <t>docente329@correo.edu.gt</t>
  </si>
  <si>
    <t>5555-1330</t>
  </si>
  <si>
    <t>DPI-10331</t>
  </si>
  <si>
    <t>NIT-20331</t>
  </si>
  <si>
    <t>Docente Especialista 330</t>
  </si>
  <si>
    <t>docente330@correo.edu.gt</t>
  </si>
  <si>
    <t>5555-1331</t>
  </si>
  <si>
    <t>DPI-10332</t>
  </si>
  <si>
    <t>NIT-20332</t>
  </si>
  <si>
    <t>Docente Especialista 331</t>
  </si>
  <si>
    <t>docente331@correo.edu.gt</t>
  </si>
  <si>
    <t>5555-1332</t>
  </si>
  <si>
    <t>DPI-10333</t>
  </si>
  <si>
    <t>NIT-20333</t>
  </si>
  <si>
    <t>Docente Especialista 332</t>
  </si>
  <si>
    <t>docente332@correo.edu.gt</t>
  </si>
  <si>
    <t>5555-1333</t>
  </si>
  <si>
    <t>DPI-10334</t>
  </si>
  <si>
    <t>NIT-20334</t>
  </si>
  <si>
    <t>Docente Especialista 333</t>
  </si>
  <si>
    <t>docente333@correo.edu.gt</t>
  </si>
  <si>
    <t>5555-1334</t>
  </si>
  <si>
    <t>DPI-10335</t>
  </si>
  <si>
    <t>NIT-20335</t>
  </si>
  <si>
    <t>Docente Especialista 334</t>
  </si>
  <si>
    <t>docente334@correo.edu.gt</t>
  </si>
  <si>
    <t>5555-1335</t>
  </si>
  <si>
    <t>DPI-10336</t>
  </si>
  <si>
    <t>NIT-20336</t>
  </si>
  <si>
    <t>Docente Especialista 335</t>
  </si>
  <si>
    <t>docente335@correo.edu.gt</t>
  </si>
  <si>
    <t>5555-1336</t>
  </si>
  <si>
    <t>DPI-10337</t>
  </si>
  <si>
    <t>NIT-20337</t>
  </si>
  <si>
    <t>Docente Especialista 336</t>
  </si>
  <si>
    <t>docente336@correo.edu.gt</t>
  </si>
  <si>
    <t>5555-1337</t>
  </si>
  <si>
    <t>DPI-10338</t>
  </si>
  <si>
    <t>NIT-20338</t>
  </si>
  <si>
    <t>Docente Especialista 337</t>
  </si>
  <si>
    <t>docente337@correo.edu.gt</t>
  </si>
  <si>
    <t>5555-1338</t>
  </si>
  <si>
    <t>DPI-10339</t>
  </si>
  <si>
    <t>NIT-20339</t>
  </si>
  <si>
    <t>Docente Especialista 338</t>
  </si>
  <si>
    <t>docente338@correo.edu.gt</t>
  </si>
  <si>
    <t>5555-1339</t>
  </si>
  <si>
    <t>DPI-10340</t>
  </si>
  <si>
    <t>NIT-20340</t>
  </si>
  <si>
    <t>Docente Especialista 339</t>
  </si>
  <si>
    <t>docente339@correo.edu.gt</t>
  </si>
  <si>
    <t>5555-1340</t>
  </si>
  <si>
    <t>DPI-10341</t>
  </si>
  <si>
    <t>NIT-20341</t>
  </si>
  <si>
    <t>Docente Especialista 340</t>
  </si>
  <si>
    <t>docente340@correo.edu.gt</t>
  </si>
  <si>
    <t>5555-1341</t>
  </si>
  <si>
    <t>DPI-10342</t>
  </si>
  <si>
    <t>NIT-20342</t>
  </si>
  <si>
    <t>Docente Especialista 341</t>
  </si>
  <si>
    <t>docente341@correo.edu.gt</t>
  </si>
  <si>
    <t>5555-1342</t>
  </si>
  <si>
    <t>DPI-10343</t>
  </si>
  <si>
    <t>NIT-20343</t>
  </si>
  <si>
    <t>Docente Especialista 342</t>
  </si>
  <si>
    <t>docente342@correo.edu.gt</t>
  </si>
  <si>
    <t>5555-1343</t>
  </si>
  <si>
    <t>DPI-10344</t>
  </si>
  <si>
    <t>NIT-20344</t>
  </si>
  <si>
    <t>Docente Especialista 343</t>
  </si>
  <si>
    <t>docente343@correo.edu.gt</t>
  </si>
  <si>
    <t>5555-1344</t>
  </si>
  <si>
    <t>DPI-10345</t>
  </si>
  <si>
    <t>NIT-20345</t>
  </si>
  <si>
    <t>Docente Especialista 344</t>
  </si>
  <si>
    <t>docente344@correo.edu.gt</t>
  </si>
  <si>
    <t>5555-1345</t>
  </si>
  <si>
    <t>DPI-10346</t>
  </si>
  <si>
    <t>NIT-20346</t>
  </si>
  <si>
    <t>Docente Especialista 345</t>
  </si>
  <si>
    <t>docente345@correo.edu.gt</t>
  </si>
  <si>
    <t>5555-1346</t>
  </si>
  <si>
    <t>DPI-10347</t>
  </si>
  <si>
    <t>NIT-20347</t>
  </si>
  <si>
    <t>Docente Especialista 346</t>
  </si>
  <si>
    <t>docente346@correo.edu.gt</t>
  </si>
  <si>
    <t>5555-1347</t>
  </si>
  <si>
    <t>DPI-10348</t>
  </si>
  <si>
    <t>NIT-20348</t>
  </si>
  <si>
    <t>Docente Especialista 347</t>
  </si>
  <si>
    <t>docente347@correo.edu.gt</t>
  </si>
  <si>
    <t>5555-1348</t>
  </si>
  <si>
    <t>DPI-10349</t>
  </si>
  <si>
    <t>NIT-20349</t>
  </si>
  <si>
    <t>Docente Especialista 348</t>
  </si>
  <si>
    <t>docente348@correo.edu.gt</t>
  </si>
  <si>
    <t>5555-1349</t>
  </si>
  <si>
    <t>DPI-10350</t>
  </si>
  <si>
    <t>NIT-20350</t>
  </si>
  <si>
    <t>Docente Especialista 349</t>
  </si>
  <si>
    <t>docente349@correo.edu.gt</t>
  </si>
  <si>
    <t>5555-1350</t>
  </si>
  <si>
    <t>DPI-10351</t>
  </si>
  <si>
    <t>NIT-20351</t>
  </si>
  <si>
    <t>Docente Especialista 350</t>
  </si>
  <si>
    <t>docente350@correo.edu.gt</t>
  </si>
  <si>
    <t>5555-1351</t>
  </si>
  <si>
    <t>DPI-10352</t>
  </si>
  <si>
    <t>NIT-20352</t>
  </si>
  <si>
    <t>Docente Especialista 351</t>
  </si>
  <si>
    <t>docente351@correo.edu.gt</t>
  </si>
  <si>
    <t>5555-1352</t>
  </si>
  <si>
    <t>DPI-10353</t>
  </si>
  <si>
    <t>NIT-20353</t>
  </si>
  <si>
    <t>Docente Especialista 352</t>
  </si>
  <si>
    <t>docente352@correo.edu.gt</t>
  </si>
  <si>
    <t>5555-1353</t>
  </si>
  <si>
    <t>DPI-10354</t>
  </si>
  <si>
    <t>NIT-20354</t>
  </si>
  <si>
    <t>Docente Especialista 353</t>
  </si>
  <si>
    <t>docente353@correo.edu.gt</t>
  </si>
  <si>
    <t>5555-1354</t>
  </si>
  <si>
    <t>DPI-10355</t>
  </si>
  <si>
    <t>NIT-20355</t>
  </si>
  <si>
    <t>Docente Especialista 354</t>
  </si>
  <si>
    <t>docente354@correo.edu.gt</t>
  </si>
  <si>
    <t>5555-1355</t>
  </si>
  <si>
    <t>DPI-10356</t>
  </si>
  <si>
    <t>NIT-20356</t>
  </si>
  <si>
    <t>Docente Especialista 355</t>
  </si>
  <si>
    <t>docente355@correo.edu.gt</t>
  </si>
  <si>
    <t>5555-1356</t>
  </si>
  <si>
    <t>DPI-10357</t>
  </si>
  <si>
    <t>NIT-20357</t>
  </si>
  <si>
    <t>Docente Especialista 356</t>
  </si>
  <si>
    <t>docente356@correo.edu.gt</t>
  </si>
  <si>
    <t>5555-1357</t>
  </si>
  <si>
    <t>DPI-10358</t>
  </si>
  <si>
    <t>NIT-20358</t>
  </si>
  <si>
    <t>Docente Especialista 357</t>
  </si>
  <si>
    <t>docente357@correo.edu.gt</t>
  </si>
  <si>
    <t>5555-1358</t>
  </si>
  <si>
    <t>DPI-10359</t>
  </si>
  <si>
    <t>NIT-20359</t>
  </si>
  <si>
    <t>Docente Especialista 358</t>
  </si>
  <si>
    <t>docente358@correo.edu.gt</t>
  </si>
  <si>
    <t>5555-1359</t>
  </si>
  <si>
    <t>DPI-10360</t>
  </si>
  <si>
    <t>NIT-20360</t>
  </si>
  <si>
    <t>Docente Especialista 359</t>
  </si>
  <si>
    <t>docente359@correo.edu.gt</t>
  </si>
  <si>
    <t>5555-1360</t>
  </si>
  <si>
    <t>DPI-10361</t>
  </si>
  <si>
    <t>NIT-20361</t>
  </si>
  <si>
    <t>Docente Especialista 360</t>
  </si>
  <si>
    <t>docente360@correo.edu.gt</t>
  </si>
  <si>
    <t>5555-1361</t>
  </si>
  <si>
    <t>DPI-10362</t>
  </si>
  <si>
    <t>NIT-20362</t>
  </si>
  <si>
    <t>Docente Especialista 361</t>
  </si>
  <si>
    <t>docente361@correo.edu.gt</t>
  </si>
  <si>
    <t>5555-1362</t>
  </si>
  <si>
    <t>DPI-10363</t>
  </si>
  <si>
    <t>NIT-20363</t>
  </si>
  <si>
    <t>Docente Especialista 362</t>
  </si>
  <si>
    <t>docente362@correo.edu.gt</t>
  </si>
  <si>
    <t>5555-1363</t>
  </si>
  <si>
    <t>DPI-10364</t>
  </si>
  <si>
    <t>NIT-20364</t>
  </si>
  <si>
    <t>Docente Especialista 363</t>
  </si>
  <si>
    <t>docente363@correo.edu.gt</t>
  </si>
  <si>
    <t>5555-1364</t>
  </si>
  <si>
    <t>DPI-10365</t>
  </si>
  <si>
    <t>NIT-20365</t>
  </si>
  <si>
    <t>Docente Especialista 364</t>
  </si>
  <si>
    <t>docente364@correo.edu.gt</t>
  </si>
  <si>
    <t>5555-1365</t>
  </si>
  <si>
    <t>DPI-10366</t>
  </si>
  <si>
    <t>NIT-20366</t>
  </si>
  <si>
    <t>Docente Especialista 365</t>
  </si>
  <si>
    <t>docente365@correo.edu.gt</t>
  </si>
  <si>
    <t>5555-1366</t>
  </si>
  <si>
    <t>DPI-10367</t>
  </si>
  <si>
    <t>NIT-20367</t>
  </si>
  <si>
    <t>Docente Especialista 366</t>
  </si>
  <si>
    <t>docente366@correo.edu.gt</t>
  </si>
  <si>
    <t>5555-1367</t>
  </si>
  <si>
    <t>DPI-10368</t>
  </si>
  <si>
    <t>NIT-20368</t>
  </si>
  <si>
    <t>Docente Especialista 367</t>
  </si>
  <si>
    <t>docente367@correo.edu.gt</t>
  </si>
  <si>
    <t>5555-1368</t>
  </si>
  <si>
    <t>DPI-10369</t>
  </si>
  <si>
    <t>NIT-20369</t>
  </si>
  <si>
    <t>Docente Especialista 368</t>
  </si>
  <si>
    <t>docente368@correo.edu.gt</t>
  </si>
  <si>
    <t>5555-1369</t>
  </si>
  <si>
    <t>DPI-10370</t>
  </si>
  <si>
    <t>NIT-20370</t>
  </si>
  <si>
    <t>Docente Especialista 369</t>
  </si>
  <si>
    <t>docente369@correo.edu.gt</t>
  </si>
  <si>
    <t>5555-1370</t>
  </si>
  <si>
    <t>DPI-10371</t>
  </si>
  <si>
    <t>NIT-20371</t>
  </si>
  <si>
    <t>Docente Especialista 370</t>
  </si>
  <si>
    <t>docente370@correo.edu.gt</t>
  </si>
  <si>
    <t>5555-1371</t>
  </si>
  <si>
    <t>DPI-10372</t>
  </si>
  <si>
    <t>NIT-20372</t>
  </si>
  <si>
    <t>Docente Especialista 371</t>
  </si>
  <si>
    <t>docente371@correo.edu.gt</t>
  </si>
  <si>
    <t>5555-1372</t>
  </si>
  <si>
    <t>DPI-10373</t>
  </si>
  <si>
    <t>NIT-20373</t>
  </si>
  <si>
    <t>Docente Especialista 372</t>
  </si>
  <si>
    <t>docente372@correo.edu.gt</t>
  </si>
  <si>
    <t>5555-1373</t>
  </si>
  <si>
    <t>DPI-10374</t>
  </si>
  <si>
    <t>NIT-20374</t>
  </si>
  <si>
    <t>Docente Especialista 373</t>
  </si>
  <si>
    <t>docente373@correo.edu.gt</t>
  </si>
  <si>
    <t>5555-1374</t>
  </si>
  <si>
    <t>DPI-10375</t>
  </si>
  <si>
    <t>NIT-20375</t>
  </si>
  <si>
    <t>Docente Especialista 374</t>
  </si>
  <si>
    <t>docente374@correo.edu.gt</t>
  </si>
  <si>
    <t>5555-1375</t>
  </si>
  <si>
    <t>DPI-10376</t>
  </si>
  <si>
    <t>NIT-20376</t>
  </si>
  <si>
    <t>Docente Especialista 375</t>
  </si>
  <si>
    <t>docente375@correo.edu.gt</t>
  </si>
  <si>
    <t>5555-1376</t>
  </si>
  <si>
    <t>DPI-10377</t>
  </si>
  <si>
    <t>NIT-20377</t>
  </si>
  <si>
    <t>Docente Especialista 376</t>
  </si>
  <si>
    <t>docente376@correo.edu.gt</t>
  </si>
  <si>
    <t>5555-1377</t>
  </si>
  <si>
    <t>DPI-10378</t>
  </si>
  <si>
    <t>NIT-20378</t>
  </si>
  <si>
    <t>Docente Especialista 377</t>
  </si>
  <si>
    <t>docente377@correo.edu.gt</t>
  </si>
  <si>
    <t>5555-1378</t>
  </si>
  <si>
    <t>DPI-10379</t>
  </si>
  <si>
    <t>NIT-20379</t>
  </si>
  <si>
    <t>Docente Especialista 378</t>
  </si>
  <si>
    <t>docente378@correo.edu.gt</t>
  </si>
  <si>
    <t>5555-1379</t>
  </si>
  <si>
    <t>DPI-10380</t>
  </si>
  <si>
    <t>NIT-20380</t>
  </si>
  <si>
    <t>Docente Especialista 379</t>
  </si>
  <si>
    <t>docente379@correo.edu.gt</t>
  </si>
  <si>
    <t>5555-1380</t>
  </si>
  <si>
    <t>DPI-10381</t>
  </si>
  <si>
    <t>NIT-20381</t>
  </si>
  <si>
    <t>Docente Especialista 380</t>
  </si>
  <si>
    <t>docente380@correo.edu.gt</t>
  </si>
  <si>
    <t>5555-1381</t>
  </si>
  <si>
    <t>DPI-10382</t>
  </si>
  <si>
    <t>NIT-20382</t>
  </si>
  <si>
    <t>Docente Especialista 381</t>
  </si>
  <si>
    <t>docente381@correo.edu.gt</t>
  </si>
  <si>
    <t>5555-1382</t>
  </si>
  <si>
    <t>DPI-10383</t>
  </si>
  <si>
    <t>NIT-20383</t>
  </si>
  <si>
    <t>Docente Especialista 382</t>
  </si>
  <si>
    <t>docente382@correo.edu.gt</t>
  </si>
  <si>
    <t>5555-1383</t>
  </si>
  <si>
    <t>DPI-10384</t>
  </si>
  <si>
    <t>NIT-20384</t>
  </si>
  <si>
    <t>Docente Especialista 383</t>
  </si>
  <si>
    <t>docente383@correo.edu.gt</t>
  </si>
  <si>
    <t>5555-1384</t>
  </si>
  <si>
    <t>DPI-10385</t>
  </si>
  <si>
    <t>NIT-20385</t>
  </si>
  <si>
    <t>Docente Especialista 384</t>
  </si>
  <si>
    <t>docente384@correo.edu.gt</t>
  </si>
  <si>
    <t>5555-1385</t>
  </si>
  <si>
    <t>DPI-10386</t>
  </si>
  <si>
    <t>NIT-20386</t>
  </si>
  <si>
    <t>Docente Especialista 385</t>
  </si>
  <si>
    <t>docente385@correo.edu.gt</t>
  </si>
  <si>
    <t>5555-1386</t>
  </si>
  <si>
    <t>DPI-10387</t>
  </si>
  <si>
    <t>NIT-20387</t>
  </si>
  <si>
    <t>Docente Especialista 386</t>
  </si>
  <si>
    <t>docente386@correo.edu.gt</t>
  </si>
  <si>
    <t>5555-1387</t>
  </si>
  <si>
    <t>DPI-10388</t>
  </si>
  <si>
    <t>NIT-20388</t>
  </si>
  <si>
    <t>Docente Especialista 387</t>
  </si>
  <si>
    <t>docente387@correo.edu.gt</t>
  </si>
  <si>
    <t>5555-1388</t>
  </si>
  <si>
    <t>DPI-10389</t>
  </si>
  <si>
    <t>NIT-20389</t>
  </si>
  <si>
    <t>Docente Especialista 388</t>
  </si>
  <si>
    <t>docente388@correo.edu.gt</t>
  </si>
  <si>
    <t>5555-1389</t>
  </si>
  <si>
    <t>DPI-10390</t>
  </si>
  <si>
    <t>NIT-20390</t>
  </si>
  <si>
    <t>Docente Especialista 389</t>
  </si>
  <si>
    <t>docente389@correo.edu.gt</t>
  </si>
  <si>
    <t>5555-1390</t>
  </si>
  <si>
    <t>DPI-10391</t>
  </si>
  <si>
    <t>NIT-20391</t>
  </si>
  <si>
    <t>Docente Especialista 390</t>
  </si>
  <si>
    <t>docente390@correo.edu.gt</t>
  </si>
  <si>
    <t>5555-1391</t>
  </si>
  <si>
    <t>DPI-10392</t>
  </si>
  <si>
    <t>NIT-20392</t>
  </si>
  <si>
    <t>Docente Especialista 391</t>
  </si>
  <si>
    <t>docente391@correo.edu.gt</t>
  </si>
  <si>
    <t>5555-1392</t>
  </si>
  <si>
    <t>DPI-10393</t>
  </si>
  <si>
    <t>NIT-20393</t>
  </si>
  <si>
    <t>Docente Especialista 392</t>
  </si>
  <si>
    <t>docente392@correo.edu.gt</t>
  </si>
  <si>
    <t>5555-1393</t>
  </si>
  <si>
    <t>DPI-10394</t>
  </si>
  <si>
    <t>NIT-20394</t>
  </si>
  <si>
    <t>Docente Especialista 393</t>
  </si>
  <si>
    <t>docente393@correo.edu.gt</t>
  </si>
  <si>
    <t>5555-1394</t>
  </si>
  <si>
    <t>DPI-10395</t>
  </si>
  <si>
    <t>NIT-20395</t>
  </si>
  <si>
    <t>Docente Especialista 394</t>
  </si>
  <si>
    <t>docente394@correo.edu.gt</t>
  </si>
  <si>
    <t>5555-1395</t>
  </si>
  <si>
    <t>DPI-10396</t>
  </si>
  <si>
    <t>NIT-20396</t>
  </si>
  <si>
    <t>Docente Especialista 395</t>
  </si>
  <si>
    <t>docente395@correo.edu.gt</t>
  </si>
  <si>
    <t>5555-1396</t>
  </si>
  <si>
    <t>DPI-10397</t>
  </si>
  <si>
    <t>NIT-20397</t>
  </si>
  <si>
    <t>Docente Especialista 396</t>
  </si>
  <si>
    <t>docente396@correo.edu.gt</t>
  </si>
  <si>
    <t>5555-1397</t>
  </si>
  <si>
    <t>DPI-10398</t>
  </si>
  <si>
    <t>NIT-20398</t>
  </si>
  <si>
    <t>Docente Especialista 397</t>
  </si>
  <si>
    <t>docente397@correo.edu.gt</t>
  </si>
  <si>
    <t>5555-1398</t>
  </si>
  <si>
    <t>DPI-10399</t>
  </si>
  <si>
    <t>NIT-20399</t>
  </si>
  <si>
    <t>Docente Especialista 398</t>
  </si>
  <si>
    <t>docente398@correo.edu.gt</t>
  </si>
  <si>
    <t>5555-1399</t>
  </si>
  <si>
    <t>DPI-10400</t>
  </si>
  <si>
    <t>NIT-20400</t>
  </si>
  <si>
    <t>Docente Especialista 399</t>
  </si>
  <si>
    <t>docente399@correo.edu.gt</t>
  </si>
  <si>
    <t>5555-1400</t>
  </si>
  <si>
    <t>DPI-10401</t>
  </si>
  <si>
    <t>NIT-20401</t>
  </si>
  <si>
    <t>Docente Especialista 400</t>
  </si>
  <si>
    <t>docente400@correo.edu.gt</t>
  </si>
  <si>
    <t>5555-1401</t>
  </si>
  <si>
    <t>DPI-10402</t>
  </si>
  <si>
    <t>NIT-20402</t>
  </si>
  <si>
    <t>Docente Especialista 401</t>
  </si>
  <si>
    <t>docente401@correo.edu.gt</t>
  </si>
  <si>
    <t>5555-1402</t>
  </si>
  <si>
    <t>DPI-10403</t>
  </si>
  <si>
    <t>NIT-20403</t>
  </si>
  <si>
    <t>Docente Especialista 402</t>
  </si>
  <si>
    <t>docente402@correo.edu.gt</t>
  </si>
  <si>
    <t>5555-1403</t>
  </si>
  <si>
    <t>DPI-10404</t>
  </si>
  <si>
    <t>NIT-20404</t>
  </si>
  <si>
    <t>Docente Especialista 403</t>
  </si>
  <si>
    <t>docente403@correo.edu.gt</t>
  </si>
  <si>
    <t>5555-1404</t>
  </si>
  <si>
    <t>DPI-10405</t>
  </si>
  <si>
    <t>NIT-20405</t>
  </si>
  <si>
    <t>Docente Especialista 404</t>
  </si>
  <si>
    <t>docente404@correo.edu.gt</t>
  </si>
  <si>
    <t>5555-1405</t>
  </si>
  <si>
    <t>DPI-10406</t>
  </si>
  <si>
    <t>NIT-20406</t>
  </si>
  <si>
    <t>Docente Especialista 405</t>
  </si>
  <si>
    <t>docente405@correo.edu.gt</t>
  </si>
  <si>
    <t>5555-1406</t>
  </si>
  <si>
    <t>DPI-10407</t>
  </si>
  <si>
    <t>NIT-20407</t>
  </si>
  <si>
    <t>Docente Especialista 406</t>
  </si>
  <si>
    <t>docente406@correo.edu.gt</t>
  </si>
  <si>
    <t>5555-1407</t>
  </si>
  <si>
    <t>DPI-10408</t>
  </si>
  <si>
    <t>NIT-20408</t>
  </si>
  <si>
    <t>Docente Especialista 407</t>
  </si>
  <si>
    <t>docente407@correo.edu.gt</t>
  </si>
  <si>
    <t>5555-1408</t>
  </si>
  <si>
    <t>DPI-10409</t>
  </si>
  <si>
    <t>NIT-20409</t>
  </si>
  <si>
    <t>Docente Especialista 408</t>
  </si>
  <si>
    <t>docente408@correo.edu.gt</t>
  </si>
  <si>
    <t>5555-1409</t>
  </si>
  <si>
    <t>DPI-10410</t>
  </si>
  <si>
    <t>NIT-20410</t>
  </si>
  <si>
    <t>Docente Especialista 409</t>
  </si>
  <si>
    <t>docente409@correo.edu.gt</t>
  </si>
  <si>
    <t>5555-1410</t>
  </si>
  <si>
    <t>DPI-10411</t>
  </si>
  <si>
    <t>NIT-20411</t>
  </si>
  <si>
    <t>Docente Especialista 410</t>
  </si>
  <si>
    <t>docente410@correo.edu.gt</t>
  </si>
  <si>
    <t>5555-1411</t>
  </si>
  <si>
    <t>DPI-10412</t>
  </si>
  <si>
    <t>NIT-20412</t>
  </si>
  <si>
    <t>Docente Especialista 411</t>
  </si>
  <si>
    <t>docente411@correo.edu.gt</t>
  </si>
  <si>
    <t>5555-1412</t>
  </si>
  <si>
    <t>DPI-10413</t>
  </si>
  <si>
    <t>NIT-20413</t>
  </si>
  <si>
    <t>Docente Especialista 412</t>
  </si>
  <si>
    <t>docente412@correo.edu.gt</t>
  </si>
  <si>
    <t>5555-1413</t>
  </si>
  <si>
    <t>DPI-10414</t>
  </si>
  <si>
    <t>NIT-20414</t>
  </si>
  <si>
    <t>Docente Especialista 413</t>
  </si>
  <si>
    <t>docente413@correo.edu.gt</t>
  </si>
  <si>
    <t>5555-1414</t>
  </si>
  <si>
    <t>DPI-10415</t>
  </si>
  <si>
    <t>NIT-20415</t>
  </si>
  <si>
    <t>Docente Especialista 414</t>
  </si>
  <si>
    <t>docente414@correo.edu.gt</t>
  </si>
  <si>
    <t>5555-1415</t>
  </si>
  <si>
    <t>DPI-10416</t>
  </si>
  <si>
    <t>NIT-20416</t>
  </si>
  <si>
    <t>Docente Especialista 415</t>
  </si>
  <si>
    <t>docente415@correo.edu.gt</t>
  </si>
  <si>
    <t>5555-1416</t>
  </si>
  <si>
    <t>DPI-10417</t>
  </si>
  <si>
    <t>NIT-20417</t>
  </si>
  <si>
    <t>Docente Especialista 416</t>
  </si>
  <si>
    <t>docente416@correo.edu.gt</t>
  </si>
  <si>
    <t>5555-1417</t>
  </si>
  <si>
    <t>DPI-10418</t>
  </si>
  <si>
    <t>NIT-20418</t>
  </si>
  <si>
    <t>Docente Especialista 417</t>
  </si>
  <si>
    <t>docente417@correo.edu.gt</t>
  </si>
  <si>
    <t>5555-1418</t>
  </si>
  <si>
    <t>DPI-10419</t>
  </si>
  <si>
    <t>NIT-20419</t>
  </si>
  <si>
    <t>Docente Especialista 418</t>
  </si>
  <si>
    <t>docente418@correo.edu.gt</t>
  </si>
  <si>
    <t>5555-1419</t>
  </si>
  <si>
    <t>DPI-10420</t>
  </si>
  <si>
    <t>NIT-20420</t>
  </si>
  <si>
    <t>Docente Especialista 419</t>
  </si>
  <si>
    <t>docente419@correo.edu.gt</t>
  </si>
  <si>
    <t>5555-1420</t>
  </si>
  <si>
    <t>DPI-10421</t>
  </si>
  <si>
    <t>NIT-20421</t>
  </si>
  <si>
    <t>Docente Especialista 420</t>
  </si>
  <si>
    <t>docente420@correo.edu.gt</t>
  </si>
  <si>
    <t>5555-1421</t>
  </si>
  <si>
    <t>DPI-10422</t>
  </si>
  <si>
    <t>NIT-20422</t>
  </si>
  <si>
    <t>Docente Especialista 421</t>
  </si>
  <si>
    <t>docente421@correo.edu.gt</t>
  </si>
  <si>
    <t>5555-1422</t>
  </si>
  <si>
    <t>DPI-10423</t>
  </si>
  <si>
    <t>NIT-20423</t>
  </si>
  <si>
    <t>Docente Especialista 422</t>
  </si>
  <si>
    <t>docente422@correo.edu.gt</t>
  </si>
  <si>
    <t>5555-1423</t>
  </si>
  <si>
    <t>DPI-10424</t>
  </si>
  <si>
    <t>NIT-20424</t>
  </si>
  <si>
    <t>Docente Especialista 423</t>
  </si>
  <si>
    <t>docente423@correo.edu.gt</t>
  </si>
  <si>
    <t>5555-1424</t>
  </si>
  <si>
    <t>DPI-10425</t>
  </si>
  <si>
    <t>NIT-20425</t>
  </si>
  <si>
    <t>Docente Especialista 424</t>
  </si>
  <si>
    <t>docente424@correo.edu.gt</t>
  </si>
  <si>
    <t>5555-1425</t>
  </si>
  <si>
    <t>DPI-10426</t>
  </si>
  <si>
    <t>NIT-20426</t>
  </si>
  <si>
    <t>Docente Especialista 425</t>
  </si>
  <si>
    <t>docente425@correo.edu.gt</t>
  </si>
  <si>
    <t>5555-1426</t>
  </si>
  <si>
    <t>DPI-10427</t>
  </si>
  <si>
    <t>NIT-20427</t>
  </si>
  <si>
    <t>Docente Especialista 426</t>
  </si>
  <si>
    <t>docente426@correo.edu.gt</t>
  </si>
  <si>
    <t>5555-1427</t>
  </si>
  <si>
    <t>DPI-10428</t>
  </si>
  <si>
    <t>NIT-20428</t>
  </si>
  <si>
    <t>Docente Especialista 427</t>
  </si>
  <si>
    <t>docente427@correo.edu.gt</t>
  </si>
  <si>
    <t>5555-1428</t>
  </si>
  <si>
    <t>DPI-10429</t>
  </si>
  <si>
    <t>NIT-20429</t>
  </si>
  <si>
    <t>Docente Especialista 428</t>
  </si>
  <si>
    <t>docente428@correo.edu.gt</t>
  </si>
  <si>
    <t>5555-1429</t>
  </si>
  <si>
    <t>DPI-10430</t>
  </si>
  <si>
    <t>NIT-20430</t>
  </si>
  <si>
    <t>Docente Especialista 429</t>
  </si>
  <si>
    <t>docente429@correo.edu.gt</t>
  </si>
  <si>
    <t>5555-1430</t>
  </si>
  <si>
    <t>DPI-10431</t>
  </si>
  <si>
    <t>NIT-20431</t>
  </si>
  <si>
    <t>Docente Especialista 430</t>
  </si>
  <si>
    <t>docente430@correo.edu.gt</t>
  </si>
  <si>
    <t>5555-1431</t>
  </si>
  <si>
    <t>DPI-10432</t>
  </si>
  <si>
    <t>NIT-20432</t>
  </si>
  <si>
    <t>Docente Especialista 431</t>
  </si>
  <si>
    <t>docente431@correo.edu.gt</t>
  </si>
  <si>
    <t>5555-1432</t>
  </si>
  <si>
    <t>DPI-10433</t>
  </si>
  <si>
    <t>NIT-20433</t>
  </si>
  <si>
    <t>Docente Especialista 432</t>
  </si>
  <si>
    <t>docente432@correo.edu.gt</t>
  </si>
  <si>
    <t>5555-1433</t>
  </si>
  <si>
    <t>DPI-10434</t>
  </si>
  <si>
    <t>NIT-20434</t>
  </si>
  <si>
    <t>Docente Especialista 433</t>
  </si>
  <si>
    <t>docente433@correo.edu.gt</t>
  </si>
  <si>
    <t>5555-1434</t>
  </si>
  <si>
    <t>DPI-10435</t>
  </si>
  <si>
    <t>NIT-20435</t>
  </si>
  <si>
    <t>Docente Especialista 434</t>
  </si>
  <si>
    <t>docente434@correo.edu.gt</t>
  </si>
  <si>
    <t>5555-1435</t>
  </si>
  <si>
    <t>DPI-10436</t>
  </si>
  <si>
    <t>NIT-20436</t>
  </si>
  <si>
    <t>Docente Especialista 435</t>
  </si>
  <si>
    <t>docente435@correo.edu.gt</t>
  </si>
  <si>
    <t>5555-1436</t>
  </si>
  <si>
    <t>DPI-10437</t>
  </si>
  <si>
    <t>NIT-20437</t>
  </si>
  <si>
    <t>Docente Especialista 436</t>
  </si>
  <si>
    <t>docente436@correo.edu.gt</t>
  </si>
  <si>
    <t>5555-1437</t>
  </si>
  <si>
    <t>DPI-10438</t>
  </si>
  <si>
    <t>NIT-20438</t>
  </si>
  <si>
    <t>Docente Especialista 437</t>
  </si>
  <si>
    <t>docente437@correo.edu.gt</t>
  </si>
  <si>
    <t>5555-1438</t>
  </si>
  <si>
    <t>DPI-10439</t>
  </si>
  <si>
    <t>NIT-20439</t>
  </si>
  <si>
    <t>Docente Especialista 438</t>
  </si>
  <si>
    <t>docente438@correo.edu.gt</t>
  </si>
  <si>
    <t>5555-1439</t>
  </si>
  <si>
    <t>DPI-10440</t>
  </si>
  <si>
    <t>NIT-20440</t>
  </si>
  <si>
    <t>Docente Especialista 439</t>
  </si>
  <si>
    <t>docente439@correo.edu.gt</t>
  </si>
  <si>
    <t>5555-1440</t>
  </si>
  <si>
    <t>DPI-10441</t>
  </si>
  <si>
    <t>NIT-20441</t>
  </si>
  <si>
    <t>Docente Especialista 440</t>
  </si>
  <si>
    <t>docente440@correo.edu.gt</t>
  </si>
  <si>
    <t>5555-1441</t>
  </si>
  <si>
    <t>DPI-10442</t>
  </si>
  <si>
    <t>NIT-20442</t>
  </si>
  <si>
    <t>Docente Especialista 441</t>
  </si>
  <si>
    <t>docente441@correo.edu.gt</t>
  </si>
  <si>
    <t>5555-1442</t>
  </si>
  <si>
    <t>DPI-10443</t>
  </si>
  <si>
    <t>NIT-20443</t>
  </si>
  <si>
    <t>Docente Especialista 442</t>
  </si>
  <si>
    <t>docente442@correo.edu.gt</t>
  </si>
  <si>
    <t>5555-1443</t>
  </si>
  <si>
    <t>DPI-10444</t>
  </si>
  <si>
    <t>NIT-20444</t>
  </si>
  <si>
    <t>Docente Especialista 443</t>
  </si>
  <si>
    <t>docente443@correo.edu.gt</t>
  </si>
  <si>
    <t>5555-1444</t>
  </si>
  <si>
    <t>DPI-10445</t>
  </si>
  <si>
    <t>NIT-20445</t>
  </si>
  <si>
    <t>Docente Especialista 444</t>
  </si>
  <si>
    <t>docente444@correo.edu.gt</t>
  </si>
  <si>
    <t>5555-1445</t>
  </si>
  <si>
    <t>DPI-10446</t>
  </si>
  <si>
    <t>NIT-20446</t>
  </si>
  <si>
    <t>Docente Especialista 445</t>
  </si>
  <si>
    <t>docente445@correo.edu.gt</t>
  </si>
  <si>
    <t>5555-1446</t>
  </si>
  <si>
    <t>DPI-10447</t>
  </si>
  <si>
    <t>NIT-20447</t>
  </si>
  <si>
    <t>Docente Especialista 446</t>
  </si>
  <si>
    <t>docente446@correo.edu.gt</t>
  </si>
  <si>
    <t>5555-1447</t>
  </si>
  <si>
    <t>DPI-10448</t>
  </si>
  <si>
    <t>NIT-20448</t>
  </si>
  <si>
    <t>Docente Especialista 447</t>
  </si>
  <si>
    <t>docente447@correo.edu.gt</t>
  </si>
  <si>
    <t>5555-1448</t>
  </si>
  <si>
    <t>DPI-10449</t>
  </si>
  <si>
    <t>NIT-20449</t>
  </si>
  <si>
    <t>Docente Especialista 448</t>
  </si>
  <si>
    <t>docente448@correo.edu.gt</t>
  </si>
  <si>
    <t>5555-1449</t>
  </si>
  <si>
    <t>DPI-10450</t>
  </si>
  <si>
    <t>NIT-20450</t>
  </si>
  <si>
    <t>Docente Especialista 449</t>
  </si>
  <si>
    <t>docente449@correo.edu.gt</t>
  </si>
  <si>
    <t>5555-1450</t>
  </si>
  <si>
    <t>DPI-10451</t>
  </si>
  <si>
    <t>NIT-20451</t>
  </si>
  <si>
    <t>Docente Especialista 450</t>
  </si>
  <si>
    <t>docente450@correo.edu.gt</t>
  </si>
  <si>
    <t>5555-1451</t>
  </si>
  <si>
    <t>DPI-10452</t>
  </si>
  <si>
    <t>NIT-20452</t>
  </si>
  <si>
    <t>Docente Especialista 451</t>
  </si>
  <si>
    <t>docente451@correo.edu.gt</t>
  </si>
  <si>
    <t>5555-1452</t>
  </si>
  <si>
    <t>DPI-10453</t>
  </si>
  <si>
    <t>NIT-20453</t>
  </si>
  <si>
    <t>Docente Especialista 452</t>
  </si>
  <si>
    <t>docente452@correo.edu.gt</t>
  </si>
  <si>
    <t>5555-1453</t>
  </si>
  <si>
    <t>DPI-10454</t>
  </si>
  <si>
    <t>NIT-20454</t>
  </si>
  <si>
    <t>Docente Especialista 453</t>
  </si>
  <si>
    <t>docente453@correo.edu.gt</t>
  </si>
  <si>
    <t>5555-1454</t>
  </si>
  <si>
    <t>DPI-10455</t>
  </si>
  <si>
    <t>NIT-20455</t>
  </si>
  <si>
    <t>Docente Especialista 454</t>
  </si>
  <si>
    <t>docente454@correo.edu.gt</t>
  </si>
  <si>
    <t>5555-1455</t>
  </si>
  <si>
    <t>DPI-10456</t>
  </si>
  <si>
    <t>NIT-20456</t>
  </si>
  <si>
    <t>Docente Especialista 455</t>
  </si>
  <si>
    <t>docente455@correo.edu.gt</t>
  </si>
  <si>
    <t>5555-1456</t>
  </si>
  <si>
    <t>DPI-10457</t>
  </si>
  <si>
    <t>NIT-20457</t>
  </si>
  <si>
    <t>Docente Especialista 456</t>
  </si>
  <si>
    <t>docente456@correo.edu.gt</t>
  </si>
  <si>
    <t>5555-1457</t>
  </si>
  <si>
    <t>DPI-10458</t>
  </si>
  <si>
    <t>NIT-20458</t>
  </si>
  <si>
    <t>Docente Especialista 457</t>
  </si>
  <si>
    <t>docente457@correo.edu.gt</t>
  </si>
  <si>
    <t>5555-1458</t>
  </si>
  <si>
    <t>DPI-10459</t>
  </si>
  <si>
    <t>NIT-20459</t>
  </si>
  <si>
    <t>Docente Especialista 458</t>
  </si>
  <si>
    <t>docente458@correo.edu.gt</t>
  </si>
  <si>
    <t>5555-1459</t>
  </si>
  <si>
    <t>DPI-10460</t>
  </si>
  <si>
    <t>NIT-20460</t>
  </si>
  <si>
    <t>Docente Especialista 459</t>
  </si>
  <si>
    <t>docente459@correo.edu.gt</t>
  </si>
  <si>
    <t>5555-1460</t>
  </si>
  <si>
    <t>DPI-10461</t>
  </si>
  <si>
    <t>NIT-20461</t>
  </si>
  <si>
    <t>Docente Especialista 460</t>
  </si>
  <si>
    <t>docente460@correo.edu.gt</t>
  </si>
  <si>
    <t>5555-1461</t>
  </si>
  <si>
    <t>DPI-10462</t>
  </si>
  <si>
    <t>NIT-20462</t>
  </si>
  <si>
    <t>Docente Especialista 461</t>
  </si>
  <si>
    <t>docente461@correo.edu.gt</t>
  </si>
  <si>
    <t>5555-1462</t>
  </si>
  <si>
    <t>DPI-10463</t>
  </si>
  <si>
    <t>NIT-20463</t>
  </si>
  <si>
    <t>Docente Especialista 462</t>
  </si>
  <si>
    <t>docente462@correo.edu.gt</t>
  </si>
  <si>
    <t>5555-1463</t>
  </si>
  <si>
    <t>DPI-10464</t>
  </si>
  <si>
    <t>NIT-20464</t>
  </si>
  <si>
    <t>Docente Especialista 463</t>
  </si>
  <si>
    <t>docente463@correo.edu.gt</t>
  </si>
  <si>
    <t>5555-1464</t>
  </si>
  <si>
    <t>DPI-10465</t>
  </si>
  <si>
    <t>NIT-20465</t>
  </si>
  <si>
    <t>Docente Especialista 464</t>
  </si>
  <si>
    <t>docente464@correo.edu.gt</t>
  </si>
  <si>
    <t>5555-1465</t>
  </si>
  <si>
    <t>DPI-10466</t>
  </si>
  <si>
    <t>NIT-20466</t>
  </si>
  <si>
    <t>Docente Especialista 465</t>
  </si>
  <si>
    <t>docente465@correo.edu.gt</t>
  </si>
  <si>
    <t>5555-1466</t>
  </si>
  <si>
    <t>DPI-10467</t>
  </si>
  <si>
    <t>NIT-20467</t>
  </si>
  <si>
    <t>Docente Especialista 466</t>
  </si>
  <si>
    <t>docente466@correo.edu.gt</t>
  </si>
  <si>
    <t>5555-1467</t>
  </si>
  <si>
    <t>DPI-10468</t>
  </si>
  <si>
    <t>NIT-20468</t>
  </si>
  <si>
    <t>Docente Especialista 467</t>
  </si>
  <si>
    <t>docente467@correo.edu.gt</t>
  </si>
  <si>
    <t>5555-1468</t>
  </si>
  <si>
    <t>DPI-10469</t>
  </si>
  <si>
    <t>NIT-20469</t>
  </si>
  <si>
    <t>Docente Especialista 468</t>
  </si>
  <si>
    <t>docente468@correo.edu.gt</t>
  </si>
  <si>
    <t>5555-1469</t>
  </si>
  <si>
    <t>DPI-10470</t>
  </si>
  <si>
    <t>NIT-20470</t>
  </si>
  <si>
    <t>Docente Especialista 469</t>
  </si>
  <si>
    <t>docente469@correo.edu.gt</t>
  </si>
  <si>
    <t>5555-1470</t>
  </si>
  <si>
    <t>DPI-10471</t>
  </si>
  <si>
    <t>NIT-20471</t>
  </si>
  <si>
    <t>Docente Especialista 470</t>
  </si>
  <si>
    <t>docente470@correo.edu.gt</t>
  </si>
  <si>
    <t>5555-1471</t>
  </si>
  <si>
    <t>DPI-10472</t>
  </si>
  <si>
    <t>NIT-20472</t>
  </si>
  <si>
    <t>Docente Especialista 471</t>
  </si>
  <si>
    <t>docente471@correo.edu.gt</t>
  </si>
  <si>
    <t>5555-1472</t>
  </si>
  <si>
    <t>DPI-10473</t>
  </si>
  <si>
    <t>NIT-20473</t>
  </si>
  <si>
    <t>Docente Especialista 472</t>
  </si>
  <si>
    <t>docente472@correo.edu.gt</t>
  </si>
  <si>
    <t>5555-1473</t>
  </si>
  <si>
    <t>DPI-10474</t>
  </si>
  <si>
    <t>NIT-20474</t>
  </si>
  <si>
    <t>Docente Especialista 473</t>
  </si>
  <si>
    <t>docente473@correo.edu.gt</t>
  </si>
  <si>
    <t>5555-1474</t>
  </si>
  <si>
    <t>DPI-10475</t>
  </si>
  <si>
    <t>NIT-20475</t>
  </si>
  <si>
    <t>Docente Especialista 474</t>
  </si>
  <si>
    <t>docente474@correo.edu.gt</t>
  </si>
  <si>
    <t>5555-1475</t>
  </si>
  <si>
    <t>DPI-10476</t>
  </si>
  <si>
    <t>NIT-20476</t>
  </si>
  <si>
    <t>Docente Especialista 475</t>
  </si>
  <si>
    <t>docente475@correo.edu.gt</t>
  </si>
  <si>
    <t>5555-1476</t>
  </si>
  <si>
    <t>DPI-10477</t>
  </si>
  <si>
    <t>NIT-20477</t>
  </si>
  <si>
    <t>Docente Especialista 476</t>
  </si>
  <si>
    <t>docente476@correo.edu.gt</t>
  </si>
  <si>
    <t>5555-1477</t>
  </si>
  <si>
    <t>DPI-10478</t>
  </si>
  <si>
    <t>NIT-20478</t>
  </si>
  <si>
    <t>Docente Especialista 477</t>
  </si>
  <si>
    <t>docente477@correo.edu.gt</t>
  </si>
  <si>
    <t>5555-1478</t>
  </si>
  <si>
    <t>DPI-10479</t>
  </si>
  <si>
    <t>NIT-20479</t>
  </si>
  <si>
    <t>Docente Especialista 478</t>
  </si>
  <si>
    <t>docente478@correo.edu.gt</t>
  </si>
  <si>
    <t>5555-1479</t>
  </si>
  <si>
    <t>DPI-10480</t>
  </si>
  <si>
    <t>NIT-20480</t>
  </si>
  <si>
    <t>Docente Especialista 479</t>
  </si>
  <si>
    <t>docente479@correo.edu.gt</t>
  </si>
  <si>
    <t>5555-1480</t>
  </si>
  <si>
    <t>DPI-10481</t>
  </si>
  <si>
    <t>NIT-20481</t>
  </si>
  <si>
    <t>Docente Especialista 480</t>
  </si>
  <si>
    <t>docente480@correo.edu.gt</t>
  </si>
  <si>
    <t>5555-1481</t>
  </si>
  <si>
    <t>DPI-10482</t>
  </si>
  <si>
    <t>NIT-20482</t>
  </si>
  <si>
    <t>Docente Especialista 481</t>
  </si>
  <si>
    <t>docente481@correo.edu.gt</t>
  </si>
  <si>
    <t>5555-1482</t>
  </si>
  <si>
    <t>DPI-10483</t>
  </si>
  <si>
    <t>NIT-20483</t>
  </si>
  <si>
    <t>Docente Especialista 482</t>
  </si>
  <si>
    <t>docente482@correo.edu.gt</t>
  </si>
  <si>
    <t>5555-1483</t>
  </si>
  <si>
    <t>DPI-10484</t>
  </si>
  <si>
    <t>NIT-20484</t>
  </si>
  <si>
    <t>Docente Especialista 483</t>
  </si>
  <si>
    <t>docente483@correo.edu.gt</t>
  </si>
  <si>
    <t>5555-1484</t>
  </si>
  <si>
    <t>DPI-10485</t>
  </si>
  <si>
    <t>NIT-20485</t>
  </si>
  <si>
    <t>Docente Especialista 484</t>
  </si>
  <si>
    <t>docente484@correo.edu.gt</t>
  </si>
  <si>
    <t>5555-1485</t>
  </si>
  <si>
    <t>DPI-10486</t>
  </si>
  <si>
    <t>NIT-20486</t>
  </si>
  <si>
    <t>Docente Especialista 485</t>
  </si>
  <si>
    <t>docente485@correo.edu.gt</t>
  </si>
  <si>
    <t>5555-1486</t>
  </si>
  <si>
    <t>DPI-10487</t>
  </si>
  <si>
    <t>NIT-20487</t>
  </si>
  <si>
    <t>Docente Especialista 486</t>
  </si>
  <si>
    <t>docente486@correo.edu.gt</t>
  </si>
  <si>
    <t>5555-1487</t>
  </si>
  <si>
    <t>DPI-10488</t>
  </si>
  <si>
    <t>NIT-20488</t>
  </si>
  <si>
    <t>Docente Especialista 487</t>
  </si>
  <si>
    <t>docente487@correo.edu.gt</t>
  </si>
  <si>
    <t>5555-1488</t>
  </si>
  <si>
    <t>DPI-10489</t>
  </si>
  <si>
    <t>NIT-20489</t>
  </si>
  <si>
    <t>Docente Especialista 488</t>
  </si>
  <si>
    <t>docente488@correo.edu.gt</t>
  </si>
  <si>
    <t>5555-1489</t>
  </si>
  <si>
    <t>DPI-10490</t>
  </si>
  <si>
    <t>NIT-20490</t>
  </si>
  <si>
    <t>Docente Especialista 489</t>
  </si>
  <si>
    <t>docente489@correo.edu.gt</t>
  </si>
  <si>
    <t>5555-1490</t>
  </si>
  <si>
    <t>DPI-10491</t>
  </si>
  <si>
    <t>NIT-20491</t>
  </si>
  <si>
    <t>Docente Especialista 490</t>
  </si>
  <si>
    <t>docente490@correo.edu.gt</t>
  </si>
  <si>
    <t>5555-1491</t>
  </si>
  <si>
    <t>DPI-10492</t>
  </si>
  <si>
    <t>NIT-20492</t>
  </si>
  <si>
    <t>Docente Especialista 491</t>
  </si>
  <si>
    <t>docente491@correo.edu.gt</t>
  </si>
  <si>
    <t>5555-1492</t>
  </si>
  <si>
    <t>DPI-10493</t>
  </si>
  <si>
    <t>NIT-20493</t>
  </si>
  <si>
    <t>Docente Especialista 492</t>
  </si>
  <si>
    <t>docente492@correo.edu.gt</t>
  </si>
  <si>
    <t>5555-1493</t>
  </si>
  <si>
    <t>DPI-10494</t>
  </si>
  <si>
    <t>NIT-20494</t>
  </si>
  <si>
    <t>Docente Especialista 493</t>
  </si>
  <si>
    <t>docente493@correo.edu.gt</t>
  </si>
  <si>
    <t>5555-1494</t>
  </si>
  <si>
    <t>DPI-10495</t>
  </si>
  <si>
    <t>NIT-20495</t>
  </si>
  <si>
    <t>Docente Especialista 494</t>
  </si>
  <si>
    <t>docente494@correo.edu.gt</t>
  </si>
  <si>
    <t>5555-1495</t>
  </si>
  <si>
    <t>DPI-10496</t>
  </si>
  <si>
    <t>NIT-20496</t>
  </si>
  <si>
    <t>Docente Especialista 495</t>
  </si>
  <si>
    <t>docente495@correo.edu.gt</t>
  </si>
  <si>
    <t>5555-1496</t>
  </si>
  <si>
    <t>DPI-10497</t>
  </si>
  <si>
    <t>NIT-20497</t>
  </si>
  <si>
    <t>Docente Especialista 496</t>
  </si>
  <si>
    <t>docente496@correo.edu.gt</t>
  </si>
  <si>
    <t>5555-1497</t>
  </si>
  <si>
    <t>DPI-10498</t>
  </si>
  <si>
    <t>NIT-20498</t>
  </si>
  <si>
    <t>Docente Especialista 497</t>
  </si>
  <si>
    <t>docente497@correo.edu.gt</t>
  </si>
  <si>
    <t>5555-1498</t>
  </si>
  <si>
    <t>DPI-10499</t>
  </si>
  <si>
    <t>NIT-20499</t>
  </si>
  <si>
    <t>Docente Especialista 498</t>
  </si>
  <si>
    <t>docente498@correo.edu.gt</t>
  </si>
  <si>
    <t>5555-1499</t>
  </si>
  <si>
    <t>DPI-10500</t>
  </si>
  <si>
    <t>NIT-20500</t>
  </si>
  <si>
    <t>Docente Especialista 499</t>
  </si>
  <si>
    <t>docente499@correo.edu.gt</t>
  </si>
  <si>
    <t>5555-1500</t>
  </si>
  <si>
    <t>DPI-10501</t>
  </si>
  <si>
    <t>NIT-20501</t>
  </si>
  <si>
    <t>Docente Especialista 500</t>
  </si>
  <si>
    <t>docente500@correo.edu.gt</t>
  </si>
  <si>
    <t>5555-1501</t>
  </si>
  <si>
    <t>DPI-10502</t>
  </si>
  <si>
    <t>NIT-20502</t>
  </si>
  <si>
    <t>Docente Especialista 501</t>
  </si>
  <si>
    <t>docente501@correo.edu.gt</t>
  </si>
  <si>
    <t>5555-1502</t>
  </si>
  <si>
    <t>DPI-10503</t>
  </si>
  <si>
    <t>NIT-20503</t>
  </si>
  <si>
    <t>Docente Especialista 502</t>
  </si>
  <si>
    <t>docente502@correo.edu.gt</t>
  </si>
  <si>
    <t>5555-1503</t>
  </si>
  <si>
    <t>DPI-10504</t>
  </si>
  <si>
    <t>NIT-20504</t>
  </si>
  <si>
    <t>Docente Especialista 503</t>
  </si>
  <si>
    <t>docente503@correo.edu.gt</t>
  </si>
  <si>
    <t>5555-1504</t>
  </si>
  <si>
    <t>DPI-10505</t>
  </si>
  <si>
    <t>NIT-20505</t>
  </si>
  <si>
    <t>Docente Especialista 504</t>
  </si>
  <si>
    <t>docente504@correo.edu.gt</t>
  </si>
  <si>
    <t>5555-1505</t>
  </si>
  <si>
    <t>DPI-10506</t>
  </si>
  <si>
    <t>NIT-20506</t>
  </si>
  <si>
    <t>Docente Especialista 505</t>
  </si>
  <si>
    <t>docente505@correo.edu.gt</t>
  </si>
  <si>
    <t>5555-1506</t>
  </si>
  <si>
    <t>DPI-10507</t>
  </si>
  <si>
    <t>NIT-20507</t>
  </si>
  <si>
    <t>Docente Especialista 506</t>
  </si>
  <si>
    <t>docente506@correo.edu.gt</t>
  </si>
  <si>
    <t>5555-1507</t>
  </si>
  <si>
    <t>DPI-10508</t>
  </si>
  <si>
    <t>NIT-20508</t>
  </si>
  <si>
    <t>Docente Especialista 507</t>
  </si>
  <si>
    <t>docente507@correo.edu.gt</t>
  </si>
  <si>
    <t>5555-1508</t>
  </si>
  <si>
    <t>DPI-10509</t>
  </si>
  <si>
    <t>NIT-20509</t>
  </si>
  <si>
    <t>Docente Especialista 508</t>
  </si>
  <si>
    <t>docente508@correo.edu.gt</t>
  </si>
  <si>
    <t>5555-1509</t>
  </si>
  <si>
    <t>DPI-10510</t>
  </si>
  <si>
    <t>NIT-20510</t>
  </si>
  <si>
    <t>Docente Especialista 509</t>
  </si>
  <si>
    <t>docente509@correo.edu.gt</t>
  </si>
  <si>
    <t>5555-1510</t>
  </si>
  <si>
    <t>DPI-10511</t>
  </si>
  <si>
    <t>NIT-20511</t>
  </si>
  <si>
    <t>Docente Especialista 510</t>
  </si>
  <si>
    <t>docente510@correo.edu.gt</t>
  </si>
  <si>
    <t>5555-1511</t>
  </si>
  <si>
    <t>DPI-10512</t>
  </si>
  <si>
    <t>NIT-20512</t>
  </si>
  <si>
    <t>Docente Especialista 511</t>
  </si>
  <si>
    <t>docente511@correo.edu.gt</t>
  </si>
  <si>
    <t>5555-1512</t>
  </si>
  <si>
    <t>DPI-10513</t>
  </si>
  <si>
    <t>NIT-20513</t>
  </si>
  <si>
    <t>Docente Especialista 512</t>
  </si>
  <si>
    <t>docente512@correo.edu.gt</t>
  </si>
  <si>
    <t>5555-1513</t>
  </si>
  <si>
    <t>DPI-10514</t>
  </si>
  <si>
    <t>NIT-20514</t>
  </si>
  <si>
    <t>Docente Especialista 513</t>
  </si>
  <si>
    <t>docente513@correo.edu.gt</t>
  </si>
  <si>
    <t>5555-1514</t>
  </si>
  <si>
    <t>DPI-10515</t>
  </si>
  <si>
    <t>NIT-20515</t>
  </si>
  <si>
    <t>Docente Especialista 514</t>
  </si>
  <si>
    <t>docente514@correo.edu.gt</t>
  </si>
  <si>
    <t>5555-1515</t>
  </si>
  <si>
    <t>DPI-10516</t>
  </si>
  <si>
    <t>NIT-20516</t>
  </si>
  <si>
    <t>Docente Especialista 515</t>
  </si>
  <si>
    <t>docente515@correo.edu.gt</t>
  </si>
  <si>
    <t>5555-1516</t>
  </si>
  <si>
    <t>DPI-10517</t>
  </si>
  <si>
    <t>NIT-20517</t>
  </si>
  <si>
    <t>Docente Especialista 516</t>
  </si>
  <si>
    <t>docente516@correo.edu.gt</t>
  </si>
  <si>
    <t>5555-1517</t>
  </si>
  <si>
    <t>DPI-10518</t>
  </si>
  <si>
    <t>NIT-20518</t>
  </si>
  <si>
    <t>Docente Especialista 517</t>
  </si>
  <si>
    <t>docente517@correo.edu.gt</t>
  </si>
  <si>
    <t>5555-1518</t>
  </si>
  <si>
    <t>DPI-10519</t>
  </si>
  <si>
    <t>NIT-20519</t>
  </si>
  <si>
    <t>Docente Especialista 518</t>
  </si>
  <si>
    <t>docente518@correo.edu.gt</t>
  </si>
  <si>
    <t>5555-1519</t>
  </si>
  <si>
    <t>DPI-10520</t>
  </si>
  <si>
    <t>NIT-20520</t>
  </si>
  <si>
    <t>Docente Especialista 519</t>
  </si>
  <si>
    <t>docente519@correo.edu.gt</t>
  </si>
  <si>
    <t>5555-1520</t>
  </si>
  <si>
    <t>DPI-10521</t>
  </si>
  <si>
    <t>NIT-20521</t>
  </si>
  <si>
    <t>Docente Especialista 520</t>
  </si>
  <si>
    <t>docente520@correo.edu.gt</t>
  </si>
  <si>
    <t>5555-1521</t>
  </si>
  <si>
    <t>DPI-10522</t>
  </si>
  <si>
    <t>NIT-20522</t>
  </si>
  <si>
    <t>Docente Especialista 521</t>
  </si>
  <si>
    <t>docente521@correo.edu.gt</t>
  </si>
  <si>
    <t>5555-1522</t>
  </si>
  <si>
    <t>DPI-10523</t>
  </si>
  <si>
    <t>NIT-20523</t>
  </si>
  <si>
    <t>Docente Especialista 522</t>
  </si>
  <si>
    <t>docente522@correo.edu.gt</t>
  </si>
  <si>
    <t>5555-1523</t>
  </si>
  <si>
    <t>DPI-10524</t>
  </si>
  <si>
    <t>NIT-20524</t>
  </si>
  <si>
    <t>Docente Especialista 523</t>
  </si>
  <si>
    <t>docente523@correo.edu.gt</t>
  </si>
  <si>
    <t>5555-1524</t>
  </si>
  <si>
    <t>DPI-10525</t>
  </si>
  <si>
    <t>NIT-20525</t>
  </si>
  <si>
    <t>Docente Especialista 524</t>
  </si>
  <si>
    <t>docente524@correo.edu.gt</t>
  </si>
  <si>
    <t>5555-1525</t>
  </si>
  <si>
    <t>DPI-10526</t>
  </si>
  <si>
    <t>NIT-20526</t>
  </si>
  <si>
    <t>Docente Especialista 525</t>
  </si>
  <si>
    <t>docente525@correo.edu.gt</t>
  </si>
  <si>
    <t>5555-1526</t>
  </si>
  <si>
    <t>DPI-10527</t>
  </si>
  <si>
    <t>NIT-20527</t>
  </si>
  <si>
    <t>Docente Especialista 526</t>
  </si>
  <si>
    <t>docente526@correo.edu.gt</t>
  </si>
  <si>
    <t>5555-1527</t>
  </si>
  <si>
    <t>DPI-10528</t>
  </si>
  <si>
    <t>NIT-20528</t>
  </si>
  <si>
    <t>Docente Especialista 527</t>
  </si>
  <si>
    <t>docente527@correo.edu.gt</t>
  </si>
  <si>
    <t>5555-1528</t>
  </si>
  <si>
    <t>DPI-10529</t>
  </si>
  <si>
    <t>NIT-20529</t>
  </si>
  <si>
    <t>Docente Especialista 528</t>
  </si>
  <si>
    <t>docente528@correo.edu.gt</t>
  </si>
  <si>
    <t>5555-1529</t>
  </si>
  <si>
    <t>DPI-10530</t>
  </si>
  <si>
    <t>NIT-20530</t>
  </si>
  <si>
    <t>Docente Especialista 529</t>
  </si>
  <si>
    <t>docente529@correo.edu.gt</t>
  </si>
  <si>
    <t>5555-1530</t>
  </si>
  <si>
    <t>DPI-10531</t>
  </si>
  <si>
    <t>NIT-20531</t>
  </si>
  <si>
    <t>Docente Especialista 530</t>
  </si>
  <si>
    <t>docente530@correo.edu.gt</t>
  </si>
  <si>
    <t>5555-1531</t>
  </si>
  <si>
    <t>DPI-10532</t>
  </si>
  <si>
    <t>NIT-20532</t>
  </si>
  <si>
    <t>Docente Especialista 531</t>
  </si>
  <si>
    <t>docente531@correo.edu.gt</t>
  </si>
  <si>
    <t>5555-1532</t>
  </si>
  <si>
    <t>DPI-10533</t>
  </si>
  <si>
    <t>NIT-20533</t>
  </si>
  <si>
    <t>Docente Especialista 532</t>
  </si>
  <si>
    <t>docente532@correo.edu.gt</t>
  </si>
  <si>
    <t>5555-1533</t>
  </si>
  <si>
    <t>DPI-10534</t>
  </si>
  <si>
    <t>NIT-20534</t>
  </si>
  <si>
    <t>Docente Especialista 533</t>
  </si>
  <si>
    <t>docente533@correo.edu.gt</t>
  </si>
  <si>
    <t>5555-1534</t>
  </si>
  <si>
    <t>DPI-10535</t>
  </si>
  <si>
    <t>NIT-20535</t>
  </si>
  <si>
    <t>Docente Especialista 534</t>
  </si>
  <si>
    <t>docente534@correo.edu.gt</t>
  </si>
  <si>
    <t>5555-1535</t>
  </si>
  <si>
    <t>DPI-10536</t>
  </si>
  <si>
    <t>NIT-20536</t>
  </si>
  <si>
    <t>Docente Especialista 535</t>
  </si>
  <si>
    <t>docente535@correo.edu.gt</t>
  </si>
  <si>
    <t>5555-1536</t>
  </si>
  <si>
    <t>DPI-10537</t>
  </si>
  <si>
    <t>NIT-20537</t>
  </si>
  <si>
    <t>Docente Especialista 536</t>
  </si>
  <si>
    <t>docente536@correo.edu.gt</t>
  </si>
  <si>
    <t>5555-1537</t>
  </si>
  <si>
    <t>DPI-10538</t>
  </si>
  <si>
    <t>NIT-20538</t>
  </si>
  <si>
    <t>Docente Especialista 537</t>
  </si>
  <si>
    <t>docente537@correo.edu.gt</t>
  </si>
  <si>
    <t>5555-1538</t>
  </si>
  <si>
    <t>DPI-10539</t>
  </si>
  <si>
    <t>NIT-20539</t>
  </si>
  <si>
    <t>Docente Especialista 538</t>
  </si>
  <si>
    <t>docente538@correo.edu.gt</t>
  </si>
  <si>
    <t>5555-1539</t>
  </si>
  <si>
    <t>DPI-10540</t>
  </si>
  <si>
    <t>NIT-20540</t>
  </si>
  <si>
    <t>Docente Especialista 539</t>
  </si>
  <si>
    <t>docente539@correo.edu.gt</t>
  </si>
  <si>
    <t>5555-1540</t>
  </si>
  <si>
    <t>DPI-10541</t>
  </si>
  <si>
    <t>NIT-20541</t>
  </si>
  <si>
    <t>Docente Especialista 540</t>
  </si>
  <si>
    <t>docente540@correo.edu.gt</t>
  </si>
  <si>
    <t>5555-1541</t>
  </si>
  <si>
    <t>DPI-10542</t>
  </si>
  <si>
    <t>NIT-20542</t>
  </si>
  <si>
    <t>Docente Especialista 541</t>
  </si>
  <si>
    <t>docente541@correo.edu.gt</t>
  </si>
  <si>
    <t>5555-1542</t>
  </si>
  <si>
    <t>DPI-10543</t>
  </si>
  <si>
    <t>NIT-20543</t>
  </si>
  <si>
    <t>Docente Especialista 542</t>
  </si>
  <si>
    <t>docente542@correo.edu.gt</t>
  </si>
  <si>
    <t>5555-1543</t>
  </si>
  <si>
    <t>DPI-10544</t>
  </si>
  <si>
    <t>NIT-20544</t>
  </si>
  <si>
    <t>Docente Especialista 543</t>
  </si>
  <si>
    <t>docente543@correo.edu.gt</t>
  </si>
  <si>
    <t>5555-1544</t>
  </si>
  <si>
    <t>DPI-10545</t>
  </si>
  <si>
    <t>NIT-20545</t>
  </si>
  <si>
    <t>Docente Especialista 544</t>
  </si>
  <si>
    <t>docente544@correo.edu.gt</t>
  </si>
  <si>
    <t>5555-1545</t>
  </si>
  <si>
    <t>DPI-10546</t>
  </si>
  <si>
    <t>NIT-20546</t>
  </si>
  <si>
    <t>Docente Especialista 545</t>
  </si>
  <si>
    <t>docente545@correo.edu.gt</t>
  </si>
  <si>
    <t>5555-1546</t>
  </si>
  <si>
    <t>DPI-10547</t>
  </si>
  <si>
    <t>NIT-20547</t>
  </si>
  <si>
    <t>Docente Especialista 546</t>
  </si>
  <si>
    <t>docente546@correo.edu.gt</t>
  </si>
  <si>
    <t>5555-1547</t>
  </si>
  <si>
    <t>DPI-10548</t>
  </si>
  <si>
    <t>NIT-20548</t>
  </si>
  <si>
    <t>Docente Especialista 547</t>
  </si>
  <si>
    <t>docente547@correo.edu.gt</t>
  </si>
  <si>
    <t>5555-1548</t>
  </si>
  <si>
    <t>DPI-10549</t>
  </si>
  <si>
    <t>NIT-20549</t>
  </si>
  <si>
    <t>Docente Especialista 548</t>
  </si>
  <si>
    <t>docente548@correo.edu.gt</t>
  </si>
  <si>
    <t>5555-1549</t>
  </si>
  <si>
    <t>DPI-10550</t>
  </si>
  <si>
    <t>NIT-20550</t>
  </si>
  <si>
    <t>Docente Especialista 549</t>
  </si>
  <si>
    <t>docente549@correo.edu.gt</t>
  </si>
  <si>
    <t>5555-1550</t>
  </si>
  <si>
    <t>DPI-10551</t>
  </si>
  <si>
    <t>NIT-20551</t>
  </si>
  <si>
    <t>Docente Especialista 550</t>
  </si>
  <si>
    <t>docente550@correo.edu.gt</t>
  </si>
  <si>
    <t>5555-1551</t>
  </si>
  <si>
    <t>DPI-10552</t>
  </si>
  <si>
    <t>NIT-20552</t>
  </si>
  <si>
    <t>Docente Especialista 551</t>
  </si>
  <si>
    <t>docente551@correo.edu.gt</t>
  </si>
  <si>
    <t>5555-1552</t>
  </si>
  <si>
    <t>DPI-10553</t>
  </si>
  <si>
    <t>NIT-20553</t>
  </si>
  <si>
    <t>Docente Especialista 552</t>
  </si>
  <si>
    <t>docente552@correo.edu.gt</t>
  </si>
  <si>
    <t>5555-1553</t>
  </si>
  <si>
    <t>DPI-10554</t>
  </si>
  <si>
    <t>NIT-20554</t>
  </si>
  <si>
    <t>Docente Especialista 553</t>
  </si>
  <si>
    <t>docente553@correo.edu.gt</t>
  </si>
  <si>
    <t>5555-1554</t>
  </si>
  <si>
    <t>DPI-10555</t>
  </si>
  <si>
    <t>NIT-20555</t>
  </si>
  <si>
    <t>Docente Especialista 554</t>
  </si>
  <si>
    <t>docente554@correo.edu.gt</t>
  </si>
  <si>
    <t>5555-1555</t>
  </si>
  <si>
    <t>DPI-10556</t>
  </si>
  <si>
    <t>NIT-20556</t>
  </si>
  <si>
    <t>Docente Especialista 555</t>
  </si>
  <si>
    <t>docente555@correo.edu.gt</t>
  </si>
  <si>
    <t>5555-1556</t>
  </si>
  <si>
    <t>DPI-10557</t>
  </si>
  <si>
    <t>NIT-20557</t>
  </si>
  <si>
    <t>Docente Especialista 556</t>
  </si>
  <si>
    <t>docente556@correo.edu.gt</t>
  </si>
  <si>
    <t>5555-1557</t>
  </si>
  <si>
    <t>DPI-10558</t>
  </si>
  <si>
    <t>NIT-20558</t>
  </si>
  <si>
    <t>Docente Especialista 557</t>
  </si>
  <si>
    <t>docente557@correo.edu.gt</t>
  </si>
  <si>
    <t>5555-1558</t>
  </si>
  <si>
    <t>DPI-10559</t>
  </si>
  <si>
    <t>NIT-20559</t>
  </si>
  <si>
    <t>Docente Especialista 558</t>
  </si>
  <si>
    <t>docente558@correo.edu.gt</t>
  </si>
  <si>
    <t>5555-1559</t>
  </si>
  <si>
    <t>DPI-10560</t>
  </si>
  <si>
    <t>NIT-20560</t>
  </si>
  <si>
    <t>Docente Especialista 559</t>
  </si>
  <si>
    <t>docente559@correo.edu.gt</t>
  </si>
  <si>
    <t>5555-1560</t>
  </si>
  <si>
    <t>DPI-10561</t>
  </si>
  <si>
    <t>NIT-20561</t>
  </si>
  <si>
    <t>Docente Especialista 560</t>
  </si>
  <si>
    <t>docente560@correo.edu.gt</t>
  </si>
  <si>
    <t>5555-1561</t>
  </si>
  <si>
    <t>DPI-10562</t>
  </si>
  <si>
    <t>NIT-20562</t>
  </si>
  <si>
    <t>Docente Especialista 561</t>
  </si>
  <si>
    <t>docente561@correo.edu.gt</t>
  </si>
  <si>
    <t>5555-1562</t>
  </si>
  <si>
    <t>DPI-10563</t>
  </si>
  <si>
    <t>NIT-20563</t>
  </si>
  <si>
    <t>Docente Especialista 562</t>
  </si>
  <si>
    <t>docente562@correo.edu.gt</t>
  </si>
  <si>
    <t>5555-1563</t>
  </si>
  <si>
    <t>DPI-10564</t>
  </si>
  <si>
    <t>NIT-20564</t>
  </si>
  <si>
    <t>Docente Especialista 563</t>
  </si>
  <si>
    <t>docente563@correo.edu.gt</t>
  </si>
  <si>
    <t>5555-1564</t>
  </si>
  <si>
    <t>DPI-10565</t>
  </si>
  <si>
    <t>NIT-20565</t>
  </si>
  <si>
    <t>Docente Especialista 564</t>
  </si>
  <si>
    <t>docente564@correo.edu.gt</t>
  </si>
  <si>
    <t>5555-1565</t>
  </si>
  <si>
    <t>DPI-10566</t>
  </si>
  <si>
    <t>NIT-20566</t>
  </si>
  <si>
    <t>Docente Especialista 565</t>
  </si>
  <si>
    <t>docente565@correo.edu.gt</t>
  </si>
  <si>
    <t>5555-1566</t>
  </si>
  <si>
    <t>DPI-10567</t>
  </si>
  <si>
    <t>NIT-20567</t>
  </si>
  <si>
    <t>Docente Especialista 566</t>
  </si>
  <si>
    <t>docente566@correo.edu.gt</t>
  </si>
  <si>
    <t>5555-1567</t>
  </si>
  <si>
    <t>DPI-10568</t>
  </si>
  <si>
    <t>NIT-20568</t>
  </si>
  <si>
    <t>Docente Especialista 567</t>
  </si>
  <si>
    <t>docente567@correo.edu.gt</t>
  </si>
  <si>
    <t>5555-1568</t>
  </si>
  <si>
    <t>DPI-10569</t>
  </si>
  <si>
    <t>NIT-20569</t>
  </si>
  <si>
    <t>Docente Especialista 568</t>
  </si>
  <si>
    <t>docente568@correo.edu.gt</t>
  </si>
  <si>
    <t>5555-1569</t>
  </si>
  <si>
    <t>DPI-10570</t>
  </si>
  <si>
    <t>NIT-20570</t>
  </si>
  <si>
    <t>Docente Especialista 569</t>
  </si>
  <si>
    <t>docente569@correo.edu.gt</t>
  </si>
  <si>
    <t>5555-1570</t>
  </si>
  <si>
    <t>DPI-10571</t>
  </si>
  <si>
    <t>NIT-20571</t>
  </si>
  <si>
    <t>Docente Especialista 570</t>
  </si>
  <si>
    <t>docente570@correo.edu.gt</t>
  </si>
  <si>
    <t>5555-1571</t>
  </si>
  <si>
    <t>DPI-10572</t>
  </si>
  <si>
    <t>NIT-20572</t>
  </si>
  <si>
    <t>Docente Especialista 571</t>
  </si>
  <si>
    <t>docente571@correo.edu.gt</t>
  </si>
  <si>
    <t>5555-1572</t>
  </si>
  <si>
    <t>DPI-10573</t>
  </si>
  <si>
    <t>NIT-20573</t>
  </si>
  <si>
    <t>Docente Especialista 572</t>
  </si>
  <si>
    <t>docente572@correo.edu.gt</t>
  </si>
  <si>
    <t>5555-1573</t>
  </si>
  <si>
    <t>DPI-10574</t>
  </si>
  <si>
    <t>NIT-20574</t>
  </si>
  <si>
    <t>Docente Especialista 573</t>
  </si>
  <si>
    <t>docente573@correo.edu.gt</t>
  </si>
  <si>
    <t>5555-1574</t>
  </si>
  <si>
    <t>DPI-10575</t>
  </si>
  <si>
    <t>NIT-20575</t>
  </si>
  <si>
    <t>Docente Especialista 574</t>
  </si>
  <si>
    <t>docente574@correo.edu.gt</t>
  </si>
  <si>
    <t>5555-1575</t>
  </si>
  <si>
    <t>DPI-10576</t>
  </si>
  <si>
    <t>NIT-20576</t>
  </si>
  <si>
    <t>Docente Especialista 575</t>
  </si>
  <si>
    <t>docente575@correo.edu.gt</t>
  </si>
  <si>
    <t>5555-1576</t>
  </si>
  <si>
    <t>DPI-10577</t>
  </si>
  <si>
    <t>NIT-20577</t>
  </si>
  <si>
    <t>Docente Especialista 576</t>
  </si>
  <si>
    <t>docente576@correo.edu.gt</t>
  </si>
  <si>
    <t>5555-1577</t>
  </si>
  <si>
    <t>DPI-10578</t>
  </si>
  <si>
    <t>NIT-20578</t>
  </si>
  <si>
    <t>Docente Especialista 577</t>
  </si>
  <si>
    <t>docente577@correo.edu.gt</t>
  </si>
  <si>
    <t>5555-1578</t>
  </si>
  <si>
    <t>DPI-10579</t>
  </si>
  <si>
    <t>NIT-20579</t>
  </si>
  <si>
    <t>Docente Especialista 578</t>
  </si>
  <si>
    <t>docente578@correo.edu.gt</t>
  </si>
  <si>
    <t>5555-1579</t>
  </si>
  <si>
    <t>DPI-10580</t>
  </si>
  <si>
    <t>NIT-20580</t>
  </si>
  <si>
    <t>Docente Especialista 579</t>
  </si>
  <si>
    <t>docente579@correo.edu.gt</t>
  </si>
  <si>
    <t>5555-1580</t>
  </si>
  <si>
    <t>DPI-10581</t>
  </si>
  <si>
    <t>NIT-20581</t>
  </si>
  <si>
    <t>Docente Especialista 580</t>
  </si>
  <si>
    <t>docente580@correo.edu.gt</t>
  </si>
  <si>
    <t>5555-1581</t>
  </si>
  <si>
    <t>DPI-10582</t>
  </si>
  <si>
    <t>NIT-20582</t>
  </si>
  <si>
    <t>Docente Especialista 581</t>
  </si>
  <si>
    <t>docente581@correo.edu.gt</t>
  </si>
  <si>
    <t>5555-1582</t>
  </si>
  <si>
    <t>DPI-10583</t>
  </si>
  <si>
    <t>NIT-20583</t>
  </si>
  <si>
    <t>Docente Especialista 582</t>
  </si>
  <si>
    <t>docente582@correo.edu.gt</t>
  </si>
  <si>
    <t>5555-1583</t>
  </si>
  <si>
    <t>DPI-10584</t>
  </si>
  <si>
    <t>NIT-20584</t>
  </si>
  <si>
    <t>Docente Especialista 583</t>
  </si>
  <si>
    <t>docente583@correo.edu.gt</t>
  </si>
  <si>
    <t>5555-1584</t>
  </si>
  <si>
    <t>DPI-10585</t>
  </si>
  <si>
    <t>NIT-20585</t>
  </si>
  <si>
    <t>Docente Especialista 584</t>
  </si>
  <si>
    <t>docente584@correo.edu.gt</t>
  </si>
  <si>
    <t>5555-1585</t>
  </si>
  <si>
    <t>DPI-10586</t>
  </si>
  <si>
    <t>NIT-20586</t>
  </si>
  <si>
    <t>Docente Especialista 585</t>
  </si>
  <si>
    <t>docente585@correo.edu.gt</t>
  </si>
  <si>
    <t>5555-1586</t>
  </si>
  <si>
    <t>DPI-10587</t>
  </si>
  <si>
    <t>NIT-20587</t>
  </si>
  <si>
    <t>Docente Especialista 586</t>
  </si>
  <si>
    <t>docente586@correo.edu.gt</t>
  </si>
  <si>
    <t>5555-1587</t>
  </si>
  <si>
    <t>DPI-10588</t>
  </si>
  <si>
    <t>NIT-20588</t>
  </si>
  <si>
    <t>Docente Especialista 587</t>
  </si>
  <si>
    <t>docente587@correo.edu.gt</t>
  </si>
  <si>
    <t>5555-1588</t>
  </si>
  <si>
    <t>DPI-10589</t>
  </si>
  <si>
    <t>NIT-20589</t>
  </si>
  <si>
    <t>Docente Especialista 588</t>
  </si>
  <si>
    <t>docente588@correo.edu.gt</t>
  </si>
  <si>
    <t>5555-1589</t>
  </si>
  <si>
    <t>DPI-10590</t>
  </si>
  <si>
    <t>NIT-20590</t>
  </si>
  <si>
    <t>Docente Especialista 589</t>
  </si>
  <si>
    <t>docente589@correo.edu.gt</t>
  </si>
  <si>
    <t>5555-1590</t>
  </si>
  <si>
    <t>DPI-10591</t>
  </si>
  <si>
    <t>NIT-20591</t>
  </si>
  <si>
    <t>Docente Especialista 590</t>
  </si>
  <si>
    <t>docente590@correo.edu.gt</t>
  </si>
  <si>
    <t>5555-1591</t>
  </si>
  <si>
    <t>DPI-10592</t>
  </si>
  <si>
    <t>NIT-20592</t>
  </si>
  <si>
    <t>Docente Especialista 591</t>
  </si>
  <si>
    <t>docente591@correo.edu.gt</t>
  </si>
  <si>
    <t>5555-1592</t>
  </si>
  <si>
    <t>DPI-10593</t>
  </si>
  <si>
    <t>NIT-20593</t>
  </si>
  <si>
    <t>Docente Especialista 592</t>
  </si>
  <si>
    <t>docente592@correo.edu.gt</t>
  </si>
  <si>
    <t>5555-1593</t>
  </si>
  <si>
    <t>DPI-10594</t>
  </si>
  <si>
    <t>NIT-20594</t>
  </si>
  <si>
    <t>Docente Especialista 593</t>
  </si>
  <si>
    <t>docente593@correo.edu.gt</t>
  </si>
  <si>
    <t>5555-1594</t>
  </si>
  <si>
    <t>DPI-10595</t>
  </si>
  <si>
    <t>NIT-20595</t>
  </si>
  <si>
    <t>Docente Especialista 594</t>
  </si>
  <si>
    <t>docente594@correo.edu.gt</t>
  </si>
  <si>
    <t>5555-1595</t>
  </si>
  <si>
    <t>DPI-10596</t>
  </si>
  <si>
    <t>NIT-20596</t>
  </si>
  <si>
    <t>Docente Especialista 595</t>
  </si>
  <si>
    <t>docente595@correo.edu.gt</t>
  </si>
  <si>
    <t>5555-1596</t>
  </si>
  <si>
    <t>DPI-10597</t>
  </si>
  <si>
    <t>NIT-20597</t>
  </si>
  <si>
    <t>Docente Especialista 596</t>
  </si>
  <si>
    <t>docente596@correo.edu.gt</t>
  </si>
  <si>
    <t>5555-1597</t>
  </si>
  <si>
    <t>DPI-10598</t>
  </si>
  <si>
    <t>NIT-20598</t>
  </si>
  <si>
    <t>Docente Especialista 597</t>
  </si>
  <si>
    <t>docente597@correo.edu.gt</t>
  </si>
  <si>
    <t>5555-1598</t>
  </si>
  <si>
    <t>DPI-10599</t>
  </si>
  <si>
    <t>NIT-20599</t>
  </si>
  <si>
    <t>Docente Especialista 598</t>
  </si>
  <si>
    <t>docente598@correo.edu.gt</t>
  </si>
  <si>
    <t>5555-1599</t>
  </si>
  <si>
    <t>DPI-10600</t>
  </si>
  <si>
    <t>NIT-20600</t>
  </si>
  <si>
    <t>Docente Especialista 599</t>
  </si>
  <si>
    <t>docente599@correo.edu.gt</t>
  </si>
  <si>
    <t>5555-1600</t>
  </si>
  <si>
    <t>DPI-10601</t>
  </si>
  <si>
    <t>NIT-20601</t>
  </si>
  <si>
    <t>Docente Especialista 600</t>
  </si>
  <si>
    <t>docente600@correo.edu.gt</t>
  </si>
  <si>
    <t>5555-1601</t>
  </si>
  <si>
    <t>DPI-10602</t>
  </si>
  <si>
    <t>NIT-20602</t>
  </si>
  <si>
    <t>Docente Especialista 601</t>
  </si>
  <si>
    <t>docente601@correo.edu.gt</t>
  </si>
  <si>
    <t>5555-1602</t>
  </si>
  <si>
    <t>DPI-10603</t>
  </si>
  <si>
    <t>NIT-20603</t>
  </si>
  <si>
    <t>Docente Especialista 602</t>
  </si>
  <si>
    <t>docente602@correo.edu.gt</t>
  </si>
  <si>
    <t>5555-1603</t>
  </si>
  <si>
    <t>DPI-10604</t>
  </si>
  <si>
    <t>NIT-20604</t>
  </si>
  <si>
    <t>Docente Especialista 603</t>
  </si>
  <si>
    <t>docente603@correo.edu.gt</t>
  </si>
  <si>
    <t>5555-1604</t>
  </si>
  <si>
    <t>DPI-10605</t>
  </si>
  <si>
    <t>NIT-20605</t>
  </si>
  <si>
    <t>Docente Especialista 604</t>
  </si>
  <si>
    <t>docente604@correo.edu.gt</t>
  </si>
  <si>
    <t>5555-1605</t>
  </si>
  <si>
    <t>DPI-10606</t>
  </si>
  <si>
    <t>NIT-20606</t>
  </si>
  <si>
    <t>Docente Especialista 605</t>
  </si>
  <si>
    <t>docente605@correo.edu.gt</t>
  </si>
  <si>
    <t>5555-1606</t>
  </si>
  <si>
    <t>DPI-10607</t>
  </si>
  <si>
    <t>NIT-20607</t>
  </si>
  <si>
    <t>Docente Especialista 606</t>
  </si>
  <si>
    <t>docente606@correo.edu.gt</t>
  </si>
  <si>
    <t>5555-1607</t>
  </si>
  <si>
    <t>DPI-10608</t>
  </si>
  <si>
    <t>NIT-20608</t>
  </si>
  <si>
    <t>Docente Especialista 607</t>
  </si>
  <si>
    <t>docente607@correo.edu.gt</t>
  </si>
  <si>
    <t>5555-1608</t>
  </si>
  <si>
    <t>DPI-10609</t>
  </si>
  <si>
    <t>NIT-20609</t>
  </si>
  <si>
    <t>Docente Especialista 608</t>
  </si>
  <si>
    <t>docente608@correo.edu.gt</t>
  </si>
  <si>
    <t>5555-1609</t>
  </si>
  <si>
    <t>DPI-10610</t>
  </si>
  <si>
    <t>NIT-20610</t>
  </si>
  <si>
    <t>Docente Especialista 609</t>
  </si>
  <si>
    <t>docente609@correo.edu.gt</t>
  </si>
  <si>
    <t>5555-1610</t>
  </si>
  <si>
    <t>DPI-10611</t>
  </si>
  <si>
    <t>NIT-20611</t>
  </si>
  <si>
    <t>Docente Especialista 610</t>
  </si>
  <si>
    <t>docente610@correo.edu.gt</t>
  </si>
  <si>
    <t>5555-1611</t>
  </si>
  <si>
    <t>DPI-10612</t>
  </si>
  <si>
    <t>NIT-20612</t>
  </si>
  <si>
    <t>Docente Especialista 611</t>
  </si>
  <si>
    <t>docente611@correo.edu.gt</t>
  </si>
  <si>
    <t>5555-1612</t>
  </si>
  <si>
    <t>DPI-10613</t>
  </si>
  <si>
    <t>NIT-20613</t>
  </si>
  <si>
    <t>Docente Especialista 612</t>
  </si>
  <si>
    <t>docente612@correo.edu.gt</t>
  </si>
  <si>
    <t>5555-1613</t>
  </si>
  <si>
    <t>DPI-10614</t>
  </si>
  <si>
    <t>NIT-20614</t>
  </si>
  <si>
    <t>Docente Especialista 613</t>
  </si>
  <si>
    <t>docente613@correo.edu.gt</t>
  </si>
  <si>
    <t>5555-1614</t>
  </si>
  <si>
    <t>DPI-10615</t>
  </si>
  <si>
    <t>NIT-20615</t>
  </si>
  <si>
    <t>Docente Especialista 614</t>
  </si>
  <si>
    <t>docente614@correo.edu.gt</t>
  </si>
  <si>
    <t>5555-1615</t>
  </si>
  <si>
    <t>DPI-10616</t>
  </si>
  <si>
    <t>NIT-20616</t>
  </si>
  <si>
    <t>Docente Especialista 615</t>
  </si>
  <si>
    <t>docente615@correo.edu.gt</t>
  </si>
  <si>
    <t>5555-1616</t>
  </si>
  <si>
    <t>DPI-10617</t>
  </si>
  <si>
    <t>NIT-20617</t>
  </si>
  <si>
    <t>Docente Especialista 616</t>
  </si>
  <si>
    <t>docente616@correo.edu.gt</t>
  </si>
  <si>
    <t>5555-1617</t>
  </si>
  <si>
    <t>DPI-10618</t>
  </si>
  <si>
    <t>NIT-20618</t>
  </si>
  <si>
    <t>Docente Especialista 617</t>
  </si>
  <si>
    <t>docente617@correo.edu.gt</t>
  </si>
  <si>
    <t>5555-1618</t>
  </si>
  <si>
    <t>DPI-10619</t>
  </si>
  <si>
    <t>NIT-20619</t>
  </si>
  <si>
    <t>Docente Especialista 618</t>
  </si>
  <si>
    <t>docente618@correo.edu.gt</t>
  </si>
  <si>
    <t>5555-1619</t>
  </si>
  <si>
    <t>DPI-10620</t>
  </si>
  <si>
    <t>NIT-20620</t>
  </si>
  <si>
    <t>Docente Especialista 619</t>
  </si>
  <si>
    <t>docente619@correo.edu.gt</t>
  </si>
  <si>
    <t>5555-1620</t>
  </si>
  <si>
    <t>DPI-10621</t>
  </si>
  <si>
    <t>NIT-20621</t>
  </si>
  <si>
    <t>Docente Especialista 620</t>
  </si>
  <si>
    <t>docente620@correo.edu.gt</t>
  </si>
  <si>
    <t>5555-1621</t>
  </si>
  <si>
    <t>DPI-10622</t>
  </si>
  <si>
    <t>NIT-20622</t>
  </si>
  <si>
    <t>Docente Especialista 621</t>
  </si>
  <si>
    <t>docente621@correo.edu.gt</t>
  </si>
  <si>
    <t>5555-1622</t>
  </si>
  <si>
    <t>DPI-10623</t>
  </si>
  <si>
    <t>NIT-20623</t>
  </si>
  <si>
    <t>Docente Especialista 622</t>
  </si>
  <si>
    <t>docente622@correo.edu.gt</t>
  </si>
  <si>
    <t>5555-1623</t>
  </si>
  <si>
    <t>DPI-10624</t>
  </si>
  <si>
    <t>NIT-20624</t>
  </si>
  <si>
    <t>Docente Especialista 623</t>
  </si>
  <si>
    <t>docente623@correo.edu.gt</t>
  </si>
  <si>
    <t>5555-1624</t>
  </si>
  <si>
    <t>DPI-10625</t>
  </si>
  <si>
    <t>NIT-20625</t>
  </si>
  <si>
    <t>Docente Especialista 624</t>
  </si>
  <si>
    <t>docente624@correo.edu.gt</t>
  </si>
  <si>
    <t>5555-1625</t>
  </si>
  <si>
    <t>DPI-10626</t>
  </si>
  <si>
    <t>NIT-20626</t>
  </si>
  <si>
    <t>Docente Especialista 625</t>
  </si>
  <si>
    <t>docente625@correo.edu.gt</t>
  </si>
  <si>
    <t>5555-1626</t>
  </si>
  <si>
    <t>DPI-10627</t>
  </si>
  <si>
    <t>NIT-20627</t>
  </si>
  <si>
    <t>Docente Especialista 626</t>
  </si>
  <si>
    <t>docente626@correo.edu.gt</t>
  </si>
  <si>
    <t>5555-1627</t>
  </si>
  <si>
    <t>DPI-10628</t>
  </si>
  <si>
    <t>NIT-20628</t>
  </si>
  <si>
    <t>Docente Especialista 627</t>
  </si>
  <si>
    <t>docente627@correo.edu.gt</t>
  </si>
  <si>
    <t>5555-1628</t>
  </si>
  <si>
    <t>DPI-10629</t>
  </si>
  <si>
    <t>NIT-20629</t>
  </si>
  <si>
    <t>Docente Especialista 628</t>
  </si>
  <si>
    <t>docente628@correo.edu.gt</t>
  </si>
  <si>
    <t>5555-1629</t>
  </si>
  <si>
    <t>DPI-10630</t>
  </si>
  <si>
    <t>NIT-20630</t>
  </si>
  <si>
    <t>Docente Especialista 629</t>
  </si>
  <si>
    <t>docente629@correo.edu.gt</t>
  </si>
  <si>
    <t>5555-1630</t>
  </si>
  <si>
    <t>DPI-10631</t>
  </si>
  <si>
    <t>NIT-20631</t>
  </si>
  <si>
    <t>Docente Especialista 630</t>
  </si>
  <si>
    <t>docente630@correo.edu.gt</t>
  </si>
  <si>
    <t>5555-1631</t>
  </si>
  <si>
    <t>DPI-10632</t>
  </si>
  <si>
    <t>NIT-20632</t>
  </si>
  <si>
    <t>Docente Especialista 631</t>
  </si>
  <si>
    <t>docente631@correo.edu.gt</t>
  </si>
  <si>
    <t>5555-1632</t>
  </si>
  <si>
    <t>DPI-10633</t>
  </si>
  <si>
    <t>NIT-20633</t>
  </si>
  <si>
    <t>Docente Especialista 632</t>
  </si>
  <si>
    <t>docente632@correo.edu.gt</t>
  </si>
  <si>
    <t>5555-1633</t>
  </si>
  <si>
    <t>DPI-10634</t>
  </si>
  <si>
    <t>NIT-20634</t>
  </si>
  <si>
    <t>Docente Especialista 633</t>
  </si>
  <si>
    <t>docente633@correo.edu.gt</t>
  </si>
  <si>
    <t>5555-1634</t>
  </si>
  <si>
    <t>DPI-10635</t>
  </si>
  <si>
    <t>NIT-20635</t>
  </si>
  <si>
    <t>Docente Especialista 634</t>
  </si>
  <si>
    <t>docente634@correo.edu.gt</t>
  </si>
  <si>
    <t>5555-1635</t>
  </si>
  <si>
    <t>DPI-10636</t>
  </si>
  <si>
    <t>NIT-20636</t>
  </si>
  <si>
    <t>Docente Especialista 635</t>
  </si>
  <si>
    <t>docente635@correo.edu.gt</t>
  </si>
  <si>
    <t>5555-1636</t>
  </si>
  <si>
    <t>DPI-10637</t>
  </si>
  <si>
    <t>NIT-20637</t>
  </si>
  <si>
    <t>Docente Especialista 636</t>
  </si>
  <si>
    <t>docente636@correo.edu.gt</t>
  </si>
  <si>
    <t>5555-1637</t>
  </si>
  <si>
    <t>DPI-10638</t>
  </si>
  <si>
    <t>NIT-20638</t>
  </si>
  <si>
    <t>Docente Especialista 637</t>
  </si>
  <si>
    <t>docente637@correo.edu.gt</t>
  </si>
  <si>
    <t>5555-1638</t>
  </si>
  <si>
    <t>DPI-10639</t>
  </si>
  <si>
    <t>NIT-20639</t>
  </si>
  <si>
    <t>Docente Especialista 638</t>
  </si>
  <si>
    <t>docente638@correo.edu.gt</t>
  </si>
  <si>
    <t>5555-1639</t>
  </si>
  <si>
    <t>DPI-10640</t>
  </si>
  <si>
    <t>NIT-20640</t>
  </si>
  <si>
    <t>Docente Especialista 639</t>
  </si>
  <si>
    <t>docente639@correo.edu.gt</t>
  </si>
  <si>
    <t>5555-1640</t>
  </si>
  <si>
    <t>DPI-10641</t>
  </si>
  <si>
    <t>NIT-20641</t>
  </si>
  <si>
    <t>Docente Especialista 640</t>
  </si>
  <si>
    <t>docente640@correo.edu.gt</t>
  </si>
  <si>
    <t>5555-1641</t>
  </si>
  <si>
    <t>DPI-10642</t>
  </si>
  <si>
    <t>NIT-20642</t>
  </si>
  <si>
    <t>Docente Especialista 641</t>
  </si>
  <si>
    <t>docente641@correo.edu.gt</t>
  </si>
  <si>
    <t>5555-1642</t>
  </si>
  <si>
    <t>DPI-10643</t>
  </si>
  <si>
    <t>NIT-20643</t>
  </si>
  <si>
    <t>Docente Especialista 642</t>
  </si>
  <si>
    <t>docente642@correo.edu.gt</t>
  </si>
  <si>
    <t>5555-1643</t>
  </si>
  <si>
    <t>DPI-10644</t>
  </si>
  <si>
    <t>NIT-20644</t>
  </si>
  <si>
    <t>Docente Especialista 643</t>
  </si>
  <si>
    <t>docente643@correo.edu.gt</t>
  </si>
  <si>
    <t>5555-1644</t>
  </si>
  <si>
    <t>DPI-10645</t>
  </si>
  <si>
    <t>NIT-20645</t>
  </si>
  <si>
    <t>Docente Especialista 644</t>
  </si>
  <si>
    <t>docente644@correo.edu.gt</t>
  </si>
  <si>
    <t>5555-1645</t>
  </si>
  <si>
    <t>DPI-10646</t>
  </si>
  <si>
    <t>NIT-20646</t>
  </si>
  <si>
    <t>Docente Especialista 645</t>
  </si>
  <si>
    <t>docente645@correo.edu.gt</t>
  </si>
  <si>
    <t>5555-1646</t>
  </si>
  <si>
    <t>DPI-10647</t>
  </si>
  <si>
    <t>NIT-20647</t>
  </si>
  <si>
    <t>Docente Especialista 646</t>
  </si>
  <si>
    <t>docente646@correo.edu.gt</t>
  </si>
  <si>
    <t>5555-1647</t>
  </si>
  <si>
    <t>DPI-10648</t>
  </si>
  <si>
    <t>NIT-20648</t>
  </si>
  <si>
    <t>Docente Especialista 647</t>
  </si>
  <si>
    <t>docente647@correo.edu.gt</t>
  </si>
  <si>
    <t>5555-1648</t>
  </si>
  <si>
    <t>DPI-10649</t>
  </si>
  <si>
    <t>NIT-20649</t>
  </si>
  <si>
    <t>Docente Especialista 648</t>
  </si>
  <si>
    <t>docente648@correo.edu.gt</t>
  </si>
  <si>
    <t>5555-1649</t>
  </si>
  <si>
    <t>DPI-10650</t>
  </si>
  <si>
    <t>NIT-20650</t>
  </si>
  <si>
    <t>Docente Especialista 649</t>
  </si>
  <si>
    <t>docente649@correo.edu.gt</t>
  </si>
  <si>
    <t>5555-1650</t>
  </si>
  <si>
    <t>DPI-10651</t>
  </si>
  <si>
    <t>NIT-20651</t>
  </si>
  <si>
    <t>Docente Especialista 650</t>
  </si>
  <si>
    <t>docente650@correo.edu.gt</t>
  </si>
  <si>
    <t>5555-1651</t>
  </si>
  <si>
    <t>DPI-10652</t>
  </si>
  <si>
    <t>NIT-20652</t>
  </si>
  <si>
    <t>Docente Especialista 651</t>
  </si>
  <si>
    <t>docente651@correo.edu.gt</t>
  </si>
  <si>
    <t>5555-1652</t>
  </si>
  <si>
    <t>DPI-10653</t>
  </si>
  <si>
    <t>NIT-20653</t>
  </si>
  <si>
    <t>Docente Especialista 652</t>
  </si>
  <si>
    <t>docente652@correo.edu.gt</t>
  </si>
  <si>
    <t>5555-1653</t>
  </si>
  <si>
    <t>DPI-10654</t>
  </si>
  <si>
    <t>NIT-20654</t>
  </si>
  <si>
    <t>Docente Especialista 653</t>
  </si>
  <si>
    <t>docente653@correo.edu.gt</t>
  </si>
  <si>
    <t>5555-1654</t>
  </si>
  <si>
    <t>DPI-10655</t>
  </si>
  <si>
    <t>NIT-20655</t>
  </si>
  <si>
    <t>Docente Especialista 654</t>
  </si>
  <si>
    <t>docente654@correo.edu.gt</t>
  </si>
  <si>
    <t>5555-1655</t>
  </si>
  <si>
    <t>DPI-10656</t>
  </si>
  <si>
    <t>NIT-20656</t>
  </si>
  <si>
    <t>Docente Especialista 655</t>
  </si>
  <si>
    <t>docente655@correo.edu.gt</t>
  </si>
  <si>
    <t>5555-1656</t>
  </si>
  <si>
    <t>DPI-10657</t>
  </si>
  <si>
    <t>NIT-20657</t>
  </si>
  <si>
    <t>Docente Especialista 656</t>
  </si>
  <si>
    <t>docente656@correo.edu.gt</t>
  </si>
  <si>
    <t>5555-1657</t>
  </si>
  <si>
    <t>DPI-10658</t>
  </si>
  <si>
    <t>NIT-20658</t>
  </si>
  <si>
    <t>Docente Especialista 657</t>
  </si>
  <si>
    <t>docente657@correo.edu.gt</t>
  </si>
  <si>
    <t>5555-1658</t>
  </si>
  <si>
    <t>DPI-10659</t>
  </si>
  <si>
    <t>NIT-20659</t>
  </si>
  <si>
    <t>Docente Especialista 658</t>
  </si>
  <si>
    <t>docente658@correo.edu.gt</t>
  </si>
  <si>
    <t>5555-1659</t>
  </si>
  <si>
    <t>DPI-10660</t>
  </si>
  <si>
    <t>NIT-20660</t>
  </si>
  <si>
    <t>Docente Especialista 659</t>
  </si>
  <si>
    <t>docente659@correo.edu.gt</t>
  </si>
  <si>
    <t>5555-1660</t>
  </si>
  <si>
    <t>DPI-10661</t>
  </si>
  <si>
    <t>NIT-20661</t>
  </si>
  <si>
    <t>Docente Especialista 660</t>
  </si>
  <si>
    <t>docente660@correo.edu.gt</t>
  </si>
  <si>
    <t>5555-1661</t>
  </si>
  <si>
    <t>DPI-10662</t>
  </si>
  <si>
    <t>NIT-20662</t>
  </si>
  <si>
    <t>Docente Especialista 661</t>
  </si>
  <si>
    <t>docente661@correo.edu.gt</t>
  </si>
  <si>
    <t>5555-1662</t>
  </si>
  <si>
    <t>DPI-10663</t>
  </si>
  <si>
    <t>NIT-20663</t>
  </si>
  <si>
    <t>Docente Especialista 662</t>
  </si>
  <si>
    <t>docente662@correo.edu.gt</t>
  </si>
  <si>
    <t>5555-1663</t>
  </si>
  <si>
    <t>DPI-10664</t>
  </si>
  <si>
    <t>NIT-20664</t>
  </si>
  <si>
    <t>Docente Especialista 663</t>
  </si>
  <si>
    <t>docente663@correo.edu.gt</t>
  </si>
  <si>
    <t>5555-1664</t>
  </si>
  <si>
    <t>DPI-10665</t>
  </si>
  <si>
    <t>NIT-20665</t>
  </si>
  <si>
    <t>Docente Especialista 664</t>
  </si>
  <si>
    <t>docente664@correo.edu.gt</t>
  </si>
  <si>
    <t>5555-1665</t>
  </si>
  <si>
    <t>DPI-10666</t>
  </si>
  <si>
    <t>NIT-20666</t>
  </si>
  <si>
    <t>Docente Especialista 665</t>
  </si>
  <si>
    <t>docente665@correo.edu.gt</t>
  </si>
  <si>
    <t>5555-1666</t>
  </si>
  <si>
    <t>DPI-10667</t>
  </si>
  <si>
    <t>NIT-20667</t>
  </si>
  <si>
    <t>Docente Especialista 666</t>
  </si>
  <si>
    <t>docente666@correo.edu.gt</t>
  </si>
  <si>
    <t>5555-1667</t>
  </si>
  <si>
    <t>DPI-10668</t>
  </si>
  <si>
    <t>NIT-20668</t>
  </si>
  <si>
    <t>Docente Especialista 667</t>
  </si>
  <si>
    <t>docente667@correo.edu.gt</t>
  </si>
  <si>
    <t>5555-1668</t>
  </si>
  <si>
    <t>DPI-10669</t>
  </si>
  <si>
    <t>NIT-20669</t>
  </si>
  <si>
    <t>Docente Especialista 668</t>
  </si>
  <si>
    <t>docente668@correo.edu.gt</t>
  </si>
  <si>
    <t>5555-1669</t>
  </si>
  <si>
    <t>DPI-10670</t>
  </si>
  <si>
    <t>NIT-20670</t>
  </si>
  <si>
    <t>Docente Especialista 669</t>
  </si>
  <si>
    <t>docente669@correo.edu.gt</t>
  </si>
  <si>
    <t>5555-1670</t>
  </si>
  <si>
    <t>DPI-10671</t>
  </si>
  <si>
    <t>NIT-20671</t>
  </si>
  <si>
    <t>Docente Especialista 670</t>
  </si>
  <si>
    <t>docente670@correo.edu.gt</t>
  </si>
  <si>
    <t>5555-1671</t>
  </si>
  <si>
    <t>DPI-10672</t>
  </si>
  <si>
    <t>NIT-20672</t>
  </si>
  <si>
    <t>Docente Especialista 671</t>
  </si>
  <si>
    <t>docente671@correo.edu.gt</t>
  </si>
  <si>
    <t>5555-1672</t>
  </si>
  <si>
    <t>DPI-10673</t>
  </si>
  <si>
    <t>NIT-20673</t>
  </si>
  <si>
    <t>Docente Especialista 672</t>
  </si>
  <si>
    <t>docente672@correo.edu.gt</t>
  </si>
  <si>
    <t>5555-1673</t>
  </si>
  <si>
    <t>DPI-10674</t>
  </si>
  <si>
    <t>NIT-20674</t>
  </si>
  <si>
    <t>Docente Especialista 673</t>
  </si>
  <si>
    <t>docente673@correo.edu.gt</t>
  </si>
  <si>
    <t>5555-1674</t>
  </si>
  <si>
    <t>DPI-10675</t>
  </si>
  <si>
    <t>NIT-20675</t>
  </si>
  <si>
    <t>Docente Especialista 674</t>
  </si>
  <si>
    <t>docente674@correo.edu.gt</t>
  </si>
  <si>
    <t>5555-1675</t>
  </si>
  <si>
    <t>DPI-10676</t>
  </si>
  <si>
    <t>NIT-20676</t>
  </si>
  <si>
    <t>Docente Especialista 675</t>
  </si>
  <si>
    <t>docente675@correo.edu.gt</t>
  </si>
  <si>
    <t>5555-1676</t>
  </si>
  <si>
    <t>DPI-10677</t>
  </si>
  <si>
    <t>NIT-20677</t>
  </si>
  <si>
    <t>Docente Especialista 676</t>
  </si>
  <si>
    <t>docente676@correo.edu.gt</t>
  </si>
  <si>
    <t>5555-1677</t>
  </si>
  <si>
    <t>DPI-10678</t>
  </si>
  <si>
    <t>NIT-20678</t>
  </si>
  <si>
    <t>Docente Especialista 677</t>
  </si>
  <si>
    <t>docente677@correo.edu.gt</t>
  </si>
  <si>
    <t>5555-1678</t>
  </si>
  <si>
    <t>DPI-10679</t>
  </si>
  <si>
    <t>NIT-20679</t>
  </si>
  <si>
    <t>Docente Especialista 678</t>
  </si>
  <si>
    <t>docente678@correo.edu.gt</t>
  </si>
  <si>
    <t>5555-1679</t>
  </si>
  <si>
    <t>DPI-10680</t>
  </si>
  <si>
    <t>NIT-20680</t>
  </si>
  <si>
    <t>Docente Especialista 679</t>
  </si>
  <si>
    <t>docente679@correo.edu.gt</t>
  </si>
  <si>
    <t>5555-1680</t>
  </si>
  <si>
    <t>DPI-10681</t>
  </si>
  <si>
    <t>NIT-20681</t>
  </si>
  <si>
    <t>Docente Especialista 680</t>
  </si>
  <si>
    <t>docente680@correo.edu.gt</t>
  </si>
  <si>
    <t>5555-1681</t>
  </si>
  <si>
    <t>DPI-10682</t>
  </si>
  <si>
    <t>NIT-20682</t>
  </si>
  <si>
    <t>Docente Especialista 681</t>
  </si>
  <si>
    <t>docente681@correo.edu.gt</t>
  </si>
  <si>
    <t>5555-1682</t>
  </si>
  <si>
    <t>DPI-10683</t>
  </si>
  <si>
    <t>NIT-20683</t>
  </si>
  <si>
    <t>Docente Especialista 682</t>
  </si>
  <si>
    <t>docente682@correo.edu.gt</t>
  </si>
  <si>
    <t>5555-1683</t>
  </si>
  <si>
    <t>DPI-10684</t>
  </si>
  <si>
    <t>NIT-20684</t>
  </si>
  <si>
    <t>Docente Especialista 683</t>
  </si>
  <si>
    <t>docente683@correo.edu.gt</t>
  </si>
  <si>
    <t>5555-1684</t>
  </si>
  <si>
    <t>DPI-10685</t>
  </si>
  <si>
    <t>NIT-20685</t>
  </si>
  <si>
    <t>Docente Especialista 684</t>
  </si>
  <si>
    <t>docente684@correo.edu.gt</t>
  </si>
  <si>
    <t>5555-1685</t>
  </si>
  <si>
    <t>DPI-10686</t>
  </si>
  <si>
    <t>NIT-20686</t>
  </si>
  <si>
    <t>Docente Especialista 685</t>
  </si>
  <si>
    <t>docente685@correo.edu.gt</t>
  </si>
  <si>
    <t>5555-1686</t>
  </si>
  <si>
    <t>DPI-10687</t>
  </si>
  <si>
    <t>NIT-20687</t>
  </si>
  <si>
    <t>Docente Especialista 686</t>
  </si>
  <si>
    <t>docente686@correo.edu.gt</t>
  </si>
  <si>
    <t>5555-1687</t>
  </si>
  <si>
    <t>DPI-10688</t>
  </si>
  <si>
    <t>NIT-20688</t>
  </si>
  <si>
    <t>Docente Especialista 687</t>
  </si>
  <si>
    <t>docente687@correo.edu.gt</t>
  </si>
  <si>
    <t>5555-1688</t>
  </si>
  <si>
    <t>DPI-10689</t>
  </si>
  <si>
    <t>NIT-20689</t>
  </si>
  <si>
    <t>Docente Especialista 688</t>
  </si>
  <si>
    <t>docente688@correo.edu.gt</t>
  </si>
  <si>
    <t>5555-1689</t>
  </si>
  <si>
    <t>DPI-10690</t>
  </si>
  <si>
    <t>NIT-20690</t>
  </si>
  <si>
    <t>Docente Especialista 689</t>
  </si>
  <si>
    <t>docente689@correo.edu.gt</t>
  </si>
  <si>
    <t>5555-1690</t>
  </si>
  <si>
    <t>DPI-10691</t>
  </si>
  <si>
    <t>NIT-20691</t>
  </si>
  <si>
    <t>Docente Especialista 690</t>
  </si>
  <si>
    <t>docente690@correo.edu.gt</t>
  </si>
  <si>
    <t>5555-1691</t>
  </si>
  <si>
    <t>DPI-10692</t>
  </si>
  <si>
    <t>NIT-20692</t>
  </si>
  <si>
    <t>Docente Especialista 691</t>
  </si>
  <si>
    <t>docente691@correo.edu.gt</t>
  </si>
  <si>
    <t>5555-1692</t>
  </si>
  <si>
    <t>DPI-10693</t>
  </si>
  <si>
    <t>NIT-20693</t>
  </si>
  <si>
    <t>Docente Especialista 692</t>
  </si>
  <si>
    <t>docente692@correo.edu.gt</t>
  </si>
  <si>
    <t>5555-1693</t>
  </si>
  <si>
    <t>DPI-10694</t>
  </si>
  <si>
    <t>NIT-20694</t>
  </si>
  <si>
    <t>Docente Especialista 693</t>
  </si>
  <si>
    <t>docente693@correo.edu.gt</t>
  </si>
  <si>
    <t>5555-1694</t>
  </si>
  <si>
    <t>DPI-10695</t>
  </si>
  <si>
    <t>NIT-20695</t>
  </si>
  <si>
    <t>Docente Especialista 694</t>
  </si>
  <si>
    <t>docente694@correo.edu.gt</t>
  </si>
  <si>
    <t>5555-1695</t>
  </si>
  <si>
    <t>DPI-10696</t>
  </si>
  <si>
    <t>NIT-20696</t>
  </si>
  <si>
    <t>Docente Especialista 695</t>
  </si>
  <si>
    <t>docente695@correo.edu.gt</t>
  </si>
  <si>
    <t>5555-1696</t>
  </si>
  <si>
    <t>DPI-10697</t>
  </si>
  <si>
    <t>NIT-20697</t>
  </si>
  <si>
    <t>Docente Especialista 696</t>
  </si>
  <si>
    <t>docente696@correo.edu.gt</t>
  </si>
  <si>
    <t>5555-1697</t>
  </si>
  <si>
    <t>DPI-10698</t>
  </si>
  <si>
    <t>NIT-20698</t>
  </si>
  <si>
    <t>Docente Especialista 697</t>
  </si>
  <si>
    <t>docente697@correo.edu.gt</t>
  </si>
  <si>
    <t>5555-1698</t>
  </si>
  <si>
    <t>DPI-10699</t>
  </si>
  <si>
    <t>NIT-20699</t>
  </si>
  <si>
    <t>Docente Especialista 698</t>
  </si>
  <si>
    <t>docente698@correo.edu.gt</t>
  </si>
  <si>
    <t>5555-1699</t>
  </si>
  <si>
    <t>DPI-10700</t>
  </si>
  <si>
    <t>NIT-20700</t>
  </si>
  <si>
    <t>Docente Especialista 699</t>
  </si>
  <si>
    <t>docente699@correo.edu.gt</t>
  </si>
  <si>
    <t>5555-1700</t>
  </si>
  <si>
    <t>DPI-10701</t>
  </si>
  <si>
    <t>NIT-20701</t>
  </si>
  <si>
    <t>Docente Especialista 700</t>
  </si>
  <si>
    <t>docente700@correo.edu.gt</t>
  </si>
  <si>
    <t>5555-1701</t>
  </si>
  <si>
    <t>DPI-10702</t>
  </si>
  <si>
    <t>NIT-20702</t>
  </si>
  <si>
    <t>Docente Especialista 701</t>
  </si>
  <si>
    <t>docente701@correo.edu.gt</t>
  </si>
  <si>
    <t>5555-1702</t>
  </si>
  <si>
    <t>DPI-10703</t>
  </si>
  <si>
    <t>NIT-20703</t>
  </si>
  <si>
    <t>Docente Especialista 702</t>
  </si>
  <si>
    <t>docente702@correo.edu.gt</t>
  </si>
  <si>
    <t>5555-1703</t>
  </si>
  <si>
    <t>DPI-10704</t>
  </si>
  <si>
    <t>NIT-20704</t>
  </si>
  <si>
    <t>Docente Especialista 703</t>
  </si>
  <si>
    <t>docente703@correo.edu.gt</t>
  </si>
  <si>
    <t>5555-1704</t>
  </si>
  <si>
    <t>DPI-10705</t>
  </si>
  <si>
    <t>NIT-20705</t>
  </si>
  <si>
    <t>Docente Especialista 704</t>
  </si>
  <si>
    <t>docente704@correo.edu.gt</t>
  </si>
  <si>
    <t>5555-1705</t>
  </si>
  <si>
    <t>DPI-10706</t>
  </si>
  <si>
    <t>NIT-20706</t>
  </si>
  <si>
    <t>Docente Especialista 705</t>
  </si>
  <si>
    <t>docente705@correo.edu.gt</t>
  </si>
  <si>
    <t>5555-1706</t>
  </si>
  <si>
    <t>DPI-10707</t>
  </si>
  <si>
    <t>NIT-20707</t>
  </si>
  <si>
    <t>Docente Especialista 706</t>
  </si>
  <si>
    <t>docente706@correo.edu.gt</t>
  </si>
  <si>
    <t>5555-1707</t>
  </si>
  <si>
    <t>DPI-10708</t>
  </si>
  <si>
    <t>NIT-20708</t>
  </si>
  <si>
    <t>Docente Especialista 707</t>
  </si>
  <si>
    <t>docente707@correo.edu.gt</t>
  </si>
  <si>
    <t>5555-1708</t>
  </si>
  <si>
    <t>DPI-10709</t>
  </si>
  <si>
    <t>NIT-20709</t>
  </si>
  <si>
    <t>Docente Especialista 708</t>
  </si>
  <si>
    <t>docente708@correo.edu.gt</t>
  </si>
  <si>
    <t>5555-1709</t>
  </si>
  <si>
    <t>DPI-10710</t>
  </si>
  <si>
    <t>NIT-20710</t>
  </si>
  <si>
    <t>Docente Especialista 709</t>
  </si>
  <si>
    <t>docente709@correo.edu.gt</t>
  </si>
  <si>
    <t>5555-1710</t>
  </si>
  <si>
    <t>DPI-10711</t>
  </si>
  <si>
    <t>NIT-20711</t>
  </si>
  <si>
    <t>Docente Especialista 710</t>
  </si>
  <si>
    <t>docente710@correo.edu.gt</t>
  </si>
  <si>
    <t>5555-1711</t>
  </si>
  <si>
    <t>DPI-10712</t>
  </si>
  <si>
    <t>NIT-20712</t>
  </si>
  <si>
    <t>Docente Especialista 711</t>
  </si>
  <si>
    <t>docente711@correo.edu.gt</t>
  </si>
  <si>
    <t>5555-1712</t>
  </si>
  <si>
    <t>DPI-10713</t>
  </si>
  <si>
    <t>NIT-20713</t>
  </si>
  <si>
    <t>Docente Especialista 712</t>
  </si>
  <si>
    <t>docente712@correo.edu.gt</t>
  </si>
  <si>
    <t>5555-1713</t>
  </si>
  <si>
    <t>DPI-10714</t>
  </si>
  <si>
    <t>NIT-20714</t>
  </si>
  <si>
    <t>Docente Especialista 713</t>
  </si>
  <si>
    <t>docente713@correo.edu.gt</t>
  </si>
  <si>
    <t>5555-1714</t>
  </si>
  <si>
    <t>DPI-10715</t>
  </si>
  <si>
    <t>NIT-20715</t>
  </si>
  <si>
    <t>Docente Especialista 714</t>
  </si>
  <si>
    <t>docente714@correo.edu.gt</t>
  </si>
  <si>
    <t>5555-1715</t>
  </si>
  <si>
    <t>DPI-10716</t>
  </si>
  <si>
    <t>NIT-20716</t>
  </si>
  <si>
    <t>Docente Especialista 715</t>
  </si>
  <si>
    <t>docente715@correo.edu.gt</t>
  </si>
  <si>
    <t>5555-1716</t>
  </si>
  <si>
    <t>DPI-10717</t>
  </si>
  <si>
    <t>NIT-20717</t>
  </si>
  <si>
    <t>Docente Especialista 716</t>
  </si>
  <si>
    <t>docente716@correo.edu.gt</t>
  </si>
  <si>
    <t>5555-1717</t>
  </si>
  <si>
    <t>DPI-10718</t>
  </si>
  <si>
    <t>NIT-20718</t>
  </si>
  <si>
    <t>Docente Especialista 717</t>
  </si>
  <si>
    <t>docente717@correo.edu.gt</t>
  </si>
  <si>
    <t>5555-1718</t>
  </si>
  <si>
    <t>DPI-10719</t>
  </si>
  <si>
    <t>NIT-20719</t>
  </si>
  <si>
    <t>Docente Especialista 718</t>
  </si>
  <si>
    <t>docente718@correo.edu.gt</t>
  </si>
  <si>
    <t>5555-1719</t>
  </si>
  <si>
    <t>DPI-10720</t>
  </si>
  <si>
    <t>NIT-20720</t>
  </si>
  <si>
    <t>Docente Especialista 719</t>
  </si>
  <si>
    <t>docente719@correo.edu.gt</t>
  </si>
  <si>
    <t>5555-1720</t>
  </si>
  <si>
    <t>DPI-10721</t>
  </si>
  <si>
    <t>NIT-20721</t>
  </si>
  <si>
    <t>Docente Especialista 720</t>
  </si>
  <si>
    <t>docente720@correo.edu.gt</t>
  </si>
  <si>
    <t>5555-1721</t>
  </si>
  <si>
    <t>DPI-10722</t>
  </si>
  <si>
    <t>NIT-20722</t>
  </si>
  <si>
    <t>Docente Especialista 721</t>
  </si>
  <si>
    <t>docente721@correo.edu.gt</t>
  </si>
  <si>
    <t>5555-1722</t>
  </si>
  <si>
    <t>DPI-10723</t>
  </si>
  <si>
    <t>NIT-20723</t>
  </si>
  <si>
    <t>Docente Especialista 722</t>
  </si>
  <si>
    <t>docente722@correo.edu.gt</t>
  </si>
  <si>
    <t>5555-1723</t>
  </si>
  <si>
    <t>DPI-10724</t>
  </si>
  <si>
    <t>NIT-20724</t>
  </si>
  <si>
    <t>Docente Especialista 723</t>
  </si>
  <si>
    <t>docente723@correo.edu.gt</t>
  </si>
  <si>
    <t>5555-1724</t>
  </si>
  <si>
    <t>DPI-10725</t>
  </si>
  <si>
    <t>NIT-20725</t>
  </si>
  <si>
    <t>Docente Especialista 724</t>
  </si>
  <si>
    <t>docente724@correo.edu.gt</t>
  </si>
  <si>
    <t>5555-1725</t>
  </si>
  <si>
    <t>DPI-10726</t>
  </si>
  <si>
    <t>NIT-20726</t>
  </si>
  <si>
    <t>Docente Especialista 725</t>
  </si>
  <si>
    <t>docente725@correo.edu.gt</t>
  </si>
  <si>
    <t>5555-1726</t>
  </si>
  <si>
    <t>DPI-10727</t>
  </si>
  <si>
    <t>NIT-20727</t>
  </si>
  <si>
    <t>Docente Especialista 726</t>
  </si>
  <si>
    <t>docente726@correo.edu.gt</t>
  </si>
  <si>
    <t>5555-1727</t>
  </si>
  <si>
    <t>DPI-10728</t>
  </si>
  <si>
    <t>NIT-20728</t>
  </si>
  <si>
    <t>Docente Especialista 727</t>
  </si>
  <si>
    <t>docente727@correo.edu.gt</t>
  </si>
  <si>
    <t>5555-1728</t>
  </si>
  <si>
    <t>DPI-10729</t>
  </si>
  <si>
    <t>NIT-20729</t>
  </si>
  <si>
    <t>Docente Especialista 728</t>
  </si>
  <si>
    <t>docente728@correo.edu.gt</t>
  </si>
  <si>
    <t>5555-1729</t>
  </si>
  <si>
    <t>DPI-10730</t>
  </si>
  <si>
    <t>NIT-20730</t>
  </si>
  <si>
    <t>Docente Especialista 729</t>
  </si>
  <si>
    <t>docente729@correo.edu.gt</t>
  </si>
  <si>
    <t>5555-1730</t>
  </si>
  <si>
    <t>DPI-10731</t>
  </si>
  <si>
    <t>NIT-20731</t>
  </si>
  <si>
    <t>Docente Especialista 730</t>
  </si>
  <si>
    <t>docente730@correo.edu.gt</t>
  </si>
  <si>
    <t>5555-1731</t>
  </si>
  <si>
    <t>DPI-10732</t>
  </si>
  <si>
    <t>NIT-20732</t>
  </si>
  <si>
    <t>Docente Especialista 731</t>
  </si>
  <si>
    <t>docente731@correo.edu.gt</t>
  </si>
  <si>
    <t>5555-1732</t>
  </si>
  <si>
    <t>DPI-10733</t>
  </si>
  <si>
    <t>NIT-20733</t>
  </si>
  <si>
    <t>Docente Especialista 732</t>
  </si>
  <si>
    <t>docente732@correo.edu.gt</t>
  </si>
  <si>
    <t>5555-1733</t>
  </si>
  <si>
    <t>DPI-10734</t>
  </si>
  <si>
    <t>NIT-20734</t>
  </si>
  <si>
    <t>Docente Especialista 733</t>
  </si>
  <si>
    <t>docente733@correo.edu.gt</t>
  </si>
  <si>
    <t>5555-1734</t>
  </si>
  <si>
    <t>DPI-10735</t>
  </si>
  <si>
    <t>NIT-20735</t>
  </si>
  <si>
    <t>Docente Especialista 734</t>
  </si>
  <si>
    <t>docente734@correo.edu.gt</t>
  </si>
  <si>
    <t>5555-1735</t>
  </si>
  <si>
    <t>DPI-10736</t>
  </si>
  <si>
    <t>NIT-20736</t>
  </si>
  <si>
    <t>Docente Especialista 735</t>
  </si>
  <si>
    <t>docente735@correo.edu.gt</t>
  </si>
  <si>
    <t>5555-1736</t>
  </si>
  <si>
    <t>DPI-10737</t>
  </si>
  <si>
    <t>NIT-20737</t>
  </si>
  <si>
    <t>Docente Especialista 736</t>
  </si>
  <si>
    <t>docente736@correo.edu.gt</t>
  </si>
  <si>
    <t>5555-1737</t>
  </si>
  <si>
    <t>DPI-10738</t>
  </si>
  <si>
    <t>NIT-20738</t>
  </si>
  <si>
    <t>Docente Especialista 737</t>
  </si>
  <si>
    <t>docente737@correo.edu.gt</t>
  </si>
  <si>
    <t>5555-1738</t>
  </si>
  <si>
    <t>DPI-10739</t>
  </si>
  <si>
    <t>NIT-20739</t>
  </si>
  <si>
    <t>Docente Especialista 738</t>
  </si>
  <si>
    <t>docente738@correo.edu.gt</t>
  </si>
  <si>
    <t>5555-1739</t>
  </si>
  <si>
    <t>DPI-10740</t>
  </si>
  <si>
    <t>NIT-20740</t>
  </si>
  <si>
    <t>Docente Especialista 739</t>
  </si>
  <si>
    <t>docente739@correo.edu.gt</t>
  </si>
  <si>
    <t>5555-1740</t>
  </si>
  <si>
    <t>DPI-10741</t>
  </si>
  <si>
    <t>NIT-20741</t>
  </si>
  <si>
    <t>Docente Especialista 740</t>
  </si>
  <si>
    <t>docente740@correo.edu.gt</t>
  </si>
  <si>
    <t>5555-1741</t>
  </si>
  <si>
    <t>DPI-10742</t>
  </si>
  <si>
    <t>NIT-20742</t>
  </si>
  <si>
    <t>Docente Especialista 741</t>
  </si>
  <si>
    <t>docente741@correo.edu.gt</t>
  </si>
  <si>
    <t>5555-1742</t>
  </si>
  <si>
    <t>DPI-10743</t>
  </si>
  <si>
    <t>NIT-20743</t>
  </si>
  <si>
    <t>Docente Especialista 742</t>
  </si>
  <si>
    <t>docente742@correo.edu.gt</t>
  </si>
  <si>
    <t>5555-1743</t>
  </si>
  <si>
    <t>DPI-10744</t>
  </si>
  <si>
    <t>NIT-20744</t>
  </si>
  <si>
    <t>Docente Especialista 743</t>
  </si>
  <si>
    <t>docente743@correo.edu.gt</t>
  </si>
  <si>
    <t>5555-1744</t>
  </si>
  <si>
    <t>DPI-10745</t>
  </si>
  <si>
    <t>NIT-20745</t>
  </si>
  <si>
    <t>Docente Especialista 744</t>
  </si>
  <si>
    <t>docente744@correo.edu.gt</t>
  </si>
  <si>
    <t>5555-1745</t>
  </si>
  <si>
    <t>DPI-10746</t>
  </si>
  <si>
    <t>NIT-20746</t>
  </si>
  <si>
    <t>Docente Especialista 745</t>
  </si>
  <si>
    <t>docente745@correo.edu.gt</t>
  </si>
  <si>
    <t>5555-1746</t>
  </si>
  <si>
    <t>DPI-10747</t>
  </si>
  <si>
    <t>NIT-20747</t>
  </si>
  <si>
    <t>Docente Especialista 746</t>
  </si>
  <si>
    <t>docente746@correo.edu.gt</t>
  </si>
  <si>
    <t>5555-1747</t>
  </si>
  <si>
    <t>DPI-10748</t>
  </si>
  <si>
    <t>NIT-20748</t>
  </si>
  <si>
    <t>Docente Especialista 747</t>
  </si>
  <si>
    <t>docente747@correo.edu.gt</t>
  </si>
  <si>
    <t>5555-1748</t>
  </si>
  <si>
    <t>DPI-10749</t>
  </si>
  <si>
    <t>NIT-20749</t>
  </si>
  <si>
    <t>Docente Especialista 748</t>
  </si>
  <si>
    <t>docente748@correo.edu.gt</t>
  </si>
  <si>
    <t>5555-1749</t>
  </si>
  <si>
    <t>DPI-10750</t>
  </si>
  <si>
    <t>NIT-20750</t>
  </si>
  <si>
    <t>Docente Especialista 749</t>
  </si>
  <si>
    <t>docente749@correo.edu.gt</t>
  </si>
  <si>
    <t>5555-1750</t>
  </si>
  <si>
    <t>DPI-10751</t>
  </si>
  <si>
    <t>NIT-20751</t>
  </si>
  <si>
    <t>Docente Especialista 750</t>
  </si>
  <si>
    <t>docente750@correo.edu.gt</t>
  </si>
  <si>
    <t>5555-1751</t>
  </si>
  <si>
    <t>DPI-10752</t>
  </si>
  <si>
    <t>NIT-20752</t>
  </si>
  <si>
    <t>Docente Especialista 751</t>
  </si>
  <si>
    <t>docente751@correo.edu.gt</t>
  </si>
  <si>
    <t>5555-1752</t>
  </si>
  <si>
    <t>DPI-10753</t>
  </si>
  <si>
    <t>NIT-20753</t>
  </si>
  <si>
    <t>Docente Especialista 752</t>
  </si>
  <si>
    <t>docente752@correo.edu.gt</t>
  </si>
  <si>
    <t>5555-1753</t>
  </si>
  <si>
    <t>DPI-10754</t>
  </si>
  <si>
    <t>NIT-20754</t>
  </si>
  <si>
    <t>Docente Especialista 753</t>
  </si>
  <si>
    <t>docente753@correo.edu.gt</t>
  </si>
  <si>
    <t>5555-1754</t>
  </si>
  <si>
    <t>DPI-10755</t>
  </si>
  <si>
    <t>NIT-20755</t>
  </si>
  <si>
    <t>Docente Especialista 754</t>
  </si>
  <si>
    <t>docente754@correo.edu.gt</t>
  </si>
  <si>
    <t>5555-1755</t>
  </si>
  <si>
    <t>DPI-10756</t>
  </si>
  <si>
    <t>NIT-20756</t>
  </si>
  <si>
    <t>Docente Especialista 755</t>
  </si>
  <si>
    <t>docente755@correo.edu.gt</t>
  </si>
  <si>
    <t>5555-1756</t>
  </si>
  <si>
    <t>DPI-10757</t>
  </si>
  <si>
    <t>NIT-20757</t>
  </si>
  <si>
    <t>Docente Especialista 756</t>
  </si>
  <si>
    <t>docente756@correo.edu.gt</t>
  </si>
  <si>
    <t>5555-1757</t>
  </si>
  <si>
    <t>DPI-10758</t>
  </si>
  <si>
    <t>NIT-20758</t>
  </si>
  <si>
    <t>Docente Especialista 757</t>
  </si>
  <si>
    <t>docente757@correo.edu.gt</t>
  </si>
  <si>
    <t>5555-1758</t>
  </si>
  <si>
    <t>DPI-10759</t>
  </si>
  <si>
    <t>NIT-20759</t>
  </si>
  <si>
    <t>Docente Especialista 758</t>
  </si>
  <si>
    <t>docente758@correo.edu.gt</t>
  </si>
  <si>
    <t>5555-1759</t>
  </si>
  <si>
    <t>DPI-10760</t>
  </si>
  <si>
    <t>NIT-20760</t>
  </si>
  <si>
    <t>Docente Especialista 759</t>
  </si>
  <si>
    <t>docente759@correo.edu.gt</t>
  </si>
  <si>
    <t>5555-1760</t>
  </si>
  <si>
    <t>DPI-10761</t>
  </si>
  <si>
    <t>NIT-20761</t>
  </si>
  <si>
    <t>Docente Especialista 760</t>
  </si>
  <si>
    <t>docente760@correo.edu.gt</t>
  </si>
  <si>
    <t>5555-1761</t>
  </si>
  <si>
    <t>DPI-10762</t>
  </si>
  <si>
    <t>NIT-20762</t>
  </si>
  <si>
    <t>Docente Especialista 761</t>
  </si>
  <si>
    <t>docente761@correo.edu.gt</t>
  </si>
  <si>
    <t>5555-1762</t>
  </si>
  <si>
    <t>DPI-10763</t>
  </si>
  <si>
    <t>NIT-20763</t>
  </si>
  <si>
    <t>Docente Especialista 762</t>
  </si>
  <si>
    <t>docente762@correo.edu.gt</t>
  </si>
  <si>
    <t>5555-1763</t>
  </si>
  <si>
    <t>DPI-10764</t>
  </si>
  <si>
    <t>NIT-20764</t>
  </si>
  <si>
    <t>Docente Especialista 763</t>
  </si>
  <si>
    <t>docente763@correo.edu.gt</t>
  </si>
  <si>
    <t>5555-1764</t>
  </si>
  <si>
    <t>DPI-10765</t>
  </si>
  <si>
    <t>NIT-20765</t>
  </si>
  <si>
    <t>Docente Especialista 764</t>
  </si>
  <si>
    <t>docente764@correo.edu.gt</t>
  </si>
  <si>
    <t>5555-1765</t>
  </si>
  <si>
    <t>DPI-10766</t>
  </si>
  <si>
    <t>NIT-20766</t>
  </si>
  <si>
    <t>Docente Especialista 765</t>
  </si>
  <si>
    <t>docente765@correo.edu.gt</t>
  </si>
  <si>
    <t>5555-1766</t>
  </si>
  <si>
    <t>DPI-10767</t>
  </si>
  <si>
    <t>NIT-20767</t>
  </si>
  <si>
    <t>Docente Especialista 766</t>
  </si>
  <si>
    <t>docente766@correo.edu.gt</t>
  </si>
  <si>
    <t>5555-1767</t>
  </si>
  <si>
    <t>DPI-10768</t>
  </si>
  <si>
    <t>NIT-20768</t>
  </si>
  <si>
    <t>Docente Especialista 767</t>
  </si>
  <si>
    <t>docente767@correo.edu.gt</t>
  </si>
  <si>
    <t>5555-1768</t>
  </si>
  <si>
    <t>DPI-10769</t>
  </si>
  <si>
    <t>NIT-20769</t>
  </si>
  <si>
    <t>Docente Especialista 768</t>
  </si>
  <si>
    <t>docente768@correo.edu.gt</t>
  </si>
  <si>
    <t>5555-1769</t>
  </si>
  <si>
    <t>DPI-10770</t>
  </si>
  <si>
    <t>NIT-20770</t>
  </si>
  <si>
    <t>Docente Especialista 769</t>
  </si>
  <si>
    <t>docente769@correo.edu.gt</t>
  </si>
  <si>
    <t>5555-1770</t>
  </si>
  <si>
    <t>DPI-10771</t>
  </si>
  <si>
    <t>NIT-20771</t>
  </si>
  <si>
    <t>Docente Especialista 770</t>
  </si>
  <si>
    <t>docente770@correo.edu.gt</t>
  </si>
  <si>
    <t>5555-1771</t>
  </si>
  <si>
    <t>DPI-10772</t>
  </si>
  <si>
    <t>NIT-20772</t>
  </si>
  <si>
    <t>Docente Especialista 771</t>
  </si>
  <si>
    <t>docente771@correo.edu.gt</t>
  </si>
  <si>
    <t>5555-1772</t>
  </si>
  <si>
    <t>DPI-10773</t>
  </si>
  <si>
    <t>NIT-20773</t>
  </si>
  <si>
    <t>Docente Especialista 772</t>
  </si>
  <si>
    <t>docente772@correo.edu.gt</t>
  </si>
  <si>
    <t>5555-1773</t>
  </si>
  <si>
    <t>DPI-10774</t>
  </si>
  <si>
    <t>NIT-20774</t>
  </si>
  <si>
    <t>Docente Especialista 773</t>
  </si>
  <si>
    <t>docente773@correo.edu.gt</t>
  </si>
  <si>
    <t>5555-1774</t>
  </si>
  <si>
    <t>DPI-10775</t>
  </si>
  <si>
    <t>NIT-20775</t>
  </si>
  <si>
    <t>Docente Especialista 774</t>
  </si>
  <si>
    <t>docente774@correo.edu.gt</t>
  </si>
  <si>
    <t>5555-1775</t>
  </si>
  <si>
    <t>DPI-10776</t>
  </si>
  <si>
    <t>NIT-20776</t>
  </si>
  <si>
    <t>Docente Especialista 775</t>
  </si>
  <si>
    <t>docente775@correo.edu.gt</t>
  </si>
  <si>
    <t>5555-1776</t>
  </si>
  <si>
    <t>DPI-10777</t>
  </si>
  <si>
    <t>NIT-20777</t>
  </si>
  <si>
    <t>Docente Especialista 776</t>
  </si>
  <si>
    <t>docente776@correo.edu.gt</t>
  </si>
  <si>
    <t>5555-1777</t>
  </si>
  <si>
    <t>DPI-10778</t>
  </si>
  <si>
    <t>NIT-20778</t>
  </si>
  <si>
    <t>Docente Especialista 777</t>
  </si>
  <si>
    <t>docente777@correo.edu.gt</t>
  </si>
  <si>
    <t>5555-1778</t>
  </si>
  <si>
    <t>DPI-10779</t>
  </si>
  <si>
    <t>NIT-20779</t>
  </si>
  <si>
    <t>Docente Especialista 778</t>
  </si>
  <si>
    <t>docente778@correo.edu.gt</t>
  </si>
  <si>
    <t>5555-1779</t>
  </si>
  <si>
    <t>DPI-10780</t>
  </si>
  <si>
    <t>NIT-20780</t>
  </si>
  <si>
    <t>Docente Especialista 779</t>
  </si>
  <si>
    <t>docente779@correo.edu.gt</t>
  </si>
  <si>
    <t>5555-1780</t>
  </si>
  <si>
    <t>DPI-10781</t>
  </si>
  <si>
    <t>NIT-20781</t>
  </si>
  <si>
    <t>Docente Especialista 780</t>
  </si>
  <si>
    <t>docente780@correo.edu.gt</t>
  </si>
  <si>
    <t>5555-1781</t>
  </si>
  <si>
    <t>DPI-10782</t>
  </si>
  <si>
    <t>NIT-20782</t>
  </si>
  <si>
    <t>Docente Especialista 781</t>
  </si>
  <si>
    <t>docente781@correo.edu.gt</t>
  </si>
  <si>
    <t>5555-1782</t>
  </si>
  <si>
    <t>DPI-10783</t>
  </si>
  <si>
    <t>NIT-20783</t>
  </si>
  <si>
    <t>Docente Especialista 782</t>
  </si>
  <si>
    <t>docente782@correo.edu.gt</t>
  </si>
  <si>
    <t>5555-1783</t>
  </si>
  <si>
    <t>DPI-10784</t>
  </si>
  <si>
    <t>NIT-20784</t>
  </si>
  <si>
    <t>Docente Especialista 783</t>
  </si>
  <si>
    <t>docente783@correo.edu.gt</t>
  </si>
  <si>
    <t>5555-1784</t>
  </si>
  <si>
    <t>DPI-10785</t>
  </si>
  <si>
    <t>NIT-20785</t>
  </si>
  <si>
    <t>Docente Especialista 784</t>
  </si>
  <si>
    <t>docente784@correo.edu.gt</t>
  </si>
  <si>
    <t>5555-1785</t>
  </si>
  <si>
    <t>DPI-10786</t>
  </si>
  <si>
    <t>NIT-20786</t>
  </si>
  <si>
    <t>Docente Especialista 785</t>
  </si>
  <si>
    <t>docente785@correo.edu.gt</t>
  </si>
  <si>
    <t>5555-1786</t>
  </si>
  <si>
    <t>DPI-10787</t>
  </si>
  <si>
    <t>NIT-20787</t>
  </si>
  <si>
    <t>Docente Especialista 786</t>
  </si>
  <si>
    <t>docente786@correo.edu.gt</t>
  </si>
  <si>
    <t>5555-1787</t>
  </si>
  <si>
    <t>DPI-10788</t>
  </si>
  <si>
    <t>NIT-20788</t>
  </si>
  <si>
    <t>Docente Especialista 787</t>
  </si>
  <si>
    <t>docente787@correo.edu.gt</t>
  </si>
  <si>
    <t>5555-1788</t>
  </si>
  <si>
    <t>DPI-10789</t>
  </si>
  <si>
    <t>NIT-20789</t>
  </si>
  <si>
    <t>Docente Especialista 788</t>
  </si>
  <si>
    <t>docente788@correo.edu.gt</t>
  </si>
  <si>
    <t>5555-1789</t>
  </si>
  <si>
    <t>DPI-10790</t>
  </si>
  <si>
    <t>NIT-20790</t>
  </si>
  <si>
    <t>Docente Especialista 789</t>
  </si>
  <si>
    <t>docente789@correo.edu.gt</t>
  </si>
  <si>
    <t>5555-1790</t>
  </si>
  <si>
    <t>DPI-10791</t>
  </si>
  <si>
    <t>NIT-20791</t>
  </si>
  <si>
    <t>Docente Especialista 790</t>
  </si>
  <si>
    <t>docente790@correo.edu.gt</t>
  </si>
  <si>
    <t>5555-1791</t>
  </si>
  <si>
    <t>DPI-10792</t>
  </si>
  <si>
    <t>NIT-20792</t>
  </si>
  <si>
    <t>Docente Especialista 791</t>
  </si>
  <si>
    <t>docente791@correo.edu.gt</t>
  </si>
  <si>
    <t>5555-1792</t>
  </si>
  <si>
    <t>DPI-10793</t>
  </si>
  <si>
    <t>NIT-20793</t>
  </si>
  <si>
    <t>Docente Especialista 792</t>
  </si>
  <si>
    <t>docente792@correo.edu.gt</t>
  </si>
  <si>
    <t>5555-1793</t>
  </si>
  <si>
    <t>DPI-10794</t>
  </si>
  <si>
    <t>NIT-20794</t>
  </si>
  <si>
    <t>Docente Especialista 793</t>
  </si>
  <si>
    <t>docente793@correo.edu.gt</t>
  </si>
  <si>
    <t>5555-1794</t>
  </si>
  <si>
    <t>DPI-10795</t>
  </si>
  <si>
    <t>NIT-20795</t>
  </si>
  <si>
    <t>Docente Especialista 794</t>
  </si>
  <si>
    <t>docente794@correo.edu.gt</t>
  </si>
  <si>
    <t>5555-1795</t>
  </si>
  <si>
    <t>DPI-10796</t>
  </si>
  <si>
    <t>NIT-20796</t>
  </si>
  <si>
    <t>Docente Especialista 795</t>
  </si>
  <si>
    <t>docente795@correo.edu.gt</t>
  </si>
  <si>
    <t>5555-1796</t>
  </si>
  <si>
    <t>DPI-10797</t>
  </si>
  <si>
    <t>NIT-20797</t>
  </si>
  <si>
    <t>Docente Especialista 796</t>
  </si>
  <si>
    <t>docente796@correo.edu.gt</t>
  </si>
  <si>
    <t>5555-1797</t>
  </si>
  <si>
    <t>DPI-10798</t>
  </si>
  <si>
    <t>NIT-20798</t>
  </si>
  <si>
    <t>Docente Especialista 797</t>
  </si>
  <si>
    <t>docente797@correo.edu.gt</t>
  </si>
  <si>
    <t>5555-1798</t>
  </si>
  <si>
    <t>DPI-10799</t>
  </si>
  <si>
    <t>NIT-20799</t>
  </si>
  <si>
    <t>Docente Especialista 798</t>
  </si>
  <si>
    <t>docente798@correo.edu.gt</t>
  </si>
  <si>
    <t>5555-1799</t>
  </si>
  <si>
    <t>DPI-10800</t>
  </si>
  <si>
    <t>NIT-20800</t>
  </si>
  <si>
    <t>Docente Especialista 799</t>
  </si>
  <si>
    <t>docente799@correo.edu.gt</t>
  </si>
  <si>
    <t>5555-1800</t>
  </si>
  <si>
    <t>DPI-10801</t>
  </si>
  <si>
    <t>NIT-20801</t>
  </si>
  <si>
    <t>Docente Especialista 800</t>
  </si>
  <si>
    <t>docente800@correo.edu.gt</t>
  </si>
  <si>
    <t>5555-1801</t>
  </si>
  <si>
    <t>DPI-10802</t>
  </si>
  <si>
    <t>NIT-20802</t>
  </si>
  <si>
    <t>Docente Especialista 801</t>
  </si>
  <si>
    <t>docente801@correo.edu.gt</t>
  </si>
  <si>
    <t>5555-1802</t>
  </si>
  <si>
    <t>DPI-10803</t>
  </si>
  <si>
    <t>NIT-20803</t>
  </si>
  <si>
    <t>Docente Especialista 802</t>
  </si>
  <si>
    <t>docente802@correo.edu.gt</t>
  </si>
  <si>
    <t>5555-1803</t>
  </si>
  <si>
    <t>DPI-10804</t>
  </si>
  <si>
    <t>NIT-20804</t>
  </si>
  <si>
    <t>Docente Especialista 803</t>
  </si>
  <si>
    <t>docente803@correo.edu.gt</t>
  </si>
  <si>
    <t>5555-1804</t>
  </si>
  <si>
    <t>DPI-10805</t>
  </si>
  <si>
    <t>NIT-20805</t>
  </si>
  <si>
    <t>Docente Especialista 804</t>
  </si>
  <si>
    <t>docente804@correo.edu.gt</t>
  </si>
  <si>
    <t>5555-1805</t>
  </si>
  <si>
    <t>DPI-10806</t>
  </si>
  <si>
    <t>NIT-20806</t>
  </si>
  <si>
    <t>Docente Especialista 805</t>
  </si>
  <si>
    <t>docente805@correo.edu.gt</t>
  </si>
  <si>
    <t>5555-1806</t>
  </si>
  <si>
    <t>DPI-10807</t>
  </si>
  <si>
    <t>NIT-20807</t>
  </si>
  <si>
    <t>Docente Especialista 806</t>
  </si>
  <si>
    <t>docente806@correo.edu.gt</t>
  </si>
  <si>
    <t>5555-1807</t>
  </si>
  <si>
    <t>DPI-10808</t>
  </si>
  <si>
    <t>NIT-20808</t>
  </si>
  <si>
    <t>Docente Especialista 807</t>
  </si>
  <si>
    <t>docente807@correo.edu.gt</t>
  </si>
  <si>
    <t>5555-1808</t>
  </si>
  <si>
    <t>DPI-10809</t>
  </si>
  <si>
    <t>NIT-20809</t>
  </si>
  <si>
    <t>Docente Especialista 808</t>
  </si>
  <si>
    <t>docente808@correo.edu.gt</t>
  </si>
  <si>
    <t>5555-1809</t>
  </si>
  <si>
    <t>DPI-10810</t>
  </si>
  <si>
    <t>NIT-20810</t>
  </si>
  <si>
    <t>Docente Especialista 809</t>
  </si>
  <si>
    <t>docente809@correo.edu.gt</t>
  </si>
  <si>
    <t>5555-1810</t>
  </si>
  <si>
    <t>DPI-10811</t>
  </si>
  <si>
    <t>NIT-20811</t>
  </si>
  <si>
    <t>Docente Especialista 810</t>
  </si>
  <si>
    <t>docente810@correo.edu.gt</t>
  </si>
  <si>
    <t>5555-1811</t>
  </si>
  <si>
    <t>DPI-10812</t>
  </si>
  <si>
    <t>NIT-20812</t>
  </si>
  <si>
    <t>Docente Especialista 811</t>
  </si>
  <si>
    <t>docente811@correo.edu.gt</t>
  </si>
  <si>
    <t>5555-1812</t>
  </si>
  <si>
    <t>DPI-10813</t>
  </si>
  <si>
    <t>NIT-20813</t>
  </si>
  <si>
    <t>Docente Especialista 812</t>
  </si>
  <si>
    <t>docente812@correo.edu.gt</t>
  </si>
  <si>
    <t>5555-1813</t>
  </si>
  <si>
    <t>DPI-10814</t>
  </si>
  <si>
    <t>NIT-20814</t>
  </si>
  <si>
    <t>Docente Especialista 813</t>
  </si>
  <si>
    <t>docente813@correo.edu.gt</t>
  </si>
  <si>
    <t>5555-1814</t>
  </si>
  <si>
    <t>DPI-10815</t>
  </si>
  <si>
    <t>NIT-20815</t>
  </si>
  <si>
    <t>Docente Especialista 814</t>
  </si>
  <si>
    <t>docente814@correo.edu.gt</t>
  </si>
  <si>
    <t>5555-1815</t>
  </si>
  <si>
    <t>DPI-10816</t>
  </si>
  <si>
    <t>NIT-20816</t>
  </si>
  <si>
    <t>Docente Especialista 815</t>
  </si>
  <si>
    <t>docente815@correo.edu.gt</t>
  </si>
  <si>
    <t>5555-1816</t>
  </si>
  <si>
    <t>DPI-10817</t>
  </si>
  <si>
    <t>NIT-20817</t>
  </si>
  <si>
    <t>Docente Especialista 816</t>
  </si>
  <si>
    <t>docente816@correo.edu.gt</t>
  </si>
  <si>
    <t>5555-1817</t>
  </si>
  <si>
    <t>DPI-10818</t>
  </si>
  <si>
    <t>NIT-20818</t>
  </si>
  <si>
    <t>Docente Especialista 817</t>
  </si>
  <si>
    <t>docente817@correo.edu.gt</t>
  </si>
  <si>
    <t>5555-1818</t>
  </si>
  <si>
    <t>DPI-10819</t>
  </si>
  <si>
    <t>NIT-20819</t>
  </si>
  <si>
    <t>Docente Especialista 818</t>
  </si>
  <si>
    <t>docente818@correo.edu.gt</t>
  </si>
  <si>
    <t>5555-1819</t>
  </si>
  <si>
    <t>DPI-10820</t>
  </si>
  <si>
    <t>NIT-20820</t>
  </si>
  <si>
    <t>Docente Especialista 819</t>
  </si>
  <si>
    <t>docente819@correo.edu.gt</t>
  </si>
  <si>
    <t>5555-1820</t>
  </si>
  <si>
    <t>DPI-10821</t>
  </si>
  <si>
    <t>NIT-20821</t>
  </si>
  <si>
    <t>Docente Especialista 820</t>
  </si>
  <si>
    <t>docente820@correo.edu.gt</t>
  </si>
  <si>
    <t>5555-1821</t>
  </si>
  <si>
    <t>DPI-10822</t>
  </si>
  <si>
    <t>NIT-20822</t>
  </si>
  <si>
    <t>Docente Especialista 821</t>
  </si>
  <si>
    <t>docente821@correo.edu.gt</t>
  </si>
  <si>
    <t>5555-1822</t>
  </si>
  <si>
    <t>DPI-10823</t>
  </si>
  <si>
    <t>NIT-20823</t>
  </si>
  <si>
    <t>Docente Especialista 822</t>
  </si>
  <si>
    <t>docente822@correo.edu.gt</t>
  </si>
  <si>
    <t>5555-1823</t>
  </si>
  <si>
    <t>DPI-10824</t>
  </si>
  <si>
    <t>NIT-20824</t>
  </si>
  <si>
    <t>Docente Especialista 823</t>
  </si>
  <si>
    <t>docente823@correo.edu.gt</t>
  </si>
  <si>
    <t>5555-1824</t>
  </si>
  <si>
    <t>DPI-10825</t>
  </si>
  <si>
    <t>NIT-20825</t>
  </si>
  <si>
    <t>Docente Especialista 824</t>
  </si>
  <si>
    <t>docente824@correo.edu.gt</t>
  </si>
  <si>
    <t>5555-1825</t>
  </si>
  <si>
    <t>DPI-10826</t>
  </si>
  <si>
    <t>NIT-20826</t>
  </si>
  <si>
    <t>Docente Especialista 825</t>
  </si>
  <si>
    <t>docente825@correo.edu.gt</t>
  </si>
  <si>
    <t>5555-1826</t>
  </si>
  <si>
    <t>DPI-10827</t>
  </si>
  <si>
    <t>NIT-20827</t>
  </si>
  <si>
    <t>Docente Especialista 826</t>
  </si>
  <si>
    <t>docente826@correo.edu.gt</t>
  </si>
  <si>
    <t>5555-1827</t>
  </si>
  <si>
    <t>DPI-10828</t>
  </si>
  <si>
    <t>NIT-20828</t>
  </si>
  <si>
    <t>Docente Especialista 827</t>
  </si>
  <si>
    <t>docente827@correo.edu.gt</t>
  </si>
  <si>
    <t>5555-1828</t>
  </si>
  <si>
    <t>DPI-10829</t>
  </si>
  <si>
    <t>NIT-20829</t>
  </si>
  <si>
    <t>Docente Especialista 828</t>
  </si>
  <si>
    <t>docente828@correo.edu.gt</t>
  </si>
  <si>
    <t>5555-1829</t>
  </si>
  <si>
    <t>DPI-10830</t>
  </si>
  <si>
    <t>NIT-20830</t>
  </si>
  <si>
    <t>Docente Especialista 829</t>
  </si>
  <si>
    <t>docente829@correo.edu.gt</t>
  </si>
  <si>
    <t>5555-1830</t>
  </si>
  <si>
    <t>DPI-10831</t>
  </si>
  <si>
    <t>NIT-20831</t>
  </si>
  <si>
    <t>Docente Especialista 830</t>
  </si>
  <si>
    <t>docente830@correo.edu.gt</t>
  </si>
  <si>
    <t>5555-1831</t>
  </si>
  <si>
    <t>DPI-10832</t>
  </si>
  <si>
    <t>NIT-20832</t>
  </si>
  <si>
    <t>Docente Especialista 831</t>
  </si>
  <si>
    <t>docente831@correo.edu.gt</t>
  </si>
  <si>
    <t>5555-1832</t>
  </si>
  <si>
    <t>DPI-10833</t>
  </si>
  <si>
    <t>NIT-20833</t>
  </si>
  <si>
    <t>Docente Especialista 832</t>
  </si>
  <si>
    <t>docente832@correo.edu.gt</t>
  </si>
  <si>
    <t>5555-1833</t>
  </si>
  <si>
    <t>DPI-10834</t>
  </si>
  <si>
    <t>NIT-20834</t>
  </si>
  <si>
    <t>Docente Especialista 833</t>
  </si>
  <si>
    <t>docente833@correo.edu.gt</t>
  </si>
  <si>
    <t>5555-1834</t>
  </si>
  <si>
    <t>DPI-10835</t>
  </si>
  <si>
    <t>NIT-20835</t>
  </si>
  <si>
    <t>Docente Especialista 834</t>
  </si>
  <si>
    <t>docente834@correo.edu.gt</t>
  </si>
  <si>
    <t>5555-1835</t>
  </si>
  <si>
    <t>DPI-10836</t>
  </si>
  <si>
    <t>NIT-20836</t>
  </si>
  <si>
    <t>Docente Especialista 835</t>
  </si>
  <si>
    <t>docente835@correo.edu.gt</t>
  </si>
  <si>
    <t>5555-1836</t>
  </si>
  <si>
    <t>DPI-10837</t>
  </si>
  <si>
    <t>NIT-20837</t>
  </si>
  <si>
    <t>Docente Especialista 836</t>
  </si>
  <si>
    <t>docente836@correo.edu.gt</t>
  </si>
  <si>
    <t>5555-1837</t>
  </si>
  <si>
    <t>DPI-10838</t>
  </si>
  <si>
    <t>NIT-20838</t>
  </si>
  <si>
    <t>Docente Especialista 837</t>
  </si>
  <si>
    <t>docente837@correo.edu.gt</t>
  </si>
  <si>
    <t>5555-1838</t>
  </si>
  <si>
    <t>DPI-10839</t>
  </si>
  <si>
    <t>NIT-20839</t>
  </si>
  <si>
    <t>Docente Especialista 838</t>
  </si>
  <si>
    <t>docente838@correo.edu.gt</t>
  </si>
  <si>
    <t>5555-1839</t>
  </si>
  <si>
    <t>DPI-10840</t>
  </si>
  <si>
    <t>NIT-20840</t>
  </si>
  <si>
    <t>Docente Especialista 839</t>
  </si>
  <si>
    <t>docente839@correo.edu.gt</t>
  </si>
  <si>
    <t>5555-1840</t>
  </si>
  <si>
    <t>DPI-10841</t>
  </si>
  <si>
    <t>NIT-20841</t>
  </si>
  <si>
    <t>Docente Especialista 840</t>
  </si>
  <si>
    <t>docente840@correo.edu.gt</t>
  </si>
  <si>
    <t>5555-1841</t>
  </si>
  <si>
    <t>DPI-10842</t>
  </si>
  <si>
    <t>NIT-20842</t>
  </si>
  <si>
    <t>Docente Especialista 841</t>
  </si>
  <si>
    <t>docente841@correo.edu.gt</t>
  </si>
  <si>
    <t>5555-1842</t>
  </si>
  <si>
    <t>DPI-10843</t>
  </si>
  <si>
    <t>NIT-20843</t>
  </si>
  <si>
    <t>Docente Especialista 842</t>
  </si>
  <si>
    <t>docente842@correo.edu.gt</t>
  </si>
  <si>
    <t>5555-1843</t>
  </si>
  <si>
    <t>DPI-10844</t>
  </si>
  <si>
    <t>NIT-20844</t>
  </si>
  <si>
    <t>Docente Especialista 843</t>
  </si>
  <si>
    <t>docente843@correo.edu.gt</t>
  </si>
  <si>
    <t>5555-1844</t>
  </si>
  <si>
    <t>DPI-10845</t>
  </si>
  <si>
    <t>NIT-20845</t>
  </si>
  <si>
    <t>Docente Especialista 844</t>
  </si>
  <si>
    <t>docente844@correo.edu.gt</t>
  </si>
  <si>
    <t>5555-1845</t>
  </si>
  <si>
    <t>DPI-10846</t>
  </si>
  <si>
    <t>NIT-20846</t>
  </si>
  <si>
    <t>Docente Especialista 845</t>
  </si>
  <si>
    <t>docente845@correo.edu.gt</t>
  </si>
  <si>
    <t>5555-1846</t>
  </si>
  <si>
    <t>DPI-10847</t>
  </si>
  <si>
    <t>NIT-20847</t>
  </si>
  <si>
    <t>Docente Especialista 846</t>
  </si>
  <si>
    <t>docente846@correo.edu.gt</t>
  </si>
  <si>
    <t>5555-1847</t>
  </si>
  <si>
    <t>DPI-10848</t>
  </si>
  <si>
    <t>NIT-20848</t>
  </si>
  <si>
    <t>Docente Especialista 847</t>
  </si>
  <si>
    <t>docente847@correo.edu.gt</t>
  </si>
  <si>
    <t>5555-1848</t>
  </si>
  <si>
    <t>DPI-10849</t>
  </si>
  <si>
    <t>NIT-20849</t>
  </si>
  <si>
    <t>Docente Especialista 848</t>
  </si>
  <si>
    <t>docente848@correo.edu.gt</t>
  </si>
  <si>
    <t>5555-1849</t>
  </si>
  <si>
    <t>DPI-10850</t>
  </si>
  <si>
    <t>NIT-20850</t>
  </si>
  <si>
    <t>Docente Especialista 849</t>
  </si>
  <si>
    <t>docente849@correo.edu.gt</t>
  </si>
  <si>
    <t>5555-1850</t>
  </si>
  <si>
    <t>DPI-10851</t>
  </si>
  <si>
    <t>NIT-20851</t>
  </si>
  <si>
    <t>Docente Especialista 850</t>
  </si>
  <si>
    <t>docente850@correo.edu.gt</t>
  </si>
  <si>
    <t>5555-1851</t>
  </si>
  <si>
    <t>DPI-10852</t>
  </si>
  <si>
    <t>NIT-20852</t>
  </si>
  <si>
    <t>Docente Especialista 851</t>
  </si>
  <si>
    <t>docente851@correo.edu.gt</t>
  </si>
  <si>
    <t>5555-1852</t>
  </si>
  <si>
    <t>DPI-10853</t>
  </si>
  <si>
    <t>NIT-20853</t>
  </si>
  <si>
    <t>Docente Especialista 852</t>
  </si>
  <si>
    <t>docente852@correo.edu.gt</t>
  </si>
  <si>
    <t>5555-1853</t>
  </si>
  <si>
    <t>DPI-10854</t>
  </si>
  <si>
    <t>NIT-20854</t>
  </si>
  <si>
    <t>Docente Especialista 853</t>
  </si>
  <si>
    <t>docente853@correo.edu.gt</t>
  </si>
  <si>
    <t>5555-1854</t>
  </si>
  <si>
    <t>DPI-10855</t>
  </si>
  <si>
    <t>NIT-20855</t>
  </si>
  <si>
    <t>Docente Especialista 854</t>
  </si>
  <si>
    <t>docente854@correo.edu.gt</t>
  </si>
  <si>
    <t>5555-1855</t>
  </si>
  <si>
    <t>DPI-10856</t>
  </si>
  <si>
    <t>NIT-20856</t>
  </si>
  <si>
    <t>Docente Especialista 855</t>
  </si>
  <si>
    <t>docente855@correo.edu.gt</t>
  </si>
  <si>
    <t>5555-1856</t>
  </si>
  <si>
    <t>DPI-10857</t>
  </si>
  <si>
    <t>NIT-20857</t>
  </si>
  <si>
    <t>Docente Especialista 856</t>
  </si>
  <si>
    <t>docente856@correo.edu.gt</t>
  </si>
  <si>
    <t>5555-1857</t>
  </si>
  <si>
    <t>DPI-10858</t>
  </si>
  <si>
    <t>NIT-20858</t>
  </si>
  <si>
    <t>Docente Especialista 857</t>
  </si>
  <si>
    <t>docente857@correo.edu.gt</t>
  </si>
  <si>
    <t>5555-1858</t>
  </si>
  <si>
    <t>DPI-10859</t>
  </si>
  <si>
    <t>NIT-20859</t>
  </si>
  <si>
    <t>Docente Especialista 858</t>
  </si>
  <si>
    <t>docente858@correo.edu.gt</t>
  </si>
  <si>
    <t>5555-1859</t>
  </si>
  <si>
    <t>DPI-10860</t>
  </si>
  <si>
    <t>NIT-20860</t>
  </si>
  <si>
    <t>Docente Especialista 859</t>
  </si>
  <si>
    <t>docente859@correo.edu.gt</t>
  </si>
  <si>
    <t>5555-1860</t>
  </si>
  <si>
    <t>DPI-10861</t>
  </si>
  <si>
    <t>NIT-20861</t>
  </si>
  <si>
    <t>Docente Especialista 860</t>
  </si>
  <si>
    <t>docente860@correo.edu.gt</t>
  </si>
  <si>
    <t>5555-1861</t>
  </si>
  <si>
    <t>DPI-10862</t>
  </si>
  <si>
    <t>NIT-20862</t>
  </si>
  <si>
    <t>Docente Especialista 861</t>
  </si>
  <si>
    <t>docente861@correo.edu.gt</t>
  </si>
  <si>
    <t>5555-1862</t>
  </si>
  <si>
    <t>DPI-10863</t>
  </si>
  <si>
    <t>NIT-20863</t>
  </si>
  <si>
    <t>Docente Especialista 862</t>
  </si>
  <si>
    <t>docente862@correo.edu.gt</t>
  </si>
  <si>
    <t>5555-1863</t>
  </si>
  <si>
    <t>DPI-10864</t>
  </si>
  <si>
    <t>NIT-20864</t>
  </si>
  <si>
    <t>Docente Especialista 863</t>
  </si>
  <si>
    <t>docente863@correo.edu.gt</t>
  </si>
  <si>
    <t>5555-1864</t>
  </si>
  <si>
    <t>DPI-10865</t>
  </si>
  <si>
    <t>NIT-20865</t>
  </si>
  <si>
    <t>Docente Especialista 864</t>
  </si>
  <si>
    <t>docente864@correo.edu.gt</t>
  </si>
  <si>
    <t>5555-1865</t>
  </si>
  <si>
    <t>DPI-10866</t>
  </si>
  <si>
    <t>NIT-20866</t>
  </si>
  <si>
    <t>Docente Especialista 865</t>
  </si>
  <si>
    <t>docente865@correo.edu.gt</t>
  </si>
  <si>
    <t>5555-1866</t>
  </si>
  <si>
    <t>DPI-10867</t>
  </si>
  <si>
    <t>NIT-20867</t>
  </si>
  <si>
    <t>Docente Especialista 866</t>
  </si>
  <si>
    <t>docente866@correo.edu.gt</t>
  </si>
  <si>
    <t>5555-1867</t>
  </si>
  <si>
    <t>DPI-10868</t>
  </si>
  <si>
    <t>NIT-20868</t>
  </si>
  <si>
    <t>Docente Especialista 867</t>
  </si>
  <si>
    <t>docente867@correo.edu.gt</t>
  </si>
  <si>
    <t>5555-1868</t>
  </si>
  <si>
    <t>DPI-10869</t>
  </si>
  <si>
    <t>NIT-20869</t>
  </si>
  <si>
    <t>Docente Especialista 868</t>
  </si>
  <si>
    <t>docente868@correo.edu.gt</t>
  </si>
  <si>
    <t>5555-1869</t>
  </si>
  <si>
    <t>DPI-10870</t>
  </si>
  <si>
    <t>NIT-20870</t>
  </si>
  <si>
    <t>Docente Especialista 869</t>
  </si>
  <si>
    <t>docente869@correo.edu.gt</t>
  </si>
  <si>
    <t>5555-1870</t>
  </si>
  <si>
    <t>DPI-10871</t>
  </si>
  <si>
    <t>NIT-20871</t>
  </si>
  <si>
    <t>Docente Especialista 870</t>
  </si>
  <si>
    <t>docente870@correo.edu.gt</t>
  </si>
  <si>
    <t>5555-1871</t>
  </si>
  <si>
    <t>DPI-10872</t>
  </si>
  <si>
    <t>NIT-20872</t>
  </si>
  <si>
    <t>Docente Especialista 871</t>
  </si>
  <si>
    <t>docente871@correo.edu.gt</t>
  </si>
  <si>
    <t>5555-1872</t>
  </si>
  <si>
    <t>DPI-10873</t>
  </si>
  <si>
    <t>NIT-20873</t>
  </si>
  <si>
    <t>Docente Especialista 872</t>
  </si>
  <si>
    <t>docente872@correo.edu.gt</t>
  </si>
  <si>
    <t>5555-1873</t>
  </si>
  <si>
    <t>DPI-10874</t>
  </si>
  <si>
    <t>NIT-20874</t>
  </si>
  <si>
    <t>Docente Especialista 873</t>
  </si>
  <si>
    <t>docente873@correo.edu.gt</t>
  </si>
  <si>
    <t>5555-1874</t>
  </si>
  <si>
    <t>DPI-10875</t>
  </si>
  <si>
    <t>NIT-20875</t>
  </si>
  <si>
    <t>Docente Especialista 874</t>
  </si>
  <si>
    <t>docente874@correo.edu.gt</t>
  </si>
  <si>
    <t>5555-1875</t>
  </si>
  <si>
    <t>DPI-10876</t>
  </si>
  <si>
    <t>NIT-20876</t>
  </si>
  <si>
    <t>Docente Especialista 875</t>
  </si>
  <si>
    <t>docente875@correo.edu.gt</t>
  </si>
  <si>
    <t>5555-1876</t>
  </si>
  <si>
    <t>DPI-10877</t>
  </si>
  <si>
    <t>NIT-20877</t>
  </si>
  <si>
    <t>Docente Especialista 876</t>
  </si>
  <si>
    <t>docente876@correo.edu.gt</t>
  </si>
  <si>
    <t>5555-1877</t>
  </si>
  <si>
    <t>DPI-10878</t>
  </si>
  <si>
    <t>NIT-20878</t>
  </si>
  <si>
    <t>Docente Especialista 877</t>
  </si>
  <si>
    <t>docente877@correo.edu.gt</t>
  </si>
  <si>
    <t>5555-1878</t>
  </si>
  <si>
    <t>DPI-10879</t>
  </si>
  <si>
    <t>NIT-20879</t>
  </si>
  <si>
    <t>Docente Especialista 878</t>
  </si>
  <si>
    <t>docente878@correo.edu.gt</t>
  </si>
  <si>
    <t>5555-1879</t>
  </si>
  <si>
    <t>DPI-10880</t>
  </si>
  <si>
    <t>NIT-20880</t>
  </si>
  <si>
    <t>Docente Especialista 879</t>
  </si>
  <si>
    <t>docente879@correo.edu.gt</t>
  </si>
  <si>
    <t>5555-1880</t>
  </si>
  <si>
    <t>DPI-10881</t>
  </si>
  <si>
    <t>NIT-20881</t>
  </si>
  <si>
    <t>Docente Especialista 880</t>
  </si>
  <si>
    <t>docente880@correo.edu.gt</t>
  </si>
  <si>
    <t>5555-1881</t>
  </si>
  <si>
    <t>DPI-10882</t>
  </si>
  <si>
    <t>NIT-20882</t>
  </si>
  <si>
    <t>Docente Especialista 881</t>
  </si>
  <si>
    <t>docente881@correo.edu.gt</t>
  </si>
  <si>
    <t>5555-1882</t>
  </si>
  <si>
    <t>DPI-10883</t>
  </si>
  <si>
    <t>NIT-20883</t>
  </si>
  <si>
    <t>Docente Especialista 882</t>
  </si>
  <si>
    <t>docente882@correo.edu.gt</t>
  </si>
  <si>
    <t>5555-1883</t>
  </si>
  <si>
    <t>DPI-10884</t>
  </si>
  <si>
    <t>NIT-20884</t>
  </si>
  <si>
    <t>Docente Especialista 883</t>
  </si>
  <si>
    <t>docente883@correo.edu.gt</t>
  </si>
  <si>
    <t>5555-1884</t>
  </si>
  <si>
    <t>DPI-10885</t>
  </si>
  <si>
    <t>NIT-20885</t>
  </si>
  <si>
    <t>Docente Especialista 884</t>
  </si>
  <si>
    <t>docente884@correo.edu.gt</t>
  </si>
  <si>
    <t>5555-1885</t>
  </si>
  <si>
    <t>DPI-10886</t>
  </si>
  <si>
    <t>NIT-20886</t>
  </si>
  <si>
    <t>Docente Especialista 885</t>
  </si>
  <si>
    <t>docente885@correo.edu.gt</t>
  </si>
  <si>
    <t>5555-1886</t>
  </si>
  <si>
    <t>DPI-10887</t>
  </si>
  <si>
    <t>NIT-20887</t>
  </si>
  <si>
    <t>Docente Especialista 886</t>
  </si>
  <si>
    <t>docente886@correo.edu.gt</t>
  </si>
  <si>
    <t>5555-1887</t>
  </si>
  <si>
    <t>DPI-10888</t>
  </si>
  <si>
    <t>NIT-20888</t>
  </si>
  <si>
    <t>Docente Especialista 887</t>
  </si>
  <si>
    <t>docente887@correo.edu.gt</t>
  </si>
  <si>
    <t>5555-1888</t>
  </si>
  <si>
    <t>DPI-10889</t>
  </si>
  <si>
    <t>NIT-20889</t>
  </si>
  <si>
    <t>Docente Especialista 888</t>
  </si>
  <si>
    <t>docente888@correo.edu.gt</t>
  </si>
  <si>
    <t>5555-1889</t>
  </si>
  <si>
    <t>DPI-10890</t>
  </si>
  <si>
    <t>NIT-20890</t>
  </si>
  <si>
    <t>Docente Especialista 889</t>
  </si>
  <si>
    <t>docente889@correo.edu.gt</t>
  </si>
  <si>
    <t>5555-1890</t>
  </si>
  <si>
    <t>DPI-10891</t>
  </si>
  <si>
    <t>NIT-20891</t>
  </si>
  <si>
    <t>Docente Especialista 890</t>
  </si>
  <si>
    <t>docente890@correo.edu.gt</t>
  </si>
  <si>
    <t>5555-1891</t>
  </si>
  <si>
    <t>DPI-10892</t>
  </si>
  <si>
    <t>NIT-20892</t>
  </si>
  <si>
    <t>Docente Especialista 891</t>
  </si>
  <si>
    <t>docente891@correo.edu.gt</t>
  </si>
  <si>
    <t>5555-1892</t>
  </si>
  <si>
    <t>DPI-10893</t>
  </si>
  <si>
    <t>NIT-20893</t>
  </si>
  <si>
    <t>Docente Especialista 892</t>
  </si>
  <si>
    <t>docente892@correo.edu.gt</t>
  </si>
  <si>
    <t>5555-1893</t>
  </si>
  <si>
    <t>DPI-10894</t>
  </si>
  <si>
    <t>NIT-20894</t>
  </si>
  <si>
    <t>Docente Especialista 893</t>
  </si>
  <si>
    <t>docente893@correo.edu.gt</t>
  </si>
  <si>
    <t>5555-1894</t>
  </si>
  <si>
    <t>DPI-10895</t>
  </si>
  <si>
    <t>NIT-20895</t>
  </si>
  <si>
    <t>Docente Especialista 894</t>
  </si>
  <si>
    <t>docente894@correo.edu.gt</t>
  </si>
  <si>
    <t>5555-1895</t>
  </si>
  <si>
    <t>DPI-10896</t>
  </si>
  <si>
    <t>NIT-20896</t>
  </si>
  <si>
    <t>Docente Especialista 895</t>
  </si>
  <si>
    <t>docente895@correo.edu.gt</t>
  </si>
  <si>
    <t>5555-1896</t>
  </si>
  <si>
    <t>DPI-10897</t>
  </si>
  <si>
    <t>NIT-20897</t>
  </si>
  <si>
    <t>Docente Especialista 896</t>
  </si>
  <si>
    <t>docente896@correo.edu.gt</t>
  </si>
  <si>
    <t>5555-1897</t>
  </si>
  <si>
    <t>DPI-10898</t>
  </si>
  <si>
    <t>NIT-20898</t>
  </si>
  <si>
    <t>Docente Especialista 897</t>
  </si>
  <si>
    <t>docente897@correo.edu.gt</t>
  </si>
  <si>
    <t>5555-1898</t>
  </si>
  <si>
    <t>DPI-10899</t>
  </si>
  <si>
    <t>NIT-20899</t>
  </si>
  <si>
    <t>Docente Especialista 898</t>
  </si>
  <si>
    <t>docente898@correo.edu.gt</t>
  </si>
  <si>
    <t>5555-1899</t>
  </si>
  <si>
    <t>DPI-10900</t>
  </si>
  <si>
    <t>NIT-20900</t>
  </si>
  <si>
    <t>Docente Especialista 899</t>
  </si>
  <si>
    <t>docente899@correo.edu.gt</t>
  </si>
  <si>
    <t>5555-1900</t>
  </si>
  <si>
    <t>DPI-10901</t>
  </si>
  <si>
    <t>NIT-20901</t>
  </si>
  <si>
    <t>Docente Especialista 900</t>
  </si>
  <si>
    <t>docente900@correo.edu.gt</t>
  </si>
  <si>
    <t>5555-1901</t>
  </si>
  <si>
    <t>DPI-10902</t>
  </si>
  <si>
    <t>NIT-20902</t>
  </si>
  <si>
    <t>Docente Especialista 901</t>
  </si>
  <si>
    <t>docente901@correo.edu.gt</t>
  </si>
  <si>
    <t>5555-1902</t>
  </si>
  <si>
    <t>DPI-10903</t>
  </si>
  <si>
    <t>NIT-20903</t>
  </si>
  <si>
    <t>Docente Especialista 902</t>
  </si>
  <si>
    <t>docente902@correo.edu.gt</t>
  </si>
  <si>
    <t>5555-1903</t>
  </si>
  <si>
    <t>DPI-10904</t>
  </si>
  <si>
    <t>NIT-20904</t>
  </si>
  <si>
    <t>Docente Especialista 903</t>
  </si>
  <si>
    <t>docente903@correo.edu.gt</t>
  </si>
  <si>
    <t>5555-1904</t>
  </si>
  <si>
    <t>DPI-10905</t>
  </si>
  <si>
    <t>NIT-20905</t>
  </si>
  <si>
    <t>Docente Especialista 904</t>
  </si>
  <si>
    <t>docente904@correo.edu.gt</t>
  </si>
  <si>
    <t>5555-1905</t>
  </si>
  <si>
    <t>DPI-10906</t>
  </si>
  <si>
    <t>NIT-20906</t>
  </si>
  <si>
    <t>Docente Especialista 905</t>
  </si>
  <si>
    <t>docente905@correo.edu.gt</t>
  </si>
  <si>
    <t>5555-1906</t>
  </si>
  <si>
    <t>DPI-10907</t>
  </si>
  <si>
    <t>NIT-20907</t>
  </si>
  <si>
    <t>Docente Especialista 906</t>
  </si>
  <si>
    <t>docente906@correo.edu.gt</t>
  </si>
  <si>
    <t>5555-1907</t>
  </si>
  <si>
    <t>DPI-10908</t>
  </si>
  <si>
    <t>NIT-20908</t>
  </si>
  <si>
    <t>Docente Especialista 907</t>
  </si>
  <si>
    <t>docente907@correo.edu.gt</t>
  </si>
  <si>
    <t>5555-1908</t>
  </si>
  <si>
    <t>DPI-10909</t>
  </si>
  <si>
    <t>NIT-20909</t>
  </si>
  <si>
    <t>Docente Especialista 908</t>
  </si>
  <si>
    <t>docente908@correo.edu.gt</t>
  </si>
  <si>
    <t>5555-1909</t>
  </si>
  <si>
    <t>DPI-10910</t>
  </si>
  <si>
    <t>NIT-20910</t>
  </si>
  <si>
    <t>Docente Especialista 909</t>
  </si>
  <si>
    <t>docente909@correo.edu.gt</t>
  </si>
  <si>
    <t>5555-1910</t>
  </si>
  <si>
    <t>DPI-10911</t>
  </si>
  <si>
    <t>NIT-20911</t>
  </si>
  <si>
    <t>Docente Especialista 910</t>
  </si>
  <si>
    <t>docente910@correo.edu.gt</t>
  </si>
  <si>
    <t>5555-1911</t>
  </si>
  <si>
    <t>DPI-10912</t>
  </si>
  <si>
    <t>NIT-20912</t>
  </si>
  <si>
    <t>Docente Especialista 911</t>
  </si>
  <si>
    <t>docente911@correo.edu.gt</t>
  </si>
  <si>
    <t>5555-1912</t>
  </si>
  <si>
    <t>DPI-10913</t>
  </si>
  <si>
    <t>NIT-20913</t>
  </si>
  <si>
    <t>Docente Especialista 912</t>
  </si>
  <si>
    <t>docente912@correo.edu.gt</t>
  </si>
  <si>
    <t>5555-1913</t>
  </si>
  <si>
    <t>DPI-10914</t>
  </si>
  <si>
    <t>NIT-20914</t>
  </si>
  <si>
    <t>Docente Especialista 913</t>
  </si>
  <si>
    <t>docente913@correo.edu.gt</t>
  </si>
  <si>
    <t>5555-1914</t>
  </si>
  <si>
    <t>DPI-10915</t>
  </si>
  <si>
    <t>NIT-20915</t>
  </si>
  <si>
    <t>Docente Especialista 914</t>
  </si>
  <si>
    <t>docente914@correo.edu.gt</t>
  </si>
  <si>
    <t>5555-1915</t>
  </si>
  <si>
    <t>DPI-10916</t>
  </si>
  <si>
    <t>NIT-20916</t>
  </si>
  <si>
    <t>Docente Especialista 915</t>
  </si>
  <si>
    <t>docente915@correo.edu.gt</t>
  </si>
  <si>
    <t>5555-1916</t>
  </si>
  <si>
    <t>DPI-10917</t>
  </si>
  <si>
    <t>NIT-20917</t>
  </si>
  <si>
    <t>Docente Especialista 916</t>
  </si>
  <si>
    <t>docente916@correo.edu.gt</t>
  </si>
  <si>
    <t>5555-1917</t>
  </si>
  <si>
    <t>DPI-10918</t>
  </si>
  <si>
    <t>NIT-20918</t>
  </si>
  <si>
    <t>Docente Especialista 917</t>
  </si>
  <si>
    <t>docente917@correo.edu.gt</t>
  </si>
  <si>
    <t>5555-1918</t>
  </si>
  <si>
    <t>DPI-10919</t>
  </si>
  <si>
    <t>NIT-20919</t>
  </si>
  <si>
    <t>Docente Especialista 918</t>
  </si>
  <si>
    <t>docente918@correo.edu.gt</t>
  </si>
  <si>
    <t>5555-1919</t>
  </si>
  <si>
    <t>DPI-10920</t>
  </si>
  <si>
    <t>NIT-20920</t>
  </si>
  <si>
    <t>Docente Especialista 919</t>
  </si>
  <si>
    <t>docente919@correo.edu.gt</t>
  </si>
  <si>
    <t>5555-1920</t>
  </si>
  <si>
    <t>DPI-10921</t>
  </si>
  <si>
    <t>NIT-20921</t>
  </si>
  <si>
    <t>Docente Especialista 920</t>
  </si>
  <si>
    <t>docente920@correo.edu.gt</t>
  </si>
  <si>
    <t>5555-1921</t>
  </si>
  <si>
    <t>DPI-10922</t>
  </si>
  <si>
    <t>NIT-20922</t>
  </si>
  <si>
    <t>Docente Especialista 921</t>
  </si>
  <si>
    <t>docente921@correo.edu.gt</t>
  </si>
  <si>
    <t>5555-1922</t>
  </si>
  <si>
    <t>DPI-10923</t>
  </si>
  <si>
    <t>NIT-20923</t>
  </si>
  <si>
    <t>Docente Especialista 922</t>
  </si>
  <si>
    <t>docente922@correo.edu.gt</t>
  </si>
  <si>
    <t>5555-1923</t>
  </si>
  <si>
    <t>DPI-10924</t>
  </si>
  <si>
    <t>NIT-20924</t>
  </si>
  <si>
    <t>Docente Especialista 923</t>
  </si>
  <si>
    <t>docente923@correo.edu.gt</t>
  </si>
  <si>
    <t>5555-1924</t>
  </si>
  <si>
    <t>DPI-10925</t>
  </si>
  <si>
    <t>NIT-20925</t>
  </si>
  <si>
    <t>Docente Especialista 924</t>
  </si>
  <si>
    <t>docente924@correo.edu.gt</t>
  </si>
  <si>
    <t>5555-1925</t>
  </si>
  <si>
    <t>DPI-10926</t>
  </si>
  <si>
    <t>NIT-20926</t>
  </si>
  <si>
    <t>Docente Especialista 925</t>
  </si>
  <si>
    <t>docente925@correo.edu.gt</t>
  </si>
  <si>
    <t>5555-1926</t>
  </si>
  <si>
    <t>DPI-10927</t>
  </si>
  <si>
    <t>NIT-20927</t>
  </si>
  <si>
    <t>Docente Especialista 926</t>
  </si>
  <si>
    <t>docente926@correo.edu.gt</t>
  </si>
  <si>
    <t>5555-1927</t>
  </si>
  <si>
    <t>DPI-10928</t>
  </si>
  <si>
    <t>NIT-20928</t>
  </si>
  <si>
    <t>Docente Especialista 927</t>
  </si>
  <si>
    <t>docente927@correo.edu.gt</t>
  </si>
  <si>
    <t>5555-1928</t>
  </si>
  <si>
    <t>DPI-10929</t>
  </si>
  <si>
    <t>NIT-20929</t>
  </si>
  <si>
    <t>Docente Especialista 928</t>
  </si>
  <si>
    <t>docente928@correo.edu.gt</t>
  </si>
  <si>
    <t>5555-1929</t>
  </si>
  <si>
    <t>DPI-10930</t>
  </si>
  <si>
    <t>NIT-20930</t>
  </si>
  <si>
    <t>Docente Especialista 929</t>
  </si>
  <si>
    <t>docente929@correo.edu.gt</t>
  </si>
  <si>
    <t>5555-1930</t>
  </si>
  <si>
    <t>DPI-10931</t>
  </si>
  <si>
    <t>NIT-20931</t>
  </si>
  <si>
    <t>Docente Especialista 930</t>
  </si>
  <si>
    <t>docente930@correo.edu.gt</t>
  </si>
  <si>
    <t>5555-1931</t>
  </si>
  <si>
    <t>DPI-10932</t>
  </si>
  <si>
    <t>NIT-20932</t>
  </si>
  <si>
    <t>Docente Especialista 931</t>
  </si>
  <si>
    <t>docente931@correo.edu.gt</t>
  </si>
  <si>
    <t>5555-1932</t>
  </si>
  <si>
    <t>DPI-10933</t>
  </si>
  <si>
    <t>NIT-20933</t>
  </si>
  <si>
    <t>Docente Especialista 932</t>
  </si>
  <si>
    <t>docente932@correo.edu.gt</t>
  </si>
  <si>
    <t>5555-1933</t>
  </si>
  <si>
    <t>DPI-10934</t>
  </si>
  <si>
    <t>NIT-20934</t>
  </si>
  <si>
    <t>Docente Especialista 933</t>
  </si>
  <si>
    <t>docente933@correo.edu.gt</t>
  </si>
  <si>
    <t>5555-1934</t>
  </si>
  <si>
    <t>DPI-10935</t>
  </si>
  <si>
    <t>NIT-20935</t>
  </si>
  <si>
    <t>Docente Especialista 934</t>
  </si>
  <si>
    <t>docente934@correo.edu.gt</t>
  </si>
  <si>
    <t>5555-1935</t>
  </si>
  <si>
    <t>DPI-10936</t>
  </si>
  <si>
    <t>NIT-20936</t>
  </si>
  <si>
    <t>Docente Especialista 935</t>
  </si>
  <si>
    <t>docente935@correo.edu.gt</t>
  </si>
  <si>
    <t>5555-1936</t>
  </si>
  <si>
    <t>DPI-10937</t>
  </si>
  <si>
    <t>NIT-20937</t>
  </si>
  <si>
    <t>Docente Especialista 936</t>
  </si>
  <si>
    <t>docente936@correo.edu.gt</t>
  </si>
  <si>
    <t>5555-1937</t>
  </si>
  <si>
    <t>DPI-10938</t>
  </si>
  <si>
    <t>NIT-20938</t>
  </si>
  <si>
    <t>Docente Especialista 937</t>
  </si>
  <si>
    <t>docente937@correo.edu.gt</t>
  </si>
  <si>
    <t>5555-1938</t>
  </si>
  <si>
    <t>DPI-10939</t>
  </si>
  <si>
    <t>NIT-20939</t>
  </si>
  <si>
    <t>Docente Especialista 938</t>
  </si>
  <si>
    <t>docente938@correo.edu.gt</t>
  </si>
  <si>
    <t>5555-1939</t>
  </si>
  <si>
    <t>DPI-10940</t>
  </si>
  <si>
    <t>NIT-20940</t>
  </si>
  <si>
    <t>Docente Especialista 939</t>
  </si>
  <si>
    <t>docente939@correo.edu.gt</t>
  </si>
  <si>
    <t>5555-1940</t>
  </si>
  <si>
    <t>DPI-10941</t>
  </si>
  <si>
    <t>NIT-20941</t>
  </si>
  <si>
    <t>Docente Especialista 940</t>
  </si>
  <si>
    <t>docente940@correo.edu.gt</t>
  </si>
  <si>
    <t>5555-1941</t>
  </si>
  <si>
    <t>DPI-10942</t>
  </si>
  <si>
    <t>NIT-20942</t>
  </si>
  <si>
    <t>Docente Especialista 941</t>
  </si>
  <si>
    <t>docente941@correo.edu.gt</t>
  </si>
  <si>
    <t>5555-1942</t>
  </si>
  <si>
    <t>DPI-10943</t>
  </si>
  <si>
    <t>NIT-20943</t>
  </si>
  <si>
    <t>Docente Especialista 942</t>
  </si>
  <si>
    <t>docente942@correo.edu.gt</t>
  </si>
  <si>
    <t>5555-1943</t>
  </si>
  <si>
    <t>DPI-10944</t>
  </si>
  <si>
    <t>NIT-20944</t>
  </si>
  <si>
    <t>Docente Especialista 943</t>
  </si>
  <si>
    <t>docente943@correo.edu.gt</t>
  </si>
  <si>
    <t>5555-1944</t>
  </si>
  <si>
    <t>DPI-10945</t>
  </si>
  <si>
    <t>NIT-20945</t>
  </si>
  <si>
    <t>Docente Especialista 944</t>
  </si>
  <si>
    <t>docente944@correo.edu.gt</t>
  </si>
  <si>
    <t>5555-1945</t>
  </si>
  <si>
    <t>DPI-10946</t>
  </si>
  <si>
    <t>NIT-20946</t>
  </si>
  <si>
    <t>Docente Especialista 945</t>
  </si>
  <si>
    <t>docente945@correo.edu.gt</t>
  </si>
  <si>
    <t>5555-1946</t>
  </si>
  <si>
    <t>DPI-10947</t>
  </si>
  <si>
    <t>NIT-20947</t>
  </si>
  <si>
    <t>Docente Especialista 946</t>
  </si>
  <si>
    <t>docente946@correo.edu.gt</t>
  </si>
  <si>
    <t>5555-1947</t>
  </si>
  <si>
    <t>DPI-10948</t>
  </si>
  <si>
    <t>NIT-20948</t>
  </si>
  <si>
    <t>Docente Especialista 947</t>
  </si>
  <si>
    <t>docente947@correo.edu.gt</t>
  </si>
  <si>
    <t>5555-1948</t>
  </si>
  <si>
    <t>DPI-10949</t>
  </si>
  <si>
    <t>NIT-20949</t>
  </si>
  <si>
    <t>Docente Especialista 948</t>
  </si>
  <si>
    <t>docente948@correo.edu.gt</t>
  </si>
  <si>
    <t>5555-1949</t>
  </si>
  <si>
    <t>DPI-10950</t>
  </si>
  <si>
    <t>NIT-20950</t>
  </si>
  <si>
    <t>Docente Especialista 949</t>
  </si>
  <si>
    <t>docente949@correo.edu.gt</t>
  </si>
  <si>
    <t>5555-1950</t>
  </si>
  <si>
    <t>DPI-10951</t>
  </si>
  <si>
    <t>NIT-20951</t>
  </si>
  <si>
    <t>Docente Especialista 950</t>
  </si>
  <si>
    <t>docente950@correo.edu.gt</t>
  </si>
  <si>
    <t>5555-1951</t>
  </si>
  <si>
    <t>DPI-10952</t>
  </si>
  <si>
    <t>NIT-20952</t>
  </si>
  <si>
    <t>Docente Especialista 951</t>
  </si>
  <si>
    <t>docente951@correo.edu.gt</t>
  </si>
  <si>
    <t>5555-1952</t>
  </si>
  <si>
    <t>DPI-10953</t>
  </si>
  <si>
    <t>NIT-20953</t>
  </si>
  <si>
    <t>Docente Especialista 952</t>
  </si>
  <si>
    <t>docente952@correo.edu.gt</t>
  </si>
  <si>
    <t>5555-1953</t>
  </si>
  <si>
    <t>DPI-10954</t>
  </si>
  <si>
    <t>NIT-20954</t>
  </si>
  <si>
    <t>Docente Especialista 953</t>
  </si>
  <si>
    <t>docente953@correo.edu.gt</t>
  </si>
  <si>
    <t>5555-1954</t>
  </si>
  <si>
    <t>DPI-10955</t>
  </si>
  <si>
    <t>NIT-20955</t>
  </si>
  <si>
    <t>Docente Especialista 954</t>
  </si>
  <si>
    <t>docente954@correo.edu.gt</t>
  </si>
  <si>
    <t>5555-1955</t>
  </si>
  <si>
    <t>DPI-10956</t>
  </si>
  <si>
    <t>NIT-20956</t>
  </si>
  <si>
    <t>Docente Especialista 955</t>
  </si>
  <si>
    <t>docente955@correo.edu.gt</t>
  </si>
  <si>
    <t>5555-1956</t>
  </si>
  <si>
    <t>DPI-10957</t>
  </si>
  <si>
    <t>NIT-20957</t>
  </si>
  <si>
    <t>Docente Especialista 956</t>
  </si>
  <si>
    <t>docente956@correo.edu.gt</t>
  </si>
  <si>
    <t>5555-1957</t>
  </si>
  <si>
    <t>DPI-10958</t>
  </si>
  <si>
    <t>NIT-20958</t>
  </si>
  <si>
    <t>Docente Especialista 957</t>
  </si>
  <si>
    <t>docente957@correo.edu.gt</t>
  </si>
  <si>
    <t>5555-1958</t>
  </si>
  <si>
    <t>DPI-10959</t>
  </si>
  <si>
    <t>NIT-20959</t>
  </si>
  <si>
    <t>Docente Especialista 958</t>
  </si>
  <si>
    <t>docente958@correo.edu.gt</t>
  </si>
  <si>
    <t>5555-1959</t>
  </si>
  <si>
    <t>DPI-10960</t>
  </si>
  <si>
    <t>NIT-20960</t>
  </si>
  <si>
    <t>Docente Especialista 959</t>
  </si>
  <si>
    <t>docente959@correo.edu.gt</t>
  </si>
  <si>
    <t>5555-1960</t>
  </si>
  <si>
    <t>DPI-10961</t>
  </si>
  <si>
    <t>NIT-20961</t>
  </si>
  <si>
    <t>Docente Especialista 960</t>
  </si>
  <si>
    <t>docente960@correo.edu.gt</t>
  </si>
  <si>
    <t>5555-1961</t>
  </si>
  <si>
    <t>DPI-10962</t>
  </si>
  <si>
    <t>NIT-20962</t>
  </si>
  <si>
    <t>Docente Especialista 961</t>
  </si>
  <si>
    <t>docente961@correo.edu.gt</t>
  </si>
  <si>
    <t>5555-1962</t>
  </si>
  <si>
    <t>DPI-10963</t>
  </si>
  <si>
    <t>NIT-20963</t>
  </si>
  <si>
    <t>Docente Especialista 962</t>
  </si>
  <si>
    <t>docente962@correo.edu.gt</t>
  </si>
  <si>
    <t>5555-1963</t>
  </si>
  <si>
    <t>DPI-10964</t>
  </si>
  <si>
    <t>NIT-20964</t>
  </si>
  <si>
    <t>Docente Especialista 963</t>
  </si>
  <si>
    <t>docente963@correo.edu.gt</t>
  </si>
  <si>
    <t>5555-1964</t>
  </si>
  <si>
    <t>DPI-10965</t>
  </si>
  <si>
    <t>NIT-20965</t>
  </si>
  <si>
    <t>Docente Especialista 964</t>
  </si>
  <si>
    <t>docente964@correo.edu.gt</t>
  </si>
  <si>
    <t>5555-1965</t>
  </si>
  <si>
    <t>DPI-10966</t>
  </si>
  <si>
    <t>NIT-20966</t>
  </si>
  <si>
    <t>Docente Especialista 965</t>
  </si>
  <si>
    <t>docente965@correo.edu.gt</t>
  </si>
  <si>
    <t>5555-1966</t>
  </si>
  <si>
    <t>DPI-10967</t>
  </si>
  <si>
    <t>NIT-20967</t>
  </si>
  <si>
    <t>Docente Especialista 966</t>
  </si>
  <si>
    <t>docente966@correo.edu.gt</t>
  </si>
  <si>
    <t>5555-1967</t>
  </si>
  <si>
    <t>DPI-10968</t>
  </si>
  <si>
    <t>NIT-20968</t>
  </si>
  <si>
    <t>Docente Especialista 967</t>
  </si>
  <si>
    <t>docente967@correo.edu.gt</t>
  </si>
  <si>
    <t>5555-1968</t>
  </si>
  <si>
    <t>DPI-10969</t>
  </si>
  <si>
    <t>NIT-20969</t>
  </si>
  <si>
    <t>Docente Especialista 968</t>
  </si>
  <si>
    <t>docente968@correo.edu.gt</t>
  </si>
  <si>
    <t>5555-1969</t>
  </si>
  <si>
    <t>DPI-10970</t>
  </si>
  <si>
    <t>NIT-20970</t>
  </si>
  <si>
    <t>Docente Especialista 969</t>
  </si>
  <si>
    <t>docente969@correo.edu.gt</t>
  </si>
  <si>
    <t>5555-1970</t>
  </si>
  <si>
    <t>DPI-10971</t>
  </si>
  <si>
    <t>NIT-20971</t>
  </si>
  <si>
    <t>Docente Especialista 970</t>
  </si>
  <si>
    <t>docente970@correo.edu.gt</t>
  </si>
  <si>
    <t>5555-1971</t>
  </si>
  <si>
    <t>DPI-10972</t>
  </si>
  <si>
    <t>NIT-20972</t>
  </si>
  <si>
    <t>Docente Especialista 971</t>
  </si>
  <si>
    <t>docente971@correo.edu.gt</t>
  </si>
  <si>
    <t>5555-1972</t>
  </si>
  <si>
    <t>DPI-10973</t>
  </si>
  <si>
    <t>NIT-20973</t>
  </si>
  <si>
    <t>Docente Especialista 972</t>
  </si>
  <si>
    <t>docente972@correo.edu.gt</t>
  </si>
  <si>
    <t>5555-1973</t>
  </si>
  <si>
    <t>DPI-10974</t>
  </si>
  <si>
    <t>NIT-20974</t>
  </si>
  <si>
    <t>Docente Especialista 973</t>
  </si>
  <si>
    <t>docente973@correo.edu.gt</t>
  </si>
  <si>
    <t>5555-1974</t>
  </si>
  <si>
    <t>DPI-10975</t>
  </si>
  <si>
    <t>NIT-20975</t>
  </si>
  <si>
    <t>Docente Especialista 974</t>
  </si>
  <si>
    <t>docente974@correo.edu.gt</t>
  </si>
  <si>
    <t>5555-1975</t>
  </si>
  <si>
    <t>DPI-10976</t>
  </si>
  <si>
    <t>NIT-20976</t>
  </si>
  <si>
    <t>Docente Especialista 975</t>
  </si>
  <si>
    <t>docente975@correo.edu.gt</t>
  </si>
  <si>
    <t>5555-1976</t>
  </si>
  <si>
    <t>DPI-10977</t>
  </si>
  <si>
    <t>NIT-20977</t>
  </si>
  <si>
    <t>Docente Especialista 976</t>
  </si>
  <si>
    <t>docente976@correo.edu.gt</t>
  </si>
  <si>
    <t>5555-1977</t>
  </si>
  <si>
    <t>DPI-10978</t>
  </si>
  <si>
    <t>NIT-20978</t>
  </si>
  <si>
    <t>Docente Especialista 977</t>
  </si>
  <si>
    <t>docente977@correo.edu.gt</t>
  </si>
  <si>
    <t>5555-1978</t>
  </si>
  <si>
    <t>DPI-10979</t>
  </si>
  <si>
    <t>NIT-20979</t>
  </si>
  <si>
    <t>Docente Especialista 978</t>
  </si>
  <si>
    <t>docente978@correo.edu.gt</t>
  </si>
  <si>
    <t>5555-1979</t>
  </si>
  <si>
    <t>DPI-10980</t>
  </si>
  <si>
    <t>NIT-20980</t>
  </si>
  <si>
    <t>Docente Especialista 979</t>
  </si>
  <si>
    <t>docente979@correo.edu.gt</t>
  </si>
  <si>
    <t>5555-1980</t>
  </si>
  <si>
    <t>DPI-10981</t>
  </si>
  <si>
    <t>NIT-20981</t>
  </si>
  <si>
    <t>Docente Especialista 980</t>
  </si>
  <si>
    <t>docente980@correo.edu.gt</t>
  </si>
  <si>
    <t>5555-1981</t>
  </si>
  <si>
    <t>DPI-10982</t>
  </si>
  <si>
    <t>NIT-20982</t>
  </si>
  <si>
    <t>Docente Especialista 981</t>
  </si>
  <si>
    <t>docente981@correo.edu.gt</t>
  </si>
  <si>
    <t>5555-1982</t>
  </si>
  <si>
    <t>DPI-10983</t>
  </si>
  <si>
    <t>NIT-20983</t>
  </si>
  <si>
    <t>Docente Especialista 982</t>
  </si>
  <si>
    <t>docente982@correo.edu.gt</t>
  </si>
  <si>
    <t>5555-1983</t>
  </si>
  <si>
    <t>DPI-10984</t>
  </si>
  <si>
    <t>NIT-20984</t>
  </si>
  <si>
    <t>Docente Especialista 983</t>
  </si>
  <si>
    <t>docente983@correo.edu.gt</t>
  </si>
  <si>
    <t>5555-1984</t>
  </si>
  <si>
    <t>DPI-10985</t>
  </si>
  <si>
    <t>NIT-20985</t>
  </si>
  <si>
    <t>Docente Especialista 984</t>
  </si>
  <si>
    <t>docente984@correo.edu.gt</t>
  </si>
  <si>
    <t>5555-1985</t>
  </si>
  <si>
    <t>DPI-10986</t>
  </si>
  <si>
    <t>NIT-20986</t>
  </si>
  <si>
    <t>Docente Especialista 985</t>
  </si>
  <si>
    <t>docente985@correo.edu.gt</t>
  </si>
  <si>
    <t>5555-1986</t>
  </si>
  <si>
    <t>DPI-10987</t>
  </si>
  <si>
    <t>NIT-20987</t>
  </si>
  <si>
    <t>Docente Especialista 986</t>
  </si>
  <si>
    <t>docente986@correo.edu.gt</t>
  </si>
  <si>
    <t>5555-1987</t>
  </si>
  <si>
    <t>DPI-10988</t>
  </si>
  <si>
    <t>NIT-20988</t>
  </si>
  <si>
    <t>Docente Especialista 987</t>
  </si>
  <si>
    <t>docente987@correo.edu.gt</t>
  </si>
  <si>
    <t>5555-1988</t>
  </si>
  <si>
    <t>DPI-10989</t>
  </si>
  <si>
    <t>NIT-20989</t>
  </si>
  <si>
    <t>Docente Especialista 988</t>
  </si>
  <si>
    <t>docente988@correo.edu.gt</t>
  </si>
  <si>
    <t>5555-1989</t>
  </si>
  <si>
    <t>DPI-10990</t>
  </si>
  <si>
    <t>NIT-20990</t>
  </si>
  <si>
    <t>Docente Especialista 989</t>
  </si>
  <si>
    <t>docente989@correo.edu.gt</t>
  </si>
  <si>
    <t>5555-1990</t>
  </si>
  <si>
    <t>DPI-10991</t>
  </si>
  <si>
    <t>NIT-20991</t>
  </si>
  <si>
    <t>Docente Especialista 990</t>
  </si>
  <si>
    <t>docente990@correo.edu.gt</t>
  </si>
  <si>
    <t>5555-1991</t>
  </si>
  <si>
    <t>DPI-10992</t>
  </si>
  <si>
    <t>NIT-20992</t>
  </si>
  <si>
    <t>Docente Especialista 991</t>
  </si>
  <si>
    <t>docente991@correo.edu.gt</t>
  </si>
  <si>
    <t>5555-1992</t>
  </si>
  <si>
    <t>DPI-10993</t>
  </si>
  <si>
    <t>NIT-20993</t>
  </si>
  <si>
    <t>Docente Especialista 992</t>
  </si>
  <si>
    <t>docente992@correo.edu.gt</t>
  </si>
  <si>
    <t>5555-1993</t>
  </si>
  <si>
    <t>DPI-10994</t>
  </si>
  <si>
    <t>NIT-20994</t>
  </si>
  <si>
    <t>Docente Especialista 993</t>
  </si>
  <si>
    <t>docente993@correo.edu.gt</t>
  </si>
  <si>
    <t>5555-1994</t>
  </si>
  <si>
    <t>DPI-10995</t>
  </si>
  <si>
    <t>NIT-20995</t>
  </si>
  <si>
    <t>Docente Especialista 994</t>
  </si>
  <si>
    <t>docente994@correo.edu.gt</t>
  </si>
  <si>
    <t>5555-1995</t>
  </si>
  <si>
    <t>DPI-10996</t>
  </si>
  <si>
    <t>NIT-20996</t>
  </si>
  <si>
    <t>Docente Especialista 995</t>
  </si>
  <si>
    <t>docente995@correo.edu.gt</t>
  </si>
  <si>
    <t>5555-1996</t>
  </si>
  <si>
    <t>DPI-10997</t>
  </si>
  <si>
    <t>NIT-20997</t>
  </si>
  <si>
    <t>Docente Especialista 996</t>
  </si>
  <si>
    <t>docente996@correo.edu.gt</t>
  </si>
  <si>
    <t>5555-1997</t>
  </si>
  <si>
    <t>DPI-10998</t>
  </si>
  <si>
    <t>NIT-20998</t>
  </si>
  <si>
    <t>Docente Especialista 997</t>
  </si>
  <si>
    <t>docente997@correo.edu.gt</t>
  </si>
  <si>
    <t>5555-1998</t>
  </si>
  <si>
    <t>DPI-10999</t>
  </si>
  <si>
    <t>NIT-20999</t>
  </si>
  <si>
    <t>Docente Especialista 998</t>
  </si>
  <si>
    <t>docente998@correo.edu.gt</t>
  </si>
  <si>
    <t>5555-1999</t>
  </si>
  <si>
    <t>DPI-11000</t>
  </si>
  <si>
    <t>NIT-21000</t>
  </si>
  <si>
    <t>Docente Especialista 999</t>
  </si>
  <si>
    <t>docente999@correo.edu.gt</t>
  </si>
  <si>
    <t>5555-2000</t>
  </si>
  <si>
    <t>DPI-11001</t>
  </si>
  <si>
    <t>NIT-21001</t>
  </si>
  <si>
    <t>Docente Especialista 1000</t>
  </si>
  <si>
    <t>docente1000@correo.edu.gt</t>
  </si>
  <si>
    <t>5555-2001</t>
  </si>
  <si>
    <t>DPI-11002</t>
  </si>
  <si>
    <t>NIT-21002</t>
  </si>
  <si>
    <t>Docente Especialista 1001</t>
  </si>
  <si>
    <t>docente1001@correo.edu.gt</t>
  </si>
  <si>
    <t>5555-2002</t>
  </si>
  <si>
    <t>DPI-11003</t>
  </si>
  <si>
    <t>NIT-21003</t>
  </si>
  <si>
    <t>Docente Especialista 1002</t>
  </si>
  <si>
    <t>docente1002@correo.edu.gt</t>
  </si>
  <si>
    <t>5555-2003</t>
  </si>
  <si>
    <t>DPI-11004</t>
  </si>
  <si>
    <t>NIT-21004</t>
  </si>
  <si>
    <t>Docente Especialista 1003</t>
  </si>
  <si>
    <t>docente1003@correo.edu.gt</t>
  </si>
  <si>
    <t>5555-2004</t>
  </si>
  <si>
    <t>DPI-11005</t>
  </si>
  <si>
    <t>NIT-21005</t>
  </si>
  <si>
    <t>Docente Especialista 1004</t>
  </si>
  <si>
    <t>docente1004@correo.edu.gt</t>
  </si>
  <si>
    <t>5555-2005</t>
  </si>
  <si>
    <t>DPI-11006</t>
  </si>
  <si>
    <t>NIT-21006</t>
  </si>
  <si>
    <t>Docente Especialista 1005</t>
  </si>
  <si>
    <t>docente1005@correo.edu.gt</t>
  </si>
  <si>
    <t>5555-2006</t>
  </si>
  <si>
    <t>DPI-11007</t>
  </si>
  <si>
    <t>NIT-21007</t>
  </si>
  <si>
    <t>Docente Especialista 1006</t>
  </si>
  <si>
    <t>docente1006@correo.edu.gt</t>
  </si>
  <si>
    <t>5555-2007</t>
  </si>
  <si>
    <t>DPI-11008</t>
  </si>
  <si>
    <t>NIT-21008</t>
  </si>
  <si>
    <t>Docente Especialista 1007</t>
  </si>
  <si>
    <t>docente1007@correo.edu.gt</t>
  </si>
  <si>
    <t>5555-2008</t>
  </si>
  <si>
    <t>DPI-11009</t>
  </si>
  <si>
    <t>NIT-21009</t>
  </si>
  <si>
    <t>Docente Especialista 1008</t>
  </si>
  <si>
    <t>docente1008@correo.edu.gt</t>
  </si>
  <si>
    <t>5555-2009</t>
  </si>
  <si>
    <t>DPI-11010</t>
  </si>
  <si>
    <t>NIT-21010</t>
  </si>
  <si>
    <t>Docente Especialista 1009</t>
  </si>
  <si>
    <t>docente1009@correo.edu.gt</t>
  </si>
  <si>
    <t>5555-2010</t>
  </si>
  <si>
    <t>DPI-11011</t>
  </si>
  <si>
    <t>NIT-21011</t>
  </si>
  <si>
    <t>Docente Especialista 1010</t>
  </si>
  <si>
    <t>docente1010@correo.edu.gt</t>
  </si>
  <si>
    <t>5555-2011</t>
  </si>
  <si>
    <t>DPI-11012</t>
  </si>
  <si>
    <t>NIT-21012</t>
  </si>
  <si>
    <t>Docente Especialista 1011</t>
  </si>
  <si>
    <t>docente1011@correo.edu.gt</t>
  </si>
  <si>
    <t>5555-2012</t>
  </si>
  <si>
    <t>DPI-11013</t>
  </si>
  <si>
    <t>NIT-21013</t>
  </si>
  <si>
    <t>Docente Especialista 1012</t>
  </si>
  <si>
    <t>docente1012@correo.edu.gt</t>
  </si>
  <si>
    <t>5555-2013</t>
  </si>
  <si>
    <t>DPI-11014</t>
  </si>
  <si>
    <t>NIT-21014</t>
  </si>
  <si>
    <t>Docente Especialista 1013</t>
  </si>
  <si>
    <t>docente1013@correo.edu.gt</t>
  </si>
  <si>
    <t>5555-2014</t>
  </si>
  <si>
    <t>DPI-11015</t>
  </si>
  <si>
    <t>NIT-21015</t>
  </si>
  <si>
    <t>Docente Especialista 1014</t>
  </si>
  <si>
    <t>docente1014@correo.edu.gt</t>
  </si>
  <si>
    <t>5555-2015</t>
  </si>
  <si>
    <t>DPI-11016</t>
  </si>
  <si>
    <t>NIT-21016</t>
  </si>
  <si>
    <t>Docente Especialista 1015</t>
  </si>
  <si>
    <t>docente1015@correo.edu.gt</t>
  </si>
  <si>
    <t>5555-2016</t>
  </si>
  <si>
    <t>DPI-11017</t>
  </si>
  <si>
    <t>NIT-21017</t>
  </si>
  <si>
    <t>Docente Especialista 1016</t>
  </si>
  <si>
    <t>docente1016@correo.edu.gt</t>
  </si>
  <si>
    <t>5555-2017</t>
  </si>
  <si>
    <t>DPI-11018</t>
  </si>
  <si>
    <t>NIT-21018</t>
  </si>
  <si>
    <t>Docente Especialista 1017</t>
  </si>
  <si>
    <t>docente1017@correo.edu.gt</t>
  </si>
  <si>
    <t>5555-2018</t>
  </si>
  <si>
    <t>DPI-11019</t>
  </si>
  <si>
    <t>NIT-21019</t>
  </si>
  <si>
    <t>Docente Especialista 1018</t>
  </si>
  <si>
    <t>docente1018@correo.edu.gt</t>
  </si>
  <si>
    <t>5555-2019</t>
  </si>
  <si>
    <t>DPI-11020</t>
  </si>
  <si>
    <t>NIT-21020</t>
  </si>
  <si>
    <t>Docente Especialista 1019</t>
  </si>
  <si>
    <t>docente1019@correo.edu.gt</t>
  </si>
  <si>
    <t>5555-2020</t>
  </si>
  <si>
    <t>DPI-11021</t>
  </si>
  <si>
    <t>NIT-21021</t>
  </si>
  <si>
    <t>Docente Especialista 1020</t>
  </si>
  <si>
    <t>docente1020@correo.edu.gt</t>
  </si>
  <si>
    <t>5555-2021</t>
  </si>
  <si>
    <t>DPI-11022</t>
  </si>
  <si>
    <t>NIT-21022</t>
  </si>
  <si>
    <t>Docente Especialista 1021</t>
  </si>
  <si>
    <t>docente1021@correo.edu.gt</t>
  </si>
  <si>
    <t>5555-2022</t>
  </si>
  <si>
    <t>DPI-11023</t>
  </si>
  <si>
    <t>NIT-21023</t>
  </si>
  <si>
    <t>Docente Especialista 1022</t>
  </si>
  <si>
    <t>docente1022@correo.edu.gt</t>
  </si>
  <si>
    <t>5555-2023</t>
  </si>
  <si>
    <t>DPI-11024</t>
  </si>
  <si>
    <t>NIT-21024</t>
  </si>
  <si>
    <t>Docente Especialista 1023</t>
  </si>
  <si>
    <t>docente1023@correo.edu.gt</t>
  </si>
  <si>
    <t>5555-2024</t>
  </si>
  <si>
    <t>DPI-11025</t>
  </si>
  <si>
    <t>NIT-21025</t>
  </si>
  <si>
    <t>Docente Especialista 1024</t>
  </si>
  <si>
    <t>docente1024@correo.edu.gt</t>
  </si>
  <si>
    <t>5555-2025</t>
  </si>
  <si>
    <t>DPI-11026</t>
  </si>
  <si>
    <t>NIT-21026</t>
  </si>
  <si>
    <t>Docente Especialista 1025</t>
  </si>
  <si>
    <t>docente1025@correo.edu.gt</t>
  </si>
  <si>
    <t>5555-2026</t>
  </si>
  <si>
    <t>DPI-11027</t>
  </si>
  <si>
    <t>NIT-21027</t>
  </si>
  <si>
    <t>Docente Especialista 1026</t>
  </si>
  <si>
    <t>docente1026@correo.edu.gt</t>
  </si>
  <si>
    <t>5555-2027</t>
  </si>
  <si>
    <t>DPI-11028</t>
  </si>
  <si>
    <t>NIT-21028</t>
  </si>
  <si>
    <t>Docente Especialista 1027</t>
  </si>
  <si>
    <t>docente1027@correo.edu.gt</t>
  </si>
  <si>
    <t>5555-2028</t>
  </si>
  <si>
    <t>DPI-11029</t>
  </si>
  <si>
    <t>NIT-21029</t>
  </si>
  <si>
    <t>Docente Especialista 1028</t>
  </si>
  <si>
    <t>docente1028@correo.edu.gt</t>
  </si>
  <si>
    <t>5555-2029</t>
  </si>
  <si>
    <t>DPI-11030</t>
  </si>
  <si>
    <t>NIT-21030</t>
  </si>
  <si>
    <t>Docente Especialista 1029</t>
  </si>
  <si>
    <t>docente1029@correo.edu.gt</t>
  </si>
  <si>
    <t>5555-2030</t>
  </si>
  <si>
    <t>DPI-11031</t>
  </si>
  <si>
    <t>NIT-21031</t>
  </si>
  <si>
    <t>Docente Especialista 1030</t>
  </si>
  <si>
    <t>docente1030@correo.edu.gt</t>
  </si>
  <si>
    <t>5555-2031</t>
  </si>
  <si>
    <t>DPI-11032</t>
  </si>
  <si>
    <t>NIT-21032</t>
  </si>
  <si>
    <t>Docente Especialista 1031</t>
  </si>
  <si>
    <t>docente1031@correo.edu.gt</t>
  </si>
  <si>
    <t>5555-2032</t>
  </si>
  <si>
    <t>DPI-11033</t>
  </si>
  <si>
    <t>NIT-21033</t>
  </si>
  <si>
    <t>Docente Especialista 1032</t>
  </si>
  <si>
    <t>docente1032@correo.edu.gt</t>
  </si>
  <si>
    <t>5555-2033</t>
  </si>
  <si>
    <t>DPI-11034</t>
  </si>
  <si>
    <t>NIT-21034</t>
  </si>
  <si>
    <t>Docente Especialista 1033</t>
  </si>
  <si>
    <t>docente1033@correo.edu.gt</t>
  </si>
  <si>
    <t>5555-2034</t>
  </si>
  <si>
    <t>DPI-11035</t>
  </si>
  <si>
    <t>NIT-21035</t>
  </si>
  <si>
    <t>Docente Especialista 1034</t>
  </si>
  <si>
    <t>docente1034@correo.edu.gt</t>
  </si>
  <si>
    <t>5555-2035</t>
  </si>
  <si>
    <t>DPI-11036</t>
  </si>
  <si>
    <t>NIT-21036</t>
  </si>
  <si>
    <t>Docente Especialista 1035</t>
  </si>
  <si>
    <t>docente1035@correo.edu.gt</t>
  </si>
  <si>
    <t>5555-2036</t>
  </si>
  <si>
    <t>DPI-11037</t>
  </si>
  <si>
    <t>NIT-21037</t>
  </si>
  <si>
    <t>Docente Especialista 1036</t>
  </si>
  <si>
    <t>docente1036@correo.edu.gt</t>
  </si>
  <si>
    <t>5555-2037</t>
  </si>
  <si>
    <t>DPI-11038</t>
  </si>
  <si>
    <t>NIT-21038</t>
  </si>
  <si>
    <t>Docente Especialista 1037</t>
  </si>
  <si>
    <t>docente1037@correo.edu.gt</t>
  </si>
  <si>
    <t>5555-2038</t>
  </si>
  <si>
    <t>DPI-11039</t>
  </si>
  <si>
    <t>NIT-21039</t>
  </si>
  <si>
    <t>Docente Especialista 1038</t>
  </si>
  <si>
    <t>docente1038@correo.edu.gt</t>
  </si>
  <si>
    <t>5555-2039</t>
  </si>
  <si>
    <t>DPI-11040</t>
  </si>
  <si>
    <t>NIT-21040</t>
  </si>
  <si>
    <t>Docente Especialista 1039</t>
  </si>
  <si>
    <t>docente1039@correo.edu.gt</t>
  </si>
  <si>
    <t>5555-2040</t>
  </si>
  <si>
    <t>DPI-11041</t>
  </si>
  <si>
    <t>NIT-21041</t>
  </si>
  <si>
    <t>Docente Especialista 1040</t>
  </si>
  <si>
    <t>docente1040@correo.edu.gt</t>
  </si>
  <si>
    <t>5555-2041</t>
  </si>
  <si>
    <t>DPI-11042</t>
  </si>
  <si>
    <t>NIT-21042</t>
  </si>
  <si>
    <t>Docente Especialista 1041</t>
  </si>
  <si>
    <t>docente1041@correo.edu.gt</t>
  </si>
  <si>
    <t>5555-2042</t>
  </si>
  <si>
    <t>DPI-11043</t>
  </si>
  <si>
    <t>NIT-21043</t>
  </si>
  <si>
    <t>Docente Especialista 1042</t>
  </si>
  <si>
    <t>docente1042@correo.edu.gt</t>
  </si>
  <si>
    <t>5555-2043</t>
  </si>
  <si>
    <t>DPI-11044</t>
  </si>
  <si>
    <t>NIT-21044</t>
  </si>
  <si>
    <t>Docente Especialista 1043</t>
  </si>
  <si>
    <t>docente1043@correo.edu.gt</t>
  </si>
  <si>
    <t>5555-2044</t>
  </si>
  <si>
    <t>DPI-11045</t>
  </si>
  <si>
    <t>NIT-21045</t>
  </si>
  <si>
    <t>Docente Especialista 1044</t>
  </si>
  <si>
    <t>docente1044@correo.edu.gt</t>
  </si>
  <si>
    <t>5555-2045</t>
  </si>
  <si>
    <t>DPI-11046</t>
  </si>
  <si>
    <t>NIT-21046</t>
  </si>
  <si>
    <t>Docente Especialista 1045</t>
  </si>
  <si>
    <t>docente1045@correo.edu.gt</t>
  </si>
  <si>
    <t>5555-2046</t>
  </si>
  <si>
    <t>DPI-11047</t>
  </si>
  <si>
    <t>NIT-21047</t>
  </si>
  <si>
    <t>Docente Especialista 1046</t>
  </si>
  <si>
    <t>docente1046@correo.edu.gt</t>
  </si>
  <si>
    <t>5555-2047</t>
  </si>
  <si>
    <t>DPI-11048</t>
  </si>
  <si>
    <t>NIT-21048</t>
  </si>
  <si>
    <t>Docente Especialista 1047</t>
  </si>
  <si>
    <t>docente1047@correo.edu.gt</t>
  </si>
  <si>
    <t>5555-2048</t>
  </si>
  <si>
    <t>DPI-11049</t>
  </si>
  <si>
    <t>NIT-21049</t>
  </si>
  <si>
    <t>Docente Especialista 1048</t>
  </si>
  <si>
    <t>docente1048@correo.edu.gt</t>
  </si>
  <si>
    <t>5555-2049</t>
  </si>
  <si>
    <t>DPI-11050</t>
  </si>
  <si>
    <t>NIT-21050</t>
  </si>
  <si>
    <t>Docente Especialista 1049</t>
  </si>
  <si>
    <t>docente1049@correo.edu.gt</t>
  </si>
  <si>
    <t>5555-2050</t>
  </si>
  <si>
    <t>DPI-11051</t>
  </si>
  <si>
    <t>NIT-21051</t>
  </si>
  <si>
    <t>Docente Especialista 1050</t>
  </si>
  <si>
    <t>docente1050@correo.edu.gt</t>
  </si>
  <si>
    <t>5555-2051</t>
  </si>
  <si>
    <t>DPI-11052</t>
  </si>
  <si>
    <t>NIT-21052</t>
  </si>
  <si>
    <t>Docente Especialista 1051</t>
  </si>
  <si>
    <t>docente1051@correo.edu.gt</t>
  </si>
  <si>
    <t>5555-2052</t>
  </si>
  <si>
    <t>DPI-11053</t>
  </si>
  <si>
    <t>NIT-21053</t>
  </si>
  <si>
    <t>Docente Especialista 1052</t>
  </si>
  <si>
    <t>docente1052@correo.edu.gt</t>
  </si>
  <si>
    <t>5555-2053</t>
  </si>
  <si>
    <t>DPI-11054</t>
  </si>
  <si>
    <t>NIT-21054</t>
  </si>
  <si>
    <t>Docente Especialista 1053</t>
  </si>
  <si>
    <t>docente1053@correo.edu.gt</t>
  </si>
  <si>
    <t>5555-2054</t>
  </si>
  <si>
    <t>DPI-11055</t>
  </si>
  <si>
    <t>NIT-21055</t>
  </si>
  <si>
    <t>Docente Especialista 1054</t>
  </si>
  <si>
    <t>docente1054@correo.edu.gt</t>
  </si>
  <si>
    <t>5555-2055</t>
  </si>
  <si>
    <t>DPI-11056</t>
  </si>
  <si>
    <t>NIT-21056</t>
  </si>
  <si>
    <t>Docente Especialista 1055</t>
  </si>
  <si>
    <t>docente1055@correo.edu.gt</t>
  </si>
  <si>
    <t>5555-2056</t>
  </si>
  <si>
    <t>DPI-11057</t>
  </si>
  <si>
    <t>NIT-21057</t>
  </si>
  <si>
    <t>Docente Especialista 1056</t>
  </si>
  <si>
    <t>docente1056@correo.edu.gt</t>
  </si>
  <si>
    <t>5555-2057</t>
  </si>
  <si>
    <t>DPI-11058</t>
  </si>
  <si>
    <t>NIT-21058</t>
  </si>
  <si>
    <t>Docente Especialista 1057</t>
  </si>
  <si>
    <t>docente1057@correo.edu.gt</t>
  </si>
  <si>
    <t>5555-2058</t>
  </si>
  <si>
    <t>DPI-11059</t>
  </si>
  <si>
    <t>NIT-21059</t>
  </si>
  <si>
    <t>Docente Especialista 1058</t>
  </si>
  <si>
    <t>docente1058@correo.edu.gt</t>
  </si>
  <si>
    <t>5555-2059</t>
  </si>
  <si>
    <t>DPI-11060</t>
  </si>
  <si>
    <t>NIT-21060</t>
  </si>
  <si>
    <t>Docente Especialista 1059</t>
  </si>
  <si>
    <t>docente1059@correo.edu.gt</t>
  </si>
  <si>
    <t>5555-2060</t>
  </si>
  <si>
    <t>DPI-11061</t>
  </si>
  <si>
    <t>NIT-21061</t>
  </si>
  <si>
    <t>Docente Especialista 1060</t>
  </si>
  <si>
    <t>docente1060@correo.edu.gt</t>
  </si>
  <si>
    <t>5555-2061</t>
  </si>
  <si>
    <t>DPI-11062</t>
  </si>
  <si>
    <t>NIT-21062</t>
  </si>
  <si>
    <t>Docente Especialista 1061</t>
  </si>
  <si>
    <t>docente1061@correo.edu.gt</t>
  </si>
  <si>
    <t>5555-2062</t>
  </si>
  <si>
    <t>DPI-11063</t>
  </si>
  <si>
    <t>NIT-21063</t>
  </si>
  <si>
    <t>Docente Especialista 1062</t>
  </si>
  <si>
    <t>docente1062@correo.edu.gt</t>
  </si>
  <si>
    <t>5555-2063</t>
  </si>
  <si>
    <t>DPI-11064</t>
  </si>
  <si>
    <t>NIT-21064</t>
  </si>
  <si>
    <t>Docente Especialista 1063</t>
  </si>
  <si>
    <t>docente1063@correo.edu.gt</t>
  </si>
  <si>
    <t>5555-2064</t>
  </si>
  <si>
    <t>DPI-11065</t>
  </si>
  <si>
    <t>NIT-21065</t>
  </si>
  <si>
    <t>Docente Especialista 1064</t>
  </si>
  <si>
    <t>docente1064@correo.edu.gt</t>
  </si>
  <si>
    <t>5555-2065</t>
  </si>
  <si>
    <t>DPI-11066</t>
  </si>
  <si>
    <t>NIT-21066</t>
  </si>
  <si>
    <t>Docente Especialista 1065</t>
  </si>
  <si>
    <t>docente1065@correo.edu.gt</t>
  </si>
  <si>
    <t>5555-2066</t>
  </si>
  <si>
    <t>DPI-11067</t>
  </si>
  <si>
    <t>NIT-21067</t>
  </si>
  <si>
    <t>Docente Especialista 1066</t>
  </si>
  <si>
    <t>docente1066@correo.edu.gt</t>
  </si>
  <si>
    <t>5555-2067</t>
  </si>
  <si>
    <t>DPI-11068</t>
  </si>
  <si>
    <t>NIT-21068</t>
  </si>
  <si>
    <t>Docente Especialista 1067</t>
  </si>
  <si>
    <t>docente1067@correo.edu.gt</t>
  </si>
  <si>
    <t>5555-2068</t>
  </si>
  <si>
    <t>DPI-11069</t>
  </si>
  <si>
    <t>NIT-21069</t>
  </si>
  <si>
    <t>Docente Especialista 1068</t>
  </si>
  <si>
    <t>docente1068@correo.edu.gt</t>
  </si>
  <si>
    <t>5555-2069</t>
  </si>
  <si>
    <t>DPI-11070</t>
  </si>
  <si>
    <t>NIT-21070</t>
  </si>
  <si>
    <t>Docente Especialista 1069</t>
  </si>
  <si>
    <t>docente1069@correo.edu.gt</t>
  </si>
  <si>
    <t>5555-2070</t>
  </si>
  <si>
    <t>DPI-11071</t>
  </si>
  <si>
    <t>NIT-21071</t>
  </si>
  <si>
    <t>Docente Especialista 1070</t>
  </si>
  <si>
    <t>docente1070@correo.edu.gt</t>
  </si>
  <si>
    <t>5555-2071</t>
  </si>
  <si>
    <t>DPI-11072</t>
  </si>
  <si>
    <t>NIT-21072</t>
  </si>
  <si>
    <t>Docente Especialista 1071</t>
  </si>
  <si>
    <t>docente1071@correo.edu.gt</t>
  </si>
  <si>
    <t>5555-2072</t>
  </si>
  <si>
    <t>DPI-11073</t>
  </si>
  <si>
    <t>NIT-21073</t>
  </si>
  <si>
    <t>Docente Especialista 1072</t>
  </si>
  <si>
    <t>docente1072@correo.edu.gt</t>
  </si>
  <si>
    <t>5555-2073</t>
  </si>
  <si>
    <t>DPI-11074</t>
  </si>
  <si>
    <t>NIT-21074</t>
  </si>
  <si>
    <t>Docente Especialista 1073</t>
  </si>
  <si>
    <t>docente1073@correo.edu.gt</t>
  </si>
  <si>
    <t>5555-2074</t>
  </si>
  <si>
    <t>DPI-11075</t>
  </si>
  <si>
    <t>NIT-21075</t>
  </si>
  <si>
    <t>Docente Especialista 1074</t>
  </si>
  <si>
    <t>docente1074@correo.edu.gt</t>
  </si>
  <si>
    <t>5555-2075</t>
  </si>
  <si>
    <t>DPI-11076</t>
  </si>
  <si>
    <t>NIT-21076</t>
  </si>
  <si>
    <t>Docente Especialista 1075</t>
  </si>
  <si>
    <t>docente1075@correo.edu.gt</t>
  </si>
  <si>
    <t>5555-2076</t>
  </si>
  <si>
    <t>DPI-11077</t>
  </si>
  <si>
    <t>NIT-21077</t>
  </si>
  <si>
    <t>Docente Especialista 1076</t>
  </si>
  <si>
    <t>docente1076@correo.edu.gt</t>
  </si>
  <si>
    <t>5555-2077</t>
  </si>
  <si>
    <t>DPI-11078</t>
  </si>
  <si>
    <t>NIT-21078</t>
  </si>
  <si>
    <t>Docente Especialista 1077</t>
  </si>
  <si>
    <t>docente1077@correo.edu.gt</t>
  </si>
  <si>
    <t>5555-2078</t>
  </si>
  <si>
    <t>DPI-11079</t>
  </si>
  <si>
    <t>NIT-21079</t>
  </si>
  <si>
    <t>Docente Especialista 1078</t>
  </si>
  <si>
    <t>docente1078@correo.edu.gt</t>
  </si>
  <si>
    <t>5555-2079</t>
  </si>
  <si>
    <t>DPI-11080</t>
  </si>
  <si>
    <t>NIT-21080</t>
  </si>
  <si>
    <t>Docente Especialista 1079</t>
  </si>
  <si>
    <t>docente1079@correo.edu.gt</t>
  </si>
  <si>
    <t>5555-2080</t>
  </si>
  <si>
    <t>DPI-11081</t>
  </si>
  <si>
    <t>NIT-21081</t>
  </si>
  <si>
    <t>Docente Especialista 1080</t>
  </si>
  <si>
    <t>docente1080@correo.edu.gt</t>
  </si>
  <si>
    <t>5555-2081</t>
  </si>
  <si>
    <t>DPI-11082</t>
  </si>
  <si>
    <t>NIT-21082</t>
  </si>
  <si>
    <t>Docente Especialista 1081</t>
  </si>
  <si>
    <t>docente1081@correo.edu.gt</t>
  </si>
  <si>
    <t>5555-2082</t>
  </si>
  <si>
    <t>DPI-11083</t>
  </si>
  <si>
    <t>NIT-21083</t>
  </si>
  <si>
    <t>Docente Especialista 1082</t>
  </si>
  <si>
    <t>docente1082@correo.edu.gt</t>
  </si>
  <si>
    <t>5555-2083</t>
  </si>
  <si>
    <t>DPI-11084</t>
  </si>
  <si>
    <t>NIT-21084</t>
  </si>
  <si>
    <t>Docente Especialista 1083</t>
  </si>
  <si>
    <t>docente1083@correo.edu.gt</t>
  </si>
  <si>
    <t>5555-2084</t>
  </si>
  <si>
    <t>DPI-11085</t>
  </si>
  <si>
    <t>NIT-21085</t>
  </si>
  <si>
    <t>Docente Especialista 1084</t>
  </si>
  <si>
    <t>docente1084@correo.edu.gt</t>
  </si>
  <si>
    <t>5555-2085</t>
  </si>
  <si>
    <t>DPI-11086</t>
  </si>
  <si>
    <t>NIT-21086</t>
  </si>
  <si>
    <t>Docente Especialista 1085</t>
  </si>
  <si>
    <t>docente1085@correo.edu.gt</t>
  </si>
  <si>
    <t>5555-2086</t>
  </si>
  <si>
    <t>DPI-11087</t>
  </si>
  <si>
    <t>NIT-21087</t>
  </si>
  <si>
    <t>Docente Especialista 1086</t>
  </si>
  <si>
    <t>docente1086@correo.edu.gt</t>
  </si>
  <si>
    <t>5555-2087</t>
  </si>
  <si>
    <t>DPI-11088</t>
  </si>
  <si>
    <t>NIT-21088</t>
  </si>
  <si>
    <t>Docente Especialista 1087</t>
  </si>
  <si>
    <t>docente1087@correo.edu.gt</t>
  </si>
  <si>
    <t>5555-2088</t>
  </si>
  <si>
    <t>DPI-11089</t>
  </si>
  <si>
    <t>NIT-21089</t>
  </si>
  <si>
    <t>Docente Especialista 1088</t>
  </si>
  <si>
    <t>docente1088@correo.edu.gt</t>
  </si>
  <si>
    <t>5555-2089</t>
  </si>
  <si>
    <t>DPI-11090</t>
  </si>
  <si>
    <t>NIT-21090</t>
  </si>
  <si>
    <t>Docente Especialista 1089</t>
  </si>
  <si>
    <t>docente1089@correo.edu.gt</t>
  </si>
  <si>
    <t>5555-2090</t>
  </si>
  <si>
    <t>DPI-11091</t>
  </si>
  <si>
    <t>NIT-21091</t>
  </si>
  <si>
    <t>Docente Especialista 1090</t>
  </si>
  <si>
    <t>docente1090@correo.edu.gt</t>
  </si>
  <si>
    <t>5555-2091</t>
  </si>
  <si>
    <t>DPI-11092</t>
  </si>
  <si>
    <t>NIT-21092</t>
  </si>
  <si>
    <t>Docente Especialista 1091</t>
  </si>
  <si>
    <t>docente1091@correo.edu.gt</t>
  </si>
  <si>
    <t>5555-2092</t>
  </si>
  <si>
    <t>DPI-11093</t>
  </si>
  <si>
    <t>NIT-21093</t>
  </si>
  <si>
    <t>Docente Especialista 1092</t>
  </si>
  <si>
    <t>docente1092@correo.edu.gt</t>
  </si>
  <si>
    <t>5555-2093</t>
  </si>
  <si>
    <t>DPI-11094</t>
  </si>
  <si>
    <t>NIT-21094</t>
  </si>
  <si>
    <t>Docente Especialista 1093</t>
  </si>
  <si>
    <t>docente1093@correo.edu.gt</t>
  </si>
  <si>
    <t>5555-2094</t>
  </si>
  <si>
    <t>DPI-11095</t>
  </si>
  <si>
    <t>NIT-21095</t>
  </si>
  <si>
    <t>Docente Especialista 1094</t>
  </si>
  <si>
    <t>docente1094@correo.edu.gt</t>
  </si>
  <si>
    <t>5555-2095</t>
  </si>
  <si>
    <t>DPI-11096</t>
  </si>
  <si>
    <t>NIT-21096</t>
  </si>
  <si>
    <t>Docente Especialista 1095</t>
  </si>
  <si>
    <t>docente1095@correo.edu.gt</t>
  </si>
  <si>
    <t>5555-2096</t>
  </si>
  <si>
    <t>DPI-11097</t>
  </si>
  <si>
    <t>NIT-21097</t>
  </si>
  <si>
    <t>Docente Especialista 1096</t>
  </si>
  <si>
    <t>docente1096@correo.edu.gt</t>
  </si>
  <si>
    <t>5555-2097</t>
  </si>
  <si>
    <t>DPI-11098</t>
  </si>
  <si>
    <t>NIT-21098</t>
  </si>
  <si>
    <t>Docente Especialista 1097</t>
  </si>
  <si>
    <t>docente1097@correo.edu.gt</t>
  </si>
  <si>
    <t>5555-2098</t>
  </si>
  <si>
    <t>DPI-11099</t>
  </si>
  <si>
    <t>NIT-21099</t>
  </si>
  <si>
    <t>Docente Especialista 1098</t>
  </si>
  <si>
    <t>docente1098@correo.edu.gt</t>
  </si>
  <si>
    <t>5555-2099</t>
  </si>
  <si>
    <t>DPI-11100</t>
  </si>
  <si>
    <t>NIT-21100</t>
  </si>
  <si>
    <t>Docente Especialista 1099</t>
  </si>
  <si>
    <t>docente1099@correo.edu.gt</t>
  </si>
  <si>
    <t>5555-2100</t>
  </si>
  <si>
    <t>DPI-11101</t>
  </si>
  <si>
    <t>NIT-21101</t>
  </si>
  <si>
    <t>Docente Especialista 1100</t>
  </si>
  <si>
    <t>docente1100@correo.edu.gt</t>
  </si>
  <si>
    <t>5555-2101</t>
  </si>
  <si>
    <t>DPI-11102</t>
  </si>
  <si>
    <t>NIT-21102</t>
  </si>
  <si>
    <t>Docente Especialista 1101</t>
  </si>
  <si>
    <t>docente1101@correo.edu.gt</t>
  </si>
  <si>
    <t>5555-2102</t>
  </si>
  <si>
    <t>DPI-11103</t>
  </si>
  <si>
    <t>NIT-21103</t>
  </si>
  <si>
    <t>Docente Especialista 1102</t>
  </si>
  <si>
    <t>docente1102@correo.edu.gt</t>
  </si>
  <si>
    <t>5555-2103</t>
  </si>
  <si>
    <t>DPI-11104</t>
  </si>
  <si>
    <t>NIT-21104</t>
  </si>
  <si>
    <t>Docente Especialista 1103</t>
  </si>
  <si>
    <t>docente1103@correo.edu.gt</t>
  </si>
  <si>
    <t>5555-2104</t>
  </si>
  <si>
    <t>DPI-11105</t>
  </si>
  <si>
    <t>NIT-21105</t>
  </si>
  <si>
    <t>Docente Especialista 1104</t>
  </si>
  <si>
    <t>docente1104@correo.edu.gt</t>
  </si>
  <si>
    <t>5555-2105</t>
  </si>
  <si>
    <t>DPI-11106</t>
  </si>
  <si>
    <t>NIT-21106</t>
  </si>
  <si>
    <t>Docente Especialista 1105</t>
  </si>
  <si>
    <t>docente1105@correo.edu.gt</t>
  </si>
  <si>
    <t>5555-2106</t>
  </si>
  <si>
    <t>DPI-11107</t>
  </si>
  <si>
    <t>NIT-21107</t>
  </si>
  <si>
    <t>Docente Especialista 1106</t>
  </si>
  <si>
    <t>docente1106@correo.edu.gt</t>
  </si>
  <si>
    <t>5555-2107</t>
  </si>
  <si>
    <t>DPI-11108</t>
  </si>
  <si>
    <t>NIT-21108</t>
  </si>
  <si>
    <t>Docente Especialista 1107</t>
  </si>
  <si>
    <t>docente1107@correo.edu.gt</t>
  </si>
  <si>
    <t>5555-2108</t>
  </si>
  <si>
    <t>DPI-11109</t>
  </si>
  <si>
    <t>NIT-21109</t>
  </si>
  <si>
    <t>Docente Especialista 1108</t>
  </si>
  <si>
    <t>docente1108@correo.edu.gt</t>
  </si>
  <si>
    <t>5555-2109</t>
  </si>
  <si>
    <t>DPI-11110</t>
  </si>
  <si>
    <t>NIT-21110</t>
  </si>
  <si>
    <t>Docente Especialista 1109</t>
  </si>
  <si>
    <t>docente1109@correo.edu.gt</t>
  </si>
  <si>
    <t>5555-2110</t>
  </si>
  <si>
    <t>DPI-11111</t>
  </si>
  <si>
    <t>NIT-21111</t>
  </si>
  <si>
    <t>Docente Especialista 1110</t>
  </si>
  <si>
    <t>docente1110@correo.edu.gt</t>
  </si>
  <si>
    <t>5555-2111</t>
  </si>
  <si>
    <t>DPI-11112</t>
  </si>
  <si>
    <t>NIT-21112</t>
  </si>
  <si>
    <t>Docente Especialista 1111</t>
  </si>
  <si>
    <t>docente1111@correo.edu.gt</t>
  </si>
  <si>
    <t>5555-2112</t>
  </si>
  <si>
    <t>DPI-11113</t>
  </si>
  <si>
    <t>NIT-21113</t>
  </si>
  <si>
    <t>Docente Especialista 1112</t>
  </si>
  <si>
    <t>docente1112@correo.edu.gt</t>
  </si>
  <si>
    <t>5555-2113</t>
  </si>
  <si>
    <t>DPI-11114</t>
  </si>
  <si>
    <t>NIT-21114</t>
  </si>
  <si>
    <t>Docente Especialista 1113</t>
  </si>
  <si>
    <t>docente1113@correo.edu.gt</t>
  </si>
  <si>
    <t>5555-2114</t>
  </si>
  <si>
    <t>DPI-11115</t>
  </si>
  <si>
    <t>NIT-21115</t>
  </si>
  <si>
    <t>Docente Especialista 1114</t>
  </si>
  <si>
    <t>docente1114@correo.edu.gt</t>
  </si>
  <si>
    <t>5555-2115</t>
  </si>
  <si>
    <t>DPI-11116</t>
  </si>
  <si>
    <t>NIT-21116</t>
  </si>
  <si>
    <t>Docente Especialista 1115</t>
  </si>
  <si>
    <t>docente1115@correo.edu.gt</t>
  </si>
  <si>
    <t>5555-2116</t>
  </si>
  <si>
    <t>DPI-11117</t>
  </si>
  <si>
    <t>NIT-21117</t>
  </si>
  <si>
    <t>Docente Especialista 1116</t>
  </si>
  <si>
    <t>docente1116@correo.edu.gt</t>
  </si>
  <si>
    <t>5555-2117</t>
  </si>
  <si>
    <t>DPI-11118</t>
  </si>
  <si>
    <t>NIT-21118</t>
  </si>
  <si>
    <t>Docente Especialista 1117</t>
  </si>
  <si>
    <t>docente1117@correo.edu.gt</t>
  </si>
  <si>
    <t>5555-2118</t>
  </si>
  <si>
    <t>DPI-11119</t>
  </si>
  <si>
    <t>NIT-21119</t>
  </si>
  <si>
    <t>Docente Especialista 1118</t>
  </si>
  <si>
    <t>docente1118@correo.edu.gt</t>
  </si>
  <si>
    <t>5555-2119</t>
  </si>
  <si>
    <t>DPI-11120</t>
  </si>
  <si>
    <t>NIT-21120</t>
  </si>
  <si>
    <t>Docente Especialista 1119</t>
  </si>
  <si>
    <t>docente1119@correo.edu.gt</t>
  </si>
  <si>
    <t>5555-2120</t>
  </si>
  <si>
    <t>DPI-11121</t>
  </si>
  <si>
    <t>NIT-21121</t>
  </si>
  <si>
    <t>Docente Especialista 1120</t>
  </si>
  <si>
    <t>docente1120@correo.edu.gt</t>
  </si>
  <si>
    <t>5555-2121</t>
  </si>
  <si>
    <t>DPI-11122</t>
  </si>
  <si>
    <t>NIT-21122</t>
  </si>
  <si>
    <t>Docente Especialista 1121</t>
  </si>
  <si>
    <t>docente1121@correo.edu.gt</t>
  </si>
  <si>
    <t>5555-2122</t>
  </si>
  <si>
    <t>DPI-11123</t>
  </si>
  <si>
    <t>NIT-21123</t>
  </si>
  <si>
    <t>Docente Especialista 1122</t>
  </si>
  <si>
    <t>docente1122@correo.edu.gt</t>
  </si>
  <si>
    <t>5555-2123</t>
  </si>
  <si>
    <t>DPI-11124</t>
  </si>
  <si>
    <t>NIT-21124</t>
  </si>
  <si>
    <t>Docente Especialista 1123</t>
  </si>
  <si>
    <t>docente1123@correo.edu.gt</t>
  </si>
  <si>
    <t>5555-2124</t>
  </si>
  <si>
    <t>DPI-11125</t>
  </si>
  <si>
    <t>NIT-21125</t>
  </si>
  <si>
    <t>Docente Especialista 1124</t>
  </si>
  <si>
    <t>docente1124@correo.edu.gt</t>
  </si>
  <si>
    <t>5555-2125</t>
  </si>
  <si>
    <t>DPI-11126</t>
  </si>
  <si>
    <t>NIT-21126</t>
  </si>
  <si>
    <t>Docente Especialista 1125</t>
  </si>
  <si>
    <t>docente1125@correo.edu.gt</t>
  </si>
  <si>
    <t>5555-2126</t>
  </si>
  <si>
    <t>DPI-11127</t>
  </si>
  <si>
    <t>NIT-21127</t>
  </si>
  <si>
    <t>Docente Especialista 1126</t>
  </si>
  <si>
    <t>docente1126@correo.edu.gt</t>
  </si>
  <si>
    <t>5555-2127</t>
  </si>
  <si>
    <t>DPI-11128</t>
  </si>
  <si>
    <t>NIT-21128</t>
  </si>
  <si>
    <t>Docente Especialista 1127</t>
  </si>
  <si>
    <t>docente1127@correo.edu.gt</t>
  </si>
  <si>
    <t>5555-2128</t>
  </si>
  <si>
    <t>DPI-11129</t>
  </si>
  <si>
    <t>NIT-21129</t>
  </si>
  <si>
    <t>Docente Especialista 1128</t>
  </si>
  <si>
    <t>docente1128@correo.edu.gt</t>
  </si>
  <si>
    <t>5555-2129</t>
  </si>
  <si>
    <t>DPI-11130</t>
  </si>
  <si>
    <t>NIT-21130</t>
  </si>
  <si>
    <t>Docente Especialista 1129</t>
  </si>
  <si>
    <t>docente1129@correo.edu.gt</t>
  </si>
  <si>
    <t>5555-2130</t>
  </si>
  <si>
    <t>DPI-11131</t>
  </si>
  <si>
    <t>NIT-21131</t>
  </si>
  <si>
    <t>Docente Especialista 1130</t>
  </si>
  <si>
    <t>docente1130@correo.edu.gt</t>
  </si>
  <si>
    <t>5555-2131</t>
  </si>
  <si>
    <t>DPI-11132</t>
  </si>
  <si>
    <t>NIT-21132</t>
  </si>
  <si>
    <t>Docente Especialista 1131</t>
  </si>
  <si>
    <t>docente1131@correo.edu.gt</t>
  </si>
  <si>
    <t>5555-2132</t>
  </si>
  <si>
    <t>DPI-11133</t>
  </si>
  <si>
    <t>NIT-21133</t>
  </si>
  <si>
    <t>Docente Especialista 1132</t>
  </si>
  <si>
    <t>docente1132@correo.edu.gt</t>
  </si>
  <si>
    <t>5555-2133</t>
  </si>
  <si>
    <t>DPI-11134</t>
  </si>
  <si>
    <t>NIT-21134</t>
  </si>
  <si>
    <t>Docente Especialista 1133</t>
  </si>
  <si>
    <t>docente1133@correo.edu.gt</t>
  </si>
  <si>
    <t>5555-2134</t>
  </si>
  <si>
    <t>DPI-11135</t>
  </si>
  <si>
    <t>NIT-21135</t>
  </si>
  <si>
    <t>Docente Especialista 1134</t>
  </si>
  <si>
    <t>docente1134@correo.edu.gt</t>
  </si>
  <si>
    <t>5555-2135</t>
  </si>
  <si>
    <t>DPI-11136</t>
  </si>
  <si>
    <t>NIT-21136</t>
  </si>
  <si>
    <t>Docente Especialista 1135</t>
  </si>
  <si>
    <t>docente1135@correo.edu.gt</t>
  </si>
  <si>
    <t>5555-2136</t>
  </si>
  <si>
    <t>DPI-11137</t>
  </si>
  <si>
    <t>NIT-21137</t>
  </si>
  <si>
    <t>Docente Especialista 1136</t>
  </si>
  <si>
    <t>docente1136@correo.edu.gt</t>
  </si>
  <si>
    <t>5555-2137</t>
  </si>
  <si>
    <t>DPI-11138</t>
  </si>
  <si>
    <t>NIT-21138</t>
  </si>
  <si>
    <t>Docente Especialista 1137</t>
  </si>
  <si>
    <t>docente1137@correo.edu.gt</t>
  </si>
  <si>
    <t>5555-2138</t>
  </si>
  <si>
    <t>DPI-11139</t>
  </si>
  <si>
    <t>NIT-21139</t>
  </si>
  <si>
    <t>Docente Especialista 1138</t>
  </si>
  <si>
    <t>docente1138@correo.edu.gt</t>
  </si>
  <si>
    <t>5555-2139</t>
  </si>
  <si>
    <t>DPI-11140</t>
  </si>
  <si>
    <t>NIT-21140</t>
  </si>
  <si>
    <t>Docente Especialista 1139</t>
  </si>
  <si>
    <t>docente1139@correo.edu.gt</t>
  </si>
  <si>
    <t>5555-2140</t>
  </si>
  <si>
    <t>DPI-11141</t>
  </si>
  <si>
    <t>NIT-21141</t>
  </si>
  <si>
    <t>Docente Especialista 1140</t>
  </si>
  <si>
    <t>docente1140@correo.edu.gt</t>
  </si>
  <si>
    <t>5555-2141</t>
  </si>
  <si>
    <t>DPI-11142</t>
  </si>
  <si>
    <t>NIT-21142</t>
  </si>
  <si>
    <t>Docente Especialista 1141</t>
  </si>
  <si>
    <t>docente1141@correo.edu.gt</t>
  </si>
  <si>
    <t>5555-2142</t>
  </si>
  <si>
    <t>DPI-11143</t>
  </si>
  <si>
    <t>NIT-21143</t>
  </si>
  <si>
    <t>Docente Especialista 1142</t>
  </si>
  <si>
    <t>docente1142@correo.edu.gt</t>
  </si>
  <si>
    <t>5555-2143</t>
  </si>
  <si>
    <t>DPI-11144</t>
  </si>
  <si>
    <t>NIT-21144</t>
  </si>
  <si>
    <t>Docente Especialista 1143</t>
  </si>
  <si>
    <t>docente1143@correo.edu.gt</t>
  </si>
  <si>
    <t>5555-2144</t>
  </si>
  <si>
    <t>DPI-11145</t>
  </si>
  <si>
    <t>NIT-21145</t>
  </si>
  <si>
    <t>Docente Especialista 1144</t>
  </si>
  <si>
    <t>docente1144@correo.edu.gt</t>
  </si>
  <si>
    <t>5555-2145</t>
  </si>
  <si>
    <t>DPI-11146</t>
  </si>
  <si>
    <t>NIT-21146</t>
  </si>
  <si>
    <t>Docente Especialista 1145</t>
  </si>
  <si>
    <t>docente1145@correo.edu.gt</t>
  </si>
  <si>
    <t>5555-2146</t>
  </si>
  <si>
    <t>DPI-11147</t>
  </si>
  <si>
    <t>NIT-21147</t>
  </si>
  <si>
    <t>Docente Especialista 1146</t>
  </si>
  <si>
    <t>docente1146@correo.edu.gt</t>
  </si>
  <si>
    <t>5555-2147</t>
  </si>
  <si>
    <t>DPI-11148</t>
  </si>
  <si>
    <t>NIT-21148</t>
  </si>
  <si>
    <t>Docente Especialista 1147</t>
  </si>
  <si>
    <t>docente1147@correo.edu.gt</t>
  </si>
  <si>
    <t>5555-2148</t>
  </si>
  <si>
    <t>DPI-11149</t>
  </si>
  <si>
    <t>NIT-21149</t>
  </si>
  <si>
    <t>Docente Especialista 1148</t>
  </si>
  <si>
    <t>docente1148@correo.edu.gt</t>
  </si>
  <si>
    <t>5555-2149</t>
  </si>
  <si>
    <t>DPI-11150</t>
  </si>
  <si>
    <t>NIT-21150</t>
  </si>
  <si>
    <t>Docente Especialista 1149</t>
  </si>
  <si>
    <t>docente1149@correo.edu.gt</t>
  </si>
  <si>
    <t>5555-2150</t>
  </si>
  <si>
    <t>DPI-11151</t>
  </si>
  <si>
    <t>NIT-21151</t>
  </si>
  <si>
    <t>Docente Especialista 1150</t>
  </si>
  <si>
    <t>docente1150@correo.edu.gt</t>
  </si>
  <si>
    <t>5555-2151</t>
  </si>
  <si>
    <t>DPI-11152</t>
  </si>
  <si>
    <t>NIT-21152</t>
  </si>
  <si>
    <t>Docente Especialista 1151</t>
  </si>
  <si>
    <t>docente1151@correo.edu.gt</t>
  </si>
  <si>
    <t>5555-2152</t>
  </si>
  <si>
    <t>DPI-11153</t>
  </si>
  <si>
    <t>NIT-21153</t>
  </si>
  <si>
    <t>Docente Especialista 1152</t>
  </si>
  <si>
    <t>docente1152@correo.edu.gt</t>
  </si>
  <si>
    <t>5555-2153</t>
  </si>
  <si>
    <t>DPI-11154</t>
  </si>
  <si>
    <t>NIT-21154</t>
  </si>
  <si>
    <t>Docente Especialista 1153</t>
  </si>
  <si>
    <t>docente1153@correo.edu.gt</t>
  </si>
  <si>
    <t>5555-2154</t>
  </si>
  <si>
    <t>DPI-11155</t>
  </si>
  <si>
    <t>NIT-21155</t>
  </si>
  <si>
    <t>Docente Especialista 1154</t>
  </si>
  <si>
    <t>docente1154@correo.edu.gt</t>
  </si>
  <si>
    <t>5555-2155</t>
  </si>
  <si>
    <t>DPI-11156</t>
  </si>
  <si>
    <t>NIT-21156</t>
  </si>
  <si>
    <t>Docente Especialista 1155</t>
  </si>
  <si>
    <t>docente1155@correo.edu.gt</t>
  </si>
  <si>
    <t>5555-2156</t>
  </si>
  <si>
    <t>DPI-11157</t>
  </si>
  <si>
    <t>NIT-21157</t>
  </si>
  <si>
    <t>Docente Especialista 1156</t>
  </si>
  <si>
    <t>docente1156@correo.edu.gt</t>
  </si>
  <si>
    <t>5555-2157</t>
  </si>
  <si>
    <t>DPI-11158</t>
  </si>
  <si>
    <t>NIT-21158</t>
  </si>
  <si>
    <t>Docente Especialista 1157</t>
  </si>
  <si>
    <t>docente1157@correo.edu.gt</t>
  </si>
  <si>
    <t>5555-2158</t>
  </si>
  <si>
    <t>DPI-11159</t>
  </si>
  <si>
    <t>NIT-21159</t>
  </si>
  <si>
    <t>Docente Especialista 1158</t>
  </si>
  <si>
    <t>docente1158@correo.edu.gt</t>
  </si>
  <si>
    <t>5555-2159</t>
  </si>
  <si>
    <t>DPI-11160</t>
  </si>
  <si>
    <t>NIT-21160</t>
  </si>
  <si>
    <t>Docente Especialista 1159</t>
  </si>
  <si>
    <t>docente1159@correo.edu.gt</t>
  </si>
  <si>
    <t>5555-2160</t>
  </si>
  <si>
    <t>DPI-11161</t>
  </si>
  <si>
    <t>NIT-21161</t>
  </si>
  <si>
    <t>Docente Especialista 1160</t>
  </si>
  <si>
    <t>docente1160@correo.edu.gt</t>
  </si>
  <si>
    <t>5555-2161</t>
  </si>
  <si>
    <t>DPI-11162</t>
  </si>
  <si>
    <t>NIT-21162</t>
  </si>
  <si>
    <t>Docente Especialista 1161</t>
  </si>
  <si>
    <t>docente1161@correo.edu.gt</t>
  </si>
  <si>
    <t>5555-2162</t>
  </si>
  <si>
    <t>DPI-11163</t>
  </si>
  <si>
    <t>NIT-21163</t>
  </si>
  <si>
    <t>Docente Especialista 1162</t>
  </si>
  <si>
    <t>docente1162@correo.edu.gt</t>
  </si>
  <si>
    <t>5555-2163</t>
  </si>
  <si>
    <t>DPI-11164</t>
  </si>
  <si>
    <t>NIT-21164</t>
  </si>
  <si>
    <t>Docente Especialista 1163</t>
  </si>
  <si>
    <t>docente1163@correo.edu.gt</t>
  </si>
  <si>
    <t>5555-2164</t>
  </si>
  <si>
    <t>DPI-11165</t>
  </si>
  <si>
    <t>NIT-21165</t>
  </si>
  <si>
    <t>Docente Especialista 1164</t>
  </si>
  <si>
    <t>docente1164@correo.edu.gt</t>
  </si>
  <si>
    <t>5555-2165</t>
  </si>
  <si>
    <t>DPI-11166</t>
  </si>
  <si>
    <t>NIT-21166</t>
  </si>
  <si>
    <t>Docente Especialista 1165</t>
  </si>
  <si>
    <t>docente1165@correo.edu.gt</t>
  </si>
  <si>
    <t>5555-2166</t>
  </si>
  <si>
    <t>DPI-11167</t>
  </si>
  <si>
    <t>NIT-21167</t>
  </si>
  <si>
    <t>Docente Especialista 1166</t>
  </si>
  <si>
    <t>docente1166@correo.edu.gt</t>
  </si>
  <si>
    <t>5555-2167</t>
  </si>
  <si>
    <t>DPI-11168</t>
  </si>
  <si>
    <t>NIT-21168</t>
  </si>
  <si>
    <t>Docente Especialista 1167</t>
  </si>
  <si>
    <t>docente1167@correo.edu.gt</t>
  </si>
  <si>
    <t>5555-2168</t>
  </si>
  <si>
    <t>DPI-11169</t>
  </si>
  <si>
    <t>NIT-21169</t>
  </si>
  <si>
    <t>Docente Especialista 1168</t>
  </si>
  <si>
    <t>docente1168@correo.edu.gt</t>
  </si>
  <si>
    <t>5555-2169</t>
  </si>
  <si>
    <t>DPI-11170</t>
  </si>
  <si>
    <t>NIT-21170</t>
  </si>
  <si>
    <t>Docente Especialista 1169</t>
  </si>
  <si>
    <t>docente1169@correo.edu.gt</t>
  </si>
  <si>
    <t>5555-2170</t>
  </si>
  <si>
    <t>DPI-11171</t>
  </si>
  <si>
    <t>NIT-21171</t>
  </si>
  <si>
    <t>Docente Especialista 1170</t>
  </si>
  <si>
    <t>docente1170@correo.edu.gt</t>
  </si>
  <si>
    <t>5555-2171</t>
  </si>
  <si>
    <t>DPI-11172</t>
  </si>
  <si>
    <t>NIT-21172</t>
  </si>
  <si>
    <t>Docente Especialista 1171</t>
  </si>
  <si>
    <t>docente1171@correo.edu.gt</t>
  </si>
  <si>
    <t>5555-2172</t>
  </si>
  <si>
    <t>DPI-11173</t>
  </si>
  <si>
    <t>NIT-21173</t>
  </si>
  <si>
    <t>Docente Especialista 1172</t>
  </si>
  <si>
    <t>docente1172@correo.edu.gt</t>
  </si>
  <si>
    <t>5555-2173</t>
  </si>
  <si>
    <t>DPI-11174</t>
  </si>
  <si>
    <t>NIT-21174</t>
  </si>
  <si>
    <t>Docente Especialista 1173</t>
  </si>
  <si>
    <t>docente1173@correo.edu.gt</t>
  </si>
  <si>
    <t>5555-2174</t>
  </si>
  <si>
    <t>DPI-11175</t>
  </si>
  <si>
    <t>NIT-21175</t>
  </si>
  <si>
    <t>Docente Especialista 1174</t>
  </si>
  <si>
    <t>docente1174@correo.edu.gt</t>
  </si>
  <si>
    <t>5555-2175</t>
  </si>
  <si>
    <t>DPI-11176</t>
  </si>
  <si>
    <t>NIT-21176</t>
  </si>
  <si>
    <t>Docente Especialista 1175</t>
  </si>
  <si>
    <t>docente1175@correo.edu.gt</t>
  </si>
  <si>
    <t>5555-2176</t>
  </si>
  <si>
    <t>DPI-11177</t>
  </si>
  <si>
    <t>NIT-21177</t>
  </si>
  <si>
    <t>Docente Especialista 1176</t>
  </si>
  <si>
    <t>docente1176@correo.edu.gt</t>
  </si>
  <si>
    <t>5555-2177</t>
  </si>
  <si>
    <t>DPI-11178</t>
  </si>
  <si>
    <t>NIT-21178</t>
  </si>
  <si>
    <t>Docente Especialista 1177</t>
  </si>
  <si>
    <t>docente1177@correo.edu.gt</t>
  </si>
  <si>
    <t>5555-2178</t>
  </si>
  <si>
    <t>DPI-11179</t>
  </si>
  <si>
    <t>NIT-21179</t>
  </si>
  <si>
    <t>Docente Especialista 1178</t>
  </si>
  <si>
    <t>docente1178@correo.edu.gt</t>
  </si>
  <si>
    <t>5555-2179</t>
  </si>
  <si>
    <t>DPI-11180</t>
  </si>
  <si>
    <t>NIT-21180</t>
  </si>
  <si>
    <t>Docente Especialista 1179</t>
  </si>
  <si>
    <t>docente1179@correo.edu.gt</t>
  </si>
  <si>
    <t>5555-2180</t>
  </si>
  <si>
    <t>DPI-11181</t>
  </si>
  <si>
    <t>NIT-21181</t>
  </si>
  <si>
    <t>Docente Especialista 1180</t>
  </si>
  <si>
    <t>docente1180@correo.edu.gt</t>
  </si>
  <si>
    <t>5555-2181</t>
  </si>
  <si>
    <t>DPI-11182</t>
  </si>
  <si>
    <t>NIT-21182</t>
  </si>
  <si>
    <t>Docente Especialista 1181</t>
  </si>
  <si>
    <t>docente1181@correo.edu.gt</t>
  </si>
  <si>
    <t>5555-2182</t>
  </si>
  <si>
    <t>DPI-11183</t>
  </si>
  <si>
    <t>NIT-21183</t>
  </si>
  <si>
    <t>Docente Especialista 1182</t>
  </si>
  <si>
    <t>docente1182@correo.edu.gt</t>
  </si>
  <si>
    <t>5555-2183</t>
  </si>
  <si>
    <t>DPI-11184</t>
  </si>
  <si>
    <t>NIT-21184</t>
  </si>
  <si>
    <t>Docente Especialista 1183</t>
  </si>
  <si>
    <t>docente1183@correo.edu.gt</t>
  </si>
  <si>
    <t>5555-2184</t>
  </si>
  <si>
    <t>DPI-11185</t>
  </si>
  <si>
    <t>NIT-21185</t>
  </si>
  <si>
    <t>Docente Especialista 1184</t>
  </si>
  <si>
    <t>docente1184@correo.edu.gt</t>
  </si>
  <si>
    <t>5555-2185</t>
  </si>
  <si>
    <t>DPI-11186</t>
  </si>
  <si>
    <t>NIT-21186</t>
  </si>
  <si>
    <t>Docente Especialista 1185</t>
  </si>
  <si>
    <t>docente1185@correo.edu.gt</t>
  </si>
  <si>
    <t>5555-2186</t>
  </si>
  <si>
    <t>DPI-11187</t>
  </si>
  <si>
    <t>NIT-21187</t>
  </si>
  <si>
    <t>Docente Especialista 1186</t>
  </si>
  <si>
    <t>docente1186@correo.edu.gt</t>
  </si>
  <si>
    <t>5555-2187</t>
  </si>
  <si>
    <t>DPI-11188</t>
  </si>
  <si>
    <t>NIT-21188</t>
  </si>
  <si>
    <t>Docente Especialista 1187</t>
  </si>
  <si>
    <t>docente1187@correo.edu.gt</t>
  </si>
  <si>
    <t>5555-2188</t>
  </si>
  <si>
    <t>DPI-11189</t>
  </si>
  <si>
    <t>NIT-21189</t>
  </si>
  <si>
    <t>Docente Especialista 1188</t>
  </si>
  <si>
    <t>docente1188@correo.edu.gt</t>
  </si>
  <si>
    <t>5555-2189</t>
  </si>
  <si>
    <t>DPI-11190</t>
  </si>
  <si>
    <t>NIT-21190</t>
  </si>
  <si>
    <t>Docente Especialista 1189</t>
  </si>
  <si>
    <t>docente1189@correo.edu.gt</t>
  </si>
  <si>
    <t>5555-2190</t>
  </si>
  <si>
    <t>DPI-11191</t>
  </si>
  <si>
    <t>NIT-21191</t>
  </si>
  <si>
    <t>Docente Especialista 1190</t>
  </si>
  <si>
    <t>docente1190@correo.edu.gt</t>
  </si>
  <si>
    <t>5555-2191</t>
  </si>
  <si>
    <t>DPI-11192</t>
  </si>
  <si>
    <t>NIT-21192</t>
  </si>
  <si>
    <t>Docente Especialista 1191</t>
  </si>
  <si>
    <t>docente1191@correo.edu.gt</t>
  </si>
  <si>
    <t>5555-2192</t>
  </si>
  <si>
    <t>DPI-11193</t>
  </si>
  <si>
    <t>NIT-21193</t>
  </si>
  <si>
    <t>Docente Especialista 1192</t>
  </si>
  <si>
    <t>docente1192@correo.edu.gt</t>
  </si>
  <si>
    <t>5555-2193</t>
  </si>
  <si>
    <t>DPI-11194</t>
  </si>
  <si>
    <t>NIT-21194</t>
  </si>
  <si>
    <t>Docente Especialista 1193</t>
  </si>
  <si>
    <t>docente1193@correo.edu.gt</t>
  </si>
  <si>
    <t>5555-2194</t>
  </si>
  <si>
    <t>DPI-11195</t>
  </si>
  <si>
    <t>NIT-21195</t>
  </si>
  <si>
    <t>Docente Especialista 1194</t>
  </si>
  <si>
    <t>docente1194@correo.edu.gt</t>
  </si>
  <si>
    <t>5555-2195</t>
  </si>
  <si>
    <t>DPI-11196</t>
  </si>
  <si>
    <t>NIT-21196</t>
  </si>
  <si>
    <t>Docente Especialista 1195</t>
  </si>
  <si>
    <t>docente1195@correo.edu.gt</t>
  </si>
  <si>
    <t>5555-2196</t>
  </si>
  <si>
    <t>DPI-11197</t>
  </si>
  <si>
    <t>NIT-21197</t>
  </si>
  <si>
    <t>Docente Especialista 1196</t>
  </si>
  <si>
    <t>docente1196@correo.edu.gt</t>
  </si>
  <si>
    <t>5555-2197</t>
  </si>
  <si>
    <t>DPI-11198</t>
  </si>
  <si>
    <t>NIT-21198</t>
  </si>
  <si>
    <t>Docente Especialista 1197</t>
  </si>
  <si>
    <t>docente1197@correo.edu.gt</t>
  </si>
  <si>
    <t>5555-2198</t>
  </si>
  <si>
    <t>DPI-11199</t>
  </si>
  <si>
    <t>NIT-21199</t>
  </si>
  <si>
    <t>Docente Especialista 1198</t>
  </si>
  <si>
    <t>docente1198@correo.edu.gt</t>
  </si>
  <si>
    <t>5555-2199</t>
  </si>
  <si>
    <t>DPI-11200</t>
  </si>
  <si>
    <t>NIT-21200</t>
  </si>
  <si>
    <t>Docente Especialista 1199</t>
  </si>
  <si>
    <t>docente1199@correo.edu.gt</t>
  </si>
  <si>
    <t>5555-2200</t>
  </si>
  <si>
    <t>DPI-11201</t>
  </si>
  <si>
    <t>NIT-21201</t>
  </si>
  <si>
    <t>Docente Especialista 1200</t>
  </si>
  <si>
    <t>docente1200@correo.edu.gt</t>
  </si>
  <si>
    <t>5555-2201</t>
  </si>
  <si>
    <t>DPI-11202</t>
  </si>
  <si>
    <t>NIT-21202</t>
  </si>
  <si>
    <t>Docente Especialista 1201</t>
  </si>
  <si>
    <t>docente1201@correo.edu.gt</t>
  </si>
  <si>
    <t>5555-2202</t>
  </si>
  <si>
    <t>DPI-11203</t>
  </si>
  <si>
    <t>NIT-21203</t>
  </si>
  <si>
    <t>Docente Especialista 1202</t>
  </si>
  <si>
    <t>docente1202@correo.edu.gt</t>
  </si>
  <si>
    <t>5555-2203</t>
  </si>
  <si>
    <t>DPI-11204</t>
  </si>
  <si>
    <t>NIT-21204</t>
  </si>
  <si>
    <t>Docente Especialista 1203</t>
  </si>
  <si>
    <t>docente1203@correo.edu.gt</t>
  </si>
  <si>
    <t>5555-2204</t>
  </si>
  <si>
    <t>DPI-11205</t>
  </si>
  <si>
    <t>NIT-21205</t>
  </si>
  <si>
    <t>Docente Especialista 1204</t>
  </si>
  <si>
    <t>docente1204@correo.edu.gt</t>
  </si>
  <si>
    <t>5555-2205</t>
  </si>
  <si>
    <t>DPI-11206</t>
  </si>
  <si>
    <t>NIT-21206</t>
  </si>
  <si>
    <t>Docente Especialista 1205</t>
  </si>
  <si>
    <t>docente1205@correo.edu.gt</t>
  </si>
  <si>
    <t>5555-2206</t>
  </si>
  <si>
    <t>DPI-11207</t>
  </si>
  <si>
    <t>NIT-21207</t>
  </si>
  <si>
    <t>Docente Especialista 1206</t>
  </si>
  <si>
    <t>docente1206@correo.edu.gt</t>
  </si>
  <si>
    <t>5555-2207</t>
  </si>
  <si>
    <t>DPI-11208</t>
  </si>
  <si>
    <t>NIT-21208</t>
  </si>
  <si>
    <t>Docente Especialista 1207</t>
  </si>
  <si>
    <t>docente1207@correo.edu.gt</t>
  </si>
  <si>
    <t>5555-2208</t>
  </si>
  <si>
    <t>DPI-11209</t>
  </si>
  <si>
    <t>NIT-21209</t>
  </si>
  <si>
    <t>Docente Especialista 1208</t>
  </si>
  <si>
    <t>docente1208@correo.edu.gt</t>
  </si>
  <si>
    <t>5555-2209</t>
  </si>
  <si>
    <t>DPI-11210</t>
  </si>
  <si>
    <t>NIT-21210</t>
  </si>
  <si>
    <t>Docente Especialista 1209</t>
  </si>
  <si>
    <t>docente1209@correo.edu.gt</t>
  </si>
  <si>
    <t>5555-2210</t>
  </si>
  <si>
    <t>DPI-11211</t>
  </si>
  <si>
    <t>NIT-21211</t>
  </si>
  <si>
    <t>Docente Especialista 1210</t>
  </si>
  <si>
    <t>docente1210@correo.edu.gt</t>
  </si>
  <si>
    <t>5555-2211</t>
  </si>
  <si>
    <t>DPI-11212</t>
  </si>
  <si>
    <t>NIT-21212</t>
  </si>
  <si>
    <t>Docente Especialista 1211</t>
  </si>
  <si>
    <t>docente1211@correo.edu.gt</t>
  </si>
  <si>
    <t>5555-2212</t>
  </si>
  <si>
    <t>DPI-11213</t>
  </si>
  <si>
    <t>NIT-21213</t>
  </si>
  <si>
    <t>Docente Especialista 1212</t>
  </si>
  <si>
    <t>docente1212@correo.edu.gt</t>
  </si>
  <si>
    <t>5555-2213</t>
  </si>
  <si>
    <t>DPI-11214</t>
  </si>
  <si>
    <t>NIT-21214</t>
  </si>
  <si>
    <t>Docente Especialista 1213</t>
  </si>
  <si>
    <t>docente1213@correo.edu.gt</t>
  </si>
  <si>
    <t>5555-2214</t>
  </si>
  <si>
    <t>DPI-11215</t>
  </si>
  <si>
    <t>NIT-21215</t>
  </si>
  <si>
    <t>Docente Especialista 1214</t>
  </si>
  <si>
    <t>docente1214@correo.edu.gt</t>
  </si>
  <si>
    <t>5555-2215</t>
  </si>
  <si>
    <t>DPI-11216</t>
  </si>
  <si>
    <t>NIT-21216</t>
  </si>
  <si>
    <t>Docente Especialista 1215</t>
  </si>
  <si>
    <t>docente1215@correo.edu.gt</t>
  </si>
  <si>
    <t>5555-2216</t>
  </si>
  <si>
    <t>DPI-11217</t>
  </si>
  <si>
    <t>NIT-21217</t>
  </si>
  <si>
    <t>Docente Especialista 1216</t>
  </si>
  <si>
    <t>docente1216@correo.edu.gt</t>
  </si>
  <si>
    <t>5555-2217</t>
  </si>
  <si>
    <t>DPI-11218</t>
  </si>
  <si>
    <t>NIT-21218</t>
  </si>
  <si>
    <t>Docente Especialista 1217</t>
  </si>
  <si>
    <t>docente1217@correo.edu.gt</t>
  </si>
  <si>
    <t>5555-2218</t>
  </si>
  <si>
    <t>DPI-11219</t>
  </si>
  <si>
    <t>NIT-21219</t>
  </si>
  <si>
    <t>Docente Especialista 1218</t>
  </si>
  <si>
    <t>docente1218@correo.edu.gt</t>
  </si>
  <si>
    <t>5555-2219</t>
  </si>
  <si>
    <t>DPI-11220</t>
  </si>
  <si>
    <t>NIT-21220</t>
  </si>
  <si>
    <t>Docente Especialista 1219</t>
  </si>
  <si>
    <t>docente1219@correo.edu.gt</t>
  </si>
  <si>
    <t>5555-2220</t>
  </si>
  <si>
    <t>DPI-11221</t>
  </si>
  <si>
    <t>NIT-21221</t>
  </si>
  <si>
    <t>Docente Especialista 1220</t>
  </si>
  <si>
    <t>docente1220@correo.edu.gt</t>
  </si>
  <si>
    <t>5555-2221</t>
  </si>
  <si>
    <t>DPI-11222</t>
  </si>
  <si>
    <t>NIT-21222</t>
  </si>
  <si>
    <t>Docente Especialista 1221</t>
  </si>
  <si>
    <t>docente1221@correo.edu.gt</t>
  </si>
  <si>
    <t>5555-2222</t>
  </si>
  <si>
    <t>DPI-11223</t>
  </si>
  <si>
    <t>NIT-21223</t>
  </si>
  <si>
    <t>Docente Especialista 1222</t>
  </si>
  <si>
    <t>docente1222@correo.edu.gt</t>
  </si>
  <si>
    <t>5555-2223</t>
  </si>
  <si>
    <t>DPI-11224</t>
  </si>
  <si>
    <t>NIT-21224</t>
  </si>
  <si>
    <t>Docente Especialista 1223</t>
  </si>
  <si>
    <t>docente1223@correo.edu.gt</t>
  </si>
  <si>
    <t>5555-2224</t>
  </si>
  <si>
    <t>DPI-11225</t>
  </si>
  <si>
    <t>NIT-21225</t>
  </si>
  <si>
    <t>Docente Especialista 1224</t>
  </si>
  <si>
    <t>docente1224@correo.edu.gt</t>
  </si>
  <si>
    <t>5555-2225</t>
  </si>
  <si>
    <t>DPI-11226</t>
  </si>
  <si>
    <t>NIT-21226</t>
  </si>
  <si>
    <t>Docente Especialista 1225</t>
  </si>
  <si>
    <t>docente1225@correo.edu.gt</t>
  </si>
  <si>
    <t>5555-2226</t>
  </si>
  <si>
    <t>DPI-11227</t>
  </si>
  <si>
    <t>NIT-21227</t>
  </si>
  <si>
    <t>Docente Especialista 1226</t>
  </si>
  <si>
    <t>docente1226@correo.edu.gt</t>
  </si>
  <si>
    <t>5555-2227</t>
  </si>
  <si>
    <t>DPI-11228</t>
  </si>
  <si>
    <t>NIT-21228</t>
  </si>
  <si>
    <t>Docente Especialista 1227</t>
  </si>
  <si>
    <t>docente1227@correo.edu.gt</t>
  </si>
  <si>
    <t>5555-2228</t>
  </si>
  <si>
    <t>DPI-11229</t>
  </si>
  <si>
    <t>NIT-21229</t>
  </si>
  <si>
    <t>Docente Especialista 1228</t>
  </si>
  <si>
    <t>docente1228@correo.edu.gt</t>
  </si>
  <si>
    <t>5555-2229</t>
  </si>
  <si>
    <t>DPI-11230</t>
  </si>
  <si>
    <t>NIT-21230</t>
  </si>
  <si>
    <t>Docente Especialista 1229</t>
  </si>
  <si>
    <t>docente1229@correo.edu.gt</t>
  </si>
  <si>
    <t>5555-2230</t>
  </si>
  <si>
    <t>DPI-11231</t>
  </si>
  <si>
    <t>NIT-21231</t>
  </si>
  <si>
    <t>Docente Especialista 1230</t>
  </si>
  <si>
    <t>docente1230@correo.edu.gt</t>
  </si>
  <si>
    <t>5555-2231</t>
  </si>
  <si>
    <t>DPI-11232</t>
  </si>
  <si>
    <t>NIT-21232</t>
  </si>
  <si>
    <t>Docente Especialista 1231</t>
  </si>
  <si>
    <t>docente1231@correo.edu.gt</t>
  </si>
  <si>
    <t>5555-2232</t>
  </si>
  <si>
    <t>DPI-11233</t>
  </si>
  <si>
    <t>NIT-21233</t>
  </si>
  <si>
    <t>Docente Especialista 1232</t>
  </si>
  <si>
    <t>docente1232@correo.edu.gt</t>
  </si>
  <si>
    <t>5555-2233</t>
  </si>
  <si>
    <t>DPI-11234</t>
  </si>
  <si>
    <t>NIT-21234</t>
  </si>
  <si>
    <t>Docente Especialista 1233</t>
  </si>
  <si>
    <t>docente1233@correo.edu.gt</t>
  </si>
  <si>
    <t>5555-2234</t>
  </si>
  <si>
    <t>DPI-11235</t>
  </si>
  <si>
    <t>NIT-21235</t>
  </si>
  <si>
    <t>Docente Especialista 1234</t>
  </si>
  <si>
    <t>docente1234@correo.edu.gt</t>
  </si>
  <si>
    <t>5555-2235</t>
  </si>
  <si>
    <t>DPI-11236</t>
  </si>
  <si>
    <t>NIT-21236</t>
  </si>
  <si>
    <t>Docente Especialista 1235</t>
  </si>
  <si>
    <t>docente1235@correo.edu.gt</t>
  </si>
  <si>
    <t>5555-2236</t>
  </si>
  <si>
    <t>DPI-11237</t>
  </si>
  <si>
    <t>NIT-21237</t>
  </si>
  <si>
    <t>Docente Especialista 1236</t>
  </si>
  <si>
    <t>docente1236@correo.edu.gt</t>
  </si>
  <si>
    <t>5555-2237</t>
  </si>
  <si>
    <t>DPI-11238</t>
  </si>
  <si>
    <t>NIT-21238</t>
  </si>
  <si>
    <t>Docente Especialista 1237</t>
  </si>
  <si>
    <t>docente1237@correo.edu.gt</t>
  </si>
  <si>
    <t>5555-2238</t>
  </si>
  <si>
    <t>DPI-11239</t>
  </si>
  <si>
    <t>NIT-21239</t>
  </si>
  <si>
    <t>Docente Especialista 1238</t>
  </si>
  <si>
    <t>docente1238@correo.edu.gt</t>
  </si>
  <si>
    <t>5555-2239</t>
  </si>
  <si>
    <t>DPI-11240</t>
  </si>
  <si>
    <t>NIT-21240</t>
  </si>
  <si>
    <t>Docente Especialista 1239</t>
  </si>
  <si>
    <t>docente1239@correo.edu.gt</t>
  </si>
  <si>
    <t>5555-2240</t>
  </si>
  <si>
    <t>DPI-11241</t>
  </si>
  <si>
    <t>NIT-21241</t>
  </si>
  <si>
    <t>Docente Especialista 1240</t>
  </si>
  <si>
    <t>docente1240@correo.edu.gt</t>
  </si>
  <si>
    <t>5555-2241</t>
  </si>
  <si>
    <t>DPI-11242</t>
  </si>
  <si>
    <t>NIT-21242</t>
  </si>
  <si>
    <t>Docente Especialista 1241</t>
  </si>
  <si>
    <t>docente1241@correo.edu.gt</t>
  </si>
  <si>
    <t>5555-2242</t>
  </si>
  <si>
    <t>DPI-11243</t>
  </si>
  <si>
    <t>NIT-21243</t>
  </si>
  <si>
    <t>Docente Especialista 1242</t>
  </si>
  <si>
    <t>docente1242@correo.edu.gt</t>
  </si>
  <si>
    <t>5555-2243</t>
  </si>
  <si>
    <t>DPI-11244</t>
  </si>
  <si>
    <t>NIT-21244</t>
  </si>
  <si>
    <t>Docente Especialista 1243</t>
  </si>
  <si>
    <t>docente1243@correo.edu.gt</t>
  </si>
  <si>
    <t>5555-2244</t>
  </si>
  <si>
    <t>DPI-11245</t>
  </si>
  <si>
    <t>NIT-21245</t>
  </si>
  <si>
    <t>Docente Especialista 1244</t>
  </si>
  <si>
    <t>docente1244@correo.edu.gt</t>
  </si>
  <si>
    <t>5555-2245</t>
  </si>
  <si>
    <t>DPI-11246</t>
  </si>
  <si>
    <t>NIT-21246</t>
  </si>
  <si>
    <t>Docente Especialista 1245</t>
  </si>
  <si>
    <t>docente1245@correo.edu.gt</t>
  </si>
  <si>
    <t>5555-2246</t>
  </si>
  <si>
    <t>DPI-11247</t>
  </si>
  <si>
    <t>NIT-21247</t>
  </si>
  <si>
    <t>Docente Especialista 1246</t>
  </si>
  <si>
    <t>docente1246@correo.edu.gt</t>
  </si>
  <si>
    <t>5555-2247</t>
  </si>
  <si>
    <t>DPI-11248</t>
  </si>
  <si>
    <t>NIT-21248</t>
  </si>
  <si>
    <t>Docente Especialista 1247</t>
  </si>
  <si>
    <t>docente1247@correo.edu.gt</t>
  </si>
  <si>
    <t>5555-2248</t>
  </si>
  <si>
    <t>DPI-11249</t>
  </si>
  <si>
    <t>NIT-21249</t>
  </si>
  <si>
    <t>Docente Especialista 1248</t>
  </si>
  <si>
    <t>docente1248@correo.edu.gt</t>
  </si>
  <si>
    <t>5555-2249</t>
  </si>
  <si>
    <t>DPI-11250</t>
  </si>
  <si>
    <t>NIT-21250</t>
  </si>
  <si>
    <t>Docente Especialista 1249</t>
  </si>
  <si>
    <t>docente1249@correo.edu.gt</t>
  </si>
  <si>
    <t>5555-2250</t>
  </si>
  <si>
    <t>DPI-11251</t>
  </si>
  <si>
    <t>NIT-21251</t>
  </si>
  <si>
    <t>Docente Especialista 1250</t>
  </si>
  <si>
    <t>docente1250@correo.edu.gt</t>
  </si>
  <si>
    <t>5555-2251</t>
  </si>
  <si>
    <t>DPI-11252</t>
  </si>
  <si>
    <t>NIT-21252</t>
  </si>
  <si>
    <t>Docente Especialista 1251</t>
  </si>
  <si>
    <t>docente1251@correo.edu.gt</t>
  </si>
  <si>
    <t>5555-2252</t>
  </si>
  <si>
    <t>DPI-11253</t>
  </si>
  <si>
    <t>NIT-21253</t>
  </si>
  <si>
    <t>Docente Especialista 1252</t>
  </si>
  <si>
    <t>docente1252@correo.edu.gt</t>
  </si>
  <si>
    <t>5555-2253</t>
  </si>
  <si>
    <t>DPI-11254</t>
  </si>
  <si>
    <t>NIT-21254</t>
  </si>
  <si>
    <t>Docente Especialista 1253</t>
  </si>
  <si>
    <t>docente1253@correo.edu.gt</t>
  </si>
  <si>
    <t>5555-2254</t>
  </si>
  <si>
    <t>DPI-11255</t>
  </si>
  <si>
    <t>NIT-21255</t>
  </si>
  <si>
    <t>Docente Especialista 1254</t>
  </si>
  <si>
    <t>docente1254@correo.edu.gt</t>
  </si>
  <si>
    <t>5555-2255</t>
  </si>
  <si>
    <t>DPI-11256</t>
  </si>
  <si>
    <t>NIT-21256</t>
  </si>
  <si>
    <t>Docente Especialista 1255</t>
  </si>
  <si>
    <t>docente1255@correo.edu.gt</t>
  </si>
  <si>
    <t>5555-2256</t>
  </si>
  <si>
    <t>DPI-11257</t>
  </si>
  <si>
    <t>NIT-21257</t>
  </si>
  <si>
    <t>Docente Especialista 1256</t>
  </si>
  <si>
    <t>docente1256@correo.edu.gt</t>
  </si>
  <si>
    <t>5555-2257</t>
  </si>
  <si>
    <t>DPI-11258</t>
  </si>
  <si>
    <t>NIT-21258</t>
  </si>
  <si>
    <t>Docente Especialista 1257</t>
  </si>
  <si>
    <t>docente1257@correo.edu.gt</t>
  </si>
  <si>
    <t>5555-2258</t>
  </si>
  <si>
    <t>DPI-11259</t>
  </si>
  <si>
    <t>NIT-21259</t>
  </si>
  <si>
    <t>Docente Especialista 1258</t>
  </si>
  <si>
    <t>docente1258@correo.edu.gt</t>
  </si>
  <si>
    <t>5555-2259</t>
  </si>
  <si>
    <t>DPI-11260</t>
  </si>
  <si>
    <t>NIT-21260</t>
  </si>
  <si>
    <t>Docente Especialista 1259</t>
  </si>
  <si>
    <t>docente1259@correo.edu.gt</t>
  </si>
  <si>
    <t>5555-2260</t>
  </si>
  <si>
    <t>DPI-11261</t>
  </si>
  <si>
    <t>NIT-21261</t>
  </si>
  <si>
    <t>Docente Especialista 1260</t>
  </si>
  <si>
    <t>docente1260@correo.edu.gt</t>
  </si>
  <si>
    <t>5555-2261</t>
  </si>
  <si>
    <t>DPI-11262</t>
  </si>
  <si>
    <t>NIT-21262</t>
  </si>
  <si>
    <t>Docente Especialista 1261</t>
  </si>
  <si>
    <t>docente1261@correo.edu.gt</t>
  </si>
  <si>
    <t>5555-2262</t>
  </si>
  <si>
    <t>DPI-11263</t>
  </si>
  <si>
    <t>NIT-21263</t>
  </si>
  <si>
    <t>Docente Especialista 1262</t>
  </si>
  <si>
    <t>docente1262@correo.edu.gt</t>
  </si>
  <si>
    <t>5555-2263</t>
  </si>
  <si>
    <t>DPI-11264</t>
  </si>
  <si>
    <t>NIT-21264</t>
  </si>
  <si>
    <t>Docente Especialista 1263</t>
  </si>
  <si>
    <t>docente1263@correo.edu.gt</t>
  </si>
  <si>
    <t>5555-2264</t>
  </si>
  <si>
    <t>DPI-11265</t>
  </si>
  <si>
    <t>NIT-21265</t>
  </si>
  <si>
    <t>Docente Especialista 1264</t>
  </si>
  <si>
    <t>docente1264@correo.edu.gt</t>
  </si>
  <si>
    <t>5555-2265</t>
  </si>
  <si>
    <t>DPI-11266</t>
  </si>
  <si>
    <t>NIT-21266</t>
  </si>
  <si>
    <t>Docente Especialista 1265</t>
  </si>
  <si>
    <t>docente1265@correo.edu.gt</t>
  </si>
  <si>
    <t>5555-2266</t>
  </si>
  <si>
    <t>DPI-11267</t>
  </si>
  <si>
    <t>NIT-21267</t>
  </si>
  <si>
    <t>Docente Especialista 1266</t>
  </si>
  <si>
    <t>docente1266@correo.edu.gt</t>
  </si>
  <si>
    <t>5555-2267</t>
  </si>
  <si>
    <t>DPI-11268</t>
  </si>
  <si>
    <t>NIT-21268</t>
  </si>
  <si>
    <t>Docente Especialista 1267</t>
  </si>
  <si>
    <t>docente1267@correo.edu.gt</t>
  </si>
  <si>
    <t>5555-2268</t>
  </si>
  <si>
    <t>DPI-11269</t>
  </si>
  <si>
    <t>NIT-21269</t>
  </si>
  <si>
    <t>Docente Especialista 1268</t>
  </si>
  <si>
    <t>docente1268@correo.edu.gt</t>
  </si>
  <si>
    <t>5555-2269</t>
  </si>
  <si>
    <t>DPI-11270</t>
  </si>
  <si>
    <t>NIT-21270</t>
  </si>
  <si>
    <t>Docente Especialista 1269</t>
  </si>
  <si>
    <t>docente1269@correo.edu.gt</t>
  </si>
  <si>
    <t>5555-2270</t>
  </si>
  <si>
    <t>DPI-11271</t>
  </si>
  <si>
    <t>NIT-21271</t>
  </si>
  <si>
    <t>Docente Especialista 1270</t>
  </si>
  <si>
    <t>docente1270@correo.edu.gt</t>
  </si>
  <si>
    <t>5555-2271</t>
  </si>
  <si>
    <t>DPI-11272</t>
  </si>
  <si>
    <t>NIT-21272</t>
  </si>
  <si>
    <t>Docente Especialista 1271</t>
  </si>
  <si>
    <t>docente1271@correo.edu.gt</t>
  </si>
  <si>
    <t>5555-2272</t>
  </si>
  <si>
    <t>DPI-11273</t>
  </si>
  <si>
    <t>NIT-21273</t>
  </si>
  <si>
    <t>Docente Especialista 1272</t>
  </si>
  <si>
    <t>docente1272@correo.edu.gt</t>
  </si>
  <si>
    <t>5555-2273</t>
  </si>
  <si>
    <t>DPI-11274</t>
  </si>
  <si>
    <t>NIT-21274</t>
  </si>
  <si>
    <t>Docente Especialista 1273</t>
  </si>
  <si>
    <t>docente1273@correo.edu.gt</t>
  </si>
  <si>
    <t>5555-2274</t>
  </si>
  <si>
    <t>DPI-11275</t>
  </si>
  <si>
    <t>NIT-21275</t>
  </si>
  <si>
    <t>Docente Especialista 1274</t>
  </si>
  <si>
    <t>docente1274@correo.edu.gt</t>
  </si>
  <si>
    <t>5555-2275</t>
  </si>
  <si>
    <t>DPI-11276</t>
  </si>
  <si>
    <t>NIT-21276</t>
  </si>
  <si>
    <t>Docente Especialista 1275</t>
  </si>
  <si>
    <t>docente1275@correo.edu.gt</t>
  </si>
  <si>
    <t>5555-2276</t>
  </si>
  <si>
    <t>DPI-11277</t>
  </si>
  <si>
    <t>NIT-21277</t>
  </si>
  <si>
    <t>Docente Especialista 1276</t>
  </si>
  <si>
    <t>docente1276@correo.edu.gt</t>
  </si>
  <si>
    <t>5555-2277</t>
  </si>
  <si>
    <t>DPI-11278</t>
  </si>
  <si>
    <t>NIT-21278</t>
  </si>
  <si>
    <t>Docente Especialista 1277</t>
  </si>
  <si>
    <t>docente1277@correo.edu.gt</t>
  </si>
  <si>
    <t>5555-2278</t>
  </si>
  <si>
    <t>DPI-11279</t>
  </si>
  <si>
    <t>NIT-21279</t>
  </si>
  <si>
    <t>Docente Especialista 1278</t>
  </si>
  <si>
    <t>docente1278@correo.edu.gt</t>
  </si>
  <si>
    <t>5555-2279</t>
  </si>
  <si>
    <t>DPI-11280</t>
  </si>
  <si>
    <t>NIT-21280</t>
  </si>
  <si>
    <t>Docente Especialista 1279</t>
  </si>
  <si>
    <t>docente1279@correo.edu.gt</t>
  </si>
  <si>
    <t>5555-2280</t>
  </si>
  <si>
    <t>DPI-11281</t>
  </si>
  <si>
    <t>NIT-21281</t>
  </si>
  <si>
    <t>Docente Especialista 1280</t>
  </si>
  <si>
    <t>docente1280@correo.edu.gt</t>
  </si>
  <si>
    <t>5555-2281</t>
  </si>
  <si>
    <t>DPI-11282</t>
  </si>
  <si>
    <t>NIT-21282</t>
  </si>
  <si>
    <t>Docente Especialista 1281</t>
  </si>
  <si>
    <t>docente1281@correo.edu.gt</t>
  </si>
  <si>
    <t>5555-2282</t>
  </si>
  <si>
    <t>DPI-11283</t>
  </si>
  <si>
    <t>NIT-21283</t>
  </si>
  <si>
    <t>Docente Especialista 1282</t>
  </si>
  <si>
    <t>docente1282@correo.edu.gt</t>
  </si>
  <si>
    <t>5555-2283</t>
  </si>
  <si>
    <t>DPI-11284</t>
  </si>
  <si>
    <t>NIT-21284</t>
  </si>
  <si>
    <t>Docente Especialista 1283</t>
  </si>
  <si>
    <t>docente1283@correo.edu.gt</t>
  </si>
  <si>
    <t>5555-2284</t>
  </si>
  <si>
    <t>DPI-11285</t>
  </si>
  <si>
    <t>NIT-21285</t>
  </si>
  <si>
    <t>Docente Especialista 1284</t>
  </si>
  <si>
    <t>docente1284@correo.edu.gt</t>
  </si>
  <si>
    <t>5555-2285</t>
  </si>
  <si>
    <t>DPI-11286</t>
  </si>
  <si>
    <t>NIT-21286</t>
  </si>
  <si>
    <t>Docente Especialista 1285</t>
  </si>
  <si>
    <t>docente1285@correo.edu.gt</t>
  </si>
  <si>
    <t>5555-2286</t>
  </si>
  <si>
    <t>DPI-11287</t>
  </si>
  <si>
    <t>NIT-21287</t>
  </si>
  <si>
    <t>Docente Especialista 1286</t>
  </si>
  <si>
    <t>docente1286@correo.edu.gt</t>
  </si>
  <si>
    <t>5555-2287</t>
  </si>
  <si>
    <t>DPI-11288</t>
  </si>
  <si>
    <t>NIT-21288</t>
  </si>
  <si>
    <t>Docente Especialista 1287</t>
  </si>
  <si>
    <t>docente1287@correo.edu.gt</t>
  </si>
  <si>
    <t>5555-2288</t>
  </si>
  <si>
    <t>DPI-11289</t>
  </si>
  <si>
    <t>NIT-21289</t>
  </si>
  <si>
    <t>Docente Especialista 1288</t>
  </si>
  <si>
    <t>docente1288@correo.edu.gt</t>
  </si>
  <si>
    <t>5555-2289</t>
  </si>
  <si>
    <t>DPI-11290</t>
  </si>
  <si>
    <t>NIT-21290</t>
  </si>
  <si>
    <t>Docente Especialista 1289</t>
  </si>
  <si>
    <t>docente1289@correo.edu.gt</t>
  </si>
  <si>
    <t>5555-2290</t>
  </si>
  <si>
    <t>DPI-11291</t>
  </si>
  <si>
    <t>NIT-21291</t>
  </si>
  <si>
    <t>Docente Especialista 1290</t>
  </si>
  <si>
    <t>docente1290@correo.edu.gt</t>
  </si>
  <si>
    <t>5555-2291</t>
  </si>
  <si>
    <t>DPI-11292</t>
  </si>
  <si>
    <t>NIT-21292</t>
  </si>
  <si>
    <t>Docente Especialista 1291</t>
  </si>
  <si>
    <t>docente1291@correo.edu.gt</t>
  </si>
  <si>
    <t>5555-2292</t>
  </si>
  <si>
    <t>DPI-11293</t>
  </si>
  <si>
    <t>NIT-21293</t>
  </si>
  <si>
    <t>Docente Especialista 1292</t>
  </si>
  <si>
    <t>docente1292@correo.edu.gt</t>
  </si>
  <si>
    <t>5555-2293</t>
  </si>
  <si>
    <t>DPI-11294</t>
  </si>
  <si>
    <t>NIT-21294</t>
  </si>
  <si>
    <t>Docente Especialista 1293</t>
  </si>
  <si>
    <t>docente1293@correo.edu.gt</t>
  </si>
  <si>
    <t>5555-2294</t>
  </si>
  <si>
    <t>DPI-11295</t>
  </si>
  <si>
    <t>NIT-21295</t>
  </si>
  <si>
    <t>Docente Especialista 1294</t>
  </si>
  <si>
    <t>docente1294@correo.edu.gt</t>
  </si>
  <si>
    <t>5555-2295</t>
  </si>
  <si>
    <t>DPI-11296</t>
  </si>
  <si>
    <t>NIT-21296</t>
  </si>
  <si>
    <t>Docente Especialista 1295</t>
  </si>
  <si>
    <t>docente1295@correo.edu.gt</t>
  </si>
  <si>
    <t>5555-2296</t>
  </si>
  <si>
    <t>DPI-11297</t>
  </si>
  <si>
    <t>NIT-21297</t>
  </si>
  <si>
    <t>Docente Especialista 1296</t>
  </si>
  <si>
    <t>docente1296@correo.edu.gt</t>
  </si>
  <si>
    <t>5555-2297</t>
  </si>
  <si>
    <t>DPI-11298</t>
  </si>
  <si>
    <t>NIT-21298</t>
  </si>
  <si>
    <t>Docente Especialista 1297</t>
  </si>
  <si>
    <t>docente1297@correo.edu.gt</t>
  </si>
  <si>
    <t>5555-2298</t>
  </si>
  <si>
    <t>DPI-11299</t>
  </si>
  <si>
    <t>NIT-21299</t>
  </si>
  <si>
    <t>Docente Especialista 1298</t>
  </si>
  <si>
    <t>docente1298@correo.edu.gt</t>
  </si>
  <si>
    <t>5555-2299</t>
  </si>
  <si>
    <t>DPI-11300</t>
  </si>
  <si>
    <t>NIT-21300</t>
  </si>
  <si>
    <t>Docente Especialista 1299</t>
  </si>
  <si>
    <t>docente1299@correo.edu.gt</t>
  </si>
  <si>
    <t>5555-2300</t>
  </si>
  <si>
    <t>DPI-11301</t>
  </si>
  <si>
    <t>NIT-21301</t>
  </si>
  <si>
    <t>Docente Especialista 1300</t>
  </si>
  <si>
    <t>docente1300@correo.edu.gt</t>
  </si>
  <si>
    <t>5555-2301</t>
  </si>
  <si>
    <t>DPI-11302</t>
  </si>
  <si>
    <t>NIT-21302</t>
  </si>
  <si>
    <t>Docente Especialista 1301</t>
  </si>
  <si>
    <t>docente1301@correo.edu.gt</t>
  </si>
  <si>
    <t>5555-2302</t>
  </si>
  <si>
    <t>DPI-11303</t>
  </si>
  <si>
    <t>NIT-21303</t>
  </si>
  <si>
    <t>Docente Especialista 1302</t>
  </si>
  <si>
    <t>docente1302@correo.edu.gt</t>
  </si>
  <si>
    <t>5555-2303</t>
  </si>
  <si>
    <t>DPI-11304</t>
  </si>
  <si>
    <t>NIT-21304</t>
  </si>
  <si>
    <t>Docente Especialista 1303</t>
  </si>
  <si>
    <t>docente1303@correo.edu.gt</t>
  </si>
  <si>
    <t>5555-2304</t>
  </si>
  <si>
    <t>DPI-11305</t>
  </si>
  <si>
    <t>NIT-21305</t>
  </si>
  <si>
    <t>Docente Especialista 1304</t>
  </si>
  <si>
    <t>docente1304@correo.edu.gt</t>
  </si>
  <si>
    <t>5555-2305</t>
  </si>
  <si>
    <t>DPI-11306</t>
  </si>
  <si>
    <t>NIT-21306</t>
  </si>
  <si>
    <t>Docente Especialista 1305</t>
  </si>
  <si>
    <t>docente1305@correo.edu.gt</t>
  </si>
  <si>
    <t>5555-2306</t>
  </si>
  <si>
    <t>DPI-11307</t>
  </si>
  <si>
    <t>NIT-21307</t>
  </si>
  <si>
    <t>Docente Especialista 1306</t>
  </si>
  <si>
    <t>docente1306@correo.edu.gt</t>
  </si>
  <si>
    <t>5555-2307</t>
  </si>
  <si>
    <t>DPI-11308</t>
  </si>
  <si>
    <t>NIT-21308</t>
  </si>
  <si>
    <t>Docente Especialista 1307</t>
  </si>
  <si>
    <t>docente1307@correo.edu.gt</t>
  </si>
  <si>
    <t>5555-2308</t>
  </si>
  <si>
    <t>DPI-11309</t>
  </si>
  <si>
    <t>NIT-21309</t>
  </si>
  <si>
    <t>Docente Especialista 1308</t>
  </si>
  <si>
    <t>docente1308@correo.edu.gt</t>
  </si>
  <si>
    <t>5555-2309</t>
  </si>
  <si>
    <t>DPI-11310</t>
  </si>
  <si>
    <t>NIT-21310</t>
  </si>
  <si>
    <t>Docente Especialista 1309</t>
  </si>
  <si>
    <t>docente1309@correo.edu.gt</t>
  </si>
  <si>
    <t>5555-2310</t>
  </si>
  <si>
    <t>DPI-11311</t>
  </si>
  <si>
    <t>NIT-21311</t>
  </si>
  <si>
    <t>Docente Especialista 1310</t>
  </si>
  <si>
    <t>docente1310@correo.edu.gt</t>
  </si>
  <si>
    <t>5555-2311</t>
  </si>
  <si>
    <t>DPI-11312</t>
  </si>
  <si>
    <t>NIT-21312</t>
  </si>
  <si>
    <t>Docente Especialista 1311</t>
  </si>
  <si>
    <t>docente1311@correo.edu.gt</t>
  </si>
  <si>
    <t>5555-2312</t>
  </si>
  <si>
    <t>DPI-11313</t>
  </si>
  <si>
    <t>NIT-21313</t>
  </si>
  <si>
    <t>Docente Especialista 1312</t>
  </si>
  <si>
    <t>docente1312@correo.edu.gt</t>
  </si>
  <si>
    <t>5555-2313</t>
  </si>
  <si>
    <t>DPI-11314</t>
  </si>
  <si>
    <t>NIT-21314</t>
  </si>
  <si>
    <t>Docente Especialista 1313</t>
  </si>
  <si>
    <t>docente1313@correo.edu.gt</t>
  </si>
  <si>
    <t>5555-2314</t>
  </si>
  <si>
    <t>DPI-11315</t>
  </si>
  <si>
    <t>NIT-21315</t>
  </si>
  <si>
    <t>Docente Especialista 1314</t>
  </si>
  <si>
    <t>docente1314@correo.edu.gt</t>
  </si>
  <si>
    <t>5555-2315</t>
  </si>
  <si>
    <t>DPI-11316</t>
  </si>
  <si>
    <t>NIT-21316</t>
  </si>
  <si>
    <t>Docente Especialista 1315</t>
  </si>
  <si>
    <t>docente1315@correo.edu.gt</t>
  </si>
  <si>
    <t>5555-2316</t>
  </si>
  <si>
    <t>DPI-11317</t>
  </si>
  <si>
    <t>NIT-21317</t>
  </si>
  <si>
    <t>Docente Especialista 1316</t>
  </si>
  <si>
    <t>docente1316@correo.edu.gt</t>
  </si>
  <si>
    <t>5555-2317</t>
  </si>
  <si>
    <t>DPI-11318</t>
  </si>
  <si>
    <t>NIT-21318</t>
  </si>
  <si>
    <t>Docente Especialista 1317</t>
  </si>
  <si>
    <t>docente1317@correo.edu.gt</t>
  </si>
  <si>
    <t>5555-2318</t>
  </si>
  <si>
    <t>DPI-11319</t>
  </si>
  <si>
    <t>NIT-21319</t>
  </si>
  <si>
    <t>Docente Especialista 1318</t>
  </si>
  <si>
    <t>docente1318@correo.edu.gt</t>
  </si>
  <si>
    <t>5555-2319</t>
  </si>
  <si>
    <t>DPI-11320</t>
  </si>
  <si>
    <t>NIT-21320</t>
  </si>
  <si>
    <t>Docente Especialista 1319</t>
  </si>
  <si>
    <t>docente1319@correo.edu.gt</t>
  </si>
  <si>
    <t>5555-2320</t>
  </si>
  <si>
    <t>DPI-11321</t>
  </si>
  <si>
    <t>NIT-21321</t>
  </si>
  <si>
    <t>Docente Especialista 1320</t>
  </si>
  <si>
    <t>docente1320@correo.edu.gt</t>
  </si>
  <si>
    <t>5555-2321</t>
  </si>
  <si>
    <t>DPI-11322</t>
  </si>
  <si>
    <t>NIT-21322</t>
  </si>
  <si>
    <t>Docente Especialista 1321</t>
  </si>
  <si>
    <t>docente1321@correo.edu.gt</t>
  </si>
  <si>
    <t>5555-2322</t>
  </si>
  <si>
    <t>DPI-11323</t>
  </si>
  <si>
    <t>NIT-21323</t>
  </si>
  <si>
    <t>Docente Especialista 1322</t>
  </si>
  <si>
    <t>docente1322@correo.edu.gt</t>
  </si>
  <si>
    <t>5555-2323</t>
  </si>
  <si>
    <t>DPI-11324</t>
  </si>
  <si>
    <t>NIT-21324</t>
  </si>
  <si>
    <t>Docente Especialista 1323</t>
  </si>
  <si>
    <t>docente1323@correo.edu.gt</t>
  </si>
  <si>
    <t>5555-2324</t>
  </si>
  <si>
    <t>DPI-11325</t>
  </si>
  <si>
    <t>NIT-21325</t>
  </si>
  <si>
    <t>Docente Especialista 1324</t>
  </si>
  <si>
    <t>docente1324@correo.edu.gt</t>
  </si>
  <si>
    <t>5555-2325</t>
  </si>
  <si>
    <t>DPI-11326</t>
  </si>
  <si>
    <t>NIT-21326</t>
  </si>
  <si>
    <t>Docente Especialista 1325</t>
  </si>
  <si>
    <t>docente1325@correo.edu.gt</t>
  </si>
  <si>
    <t>5555-2326</t>
  </si>
  <si>
    <t>DPI-11327</t>
  </si>
  <si>
    <t>NIT-21327</t>
  </si>
  <si>
    <t>Docente Especialista 1326</t>
  </si>
  <si>
    <t>docente1326@correo.edu.gt</t>
  </si>
  <si>
    <t>5555-2327</t>
  </si>
  <si>
    <t>DPI-11328</t>
  </si>
  <si>
    <t>NIT-21328</t>
  </si>
  <si>
    <t>Docente Especialista 1327</t>
  </si>
  <si>
    <t>docente1327@correo.edu.gt</t>
  </si>
  <si>
    <t>5555-2328</t>
  </si>
  <si>
    <t>DPI-11329</t>
  </si>
  <si>
    <t>NIT-21329</t>
  </si>
  <si>
    <t>Docente Especialista 1328</t>
  </si>
  <si>
    <t>docente1328@correo.edu.gt</t>
  </si>
  <si>
    <t>5555-2329</t>
  </si>
  <si>
    <t>DPI-11330</t>
  </si>
  <si>
    <t>NIT-21330</t>
  </si>
  <si>
    <t>Docente Especialista 1329</t>
  </si>
  <si>
    <t>docente1329@correo.edu.gt</t>
  </si>
  <si>
    <t>5555-2330</t>
  </si>
  <si>
    <t>DPI-11331</t>
  </si>
  <si>
    <t>NIT-21331</t>
  </si>
  <si>
    <t>Docente Especialista 1330</t>
  </si>
  <si>
    <t>docente1330@correo.edu.gt</t>
  </si>
  <si>
    <t>5555-2331</t>
  </si>
  <si>
    <t>DPI-11332</t>
  </si>
  <si>
    <t>NIT-21332</t>
  </si>
  <si>
    <t>Docente Especialista 1331</t>
  </si>
  <si>
    <t>docente1331@correo.edu.gt</t>
  </si>
  <si>
    <t>5555-2332</t>
  </si>
  <si>
    <t>DPI-11333</t>
  </si>
  <si>
    <t>NIT-21333</t>
  </si>
  <si>
    <t>Docente Especialista 1332</t>
  </si>
  <si>
    <t>docente1332@correo.edu.gt</t>
  </si>
  <si>
    <t>5555-2333</t>
  </si>
  <si>
    <t>DPI-11334</t>
  </si>
  <si>
    <t>NIT-21334</t>
  </si>
  <si>
    <t>Docente Especialista 1333</t>
  </si>
  <si>
    <t>docente1333@correo.edu.gt</t>
  </si>
  <si>
    <t>5555-2334</t>
  </si>
  <si>
    <t>DPI-11335</t>
  </si>
  <si>
    <t>NIT-21335</t>
  </si>
  <si>
    <t>Docente Especialista 1334</t>
  </si>
  <si>
    <t>docente1334@correo.edu.gt</t>
  </si>
  <si>
    <t>5555-2335</t>
  </si>
  <si>
    <t>DPI-11336</t>
  </si>
  <si>
    <t>NIT-21336</t>
  </si>
  <si>
    <t>Docente Especialista 1335</t>
  </si>
  <si>
    <t>docente1335@correo.edu.gt</t>
  </si>
  <si>
    <t>5555-2336</t>
  </si>
  <si>
    <t>DPI-11337</t>
  </si>
  <si>
    <t>NIT-21337</t>
  </si>
  <si>
    <t>Docente Especialista 1336</t>
  </si>
  <si>
    <t>docente1336@correo.edu.gt</t>
  </si>
  <si>
    <t>5555-2337</t>
  </si>
  <si>
    <t>DPI-11338</t>
  </si>
  <si>
    <t>NIT-21338</t>
  </si>
  <si>
    <t>Docente Especialista 1337</t>
  </si>
  <si>
    <t>docente1337@correo.edu.gt</t>
  </si>
  <si>
    <t>5555-2338</t>
  </si>
  <si>
    <t>DPI-11339</t>
  </si>
  <si>
    <t>NIT-21339</t>
  </si>
  <si>
    <t>Docente Especialista 1338</t>
  </si>
  <si>
    <t>docente1338@correo.edu.gt</t>
  </si>
  <si>
    <t>5555-2339</t>
  </si>
  <si>
    <t>DPI-11340</t>
  </si>
  <si>
    <t>NIT-21340</t>
  </si>
  <si>
    <t>Docente Especialista 1339</t>
  </si>
  <si>
    <t>docente1339@correo.edu.gt</t>
  </si>
  <si>
    <t>5555-2340</t>
  </si>
  <si>
    <t>DPI-11341</t>
  </si>
  <si>
    <t>NIT-21341</t>
  </si>
  <si>
    <t>Docente Especialista 1340</t>
  </si>
  <si>
    <t>docente1340@correo.edu.gt</t>
  </si>
  <si>
    <t>5555-2341</t>
  </si>
  <si>
    <t>DPI-11342</t>
  </si>
  <si>
    <t>NIT-21342</t>
  </si>
  <si>
    <t>Docente Especialista 1341</t>
  </si>
  <si>
    <t>docente1341@correo.edu.gt</t>
  </si>
  <si>
    <t>5555-2342</t>
  </si>
  <si>
    <t>DPI-11343</t>
  </si>
  <si>
    <t>NIT-21343</t>
  </si>
  <si>
    <t>Docente Especialista 1342</t>
  </si>
  <si>
    <t>docente1342@correo.edu.gt</t>
  </si>
  <si>
    <t>5555-2343</t>
  </si>
  <si>
    <t>DPI-11344</t>
  </si>
  <si>
    <t>NIT-21344</t>
  </si>
  <si>
    <t>Docente Especialista 1343</t>
  </si>
  <si>
    <t>docente1343@correo.edu.gt</t>
  </si>
  <si>
    <t>5555-2344</t>
  </si>
  <si>
    <t>DPI-11345</t>
  </si>
  <si>
    <t>NIT-21345</t>
  </si>
  <si>
    <t>Docente Especialista 1344</t>
  </si>
  <si>
    <t>docente1344@correo.edu.gt</t>
  </si>
  <si>
    <t>5555-2345</t>
  </si>
  <si>
    <t>DPI-11346</t>
  </si>
  <si>
    <t>NIT-21346</t>
  </si>
  <si>
    <t>Docente Especialista 1345</t>
  </si>
  <si>
    <t>docente1345@correo.edu.gt</t>
  </si>
  <si>
    <t>5555-2346</t>
  </si>
  <si>
    <t>DPI-11347</t>
  </si>
  <si>
    <t>NIT-21347</t>
  </si>
  <si>
    <t>Docente Especialista 1346</t>
  </si>
  <si>
    <t>docente1346@correo.edu.gt</t>
  </si>
  <si>
    <t>5555-2347</t>
  </si>
  <si>
    <t>DPI-11348</t>
  </si>
  <si>
    <t>NIT-21348</t>
  </si>
  <si>
    <t>Docente Especialista 1347</t>
  </si>
  <si>
    <t>docente1347@correo.edu.gt</t>
  </si>
  <si>
    <t>5555-2348</t>
  </si>
  <si>
    <t>DPI-11349</t>
  </si>
  <si>
    <t>NIT-21349</t>
  </si>
  <si>
    <t>Docente Especialista 1348</t>
  </si>
  <si>
    <t>docente1348@correo.edu.gt</t>
  </si>
  <si>
    <t>5555-2349</t>
  </si>
  <si>
    <t>DPI-11350</t>
  </si>
  <si>
    <t>NIT-21350</t>
  </si>
  <si>
    <t>Docente Especialista 1349</t>
  </si>
  <si>
    <t>docente1349@correo.edu.gt</t>
  </si>
  <si>
    <t>5555-2350</t>
  </si>
  <si>
    <t>DPI-11351</t>
  </si>
  <si>
    <t>NIT-21351</t>
  </si>
  <si>
    <t>Docente Especialista 1350</t>
  </si>
  <si>
    <t>docente1350@correo.edu.gt</t>
  </si>
  <si>
    <t>5555-2351</t>
  </si>
  <si>
    <t>DPI-11352</t>
  </si>
  <si>
    <t>NIT-21352</t>
  </si>
  <si>
    <t>Docente Especialista 1351</t>
  </si>
  <si>
    <t>docente1351@correo.edu.gt</t>
  </si>
  <si>
    <t>5555-2352</t>
  </si>
  <si>
    <t>DPI-11353</t>
  </si>
  <si>
    <t>NIT-21353</t>
  </si>
  <si>
    <t>Docente Especialista 1352</t>
  </si>
  <si>
    <t>docente1352@correo.edu.gt</t>
  </si>
  <si>
    <t>5555-2353</t>
  </si>
  <si>
    <t>DPI-11354</t>
  </si>
  <si>
    <t>NIT-21354</t>
  </si>
  <si>
    <t>Docente Especialista 1353</t>
  </si>
  <si>
    <t>docente1353@correo.edu.gt</t>
  </si>
  <si>
    <t>5555-2354</t>
  </si>
  <si>
    <t>DPI-11355</t>
  </si>
  <si>
    <t>NIT-21355</t>
  </si>
  <si>
    <t>Docente Especialista 1354</t>
  </si>
  <si>
    <t>docente1354@correo.edu.gt</t>
  </si>
  <si>
    <t>5555-2355</t>
  </si>
  <si>
    <t>DPI-11356</t>
  </si>
  <si>
    <t>NIT-21356</t>
  </si>
  <si>
    <t>Docente Especialista 1355</t>
  </si>
  <si>
    <t>docente1355@correo.edu.gt</t>
  </si>
  <si>
    <t>5555-2356</t>
  </si>
  <si>
    <t>DPI-11357</t>
  </si>
  <si>
    <t>NIT-21357</t>
  </si>
  <si>
    <t>Docente Especialista 1356</t>
  </si>
  <si>
    <t>docente1356@correo.edu.gt</t>
  </si>
  <si>
    <t>5555-2357</t>
  </si>
  <si>
    <t>DPI-11358</t>
  </si>
  <si>
    <t>NIT-21358</t>
  </si>
  <si>
    <t>Docente Especialista 1357</t>
  </si>
  <si>
    <t>docente1357@correo.edu.gt</t>
  </si>
  <si>
    <t>5555-2358</t>
  </si>
  <si>
    <t>DPI-11359</t>
  </si>
  <si>
    <t>NIT-21359</t>
  </si>
  <si>
    <t>Docente Especialista 1358</t>
  </si>
  <si>
    <t>docente1358@correo.edu.gt</t>
  </si>
  <si>
    <t>5555-2359</t>
  </si>
  <si>
    <t>DPI-11360</t>
  </si>
  <si>
    <t>NIT-21360</t>
  </si>
  <si>
    <t>Docente Especialista 1359</t>
  </si>
  <si>
    <t>docente1359@correo.edu.gt</t>
  </si>
  <si>
    <t>5555-2360</t>
  </si>
  <si>
    <t>DPI-11361</t>
  </si>
  <si>
    <t>NIT-21361</t>
  </si>
  <si>
    <t>Docente Especialista 1360</t>
  </si>
  <si>
    <t>docente1360@correo.edu.gt</t>
  </si>
  <si>
    <t>5555-2361</t>
  </si>
  <si>
    <t>DPI-11362</t>
  </si>
  <si>
    <t>NIT-21362</t>
  </si>
  <si>
    <t>Docente Especialista 1361</t>
  </si>
  <si>
    <t>docente1361@correo.edu.gt</t>
  </si>
  <si>
    <t>5555-2362</t>
  </si>
  <si>
    <t>DPI-11363</t>
  </si>
  <si>
    <t>NIT-21363</t>
  </si>
  <si>
    <t>Docente Especialista 1362</t>
  </si>
  <si>
    <t>docente1362@correo.edu.gt</t>
  </si>
  <si>
    <t>5555-2363</t>
  </si>
  <si>
    <t>DPI-11364</t>
  </si>
  <si>
    <t>NIT-21364</t>
  </si>
  <si>
    <t>Docente Especialista 1363</t>
  </si>
  <si>
    <t>docente1363@correo.edu.gt</t>
  </si>
  <si>
    <t>5555-2364</t>
  </si>
  <si>
    <t>DPI-11365</t>
  </si>
  <si>
    <t>NIT-21365</t>
  </si>
  <si>
    <t>Docente Especialista 1364</t>
  </si>
  <si>
    <t>docente1364@correo.edu.gt</t>
  </si>
  <si>
    <t>5555-2365</t>
  </si>
  <si>
    <t>DPI-11366</t>
  </si>
  <si>
    <t>NIT-21366</t>
  </si>
  <si>
    <t>Docente Especialista 1365</t>
  </si>
  <si>
    <t>docente1365@correo.edu.gt</t>
  </si>
  <si>
    <t>5555-2366</t>
  </si>
  <si>
    <t>DPI-11367</t>
  </si>
  <si>
    <t>NIT-21367</t>
  </si>
  <si>
    <t>Docente Especialista 1366</t>
  </si>
  <si>
    <t>docente1366@correo.edu.gt</t>
  </si>
  <si>
    <t>5555-2367</t>
  </si>
  <si>
    <t>DPI-11368</t>
  </si>
  <si>
    <t>NIT-21368</t>
  </si>
  <si>
    <t>Docente Especialista 1367</t>
  </si>
  <si>
    <t>docente1367@correo.edu.gt</t>
  </si>
  <si>
    <t>5555-2368</t>
  </si>
  <si>
    <t>DPI-11369</t>
  </si>
  <si>
    <t>NIT-21369</t>
  </si>
  <si>
    <t>Docente Especialista 1368</t>
  </si>
  <si>
    <t>docente1368@correo.edu.gt</t>
  </si>
  <si>
    <t>5555-2369</t>
  </si>
  <si>
    <t>DPI-11370</t>
  </si>
  <si>
    <t>NIT-21370</t>
  </si>
  <si>
    <t>Docente Especialista 1369</t>
  </si>
  <si>
    <t xml:space="preserve">Externo </t>
  </si>
  <si>
    <t>docente1369@correo.edu.gt</t>
  </si>
  <si>
    <t>5555-2370</t>
  </si>
  <si>
    <t>DPI-11371</t>
  </si>
  <si>
    <t>NIT-21371</t>
  </si>
  <si>
    <t>Docente Especialista 1370</t>
  </si>
  <si>
    <t>docente1370@correo.edu.gt</t>
  </si>
  <si>
    <t>5555-2371</t>
  </si>
  <si>
    <t>DPI-11372</t>
  </si>
  <si>
    <t>NIT-21372</t>
  </si>
  <si>
    <t>Docente Especialista 1371</t>
  </si>
  <si>
    <t>docente1371@correo.edu.gt</t>
  </si>
  <si>
    <t>5555-2372</t>
  </si>
  <si>
    <t>DPI-11373</t>
  </si>
  <si>
    <t>NIT-21373</t>
  </si>
  <si>
    <t>Docente Especialista 1372</t>
  </si>
  <si>
    <t>docente1372@correo.edu.gt</t>
  </si>
  <si>
    <t>5555-2373</t>
  </si>
  <si>
    <t>DPI-11374</t>
  </si>
  <si>
    <t>NIT-21374</t>
  </si>
  <si>
    <t>Docente Especialista 1373</t>
  </si>
  <si>
    <t xml:space="preserve">externo </t>
  </si>
  <si>
    <t>docente1373@correo.edu.gt</t>
  </si>
  <si>
    <t>5555-2374</t>
  </si>
  <si>
    <t>DPI-11375</t>
  </si>
  <si>
    <t>NIT-21375</t>
  </si>
  <si>
    <t>Docente Especialista 1374</t>
  </si>
  <si>
    <t xml:space="preserve">Interno </t>
  </si>
  <si>
    <t>docente1374@correo.edu.gt</t>
  </si>
  <si>
    <t>5555-2375</t>
  </si>
  <si>
    <t>DPI-11376</t>
  </si>
  <si>
    <t>NIT-21376</t>
  </si>
  <si>
    <t>Docente Especialista 1375</t>
  </si>
  <si>
    <t>docente1375@correo.edu.gt</t>
  </si>
  <si>
    <t>5555-2376</t>
  </si>
  <si>
    <t>DPI-11377</t>
  </si>
  <si>
    <t>NIT-21377</t>
  </si>
  <si>
    <t>Docente Especialista 1376</t>
  </si>
  <si>
    <t>docente1376@correo.edu.gt</t>
  </si>
  <si>
    <t>5555-2377</t>
  </si>
  <si>
    <t>DPI-11378</t>
  </si>
  <si>
    <t>NIT-21378</t>
  </si>
  <si>
    <t>Docente Especialista 1377</t>
  </si>
  <si>
    <t>docente1377@correo.edu.gt</t>
  </si>
  <si>
    <t>5555-2378</t>
  </si>
  <si>
    <t>DPI-11379</t>
  </si>
  <si>
    <t>NIT-21379</t>
  </si>
  <si>
    <t>Docente Especialista 1378</t>
  </si>
  <si>
    <t>docente1378@correo.edu.gt</t>
  </si>
  <si>
    <t>5555-2379</t>
  </si>
  <si>
    <t>DPI-11380</t>
  </si>
  <si>
    <t>NIT-21380</t>
  </si>
  <si>
    <t>Docente Especialista 1379</t>
  </si>
  <si>
    <t>docente1379@correo.edu.gt</t>
  </si>
  <si>
    <t>5555-2380</t>
  </si>
  <si>
    <t>DPI-11381</t>
  </si>
  <si>
    <t>NIT-21381</t>
  </si>
  <si>
    <t>Docente Especialista 1380</t>
  </si>
  <si>
    <t>docente1380@correo.edu.gt</t>
  </si>
  <si>
    <t>5555-2381</t>
  </si>
  <si>
    <t>DPI-11382</t>
  </si>
  <si>
    <t>NIT-21382</t>
  </si>
  <si>
    <t>Docente Especialista 1381</t>
  </si>
  <si>
    <t>docente1381@correo.edu.gt</t>
  </si>
  <si>
    <t>5555-2382</t>
  </si>
  <si>
    <t>DPI-11383</t>
  </si>
  <si>
    <t>NIT-21383</t>
  </si>
  <si>
    <t>Docente Especialista 1382</t>
  </si>
  <si>
    <t>docente1382@correo.edu.gt</t>
  </si>
  <si>
    <t>5555-2383</t>
  </si>
  <si>
    <t>DPI-11384</t>
  </si>
  <si>
    <t>NIT-21384</t>
  </si>
  <si>
    <t>Docente Especialista 1383</t>
  </si>
  <si>
    <t>docente1383@correo.edu.gt</t>
  </si>
  <si>
    <t>5555-2384</t>
  </si>
  <si>
    <t>DPI-11385</t>
  </si>
  <si>
    <t>NIT-21385</t>
  </si>
  <si>
    <t>Docente Especialista 1384</t>
  </si>
  <si>
    <t>docente1384@correo.edu.gt</t>
  </si>
  <si>
    <t>5555-2385</t>
  </si>
  <si>
    <t>DPI-11386</t>
  </si>
  <si>
    <t>NIT-21386</t>
  </si>
  <si>
    <t>Docente Especialista 1385</t>
  </si>
  <si>
    <t>docente1385@correo.edu.gt</t>
  </si>
  <si>
    <t>5555-2386</t>
  </si>
  <si>
    <t>DPI-11387</t>
  </si>
  <si>
    <t>NIT-21387</t>
  </si>
  <si>
    <t>Docente Especialista 1386</t>
  </si>
  <si>
    <t>docente1386@correo.edu.gt</t>
  </si>
  <si>
    <t>5555-2387</t>
  </si>
  <si>
    <t>DPI-11388</t>
  </si>
  <si>
    <t>NIT-21388</t>
  </si>
  <si>
    <t>Docente Especialista 1387</t>
  </si>
  <si>
    <t>docente1387@correo.edu.gt</t>
  </si>
  <si>
    <t>5555-2388</t>
  </si>
  <si>
    <t>DPI-11389</t>
  </si>
  <si>
    <t>NIT-21389</t>
  </si>
  <si>
    <t>Docente Especialista 1388</t>
  </si>
  <si>
    <t>docente1388@correo.edu.gt</t>
  </si>
  <si>
    <t>5555-2389</t>
  </si>
  <si>
    <t>DPI-11390</t>
  </si>
  <si>
    <t>NIT-21390</t>
  </si>
  <si>
    <t>Docente Especialista 1389</t>
  </si>
  <si>
    <t>docente1389@correo.edu.gt</t>
  </si>
  <si>
    <t>5555-2390</t>
  </si>
  <si>
    <t>DPI-11391</t>
  </si>
  <si>
    <t>NIT-21391</t>
  </si>
  <si>
    <t>Docente Especialista 1390</t>
  </si>
  <si>
    <t>docente1390@correo.edu.gt</t>
  </si>
  <si>
    <t>5555-2391</t>
  </si>
  <si>
    <t>DPI-11392</t>
  </si>
  <si>
    <t>NIT-21392</t>
  </si>
  <si>
    <t>Docente Especialista 1391</t>
  </si>
  <si>
    <t>docente1391@correo.edu.gt</t>
  </si>
  <si>
    <t>5555-2392</t>
  </si>
  <si>
    <t>DPI-11393</t>
  </si>
  <si>
    <t>NIT-21393</t>
  </si>
  <si>
    <t>Docente Especialista 1392</t>
  </si>
  <si>
    <t>docente1392@correo.edu.gt</t>
  </si>
  <si>
    <t>5555-2393</t>
  </si>
  <si>
    <t>DPI-11394</t>
  </si>
  <si>
    <t>NIT-21394</t>
  </si>
  <si>
    <t>Docente Especialista 1393</t>
  </si>
  <si>
    <t>docente1393@correo.edu.gt</t>
  </si>
  <si>
    <t>5555-2394</t>
  </si>
  <si>
    <t>DPI-11395</t>
  </si>
  <si>
    <t>NIT-21395</t>
  </si>
  <si>
    <t>Docente Especialista 1394</t>
  </si>
  <si>
    <t>docente1394@correo.edu.gt</t>
  </si>
  <si>
    <t>5555-2395</t>
  </si>
  <si>
    <t>DPI-11396</t>
  </si>
  <si>
    <t>NIT-21396</t>
  </si>
  <si>
    <t>Docente Especialista 1395</t>
  </si>
  <si>
    <t>docente1395@correo.edu.gt</t>
  </si>
  <si>
    <t>5555-2396</t>
  </si>
  <si>
    <t>DPI-11397</t>
  </si>
  <si>
    <t>NIT-21397</t>
  </si>
  <si>
    <t>Docente Especialista 1396</t>
  </si>
  <si>
    <t>docente1396@correo.edu.gt</t>
  </si>
  <si>
    <t>5555-2397</t>
  </si>
  <si>
    <t>DPI-11398</t>
  </si>
  <si>
    <t>NIT-21398</t>
  </si>
  <si>
    <t>Docente Especialista 1397</t>
  </si>
  <si>
    <t>docente1397@correo.edu.gt</t>
  </si>
  <si>
    <t>5555-2398</t>
  </si>
  <si>
    <t>DPI-11399</t>
  </si>
  <si>
    <t>NIT-21399</t>
  </si>
  <si>
    <t>Docente Especialista 1398</t>
  </si>
  <si>
    <t>docente1398@correo.edu.gt</t>
  </si>
  <si>
    <t>5555-2399</t>
  </si>
  <si>
    <t>DPI-11400</t>
  </si>
  <si>
    <t>NIT-21400</t>
  </si>
  <si>
    <t>Docente Especialista 1399</t>
  </si>
  <si>
    <t>docente1399@correo.edu.gt</t>
  </si>
  <si>
    <t>5555-2400</t>
  </si>
  <si>
    <t>DPI-11401</t>
  </si>
  <si>
    <t>NIT-21401</t>
  </si>
  <si>
    <t>Docente Especialista 1400</t>
  </si>
  <si>
    <t>docente1400@correo.edu.gt</t>
  </si>
  <si>
    <t>5555-2401</t>
  </si>
  <si>
    <t>DPI-11402</t>
  </si>
  <si>
    <t>NIT-21402</t>
  </si>
  <si>
    <t>Docente Especialista 1401</t>
  </si>
  <si>
    <t>docente1401@correo.edu.gt</t>
  </si>
  <si>
    <t>5555-2402</t>
  </si>
  <si>
    <t>DPI-11403</t>
  </si>
  <si>
    <t>NIT-21403</t>
  </si>
  <si>
    <t>Docente Especialista 1402</t>
  </si>
  <si>
    <t>docente1402@correo.edu.gt</t>
  </si>
  <si>
    <t>5555-2403</t>
  </si>
  <si>
    <t>DPI-11404</t>
  </si>
  <si>
    <t>NIT-21404</t>
  </si>
  <si>
    <t>Docente Especialista 1403</t>
  </si>
  <si>
    <t>docente1403@correo.edu.gt</t>
  </si>
  <si>
    <t>5555-2404</t>
  </si>
  <si>
    <t>DPI-11405</t>
  </si>
  <si>
    <t>NIT-21405</t>
  </si>
  <si>
    <t>Docente Especialista 1404</t>
  </si>
  <si>
    <t>docente1404@correo.edu.gt</t>
  </si>
  <si>
    <t>5555-2405</t>
  </si>
  <si>
    <t>DPI-11406</t>
  </si>
  <si>
    <t>NIT-21406</t>
  </si>
  <si>
    <t>Docente Especialista 1405</t>
  </si>
  <si>
    <t>docente1405@correo.edu.gt</t>
  </si>
  <si>
    <t>5555-2406</t>
  </si>
  <si>
    <t>DPI-11407</t>
  </si>
  <si>
    <t>NIT-21407</t>
  </si>
  <si>
    <t>Docente Especialista 1406</t>
  </si>
  <si>
    <t>docente1406@correo.edu.gt</t>
  </si>
  <si>
    <t>5555-2407</t>
  </si>
  <si>
    <t>DPI-11408</t>
  </si>
  <si>
    <t>NIT-21408</t>
  </si>
  <si>
    <t>Docente Especialista 1407</t>
  </si>
  <si>
    <t>docente1407@correo.edu.gt</t>
  </si>
  <si>
    <t>5555-2408</t>
  </si>
  <si>
    <t>DPI-11409</t>
  </si>
  <si>
    <t>NIT-21409</t>
  </si>
  <si>
    <t>Docente Especialista 1408</t>
  </si>
  <si>
    <t>docente1408@correo.edu.gt</t>
  </si>
  <si>
    <t>5555-2409</t>
  </si>
  <si>
    <t>DPI-11410</t>
  </si>
  <si>
    <t>NIT-21410</t>
  </si>
  <si>
    <t>Docente Especialista 1409</t>
  </si>
  <si>
    <t>docente1409@correo.edu.gt</t>
  </si>
  <si>
    <t>5555-2410</t>
  </si>
  <si>
    <t>DPI-11411</t>
  </si>
  <si>
    <t>NIT-21411</t>
  </si>
  <si>
    <t>Docente Especialista 1410</t>
  </si>
  <si>
    <t>docente1410@correo.edu.gt</t>
  </si>
  <si>
    <t>5555-2411</t>
  </si>
  <si>
    <t>DPI-11412</t>
  </si>
  <si>
    <t>NIT-21412</t>
  </si>
  <si>
    <t>Docente Especialista 1411</t>
  </si>
  <si>
    <t>docente1411@correo.edu.gt</t>
  </si>
  <si>
    <t>5555-2412</t>
  </si>
  <si>
    <t>DPI-11413</t>
  </si>
  <si>
    <t>NIT-21413</t>
  </si>
  <si>
    <t>Docente Especialista 1412</t>
  </si>
  <si>
    <t>docente1412@correo.edu.gt</t>
  </si>
  <si>
    <t>5555-2413</t>
  </si>
  <si>
    <t>DPI-11414</t>
  </si>
  <si>
    <t>NIT-21414</t>
  </si>
  <si>
    <t>Docente Especialista 1413</t>
  </si>
  <si>
    <t>docente1413@correo.edu.gt</t>
  </si>
  <si>
    <t>5555-2414</t>
  </si>
  <si>
    <t>DPI-11415</t>
  </si>
  <si>
    <t>NIT-21415</t>
  </si>
  <si>
    <t>Docente Especialista 1414</t>
  </si>
  <si>
    <t>docente1414@correo.edu.gt</t>
  </si>
  <si>
    <t>5555-2415</t>
  </si>
  <si>
    <t>DPI-11416</t>
  </si>
  <si>
    <t>NIT-21416</t>
  </si>
  <si>
    <t>Docente Especialista 1415</t>
  </si>
  <si>
    <t>docente1415@correo.edu.gt</t>
  </si>
  <si>
    <t>5555-2416</t>
  </si>
  <si>
    <t>DPI-11417</t>
  </si>
  <si>
    <t>NIT-21417</t>
  </si>
  <si>
    <t>Docente Especialista 1416</t>
  </si>
  <si>
    <t>docente1416@correo.edu.gt</t>
  </si>
  <si>
    <t>5555-2417</t>
  </si>
  <si>
    <t>DPI-11418</t>
  </si>
  <si>
    <t>NIT-21418</t>
  </si>
  <si>
    <t>Docente Especialista 1417</t>
  </si>
  <si>
    <t>docente1417@correo.edu.gt</t>
  </si>
  <si>
    <t>5555-2418</t>
  </si>
  <si>
    <t>DPI-11419</t>
  </si>
  <si>
    <t>NIT-21419</t>
  </si>
  <si>
    <t>Docente Especialista 1418</t>
  </si>
  <si>
    <t>docente1418@correo.edu.gt</t>
  </si>
  <si>
    <t>5555-2419</t>
  </si>
  <si>
    <t>DPI-11420</t>
  </si>
  <si>
    <t>NIT-21420</t>
  </si>
  <si>
    <t>Docente Especialista 1419</t>
  </si>
  <si>
    <t>docente1419@correo.edu.gt</t>
  </si>
  <si>
    <t>5555-2420</t>
  </si>
  <si>
    <t>DPI-11421</t>
  </si>
  <si>
    <t>NIT-21421</t>
  </si>
  <si>
    <t>Docente Especialista 1420</t>
  </si>
  <si>
    <t>docente1420@correo.edu.gt</t>
  </si>
  <si>
    <t>5555-2421</t>
  </si>
  <si>
    <t>DPI-11422</t>
  </si>
  <si>
    <t>NIT-21422</t>
  </si>
  <si>
    <t>Docente Especialista 1421</t>
  </si>
  <si>
    <t>docente1421@correo.edu.gt</t>
  </si>
  <si>
    <t>5555-2422</t>
  </si>
  <si>
    <t>DPI-11423</t>
  </si>
  <si>
    <t>NIT-21423</t>
  </si>
  <si>
    <t>Docente Especialista 1422</t>
  </si>
  <si>
    <t>docente1422@correo.edu.gt</t>
  </si>
  <si>
    <t>5555-2423</t>
  </si>
  <si>
    <t>DPI-11424</t>
  </si>
  <si>
    <t>NIT-21424</t>
  </si>
  <si>
    <t>Docente Especialista 1423</t>
  </si>
  <si>
    <t>docente1423@correo.edu.gt</t>
  </si>
  <si>
    <t>5555-2424</t>
  </si>
  <si>
    <t>DPI-11425</t>
  </si>
  <si>
    <t>NIT-21425</t>
  </si>
  <si>
    <t>Docente Especialista 1424</t>
  </si>
  <si>
    <t>docente1424@correo.edu.gt</t>
  </si>
  <si>
    <t>5555-2425</t>
  </si>
  <si>
    <t>DPI-11426</t>
  </si>
  <si>
    <t>NIT-21426</t>
  </si>
  <si>
    <t>Docente Especialista 1425</t>
  </si>
  <si>
    <t>docente1425@correo.edu.gt</t>
  </si>
  <si>
    <t>5555-2426</t>
  </si>
  <si>
    <t>DPI-11427</t>
  </si>
  <si>
    <t>NIT-21427</t>
  </si>
  <si>
    <t>Docente Especialista 1426</t>
  </si>
  <si>
    <t>docente1426@correo.edu.gt</t>
  </si>
  <si>
    <t>5555-2427</t>
  </si>
  <si>
    <t>DPI-11428</t>
  </si>
  <si>
    <t>NIT-21428</t>
  </si>
  <si>
    <t>Docente Especialista 1427</t>
  </si>
  <si>
    <t>docente1427@correo.edu.gt</t>
  </si>
  <si>
    <t>5555-2428</t>
  </si>
  <si>
    <t>DPI-11429</t>
  </si>
  <si>
    <t>NIT-21429</t>
  </si>
  <si>
    <t>Docente Especialista 1428</t>
  </si>
  <si>
    <t>docente1428@correo.edu.gt</t>
  </si>
  <si>
    <t>5555-2429</t>
  </si>
  <si>
    <t>DPI-11430</t>
  </si>
  <si>
    <t>NIT-21430</t>
  </si>
  <si>
    <t>Docente Especialista 1429</t>
  </si>
  <si>
    <t>docente1429@correo.edu.gt</t>
  </si>
  <si>
    <t>5555-2430</t>
  </si>
  <si>
    <t>DPI-11431</t>
  </si>
  <si>
    <t>NIT-21431</t>
  </si>
  <si>
    <t>Docente Especialista 1430</t>
  </si>
  <si>
    <t>docente1430@correo.edu.gt</t>
  </si>
  <si>
    <t>5555-2431</t>
  </si>
  <si>
    <t>DPI-11432</t>
  </si>
  <si>
    <t>NIT-21432</t>
  </si>
  <si>
    <t>Docente Especialista 1431</t>
  </si>
  <si>
    <t>docente1431@correo.edu.gt</t>
  </si>
  <si>
    <t>5555-2432</t>
  </si>
  <si>
    <t>DPI-11433</t>
  </si>
  <si>
    <t>NIT-21433</t>
  </si>
  <si>
    <t>Docente Especialista 1432</t>
  </si>
  <si>
    <t>docente1432@correo.edu.gt</t>
  </si>
  <si>
    <t>5555-2433</t>
  </si>
  <si>
    <t>DPI-11434</t>
  </si>
  <si>
    <t>NIT-21434</t>
  </si>
  <si>
    <t>Docente Especialista 1433</t>
  </si>
  <si>
    <t>docente1433@correo.edu.gt</t>
  </si>
  <si>
    <t>5555-2434</t>
  </si>
  <si>
    <t>DPI-11435</t>
  </si>
  <si>
    <t>NIT-21435</t>
  </si>
  <si>
    <t>Docente Especialista 1434</t>
  </si>
  <si>
    <t>docente1434@correo.edu.gt</t>
  </si>
  <si>
    <t>5555-2435</t>
  </si>
  <si>
    <t>DPI-11436</t>
  </si>
  <si>
    <t>NIT-21436</t>
  </si>
  <si>
    <t>Docente Especialista 1435</t>
  </si>
  <si>
    <t>docente1435@correo.edu.gt</t>
  </si>
  <si>
    <t>5555-2436</t>
  </si>
  <si>
    <t>DPI-11437</t>
  </si>
  <si>
    <t>NIT-21437</t>
  </si>
  <si>
    <t>Docente Especialista 1436</t>
  </si>
  <si>
    <t>docente1436@correo.edu.gt</t>
  </si>
  <si>
    <t>5555-2437</t>
  </si>
  <si>
    <t>DPI-11438</t>
  </si>
  <si>
    <t>NIT-21438</t>
  </si>
  <si>
    <t>Docente Especialista 1437</t>
  </si>
  <si>
    <t>docente1437@correo.edu.gt</t>
  </si>
  <si>
    <t>5555-2438</t>
  </si>
  <si>
    <t>DPI-11439</t>
  </si>
  <si>
    <t>NIT-21439</t>
  </si>
  <si>
    <t>Docente Especialista 1438</t>
  </si>
  <si>
    <t>docente1438@correo.edu.gt</t>
  </si>
  <si>
    <t>5555-2439</t>
  </si>
  <si>
    <t>DPI-11440</t>
  </si>
  <si>
    <t>NIT-21440</t>
  </si>
  <si>
    <t>Docente Especialista 1439</t>
  </si>
  <si>
    <t>docente1439@correo.edu.gt</t>
  </si>
  <si>
    <t>5555-2440</t>
  </si>
  <si>
    <t>DPI-11441</t>
  </si>
  <si>
    <t>NIT-21441</t>
  </si>
  <si>
    <t>Docente Especialista 1440</t>
  </si>
  <si>
    <t>docente1440@correo.edu.gt</t>
  </si>
  <si>
    <t>5555-2441</t>
  </si>
  <si>
    <t>DPI-11442</t>
  </si>
  <si>
    <t>NIT-21442</t>
  </si>
  <si>
    <t>Docente Especialista 1441</t>
  </si>
  <si>
    <t>docente1441@correo.edu.gt</t>
  </si>
  <si>
    <t>5555-2442</t>
  </si>
  <si>
    <t>BUSQUEDA POR NUMERO DE TICKET</t>
  </si>
  <si>
    <t>Ticket a buscar --&gt;</t>
  </si>
  <si>
    <t>Corr</t>
  </si>
  <si>
    <t>Link de Registro</t>
  </si>
  <si>
    <t>Nombre del curso según el código de insumo</t>
  </si>
  <si>
    <t>Nombamiento</t>
  </si>
  <si>
    <t xml:space="preserve">Grupo </t>
  </si>
  <si>
    <t>Fecha de Reporte</t>
  </si>
  <si>
    <t xml:space="preserve">Tabla Resumen </t>
  </si>
  <si>
    <t>Abiertos</t>
  </si>
  <si>
    <t>Resueltos</t>
  </si>
  <si>
    <t xml:space="preserve">% Resueltos </t>
  </si>
  <si>
    <t>Sin Nombramiento</t>
  </si>
  <si>
    <t>Programados</t>
  </si>
  <si>
    <t>Ejecutados</t>
  </si>
  <si>
    <t>No Iniciados</t>
  </si>
  <si>
    <t>En Ejecución</t>
  </si>
  <si>
    <t xml:space="preserve"> +++++++++l*9000000000000000000000000000000000</t>
  </si>
  <si>
    <t>.b  v</t>
  </si>
  <si>
    <t>Curso 1</t>
  </si>
  <si>
    <t>Curso 2</t>
  </si>
  <si>
    <t>Curso 3</t>
  </si>
  <si>
    <t>Curso 4</t>
  </si>
  <si>
    <t>Curso 5</t>
  </si>
  <si>
    <t>Curso 6</t>
  </si>
  <si>
    <t>Curso 7</t>
  </si>
  <si>
    <t>Curso 8</t>
  </si>
  <si>
    <t>Curso 9</t>
  </si>
  <si>
    <t>Curso 10</t>
  </si>
  <si>
    <t>Curso 11</t>
  </si>
  <si>
    <t>Curso 12</t>
  </si>
  <si>
    <t>Curso 13</t>
  </si>
  <si>
    <t>Curso 14</t>
  </si>
  <si>
    <t>Curso 15</t>
  </si>
  <si>
    <t>Curso 16</t>
  </si>
  <si>
    <t>Curso 17</t>
  </si>
  <si>
    <t>Curso 18</t>
  </si>
  <si>
    <t>Curso 19</t>
  </si>
  <si>
    <t>Curso 20</t>
  </si>
  <si>
    <t>Curso 21</t>
  </si>
  <si>
    <t>Curso 22</t>
  </si>
  <si>
    <t>Curso 23</t>
  </si>
  <si>
    <t>Curso 24</t>
  </si>
  <si>
    <t>Curso 25</t>
  </si>
  <si>
    <t>Curso 26</t>
  </si>
  <si>
    <t>Curso 27</t>
  </si>
  <si>
    <t>Curso 28</t>
  </si>
  <si>
    <t>Curso 29</t>
  </si>
  <si>
    <t>Curso 30</t>
  </si>
  <si>
    <t>Curso 31</t>
  </si>
  <si>
    <t>Curso 32</t>
  </si>
  <si>
    <t>Curso 33</t>
  </si>
  <si>
    <t>Curso 34</t>
  </si>
  <si>
    <t>Curso 35</t>
  </si>
  <si>
    <t>Curso 36</t>
  </si>
  <si>
    <t>Curso 37</t>
  </si>
  <si>
    <t>Curso 38</t>
  </si>
  <si>
    <t>Curso 39</t>
  </si>
  <si>
    <t>Curso 40</t>
  </si>
  <si>
    <t>Curso 41</t>
  </si>
  <si>
    <t>Curso 42</t>
  </si>
  <si>
    <t>Curso 43</t>
  </si>
  <si>
    <t>Curso 44</t>
  </si>
  <si>
    <t>Curso 45</t>
  </si>
  <si>
    <t>Curso 46</t>
  </si>
  <si>
    <t>Curso 47</t>
  </si>
  <si>
    <t>Curso 48</t>
  </si>
  <si>
    <t>Curso 49</t>
  </si>
  <si>
    <t>Curso 50</t>
  </si>
  <si>
    <t>Curso 51</t>
  </si>
  <si>
    <t>Curso 52</t>
  </si>
  <si>
    <t>Curso 53</t>
  </si>
  <si>
    <t>Curso 54</t>
  </si>
  <si>
    <t>Curso 55</t>
  </si>
  <si>
    <t>Curso 56</t>
  </si>
  <si>
    <t>Curso 57</t>
  </si>
  <si>
    <t>Curso 58</t>
  </si>
  <si>
    <t>Curso 59</t>
  </si>
  <si>
    <t>Curso 60</t>
  </si>
  <si>
    <t>Curso 61</t>
  </si>
  <si>
    <t>Curso 62</t>
  </si>
  <si>
    <t>Curso 63</t>
  </si>
  <si>
    <t>Curso 64</t>
  </si>
  <si>
    <t>Curso 65</t>
  </si>
  <si>
    <t>Curso 66</t>
  </si>
  <si>
    <t>Curso 67</t>
  </si>
  <si>
    <t>Curso 68</t>
  </si>
  <si>
    <t>Curso 69</t>
  </si>
  <si>
    <t>Curso 70</t>
  </si>
  <si>
    <t>Curso 71</t>
  </si>
  <si>
    <t>Curso 72</t>
  </si>
  <si>
    <t>Curso 73</t>
  </si>
  <si>
    <t>Curso 74</t>
  </si>
  <si>
    <t>Curso 75</t>
  </si>
  <si>
    <t>Curso 76</t>
  </si>
  <si>
    <t>Curso 77</t>
  </si>
  <si>
    <t>Curso 78</t>
  </si>
  <si>
    <t>Curso 79</t>
  </si>
  <si>
    <t>Curso 80</t>
  </si>
  <si>
    <t>Curso 81</t>
  </si>
  <si>
    <t>Curso 82</t>
  </si>
  <si>
    <t>Curso 83</t>
  </si>
  <si>
    <t>Curso 84</t>
  </si>
  <si>
    <t>Curso 85</t>
  </si>
  <si>
    <t>Curso 86</t>
  </si>
  <si>
    <t>Curso 87</t>
  </si>
  <si>
    <t>Curso 88</t>
  </si>
  <si>
    <t>Curso 89</t>
  </si>
  <si>
    <t>Curso 90</t>
  </si>
  <si>
    <t>Curso 91</t>
  </si>
  <si>
    <t>Curso 92</t>
  </si>
  <si>
    <t>Curso 93</t>
  </si>
  <si>
    <t>Curso 94</t>
  </si>
  <si>
    <t>Curso 95</t>
  </si>
  <si>
    <t>Curso 96</t>
  </si>
  <si>
    <t>Curso 97</t>
  </si>
  <si>
    <t>Curso 98</t>
  </si>
  <si>
    <t>Curso 99</t>
  </si>
  <si>
    <t>Curso 100</t>
  </si>
  <si>
    <t>Curso 101</t>
  </si>
  <si>
    <t>Curso 102</t>
  </si>
  <si>
    <t>Curso 103</t>
  </si>
  <si>
    <t>Curso 104</t>
  </si>
  <si>
    <t>Curso 105</t>
  </si>
  <si>
    <t>Curso 106</t>
  </si>
  <si>
    <t>Curso 107</t>
  </si>
  <si>
    <t>Curso 108</t>
  </si>
  <si>
    <t>Curso 109</t>
  </si>
  <si>
    <t>Curso 110</t>
  </si>
  <si>
    <t>Curso 111</t>
  </si>
  <si>
    <t>Curso 112</t>
  </si>
  <si>
    <t>Curso 113</t>
  </si>
  <si>
    <t>Dependencia 1</t>
  </si>
  <si>
    <t>Dependencia 2</t>
  </si>
  <si>
    <t>Dependencia 3</t>
  </si>
  <si>
    <t>Dependencia 4</t>
  </si>
  <si>
    <t>Dependencia 5</t>
  </si>
  <si>
    <t>Dependencia 6</t>
  </si>
  <si>
    <t>Dependencia 7</t>
  </si>
  <si>
    <t>Dependencia 8</t>
  </si>
  <si>
    <t>Programa 1</t>
  </si>
  <si>
    <t>1er. Congreso</t>
  </si>
  <si>
    <t>Programa 2</t>
  </si>
  <si>
    <t>Programa 3</t>
  </si>
  <si>
    <t>Programa 4</t>
  </si>
  <si>
    <t>Programa 5</t>
  </si>
  <si>
    <t>Codigo</t>
  </si>
  <si>
    <t>Nombramiento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</si>
</sst>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F400]h:mm:ss\ AM/PM"/>
    <numFmt numFmtId="166" formatCode="[$Q-100A]#,##0.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287D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3A9F3"/>
      <name val="Calibri Light"/>
      <family val="2"/>
      <scheme val="major"/>
    </font>
    <font>
      <b/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rgb="FF03A9F3"/>
      <name val="Calibri Light"/>
      <family val="2"/>
      <scheme val="major"/>
    </font>
    <font>
      <b/>
      <u/>
      <sz val="18"/>
      <color theme="1"/>
      <name val="Calibri"/>
      <family val="2"/>
      <scheme val="minor"/>
    </font>
    <font>
      <sz val="16"/>
      <color rgb="FF03A9F3"/>
      <name val="Calibri Light"/>
      <family val="2"/>
      <scheme val="major"/>
    </font>
    <font>
      <sz val="14"/>
      <color rgb="FF03A9F3"/>
      <name val="Calibri Light"/>
      <family val="2"/>
      <scheme val="major"/>
    </font>
    <font>
      <u/>
      <sz val="11"/>
      <color theme="8"/>
      <name val="Calibri"/>
      <family val="2"/>
      <scheme val="minor"/>
    </font>
    <font>
      <sz val="36"/>
      <color theme="0"/>
      <name val="Calibri"/>
      <family val="2"/>
      <scheme val="minor"/>
    </font>
    <font>
      <sz val="12"/>
      <color rgb="FF0287D0"/>
      <name val="Calibri"/>
      <family val="2"/>
      <scheme val="minor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8" tint="-0.499984740745262"/>
      <name val="Calibri"/>
      <family val="2"/>
      <scheme val="minor"/>
    </font>
    <font>
      <sz val="26"/>
      <color theme="0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Helvetica Neue"/>
      <charset val="1"/>
    </font>
    <font>
      <sz val="12"/>
      <color rgb="FF000000"/>
      <name val="Arial"/>
      <family val="2"/>
    </font>
    <font>
      <sz val="11"/>
      <color rgb="FF000000"/>
      <name val="Lato"/>
      <family val="2"/>
    </font>
    <font>
      <sz val="11"/>
      <color rgb="FF333333"/>
      <name val="Helvetica Neue"/>
      <charset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3A9F3"/>
        <bgColor indexed="64"/>
      </patternFill>
    </fill>
    <fill>
      <patternFill patternType="solid">
        <fgColor rgb="FFCAE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CAEFFF"/>
      </left>
      <right/>
      <top style="thin">
        <color rgb="FFCAEFFF"/>
      </top>
      <bottom/>
      <diagonal/>
    </border>
    <border>
      <left/>
      <right/>
      <top style="thin">
        <color rgb="FFCAE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AEFFF"/>
      </left>
      <right/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DDDDDD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9" fillId="0" borderId="0"/>
    <xf numFmtId="0" fontId="2" fillId="0" borderId="0"/>
    <xf numFmtId="0" fontId="2" fillId="0" borderId="0"/>
  </cellStyleXfs>
  <cellXfs count="232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/>
    </xf>
    <xf numFmtId="0" fontId="0" fillId="0" borderId="1" xfId="0" applyBorder="1"/>
    <xf numFmtId="0" fontId="12" fillId="0" borderId="0" xfId="0" applyFont="1"/>
    <xf numFmtId="14" fontId="13" fillId="0" borderId="0" xfId="0" applyNumberFormat="1" applyFont="1" applyAlignment="1">
      <alignment horizontal="left"/>
    </xf>
    <xf numFmtId="0" fontId="14" fillId="0" borderId="1" xfId="2" applyFont="1" applyBorder="1" applyAlignment="1">
      <alignment horizontal="center" vertical="center"/>
    </xf>
    <xf numFmtId="0" fontId="4" fillId="0" borderId="1" xfId="0" applyFont="1" applyBorder="1"/>
    <xf numFmtId="0" fontId="2" fillId="0" borderId="6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/>
    <xf numFmtId="0" fontId="7" fillId="0" borderId="0" xfId="0" applyFont="1" applyAlignment="1">
      <alignment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22" fontId="1" fillId="0" borderId="1" xfId="0" applyNumberFormat="1" applyFont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164" fontId="0" fillId="0" borderId="1" xfId="0" applyNumberForma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2" fontId="0" fillId="0" borderId="0" xfId="0" applyNumberFormat="1"/>
    <xf numFmtId="0" fontId="9" fillId="0" borderId="0" xfId="0" applyFont="1" applyAlignment="1">
      <alignment horizontal="center" vertical="top" wrapText="1"/>
    </xf>
    <xf numFmtId="22" fontId="0" fillId="0" borderId="1" xfId="0" applyNumberForma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left" wrapText="1"/>
    </xf>
    <xf numFmtId="0" fontId="2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0" xfId="2" applyAlignment="1">
      <alignment horizontal="center" vertical="center" wrapText="1"/>
    </xf>
    <xf numFmtId="22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0" borderId="0" xfId="2" applyAlignment="1">
      <alignment horizontal="left" wrapText="1"/>
    </xf>
    <xf numFmtId="0" fontId="0" fillId="0" borderId="0" xfId="0" applyAlignment="1">
      <alignment wrapText="1"/>
    </xf>
    <xf numFmtId="14" fontId="1" fillId="0" borderId="1" xfId="0" applyNumberFormat="1" applyFont="1" applyBorder="1"/>
    <xf numFmtId="0" fontId="2" fillId="0" borderId="0" xfId="2" applyAlignment="1">
      <alignment horizont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4" fontId="18" fillId="0" borderId="0" xfId="0" applyNumberFormat="1" applyFont="1"/>
    <xf numFmtId="22" fontId="0" fillId="0" borderId="1" xfId="0" applyNumberFormat="1" applyBorder="1" applyAlignment="1">
      <alignment wrapText="1"/>
    </xf>
    <xf numFmtId="22" fontId="1" fillId="0" borderId="1" xfId="0" applyNumberFormat="1" applyFont="1" applyBorder="1" applyAlignment="1">
      <alignment wrapText="1"/>
    </xf>
    <xf numFmtId="0" fontId="2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1" xfId="0" quotePrefix="1" applyBorder="1" applyAlignment="1">
      <alignment wrapText="1"/>
    </xf>
    <xf numFmtId="165" fontId="18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23" fillId="7" borderId="14" xfId="0" applyNumberFormat="1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wrapText="1"/>
    </xf>
    <xf numFmtId="0" fontId="19" fillId="0" borderId="0" xfId="0" applyFont="1"/>
    <xf numFmtId="1" fontId="18" fillId="0" borderId="15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0" xfId="0" applyFont="1"/>
    <xf numFmtId="0" fontId="18" fillId="6" borderId="4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wrapText="1"/>
    </xf>
    <xf numFmtId="1" fontId="18" fillId="0" borderId="4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" fontId="18" fillId="6" borderId="15" xfId="0" applyNumberFormat="1" applyFont="1" applyFill="1" applyBorder="1" applyAlignment="1">
      <alignment horizontal="center" vertical="center" wrapText="1"/>
    </xf>
    <xf numFmtId="0" fontId="18" fillId="0" borderId="4" xfId="0" quotePrefix="1" applyFont="1" applyBorder="1" applyAlignment="1">
      <alignment horizontal="center" vertical="center" wrapText="1"/>
    </xf>
    <xf numFmtId="0" fontId="18" fillId="0" borderId="4" xfId="0" quotePrefix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25" fillId="0" borderId="4" xfId="0" applyFont="1" applyBorder="1"/>
    <xf numFmtId="0" fontId="24" fillId="0" borderId="4" xfId="0" applyFont="1" applyBorder="1" applyAlignment="1">
      <alignment vertical="center" wrapText="1"/>
    </xf>
    <xf numFmtId="0" fontId="2" fillId="0" borderId="16" xfId="2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0" fontId="2" fillId="0" borderId="1" xfId="2" applyBorder="1" applyAlignment="1">
      <alignment wrapText="1"/>
    </xf>
    <xf numFmtId="0" fontId="1" fillId="0" borderId="1" xfId="0" applyFon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0" fillId="0" borderId="13" xfId="0" applyBorder="1" applyAlignment="1">
      <alignment horizontal="left" wrapText="1"/>
    </xf>
    <xf numFmtId="14" fontId="0" fillId="0" borderId="13" xfId="0" applyNumberFormat="1" applyBorder="1" applyAlignment="1">
      <alignment horizontal="center"/>
    </xf>
    <xf numFmtId="0" fontId="0" fillId="6" borderId="17" xfId="0" applyFill="1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22" fontId="0" fillId="0" borderId="0" xfId="0" applyNumberFormat="1" applyAlignment="1">
      <alignment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/>
    </xf>
    <xf numFmtId="0" fontId="0" fillId="0" borderId="19" xfId="0" applyBorder="1"/>
    <xf numFmtId="0" fontId="0" fillId="0" borderId="6" xfId="0" applyBorder="1"/>
    <xf numFmtId="0" fontId="0" fillId="0" borderId="21" xfId="0" applyBorder="1"/>
    <xf numFmtId="0" fontId="0" fillId="0" borderId="22" xfId="0" applyBorder="1"/>
    <xf numFmtId="0" fontId="4" fillId="0" borderId="1" xfId="0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1" xfId="0" applyBorder="1" applyAlignment="1">
      <alignment wrapText="1"/>
    </xf>
    <xf numFmtId="14" fontId="0" fillId="0" borderId="0" xfId="0" applyNumberFormat="1" applyAlignment="1">
      <alignment horizontal="center" wrapText="1"/>
    </xf>
    <xf numFmtId="0" fontId="26" fillId="0" borderId="4" xfId="0" applyFont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14" fillId="0" borderId="0" xfId="2" applyFont="1" applyAlignment="1">
      <alignment horizontal="center" vertical="center" wrapText="1"/>
    </xf>
    <xf numFmtId="0" fontId="27" fillId="0" borderId="0" xfId="0" applyFont="1"/>
    <xf numFmtId="0" fontId="2" fillId="9" borderId="0" xfId="2" applyFill="1" applyAlignment="1">
      <alignment wrapText="1"/>
    </xf>
    <xf numFmtId="0" fontId="1" fillId="0" borderId="6" xfId="0" applyFont="1" applyBorder="1" applyAlignment="1">
      <alignment horizontal="center" vertical="center"/>
    </xf>
    <xf numFmtId="0" fontId="2" fillId="0" borderId="1" xfId="2" applyBorder="1" applyAlignment="1">
      <alignment vertical="top" wrapText="1"/>
    </xf>
    <xf numFmtId="0" fontId="28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0" fillId="6" borderId="17" xfId="0" applyFill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9" fillId="0" borderId="9" xfId="0" applyNumberFormat="1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8" fillId="9" borderId="24" xfId="0" applyFont="1" applyFill="1" applyBorder="1" applyAlignment="1">
      <alignment wrapText="1"/>
    </xf>
    <xf numFmtId="0" fontId="28" fillId="0" borderId="0" xfId="0" applyFont="1" applyAlignment="1">
      <alignment horizontal="center"/>
    </xf>
    <xf numFmtId="1" fontId="0" fillId="0" borderId="23" xfId="0" applyNumberFormat="1" applyBorder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/>
    </xf>
    <xf numFmtId="0" fontId="29" fillId="9" borderId="16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166" fontId="1" fillId="2" borderId="0" xfId="0" applyNumberFormat="1" applyFont="1" applyFill="1"/>
    <xf numFmtId="166" fontId="1" fillId="0" borderId="0" xfId="0" applyNumberFormat="1" applyFont="1"/>
    <xf numFmtId="166" fontId="1" fillId="0" borderId="0" xfId="0" applyNumberFormat="1" applyFont="1" applyAlignment="1">
      <alignment horizontal="center"/>
    </xf>
    <xf numFmtId="166" fontId="3" fillId="3" borderId="2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/>
    </xf>
    <xf numFmtId="166" fontId="0" fillId="0" borderId="0" xfId="0" applyNumberFormat="1"/>
    <xf numFmtId="1" fontId="29" fillId="0" borderId="15" xfId="0" applyNumberFormat="1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1" fontId="29" fillId="0" borderId="0" xfId="0" applyNumberFormat="1" applyFont="1" applyAlignment="1">
      <alignment horizontal="left" vertical="center" wrapText="1"/>
    </xf>
    <xf numFmtId="0" fontId="2" fillId="0" borderId="4" xfId="2" applyBorder="1" applyAlignment="1">
      <alignment horizontal="center" vertical="center" wrapText="1"/>
    </xf>
    <xf numFmtId="0" fontId="2" fillId="9" borderId="24" xfId="2" applyFill="1" applyBorder="1" applyAlignment="1">
      <alignment wrapText="1"/>
    </xf>
    <xf numFmtId="0" fontId="1" fillId="0" borderId="6" xfId="0" applyFont="1" applyBorder="1"/>
    <xf numFmtId="0" fontId="1" fillId="0" borderId="23" xfId="0" applyFont="1" applyBorder="1" applyAlignment="1">
      <alignment horizontal="center" vertical="center"/>
    </xf>
    <xf numFmtId="0" fontId="2" fillId="0" borderId="0" xfId="2" applyAlignment="1">
      <alignment horizontal="center" wrapText="1"/>
    </xf>
    <xf numFmtId="0" fontId="2" fillId="0" borderId="0" xfId="2" applyAlignment="1">
      <alignment wrapText="1"/>
    </xf>
    <xf numFmtId="0" fontId="1" fillId="0" borderId="19" xfId="0" applyFont="1" applyBorder="1"/>
    <xf numFmtId="0" fontId="1" fillId="0" borderId="20" xfId="0" applyFont="1" applyBorder="1"/>
    <xf numFmtId="0" fontId="1" fillId="0" borderId="6" xfId="0" applyFont="1" applyBorder="1" applyAlignment="1">
      <alignment wrapText="1"/>
    </xf>
    <xf numFmtId="0" fontId="1" fillId="0" borderId="21" xfId="0" applyFont="1" applyBorder="1"/>
    <xf numFmtId="0" fontId="1" fillId="0" borderId="21" xfId="0" applyFont="1" applyBorder="1" applyAlignment="1">
      <alignment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4" fillId="0" borderId="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0" borderId="0" xfId="2"/>
    <xf numFmtId="22" fontId="1" fillId="0" borderId="19" xfId="0" applyNumberFormat="1" applyFont="1" applyBorder="1"/>
    <xf numFmtId="0" fontId="1" fillId="0" borderId="26" xfId="0" applyFont="1" applyBorder="1"/>
    <xf numFmtId="0" fontId="1" fillId="0" borderId="27" xfId="0" applyFont="1" applyBorder="1"/>
    <xf numFmtId="164" fontId="1" fillId="0" borderId="20" xfId="0" applyNumberFormat="1" applyFont="1" applyBorder="1" applyAlignment="1">
      <alignment horizontal="center"/>
    </xf>
    <xf numFmtId="0" fontId="1" fillId="0" borderId="26" xfId="0" applyFont="1" applyBorder="1" applyAlignment="1">
      <alignment wrapText="1"/>
    </xf>
    <xf numFmtId="0" fontId="4" fillId="0" borderId="26" xfId="0" applyFont="1" applyBorder="1" applyAlignment="1">
      <alignment horizontal="center"/>
    </xf>
    <xf numFmtId="0" fontId="1" fillId="0" borderId="25" xfId="0" applyFont="1" applyBorder="1"/>
    <xf numFmtId="0" fontId="22" fillId="0" borderId="1" xfId="0" applyFont="1" applyBorder="1" applyAlignment="1">
      <alignment horizontal="center" vertical="center"/>
    </xf>
    <xf numFmtId="0" fontId="2" fillId="0" borderId="1" xfId="3" applyBorder="1" applyAlignment="1">
      <alignment wrapText="1"/>
    </xf>
    <xf numFmtId="0" fontId="2" fillId="0" borderId="0" xfId="3" applyAlignment="1">
      <alignment horizontal="center" vertical="center" wrapText="1"/>
    </xf>
    <xf numFmtId="0" fontId="2" fillId="0" borderId="4" xfId="3" applyBorder="1" applyAlignment="1">
      <alignment horizontal="center" vertical="center" wrapText="1"/>
    </xf>
    <xf numFmtId="0" fontId="2" fillId="0" borderId="16" xfId="3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0" fillId="0" borderId="28" xfId="0" applyBorder="1"/>
    <xf numFmtId="0" fontId="0" fillId="0" borderId="15" xfId="0" applyBorder="1"/>
    <xf numFmtId="0" fontId="15" fillId="2" borderId="0" xfId="0" applyFont="1" applyFill="1" applyAlignment="1">
      <alignment horizontal="center"/>
    </xf>
    <xf numFmtId="0" fontId="9" fillId="0" borderId="0" xfId="0" applyFont="1"/>
    <xf numFmtId="0" fontId="1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1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/>
    <xf numFmtId="0" fontId="27" fillId="0" borderId="1" xfId="0" applyFont="1" applyBorder="1" applyAlignment="1">
      <alignment vertical="center"/>
    </xf>
  </cellXfs>
  <cellStyles count="4">
    <cellStyle name="Hipervínculo" xfId="2" builtinId="8"/>
    <cellStyle name="Hyperlink" xfId="3" xr:uid="{00000000-0005-0000-0000-000003000000}"/>
    <cellStyle name="Normal" xfId="0" builtinId="0"/>
    <cellStyle name="Porcentaje" xfId="1" builtinId="5"/>
  </cellStyles>
  <dxfs count="153">
    <dxf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color theme="9"/>
      </font>
      <fill>
        <patternFill>
          <bgColor theme="9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1" formatCode="0"/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alignment horizontal="center" vertical="center" wrapText="1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wrapText="1"/>
    </dxf>
    <dxf>
      <numFmt numFmtId="0" formatCode="General"/>
      <alignment horizontal="general" vertical="center" wrapText="1"/>
    </dxf>
    <dxf>
      <numFmt numFmtId="0" formatCode="General"/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numFmt numFmtId="0" formatCode="General"/>
      <alignment horizontal="general" vertical="center" wrapText="1"/>
    </dxf>
    <dxf>
      <numFmt numFmtId="1" formatCode="0"/>
      <alignment horizontal="left" vertical="center" wrapText="1"/>
    </dxf>
    <dxf>
      <numFmt numFmtId="0" formatCode="General"/>
      <alignment horizontal="general" vertical="center" wrapText="1"/>
    </dxf>
    <dxf>
      <font>
        <strike val="0"/>
        <condense val="0"/>
        <extend val="0"/>
        <outline val="0"/>
        <shadow val="0"/>
        <u/>
        <vertAlign val="baseline"/>
        <sz val="11"/>
        <color theme="8"/>
        <name val="Calibri"/>
        <family val="2"/>
        <scheme val="minor"/>
      </font>
      <numFmt numFmtId="0" formatCode="General"/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65" formatCode="[$-F400]h:mm:ss\ AM/PM"/>
      <alignment horizontal="center" vertical="center"/>
    </dxf>
    <dxf>
      <numFmt numFmtId="165" formatCode="[$-F400]h:mm:ss\ AM/PM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5" formatCode="[$-F400]h:mm:ss\ AM/PM"/>
      <fill>
        <patternFill>
          <fgColor indexed="64"/>
          <bgColor indexed="65"/>
        </patternFill>
      </fill>
      <alignment horizontal="center" vertical="center"/>
    </dxf>
    <dxf>
      <font>
        <color rgb="FF000000"/>
      </font>
      <numFmt numFmtId="165" formatCode="[$-F400]h:mm:ss\ AM/PM"/>
      <fill>
        <patternFill>
          <fgColor indexed="64"/>
          <bgColor auto="1"/>
        </patternFill>
      </fill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general" vertical="center" wrapText="1"/>
    </dxf>
    <dxf>
      <numFmt numFmtId="0" formatCode="General"/>
      <alignment horizontal="general" vertical="center" wrapText="1"/>
    </dxf>
    <dxf>
      <font>
        <strike val="0"/>
        <condense val="0"/>
        <extend val="0"/>
        <outline val="0"/>
        <shadow val="0"/>
        <u/>
        <vertAlign val="baseline"/>
        <sz val="11"/>
        <color theme="8"/>
        <name val="Calibri"/>
        <family val="2"/>
        <scheme val="minor"/>
      </font>
      <numFmt numFmtId="0" formatCode="General"/>
      <alignment horizontal="center" vertical="center" wrapText="1"/>
    </dxf>
    <dxf>
      <font>
        <strike val="0"/>
        <condense val="0"/>
        <extend val="0"/>
        <outline val="0"/>
        <shadow val="0"/>
        <u/>
        <vertAlign val="baseline"/>
        <sz val="11"/>
        <color theme="8"/>
        <name val="Calibri"/>
        <family val="2"/>
        <scheme val="minor"/>
      </font>
      <numFmt numFmtId="0" formatCode="General"/>
      <alignment horizontal="center" vertical="center" wrapText="1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wrapText="1"/>
    </dxf>
    <dxf>
      <alignment horizontal="center" vertical="bottom" wrapText="1"/>
    </dxf>
    <dxf>
      <alignment horizontal="center" vertical="bottom" wrapText="1"/>
    </dxf>
    <dxf>
      <alignment horizontal="center" vertical="bottom"/>
    </dxf>
    <dxf>
      <alignment horizontal="center" vertical="bottom"/>
    </dxf>
    <dxf>
      <alignment horizontal="center" vertical="bottom" wrapText="1"/>
    </dxf>
    <dxf>
      <alignment horizontal="center" vertical="bottom" wrapText="1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alignment horizontal="center" vertical="bottom" wrapText="1"/>
    </dxf>
    <dxf>
      <numFmt numFmtId="0" formatCode="General"/>
      <alignment horizontal="center" vertical="bottom" wrapText="1"/>
    </dxf>
    <dxf>
      <alignment horizontal="center" vertical="bottom"/>
    </dxf>
    <dxf>
      <numFmt numFmtId="0" formatCode="General"/>
      <alignment horizontal="center" vertical="bottom"/>
    </dxf>
    <dxf>
      <numFmt numFmtId="19" formatCode="d/mm/yyyy"/>
    </dxf>
    <dxf>
      <numFmt numFmtId="19" formatCode="d/mm/yyyy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9" formatCode="d/mm/yyyy"/>
    </dxf>
    <dxf>
      <font>
        <color rgb="FF000000"/>
      </font>
      <numFmt numFmtId="19" formatCode="d/mm/yyyy"/>
      <fill>
        <patternFill>
          <fgColor indexed="64"/>
          <bgColor auto="1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center" wrapText="1"/>
    </dxf>
    <dxf>
      <numFmt numFmtId="0" formatCode="General"/>
      <alignment horizontal="general" vertical="center" wrapText="1"/>
    </dxf>
    <dxf>
      <font>
        <strike val="0"/>
        <condense val="0"/>
        <extend val="0"/>
        <outline val="0"/>
        <shadow val="0"/>
        <u/>
        <vertAlign val="baseline"/>
        <sz val="11"/>
        <color theme="8"/>
        <name val="Calibri"/>
        <family val="2"/>
        <scheme val="minor"/>
      </font>
      <alignment horizontal="center" vertical="center" wrapText="1"/>
    </dxf>
    <dxf>
      <font>
        <strike val="0"/>
        <condense val="0"/>
        <extend val="0"/>
        <outline val="0"/>
        <shadow val="0"/>
        <u/>
        <vertAlign val="baseline"/>
        <sz val="11"/>
        <color theme="8"/>
        <name val="Calibri"/>
        <family val="2"/>
        <scheme val="minor"/>
      </font>
      <numFmt numFmtId="0" formatCode="General"/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 wrapText="1"/>
    </dxf>
    <dxf>
      <alignment horizontal="center" vertical="center"/>
      <border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/>
      </border>
    </dxf>
    <dxf>
      <alignment horizontal="center" vertical="center"/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/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 wrapText="1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font>
        <strike val="0"/>
        <outline val="0"/>
        <shadow val="0"/>
        <vertAlign val="baseline"/>
        <sz val="1"/>
        <color theme="1"/>
        <name val="Calibri"/>
        <family val="2"/>
        <scheme val="minor"/>
      </font>
      <numFmt numFmtId="0" formatCode="General"/>
      <alignment horizontal="center" vertical="center" wrapText="1"/>
    </dxf>
    <dxf>
      <numFmt numFmtId="19" formatCode="d/mm/yyyy"/>
      <alignment horizontal="general" vertical="center"/>
    </dxf>
    <dxf>
      <numFmt numFmtId="0" formatCode="General"/>
      <alignment horizontal="center" vertical="center" wrapText="1"/>
      <border>
        <left style="thin">
          <color theme="0" tint="-0.14993743705557422"/>
        </left>
        <right/>
        <top style="thin">
          <color theme="0" tint="-0.14993743705557422"/>
        </top>
        <bottom style="thin">
          <color theme="0" tint="-0.14993743705557422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wrapText="1"/>
      <border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numFmt numFmtId="0" formatCode="General"/>
      <alignment horizontal="center" vertical="center"/>
      <border outline="0"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</border>
    </dxf>
    <dxf>
      <alignment horizontal="center" vertical="center"/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numFmt numFmtId="0" formatCode="General"/>
      <alignment horizontal="center" vertical="center"/>
      <border>
        <left style="thin">
          <color theme="0" tint="-0.14993743705557422"/>
        </left>
        <right style="thin">
          <color theme="0" tint="-0.14993743705557422"/>
        </right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border outline="0">
        <bottom style="thin">
          <color theme="0" tint="-0.14993743705557422"/>
        </bottom>
      </border>
    </dxf>
    <dxf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rgb="FF0287D0"/>
        <name val="Calibri"/>
        <family val="2"/>
        <scheme val="minor"/>
      </font>
      <fill>
        <patternFill patternType="solid">
          <fgColor indexed="64"/>
          <bgColor rgb="FFCAEFFF"/>
        </patternFill>
      </fill>
      <alignment horizontal="center" vertical="center" wrapText="1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600"/>
              <a:t>Estado de tickets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47-45F5-98EF-69E8CC091E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47-45F5-98EF-69E8CC091E3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Reportes!$AL$12:$AL$13</c:f>
              <c:strCache>
                <c:ptCount val="2"/>
                <c:pt idx="0">
                  <c:v>Resueltos</c:v>
                </c:pt>
                <c:pt idx="1">
                  <c:v>Abiertos</c:v>
                </c:pt>
              </c:strCache>
            </c:strRef>
          </c:cat>
          <c:val>
            <c:numRef>
              <c:f>Reportes!$AM$12:$AM$13</c:f>
              <c:numCache>
                <c:formatCode>0%</c:formatCode>
                <c:ptCount val="2"/>
                <c:pt idx="0">
                  <c:v>0.60360360360360366</c:v>
                </c:pt>
                <c:pt idx="1">
                  <c:v>0.3963963963963964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47-45F5-98EF-69E8CC091E3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/>
              <a:t>Tickets asignados por persona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Reportes!$BA$12</c:f>
              <c:strCache>
                <c:ptCount val="1"/>
                <c:pt idx="0">
                  <c:v>Abiertos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Reportes!$AZ$13:$AZ$18</c:f>
              <c:strCache>
                <c:ptCount val="5"/>
                <c:pt idx="0">
                  <c:v>Gestor 1</c:v>
                </c:pt>
                <c:pt idx="1">
                  <c:v>Gestor 4</c:v>
                </c:pt>
                <c:pt idx="2">
                  <c:v>Gestor 5</c:v>
                </c:pt>
                <c:pt idx="3">
                  <c:v>Gestor 3</c:v>
                </c:pt>
                <c:pt idx="4">
                  <c:v>Gestor 2</c:v>
                </c:pt>
              </c:strCache>
            </c:strRef>
          </c:cat>
          <c:val>
            <c:numRef>
              <c:f>Reportes!$BA$13:$BA$18</c:f>
              <c:numCache>
                <c:formatCode>General</c:formatCode>
                <c:ptCount val="6"/>
                <c:pt idx="0">
                  <c:v>10</c:v>
                </c:pt>
                <c:pt idx="1">
                  <c:v>10</c:v>
                </c:pt>
                <c:pt idx="2">
                  <c:v>7</c:v>
                </c:pt>
                <c:pt idx="3">
                  <c:v>10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3-417E-9BEE-012280C4A933}"/>
            </c:ext>
          </c:extLst>
        </c:ser>
        <c:ser>
          <c:idx val="1"/>
          <c:order val="1"/>
          <c:tx>
            <c:strRef>
              <c:f>Reportes!$BB$12</c:f>
              <c:strCache>
                <c:ptCount val="1"/>
                <c:pt idx="0">
                  <c:v>Resueltos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Reportes!$AZ$13:$AZ$18</c:f>
              <c:strCache>
                <c:ptCount val="5"/>
                <c:pt idx="0">
                  <c:v>Gestor 1</c:v>
                </c:pt>
                <c:pt idx="1">
                  <c:v>Gestor 4</c:v>
                </c:pt>
                <c:pt idx="2">
                  <c:v>Gestor 5</c:v>
                </c:pt>
                <c:pt idx="3">
                  <c:v>Gestor 3</c:v>
                </c:pt>
                <c:pt idx="4">
                  <c:v>Gestor 2</c:v>
                </c:pt>
              </c:strCache>
            </c:strRef>
          </c:cat>
          <c:val>
            <c:numRef>
              <c:f>Reportes!$BB$13:$BB$18</c:f>
              <c:numCache>
                <c:formatCode>General</c:formatCode>
                <c:ptCount val="6"/>
                <c:pt idx="0">
                  <c:v>17</c:v>
                </c:pt>
                <c:pt idx="1">
                  <c:v>5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43-417E-9BEE-012280C4A9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16746064"/>
        <c:axId val="316746624"/>
      </c:barChart>
      <c:catAx>
        <c:axId val="31674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16746624"/>
        <c:crosses val="autoZero"/>
        <c:auto val="1"/>
        <c:lblAlgn val="ctr"/>
        <c:lblOffset val="100"/>
        <c:noMultiLvlLbl val="0"/>
      </c:catAx>
      <c:valAx>
        <c:axId val="31674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3167460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0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GT"/>
              <a:t>Ejecución Vrs. Indicador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Reportes'!$C$5</c:f>
              <c:strCache>
                <c:ptCount val="1"/>
                <c:pt idx="0">
                  <c:v>Ejecutado</c:v>
                </c:pt>
              </c:strCache>
            </c:strRef>
          </c:tx>
          <c:spPr>
            <a:solidFill>
              <a:srgbClr val="5B9BD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'Datos Reportes'!$B$6:$B$17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Reportes'!$C$6:$C$17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26</c:v>
                </c:pt>
                <c:pt idx="3">
                  <c:v>42</c:v>
                </c:pt>
                <c:pt idx="4">
                  <c:v>33</c:v>
                </c:pt>
                <c:pt idx="5">
                  <c:v>38</c:v>
                </c:pt>
                <c:pt idx="6">
                  <c:v>36</c:v>
                </c:pt>
                <c:pt idx="7">
                  <c:v>20</c:v>
                </c:pt>
                <c:pt idx="8">
                  <c:v>30</c:v>
                </c:pt>
                <c:pt idx="9">
                  <c:v>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9-40C8-9AB6-59AACCBB14E9}"/>
            </c:ext>
          </c:extLst>
        </c:ser>
        <c:ser>
          <c:idx val="1"/>
          <c:order val="1"/>
          <c:tx>
            <c:strRef>
              <c:f>'Datos Reportes'!$D$5</c:f>
              <c:strCache>
                <c:ptCount val="1"/>
                <c:pt idx="0">
                  <c:v>Proyectado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'Datos Reportes'!$D$6:$D$17</c:f>
              <c:numCache>
                <c:formatCode>General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26</c:v>
                </c:pt>
                <c:pt idx="3">
                  <c:v>42</c:v>
                </c:pt>
                <c:pt idx="4">
                  <c:v>33</c:v>
                </c:pt>
                <c:pt idx="5">
                  <c:v>38</c:v>
                </c:pt>
                <c:pt idx="6">
                  <c:v>36</c:v>
                </c:pt>
                <c:pt idx="7">
                  <c:v>22</c:v>
                </c:pt>
                <c:pt idx="8">
                  <c:v>32</c:v>
                </c:pt>
                <c:pt idx="9">
                  <c:v>62</c:v>
                </c:pt>
                <c:pt idx="10">
                  <c:v>27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9-40C8-9AB6-59AACCBB1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123600"/>
        <c:axId val="1020123928"/>
      </c:barChart>
      <c:lineChart>
        <c:grouping val="standard"/>
        <c:varyColors val="0"/>
        <c:ser>
          <c:idx val="2"/>
          <c:order val="2"/>
          <c:tx>
            <c:strRef>
              <c:f>'Datos Reportes'!$E$5</c:f>
              <c:strCache>
                <c:ptCount val="1"/>
                <c:pt idx="0">
                  <c:v>Indicador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prstDash val="solid"/>
                <a:round/>
              </a:ln>
            </c:spPr>
          </c:marker>
          <c:cat>
            <c:strRef>
              <c:f>'Datos Reportes'!$B$6:$B$17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Reportes'!$E$6:$E$17</c:f>
              <c:numCache>
                <c:formatCode>General</c:formatCode>
                <c:ptCount val="12"/>
                <c:pt idx="0">
                  <c:v>12</c:v>
                </c:pt>
                <c:pt idx="1">
                  <c:v>48</c:v>
                </c:pt>
                <c:pt idx="2">
                  <c:v>63</c:v>
                </c:pt>
                <c:pt idx="3">
                  <c:v>64</c:v>
                </c:pt>
                <c:pt idx="4">
                  <c:v>63</c:v>
                </c:pt>
                <c:pt idx="5">
                  <c:v>98</c:v>
                </c:pt>
                <c:pt idx="6">
                  <c:v>85</c:v>
                </c:pt>
                <c:pt idx="7">
                  <c:v>86</c:v>
                </c:pt>
                <c:pt idx="8">
                  <c:v>76</c:v>
                </c:pt>
                <c:pt idx="9">
                  <c:v>63</c:v>
                </c:pt>
                <c:pt idx="10">
                  <c:v>54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79-40C8-9AB6-59AACCBB1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0123600"/>
        <c:axId val="1020123928"/>
      </c:lineChart>
      <c:catAx>
        <c:axId val="102012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020123928"/>
        <c:crosses val="autoZero"/>
        <c:auto val="1"/>
        <c:lblAlgn val="ctr"/>
        <c:lblOffset val="100"/>
        <c:noMultiLvlLbl val="0"/>
      </c:catAx>
      <c:valAx>
        <c:axId val="102012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0201236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GT"/>
              <a:t>Grupos</a:t>
            </a:r>
            <a:r>
              <a:rPr lang="es-GT" baseline="0"/>
              <a:t> Abiertos por persona sin nombramiento, no iniciados y en ejecución </a:t>
            </a:r>
            <a:endParaRPr lang="es-GT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Reportes!$AT$12</c:f>
              <c:strCache>
                <c:ptCount val="1"/>
                <c:pt idx="0">
                  <c:v>Sin Nombramiento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Reportes!$AQ$13:$AQ$18</c:f>
              <c:strCache>
                <c:ptCount val="5"/>
                <c:pt idx="0">
                  <c:v>Gestor 1</c:v>
                </c:pt>
                <c:pt idx="1">
                  <c:v>Gestor 4</c:v>
                </c:pt>
                <c:pt idx="2">
                  <c:v>Gestor 5</c:v>
                </c:pt>
                <c:pt idx="3">
                  <c:v>Gestor 3</c:v>
                </c:pt>
                <c:pt idx="4">
                  <c:v>Gestor 2</c:v>
                </c:pt>
              </c:strCache>
            </c:strRef>
          </c:cat>
          <c:val>
            <c:numRef>
              <c:f>Reportes!$AT$13:$AT$18</c:f>
              <c:numCache>
                <c:formatCode>General</c:formatCode>
                <c:ptCount val="6"/>
                <c:pt idx="0">
                  <c:v>-4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8-40D2-AF82-9A9761D58977}"/>
            </c:ext>
          </c:extLst>
        </c:ser>
        <c:ser>
          <c:idx val="3"/>
          <c:order val="1"/>
          <c:tx>
            <c:strRef>
              <c:f>Reportes!$AW$12</c:f>
              <c:strCache>
                <c:ptCount val="1"/>
                <c:pt idx="0">
                  <c:v>No Iniciados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Reportes!$AQ$13:$AQ$18</c:f>
              <c:strCache>
                <c:ptCount val="5"/>
                <c:pt idx="0">
                  <c:v>Gestor 1</c:v>
                </c:pt>
                <c:pt idx="1">
                  <c:v>Gestor 4</c:v>
                </c:pt>
                <c:pt idx="2">
                  <c:v>Gestor 5</c:v>
                </c:pt>
                <c:pt idx="3">
                  <c:v>Gestor 3</c:v>
                </c:pt>
                <c:pt idx="4">
                  <c:v>Gestor 2</c:v>
                </c:pt>
              </c:strCache>
            </c:strRef>
          </c:cat>
          <c:val>
            <c:numRef>
              <c:f>Reportes!$AW$13:$AW$18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8-40D2-AF82-9A9761D58977}"/>
            </c:ext>
          </c:extLst>
        </c:ser>
        <c:ser>
          <c:idx val="4"/>
          <c:order val="2"/>
          <c:tx>
            <c:strRef>
              <c:f>Reportes!$AX$12</c:f>
              <c:strCache>
                <c:ptCount val="1"/>
                <c:pt idx="0">
                  <c:v>En Ejecución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Reportes!$AQ$13:$AQ$18</c:f>
              <c:strCache>
                <c:ptCount val="5"/>
                <c:pt idx="0">
                  <c:v>Gestor 1</c:v>
                </c:pt>
                <c:pt idx="1">
                  <c:v>Gestor 4</c:v>
                </c:pt>
                <c:pt idx="2">
                  <c:v>Gestor 5</c:v>
                </c:pt>
                <c:pt idx="3">
                  <c:v>Gestor 3</c:v>
                </c:pt>
                <c:pt idx="4">
                  <c:v>Gestor 2</c:v>
                </c:pt>
              </c:strCache>
            </c:strRef>
          </c:cat>
          <c:val>
            <c:numRef>
              <c:f>Reportes!$AX$13:$AX$18</c:f>
              <c:numCache>
                <c:formatCode>General</c:formatCode>
                <c:ptCount val="6"/>
                <c:pt idx="0">
                  <c:v>17</c:v>
                </c:pt>
                <c:pt idx="1">
                  <c:v>8</c:v>
                </c:pt>
                <c:pt idx="2">
                  <c:v>23</c:v>
                </c:pt>
                <c:pt idx="3">
                  <c:v>16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8-40D2-AF82-9A9761D589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988803344"/>
        <c:axId val="988804984"/>
      </c:barChart>
      <c:catAx>
        <c:axId val="98880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88804984"/>
        <c:crosses val="autoZero"/>
        <c:auto val="1"/>
        <c:lblAlgn val="ctr"/>
        <c:lblOffset val="100"/>
        <c:noMultiLvlLbl val="0"/>
      </c:catAx>
      <c:valAx>
        <c:axId val="98880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888033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GT"/>
              <a:t>Grupos</a:t>
            </a:r>
            <a:r>
              <a:rPr lang="es-GT" baseline="0"/>
              <a:t> Abiertos por persona programados y ejecutados</a:t>
            </a:r>
            <a:endParaRPr lang="es-GT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Reportes!$AU$12</c:f>
              <c:strCache>
                <c:ptCount val="1"/>
                <c:pt idx="0">
                  <c:v>Programados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Reportes!$AQ$13:$AQ$18</c:f>
              <c:strCache>
                <c:ptCount val="5"/>
                <c:pt idx="0">
                  <c:v>Gestor 1</c:v>
                </c:pt>
                <c:pt idx="1">
                  <c:v>Gestor 4</c:v>
                </c:pt>
                <c:pt idx="2">
                  <c:v>Gestor 5</c:v>
                </c:pt>
                <c:pt idx="3">
                  <c:v>Gestor 3</c:v>
                </c:pt>
                <c:pt idx="4">
                  <c:v>Gestor 2</c:v>
                </c:pt>
              </c:strCache>
            </c:strRef>
          </c:cat>
          <c:val>
            <c:numRef>
              <c:f>Reportes!$AU$13:$AU$18</c:f>
              <c:numCache>
                <c:formatCode>General</c:formatCode>
                <c:ptCount val="6"/>
                <c:pt idx="0">
                  <c:v>52</c:v>
                </c:pt>
                <c:pt idx="1">
                  <c:v>25</c:v>
                </c:pt>
                <c:pt idx="2">
                  <c:v>47</c:v>
                </c:pt>
                <c:pt idx="3">
                  <c:v>42</c:v>
                </c:pt>
                <c:pt idx="4">
                  <c:v>165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7-45EA-AEA4-76782F0B49A1}"/>
            </c:ext>
          </c:extLst>
        </c:ser>
        <c:ser>
          <c:idx val="4"/>
          <c:order val="1"/>
          <c:tx>
            <c:strRef>
              <c:f>Reportes!$AV$12</c:f>
              <c:strCache>
                <c:ptCount val="1"/>
                <c:pt idx="0">
                  <c:v>Ejecutados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Reportes!$AQ$13:$AQ$18</c:f>
              <c:strCache>
                <c:ptCount val="5"/>
                <c:pt idx="0">
                  <c:v>Gestor 1</c:v>
                </c:pt>
                <c:pt idx="1">
                  <c:v>Gestor 4</c:v>
                </c:pt>
                <c:pt idx="2">
                  <c:v>Gestor 5</c:v>
                </c:pt>
                <c:pt idx="3">
                  <c:v>Gestor 3</c:v>
                </c:pt>
                <c:pt idx="4">
                  <c:v>Gestor 2</c:v>
                </c:pt>
              </c:strCache>
            </c:strRef>
          </c:cat>
          <c:val>
            <c:numRef>
              <c:f>Reportes!$AV$13:$AV$18</c:f>
              <c:numCache>
                <c:formatCode>General</c:formatCode>
                <c:ptCount val="6"/>
                <c:pt idx="0">
                  <c:v>38</c:v>
                </c:pt>
                <c:pt idx="1">
                  <c:v>9</c:v>
                </c:pt>
                <c:pt idx="2">
                  <c:v>18</c:v>
                </c:pt>
                <c:pt idx="3">
                  <c:v>26</c:v>
                </c:pt>
                <c:pt idx="4">
                  <c:v>140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7-45EA-AEA4-76782F0B49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988803344"/>
        <c:axId val="988804984"/>
      </c:barChart>
      <c:catAx>
        <c:axId val="98880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88804984"/>
        <c:crosses val="autoZero"/>
        <c:auto val="1"/>
        <c:lblAlgn val="ctr"/>
        <c:lblOffset val="100"/>
        <c:noMultiLvlLbl val="0"/>
      </c:catAx>
      <c:valAx>
        <c:axId val="98880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9888033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0</xdr:row>
      <xdr:rowOff>1</xdr:rowOff>
    </xdr:from>
    <xdr:to>
      <xdr:col>2</xdr:col>
      <xdr:colOff>381001</xdr:colOff>
      <xdr:row>6</xdr:row>
      <xdr:rowOff>28576</xdr:rowOff>
    </xdr:to>
    <xdr:grpSp>
      <xdr:nvGrpSpPr>
        <xdr:cNvPr id="2" name="Grupo 6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35469" y="1"/>
          <a:ext cx="1337732" cy="934508"/>
          <a:chOff x="204107" y="77756"/>
          <a:chExt cx="914400" cy="1333598"/>
        </a:xfrm>
      </xdr:grpSpPr>
      <xdr:pic>
        <xdr:nvPicPr>
          <xdr:cNvPr id="3" name="Gráfico 3" descr="Hogar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04107" y="77756"/>
            <a:ext cx="914400" cy="9144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702468</xdr:colOff>
      <xdr:row>1</xdr:row>
      <xdr:rowOff>83344</xdr:rowOff>
    </xdr:to>
    <xdr:grpSp>
      <xdr:nvGrpSpPr>
        <xdr:cNvPr id="2" name="Grupo 6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1" y="0"/>
          <a:ext cx="1178717" cy="673894"/>
          <a:chOff x="204107" y="77756"/>
          <a:chExt cx="914400" cy="1333598"/>
        </a:xfrm>
      </xdr:grpSpPr>
      <xdr:pic>
        <xdr:nvPicPr>
          <xdr:cNvPr id="3" name="Gráfico 3" descr="Hogar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04107" y="77756"/>
            <a:ext cx="914400" cy="9144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702468</xdr:colOff>
      <xdr:row>1</xdr:row>
      <xdr:rowOff>83344</xdr:rowOff>
    </xdr:to>
    <xdr:grpSp>
      <xdr:nvGrpSpPr>
        <xdr:cNvPr id="4" name="Grupo 6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/>
      </xdr:nvGrpSpPr>
      <xdr:grpSpPr>
        <a:xfrm>
          <a:off x="1" y="0"/>
          <a:ext cx="1178717" cy="673894"/>
          <a:chOff x="204107" y="77756"/>
          <a:chExt cx="914400" cy="1333598"/>
        </a:xfrm>
      </xdr:grpSpPr>
      <xdr:pic>
        <xdr:nvPicPr>
          <xdr:cNvPr id="5" name="Gráfico 3" descr="Hogar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04107" y="77756"/>
            <a:ext cx="914400" cy="9144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</xdr:colOff>
      <xdr:row>0</xdr:row>
      <xdr:rowOff>0</xdr:rowOff>
    </xdr:from>
    <xdr:to>
      <xdr:col>1</xdr:col>
      <xdr:colOff>595312</xdr:colOff>
      <xdr:row>1</xdr:row>
      <xdr:rowOff>83344</xdr:rowOff>
    </xdr:to>
    <xdr:grpSp>
      <xdr:nvGrpSpPr>
        <xdr:cNvPr id="2" name="Grupo 6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" y="0"/>
          <a:ext cx="1071560" cy="673894"/>
          <a:chOff x="204107" y="77756"/>
          <a:chExt cx="914400" cy="1333598"/>
        </a:xfrm>
      </xdr:grpSpPr>
      <xdr:pic>
        <xdr:nvPicPr>
          <xdr:cNvPr id="3" name="Gráfico 3" descr="Hogar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04107" y="77756"/>
            <a:ext cx="914400" cy="9144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69271</xdr:colOff>
      <xdr:row>0</xdr:row>
      <xdr:rowOff>34639</xdr:rowOff>
    </xdr:from>
    <xdr:to>
      <xdr:col>2</xdr:col>
      <xdr:colOff>822611</xdr:colOff>
      <xdr:row>0</xdr:row>
      <xdr:rowOff>675412</xdr:rowOff>
    </xdr:to>
    <xdr:grpSp>
      <xdr:nvGrpSpPr>
        <xdr:cNvPr id="5" name="Grupo 6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69271" y="34639"/>
          <a:ext cx="1092007" cy="640773"/>
          <a:chOff x="204107" y="77756"/>
          <a:chExt cx="914400" cy="1333598"/>
        </a:xfrm>
      </xdr:grpSpPr>
      <xdr:pic>
        <xdr:nvPicPr>
          <xdr:cNvPr id="6" name="Gráfico 3" descr="Hogar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04107" y="77756"/>
            <a:ext cx="914400" cy="9144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0</xdr:row>
      <xdr:rowOff>0</xdr:rowOff>
    </xdr:from>
    <xdr:to>
      <xdr:col>4</xdr:col>
      <xdr:colOff>66676</xdr:colOff>
      <xdr:row>2</xdr:row>
      <xdr:rowOff>69273</xdr:rowOff>
    </xdr:to>
    <xdr:grpSp>
      <xdr:nvGrpSpPr>
        <xdr:cNvPr id="2" name="Grupo 6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04776" y="0"/>
          <a:ext cx="1127760" cy="389313"/>
          <a:chOff x="204107" y="77756"/>
          <a:chExt cx="914400" cy="1333598"/>
        </a:xfrm>
      </xdr:grpSpPr>
      <xdr:pic>
        <xdr:nvPicPr>
          <xdr:cNvPr id="3" name="Gráfico 3" descr="Hogar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204107" y="77756"/>
            <a:ext cx="914400" cy="9144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387620</xdr:colOff>
      <xdr:row>9</xdr:row>
      <xdr:rowOff>4233</xdr:rowOff>
    </xdr:from>
    <xdr:to>
      <xdr:col>2</xdr:col>
      <xdr:colOff>1416844</xdr:colOff>
      <xdr:row>22</xdr:row>
      <xdr:rowOff>137583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504826</xdr:colOff>
      <xdr:row>23</xdr:row>
      <xdr:rowOff>116679</xdr:rowOff>
    </xdr:from>
    <xdr:to>
      <xdr:col>5</xdr:col>
      <xdr:colOff>1295401</xdr:colOff>
      <xdr:row>40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1381125</xdr:colOff>
      <xdr:row>23</xdr:row>
      <xdr:rowOff>114299</xdr:rowOff>
    </xdr:from>
    <xdr:to>
      <xdr:col>16</xdr:col>
      <xdr:colOff>47625</xdr:colOff>
      <xdr:row>40</xdr:row>
      <xdr:rowOff>5821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695325</xdr:colOff>
      <xdr:row>41</xdr:row>
      <xdr:rowOff>41280</xdr:rowOff>
    </xdr:from>
    <xdr:to>
      <xdr:col>16</xdr:col>
      <xdr:colOff>130175</xdr:colOff>
      <xdr:row>57</xdr:row>
      <xdr:rowOff>135472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666750</xdr:colOff>
      <xdr:row>41</xdr:row>
      <xdr:rowOff>50805</xdr:rowOff>
    </xdr:from>
    <xdr:to>
      <xdr:col>5</xdr:col>
      <xdr:colOff>333375</xdr:colOff>
      <xdr:row>57</xdr:row>
      <xdr:rowOff>144997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546100</xdr:colOff>
      <xdr:row>9</xdr:row>
      <xdr:rowOff>74083</xdr:rowOff>
    </xdr:to>
    <xdr:grpSp>
      <xdr:nvGrpSpPr>
        <xdr:cNvPr id="7" name="Grupo 6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0" y="0"/>
          <a:ext cx="1373414" cy="944940"/>
          <a:chOff x="204107" y="77756"/>
          <a:chExt cx="914400" cy="1333598"/>
        </a:xfrm>
      </xdr:grpSpPr>
      <xdr:pic>
        <xdr:nvPicPr>
          <xdr:cNvPr id="8" name="Gráfico 3" descr="Hogar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/>
          <a:stretch>
            <a:fillRect/>
          </a:stretch>
        </xdr:blipFill>
        <xdr:spPr>
          <a:xfrm>
            <a:off x="204107" y="77756"/>
            <a:ext cx="914400" cy="91440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jecucion" displayName="Ejecucion" ref="A4:T338" totalsRowShown="0" headerRowDxfId="137">
  <autoFilter ref="A4:T338" xr:uid="{00000000-0009-0000-0100-000001000000}"/>
  <sortState xmlns:xlrd2="http://schemas.microsoft.com/office/spreadsheetml/2017/richdata2" ref="A5:T338">
    <sortCondition ref="F4:F338"/>
  </sortState>
  <tableColumns count="20">
    <tableColumn id="1" xr3:uid="{00000000-0010-0000-0000-000001000000}" name="Correlativo" dataDxfId="136" totalsRowDxfId="135">
      <calculatedColumnFormula>ROW() - ROW(Ejecucion[[#Headers],[Correlativo]])</calculatedColumnFormula>
    </tableColumn>
    <tableColumn id="6" xr3:uid="{00000000-0010-0000-0000-000006000000}" name="No. Solicitud" dataDxfId="134" totalsRowDxfId="133"/>
    <tableColumn id="23" xr3:uid="{00000000-0010-0000-0000-000017000000}" name="Asignado a" dataDxfId="132" totalsRowDxfId="131">
      <calculatedColumnFormula>IF(Ejecucion[[#This Row],[No. Solicitud]]="","",_xlfn.XLOOKUP(Ejecucion[[#This Row],[No. Solicitud]],Registro!$B$8:$B$997,Registro!$M$8:$M$997,"Sin Dato",0))</calculatedColumnFormula>
    </tableColumn>
    <tableColumn id="2" xr3:uid="{00000000-0010-0000-0000-000002000000}" name="Link de Registro en control" dataDxfId="130" totalsRowDxfId="129">
      <calculatedColumnFormula>IF(B5="","",HYPERLINK("#"&amp;"Registro!B"&amp;MATCH(B5,Registro!$B$8:$B$999,0)+7,"Ubicar en registro"))</calculatedColumnFormula>
    </tableColumn>
    <tableColumn id="3" xr3:uid="{00000000-0010-0000-0000-000003000000}" name="Evento Formativo según PFA / Extraordinario" dataDxfId="128" totalsRowDxfId="127">
      <calculatedColumnFormula>IF(C5="","",_xlfn.XLOOKUP(Ejecucion[[#This Row],[No. Solicitud]],Registro!$B$8:$B$999,Registro!$H$8:$H$999,"",0))</calculatedColumnFormula>
    </tableColumn>
    <tableColumn id="5" xr3:uid="{00000000-0010-0000-0000-000005000000}" name="Grupo" dataDxfId="126" totalsRowDxfId="125"/>
    <tableColumn id="18" xr3:uid="{00000000-0010-0000-0000-000012000000}" name="PC" dataDxfId="124" totalsRowDxfId="123"/>
    <tableColumn id="17" xr3:uid="{00000000-0010-0000-0000-000011000000}" name="Nombramiento" dataDxfId="122" totalsRowDxfId="121"/>
    <tableColumn id="7" xr3:uid="{00000000-0010-0000-0000-000007000000}" name="Fecha Inicio" dataDxfId="120" totalsRowDxfId="119"/>
    <tableColumn id="8" xr3:uid="{00000000-0010-0000-0000-000008000000}" name="Fecha Fin" dataDxfId="118" totalsRowDxfId="117"/>
    <tableColumn id="22" xr3:uid="{00000000-0010-0000-0000-000016000000}" name="Nun_MES" dataDxfId="116" totalsRowDxfId="115">
      <calculatedColumnFormula>IF(Ejecucion[[#This Row],[Fecha Fin]]="","",MONTH(Ejecucion[[#This Row],[Fecha Fin]]))</calculatedColumnFormula>
    </tableColumn>
    <tableColumn id="14" xr3:uid="{00000000-0010-0000-0000-00000E000000}" name="Estado" dataDxfId="114" totalsRowDxfId="113"/>
    <tableColumn id="20" xr3:uid="{00000000-0010-0000-0000-000014000000}" name="Cantidad de Participantes solicitados" dataDxfId="112" totalsRowDxfId="111"/>
    <tableColumn id="11" xr3:uid="{00000000-0010-0000-0000-00000B000000}" name="Cantidad de Participantes nombrados" dataDxfId="110" totalsRowDxfId="109"/>
    <tableColumn id="12" xr3:uid="{00000000-0010-0000-0000-00000C000000}" name="Participantes Aprobados" dataDxfId="108" totalsRowDxfId="107"/>
    <tableColumn id="13" xr3:uid="{00000000-0010-0000-0000-00000D000000}" name="Participantes Reprobados" dataDxfId="106" totalsRowDxfId="105"/>
    <tableColumn id="21" xr3:uid="{00000000-0010-0000-0000-000015000000}" name="Participantes Inactivos" dataDxfId="104" totalsRowDxfId="103"/>
    <tableColumn id="15" xr3:uid="{00000000-0010-0000-0000-00000F000000}" name="Link de curso en plataforma" dataDxfId="102" totalsRowDxfId="101"/>
    <tableColumn id="16" xr3:uid="{00000000-0010-0000-0000-000010000000}" name="Cierre del curso" dataDxfId="100" totalsRowDxfId="99"/>
    <tableColumn id="19" xr3:uid="{00000000-0010-0000-0000-000013000000}" name="Observaciones" dataDxfId="98" totalsRowDxfId="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jecucion4" displayName="Ejecucion4" ref="A4:K393" totalsRowShown="0" headerRowDxfId="96">
  <autoFilter ref="A4:K393" xr:uid="{00000000-0009-0000-0100-000002000000}"/>
  <sortState xmlns:xlrd2="http://schemas.microsoft.com/office/spreadsheetml/2017/richdata2" ref="A5:K393">
    <sortCondition ref="B4:B393"/>
  </sortState>
  <tableColumns count="11">
    <tableColumn id="1" xr3:uid="{00000000-0010-0000-0100-000001000000}" name="Correlativo" dataDxfId="95" totalsRowDxfId="94">
      <calculatedColumnFormula>ROW() - ROW(Ejecucion4[[#Headers],[Correlativo]])</calculatedColumnFormula>
    </tableColumn>
    <tableColumn id="6" xr3:uid="{00000000-0010-0000-0100-000006000000}" name="No. Solicitud" dataDxfId="93" totalsRowDxfId="92"/>
    <tableColumn id="2" xr3:uid="{00000000-0010-0000-0100-000002000000}" name="Link de Registro en control" dataDxfId="91" totalsRowDxfId="90">
      <calculatedColumnFormula>IF(B5="","",HYPERLINK("#"&amp;"Registro!B"&amp;MATCH(B5,Registro!$B$8:$B$997,0)+7,"Ubicar en registro"))</calculatedColumnFormula>
    </tableColumn>
    <tableColumn id="3" xr3:uid="{00000000-0010-0000-0100-000003000000}" name="Evento Formativo según PFA / Extraordinario" dataDxfId="89" totalsRowDxfId="88">
      <calculatedColumnFormula>IF(Ejecucion4[[#This Row],[No. Solicitud]]="","",_xlfn.XLOOKUP(Ejecucion4[[#This Row],[No. Solicitud]],Registro!$B$8:$B$997,Registro!$H$8:$H$997,"Sin Dato",0))</calculatedColumnFormula>
    </tableColumn>
    <tableColumn id="9" xr3:uid="{00000000-0010-0000-0100-000009000000}" name="Codigo" dataDxfId="87" totalsRowDxfId="86"/>
    <tableColumn id="4" xr3:uid="{00000000-0010-0000-0100-000004000000}" name="Grupo" dataDxfId="85" totalsRowDxfId="84"/>
    <tableColumn id="5" xr3:uid="{00000000-0010-0000-0100-000005000000}" name="Sesión" dataDxfId="83" totalsRowDxfId="82"/>
    <tableColumn id="10" xr3:uid="{00000000-0010-0000-0100-00000A000000}" name="Fecha" dataDxfId="81" totalsRowDxfId="80"/>
    <tableColumn id="7" xr3:uid="{00000000-0010-0000-0100-000007000000}" name="Hora de inicio" dataDxfId="79" totalsRowDxfId="78"/>
    <tableColumn id="8" xr3:uid="{00000000-0010-0000-0100-000008000000}" name="Hora de fin" dataDxfId="77" totalsRowDxfId="76"/>
    <tableColumn id="19" xr3:uid="{00000000-0010-0000-0100-000013000000}" name="Observaciones" dataDxfId="75" totalsRowDxfId="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jecucion45" displayName="Ejecucion45" ref="A4:K346" totalsRowShown="0" headerRowDxfId="73">
  <autoFilter ref="A4:K346" xr:uid="{00000000-0009-0000-0100-000003000000}"/>
  <tableColumns count="11">
    <tableColumn id="1" xr3:uid="{00000000-0010-0000-0200-000001000000}" name="Correlativo" dataDxfId="72">
      <calculatedColumnFormula>ROW() - ROW(Ejecucion45[[#Headers],[Correlativo]])</calculatedColumnFormula>
    </tableColumn>
    <tableColumn id="6" xr3:uid="{00000000-0010-0000-0200-000006000000}" name="No. Solicitud" dataDxfId="71"/>
    <tableColumn id="2" xr3:uid="{00000000-0010-0000-0200-000002000000}" name="Link de Registro en control" dataDxfId="70">
      <calculatedColumnFormula>IF(B5="","",HYPERLINK("#"&amp;"Registro!B"&amp;MATCH(B5,Registro!$B$8:$B$997,0)+7,"Ubicar en registro"))</calculatedColumnFormula>
    </tableColumn>
    <tableColumn id="3" xr3:uid="{00000000-0010-0000-0200-000003000000}" name="Evento Formativo según PFA / Extraordinario" dataDxfId="69">
      <calculatedColumnFormula>IF(Ejecucion45[[#This Row],[No. Solicitud]]="","",_xlfn.XLOOKUP(Ejecucion45[[#This Row],[No. Solicitud]],Registro!$B$8:$B$997,Registro!$H$8:$H$997,"Sin Dato",0))</calculatedColumnFormula>
    </tableColumn>
    <tableColumn id="7" xr3:uid="{00000000-0010-0000-0200-000007000000}" name="NIT/DPI/Pasaporte" dataDxfId="68"/>
    <tableColumn id="8" xr3:uid="{00000000-0010-0000-0200-000008000000}" name="Docente" dataDxfId="67">
      <calculatedColumnFormula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calculatedColumnFormula>
    </tableColumn>
    <tableColumn id="12" xr3:uid="{00000000-0010-0000-0200-00000C000000}" name="Horas de docencia" dataDxfId="66"/>
    <tableColumn id="9" xr3:uid="{00000000-0010-0000-0200-000009000000}" name="PC" dataDxfId="65"/>
    <tableColumn id="4" xr3:uid="{00000000-0010-0000-0200-000004000000}" name="Grupo" dataDxfId="64">
      <calculatedColumnFormula>IF(Ejecucion45[[#This Row],[PC]]="","",_xlfn.XLOOKUP(Ejecucion45[[#This Row],[PC]],Ejecucion[PC],Ejecucion[Grupo],"NE",0))</calculatedColumnFormula>
    </tableColumn>
    <tableColumn id="5" xr3:uid="{00000000-0010-0000-0200-000005000000}" name="Sesiones" dataDxfId="63">
      <calculatedColumnFormula>IF(Ejecucion45[[#This Row],[PC]]="","",COUNTIF(Ejecucion4[Codigo],Ejecucion45[[#This Row],[PC]]))</calculatedColumnFormula>
    </tableColumn>
    <tableColumn id="19" xr3:uid="{00000000-0010-0000-0200-000013000000}" name="Observaciones" dataDxfId="6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BDocentes" displayName="DBDocentes" ref="A1:F1442" totalsRowShown="0" headerRowDxfId="61" dataDxfId="59" headerRowBorderDxfId="60" tableBorderDxfId="58">
  <autoFilter ref="A1:F1442" xr:uid="{00000000-0009-0000-0100-000004000000}"/>
  <tableColumns count="6">
    <tableColumn id="26" xr3:uid="{00000000-0010-0000-0300-00001A000000}" name="DPI/pasaporte" dataDxfId="57"/>
    <tableColumn id="2" xr3:uid="{00000000-0010-0000-0300-000002000000}" name="NIT docente" dataDxfId="56"/>
    <tableColumn id="3" xr3:uid="{00000000-0010-0000-0300-000003000000}" name="Nombre docente" dataDxfId="55"/>
    <tableColumn id="4" xr3:uid="{00000000-0010-0000-0300-000004000000}" name="Interno / Externo" dataDxfId="54"/>
    <tableColumn id="5" xr3:uid="{00000000-0010-0000-0300-000005000000}" name="Correo" dataDxfId="53"/>
    <tableColumn id="6" xr3:uid="{00000000-0010-0000-0300-000006000000}" name="Número de teléfono" dataDxfId="5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FAbiertos" displayName="EFAbiertos" ref="C8:N199" totalsRowShown="0" headerRowDxfId="152" dataDxfId="151" tableBorderDxfId="150">
  <autoFilter ref="C8:N199" xr:uid="{00000000-0009-0000-0100-000005000000}"/>
  <tableColumns count="12">
    <tableColumn id="1" xr3:uid="{00000000-0010-0000-0400-000001000000}" name="Link Registro" dataDxfId="149">
      <calculatedColumnFormula>IF(D9="","",HYPERLINK("#"&amp;"Registro!B"&amp;MATCH(D9,Registro!$B$8:$B$997,0)+7,"Ubicar en registro"))</calculatedColumnFormula>
    </tableColumn>
    <tableColumn id="2" xr3:uid="{00000000-0010-0000-0400-000002000000}" name="Ticket #" dataDxfId="148">
      <calculatedColumnFormula>IF(Programación!Q9="","",Programación!Q9)</calculatedColumnFormula>
    </tableColumn>
    <tableColumn id="3" xr3:uid="{00000000-0010-0000-0400-000003000000}" name="Asignado a:" dataDxfId="147">
      <calculatedColumnFormula>_xlfn.XLOOKUP(EFAbiertos[[#This Row],[Ticket '#]],Registro!$B$8:$B$997,Registro!$M$8:$M$997,"",0)</calculatedColumnFormula>
    </tableColumn>
    <tableColumn id="4" xr3:uid="{00000000-0010-0000-0400-000004000000}" name="Evento Formativo según PFA / Extraordinario" dataDxfId="146">
      <calculatedColumnFormula>_xlfn.XLOOKUP(EFAbiertos[[#This Row],[Ticket '#]],Registro!$B$8:$B$997,Registro!$H$8:$H$997,"",0)</calculatedColumnFormula>
    </tableColumn>
    <tableColumn id="5" xr3:uid="{00000000-0010-0000-0400-000005000000}" name="Dependencia" dataDxfId="145">
      <calculatedColumnFormula>_xlfn.XLOOKUP(EFAbiertos[[#This Row],[Ticket '#]],Registro!$B$8:$B$997,Registro!$M$8:$M$997,"",0)</calculatedColumnFormula>
    </tableColumn>
    <tableColumn id="6" xr3:uid="{00000000-0010-0000-0400-000006000000}" name="Fecha de finalización" dataDxfId="144">
      <calculatedColumnFormula>_xlfn.XLOOKUP(EFAbiertos[[#This Row],[Ticket '#]],Registro!$B$8:$B$997,Registro!$S$8:$S$997,"",0)</calculatedColumnFormula>
    </tableColumn>
    <tableColumn id="12" xr3:uid="{00000000-0010-0000-0400-00000C000000}" name="." dataDxfId="143">
      <calculatedColumnFormula>IF(J9="","",IF(J9=K9,1,0))</calculatedColumnFormula>
    </tableColumn>
    <tableColumn id="7" xr3:uid="{00000000-0010-0000-0400-000007000000}" name="Grupos Programados" dataDxfId="142">
      <calculatedColumnFormula>_xlfn.XLOOKUP(EFAbiertos[[#This Row],[Ticket '#]],Registro!$B$8:$B$997,Registro!$U$8:$U$997,"",0)</calculatedColumnFormula>
    </tableColumn>
    <tableColumn id="8" xr3:uid="{00000000-0010-0000-0400-000008000000}" name="Grupos ejecutados" dataDxfId="141">
      <calculatedColumnFormula>_xlfn.XLOOKUP(EFAbiertos[[#This Row],[Ticket '#]],Registro!$B$8:$B$997,Registro!$W$8:$W$997,"",0)</calculatedColumnFormula>
    </tableColumn>
    <tableColumn id="10" xr3:uid="{00000000-0010-0000-0400-00000A000000}" name="Grupos no Iniciados" dataDxfId="140">
      <calculatedColumnFormula>_xlfn.XLOOKUP(EFAbiertos[[#This Row],[Ticket '#]],Registro!$B$8:$B$997,Registro!$X$8:$X$997,"",0)</calculatedColumnFormula>
    </tableColumn>
    <tableColumn id="9" xr3:uid="{00000000-0010-0000-0400-000009000000}" name="Grupos en proceso" dataDxfId="139">
      <calculatedColumnFormula>_xlfn.XLOOKUP(EFAbiertos[[#This Row],[Ticket '#]],Registro!$B$8:$B$997,Registro!$Y$8:$Y$997,"",0)</calculatedColumnFormula>
    </tableColumn>
    <tableColumn id="11" xr3:uid="{00000000-0010-0000-0400-00000B000000}" name="No nombrados" dataDxfId="138">
      <calculatedColumnFormula>IF(EFAbiertos[[#This Row],[Link Registro]]="","",EFAbiertos[[#This Row],[Grupos Programados]]-(EFAbiertos[[#This Row],[Grupos ejecutados]]+EFAbiertos[[#This Row],[Grupos en proceso]]+EFAbiertos[[#This Row],[Grupos no Iniciados]]))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solicitudesgfp.sat.gob.gt/scp/tickets.php?id=6326" TargetMode="External"/><Relationship Id="rId21" Type="http://schemas.openxmlformats.org/officeDocument/2006/relationships/hyperlink" Target="https://solicitudesgfp.sat.gob.gt/scp/tickets.php?id=6312" TargetMode="External"/><Relationship Id="rId42" Type="http://schemas.openxmlformats.org/officeDocument/2006/relationships/hyperlink" Target="https://solicitudesgfp.sat.gob.gt/scp/tickets.php?id=5805" TargetMode="External"/><Relationship Id="rId47" Type="http://schemas.openxmlformats.org/officeDocument/2006/relationships/hyperlink" Target="https://solicitudesgfp.sat.gob.gt/scp/tickets.php?id=5809" TargetMode="External"/><Relationship Id="rId63" Type="http://schemas.openxmlformats.org/officeDocument/2006/relationships/hyperlink" Target="https://solicitudesgfp.sat.gob.gt/scp/tickets.php?id=5858" TargetMode="External"/><Relationship Id="rId68" Type="http://schemas.openxmlformats.org/officeDocument/2006/relationships/hyperlink" Target="https://solicitudesgfp.sat.gob.gt/scp/tickets.php?queue=5" TargetMode="External"/><Relationship Id="rId84" Type="http://schemas.openxmlformats.org/officeDocument/2006/relationships/hyperlink" Target="https://solicitudesgfp.sat.gob.gt/scp/tickets.php?id=6266" TargetMode="External"/><Relationship Id="rId89" Type="http://schemas.openxmlformats.org/officeDocument/2006/relationships/hyperlink" Target="https://solicitudesgfp.sat.gob.gt/scp/tickets.php?id=6247" TargetMode="External"/><Relationship Id="rId112" Type="http://schemas.openxmlformats.org/officeDocument/2006/relationships/hyperlink" Target="https://solicitudesgfp.sat.gob.gt/scp/tickets.php?id=6417" TargetMode="External"/><Relationship Id="rId16" Type="http://schemas.openxmlformats.org/officeDocument/2006/relationships/hyperlink" Target="https://solicitudesgfp.sat.gob.gt/scp/tickets.php?id=6307" TargetMode="External"/><Relationship Id="rId107" Type="http://schemas.openxmlformats.org/officeDocument/2006/relationships/hyperlink" Target="https://solicitudesgfp.sat.gob.gt/scp/tickets.php?id=6400" TargetMode="External"/><Relationship Id="rId11" Type="http://schemas.openxmlformats.org/officeDocument/2006/relationships/hyperlink" Target="https://solicitudesgfp.sat.gob.gt/scp/tickets.php?id=6295" TargetMode="External"/><Relationship Id="rId32" Type="http://schemas.openxmlformats.org/officeDocument/2006/relationships/hyperlink" Target="https://solicitudesgfp.sat.gob.gt/scp/tickets.php?id=6335" TargetMode="External"/><Relationship Id="rId37" Type="http://schemas.openxmlformats.org/officeDocument/2006/relationships/hyperlink" Target="https://solicitudesgfp.sat.gob.gt/scp/tickets.php?id=6360" TargetMode="External"/><Relationship Id="rId53" Type="http://schemas.openxmlformats.org/officeDocument/2006/relationships/hyperlink" Target="https://solicitudesgfp.sat.gob.gt/scp/tickets.php?id=5827" TargetMode="External"/><Relationship Id="rId58" Type="http://schemas.openxmlformats.org/officeDocument/2006/relationships/hyperlink" Target="https://solicitudesgfp.sat.gob.gt/scp/tickets.php?id=5849" TargetMode="External"/><Relationship Id="rId74" Type="http://schemas.openxmlformats.org/officeDocument/2006/relationships/hyperlink" Target="https://solicitudesgfp.sat.gob.gt/scp/tickets.php?id=5869" TargetMode="External"/><Relationship Id="rId79" Type="http://schemas.openxmlformats.org/officeDocument/2006/relationships/hyperlink" Target="https://solicitudesgfp.sat.gob.gt/scp/tickets.php?id=6388" TargetMode="External"/><Relationship Id="rId102" Type="http://schemas.openxmlformats.org/officeDocument/2006/relationships/hyperlink" Target="https://solicitudesgfp.sat.gob.gt/scp/tickets.php?id=6221" TargetMode="External"/><Relationship Id="rId5" Type="http://schemas.openxmlformats.org/officeDocument/2006/relationships/hyperlink" Target="https://solicitudesgfp.sat.gob.gt/scp/tickets.php?id=6291" TargetMode="External"/><Relationship Id="rId90" Type="http://schemas.openxmlformats.org/officeDocument/2006/relationships/hyperlink" Target="https://solicitudesgfp.sat.gob.gt/scp/tickets.php?id=6245" TargetMode="External"/><Relationship Id="rId95" Type="http://schemas.openxmlformats.org/officeDocument/2006/relationships/hyperlink" Target="https://solicitudesgfp.sat.gob.gt/scp/tickets.php?id=6233" TargetMode="External"/><Relationship Id="rId22" Type="http://schemas.openxmlformats.org/officeDocument/2006/relationships/hyperlink" Target="https://solicitudesgfp.sat.gob.gt/scp/tickets.php?id=6317" TargetMode="External"/><Relationship Id="rId27" Type="http://schemas.openxmlformats.org/officeDocument/2006/relationships/hyperlink" Target="https://solicitudesgfp.sat.gob.gt/scp/tickets.php?id=6328" TargetMode="External"/><Relationship Id="rId43" Type="http://schemas.openxmlformats.org/officeDocument/2006/relationships/hyperlink" Target="https://solicitudesgfp.sat.gob.gt/scp/tickets.php?id=5805" TargetMode="External"/><Relationship Id="rId48" Type="http://schemas.openxmlformats.org/officeDocument/2006/relationships/hyperlink" Target="https://solicitudesgfp.sat.gob.gt/scp/tickets.php?a=search&amp;search-type=&amp;query=5797" TargetMode="External"/><Relationship Id="rId64" Type="http://schemas.openxmlformats.org/officeDocument/2006/relationships/hyperlink" Target="https://solicitudesgfp.sat.gob.gt/scp/tickets.php?id=5859" TargetMode="External"/><Relationship Id="rId69" Type="http://schemas.openxmlformats.org/officeDocument/2006/relationships/hyperlink" Target="https://solicitudesgfp.sat.gob.gt/scp/tickets.php?id=5864" TargetMode="External"/><Relationship Id="rId113" Type="http://schemas.openxmlformats.org/officeDocument/2006/relationships/hyperlink" Target="https://solicitudesgfp.sat.gob.gt/scp/tickets.php?id=6424" TargetMode="External"/><Relationship Id="rId80" Type="http://schemas.openxmlformats.org/officeDocument/2006/relationships/hyperlink" Target="https://solicitudesgfp.sat.gob.gt/scp/tickets.php?id=6389" TargetMode="External"/><Relationship Id="rId85" Type="http://schemas.openxmlformats.org/officeDocument/2006/relationships/hyperlink" Target="https://solicitudesgfp.sat.gob.gt/scp/tickets.php?id=6265" TargetMode="External"/><Relationship Id="rId12" Type="http://schemas.openxmlformats.org/officeDocument/2006/relationships/hyperlink" Target="https://solicitudesgfp.sat.gob.gt/scp/tickets.php?id=6302" TargetMode="External"/><Relationship Id="rId17" Type="http://schemas.openxmlformats.org/officeDocument/2006/relationships/hyperlink" Target="https://solicitudesgfp.sat.gob.gt/scp/tickets.php?id=6309" TargetMode="External"/><Relationship Id="rId33" Type="http://schemas.openxmlformats.org/officeDocument/2006/relationships/hyperlink" Target="https://solicitudesgfp.sat.gob.gt/scp/tickets.php?id=6346" TargetMode="External"/><Relationship Id="rId38" Type="http://schemas.openxmlformats.org/officeDocument/2006/relationships/hyperlink" Target="https://solicitudesgfp.sat.gob.gt/scp/tickets.php?id=6359" TargetMode="External"/><Relationship Id="rId59" Type="http://schemas.openxmlformats.org/officeDocument/2006/relationships/hyperlink" Target="https://solicitudesgfp.sat.gob.gt/scp/tickets.php?id=6372" TargetMode="External"/><Relationship Id="rId103" Type="http://schemas.openxmlformats.org/officeDocument/2006/relationships/hyperlink" Target="https://solicitudesgfp.sat.gob.gt/scp/tickets.php?id=6220" TargetMode="External"/><Relationship Id="rId108" Type="http://schemas.openxmlformats.org/officeDocument/2006/relationships/hyperlink" Target="https://solicitudesgfp.sat.gob.gt/scp/tickets.php?id=6402" TargetMode="External"/><Relationship Id="rId54" Type="http://schemas.openxmlformats.org/officeDocument/2006/relationships/hyperlink" Target="https://solicitudesgfp.sat.gob.gt/scp/tickets.php?id=5830" TargetMode="External"/><Relationship Id="rId70" Type="http://schemas.openxmlformats.org/officeDocument/2006/relationships/hyperlink" Target="https://solicitudesgfp.sat.gob.gt/scp/tickets.php?id=5865" TargetMode="External"/><Relationship Id="rId75" Type="http://schemas.openxmlformats.org/officeDocument/2006/relationships/hyperlink" Target="https://solicitudesgfp.sat.gob.gt/scp/tickets.php?id=5870" TargetMode="External"/><Relationship Id="rId91" Type="http://schemas.openxmlformats.org/officeDocument/2006/relationships/hyperlink" Target="https://solicitudesgfp.sat.gob.gt/scp/tickets.php?id=6236" TargetMode="External"/><Relationship Id="rId96" Type="http://schemas.openxmlformats.org/officeDocument/2006/relationships/hyperlink" Target="https://solicitudesgfp.sat.gob.gt/scp/tickets.php?id=6228" TargetMode="External"/><Relationship Id="rId1" Type="http://schemas.openxmlformats.org/officeDocument/2006/relationships/hyperlink" Target="https://solicitudesgfp.sat.gob.gt/scp/tickets.php?id=6275" TargetMode="External"/><Relationship Id="rId6" Type="http://schemas.openxmlformats.org/officeDocument/2006/relationships/hyperlink" Target="https://solicitudesgfp.sat.gob.gt/scp/tickets.php?id=6294" TargetMode="External"/><Relationship Id="rId15" Type="http://schemas.openxmlformats.org/officeDocument/2006/relationships/hyperlink" Target="https://solicitudesgfp.sat.gob.gt/scp/tickets.php?id=6305" TargetMode="External"/><Relationship Id="rId23" Type="http://schemas.openxmlformats.org/officeDocument/2006/relationships/hyperlink" Target="https://solicitudesgfp.sat.gob.gt/scp/tickets.php?id=6318" TargetMode="External"/><Relationship Id="rId28" Type="http://schemas.openxmlformats.org/officeDocument/2006/relationships/hyperlink" Target="https://solicitudesgfp.sat.gob.gt/scp/tickets.php?id=6329" TargetMode="External"/><Relationship Id="rId36" Type="http://schemas.openxmlformats.org/officeDocument/2006/relationships/hyperlink" Target="https://solicitudesgfp.sat.gob.gt/scp/tickets.php?id=6355" TargetMode="External"/><Relationship Id="rId49" Type="http://schemas.openxmlformats.org/officeDocument/2006/relationships/hyperlink" Target="https://solicitudesgfp.sat.gob.gt/scp/tickets.php?id=5821" TargetMode="External"/><Relationship Id="rId57" Type="http://schemas.openxmlformats.org/officeDocument/2006/relationships/hyperlink" Target="https://solicitudesgfp.sat.gob.gt/scp/tickets.php?id=6373" TargetMode="External"/><Relationship Id="rId106" Type="http://schemas.openxmlformats.org/officeDocument/2006/relationships/hyperlink" Target="https://solicitudesgfp.sat.gob.gt/scp/tickets.php?id=6217" TargetMode="External"/><Relationship Id="rId114" Type="http://schemas.openxmlformats.org/officeDocument/2006/relationships/hyperlink" Target="https://solicitudesgfp.sat.gob.gt/scp/tickets.php?id=6431" TargetMode="External"/><Relationship Id="rId10" Type="http://schemas.openxmlformats.org/officeDocument/2006/relationships/hyperlink" Target="https://solicitudesgfp.sat.gob.gt/scp/tickets.php?id=6301" TargetMode="External"/><Relationship Id="rId31" Type="http://schemas.openxmlformats.org/officeDocument/2006/relationships/hyperlink" Target="https://solicitudesgfp.sat.gob.gt/scp/tickets.php?id=6334" TargetMode="External"/><Relationship Id="rId44" Type="http://schemas.openxmlformats.org/officeDocument/2006/relationships/hyperlink" Target="https://solicitudesgfp.sat.gob.gt/scp/tickets.php?id=5806" TargetMode="External"/><Relationship Id="rId52" Type="http://schemas.openxmlformats.org/officeDocument/2006/relationships/hyperlink" Target="https://solicitudesgfp.sat.gob.gt/scp/tickets.php?id=5824" TargetMode="External"/><Relationship Id="rId60" Type="http://schemas.openxmlformats.org/officeDocument/2006/relationships/hyperlink" Target="https://solicitudesgfp.sat.gob.gt/scp/tickets.php?id=5850" TargetMode="External"/><Relationship Id="rId65" Type="http://schemas.openxmlformats.org/officeDocument/2006/relationships/hyperlink" Target="https://solicitudesgfp.sat.gob.gt/scp/tickets.php?id=5860" TargetMode="External"/><Relationship Id="rId73" Type="http://schemas.openxmlformats.org/officeDocument/2006/relationships/hyperlink" Target="https://solicitudesgfp.sat.gob.gt/scp/tickets.php?id=5868" TargetMode="External"/><Relationship Id="rId78" Type="http://schemas.openxmlformats.org/officeDocument/2006/relationships/hyperlink" Target="https://solicitudesgfp.sat.gob.gt/scp/tickets.php?id=6387" TargetMode="External"/><Relationship Id="rId81" Type="http://schemas.openxmlformats.org/officeDocument/2006/relationships/hyperlink" Target="https://solicitudesgfp.sat.gob.gt/scp/tickets.php?id=6390" TargetMode="External"/><Relationship Id="rId86" Type="http://schemas.openxmlformats.org/officeDocument/2006/relationships/hyperlink" Target="https://solicitudesgfp.sat.gob.gt/scp/tickets.php?id=6264" TargetMode="External"/><Relationship Id="rId94" Type="http://schemas.openxmlformats.org/officeDocument/2006/relationships/hyperlink" Target="https://solicitudesgfp.sat.gob.gt/scp/tickets.php?id=6234" TargetMode="External"/><Relationship Id="rId99" Type="http://schemas.openxmlformats.org/officeDocument/2006/relationships/hyperlink" Target="https://solicitudesgfp.sat.gob.gt/scp/tickets.php?id=6224" TargetMode="External"/><Relationship Id="rId101" Type="http://schemas.openxmlformats.org/officeDocument/2006/relationships/hyperlink" Target="https://solicitudesgfp.sat.gob.gt/scp/tickets.php?id=6222" TargetMode="External"/><Relationship Id="rId4" Type="http://schemas.openxmlformats.org/officeDocument/2006/relationships/hyperlink" Target="https://solicitudesgfp.sat.gob.gt/scp/tickets.php?id=6289" TargetMode="External"/><Relationship Id="rId9" Type="http://schemas.openxmlformats.org/officeDocument/2006/relationships/hyperlink" Target="https://solicitudesgfp.sat.gob.gt/scp/tickets.php?id=6299" TargetMode="External"/><Relationship Id="rId13" Type="http://schemas.openxmlformats.org/officeDocument/2006/relationships/hyperlink" Target="https://solicitudesgfp.sat.gob.gt/scp/tickets.php?id=6303" TargetMode="External"/><Relationship Id="rId18" Type="http://schemas.openxmlformats.org/officeDocument/2006/relationships/hyperlink" Target="https://solicitudesgfp.sat.gob.gt/scp/tickets.php?id=6310" TargetMode="External"/><Relationship Id="rId39" Type="http://schemas.openxmlformats.org/officeDocument/2006/relationships/hyperlink" Target="https://solicitudesgfp.sat.gob.gt/scp/tickets.php?id=6361" TargetMode="External"/><Relationship Id="rId109" Type="http://schemas.openxmlformats.org/officeDocument/2006/relationships/hyperlink" Target="https://solicitudesgfp.sat.gob.gt/scp/tickets.php?id=6413" TargetMode="External"/><Relationship Id="rId34" Type="http://schemas.openxmlformats.org/officeDocument/2006/relationships/hyperlink" Target="https://solicitudesgfp.sat.gob.gt/scp/tickets.php?id=6353" TargetMode="External"/><Relationship Id="rId50" Type="http://schemas.openxmlformats.org/officeDocument/2006/relationships/hyperlink" Target="https://solicitudesgfp.sat.gob.gt/scp/tickets.php?id=5822" TargetMode="External"/><Relationship Id="rId55" Type="http://schemas.openxmlformats.org/officeDocument/2006/relationships/hyperlink" Target="https://solicitudesgfp.sat.gob.gt/scp/tickets.php?id=5831" TargetMode="External"/><Relationship Id="rId76" Type="http://schemas.openxmlformats.org/officeDocument/2006/relationships/hyperlink" Target="https://solicitudesgfp.sat.gob.gt/scp/tickets.php?id=6386" TargetMode="External"/><Relationship Id="rId97" Type="http://schemas.openxmlformats.org/officeDocument/2006/relationships/hyperlink" Target="https://solicitudesgfp.sat.gob.gt/scp/tickets.php?id=6225" TargetMode="External"/><Relationship Id="rId104" Type="http://schemas.openxmlformats.org/officeDocument/2006/relationships/hyperlink" Target="https://solicitudesgfp.sat.gob.gt/scp/tickets.php?id=6219" TargetMode="External"/><Relationship Id="rId7" Type="http://schemas.openxmlformats.org/officeDocument/2006/relationships/hyperlink" Target="https://solicitudesgfp.sat.gob.gt/scp/tickets.php?id=6296" TargetMode="External"/><Relationship Id="rId71" Type="http://schemas.openxmlformats.org/officeDocument/2006/relationships/hyperlink" Target="https://solicitudesgfp.sat.gob.gt/scp/tickets.php?id=5866" TargetMode="External"/><Relationship Id="rId92" Type="http://schemas.openxmlformats.org/officeDocument/2006/relationships/hyperlink" Target="https://solicitudesgfp.sat.gob.gt/scp/tickets.php?id=6397" TargetMode="External"/><Relationship Id="rId2" Type="http://schemas.openxmlformats.org/officeDocument/2006/relationships/hyperlink" Target="https://solicitudesgfp.sat.gob.gt/scp/tickets.php?id=6274" TargetMode="External"/><Relationship Id="rId29" Type="http://schemas.openxmlformats.org/officeDocument/2006/relationships/hyperlink" Target="https://solicitudesgfp.sat.gob.gt/scp/tickets.php?id=6332" TargetMode="External"/><Relationship Id="rId24" Type="http://schemas.openxmlformats.org/officeDocument/2006/relationships/hyperlink" Target="https://solicitudesgfp.sat.gob.gt/scp/tickets.php?id=6319" TargetMode="External"/><Relationship Id="rId40" Type="http://schemas.openxmlformats.org/officeDocument/2006/relationships/hyperlink" Target="https://solicitudesgfp.sat.gob.gt/scp/tickets.php?id=6298" TargetMode="External"/><Relationship Id="rId45" Type="http://schemas.openxmlformats.org/officeDocument/2006/relationships/hyperlink" Target="https://solicitudesgfp.sat.gob.gt/scp/tickets.php?id=5807" TargetMode="External"/><Relationship Id="rId66" Type="http://schemas.openxmlformats.org/officeDocument/2006/relationships/hyperlink" Target="https://solicitudesgfp.sat.gob.gt/scp/tickets.php?id=5861" TargetMode="External"/><Relationship Id="rId87" Type="http://schemas.openxmlformats.org/officeDocument/2006/relationships/hyperlink" Target="https://solicitudesgfp.sat.gob.gt/scp/tickets.php?id=6263" TargetMode="External"/><Relationship Id="rId110" Type="http://schemas.openxmlformats.org/officeDocument/2006/relationships/hyperlink" Target="https://solicitudesgfp.sat.gob.gt/scp/tickets.php?id=6418" TargetMode="External"/><Relationship Id="rId115" Type="http://schemas.openxmlformats.org/officeDocument/2006/relationships/drawing" Target="../drawings/drawing1.xml"/><Relationship Id="rId61" Type="http://schemas.openxmlformats.org/officeDocument/2006/relationships/hyperlink" Target="https://solicitudesgfp.sat.gob.gt/scp/tickets.php?id=5842" TargetMode="External"/><Relationship Id="rId82" Type="http://schemas.openxmlformats.org/officeDocument/2006/relationships/hyperlink" Target="https://solicitudesgfp.sat.gob.gt/scp/tickets.php?id=6391" TargetMode="External"/><Relationship Id="rId19" Type="http://schemas.openxmlformats.org/officeDocument/2006/relationships/hyperlink" Target="https://solicitudesgfp.sat.gob.gt/scp/tickets.php?id=6308" TargetMode="External"/><Relationship Id="rId14" Type="http://schemas.openxmlformats.org/officeDocument/2006/relationships/hyperlink" Target="https://solicitudesgfp.sat.gob.gt/scp/tickets.php?id=6304" TargetMode="External"/><Relationship Id="rId30" Type="http://schemas.openxmlformats.org/officeDocument/2006/relationships/hyperlink" Target="https://solicitudesgfp.sat.gob.gt/scp/tickets.php?id=6333" TargetMode="External"/><Relationship Id="rId35" Type="http://schemas.openxmlformats.org/officeDocument/2006/relationships/hyperlink" Target="https://solicitudesgfp.sat.gob.gt/scp/tickets.php?id=6354" TargetMode="External"/><Relationship Id="rId56" Type="http://schemas.openxmlformats.org/officeDocument/2006/relationships/hyperlink" Target="https://solicitudesgfp.sat.gob.gt/scp/tickets.php?id=5835" TargetMode="External"/><Relationship Id="rId77" Type="http://schemas.openxmlformats.org/officeDocument/2006/relationships/hyperlink" Target="https://solicitudesgfp.sat.gob.gt/scp/tickets.php?id=6384" TargetMode="External"/><Relationship Id="rId100" Type="http://schemas.openxmlformats.org/officeDocument/2006/relationships/hyperlink" Target="https://solicitudesgfp.sat.gob.gt/scp/tickets.php?id=6223" TargetMode="External"/><Relationship Id="rId105" Type="http://schemas.openxmlformats.org/officeDocument/2006/relationships/hyperlink" Target="https://solicitudesgfp.sat.gob.gt/scp/tickets.php?id=6218" TargetMode="External"/><Relationship Id="rId8" Type="http://schemas.openxmlformats.org/officeDocument/2006/relationships/hyperlink" Target="https://solicitudesgfp.sat.gob.gt/scp/tickets.php?id=6297" TargetMode="External"/><Relationship Id="rId51" Type="http://schemas.openxmlformats.org/officeDocument/2006/relationships/hyperlink" Target="https://solicitudesgfp.sat.gob.gt/scp/tickets.php?id=5823" TargetMode="External"/><Relationship Id="rId72" Type="http://schemas.openxmlformats.org/officeDocument/2006/relationships/hyperlink" Target="https://solicitudesgfp.sat.gob.gt/scp/tickets.php?id=5867" TargetMode="External"/><Relationship Id="rId93" Type="http://schemas.openxmlformats.org/officeDocument/2006/relationships/hyperlink" Target="https://solicitudesgfp.sat.gob.gt/scp/tickets.php?id=6235" TargetMode="External"/><Relationship Id="rId98" Type="http://schemas.openxmlformats.org/officeDocument/2006/relationships/hyperlink" Target="https://solicitudesgfp.sat.gob.gt/scp/tickets.php?id=6225" TargetMode="External"/><Relationship Id="rId3" Type="http://schemas.openxmlformats.org/officeDocument/2006/relationships/hyperlink" Target="https://solicitudesgfp.sat.gob.gt/scp/tickets.php?id=6288" TargetMode="External"/><Relationship Id="rId25" Type="http://schemas.openxmlformats.org/officeDocument/2006/relationships/hyperlink" Target="https://solicitudesgfp.sat.gob.gt/scp/tickets.php?id=6325" TargetMode="External"/><Relationship Id="rId46" Type="http://schemas.openxmlformats.org/officeDocument/2006/relationships/hyperlink" Target="https://solicitudesgfp.sat.gob.gt/scp/tickets.php?id=5808" TargetMode="External"/><Relationship Id="rId67" Type="http://schemas.openxmlformats.org/officeDocument/2006/relationships/hyperlink" Target="https://solicitudesgfp.sat.gob.gt/scp/tickets.php?id=5862" TargetMode="External"/><Relationship Id="rId20" Type="http://schemas.openxmlformats.org/officeDocument/2006/relationships/hyperlink" Target="https://solicitudesgfp.sat.gob.gt/scp/tickets.php?id=6311" TargetMode="External"/><Relationship Id="rId41" Type="http://schemas.openxmlformats.org/officeDocument/2006/relationships/hyperlink" Target="https://solicitudesgfp.sat.gob.gt/scp/tickets.php?id=6370" TargetMode="External"/><Relationship Id="rId62" Type="http://schemas.openxmlformats.org/officeDocument/2006/relationships/hyperlink" Target="https://solicitudesgfp.sat.gob.gt/scp/tickets.php?id=5851" TargetMode="External"/><Relationship Id="rId83" Type="http://schemas.openxmlformats.org/officeDocument/2006/relationships/hyperlink" Target="https://solicitudesgfp.sat.gob.gt/scp/tickets.php?id=6270" TargetMode="External"/><Relationship Id="rId88" Type="http://schemas.openxmlformats.org/officeDocument/2006/relationships/hyperlink" Target="https://solicitudesgfp.sat.gob.gt/scp/tickets.php?id=6253" TargetMode="External"/><Relationship Id="rId111" Type="http://schemas.openxmlformats.org/officeDocument/2006/relationships/hyperlink" Target="https://solicitudesgfp.sat.gob.gt/scp/tickets.php?id=6425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ecampus.sat.gob.gt/formacionsat/course/view.php?id=9327" TargetMode="External"/><Relationship Id="rId18" Type="http://schemas.openxmlformats.org/officeDocument/2006/relationships/hyperlink" Target="https://ecampus.sat.gob.gt/formacionsat/course/view.php?id=9314" TargetMode="External"/><Relationship Id="rId26" Type="http://schemas.openxmlformats.org/officeDocument/2006/relationships/hyperlink" Target="https://ecampus.sat.gob.gt/formacionsat/course/view.php?id=9344" TargetMode="External"/><Relationship Id="rId39" Type="http://schemas.openxmlformats.org/officeDocument/2006/relationships/hyperlink" Target="https://solicitudesgfp.sat.gob.gt/scp/tickets.php?id=6361" TargetMode="External"/><Relationship Id="rId21" Type="http://schemas.openxmlformats.org/officeDocument/2006/relationships/hyperlink" Target="https://ecampus.sat.gob.gt/formacionsat/course/view.php?id=9372" TargetMode="External"/><Relationship Id="rId34" Type="http://schemas.openxmlformats.org/officeDocument/2006/relationships/hyperlink" Target="https://solicitudesgfp.sat.gob.gt/scp/tickets.php?id=6361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ecampus.sat.gob.gt/formacionsat/course/view.php?id=9070" TargetMode="External"/><Relationship Id="rId2" Type="http://schemas.openxmlformats.org/officeDocument/2006/relationships/hyperlink" Target="https://solicitudesgfp.sat.gob.gt/scp/tickets.php?id=5805" TargetMode="External"/><Relationship Id="rId16" Type="http://schemas.openxmlformats.org/officeDocument/2006/relationships/hyperlink" Target="https://ecampus.sat.gob.gt/formacionsat/course/view.php?id=9263" TargetMode="External"/><Relationship Id="rId20" Type="http://schemas.openxmlformats.org/officeDocument/2006/relationships/hyperlink" Target="https://ecampus.sat.gob.gt/formacionsat/course/view.php?id=9353" TargetMode="External"/><Relationship Id="rId29" Type="http://schemas.openxmlformats.org/officeDocument/2006/relationships/hyperlink" Target="https://ecampus.sat.gob.gt/formacionsat/course/view.php?id=9380" TargetMode="External"/><Relationship Id="rId41" Type="http://schemas.openxmlformats.org/officeDocument/2006/relationships/drawing" Target="../drawings/drawing2.xml"/><Relationship Id="rId1" Type="http://schemas.openxmlformats.org/officeDocument/2006/relationships/hyperlink" Target="https://solicitudesgfp.sat.gob.gt/scp/tickets.php?id=5805" TargetMode="External"/><Relationship Id="rId6" Type="http://schemas.openxmlformats.org/officeDocument/2006/relationships/hyperlink" Target="https://ecampus.sat.gob.gt/formacionsat/course/view.php?id=9043" TargetMode="External"/><Relationship Id="rId11" Type="http://schemas.openxmlformats.org/officeDocument/2006/relationships/hyperlink" Target="https://ecampus.sat.gob.gt/formacionsat/course/view.php?id=9284" TargetMode="External"/><Relationship Id="rId24" Type="http://schemas.openxmlformats.org/officeDocument/2006/relationships/hyperlink" Target="https://ecampus.sat.gob.gt/formacionsat/course/view.php?id=9338" TargetMode="External"/><Relationship Id="rId32" Type="http://schemas.openxmlformats.org/officeDocument/2006/relationships/hyperlink" Target="https://solicitudesgfp.sat.gob.gt/scp/tickets.php?id=6361" TargetMode="External"/><Relationship Id="rId37" Type="http://schemas.openxmlformats.org/officeDocument/2006/relationships/hyperlink" Target="https://solicitudesgfp.sat.gob.gt/scp/tickets.php?id=6361" TargetMode="External"/><Relationship Id="rId40" Type="http://schemas.openxmlformats.org/officeDocument/2006/relationships/hyperlink" Target="https://solicitudesgfp.sat.gob.gt/scp/tickets.php?id=6361" TargetMode="External"/><Relationship Id="rId5" Type="http://schemas.openxmlformats.org/officeDocument/2006/relationships/hyperlink" Target="https://ecampus.sat.gob.gt/formacionsat/course/view.php?id=9042" TargetMode="External"/><Relationship Id="rId15" Type="http://schemas.openxmlformats.org/officeDocument/2006/relationships/hyperlink" Target="https://ecampus.sat.gob.gt/formacionsat/course/view.php?id=9262" TargetMode="External"/><Relationship Id="rId23" Type="http://schemas.openxmlformats.org/officeDocument/2006/relationships/hyperlink" Target="https://ecampus.sat.gob.gt/formacionsat/course/view.php?id=9352" TargetMode="External"/><Relationship Id="rId28" Type="http://schemas.openxmlformats.org/officeDocument/2006/relationships/hyperlink" Target="https://ecampus.sat.gob.gt/formacionsat/course/view.php?id=9377" TargetMode="External"/><Relationship Id="rId36" Type="http://schemas.openxmlformats.org/officeDocument/2006/relationships/hyperlink" Target="https://solicitudesgfp.sat.gob.gt/scp/tickets.php?id=6361" TargetMode="External"/><Relationship Id="rId10" Type="http://schemas.openxmlformats.org/officeDocument/2006/relationships/hyperlink" Target="https://ecampus.sat.gob.gt/formacionsat/course/view.php?id=9280" TargetMode="External"/><Relationship Id="rId19" Type="http://schemas.openxmlformats.org/officeDocument/2006/relationships/hyperlink" Target="https://ecampus.sat.gob.gt/formacionsat/course/view.php?id=9374" TargetMode="External"/><Relationship Id="rId31" Type="http://schemas.openxmlformats.org/officeDocument/2006/relationships/hyperlink" Target="https://ecampus.sat.gob.gt/formacionsat/course/view.php?id=9369" TargetMode="External"/><Relationship Id="rId4" Type="http://schemas.openxmlformats.org/officeDocument/2006/relationships/hyperlink" Target="https://ecampus.sat.gob.gt/formacionsat/course/view.php?id=9019" TargetMode="External"/><Relationship Id="rId9" Type="http://schemas.openxmlformats.org/officeDocument/2006/relationships/hyperlink" Target="https://ecampus.sat.gob.gt/formacionsat/course/view.php?id=9274" TargetMode="External"/><Relationship Id="rId14" Type="http://schemas.openxmlformats.org/officeDocument/2006/relationships/hyperlink" Target="https://ecampus.sat.gob.gt/formacionsat/course/view.php?id=9329" TargetMode="External"/><Relationship Id="rId22" Type="http://schemas.openxmlformats.org/officeDocument/2006/relationships/hyperlink" Target="https://ecampus.sat.gob.gt/formacionsat/course/view.php?id=9334" TargetMode="External"/><Relationship Id="rId27" Type="http://schemas.openxmlformats.org/officeDocument/2006/relationships/hyperlink" Target="https://ecampus.sat.gob.gt/formacionsat/course/view.php?id=9297" TargetMode="External"/><Relationship Id="rId30" Type="http://schemas.openxmlformats.org/officeDocument/2006/relationships/hyperlink" Target="https://ecampus.sat.gob.gt/formacionsat/course/view.php?id=9355" TargetMode="External"/><Relationship Id="rId35" Type="http://schemas.openxmlformats.org/officeDocument/2006/relationships/hyperlink" Target="https://solicitudesgfp.sat.gob.gt/scp/tickets.php?id=6361" TargetMode="External"/><Relationship Id="rId8" Type="http://schemas.openxmlformats.org/officeDocument/2006/relationships/hyperlink" Target="https://ecampus.sat.gob.gt/formacionsat/course/view.php?id=9269" TargetMode="External"/><Relationship Id="rId3" Type="http://schemas.openxmlformats.org/officeDocument/2006/relationships/hyperlink" Target="https://solicitudesgfp.sat.gob.gt/scp/tickets.php?id=5805" TargetMode="External"/><Relationship Id="rId12" Type="http://schemas.openxmlformats.org/officeDocument/2006/relationships/hyperlink" Target="https://ecampus.sat.gob.gt/formacionsat/course/view.php?id=9306" TargetMode="External"/><Relationship Id="rId17" Type="http://schemas.openxmlformats.org/officeDocument/2006/relationships/hyperlink" Target="https://ecampus.sat.gob.gt/formacionsat/course/view.php?id=9304" TargetMode="External"/><Relationship Id="rId25" Type="http://schemas.openxmlformats.org/officeDocument/2006/relationships/hyperlink" Target="https://ecampus.sat.gob.gt/formacionsat/course/view.php?id=9339" TargetMode="External"/><Relationship Id="rId33" Type="http://schemas.openxmlformats.org/officeDocument/2006/relationships/hyperlink" Target="https://solicitudesgfp.sat.gob.gt/scp/tickets.php?id=6361" TargetMode="External"/><Relationship Id="rId38" Type="http://schemas.openxmlformats.org/officeDocument/2006/relationships/hyperlink" Target="https://solicitudesgfp.sat.gob.gt/scp/tickets.php?id=6361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olicitudesgfp.sat.gob.gt/scp/tickets.php?id=6361" TargetMode="External"/><Relationship Id="rId13" Type="http://schemas.openxmlformats.org/officeDocument/2006/relationships/hyperlink" Target="https://solicitudesgfp.sat.gob.gt/scp/tickets.php?id=6361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solicitudesgfp.sat.gob.gt/scp/tickets.php?id=6329" TargetMode="External"/><Relationship Id="rId7" Type="http://schemas.openxmlformats.org/officeDocument/2006/relationships/hyperlink" Target="https://solicitudesgfp.sat.gob.gt/scp/tickets.php?id=6360" TargetMode="External"/><Relationship Id="rId12" Type="http://schemas.openxmlformats.org/officeDocument/2006/relationships/hyperlink" Target="https://solicitudesgfp.sat.gob.gt/scp/tickets.php?id=6361" TargetMode="External"/><Relationship Id="rId17" Type="http://schemas.openxmlformats.org/officeDocument/2006/relationships/drawing" Target="../drawings/drawing3.xml"/><Relationship Id="rId2" Type="http://schemas.openxmlformats.org/officeDocument/2006/relationships/hyperlink" Target="https://solicitudesgfp.sat.gob.gt/scp/tickets.php?id=6317" TargetMode="External"/><Relationship Id="rId16" Type="http://schemas.openxmlformats.org/officeDocument/2006/relationships/hyperlink" Target="https://solicitudesgfp.sat.gob.gt/scp/tickets.php?id=6361" TargetMode="External"/><Relationship Id="rId1" Type="http://schemas.openxmlformats.org/officeDocument/2006/relationships/hyperlink" Target="https://solicitudesgfp.sat.gob.gt/scp/tickets.php?id=5805" TargetMode="External"/><Relationship Id="rId6" Type="http://schemas.openxmlformats.org/officeDocument/2006/relationships/hyperlink" Target="https://solicitudesgfp.sat.gob.gt/scp/tickets.php?id=6360" TargetMode="External"/><Relationship Id="rId11" Type="http://schemas.openxmlformats.org/officeDocument/2006/relationships/hyperlink" Target="https://solicitudesgfp.sat.gob.gt/scp/tickets.php?id=6361" TargetMode="External"/><Relationship Id="rId5" Type="http://schemas.openxmlformats.org/officeDocument/2006/relationships/hyperlink" Target="https://solicitudesgfp.sat.gob.gt/scp/tickets.php?id=6360" TargetMode="External"/><Relationship Id="rId15" Type="http://schemas.openxmlformats.org/officeDocument/2006/relationships/hyperlink" Target="https://solicitudesgfp.sat.gob.gt/scp/tickets.php?id=6361" TargetMode="External"/><Relationship Id="rId10" Type="http://schemas.openxmlformats.org/officeDocument/2006/relationships/hyperlink" Target="https://solicitudesgfp.sat.gob.gt/scp/tickets.php?id=6361" TargetMode="External"/><Relationship Id="rId4" Type="http://schemas.openxmlformats.org/officeDocument/2006/relationships/hyperlink" Target="https://solicitudesgfp.sat.gob.gt/scp/tickets.php?id=6360" TargetMode="External"/><Relationship Id="rId9" Type="http://schemas.openxmlformats.org/officeDocument/2006/relationships/hyperlink" Target="https://solicitudesgfp.sat.gob.gt/scp/tickets.php?id=6361" TargetMode="External"/><Relationship Id="rId14" Type="http://schemas.openxmlformats.org/officeDocument/2006/relationships/hyperlink" Target="https://solicitudesgfp.sat.gob.gt/scp/tickets.php?id=636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solicitudesgfp.sat.gob.gt/scp/tickets.php?id=5805" TargetMode="External"/><Relationship Id="rId1" Type="http://schemas.openxmlformats.org/officeDocument/2006/relationships/hyperlink" Target="https://nam02.safelinks.protection.outlook.com/?url=https%3A%2F%2Fsolicitudesgfp.sat.gob.gt%2Fscp%2Ftickets.php%3Fid%3D6304&amp;data=05%7C02%7Cngtablas%40sat.gob.gt%7Cb1f467ade6e746bc4a7c08df082cc3a4%7Cc4464ebb47ed4ab2ab5574ef35007c2a%7C0%7C0%7C639238660501628102%7CUnknown%7CTWFpbGZsb3d8eyJFbXB0eU1hcGkiOnRydWUsIlYiOiIwLjAuMDAwMCIsIlAiOiJXaW4zMiIsIkFOIjoiTWFpbCIsIldUIjoyfQ%3D%3D%7C0%7C%7C%7C&amp;sdata=wFFRuTrMtFPuMV7rFCt7dyKFWT6Lbs7qx0KkWlufH1c%3D&amp;reserved=0" TargetMode="External"/><Relationship Id="rId4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mailto:omendezm@sat.gob.gt" TargetMode="External"/><Relationship Id="rId21" Type="http://schemas.openxmlformats.org/officeDocument/2006/relationships/hyperlink" Target="mailto:eegirona@sat.gob.gt" TargetMode="External"/><Relationship Id="rId42" Type="http://schemas.openxmlformats.org/officeDocument/2006/relationships/hyperlink" Target="mailto:mvarcini@sat.gob.gt" TargetMode="External"/><Relationship Id="rId47" Type="http://schemas.openxmlformats.org/officeDocument/2006/relationships/hyperlink" Target="mailto:klchanch@sat.gob.gt" TargetMode="External"/><Relationship Id="rId63" Type="http://schemas.openxmlformats.org/officeDocument/2006/relationships/hyperlink" Target="mailto:sebastianpaladino@outlook.com" TargetMode="External"/><Relationship Id="rId68" Type="http://schemas.openxmlformats.org/officeDocument/2006/relationships/hyperlink" Target="mailto:abogadosynotariossi@gmail.com" TargetMode="External"/><Relationship Id="rId16" Type="http://schemas.openxmlformats.org/officeDocument/2006/relationships/hyperlink" Target="mailto:andrea@rybsideas.com" TargetMode="External"/><Relationship Id="rId11" Type="http://schemas.openxmlformats.org/officeDocument/2006/relationships/hyperlink" Target="mailto:mrmerida@sat.gob.gt" TargetMode="External"/><Relationship Id="rId32" Type="http://schemas.openxmlformats.org/officeDocument/2006/relationships/hyperlink" Target="mailto:julio.deleon@neotropo.com" TargetMode="External"/><Relationship Id="rId37" Type="http://schemas.openxmlformats.org/officeDocument/2006/relationships/hyperlink" Target="mailto:eeespina@sat.gob.gt" TargetMode="External"/><Relationship Id="rId53" Type="http://schemas.openxmlformats.org/officeDocument/2006/relationships/hyperlink" Target="mailto:kmariasc@sat.gob.gt" TargetMode="External"/><Relationship Id="rId58" Type="http://schemas.openxmlformats.org/officeDocument/2006/relationships/hyperlink" Target="mailto:aestevez@sat.gob.gt" TargetMode="External"/><Relationship Id="rId74" Type="http://schemas.openxmlformats.org/officeDocument/2006/relationships/hyperlink" Target="mailto:lando@landohouse.com" TargetMode="External"/><Relationship Id="rId79" Type="http://schemas.openxmlformats.org/officeDocument/2006/relationships/hyperlink" Target="mailto:jagodoym@sat.gob.gt" TargetMode="External"/><Relationship Id="rId5" Type="http://schemas.openxmlformats.org/officeDocument/2006/relationships/hyperlink" Target="mailto:adolfo.rodas@searchcmc.com" TargetMode="External"/><Relationship Id="rId61" Type="http://schemas.openxmlformats.org/officeDocument/2006/relationships/hyperlink" Target="mailto:davidindustrial@hotmail.com" TargetMode="External"/><Relationship Id="rId19" Type="http://schemas.openxmlformats.org/officeDocument/2006/relationships/hyperlink" Target="mailto:rjmorale@sat.gob.gt" TargetMode="External"/><Relationship Id="rId14" Type="http://schemas.openxmlformats.org/officeDocument/2006/relationships/hyperlink" Target="mailto:wacorado@sat.gob.gt" TargetMode="External"/><Relationship Id="rId22" Type="http://schemas.openxmlformats.org/officeDocument/2006/relationships/hyperlink" Target="mailto:vhvaldez@sat.gob.gt" TargetMode="External"/><Relationship Id="rId27" Type="http://schemas.openxmlformats.org/officeDocument/2006/relationships/hyperlink" Target="mailto:arestrepo@grupovallejo.com.co" TargetMode="External"/><Relationship Id="rId30" Type="http://schemas.openxmlformats.org/officeDocument/2006/relationships/hyperlink" Target="mailto:mafuente@sat.gob.gt" TargetMode="External"/><Relationship Id="rId35" Type="http://schemas.openxmlformats.org/officeDocument/2006/relationships/hyperlink" Target="mailto:prbatres@sat.gob.gt" TargetMode="External"/><Relationship Id="rId43" Type="http://schemas.openxmlformats.org/officeDocument/2006/relationships/hyperlink" Target="mailto:omendezm@sat.gob.gt" TargetMode="External"/><Relationship Id="rId48" Type="http://schemas.openxmlformats.org/officeDocument/2006/relationships/hyperlink" Target="mailto:jacardon@sat.gob.gt" TargetMode="External"/><Relationship Id="rId56" Type="http://schemas.openxmlformats.org/officeDocument/2006/relationships/hyperlink" Target="mailto:erick.lopez@skyzone.gt" TargetMode="External"/><Relationship Id="rId64" Type="http://schemas.openxmlformats.org/officeDocument/2006/relationships/hyperlink" Target="mailto:sergio2418@gmail.com" TargetMode="External"/><Relationship Id="rId69" Type="http://schemas.openxmlformats.org/officeDocument/2006/relationships/hyperlink" Target="mailto:mrcabrer@sat.gob.gt" TargetMode="External"/><Relationship Id="rId77" Type="http://schemas.openxmlformats.org/officeDocument/2006/relationships/hyperlink" Target="mailto:gdelcid@ceo.com.gt" TargetMode="External"/><Relationship Id="rId8" Type="http://schemas.openxmlformats.org/officeDocument/2006/relationships/hyperlink" Target="mailto:vfallabe@sat.gob.gt" TargetMode="External"/><Relationship Id="rId51" Type="http://schemas.openxmlformats.org/officeDocument/2006/relationships/hyperlink" Target="mailto:vijoconm@sat.gob.gt" TargetMode="External"/><Relationship Id="rId72" Type="http://schemas.openxmlformats.org/officeDocument/2006/relationships/hyperlink" Target="mailto:LucreciaO@anacafe.org" TargetMode="External"/><Relationship Id="rId80" Type="http://schemas.openxmlformats.org/officeDocument/2006/relationships/hyperlink" Target="mailto:ergarcie@sat.gob.gt" TargetMode="External"/><Relationship Id="rId3" Type="http://schemas.openxmlformats.org/officeDocument/2006/relationships/hyperlink" Target="mailto:ktcordon@sat.gob.gt" TargetMode="External"/><Relationship Id="rId12" Type="http://schemas.openxmlformats.org/officeDocument/2006/relationships/hyperlink" Target="mailto:magudiel@sat.gob.gt" TargetMode="External"/><Relationship Id="rId17" Type="http://schemas.openxmlformats.org/officeDocument/2006/relationships/hyperlink" Target="mailto:orodrigu@sat.gob.gt" TargetMode="External"/><Relationship Id="rId25" Type="http://schemas.openxmlformats.org/officeDocument/2006/relationships/hyperlink" Target="mailto:gwbergan@sat.gob.gt" TargetMode="External"/><Relationship Id="rId33" Type="http://schemas.openxmlformats.org/officeDocument/2006/relationships/hyperlink" Target="mailto:julio.delossantos@intecap.edu.gt" TargetMode="External"/><Relationship Id="rId38" Type="http://schemas.openxmlformats.org/officeDocument/2006/relationships/hyperlink" Target="mailto:motzulto@sat.gob.gt" TargetMode="External"/><Relationship Id="rId46" Type="http://schemas.openxmlformats.org/officeDocument/2006/relationships/hyperlink" Target="mailto:mevallea@sat.gob.gt" TargetMode="External"/><Relationship Id="rId59" Type="http://schemas.openxmlformats.org/officeDocument/2006/relationships/hyperlink" Target="mailto:jorocamo@sat.gob.gt" TargetMode="External"/><Relationship Id="rId67" Type="http://schemas.openxmlformats.org/officeDocument/2006/relationships/hyperlink" Target="mailto:Diplomasicelec@gmail.com%20/%20ninfacrisol@yahoo.com" TargetMode="External"/><Relationship Id="rId20" Type="http://schemas.openxmlformats.org/officeDocument/2006/relationships/hyperlink" Target="mailto:emchamal@sat.gob.gt" TargetMode="External"/><Relationship Id="rId41" Type="http://schemas.openxmlformats.org/officeDocument/2006/relationships/hyperlink" Target="mailto:ldsanche@sat.gob.gt" TargetMode="External"/><Relationship Id="rId54" Type="http://schemas.openxmlformats.org/officeDocument/2006/relationships/hyperlink" Target="mailto:he.figueroa.lopez@gmail.com" TargetMode="External"/><Relationship Id="rId62" Type="http://schemas.openxmlformats.org/officeDocument/2006/relationships/hyperlink" Target="mailto:ajuarez@ciat.org" TargetMode="External"/><Relationship Id="rId70" Type="http://schemas.openxmlformats.org/officeDocument/2006/relationships/hyperlink" Target="mailto:Rosemarie.lj@anacafe.org" TargetMode="External"/><Relationship Id="rId75" Type="http://schemas.openxmlformats.org/officeDocument/2006/relationships/hyperlink" Target="mailto:jasdiazl@sat.gob.gt" TargetMode="External"/><Relationship Id="rId1" Type="http://schemas.openxmlformats.org/officeDocument/2006/relationships/hyperlink" Target="mailto:duvgomez@sat.gob.gt" TargetMode="External"/><Relationship Id="rId6" Type="http://schemas.openxmlformats.org/officeDocument/2006/relationships/hyperlink" Target="mailto:imartinez@unis.edu.gt" TargetMode="External"/><Relationship Id="rId15" Type="http://schemas.openxmlformats.org/officeDocument/2006/relationships/hyperlink" Target="mailto:cycastil@sat.gob.gt" TargetMode="External"/><Relationship Id="rId23" Type="http://schemas.openxmlformats.org/officeDocument/2006/relationships/hyperlink" Target="mailto:arodrigu@sat.gob.gt" TargetMode="External"/><Relationship Id="rId28" Type="http://schemas.openxmlformats.org/officeDocument/2006/relationships/hyperlink" Target="mailto:wapinedh@sat.gob.gt" TargetMode="External"/><Relationship Id="rId36" Type="http://schemas.openxmlformats.org/officeDocument/2006/relationships/hyperlink" Target="mailto:sachajon@sat.gob.gt" TargetMode="External"/><Relationship Id="rId49" Type="http://schemas.openxmlformats.org/officeDocument/2006/relationships/hyperlink" Target="mailto:bjsazoga@sat.gob.gt" TargetMode="External"/><Relationship Id="rId57" Type="http://schemas.openxmlformats.org/officeDocument/2006/relationships/hyperlink" Target="mailto:wernerovalle@sat.gob.gt" TargetMode="External"/><Relationship Id="rId10" Type="http://schemas.openxmlformats.org/officeDocument/2006/relationships/hyperlink" Target="mailto:gialfaro@sat.gob.gt" TargetMode="External"/><Relationship Id="rId31" Type="http://schemas.openxmlformats.org/officeDocument/2006/relationships/hyperlink" Target="mailto:wapinedh@sat.gob.gt" TargetMode="External"/><Relationship Id="rId44" Type="http://schemas.openxmlformats.org/officeDocument/2006/relationships/hyperlink" Target="mailto:cfcasaso@sat.gob.gt" TargetMode="External"/><Relationship Id="rId52" Type="http://schemas.openxmlformats.org/officeDocument/2006/relationships/hyperlink" Target="mailto:lfmendiz@sat.gob.gt" TargetMode="External"/><Relationship Id="rId60" Type="http://schemas.openxmlformats.org/officeDocument/2006/relationships/hyperlink" Target="mailto:cnolck@gyt.com.gt" TargetMode="External"/><Relationship Id="rId65" Type="http://schemas.openxmlformats.org/officeDocument/2006/relationships/hyperlink" Target="mailto:kahalvar@sat.gob.gt" TargetMode="External"/><Relationship Id="rId73" Type="http://schemas.openxmlformats.org/officeDocument/2006/relationships/hyperlink" Target="mailto:Hector.DEE@anacafe.org" TargetMode="External"/><Relationship Id="rId78" Type="http://schemas.openxmlformats.org/officeDocument/2006/relationships/hyperlink" Target="mailto:gdelcid@ceo.com.gt" TargetMode="External"/><Relationship Id="rId81" Type="http://schemas.openxmlformats.org/officeDocument/2006/relationships/table" Target="../tables/table4.xml"/><Relationship Id="rId4" Type="http://schemas.openxmlformats.org/officeDocument/2006/relationships/hyperlink" Target="mailto:dlemusgo@sat.gob.gt" TargetMode="External"/><Relationship Id="rId9" Type="http://schemas.openxmlformats.org/officeDocument/2006/relationships/hyperlink" Target="mailto:acabrera.ume@gmail.com" TargetMode="External"/><Relationship Id="rId13" Type="http://schemas.openxmlformats.org/officeDocument/2006/relationships/hyperlink" Target="mailto:rocio.oliver.lopez@gmail.com" TargetMode="External"/><Relationship Id="rId18" Type="http://schemas.openxmlformats.org/officeDocument/2006/relationships/hyperlink" Target="mailto:jngarcia@sat.gob.gt" TargetMode="External"/><Relationship Id="rId39" Type="http://schemas.openxmlformats.org/officeDocument/2006/relationships/hyperlink" Target="mailto:chvasque@sat.gob.gt" TargetMode="External"/><Relationship Id="rId34" Type="http://schemas.openxmlformats.org/officeDocument/2006/relationships/hyperlink" Target="mailto:mariquia@sat.gob.gt" TargetMode="External"/><Relationship Id="rId50" Type="http://schemas.openxmlformats.org/officeDocument/2006/relationships/hyperlink" Target="mailto:hecheverria1@gmail.com" TargetMode="External"/><Relationship Id="rId55" Type="http://schemas.openxmlformats.org/officeDocument/2006/relationships/hyperlink" Target="mailto:erick.lopez@skyzone.gt" TargetMode="External"/><Relationship Id="rId76" Type="http://schemas.openxmlformats.org/officeDocument/2006/relationships/hyperlink" Target="mailto:econtreras@tresce.com.gt" TargetMode="External"/><Relationship Id="rId7" Type="http://schemas.openxmlformats.org/officeDocument/2006/relationships/hyperlink" Target="mailto:tirpitz93@gmail.com" TargetMode="External"/><Relationship Id="rId71" Type="http://schemas.openxmlformats.org/officeDocument/2006/relationships/hyperlink" Target="mailto:Jose.LDM@anacafe.org" TargetMode="External"/><Relationship Id="rId2" Type="http://schemas.openxmlformats.org/officeDocument/2006/relationships/hyperlink" Target="mailto:rdcaceres@sat.gob.gt" TargetMode="External"/><Relationship Id="rId29" Type="http://schemas.openxmlformats.org/officeDocument/2006/relationships/hyperlink" Target="mailto:amtejaxu@sat.gob.gt" TargetMode="External"/><Relationship Id="rId24" Type="http://schemas.openxmlformats.org/officeDocument/2006/relationships/hyperlink" Target="mailto:radelcid@sat.gob.gt" TargetMode="External"/><Relationship Id="rId40" Type="http://schemas.openxmlformats.org/officeDocument/2006/relationships/hyperlink" Target="mailto:mvarcini@sat.gob.gt" TargetMode="External"/><Relationship Id="rId45" Type="http://schemas.openxmlformats.org/officeDocument/2006/relationships/hyperlink" Target="mailto:bmdiazgo@sat.gob.gt" TargetMode="External"/><Relationship Id="rId66" Type="http://schemas.openxmlformats.org/officeDocument/2006/relationships/hyperlink" Target="mailto:herfercon7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Y1000"/>
  <sheetViews>
    <sheetView topLeftCell="C26" workbookViewId="0">
      <selection activeCell="W48" sqref="W48"/>
    </sheetView>
  </sheetViews>
  <sheetFormatPr baseColWidth="10" defaultColWidth="11" defaultRowHeight="14.4"/>
  <sheetData>
    <row r="5" spans="1:25" ht="23.4" customHeight="1">
      <c r="A5" s="17" t="s">
        <v>13</v>
      </c>
      <c r="B5" s="17"/>
      <c r="C5" s="40"/>
      <c r="D5" s="40"/>
      <c r="E5" s="40"/>
      <c r="F5" s="40"/>
      <c r="G5" s="40"/>
      <c r="H5" s="40"/>
      <c r="I5" s="40"/>
      <c r="J5" s="40"/>
      <c r="K5" s="40"/>
      <c r="L5" s="40"/>
      <c r="M5" s="32"/>
      <c r="N5" s="32"/>
      <c r="O5" s="32"/>
      <c r="P5" s="32"/>
      <c r="Q5" s="32"/>
      <c r="R5" s="32"/>
      <c r="S5" s="32"/>
      <c r="T5" s="32"/>
      <c r="U5" s="32"/>
      <c r="V5" s="32"/>
      <c r="W5" s="35"/>
      <c r="X5" s="32"/>
      <c r="Y5" s="32"/>
    </row>
    <row r="6" spans="1:25" ht="18" customHeight="1">
      <c r="A6" s="217" t="s">
        <v>14</v>
      </c>
      <c r="B6" s="218"/>
      <c r="C6" s="218"/>
      <c r="D6" s="218"/>
      <c r="E6" s="218"/>
      <c r="F6" s="218"/>
      <c r="G6" s="218"/>
      <c r="H6" s="218"/>
      <c r="I6" s="218"/>
      <c r="J6" s="218"/>
      <c r="K6" s="218"/>
      <c r="L6" s="219"/>
      <c r="M6" s="217" t="s">
        <v>15</v>
      </c>
      <c r="N6" s="218"/>
      <c r="O6" s="218"/>
      <c r="P6" s="218"/>
      <c r="Q6" s="218"/>
      <c r="R6" s="219"/>
      <c r="S6" s="32"/>
      <c r="T6" s="32"/>
      <c r="U6" s="32"/>
      <c r="V6" s="32"/>
      <c r="W6" s="35"/>
      <c r="X6" s="32"/>
      <c r="Y6" s="32"/>
    </row>
    <row r="7" spans="1:25" ht="18" customHeight="1">
      <c r="A7" s="217" t="s">
        <v>16</v>
      </c>
      <c r="B7" s="218"/>
      <c r="C7" s="219"/>
      <c r="D7" s="217" t="s">
        <v>17</v>
      </c>
      <c r="E7" s="218"/>
      <c r="F7" s="219"/>
      <c r="G7" s="217" t="s">
        <v>18</v>
      </c>
      <c r="H7" s="218"/>
      <c r="I7" s="219"/>
      <c r="J7" s="217" t="s">
        <v>19</v>
      </c>
      <c r="K7" s="218"/>
      <c r="L7" s="219"/>
      <c r="M7" s="217" t="s">
        <v>20</v>
      </c>
      <c r="N7" s="218"/>
      <c r="O7" s="219"/>
      <c r="P7" s="217" t="s">
        <v>19</v>
      </c>
      <c r="Q7" s="218"/>
      <c r="R7" s="219"/>
      <c r="S7" s="32"/>
      <c r="T7" s="32"/>
      <c r="U7" s="32"/>
      <c r="V7" s="32"/>
      <c r="W7" s="35"/>
      <c r="X7" s="32"/>
      <c r="Y7" s="32"/>
    </row>
    <row r="8" spans="1:25" ht="18" customHeight="1">
      <c r="A8" s="95" t="s">
        <v>21</v>
      </c>
      <c r="B8" s="95" t="s">
        <v>22</v>
      </c>
      <c r="C8" s="95" t="s">
        <v>23</v>
      </c>
      <c r="D8" s="95" t="s">
        <v>21</v>
      </c>
      <c r="E8" s="95" t="s">
        <v>22</v>
      </c>
      <c r="F8" s="95" t="s">
        <v>23</v>
      </c>
      <c r="G8" s="95" t="s">
        <v>21</v>
      </c>
      <c r="H8" s="95" t="s">
        <v>22</v>
      </c>
      <c r="I8" s="95" t="s">
        <v>23</v>
      </c>
      <c r="J8" s="95" t="s">
        <v>21</v>
      </c>
      <c r="K8" s="95" t="s">
        <v>22</v>
      </c>
      <c r="L8" s="95" t="s">
        <v>23</v>
      </c>
      <c r="M8" s="95" t="s">
        <v>23</v>
      </c>
      <c r="N8" s="95" t="s">
        <v>22</v>
      </c>
      <c r="O8" s="95" t="s">
        <v>21</v>
      </c>
      <c r="P8" s="95" t="s">
        <v>24</v>
      </c>
      <c r="Q8" s="95" t="s">
        <v>25</v>
      </c>
      <c r="R8" s="95" t="s">
        <v>26</v>
      </c>
      <c r="S8" s="32"/>
      <c r="T8" s="95" t="s">
        <v>27</v>
      </c>
      <c r="U8" s="95" t="s">
        <v>28</v>
      </c>
      <c r="V8" s="32"/>
      <c r="W8" s="95" t="s">
        <v>29</v>
      </c>
      <c r="X8" s="95" t="s">
        <v>30</v>
      </c>
      <c r="Y8" s="44" t="s">
        <v>31</v>
      </c>
    </row>
    <row r="9" spans="1:25">
      <c r="A9" s="45" t="str">
        <f>IF(AND(Registro!D8="Abierto",Registro!E8="Urgente"),Registro!B8,"")</f>
        <v/>
      </c>
      <c r="B9" s="45" t="str">
        <f ca="1">IF(AND(Registro!D8="Abierto",Registro!E8="Urgente"),TODAY()-Registro!R8,"")</f>
        <v/>
      </c>
      <c r="C9" s="45" t="str">
        <f>IF(AND(Registro!D8="Abierto",Registro!E8="Urgente"),RANK(B9,$B$9:$B$1000,0)+COUNTIF($B$9:B9,B9)-1,"")</f>
        <v/>
      </c>
      <c r="D9" s="45" t="str">
        <f>IF(AND(Registro!D8="Abierto",Registro!E8="Alta"),Registro!B8,"")</f>
        <v/>
      </c>
      <c r="E9" s="45" t="str">
        <f ca="1">IF(AND(Registro!D8="Abierto",Registro!E8="Alta"),TODAY()-Registro!R8,"")</f>
        <v/>
      </c>
      <c r="F9" s="45" t="str">
        <f>IF(AND(Registro!D8="Abierto",Registro!E8="Alta"),RANK(E9,$E$9:$E$1000,0)+COUNTIF($E$9:E9,E9)-1+MAX(C$5:C$1000),"")</f>
        <v/>
      </c>
      <c r="G9" s="45" t="str">
        <f>IF(AND(Registro!D8="Abierto",Registro!E8="Media"),Registro!B8,"")</f>
        <v/>
      </c>
      <c r="H9" s="45" t="str">
        <f ca="1">IF(AND(Registro!D8="Abierto",Registro!E8="Media"),TODAY()-Registro!R8,"")</f>
        <v/>
      </c>
      <c r="I9" s="45" t="str">
        <f>IF(AND(Registro!D8="Abierto",Registro!E8="Media"),RANK(H9,$H$9:$H$1000,0)+COUNTIF($H$9:H9,H9)-1+MAX(C$5:C$1000,F$5:F$1000),"")</f>
        <v/>
      </c>
      <c r="J9" s="45" t="str">
        <f>IF(AND(Registro!D8="Abierto",Registro!E8="Baja"),Registro!B8,"")</f>
        <v/>
      </c>
      <c r="K9" s="45" t="str">
        <f ca="1">IF(AND(Registro!D8="Abierto",Registro!E8="Baja"),TODAY()-Registro!R8,"")</f>
        <v/>
      </c>
      <c r="L9" s="45" t="str">
        <f>IF(AND(Registro!D8="Abierto",Registro!E8="Baja"),RANK(K9,$K$9:$K$1000,0)+COUNTIF($K$9:K9,K9)-1+MAX(C$5:C$1000,F$5:F$1000,I$5:I$1000),"")</f>
        <v/>
      </c>
      <c r="M9" s="46" t="str">
        <f>IF(OR(Registro!D8="Resuelto",Registro!D8=""),"",SUM(C9,F9,I9,L9))</f>
        <v/>
      </c>
      <c r="N9" s="46" t="str">
        <f>IF(OR(Registro!D8="Resuelto",Registro!D8=""),"",SUM(B9,E9,H9,K9))</f>
        <v/>
      </c>
      <c r="O9" s="46" t="str">
        <f>IF(OR(Registro!D8="Resuelto",Registro!D8=""),"",_xlfn.CONCAT(A9,D9,G9,J9))</f>
        <v/>
      </c>
      <c r="P9" s="47">
        <v>1</v>
      </c>
      <c r="Q9" s="47" t="str">
        <f t="shared" ref="Q9:Q72" ca="1" si="0">IF(ISNA(VLOOKUP(P9,$M$9:$O$1000,3,FALSE))=TRUE,"",VLOOKUP(P9,$M$9:$O$1000,3,FALSE))</f>
        <v>6405-PFIN-26</v>
      </c>
      <c r="R9" s="48">
        <f t="shared" ref="R9:R72" ca="1" si="1">IF(ISNA(VLOOKUP(P9,$M$9:$O$1000,2,FALSE))=TRUE,"",VLOOKUP(P9,$M$9:$O$1000,2,FALSE))</f>
        <v>3</v>
      </c>
      <c r="S9" s="32"/>
      <c r="T9" s="49" t="s">
        <v>32</v>
      </c>
      <c r="U9" s="45">
        <f>COUNTIF(Registro!D:D,T9)</f>
        <v>44</v>
      </c>
      <c r="V9" s="32"/>
      <c r="W9" s="47">
        <f>IF(X9="","",MAX($W$5:W8)+1)</f>
        <v>1</v>
      </c>
      <c r="X9" s="50" t="str">
        <f>IF(Registro!M8="","",Registro!M8)</f>
        <v>Gestor 1</v>
      </c>
      <c r="Y9" s="50" t="str">
        <f t="shared" ref="Y9:Y72" si="2">IF(ISNA(VLOOKUP(P9,$W$9:$X$1000,2,FALSE))=TRUE,"",VLOOKUP(P9,$W$9:$X$1000,2,FALSE))</f>
        <v>Gestor 1</v>
      </c>
    </row>
    <row r="10" spans="1:25">
      <c r="A10" s="45" t="str">
        <f>IF(AND(Registro!D9="Abierto",Registro!E9="Urgente"),Registro!B9,"")</f>
        <v/>
      </c>
      <c r="B10" s="45" t="str">
        <f ca="1">IF(AND(Registro!D9="Abierto",Registro!E9="Urgente"),TODAY()-Registro!R9,"")</f>
        <v/>
      </c>
      <c r="C10" s="45" t="str">
        <f>IF(AND(Registro!D9="Abierto",Registro!E9="Urgente"),RANK(B10,$B$9:$B$1000,0)+COUNTIF($B$9:B10,B10)-1,"")</f>
        <v/>
      </c>
      <c r="D10" s="45" t="str">
        <f>IF(AND(Registro!D9="Abierto",Registro!E9="Alta"),Registro!B9,"")</f>
        <v/>
      </c>
      <c r="E10" s="45" t="str">
        <f ca="1">IF(AND(Registro!D9="Abierto",Registro!E9="Alta"),TODAY()-Registro!R9,"")</f>
        <v/>
      </c>
      <c r="F10" s="45" t="str">
        <f>IF(AND(Registro!D9="Abierto",Registro!E9="Alta"),RANK(E10,$E$9:$E$1000,0)+COUNTIF($E$9:E10,E10)-1+MAX(C$5:C$1000),"")</f>
        <v/>
      </c>
      <c r="G10" s="45" t="str">
        <f>IF(AND(Registro!D9="Abierto",Registro!E9="Media"),Registro!B9,"")</f>
        <v/>
      </c>
      <c r="H10" s="45" t="str">
        <f ca="1">IF(AND(Registro!D9="Abierto",Registro!E9="Media"),TODAY()-Registro!R9,"")</f>
        <v/>
      </c>
      <c r="I10" s="45" t="str">
        <f>IF(AND(Registro!D9="Abierto",Registro!E9="Media"),RANK(H10,$H$9:$H$1000,0)+COUNTIF($H$9:H10,H10)-1+MAX(C$5:C$1000,F$5:F$1000),"")</f>
        <v/>
      </c>
      <c r="J10" s="45" t="str">
        <f>IF(AND(Registro!D9="Abierto",Registro!E9="Baja"),Registro!B9,"")</f>
        <v/>
      </c>
      <c r="K10" s="45" t="str">
        <f ca="1">IF(AND(Registro!D9="Abierto",Registro!E9="Baja"),TODAY()-Registro!R9,"")</f>
        <v/>
      </c>
      <c r="L10" s="45" t="str">
        <f>IF(AND(Registro!D9="Abierto",Registro!E9="Baja"),RANK(K10,$K$9:$K$1000,0)+COUNTIF($K$9:K10,K10)-1+MAX(C$5:C$1000,F$5:F$1000,I$5:I$1000),"")</f>
        <v/>
      </c>
      <c r="M10" s="46" t="str">
        <f>IF(OR(Registro!D9="Resuelto",Registro!D9=""),"",SUM(C10,F10,I10,L10))</f>
        <v/>
      </c>
      <c r="N10" s="46" t="str">
        <f>IF(OR(Registro!D9="Resuelto",Registro!D9=""),"",SUM(B10,E10,H10,K10))</f>
        <v/>
      </c>
      <c r="O10" s="46" t="str">
        <f>IF(OR(Registro!D9="Resuelto",Registro!D9=""),"",_xlfn.CONCAT(A10,D10,G10,J10))</f>
        <v/>
      </c>
      <c r="P10" s="47">
        <v>2</v>
      </c>
      <c r="Q10" s="47" t="str">
        <f t="shared" ca="1" si="0"/>
        <v>6411-PFIN-26</v>
      </c>
      <c r="R10" s="48">
        <f t="shared" ca="1" si="1"/>
        <v>-14</v>
      </c>
      <c r="S10" s="32"/>
      <c r="T10" s="49" t="s">
        <v>16</v>
      </c>
      <c r="U10" s="45">
        <f>COUNTIFS(Registro!$D:$D,$T$9,Registro!$E:$E,T10)</f>
        <v>2</v>
      </c>
      <c r="V10" s="32"/>
      <c r="W10" s="47">
        <f>IF(X10="","",MAX($W$5:W9)+1)</f>
        <v>2</v>
      </c>
      <c r="X10" s="50" t="str">
        <f>IF(Registro!M9="","",IF(COUNTIF($X$8:X9,Registro!M9)=0,Registro!M9,""))</f>
        <v>Gestor 4</v>
      </c>
      <c r="Y10" s="50" t="str">
        <f t="shared" si="2"/>
        <v>Gestor 4</v>
      </c>
    </row>
    <row r="11" spans="1:25">
      <c r="A11" s="45" t="str">
        <f>IF(AND(Registro!D10="Abierto",Registro!E10="Urgente"),Registro!B10,"")</f>
        <v/>
      </c>
      <c r="B11" s="45" t="str">
        <f ca="1">IF(AND(Registro!D10="Abierto",Registro!E10="Urgente"),TODAY()-Registro!R10,"")</f>
        <v/>
      </c>
      <c r="C11" s="45" t="str">
        <f>IF(AND(Registro!D10="Abierto",Registro!E10="Urgente"),RANK(B11,$B$9:$B$1000,0)+COUNTIF($B$9:B11,B11)-1,"")</f>
        <v/>
      </c>
      <c r="D11" s="45" t="str">
        <f>IF(AND(Registro!D10="Abierto",Registro!E10="Alta"),Registro!B10,"")</f>
        <v/>
      </c>
      <c r="E11" s="45" t="str">
        <f ca="1">IF(AND(Registro!D10="Abierto",Registro!E10="Alta"),TODAY()-Registro!R10,"")</f>
        <v/>
      </c>
      <c r="F11" s="45" t="str">
        <f>IF(AND(Registro!D10="Abierto",Registro!E10="Alta"),RANK(E11,$E$9:$E$1000,0)+COUNTIF($E$9:E11,E11)-1+MAX(C$5:C$1000),"")</f>
        <v/>
      </c>
      <c r="G11" s="45" t="str">
        <f>IF(AND(Registro!D10="Abierto",Registro!E10="Media"),Registro!B10,"")</f>
        <v/>
      </c>
      <c r="H11" s="45" t="str">
        <f ca="1">IF(AND(Registro!D10="Abierto",Registro!E10="Media"),TODAY()-Registro!R10,"")</f>
        <v/>
      </c>
      <c r="I11" s="45" t="str">
        <f>IF(AND(Registro!D10="Abierto",Registro!E10="Media"),RANK(H11,$H$9:$H$1000,0)+COUNTIF($H$9:H11,H11)-1+MAX(C$5:C$1000,F$5:F$1000),"")</f>
        <v/>
      </c>
      <c r="J11" s="45" t="str">
        <f>IF(AND(Registro!D10="Abierto",Registro!E10="Baja"),Registro!B10,"")</f>
        <v/>
      </c>
      <c r="K11" s="45" t="str">
        <f ca="1">IF(AND(Registro!D10="Abierto",Registro!E10="Baja"),TODAY()-Registro!R10,"")</f>
        <v/>
      </c>
      <c r="L11" s="45" t="str">
        <f>IF(AND(Registro!D10="Abierto",Registro!E10="Baja"),RANK(K11,$K$9:$K$1000,0)+COUNTIF($K$9:K11,K11)-1+MAX(C$5:C$1000,F$5:F$1000,I$5:I$1000),"")</f>
        <v/>
      </c>
      <c r="M11" s="46" t="str">
        <f>IF(OR(Registro!D10="Resuelto",Registro!D10=""),"",SUM(C11,F11,I11,L11))</f>
        <v/>
      </c>
      <c r="N11" s="46" t="str">
        <f>IF(OR(Registro!D10="Resuelto",Registro!D10=""),"",SUM(B11,E11,H11,K11))</f>
        <v/>
      </c>
      <c r="O11" s="46" t="str">
        <f>IF(OR(Registro!D10="Resuelto",Registro!D10=""),"",_xlfn.CONCAT(A11,D11,G11,J11))</f>
        <v/>
      </c>
      <c r="P11" s="47">
        <v>3</v>
      </c>
      <c r="Q11" s="47" t="str">
        <f t="shared" ca="1" si="0"/>
        <v>6404-PFIN-26</v>
      </c>
      <c r="R11" s="48">
        <f t="shared" ca="1" si="1"/>
        <v>46310</v>
      </c>
      <c r="S11" s="32"/>
      <c r="T11" s="49" t="s">
        <v>17</v>
      </c>
      <c r="U11" s="45">
        <f>COUNTIFS(Registro!$D:$D,$T$9,Registro!$E:$E,T11)</f>
        <v>8</v>
      </c>
      <c r="V11" s="32"/>
      <c r="W11" s="47">
        <f>IF(X11="","",MAX($W$5:W10)+1)</f>
        <v>3</v>
      </c>
      <c r="X11" s="50" t="str">
        <f>IF(Registro!M10="","",IF(COUNTIF($X$8:X10,Registro!M10)=0,Registro!M10,""))</f>
        <v>Gestor 5</v>
      </c>
      <c r="Y11" s="50" t="str">
        <f t="shared" si="2"/>
        <v>Gestor 5</v>
      </c>
    </row>
    <row r="12" spans="1:25">
      <c r="A12" s="45" t="str">
        <f>IF(AND(Registro!D11="Abierto",Registro!E11="Urgente"),Registro!B11,"")</f>
        <v/>
      </c>
      <c r="B12" s="45" t="str">
        <f ca="1">IF(AND(Registro!D11="Abierto",Registro!E11="Urgente"),TODAY()-Registro!R11,"")</f>
        <v/>
      </c>
      <c r="C12" s="45" t="str">
        <f>IF(AND(Registro!D11="Abierto",Registro!E11="Urgente"),RANK(B12,$B$9:$B$1000,0)+COUNTIF($B$9:B12,B12)-1,"")</f>
        <v/>
      </c>
      <c r="D12" s="45" t="str">
        <f>IF(AND(Registro!D11="Abierto",Registro!E11="Alta"),Registro!B11,"")</f>
        <v/>
      </c>
      <c r="E12" s="45" t="str">
        <f ca="1">IF(AND(Registro!D11="Abierto",Registro!E11="Alta"),TODAY()-Registro!R11,"")</f>
        <v/>
      </c>
      <c r="F12" s="45" t="str">
        <f>IF(AND(Registro!D11="Abierto",Registro!E11="Alta"),RANK(E12,$E$9:$E$1000,0)+COUNTIF($E$9:E12,E12)-1+MAX(C$5:C$1000),"")</f>
        <v/>
      </c>
      <c r="G12" s="45" t="str">
        <f>IF(AND(Registro!D11="Abierto",Registro!E11="Media"),Registro!B11,"")</f>
        <v/>
      </c>
      <c r="H12" s="45" t="str">
        <f ca="1">IF(AND(Registro!D11="Abierto",Registro!E11="Media"),TODAY()-Registro!R11,"")</f>
        <v/>
      </c>
      <c r="I12" s="45" t="str">
        <f>IF(AND(Registro!D11="Abierto",Registro!E11="Media"),RANK(H12,$H$9:$H$1000,0)+COUNTIF($H$9:H12,H12)-1+MAX(C$5:C$1000,F$5:F$1000),"")</f>
        <v/>
      </c>
      <c r="J12" s="45" t="str">
        <f>IF(AND(Registro!D11="Abierto",Registro!E11="Baja"),Registro!B11,"")</f>
        <v/>
      </c>
      <c r="K12" s="45" t="str">
        <f ca="1">IF(AND(Registro!D11="Abierto",Registro!E11="Baja"),TODAY()-Registro!R11,"")</f>
        <v/>
      </c>
      <c r="L12" s="45" t="str">
        <f>IF(AND(Registro!D11="Abierto",Registro!E11="Baja"),RANK(K12,$K$9:$K$1000,0)+COUNTIF($K$9:K12,K12)-1+MAX(C$5:C$1000,F$5:F$1000,I$5:I$1000),"")</f>
        <v/>
      </c>
      <c r="M12" s="46" t="str">
        <f>IF(OR(Registro!D11="Resuelto",Registro!D11=""),"",SUM(C12,F12,I12,L12))</f>
        <v/>
      </c>
      <c r="N12" s="46" t="str">
        <f>IF(OR(Registro!D11="Resuelto",Registro!D11=""),"",SUM(B12,E12,H12,K12))</f>
        <v/>
      </c>
      <c r="O12" s="46" t="str">
        <f>IF(OR(Registro!D11="Resuelto",Registro!D11=""),"",_xlfn.CONCAT(A12,D12,G12,J12))</f>
        <v/>
      </c>
      <c r="P12" s="47">
        <v>4</v>
      </c>
      <c r="Q12" s="47" t="str">
        <f t="shared" ca="1" si="0"/>
        <v>6371-PFIN-26</v>
      </c>
      <c r="R12" s="48">
        <f t="shared" ca="1" si="1"/>
        <v>8</v>
      </c>
      <c r="S12" s="32"/>
      <c r="T12" s="49" t="s">
        <v>18</v>
      </c>
      <c r="U12" s="45">
        <f>COUNTIFS(Registro!$D:$D,$T$9,Registro!$E:$E,T12)</f>
        <v>8</v>
      </c>
      <c r="V12" s="32"/>
      <c r="W12" s="47">
        <f>IF(X12="","",MAX($W$5:W11)+1)</f>
        <v>4</v>
      </c>
      <c r="X12" s="50" t="str">
        <f>IF(Registro!M11="","",IF(COUNTIF($X$8:X11,Registro!M11)=0,Registro!M11,""))</f>
        <v>Gestor 3</v>
      </c>
      <c r="Y12" s="50" t="str">
        <f t="shared" si="2"/>
        <v>Gestor 3</v>
      </c>
    </row>
    <row r="13" spans="1:25">
      <c r="A13" s="45" t="str">
        <f>IF(AND(Registro!D12="Abierto",Registro!E12="Urgente"),Registro!B12,"")</f>
        <v/>
      </c>
      <c r="B13" s="45" t="str">
        <f ca="1">IF(AND(Registro!D12="Abierto",Registro!E12="Urgente"),TODAY()-Registro!R12,"")</f>
        <v/>
      </c>
      <c r="C13" s="45" t="str">
        <f>IF(AND(Registro!D12="Abierto",Registro!E12="Urgente"),RANK(B13,$B$9:$B$1000,0)+COUNTIF($B$9:B13,B13)-1,"")</f>
        <v/>
      </c>
      <c r="D13" s="45" t="str">
        <f>IF(AND(Registro!D12="Abierto",Registro!E12="Alta"),Registro!B12,"")</f>
        <v/>
      </c>
      <c r="E13" s="45" t="str">
        <f ca="1">IF(AND(Registro!D12="Abierto",Registro!E12="Alta"),TODAY()-Registro!R12,"")</f>
        <v/>
      </c>
      <c r="F13" s="45" t="str">
        <f>IF(AND(Registro!D12="Abierto",Registro!E12="Alta"),RANK(E13,$E$9:$E$1000,0)+COUNTIF($E$9:E13,E13)-1+MAX(C$5:C$1000),"")</f>
        <v/>
      </c>
      <c r="G13" s="45" t="str">
        <f>IF(AND(Registro!D12="Abierto",Registro!E12="Media"),Registro!B12,"")</f>
        <v/>
      </c>
      <c r="H13" s="45" t="str">
        <f ca="1">IF(AND(Registro!D12="Abierto",Registro!E12="Media"),TODAY()-Registro!R12,"")</f>
        <v/>
      </c>
      <c r="I13" s="45" t="str">
        <f>IF(AND(Registro!D12="Abierto",Registro!E12="Media"),RANK(H13,$H$9:$H$1000,0)+COUNTIF($H$9:H13,H13)-1+MAX(C$5:C$1000,F$5:F$1000),"")</f>
        <v/>
      </c>
      <c r="J13" s="45" t="str">
        <f>IF(AND(Registro!D12="Abierto",Registro!E12="Baja"),Registro!B12,"")</f>
        <v/>
      </c>
      <c r="K13" s="45" t="str">
        <f ca="1">IF(AND(Registro!D12="Abierto",Registro!E12="Baja"),TODAY()-Registro!R12,"")</f>
        <v/>
      </c>
      <c r="L13" s="45" t="str">
        <f>IF(AND(Registro!D12="Abierto",Registro!E12="Baja"),RANK(K13,$K$9:$K$1000,0)+COUNTIF($K$9:K13,K13)-1+MAX(C$5:C$1000,F$5:F$1000,I$5:I$1000),"")</f>
        <v/>
      </c>
      <c r="M13" s="46" t="str">
        <f>IF(OR(Registro!D12="Resuelto",Registro!D12=""),"",SUM(C13,F13,I13,L13))</f>
        <v/>
      </c>
      <c r="N13" s="46" t="str">
        <f>IF(OR(Registro!D12="Resuelto",Registro!D12=""),"",SUM(B13,E13,H13,K13))</f>
        <v/>
      </c>
      <c r="O13" s="46" t="str">
        <f>IF(OR(Registro!D12="Resuelto",Registro!D12=""),"",_xlfn.CONCAT(A13,D13,G13,J13))</f>
        <v/>
      </c>
      <c r="P13" s="47">
        <v>5</v>
      </c>
      <c r="Q13" s="47" t="str">
        <f t="shared" ca="1" si="0"/>
        <v>6375-PFIN-26</v>
      </c>
      <c r="R13" s="48">
        <f t="shared" ca="1" si="1"/>
        <v>8</v>
      </c>
      <c r="S13" s="32"/>
      <c r="T13" s="49" t="s">
        <v>19</v>
      </c>
      <c r="U13" s="45">
        <f>COUNTIFS(Registro!$D:$D,$T$9,Registro!$E:$E,T13)</f>
        <v>26</v>
      </c>
      <c r="V13" s="32"/>
      <c r="W13" s="47" t="str">
        <f>IF(X13="","",MAX($W$5:W12)+1)</f>
        <v/>
      </c>
      <c r="X13" s="50" t="str">
        <f>IF(Registro!M12="","",IF(COUNTIF($X$8:X12,Registro!M12)=0,Registro!M12,""))</f>
        <v/>
      </c>
      <c r="Y13" s="50" t="str">
        <f t="shared" si="2"/>
        <v>Gestor 2</v>
      </c>
    </row>
    <row r="14" spans="1:25">
      <c r="A14" s="45" t="str">
        <f>IF(AND(Registro!D13="Abierto",Registro!E13="Urgente"),Registro!B13,"")</f>
        <v/>
      </c>
      <c r="B14" s="45" t="str">
        <f ca="1">IF(AND(Registro!D13="Abierto",Registro!E13="Urgente"),TODAY()-Registro!R13,"")</f>
        <v/>
      </c>
      <c r="C14" s="45" t="str">
        <f>IF(AND(Registro!D13="Abierto",Registro!E13="Urgente"),RANK(B14,$B$9:$B$1000,0)+COUNTIF($B$9:B14,B14)-1,"")</f>
        <v/>
      </c>
      <c r="D14" s="45" t="str">
        <f>IF(AND(Registro!D13="Abierto",Registro!E13="Alta"),Registro!B13,"")</f>
        <v/>
      </c>
      <c r="E14" s="45" t="str">
        <f ca="1">IF(AND(Registro!D13="Abierto",Registro!E13="Alta"),TODAY()-Registro!R13,"")</f>
        <v/>
      </c>
      <c r="F14" s="45" t="str">
        <f>IF(AND(Registro!D13="Abierto",Registro!E13="Alta"),RANK(E14,$E$9:$E$1000,0)+COUNTIF($E$9:E14,E14)-1+MAX(C$5:C$1000),"")</f>
        <v/>
      </c>
      <c r="G14" s="45" t="str">
        <f>IF(AND(Registro!D13="Abierto",Registro!E13="Media"),Registro!B13,"")</f>
        <v/>
      </c>
      <c r="H14" s="45" t="str">
        <f ca="1">IF(AND(Registro!D13="Abierto",Registro!E13="Media"),TODAY()-Registro!R13,"")</f>
        <v/>
      </c>
      <c r="I14" s="45" t="str">
        <f>IF(AND(Registro!D13="Abierto",Registro!E13="Media"),RANK(H14,$H$9:$H$1000,0)+COUNTIF($H$9:H14,H14)-1+MAX(C$5:C$1000,F$5:F$1000),"")</f>
        <v/>
      </c>
      <c r="J14" s="45" t="str">
        <f>IF(AND(Registro!D13="Abierto",Registro!E13="Baja"),Registro!B13,"")</f>
        <v>6281-PFIN-26</v>
      </c>
      <c r="K14" s="45">
        <f ca="1">IF(AND(Registro!D13="Abierto",Registro!E13="Baja"),TODAY()-Registro!R13,"")</f>
        <v>2</v>
      </c>
      <c r="L14" s="45">
        <f ca="1">IF(AND(Registro!D13="Abierto",Registro!E13="Baja"),RANK(K14,$K$9:$K$1000,0)+COUNTIF($K$9:K14,K14)-1+MAX(C$5:C$1000,F$5:F$1000,I$5:I$1000),"")</f>
        <v>27</v>
      </c>
      <c r="M14" s="46">
        <f ca="1">IF(OR(Registro!D13="Resuelto",Registro!D13=""),"",SUM(C14,F14,I14,L14))</f>
        <v>27</v>
      </c>
      <c r="N14" s="46">
        <f ca="1">IF(OR(Registro!D13="Resuelto",Registro!D13=""),"",SUM(B14,E14,H14,K14))</f>
        <v>2</v>
      </c>
      <c r="O14" s="46" t="str">
        <f>IF(OR(Registro!D13="Resuelto",Registro!D13=""),"",_xlfn.CONCAT(A14,D14,G14,J14))</f>
        <v>6281-PFIN-26</v>
      </c>
      <c r="P14" s="47">
        <v>6</v>
      </c>
      <c r="Q14" s="47" t="str">
        <f t="shared" ca="1" si="0"/>
        <v>6377-PFIN-26</v>
      </c>
      <c r="R14" s="48">
        <f t="shared" ca="1" si="1"/>
        <v>7</v>
      </c>
      <c r="S14" s="32"/>
      <c r="T14" s="32"/>
      <c r="U14" s="32"/>
      <c r="V14" s="32"/>
      <c r="W14" s="47" t="str">
        <f>IF(X14="","",MAX($W$5:W13)+1)</f>
        <v/>
      </c>
      <c r="X14" s="50" t="str">
        <f>IF(Registro!M13="","",IF(COUNTIF($X$8:X13,Registro!M13)=0,Registro!M13,""))</f>
        <v/>
      </c>
      <c r="Y14" s="50" t="str">
        <f t="shared" si="2"/>
        <v/>
      </c>
    </row>
    <row r="15" spans="1:25">
      <c r="A15" s="45" t="str">
        <f>IF(AND(Registro!D14="Abierto",Registro!E14="Urgente"),Registro!B14,"")</f>
        <v/>
      </c>
      <c r="B15" s="45" t="str">
        <f ca="1">IF(AND(Registro!D14="Abierto",Registro!E14="Urgente"),TODAY()-Registro!R14,"")</f>
        <v/>
      </c>
      <c r="C15" s="45" t="str">
        <f>IF(AND(Registro!D14="Abierto",Registro!E14="Urgente"),RANK(B15,$B$9:$B$1000,0)+COUNTIF($B$9:B15,B15)-1,"")</f>
        <v/>
      </c>
      <c r="D15" s="45" t="str">
        <f>IF(AND(Registro!D14="Abierto",Registro!E14="Alta"),Registro!B14,"")</f>
        <v/>
      </c>
      <c r="E15" s="45" t="str">
        <f ca="1">IF(AND(Registro!D14="Abierto",Registro!E14="Alta"),TODAY()-Registro!R14,"")</f>
        <v/>
      </c>
      <c r="F15" s="45" t="str">
        <f>IF(AND(Registro!D14="Abierto",Registro!E14="Alta"),RANK(E15,$E$9:$E$1000,0)+COUNTIF($E$9:E15,E15)-1+MAX(C$5:C$1000),"")</f>
        <v/>
      </c>
      <c r="G15" s="45" t="str">
        <f>IF(AND(Registro!D14="Abierto",Registro!E14="Media"),Registro!B14,"")</f>
        <v/>
      </c>
      <c r="H15" s="45" t="str">
        <f ca="1">IF(AND(Registro!D14="Abierto",Registro!E14="Media"),TODAY()-Registro!R14,"")</f>
        <v/>
      </c>
      <c r="I15" s="45" t="str">
        <f>IF(AND(Registro!D14="Abierto",Registro!E14="Media"),RANK(H15,$H$9:$H$1000,0)+COUNTIF($H$9:H15,H15)-1+MAX(C$5:C$1000,F$5:F$1000),"")</f>
        <v/>
      </c>
      <c r="J15" s="45" t="str">
        <f>IF(AND(Registro!D14="Abierto",Registro!E14="Baja"),Registro!B14,"")</f>
        <v>6283-PFIN-26</v>
      </c>
      <c r="K15" s="45">
        <f ca="1">IF(AND(Registro!D14="Abierto",Registro!E14="Baja"),TODAY()-Registro!R14,"")</f>
        <v>6</v>
      </c>
      <c r="L15" s="45">
        <f ca="1">IF(AND(Registro!D14="Abierto",Registro!E14="Baja"),RANK(K15,$K$9:$K$1000,0)+COUNTIF($K$9:K15,K15)-1+MAX(C$5:C$1000,F$5:F$1000,I$5:I$1000),"")</f>
        <v>26</v>
      </c>
      <c r="M15" s="46">
        <f ca="1">IF(OR(Registro!D14="Resuelto",Registro!D14=""),"",SUM(C15,F15,I15,L15))</f>
        <v>26</v>
      </c>
      <c r="N15" s="46">
        <f ca="1">IF(OR(Registro!D14="Resuelto",Registro!D14=""),"",SUM(B15,E15,H15,K15))</f>
        <v>6</v>
      </c>
      <c r="O15" s="46" t="str">
        <f>IF(OR(Registro!D14="Resuelto",Registro!D14=""),"",_xlfn.CONCAT(A15,D15,G15,J15))</f>
        <v>6283-PFIN-26</v>
      </c>
      <c r="P15" s="47">
        <v>7</v>
      </c>
      <c r="Q15" s="47" t="str">
        <f t="shared" ca="1" si="0"/>
        <v>6373-PFIN-26</v>
      </c>
      <c r="R15" s="48">
        <f t="shared" ca="1" si="1"/>
        <v>3</v>
      </c>
      <c r="S15" s="32"/>
      <c r="T15" s="32"/>
      <c r="U15" s="32"/>
      <c r="V15" s="32"/>
      <c r="W15" s="47" t="str">
        <f>IF(X15="","",MAX($W$5:W14)+1)</f>
        <v/>
      </c>
      <c r="X15" s="50" t="str">
        <f>IF(Registro!M14="","",IF(COUNTIF($X$8:X14,Registro!M14)=0,Registro!M14,""))</f>
        <v/>
      </c>
      <c r="Y15" s="50" t="str">
        <f t="shared" si="2"/>
        <v/>
      </c>
    </row>
    <row r="16" spans="1:25">
      <c r="A16" s="45" t="str">
        <f>IF(AND(Registro!D15="Abierto",Registro!E15="Urgente"),Registro!B15,"")</f>
        <v/>
      </c>
      <c r="B16" s="45" t="str">
        <f ca="1">IF(AND(Registro!D15="Abierto",Registro!E15="Urgente"),TODAY()-Registro!R15,"")</f>
        <v/>
      </c>
      <c r="C16" s="45" t="str">
        <f>IF(AND(Registro!D15="Abierto",Registro!E15="Urgente"),RANK(B16,$B$9:$B$1000,0)+COUNTIF($B$9:B16,B16)-1,"")</f>
        <v/>
      </c>
      <c r="D16" s="45" t="str">
        <f>IF(AND(Registro!D15="Abierto",Registro!E15="Alta"),Registro!B15,"")</f>
        <v/>
      </c>
      <c r="E16" s="45" t="str">
        <f ca="1">IF(AND(Registro!D15="Abierto",Registro!E15="Alta"),TODAY()-Registro!R15,"")</f>
        <v/>
      </c>
      <c r="F16" s="45" t="str">
        <f>IF(AND(Registro!D15="Abierto",Registro!E15="Alta"),RANK(E16,$E$9:$E$1000,0)+COUNTIF($E$9:E16,E16)-1+MAX(C$5:C$1000),"")</f>
        <v/>
      </c>
      <c r="G16" s="45" t="str">
        <f>IF(AND(Registro!D15="Abierto",Registro!E15="Media"),Registro!B15,"")</f>
        <v/>
      </c>
      <c r="H16" s="45" t="str">
        <f ca="1">IF(AND(Registro!D15="Abierto",Registro!E15="Media"),TODAY()-Registro!R15,"")</f>
        <v/>
      </c>
      <c r="I16" s="45" t="str">
        <f>IF(AND(Registro!D15="Abierto",Registro!E15="Media"),RANK(H16,$H$9:$H$1000,0)+COUNTIF($H$9:H16,H16)-1+MAX(C$5:C$1000,F$5:F$1000),"")</f>
        <v/>
      </c>
      <c r="J16" s="45" t="str">
        <f>IF(AND(Registro!D15="Abierto",Registro!E15="Baja"),Registro!B15,"")</f>
        <v>6284-PFIN-26</v>
      </c>
      <c r="K16" s="45">
        <f ca="1">IF(AND(Registro!D15="Abierto",Registro!E15="Baja"),TODAY()-Registro!R15,"")</f>
        <v>-19</v>
      </c>
      <c r="L16" s="45">
        <f ca="1">IF(AND(Registro!D15="Abierto",Registro!E15="Baja"),RANK(K16,$K$9:$K$1000,0)+COUNTIF($K$9:K16,K16)-1+MAX(C$5:C$1000,F$5:F$1000,I$5:I$1000),"")</f>
        <v>35</v>
      </c>
      <c r="M16" s="46">
        <f ca="1">IF(OR(Registro!D15="Resuelto",Registro!D15=""),"",SUM(C16,F16,I16,L16))</f>
        <v>35</v>
      </c>
      <c r="N16" s="46">
        <f ca="1">IF(OR(Registro!D15="Resuelto",Registro!D15=""),"",SUM(B16,E16,H16,K16))</f>
        <v>-19</v>
      </c>
      <c r="O16" s="46" t="str">
        <f>IF(OR(Registro!D15="Resuelto",Registro!D15=""),"",_xlfn.CONCAT(A16,D16,G16,J16))</f>
        <v>6284-PFIN-26</v>
      </c>
      <c r="P16" s="47">
        <v>8</v>
      </c>
      <c r="Q16" s="47" t="str">
        <f t="shared" ca="1" si="0"/>
        <v>6412-PFIN-26</v>
      </c>
      <c r="R16" s="48">
        <f t="shared" ca="1" si="1"/>
        <v>-4</v>
      </c>
      <c r="S16" s="32"/>
      <c r="T16" s="32"/>
      <c r="U16" s="32"/>
      <c r="V16" s="32"/>
      <c r="W16" s="47" t="str">
        <f>IF(X16="","",MAX($W$5:W15)+1)</f>
        <v/>
      </c>
      <c r="X16" s="50" t="str">
        <f>IF(Registro!M15="","",IF(COUNTIF($X$8:X15,Registro!M15)=0,Registro!M15,""))</f>
        <v/>
      </c>
      <c r="Y16" s="50" t="str">
        <f t="shared" si="2"/>
        <v/>
      </c>
    </row>
    <row r="17" spans="1:25">
      <c r="A17" s="45" t="str">
        <f>IF(AND(Registro!D16="Abierto",Registro!E16="Urgente"),Registro!B16,"")</f>
        <v/>
      </c>
      <c r="B17" s="45" t="str">
        <f ca="1">IF(AND(Registro!D16="Abierto",Registro!E16="Urgente"),TODAY()-Registro!R16,"")</f>
        <v/>
      </c>
      <c r="C17" s="45" t="str">
        <f>IF(AND(Registro!D16="Abierto",Registro!E16="Urgente"),RANK(B17,$B$9:$B$1000,0)+COUNTIF($B$9:B17,B17)-1,"")</f>
        <v/>
      </c>
      <c r="D17" s="45" t="str">
        <f>IF(AND(Registro!D16="Abierto",Registro!E16="Alta"),Registro!B16,"")</f>
        <v/>
      </c>
      <c r="E17" s="45" t="str">
        <f ca="1">IF(AND(Registro!D16="Abierto",Registro!E16="Alta"),TODAY()-Registro!R16,"")</f>
        <v/>
      </c>
      <c r="F17" s="45" t="str">
        <f>IF(AND(Registro!D16="Abierto",Registro!E16="Alta"),RANK(E17,$E$9:$E$1000,0)+COUNTIF($E$9:E17,E17)-1+MAX(C$5:C$1000),"")</f>
        <v/>
      </c>
      <c r="G17" s="45" t="str">
        <f>IF(AND(Registro!D16="Abierto",Registro!E16="Media"),Registro!B16,"")</f>
        <v/>
      </c>
      <c r="H17" s="45" t="str">
        <f ca="1">IF(AND(Registro!D16="Abierto",Registro!E16="Media"),TODAY()-Registro!R16,"")</f>
        <v/>
      </c>
      <c r="I17" s="45" t="str">
        <f>IF(AND(Registro!D16="Abierto",Registro!E16="Media"),RANK(H17,$H$9:$H$1000,0)+COUNTIF($H$9:H17,H17)-1+MAX(C$5:C$1000,F$5:F$1000),"")</f>
        <v/>
      </c>
      <c r="J17" s="45" t="str">
        <f>IF(AND(Registro!D16="Abierto",Registro!E16="Baja"),Registro!B16,"")</f>
        <v>6286-PFIN-26</v>
      </c>
      <c r="K17" s="45">
        <f ca="1">IF(AND(Registro!D16="Abierto",Registro!E16="Baja"),TODAY()-Registro!R16,"")</f>
        <v>-40</v>
      </c>
      <c r="L17" s="45">
        <f ca="1">IF(AND(Registro!D16="Abierto",Registro!E16="Baja"),RANK(K17,$K$9:$K$1000,0)+COUNTIF($K$9:K17,K17)-1+MAX(C$5:C$1000,F$5:F$1000,I$5:I$1000),"")</f>
        <v>43</v>
      </c>
      <c r="M17" s="46">
        <f ca="1">IF(OR(Registro!D16="Resuelto",Registro!D16=""),"",SUM(C17,F17,I17,L17))</f>
        <v>43</v>
      </c>
      <c r="N17" s="46">
        <f ca="1">IF(OR(Registro!D16="Resuelto",Registro!D16=""),"",SUM(B17,E17,H17,K17))</f>
        <v>-40</v>
      </c>
      <c r="O17" s="46" t="str">
        <f>IF(OR(Registro!D16="Resuelto",Registro!D16=""),"",_xlfn.CONCAT(A17,D17,G17,J17))</f>
        <v>6286-PFIN-26</v>
      </c>
      <c r="P17" s="47">
        <v>9</v>
      </c>
      <c r="Q17" s="47" t="str">
        <f t="shared" ca="1" si="0"/>
        <v>6378-PFIN-26</v>
      </c>
      <c r="R17" s="48">
        <f t="shared" ca="1" si="1"/>
        <v>-6</v>
      </c>
      <c r="S17" s="32"/>
      <c r="T17" s="32"/>
      <c r="U17" s="32"/>
      <c r="V17" s="32"/>
      <c r="W17" s="47" t="str">
        <f>IF(X17="","",MAX($W$5:W16)+1)</f>
        <v/>
      </c>
      <c r="X17" s="50" t="str">
        <f>IF(Registro!M16="","",IF(COUNTIF($X$8:X16,Registro!M16)=0,Registro!M16,""))</f>
        <v/>
      </c>
      <c r="Y17" s="50" t="str">
        <f t="shared" si="2"/>
        <v/>
      </c>
    </row>
    <row r="18" spans="1:25">
      <c r="A18" s="45" t="str">
        <f>IF(AND(Registro!D17="Abierto",Registro!E17="Urgente"),Registro!B17,"")</f>
        <v/>
      </c>
      <c r="B18" s="45" t="str">
        <f ca="1">IF(AND(Registro!D17="Abierto",Registro!E17="Urgente"),TODAY()-Registro!R17,"")</f>
        <v/>
      </c>
      <c r="C18" s="45" t="str">
        <f>IF(AND(Registro!D17="Abierto",Registro!E17="Urgente"),RANK(B18,$B$9:$B$1000,0)+COUNTIF($B$9:B18,B18)-1,"")</f>
        <v/>
      </c>
      <c r="D18" s="45" t="str">
        <f>IF(AND(Registro!D17="Abierto",Registro!E17="Alta"),Registro!B17,"")</f>
        <v/>
      </c>
      <c r="E18" s="45" t="str">
        <f ca="1">IF(AND(Registro!D17="Abierto",Registro!E17="Alta"),TODAY()-Registro!R17,"")</f>
        <v/>
      </c>
      <c r="F18" s="45" t="str">
        <f>IF(AND(Registro!D17="Abierto",Registro!E17="Alta"),RANK(E18,$E$9:$E$1000,0)+COUNTIF($E$9:E18,E18)-1+MAX(C$5:C$1000),"")</f>
        <v/>
      </c>
      <c r="G18" s="45" t="str">
        <f>IF(AND(Registro!D17="Abierto",Registro!E17="Media"),Registro!B17,"")</f>
        <v/>
      </c>
      <c r="H18" s="45" t="str">
        <f ca="1">IF(AND(Registro!D17="Abierto",Registro!E17="Media"),TODAY()-Registro!R17,"")</f>
        <v/>
      </c>
      <c r="I18" s="45" t="str">
        <f>IF(AND(Registro!D17="Abierto",Registro!E17="Media"),RANK(H18,$H$9:$H$1000,0)+COUNTIF($H$9:H18,H18)-1+MAX(C$5:C$1000,F$5:F$1000),"")</f>
        <v/>
      </c>
      <c r="J18" s="45" t="str">
        <f>IF(AND(Registro!D17="Abierto",Registro!E17="Baja"),Registro!B17,"")</f>
        <v/>
      </c>
      <c r="K18" s="45" t="str">
        <f ca="1">IF(AND(Registro!D17="Abierto",Registro!E17="Baja"),TODAY()-Registro!R17,"")</f>
        <v/>
      </c>
      <c r="L18" s="45" t="str">
        <f>IF(AND(Registro!D17="Abierto",Registro!E17="Baja"),RANK(K18,$K$9:$K$1000,0)+COUNTIF($K$9:K18,K18)-1+MAX(C$5:C$1000,F$5:F$1000,I$5:I$1000),"")</f>
        <v/>
      </c>
      <c r="M18" s="46" t="str">
        <f>IF(OR(Registro!D17="Resuelto",Registro!D17=""),"",SUM(C18,F18,I18,L18))</f>
        <v/>
      </c>
      <c r="N18" s="46" t="str">
        <f>IF(OR(Registro!D17="Resuelto",Registro!D17=""),"",SUM(B18,E18,H18,K18))</f>
        <v/>
      </c>
      <c r="O18" s="46" t="str">
        <f>IF(OR(Registro!D17="Resuelto",Registro!D17=""),"",_xlfn.CONCAT(A18,D18,G18,J18))</f>
        <v/>
      </c>
      <c r="P18" s="47">
        <v>10</v>
      </c>
      <c r="Q18" s="47" t="str">
        <f t="shared" ca="1" si="0"/>
        <v>6418-PFIN-26</v>
      </c>
      <c r="R18" s="48">
        <f t="shared" ca="1" si="1"/>
        <v>-8</v>
      </c>
      <c r="S18" s="32"/>
      <c r="T18" s="32"/>
      <c r="U18" s="32"/>
      <c r="V18" s="32"/>
      <c r="W18" s="47">
        <f>IF(X18="","",MAX($W$5:W17)+1)</f>
        <v>5</v>
      </c>
      <c r="X18" s="50" t="str">
        <f>IF(Registro!M17="","",IF(COUNTIF($X$8:X17,Registro!M17)=0,Registro!M17,""))</f>
        <v>Gestor 2</v>
      </c>
      <c r="Y18" s="50" t="str">
        <f t="shared" si="2"/>
        <v/>
      </c>
    </row>
    <row r="19" spans="1:25">
      <c r="A19" s="45" t="str">
        <f>IF(AND(Registro!D18="Abierto",Registro!E18="Urgente"),Registro!B18,"")</f>
        <v/>
      </c>
      <c r="B19" s="45" t="str">
        <f ca="1">IF(AND(Registro!D18="Abierto",Registro!E18="Urgente"),TODAY()-Registro!R18,"")</f>
        <v/>
      </c>
      <c r="C19" s="45" t="str">
        <f>IF(AND(Registro!D18="Abierto",Registro!E18="Urgente"),RANK(B19,$B$9:$B$1000,0)+COUNTIF($B$9:B19,B19)-1,"")</f>
        <v/>
      </c>
      <c r="D19" s="45" t="str">
        <f>IF(AND(Registro!D18="Abierto",Registro!E18="Alta"),Registro!B18,"")</f>
        <v/>
      </c>
      <c r="E19" s="45" t="str">
        <f ca="1">IF(AND(Registro!D18="Abierto",Registro!E18="Alta"),TODAY()-Registro!R18,"")</f>
        <v/>
      </c>
      <c r="F19" s="45" t="str">
        <f>IF(AND(Registro!D18="Abierto",Registro!E18="Alta"),RANK(E19,$E$9:$E$1000,0)+COUNTIF($E$9:E19,E19)-1+MAX(C$5:C$1000),"")</f>
        <v/>
      </c>
      <c r="G19" s="45" t="str">
        <f>IF(AND(Registro!D18="Abierto",Registro!E18="Media"),Registro!B18,"")</f>
        <v/>
      </c>
      <c r="H19" s="45" t="str">
        <f ca="1">IF(AND(Registro!D18="Abierto",Registro!E18="Media"),TODAY()-Registro!R18,"")</f>
        <v/>
      </c>
      <c r="I19" s="45" t="str">
        <f>IF(AND(Registro!D18="Abierto",Registro!E18="Media"),RANK(H19,$H$9:$H$1000,0)+COUNTIF($H$9:H19,H19)-1+MAX(C$5:C$1000,F$5:F$1000),"")</f>
        <v/>
      </c>
      <c r="J19" s="45" t="str">
        <f>IF(AND(Registro!D18="Abierto",Registro!E18="Baja"),Registro!B18,"")</f>
        <v/>
      </c>
      <c r="K19" s="45" t="str">
        <f ca="1">IF(AND(Registro!D18="Abierto",Registro!E18="Baja"),TODAY()-Registro!R18,"")</f>
        <v/>
      </c>
      <c r="L19" s="45" t="str">
        <f>IF(AND(Registro!D18="Abierto",Registro!E18="Baja"),RANK(K19,$K$9:$K$1000,0)+COUNTIF($K$9:K19,K19)-1+MAX(C$5:C$1000,F$5:F$1000,I$5:I$1000),"")</f>
        <v/>
      </c>
      <c r="M19" s="46" t="str">
        <f>IF(OR(Registro!D18="Resuelto",Registro!D18=""),"",SUM(C19,F19,I19,L19))</f>
        <v/>
      </c>
      <c r="N19" s="46" t="str">
        <f>IF(OR(Registro!D18="Resuelto",Registro!D18=""),"",SUM(B19,E19,H19,K19))</f>
        <v/>
      </c>
      <c r="O19" s="46" t="str">
        <f>IF(OR(Registro!D18="Resuelto",Registro!D18=""),"",_xlfn.CONCAT(A19,D19,G19,J19))</f>
        <v/>
      </c>
      <c r="P19" s="47">
        <v>11</v>
      </c>
      <c r="Q19" s="47" t="str">
        <f t="shared" ca="1" si="0"/>
        <v>6304-PFIN-26</v>
      </c>
      <c r="R19" s="48">
        <f t="shared" ca="1" si="1"/>
        <v>44</v>
      </c>
      <c r="S19" s="32"/>
      <c r="T19" s="32"/>
      <c r="U19" s="32"/>
      <c r="V19" s="32"/>
      <c r="W19" s="47" t="str">
        <f>IF(X19="","",MAX($W$5:W18)+1)</f>
        <v/>
      </c>
      <c r="X19" s="50" t="str">
        <f>IF(Registro!M18="","",IF(COUNTIF($X$8:X18,Registro!M18)=0,Registro!M18,""))</f>
        <v/>
      </c>
      <c r="Y19" s="50" t="str">
        <f t="shared" si="2"/>
        <v/>
      </c>
    </row>
    <row r="20" spans="1:25">
      <c r="A20" s="45" t="str">
        <f>IF(AND(Registro!D19="Abierto",Registro!E19="Urgente"),Registro!B19,"")</f>
        <v/>
      </c>
      <c r="B20" s="45" t="str">
        <f ca="1">IF(AND(Registro!D19="Abierto",Registro!E19="Urgente"),TODAY()-Registro!R19,"")</f>
        <v/>
      </c>
      <c r="C20" s="45" t="str">
        <f>IF(AND(Registro!D19="Abierto",Registro!E19="Urgente"),RANK(B20,$B$9:$B$1000,0)+COUNTIF($B$9:B20,B20)-1,"")</f>
        <v/>
      </c>
      <c r="D20" s="45" t="str">
        <f>IF(AND(Registro!D19="Abierto",Registro!E19="Alta"),Registro!B19,"")</f>
        <v/>
      </c>
      <c r="E20" s="45" t="str">
        <f ca="1">IF(AND(Registro!D19="Abierto",Registro!E19="Alta"),TODAY()-Registro!R19,"")</f>
        <v/>
      </c>
      <c r="F20" s="45" t="str">
        <f>IF(AND(Registro!D19="Abierto",Registro!E19="Alta"),RANK(E20,$E$9:$E$1000,0)+COUNTIF($E$9:E20,E20)-1+MAX(C$5:C$1000),"")</f>
        <v/>
      </c>
      <c r="G20" s="45" t="str">
        <f>IF(AND(Registro!D19="Abierto",Registro!E19="Media"),Registro!B19,"")</f>
        <v/>
      </c>
      <c r="H20" s="45" t="str">
        <f ca="1">IF(AND(Registro!D19="Abierto",Registro!E19="Media"),TODAY()-Registro!R19,"")</f>
        <v/>
      </c>
      <c r="I20" s="45" t="str">
        <f>IF(AND(Registro!D19="Abierto",Registro!E19="Media"),RANK(H20,$H$9:$H$1000,0)+COUNTIF($H$9:H20,H20)-1+MAX(C$5:C$1000,F$5:F$1000),"")</f>
        <v/>
      </c>
      <c r="J20" s="45" t="str">
        <f>IF(AND(Registro!D19="Abierto",Registro!E19="Baja"),Registro!B19,"")</f>
        <v/>
      </c>
      <c r="K20" s="45" t="str">
        <f ca="1">IF(AND(Registro!D19="Abierto",Registro!E19="Baja"),TODAY()-Registro!R19,"")</f>
        <v/>
      </c>
      <c r="L20" s="45" t="str">
        <f>IF(AND(Registro!D19="Abierto",Registro!E19="Baja"),RANK(K20,$K$9:$K$1000,0)+COUNTIF($K$9:K20,K20)-1+MAX(C$5:C$1000,F$5:F$1000,I$5:I$1000),"")</f>
        <v/>
      </c>
      <c r="M20" s="46">
        <f>IF(OR(Registro!D19="Resuelto",Registro!D19=""),"",SUM(C20,F20,I20,L20))</f>
        <v>0</v>
      </c>
      <c r="N20" s="46">
        <f ca="1">IF(OR(Registro!D19="Resuelto",Registro!D19=""),"",SUM(B20,E20,H20,K20))</f>
        <v>0</v>
      </c>
      <c r="O20" s="46" t="str">
        <f>IF(OR(Registro!D19="Resuelto",Registro!D19=""),"",_xlfn.CONCAT(A20,D20,G20,J20))</f>
        <v/>
      </c>
      <c r="P20" s="47">
        <v>12</v>
      </c>
      <c r="Q20" s="47" t="str">
        <f t="shared" ca="1" si="0"/>
        <v>6305-PFIN-26</v>
      </c>
      <c r="R20" s="48">
        <f t="shared" ca="1" si="1"/>
        <v>44</v>
      </c>
      <c r="S20" s="32"/>
      <c r="T20" s="32"/>
      <c r="U20" s="32"/>
      <c r="V20" s="32"/>
      <c r="W20" s="47" t="str">
        <f>IF(X20="","",MAX($W$5:W19)+1)</f>
        <v/>
      </c>
      <c r="X20" s="50" t="str">
        <f>IF(Registro!M19="","",IF(COUNTIF($X$8:X19,Registro!M19)=0,Registro!M19,""))</f>
        <v/>
      </c>
      <c r="Y20" s="50" t="str">
        <f t="shared" si="2"/>
        <v/>
      </c>
    </row>
    <row r="21" spans="1:25">
      <c r="A21" s="45" t="str">
        <f>IF(AND(Registro!D20="Abierto",Registro!E20="Urgente"),Registro!B20,"")</f>
        <v/>
      </c>
      <c r="B21" s="45" t="str">
        <f ca="1">IF(AND(Registro!D20="Abierto",Registro!E20="Urgente"),TODAY()-Registro!R20,"")</f>
        <v/>
      </c>
      <c r="C21" s="45" t="str">
        <f>IF(AND(Registro!D20="Abierto",Registro!E20="Urgente"),RANK(B21,$B$9:$B$1000,0)+COUNTIF($B$9:B21,B21)-1,"")</f>
        <v/>
      </c>
      <c r="D21" s="45" t="str">
        <f>IF(AND(Registro!D20="Abierto",Registro!E20="Alta"),Registro!B20,"")</f>
        <v/>
      </c>
      <c r="E21" s="45" t="str">
        <f ca="1">IF(AND(Registro!D20="Abierto",Registro!E20="Alta"),TODAY()-Registro!R20,"")</f>
        <v/>
      </c>
      <c r="F21" s="45" t="str">
        <f>IF(AND(Registro!D20="Abierto",Registro!E20="Alta"),RANK(E21,$E$9:$E$1000,0)+COUNTIF($E$9:E21,E21)-1+MAX(C$5:C$1000),"")</f>
        <v/>
      </c>
      <c r="G21" s="45" t="str">
        <f>IF(AND(Registro!D20="Abierto",Registro!E20="Media"),Registro!B20,"")</f>
        <v/>
      </c>
      <c r="H21" s="45" t="str">
        <f ca="1">IF(AND(Registro!D20="Abierto",Registro!E20="Media"),TODAY()-Registro!R20,"")</f>
        <v/>
      </c>
      <c r="I21" s="45" t="str">
        <f>IF(AND(Registro!D20="Abierto",Registro!E20="Media"),RANK(H21,$H$9:$H$1000,0)+COUNTIF($H$9:H21,H21)-1+MAX(C$5:C$1000,F$5:F$1000),"")</f>
        <v/>
      </c>
      <c r="J21" s="45" t="str">
        <f>IF(AND(Registro!D20="Abierto",Registro!E20="Baja"),Registro!B20,"")</f>
        <v/>
      </c>
      <c r="K21" s="45" t="str">
        <f ca="1">IF(AND(Registro!D20="Abierto",Registro!E20="Baja"),TODAY()-Registro!R20,"")</f>
        <v/>
      </c>
      <c r="L21" s="45" t="str">
        <f>IF(AND(Registro!D20="Abierto",Registro!E20="Baja"),RANK(K21,$K$9:$K$1000,0)+COUNTIF($K$9:K21,K21)-1+MAX(C$5:C$1000,F$5:F$1000,I$5:I$1000),"")</f>
        <v/>
      </c>
      <c r="M21" s="46" t="str">
        <f>IF(OR(Registro!D20="Resuelto",Registro!D20=""),"",SUM(C21,F21,I21,L21))</f>
        <v/>
      </c>
      <c r="N21" s="46" t="str">
        <f>IF(OR(Registro!D20="Resuelto",Registro!D20=""),"",SUM(B21,E21,H21,K21))</f>
        <v/>
      </c>
      <c r="O21" s="46" t="str">
        <f>IF(OR(Registro!D20="Resuelto",Registro!D20=""),"",_xlfn.CONCAT(A21,D21,G21,J21))</f>
        <v/>
      </c>
      <c r="P21" s="47">
        <v>13</v>
      </c>
      <c r="Q21" s="47" t="str">
        <f t="shared" ca="1" si="0"/>
        <v>6306-PFIN-26</v>
      </c>
      <c r="R21" s="48">
        <f t="shared" ca="1" si="1"/>
        <v>44</v>
      </c>
      <c r="S21" s="32"/>
      <c r="T21" s="32"/>
      <c r="U21" s="32"/>
      <c r="V21" s="32"/>
      <c r="W21" s="47" t="str">
        <f>IF(X21="","",MAX($W$5:W20)+1)</f>
        <v/>
      </c>
      <c r="X21" s="50" t="str">
        <f>IF(Registro!M20="","",IF(COUNTIF($X$8:X20,Registro!M20)=0,Registro!M20,""))</f>
        <v/>
      </c>
      <c r="Y21" s="50" t="str">
        <f t="shared" si="2"/>
        <v/>
      </c>
    </row>
    <row r="22" spans="1:25">
      <c r="A22" s="45" t="str">
        <f>IF(AND(Registro!D21="Abierto",Registro!E21="Urgente"),Registro!B21,"")</f>
        <v/>
      </c>
      <c r="B22" s="45" t="str">
        <f ca="1">IF(AND(Registro!D21="Abierto",Registro!E21="Urgente"),TODAY()-Registro!R21,"")</f>
        <v/>
      </c>
      <c r="C22" s="45" t="str">
        <f>IF(AND(Registro!D21="Abierto",Registro!E21="Urgente"),RANK(B22,$B$9:$B$1000,0)+COUNTIF($B$9:B22,B22)-1,"")</f>
        <v/>
      </c>
      <c r="D22" s="45" t="str">
        <f>IF(AND(Registro!D21="Abierto",Registro!E21="Alta"),Registro!B21,"")</f>
        <v/>
      </c>
      <c r="E22" s="45" t="str">
        <f ca="1">IF(AND(Registro!D21="Abierto",Registro!E21="Alta"),TODAY()-Registro!R21,"")</f>
        <v/>
      </c>
      <c r="F22" s="45" t="str">
        <f>IF(AND(Registro!D21="Abierto",Registro!E21="Alta"),RANK(E22,$E$9:$E$1000,0)+COUNTIF($E$9:E22,E22)-1+MAX(C$5:C$1000),"")</f>
        <v/>
      </c>
      <c r="G22" s="45" t="str">
        <f>IF(AND(Registro!D21="Abierto",Registro!E21="Media"),Registro!B21,"")</f>
        <v/>
      </c>
      <c r="H22" s="45" t="str">
        <f ca="1">IF(AND(Registro!D21="Abierto",Registro!E21="Media"),TODAY()-Registro!R21,"")</f>
        <v/>
      </c>
      <c r="I22" s="45" t="str">
        <f>IF(AND(Registro!D21="Abierto",Registro!E21="Media"),RANK(H22,$H$9:$H$1000,0)+COUNTIF($H$9:H22,H22)-1+MAX(C$5:C$1000,F$5:F$1000),"")</f>
        <v/>
      </c>
      <c r="J22" s="45" t="str">
        <f>IF(AND(Registro!D21="Abierto",Registro!E21="Baja"),Registro!B21,"")</f>
        <v/>
      </c>
      <c r="K22" s="45" t="str">
        <f ca="1">IF(AND(Registro!D21="Abierto",Registro!E21="Baja"),TODAY()-Registro!R21,"")</f>
        <v/>
      </c>
      <c r="L22" s="45" t="str">
        <f>IF(AND(Registro!D21="Abierto",Registro!E21="Baja"),RANK(K22,$K$9:$K$1000,0)+COUNTIF($K$9:K22,K22)-1+MAX(C$5:C$1000,F$5:F$1000,I$5:I$1000),"")</f>
        <v/>
      </c>
      <c r="M22" s="46" t="str">
        <f>IF(OR(Registro!D21="Resuelto",Registro!D21=""),"",SUM(C22,F22,I22,L22))</f>
        <v/>
      </c>
      <c r="N22" s="46" t="str">
        <f>IF(OR(Registro!D21="Resuelto",Registro!D21=""),"",SUM(B22,E22,H22,K22))</f>
        <v/>
      </c>
      <c r="O22" s="46" t="str">
        <f>IF(OR(Registro!D21="Resuelto",Registro!D21=""),"",_xlfn.CONCAT(A22,D22,G22,J22))</f>
        <v/>
      </c>
      <c r="P22" s="47">
        <v>14</v>
      </c>
      <c r="Q22" s="47" t="str">
        <f t="shared" ca="1" si="0"/>
        <v>6348-PFIN-26</v>
      </c>
      <c r="R22" s="48">
        <f t="shared" ca="1" si="1"/>
        <v>6</v>
      </c>
      <c r="S22" s="32"/>
      <c r="T22" s="32"/>
      <c r="U22" s="32"/>
      <c r="V22" s="32"/>
      <c r="W22" s="47" t="str">
        <f>IF(X22="","",MAX($W$5:W21)+1)</f>
        <v/>
      </c>
      <c r="X22" s="50" t="str">
        <f>IF(Registro!M21="","",IF(COUNTIF($X$8:X21,Registro!M21)=0,Registro!M21,""))</f>
        <v/>
      </c>
      <c r="Y22" s="50" t="str">
        <f t="shared" si="2"/>
        <v/>
      </c>
    </row>
    <row r="23" spans="1:25">
      <c r="A23" s="45" t="str">
        <f>IF(AND(Registro!D22="Abierto",Registro!E22="Urgente"),Registro!B22,"")</f>
        <v/>
      </c>
      <c r="B23" s="45" t="str">
        <f ca="1">IF(AND(Registro!D22="Abierto",Registro!E22="Urgente"),TODAY()-Registro!R22,"")</f>
        <v/>
      </c>
      <c r="C23" s="45" t="str">
        <f>IF(AND(Registro!D22="Abierto",Registro!E22="Urgente"),RANK(B23,$B$9:$B$1000,0)+COUNTIF($B$9:B23,B23)-1,"")</f>
        <v/>
      </c>
      <c r="D23" s="45" t="str">
        <f>IF(AND(Registro!D22="Abierto",Registro!E22="Alta"),Registro!B22,"")</f>
        <v/>
      </c>
      <c r="E23" s="45" t="str">
        <f ca="1">IF(AND(Registro!D22="Abierto",Registro!E22="Alta"),TODAY()-Registro!R22,"")</f>
        <v/>
      </c>
      <c r="F23" s="45" t="str">
        <f>IF(AND(Registro!D22="Abierto",Registro!E22="Alta"),RANK(E23,$E$9:$E$1000,0)+COUNTIF($E$9:E23,E23)-1+MAX(C$5:C$1000),"")</f>
        <v/>
      </c>
      <c r="G23" s="45" t="str">
        <f>IF(AND(Registro!D22="Abierto",Registro!E22="Media"),Registro!B22,"")</f>
        <v/>
      </c>
      <c r="H23" s="45" t="str">
        <f ca="1">IF(AND(Registro!D22="Abierto",Registro!E22="Media"),TODAY()-Registro!R22,"")</f>
        <v/>
      </c>
      <c r="I23" s="45" t="str">
        <f>IF(AND(Registro!D22="Abierto",Registro!E22="Media"),RANK(H23,$H$9:$H$1000,0)+COUNTIF($H$9:H23,H23)-1+MAX(C$5:C$1000,F$5:F$1000),"")</f>
        <v/>
      </c>
      <c r="J23" s="45" t="str">
        <f>IF(AND(Registro!D22="Abierto",Registro!E22="Baja"),Registro!B22,"")</f>
        <v/>
      </c>
      <c r="K23" s="45" t="str">
        <f ca="1">IF(AND(Registro!D22="Abierto",Registro!E22="Baja"),TODAY()-Registro!R22,"")</f>
        <v/>
      </c>
      <c r="L23" s="45" t="str">
        <f>IF(AND(Registro!D22="Abierto",Registro!E22="Baja"),RANK(K23,$K$9:$K$1000,0)+COUNTIF($K$9:K23,K23)-1+MAX(C$5:C$1000,F$5:F$1000,I$5:I$1000),"")</f>
        <v/>
      </c>
      <c r="M23" s="46" t="str">
        <f>IF(OR(Registro!D22="Resuelto",Registro!D22=""),"",SUM(C23,F23,I23,L23))</f>
        <v/>
      </c>
      <c r="N23" s="46" t="str">
        <f>IF(OR(Registro!D22="Resuelto",Registro!D22=""),"",SUM(B23,E23,H23,K23))</f>
        <v/>
      </c>
      <c r="O23" s="46" t="str">
        <f>IF(OR(Registro!D22="Resuelto",Registro!D22=""),"",_xlfn.CONCAT(A23,D23,G23,J23))</f>
        <v/>
      </c>
      <c r="P23" s="47">
        <v>15</v>
      </c>
      <c r="Q23" s="47" t="str">
        <f t="shared" ca="1" si="0"/>
        <v>6295-PFIN-26</v>
      </c>
      <c r="R23" s="48">
        <f t="shared" ca="1" si="1"/>
        <v>-4</v>
      </c>
      <c r="S23" s="32"/>
      <c r="T23" s="32"/>
      <c r="U23" s="32"/>
      <c r="V23" s="32"/>
      <c r="W23" s="47" t="str">
        <f>IF(X23="","",MAX($W$5:W22)+1)</f>
        <v/>
      </c>
      <c r="X23" s="50" t="str">
        <f>IF(Registro!M22="","",IF(COUNTIF($X$8:X22,Registro!M22)=0,Registro!M22,""))</f>
        <v/>
      </c>
      <c r="Y23" s="50" t="str">
        <f t="shared" si="2"/>
        <v/>
      </c>
    </row>
    <row r="24" spans="1:25">
      <c r="A24" s="45" t="str">
        <f>IF(AND(Registro!D23="Abierto",Registro!E23="Urgente"),Registro!B23,"")</f>
        <v/>
      </c>
      <c r="B24" s="45" t="str">
        <f ca="1">IF(AND(Registro!D23="Abierto",Registro!E23="Urgente"),TODAY()-Registro!R23,"")</f>
        <v/>
      </c>
      <c r="C24" s="45" t="str">
        <f>IF(AND(Registro!D23="Abierto",Registro!E23="Urgente"),RANK(B24,$B$9:$B$1000,0)+COUNTIF($B$9:B24,B24)-1,"")</f>
        <v/>
      </c>
      <c r="D24" s="45" t="str">
        <f>IF(AND(Registro!D23="Abierto",Registro!E23="Alta"),Registro!B23,"")</f>
        <v/>
      </c>
      <c r="E24" s="45" t="str">
        <f ca="1">IF(AND(Registro!D23="Abierto",Registro!E23="Alta"),TODAY()-Registro!R23,"")</f>
        <v/>
      </c>
      <c r="F24" s="45" t="str">
        <f>IF(AND(Registro!D23="Abierto",Registro!E23="Alta"),RANK(E24,$E$9:$E$1000,0)+COUNTIF($E$9:E24,E24)-1+MAX(C$5:C$1000),"")</f>
        <v/>
      </c>
      <c r="G24" s="45" t="str">
        <f>IF(AND(Registro!D23="Abierto",Registro!E23="Media"),Registro!B23,"")</f>
        <v/>
      </c>
      <c r="H24" s="45" t="str">
        <f ca="1">IF(AND(Registro!D23="Abierto",Registro!E23="Media"),TODAY()-Registro!R23,"")</f>
        <v/>
      </c>
      <c r="I24" s="45" t="str">
        <f>IF(AND(Registro!D23="Abierto",Registro!E23="Media"),RANK(H24,$H$9:$H$1000,0)+COUNTIF($H$9:H24,H24)-1+MAX(C$5:C$1000,F$5:F$1000),"")</f>
        <v/>
      </c>
      <c r="J24" s="45" t="str">
        <f>IF(AND(Registro!D23="Abierto",Registro!E23="Baja"),Registro!B23,"")</f>
        <v>6294-PFIN-26</v>
      </c>
      <c r="K24" s="45">
        <f ca="1">IF(AND(Registro!D23="Abierto",Registro!E23="Baja"),TODAY()-Registro!R23,"")</f>
        <v>2</v>
      </c>
      <c r="L24" s="45">
        <f ca="1">IF(AND(Registro!D23="Abierto",Registro!E23="Baja"),RANK(K24,$K$9:$K$1000,0)+COUNTIF($K$9:K24,K24)-1+MAX(C$5:C$1000,F$5:F$1000,I$5:I$1000),"")</f>
        <v>28</v>
      </c>
      <c r="M24" s="46">
        <f ca="1">IF(OR(Registro!D23="Resuelto",Registro!D23=""),"",SUM(C24,F24,I24,L24))</f>
        <v>28</v>
      </c>
      <c r="N24" s="46">
        <f ca="1">IF(OR(Registro!D23="Resuelto",Registro!D23=""),"",SUM(B24,E24,H24,K24))</f>
        <v>2</v>
      </c>
      <c r="O24" s="46" t="str">
        <f>IF(OR(Registro!D23="Resuelto",Registro!D23=""),"",_xlfn.CONCAT(A24,D24,G24,J24))</f>
        <v>6294-PFIN-26</v>
      </c>
      <c r="P24" s="47">
        <v>16</v>
      </c>
      <c r="Q24" s="47" t="str">
        <f t="shared" ca="1" si="0"/>
        <v>6374-PFIN-26</v>
      </c>
      <c r="R24" s="48">
        <f t="shared" ca="1" si="1"/>
        <v>-6</v>
      </c>
      <c r="S24" s="32"/>
      <c r="T24" s="32"/>
      <c r="U24" s="32"/>
      <c r="V24" s="32"/>
      <c r="W24" s="47" t="str">
        <f>IF(X24="","",MAX($W$5:W23)+1)</f>
        <v/>
      </c>
      <c r="X24" s="50" t="str">
        <f>IF(Registro!M23="","",IF(COUNTIF($X$8:X23,Registro!M23)=0,Registro!M23,""))</f>
        <v/>
      </c>
      <c r="Y24" s="50" t="str">
        <f t="shared" si="2"/>
        <v/>
      </c>
    </row>
    <row r="25" spans="1:25">
      <c r="A25" s="45" t="str">
        <f>IF(AND(Registro!D24="Abierto",Registro!E24="Urgente"),Registro!B24,"")</f>
        <v/>
      </c>
      <c r="B25" s="45" t="str">
        <f ca="1">IF(AND(Registro!D24="Abierto",Registro!E24="Urgente"),TODAY()-Registro!R24,"")</f>
        <v/>
      </c>
      <c r="C25" s="45" t="str">
        <f>IF(AND(Registro!D24="Abierto",Registro!E24="Urgente"),RANK(B25,$B$9:$B$1000,0)+COUNTIF($B$9:B25,B25)-1,"")</f>
        <v/>
      </c>
      <c r="D25" s="45" t="str">
        <f>IF(AND(Registro!D24="Abierto",Registro!E24="Alta"),Registro!B24,"")</f>
        <v/>
      </c>
      <c r="E25" s="45" t="str">
        <f ca="1">IF(AND(Registro!D24="Abierto",Registro!E24="Alta"),TODAY()-Registro!R24,"")</f>
        <v/>
      </c>
      <c r="F25" s="45" t="str">
        <f>IF(AND(Registro!D24="Abierto",Registro!E24="Alta"),RANK(E25,$E$9:$E$1000,0)+COUNTIF($E$9:E25,E25)-1+MAX(C$5:C$1000),"")</f>
        <v/>
      </c>
      <c r="G25" s="45" t="str">
        <f>IF(AND(Registro!D24="Abierto",Registro!E24="Media"),Registro!B24,"")</f>
        <v/>
      </c>
      <c r="H25" s="45" t="str">
        <f ca="1">IF(AND(Registro!D24="Abierto",Registro!E24="Media"),TODAY()-Registro!R24,"")</f>
        <v/>
      </c>
      <c r="I25" s="45" t="str">
        <f>IF(AND(Registro!D24="Abierto",Registro!E24="Media"),RANK(H25,$H$9:$H$1000,0)+COUNTIF($H$9:H25,H25)-1+MAX(C$5:C$1000,F$5:F$1000),"")</f>
        <v/>
      </c>
      <c r="J25" s="45" t="str">
        <f>IF(AND(Registro!D24="Abierto",Registro!E24="Baja"),Registro!B24,"")</f>
        <v/>
      </c>
      <c r="K25" s="45" t="str">
        <f ca="1">IF(AND(Registro!D24="Abierto",Registro!E24="Baja"),TODAY()-Registro!R24,"")</f>
        <v/>
      </c>
      <c r="L25" s="45" t="str">
        <f>IF(AND(Registro!D24="Abierto",Registro!E24="Baja"),RANK(K25,$K$9:$K$1000,0)+COUNTIF($K$9:K25,K25)-1+MAX(C$5:C$1000,F$5:F$1000,I$5:I$1000),"")</f>
        <v/>
      </c>
      <c r="M25" s="46" t="str">
        <f>IF(OR(Registro!D24="Resuelto",Registro!D24=""),"",SUM(C25,F25,I25,L25))</f>
        <v/>
      </c>
      <c r="N25" s="46" t="str">
        <f>IF(OR(Registro!D24="Resuelto",Registro!D24=""),"",SUM(B25,E25,H25,K25))</f>
        <v/>
      </c>
      <c r="O25" s="46" t="str">
        <f>IF(OR(Registro!D24="Resuelto",Registro!D24=""),"",_xlfn.CONCAT(A25,D25,G25,J25))</f>
        <v/>
      </c>
      <c r="P25" s="47">
        <v>17</v>
      </c>
      <c r="Q25" s="47" t="str">
        <f t="shared" ca="1" si="0"/>
        <v>6387-PFIN-26</v>
      </c>
      <c r="R25" s="48">
        <f t="shared" ca="1" si="1"/>
        <v>-6</v>
      </c>
      <c r="S25" s="32"/>
      <c r="T25" s="32"/>
      <c r="U25" s="32"/>
      <c r="V25" s="32"/>
      <c r="W25" s="47" t="str">
        <f>IF(X25="","",MAX($W$5:W24)+1)</f>
        <v/>
      </c>
      <c r="X25" s="50" t="str">
        <f>IF(Registro!M24="","",IF(COUNTIF($X$8:X24,Registro!M24)=0,Registro!M24,""))</f>
        <v/>
      </c>
      <c r="Y25" s="50" t="str">
        <f t="shared" si="2"/>
        <v/>
      </c>
    </row>
    <row r="26" spans="1:25">
      <c r="A26" s="45" t="str">
        <f>IF(AND(Registro!D25="Abierto",Registro!E25="Urgente"),Registro!B25,"")</f>
        <v/>
      </c>
      <c r="B26" s="45" t="str">
        <f ca="1">IF(AND(Registro!D25="Abierto",Registro!E25="Urgente"),TODAY()-Registro!R25,"")</f>
        <v/>
      </c>
      <c r="C26" s="45" t="str">
        <f>IF(AND(Registro!D25="Abierto",Registro!E25="Urgente"),RANK(B26,$B$9:$B$1000,0)+COUNTIF($B$9:B26,B26)-1,"")</f>
        <v/>
      </c>
      <c r="D26" s="45" t="str">
        <f>IF(AND(Registro!D25="Abierto",Registro!E25="Alta"),Registro!B25,"")</f>
        <v/>
      </c>
      <c r="E26" s="45" t="str">
        <f ca="1">IF(AND(Registro!D25="Abierto",Registro!E25="Alta"),TODAY()-Registro!R25,"")</f>
        <v/>
      </c>
      <c r="F26" s="45" t="str">
        <f>IF(AND(Registro!D25="Abierto",Registro!E25="Alta"),RANK(E26,$E$9:$E$1000,0)+COUNTIF($E$9:E26,E26)-1+MAX(C$5:C$1000),"")</f>
        <v/>
      </c>
      <c r="G26" s="45" t="str">
        <f>IF(AND(Registro!D25="Abierto",Registro!E25="Media"),Registro!B25,"")</f>
        <v/>
      </c>
      <c r="H26" s="45" t="str">
        <f ca="1">IF(AND(Registro!D25="Abierto",Registro!E25="Media"),TODAY()-Registro!R25,"")</f>
        <v/>
      </c>
      <c r="I26" s="45" t="str">
        <f>IF(AND(Registro!D25="Abierto",Registro!E25="Media"),RANK(H26,$H$9:$H$1000,0)+COUNTIF($H$9:H26,H26)-1+MAX(C$5:C$1000,F$5:F$1000),"")</f>
        <v/>
      </c>
      <c r="J26" s="45" t="str">
        <f>IF(AND(Registro!D25="Abierto",Registro!E25="Baja"),Registro!B25,"")</f>
        <v>6297-PFIN-26</v>
      </c>
      <c r="K26" s="45">
        <f ca="1">IF(AND(Registro!D25="Abierto",Registro!E25="Baja"),TODAY()-Registro!R25,"")</f>
        <v>10</v>
      </c>
      <c r="L26" s="45">
        <f ca="1">IF(AND(Registro!D25="Abierto",Registro!E25="Baja"),RANK(K26,$K$9:$K$1000,0)+COUNTIF($K$9:K26,K26)-1+MAX(C$5:C$1000,F$5:F$1000,I$5:I$1000),"")</f>
        <v>24</v>
      </c>
      <c r="M26" s="46">
        <f ca="1">IF(OR(Registro!D25="Resuelto",Registro!D25=""),"",SUM(C26,F26,I26,L26))</f>
        <v>24</v>
      </c>
      <c r="N26" s="46">
        <f ca="1">IF(OR(Registro!D25="Resuelto",Registro!D25=""),"",SUM(B26,E26,H26,K26))</f>
        <v>10</v>
      </c>
      <c r="O26" s="46" t="str">
        <f>IF(OR(Registro!D25="Resuelto",Registro!D25=""),"",_xlfn.CONCAT(A26,D26,G26,J26))</f>
        <v>6297-PFIN-26</v>
      </c>
      <c r="P26" s="47">
        <v>18</v>
      </c>
      <c r="Q26" s="47" t="str">
        <f t="shared" ca="1" si="0"/>
        <v>6376-PFIN-26</v>
      </c>
      <c r="R26" s="48">
        <f t="shared" ca="1" si="1"/>
        <v>-7</v>
      </c>
      <c r="S26" s="32"/>
      <c r="T26" s="32"/>
      <c r="U26" s="32"/>
      <c r="V26" s="32"/>
      <c r="W26" s="47" t="str">
        <f>IF(X26="","",MAX($W$5:W25)+1)</f>
        <v/>
      </c>
      <c r="X26" s="50" t="str">
        <f>IF(Registro!M25="","",IF(COUNTIF($X$8:X25,Registro!M25)=0,Registro!M25,""))</f>
        <v/>
      </c>
      <c r="Y26" s="50" t="str">
        <f t="shared" si="2"/>
        <v/>
      </c>
    </row>
    <row r="27" spans="1:25">
      <c r="A27" s="45" t="str">
        <f>IF(AND(Registro!D26="Abierto",Registro!E26="Urgente"),Registro!B26,"")</f>
        <v/>
      </c>
      <c r="B27" s="45" t="str">
        <f ca="1">IF(AND(Registro!D26="Abierto",Registro!E26="Urgente"),TODAY()-Registro!R26,"")</f>
        <v/>
      </c>
      <c r="C27" s="45" t="str">
        <f>IF(AND(Registro!D26="Abierto",Registro!E26="Urgente"),RANK(B27,$B$9:$B$1000,0)+COUNTIF($B$9:B27,B27)-1,"")</f>
        <v/>
      </c>
      <c r="D27" s="45" t="str">
        <f>IF(AND(Registro!D26="Abierto",Registro!E26="Alta"),Registro!B26,"")</f>
        <v/>
      </c>
      <c r="E27" s="45" t="str">
        <f ca="1">IF(AND(Registro!D26="Abierto",Registro!E26="Alta"),TODAY()-Registro!R26,"")</f>
        <v/>
      </c>
      <c r="F27" s="45" t="str">
        <f>IF(AND(Registro!D26="Abierto",Registro!E26="Alta"),RANK(E27,$E$9:$E$1000,0)+COUNTIF($E$9:E27,E27)-1+MAX(C$5:C$1000),"")</f>
        <v/>
      </c>
      <c r="G27" s="45" t="str">
        <f>IF(AND(Registro!D26="Abierto",Registro!E26="Media"),Registro!B26,"")</f>
        <v>6295-PFIN-26</v>
      </c>
      <c r="H27" s="45">
        <f ca="1">IF(AND(Registro!D26="Abierto",Registro!E26="Media"),TODAY()-Registro!R26,"")</f>
        <v>-4</v>
      </c>
      <c r="I27" s="45">
        <f ca="1">IF(AND(Registro!D26="Abierto",Registro!E26="Media"),RANK(H27,$H$9:$H$1000,0)+COUNTIF($H$9:H27,H27)-1+MAX(C$5:C$1000,F$5:F$1000),"")</f>
        <v>15</v>
      </c>
      <c r="J27" s="45" t="str">
        <f>IF(AND(Registro!D26="Abierto",Registro!E26="Baja"),Registro!B26,"")</f>
        <v/>
      </c>
      <c r="K27" s="45" t="str">
        <f ca="1">IF(AND(Registro!D26="Abierto",Registro!E26="Baja"),TODAY()-Registro!R26,"")</f>
        <v/>
      </c>
      <c r="L27" s="45" t="str">
        <f>IF(AND(Registro!D26="Abierto",Registro!E26="Baja"),RANK(K27,$K$9:$K$1000,0)+COUNTIF($K$9:K27,K27)-1+MAX(C$5:C$1000,F$5:F$1000,I$5:I$1000),"")</f>
        <v/>
      </c>
      <c r="M27" s="46">
        <f ca="1">IF(OR(Registro!D26="Resuelto",Registro!D26=""),"",SUM(C27,F27,I27,L27))</f>
        <v>15</v>
      </c>
      <c r="N27" s="46">
        <f ca="1">IF(OR(Registro!D26="Resuelto",Registro!D26=""),"",SUM(B27,E27,H27,K27))</f>
        <v>-4</v>
      </c>
      <c r="O27" s="46" t="str">
        <f>IF(OR(Registro!D26="Resuelto",Registro!D26=""),"",_xlfn.CONCAT(A27,D27,G27,J27))</f>
        <v>6295-PFIN-26</v>
      </c>
      <c r="P27" s="47">
        <v>19</v>
      </c>
      <c r="Q27" s="47" t="str">
        <f t="shared" ca="1" si="0"/>
        <v>5795-PFAN-26</v>
      </c>
      <c r="R27" s="48">
        <f t="shared" ca="1" si="1"/>
        <v>46310</v>
      </c>
      <c r="S27" s="32"/>
      <c r="T27" s="32"/>
      <c r="U27" s="32"/>
      <c r="V27" s="32"/>
      <c r="W27" s="47" t="str">
        <f>IF(X27="","",MAX($W$5:W26)+1)</f>
        <v/>
      </c>
      <c r="X27" s="50" t="str">
        <f>IF(Registro!M26="","",IF(COUNTIF($X$8:X26,Registro!M26)=0,Registro!M26,""))</f>
        <v/>
      </c>
      <c r="Y27" s="50" t="str">
        <f t="shared" si="2"/>
        <v/>
      </c>
    </row>
    <row r="28" spans="1:25">
      <c r="A28" s="45" t="str">
        <f>IF(AND(Registro!D27="Abierto",Registro!E27="Urgente"),Registro!B27,"")</f>
        <v/>
      </c>
      <c r="B28" s="45" t="str">
        <f ca="1">IF(AND(Registro!D27="Abierto",Registro!E27="Urgente"),TODAY()-Registro!R27,"")</f>
        <v/>
      </c>
      <c r="C28" s="45" t="str">
        <f>IF(AND(Registro!D27="Abierto",Registro!E27="Urgente"),RANK(B28,$B$9:$B$1000,0)+COUNTIF($B$9:B28,B28)-1,"")</f>
        <v/>
      </c>
      <c r="D28" s="45" t="str">
        <f>IF(AND(Registro!D27="Abierto",Registro!E27="Alta"),Registro!B27,"")</f>
        <v/>
      </c>
      <c r="E28" s="45" t="str">
        <f ca="1">IF(AND(Registro!D27="Abierto",Registro!E27="Alta"),TODAY()-Registro!R27,"")</f>
        <v/>
      </c>
      <c r="F28" s="45" t="str">
        <f>IF(AND(Registro!D27="Abierto",Registro!E27="Alta"),RANK(E28,$E$9:$E$1000,0)+COUNTIF($E$9:E28,E28)-1+MAX(C$5:C$1000),"")</f>
        <v/>
      </c>
      <c r="G28" s="45" t="str">
        <f>IF(AND(Registro!D27="Abierto",Registro!E27="Media"),Registro!B27,"")</f>
        <v/>
      </c>
      <c r="H28" s="45" t="str">
        <f ca="1">IF(AND(Registro!D27="Abierto",Registro!E27="Media"),TODAY()-Registro!R27,"")</f>
        <v/>
      </c>
      <c r="I28" s="45" t="str">
        <f>IF(AND(Registro!D27="Abierto",Registro!E27="Media"),RANK(H28,$H$9:$H$1000,0)+COUNTIF($H$9:H28,H28)-1+MAX(C$5:C$1000,F$5:F$1000),"")</f>
        <v/>
      </c>
      <c r="J28" s="45" t="str">
        <f>IF(AND(Registro!D27="Abierto",Registro!E27="Baja"),Registro!B27,"")</f>
        <v/>
      </c>
      <c r="K28" s="45" t="str">
        <f ca="1">IF(AND(Registro!D27="Abierto",Registro!E27="Baja"),TODAY()-Registro!R27,"")</f>
        <v/>
      </c>
      <c r="L28" s="45" t="str">
        <f>IF(AND(Registro!D27="Abierto",Registro!E27="Baja"),RANK(K28,$K$9:$K$1000,0)+COUNTIF($K$9:K28,K28)-1+MAX(C$5:C$1000,F$5:F$1000,I$5:I$1000),"")</f>
        <v/>
      </c>
      <c r="M28" s="46" t="str">
        <f>IF(OR(Registro!D27="Resuelto",Registro!D27=""),"",SUM(C28,F28,I28,L28))</f>
        <v/>
      </c>
      <c r="N28" s="46" t="str">
        <f>IF(OR(Registro!D27="Resuelto",Registro!D27=""),"",SUM(B28,E28,H28,K28))</f>
        <v/>
      </c>
      <c r="O28" s="46" t="str">
        <f>IF(OR(Registro!D27="Resuelto",Registro!D27=""),"",_xlfn.CONCAT(A28,D28,G28,J28))</f>
        <v/>
      </c>
      <c r="P28" s="47">
        <v>20</v>
      </c>
      <c r="Q28" s="47" t="str">
        <f t="shared" ca="1" si="0"/>
        <v>5796-PFAN-26</v>
      </c>
      <c r="R28" s="48">
        <f t="shared" ca="1" si="1"/>
        <v>46310</v>
      </c>
      <c r="S28" s="32"/>
      <c r="T28" s="32"/>
      <c r="U28" s="32"/>
      <c r="V28" s="32"/>
      <c r="W28" s="47" t="str">
        <f>IF(X28="","",MAX($W$5:W27)+1)</f>
        <v/>
      </c>
      <c r="X28" s="50" t="str">
        <f>IF(Registro!M27="","",IF(COUNTIF($X$8:X27,Registro!M27)=0,Registro!M27,""))</f>
        <v/>
      </c>
      <c r="Y28" s="50" t="str">
        <f t="shared" si="2"/>
        <v/>
      </c>
    </row>
    <row r="29" spans="1:25">
      <c r="A29" s="45" t="str">
        <f>IF(AND(Registro!D28="Abierto",Registro!E28="Urgente"),Registro!B28,"")</f>
        <v/>
      </c>
      <c r="B29" s="45" t="str">
        <f ca="1">IF(AND(Registro!D28="Abierto",Registro!E28="Urgente"),TODAY()-Registro!R28,"")</f>
        <v/>
      </c>
      <c r="C29" s="45" t="str">
        <f>IF(AND(Registro!D28="Abierto",Registro!E28="Urgente"),RANK(B29,$B$9:$B$1000,0)+COUNTIF($B$9:B29,B29)-1,"")</f>
        <v/>
      </c>
      <c r="D29" s="45" t="str">
        <f>IF(AND(Registro!D28="Abierto",Registro!E28="Alta"),Registro!B28,"")</f>
        <v/>
      </c>
      <c r="E29" s="45" t="str">
        <f ca="1">IF(AND(Registro!D28="Abierto",Registro!E28="Alta"),TODAY()-Registro!R28,"")</f>
        <v/>
      </c>
      <c r="F29" s="45" t="str">
        <f>IF(AND(Registro!D28="Abierto",Registro!E28="Alta"),RANK(E29,$E$9:$E$1000,0)+COUNTIF($E$9:E29,E29)-1+MAX(C$5:C$1000),"")</f>
        <v/>
      </c>
      <c r="G29" s="45" t="str">
        <f>IF(AND(Registro!D28="Abierto",Registro!E28="Media"),Registro!B28,"")</f>
        <v/>
      </c>
      <c r="H29" s="45" t="str">
        <f ca="1">IF(AND(Registro!D28="Abierto",Registro!E28="Media"),TODAY()-Registro!R28,"")</f>
        <v/>
      </c>
      <c r="I29" s="45" t="str">
        <f>IF(AND(Registro!D28="Abierto",Registro!E28="Media"),RANK(H29,$H$9:$H$1000,0)+COUNTIF($H$9:H29,H29)-1+MAX(C$5:C$1000,F$5:F$1000),"")</f>
        <v/>
      </c>
      <c r="J29" s="45" t="str">
        <f>IF(AND(Registro!D28="Abierto",Registro!E28="Baja"),Registro!B28,"")</f>
        <v>6299-PFIN-26</v>
      </c>
      <c r="K29" s="45">
        <f ca="1">IF(AND(Registro!D28="Abierto",Registro!E28="Baja"),TODAY()-Registro!R28,"")</f>
        <v>0</v>
      </c>
      <c r="L29" s="45">
        <f ca="1">IF(AND(Registro!D28="Abierto",Registro!E28="Baja"),RANK(K29,$K$9:$K$1000,0)+COUNTIF($K$9:K29,K29)-1+MAX(C$5:C$1000,F$5:F$1000,I$5:I$1000),"")</f>
        <v>30</v>
      </c>
      <c r="M29" s="46">
        <f ca="1">IF(OR(Registro!D28="Resuelto",Registro!D28=""),"",SUM(C29,F29,I29,L29))</f>
        <v>30</v>
      </c>
      <c r="N29" s="46">
        <f ca="1">IF(OR(Registro!D28="Resuelto",Registro!D28=""),"",SUM(B29,E29,H29,K29))</f>
        <v>0</v>
      </c>
      <c r="O29" s="46" t="str">
        <f>IF(OR(Registro!D28="Resuelto",Registro!D28=""),"",_xlfn.CONCAT(A29,D29,G29,J29))</f>
        <v>6299-PFIN-26</v>
      </c>
      <c r="P29" s="47">
        <v>21</v>
      </c>
      <c r="Q29" s="47" t="str">
        <f t="shared" ca="1" si="0"/>
        <v>5797-PFAN-26</v>
      </c>
      <c r="R29" s="48">
        <f t="shared" ca="1" si="1"/>
        <v>46310</v>
      </c>
      <c r="S29" s="32"/>
      <c r="T29" s="32"/>
      <c r="U29" s="32"/>
      <c r="V29" s="32"/>
      <c r="W29" s="47" t="str">
        <f>IF(X29="","",MAX($W$5:W28)+1)</f>
        <v/>
      </c>
      <c r="X29" s="50" t="str">
        <f>IF(Registro!M28="","",IF(COUNTIF($X$8:X28,Registro!M28)=0,Registro!M28,""))</f>
        <v/>
      </c>
      <c r="Y29" s="50" t="str">
        <f t="shared" si="2"/>
        <v/>
      </c>
    </row>
    <row r="30" spans="1:25">
      <c r="A30" s="45" t="str">
        <f>IF(AND(Registro!D29="Abierto",Registro!E29="Urgente"),Registro!B29,"")</f>
        <v/>
      </c>
      <c r="B30" s="45" t="str">
        <f ca="1">IF(AND(Registro!D29="Abierto",Registro!E29="Urgente"),TODAY()-Registro!R29,"")</f>
        <v/>
      </c>
      <c r="C30" s="45" t="str">
        <f>IF(AND(Registro!D29="Abierto",Registro!E29="Urgente"),RANK(B30,$B$9:$B$1000,0)+COUNTIF($B$9:B30,B30)-1,"")</f>
        <v/>
      </c>
      <c r="D30" s="45" t="str">
        <f>IF(AND(Registro!D29="Abierto",Registro!E29="Alta"),Registro!B29,"")</f>
        <v/>
      </c>
      <c r="E30" s="45" t="str">
        <f ca="1">IF(AND(Registro!D29="Abierto",Registro!E29="Alta"),TODAY()-Registro!R29,"")</f>
        <v/>
      </c>
      <c r="F30" s="45" t="str">
        <f>IF(AND(Registro!D29="Abierto",Registro!E29="Alta"),RANK(E30,$E$9:$E$1000,0)+COUNTIF($E$9:E30,E30)-1+MAX(C$5:C$1000),"")</f>
        <v/>
      </c>
      <c r="G30" s="45" t="str">
        <f>IF(AND(Registro!D29="Abierto",Registro!E29="Media"),Registro!B29,"")</f>
        <v>6304-PFIN-26</v>
      </c>
      <c r="H30" s="45">
        <f ca="1">IF(AND(Registro!D29="Abierto",Registro!E29="Media"),TODAY()-Registro!R29,"")</f>
        <v>44</v>
      </c>
      <c r="I30" s="45">
        <f ca="1">IF(AND(Registro!D29="Abierto",Registro!E29="Media"),RANK(H30,$H$9:$H$1000,0)+COUNTIF($H$9:H30,H30)-1+MAX(C$5:C$1000,F$5:F$1000),"")</f>
        <v>11</v>
      </c>
      <c r="J30" s="45" t="str">
        <f>IF(AND(Registro!D29="Abierto",Registro!E29="Baja"),Registro!B29,"")</f>
        <v/>
      </c>
      <c r="K30" s="45" t="str">
        <f ca="1">IF(AND(Registro!D29="Abierto",Registro!E29="Baja"),TODAY()-Registro!R29,"")</f>
        <v/>
      </c>
      <c r="L30" s="45" t="str">
        <f>IF(AND(Registro!D29="Abierto",Registro!E29="Baja"),RANK(K30,$K$9:$K$1000,0)+COUNTIF($K$9:K30,K30)-1+MAX(C$5:C$1000,F$5:F$1000,I$5:I$1000),"")</f>
        <v/>
      </c>
      <c r="M30" s="46">
        <f ca="1">IF(OR(Registro!D29="Resuelto",Registro!D29=""),"",SUM(C30,F30,I30,L30))</f>
        <v>11</v>
      </c>
      <c r="N30" s="46">
        <f ca="1">IF(OR(Registro!D29="Resuelto",Registro!D29=""),"",SUM(B30,E30,H30,K30))</f>
        <v>44</v>
      </c>
      <c r="O30" s="46" t="str">
        <f>IF(OR(Registro!D29="Resuelto",Registro!D29=""),"",_xlfn.CONCAT(A30,D30,G30,J30))</f>
        <v>6304-PFIN-26</v>
      </c>
      <c r="P30" s="47">
        <v>22</v>
      </c>
      <c r="Q30" s="47" t="str">
        <f t="shared" ca="1" si="0"/>
        <v>6384-PFIN-26</v>
      </c>
      <c r="R30" s="48">
        <f t="shared" ca="1" si="1"/>
        <v>46310</v>
      </c>
      <c r="S30" s="32"/>
      <c r="T30" s="32"/>
      <c r="U30" s="32"/>
      <c r="V30" s="32"/>
      <c r="W30" s="47" t="str">
        <f>IF(X30="","",MAX($W$5:W29)+1)</f>
        <v/>
      </c>
      <c r="X30" s="50" t="str">
        <f>IF(Registro!M29="","",IF(COUNTIF($X$8:X29,Registro!M29)=0,Registro!M29,""))</f>
        <v/>
      </c>
      <c r="Y30" s="50" t="str">
        <f t="shared" si="2"/>
        <v/>
      </c>
    </row>
    <row r="31" spans="1:25">
      <c r="A31" s="45" t="str">
        <f>IF(AND(Registro!D30="Abierto",Registro!E30="Urgente"),Registro!B30,"")</f>
        <v/>
      </c>
      <c r="B31" s="45" t="str">
        <f ca="1">IF(AND(Registro!D30="Abierto",Registro!E30="Urgente"),TODAY()-Registro!R30,"")</f>
        <v/>
      </c>
      <c r="C31" s="45" t="str">
        <f>IF(AND(Registro!D30="Abierto",Registro!E30="Urgente"),RANK(B31,$B$9:$B$1000,0)+COUNTIF($B$9:B31,B31)-1,"")</f>
        <v/>
      </c>
      <c r="D31" s="45" t="str">
        <f>IF(AND(Registro!D30="Abierto",Registro!E30="Alta"),Registro!B30,"")</f>
        <v/>
      </c>
      <c r="E31" s="45" t="str">
        <f ca="1">IF(AND(Registro!D30="Abierto",Registro!E30="Alta"),TODAY()-Registro!R30,"")</f>
        <v/>
      </c>
      <c r="F31" s="45" t="str">
        <f>IF(AND(Registro!D30="Abierto",Registro!E30="Alta"),RANK(E31,$E$9:$E$1000,0)+COUNTIF($E$9:E31,E31)-1+MAX(C$5:C$1000),"")</f>
        <v/>
      </c>
      <c r="G31" s="45" t="str">
        <f>IF(AND(Registro!D30="Abierto",Registro!E30="Media"),Registro!B30,"")</f>
        <v>6305-PFIN-26</v>
      </c>
      <c r="H31" s="45">
        <f ca="1">IF(AND(Registro!D30="Abierto",Registro!E30="Media"),TODAY()-Registro!R30,"")</f>
        <v>44</v>
      </c>
      <c r="I31" s="45">
        <f ca="1">IF(AND(Registro!D30="Abierto",Registro!E30="Media"),RANK(H31,$H$9:$H$1000,0)+COUNTIF($H$9:H31,H31)-1+MAX(C$5:C$1000,F$5:F$1000),"")</f>
        <v>12</v>
      </c>
      <c r="J31" s="45" t="str">
        <f>IF(AND(Registro!D30="Abierto",Registro!E30="Baja"),Registro!B30,"")</f>
        <v/>
      </c>
      <c r="K31" s="45" t="str">
        <f ca="1">IF(AND(Registro!D30="Abierto",Registro!E30="Baja"),TODAY()-Registro!R30,"")</f>
        <v/>
      </c>
      <c r="L31" s="45" t="str">
        <f>IF(AND(Registro!D30="Abierto",Registro!E30="Baja"),RANK(K31,$K$9:$K$1000,0)+COUNTIF($K$9:K31,K31)-1+MAX(C$5:C$1000,F$5:F$1000,I$5:I$1000),"")</f>
        <v/>
      </c>
      <c r="M31" s="46">
        <f ca="1">IF(OR(Registro!D30="Resuelto",Registro!D30=""),"",SUM(C31,F31,I31,L31))</f>
        <v>12</v>
      </c>
      <c r="N31" s="46">
        <f ca="1">IF(OR(Registro!D30="Resuelto",Registro!D30=""),"",SUM(B31,E31,H31,K31))</f>
        <v>44</v>
      </c>
      <c r="O31" s="46" t="str">
        <f>IF(OR(Registro!D30="Resuelto",Registro!D30=""),"",_xlfn.CONCAT(A31,D31,G31,J31))</f>
        <v>6305-PFIN-26</v>
      </c>
      <c r="P31" s="47">
        <v>23</v>
      </c>
      <c r="Q31" s="47" t="str">
        <f t="shared" ca="1" si="0"/>
        <v>6285-PFIN-26</v>
      </c>
      <c r="R31" s="48">
        <f t="shared" ca="1" si="1"/>
        <v>24</v>
      </c>
      <c r="S31" s="32"/>
      <c r="T31" s="32"/>
      <c r="U31" s="32"/>
      <c r="V31" s="32"/>
      <c r="W31" s="47" t="str">
        <f>IF(X31="","",MAX($W$5:W30)+1)</f>
        <v/>
      </c>
      <c r="X31" s="50" t="str">
        <f>IF(Registro!M30="","",IF(COUNTIF($X$8:X30,Registro!M30)=0,Registro!M30,""))</f>
        <v/>
      </c>
      <c r="Y31" s="50" t="str">
        <f t="shared" si="2"/>
        <v/>
      </c>
    </row>
    <row r="32" spans="1:25">
      <c r="A32" s="45" t="str">
        <f>IF(AND(Registro!D31="Abierto",Registro!E31="Urgente"),Registro!B31,"")</f>
        <v/>
      </c>
      <c r="B32" s="45" t="str">
        <f ca="1">IF(AND(Registro!D31="Abierto",Registro!E31="Urgente"),TODAY()-Registro!R31,"")</f>
        <v/>
      </c>
      <c r="C32" s="45" t="str">
        <f>IF(AND(Registro!D31="Abierto",Registro!E31="Urgente"),RANK(B32,$B$9:$B$1000,0)+COUNTIF($B$9:B32,B32)-1,"")</f>
        <v/>
      </c>
      <c r="D32" s="45" t="str">
        <f>IF(AND(Registro!D31="Abierto",Registro!E31="Alta"),Registro!B31,"")</f>
        <v/>
      </c>
      <c r="E32" s="45" t="str">
        <f ca="1">IF(AND(Registro!D31="Abierto",Registro!E31="Alta"),TODAY()-Registro!R31,"")</f>
        <v/>
      </c>
      <c r="F32" s="45" t="str">
        <f>IF(AND(Registro!D31="Abierto",Registro!E31="Alta"),RANK(E32,$E$9:$E$1000,0)+COUNTIF($E$9:E32,E32)-1+MAX(C$5:C$1000),"")</f>
        <v/>
      </c>
      <c r="G32" s="45" t="str">
        <f>IF(AND(Registro!D31="Abierto",Registro!E31="Media"),Registro!B31,"")</f>
        <v>6306-PFIN-26</v>
      </c>
      <c r="H32" s="45">
        <f ca="1">IF(AND(Registro!D31="Abierto",Registro!E31="Media"),TODAY()-Registro!R31,"")</f>
        <v>44</v>
      </c>
      <c r="I32" s="45">
        <f ca="1">IF(AND(Registro!D31="Abierto",Registro!E31="Media"),RANK(H32,$H$9:$H$1000,0)+COUNTIF($H$9:H32,H32)-1+MAX(C$5:C$1000,F$5:F$1000),"")</f>
        <v>13</v>
      </c>
      <c r="J32" s="45" t="str">
        <f>IF(AND(Registro!D31="Abierto",Registro!E31="Baja"),Registro!B31,"")</f>
        <v/>
      </c>
      <c r="K32" s="45" t="str">
        <f ca="1">IF(AND(Registro!D31="Abierto",Registro!E31="Baja"),TODAY()-Registro!R31,"")</f>
        <v/>
      </c>
      <c r="L32" s="45" t="str">
        <f>IF(AND(Registro!D31="Abierto",Registro!E31="Baja"),RANK(K32,$K$9:$K$1000,0)+COUNTIF($K$9:K32,K32)-1+MAX(C$5:C$1000,F$5:F$1000,I$5:I$1000),"")</f>
        <v/>
      </c>
      <c r="M32" s="46">
        <f ca="1">IF(OR(Registro!D31="Resuelto",Registro!D31=""),"",SUM(C32,F32,I32,L32))</f>
        <v>13</v>
      </c>
      <c r="N32" s="46">
        <f ca="1">IF(OR(Registro!D31="Resuelto",Registro!D31=""),"",SUM(B32,E32,H32,K32))</f>
        <v>44</v>
      </c>
      <c r="O32" s="46" t="str">
        <f>IF(OR(Registro!D31="Resuelto",Registro!D31=""),"",_xlfn.CONCAT(A32,D32,G32,J32))</f>
        <v>6306-PFIN-26</v>
      </c>
      <c r="P32" s="47">
        <v>24</v>
      </c>
      <c r="Q32" s="47" t="str">
        <f t="shared" ca="1" si="0"/>
        <v>6297-PFIN-26</v>
      </c>
      <c r="R32" s="48">
        <f t="shared" ca="1" si="1"/>
        <v>10</v>
      </c>
      <c r="S32" s="32"/>
      <c r="T32" s="32"/>
      <c r="U32" s="32"/>
      <c r="V32" s="32"/>
      <c r="W32" s="47" t="str">
        <f>IF(X32="","",MAX($W$5:W31)+1)</f>
        <v/>
      </c>
      <c r="X32" s="50" t="str">
        <f>IF(Registro!M31="","",IF(COUNTIF($X$8:X31,Registro!M31)=0,Registro!M31,""))</f>
        <v/>
      </c>
      <c r="Y32" s="50" t="str">
        <f t="shared" si="2"/>
        <v/>
      </c>
    </row>
    <row r="33" spans="1:25">
      <c r="A33" s="45" t="str">
        <f>IF(AND(Registro!D32="Abierto",Registro!E32="Urgente"),Registro!B32,"")</f>
        <v/>
      </c>
      <c r="B33" s="45" t="str">
        <f ca="1">IF(AND(Registro!D32="Abierto",Registro!E32="Urgente"),TODAY()-Registro!R32,"")</f>
        <v/>
      </c>
      <c r="C33" s="45" t="str">
        <f>IF(AND(Registro!D32="Abierto",Registro!E32="Urgente"),RANK(B33,$B$9:$B$1000,0)+COUNTIF($B$9:B33,B33)-1,"")</f>
        <v/>
      </c>
      <c r="D33" s="45" t="str">
        <f>IF(AND(Registro!D32="Abierto",Registro!E32="Alta"),Registro!B32,"")</f>
        <v/>
      </c>
      <c r="E33" s="45" t="str">
        <f ca="1">IF(AND(Registro!D32="Abierto",Registro!E32="Alta"),TODAY()-Registro!R32,"")</f>
        <v/>
      </c>
      <c r="F33" s="45" t="str">
        <f>IF(AND(Registro!D32="Abierto",Registro!E32="Alta"),RANK(E33,$E$9:$E$1000,0)+COUNTIF($E$9:E33,E33)-1+MAX(C$5:C$1000),"")</f>
        <v/>
      </c>
      <c r="G33" s="45" t="str">
        <f>IF(AND(Registro!D32="Abierto",Registro!E32="Media"),Registro!B32,"")</f>
        <v/>
      </c>
      <c r="H33" s="45" t="str">
        <f ca="1">IF(AND(Registro!D32="Abierto",Registro!E32="Media"),TODAY()-Registro!R32,"")</f>
        <v/>
      </c>
      <c r="I33" s="45" t="str">
        <f>IF(AND(Registro!D32="Abierto",Registro!E32="Media"),RANK(H33,$H$9:$H$1000,0)+COUNTIF($H$9:H33,H33)-1+MAX(C$5:C$1000,F$5:F$1000),"")</f>
        <v/>
      </c>
      <c r="J33" s="45" t="str">
        <f>IF(AND(Registro!D32="Abierto",Registro!E32="Baja"),Registro!B32,"")</f>
        <v/>
      </c>
      <c r="K33" s="45" t="str">
        <f ca="1">IF(AND(Registro!D32="Abierto",Registro!E32="Baja"),TODAY()-Registro!R32,"")</f>
        <v/>
      </c>
      <c r="L33" s="45" t="str">
        <f>IF(AND(Registro!D32="Abierto",Registro!E32="Baja"),RANK(K33,$K$9:$K$1000,0)+COUNTIF($K$9:K33,K33)-1+MAX(C$5:C$1000,F$5:F$1000,I$5:I$1000),"")</f>
        <v/>
      </c>
      <c r="M33" s="46" t="str">
        <f>IF(OR(Registro!D32="Resuelto",Registro!D32=""),"",SUM(C33,F33,I33,L33))</f>
        <v/>
      </c>
      <c r="N33" s="46" t="str">
        <f>IF(OR(Registro!D32="Resuelto",Registro!D32=""),"",SUM(B33,E33,H33,K33))</f>
        <v/>
      </c>
      <c r="O33" s="46" t="str">
        <f>IF(OR(Registro!D32="Resuelto",Registro!D32=""),"",_xlfn.CONCAT(A33,D33,G33,J33))</f>
        <v/>
      </c>
      <c r="P33" s="47">
        <v>25</v>
      </c>
      <c r="Q33" s="47" t="str">
        <f t="shared" ca="1" si="0"/>
        <v>6316-PFIN-26</v>
      </c>
      <c r="R33" s="48">
        <f t="shared" ca="1" si="1"/>
        <v>10</v>
      </c>
      <c r="S33" s="32"/>
      <c r="T33" s="32"/>
      <c r="U33" s="32"/>
      <c r="V33" s="32"/>
      <c r="W33" s="47" t="str">
        <f>IF(X33="","",MAX($W$5:W32)+1)</f>
        <v/>
      </c>
      <c r="X33" s="50" t="str">
        <f>IF(Registro!M32="","",IF(COUNTIF($X$8:X32,Registro!M32)=0,Registro!M32,""))</f>
        <v/>
      </c>
      <c r="Y33" s="50" t="str">
        <f t="shared" si="2"/>
        <v/>
      </c>
    </row>
    <row r="34" spans="1:25">
      <c r="A34" s="45" t="str">
        <f>IF(AND(Registro!D33="Abierto",Registro!E33="Urgente"),Registro!B33,"")</f>
        <v/>
      </c>
      <c r="B34" s="45" t="str">
        <f ca="1">IF(AND(Registro!D33="Abierto",Registro!E33="Urgente"),TODAY()-Registro!R33,"")</f>
        <v/>
      </c>
      <c r="C34" s="45" t="str">
        <f>IF(AND(Registro!D33="Abierto",Registro!E33="Urgente"),RANK(B34,$B$9:$B$1000,0)+COUNTIF($B$9:B34,B34)-1,"")</f>
        <v/>
      </c>
      <c r="D34" s="45" t="str">
        <f>IF(AND(Registro!D33="Abierto",Registro!E33="Alta"),Registro!B33,"")</f>
        <v/>
      </c>
      <c r="E34" s="45" t="str">
        <f ca="1">IF(AND(Registro!D33="Abierto",Registro!E33="Alta"),TODAY()-Registro!R33,"")</f>
        <v/>
      </c>
      <c r="F34" s="45" t="str">
        <f>IF(AND(Registro!D33="Abierto",Registro!E33="Alta"),RANK(E34,$E$9:$E$1000,0)+COUNTIF($E$9:E34,E34)-1+MAX(C$5:C$1000),"")</f>
        <v/>
      </c>
      <c r="G34" s="45" t="str">
        <f>IF(AND(Registro!D33="Abierto",Registro!E33="Media"),Registro!B33,"")</f>
        <v/>
      </c>
      <c r="H34" s="45" t="str">
        <f ca="1">IF(AND(Registro!D33="Abierto",Registro!E33="Media"),TODAY()-Registro!R33,"")</f>
        <v/>
      </c>
      <c r="I34" s="45" t="str">
        <f>IF(AND(Registro!D33="Abierto",Registro!E33="Media"),RANK(H34,$H$9:$H$1000,0)+COUNTIF($H$9:H34,H34)-1+MAX(C$5:C$1000,F$5:F$1000),"")</f>
        <v/>
      </c>
      <c r="J34" s="45" t="str">
        <f>IF(AND(Registro!D33="Abierto",Registro!E33="Baja"),Registro!B33,"")</f>
        <v>6313-PFIN-26</v>
      </c>
      <c r="K34" s="45">
        <f ca="1">IF(AND(Registro!D33="Abierto",Registro!E33="Baja"),TODAY()-Registro!R33,"")</f>
        <v>-6</v>
      </c>
      <c r="L34" s="45">
        <f ca="1">IF(AND(Registro!D33="Abierto",Registro!E33="Baja"),RANK(K34,$K$9:$K$1000,0)+COUNTIF($K$9:K34,K34)-1+MAX(C$5:C$1000,F$5:F$1000,I$5:I$1000),"")</f>
        <v>32</v>
      </c>
      <c r="M34" s="46">
        <f ca="1">IF(OR(Registro!D33="Resuelto",Registro!D33=""),"",SUM(C34,F34,I34,L34))</f>
        <v>32</v>
      </c>
      <c r="N34" s="46">
        <f ca="1">IF(OR(Registro!D33="Resuelto",Registro!D33=""),"",SUM(B34,E34,H34,K34))</f>
        <v>-6</v>
      </c>
      <c r="O34" s="46" t="str">
        <f>IF(OR(Registro!D33="Resuelto",Registro!D33=""),"",_xlfn.CONCAT(A34,D34,G34,J34))</f>
        <v>6313-PFIN-26</v>
      </c>
      <c r="P34" s="47">
        <v>26</v>
      </c>
      <c r="Q34" s="47" t="str">
        <f t="shared" ca="1" si="0"/>
        <v>6283-PFIN-26</v>
      </c>
      <c r="R34" s="48">
        <f t="shared" ca="1" si="1"/>
        <v>6</v>
      </c>
      <c r="S34" s="32"/>
      <c r="T34" s="32"/>
      <c r="U34" s="32"/>
      <c r="V34" s="32"/>
      <c r="W34" s="47" t="str">
        <f>IF(X34="","",MAX($W$5:W33)+1)</f>
        <v/>
      </c>
      <c r="X34" s="50" t="str">
        <f>IF(Registro!M33="","",IF(COUNTIF($X$8:X33,Registro!M33)=0,Registro!M33,""))</f>
        <v/>
      </c>
      <c r="Y34" s="50" t="str">
        <f t="shared" si="2"/>
        <v/>
      </c>
    </row>
    <row r="35" spans="1:25">
      <c r="A35" s="45" t="str">
        <f>IF(AND(Registro!D34="Abierto",Registro!E34="Urgente"),Registro!B34,"")</f>
        <v/>
      </c>
      <c r="B35" s="45" t="str">
        <f ca="1">IF(AND(Registro!D34="Abierto",Registro!E34="Urgente"),TODAY()-Registro!R34,"")</f>
        <v/>
      </c>
      <c r="C35" s="45" t="str">
        <f>IF(AND(Registro!D34="Abierto",Registro!E34="Urgente"),RANK(B35,$B$9:$B$1000,0)+COUNTIF($B$9:B35,B35)-1,"")</f>
        <v/>
      </c>
      <c r="D35" s="45" t="str">
        <f>IF(AND(Registro!D34="Abierto",Registro!E34="Alta"),Registro!B34,"")</f>
        <v/>
      </c>
      <c r="E35" s="45" t="str">
        <f ca="1">IF(AND(Registro!D34="Abierto",Registro!E34="Alta"),TODAY()-Registro!R34,"")</f>
        <v/>
      </c>
      <c r="F35" s="45" t="str">
        <f>IF(AND(Registro!D34="Abierto",Registro!E34="Alta"),RANK(E35,$E$9:$E$1000,0)+COUNTIF($E$9:E35,E35)-1+MAX(C$5:C$1000),"")</f>
        <v/>
      </c>
      <c r="G35" s="45" t="str">
        <f>IF(AND(Registro!D34="Abierto",Registro!E34="Media"),Registro!B34,"")</f>
        <v/>
      </c>
      <c r="H35" s="45" t="str">
        <f ca="1">IF(AND(Registro!D34="Abierto",Registro!E34="Media"),TODAY()-Registro!R34,"")</f>
        <v/>
      </c>
      <c r="I35" s="45" t="str">
        <f>IF(AND(Registro!D34="Abierto",Registro!E34="Media"),RANK(H35,$H$9:$H$1000,0)+COUNTIF($H$9:H35,H35)-1+MAX(C$5:C$1000,F$5:F$1000),"")</f>
        <v/>
      </c>
      <c r="J35" s="45" t="str">
        <f>IF(AND(Registro!D34="Abierto",Registro!E34="Baja"),Registro!B34,"")</f>
        <v/>
      </c>
      <c r="K35" s="45" t="str">
        <f ca="1">IF(AND(Registro!D34="Abierto",Registro!E34="Baja"),TODAY()-Registro!R34,"")</f>
        <v/>
      </c>
      <c r="L35" s="45" t="str">
        <f>IF(AND(Registro!D34="Abierto",Registro!E34="Baja"),RANK(K35,$K$9:$K$1000,0)+COUNTIF($K$9:K35,K35)-1+MAX(C$5:C$1000,F$5:F$1000,I$5:I$1000),"")</f>
        <v/>
      </c>
      <c r="M35" s="46" t="str">
        <f>IF(OR(Registro!D34="Resuelto",Registro!D34=""),"",SUM(C35,F35,I35,L35))</f>
        <v/>
      </c>
      <c r="N35" s="46" t="str">
        <f>IF(OR(Registro!D34="Resuelto",Registro!D34=""),"",SUM(B35,E35,H35,K35))</f>
        <v/>
      </c>
      <c r="O35" s="46" t="str">
        <f>IF(OR(Registro!D34="Resuelto",Registro!D34=""),"",_xlfn.CONCAT(A35,D35,G35,J35))</f>
        <v/>
      </c>
      <c r="P35" s="47">
        <v>27</v>
      </c>
      <c r="Q35" s="47" t="str">
        <f t="shared" ca="1" si="0"/>
        <v>6281-PFIN-26</v>
      </c>
      <c r="R35" s="48">
        <f t="shared" ca="1" si="1"/>
        <v>2</v>
      </c>
      <c r="S35" s="32"/>
      <c r="T35" s="32"/>
      <c r="U35" s="32"/>
      <c r="V35" s="32"/>
      <c r="W35" s="47" t="str">
        <f>IF(X35="","",MAX($W$5:W34)+1)</f>
        <v/>
      </c>
      <c r="X35" s="50" t="str">
        <f>IF(Registro!M34="","",IF(COUNTIF($X$8:X34,Registro!M34)=0,Registro!M34,""))</f>
        <v/>
      </c>
      <c r="Y35" s="50" t="str">
        <f t="shared" si="2"/>
        <v/>
      </c>
    </row>
    <row r="36" spans="1:25">
      <c r="A36" s="45" t="str">
        <f>IF(AND(Registro!D35="Abierto",Registro!E35="Urgente"),Registro!B35,"")</f>
        <v/>
      </c>
      <c r="B36" s="45" t="str">
        <f ca="1">IF(AND(Registro!D35="Abierto",Registro!E35="Urgente"),TODAY()-Registro!R35,"")</f>
        <v/>
      </c>
      <c r="C36" s="45" t="str">
        <f>IF(AND(Registro!D35="Abierto",Registro!E35="Urgente"),RANK(B36,$B$9:$B$1000,0)+COUNTIF($B$9:B36,B36)-1,"")</f>
        <v/>
      </c>
      <c r="D36" s="45" t="str">
        <f>IF(AND(Registro!D35="Abierto",Registro!E35="Alta"),Registro!B35,"")</f>
        <v/>
      </c>
      <c r="E36" s="45" t="str">
        <f ca="1">IF(AND(Registro!D35="Abierto",Registro!E35="Alta"),TODAY()-Registro!R35,"")</f>
        <v/>
      </c>
      <c r="F36" s="45" t="str">
        <f>IF(AND(Registro!D35="Abierto",Registro!E35="Alta"),RANK(E36,$E$9:$E$1000,0)+COUNTIF($E$9:E36,E36)-1+MAX(C$5:C$1000),"")</f>
        <v/>
      </c>
      <c r="G36" s="45" t="str">
        <f>IF(AND(Registro!D35="Abierto",Registro!E35="Media"),Registro!B35,"")</f>
        <v/>
      </c>
      <c r="H36" s="45" t="str">
        <f ca="1">IF(AND(Registro!D35="Abierto",Registro!E35="Media"),TODAY()-Registro!R35,"")</f>
        <v/>
      </c>
      <c r="I36" s="45" t="str">
        <f>IF(AND(Registro!D35="Abierto",Registro!E35="Media"),RANK(H36,$H$9:$H$1000,0)+COUNTIF($H$9:H36,H36)-1+MAX(C$5:C$1000,F$5:F$1000),"")</f>
        <v/>
      </c>
      <c r="J36" s="45" t="str">
        <f>IF(AND(Registro!D35="Abierto",Registro!E35="Baja"),Registro!B35,"")</f>
        <v>6316-PFIN-26</v>
      </c>
      <c r="K36" s="45">
        <f ca="1">IF(AND(Registro!D35="Abierto",Registro!E35="Baja"),TODAY()-Registro!R35,"")</f>
        <v>10</v>
      </c>
      <c r="L36" s="45">
        <f ca="1">IF(AND(Registro!D35="Abierto",Registro!E35="Baja"),RANK(K36,$K$9:$K$1000,0)+COUNTIF($K$9:K36,K36)-1+MAX(C$5:C$1000,F$5:F$1000,I$5:I$1000),"")</f>
        <v>25</v>
      </c>
      <c r="M36" s="46">
        <f ca="1">IF(OR(Registro!D35="Resuelto",Registro!D35=""),"",SUM(C36,F36,I36,L36))</f>
        <v>25</v>
      </c>
      <c r="N36" s="46">
        <f ca="1">IF(OR(Registro!D35="Resuelto",Registro!D35=""),"",SUM(B36,E36,H36,K36))</f>
        <v>10</v>
      </c>
      <c r="O36" s="46" t="str">
        <f>IF(OR(Registro!D35="Resuelto",Registro!D35=""),"",_xlfn.CONCAT(A36,D36,G36,J36))</f>
        <v>6316-PFIN-26</v>
      </c>
      <c r="P36" s="47">
        <v>28</v>
      </c>
      <c r="Q36" s="47" t="str">
        <f t="shared" ca="1" si="0"/>
        <v>6294-PFIN-26</v>
      </c>
      <c r="R36" s="48">
        <f t="shared" ca="1" si="1"/>
        <v>2</v>
      </c>
      <c r="S36" s="32"/>
      <c r="T36" s="32"/>
      <c r="U36" s="32"/>
      <c r="V36" s="32"/>
      <c r="W36" s="47" t="str">
        <f>IF(X36="","",MAX($W$5:W35)+1)</f>
        <v/>
      </c>
      <c r="X36" s="50" t="str">
        <f>IF(Registro!M35="","",IF(COUNTIF($X$8:X35,Registro!M35)=0,Registro!M35,""))</f>
        <v/>
      </c>
      <c r="Y36" s="50" t="str">
        <f t="shared" si="2"/>
        <v/>
      </c>
    </row>
    <row r="37" spans="1:25">
      <c r="A37" s="45" t="str">
        <f>IF(AND(Registro!D36="Abierto",Registro!E36="Urgente"),Registro!B36,"")</f>
        <v/>
      </c>
      <c r="B37" s="45" t="str">
        <f ca="1">IF(AND(Registro!D36="Abierto",Registro!E36="Urgente"),TODAY()-Registro!R36,"")</f>
        <v/>
      </c>
      <c r="C37" s="45" t="str">
        <f>IF(AND(Registro!D36="Abierto",Registro!E36="Urgente"),RANK(B37,$B$9:$B$1000,0)+COUNTIF($B$9:B37,B37)-1,"")</f>
        <v/>
      </c>
      <c r="D37" s="45" t="str">
        <f>IF(AND(Registro!D36="Abierto",Registro!E36="Alta"),Registro!B36,"")</f>
        <v/>
      </c>
      <c r="E37" s="45" t="str">
        <f ca="1">IF(AND(Registro!D36="Abierto",Registro!E36="Alta"),TODAY()-Registro!R36,"")</f>
        <v/>
      </c>
      <c r="F37" s="45" t="str">
        <f>IF(AND(Registro!D36="Abierto",Registro!E36="Alta"),RANK(E37,$E$9:$E$1000,0)+COUNTIF($E$9:E37,E37)-1+MAX(C$5:C$1000),"")</f>
        <v/>
      </c>
      <c r="G37" s="45" t="str">
        <f>IF(AND(Registro!D36="Abierto",Registro!E36="Media"),Registro!B36,"")</f>
        <v/>
      </c>
      <c r="H37" s="45" t="str">
        <f ca="1">IF(AND(Registro!D36="Abierto",Registro!E36="Media"),TODAY()-Registro!R36,"")</f>
        <v/>
      </c>
      <c r="I37" s="45" t="str">
        <f>IF(AND(Registro!D36="Abierto",Registro!E36="Media"),RANK(H37,$H$9:$H$1000,0)+COUNTIF($H$9:H37,H37)-1+MAX(C$5:C$1000,F$5:F$1000),"")</f>
        <v/>
      </c>
      <c r="J37" s="45" t="str">
        <f>IF(AND(Registro!D36="Abierto",Registro!E36="Baja"),Registro!B36,"")</f>
        <v>6319-PFIN-26</v>
      </c>
      <c r="K37" s="45">
        <f ca="1">IF(AND(Registro!D36="Abierto",Registro!E36="Baja"),TODAY()-Registro!R36,"")</f>
        <v>-11</v>
      </c>
      <c r="L37" s="45">
        <f ca="1">IF(AND(Registro!D36="Abierto",Registro!E36="Baja"),RANK(K37,$K$9:$K$1000,0)+COUNTIF($K$9:K37,K37)-1+MAX(C$5:C$1000,F$5:F$1000,I$5:I$1000),"")</f>
        <v>34</v>
      </c>
      <c r="M37" s="46">
        <f ca="1">IF(OR(Registro!D36="Resuelto",Registro!D36=""),"",SUM(C37,F37,I37,L37))</f>
        <v>34</v>
      </c>
      <c r="N37" s="46">
        <f ca="1">IF(OR(Registro!D36="Resuelto",Registro!D36=""),"",SUM(B37,E37,H37,K37))</f>
        <v>-11</v>
      </c>
      <c r="O37" s="46" t="str">
        <f>IF(OR(Registro!D36="Resuelto",Registro!D36=""),"",_xlfn.CONCAT(A37,D37,G37,J37))</f>
        <v>6319-PFIN-26</v>
      </c>
      <c r="P37" s="47">
        <v>29</v>
      </c>
      <c r="Q37" s="47" t="str">
        <f t="shared" ca="1" si="0"/>
        <v>6340-PFIN-26</v>
      </c>
      <c r="R37" s="48">
        <f t="shared" ca="1" si="1"/>
        <v>2</v>
      </c>
      <c r="S37" s="32"/>
      <c r="T37" s="32"/>
      <c r="U37" s="32"/>
      <c r="V37" s="32"/>
      <c r="W37" s="47" t="str">
        <f>IF(X37="","",MAX($W$5:W36)+1)</f>
        <v/>
      </c>
      <c r="X37" s="50" t="str">
        <f>IF(Registro!M36="","",IF(COUNTIF($X$8:X36,Registro!M36)=0,Registro!M36,""))</f>
        <v/>
      </c>
      <c r="Y37" s="50" t="str">
        <f t="shared" si="2"/>
        <v/>
      </c>
    </row>
    <row r="38" spans="1:25">
      <c r="A38" s="45" t="str">
        <f>IF(AND(Registro!D37="Abierto",Registro!E37="Urgente"),Registro!B37,"")</f>
        <v/>
      </c>
      <c r="B38" s="45" t="str">
        <f ca="1">IF(AND(Registro!D37="Abierto",Registro!E37="Urgente"),TODAY()-Registro!R37,"")</f>
        <v/>
      </c>
      <c r="C38" s="45" t="str">
        <f>IF(AND(Registro!D37="Abierto",Registro!E37="Urgente"),RANK(B38,$B$9:$B$1000,0)+COUNTIF($B$9:B38,B38)-1,"")</f>
        <v/>
      </c>
      <c r="D38" s="45" t="str">
        <f>IF(AND(Registro!D37="Abierto",Registro!E37="Alta"),Registro!B37,"")</f>
        <v/>
      </c>
      <c r="E38" s="45" t="str">
        <f ca="1">IF(AND(Registro!D37="Abierto",Registro!E37="Alta"),TODAY()-Registro!R37,"")</f>
        <v/>
      </c>
      <c r="F38" s="45" t="str">
        <f>IF(AND(Registro!D37="Abierto",Registro!E37="Alta"),RANK(E38,$E$9:$E$1000,0)+COUNTIF($E$9:E38,E38)-1+MAX(C$5:C$1000),"")</f>
        <v/>
      </c>
      <c r="G38" s="45" t="str">
        <f>IF(AND(Registro!D37="Abierto",Registro!E37="Media"),Registro!B37,"")</f>
        <v/>
      </c>
      <c r="H38" s="45" t="str">
        <f ca="1">IF(AND(Registro!D37="Abierto",Registro!E37="Media"),TODAY()-Registro!R37,"")</f>
        <v/>
      </c>
      <c r="I38" s="45" t="str">
        <f>IF(AND(Registro!D37="Abierto",Registro!E37="Media"),RANK(H38,$H$9:$H$1000,0)+COUNTIF($H$9:H38,H38)-1+MAX(C$5:C$1000,F$5:F$1000),"")</f>
        <v/>
      </c>
      <c r="J38" s="45" t="str">
        <f>IF(AND(Registro!D37="Abierto",Registro!E37="Baja"),Registro!B37,"")</f>
        <v>6320-PFIN-26</v>
      </c>
      <c r="K38" s="45">
        <f ca="1">IF(AND(Registro!D37="Abierto",Registro!E37="Baja"),TODAY()-Registro!R37,"")</f>
        <v>-19</v>
      </c>
      <c r="L38" s="45">
        <f ca="1">IF(AND(Registro!D37="Abierto",Registro!E37="Baja"),RANK(K38,$K$9:$K$1000,0)+COUNTIF($K$9:K38,K38)-1+MAX(C$5:C$1000,F$5:F$1000,I$5:I$1000),"")</f>
        <v>36</v>
      </c>
      <c r="M38" s="46">
        <f ca="1">IF(OR(Registro!D37="Resuelto",Registro!D37=""),"",SUM(C38,F38,I38,L38))</f>
        <v>36</v>
      </c>
      <c r="N38" s="46">
        <f ca="1">IF(OR(Registro!D37="Resuelto",Registro!D37=""),"",SUM(B38,E38,H38,K38))</f>
        <v>-19</v>
      </c>
      <c r="O38" s="46" t="str">
        <f>IF(OR(Registro!D37="Resuelto",Registro!D37=""),"",_xlfn.CONCAT(A38,D38,G38,J38))</f>
        <v>6320-PFIN-26</v>
      </c>
      <c r="P38" s="47">
        <v>30</v>
      </c>
      <c r="Q38" s="47" t="str">
        <f t="shared" ca="1" si="0"/>
        <v>6299-PFIN-26</v>
      </c>
      <c r="R38" s="48">
        <f t="shared" ca="1" si="1"/>
        <v>0</v>
      </c>
      <c r="S38" s="32"/>
      <c r="T38" s="32"/>
      <c r="U38" s="32"/>
      <c r="V38" s="32"/>
      <c r="W38" s="47" t="str">
        <f>IF(X38="","",MAX($W$5:W37)+1)</f>
        <v/>
      </c>
      <c r="X38" s="50" t="str">
        <f>IF(Registro!M37="","",IF(COUNTIF($X$8:X37,Registro!M37)=0,Registro!M37,""))</f>
        <v/>
      </c>
      <c r="Y38" s="50" t="str">
        <f t="shared" si="2"/>
        <v/>
      </c>
    </row>
    <row r="39" spans="1:25">
      <c r="A39" s="45" t="str">
        <f>IF(AND(Registro!D38="Abierto",Registro!E38="Urgente"),Registro!B38,"")</f>
        <v/>
      </c>
      <c r="B39" s="45" t="str">
        <f ca="1">IF(AND(Registro!D38="Abierto",Registro!E38="Urgente"),TODAY()-Registro!R38,"")</f>
        <v/>
      </c>
      <c r="C39" s="45" t="str">
        <f>IF(AND(Registro!D38="Abierto",Registro!E38="Urgente"),RANK(B39,$B$9:$B$1000,0)+COUNTIF($B$9:B39,B39)-1,"")</f>
        <v/>
      </c>
      <c r="D39" s="45" t="str">
        <f>IF(AND(Registro!D38="Abierto",Registro!E38="Alta"),Registro!B38,"")</f>
        <v/>
      </c>
      <c r="E39" s="45" t="str">
        <f ca="1">IF(AND(Registro!D38="Abierto",Registro!E38="Alta"),TODAY()-Registro!R38,"")</f>
        <v/>
      </c>
      <c r="F39" s="45" t="str">
        <f>IF(AND(Registro!D38="Abierto",Registro!E38="Alta"),RANK(E39,$E$9:$E$1000,0)+COUNTIF($E$9:E39,E39)-1+MAX(C$5:C$1000),"")</f>
        <v/>
      </c>
      <c r="G39" s="45" t="str">
        <f>IF(AND(Registro!D38="Abierto",Registro!E38="Media"),Registro!B38,"")</f>
        <v/>
      </c>
      <c r="H39" s="45" t="str">
        <f ca="1">IF(AND(Registro!D38="Abierto",Registro!E38="Media"),TODAY()-Registro!R38,"")</f>
        <v/>
      </c>
      <c r="I39" s="45" t="str">
        <f>IF(AND(Registro!D38="Abierto",Registro!E38="Media"),RANK(H39,$H$9:$H$1000,0)+COUNTIF($H$9:H39,H39)-1+MAX(C$5:C$1000,F$5:F$1000),"")</f>
        <v/>
      </c>
      <c r="J39" s="45" t="str">
        <f>IF(AND(Registro!D38="Abierto",Registro!E38="Baja"),Registro!B38,"")</f>
        <v>6321-PFIN-26</v>
      </c>
      <c r="K39" s="45">
        <f ca="1">IF(AND(Registro!D38="Abierto",Registro!E38="Baja"),TODAY()-Registro!R38,"")</f>
        <v>-39</v>
      </c>
      <c r="L39" s="45">
        <f ca="1">IF(AND(Registro!D38="Abierto",Registro!E38="Baja"),RANK(K39,$K$9:$K$1000,0)+COUNTIF($K$9:K39,K39)-1+MAX(C$5:C$1000,F$5:F$1000,I$5:I$1000),"")</f>
        <v>41</v>
      </c>
      <c r="M39" s="46">
        <f ca="1">IF(OR(Registro!D38="Resuelto",Registro!D38=""),"",SUM(C39,F39,I39,L39))</f>
        <v>41</v>
      </c>
      <c r="N39" s="46">
        <f ca="1">IF(OR(Registro!D38="Resuelto",Registro!D38=""),"",SUM(B39,E39,H39,K39))</f>
        <v>-39</v>
      </c>
      <c r="O39" s="46" t="str">
        <f>IF(OR(Registro!D38="Resuelto",Registro!D38=""),"",_xlfn.CONCAT(A39,D39,G39,J39))</f>
        <v>6321-PFIN-26</v>
      </c>
      <c r="P39" s="47">
        <v>31</v>
      </c>
      <c r="Q39" s="47" t="str">
        <f t="shared" ca="1" si="0"/>
        <v>6360-PFIN-26</v>
      </c>
      <c r="R39" s="48">
        <f t="shared" ca="1" si="1"/>
        <v>0</v>
      </c>
      <c r="S39" s="32"/>
      <c r="T39" s="32"/>
      <c r="U39" s="32"/>
      <c r="V39" s="32"/>
      <c r="W39" s="47" t="str">
        <f>IF(X39="","",MAX($W$5:W38)+1)</f>
        <v/>
      </c>
      <c r="X39" s="50" t="str">
        <f>IF(Registro!M38="","",IF(COUNTIF($X$8:X38,Registro!M38)=0,Registro!M38,""))</f>
        <v/>
      </c>
      <c r="Y39" s="50" t="str">
        <f t="shared" si="2"/>
        <v/>
      </c>
    </row>
    <row r="40" spans="1:25">
      <c r="A40" s="45" t="str">
        <f>IF(AND(Registro!D39="Abierto",Registro!E39="Urgente"),Registro!B39,"")</f>
        <v/>
      </c>
      <c r="B40" s="45" t="str">
        <f ca="1">IF(AND(Registro!D39="Abierto",Registro!E39="Urgente"),TODAY()-Registro!R39,"")</f>
        <v/>
      </c>
      <c r="C40" s="45" t="str">
        <f>IF(AND(Registro!D39="Abierto",Registro!E39="Urgente"),RANK(B40,$B$9:$B$1000,0)+COUNTIF($B$9:B40,B40)-1,"")</f>
        <v/>
      </c>
      <c r="D40" s="45" t="str">
        <f>IF(AND(Registro!D39="Abierto",Registro!E39="Alta"),Registro!B39,"")</f>
        <v/>
      </c>
      <c r="E40" s="45" t="str">
        <f ca="1">IF(AND(Registro!D39="Abierto",Registro!E39="Alta"),TODAY()-Registro!R39,"")</f>
        <v/>
      </c>
      <c r="F40" s="45" t="str">
        <f>IF(AND(Registro!D39="Abierto",Registro!E39="Alta"),RANK(E40,$E$9:$E$1000,0)+COUNTIF($E$9:E40,E40)-1+MAX(C$5:C$1000),"")</f>
        <v/>
      </c>
      <c r="G40" s="45" t="str">
        <f>IF(AND(Registro!D39="Abierto",Registro!E39="Media"),Registro!B39,"")</f>
        <v/>
      </c>
      <c r="H40" s="45" t="str">
        <f ca="1">IF(AND(Registro!D39="Abierto",Registro!E39="Media"),TODAY()-Registro!R39,"")</f>
        <v/>
      </c>
      <c r="I40" s="45" t="str">
        <f>IF(AND(Registro!D39="Abierto",Registro!E39="Media"),RANK(H40,$H$9:$H$1000,0)+COUNTIF($H$9:H40,H40)-1+MAX(C$5:C$1000,F$5:F$1000),"")</f>
        <v/>
      </c>
      <c r="J40" s="45" t="str">
        <f>IF(AND(Registro!D39="Abierto",Registro!E39="Baja"),Registro!B39,"")</f>
        <v>6322-PFIN-26</v>
      </c>
      <c r="K40" s="45">
        <f ca="1">IF(AND(Registro!D39="Abierto",Registro!E39="Baja"),TODAY()-Registro!R39,"")</f>
        <v>-43</v>
      </c>
      <c r="L40" s="45">
        <f ca="1">IF(AND(Registro!D39="Abierto",Registro!E39="Baja"),RANK(K40,$K$9:$K$1000,0)+COUNTIF($K$9:K40,K40)-1+MAX(C$5:C$1000,F$5:F$1000,I$5:I$1000),"")</f>
        <v>44</v>
      </c>
      <c r="M40" s="46">
        <f ca="1">IF(OR(Registro!D39="Resuelto",Registro!D39=""),"",SUM(C40,F40,I40,L40))</f>
        <v>44</v>
      </c>
      <c r="N40" s="46">
        <f ca="1">IF(OR(Registro!D39="Resuelto",Registro!D39=""),"",SUM(B40,E40,H40,K40))</f>
        <v>-43</v>
      </c>
      <c r="O40" s="46" t="str">
        <f>IF(OR(Registro!D39="Resuelto",Registro!D39=""),"",_xlfn.CONCAT(A40,D40,G40,J40))</f>
        <v>6322-PFIN-26</v>
      </c>
      <c r="P40" s="47">
        <v>32</v>
      </c>
      <c r="Q40" s="47" t="str">
        <f t="shared" ca="1" si="0"/>
        <v>6313-PFIN-26</v>
      </c>
      <c r="R40" s="48">
        <f t="shared" ca="1" si="1"/>
        <v>-6</v>
      </c>
      <c r="S40" s="32"/>
      <c r="T40" s="32"/>
      <c r="U40" s="32"/>
      <c r="V40" s="32"/>
      <c r="W40" s="47" t="str">
        <f>IF(X40="","",MAX($W$5:W39)+1)</f>
        <v/>
      </c>
      <c r="X40" s="50" t="str">
        <f>IF(Registro!M39="","",IF(COUNTIF($X$8:X39,Registro!M39)=0,Registro!M39,""))</f>
        <v/>
      </c>
      <c r="Y40" s="50" t="str">
        <f t="shared" si="2"/>
        <v/>
      </c>
    </row>
    <row r="41" spans="1:25">
      <c r="A41" s="45" t="str">
        <f>IF(AND(Registro!D40="Abierto",Registro!E40="Urgente"),Registro!B40,"")</f>
        <v/>
      </c>
      <c r="B41" s="45" t="str">
        <f ca="1">IF(AND(Registro!D40="Abierto",Registro!E40="Urgente"),TODAY()-Registro!R40,"")</f>
        <v/>
      </c>
      <c r="C41" s="45" t="str">
        <f>IF(AND(Registro!D40="Abierto",Registro!E40="Urgente"),RANK(B41,$B$9:$B$1000,0)+COUNTIF($B$9:B41,B41)-1,"")</f>
        <v/>
      </c>
      <c r="D41" s="45" t="str">
        <f>IF(AND(Registro!D40="Abierto",Registro!E40="Alta"),Registro!B40,"")</f>
        <v/>
      </c>
      <c r="E41" s="45" t="str">
        <f ca="1">IF(AND(Registro!D40="Abierto",Registro!E40="Alta"),TODAY()-Registro!R40,"")</f>
        <v/>
      </c>
      <c r="F41" s="45" t="str">
        <f>IF(AND(Registro!D40="Abierto",Registro!E40="Alta"),RANK(E41,$E$9:$E$1000,0)+COUNTIF($E$9:E41,E41)-1+MAX(C$5:C$1000),"")</f>
        <v/>
      </c>
      <c r="G41" s="45" t="str">
        <f>IF(AND(Registro!D40="Abierto",Registro!E40="Media"),Registro!B40,"")</f>
        <v/>
      </c>
      <c r="H41" s="45" t="str">
        <f ca="1">IF(AND(Registro!D40="Abierto",Registro!E40="Media"),TODAY()-Registro!R40,"")</f>
        <v/>
      </c>
      <c r="I41" s="45" t="str">
        <f>IF(AND(Registro!D40="Abierto",Registro!E40="Media"),RANK(H41,$H$9:$H$1000,0)+COUNTIF($H$9:H41,H41)-1+MAX(C$5:C$1000,F$5:F$1000),"")</f>
        <v/>
      </c>
      <c r="J41" s="45" t="str">
        <f>IF(AND(Registro!D40="Abierto",Registro!E40="Baja"),Registro!B40,"")</f>
        <v/>
      </c>
      <c r="K41" s="45" t="str">
        <f ca="1">IF(AND(Registro!D40="Abierto",Registro!E40="Baja"),TODAY()-Registro!R40,"")</f>
        <v/>
      </c>
      <c r="L41" s="45" t="str">
        <f>IF(AND(Registro!D40="Abierto",Registro!E40="Baja"),RANK(K41,$K$9:$K$1000,0)+COUNTIF($K$9:K41,K41)-1+MAX(C$5:C$1000,F$5:F$1000,I$5:I$1000),"")</f>
        <v/>
      </c>
      <c r="M41" s="46" t="str">
        <f>IF(OR(Registro!D40="Resuelto",Registro!D40=""),"",SUM(C41,F41,I41,L41))</f>
        <v/>
      </c>
      <c r="N41" s="46" t="str">
        <f>IF(OR(Registro!D40="Resuelto",Registro!D40=""),"",SUM(B41,E41,H41,K41))</f>
        <v/>
      </c>
      <c r="O41" s="46" t="str">
        <f>IF(OR(Registro!D40="Resuelto",Registro!D40=""),"",_xlfn.CONCAT(A41,D41,G41,J41))</f>
        <v/>
      </c>
      <c r="P41" s="47">
        <v>33</v>
      </c>
      <c r="Q41" s="47" t="str">
        <f t="shared" ca="1" si="0"/>
        <v>6341-PFIN-26</v>
      </c>
      <c r="R41" s="48">
        <f t="shared" ca="1" si="1"/>
        <v>-6</v>
      </c>
      <c r="S41" s="32"/>
      <c r="T41" s="32"/>
      <c r="U41" s="32"/>
      <c r="V41" s="32"/>
      <c r="W41" s="47" t="str">
        <f>IF(X41="","",MAX($W$5:W40)+1)</f>
        <v/>
      </c>
      <c r="X41" s="50" t="str">
        <f>IF(Registro!M40="","",IF(COUNTIF($X$8:X40,Registro!M40)=0,Registro!M40,""))</f>
        <v/>
      </c>
      <c r="Y41" s="50" t="str">
        <f t="shared" si="2"/>
        <v/>
      </c>
    </row>
    <row r="42" spans="1:25">
      <c r="A42" s="45" t="str">
        <f>IF(AND(Registro!D41="Abierto",Registro!E41="Urgente"),Registro!B41,"")</f>
        <v/>
      </c>
      <c r="B42" s="45" t="str">
        <f ca="1">IF(AND(Registro!D41="Abierto",Registro!E41="Urgente"),TODAY()-Registro!R41,"")</f>
        <v/>
      </c>
      <c r="C42" s="45" t="str">
        <f>IF(AND(Registro!D41="Abierto",Registro!E41="Urgente"),RANK(B42,$B$9:$B$1000,0)+COUNTIF($B$9:B42,B42)-1,"")</f>
        <v/>
      </c>
      <c r="D42" s="45" t="str">
        <f>IF(AND(Registro!D41="Abierto",Registro!E41="Alta"),Registro!B41,"")</f>
        <v/>
      </c>
      <c r="E42" s="45" t="str">
        <f ca="1">IF(AND(Registro!D41="Abierto",Registro!E41="Alta"),TODAY()-Registro!R41,"")</f>
        <v/>
      </c>
      <c r="F42" s="45" t="str">
        <f>IF(AND(Registro!D41="Abierto",Registro!E41="Alta"),RANK(E42,$E$9:$E$1000,0)+COUNTIF($E$9:E42,E42)-1+MAX(C$5:C$1000),"")</f>
        <v/>
      </c>
      <c r="G42" s="45" t="str">
        <f>IF(AND(Registro!D41="Abierto",Registro!E41="Media"),Registro!B41,"")</f>
        <v/>
      </c>
      <c r="H42" s="45" t="str">
        <f ca="1">IF(AND(Registro!D41="Abierto",Registro!E41="Media"),TODAY()-Registro!R41,"")</f>
        <v/>
      </c>
      <c r="I42" s="45" t="str">
        <f>IF(AND(Registro!D41="Abierto",Registro!E41="Media"),RANK(H42,$H$9:$H$1000,0)+COUNTIF($H$9:H42,H42)-1+MAX(C$5:C$1000,F$5:F$1000),"")</f>
        <v/>
      </c>
      <c r="J42" s="45" t="str">
        <f>IF(AND(Registro!D41="Abierto",Registro!E41="Baja"),Registro!B41,"")</f>
        <v>6340-PFIN-26</v>
      </c>
      <c r="K42" s="45">
        <f ca="1">IF(AND(Registro!D41="Abierto",Registro!E41="Baja"),TODAY()-Registro!R41,"")</f>
        <v>2</v>
      </c>
      <c r="L42" s="45">
        <f ca="1">IF(AND(Registro!D41="Abierto",Registro!E41="Baja"),RANK(K42,$K$9:$K$1000,0)+COUNTIF($K$9:K42,K42)-1+MAX(C$5:C$1000,F$5:F$1000,I$5:I$1000),"")</f>
        <v>29</v>
      </c>
      <c r="M42" s="46">
        <f ca="1">IF(OR(Registro!D41="Resuelto",Registro!D41=""),"",SUM(C42,F42,I42,L42))</f>
        <v>29</v>
      </c>
      <c r="N42" s="46">
        <f ca="1">IF(OR(Registro!D41="Resuelto",Registro!D41=""),"",SUM(B42,E42,H42,K42))</f>
        <v>2</v>
      </c>
      <c r="O42" s="46" t="str">
        <f>IF(OR(Registro!D41="Resuelto",Registro!D41=""),"",_xlfn.CONCAT(A42,D42,G42,J42))</f>
        <v>6340-PFIN-26</v>
      </c>
      <c r="P42" s="47">
        <v>34</v>
      </c>
      <c r="Q42" s="47" t="str">
        <f t="shared" ca="1" si="0"/>
        <v>6319-PFIN-26</v>
      </c>
      <c r="R42" s="48">
        <f t="shared" ca="1" si="1"/>
        <v>-11</v>
      </c>
      <c r="S42" s="32"/>
      <c r="T42" s="32"/>
      <c r="U42" s="32"/>
      <c r="V42" s="32"/>
      <c r="W42" s="47" t="str">
        <f>IF(X42="","",MAX($W$5:W41)+1)</f>
        <v/>
      </c>
      <c r="X42" s="50" t="str">
        <f>IF(Registro!M41="","",IF(COUNTIF($X$8:X41,Registro!M41)=0,Registro!M41,""))</f>
        <v/>
      </c>
      <c r="Y42" s="50" t="str">
        <f t="shared" si="2"/>
        <v/>
      </c>
    </row>
    <row r="43" spans="1:25">
      <c r="A43" s="45" t="str">
        <f>IF(AND(Registro!D42="Abierto",Registro!E42="Urgente"),Registro!B42,"")</f>
        <v/>
      </c>
      <c r="B43" s="45" t="str">
        <f ca="1">IF(AND(Registro!D42="Abierto",Registro!E42="Urgente"),TODAY()-Registro!R42,"")</f>
        <v/>
      </c>
      <c r="C43" s="45" t="str">
        <f>IF(AND(Registro!D42="Abierto",Registro!E42="Urgente"),RANK(B43,$B$9:$B$1000,0)+COUNTIF($B$9:B43,B43)-1,"")</f>
        <v/>
      </c>
      <c r="D43" s="45" t="str">
        <f>IF(AND(Registro!D42="Abierto",Registro!E42="Alta"),Registro!B42,"")</f>
        <v/>
      </c>
      <c r="E43" s="45" t="str">
        <f ca="1">IF(AND(Registro!D42="Abierto",Registro!E42="Alta"),TODAY()-Registro!R42,"")</f>
        <v/>
      </c>
      <c r="F43" s="45" t="str">
        <f>IF(AND(Registro!D42="Abierto",Registro!E42="Alta"),RANK(E43,$E$9:$E$1000,0)+COUNTIF($E$9:E43,E43)-1+MAX(C$5:C$1000),"")</f>
        <v/>
      </c>
      <c r="G43" s="45" t="str">
        <f>IF(AND(Registro!D42="Abierto",Registro!E42="Media"),Registro!B42,"")</f>
        <v/>
      </c>
      <c r="H43" s="45" t="str">
        <f ca="1">IF(AND(Registro!D42="Abierto",Registro!E42="Media"),TODAY()-Registro!R42,"")</f>
        <v/>
      </c>
      <c r="I43" s="45" t="str">
        <f>IF(AND(Registro!D42="Abierto",Registro!E42="Media"),RANK(H43,$H$9:$H$1000,0)+COUNTIF($H$9:H43,H43)-1+MAX(C$5:C$1000,F$5:F$1000),"")</f>
        <v/>
      </c>
      <c r="J43" s="45" t="str">
        <f>IF(AND(Registro!D42="Abierto",Registro!E42="Baja"),Registro!B42,"")</f>
        <v>6341-PFIN-26</v>
      </c>
      <c r="K43" s="45">
        <f ca="1">IF(AND(Registro!D42="Abierto",Registro!E42="Baja"),TODAY()-Registro!R42,"")</f>
        <v>-6</v>
      </c>
      <c r="L43" s="45">
        <f ca="1">IF(AND(Registro!D42="Abierto",Registro!E42="Baja"),RANK(K43,$K$9:$K$1000,0)+COUNTIF($K$9:K43,K43)-1+MAX(C$5:C$1000,F$5:F$1000,I$5:I$1000),"")</f>
        <v>33</v>
      </c>
      <c r="M43" s="46">
        <f ca="1">IF(OR(Registro!D42="Resuelto",Registro!D42=""),"",SUM(C43,F43,I43,L43))</f>
        <v>33</v>
      </c>
      <c r="N43" s="46">
        <f ca="1">IF(OR(Registro!D42="Resuelto",Registro!D42=""),"",SUM(B43,E43,H43,K43))</f>
        <v>-6</v>
      </c>
      <c r="O43" s="46" t="str">
        <f>IF(OR(Registro!D42="Resuelto",Registro!D42=""),"",_xlfn.CONCAT(A43,D43,G43,J43))</f>
        <v>6341-PFIN-26</v>
      </c>
      <c r="P43" s="47">
        <v>35</v>
      </c>
      <c r="Q43" s="47" t="str">
        <f t="shared" ca="1" si="0"/>
        <v>6284-PFIN-26</v>
      </c>
      <c r="R43" s="48">
        <f t="shared" ca="1" si="1"/>
        <v>-19</v>
      </c>
      <c r="S43" s="32"/>
      <c r="T43" s="32"/>
      <c r="U43" s="32"/>
      <c r="V43" s="32"/>
      <c r="W43" s="47" t="str">
        <f>IF(X43="","",MAX($W$5:W42)+1)</f>
        <v/>
      </c>
      <c r="X43" s="50" t="str">
        <f>IF(Registro!M42="","",IF(COUNTIF($X$8:X42,Registro!M42)=0,Registro!M42,""))</f>
        <v/>
      </c>
      <c r="Y43" s="50" t="str">
        <f t="shared" si="2"/>
        <v/>
      </c>
    </row>
    <row r="44" spans="1:25">
      <c r="A44" s="45" t="str">
        <f>IF(AND(Registro!D43="Abierto",Registro!E43="Urgente"),Registro!B43,"")</f>
        <v/>
      </c>
      <c r="B44" s="45" t="str">
        <f ca="1">IF(AND(Registro!D43="Abierto",Registro!E43="Urgente"),TODAY()-Registro!R43,"")</f>
        <v/>
      </c>
      <c r="C44" s="45" t="str">
        <f>IF(AND(Registro!D43="Abierto",Registro!E43="Urgente"),RANK(B44,$B$9:$B$1000,0)+COUNTIF($B$9:B44,B44)-1,"")</f>
        <v/>
      </c>
      <c r="D44" s="45" t="str">
        <f>IF(AND(Registro!D43="Abierto",Registro!E43="Alta"),Registro!B43,"")</f>
        <v/>
      </c>
      <c r="E44" s="45" t="str">
        <f ca="1">IF(AND(Registro!D43="Abierto",Registro!E43="Alta"),TODAY()-Registro!R43,"")</f>
        <v/>
      </c>
      <c r="F44" s="45" t="str">
        <f>IF(AND(Registro!D43="Abierto",Registro!E43="Alta"),RANK(E44,$E$9:$E$1000,0)+COUNTIF($E$9:E44,E44)-1+MAX(C$5:C$1000),"")</f>
        <v/>
      </c>
      <c r="G44" s="45" t="str">
        <f>IF(AND(Registro!D43="Abierto",Registro!E43="Media"),Registro!B43,"")</f>
        <v/>
      </c>
      <c r="H44" s="45" t="str">
        <f ca="1">IF(AND(Registro!D43="Abierto",Registro!E43="Media"),TODAY()-Registro!R43,"")</f>
        <v/>
      </c>
      <c r="I44" s="45" t="str">
        <f>IF(AND(Registro!D43="Abierto",Registro!E43="Media"),RANK(H44,$H$9:$H$1000,0)+COUNTIF($H$9:H44,H44)-1+MAX(C$5:C$1000,F$5:F$1000),"")</f>
        <v/>
      </c>
      <c r="J44" s="45" t="str">
        <f>IF(AND(Registro!D43="Abierto",Registro!E43="Baja"),Registro!B43,"")</f>
        <v>6342-PFIN-26</v>
      </c>
      <c r="K44" s="45">
        <f ca="1">IF(AND(Registro!D43="Abierto",Registro!E43="Baja"),TODAY()-Registro!R43,"")</f>
        <v>-21</v>
      </c>
      <c r="L44" s="45">
        <f ca="1">IF(AND(Registro!D43="Abierto",Registro!E43="Baja"),RANK(K44,$K$9:$K$1000,0)+COUNTIF($K$9:K44,K44)-1+MAX(C$5:C$1000,F$5:F$1000,I$5:I$1000),"")</f>
        <v>38</v>
      </c>
      <c r="M44" s="46">
        <f ca="1">IF(OR(Registro!D43="Resuelto",Registro!D43=""),"",SUM(C44,F44,I44,L44))</f>
        <v>38</v>
      </c>
      <c r="N44" s="46">
        <f ca="1">IF(OR(Registro!D43="Resuelto",Registro!D43=""),"",SUM(B44,E44,H44,K44))</f>
        <v>-21</v>
      </c>
      <c r="O44" s="46" t="str">
        <f>IF(OR(Registro!D43="Resuelto",Registro!D43=""),"",_xlfn.CONCAT(A44,D44,G44,J44))</f>
        <v>6342-PFIN-26</v>
      </c>
      <c r="P44" s="47">
        <v>36</v>
      </c>
      <c r="Q44" s="47" t="str">
        <f t="shared" ca="1" si="0"/>
        <v>6320-PFIN-26</v>
      </c>
      <c r="R44" s="48">
        <f t="shared" ca="1" si="1"/>
        <v>-19</v>
      </c>
      <c r="S44" s="32"/>
      <c r="T44" s="32"/>
      <c r="U44" s="32"/>
      <c r="V44" s="32"/>
      <c r="W44" s="47" t="str">
        <f>IF(X44="","",MAX($W$5:W43)+1)</f>
        <v/>
      </c>
      <c r="X44" s="50" t="str">
        <f>IF(Registro!M43="","",IF(COUNTIF($X$8:X43,Registro!M43)=0,Registro!M43,""))</f>
        <v/>
      </c>
      <c r="Y44" s="50" t="str">
        <f t="shared" si="2"/>
        <v/>
      </c>
    </row>
    <row r="45" spans="1:25">
      <c r="A45" s="45" t="str">
        <f>IF(AND(Registro!D44="Abierto",Registro!E44="Urgente"),Registro!B44,"")</f>
        <v/>
      </c>
      <c r="B45" s="45" t="str">
        <f ca="1">IF(AND(Registro!D44="Abierto",Registro!E44="Urgente"),TODAY()-Registro!R44,"")</f>
        <v/>
      </c>
      <c r="C45" s="45" t="str">
        <f>IF(AND(Registro!D44="Abierto",Registro!E44="Urgente"),RANK(B45,$B$9:$B$1000,0)+COUNTIF($B$9:B45,B45)-1,"")</f>
        <v/>
      </c>
      <c r="D45" s="45" t="str">
        <f>IF(AND(Registro!D44="Abierto",Registro!E44="Alta"),Registro!B44,"")</f>
        <v/>
      </c>
      <c r="E45" s="45" t="str">
        <f ca="1">IF(AND(Registro!D44="Abierto",Registro!E44="Alta"),TODAY()-Registro!R44,"")</f>
        <v/>
      </c>
      <c r="F45" s="45" t="str">
        <f>IF(AND(Registro!D44="Abierto",Registro!E44="Alta"),RANK(E45,$E$9:$E$1000,0)+COUNTIF($E$9:E45,E45)-1+MAX(C$5:C$1000),"")</f>
        <v/>
      </c>
      <c r="G45" s="45" t="str">
        <f>IF(AND(Registro!D44="Abierto",Registro!E44="Media"),Registro!B44,"")</f>
        <v/>
      </c>
      <c r="H45" s="45" t="str">
        <f ca="1">IF(AND(Registro!D44="Abierto",Registro!E44="Media"),TODAY()-Registro!R44,"")</f>
        <v/>
      </c>
      <c r="I45" s="45" t="str">
        <f>IF(AND(Registro!D44="Abierto",Registro!E44="Media"),RANK(H45,$H$9:$H$1000,0)+COUNTIF($H$9:H45,H45)-1+MAX(C$5:C$1000,F$5:F$1000),"")</f>
        <v/>
      </c>
      <c r="J45" s="45" t="str">
        <f>IF(AND(Registro!D44="Abierto",Registro!E44="Baja"),Registro!B44,"")</f>
        <v/>
      </c>
      <c r="K45" s="45" t="str">
        <f ca="1">IF(AND(Registro!D44="Abierto",Registro!E44="Baja"),TODAY()-Registro!R44,"")</f>
        <v/>
      </c>
      <c r="L45" s="45" t="str">
        <f>IF(AND(Registro!D44="Abierto",Registro!E44="Baja"),RANK(K45,$K$9:$K$1000,0)+COUNTIF($K$9:K45,K45)-1+MAX(C$5:C$1000,F$5:F$1000,I$5:I$1000),"")</f>
        <v/>
      </c>
      <c r="M45" s="46" t="str">
        <f>IF(OR(Registro!D44="Resuelto",Registro!D44=""),"",SUM(C45,F45,I45,L45))</f>
        <v/>
      </c>
      <c r="N45" s="46" t="str">
        <f>IF(OR(Registro!D44="Resuelto",Registro!D44=""),"",SUM(B45,E45,H45,K45))</f>
        <v/>
      </c>
      <c r="O45" s="46" t="str">
        <f>IF(OR(Registro!D44="Resuelto",Registro!D44=""),"",_xlfn.CONCAT(A45,D45,G45,J45))</f>
        <v/>
      </c>
      <c r="P45" s="47">
        <v>37</v>
      </c>
      <c r="Q45" s="47" t="str">
        <f t="shared" ca="1" si="0"/>
        <v>6359-PFIN-26</v>
      </c>
      <c r="R45" s="48">
        <f t="shared" ca="1" si="1"/>
        <v>-19</v>
      </c>
      <c r="S45" s="32"/>
      <c r="T45" s="32"/>
      <c r="U45" s="32"/>
      <c r="V45" s="32"/>
      <c r="W45" s="47" t="str">
        <f>IF(X45="","",MAX($W$5:W44)+1)</f>
        <v/>
      </c>
      <c r="X45" s="50" t="str">
        <f>IF(Registro!M44="","",IF(COUNTIF($X$8:X44,Registro!M44)=0,Registro!M44,""))</f>
        <v/>
      </c>
      <c r="Y45" s="50" t="str">
        <f t="shared" si="2"/>
        <v/>
      </c>
    </row>
    <row r="46" spans="1:25">
      <c r="A46" s="45" t="str">
        <f>IF(AND(Registro!D45="Abierto",Registro!E45="Urgente"),Registro!B45,"")</f>
        <v/>
      </c>
      <c r="B46" s="45" t="str">
        <f ca="1">IF(AND(Registro!D45="Abierto",Registro!E45="Urgente"),TODAY()-Registro!R45,"")</f>
        <v/>
      </c>
      <c r="C46" s="45" t="str">
        <f>IF(AND(Registro!D45="Abierto",Registro!E45="Urgente"),RANK(B46,$B$9:$B$1000,0)+COUNTIF($B$9:B46,B46)-1,"")</f>
        <v/>
      </c>
      <c r="D46" s="45" t="str">
        <f>IF(AND(Registro!D45="Abierto",Registro!E45="Alta"),Registro!B45,"")</f>
        <v/>
      </c>
      <c r="E46" s="45" t="str">
        <f ca="1">IF(AND(Registro!D45="Abierto",Registro!E45="Alta"),TODAY()-Registro!R45,"")</f>
        <v/>
      </c>
      <c r="F46" s="45" t="str">
        <f>IF(AND(Registro!D45="Abierto",Registro!E45="Alta"),RANK(E46,$E$9:$E$1000,0)+COUNTIF($E$9:E46,E46)-1+MAX(C$5:C$1000),"")</f>
        <v/>
      </c>
      <c r="G46" s="45" t="str">
        <f>IF(AND(Registro!D45="Abierto",Registro!E45="Media"),Registro!B45,"")</f>
        <v/>
      </c>
      <c r="H46" s="45" t="str">
        <f ca="1">IF(AND(Registro!D45="Abierto",Registro!E45="Media"),TODAY()-Registro!R45,"")</f>
        <v/>
      </c>
      <c r="I46" s="45" t="str">
        <f>IF(AND(Registro!D45="Abierto",Registro!E45="Media"),RANK(H46,$H$9:$H$1000,0)+COUNTIF($H$9:H46,H46)-1+MAX(C$5:C$1000,F$5:F$1000),"")</f>
        <v/>
      </c>
      <c r="J46" s="45" t="str">
        <f>IF(AND(Registro!D45="Abierto",Registro!E45="Baja"),Registro!B45,"")</f>
        <v/>
      </c>
      <c r="K46" s="45" t="str">
        <f ca="1">IF(AND(Registro!D45="Abierto",Registro!E45="Baja"),TODAY()-Registro!R45,"")</f>
        <v/>
      </c>
      <c r="L46" s="45" t="str">
        <f>IF(AND(Registro!D45="Abierto",Registro!E45="Baja"),RANK(K46,$K$9:$K$1000,0)+COUNTIF($K$9:K46,K46)-1+MAX(C$5:C$1000,F$5:F$1000,I$5:I$1000),"")</f>
        <v/>
      </c>
      <c r="M46" s="46" t="str">
        <f>IF(OR(Registro!D45="Resuelto",Registro!D45=""),"",SUM(C46,F46,I46,L46))</f>
        <v/>
      </c>
      <c r="N46" s="46" t="str">
        <f>IF(OR(Registro!D45="Resuelto",Registro!D45=""),"",SUM(B46,E46,H46,K46))</f>
        <v/>
      </c>
      <c r="O46" s="46" t="str">
        <f>IF(OR(Registro!D45="Resuelto",Registro!D45=""),"",_xlfn.CONCAT(A46,D46,G46,J46))</f>
        <v/>
      </c>
      <c r="P46" s="47">
        <v>38</v>
      </c>
      <c r="Q46" s="47" t="str">
        <f t="shared" ca="1" si="0"/>
        <v>6342-PFIN-26</v>
      </c>
      <c r="R46" s="48">
        <f t="shared" ca="1" si="1"/>
        <v>-21</v>
      </c>
      <c r="S46" s="32"/>
      <c r="T46" s="32"/>
      <c r="U46" s="32"/>
      <c r="V46" s="32"/>
      <c r="W46" s="47" t="str">
        <f>IF(X46="","",MAX($W$5:W45)+1)</f>
        <v/>
      </c>
      <c r="X46" s="50" t="str">
        <f>IF(Registro!M45="","",IF(COUNTIF($X$8:X45,Registro!M45)=0,Registro!M45,""))</f>
        <v/>
      </c>
      <c r="Y46" s="50" t="str">
        <f t="shared" si="2"/>
        <v/>
      </c>
    </row>
    <row r="47" spans="1:25">
      <c r="A47" s="45" t="str">
        <f>IF(AND(Registro!D46="Abierto",Registro!E46="Urgente"),Registro!B46,"")</f>
        <v/>
      </c>
      <c r="B47" s="45" t="str">
        <f ca="1">IF(AND(Registro!D46="Abierto",Registro!E46="Urgente"),TODAY()-Registro!R46,"")</f>
        <v/>
      </c>
      <c r="C47" s="45" t="str">
        <f>IF(AND(Registro!D46="Abierto",Registro!E46="Urgente"),RANK(B47,$B$9:$B$1000,0)+COUNTIF($B$9:B47,B47)-1,"")</f>
        <v/>
      </c>
      <c r="D47" s="45" t="str">
        <f>IF(AND(Registro!D46="Abierto",Registro!E46="Alta"),Registro!B46,"")</f>
        <v/>
      </c>
      <c r="E47" s="45" t="str">
        <f ca="1">IF(AND(Registro!D46="Abierto",Registro!E46="Alta"),TODAY()-Registro!R46,"")</f>
        <v/>
      </c>
      <c r="F47" s="45" t="str">
        <f>IF(AND(Registro!D46="Abierto",Registro!E46="Alta"),RANK(E47,$E$9:$E$1000,0)+COUNTIF($E$9:E47,E47)-1+MAX(C$5:C$1000),"")</f>
        <v/>
      </c>
      <c r="G47" s="45" t="str">
        <f>IF(AND(Registro!D46="Abierto",Registro!E46="Media"),Registro!B46,"")</f>
        <v>6348-PFIN-26</v>
      </c>
      <c r="H47" s="45">
        <f ca="1">IF(AND(Registro!D46="Abierto",Registro!E46="Media"),TODAY()-Registro!R46,"")</f>
        <v>6</v>
      </c>
      <c r="I47" s="45">
        <f ca="1">IF(AND(Registro!D46="Abierto",Registro!E46="Media"),RANK(H47,$H$9:$H$1000,0)+COUNTIF($H$9:H47,H47)-1+MAX(C$5:C$1000,F$5:F$1000),"")</f>
        <v>14</v>
      </c>
      <c r="J47" s="45" t="str">
        <f>IF(AND(Registro!D46="Abierto",Registro!E46="Baja"),Registro!B46,"")</f>
        <v/>
      </c>
      <c r="K47" s="45" t="str">
        <f ca="1">IF(AND(Registro!D46="Abierto",Registro!E46="Baja"),TODAY()-Registro!R46,"")</f>
        <v/>
      </c>
      <c r="L47" s="45" t="str">
        <f>IF(AND(Registro!D46="Abierto",Registro!E46="Baja"),RANK(K47,$K$9:$K$1000,0)+COUNTIF($K$9:K47,K47)-1+MAX(C$5:C$1000,F$5:F$1000,I$5:I$1000),"")</f>
        <v/>
      </c>
      <c r="M47" s="46">
        <f ca="1">IF(OR(Registro!D46="Resuelto",Registro!D46=""),"",SUM(C47,F47,I47,L47))</f>
        <v>14</v>
      </c>
      <c r="N47" s="46">
        <f ca="1">IF(OR(Registro!D46="Resuelto",Registro!D46=""),"",SUM(B47,E47,H47,K47))</f>
        <v>6</v>
      </c>
      <c r="O47" s="46" t="str">
        <f>IF(OR(Registro!D46="Resuelto",Registro!D46=""),"",_xlfn.CONCAT(A47,D47,G47,J47))</f>
        <v>6348-PFIN-26</v>
      </c>
      <c r="P47" s="47">
        <v>39</v>
      </c>
      <c r="Q47" s="47" t="str">
        <f t="shared" ca="1" si="0"/>
        <v>6400-PFIN-26</v>
      </c>
      <c r="R47" s="48">
        <f t="shared" ca="1" si="1"/>
        <v>-32</v>
      </c>
      <c r="S47" s="32"/>
      <c r="T47" s="32"/>
      <c r="U47" s="32"/>
      <c r="V47" s="32"/>
      <c r="W47" s="47" t="str">
        <f>IF(X47="","",MAX($W$5:W46)+1)</f>
        <v/>
      </c>
      <c r="X47" s="50" t="str">
        <f>IF(Registro!M46="","",IF(COUNTIF($X$8:X46,Registro!M46)=0,Registro!M46,""))</f>
        <v/>
      </c>
      <c r="Y47" s="50" t="str">
        <f t="shared" si="2"/>
        <v/>
      </c>
    </row>
    <row r="48" spans="1:25">
      <c r="A48" s="45" t="str">
        <f>IF(AND(Registro!D47="Abierto",Registro!E47="Urgente"),Registro!B47,"")</f>
        <v/>
      </c>
      <c r="B48" s="45" t="str">
        <f ca="1">IF(AND(Registro!D47="Abierto",Registro!E47="Urgente"),TODAY()-Registro!R47,"")</f>
        <v/>
      </c>
      <c r="C48" s="45" t="str">
        <f>IF(AND(Registro!D47="Abierto",Registro!E47="Urgente"),RANK(B48,$B$9:$B$1000,0)+COUNTIF($B$9:B48,B48)-1,"")</f>
        <v/>
      </c>
      <c r="D48" s="45" t="str">
        <f>IF(AND(Registro!D47="Abierto",Registro!E47="Alta"),Registro!B47,"")</f>
        <v/>
      </c>
      <c r="E48" s="45" t="str">
        <f ca="1">IF(AND(Registro!D47="Abierto",Registro!E47="Alta"),TODAY()-Registro!R47,"")</f>
        <v/>
      </c>
      <c r="F48" s="45" t="str">
        <f>IF(AND(Registro!D47="Abierto",Registro!E47="Alta"),RANK(E48,$E$9:$E$1000,0)+COUNTIF($E$9:E48,E48)-1+MAX(C$5:C$1000),"")</f>
        <v/>
      </c>
      <c r="G48" s="45" t="str">
        <f>IF(AND(Registro!D47="Abierto",Registro!E47="Media"),Registro!B47,"")</f>
        <v/>
      </c>
      <c r="H48" s="45" t="str">
        <f ca="1">IF(AND(Registro!D47="Abierto",Registro!E47="Media"),TODAY()-Registro!R47,"")</f>
        <v/>
      </c>
      <c r="I48" s="45" t="str">
        <f>IF(AND(Registro!D47="Abierto",Registro!E47="Media"),RANK(H48,$H$9:$H$1000,0)+COUNTIF($H$9:H48,H48)-1+MAX(C$5:C$1000,F$5:F$1000),"")</f>
        <v/>
      </c>
      <c r="J48" s="45" t="str">
        <f>IF(AND(Registro!D47="Abierto",Registro!E47="Baja"),Registro!B47,"")</f>
        <v>6285-PFIN-26</v>
      </c>
      <c r="K48" s="45">
        <f ca="1">IF(AND(Registro!D47="Abierto",Registro!E47="Baja"),TODAY()-Registro!R47,"")</f>
        <v>24</v>
      </c>
      <c r="L48" s="45">
        <f ca="1">IF(AND(Registro!D47="Abierto",Registro!E47="Baja"),RANK(K48,$K$9:$K$1000,0)+COUNTIF($K$9:K48,K48)-1+MAX(C$5:C$1000,F$5:F$1000,I$5:I$1000),"")</f>
        <v>23</v>
      </c>
      <c r="M48" s="46">
        <f ca="1">IF(OR(Registro!D47="Resuelto",Registro!D47=""),"",SUM(C48,F48,I48,L48))</f>
        <v>23</v>
      </c>
      <c r="N48" s="46">
        <f ca="1">IF(OR(Registro!D47="Resuelto",Registro!D47=""),"",SUM(B48,E48,H48,K48))</f>
        <v>24</v>
      </c>
      <c r="O48" s="46" t="str">
        <f>IF(OR(Registro!D47="Resuelto",Registro!D47=""),"",_xlfn.CONCAT(A48,D48,G48,J48))</f>
        <v>6285-PFIN-26</v>
      </c>
      <c r="P48" s="47">
        <v>40</v>
      </c>
      <c r="Q48" s="47" t="str">
        <f t="shared" ca="1" si="0"/>
        <v>6389-PFIN-26</v>
      </c>
      <c r="R48" s="48">
        <f t="shared" ca="1" si="1"/>
        <v>-35</v>
      </c>
      <c r="S48" s="32"/>
      <c r="T48" s="32"/>
      <c r="U48" s="32"/>
      <c r="V48" s="32"/>
      <c r="W48" s="47" t="str">
        <f>IF(X48="","",MAX($W$5:W47)+1)</f>
        <v/>
      </c>
      <c r="X48" s="50" t="str">
        <f>IF(Registro!M47="","",IF(COUNTIF($X$8:X47,Registro!M47)=0,Registro!M47,""))</f>
        <v/>
      </c>
      <c r="Y48" s="50" t="str">
        <f t="shared" si="2"/>
        <v/>
      </c>
    </row>
    <row r="49" spans="1:25">
      <c r="A49" s="45" t="str">
        <f>IF(AND(Registro!D48="Abierto",Registro!E48="Urgente"),Registro!B48,"")</f>
        <v/>
      </c>
      <c r="B49" s="45" t="str">
        <f ca="1">IF(AND(Registro!D48="Abierto",Registro!E48="Urgente"),TODAY()-Registro!R48,"")</f>
        <v/>
      </c>
      <c r="C49" s="45" t="str">
        <f>IF(AND(Registro!D48="Abierto",Registro!E48="Urgente"),RANK(B49,$B$9:$B$1000,0)+COUNTIF($B$9:B49,B49)-1,"")</f>
        <v/>
      </c>
      <c r="D49" s="45" t="str">
        <f>IF(AND(Registro!D48="Abierto",Registro!E48="Alta"),Registro!B48,"")</f>
        <v/>
      </c>
      <c r="E49" s="45" t="str">
        <f ca="1">IF(AND(Registro!D48="Abierto",Registro!E48="Alta"),TODAY()-Registro!R48,"")</f>
        <v/>
      </c>
      <c r="F49" s="45" t="str">
        <f>IF(AND(Registro!D48="Abierto",Registro!E48="Alta"),RANK(E49,$E$9:$E$1000,0)+COUNTIF($E$9:E49,E49)-1+MAX(C$5:C$1000),"")</f>
        <v/>
      </c>
      <c r="G49" s="45" t="str">
        <f>IF(AND(Registro!D48="Abierto",Registro!E48="Media"),Registro!B48,"")</f>
        <v/>
      </c>
      <c r="H49" s="45" t="str">
        <f ca="1">IF(AND(Registro!D48="Abierto",Registro!E48="Media"),TODAY()-Registro!R48,"")</f>
        <v/>
      </c>
      <c r="I49" s="45" t="str">
        <f>IF(AND(Registro!D48="Abierto",Registro!E48="Media"),RANK(H49,$H$9:$H$1000,0)+COUNTIF($H$9:H49,H49)-1+MAX(C$5:C$1000,F$5:F$1000),"")</f>
        <v/>
      </c>
      <c r="J49" s="45" t="str">
        <f>IF(AND(Registro!D48="Abierto",Registro!E48="Baja"),Registro!B48,"")</f>
        <v/>
      </c>
      <c r="K49" s="45" t="str">
        <f ca="1">IF(AND(Registro!D48="Abierto",Registro!E48="Baja"),TODAY()-Registro!R48,"")</f>
        <v/>
      </c>
      <c r="L49" s="45" t="str">
        <f>IF(AND(Registro!D48="Abierto",Registro!E48="Baja"),RANK(K49,$K$9:$K$1000,0)+COUNTIF($K$9:K49,K49)-1+MAX(C$5:C$1000,F$5:F$1000,I$5:I$1000),"")</f>
        <v/>
      </c>
      <c r="M49" s="46" t="str">
        <f>IF(OR(Registro!D48="Resuelto",Registro!D48=""),"",SUM(C49,F49,I49,L49))</f>
        <v/>
      </c>
      <c r="N49" s="46" t="str">
        <f>IF(OR(Registro!D48="Resuelto",Registro!D48=""),"",SUM(B49,E49,H49,K49))</f>
        <v/>
      </c>
      <c r="O49" s="46" t="str">
        <f>IF(OR(Registro!D48="Resuelto",Registro!D48=""),"",_xlfn.CONCAT(A49,D49,G49,J49))</f>
        <v/>
      </c>
      <c r="P49" s="47">
        <v>41</v>
      </c>
      <c r="Q49" s="47" t="str">
        <f t="shared" ca="1" si="0"/>
        <v>6321-PFIN-26</v>
      </c>
      <c r="R49" s="48">
        <f t="shared" ca="1" si="1"/>
        <v>-39</v>
      </c>
      <c r="S49" s="32"/>
      <c r="T49" s="32"/>
      <c r="U49" s="32"/>
      <c r="V49" s="32"/>
      <c r="W49" s="47" t="str">
        <f>IF(X49="","",MAX($W$5:W48)+1)</f>
        <v/>
      </c>
      <c r="X49" s="50" t="str">
        <f>IF(Registro!M48="","",IF(COUNTIF($X$8:X48,Registro!M48)=0,Registro!M48,""))</f>
        <v/>
      </c>
      <c r="Y49" s="50" t="str">
        <f t="shared" si="2"/>
        <v/>
      </c>
    </row>
    <row r="50" spans="1:25">
      <c r="A50" s="45" t="str">
        <f>IF(AND(Registro!D49="Abierto",Registro!E49="Urgente"),Registro!B49,"")</f>
        <v/>
      </c>
      <c r="B50" s="45" t="str">
        <f ca="1">IF(AND(Registro!D49="Abierto",Registro!E49="Urgente"),TODAY()-Registro!R49,"")</f>
        <v/>
      </c>
      <c r="C50" s="45" t="str">
        <f>IF(AND(Registro!D49="Abierto",Registro!E49="Urgente"),RANK(B50,$B$9:$B$1000,0)+COUNTIF($B$9:B50,B50)-1,"")</f>
        <v/>
      </c>
      <c r="D50" s="45" t="str">
        <f>IF(AND(Registro!D49="Abierto",Registro!E49="Alta"),Registro!B49,"")</f>
        <v/>
      </c>
      <c r="E50" s="45" t="str">
        <f ca="1">IF(AND(Registro!D49="Abierto",Registro!E49="Alta"),TODAY()-Registro!R49,"")</f>
        <v/>
      </c>
      <c r="F50" s="45" t="str">
        <f>IF(AND(Registro!D49="Abierto",Registro!E49="Alta"),RANK(E50,$E$9:$E$1000,0)+COUNTIF($E$9:E50,E50)-1+MAX(C$5:C$1000),"")</f>
        <v/>
      </c>
      <c r="G50" s="45" t="str">
        <f>IF(AND(Registro!D49="Abierto",Registro!E49="Media"),Registro!B49,"")</f>
        <v/>
      </c>
      <c r="H50" s="45" t="str">
        <f ca="1">IF(AND(Registro!D49="Abierto",Registro!E49="Media"),TODAY()-Registro!R49,"")</f>
        <v/>
      </c>
      <c r="I50" s="45" t="str">
        <f>IF(AND(Registro!D49="Abierto",Registro!E49="Media"),RANK(H50,$H$9:$H$1000,0)+COUNTIF($H$9:H50,H50)-1+MAX(C$5:C$1000,F$5:F$1000),"")</f>
        <v/>
      </c>
      <c r="J50" s="45" t="str">
        <f>IF(AND(Registro!D49="Abierto",Registro!E49="Baja"),Registro!B49,"")</f>
        <v/>
      </c>
      <c r="K50" s="45" t="str">
        <f ca="1">IF(AND(Registro!D49="Abierto",Registro!E49="Baja"),TODAY()-Registro!R49,"")</f>
        <v/>
      </c>
      <c r="L50" s="45" t="str">
        <f>IF(AND(Registro!D49="Abierto",Registro!E49="Baja"),RANK(K50,$K$9:$K$1000,0)+COUNTIF($K$9:K50,K50)-1+MAX(C$5:C$1000,F$5:F$1000,I$5:I$1000),"")</f>
        <v/>
      </c>
      <c r="M50" s="46" t="str">
        <f>IF(OR(Registro!D49="Resuelto",Registro!D49=""),"",SUM(C50,F50,I50,L50))</f>
        <v/>
      </c>
      <c r="N50" s="46" t="str">
        <f>IF(OR(Registro!D49="Resuelto",Registro!D49=""),"",SUM(B50,E50,H50,K50))</f>
        <v/>
      </c>
      <c r="O50" s="46" t="str">
        <f>IF(OR(Registro!D49="Resuelto",Registro!D49=""),"",_xlfn.CONCAT(A50,D50,G50,J50))</f>
        <v/>
      </c>
      <c r="P50" s="47">
        <v>42</v>
      </c>
      <c r="Q50" s="47" t="str">
        <f t="shared" ca="1" si="0"/>
        <v>6234-PFIN-26</v>
      </c>
      <c r="R50" s="48">
        <f t="shared" ca="1" si="1"/>
        <v>-39</v>
      </c>
      <c r="S50" s="32"/>
      <c r="T50" s="32"/>
      <c r="U50" s="32"/>
      <c r="V50" s="32"/>
      <c r="W50" s="47" t="str">
        <f>IF(X50="","",MAX($W$5:W49)+1)</f>
        <v/>
      </c>
      <c r="X50" s="50" t="str">
        <f>IF(Registro!M49="","",IF(COUNTIF($X$8:X49,Registro!M49)=0,Registro!M49,""))</f>
        <v/>
      </c>
      <c r="Y50" s="50" t="str">
        <f t="shared" si="2"/>
        <v/>
      </c>
    </row>
    <row r="51" spans="1:25">
      <c r="A51" s="45" t="str">
        <f>IF(AND(Registro!D50="Abierto",Registro!E50="Urgente"),Registro!B50,"")</f>
        <v/>
      </c>
      <c r="B51" s="45" t="str">
        <f ca="1">IF(AND(Registro!D50="Abierto",Registro!E50="Urgente"),TODAY()-Registro!R50,"")</f>
        <v/>
      </c>
      <c r="C51" s="45" t="str">
        <f>IF(AND(Registro!D50="Abierto",Registro!E50="Urgente"),RANK(B51,$B$9:$B$1000,0)+COUNTIF($B$9:B51,B51)-1,"")</f>
        <v/>
      </c>
      <c r="D51" s="45" t="str">
        <f>IF(AND(Registro!D50="Abierto",Registro!E50="Alta"),Registro!B50,"")</f>
        <v/>
      </c>
      <c r="E51" s="45" t="str">
        <f ca="1">IF(AND(Registro!D50="Abierto",Registro!E50="Alta"),TODAY()-Registro!R50,"")</f>
        <v/>
      </c>
      <c r="F51" s="45" t="str">
        <f>IF(AND(Registro!D50="Abierto",Registro!E50="Alta"),RANK(E51,$E$9:$E$1000,0)+COUNTIF($E$9:E51,E51)-1+MAX(C$5:C$1000),"")</f>
        <v/>
      </c>
      <c r="G51" s="45" t="str">
        <f>IF(AND(Registro!D50="Abierto",Registro!E50="Media"),Registro!B50,"")</f>
        <v/>
      </c>
      <c r="H51" s="45" t="str">
        <f ca="1">IF(AND(Registro!D50="Abierto",Registro!E50="Media"),TODAY()-Registro!R50,"")</f>
        <v/>
      </c>
      <c r="I51" s="45" t="str">
        <f>IF(AND(Registro!D50="Abierto",Registro!E50="Media"),RANK(H51,$H$9:$H$1000,0)+COUNTIF($H$9:H51,H51)-1+MAX(C$5:C$1000,F$5:F$1000),"")</f>
        <v/>
      </c>
      <c r="J51" s="45" t="str">
        <f>IF(AND(Registro!D50="Abierto",Registro!E50="Baja"),Registro!B50,"")</f>
        <v/>
      </c>
      <c r="K51" s="45" t="str">
        <f ca="1">IF(AND(Registro!D50="Abierto",Registro!E50="Baja"),TODAY()-Registro!R50,"")</f>
        <v/>
      </c>
      <c r="L51" s="45" t="str">
        <f>IF(AND(Registro!D50="Abierto",Registro!E50="Baja"),RANK(K51,$K$9:$K$1000,0)+COUNTIF($K$9:K51,K51)-1+MAX(C$5:C$1000,F$5:F$1000,I$5:I$1000),"")</f>
        <v/>
      </c>
      <c r="M51" s="46" t="str">
        <f>IF(OR(Registro!D50="Resuelto",Registro!D50=""),"",SUM(C51,F51,I51,L51))</f>
        <v/>
      </c>
      <c r="N51" s="46" t="str">
        <f>IF(OR(Registro!D50="Resuelto",Registro!D50=""),"",SUM(B51,E51,H51,K51))</f>
        <v/>
      </c>
      <c r="O51" s="46" t="str">
        <f>IF(OR(Registro!D50="Resuelto",Registro!D50=""),"",_xlfn.CONCAT(A51,D51,G51,J51))</f>
        <v/>
      </c>
      <c r="P51" s="47">
        <v>43</v>
      </c>
      <c r="Q51" s="47" t="str">
        <f t="shared" ca="1" si="0"/>
        <v>6286-PFIN-26</v>
      </c>
      <c r="R51" s="48">
        <f t="shared" ca="1" si="1"/>
        <v>-40</v>
      </c>
      <c r="S51" s="32"/>
      <c r="T51" s="32"/>
      <c r="U51" s="32"/>
      <c r="V51" s="32"/>
      <c r="W51" s="47" t="str">
        <f>IF(X51="","",MAX($W$5:W50)+1)</f>
        <v/>
      </c>
      <c r="X51" s="50" t="str">
        <f>IF(Registro!M50="","",IF(COUNTIF($X$8:X50,Registro!M50)=0,Registro!M50,""))</f>
        <v/>
      </c>
      <c r="Y51" s="50" t="str">
        <f t="shared" si="2"/>
        <v/>
      </c>
    </row>
    <row r="52" spans="1:25">
      <c r="A52" s="45" t="str">
        <f>IF(AND(Registro!D51="Abierto",Registro!E51="Urgente"),Registro!B51,"")</f>
        <v/>
      </c>
      <c r="B52" s="45" t="str">
        <f ca="1">IF(AND(Registro!D51="Abierto",Registro!E51="Urgente"),TODAY()-Registro!R51,"")</f>
        <v/>
      </c>
      <c r="C52" s="45" t="str">
        <f>IF(AND(Registro!D51="Abierto",Registro!E51="Urgente"),RANK(B52,$B$9:$B$1000,0)+COUNTIF($B$9:B52,B52)-1,"")</f>
        <v/>
      </c>
      <c r="D52" s="45" t="str">
        <f>IF(AND(Registro!D51="Abierto",Registro!E51="Alta"),Registro!B51,"")</f>
        <v/>
      </c>
      <c r="E52" s="45" t="str">
        <f ca="1">IF(AND(Registro!D51="Abierto",Registro!E51="Alta"),TODAY()-Registro!R51,"")</f>
        <v/>
      </c>
      <c r="F52" s="45" t="str">
        <f>IF(AND(Registro!D51="Abierto",Registro!E51="Alta"),RANK(E52,$E$9:$E$1000,0)+COUNTIF($E$9:E52,E52)-1+MAX(C$5:C$1000),"")</f>
        <v/>
      </c>
      <c r="G52" s="45" t="str">
        <f>IF(AND(Registro!D51="Abierto",Registro!E51="Media"),Registro!B51,"")</f>
        <v/>
      </c>
      <c r="H52" s="45" t="str">
        <f ca="1">IF(AND(Registro!D51="Abierto",Registro!E51="Media"),TODAY()-Registro!R51,"")</f>
        <v/>
      </c>
      <c r="I52" s="45" t="str">
        <f>IF(AND(Registro!D51="Abierto",Registro!E51="Media"),RANK(H52,$H$9:$H$1000,0)+COUNTIF($H$9:H52,H52)-1+MAX(C$5:C$1000,F$5:F$1000),"")</f>
        <v/>
      </c>
      <c r="J52" s="45" t="str">
        <f>IF(AND(Registro!D51="Abierto",Registro!E51="Baja"),Registro!B51,"")</f>
        <v/>
      </c>
      <c r="K52" s="45" t="str">
        <f ca="1">IF(AND(Registro!D51="Abierto",Registro!E51="Baja"),TODAY()-Registro!R51,"")</f>
        <v/>
      </c>
      <c r="L52" s="45" t="str">
        <f>IF(AND(Registro!D51="Abierto",Registro!E51="Baja"),RANK(K52,$K$9:$K$1000,0)+COUNTIF($K$9:K52,K52)-1+MAX(C$5:C$1000,F$5:F$1000,I$5:I$1000),"")</f>
        <v/>
      </c>
      <c r="M52" s="46" t="str">
        <f>IF(OR(Registro!D51="Resuelto",Registro!D51=""),"",SUM(C52,F52,I52,L52))</f>
        <v/>
      </c>
      <c r="N52" s="46" t="str">
        <f>IF(OR(Registro!D51="Resuelto",Registro!D51=""),"",SUM(B52,E52,H52,K52))</f>
        <v/>
      </c>
      <c r="O52" s="46" t="str">
        <f>IF(OR(Registro!D51="Resuelto",Registro!D51=""),"",_xlfn.CONCAT(A52,D52,G52,J52))</f>
        <v/>
      </c>
      <c r="P52" s="47">
        <v>44</v>
      </c>
      <c r="Q52" s="47" t="str">
        <f t="shared" ca="1" si="0"/>
        <v>6322-PFIN-26</v>
      </c>
      <c r="R52" s="48">
        <f t="shared" ca="1" si="1"/>
        <v>-43</v>
      </c>
      <c r="S52" s="32"/>
      <c r="T52" s="32"/>
      <c r="U52" s="32"/>
      <c r="V52" s="32"/>
      <c r="W52" s="47" t="str">
        <f>IF(X52="","",MAX($W$5:W51)+1)</f>
        <v/>
      </c>
      <c r="X52" s="50" t="str">
        <f>IF(Registro!M51="","",IF(COUNTIF($X$8:X51,Registro!M51)=0,Registro!M51,""))</f>
        <v/>
      </c>
      <c r="Y52" s="50" t="str">
        <f t="shared" si="2"/>
        <v/>
      </c>
    </row>
    <row r="53" spans="1:25">
      <c r="A53" s="45" t="str">
        <f>IF(AND(Registro!D52="Abierto",Registro!E52="Urgente"),Registro!B52,"")</f>
        <v/>
      </c>
      <c r="B53" s="45" t="str">
        <f ca="1">IF(AND(Registro!D52="Abierto",Registro!E52="Urgente"),TODAY()-Registro!R52,"")</f>
        <v/>
      </c>
      <c r="C53" s="45" t="str">
        <f>IF(AND(Registro!D52="Abierto",Registro!E52="Urgente"),RANK(B53,$B$9:$B$1000,0)+COUNTIF($B$9:B53,B53)-1,"")</f>
        <v/>
      </c>
      <c r="D53" s="45" t="str">
        <f>IF(AND(Registro!D52="Abierto",Registro!E52="Alta"),Registro!B52,"")</f>
        <v/>
      </c>
      <c r="E53" s="45" t="str">
        <f ca="1">IF(AND(Registro!D52="Abierto",Registro!E52="Alta"),TODAY()-Registro!R52,"")</f>
        <v/>
      </c>
      <c r="F53" s="45" t="str">
        <f>IF(AND(Registro!D52="Abierto",Registro!E52="Alta"),RANK(E53,$E$9:$E$1000,0)+COUNTIF($E$9:E53,E53)-1+MAX(C$5:C$1000),"")</f>
        <v/>
      </c>
      <c r="G53" s="45" t="str">
        <f>IF(AND(Registro!D52="Abierto",Registro!E52="Media"),Registro!B52,"")</f>
        <v/>
      </c>
      <c r="H53" s="45" t="str">
        <f ca="1">IF(AND(Registro!D52="Abierto",Registro!E52="Media"),TODAY()-Registro!R52,"")</f>
        <v/>
      </c>
      <c r="I53" s="45" t="str">
        <f>IF(AND(Registro!D52="Abierto",Registro!E52="Media"),RANK(H53,$H$9:$H$1000,0)+COUNTIF($H$9:H53,H53)-1+MAX(C$5:C$1000,F$5:F$1000),"")</f>
        <v/>
      </c>
      <c r="J53" s="45" t="str">
        <f>IF(AND(Registro!D52="Abierto",Registro!E52="Baja"),Registro!B52,"")</f>
        <v>5795-PFAN-26</v>
      </c>
      <c r="K53" s="45">
        <f ca="1">IF(AND(Registro!D52="Abierto",Registro!E52="Baja"),TODAY()-Registro!R52,"")</f>
        <v>46310</v>
      </c>
      <c r="L53" s="45">
        <f ca="1">IF(AND(Registro!D52="Abierto",Registro!E52="Baja"),RANK(K53,$K$9:$K$1000,0)+COUNTIF($K$9:K53,K53)-1+MAX(C$5:C$1000,F$5:F$1000,I$5:I$1000),"")</f>
        <v>19</v>
      </c>
      <c r="M53" s="46">
        <f ca="1">IF(OR(Registro!D52="Resuelto",Registro!D52=""),"",SUM(C53,F53,I53,L53))</f>
        <v>19</v>
      </c>
      <c r="N53" s="46">
        <f ca="1">IF(OR(Registro!D52="Resuelto",Registro!D52=""),"",SUM(B53,E53,H53,K53))</f>
        <v>46310</v>
      </c>
      <c r="O53" s="46" t="str">
        <f>IF(OR(Registro!D52="Resuelto",Registro!D52=""),"",_xlfn.CONCAT(A53,D53,G53,J53))</f>
        <v>5795-PFAN-26</v>
      </c>
      <c r="P53" s="47">
        <v>45</v>
      </c>
      <c r="Q53" s="47" t="str">
        <f t="shared" ca="1" si="0"/>
        <v/>
      </c>
      <c r="R53" s="48" t="str">
        <f t="shared" ca="1" si="1"/>
        <v/>
      </c>
      <c r="S53" s="32"/>
      <c r="T53" s="32"/>
      <c r="U53" s="32"/>
      <c r="V53" s="32"/>
      <c r="W53" s="47" t="str">
        <f>IF(X53="","",MAX($W$5:W52)+1)</f>
        <v/>
      </c>
      <c r="X53" s="50" t="str">
        <f>IF(Registro!M52="","",IF(COUNTIF($X$8:X52,Registro!M52)=0,Registro!M52,""))</f>
        <v/>
      </c>
      <c r="Y53" s="50" t="str">
        <f t="shared" si="2"/>
        <v/>
      </c>
    </row>
    <row r="54" spans="1:25">
      <c r="A54" s="45" t="str">
        <f>IF(AND(Registro!D53="Abierto",Registro!E53="Urgente"),Registro!B53,"")</f>
        <v/>
      </c>
      <c r="B54" s="45" t="str">
        <f ca="1">IF(AND(Registro!D53="Abierto",Registro!E53="Urgente"),TODAY()-Registro!R53,"")</f>
        <v/>
      </c>
      <c r="C54" s="45" t="str">
        <f>IF(AND(Registro!D53="Abierto",Registro!E53="Urgente"),RANK(B54,$B$9:$B$1000,0)+COUNTIF($B$9:B54,B54)-1,"")</f>
        <v/>
      </c>
      <c r="D54" s="45" t="str">
        <f>IF(AND(Registro!D53="Abierto",Registro!E53="Alta"),Registro!B53,"")</f>
        <v/>
      </c>
      <c r="E54" s="45" t="str">
        <f ca="1">IF(AND(Registro!D53="Abierto",Registro!E53="Alta"),TODAY()-Registro!R53,"")</f>
        <v/>
      </c>
      <c r="F54" s="45" t="str">
        <f>IF(AND(Registro!D53="Abierto",Registro!E53="Alta"),RANK(E54,$E$9:$E$1000,0)+COUNTIF($E$9:E54,E54)-1+MAX(C$5:C$1000),"")</f>
        <v/>
      </c>
      <c r="G54" s="45" t="str">
        <f>IF(AND(Registro!D53="Abierto",Registro!E53="Media"),Registro!B53,"")</f>
        <v/>
      </c>
      <c r="H54" s="45" t="str">
        <f ca="1">IF(AND(Registro!D53="Abierto",Registro!E53="Media"),TODAY()-Registro!R53,"")</f>
        <v/>
      </c>
      <c r="I54" s="45" t="str">
        <f>IF(AND(Registro!D53="Abierto",Registro!E53="Media"),RANK(H54,$H$9:$H$1000,0)+COUNTIF($H$9:H54,H54)-1+MAX(C$5:C$1000,F$5:F$1000),"")</f>
        <v/>
      </c>
      <c r="J54" s="45" t="str">
        <f>IF(AND(Registro!D53="Abierto",Registro!E53="Baja"),Registro!B53,"")</f>
        <v>5796-PFAN-26</v>
      </c>
      <c r="K54" s="45">
        <f ca="1">IF(AND(Registro!D53="Abierto",Registro!E53="Baja"),TODAY()-Registro!R53,"")</f>
        <v>46310</v>
      </c>
      <c r="L54" s="45">
        <f ca="1">IF(AND(Registro!D53="Abierto",Registro!E53="Baja"),RANK(K54,$K$9:$K$1000,0)+COUNTIF($K$9:K54,K54)-1+MAX(C$5:C$1000,F$5:F$1000,I$5:I$1000),"")</f>
        <v>20</v>
      </c>
      <c r="M54" s="46">
        <f ca="1">IF(OR(Registro!D53="Resuelto",Registro!D53=""),"",SUM(C54,F54,I54,L54))</f>
        <v>20</v>
      </c>
      <c r="N54" s="46">
        <f ca="1">IF(OR(Registro!D53="Resuelto",Registro!D53=""),"",SUM(B54,E54,H54,K54))</f>
        <v>46310</v>
      </c>
      <c r="O54" s="46" t="str">
        <f>IF(OR(Registro!D53="Resuelto",Registro!D53=""),"",_xlfn.CONCAT(A54,D54,G54,J54))</f>
        <v>5796-PFAN-26</v>
      </c>
      <c r="P54" s="47">
        <v>46</v>
      </c>
      <c r="Q54" s="47" t="str">
        <f t="shared" ca="1" si="0"/>
        <v/>
      </c>
      <c r="R54" s="48" t="str">
        <f t="shared" ca="1" si="1"/>
        <v/>
      </c>
      <c r="S54" s="32"/>
      <c r="T54" s="32"/>
      <c r="U54" s="32"/>
      <c r="V54" s="32"/>
      <c r="W54" s="47" t="str">
        <f>IF(X54="","",MAX($W$5:W53)+1)</f>
        <v/>
      </c>
      <c r="X54" s="50" t="str">
        <f>IF(Registro!M53="","",IF(COUNTIF($X$8:X53,Registro!M53)=0,Registro!M53,""))</f>
        <v/>
      </c>
      <c r="Y54" s="50" t="str">
        <f t="shared" si="2"/>
        <v/>
      </c>
    </row>
    <row r="55" spans="1:25">
      <c r="A55" s="45" t="str">
        <f>IF(AND(Registro!D54="Abierto",Registro!E54="Urgente"),Registro!B54,"")</f>
        <v/>
      </c>
      <c r="B55" s="45" t="str">
        <f ca="1">IF(AND(Registro!D54="Abierto",Registro!E54="Urgente"),TODAY()-Registro!R54,"")</f>
        <v/>
      </c>
      <c r="C55" s="45" t="str">
        <f>IF(AND(Registro!D54="Abierto",Registro!E54="Urgente"),RANK(B55,$B$9:$B$1000,0)+COUNTIF($B$9:B55,B55)-1,"")</f>
        <v/>
      </c>
      <c r="D55" s="45" t="str">
        <f>IF(AND(Registro!D54="Abierto",Registro!E54="Alta"),Registro!B54,"")</f>
        <v/>
      </c>
      <c r="E55" s="45" t="str">
        <f ca="1">IF(AND(Registro!D54="Abierto",Registro!E54="Alta"),TODAY()-Registro!R54,"")</f>
        <v/>
      </c>
      <c r="F55" s="45" t="str">
        <f>IF(AND(Registro!D54="Abierto",Registro!E54="Alta"),RANK(E55,$E$9:$E$1000,0)+COUNTIF($E$9:E55,E55)-1+MAX(C$5:C$1000),"")</f>
        <v/>
      </c>
      <c r="G55" s="45" t="str">
        <f>IF(AND(Registro!D54="Abierto",Registro!E54="Media"),Registro!B54,"")</f>
        <v/>
      </c>
      <c r="H55" s="45" t="str">
        <f ca="1">IF(AND(Registro!D54="Abierto",Registro!E54="Media"),TODAY()-Registro!R54,"")</f>
        <v/>
      </c>
      <c r="I55" s="45" t="str">
        <f>IF(AND(Registro!D54="Abierto",Registro!E54="Media"),RANK(H55,$H$9:$H$1000,0)+COUNTIF($H$9:H55,H55)-1+MAX(C$5:C$1000,F$5:F$1000),"")</f>
        <v/>
      </c>
      <c r="J55" s="45" t="str">
        <f>IF(AND(Registro!D54="Abierto",Registro!E54="Baja"),Registro!B54,"")</f>
        <v>5797-PFAN-26</v>
      </c>
      <c r="K55" s="45">
        <f ca="1">IF(AND(Registro!D54="Abierto",Registro!E54="Baja"),TODAY()-Registro!R54,"")</f>
        <v>46310</v>
      </c>
      <c r="L55" s="45">
        <f ca="1">IF(AND(Registro!D54="Abierto",Registro!E54="Baja"),RANK(K55,$K$9:$K$1000,0)+COUNTIF($K$9:K55,K55)-1+MAX(C$5:C$1000,F$5:F$1000,I$5:I$1000),"")</f>
        <v>21</v>
      </c>
      <c r="M55" s="46">
        <f ca="1">IF(OR(Registro!D54="Resuelto",Registro!D54=""),"",SUM(C55,F55,I55,L55))</f>
        <v>21</v>
      </c>
      <c r="N55" s="46">
        <f ca="1">IF(OR(Registro!D54="Resuelto",Registro!D54=""),"",SUM(B55,E55,H55,K55))</f>
        <v>46310</v>
      </c>
      <c r="O55" s="46" t="str">
        <f>IF(OR(Registro!D54="Resuelto",Registro!D54=""),"",_xlfn.CONCAT(A55,D55,G55,J55))</f>
        <v>5797-PFAN-26</v>
      </c>
      <c r="P55" s="47">
        <v>47</v>
      </c>
      <c r="Q55" s="47" t="str">
        <f t="shared" ca="1" si="0"/>
        <v/>
      </c>
      <c r="R55" s="48" t="str">
        <f t="shared" ca="1" si="1"/>
        <v/>
      </c>
      <c r="S55" s="32"/>
      <c r="T55" s="32"/>
      <c r="U55" s="32"/>
      <c r="V55" s="32"/>
      <c r="W55" s="47" t="str">
        <f>IF(X55="","",MAX($W$5:W54)+1)</f>
        <v/>
      </c>
      <c r="X55" s="50" t="str">
        <f>IF(Registro!M54="","",IF(COUNTIF($X$8:X54,Registro!M54)=0,Registro!M54,""))</f>
        <v/>
      </c>
      <c r="Y55" s="50" t="str">
        <f t="shared" si="2"/>
        <v/>
      </c>
    </row>
    <row r="56" spans="1:25">
      <c r="A56" s="45" t="str">
        <f>IF(AND(Registro!D55="Abierto",Registro!E55="Urgente"),Registro!B55,"")</f>
        <v/>
      </c>
      <c r="B56" s="45" t="str">
        <f ca="1">IF(AND(Registro!D55="Abierto",Registro!E55="Urgente"),TODAY()-Registro!R55,"")</f>
        <v/>
      </c>
      <c r="C56" s="45" t="str">
        <f>IF(AND(Registro!D55="Abierto",Registro!E55="Urgente"),RANK(B56,$B$9:$B$1000,0)+COUNTIF($B$9:B56,B56)-1,"")</f>
        <v/>
      </c>
      <c r="D56" s="45" t="str">
        <f>IF(AND(Registro!D55="Abierto",Registro!E55="Alta"),Registro!B55,"")</f>
        <v/>
      </c>
      <c r="E56" s="45" t="str">
        <f ca="1">IF(AND(Registro!D55="Abierto",Registro!E55="Alta"),TODAY()-Registro!R55,"")</f>
        <v/>
      </c>
      <c r="F56" s="45" t="str">
        <f>IF(AND(Registro!D55="Abierto",Registro!E55="Alta"),RANK(E56,$E$9:$E$1000,0)+COUNTIF($E$9:E56,E56)-1+MAX(C$5:C$1000),"")</f>
        <v/>
      </c>
      <c r="G56" s="45" t="str">
        <f>IF(AND(Registro!D55="Abierto",Registro!E55="Media"),Registro!B55,"")</f>
        <v/>
      </c>
      <c r="H56" s="45" t="str">
        <f ca="1">IF(AND(Registro!D55="Abierto",Registro!E55="Media"),TODAY()-Registro!R55,"")</f>
        <v/>
      </c>
      <c r="I56" s="45" t="str">
        <f>IF(AND(Registro!D55="Abierto",Registro!E55="Media"),RANK(H56,$H$9:$H$1000,0)+COUNTIF($H$9:H56,H56)-1+MAX(C$5:C$1000,F$5:F$1000),"")</f>
        <v/>
      </c>
      <c r="J56" s="45" t="str">
        <f>IF(AND(Registro!D55="Abierto",Registro!E55="Baja"),Registro!B55,"")</f>
        <v/>
      </c>
      <c r="K56" s="45" t="str">
        <f ca="1">IF(AND(Registro!D55="Abierto",Registro!E55="Baja"),TODAY()-Registro!R55,"")</f>
        <v/>
      </c>
      <c r="L56" s="45" t="str">
        <f>IF(AND(Registro!D55="Abierto",Registro!E55="Baja"),RANK(K56,$K$9:$K$1000,0)+COUNTIF($K$9:K56,K56)-1+MAX(C$5:C$1000,F$5:F$1000,I$5:I$1000),"")</f>
        <v/>
      </c>
      <c r="M56" s="46" t="str">
        <f>IF(OR(Registro!D55="Resuelto",Registro!D55=""),"",SUM(C56,F56,I56,L56))</f>
        <v/>
      </c>
      <c r="N56" s="46" t="str">
        <f>IF(OR(Registro!D55="Resuelto",Registro!D55=""),"",SUM(B56,E56,H56,K56))</f>
        <v/>
      </c>
      <c r="O56" s="46" t="str">
        <f>IF(OR(Registro!D55="Resuelto",Registro!D55=""),"",_xlfn.CONCAT(A56,D56,G56,J56))</f>
        <v/>
      </c>
      <c r="P56" s="47">
        <v>48</v>
      </c>
      <c r="Q56" s="47" t="str">
        <f t="shared" ca="1" si="0"/>
        <v/>
      </c>
      <c r="R56" s="48" t="str">
        <f t="shared" ca="1" si="1"/>
        <v/>
      </c>
      <c r="S56" s="32"/>
      <c r="T56" s="32"/>
      <c r="U56" s="32"/>
      <c r="V56" s="32"/>
      <c r="W56" s="47" t="str">
        <f>IF(X56="","",MAX($W$5:W55)+1)</f>
        <v/>
      </c>
      <c r="X56" s="50" t="str">
        <f>IF(Registro!M55="","",IF(COUNTIF($X$8:X55,Registro!M55)=0,Registro!M55,""))</f>
        <v/>
      </c>
      <c r="Y56" s="50" t="str">
        <f t="shared" si="2"/>
        <v/>
      </c>
    </row>
    <row r="57" spans="1:25">
      <c r="A57" s="45" t="str">
        <f>IF(AND(Registro!D56="Abierto",Registro!E56="Urgente"),Registro!B56,"")</f>
        <v/>
      </c>
      <c r="B57" s="45" t="str">
        <f ca="1">IF(AND(Registro!D56="Abierto",Registro!E56="Urgente"),TODAY()-Registro!R56,"")</f>
        <v/>
      </c>
      <c r="C57" s="45" t="str">
        <f>IF(AND(Registro!D56="Abierto",Registro!E56="Urgente"),RANK(B57,$B$9:$B$1000,0)+COUNTIF($B$9:B57,B57)-1,"")</f>
        <v/>
      </c>
      <c r="D57" s="45" t="str">
        <f>IF(AND(Registro!D56="Abierto",Registro!E56="Alta"),Registro!B56,"")</f>
        <v/>
      </c>
      <c r="E57" s="45" t="str">
        <f ca="1">IF(AND(Registro!D56="Abierto",Registro!E56="Alta"),TODAY()-Registro!R56,"")</f>
        <v/>
      </c>
      <c r="F57" s="45" t="str">
        <f>IF(AND(Registro!D56="Abierto",Registro!E56="Alta"),RANK(E57,$E$9:$E$1000,0)+COUNTIF($E$9:E57,E57)-1+MAX(C$5:C$1000),"")</f>
        <v/>
      </c>
      <c r="G57" s="45" t="str">
        <f>IF(AND(Registro!D56="Abierto",Registro!E56="Media"),Registro!B56,"")</f>
        <v/>
      </c>
      <c r="H57" s="45" t="str">
        <f ca="1">IF(AND(Registro!D56="Abierto",Registro!E56="Media"),TODAY()-Registro!R56,"")</f>
        <v/>
      </c>
      <c r="I57" s="45" t="str">
        <f>IF(AND(Registro!D56="Abierto",Registro!E56="Media"),RANK(H57,$H$9:$H$1000,0)+COUNTIF($H$9:H57,H57)-1+MAX(C$5:C$1000,F$5:F$1000),"")</f>
        <v/>
      </c>
      <c r="J57" s="45" t="str">
        <f>IF(AND(Registro!D56="Abierto",Registro!E56="Baja"),Registro!B56,"")</f>
        <v/>
      </c>
      <c r="K57" s="45" t="str">
        <f ca="1">IF(AND(Registro!D56="Abierto",Registro!E56="Baja"),TODAY()-Registro!R56,"")</f>
        <v/>
      </c>
      <c r="L57" s="45" t="str">
        <f>IF(AND(Registro!D56="Abierto",Registro!E56="Baja"),RANK(K57,$K$9:$K$1000,0)+COUNTIF($K$9:K57,K57)-1+MAX(C$5:C$1000,F$5:F$1000,I$5:I$1000),"")</f>
        <v/>
      </c>
      <c r="M57" s="46" t="str">
        <f>IF(OR(Registro!D56="Resuelto",Registro!D56=""),"",SUM(C57,F57,I57,L57))</f>
        <v/>
      </c>
      <c r="N57" s="46" t="str">
        <f>IF(OR(Registro!D56="Resuelto",Registro!D56=""),"",SUM(B57,E57,H57,K57))</f>
        <v/>
      </c>
      <c r="O57" s="46" t="str">
        <f>IF(OR(Registro!D56="Resuelto",Registro!D56=""),"",_xlfn.CONCAT(A57,D57,G57,J57))</f>
        <v/>
      </c>
      <c r="P57" s="47">
        <v>49</v>
      </c>
      <c r="Q57" s="47" t="str">
        <f t="shared" ca="1" si="0"/>
        <v/>
      </c>
      <c r="R57" s="48" t="str">
        <f t="shared" ca="1" si="1"/>
        <v/>
      </c>
      <c r="S57" s="32"/>
      <c r="T57" s="32"/>
      <c r="U57" s="32"/>
      <c r="V57" s="32"/>
      <c r="W57" s="47" t="str">
        <f>IF(X57="","",MAX($W$5:W56)+1)</f>
        <v/>
      </c>
      <c r="X57" s="50" t="str">
        <f>IF(Registro!M56="","",IF(COUNTIF($X$8:X56,Registro!M56)=0,Registro!M56,""))</f>
        <v/>
      </c>
      <c r="Y57" s="50" t="str">
        <f t="shared" si="2"/>
        <v/>
      </c>
    </row>
    <row r="58" spans="1:25">
      <c r="A58" s="45" t="str">
        <f>IF(AND(Registro!D57="Abierto",Registro!E57="Urgente"),Registro!B57,"")</f>
        <v/>
      </c>
      <c r="B58" s="45" t="str">
        <f ca="1">IF(AND(Registro!D57="Abierto",Registro!E57="Urgente"),TODAY()-Registro!R57,"")</f>
        <v/>
      </c>
      <c r="C58" s="45" t="str">
        <f>IF(AND(Registro!D57="Abierto",Registro!E57="Urgente"),RANK(B58,$B$9:$B$1000,0)+COUNTIF($B$9:B58,B58)-1,"")</f>
        <v/>
      </c>
      <c r="D58" s="45" t="str">
        <f>IF(AND(Registro!D57="Abierto",Registro!E57="Alta"),Registro!B57,"")</f>
        <v/>
      </c>
      <c r="E58" s="45" t="str">
        <f ca="1">IF(AND(Registro!D57="Abierto",Registro!E57="Alta"),TODAY()-Registro!R57,"")</f>
        <v/>
      </c>
      <c r="F58" s="45" t="str">
        <f>IF(AND(Registro!D57="Abierto",Registro!E57="Alta"),RANK(E58,$E$9:$E$1000,0)+COUNTIF($E$9:E58,E58)-1+MAX(C$5:C$1000),"")</f>
        <v/>
      </c>
      <c r="G58" s="45" t="str">
        <f>IF(AND(Registro!D57="Abierto",Registro!E57="Media"),Registro!B57,"")</f>
        <v/>
      </c>
      <c r="H58" s="45" t="str">
        <f ca="1">IF(AND(Registro!D57="Abierto",Registro!E57="Media"),TODAY()-Registro!R57,"")</f>
        <v/>
      </c>
      <c r="I58" s="45" t="str">
        <f>IF(AND(Registro!D57="Abierto",Registro!E57="Media"),RANK(H58,$H$9:$H$1000,0)+COUNTIF($H$9:H58,H58)-1+MAX(C$5:C$1000,F$5:F$1000),"")</f>
        <v/>
      </c>
      <c r="J58" s="45" t="str">
        <f>IF(AND(Registro!D57="Abierto",Registro!E57="Baja"),Registro!B57,"")</f>
        <v/>
      </c>
      <c r="K58" s="45" t="str">
        <f ca="1">IF(AND(Registro!D57="Abierto",Registro!E57="Baja"),TODAY()-Registro!R57,"")</f>
        <v/>
      </c>
      <c r="L58" s="45" t="str">
        <f>IF(AND(Registro!D57="Abierto",Registro!E57="Baja"),RANK(K58,$K$9:$K$1000,0)+COUNTIF($K$9:K58,K58)-1+MAX(C$5:C$1000,F$5:F$1000,I$5:I$1000),"")</f>
        <v/>
      </c>
      <c r="M58" s="46" t="str">
        <f>IF(OR(Registro!D57="Resuelto",Registro!D57=""),"",SUM(C58,F58,I58,L58))</f>
        <v/>
      </c>
      <c r="N58" s="46" t="str">
        <f>IF(OR(Registro!D57="Resuelto",Registro!D57=""),"",SUM(B58,E58,H58,K58))</f>
        <v/>
      </c>
      <c r="O58" s="46" t="str">
        <f>IF(OR(Registro!D57="Resuelto",Registro!D57=""),"",_xlfn.CONCAT(A58,D58,G58,J58))</f>
        <v/>
      </c>
      <c r="P58" s="47">
        <v>50</v>
      </c>
      <c r="Q58" s="47" t="str">
        <f t="shared" ca="1" si="0"/>
        <v/>
      </c>
      <c r="R58" s="48" t="str">
        <f t="shared" ca="1" si="1"/>
        <v/>
      </c>
      <c r="S58" s="32"/>
      <c r="T58" s="32"/>
      <c r="U58" s="32"/>
      <c r="V58" s="32"/>
      <c r="W58" s="47" t="str">
        <f>IF(X58="","",MAX($W$5:W57)+1)</f>
        <v/>
      </c>
      <c r="X58" s="50" t="str">
        <f>IF(Registro!M57="","",IF(COUNTIF($X$8:X57,Registro!M57)=0,Registro!M57,""))</f>
        <v/>
      </c>
      <c r="Y58" s="50" t="str">
        <f t="shared" si="2"/>
        <v/>
      </c>
    </row>
    <row r="59" spans="1:25">
      <c r="A59" s="45" t="str">
        <f>IF(AND(Registro!D58="Abierto",Registro!E58="Urgente"),Registro!B58,"")</f>
        <v/>
      </c>
      <c r="B59" s="45" t="str">
        <f ca="1">IF(AND(Registro!D58="Abierto",Registro!E58="Urgente"),TODAY()-Registro!R58,"")</f>
        <v/>
      </c>
      <c r="C59" s="45" t="str">
        <f>IF(AND(Registro!D58="Abierto",Registro!E58="Urgente"),RANK(B59,$B$9:$B$1000,0)+COUNTIF($B$9:B59,B59)-1,"")</f>
        <v/>
      </c>
      <c r="D59" s="45" t="str">
        <f>IF(AND(Registro!D58="Abierto",Registro!E58="Alta"),Registro!B58,"")</f>
        <v/>
      </c>
      <c r="E59" s="45" t="str">
        <f ca="1">IF(AND(Registro!D58="Abierto",Registro!E58="Alta"),TODAY()-Registro!R58,"")</f>
        <v/>
      </c>
      <c r="F59" s="45" t="str">
        <f>IF(AND(Registro!D58="Abierto",Registro!E58="Alta"),RANK(E59,$E$9:$E$1000,0)+COUNTIF($E$9:E59,E59)-1+MAX(C$5:C$1000),"")</f>
        <v/>
      </c>
      <c r="G59" s="45" t="str">
        <f>IF(AND(Registro!D58="Abierto",Registro!E58="Media"),Registro!B58,"")</f>
        <v/>
      </c>
      <c r="H59" s="45" t="str">
        <f ca="1">IF(AND(Registro!D58="Abierto",Registro!E58="Media"),TODAY()-Registro!R58,"")</f>
        <v/>
      </c>
      <c r="I59" s="45" t="str">
        <f>IF(AND(Registro!D58="Abierto",Registro!E58="Media"),RANK(H59,$H$9:$H$1000,0)+COUNTIF($H$9:H59,H59)-1+MAX(C$5:C$1000,F$5:F$1000),"")</f>
        <v/>
      </c>
      <c r="J59" s="45" t="str">
        <f>IF(AND(Registro!D58="Abierto",Registro!E58="Baja"),Registro!B58,"")</f>
        <v/>
      </c>
      <c r="K59" s="45" t="str">
        <f ca="1">IF(AND(Registro!D58="Abierto",Registro!E58="Baja"),TODAY()-Registro!R58,"")</f>
        <v/>
      </c>
      <c r="L59" s="45" t="str">
        <f>IF(AND(Registro!D58="Abierto",Registro!E58="Baja"),RANK(K59,$K$9:$K$1000,0)+COUNTIF($K$9:K59,K59)-1+MAX(C$5:C$1000,F$5:F$1000,I$5:I$1000),"")</f>
        <v/>
      </c>
      <c r="M59" s="46" t="str">
        <f>IF(OR(Registro!D58="Resuelto",Registro!D58=""),"",SUM(C59,F59,I59,L59))</f>
        <v/>
      </c>
      <c r="N59" s="46" t="str">
        <f>IF(OR(Registro!D58="Resuelto",Registro!D58=""),"",SUM(B59,E59,H59,K59))</f>
        <v/>
      </c>
      <c r="O59" s="46" t="str">
        <f>IF(OR(Registro!D58="Resuelto",Registro!D58=""),"",_xlfn.CONCAT(A59,D59,G59,J59))</f>
        <v/>
      </c>
      <c r="P59" s="47">
        <v>51</v>
      </c>
      <c r="Q59" s="47" t="str">
        <f t="shared" ca="1" si="0"/>
        <v/>
      </c>
      <c r="R59" s="48" t="str">
        <f t="shared" ca="1" si="1"/>
        <v/>
      </c>
      <c r="S59" s="32"/>
      <c r="T59" s="32"/>
      <c r="U59" s="32"/>
      <c r="V59" s="32"/>
      <c r="W59" s="47" t="str">
        <f>IF(X59="","",MAX($W$5:W58)+1)</f>
        <v/>
      </c>
      <c r="X59" s="50" t="str">
        <f>IF(Registro!M58="","",IF(COUNTIF($X$8:X58,Registro!M58)=0,Registro!M58,""))</f>
        <v/>
      </c>
      <c r="Y59" s="50" t="str">
        <f t="shared" si="2"/>
        <v/>
      </c>
    </row>
    <row r="60" spans="1:25">
      <c r="A60" s="45" t="str">
        <f>IF(AND(Registro!D59="Abierto",Registro!E59="Urgente"),Registro!B59,"")</f>
        <v/>
      </c>
      <c r="B60" s="45" t="str">
        <f ca="1">IF(AND(Registro!D59="Abierto",Registro!E59="Urgente"),TODAY()-Registro!R59,"")</f>
        <v/>
      </c>
      <c r="C60" s="45" t="str">
        <f>IF(AND(Registro!D59="Abierto",Registro!E59="Urgente"),RANK(B60,$B$9:$B$1000,0)+COUNTIF($B$9:B60,B60)-1,"")</f>
        <v/>
      </c>
      <c r="D60" s="45" t="str">
        <f>IF(AND(Registro!D59="Abierto",Registro!E59="Alta"),Registro!B59,"")</f>
        <v/>
      </c>
      <c r="E60" s="45" t="str">
        <f ca="1">IF(AND(Registro!D59="Abierto",Registro!E59="Alta"),TODAY()-Registro!R59,"")</f>
        <v/>
      </c>
      <c r="F60" s="45" t="str">
        <f>IF(AND(Registro!D59="Abierto",Registro!E59="Alta"),RANK(E60,$E$9:$E$1000,0)+COUNTIF($E$9:E60,E60)-1+MAX(C$5:C$1000),"")</f>
        <v/>
      </c>
      <c r="G60" s="45" t="str">
        <f>IF(AND(Registro!D59="Abierto",Registro!E59="Media"),Registro!B59,"")</f>
        <v/>
      </c>
      <c r="H60" s="45" t="str">
        <f ca="1">IF(AND(Registro!D59="Abierto",Registro!E59="Media"),TODAY()-Registro!R59,"")</f>
        <v/>
      </c>
      <c r="I60" s="45" t="str">
        <f>IF(AND(Registro!D59="Abierto",Registro!E59="Media"),RANK(H60,$H$9:$H$1000,0)+COUNTIF($H$9:H60,H60)-1+MAX(C$5:C$1000,F$5:F$1000),"")</f>
        <v/>
      </c>
      <c r="J60" s="45" t="str">
        <f>IF(AND(Registro!D59="Abierto",Registro!E59="Baja"),Registro!B59,"")</f>
        <v/>
      </c>
      <c r="K60" s="45" t="str">
        <f ca="1">IF(AND(Registro!D59="Abierto",Registro!E59="Baja"),TODAY()-Registro!R59,"")</f>
        <v/>
      </c>
      <c r="L60" s="45" t="str">
        <f>IF(AND(Registro!D59="Abierto",Registro!E59="Baja"),RANK(K60,$K$9:$K$1000,0)+COUNTIF($K$9:K60,K60)-1+MAX(C$5:C$1000,F$5:F$1000,I$5:I$1000),"")</f>
        <v/>
      </c>
      <c r="M60" s="46" t="str">
        <f>IF(OR(Registro!D59="Resuelto",Registro!D59=""),"",SUM(C60,F60,I60,L60))</f>
        <v/>
      </c>
      <c r="N60" s="46" t="str">
        <f>IF(OR(Registro!D59="Resuelto",Registro!D59=""),"",SUM(B60,E60,H60,K60))</f>
        <v/>
      </c>
      <c r="O60" s="46" t="str">
        <f>IF(OR(Registro!D59="Resuelto",Registro!D59=""),"",_xlfn.CONCAT(A60,D60,G60,J60))</f>
        <v/>
      </c>
      <c r="P60" s="47">
        <v>52</v>
      </c>
      <c r="Q60" s="47" t="str">
        <f t="shared" ca="1" si="0"/>
        <v/>
      </c>
      <c r="R60" s="48" t="str">
        <f t="shared" ca="1" si="1"/>
        <v/>
      </c>
      <c r="S60" s="32"/>
      <c r="T60" s="32"/>
      <c r="U60" s="32"/>
      <c r="V60" s="32"/>
      <c r="W60" s="47" t="str">
        <f>IF(X60="","",MAX($W$5:W59)+1)</f>
        <v/>
      </c>
      <c r="X60" s="50" t="str">
        <f>IF(Registro!M59="","",IF(COUNTIF($X$8:X59,Registro!M59)=0,Registro!M59,""))</f>
        <v/>
      </c>
      <c r="Y60" s="50" t="str">
        <f t="shared" si="2"/>
        <v/>
      </c>
    </row>
    <row r="61" spans="1:25">
      <c r="A61" s="45" t="str">
        <f>IF(AND(Registro!D60="Abierto",Registro!E60="Urgente"),Registro!B60,"")</f>
        <v/>
      </c>
      <c r="B61" s="45" t="str">
        <f ca="1">IF(AND(Registro!D60="Abierto",Registro!E60="Urgente"),TODAY()-Registro!R60,"")</f>
        <v/>
      </c>
      <c r="C61" s="45" t="str">
        <f>IF(AND(Registro!D60="Abierto",Registro!E60="Urgente"),RANK(B61,$B$9:$B$1000,0)+COUNTIF($B$9:B61,B61)-1,"")</f>
        <v/>
      </c>
      <c r="D61" s="45" t="str">
        <f>IF(AND(Registro!D60="Abierto",Registro!E60="Alta"),Registro!B60,"")</f>
        <v/>
      </c>
      <c r="E61" s="45" t="str">
        <f ca="1">IF(AND(Registro!D60="Abierto",Registro!E60="Alta"),TODAY()-Registro!R60,"")</f>
        <v/>
      </c>
      <c r="F61" s="45" t="str">
        <f>IF(AND(Registro!D60="Abierto",Registro!E60="Alta"),RANK(E61,$E$9:$E$1000,0)+COUNTIF($E$9:E61,E61)-1+MAX(C$5:C$1000),"")</f>
        <v/>
      </c>
      <c r="G61" s="45" t="str">
        <f>IF(AND(Registro!D60="Abierto",Registro!E60="Media"),Registro!B60,"")</f>
        <v/>
      </c>
      <c r="H61" s="45" t="str">
        <f ca="1">IF(AND(Registro!D60="Abierto",Registro!E60="Media"),TODAY()-Registro!R60,"")</f>
        <v/>
      </c>
      <c r="I61" s="45" t="str">
        <f>IF(AND(Registro!D60="Abierto",Registro!E60="Media"),RANK(H61,$H$9:$H$1000,0)+COUNTIF($H$9:H61,H61)-1+MAX(C$5:C$1000,F$5:F$1000),"")</f>
        <v/>
      </c>
      <c r="J61" s="45" t="str">
        <f>IF(AND(Registro!D60="Abierto",Registro!E60="Baja"),Registro!B60,"")</f>
        <v/>
      </c>
      <c r="K61" s="45" t="str">
        <f ca="1">IF(AND(Registro!D60="Abierto",Registro!E60="Baja"),TODAY()-Registro!R60,"")</f>
        <v/>
      </c>
      <c r="L61" s="45" t="str">
        <f>IF(AND(Registro!D60="Abierto",Registro!E60="Baja"),RANK(K61,$K$9:$K$1000,0)+COUNTIF($K$9:K61,K61)-1+MAX(C$5:C$1000,F$5:F$1000,I$5:I$1000),"")</f>
        <v/>
      </c>
      <c r="M61" s="46" t="str">
        <f>IF(OR(Registro!D60="Resuelto",Registro!D60=""),"",SUM(C61,F61,I61,L61))</f>
        <v/>
      </c>
      <c r="N61" s="46" t="str">
        <f>IF(OR(Registro!D60="Resuelto",Registro!D60=""),"",SUM(B61,E61,H61,K61))</f>
        <v/>
      </c>
      <c r="O61" s="46" t="str">
        <f>IF(OR(Registro!D60="Resuelto",Registro!D60=""),"",_xlfn.CONCAT(A61,D61,G61,J61))</f>
        <v/>
      </c>
      <c r="P61" s="47">
        <v>53</v>
      </c>
      <c r="Q61" s="47" t="str">
        <f t="shared" ca="1" si="0"/>
        <v/>
      </c>
      <c r="R61" s="48" t="str">
        <f t="shared" ca="1" si="1"/>
        <v/>
      </c>
      <c r="S61" s="32"/>
      <c r="T61" s="32"/>
      <c r="U61" s="32"/>
      <c r="V61" s="32"/>
      <c r="W61" s="47" t="str">
        <f>IF(X61="","",MAX($W$5:W60)+1)</f>
        <v/>
      </c>
      <c r="X61" s="50" t="str">
        <f>IF(Registro!M60="","",IF(COUNTIF($X$8:X60,Registro!M60)=0,Registro!M60,""))</f>
        <v/>
      </c>
      <c r="Y61" s="50" t="str">
        <f t="shared" si="2"/>
        <v/>
      </c>
    </row>
    <row r="62" spans="1:25">
      <c r="A62" s="45" t="str">
        <f>IF(AND(Registro!D61="Abierto",Registro!E61="Urgente"),Registro!B61,"")</f>
        <v/>
      </c>
      <c r="B62" s="45" t="str">
        <f ca="1">IF(AND(Registro!D61="Abierto",Registro!E61="Urgente"),TODAY()-Registro!R61,"")</f>
        <v/>
      </c>
      <c r="C62" s="45" t="str">
        <f>IF(AND(Registro!D61="Abierto",Registro!E61="Urgente"),RANK(B62,$B$9:$B$1000,0)+COUNTIF($B$9:B62,B62)-1,"")</f>
        <v/>
      </c>
      <c r="D62" s="45" t="str">
        <f>IF(AND(Registro!D61="Abierto",Registro!E61="Alta"),Registro!B61,"")</f>
        <v/>
      </c>
      <c r="E62" s="45" t="str">
        <f ca="1">IF(AND(Registro!D61="Abierto",Registro!E61="Alta"),TODAY()-Registro!R61,"")</f>
        <v/>
      </c>
      <c r="F62" s="45" t="str">
        <f>IF(AND(Registro!D61="Abierto",Registro!E61="Alta"),RANK(E62,$E$9:$E$1000,0)+COUNTIF($E$9:E62,E62)-1+MAX(C$5:C$1000),"")</f>
        <v/>
      </c>
      <c r="G62" s="45" t="str">
        <f>IF(AND(Registro!D61="Abierto",Registro!E61="Media"),Registro!B61,"")</f>
        <v/>
      </c>
      <c r="H62" s="45" t="str">
        <f ca="1">IF(AND(Registro!D61="Abierto",Registro!E61="Media"),TODAY()-Registro!R61,"")</f>
        <v/>
      </c>
      <c r="I62" s="45" t="str">
        <f>IF(AND(Registro!D61="Abierto",Registro!E61="Media"),RANK(H62,$H$9:$H$1000,0)+COUNTIF($H$9:H62,H62)-1+MAX(C$5:C$1000,F$5:F$1000),"")</f>
        <v/>
      </c>
      <c r="J62" s="45" t="str">
        <f>IF(AND(Registro!D61="Abierto",Registro!E61="Baja"),Registro!B61,"")</f>
        <v/>
      </c>
      <c r="K62" s="45" t="str">
        <f ca="1">IF(AND(Registro!D61="Abierto",Registro!E61="Baja"),TODAY()-Registro!R61,"")</f>
        <v/>
      </c>
      <c r="L62" s="45" t="str">
        <f>IF(AND(Registro!D61="Abierto",Registro!E61="Baja"),RANK(K62,$K$9:$K$1000,0)+COUNTIF($K$9:K62,K62)-1+MAX(C$5:C$1000,F$5:F$1000,I$5:I$1000),"")</f>
        <v/>
      </c>
      <c r="M62" s="46" t="str">
        <f>IF(OR(Registro!D61="Resuelto",Registro!D61=""),"",SUM(C62,F62,I62,L62))</f>
        <v/>
      </c>
      <c r="N62" s="46" t="str">
        <f>IF(OR(Registro!D61="Resuelto",Registro!D61=""),"",SUM(B62,E62,H62,K62))</f>
        <v/>
      </c>
      <c r="O62" s="46" t="str">
        <f>IF(OR(Registro!D61="Resuelto",Registro!D61=""),"",_xlfn.CONCAT(A62,D62,G62,J62))</f>
        <v/>
      </c>
      <c r="P62" s="47">
        <v>54</v>
      </c>
      <c r="Q62" s="47" t="str">
        <f t="shared" ca="1" si="0"/>
        <v/>
      </c>
      <c r="R62" s="48" t="str">
        <f t="shared" ca="1" si="1"/>
        <v/>
      </c>
      <c r="S62" s="32"/>
      <c r="T62" s="32"/>
      <c r="U62" s="32"/>
      <c r="V62" s="32"/>
      <c r="W62" s="47" t="str">
        <f>IF(X62="","",MAX($W$5:W61)+1)</f>
        <v/>
      </c>
      <c r="X62" s="50" t="str">
        <f>IF(Registro!M61="","",IF(COUNTIF($X$8:X61,Registro!M61)=0,Registro!M61,""))</f>
        <v/>
      </c>
      <c r="Y62" s="50" t="str">
        <f t="shared" si="2"/>
        <v/>
      </c>
    </row>
    <row r="63" spans="1:25">
      <c r="A63" s="45" t="str">
        <f>IF(AND(Registro!D62="Abierto",Registro!E62="Urgente"),Registro!B62,"")</f>
        <v/>
      </c>
      <c r="B63" s="45" t="str">
        <f ca="1">IF(AND(Registro!D62="Abierto",Registro!E62="Urgente"),TODAY()-Registro!R62,"")</f>
        <v/>
      </c>
      <c r="C63" s="45" t="str">
        <f>IF(AND(Registro!D62="Abierto",Registro!E62="Urgente"),RANK(B63,$B$9:$B$1000,0)+COUNTIF($B$9:B63,B63)-1,"")</f>
        <v/>
      </c>
      <c r="D63" s="45" t="str">
        <f>IF(AND(Registro!D62="Abierto",Registro!E62="Alta"),Registro!B62,"")</f>
        <v/>
      </c>
      <c r="E63" s="45" t="str">
        <f ca="1">IF(AND(Registro!D62="Abierto",Registro!E62="Alta"),TODAY()-Registro!R62,"")</f>
        <v/>
      </c>
      <c r="F63" s="45" t="str">
        <f>IF(AND(Registro!D62="Abierto",Registro!E62="Alta"),RANK(E63,$E$9:$E$1000,0)+COUNTIF($E$9:E63,E63)-1+MAX(C$5:C$1000),"")</f>
        <v/>
      </c>
      <c r="G63" s="45" t="str">
        <f>IF(AND(Registro!D62="Abierto",Registro!E62="Media"),Registro!B62,"")</f>
        <v/>
      </c>
      <c r="H63" s="45" t="str">
        <f ca="1">IF(AND(Registro!D62="Abierto",Registro!E62="Media"),TODAY()-Registro!R62,"")</f>
        <v/>
      </c>
      <c r="I63" s="45" t="str">
        <f>IF(AND(Registro!D62="Abierto",Registro!E62="Media"),RANK(H63,$H$9:$H$1000,0)+COUNTIF($H$9:H63,H63)-1+MAX(C$5:C$1000,F$5:F$1000),"")</f>
        <v/>
      </c>
      <c r="J63" s="45" t="str">
        <f>IF(AND(Registro!D62="Abierto",Registro!E62="Baja"),Registro!B62,"")</f>
        <v/>
      </c>
      <c r="K63" s="45" t="str">
        <f ca="1">IF(AND(Registro!D62="Abierto",Registro!E62="Baja"),TODAY()-Registro!R62,"")</f>
        <v/>
      </c>
      <c r="L63" s="45" t="str">
        <f>IF(AND(Registro!D62="Abierto",Registro!E62="Baja"),RANK(K63,$K$9:$K$1000,0)+COUNTIF($K$9:K63,K63)-1+MAX(C$5:C$1000,F$5:F$1000,I$5:I$1000),"")</f>
        <v/>
      </c>
      <c r="M63" s="46" t="str">
        <f>IF(OR(Registro!D62="Resuelto",Registro!D62=""),"",SUM(C63,F63,I63,L63))</f>
        <v/>
      </c>
      <c r="N63" s="46" t="str">
        <f>IF(OR(Registro!D62="Resuelto",Registro!D62=""),"",SUM(B63,E63,H63,K63))</f>
        <v/>
      </c>
      <c r="O63" s="46" t="str">
        <f>IF(OR(Registro!D62="Resuelto",Registro!D62=""),"",_xlfn.CONCAT(A63,D63,G63,J63))</f>
        <v/>
      </c>
      <c r="P63" s="47">
        <v>55</v>
      </c>
      <c r="Q63" s="47" t="str">
        <f t="shared" ca="1" si="0"/>
        <v/>
      </c>
      <c r="R63" s="48" t="str">
        <f t="shared" ca="1" si="1"/>
        <v/>
      </c>
      <c r="S63" s="32"/>
      <c r="T63" s="32"/>
      <c r="U63" s="32"/>
      <c r="V63" s="32"/>
      <c r="W63" s="47" t="str">
        <f>IF(X63="","",MAX($W$5:W62)+1)</f>
        <v/>
      </c>
      <c r="X63" s="50" t="str">
        <f>IF(Registro!M62="","",IF(COUNTIF($X$8:X62,Registro!M62)=0,Registro!M62,""))</f>
        <v/>
      </c>
      <c r="Y63" s="50" t="str">
        <f t="shared" si="2"/>
        <v/>
      </c>
    </row>
    <row r="64" spans="1:25">
      <c r="A64" s="45" t="str">
        <f>IF(AND(Registro!D63="Abierto",Registro!E63="Urgente"),Registro!B63,"")</f>
        <v/>
      </c>
      <c r="B64" s="45" t="str">
        <f ca="1">IF(AND(Registro!D63="Abierto",Registro!E63="Urgente"),TODAY()-Registro!R63,"")</f>
        <v/>
      </c>
      <c r="C64" s="45" t="str">
        <f>IF(AND(Registro!D63="Abierto",Registro!E63="Urgente"),RANK(B64,$B$9:$B$1000,0)+COUNTIF($B$9:B64,B64)-1,"")</f>
        <v/>
      </c>
      <c r="D64" s="45" t="str">
        <f>IF(AND(Registro!D63="Abierto",Registro!E63="Alta"),Registro!B63,"")</f>
        <v/>
      </c>
      <c r="E64" s="45" t="str">
        <f ca="1">IF(AND(Registro!D63="Abierto",Registro!E63="Alta"),TODAY()-Registro!R63,"")</f>
        <v/>
      </c>
      <c r="F64" s="45" t="str">
        <f>IF(AND(Registro!D63="Abierto",Registro!E63="Alta"),RANK(E64,$E$9:$E$1000,0)+COUNTIF($E$9:E64,E64)-1+MAX(C$5:C$1000),"")</f>
        <v/>
      </c>
      <c r="G64" s="45" t="str">
        <f>IF(AND(Registro!D63="Abierto",Registro!E63="Media"),Registro!B63,"")</f>
        <v/>
      </c>
      <c r="H64" s="45" t="str">
        <f ca="1">IF(AND(Registro!D63="Abierto",Registro!E63="Media"),TODAY()-Registro!R63,"")</f>
        <v/>
      </c>
      <c r="I64" s="45" t="str">
        <f>IF(AND(Registro!D63="Abierto",Registro!E63="Media"),RANK(H64,$H$9:$H$1000,0)+COUNTIF($H$9:H64,H64)-1+MAX(C$5:C$1000,F$5:F$1000),"")</f>
        <v/>
      </c>
      <c r="J64" s="45" t="str">
        <f>IF(AND(Registro!D63="Abierto",Registro!E63="Baja"),Registro!B63,"")</f>
        <v>6360-PFIN-26</v>
      </c>
      <c r="K64" s="45">
        <f ca="1">IF(AND(Registro!D63="Abierto",Registro!E63="Baja"),TODAY()-Registro!R63,"")</f>
        <v>0</v>
      </c>
      <c r="L64" s="45">
        <f ca="1">IF(AND(Registro!D63="Abierto",Registro!E63="Baja"),RANK(K64,$K$9:$K$1000,0)+COUNTIF($K$9:K64,K64)-1+MAX(C$5:C$1000,F$5:F$1000,I$5:I$1000),"")</f>
        <v>31</v>
      </c>
      <c r="M64" s="46">
        <f ca="1">IF(OR(Registro!D63="Resuelto",Registro!D63=""),"",SUM(C64,F64,I64,L64))</f>
        <v>31</v>
      </c>
      <c r="N64" s="46">
        <f ca="1">IF(OR(Registro!D63="Resuelto",Registro!D63=""),"",SUM(B64,E64,H64,K64))</f>
        <v>0</v>
      </c>
      <c r="O64" s="46" t="str">
        <f>IF(OR(Registro!D63="Resuelto",Registro!D63=""),"",_xlfn.CONCAT(A64,D64,G64,J64))</f>
        <v>6360-PFIN-26</v>
      </c>
      <c r="P64" s="47">
        <v>56</v>
      </c>
      <c r="Q64" s="47" t="str">
        <f t="shared" ca="1" si="0"/>
        <v/>
      </c>
      <c r="R64" s="48" t="str">
        <f t="shared" ca="1" si="1"/>
        <v/>
      </c>
      <c r="S64" s="32"/>
      <c r="T64" s="32"/>
      <c r="U64" s="32"/>
      <c r="V64" s="32"/>
      <c r="W64" s="47" t="str">
        <f>IF(X64="","",MAX($W$5:W63)+1)</f>
        <v/>
      </c>
      <c r="X64" s="50" t="str">
        <f>IF(Registro!M63="","",IF(COUNTIF($X$8:X63,Registro!M63)=0,Registro!M63,""))</f>
        <v/>
      </c>
      <c r="Y64" s="50" t="str">
        <f t="shared" si="2"/>
        <v/>
      </c>
    </row>
    <row r="65" spans="1:25">
      <c r="A65" s="45" t="str">
        <f>IF(AND(Registro!D64="Abierto",Registro!E64="Urgente"),Registro!B64,"")</f>
        <v/>
      </c>
      <c r="B65" s="45" t="str">
        <f ca="1">IF(AND(Registro!D64="Abierto",Registro!E64="Urgente"),TODAY()-Registro!R64,"")</f>
        <v/>
      </c>
      <c r="C65" s="45" t="str">
        <f>IF(AND(Registro!D64="Abierto",Registro!E64="Urgente"),RANK(B65,$B$9:$B$1000,0)+COUNTIF($B$9:B65,B65)-1,"")</f>
        <v/>
      </c>
      <c r="D65" s="45" t="str">
        <f>IF(AND(Registro!D64="Abierto",Registro!E64="Alta"),Registro!B64,"")</f>
        <v/>
      </c>
      <c r="E65" s="45" t="str">
        <f ca="1">IF(AND(Registro!D64="Abierto",Registro!E64="Alta"),TODAY()-Registro!R64,"")</f>
        <v/>
      </c>
      <c r="F65" s="45" t="str">
        <f>IF(AND(Registro!D64="Abierto",Registro!E64="Alta"),RANK(E65,$E$9:$E$1000,0)+COUNTIF($E$9:E65,E65)-1+MAX(C$5:C$1000),"")</f>
        <v/>
      </c>
      <c r="G65" s="45" t="str">
        <f>IF(AND(Registro!D64="Abierto",Registro!E64="Media"),Registro!B64,"")</f>
        <v/>
      </c>
      <c r="H65" s="45" t="str">
        <f ca="1">IF(AND(Registro!D64="Abierto",Registro!E64="Media"),TODAY()-Registro!R64,"")</f>
        <v/>
      </c>
      <c r="I65" s="45" t="str">
        <f>IF(AND(Registro!D64="Abierto",Registro!E64="Media"),RANK(H65,$H$9:$H$1000,0)+COUNTIF($H$9:H65,H65)-1+MAX(C$5:C$1000,F$5:F$1000),"")</f>
        <v/>
      </c>
      <c r="J65" s="45" t="str">
        <f>IF(AND(Registro!D64="Abierto",Registro!E64="Baja"),Registro!B64,"")</f>
        <v/>
      </c>
      <c r="K65" s="45" t="str">
        <f ca="1">IF(AND(Registro!D64="Abierto",Registro!E64="Baja"),TODAY()-Registro!R64,"")</f>
        <v/>
      </c>
      <c r="L65" s="45" t="str">
        <f>IF(AND(Registro!D64="Abierto",Registro!E64="Baja"),RANK(K65,$K$9:$K$1000,0)+COUNTIF($K$9:K65,K65)-1+MAX(C$5:C$1000,F$5:F$1000,I$5:I$1000),"")</f>
        <v/>
      </c>
      <c r="M65" s="46" t="str">
        <f>IF(OR(Registro!D64="Resuelto",Registro!D64=""),"",SUM(C65,F65,I65,L65))</f>
        <v/>
      </c>
      <c r="N65" s="46" t="str">
        <f>IF(OR(Registro!D64="Resuelto",Registro!D64=""),"",SUM(B65,E65,H65,K65))</f>
        <v/>
      </c>
      <c r="O65" s="46" t="str">
        <f>IF(OR(Registro!D64="Resuelto",Registro!D64=""),"",_xlfn.CONCAT(A65,D65,G65,J65))</f>
        <v/>
      </c>
      <c r="P65" s="47">
        <v>57</v>
      </c>
      <c r="Q65" s="47" t="str">
        <f t="shared" ca="1" si="0"/>
        <v/>
      </c>
      <c r="R65" s="48" t="str">
        <f t="shared" ca="1" si="1"/>
        <v/>
      </c>
      <c r="S65" s="32"/>
      <c r="T65" s="32"/>
      <c r="U65" s="32"/>
      <c r="V65" s="32"/>
      <c r="W65" s="47" t="str">
        <f>IF(X65="","",MAX($W$5:W64)+1)</f>
        <v/>
      </c>
      <c r="X65" s="50" t="str">
        <f>IF(Registro!M64="","",IF(COUNTIF($X$8:X64,Registro!M64)=0,Registro!M64,""))</f>
        <v/>
      </c>
      <c r="Y65" s="50" t="str">
        <f t="shared" si="2"/>
        <v/>
      </c>
    </row>
    <row r="66" spans="1:25">
      <c r="A66" s="45" t="str">
        <f>IF(AND(Registro!D65="Abierto",Registro!E65="Urgente"),Registro!B65,"")</f>
        <v/>
      </c>
      <c r="B66" s="45" t="str">
        <f ca="1">IF(AND(Registro!D65="Abierto",Registro!E65="Urgente"),TODAY()-Registro!R65,"")</f>
        <v/>
      </c>
      <c r="C66" s="45" t="str">
        <f>IF(AND(Registro!D65="Abierto",Registro!E65="Urgente"),RANK(B66,$B$9:$B$1000,0)+COUNTIF($B$9:B66,B66)-1,"")</f>
        <v/>
      </c>
      <c r="D66" s="45" t="str">
        <f>IF(AND(Registro!D65="Abierto",Registro!E65="Alta"),Registro!B65,"")</f>
        <v/>
      </c>
      <c r="E66" s="45" t="str">
        <f ca="1">IF(AND(Registro!D65="Abierto",Registro!E65="Alta"),TODAY()-Registro!R65,"")</f>
        <v/>
      </c>
      <c r="F66" s="45" t="str">
        <f>IF(AND(Registro!D65="Abierto",Registro!E65="Alta"),RANK(E66,$E$9:$E$1000,0)+COUNTIF($E$9:E66,E66)-1+MAX(C$5:C$1000),"")</f>
        <v/>
      </c>
      <c r="G66" s="45" t="str">
        <f>IF(AND(Registro!D65="Abierto",Registro!E65="Media"),Registro!B65,"")</f>
        <v/>
      </c>
      <c r="H66" s="45" t="str">
        <f ca="1">IF(AND(Registro!D65="Abierto",Registro!E65="Media"),TODAY()-Registro!R65,"")</f>
        <v/>
      </c>
      <c r="I66" s="45" t="str">
        <f>IF(AND(Registro!D65="Abierto",Registro!E65="Media"),RANK(H66,$H$9:$H$1000,0)+COUNTIF($H$9:H66,H66)-1+MAX(C$5:C$1000,F$5:F$1000),"")</f>
        <v/>
      </c>
      <c r="J66" s="45" t="str">
        <f>IF(AND(Registro!D65="Abierto",Registro!E65="Baja"),Registro!B65,"")</f>
        <v>6359-PFIN-26</v>
      </c>
      <c r="K66" s="45">
        <f ca="1">IF(AND(Registro!D65="Abierto",Registro!E65="Baja"),TODAY()-Registro!R65,"")</f>
        <v>-19</v>
      </c>
      <c r="L66" s="45">
        <f ca="1">IF(AND(Registro!D65="Abierto",Registro!E65="Baja"),RANK(K66,$K$9:$K$1000,0)+COUNTIF($K$9:K66,K66)-1+MAX(C$5:C$1000,F$5:F$1000,I$5:I$1000),"")</f>
        <v>37</v>
      </c>
      <c r="M66" s="46">
        <f ca="1">IF(OR(Registro!D65="Resuelto",Registro!D65=""),"",SUM(C66,F66,I66,L66))</f>
        <v>37</v>
      </c>
      <c r="N66" s="46">
        <f ca="1">IF(OR(Registro!D65="Resuelto",Registro!D65=""),"",SUM(B66,E66,H66,K66))</f>
        <v>-19</v>
      </c>
      <c r="O66" s="46" t="str">
        <f>IF(OR(Registro!D65="Resuelto",Registro!D65=""),"",_xlfn.CONCAT(A66,D66,G66,J66))</f>
        <v>6359-PFIN-26</v>
      </c>
      <c r="P66" s="47">
        <v>58</v>
      </c>
      <c r="Q66" s="47" t="str">
        <f t="shared" ca="1" si="0"/>
        <v/>
      </c>
      <c r="R66" s="48" t="str">
        <f t="shared" ca="1" si="1"/>
        <v/>
      </c>
      <c r="S66" s="32"/>
      <c r="T66" s="32"/>
      <c r="U66" s="32"/>
      <c r="V66" s="32"/>
      <c r="W66" s="47" t="str">
        <f>IF(X66="","",MAX($W$5:W65)+1)</f>
        <v/>
      </c>
      <c r="X66" s="50" t="str">
        <f>IF(Registro!M65="","",IF(COUNTIF($X$8:X65,Registro!M65)=0,Registro!M65,""))</f>
        <v/>
      </c>
      <c r="Y66" s="50" t="str">
        <f t="shared" si="2"/>
        <v/>
      </c>
    </row>
    <row r="67" spans="1:25">
      <c r="A67" s="45" t="str">
        <f>IF(AND(Registro!D66="Abierto",Registro!E66="Urgente"),Registro!B66,"")</f>
        <v/>
      </c>
      <c r="B67" s="45" t="str">
        <f ca="1">IF(AND(Registro!D66="Abierto",Registro!E66="Urgente"),TODAY()-Registro!R66,"")</f>
        <v/>
      </c>
      <c r="C67" s="45" t="str">
        <f>IF(AND(Registro!D66="Abierto",Registro!E66="Urgente"),RANK(B67,$B$9:$B$1000,0)+COUNTIF($B$9:B67,B67)-1,"")</f>
        <v/>
      </c>
      <c r="D67" s="45" t="str">
        <f>IF(AND(Registro!D66="Abierto",Registro!E66="Alta"),Registro!B66,"")</f>
        <v/>
      </c>
      <c r="E67" s="45" t="str">
        <f ca="1">IF(AND(Registro!D66="Abierto",Registro!E66="Alta"),TODAY()-Registro!R66,"")</f>
        <v/>
      </c>
      <c r="F67" s="45" t="str">
        <f>IF(AND(Registro!D66="Abierto",Registro!E66="Alta"),RANK(E67,$E$9:$E$1000,0)+COUNTIF($E$9:E67,E67)-1+MAX(C$5:C$1000),"")</f>
        <v/>
      </c>
      <c r="G67" s="45" t="str">
        <f>IF(AND(Registro!D66="Abierto",Registro!E66="Media"),Registro!B66,"")</f>
        <v/>
      </c>
      <c r="H67" s="45" t="str">
        <f ca="1">IF(AND(Registro!D66="Abierto",Registro!E66="Media"),TODAY()-Registro!R66,"")</f>
        <v/>
      </c>
      <c r="I67" s="45" t="str">
        <f>IF(AND(Registro!D66="Abierto",Registro!E66="Media"),RANK(H67,$H$9:$H$1000,0)+COUNTIF($H$9:H67,H67)-1+MAX(C$5:C$1000,F$5:F$1000),"")</f>
        <v/>
      </c>
      <c r="J67" s="45" t="str">
        <f>IF(AND(Registro!D66="Abierto",Registro!E66="Baja"),Registro!B66,"")</f>
        <v/>
      </c>
      <c r="K67" s="45" t="str">
        <f ca="1">IF(AND(Registro!D66="Abierto",Registro!E66="Baja"),TODAY()-Registro!R66,"")</f>
        <v/>
      </c>
      <c r="L67" s="45" t="str">
        <f>IF(AND(Registro!D66="Abierto",Registro!E66="Baja"),RANK(K67,$K$9:$K$1000,0)+COUNTIF($K$9:K67,K67)-1+MAX(C$5:C$1000,F$5:F$1000,I$5:I$1000),"")</f>
        <v/>
      </c>
      <c r="M67" s="46" t="str">
        <f>IF(OR(Registro!D66="Resuelto",Registro!D66=""),"",SUM(C67,F67,I67,L67))</f>
        <v/>
      </c>
      <c r="N67" s="46" t="str">
        <f>IF(OR(Registro!D66="Resuelto",Registro!D66=""),"",SUM(B67,E67,H67,K67))</f>
        <v/>
      </c>
      <c r="O67" s="46" t="str">
        <f>IF(OR(Registro!D66="Resuelto",Registro!D66=""),"",_xlfn.CONCAT(A67,D67,G67,J67))</f>
        <v/>
      </c>
      <c r="P67" s="47">
        <v>59</v>
      </c>
      <c r="Q67" s="47" t="str">
        <f t="shared" ca="1" si="0"/>
        <v/>
      </c>
      <c r="R67" s="48" t="str">
        <f t="shared" ca="1" si="1"/>
        <v/>
      </c>
      <c r="S67" s="32"/>
      <c r="T67" s="32"/>
      <c r="U67" s="32"/>
      <c r="V67" s="32"/>
      <c r="W67" s="47" t="str">
        <f>IF(X67="","",MAX($W$5:W66)+1)</f>
        <v/>
      </c>
      <c r="X67" s="50" t="str">
        <f>IF(Registro!M66="","",IF(COUNTIF($X$8:X66,Registro!M66)=0,Registro!M66,""))</f>
        <v/>
      </c>
      <c r="Y67" s="50" t="str">
        <f t="shared" si="2"/>
        <v/>
      </c>
    </row>
    <row r="68" spans="1:25">
      <c r="A68" s="45" t="str">
        <f>IF(AND(Registro!D67="Abierto",Registro!E67="Urgente"),Registro!B67,"")</f>
        <v/>
      </c>
      <c r="B68" s="45" t="str">
        <f ca="1">IF(AND(Registro!D67="Abierto",Registro!E67="Urgente"),TODAY()-Registro!R67,"")</f>
        <v/>
      </c>
      <c r="C68" s="45" t="str">
        <f>IF(AND(Registro!D67="Abierto",Registro!E67="Urgente"),RANK(B68,$B$9:$B$1000,0)+COUNTIF($B$9:B68,B68)-1,"")</f>
        <v/>
      </c>
      <c r="D68" s="45" t="str">
        <f>IF(AND(Registro!D67="Abierto",Registro!E67="Alta"),Registro!B67,"")</f>
        <v/>
      </c>
      <c r="E68" s="45" t="str">
        <f ca="1">IF(AND(Registro!D67="Abierto",Registro!E67="Alta"),TODAY()-Registro!R67,"")</f>
        <v/>
      </c>
      <c r="F68" s="45" t="str">
        <f>IF(AND(Registro!D67="Abierto",Registro!E67="Alta"),RANK(E68,$E$9:$E$1000,0)+COUNTIF($E$9:E68,E68)-1+MAX(C$5:C$1000),"")</f>
        <v/>
      </c>
      <c r="G68" s="45" t="str">
        <f>IF(AND(Registro!D67="Abierto",Registro!E67="Media"),Registro!B67,"")</f>
        <v/>
      </c>
      <c r="H68" s="45" t="str">
        <f ca="1">IF(AND(Registro!D67="Abierto",Registro!E67="Media"),TODAY()-Registro!R67,"")</f>
        <v/>
      </c>
      <c r="I68" s="45" t="str">
        <f>IF(AND(Registro!D67="Abierto",Registro!E67="Media"),RANK(H68,$H$9:$H$1000,0)+COUNTIF($H$9:H68,H68)-1+MAX(C$5:C$1000,F$5:F$1000),"")</f>
        <v/>
      </c>
      <c r="J68" s="45" t="str">
        <f>IF(AND(Registro!D67="Abierto",Registro!E67="Baja"),Registro!B67,"")</f>
        <v/>
      </c>
      <c r="K68" s="45" t="str">
        <f ca="1">IF(AND(Registro!D67="Abierto",Registro!E67="Baja"),TODAY()-Registro!R67,"")</f>
        <v/>
      </c>
      <c r="L68" s="45" t="str">
        <f>IF(AND(Registro!D67="Abierto",Registro!E67="Baja"),RANK(K68,$K$9:$K$1000,0)+COUNTIF($K$9:K68,K68)-1+MAX(C$5:C$1000,F$5:F$1000,I$5:I$1000),"")</f>
        <v/>
      </c>
      <c r="M68" s="46" t="str">
        <f>IF(OR(Registro!D67="Resuelto",Registro!D67=""),"",SUM(C68,F68,I68,L68))</f>
        <v/>
      </c>
      <c r="N68" s="46" t="str">
        <f>IF(OR(Registro!D67="Resuelto",Registro!D67=""),"",SUM(B68,E68,H68,K68))</f>
        <v/>
      </c>
      <c r="O68" s="46" t="str">
        <f>IF(OR(Registro!D67="Resuelto",Registro!D67=""),"",_xlfn.CONCAT(A68,D68,G68,J68))</f>
        <v/>
      </c>
      <c r="P68" s="47">
        <v>60</v>
      </c>
      <c r="Q68" s="47" t="str">
        <f t="shared" ca="1" si="0"/>
        <v/>
      </c>
      <c r="R68" s="48" t="str">
        <f t="shared" ca="1" si="1"/>
        <v/>
      </c>
      <c r="S68" s="32"/>
      <c r="T68" s="32"/>
      <c r="U68" s="32"/>
      <c r="V68" s="32"/>
      <c r="W68" s="47" t="str">
        <f>IF(X68="","",MAX($W$5:W67)+1)</f>
        <v/>
      </c>
      <c r="X68" s="50" t="str">
        <f>IF(Registro!M67="","",IF(COUNTIF($X$8:X67,Registro!M67)=0,Registro!M67,""))</f>
        <v/>
      </c>
      <c r="Y68" s="50" t="str">
        <f t="shared" si="2"/>
        <v/>
      </c>
    </row>
    <row r="69" spans="1:25">
      <c r="A69" s="45" t="str">
        <f>IF(AND(Registro!D68="Abierto",Registro!E68="Urgente"),Registro!B68,"")</f>
        <v/>
      </c>
      <c r="B69" s="45" t="str">
        <f ca="1">IF(AND(Registro!D68="Abierto",Registro!E68="Urgente"),TODAY()-Registro!R68,"")</f>
        <v/>
      </c>
      <c r="C69" s="45" t="str">
        <f>IF(AND(Registro!D68="Abierto",Registro!E68="Urgente"),RANK(B69,$B$9:$B$1000,0)+COUNTIF($B$9:B69,B69)-1,"")</f>
        <v/>
      </c>
      <c r="D69" s="45" t="str">
        <f>IF(AND(Registro!D68="Abierto",Registro!E68="Alta"),Registro!B68,"")</f>
        <v/>
      </c>
      <c r="E69" s="45" t="str">
        <f ca="1">IF(AND(Registro!D68="Abierto",Registro!E68="Alta"),TODAY()-Registro!R68,"")</f>
        <v/>
      </c>
      <c r="F69" s="45" t="str">
        <f>IF(AND(Registro!D68="Abierto",Registro!E68="Alta"),RANK(E69,$E$9:$E$1000,0)+COUNTIF($E$9:E69,E69)-1+MAX(C$5:C$1000),"")</f>
        <v/>
      </c>
      <c r="G69" s="45" t="str">
        <f>IF(AND(Registro!D68="Abierto",Registro!E68="Media"),Registro!B68,"")</f>
        <v/>
      </c>
      <c r="H69" s="45" t="str">
        <f ca="1">IF(AND(Registro!D68="Abierto",Registro!E68="Media"),TODAY()-Registro!R68,"")</f>
        <v/>
      </c>
      <c r="I69" s="45" t="str">
        <f>IF(AND(Registro!D68="Abierto",Registro!E68="Media"),RANK(H69,$H$9:$H$1000,0)+COUNTIF($H$9:H69,H69)-1+MAX(C$5:C$1000,F$5:F$1000),"")</f>
        <v/>
      </c>
      <c r="J69" s="45" t="str">
        <f>IF(AND(Registro!D68="Abierto",Registro!E68="Baja"),Registro!B68,"")</f>
        <v/>
      </c>
      <c r="K69" s="45" t="str">
        <f ca="1">IF(AND(Registro!D68="Abierto",Registro!E68="Baja"),TODAY()-Registro!R68,"")</f>
        <v/>
      </c>
      <c r="L69" s="45" t="str">
        <f>IF(AND(Registro!D68="Abierto",Registro!E68="Baja"),RANK(K69,$K$9:$K$1000,0)+COUNTIF($K$9:K69,K69)-1+MAX(C$5:C$1000,F$5:F$1000,I$5:I$1000),"")</f>
        <v/>
      </c>
      <c r="M69" s="46" t="str">
        <f>IF(OR(Registro!D68="Resuelto",Registro!D68=""),"",SUM(C69,F69,I69,L69))</f>
        <v/>
      </c>
      <c r="N69" s="46" t="str">
        <f>IF(OR(Registro!D68="Resuelto",Registro!D68=""),"",SUM(B69,E69,H69,K69))</f>
        <v/>
      </c>
      <c r="O69" s="46" t="str">
        <f>IF(OR(Registro!D68="Resuelto",Registro!D68=""),"",_xlfn.CONCAT(A69,D69,G69,J69))</f>
        <v/>
      </c>
      <c r="P69" s="47">
        <v>61</v>
      </c>
      <c r="Q69" s="47" t="str">
        <f t="shared" ca="1" si="0"/>
        <v/>
      </c>
      <c r="R69" s="48" t="str">
        <f t="shared" ca="1" si="1"/>
        <v/>
      </c>
      <c r="S69" s="32"/>
      <c r="T69" s="32"/>
      <c r="U69" s="32"/>
      <c r="V69" s="32"/>
      <c r="W69" s="47" t="str">
        <f>IF(X69="","",MAX($W$5:W68)+1)</f>
        <v/>
      </c>
      <c r="X69" s="50" t="str">
        <f>IF(Registro!M68="","",IF(COUNTIF($X$8:X68,Registro!M68)=0,Registro!M68,""))</f>
        <v/>
      </c>
      <c r="Y69" s="50" t="str">
        <f t="shared" si="2"/>
        <v/>
      </c>
    </row>
    <row r="70" spans="1:25">
      <c r="A70" s="45" t="str">
        <f>IF(AND(Registro!D69="Abierto",Registro!E69="Urgente"),Registro!B69,"")</f>
        <v/>
      </c>
      <c r="B70" s="45" t="str">
        <f ca="1">IF(AND(Registro!D69="Abierto",Registro!E69="Urgente"),TODAY()-Registro!R69,"")</f>
        <v/>
      </c>
      <c r="C70" s="45" t="str">
        <f>IF(AND(Registro!D69="Abierto",Registro!E69="Urgente"),RANK(B70,$B$9:$B$1000,0)+COUNTIF($B$9:B70,B70)-1,"")</f>
        <v/>
      </c>
      <c r="D70" s="45" t="str">
        <f>IF(AND(Registro!D69="Abierto",Registro!E69="Alta"),Registro!B69,"")</f>
        <v/>
      </c>
      <c r="E70" s="45" t="str">
        <f ca="1">IF(AND(Registro!D69="Abierto",Registro!E69="Alta"),TODAY()-Registro!R69,"")</f>
        <v/>
      </c>
      <c r="F70" s="45" t="str">
        <f>IF(AND(Registro!D69="Abierto",Registro!E69="Alta"),RANK(E70,$E$9:$E$1000,0)+COUNTIF($E$9:E70,E70)-1+MAX(C$5:C$1000),"")</f>
        <v/>
      </c>
      <c r="G70" s="45" t="str">
        <f>IF(AND(Registro!D69="Abierto",Registro!E69="Media"),Registro!B69,"")</f>
        <v/>
      </c>
      <c r="H70" s="45" t="str">
        <f ca="1">IF(AND(Registro!D69="Abierto",Registro!E69="Media"),TODAY()-Registro!R69,"")</f>
        <v/>
      </c>
      <c r="I70" s="45" t="str">
        <f>IF(AND(Registro!D69="Abierto",Registro!E69="Media"),RANK(H70,$H$9:$H$1000,0)+COUNTIF($H$9:H70,H70)-1+MAX(C$5:C$1000,F$5:F$1000),"")</f>
        <v/>
      </c>
      <c r="J70" s="45" t="str">
        <f>IF(AND(Registro!D69="Abierto",Registro!E69="Baja"),Registro!B69,"")</f>
        <v/>
      </c>
      <c r="K70" s="45" t="str">
        <f ca="1">IF(AND(Registro!D69="Abierto",Registro!E69="Baja"),TODAY()-Registro!R69,"")</f>
        <v/>
      </c>
      <c r="L70" s="45" t="str">
        <f>IF(AND(Registro!D69="Abierto",Registro!E69="Baja"),RANK(K70,$K$9:$K$1000,0)+COUNTIF($K$9:K70,K70)-1+MAX(C$5:C$1000,F$5:F$1000,I$5:I$1000),"")</f>
        <v/>
      </c>
      <c r="M70" s="46" t="str">
        <f>IF(OR(Registro!D69="Resuelto",Registro!D69=""),"",SUM(C70,F70,I70,L70))</f>
        <v/>
      </c>
      <c r="N70" s="46" t="str">
        <f>IF(OR(Registro!D69="Resuelto",Registro!D69=""),"",SUM(B70,E70,H70,K70))</f>
        <v/>
      </c>
      <c r="O70" s="46" t="str">
        <f>IF(OR(Registro!D69="Resuelto",Registro!D69=""),"",_xlfn.CONCAT(A70,D70,G70,J70))</f>
        <v/>
      </c>
      <c r="P70" s="47">
        <v>62</v>
      </c>
      <c r="Q70" s="47" t="str">
        <f t="shared" ca="1" si="0"/>
        <v/>
      </c>
      <c r="R70" s="48" t="str">
        <f t="shared" ca="1" si="1"/>
        <v/>
      </c>
      <c r="S70" s="32"/>
      <c r="T70" s="32"/>
      <c r="U70" s="32"/>
      <c r="V70" s="32"/>
      <c r="W70" s="47" t="str">
        <f>IF(X70="","",MAX($W$5:W69)+1)</f>
        <v/>
      </c>
      <c r="X70" s="50" t="str">
        <f>IF(Registro!M69="","",IF(COUNTIF($X$8:X69,Registro!M69)=0,Registro!M69,""))</f>
        <v/>
      </c>
      <c r="Y70" s="50" t="str">
        <f t="shared" si="2"/>
        <v/>
      </c>
    </row>
    <row r="71" spans="1:25">
      <c r="A71" s="45" t="str">
        <f>IF(AND(Registro!D70="Abierto",Registro!E70="Urgente"),Registro!B70,"")</f>
        <v/>
      </c>
      <c r="B71" s="45" t="str">
        <f ca="1">IF(AND(Registro!D70="Abierto",Registro!E70="Urgente"),TODAY()-Registro!R70,"")</f>
        <v/>
      </c>
      <c r="C71" s="45" t="str">
        <f>IF(AND(Registro!D70="Abierto",Registro!E70="Urgente"),RANK(B71,$B$9:$B$1000,0)+COUNTIF($B$9:B71,B71)-1,"")</f>
        <v/>
      </c>
      <c r="D71" s="45" t="str">
        <f>IF(AND(Registro!D70="Abierto",Registro!E70="Alta"),Registro!B70,"")</f>
        <v/>
      </c>
      <c r="E71" s="45" t="str">
        <f ca="1">IF(AND(Registro!D70="Abierto",Registro!E70="Alta"),TODAY()-Registro!R70,"")</f>
        <v/>
      </c>
      <c r="F71" s="45" t="str">
        <f>IF(AND(Registro!D70="Abierto",Registro!E70="Alta"),RANK(E71,$E$9:$E$1000,0)+COUNTIF($E$9:E71,E71)-1+MAX(C$5:C$1000),"")</f>
        <v/>
      </c>
      <c r="G71" s="45" t="str">
        <f>IF(AND(Registro!D70="Abierto",Registro!E70="Media"),Registro!B70,"")</f>
        <v/>
      </c>
      <c r="H71" s="45" t="str">
        <f ca="1">IF(AND(Registro!D70="Abierto",Registro!E70="Media"),TODAY()-Registro!R70,"")</f>
        <v/>
      </c>
      <c r="I71" s="45" t="str">
        <f>IF(AND(Registro!D70="Abierto",Registro!E70="Media"),RANK(H71,$H$9:$H$1000,0)+COUNTIF($H$9:H71,H71)-1+MAX(C$5:C$1000,F$5:F$1000),"")</f>
        <v/>
      </c>
      <c r="J71" s="45" t="str">
        <f>IF(AND(Registro!D70="Abierto",Registro!E70="Baja"),Registro!B70,"")</f>
        <v/>
      </c>
      <c r="K71" s="45" t="str">
        <f ca="1">IF(AND(Registro!D70="Abierto",Registro!E70="Baja"),TODAY()-Registro!R70,"")</f>
        <v/>
      </c>
      <c r="L71" s="45" t="str">
        <f>IF(AND(Registro!D70="Abierto",Registro!E70="Baja"),RANK(K71,$K$9:$K$1000,0)+COUNTIF($K$9:K71,K71)-1+MAX(C$5:C$1000,F$5:F$1000,I$5:I$1000),"")</f>
        <v/>
      </c>
      <c r="M71" s="46" t="str">
        <f>IF(OR(Registro!D70="Resuelto",Registro!D70=""),"",SUM(C71,F71,I71,L71))</f>
        <v/>
      </c>
      <c r="N71" s="46" t="str">
        <f>IF(OR(Registro!D70="Resuelto",Registro!D70=""),"",SUM(B71,E71,H71,K71))</f>
        <v/>
      </c>
      <c r="O71" s="46" t="str">
        <f>IF(OR(Registro!D70="Resuelto",Registro!D70=""),"",_xlfn.CONCAT(A71,D71,G71,J71))</f>
        <v/>
      </c>
      <c r="P71" s="47">
        <v>63</v>
      </c>
      <c r="Q71" s="47" t="str">
        <f t="shared" ca="1" si="0"/>
        <v/>
      </c>
      <c r="R71" s="48" t="str">
        <f t="shared" ca="1" si="1"/>
        <v/>
      </c>
      <c r="S71" s="32"/>
      <c r="T71" s="32"/>
      <c r="U71" s="32"/>
      <c r="V71" s="32"/>
      <c r="W71" s="47" t="str">
        <f>IF(X71="","",MAX($W$5:W70)+1)</f>
        <v/>
      </c>
      <c r="X71" s="50" t="str">
        <f>IF(Registro!M70="","",IF(COUNTIF($X$8:X70,Registro!M70)=0,Registro!M70,""))</f>
        <v/>
      </c>
      <c r="Y71" s="50" t="str">
        <f t="shared" si="2"/>
        <v/>
      </c>
    </row>
    <row r="72" spans="1:25">
      <c r="A72" s="45" t="str">
        <f>IF(AND(Registro!D71="Abierto",Registro!E71="Urgente"),Registro!B71,"")</f>
        <v/>
      </c>
      <c r="B72" s="45" t="str">
        <f ca="1">IF(AND(Registro!D71="Abierto",Registro!E71="Urgente"),TODAY()-Registro!R71,"")</f>
        <v/>
      </c>
      <c r="C72" s="45" t="str">
        <f>IF(AND(Registro!D71="Abierto",Registro!E71="Urgente"),RANK(B72,$B$9:$B$1000,0)+COUNTIF($B$9:B72,B72)-1,"")</f>
        <v/>
      </c>
      <c r="D72" s="45" t="str">
        <f>IF(AND(Registro!D71="Abierto",Registro!E71="Alta"),Registro!B71,"")</f>
        <v/>
      </c>
      <c r="E72" s="45" t="str">
        <f ca="1">IF(AND(Registro!D71="Abierto",Registro!E71="Alta"),TODAY()-Registro!R71,"")</f>
        <v/>
      </c>
      <c r="F72" s="45" t="str">
        <f>IF(AND(Registro!D71="Abierto",Registro!E71="Alta"),RANK(E72,$E$9:$E$1000,0)+COUNTIF($E$9:E72,E72)-1+MAX(C$5:C$1000),"")</f>
        <v/>
      </c>
      <c r="G72" s="45" t="str">
        <f>IF(AND(Registro!D71="Abierto",Registro!E71="Media"),Registro!B71,"")</f>
        <v/>
      </c>
      <c r="H72" s="45" t="str">
        <f ca="1">IF(AND(Registro!D71="Abierto",Registro!E71="Media"),TODAY()-Registro!R71,"")</f>
        <v/>
      </c>
      <c r="I72" s="45" t="str">
        <f>IF(AND(Registro!D71="Abierto",Registro!E71="Media"),RANK(H72,$H$9:$H$1000,0)+COUNTIF($H$9:H72,H72)-1+MAX(C$5:C$1000,F$5:F$1000),"")</f>
        <v/>
      </c>
      <c r="J72" s="45" t="str">
        <f>IF(AND(Registro!D71="Abierto",Registro!E71="Baja"),Registro!B71,"")</f>
        <v/>
      </c>
      <c r="K72" s="45" t="str">
        <f ca="1">IF(AND(Registro!D71="Abierto",Registro!E71="Baja"),TODAY()-Registro!R71,"")</f>
        <v/>
      </c>
      <c r="L72" s="45" t="str">
        <f>IF(AND(Registro!D71="Abierto",Registro!E71="Baja"),RANK(K72,$K$9:$K$1000,0)+COUNTIF($K$9:K72,K72)-1+MAX(C$5:C$1000,F$5:F$1000,I$5:I$1000),"")</f>
        <v/>
      </c>
      <c r="M72" s="46" t="str">
        <f>IF(OR(Registro!D71="Resuelto",Registro!D71=""),"",SUM(C72,F72,I72,L72))</f>
        <v/>
      </c>
      <c r="N72" s="46" t="str">
        <f>IF(OR(Registro!D71="Resuelto",Registro!D71=""),"",SUM(B72,E72,H72,K72))</f>
        <v/>
      </c>
      <c r="O72" s="46" t="str">
        <f>IF(OR(Registro!D71="Resuelto",Registro!D71=""),"",_xlfn.CONCAT(A72,D72,G72,J72))</f>
        <v/>
      </c>
      <c r="P72" s="47">
        <v>64</v>
      </c>
      <c r="Q72" s="47" t="str">
        <f t="shared" ca="1" si="0"/>
        <v/>
      </c>
      <c r="R72" s="48" t="str">
        <f t="shared" ca="1" si="1"/>
        <v/>
      </c>
      <c r="S72" s="32"/>
      <c r="T72" s="32"/>
      <c r="U72" s="32"/>
      <c r="V72" s="32"/>
      <c r="W72" s="47" t="str">
        <f>IF(X72="","",MAX($W$5:W71)+1)</f>
        <v/>
      </c>
      <c r="X72" s="50" t="str">
        <f>IF(Registro!M71="","",IF(COUNTIF($X$8:X71,Registro!M71)=0,Registro!M71,""))</f>
        <v/>
      </c>
      <c r="Y72" s="50" t="str">
        <f t="shared" si="2"/>
        <v/>
      </c>
    </row>
    <row r="73" spans="1:25">
      <c r="A73" s="45" t="str">
        <f>IF(AND(Registro!D72="Abierto",Registro!E72="Urgente"),Registro!B72,"")</f>
        <v/>
      </c>
      <c r="B73" s="45" t="str">
        <f ca="1">IF(AND(Registro!D72="Abierto",Registro!E72="Urgente"),TODAY()-Registro!R72,"")</f>
        <v/>
      </c>
      <c r="C73" s="45" t="str">
        <f>IF(AND(Registro!D72="Abierto",Registro!E72="Urgente"),RANK(B73,$B$9:$B$1000,0)+COUNTIF($B$9:B73,B73)-1,"")</f>
        <v/>
      </c>
      <c r="D73" s="45" t="str">
        <f>IF(AND(Registro!D72="Abierto",Registro!E72="Alta"),Registro!B72,"")</f>
        <v/>
      </c>
      <c r="E73" s="45" t="str">
        <f ca="1">IF(AND(Registro!D72="Abierto",Registro!E72="Alta"),TODAY()-Registro!R72,"")</f>
        <v/>
      </c>
      <c r="F73" s="45" t="str">
        <f>IF(AND(Registro!D72="Abierto",Registro!E72="Alta"),RANK(E73,$E$9:$E$1000,0)+COUNTIF($E$9:E73,E73)-1+MAX(C$5:C$1000),"")</f>
        <v/>
      </c>
      <c r="G73" s="45" t="str">
        <f>IF(AND(Registro!D72="Abierto",Registro!E72="Media"),Registro!B72,"")</f>
        <v/>
      </c>
      <c r="H73" s="45" t="str">
        <f ca="1">IF(AND(Registro!D72="Abierto",Registro!E72="Media"),TODAY()-Registro!R72,"")</f>
        <v/>
      </c>
      <c r="I73" s="45" t="str">
        <f>IF(AND(Registro!D72="Abierto",Registro!E72="Media"),RANK(H73,$H$9:$H$1000,0)+COUNTIF($H$9:H73,H73)-1+MAX(C$5:C$1000,F$5:F$1000),"")</f>
        <v/>
      </c>
      <c r="J73" s="45" t="str">
        <f>IF(AND(Registro!D72="Abierto",Registro!E72="Baja"),Registro!B72,"")</f>
        <v/>
      </c>
      <c r="K73" s="45" t="str">
        <f ca="1">IF(AND(Registro!D72="Abierto",Registro!E72="Baja"),TODAY()-Registro!R72,"")</f>
        <v/>
      </c>
      <c r="L73" s="45" t="str">
        <f>IF(AND(Registro!D72="Abierto",Registro!E72="Baja"),RANK(K73,$K$9:$K$1000,0)+COUNTIF($K$9:K73,K73)-1+MAX(C$5:C$1000,F$5:F$1000,I$5:I$1000),"")</f>
        <v/>
      </c>
      <c r="M73" s="46" t="str">
        <f>IF(OR(Registro!D72="Resuelto",Registro!D72=""),"",SUM(C73,F73,I73,L73))</f>
        <v/>
      </c>
      <c r="N73" s="46" t="str">
        <f>IF(OR(Registro!D72="Resuelto",Registro!D72=""),"",SUM(B73,E73,H73,K73))</f>
        <v/>
      </c>
      <c r="O73" s="46" t="str">
        <f>IF(OR(Registro!D72="Resuelto",Registro!D72=""),"",_xlfn.CONCAT(A73,D73,G73,J73))</f>
        <v/>
      </c>
      <c r="P73" s="47">
        <v>65</v>
      </c>
      <c r="Q73" s="47" t="str">
        <f t="shared" ref="Q73:Q136" ca="1" si="3">IF(ISNA(VLOOKUP(P73,$M$9:$O$1000,3,FALSE))=TRUE,"",VLOOKUP(P73,$M$9:$O$1000,3,FALSE))</f>
        <v/>
      </c>
      <c r="R73" s="48" t="str">
        <f t="shared" ref="R73:R136" ca="1" si="4">IF(ISNA(VLOOKUP(P73,$M$9:$O$1000,2,FALSE))=TRUE,"",VLOOKUP(P73,$M$9:$O$1000,2,FALSE))</f>
        <v/>
      </c>
      <c r="S73" s="32"/>
      <c r="T73" s="32"/>
      <c r="U73" s="32"/>
      <c r="V73" s="32"/>
      <c r="W73" s="47" t="str">
        <f>IF(X73="","",MAX($W$5:W72)+1)</f>
        <v/>
      </c>
      <c r="X73" s="50" t="str">
        <f>IF(Registro!M72="","",IF(COUNTIF($X$8:X72,Registro!M72)=0,Registro!M72,""))</f>
        <v/>
      </c>
      <c r="Y73" s="50" t="str">
        <f t="shared" ref="Y73:Y136" si="5">IF(ISNA(VLOOKUP(P73,$W$9:$X$1000,2,FALSE))=TRUE,"",VLOOKUP(P73,$W$9:$X$1000,2,FALSE))</f>
        <v/>
      </c>
    </row>
    <row r="74" spans="1:25">
      <c r="A74" s="45" t="str">
        <f>IF(AND(Registro!D73="Abierto",Registro!E73="Urgente"),Registro!B73,"")</f>
        <v/>
      </c>
      <c r="B74" s="45" t="str">
        <f ca="1">IF(AND(Registro!D73="Abierto",Registro!E73="Urgente"),TODAY()-Registro!R73,"")</f>
        <v/>
      </c>
      <c r="C74" s="45" t="str">
        <f>IF(AND(Registro!D73="Abierto",Registro!E73="Urgente"),RANK(B74,$B$9:$B$1000,0)+COUNTIF($B$9:B74,B74)-1,"")</f>
        <v/>
      </c>
      <c r="D74" s="45" t="str">
        <f>IF(AND(Registro!D73="Abierto",Registro!E73="Alta"),Registro!B73,"")</f>
        <v/>
      </c>
      <c r="E74" s="45" t="str">
        <f ca="1">IF(AND(Registro!D73="Abierto",Registro!E73="Alta"),TODAY()-Registro!R73,"")</f>
        <v/>
      </c>
      <c r="F74" s="45" t="str">
        <f>IF(AND(Registro!D73="Abierto",Registro!E73="Alta"),RANK(E74,$E$9:$E$1000,0)+COUNTIF($E$9:E74,E74)-1+MAX(C$5:C$1000),"")</f>
        <v/>
      </c>
      <c r="G74" s="45" t="str">
        <f>IF(AND(Registro!D73="Abierto",Registro!E73="Media"),Registro!B73,"")</f>
        <v/>
      </c>
      <c r="H74" s="45" t="str">
        <f ca="1">IF(AND(Registro!D73="Abierto",Registro!E73="Media"),TODAY()-Registro!R73,"")</f>
        <v/>
      </c>
      <c r="I74" s="45" t="str">
        <f>IF(AND(Registro!D73="Abierto",Registro!E73="Media"),RANK(H74,$H$9:$H$1000,0)+COUNTIF($H$9:H74,H74)-1+MAX(C$5:C$1000,F$5:F$1000),"")</f>
        <v/>
      </c>
      <c r="J74" s="45" t="str">
        <f>IF(AND(Registro!D73="Abierto",Registro!E73="Baja"),Registro!B73,"")</f>
        <v/>
      </c>
      <c r="K74" s="45" t="str">
        <f ca="1">IF(AND(Registro!D73="Abierto",Registro!E73="Baja"),TODAY()-Registro!R73,"")</f>
        <v/>
      </c>
      <c r="L74" s="45" t="str">
        <f>IF(AND(Registro!D73="Abierto",Registro!E73="Baja"),RANK(K74,$K$9:$K$1000,0)+COUNTIF($K$9:K74,K74)-1+MAX(C$5:C$1000,F$5:F$1000,I$5:I$1000),"")</f>
        <v/>
      </c>
      <c r="M74" s="46" t="str">
        <f>IF(OR(Registro!D73="Resuelto",Registro!D73=""),"",SUM(C74,F74,I74,L74))</f>
        <v/>
      </c>
      <c r="N74" s="46" t="str">
        <f>IF(OR(Registro!D73="Resuelto",Registro!D73=""),"",SUM(B74,E74,H74,K74))</f>
        <v/>
      </c>
      <c r="O74" s="46" t="str">
        <f>IF(OR(Registro!D73="Resuelto",Registro!D73=""),"",_xlfn.CONCAT(A74,D74,G74,J74))</f>
        <v/>
      </c>
      <c r="P74" s="47">
        <v>66</v>
      </c>
      <c r="Q74" s="47" t="str">
        <f t="shared" ca="1" si="3"/>
        <v/>
      </c>
      <c r="R74" s="48" t="str">
        <f t="shared" ca="1" si="4"/>
        <v/>
      </c>
      <c r="S74" s="32"/>
      <c r="T74" s="32"/>
      <c r="U74" s="32"/>
      <c r="V74" s="32"/>
      <c r="W74" s="47" t="str">
        <f>IF(X74="","",MAX($W$5:W73)+1)</f>
        <v/>
      </c>
      <c r="X74" s="50" t="str">
        <f>IF(Registro!M73="","",IF(COUNTIF($X$8:X73,Registro!M73)=0,Registro!M73,""))</f>
        <v/>
      </c>
      <c r="Y74" s="50" t="str">
        <f t="shared" si="5"/>
        <v/>
      </c>
    </row>
    <row r="75" spans="1:25">
      <c r="A75" s="45" t="str">
        <f>IF(AND(Registro!D74="Abierto",Registro!E74="Urgente"),Registro!B74,"")</f>
        <v/>
      </c>
      <c r="B75" s="45" t="str">
        <f ca="1">IF(AND(Registro!D74="Abierto",Registro!E74="Urgente"),TODAY()-Registro!R74,"")</f>
        <v/>
      </c>
      <c r="C75" s="45" t="str">
        <f>IF(AND(Registro!D74="Abierto",Registro!E74="Urgente"),RANK(B75,$B$9:$B$1000,0)+COUNTIF($B$9:B75,B75)-1,"")</f>
        <v/>
      </c>
      <c r="D75" s="45" t="str">
        <f>IF(AND(Registro!D74="Abierto",Registro!E74="Alta"),Registro!B74,"")</f>
        <v/>
      </c>
      <c r="E75" s="45" t="str">
        <f ca="1">IF(AND(Registro!D74="Abierto",Registro!E74="Alta"),TODAY()-Registro!R74,"")</f>
        <v/>
      </c>
      <c r="F75" s="45" t="str">
        <f>IF(AND(Registro!D74="Abierto",Registro!E74="Alta"),RANK(E75,$E$9:$E$1000,0)+COUNTIF($E$9:E75,E75)-1+MAX(C$5:C$1000),"")</f>
        <v/>
      </c>
      <c r="G75" s="45" t="str">
        <f>IF(AND(Registro!D74="Abierto",Registro!E74="Media"),Registro!B74,"")</f>
        <v/>
      </c>
      <c r="H75" s="45" t="str">
        <f ca="1">IF(AND(Registro!D74="Abierto",Registro!E74="Media"),TODAY()-Registro!R74,"")</f>
        <v/>
      </c>
      <c r="I75" s="45" t="str">
        <f>IF(AND(Registro!D74="Abierto",Registro!E74="Media"),RANK(H75,$H$9:$H$1000,0)+COUNTIF($H$9:H75,H75)-1+MAX(C$5:C$1000,F$5:F$1000),"")</f>
        <v/>
      </c>
      <c r="J75" s="45" t="str">
        <f>IF(AND(Registro!D74="Abierto",Registro!E74="Baja"),Registro!B74,"")</f>
        <v/>
      </c>
      <c r="K75" s="45" t="str">
        <f ca="1">IF(AND(Registro!D74="Abierto",Registro!E74="Baja"),TODAY()-Registro!R74,"")</f>
        <v/>
      </c>
      <c r="L75" s="45" t="str">
        <f>IF(AND(Registro!D74="Abierto",Registro!E74="Baja"),RANK(K75,$K$9:$K$1000,0)+COUNTIF($K$9:K75,K75)-1+MAX(C$5:C$1000,F$5:F$1000,I$5:I$1000),"")</f>
        <v/>
      </c>
      <c r="M75" s="46" t="str">
        <f>IF(OR(Registro!D74="Resuelto",Registro!D74=""),"",SUM(C75,F75,I75,L75))</f>
        <v/>
      </c>
      <c r="N75" s="46" t="str">
        <f>IF(OR(Registro!D74="Resuelto",Registro!D74=""),"",SUM(B75,E75,H75,K75))</f>
        <v/>
      </c>
      <c r="O75" s="46" t="str">
        <f>IF(OR(Registro!D74="Resuelto",Registro!D74=""),"",_xlfn.CONCAT(A75,D75,G75,J75))</f>
        <v/>
      </c>
      <c r="P75" s="47">
        <v>67</v>
      </c>
      <c r="Q75" s="47" t="str">
        <f t="shared" ca="1" si="3"/>
        <v/>
      </c>
      <c r="R75" s="48" t="str">
        <f t="shared" ca="1" si="4"/>
        <v/>
      </c>
      <c r="S75" s="32"/>
      <c r="T75" s="32"/>
      <c r="U75" s="32"/>
      <c r="V75" s="32"/>
      <c r="W75" s="47" t="str">
        <f>IF(X75="","",MAX($W$5:W74)+1)</f>
        <v/>
      </c>
      <c r="X75" s="50" t="str">
        <f>IF(Registro!M74="","",IF(COUNTIF($X$8:X74,Registro!M74)=0,Registro!M74,""))</f>
        <v/>
      </c>
      <c r="Y75" s="50" t="str">
        <f t="shared" si="5"/>
        <v/>
      </c>
    </row>
    <row r="76" spans="1:25">
      <c r="A76" s="45" t="str">
        <f>IF(AND(Registro!D75="Abierto",Registro!E75="Urgente"),Registro!B75,"")</f>
        <v/>
      </c>
      <c r="B76" s="45" t="str">
        <f ca="1">IF(AND(Registro!D75="Abierto",Registro!E75="Urgente"),TODAY()-Registro!R75,"")</f>
        <v/>
      </c>
      <c r="C76" s="45" t="str">
        <f>IF(AND(Registro!D75="Abierto",Registro!E75="Urgente"),RANK(B76,$B$9:$B$1000,0)+COUNTIF($B$9:B76,B76)-1,"")</f>
        <v/>
      </c>
      <c r="D76" s="45" t="str">
        <f>IF(AND(Registro!D75="Abierto",Registro!E75="Alta"),Registro!B75,"")</f>
        <v/>
      </c>
      <c r="E76" s="45" t="str">
        <f ca="1">IF(AND(Registro!D75="Abierto",Registro!E75="Alta"),TODAY()-Registro!R75,"")</f>
        <v/>
      </c>
      <c r="F76" s="45" t="str">
        <f>IF(AND(Registro!D75="Abierto",Registro!E75="Alta"),RANK(E76,$E$9:$E$1000,0)+COUNTIF($E$9:E76,E76)-1+MAX(C$5:C$1000),"")</f>
        <v/>
      </c>
      <c r="G76" s="45" t="str">
        <f>IF(AND(Registro!D75="Abierto",Registro!E75="Media"),Registro!B75,"")</f>
        <v/>
      </c>
      <c r="H76" s="45" t="str">
        <f ca="1">IF(AND(Registro!D75="Abierto",Registro!E75="Media"),TODAY()-Registro!R75,"")</f>
        <v/>
      </c>
      <c r="I76" s="45" t="str">
        <f>IF(AND(Registro!D75="Abierto",Registro!E75="Media"),RANK(H76,$H$9:$H$1000,0)+COUNTIF($H$9:H76,H76)-1+MAX(C$5:C$1000,F$5:F$1000),"")</f>
        <v/>
      </c>
      <c r="J76" s="45" t="str">
        <f>IF(AND(Registro!D75="Abierto",Registro!E75="Baja"),Registro!B75,"")</f>
        <v/>
      </c>
      <c r="K76" s="45" t="str">
        <f ca="1">IF(AND(Registro!D75="Abierto",Registro!E75="Baja"),TODAY()-Registro!R75,"")</f>
        <v/>
      </c>
      <c r="L76" s="45" t="str">
        <f>IF(AND(Registro!D75="Abierto",Registro!E75="Baja"),RANK(K76,$K$9:$K$1000,0)+COUNTIF($K$9:K76,K76)-1+MAX(C$5:C$1000,F$5:F$1000,I$5:I$1000),"")</f>
        <v/>
      </c>
      <c r="M76" s="46" t="str">
        <f>IF(OR(Registro!D75="Resuelto",Registro!D75=""),"",SUM(C76,F76,I76,L76))</f>
        <v/>
      </c>
      <c r="N76" s="46" t="str">
        <f>IF(OR(Registro!D75="Resuelto",Registro!D75=""),"",SUM(B76,E76,H76,K76))</f>
        <v/>
      </c>
      <c r="O76" s="46" t="str">
        <f>IF(OR(Registro!D75="Resuelto",Registro!D75=""),"",_xlfn.CONCAT(A76,D76,G76,J76))</f>
        <v/>
      </c>
      <c r="P76" s="47">
        <v>68</v>
      </c>
      <c r="Q76" s="47" t="str">
        <f t="shared" ca="1" si="3"/>
        <v/>
      </c>
      <c r="R76" s="48" t="str">
        <f t="shared" ca="1" si="4"/>
        <v/>
      </c>
      <c r="S76" s="32"/>
      <c r="T76" s="32"/>
      <c r="U76" s="32"/>
      <c r="V76" s="32"/>
      <c r="W76" s="47" t="str">
        <f>IF(X76="","",MAX($W$5:W75)+1)</f>
        <v/>
      </c>
      <c r="X76" s="50" t="str">
        <f>IF(Registro!M75="","",IF(COUNTIF($X$8:X75,Registro!M75)=0,Registro!M75,""))</f>
        <v/>
      </c>
      <c r="Y76" s="50" t="str">
        <f t="shared" si="5"/>
        <v/>
      </c>
    </row>
    <row r="77" spans="1:25">
      <c r="A77" s="45" t="str">
        <f>IF(AND(Registro!D76="Abierto",Registro!E76="Urgente"),Registro!B76,"")</f>
        <v/>
      </c>
      <c r="B77" s="45" t="str">
        <f ca="1">IF(AND(Registro!D76="Abierto",Registro!E76="Urgente"),TODAY()-Registro!R76,"")</f>
        <v/>
      </c>
      <c r="C77" s="45" t="str">
        <f>IF(AND(Registro!D76="Abierto",Registro!E76="Urgente"),RANK(B77,$B$9:$B$1000,0)+COUNTIF($B$9:B77,B77)-1,"")</f>
        <v/>
      </c>
      <c r="D77" s="45" t="str">
        <f>IF(AND(Registro!D76="Abierto",Registro!E76="Alta"),Registro!B76,"")</f>
        <v/>
      </c>
      <c r="E77" s="45" t="str">
        <f ca="1">IF(AND(Registro!D76="Abierto",Registro!E76="Alta"),TODAY()-Registro!R76,"")</f>
        <v/>
      </c>
      <c r="F77" s="45" t="str">
        <f>IF(AND(Registro!D76="Abierto",Registro!E76="Alta"),RANK(E77,$E$9:$E$1000,0)+COUNTIF($E$9:E77,E77)-1+MAX(C$5:C$1000),"")</f>
        <v/>
      </c>
      <c r="G77" s="45" t="str">
        <f>IF(AND(Registro!D76="Abierto",Registro!E76="Media"),Registro!B76,"")</f>
        <v/>
      </c>
      <c r="H77" s="45" t="str">
        <f ca="1">IF(AND(Registro!D76="Abierto",Registro!E76="Media"),TODAY()-Registro!R76,"")</f>
        <v/>
      </c>
      <c r="I77" s="45" t="str">
        <f>IF(AND(Registro!D76="Abierto",Registro!E76="Media"),RANK(H77,$H$9:$H$1000,0)+COUNTIF($H$9:H77,H77)-1+MAX(C$5:C$1000,F$5:F$1000),"")</f>
        <v/>
      </c>
      <c r="J77" s="45" t="str">
        <f>IF(AND(Registro!D76="Abierto",Registro!E76="Baja"),Registro!B76,"")</f>
        <v/>
      </c>
      <c r="K77" s="45" t="str">
        <f ca="1">IF(AND(Registro!D76="Abierto",Registro!E76="Baja"),TODAY()-Registro!R76,"")</f>
        <v/>
      </c>
      <c r="L77" s="45" t="str">
        <f>IF(AND(Registro!D76="Abierto",Registro!E76="Baja"),RANK(K77,$K$9:$K$1000,0)+COUNTIF($K$9:K77,K77)-1+MAX(C$5:C$1000,F$5:F$1000,I$5:I$1000),"")</f>
        <v/>
      </c>
      <c r="M77" s="46" t="str">
        <f>IF(OR(Registro!D76="Resuelto",Registro!D76=""),"",SUM(C77,F77,I77,L77))</f>
        <v/>
      </c>
      <c r="N77" s="46" t="str">
        <f>IF(OR(Registro!D76="Resuelto",Registro!D76=""),"",SUM(B77,E77,H77,K77))</f>
        <v/>
      </c>
      <c r="O77" s="46" t="str">
        <f>IF(OR(Registro!D76="Resuelto",Registro!D76=""),"",_xlfn.CONCAT(A77,D77,G77,J77))</f>
        <v/>
      </c>
      <c r="P77" s="47">
        <v>69</v>
      </c>
      <c r="Q77" s="47" t="str">
        <f t="shared" ca="1" si="3"/>
        <v/>
      </c>
      <c r="R77" s="48" t="str">
        <f t="shared" ca="1" si="4"/>
        <v/>
      </c>
      <c r="S77" s="32"/>
      <c r="T77" s="32"/>
      <c r="U77" s="32"/>
      <c r="V77" s="32"/>
      <c r="W77" s="47" t="str">
        <f>IF(X77="","",MAX($W$5:W76)+1)</f>
        <v/>
      </c>
      <c r="X77" s="50" t="str">
        <f>IF(Registro!M76="","",IF(COUNTIF($X$8:X76,Registro!M76)=0,Registro!M76,""))</f>
        <v/>
      </c>
      <c r="Y77" s="50" t="str">
        <f t="shared" si="5"/>
        <v/>
      </c>
    </row>
    <row r="78" spans="1:25">
      <c r="A78" s="45" t="str">
        <f>IF(AND(Registro!D77="Abierto",Registro!E77="Urgente"),Registro!B77,"")</f>
        <v/>
      </c>
      <c r="B78" s="45" t="str">
        <f ca="1">IF(AND(Registro!D77="Abierto",Registro!E77="Urgente"),TODAY()-Registro!R77,"")</f>
        <v/>
      </c>
      <c r="C78" s="45" t="str">
        <f>IF(AND(Registro!D77="Abierto",Registro!E77="Urgente"),RANK(B78,$B$9:$B$1000,0)+COUNTIF($B$9:B78,B78)-1,"")</f>
        <v/>
      </c>
      <c r="D78" s="45" t="str">
        <f>IF(AND(Registro!D77="Abierto",Registro!E77="Alta"),Registro!B77,"")</f>
        <v/>
      </c>
      <c r="E78" s="45" t="str">
        <f ca="1">IF(AND(Registro!D77="Abierto",Registro!E77="Alta"),TODAY()-Registro!R77,"")</f>
        <v/>
      </c>
      <c r="F78" s="45" t="str">
        <f>IF(AND(Registro!D77="Abierto",Registro!E77="Alta"),RANK(E78,$E$9:$E$1000,0)+COUNTIF($E$9:E78,E78)-1+MAX(C$5:C$1000),"")</f>
        <v/>
      </c>
      <c r="G78" s="45" t="str">
        <f>IF(AND(Registro!D77="Abierto",Registro!E77="Media"),Registro!B77,"")</f>
        <v/>
      </c>
      <c r="H78" s="45" t="str">
        <f ca="1">IF(AND(Registro!D77="Abierto",Registro!E77="Media"),TODAY()-Registro!R77,"")</f>
        <v/>
      </c>
      <c r="I78" s="45" t="str">
        <f>IF(AND(Registro!D77="Abierto",Registro!E77="Media"),RANK(H78,$H$9:$H$1000,0)+COUNTIF($H$9:H78,H78)-1+MAX(C$5:C$1000,F$5:F$1000),"")</f>
        <v/>
      </c>
      <c r="J78" s="45" t="str">
        <f>IF(AND(Registro!D77="Abierto",Registro!E77="Baja"),Registro!B77,"")</f>
        <v/>
      </c>
      <c r="K78" s="45" t="str">
        <f ca="1">IF(AND(Registro!D77="Abierto",Registro!E77="Baja"),TODAY()-Registro!R77,"")</f>
        <v/>
      </c>
      <c r="L78" s="45" t="str">
        <f>IF(AND(Registro!D77="Abierto",Registro!E77="Baja"),RANK(K78,$K$9:$K$1000,0)+COUNTIF($K$9:K78,K78)-1+MAX(C$5:C$1000,F$5:F$1000,I$5:I$1000),"")</f>
        <v/>
      </c>
      <c r="M78" s="46" t="str">
        <f>IF(OR(Registro!D77="Resuelto",Registro!D77=""),"",SUM(C78,F78,I78,L78))</f>
        <v/>
      </c>
      <c r="N78" s="46" t="str">
        <f>IF(OR(Registro!D77="Resuelto",Registro!D77=""),"",SUM(B78,E78,H78,K78))</f>
        <v/>
      </c>
      <c r="O78" s="46" t="str">
        <f>IF(OR(Registro!D77="Resuelto",Registro!D77=""),"",_xlfn.CONCAT(A78,D78,G78,J78))</f>
        <v/>
      </c>
      <c r="P78" s="47">
        <v>70</v>
      </c>
      <c r="Q78" s="47" t="str">
        <f t="shared" ca="1" si="3"/>
        <v/>
      </c>
      <c r="R78" s="48" t="str">
        <f t="shared" ca="1" si="4"/>
        <v/>
      </c>
      <c r="S78" s="32"/>
      <c r="T78" s="32"/>
      <c r="U78" s="32"/>
      <c r="V78" s="32"/>
      <c r="W78" s="47" t="str">
        <f>IF(X78="","",MAX($W$5:W77)+1)</f>
        <v/>
      </c>
      <c r="X78" s="50" t="str">
        <f>IF(Registro!M77="","",IF(COUNTIF($X$8:X77,Registro!M77)=0,Registro!M77,""))</f>
        <v/>
      </c>
      <c r="Y78" s="50" t="str">
        <f t="shared" si="5"/>
        <v/>
      </c>
    </row>
    <row r="79" spans="1:25">
      <c r="A79" s="45" t="str">
        <f>IF(AND(Registro!D78="Abierto",Registro!E78="Urgente"),Registro!B78,"")</f>
        <v/>
      </c>
      <c r="B79" s="45" t="str">
        <f ca="1">IF(AND(Registro!D78="Abierto",Registro!E78="Urgente"),TODAY()-Registro!R78,"")</f>
        <v/>
      </c>
      <c r="C79" s="45" t="str">
        <f>IF(AND(Registro!D78="Abierto",Registro!E78="Urgente"),RANK(B79,$B$9:$B$1000,0)+COUNTIF($B$9:B79,B79)-1,"")</f>
        <v/>
      </c>
      <c r="D79" s="45" t="str">
        <f>IF(AND(Registro!D78="Abierto",Registro!E78="Alta"),Registro!B78,"")</f>
        <v/>
      </c>
      <c r="E79" s="45" t="str">
        <f ca="1">IF(AND(Registro!D78="Abierto",Registro!E78="Alta"),TODAY()-Registro!R78,"")</f>
        <v/>
      </c>
      <c r="F79" s="45" t="str">
        <f>IF(AND(Registro!D78="Abierto",Registro!E78="Alta"),RANK(E79,$E$9:$E$1000,0)+COUNTIF($E$9:E79,E79)-1+MAX(C$5:C$1000),"")</f>
        <v/>
      </c>
      <c r="G79" s="45" t="str">
        <f>IF(AND(Registro!D78="Abierto",Registro!E78="Media"),Registro!B78,"")</f>
        <v/>
      </c>
      <c r="H79" s="45" t="str">
        <f ca="1">IF(AND(Registro!D78="Abierto",Registro!E78="Media"),TODAY()-Registro!R78,"")</f>
        <v/>
      </c>
      <c r="I79" s="45" t="str">
        <f>IF(AND(Registro!D78="Abierto",Registro!E78="Media"),RANK(H79,$H$9:$H$1000,0)+COUNTIF($H$9:H79,H79)-1+MAX(C$5:C$1000,F$5:F$1000),"")</f>
        <v/>
      </c>
      <c r="J79" s="45" t="str">
        <f>IF(AND(Registro!D78="Abierto",Registro!E78="Baja"),Registro!B78,"")</f>
        <v/>
      </c>
      <c r="K79" s="45" t="str">
        <f ca="1">IF(AND(Registro!D78="Abierto",Registro!E78="Baja"),TODAY()-Registro!R78,"")</f>
        <v/>
      </c>
      <c r="L79" s="45" t="str">
        <f>IF(AND(Registro!D78="Abierto",Registro!E78="Baja"),RANK(K79,$K$9:$K$1000,0)+COUNTIF($K$9:K79,K79)-1+MAX(C$5:C$1000,F$5:F$1000,I$5:I$1000),"")</f>
        <v/>
      </c>
      <c r="M79" s="46" t="str">
        <f>IF(OR(Registro!D78="Resuelto",Registro!D78=""),"",SUM(C79,F79,I79,L79))</f>
        <v/>
      </c>
      <c r="N79" s="46" t="str">
        <f>IF(OR(Registro!D78="Resuelto",Registro!D78=""),"",SUM(B79,E79,H79,K79))</f>
        <v/>
      </c>
      <c r="O79" s="46" t="str">
        <f>IF(OR(Registro!D78="Resuelto",Registro!D78=""),"",_xlfn.CONCAT(A79,D79,G79,J79))</f>
        <v/>
      </c>
      <c r="P79" s="47">
        <v>71</v>
      </c>
      <c r="Q79" s="47" t="str">
        <f t="shared" ca="1" si="3"/>
        <v/>
      </c>
      <c r="R79" s="48" t="str">
        <f t="shared" ca="1" si="4"/>
        <v/>
      </c>
      <c r="S79" s="32"/>
      <c r="T79" s="32"/>
      <c r="U79" s="32"/>
      <c r="V79" s="32"/>
      <c r="W79" s="47" t="str">
        <f>IF(X79="","",MAX($W$5:W78)+1)</f>
        <v/>
      </c>
      <c r="X79" s="50" t="str">
        <f>IF(Registro!M78="","",IF(COUNTIF($X$8:X78,Registro!M78)=0,Registro!M78,""))</f>
        <v/>
      </c>
      <c r="Y79" s="50" t="str">
        <f t="shared" si="5"/>
        <v/>
      </c>
    </row>
    <row r="80" spans="1:25">
      <c r="A80" s="45" t="str">
        <f>IF(AND(Registro!D79="Abierto",Registro!E79="Urgente"),Registro!B79,"")</f>
        <v/>
      </c>
      <c r="B80" s="45" t="str">
        <f ca="1">IF(AND(Registro!D79="Abierto",Registro!E79="Urgente"),TODAY()-Registro!R79,"")</f>
        <v/>
      </c>
      <c r="C80" s="45" t="str">
        <f>IF(AND(Registro!D79="Abierto",Registro!E79="Urgente"),RANK(B80,$B$9:$B$1000,0)+COUNTIF($B$9:B80,B80)-1,"")</f>
        <v/>
      </c>
      <c r="D80" s="45" t="str">
        <f>IF(AND(Registro!D79="Abierto",Registro!E79="Alta"),Registro!B79,"")</f>
        <v/>
      </c>
      <c r="E80" s="45" t="str">
        <f ca="1">IF(AND(Registro!D79="Abierto",Registro!E79="Alta"),TODAY()-Registro!R79,"")</f>
        <v/>
      </c>
      <c r="F80" s="45" t="str">
        <f>IF(AND(Registro!D79="Abierto",Registro!E79="Alta"),RANK(E80,$E$9:$E$1000,0)+COUNTIF($E$9:E80,E80)-1+MAX(C$5:C$1000),"")</f>
        <v/>
      </c>
      <c r="G80" s="45" t="str">
        <f>IF(AND(Registro!D79="Abierto",Registro!E79="Media"),Registro!B79,"")</f>
        <v/>
      </c>
      <c r="H80" s="45" t="str">
        <f ca="1">IF(AND(Registro!D79="Abierto",Registro!E79="Media"),TODAY()-Registro!R79,"")</f>
        <v/>
      </c>
      <c r="I80" s="45" t="str">
        <f>IF(AND(Registro!D79="Abierto",Registro!E79="Media"),RANK(H80,$H$9:$H$1000,0)+COUNTIF($H$9:H80,H80)-1+MAX(C$5:C$1000,F$5:F$1000),"")</f>
        <v/>
      </c>
      <c r="J80" s="45" t="str">
        <f>IF(AND(Registro!D79="Abierto",Registro!E79="Baja"),Registro!B79,"")</f>
        <v/>
      </c>
      <c r="K80" s="45" t="str">
        <f ca="1">IF(AND(Registro!D79="Abierto",Registro!E79="Baja"),TODAY()-Registro!R79,"")</f>
        <v/>
      </c>
      <c r="L80" s="45" t="str">
        <f>IF(AND(Registro!D79="Abierto",Registro!E79="Baja"),RANK(K80,$K$9:$K$1000,0)+COUNTIF($K$9:K80,K80)-1+MAX(C$5:C$1000,F$5:F$1000,I$5:I$1000),"")</f>
        <v/>
      </c>
      <c r="M80" s="46" t="str">
        <f>IF(OR(Registro!D79="Resuelto",Registro!D79=""),"",SUM(C80,F80,I80,L80))</f>
        <v/>
      </c>
      <c r="N80" s="46" t="str">
        <f>IF(OR(Registro!D79="Resuelto",Registro!D79=""),"",SUM(B80,E80,H80,K80))</f>
        <v/>
      </c>
      <c r="O80" s="46" t="str">
        <f>IF(OR(Registro!D79="Resuelto",Registro!D79=""),"",_xlfn.CONCAT(A80,D80,G80,J80))</f>
        <v/>
      </c>
      <c r="P80" s="47">
        <v>72</v>
      </c>
      <c r="Q80" s="47" t="str">
        <f t="shared" ca="1" si="3"/>
        <v/>
      </c>
      <c r="R80" s="48" t="str">
        <f t="shared" ca="1" si="4"/>
        <v/>
      </c>
      <c r="S80" s="32"/>
      <c r="T80" s="32"/>
      <c r="U80" s="32"/>
      <c r="V80" s="32"/>
      <c r="W80" s="47" t="str">
        <f>IF(X80="","",MAX($W$5:W79)+1)</f>
        <v/>
      </c>
      <c r="X80" s="50" t="str">
        <f>IF(Registro!M79="","",IF(COUNTIF($X$8:X79,Registro!M79)=0,Registro!M79,""))</f>
        <v/>
      </c>
      <c r="Y80" s="50" t="str">
        <f t="shared" si="5"/>
        <v/>
      </c>
    </row>
    <row r="81" spans="1:25">
      <c r="A81" s="45" t="str">
        <f>IF(AND(Registro!D80="Abierto",Registro!E80="Urgente"),Registro!B80,"")</f>
        <v/>
      </c>
      <c r="B81" s="45" t="str">
        <f ca="1">IF(AND(Registro!D80="Abierto",Registro!E80="Urgente"),TODAY()-Registro!R80,"")</f>
        <v/>
      </c>
      <c r="C81" s="45" t="str">
        <f>IF(AND(Registro!D80="Abierto",Registro!E80="Urgente"),RANK(B81,$B$9:$B$1000,0)+COUNTIF($B$9:B81,B81)-1,"")</f>
        <v/>
      </c>
      <c r="D81" s="45" t="str">
        <f>IF(AND(Registro!D80="Abierto",Registro!E80="Alta"),Registro!B80,"")</f>
        <v/>
      </c>
      <c r="E81" s="45" t="str">
        <f ca="1">IF(AND(Registro!D80="Abierto",Registro!E80="Alta"),TODAY()-Registro!R80,"")</f>
        <v/>
      </c>
      <c r="F81" s="45" t="str">
        <f>IF(AND(Registro!D80="Abierto",Registro!E80="Alta"),RANK(E81,$E$9:$E$1000,0)+COUNTIF($E$9:E81,E81)-1+MAX(C$5:C$1000),"")</f>
        <v/>
      </c>
      <c r="G81" s="45" t="str">
        <f>IF(AND(Registro!D80="Abierto",Registro!E80="Media"),Registro!B80,"")</f>
        <v/>
      </c>
      <c r="H81" s="45" t="str">
        <f ca="1">IF(AND(Registro!D80="Abierto",Registro!E80="Media"),TODAY()-Registro!R80,"")</f>
        <v/>
      </c>
      <c r="I81" s="45" t="str">
        <f>IF(AND(Registro!D80="Abierto",Registro!E80="Media"),RANK(H81,$H$9:$H$1000,0)+COUNTIF($H$9:H81,H81)-1+MAX(C$5:C$1000,F$5:F$1000),"")</f>
        <v/>
      </c>
      <c r="J81" s="45" t="str">
        <f>IF(AND(Registro!D80="Abierto",Registro!E80="Baja"),Registro!B80,"")</f>
        <v/>
      </c>
      <c r="K81" s="45" t="str">
        <f ca="1">IF(AND(Registro!D80="Abierto",Registro!E80="Baja"),TODAY()-Registro!R80,"")</f>
        <v/>
      </c>
      <c r="L81" s="45" t="str">
        <f>IF(AND(Registro!D80="Abierto",Registro!E80="Baja"),RANK(K81,$K$9:$K$1000,0)+COUNTIF($K$9:K81,K81)-1+MAX(C$5:C$1000,F$5:F$1000,I$5:I$1000),"")</f>
        <v/>
      </c>
      <c r="M81" s="46" t="str">
        <f>IF(OR(Registro!D80="Resuelto",Registro!D80=""),"",SUM(C81,F81,I81,L81))</f>
        <v/>
      </c>
      <c r="N81" s="46" t="str">
        <f>IF(OR(Registro!D80="Resuelto",Registro!D80=""),"",SUM(B81,E81,H81,K81))</f>
        <v/>
      </c>
      <c r="O81" s="46" t="str">
        <f>IF(OR(Registro!D80="Resuelto",Registro!D80=""),"",_xlfn.CONCAT(A81,D81,G81,J81))</f>
        <v/>
      </c>
      <c r="P81" s="47">
        <v>73</v>
      </c>
      <c r="Q81" s="47" t="str">
        <f t="shared" ca="1" si="3"/>
        <v/>
      </c>
      <c r="R81" s="48" t="str">
        <f t="shared" ca="1" si="4"/>
        <v/>
      </c>
      <c r="S81" s="32"/>
      <c r="T81" s="32"/>
      <c r="U81" s="32"/>
      <c r="V81" s="32"/>
      <c r="W81" s="47" t="str">
        <f>IF(X81="","",MAX($W$5:W80)+1)</f>
        <v/>
      </c>
      <c r="X81" s="50" t="str">
        <f>IF(Registro!M80="","",IF(COUNTIF($X$8:X80,Registro!M80)=0,Registro!M80,""))</f>
        <v/>
      </c>
      <c r="Y81" s="50" t="str">
        <f t="shared" si="5"/>
        <v/>
      </c>
    </row>
    <row r="82" spans="1:25">
      <c r="A82" s="45" t="str">
        <f>IF(AND(Registro!D81="Abierto",Registro!E81="Urgente"),Registro!B81,"")</f>
        <v/>
      </c>
      <c r="B82" s="45" t="str">
        <f ca="1">IF(AND(Registro!D81="Abierto",Registro!E81="Urgente"),TODAY()-Registro!R81,"")</f>
        <v/>
      </c>
      <c r="C82" s="45" t="str">
        <f>IF(AND(Registro!D81="Abierto",Registro!E81="Urgente"),RANK(B82,$B$9:$B$1000,0)+COUNTIF($B$9:B82,B82)-1,"")</f>
        <v/>
      </c>
      <c r="D82" s="45" t="str">
        <f>IF(AND(Registro!D81="Abierto",Registro!E81="Alta"),Registro!B81,"")</f>
        <v/>
      </c>
      <c r="E82" s="45" t="str">
        <f ca="1">IF(AND(Registro!D81="Abierto",Registro!E81="Alta"),TODAY()-Registro!R81,"")</f>
        <v/>
      </c>
      <c r="F82" s="45" t="str">
        <f>IF(AND(Registro!D81="Abierto",Registro!E81="Alta"),RANK(E82,$E$9:$E$1000,0)+COUNTIF($E$9:E82,E82)-1+MAX(C$5:C$1000),"")</f>
        <v/>
      </c>
      <c r="G82" s="45" t="str">
        <f>IF(AND(Registro!D81="Abierto",Registro!E81="Media"),Registro!B81,"")</f>
        <v/>
      </c>
      <c r="H82" s="45" t="str">
        <f ca="1">IF(AND(Registro!D81="Abierto",Registro!E81="Media"),TODAY()-Registro!R81,"")</f>
        <v/>
      </c>
      <c r="I82" s="45" t="str">
        <f>IF(AND(Registro!D81="Abierto",Registro!E81="Media"),RANK(H82,$H$9:$H$1000,0)+COUNTIF($H$9:H82,H82)-1+MAX(C$5:C$1000,F$5:F$1000),"")</f>
        <v/>
      </c>
      <c r="J82" s="45" t="str">
        <f>IF(AND(Registro!D81="Abierto",Registro!E81="Baja"),Registro!B81,"")</f>
        <v/>
      </c>
      <c r="K82" s="45" t="str">
        <f ca="1">IF(AND(Registro!D81="Abierto",Registro!E81="Baja"),TODAY()-Registro!R81,"")</f>
        <v/>
      </c>
      <c r="L82" s="45" t="str">
        <f>IF(AND(Registro!D81="Abierto",Registro!E81="Baja"),RANK(K82,$K$9:$K$1000,0)+COUNTIF($K$9:K82,K82)-1+MAX(C$5:C$1000,F$5:F$1000,I$5:I$1000),"")</f>
        <v/>
      </c>
      <c r="M82" s="46" t="str">
        <f>IF(OR(Registro!D81="Resuelto",Registro!D81=""),"",SUM(C82,F82,I82,L82))</f>
        <v/>
      </c>
      <c r="N82" s="46" t="str">
        <f>IF(OR(Registro!D81="Resuelto",Registro!D81=""),"",SUM(B82,E82,H82,K82))</f>
        <v/>
      </c>
      <c r="O82" s="46" t="str">
        <f>IF(OR(Registro!D81="Resuelto",Registro!D81=""),"",_xlfn.CONCAT(A82,D82,G82,J82))</f>
        <v/>
      </c>
      <c r="P82" s="47">
        <v>74</v>
      </c>
      <c r="Q82" s="47" t="str">
        <f t="shared" ca="1" si="3"/>
        <v/>
      </c>
      <c r="R82" s="48" t="str">
        <f t="shared" ca="1" si="4"/>
        <v/>
      </c>
      <c r="S82" s="32"/>
      <c r="T82" s="32"/>
      <c r="U82" s="32"/>
      <c r="V82" s="32"/>
      <c r="W82" s="47" t="str">
        <f>IF(X82="","",MAX($W$5:W81)+1)</f>
        <v/>
      </c>
      <c r="X82" s="50" t="str">
        <f>IF(Registro!M81="","",IF(COUNTIF($X$8:X81,Registro!M81)=0,Registro!M81,""))</f>
        <v/>
      </c>
      <c r="Y82" s="50" t="str">
        <f t="shared" si="5"/>
        <v/>
      </c>
    </row>
    <row r="83" spans="1:25">
      <c r="A83" s="45" t="str">
        <f>IF(AND(Registro!D82="Abierto",Registro!E82="Urgente"),Registro!B82,"")</f>
        <v/>
      </c>
      <c r="B83" s="45" t="str">
        <f ca="1">IF(AND(Registro!D82="Abierto",Registro!E82="Urgente"),TODAY()-Registro!R82,"")</f>
        <v/>
      </c>
      <c r="C83" s="45" t="str">
        <f>IF(AND(Registro!D82="Abierto",Registro!E82="Urgente"),RANK(B83,$B$9:$B$1000,0)+COUNTIF($B$9:B83,B83)-1,"")</f>
        <v/>
      </c>
      <c r="D83" s="45" t="str">
        <f>IF(AND(Registro!D82="Abierto",Registro!E82="Alta"),Registro!B82,"")</f>
        <v>6373-PFIN-26</v>
      </c>
      <c r="E83" s="45">
        <f ca="1">IF(AND(Registro!D82="Abierto",Registro!E82="Alta"),TODAY()-Registro!R82,"")</f>
        <v>3</v>
      </c>
      <c r="F83" s="45">
        <f ca="1">IF(AND(Registro!D82="Abierto",Registro!E82="Alta"),RANK(E83,$E$9:$E$1000,0)+COUNTIF($E$9:E83,E83)-1+MAX(C$5:C$1000),"")</f>
        <v>7</v>
      </c>
      <c r="G83" s="45" t="str">
        <f>IF(AND(Registro!D82="Abierto",Registro!E82="Media"),Registro!B82,"")</f>
        <v/>
      </c>
      <c r="H83" s="45" t="str">
        <f ca="1">IF(AND(Registro!D82="Abierto",Registro!E82="Media"),TODAY()-Registro!R82,"")</f>
        <v/>
      </c>
      <c r="I83" s="45" t="str">
        <f>IF(AND(Registro!D82="Abierto",Registro!E82="Media"),RANK(H83,$H$9:$H$1000,0)+COUNTIF($H$9:H83,H83)-1+MAX(C$5:C$1000,F$5:F$1000),"")</f>
        <v/>
      </c>
      <c r="J83" s="45" t="str">
        <f>IF(AND(Registro!D82="Abierto",Registro!E82="Baja"),Registro!B82,"")</f>
        <v/>
      </c>
      <c r="K83" s="45" t="str">
        <f ca="1">IF(AND(Registro!D82="Abierto",Registro!E82="Baja"),TODAY()-Registro!R82,"")</f>
        <v/>
      </c>
      <c r="L83" s="45" t="str">
        <f>IF(AND(Registro!D82="Abierto",Registro!E82="Baja"),RANK(K83,$K$9:$K$1000,0)+COUNTIF($K$9:K83,K83)-1+MAX(C$5:C$1000,F$5:F$1000,I$5:I$1000),"")</f>
        <v/>
      </c>
      <c r="M83" s="46">
        <f ca="1">IF(OR(Registro!D82="Resuelto",Registro!D82=""),"",SUM(C83,F83,I83,L83))</f>
        <v>7</v>
      </c>
      <c r="N83" s="46">
        <f ca="1">IF(OR(Registro!D82="Resuelto",Registro!D82=""),"",SUM(B83,E83,H83,K83))</f>
        <v>3</v>
      </c>
      <c r="O83" s="46" t="str">
        <f>IF(OR(Registro!D82="Resuelto",Registro!D82=""),"",_xlfn.CONCAT(A83,D83,G83,J83))</f>
        <v>6373-PFIN-26</v>
      </c>
      <c r="P83" s="47">
        <v>75</v>
      </c>
      <c r="Q83" s="47" t="str">
        <f t="shared" ca="1" si="3"/>
        <v/>
      </c>
      <c r="R83" s="48" t="str">
        <f t="shared" ca="1" si="4"/>
        <v/>
      </c>
      <c r="S83" s="32"/>
      <c r="T83" s="32"/>
      <c r="U83" s="32"/>
      <c r="V83" s="32"/>
      <c r="W83" s="47" t="str">
        <f>IF(X83="","",MAX($W$5:W82)+1)</f>
        <v/>
      </c>
      <c r="X83" s="50" t="str">
        <f>IF(Registro!M82="","",IF(COUNTIF($X$8:X82,Registro!M82)=0,Registro!M82,""))</f>
        <v/>
      </c>
      <c r="Y83" s="50" t="str">
        <f t="shared" si="5"/>
        <v/>
      </c>
    </row>
    <row r="84" spans="1:25">
      <c r="A84" s="45" t="str">
        <f>IF(AND(Registro!D83="Abierto",Registro!E83="Urgente"),Registro!B83,"")</f>
        <v/>
      </c>
      <c r="B84" s="45" t="str">
        <f ca="1">IF(AND(Registro!D83="Abierto",Registro!E83="Urgente"),TODAY()-Registro!R83,"")</f>
        <v/>
      </c>
      <c r="C84" s="45" t="str">
        <f>IF(AND(Registro!D83="Abierto",Registro!E83="Urgente"),RANK(B84,$B$9:$B$1000,0)+COUNTIF($B$9:B84,B84)-1,"")</f>
        <v/>
      </c>
      <c r="D84" s="45" t="str">
        <f>IF(AND(Registro!D83="Abierto",Registro!E83="Alta"),Registro!B83,"")</f>
        <v>6371-PFIN-26</v>
      </c>
      <c r="E84" s="45">
        <f ca="1">IF(AND(Registro!D83="Abierto",Registro!E83="Alta"),TODAY()-Registro!R83,"")</f>
        <v>8</v>
      </c>
      <c r="F84" s="45">
        <f ca="1">IF(AND(Registro!D83="Abierto",Registro!E83="Alta"),RANK(E84,$E$9:$E$1000,0)+COUNTIF($E$9:E84,E84)-1+MAX(C$5:C$1000),"")</f>
        <v>4</v>
      </c>
      <c r="G84" s="45" t="str">
        <f>IF(AND(Registro!D83="Abierto",Registro!E83="Media"),Registro!B83,"")</f>
        <v/>
      </c>
      <c r="H84" s="45" t="str">
        <f ca="1">IF(AND(Registro!D83="Abierto",Registro!E83="Media"),TODAY()-Registro!R83,"")</f>
        <v/>
      </c>
      <c r="I84" s="45" t="str">
        <f>IF(AND(Registro!D83="Abierto",Registro!E83="Media"),RANK(H84,$H$9:$H$1000,0)+COUNTIF($H$9:H84,H84)-1+MAX(C$5:C$1000,F$5:F$1000),"")</f>
        <v/>
      </c>
      <c r="J84" s="45" t="str">
        <f>IF(AND(Registro!D83="Abierto",Registro!E83="Baja"),Registro!B83,"")</f>
        <v/>
      </c>
      <c r="K84" s="45" t="str">
        <f ca="1">IF(AND(Registro!D83="Abierto",Registro!E83="Baja"),TODAY()-Registro!R83,"")</f>
        <v/>
      </c>
      <c r="L84" s="45" t="str">
        <f>IF(AND(Registro!D83="Abierto",Registro!E83="Baja"),RANK(K84,$K$9:$K$1000,0)+COUNTIF($K$9:K84,K84)-1+MAX(C$5:C$1000,F$5:F$1000,I$5:I$1000),"")</f>
        <v/>
      </c>
      <c r="M84" s="46">
        <f ca="1">IF(OR(Registro!D83="Resuelto",Registro!D83=""),"",SUM(C84,F84,I84,L84))</f>
        <v>4</v>
      </c>
      <c r="N84" s="46">
        <f ca="1">IF(OR(Registro!D83="Resuelto",Registro!D83=""),"",SUM(B84,E84,H84,K84))</f>
        <v>8</v>
      </c>
      <c r="O84" s="46" t="str">
        <f>IF(OR(Registro!D83="Resuelto",Registro!D83=""),"",_xlfn.CONCAT(A84,D84,G84,J84))</f>
        <v>6371-PFIN-26</v>
      </c>
      <c r="P84" s="47">
        <v>76</v>
      </c>
      <c r="Q84" s="47" t="str">
        <f t="shared" ca="1" si="3"/>
        <v/>
      </c>
      <c r="R84" s="48" t="str">
        <f t="shared" ca="1" si="4"/>
        <v/>
      </c>
      <c r="S84" s="32"/>
      <c r="T84" s="32"/>
      <c r="U84" s="32"/>
      <c r="V84" s="32"/>
      <c r="W84" s="47" t="str">
        <f>IF(X84="","",MAX($W$5:W83)+1)</f>
        <v/>
      </c>
      <c r="X84" s="50" t="str">
        <f>IF(Registro!M83="","",IF(COUNTIF($X$8:X83,Registro!M83)=0,Registro!M83,""))</f>
        <v/>
      </c>
      <c r="Y84" s="50" t="str">
        <f t="shared" si="5"/>
        <v/>
      </c>
    </row>
    <row r="85" spans="1:25">
      <c r="A85" s="45" t="str">
        <f>IF(AND(Registro!D84="Abierto",Registro!E84="Urgente"),Registro!B84,"")</f>
        <v/>
      </c>
      <c r="B85" s="45" t="str">
        <f ca="1">IF(AND(Registro!D84="Abierto",Registro!E84="Urgente"),TODAY()-Registro!R84,"")</f>
        <v/>
      </c>
      <c r="C85" s="45" t="str">
        <f>IF(AND(Registro!D84="Abierto",Registro!E84="Urgente"),RANK(B85,$B$9:$B$1000,0)+COUNTIF($B$9:B85,B85)-1,"")</f>
        <v/>
      </c>
      <c r="D85" s="45" t="str">
        <f>IF(AND(Registro!D84="Abierto",Registro!E84="Alta"),Registro!B84,"")</f>
        <v/>
      </c>
      <c r="E85" s="45" t="str">
        <f ca="1">IF(AND(Registro!D84="Abierto",Registro!E84="Alta"),TODAY()-Registro!R84,"")</f>
        <v/>
      </c>
      <c r="F85" s="45" t="str">
        <f>IF(AND(Registro!D84="Abierto",Registro!E84="Alta"),RANK(E85,$E$9:$E$1000,0)+COUNTIF($E$9:E85,E85)-1+MAX(C$5:C$1000),"")</f>
        <v/>
      </c>
      <c r="G85" s="45" t="str">
        <f>IF(AND(Registro!D84="Abierto",Registro!E84="Media"),Registro!B84,"")</f>
        <v>6374-PFIN-26</v>
      </c>
      <c r="H85" s="45">
        <f ca="1">IF(AND(Registro!D84="Abierto",Registro!E84="Media"),TODAY()-Registro!R84,"")</f>
        <v>-6</v>
      </c>
      <c r="I85" s="45">
        <f ca="1">IF(AND(Registro!D84="Abierto",Registro!E84="Media"),RANK(H85,$H$9:$H$1000,0)+COUNTIF($H$9:H85,H85)-1+MAX(C$5:C$1000,F$5:F$1000),"")</f>
        <v>16</v>
      </c>
      <c r="J85" s="45" t="str">
        <f>IF(AND(Registro!D84="Abierto",Registro!E84="Baja"),Registro!B84,"")</f>
        <v/>
      </c>
      <c r="K85" s="45" t="str">
        <f ca="1">IF(AND(Registro!D84="Abierto",Registro!E84="Baja"),TODAY()-Registro!R84,"")</f>
        <v/>
      </c>
      <c r="L85" s="45" t="str">
        <f>IF(AND(Registro!D84="Abierto",Registro!E84="Baja"),RANK(K85,$K$9:$K$1000,0)+COUNTIF($K$9:K85,K85)-1+MAX(C$5:C$1000,F$5:F$1000,I$5:I$1000),"")</f>
        <v/>
      </c>
      <c r="M85" s="46">
        <f ca="1">IF(OR(Registro!D84="Resuelto",Registro!D84=""),"",SUM(C85,F85,I85,L85))</f>
        <v>16</v>
      </c>
      <c r="N85" s="46">
        <f ca="1">IF(OR(Registro!D84="Resuelto",Registro!D84=""),"",SUM(B85,E85,H85,K85))</f>
        <v>-6</v>
      </c>
      <c r="O85" s="46" t="str">
        <f>IF(OR(Registro!D84="Resuelto",Registro!D84=""),"",_xlfn.CONCAT(A85,D85,G85,J85))</f>
        <v>6374-PFIN-26</v>
      </c>
      <c r="P85" s="47">
        <v>77</v>
      </c>
      <c r="Q85" s="47" t="str">
        <f t="shared" ca="1" si="3"/>
        <v/>
      </c>
      <c r="R85" s="48" t="str">
        <f t="shared" ca="1" si="4"/>
        <v/>
      </c>
      <c r="S85" s="32"/>
      <c r="T85" s="32"/>
      <c r="U85" s="32"/>
      <c r="V85" s="32"/>
      <c r="W85" s="47" t="str">
        <f>IF(X85="","",MAX($W$5:W84)+1)</f>
        <v/>
      </c>
      <c r="X85" s="50" t="str">
        <f>IF(Registro!M84="","",IF(COUNTIF($X$8:X84,Registro!M84)=0,Registro!M84,""))</f>
        <v/>
      </c>
      <c r="Y85" s="50" t="str">
        <f t="shared" si="5"/>
        <v/>
      </c>
    </row>
    <row r="86" spans="1:25">
      <c r="A86" s="45" t="str">
        <f>IF(AND(Registro!D85="Abierto",Registro!E85="Urgente"),Registro!B85,"")</f>
        <v/>
      </c>
      <c r="B86" s="45" t="str">
        <f ca="1">IF(AND(Registro!D85="Abierto",Registro!E85="Urgente"),TODAY()-Registro!R85,"")</f>
        <v/>
      </c>
      <c r="C86" s="45" t="str">
        <f>IF(AND(Registro!D85="Abierto",Registro!E85="Urgente"),RANK(B86,$B$9:$B$1000,0)+COUNTIF($B$9:B86,B86)-1,"")</f>
        <v/>
      </c>
      <c r="D86" s="45" t="str">
        <f>IF(AND(Registro!D85="Abierto",Registro!E85="Alta"),Registro!B85,"")</f>
        <v>6375-PFIN-26</v>
      </c>
      <c r="E86" s="45">
        <f ca="1">IF(AND(Registro!D85="Abierto",Registro!E85="Alta"),TODAY()-Registro!R85,"")</f>
        <v>8</v>
      </c>
      <c r="F86" s="45">
        <f ca="1">IF(AND(Registro!D85="Abierto",Registro!E85="Alta"),RANK(E86,$E$9:$E$1000,0)+COUNTIF($E$9:E86,E86)-1+MAX(C$5:C$1000),"")</f>
        <v>5</v>
      </c>
      <c r="G86" s="45" t="str">
        <f>IF(AND(Registro!D85="Abierto",Registro!E85="Media"),Registro!B85,"")</f>
        <v/>
      </c>
      <c r="H86" s="45" t="str">
        <f ca="1">IF(AND(Registro!D85="Abierto",Registro!E85="Media"),TODAY()-Registro!R85,"")</f>
        <v/>
      </c>
      <c r="I86" s="45" t="str">
        <f>IF(AND(Registro!D85="Abierto",Registro!E85="Media"),RANK(H86,$H$9:$H$1000,0)+COUNTIF($H$9:H86,H86)-1+MAX(C$5:C$1000,F$5:F$1000),"")</f>
        <v/>
      </c>
      <c r="J86" s="45" t="str">
        <f>IF(AND(Registro!D85="Abierto",Registro!E85="Baja"),Registro!B85,"")</f>
        <v/>
      </c>
      <c r="K86" s="45" t="str">
        <f ca="1">IF(AND(Registro!D85="Abierto",Registro!E85="Baja"),TODAY()-Registro!R85,"")</f>
        <v/>
      </c>
      <c r="L86" s="45" t="str">
        <f>IF(AND(Registro!D85="Abierto",Registro!E85="Baja"),RANK(K86,$K$9:$K$1000,0)+COUNTIF($K$9:K86,K86)-1+MAX(C$5:C$1000,F$5:F$1000,I$5:I$1000),"")</f>
        <v/>
      </c>
      <c r="M86" s="46">
        <f ca="1">IF(OR(Registro!D85="Resuelto",Registro!D85=""),"",SUM(C86,F86,I86,L86))</f>
        <v>5</v>
      </c>
      <c r="N86" s="46">
        <f ca="1">IF(OR(Registro!D85="Resuelto",Registro!D85=""),"",SUM(B86,E86,H86,K86))</f>
        <v>8</v>
      </c>
      <c r="O86" s="46" t="str">
        <f>IF(OR(Registro!D85="Resuelto",Registro!D85=""),"",_xlfn.CONCAT(A86,D86,G86,J86))</f>
        <v>6375-PFIN-26</v>
      </c>
      <c r="P86" s="47">
        <v>78</v>
      </c>
      <c r="Q86" s="47" t="str">
        <f t="shared" ca="1" si="3"/>
        <v/>
      </c>
      <c r="R86" s="48" t="str">
        <f t="shared" ca="1" si="4"/>
        <v/>
      </c>
      <c r="S86" s="32"/>
      <c r="T86" s="32"/>
      <c r="U86" s="32"/>
      <c r="V86" s="32"/>
      <c r="W86" s="47" t="str">
        <f>IF(X86="","",MAX($W$5:W85)+1)</f>
        <v/>
      </c>
      <c r="X86" s="50" t="str">
        <f>IF(Registro!M85="","",IF(COUNTIF($X$8:X85,Registro!M85)=0,Registro!M85,""))</f>
        <v/>
      </c>
      <c r="Y86" s="50" t="str">
        <f t="shared" si="5"/>
        <v/>
      </c>
    </row>
    <row r="87" spans="1:25">
      <c r="A87" s="45" t="str">
        <f>IF(AND(Registro!D86="Abierto",Registro!E86="Urgente"),Registro!B86,"")</f>
        <v/>
      </c>
      <c r="B87" s="45" t="str">
        <f ca="1">IF(AND(Registro!D86="Abierto",Registro!E86="Urgente"),TODAY()-Registro!R86,"")</f>
        <v/>
      </c>
      <c r="C87" s="45" t="str">
        <f>IF(AND(Registro!D86="Abierto",Registro!E86="Urgente"),RANK(B87,$B$9:$B$1000,0)+COUNTIF($B$9:B87,B87)-1,"")</f>
        <v/>
      </c>
      <c r="D87" s="45" t="str">
        <f>IF(AND(Registro!D86="Abierto",Registro!E86="Alta"),Registro!B86,"")</f>
        <v/>
      </c>
      <c r="E87" s="45" t="str">
        <f ca="1">IF(AND(Registro!D86="Abierto",Registro!E86="Alta"),TODAY()-Registro!R86,"")</f>
        <v/>
      </c>
      <c r="F87" s="45" t="str">
        <f>IF(AND(Registro!D86="Abierto",Registro!E86="Alta"),RANK(E87,$E$9:$E$1000,0)+COUNTIF($E$9:E87,E87)-1+MAX(C$5:C$1000),"")</f>
        <v/>
      </c>
      <c r="G87" s="45" t="str">
        <f>IF(AND(Registro!D86="Abierto",Registro!E86="Media"),Registro!B86,"")</f>
        <v>6376-PFIN-26</v>
      </c>
      <c r="H87" s="45">
        <f ca="1">IF(AND(Registro!D86="Abierto",Registro!E86="Media"),TODAY()-Registro!R86,"")</f>
        <v>-7</v>
      </c>
      <c r="I87" s="45">
        <f ca="1">IF(AND(Registro!D86="Abierto",Registro!E86="Media"),RANK(H87,$H$9:$H$1000,0)+COUNTIF($H$9:H87,H87)-1+MAX(C$5:C$1000,F$5:F$1000),"")</f>
        <v>18</v>
      </c>
      <c r="J87" s="45" t="str">
        <f>IF(AND(Registro!D86="Abierto",Registro!E86="Baja"),Registro!B86,"")</f>
        <v/>
      </c>
      <c r="K87" s="45" t="str">
        <f ca="1">IF(AND(Registro!D86="Abierto",Registro!E86="Baja"),TODAY()-Registro!R86,"")</f>
        <v/>
      </c>
      <c r="L87" s="45" t="str">
        <f>IF(AND(Registro!D86="Abierto",Registro!E86="Baja"),RANK(K87,$K$9:$K$1000,0)+COUNTIF($K$9:K87,K87)-1+MAX(C$5:C$1000,F$5:F$1000,I$5:I$1000),"")</f>
        <v/>
      </c>
      <c r="M87" s="46">
        <f ca="1">IF(OR(Registro!D86="Resuelto",Registro!D86=""),"",SUM(C87,F87,I87,L87))</f>
        <v>18</v>
      </c>
      <c r="N87" s="46">
        <f ca="1">IF(OR(Registro!D86="Resuelto",Registro!D86=""),"",SUM(B87,E87,H87,K87))</f>
        <v>-7</v>
      </c>
      <c r="O87" s="46" t="str">
        <f>IF(OR(Registro!D86="Resuelto",Registro!D86=""),"",_xlfn.CONCAT(A87,D87,G87,J87))</f>
        <v>6376-PFIN-26</v>
      </c>
      <c r="P87" s="47">
        <v>79</v>
      </c>
      <c r="Q87" s="47" t="str">
        <f t="shared" ca="1" si="3"/>
        <v/>
      </c>
      <c r="R87" s="48" t="str">
        <f t="shared" ca="1" si="4"/>
        <v/>
      </c>
      <c r="S87" s="32"/>
      <c r="T87" s="32"/>
      <c r="U87" s="32"/>
      <c r="V87" s="32"/>
      <c r="W87" s="47" t="str">
        <f>IF(X87="","",MAX($W$5:W86)+1)</f>
        <v/>
      </c>
      <c r="X87" s="50" t="str">
        <f>IF(Registro!M86="","",IF(COUNTIF($X$8:X86,Registro!M86)=0,Registro!M86,""))</f>
        <v/>
      </c>
      <c r="Y87" s="50" t="str">
        <f t="shared" si="5"/>
        <v/>
      </c>
    </row>
    <row r="88" spans="1:25">
      <c r="A88" s="45" t="str">
        <f>IF(AND(Registro!D87="Abierto",Registro!E87="Urgente"),Registro!B87,"")</f>
        <v/>
      </c>
      <c r="B88" s="45" t="str">
        <f ca="1">IF(AND(Registro!D87="Abierto",Registro!E87="Urgente"),TODAY()-Registro!R87,"")</f>
        <v/>
      </c>
      <c r="C88" s="45" t="str">
        <f>IF(AND(Registro!D87="Abierto",Registro!E87="Urgente"),RANK(B88,$B$9:$B$1000,0)+COUNTIF($B$9:B88,B88)-1,"")</f>
        <v/>
      </c>
      <c r="D88" s="45" t="str">
        <f>IF(AND(Registro!D87="Abierto",Registro!E87="Alta"),Registro!B87,"")</f>
        <v>6377-PFIN-26</v>
      </c>
      <c r="E88" s="45">
        <f ca="1">IF(AND(Registro!D87="Abierto",Registro!E87="Alta"),TODAY()-Registro!R87,"")</f>
        <v>7</v>
      </c>
      <c r="F88" s="45">
        <f ca="1">IF(AND(Registro!D87="Abierto",Registro!E87="Alta"),RANK(E88,$E$9:$E$1000,0)+COUNTIF($E$9:E88,E88)-1+MAX(C$5:C$1000),"")</f>
        <v>6</v>
      </c>
      <c r="G88" s="45" t="str">
        <f>IF(AND(Registro!D87="Abierto",Registro!E87="Media"),Registro!B87,"")</f>
        <v/>
      </c>
      <c r="H88" s="45" t="str">
        <f ca="1">IF(AND(Registro!D87="Abierto",Registro!E87="Media"),TODAY()-Registro!R87,"")</f>
        <v/>
      </c>
      <c r="I88" s="45" t="str">
        <f>IF(AND(Registro!D87="Abierto",Registro!E87="Media"),RANK(H88,$H$9:$H$1000,0)+COUNTIF($H$9:H88,H88)-1+MAX(C$5:C$1000,F$5:F$1000),"")</f>
        <v/>
      </c>
      <c r="J88" s="45" t="str">
        <f>IF(AND(Registro!D87="Abierto",Registro!E87="Baja"),Registro!B87,"")</f>
        <v/>
      </c>
      <c r="K88" s="45" t="str">
        <f ca="1">IF(AND(Registro!D87="Abierto",Registro!E87="Baja"),TODAY()-Registro!R87,"")</f>
        <v/>
      </c>
      <c r="L88" s="45" t="str">
        <f>IF(AND(Registro!D87="Abierto",Registro!E87="Baja"),RANK(K88,$K$9:$K$1000,0)+COUNTIF($K$9:K88,K88)-1+MAX(C$5:C$1000,F$5:F$1000,I$5:I$1000),"")</f>
        <v/>
      </c>
      <c r="M88" s="46">
        <f ca="1">IF(OR(Registro!D87="Resuelto",Registro!D87=""),"",SUM(C88,F88,I88,L88))</f>
        <v>6</v>
      </c>
      <c r="N88" s="46">
        <f ca="1">IF(OR(Registro!D87="Resuelto",Registro!D87=""),"",SUM(B88,E88,H88,K88))</f>
        <v>7</v>
      </c>
      <c r="O88" s="46" t="str">
        <f>IF(OR(Registro!D87="Resuelto",Registro!D87=""),"",_xlfn.CONCAT(A88,D88,G88,J88))</f>
        <v>6377-PFIN-26</v>
      </c>
      <c r="P88" s="47">
        <v>80</v>
      </c>
      <c r="Q88" s="47" t="str">
        <f t="shared" ca="1" si="3"/>
        <v/>
      </c>
      <c r="R88" s="48" t="str">
        <f t="shared" ca="1" si="4"/>
        <v/>
      </c>
      <c r="S88" s="32"/>
      <c r="T88" s="32"/>
      <c r="U88" s="32"/>
      <c r="V88" s="32"/>
      <c r="W88" s="47" t="str">
        <f>IF(X88="","",MAX($W$5:W87)+1)</f>
        <v/>
      </c>
      <c r="X88" s="50" t="str">
        <f>IF(Registro!M87="","",IF(COUNTIF($X$8:X87,Registro!M87)=0,Registro!M87,""))</f>
        <v/>
      </c>
      <c r="Y88" s="50" t="str">
        <f t="shared" si="5"/>
        <v/>
      </c>
    </row>
    <row r="89" spans="1:25">
      <c r="A89" s="45" t="str">
        <f>IF(AND(Registro!D88="Abierto",Registro!E88="Urgente"),Registro!B88,"")</f>
        <v/>
      </c>
      <c r="B89" s="45" t="str">
        <f ca="1">IF(AND(Registro!D88="Abierto",Registro!E88="Urgente"),TODAY()-Registro!R88,"")</f>
        <v/>
      </c>
      <c r="C89" s="45" t="str">
        <f>IF(AND(Registro!D88="Abierto",Registro!E88="Urgente"),RANK(B89,$B$9:$B$1000,0)+COUNTIF($B$9:B89,B89)-1,"")</f>
        <v/>
      </c>
      <c r="D89" s="45" t="str">
        <f>IF(AND(Registro!D88="Abierto",Registro!E88="Alta"),Registro!B88,"")</f>
        <v>6378-PFIN-26</v>
      </c>
      <c r="E89" s="45">
        <f ca="1">IF(AND(Registro!D88="Abierto",Registro!E88="Alta"),TODAY()-Registro!R88,"")</f>
        <v>-6</v>
      </c>
      <c r="F89" s="45">
        <f ca="1">IF(AND(Registro!D88="Abierto",Registro!E88="Alta"),RANK(E89,$E$9:$E$1000,0)+COUNTIF($E$9:E89,E89)-1+MAX(C$5:C$1000),"")</f>
        <v>9</v>
      </c>
      <c r="G89" s="45" t="str">
        <f>IF(AND(Registro!D88="Abierto",Registro!E88="Media"),Registro!B88,"")</f>
        <v/>
      </c>
      <c r="H89" s="45" t="str">
        <f ca="1">IF(AND(Registro!D88="Abierto",Registro!E88="Media"),TODAY()-Registro!R88,"")</f>
        <v/>
      </c>
      <c r="I89" s="45" t="str">
        <f>IF(AND(Registro!D88="Abierto",Registro!E88="Media"),RANK(H89,$H$9:$H$1000,0)+COUNTIF($H$9:H89,H89)-1+MAX(C$5:C$1000,F$5:F$1000),"")</f>
        <v/>
      </c>
      <c r="J89" s="45" t="str">
        <f>IF(AND(Registro!D88="Abierto",Registro!E88="Baja"),Registro!B88,"")</f>
        <v/>
      </c>
      <c r="K89" s="45" t="str">
        <f ca="1">IF(AND(Registro!D88="Abierto",Registro!E88="Baja"),TODAY()-Registro!R88,"")</f>
        <v/>
      </c>
      <c r="L89" s="45" t="str">
        <f>IF(AND(Registro!D88="Abierto",Registro!E88="Baja"),RANK(K89,$K$9:$K$1000,0)+COUNTIF($K$9:K89,K89)-1+MAX(C$5:C$1000,F$5:F$1000,I$5:I$1000),"")</f>
        <v/>
      </c>
      <c r="M89" s="46">
        <f ca="1">IF(OR(Registro!D88="Resuelto",Registro!D88=""),"",SUM(C89,F89,I89,L89))</f>
        <v>9</v>
      </c>
      <c r="N89" s="46">
        <f ca="1">IF(OR(Registro!D88="Resuelto",Registro!D88=""),"",SUM(B89,E89,H89,K89))</f>
        <v>-6</v>
      </c>
      <c r="O89" s="46" t="str">
        <f>IF(OR(Registro!D88="Resuelto",Registro!D88=""),"",_xlfn.CONCAT(A89,D89,G89,J89))</f>
        <v>6378-PFIN-26</v>
      </c>
      <c r="P89" s="47">
        <v>81</v>
      </c>
      <c r="Q89" s="47" t="str">
        <f t="shared" ca="1" si="3"/>
        <v/>
      </c>
      <c r="R89" s="48" t="str">
        <f t="shared" ca="1" si="4"/>
        <v/>
      </c>
      <c r="S89" s="32"/>
      <c r="T89" s="32"/>
      <c r="U89" s="32"/>
      <c r="V89" s="32"/>
      <c r="W89" s="47" t="str">
        <f>IF(X89="","",MAX($W$5:W88)+1)</f>
        <v/>
      </c>
      <c r="X89" s="50" t="str">
        <f>IF(Registro!M88="","",IF(COUNTIF($X$8:X88,Registro!M88)=0,Registro!M88,""))</f>
        <v/>
      </c>
      <c r="Y89" s="50" t="str">
        <f t="shared" si="5"/>
        <v/>
      </c>
    </row>
    <row r="90" spans="1:25">
      <c r="A90" s="45" t="str">
        <f>IF(AND(Registro!D89="Abierto",Registro!E89="Urgente"),Registro!B89,"")</f>
        <v/>
      </c>
      <c r="B90" s="45" t="str">
        <f ca="1">IF(AND(Registro!D89="Abierto",Registro!E89="Urgente"),TODAY()-Registro!R89,"")</f>
        <v/>
      </c>
      <c r="C90" s="45" t="str">
        <f>IF(AND(Registro!D89="Abierto",Registro!E89="Urgente"),RANK(B90,$B$9:$B$1000,0)+COUNTIF($B$9:B90,B90)-1,"")</f>
        <v/>
      </c>
      <c r="D90" s="45" t="str">
        <f>IF(AND(Registro!D89="Abierto",Registro!E89="Alta"),Registro!B89,"")</f>
        <v/>
      </c>
      <c r="E90" s="45" t="str">
        <f ca="1">IF(AND(Registro!D89="Abierto",Registro!E89="Alta"),TODAY()-Registro!R89,"")</f>
        <v/>
      </c>
      <c r="F90" s="45" t="str">
        <f>IF(AND(Registro!D89="Abierto",Registro!E89="Alta"),RANK(E90,$E$9:$E$1000,0)+COUNTIF($E$9:E90,E90)-1+MAX(C$5:C$1000),"")</f>
        <v/>
      </c>
      <c r="G90" s="45" t="str">
        <f>IF(AND(Registro!D89="Abierto",Registro!E89="Media"),Registro!B89,"")</f>
        <v/>
      </c>
      <c r="H90" s="45" t="str">
        <f ca="1">IF(AND(Registro!D89="Abierto",Registro!E89="Media"),TODAY()-Registro!R89,"")</f>
        <v/>
      </c>
      <c r="I90" s="45" t="str">
        <f>IF(AND(Registro!D89="Abierto",Registro!E89="Media"),RANK(H90,$H$9:$H$1000,0)+COUNTIF($H$9:H90,H90)-1+MAX(C$5:C$1000,F$5:F$1000),"")</f>
        <v/>
      </c>
      <c r="J90" s="45" t="str">
        <f>IF(AND(Registro!D89="Abierto",Registro!E89="Baja"),Registro!B89,"")</f>
        <v/>
      </c>
      <c r="K90" s="45" t="str">
        <f ca="1">IF(AND(Registro!D89="Abierto",Registro!E89="Baja"),TODAY()-Registro!R89,"")</f>
        <v/>
      </c>
      <c r="L90" s="45" t="str">
        <f>IF(AND(Registro!D89="Abierto",Registro!E89="Baja"),RANK(K90,$K$9:$K$1000,0)+COUNTIF($K$9:K90,K90)-1+MAX(C$5:C$1000,F$5:F$1000,I$5:I$1000),"")</f>
        <v/>
      </c>
      <c r="M90" s="46" t="str">
        <f>IF(OR(Registro!D89="Resuelto",Registro!D89=""),"",SUM(C90,F90,I90,L90))</f>
        <v/>
      </c>
      <c r="N90" s="46" t="str">
        <f>IF(OR(Registro!D89="Resuelto",Registro!D89=""),"",SUM(B90,E90,H90,K90))</f>
        <v/>
      </c>
      <c r="O90" s="46" t="str">
        <f>IF(OR(Registro!D89="Resuelto",Registro!D89=""),"",_xlfn.CONCAT(A90,D90,G90,J90))</f>
        <v/>
      </c>
      <c r="P90" s="47">
        <v>82</v>
      </c>
      <c r="Q90" s="47" t="str">
        <f t="shared" ca="1" si="3"/>
        <v/>
      </c>
      <c r="R90" s="48" t="str">
        <f t="shared" ca="1" si="4"/>
        <v/>
      </c>
      <c r="S90" s="32"/>
      <c r="T90" s="32"/>
      <c r="U90" s="32"/>
      <c r="V90" s="32"/>
      <c r="W90" s="47" t="str">
        <f>IF(X90="","",MAX($W$5:W89)+1)</f>
        <v/>
      </c>
      <c r="X90" s="50" t="str">
        <f>IF(Registro!M89="","",IF(COUNTIF($X$8:X89,Registro!M89)=0,Registro!M89,""))</f>
        <v/>
      </c>
      <c r="Y90" s="50" t="str">
        <f t="shared" si="5"/>
        <v/>
      </c>
    </row>
    <row r="91" spans="1:25">
      <c r="A91" s="45" t="str">
        <f>IF(AND(Registro!D90="Abierto",Registro!E90="Urgente"),Registro!B90,"")</f>
        <v/>
      </c>
      <c r="B91" s="45" t="str">
        <f ca="1">IF(AND(Registro!D90="Abierto",Registro!E90="Urgente"),TODAY()-Registro!R90,"")</f>
        <v/>
      </c>
      <c r="C91" s="45" t="str">
        <f>IF(AND(Registro!D90="Abierto",Registro!E90="Urgente"),RANK(B91,$B$9:$B$1000,0)+COUNTIF($B$9:B91,B91)-1,"")</f>
        <v/>
      </c>
      <c r="D91" s="45" t="str">
        <f>IF(AND(Registro!D90="Abierto",Registro!E90="Alta"),Registro!B90,"")</f>
        <v/>
      </c>
      <c r="E91" s="45" t="str">
        <f ca="1">IF(AND(Registro!D90="Abierto",Registro!E90="Alta"),TODAY()-Registro!R90,"")</f>
        <v/>
      </c>
      <c r="F91" s="45" t="str">
        <f>IF(AND(Registro!D90="Abierto",Registro!E90="Alta"),RANK(E91,$E$9:$E$1000,0)+COUNTIF($E$9:E91,E91)-1+MAX(C$5:C$1000),"")</f>
        <v/>
      </c>
      <c r="G91" s="45" t="str">
        <f>IF(AND(Registro!D90="Abierto",Registro!E90="Media"),Registro!B90,"")</f>
        <v/>
      </c>
      <c r="H91" s="45" t="str">
        <f ca="1">IF(AND(Registro!D90="Abierto",Registro!E90="Media"),TODAY()-Registro!R90,"")</f>
        <v/>
      </c>
      <c r="I91" s="45" t="str">
        <f>IF(AND(Registro!D90="Abierto",Registro!E90="Media"),RANK(H91,$H$9:$H$1000,0)+COUNTIF($H$9:H91,H91)-1+MAX(C$5:C$1000,F$5:F$1000),"")</f>
        <v/>
      </c>
      <c r="J91" s="45" t="str">
        <f>IF(AND(Registro!D90="Abierto",Registro!E90="Baja"),Registro!B90,"")</f>
        <v/>
      </c>
      <c r="K91" s="45" t="str">
        <f ca="1">IF(AND(Registro!D90="Abierto",Registro!E90="Baja"),TODAY()-Registro!R90,"")</f>
        <v/>
      </c>
      <c r="L91" s="45" t="str">
        <f>IF(AND(Registro!D90="Abierto",Registro!E90="Baja"),RANK(K91,$K$9:$K$1000,0)+COUNTIF($K$9:K91,K91)-1+MAX(C$5:C$1000,F$5:F$1000,I$5:I$1000),"")</f>
        <v/>
      </c>
      <c r="M91" s="46" t="str">
        <f>IF(OR(Registro!D90="Resuelto",Registro!D90=""),"",SUM(C91,F91,I91,L91))</f>
        <v/>
      </c>
      <c r="N91" s="46" t="str">
        <f>IF(OR(Registro!D90="Resuelto",Registro!D90=""),"",SUM(B91,E91,H91,K91))</f>
        <v/>
      </c>
      <c r="O91" s="46" t="str">
        <f>IF(OR(Registro!D90="Resuelto",Registro!D90=""),"",_xlfn.CONCAT(A91,D91,G91,J91))</f>
        <v/>
      </c>
      <c r="P91" s="47">
        <v>83</v>
      </c>
      <c r="Q91" s="47" t="str">
        <f t="shared" ca="1" si="3"/>
        <v/>
      </c>
      <c r="R91" s="48" t="str">
        <f t="shared" ca="1" si="4"/>
        <v/>
      </c>
      <c r="S91" s="32"/>
      <c r="T91" s="32"/>
      <c r="U91" s="32"/>
      <c r="V91" s="32"/>
      <c r="W91" s="47" t="str">
        <f>IF(X91="","",MAX($W$5:W90)+1)</f>
        <v/>
      </c>
      <c r="X91" s="50" t="str">
        <f>IF(Registro!M90="","",IF(COUNTIF($X$8:X90,Registro!M90)=0,Registro!M90,""))</f>
        <v/>
      </c>
      <c r="Y91" s="50" t="str">
        <f t="shared" si="5"/>
        <v/>
      </c>
    </row>
    <row r="92" spans="1:25">
      <c r="A92" s="45" t="str">
        <f>IF(AND(Registro!D91="Abierto",Registro!E91="Urgente"),Registro!B91,"")</f>
        <v/>
      </c>
      <c r="B92" s="45" t="str">
        <f ca="1">IF(AND(Registro!D91="Abierto",Registro!E91="Urgente"),TODAY()-Registro!R91,"")</f>
        <v/>
      </c>
      <c r="C92" s="45" t="str">
        <f>IF(AND(Registro!D91="Abierto",Registro!E91="Urgente"),RANK(B92,$B$9:$B$1000,0)+COUNTIF($B$9:B92,B92)-1,"")</f>
        <v/>
      </c>
      <c r="D92" s="45" t="str">
        <f>IF(AND(Registro!D91="Abierto",Registro!E91="Alta"),Registro!B91,"")</f>
        <v/>
      </c>
      <c r="E92" s="45" t="str">
        <f ca="1">IF(AND(Registro!D91="Abierto",Registro!E91="Alta"),TODAY()-Registro!R91,"")</f>
        <v/>
      </c>
      <c r="F92" s="45" t="str">
        <f>IF(AND(Registro!D91="Abierto",Registro!E91="Alta"),RANK(E92,$E$9:$E$1000,0)+COUNTIF($E$9:E92,E92)-1+MAX(C$5:C$1000),"")</f>
        <v/>
      </c>
      <c r="G92" s="45" t="str">
        <f>IF(AND(Registro!D91="Abierto",Registro!E91="Media"),Registro!B91,"")</f>
        <v/>
      </c>
      <c r="H92" s="45" t="str">
        <f ca="1">IF(AND(Registro!D91="Abierto",Registro!E91="Media"),TODAY()-Registro!R91,"")</f>
        <v/>
      </c>
      <c r="I92" s="45" t="str">
        <f>IF(AND(Registro!D91="Abierto",Registro!E91="Media"),RANK(H92,$H$9:$H$1000,0)+COUNTIF($H$9:H92,H92)-1+MAX(C$5:C$1000,F$5:F$1000),"")</f>
        <v/>
      </c>
      <c r="J92" s="45" t="str">
        <f>IF(AND(Registro!D91="Abierto",Registro!E91="Baja"),Registro!B91,"")</f>
        <v/>
      </c>
      <c r="K92" s="45" t="str">
        <f ca="1">IF(AND(Registro!D91="Abierto",Registro!E91="Baja"),TODAY()-Registro!R91,"")</f>
        <v/>
      </c>
      <c r="L92" s="45" t="str">
        <f>IF(AND(Registro!D91="Abierto",Registro!E91="Baja"),RANK(K92,$K$9:$K$1000,0)+COUNTIF($K$9:K92,K92)-1+MAX(C$5:C$1000,F$5:F$1000,I$5:I$1000),"")</f>
        <v/>
      </c>
      <c r="M92" s="46" t="str">
        <f>IF(OR(Registro!D91="Resuelto",Registro!D91=""),"",SUM(C92,F92,I92,L92))</f>
        <v/>
      </c>
      <c r="N92" s="46" t="str">
        <f>IF(OR(Registro!D91="Resuelto",Registro!D91=""),"",SUM(B92,E92,H92,K92))</f>
        <v/>
      </c>
      <c r="O92" s="46" t="str">
        <f>IF(OR(Registro!D91="Resuelto",Registro!D91=""),"",_xlfn.CONCAT(A92,D92,G92,J92))</f>
        <v/>
      </c>
      <c r="P92" s="47">
        <v>84</v>
      </c>
      <c r="Q92" s="47" t="str">
        <f t="shared" ca="1" si="3"/>
        <v/>
      </c>
      <c r="R92" s="48" t="str">
        <f t="shared" ca="1" si="4"/>
        <v/>
      </c>
      <c r="S92" s="32"/>
      <c r="T92" s="32"/>
      <c r="U92" s="32"/>
      <c r="V92" s="32"/>
      <c r="W92" s="47" t="str">
        <f>IF(X92="","",MAX($W$5:W91)+1)</f>
        <v/>
      </c>
      <c r="X92" s="50" t="str">
        <f>IF(Registro!M91="","",IF(COUNTIF($X$8:X91,Registro!M91)=0,Registro!M91,""))</f>
        <v/>
      </c>
      <c r="Y92" s="50" t="str">
        <f t="shared" si="5"/>
        <v/>
      </c>
    </row>
    <row r="93" spans="1:25">
      <c r="A93" s="45" t="str">
        <f>IF(AND(Registro!D92="Abierto",Registro!E92="Urgente"),Registro!B92,"")</f>
        <v/>
      </c>
      <c r="B93" s="45" t="str">
        <f ca="1">IF(AND(Registro!D92="Abierto",Registro!E92="Urgente"),TODAY()-Registro!R92,"")</f>
        <v/>
      </c>
      <c r="C93" s="45" t="str">
        <f>IF(AND(Registro!D92="Abierto",Registro!E92="Urgente"),RANK(B93,$B$9:$B$1000,0)+COUNTIF($B$9:B93,B93)-1,"")</f>
        <v/>
      </c>
      <c r="D93" s="45" t="str">
        <f>IF(AND(Registro!D92="Abierto",Registro!E92="Alta"),Registro!B92,"")</f>
        <v/>
      </c>
      <c r="E93" s="45" t="str">
        <f ca="1">IF(AND(Registro!D92="Abierto",Registro!E92="Alta"),TODAY()-Registro!R92,"")</f>
        <v/>
      </c>
      <c r="F93" s="45" t="str">
        <f>IF(AND(Registro!D92="Abierto",Registro!E92="Alta"),RANK(E93,$E$9:$E$1000,0)+COUNTIF($E$9:E93,E93)-1+MAX(C$5:C$1000),"")</f>
        <v/>
      </c>
      <c r="G93" s="45" t="str">
        <f>IF(AND(Registro!D92="Abierto",Registro!E92="Media"),Registro!B92,"")</f>
        <v/>
      </c>
      <c r="H93" s="45" t="str">
        <f ca="1">IF(AND(Registro!D92="Abierto",Registro!E92="Media"),TODAY()-Registro!R92,"")</f>
        <v/>
      </c>
      <c r="I93" s="45" t="str">
        <f>IF(AND(Registro!D92="Abierto",Registro!E92="Media"),RANK(H93,$H$9:$H$1000,0)+COUNTIF($H$9:H93,H93)-1+MAX(C$5:C$1000,F$5:F$1000),"")</f>
        <v/>
      </c>
      <c r="J93" s="45" t="str">
        <f>IF(AND(Registro!D92="Abierto",Registro!E92="Baja"),Registro!B92,"")</f>
        <v/>
      </c>
      <c r="K93" s="45" t="str">
        <f ca="1">IF(AND(Registro!D92="Abierto",Registro!E92="Baja"),TODAY()-Registro!R92,"")</f>
        <v/>
      </c>
      <c r="L93" s="45" t="str">
        <f>IF(AND(Registro!D92="Abierto",Registro!E92="Baja"),RANK(K93,$K$9:$K$1000,0)+COUNTIF($K$9:K93,K93)-1+MAX(C$5:C$1000,F$5:F$1000,I$5:I$1000),"")</f>
        <v/>
      </c>
      <c r="M93" s="46" t="str">
        <f>IF(OR(Registro!D92="Resuelto",Registro!D92=""),"",SUM(C93,F93,I93,L93))</f>
        <v/>
      </c>
      <c r="N93" s="46" t="str">
        <f>IF(OR(Registro!D92="Resuelto",Registro!D92=""),"",SUM(B93,E93,H93,K93))</f>
        <v/>
      </c>
      <c r="O93" s="46" t="str">
        <f>IF(OR(Registro!D92="Resuelto",Registro!D92=""),"",_xlfn.CONCAT(A93,D93,G93,J93))</f>
        <v/>
      </c>
      <c r="P93" s="47">
        <v>85</v>
      </c>
      <c r="Q93" s="47" t="str">
        <f t="shared" ca="1" si="3"/>
        <v/>
      </c>
      <c r="R93" s="48" t="str">
        <f t="shared" ca="1" si="4"/>
        <v/>
      </c>
      <c r="S93" s="32"/>
      <c r="T93" s="32"/>
      <c r="U93" s="32"/>
      <c r="V93" s="32"/>
      <c r="W93" s="47" t="str">
        <f>IF(X93="","",MAX($W$5:W92)+1)</f>
        <v/>
      </c>
      <c r="X93" s="50" t="str">
        <f>IF(Registro!M92="","",IF(COUNTIF($X$8:X92,Registro!M92)=0,Registro!M92,""))</f>
        <v/>
      </c>
      <c r="Y93" s="50" t="str">
        <f t="shared" si="5"/>
        <v/>
      </c>
    </row>
    <row r="94" spans="1:25">
      <c r="A94" s="45" t="str">
        <f>IF(AND(Registro!D93="Abierto",Registro!E93="Urgente"),Registro!B93,"")</f>
        <v/>
      </c>
      <c r="B94" s="45" t="str">
        <f ca="1">IF(AND(Registro!D93="Abierto",Registro!E93="Urgente"),TODAY()-Registro!R93,"")</f>
        <v/>
      </c>
      <c r="C94" s="45" t="str">
        <f>IF(AND(Registro!D93="Abierto",Registro!E93="Urgente"),RANK(B94,$B$9:$B$1000,0)+COUNTIF($B$9:B94,B94)-1,"")</f>
        <v/>
      </c>
      <c r="D94" s="45" t="str">
        <f>IF(AND(Registro!D93="Abierto",Registro!E93="Alta"),Registro!B93,"")</f>
        <v/>
      </c>
      <c r="E94" s="45" t="str">
        <f ca="1">IF(AND(Registro!D93="Abierto",Registro!E93="Alta"),TODAY()-Registro!R93,"")</f>
        <v/>
      </c>
      <c r="F94" s="45" t="str">
        <f>IF(AND(Registro!D93="Abierto",Registro!E93="Alta"),RANK(E94,$E$9:$E$1000,0)+COUNTIF($E$9:E94,E94)-1+MAX(C$5:C$1000),"")</f>
        <v/>
      </c>
      <c r="G94" s="45" t="str">
        <f>IF(AND(Registro!D93="Abierto",Registro!E93="Media"),Registro!B93,"")</f>
        <v/>
      </c>
      <c r="H94" s="45" t="str">
        <f ca="1">IF(AND(Registro!D93="Abierto",Registro!E93="Media"),TODAY()-Registro!R93,"")</f>
        <v/>
      </c>
      <c r="I94" s="45" t="str">
        <f>IF(AND(Registro!D93="Abierto",Registro!E93="Media"),RANK(H94,$H$9:$H$1000,0)+COUNTIF($H$9:H94,H94)-1+MAX(C$5:C$1000,F$5:F$1000),"")</f>
        <v/>
      </c>
      <c r="J94" s="45" t="str">
        <f>IF(AND(Registro!D93="Abierto",Registro!E93="Baja"),Registro!B93,"")</f>
        <v/>
      </c>
      <c r="K94" s="45" t="str">
        <f ca="1">IF(AND(Registro!D93="Abierto",Registro!E93="Baja"),TODAY()-Registro!R93,"")</f>
        <v/>
      </c>
      <c r="L94" s="45" t="str">
        <f>IF(AND(Registro!D93="Abierto",Registro!E93="Baja"),RANK(K94,$K$9:$K$1000,0)+COUNTIF($K$9:K94,K94)-1+MAX(C$5:C$1000,F$5:F$1000,I$5:I$1000),"")</f>
        <v/>
      </c>
      <c r="M94" s="46" t="str">
        <f>IF(OR(Registro!D93="Resuelto",Registro!D93=""),"",SUM(C94,F94,I94,L94))</f>
        <v/>
      </c>
      <c r="N94" s="46" t="str">
        <f>IF(OR(Registro!D93="Resuelto",Registro!D93=""),"",SUM(B94,E94,H94,K94))</f>
        <v/>
      </c>
      <c r="O94" s="46" t="str">
        <f>IF(OR(Registro!D93="Resuelto",Registro!D93=""),"",_xlfn.CONCAT(A94,D94,G94,J94))</f>
        <v/>
      </c>
      <c r="P94" s="47">
        <v>86</v>
      </c>
      <c r="Q94" s="47" t="str">
        <f t="shared" ca="1" si="3"/>
        <v/>
      </c>
      <c r="R94" s="48" t="str">
        <f t="shared" ca="1" si="4"/>
        <v/>
      </c>
      <c r="S94" s="32"/>
      <c r="T94" s="32"/>
      <c r="U94" s="32"/>
      <c r="V94" s="32"/>
      <c r="W94" s="47" t="str">
        <f>IF(X94="","",MAX($W$5:W93)+1)</f>
        <v/>
      </c>
      <c r="X94" s="50" t="str">
        <f>IF(Registro!M93="","",IF(COUNTIF($X$8:X93,Registro!M93)=0,Registro!M93,""))</f>
        <v/>
      </c>
      <c r="Y94" s="50" t="str">
        <f t="shared" si="5"/>
        <v/>
      </c>
    </row>
    <row r="95" spans="1:25">
      <c r="A95" s="45" t="str">
        <f>IF(AND(Registro!D94="Abierto",Registro!E94="Urgente"),Registro!B94,"")</f>
        <v/>
      </c>
      <c r="B95" s="45" t="str">
        <f ca="1">IF(AND(Registro!D94="Abierto",Registro!E94="Urgente"),TODAY()-Registro!R94,"")</f>
        <v/>
      </c>
      <c r="C95" s="45" t="str">
        <f>IF(AND(Registro!D94="Abierto",Registro!E94="Urgente"),RANK(B95,$B$9:$B$1000,0)+COUNTIF($B$9:B95,B95)-1,"")</f>
        <v/>
      </c>
      <c r="D95" s="45" t="str">
        <f>IF(AND(Registro!D94="Abierto",Registro!E94="Alta"),Registro!B94,"")</f>
        <v/>
      </c>
      <c r="E95" s="45" t="str">
        <f ca="1">IF(AND(Registro!D94="Abierto",Registro!E94="Alta"),TODAY()-Registro!R94,"")</f>
        <v/>
      </c>
      <c r="F95" s="45" t="str">
        <f>IF(AND(Registro!D94="Abierto",Registro!E94="Alta"),RANK(E95,$E$9:$E$1000,0)+COUNTIF($E$9:E95,E95)-1+MAX(C$5:C$1000),"")</f>
        <v/>
      </c>
      <c r="G95" s="45" t="str">
        <f>IF(AND(Registro!D94="Abierto",Registro!E94="Media"),Registro!B94,"")</f>
        <v/>
      </c>
      <c r="H95" s="45" t="str">
        <f ca="1">IF(AND(Registro!D94="Abierto",Registro!E94="Media"),TODAY()-Registro!R94,"")</f>
        <v/>
      </c>
      <c r="I95" s="45" t="str">
        <f>IF(AND(Registro!D94="Abierto",Registro!E94="Media"),RANK(H95,$H$9:$H$1000,0)+COUNTIF($H$9:H95,H95)-1+MAX(C$5:C$1000,F$5:F$1000),"")</f>
        <v/>
      </c>
      <c r="J95" s="45" t="str">
        <f>IF(AND(Registro!D94="Abierto",Registro!E94="Baja"),Registro!B94,"")</f>
        <v/>
      </c>
      <c r="K95" s="45" t="str">
        <f ca="1">IF(AND(Registro!D94="Abierto",Registro!E94="Baja"),TODAY()-Registro!R94,"")</f>
        <v/>
      </c>
      <c r="L95" s="45" t="str">
        <f>IF(AND(Registro!D94="Abierto",Registro!E94="Baja"),RANK(K95,$K$9:$K$1000,0)+COUNTIF($K$9:K95,K95)-1+MAX(C$5:C$1000,F$5:F$1000,I$5:I$1000),"")</f>
        <v/>
      </c>
      <c r="M95" s="46" t="str">
        <f>IF(OR(Registro!D94="Resuelto",Registro!D94=""),"",SUM(C95,F95,I95,L95))</f>
        <v/>
      </c>
      <c r="N95" s="46" t="str">
        <f>IF(OR(Registro!D94="Resuelto",Registro!D94=""),"",SUM(B95,E95,H95,K95))</f>
        <v/>
      </c>
      <c r="O95" s="46" t="str">
        <f>IF(OR(Registro!D94="Resuelto",Registro!D94=""),"",_xlfn.CONCAT(A95,D95,G95,J95))</f>
        <v/>
      </c>
      <c r="P95" s="47">
        <v>87</v>
      </c>
      <c r="Q95" s="47" t="str">
        <f t="shared" ca="1" si="3"/>
        <v/>
      </c>
      <c r="R95" s="48" t="str">
        <f t="shared" ca="1" si="4"/>
        <v/>
      </c>
      <c r="S95" s="32"/>
      <c r="T95" s="32"/>
      <c r="U95" s="32"/>
      <c r="V95" s="32"/>
      <c r="W95" s="47" t="str">
        <f>IF(X95="","",MAX($W$5:W94)+1)</f>
        <v/>
      </c>
      <c r="X95" s="50" t="str">
        <f>IF(Registro!M94="","",IF(COUNTIF($X$8:X94,Registro!M94)=0,Registro!M94,""))</f>
        <v/>
      </c>
      <c r="Y95" s="50" t="str">
        <f t="shared" si="5"/>
        <v/>
      </c>
    </row>
    <row r="96" spans="1:25">
      <c r="A96" s="45" t="str">
        <f>IF(AND(Registro!D95="Abierto",Registro!E95="Urgente"),Registro!B95,"")</f>
        <v/>
      </c>
      <c r="B96" s="45" t="str">
        <f ca="1">IF(AND(Registro!D95="Abierto",Registro!E95="Urgente"),TODAY()-Registro!R95,"")</f>
        <v/>
      </c>
      <c r="C96" s="45" t="str">
        <f>IF(AND(Registro!D95="Abierto",Registro!E95="Urgente"),RANK(B96,$B$9:$B$1000,0)+COUNTIF($B$9:B96,B96)-1,"")</f>
        <v/>
      </c>
      <c r="D96" s="45" t="str">
        <f>IF(AND(Registro!D95="Abierto",Registro!E95="Alta"),Registro!B95,"")</f>
        <v/>
      </c>
      <c r="E96" s="45" t="str">
        <f ca="1">IF(AND(Registro!D95="Abierto",Registro!E95="Alta"),TODAY()-Registro!R95,"")</f>
        <v/>
      </c>
      <c r="F96" s="45" t="str">
        <f>IF(AND(Registro!D95="Abierto",Registro!E95="Alta"),RANK(E96,$E$9:$E$1000,0)+COUNTIF($E$9:E96,E96)-1+MAX(C$5:C$1000),"")</f>
        <v/>
      </c>
      <c r="G96" s="45" t="str">
        <f>IF(AND(Registro!D95="Abierto",Registro!E95="Media"),Registro!B95,"")</f>
        <v/>
      </c>
      <c r="H96" s="45" t="str">
        <f ca="1">IF(AND(Registro!D95="Abierto",Registro!E95="Media"),TODAY()-Registro!R95,"")</f>
        <v/>
      </c>
      <c r="I96" s="45" t="str">
        <f>IF(AND(Registro!D95="Abierto",Registro!E95="Media"),RANK(H96,$H$9:$H$1000,0)+COUNTIF($H$9:H96,H96)-1+MAX(C$5:C$1000,F$5:F$1000),"")</f>
        <v/>
      </c>
      <c r="J96" s="45" t="str">
        <f>IF(AND(Registro!D95="Abierto",Registro!E95="Baja"),Registro!B95,"")</f>
        <v>6234-PFIN-26</v>
      </c>
      <c r="K96" s="45">
        <f ca="1">IF(AND(Registro!D95="Abierto",Registro!E95="Baja"),TODAY()-Registro!R95,"")</f>
        <v>-39</v>
      </c>
      <c r="L96" s="45">
        <f ca="1">IF(AND(Registro!D95="Abierto",Registro!E95="Baja"),RANK(K96,$K$9:$K$1000,0)+COUNTIF($K$9:K96,K96)-1+MAX(C$5:C$1000,F$5:F$1000,I$5:I$1000),"")</f>
        <v>42</v>
      </c>
      <c r="M96" s="46">
        <f ca="1">IF(OR(Registro!D95="Resuelto",Registro!D95=""),"",SUM(C96,F96,I96,L96))</f>
        <v>42</v>
      </c>
      <c r="N96" s="46">
        <f ca="1">IF(OR(Registro!D95="Resuelto",Registro!D95=""),"",SUM(B96,E96,H96,K96))</f>
        <v>-39</v>
      </c>
      <c r="O96" s="46" t="str">
        <f>IF(OR(Registro!D95="Resuelto",Registro!D95=""),"",_xlfn.CONCAT(A96,D96,G96,J96))</f>
        <v>6234-PFIN-26</v>
      </c>
      <c r="P96" s="47">
        <v>88</v>
      </c>
      <c r="Q96" s="47" t="str">
        <f t="shared" ca="1" si="3"/>
        <v/>
      </c>
      <c r="R96" s="48" t="str">
        <f t="shared" ca="1" si="4"/>
        <v/>
      </c>
      <c r="S96" s="32"/>
      <c r="T96" s="32"/>
      <c r="U96" s="32"/>
      <c r="V96" s="32"/>
      <c r="W96" s="47" t="str">
        <f>IF(X96="","",MAX($W$5:W95)+1)</f>
        <v/>
      </c>
      <c r="X96" s="50" t="str">
        <f>IF(Registro!M95="","",IF(COUNTIF($X$8:X95,Registro!M95)=0,Registro!M95,""))</f>
        <v/>
      </c>
      <c r="Y96" s="50" t="str">
        <f t="shared" si="5"/>
        <v/>
      </c>
    </row>
    <row r="97" spans="1:25">
      <c r="A97" s="45" t="str">
        <f>IF(AND(Registro!D96="Abierto",Registro!E96="Urgente"),Registro!B96,"")</f>
        <v/>
      </c>
      <c r="B97" s="45" t="str">
        <f ca="1">IF(AND(Registro!D96="Abierto",Registro!E96="Urgente"),TODAY()-Registro!R96,"")</f>
        <v/>
      </c>
      <c r="C97" s="45" t="str">
        <f>IF(AND(Registro!D96="Abierto",Registro!E96="Urgente"),RANK(B97,$B$9:$B$1000,0)+COUNTIF($B$9:B97,B97)-1,"")</f>
        <v/>
      </c>
      <c r="D97" s="45" t="str">
        <f>IF(AND(Registro!D96="Abierto",Registro!E96="Alta"),Registro!B96,"")</f>
        <v/>
      </c>
      <c r="E97" s="45" t="str">
        <f ca="1">IF(AND(Registro!D96="Abierto",Registro!E96="Alta"),TODAY()-Registro!R96,"")</f>
        <v/>
      </c>
      <c r="F97" s="45" t="str">
        <f>IF(AND(Registro!D96="Abierto",Registro!E96="Alta"),RANK(E97,$E$9:$E$1000,0)+COUNTIF($E$9:E97,E97)-1+MAX(C$5:C$1000),"")</f>
        <v/>
      </c>
      <c r="G97" s="45" t="str">
        <f>IF(AND(Registro!D96="Abierto",Registro!E96="Media"),Registro!B96,"")</f>
        <v/>
      </c>
      <c r="H97" s="45" t="str">
        <f ca="1">IF(AND(Registro!D96="Abierto",Registro!E96="Media"),TODAY()-Registro!R96,"")</f>
        <v/>
      </c>
      <c r="I97" s="45" t="str">
        <f>IF(AND(Registro!D96="Abierto",Registro!E96="Media"),RANK(H97,$H$9:$H$1000,0)+COUNTIF($H$9:H97,H97)-1+MAX(C$5:C$1000,F$5:F$1000),"")</f>
        <v/>
      </c>
      <c r="J97" s="45" t="str">
        <f>IF(AND(Registro!D96="Abierto",Registro!E96="Baja"),Registro!B96,"")</f>
        <v/>
      </c>
      <c r="K97" s="45" t="str">
        <f ca="1">IF(AND(Registro!D96="Abierto",Registro!E96="Baja"),TODAY()-Registro!R96,"")</f>
        <v/>
      </c>
      <c r="L97" s="45" t="str">
        <f>IF(AND(Registro!D96="Abierto",Registro!E96="Baja"),RANK(K97,$K$9:$K$1000,0)+COUNTIF($K$9:K97,K97)-1+MAX(C$5:C$1000,F$5:F$1000,I$5:I$1000),"")</f>
        <v/>
      </c>
      <c r="M97" s="46" t="str">
        <f>IF(OR(Registro!D96="Resuelto",Registro!D96=""),"",SUM(C97,F97,I97,L97))</f>
        <v/>
      </c>
      <c r="N97" s="46" t="str">
        <f>IF(OR(Registro!D96="Resuelto",Registro!D96=""),"",SUM(B97,E97,H97,K97))</f>
        <v/>
      </c>
      <c r="O97" s="46" t="str">
        <f>IF(OR(Registro!D96="Resuelto",Registro!D96=""),"",_xlfn.CONCAT(A97,D97,G97,J97))</f>
        <v/>
      </c>
      <c r="P97" s="47">
        <v>89</v>
      </c>
      <c r="Q97" s="47" t="str">
        <f t="shared" ca="1" si="3"/>
        <v/>
      </c>
      <c r="R97" s="48" t="str">
        <f t="shared" ca="1" si="4"/>
        <v/>
      </c>
      <c r="S97" s="32"/>
      <c r="T97" s="32"/>
      <c r="U97" s="32"/>
      <c r="V97" s="32"/>
      <c r="W97" s="47" t="str">
        <f>IF(X97="","",MAX($W$5:W96)+1)</f>
        <v/>
      </c>
      <c r="X97" s="50" t="str">
        <f>IF(Registro!M96="","",IF(COUNTIF($X$8:X96,Registro!M96)=0,Registro!M96,""))</f>
        <v/>
      </c>
      <c r="Y97" s="50" t="str">
        <f t="shared" si="5"/>
        <v/>
      </c>
    </row>
    <row r="98" spans="1:25">
      <c r="A98" s="45" t="str">
        <f>IF(AND(Registro!D97="Abierto",Registro!E97="Urgente"),Registro!B97,"")</f>
        <v/>
      </c>
      <c r="B98" s="45" t="str">
        <f ca="1">IF(AND(Registro!D97="Abierto",Registro!E97="Urgente"),TODAY()-Registro!R97,"")</f>
        <v/>
      </c>
      <c r="C98" s="45" t="str">
        <f>IF(AND(Registro!D97="Abierto",Registro!E97="Urgente"),RANK(B98,$B$9:$B$1000,0)+COUNTIF($B$9:B98,B98)-1,"")</f>
        <v/>
      </c>
      <c r="D98" s="45" t="str">
        <f>IF(AND(Registro!D97="Abierto",Registro!E97="Alta"),Registro!B97,"")</f>
        <v/>
      </c>
      <c r="E98" s="45" t="str">
        <f ca="1">IF(AND(Registro!D97="Abierto",Registro!E97="Alta"),TODAY()-Registro!R97,"")</f>
        <v/>
      </c>
      <c r="F98" s="45" t="str">
        <f>IF(AND(Registro!D97="Abierto",Registro!E97="Alta"),RANK(E98,$E$9:$E$1000,0)+COUNTIF($E$9:E98,E98)-1+MAX(C$5:C$1000),"")</f>
        <v/>
      </c>
      <c r="G98" s="45" t="str">
        <f>IF(AND(Registro!D97="Abierto",Registro!E97="Media"),Registro!B97,"")</f>
        <v/>
      </c>
      <c r="H98" s="45" t="str">
        <f ca="1">IF(AND(Registro!D97="Abierto",Registro!E97="Media"),TODAY()-Registro!R97,"")</f>
        <v/>
      </c>
      <c r="I98" s="45" t="str">
        <f>IF(AND(Registro!D97="Abierto",Registro!E97="Media"),RANK(H98,$H$9:$H$1000,0)+COUNTIF($H$9:H98,H98)-1+MAX(C$5:C$1000,F$5:F$1000),"")</f>
        <v/>
      </c>
      <c r="J98" s="45" t="str">
        <f>IF(AND(Registro!D97="Abierto",Registro!E97="Baja"),Registro!B97,"")</f>
        <v/>
      </c>
      <c r="K98" s="45" t="str">
        <f ca="1">IF(AND(Registro!D97="Abierto",Registro!E97="Baja"),TODAY()-Registro!R97,"")</f>
        <v/>
      </c>
      <c r="L98" s="45" t="str">
        <f>IF(AND(Registro!D97="Abierto",Registro!E97="Baja"),RANK(K98,$K$9:$K$1000,0)+COUNTIF($K$9:K98,K98)-1+MAX(C$5:C$1000,F$5:F$1000,I$5:I$1000),"")</f>
        <v/>
      </c>
      <c r="M98" s="46" t="str">
        <f>IF(OR(Registro!D97="Resuelto",Registro!D97=""),"",SUM(C98,F98,I98,L98))</f>
        <v/>
      </c>
      <c r="N98" s="46" t="str">
        <f>IF(OR(Registro!D97="Resuelto",Registro!D97=""),"",SUM(B98,E98,H98,K98))</f>
        <v/>
      </c>
      <c r="O98" s="46" t="str">
        <f>IF(OR(Registro!D97="Resuelto",Registro!D97=""),"",_xlfn.CONCAT(A98,D98,G98,J98))</f>
        <v/>
      </c>
      <c r="P98" s="47">
        <v>90</v>
      </c>
      <c r="Q98" s="47" t="str">
        <f t="shared" ca="1" si="3"/>
        <v/>
      </c>
      <c r="R98" s="48" t="str">
        <f t="shared" ca="1" si="4"/>
        <v/>
      </c>
      <c r="S98" s="32"/>
      <c r="T98" s="32"/>
      <c r="U98" s="32"/>
      <c r="V98" s="32"/>
      <c r="W98" s="47" t="str">
        <f>IF(X98="","",MAX($W$5:W97)+1)</f>
        <v/>
      </c>
      <c r="X98" s="50" t="str">
        <f>IF(Registro!M97="","",IF(COUNTIF($X$8:X97,Registro!M97)=0,Registro!M97,""))</f>
        <v/>
      </c>
      <c r="Y98" s="50" t="str">
        <f t="shared" si="5"/>
        <v/>
      </c>
    </row>
    <row r="99" spans="1:25">
      <c r="A99" s="45" t="str">
        <f>IF(AND(Registro!D98="Abierto",Registro!E98="Urgente"),Registro!B98,"")</f>
        <v/>
      </c>
      <c r="B99" s="45" t="str">
        <f ca="1">IF(AND(Registro!D98="Abierto",Registro!E98="Urgente"),TODAY()-Registro!R98,"")</f>
        <v/>
      </c>
      <c r="C99" s="45" t="str">
        <f>IF(AND(Registro!D98="Abierto",Registro!E98="Urgente"),RANK(B99,$B$9:$B$1000,0)+COUNTIF($B$9:B99,B99)-1,"")</f>
        <v/>
      </c>
      <c r="D99" s="45" t="str">
        <f>IF(AND(Registro!D98="Abierto",Registro!E98="Alta"),Registro!B98,"")</f>
        <v/>
      </c>
      <c r="E99" s="45" t="str">
        <f ca="1">IF(AND(Registro!D98="Abierto",Registro!E98="Alta"),TODAY()-Registro!R98,"")</f>
        <v/>
      </c>
      <c r="F99" s="45" t="str">
        <f>IF(AND(Registro!D98="Abierto",Registro!E98="Alta"),RANK(E99,$E$9:$E$1000,0)+COUNTIF($E$9:E99,E99)-1+MAX(C$5:C$1000),"")</f>
        <v/>
      </c>
      <c r="G99" s="45" t="str">
        <f>IF(AND(Registro!D98="Abierto",Registro!E98="Media"),Registro!B98,"")</f>
        <v/>
      </c>
      <c r="H99" s="45" t="str">
        <f ca="1">IF(AND(Registro!D98="Abierto",Registro!E98="Media"),TODAY()-Registro!R98,"")</f>
        <v/>
      </c>
      <c r="I99" s="45" t="str">
        <f>IF(AND(Registro!D98="Abierto",Registro!E98="Media"),RANK(H99,$H$9:$H$1000,0)+COUNTIF($H$9:H99,H99)-1+MAX(C$5:C$1000,F$5:F$1000),"")</f>
        <v/>
      </c>
      <c r="J99" s="45" t="str">
        <f>IF(AND(Registro!D98="Abierto",Registro!E98="Baja"),Registro!B98,"")</f>
        <v>6384-PFIN-26</v>
      </c>
      <c r="K99" s="45">
        <f ca="1">IF(AND(Registro!D98="Abierto",Registro!E98="Baja"),TODAY()-Registro!R98,"")</f>
        <v>46310</v>
      </c>
      <c r="L99" s="45">
        <f ca="1">IF(AND(Registro!D98="Abierto",Registro!E98="Baja"),RANK(K99,$K$9:$K$1000,0)+COUNTIF($K$9:K99,K99)-1+MAX(C$5:C$1000,F$5:F$1000,I$5:I$1000),"")</f>
        <v>22</v>
      </c>
      <c r="M99" s="46">
        <f ca="1">IF(OR(Registro!D98="Resuelto",Registro!D98=""),"",SUM(C99,F99,I99,L99))</f>
        <v>22</v>
      </c>
      <c r="N99" s="46">
        <f ca="1">IF(OR(Registro!D98="Resuelto",Registro!D98=""),"",SUM(B99,E99,H99,K99))</f>
        <v>46310</v>
      </c>
      <c r="O99" s="46" t="str">
        <f>IF(OR(Registro!D98="Resuelto",Registro!D98=""),"",_xlfn.CONCAT(A99,D99,G99,J99))</f>
        <v>6384-PFIN-26</v>
      </c>
      <c r="P99" s="47">
        <v>91</v>
      </c>
      <c r="Q99" s="47" t="str">
        <f t="shared" ca="1" si="3"/>
        <v/>
      </c>
      <c r="R99" s="48" t="str">
        <f t="shared" ca="1" si="4"/>
        <v/>
      </c>
      <c r="S99" s="32"/>
      <c r="T99" s="32"/>
      <c r="U99" s="32"/>
      <c r="V99" s="32"/>
      <c r="W99" s="47" t="str">
        <f>IF(X99="","",MAX($W$5:W98)+1)</f>
        <v/>
      </c>
      <c r="X99" s="50" t="str">
        <f>IF(Registro!M98="","",IF(COUNTIF($X$8:X98,Registro!M98)=0,Registro!M98,""))</f>
        <v/>
      </c>
      <c r="Y99" s="50" t="str">
        <f t="shared" si="5"/>
        <v/>
      </c>
    </row>
    <row r="100" spans="1:25">
      <c r="A100" s="45" t="str">
        <f>IF(AND(Registro!D99="Abierto",Registro!E99="Urgente"),Registro!B99,"")</f>
        <v/>
      </c>
      <c r="B100" s="45" t="str">
        <f ca="1">IF(AND(Registro!D99="Abierto",Registro!E99="Urgente"),TODAY()-Registro!R99,"")</f>
        <v/>
      </c>
      <c r="C100" s="45" t="str">
        <f>IF(AND(Registro!D99="Abierto",Registro!E99="Urgente"),RANK(B100,$B$9:$B$1000,0)+COUNTIF($B$9:B100,B100)-1,"")</f>
        <v/>
      </c>
      <c r="D100" s="45" t="str">
        <f>IF(AND(Registro!D99="Abierto",Registro!E99="Alta"),Registro!B99,"")</f>
        <v/>
      </c>
      <c r="E100" s="45" t="str">
        <f ca="1">IF(AND(Registro!D99="Abierto",Registro!E99="Alta"),TODAY()-Registro!R99,"")</f>
        <v/>
      </c>
      <c r="F100" s="45" t="str">
        <f>IF(AND(Registro!D99="Abierto",Registro!E99="Alta"),RANK(E100,$E$9:$E$1000,0)+COUNTIF($E$9:E100,E100)-1+MAX(C$5:C$1000),"")</f>
        <v/>
      </c>
      <c r="G100" s="45" t="str">
        <f>IF(AND(Registro!D99="Abierto",Registro!E99="Media"),Registro!B99,"")</f>
        <v/>
      </c>
      <c r="H100" s="45" t="str">
        <f ca="1">IF(AND(Registro!D99="Abierto",Registro!E99="Media"),TODAY()-Registro!R99,"")</f>
        <v/>
      </c>
      <c r="I100" s="45" t="str">
        <f>IF(AND(Registro!D99="Abierto",Registro!E99="Media"),RANK(H100,$H$9:$H$1000,0)+COUNTIF($H$9:H100,H100)-1+MAX(C$5:C$1000,F$5:F$1000),"")</f>
        <v/>
      </c>
      <c r="J100" s="45" t="str">
        <f>IF(AND(Registro!D99="Abierto",Registro!E99="Baja"),Registro!B99,"")</f>
        <v/>
      </c>
      <c r="K100" s="45" t="str">
        <f ca="1">IF(AND(Registro!D99="Abierto",Registro!E99="Baja"),TODAY()-Registro!R99,"")</f>
        <v/>
      </c>
      <c r="L100" s="45" t="str">
        <f>IF(AND(Registro!D99="Abierto",Registro!E99="Baja"),RANK(K100,$K$9:$K$1000,0)+COUNTIF($K$9:K100,K100)-1+MAX(C$5:C$1000,F$5:F$1000,I$5:I$1000),"")</f>
        <v/>
      </c>
      <c r="M100" s="46">
        <f>IF(OR(Registro!D99="Resuelto",Registro!D99=""),"",SUM(C100,F100,I100,L100))</f>
        <v>0</v>
      </c>
      <c r="N100" s="46">
        <f ca="1">IF(OR(Registro!D99="Resuelto",Registro!D99=""),"",SUM(B100,E100,H100,K100))</f>
        <v>0</v>
      </c>
      <c r="O100" s="46" t="str">
        <f>IF(OR(Registro!D99="Resuelto",Registro!D99=""),"",_xlfn.CONCAT(A100,D100,G100,J100))</f>
        <v/>
      </c>
      <c r="P100" s="47">
        <v>92</v>
      </c>
      <c r="Q100" s="47" t="str">
        <f t="shared" ca="1" si="3"/>
        <v/>
      </c>
      <c r="R100" s="48" t="str">
        <f t="shared" ca="1" si="4"/>
        <v/>
      </c>
      <c r="S100" s="32"/>
      <c r="T100" s="32"/>
      <c r="U100" s="32"/>
      <c r="V100" s="32"/>
      <c r="W100" s="47" t="str">
        <f>IF(X100="","",MAX($W$5:W99)+1)</f>
        <v/>
      </c>
      <c r="X100" s="50" t="str">
        <f>IF(Registro!M99="","",IF(COUNTIF($X$8:X99,Registro!M99)=0,Registro!M99,""))</f>
        <v/>
      </c>
      <c r="Y100" s="50" t="str">
        <f t="shared" si="5"/>
        <v/>
      </c>
    </row>
    <row r="101" spans="1:25">
      <c r="A101" s="45" t="str">
        <f>IF(AND(Registro!D100="Abierto",Registro!E100="Urgente"),Registro!B100,"")</f>
        <v/>
      </c>
      <c r="B101" s="45" t="str">
        <f ca="1">IF(AND(Registro!D100="Abierto",Registro!E100="Urgente"),TODAY()-Registro!R100,"")</f>
        <v/>
      </c>
      <c r="C101" s="45" t="str">
        <f>IF(AND(Registro!D100="Abierto",Registro!E100="Urgente"),RANK(B101,$B$9:$B$1000,0)+COUNTIF($B$9:B101,B101)-1,"")</f>
        <v/>
      </c>
      <c r="D101" s="45" t="str">
        <f>IF(AND(Registro!D100="Abierto",Registro!E100="Alta"),Registro!B100,"")</f>
        <v/>
      </c>
      <c r="E101" s="45" t="str">
        <f ca="1">IF(AND(Registro!D100="Abierto",Registro!E100="Alta"),TODAY()-Registro!R100,"")</f>
        <v/>
      </c>
      <c r="F101" s="45" t="str">
        <f>IF(AND(Registro!D100="Abierto",Registro!E100="Alta"),RANK(E101,$E$9:$E$1000,0)+COUNTIF($E$9:E101,E101)-1+MAX(C$5:C$1000),"")</f>
        <v/>
      </c>
      <c r="G101" s="45" t="str">
        <f>IF(AND(Registro!D100="Abierto",Registro!E100="Media"),Registro!B100,"")</f>
        <v/>
      </c>
      <c r="H101" s="45" t="str">
        <f ca="1">IF(AND(Registro!D100="Abierto",Registro!E100="Media"),TODAY()-Registro!R100,"")</f>
        <v/>
      </c>
      <c r="I101" s="45" t="str">
        <f>IF(AND(Registro!D100="Abierto",Registro!E100="Media"),RANK(H101,$H$9:$H$1000,0)+COUNTIF($H$9:H101,H101)-1+MAX(C$5:C$1000,F$5:F$1000),"")</f>
        <v/>
      </c>
      <c r="J101" s="45" t="str">
        <f>IF(AND(Registro!D100="Abierto",Registro!E100="Baja"),Registro!B100,"")</f>
        <v/>
      </c>
      <c r="K101" s="45" t="str">
        <f ca="1">IF(AND(Registro!D100="Abierto",Registro!E100="Baja"),TODAY()-Registro!R100,"")</f>
        <v/>
      </c>
      <c r="L101" s="45" t="str">
        <f>IF(AND(Registro!D100="Abierto",Registro!E100="Baja"),RANK(K101,$K$9:$K$1000,0)+COUNTIF($K$9:K101,K101)-1+MAX(C$5:C$1000,F$5:F$1000,I$5:I$1000),"")</f>
        <v/>
      </c>
      <c r="M101" s="46" t="str">
        <f>IF(OR(Registro!D100="Resuelto",Registro!D100=""),"",SUM(C101,F101,I101,L101))</f>
        <v/>
      </c>
      <c r="N101" s="46" t="str">
        <f>IF(OR(Registro!D100="Resuelto",Registro!D100=""),"",SUM(B101,E101,H101,K101))</f>
        <v/>
      </c>
      <c r="O101" s="46" t="str">
        <f>IF(OR(Registro!D100="Resuelto",Registro!D100=""),"",_xlfn.CONCAT(A101,D101,G101,J101))</f>
        <v/>
      </c>
      <c r="P101" s="47">
        <v>93</v>
      </c>
      <c r="Q101" s="47" t="str">
        <f t="shared" ca="1" si="3"/>
        <v/>
      </c>
      <c r="R101" s="48" t="str">
        <f t="shared" ca="1" si="4"/>
        <v/>
      </c>
      <c r="S101" s="32"/>
      <c r="T101" s="32"/>
      <c r="U101" s="32"/>
      <c r="V101" s="32"/>
      <c r="W101" s="47" t="str">
        <f>IF(X101="","",MAX($W$5:W100)+1)</f>
        <v/>
      </c>
      <c r="X101" s="50" t="str">
        <f>IF(Registro!M100="","",IF(COUNTIF($X$8:X100,Registro!M100)=0,Registro!M100,""))</f>
        <v/>
      </c>
      <c r="Y101" s="50" t="str">
        <f t="shared" si="5"/>
        <v/>
      </c>
    </row>
    <row r="102" spans="1:25">
      <c r="A102" s="45" t="str">
        <f>IF(AND(Registro!D101="Abierto",Registro!E101="Urgente"),Registro!B101,"")</f>
        <v/>
      </c>
      <c r="B102" s="45" t="str">
        <f ca="1">IF(AND(Registro!D101="Abierto",Registro!E101="Urgente"),TODAY()-Registro!R101,"")</f>
        <v/>
      </c>
      <c r="C102" s="45" t="str">
        <f>IF(AND(Registro!D101="Abierto",Registro!E101="Urgente"),RANK(B102,$B$9:$B$1000,0)+COUNTIF($B$9:B102,B102)-1,"")</f>
        <v/>
      </c>
      <c r="D102" s="45" t="str">
        <f>IF(AND(Registro!D101="Abierto",Registro!E101="Alta"),Registro!B101,"")</f>
        <v/>
      </c>
      <c r="E102" s="45" t="str">
        <f ca="1">IF(AND(Registro!D101="Abierto",Registro!E101="Alta"),TODAY()-Registro!R101,"")</f>
        <v/>
      </c>
      <c r="F102" s="45" t="str">
        <f>IF(AND(Registro!D101="Abierto",Registro!E101="Alta"),RANK(E102,$E$9:$E$1000,0)+COUNTIF($E$9:E102,E102)-1+MAX(C$5:C$1000),"")</f>
        <v/>
      </c>
      <c r="G102" s="45" t="str">
        <f>IF(AND(Registro!D101="Abierto",Registro!E101="Media"),Registro!B101,"")</f>
        <v/>
      </c>
      <c r="H102" s="45" t="str">
        <f ca="1">IF(AND(Registro!D101="Abierto",Registro!E101="Media"),TODAY()-Registro!R101,"")</f>
        <v/>
      </c>
      <c r="I102" s="45" t="str">
        <f>IF(AND(Registro!D101="Abierto",Registro!E101="Media"),RANK(H102,$H$9:$H$1000,0)+COUNTIF($H$9:H102,H102)-1+MAX(C$5:C$1000,F$5:F$1000),"")</f>
        <v/>
      </c>
      <c r="J102" s="45" t="str">
        <f>IF(AND(Registro!D101="Abierto",Registro!E101="Baja"),Registro!B101,"")</f>
        <v/>
      </c>
      <c r="K102" s="45" t="str">
        <f ca="1">IF(AND(Registro!D101="Abierto",Registro!E101="Baja"),TODAY()-Registro!R101,"")</f>
        <v/>
      </c>
      <c r="L102" s="45" t="str">
        <f>IF(AND(Registro!D101="Abierto",Registro!E101="Baja"),RANK(K102,$K$9:$K$1000,0)+COUNTIF($K$9:K102,K102)-1+MAX(C$5:C$1000,F$5:F$1000,I$5:I$1000),"")</f>
        <v/>
      </c>
      <c r="M102" s="46" t="str">
        <f>IF(OR(Registro!D101="Resuelto",Registro!D101=""),"",SUM(C102,F102,I102,L102))</f>
        <v/>
      </c>
      <c r="N102" s="46" t="str">
        <f>IF(OR(Registro!D101="Resuelto",Registro!D101=""),"",SUM(B102,E102,H102,K102))</f>
        <v/>
      </c>
      <c r="O102" s="46" t="str">
        <f>IF(OR(Registro!D101="Resuelto",Registro!D101=""),"",_xlfn.CONCAT(A102,D102,G102,J102))</f>
        <v/>
      </c>
      <c r="P102" s="47">
        <v>94</v>
      </c>
      <c r="Q102" s="47" t="str">
        <f t="shared" ca="1" si="3"/>
        <v/>
      </c>
      <c r="R102" s="48" t="str">
        <f t="shared" ca="1" si="4"/>
        <v/>
      </c>
      <c r="S102" s="32"/>
      <c r="T102" s="32"/>
      <c r="U102" s="32"/>
      <c r="V102" s="32"/>
      <c r="W102" s="47" t="str">
        <f>IF(X102="","",MAX($W$5:W101)+1)</f>
        <v/>
      </c>
      <c r="X102" s="50" t="str">
        <f>IF(Registro!M101="","",IF(COUNTIF($X$8:X101,Registro!M101)=0,Registro!M101,""))</f>
        <v/>
      </c>
      <c r="Y102" s="50" t="str">
        <f t="shared" si="5"/>
        <v/>
      </c>
    </row>
    <row r="103" spans="1:25">
      <c r="A103" s="45" t="str">
        <f>IF(AND(Registro!D102="Abierto",Registro!E102="Urgente"),Registro!B102,"")</f>
        <v/>
      </c>
      <c r="B103" s="45" t="str">
        <f ca="1">IF(AND(Registro!D102="Abierto",Registro!E102="Urgente"),TODAY()-Registro!R102,"")</f>
        <v/>
      </c>
      <c r="C103" s="45" t="str">
        <f>IF(AND(Registro!D102="Abierto",Registro!E102="Urgente"),RANK(B103,$B$9:$B$1000,0)+COUNTIF($B$9:B103,B103)-1,"")</f>
        <v/>
      </c>
      <c r="D103" s="45" t="str">
        <f>IF(AND(Registro!D102="Abierto",Registro!E102="Alta"),Registro!B102,"")</f>
        <v/>
      </c>
      <c r="E103" s="45" t="str">
        <f ca="1">IF(AND(Registro!D102="Abierto",Registro!E102="Alta"),TODAY()-Registro!R102,"")</f>
        <v/>
      </c>
      <c r="F103" s="45" t="str">
        <f>IF(AND(Registro!D102="Abierto",Registro!E102="Alta"),RANK(E103,$E$9:$E$1000,0)+COUNTIF($E$9:E103,E103)-1+MAX(C$5:C$1000),"")</f>
        <v/>
      </c>
      <c r="G103" s="45" t="str">
        <f>IF(AND(Registro!D102="Abierto",Registro!E102="Media"),Registro!B102,"")</f>
        <v/>
      </c>
      <c r="H103" s="45" t="str">
        <f ca="1">IF(AND(Registro!D102="Abierto",Registro!E102="Media"),TODAY()-Registro!R102,"")</f>
        <v/>
      </c>
      <c r="I103" s="45" t="str">
        <f>IF(AND(Registro!D102="Abierto",Registro!E102="Media"),RANK(H103,$H$9:$H$1000,0)+COUNTIF($H$9:H103,H103)-1+MAX(C$5:C$1000,F$5:F$1000),"")</f>
        <v/>
      </c>
      <c r="J103" s="45" t="str">
        <f>IF(AND(Registro!D102="Abierto",Registro!E102="Baja"),Registro!B102,"")</f>
        <v/>
      </c>
      <c r="K103" s="45" t="str">
        <f ca="1">IF(AND(Registro!D102="Abierto",Registro!E102="Baja"),TODAY()-Registro!R102,"")</f>
        <v/>
      </c>
      <c r="L103" s="45" t="str">
        <f>IF(AND(Registro!D102="Abierto",Registro!E102="Baja"),RANK(K103,$K$9:$K$1000,0)+COUNTIF($K$9:K103,K103)-1+MAX(C$5:C$1000,F$5:F$1000,I$5:I$1000),"")</f>
        <v/>
      </c>
      <c r="M103" s="46" t="str">
        <f>IF(OR(Registro!D102="Resuelto",Registro!D102=""),"",SUM(C103,F103,I103,L103))</f>
        <v/>
      </c>
      <c r="N103" s="46" t="str">
        <f>IF(OR(Registro!D102="Resuelto",Registro!D102=""),"",SUM(B103,E103,H103,K103))</f>
        <v/>
      </c>
      <c r="O103" s="46" t="str">
        <f>IF(OR(Registro!D102="Resuelto",Registro!D102=""),"",_xlfn.CONCAT(A103,D103,G103,J103))</f>
        <v/>
      </c>
      <c r="P103" s="47">
        <v>95</v>
      </c>
      <c r="Q103" s="47" t="str">
        <f t="shared" ca="1" si="3"/>
        <v/>
      </c>
      <c r="R103" s="48" t="str">
        <f t="shared" ca="1" si="4"/>
        <v/>
      </c>
      <c r="S103" s="32"/>
      <c r="T103" s="32"/>
      <c r="U103" s="32"/>
      <c r="V103" s="32"/>
      <c r="W103" s="47" t="str">
        <f>IF(X103="","",MAX($W$5:W102)+1)</f>
        <v/>
      </c>
      <c r="X103" s="50" t="str">
        <f>IF(Registro!M102="","",IF(COUNTIF($X$8:X102,Registro!M102)=0,Registro!M102,""))</f>
        <v/>
      </c>
      <c r="Y103" s="50" t="str">
        <f t="shared" si="5"/>
        <v/>
      </c>
    </row>
    <row r="104" spans="1:25">
      <c r="A104" s="45" t="str">
        <f>IF(AND(Registro!D103="Abierto",Registro!E103="Urgente"),Registro!B103,"")</f>
        <v/>
      </c>
      <c r="B104" s="45" t="str">
        <f ca="1">IF(AND(Registro!D103="Abierto",Registro!E103="Urgente"),TODAY()-Registro!R103,"")</f>
        <v/>
      </c>
      <c r="C104" s="45" t="str">
        <f>IF(AND(Registro!D103="Abierto",Registro!E103="Urgente"),RANK(B104,$B$9:$B$1000,0)+COUNTIF($B$9:B104,B104)-1,"")</f>
        <v/>
      </c>
      <c r="D104" s="45" t="str">
        <f>IF(AND(Registro!D103="Abierto",Registro!E103="Alta"),Registro!B103,"")</f>
        <v/>
      </c>
      <c r="E104" s="45" t="str">
        <f ca="1">IF(AND(Registro!D103="Abierto",Registro!E103="Alta"),TODAY()-Registro!R103,"")</f>
        <v/>
      </c>
      <c r="F104" s="45" t="str">
        <f>IF(AND(Registro!D103="Abierto",Registro!E103="Alta"),RANK(E104,$E$9:$E$1000,0)+COUNTIF($E$9:E104,E104)-1+MAX(C$5:C$1000),"")</f>
        <v/>
      </c>
      <c r="G104" s="45" t="str">
        <f>IF(AND(Registro!D103="Abierto",Registro!E103="Media"),Registro!B103,"")</f>
        <v/>
      </c>
      <c r="H104" s="45" t="str">
        <f ca="1">IF(AND(Registro!D103="Abierto",Registro!E103="Media"),TODAY()-Registro!R103,"")</f>
        <v/>
      </c>
      <c r="I104" s="45" t="str">
        <f>IF(AND(Registro!D103="Abierto",Registro!E103="Media"),RANK(H104,$H$9:$H$1000,0)+COUNTIF($H$9:H104,H104)-1+MAX(C$5:C$1000,F$5:F$1000),"")</f>
        <v/>
      </c>
      <c r="J104" s="45" t="str">
        <f>IF(AND(Registro!D103="Abierto",Registro!E103="Baja"),Registro!B103,"")</f>
        <v/>
      </c>
      <c r="K104" s="45" t="str">
        <f ca="1">IF(AND(Registro!D103="Abierto",Registro!E103="Baja"),TODAY()-Registro!R103,"")</f>
        <v/>
      </c>
      <c r="L104" s="45" t="str">
        <f>IF(AND(Registro!D103="Abierto",Registro!E103="Baja"),RANK(K104,$K$9:$K$1000,0)+COUNTIF($K$9:K104,K104)-1+MAX(C$5:C$1000,F$5:F$1000,I$5:I$1000),"")</f>
        <v/>
      </c>
      <c r="M104" s="46" t="str">
        <f>IF(OR(Registro!D103="Resuelto",Registro!D103=""),"",SUM(C104,F104,I104,L104))</f>
        <v/>
      </c>
      <c r="N104" s="46" t="str">
        <f>IF(OR(Registro!D103="Resuelto",Registro!D103=""),"",SUM(B104,E104,H104,K104))</f>
        <v/>
      </c>
      <c r="O104" s="46" t="str">
        <f>IF(OR(Registro!D103="Resuelto",Registro!D103=""),"",_xlfn.CONCAT(A104,D104,G104,J104))</f>
        <v/>
      </c>
      <c r="P104" s="47">
        <v>96</v>
      </c>
      <c r="Q104" s="47" t="str">
        <f t="shared" ca="1" si="3"/>
        <v/>
      </c>
      <c r="R104" s="48" t="str">
        <f t="shared" ca="1" si="4"/>
        <v/>
      </c>
      <c r="S104" s="32"/>
      <c r="T104" s="32"/>
      <c r="U104" s="32"/>
      <c r="V104" s="32"/>
      <c r="W104" s="47" t="str">
        <f>IF(X104="","",MAX($W$5:W103)+1)</f>
        <v/>
      </c>
      <c r="X104" s="50" t="str">
        <f>IF(Registro!M103="","",IF(COUNTIF($X$8:X103,Registro!M103)=0,Registro!M103,""))</f>
        <v/>
      </c>
      <c r="Y104" s="50" t="str">
        <f t="shared" si="5"/>
        <v/>
      </c>
    </row>
    <row r="105" spans="1:25">
      <c r="A105" s="45" t="str">
        <f>IF(AND(Registro!D104="Abierto",Registro!E104="Urgente"),Registro!B104,"")</f>
        <v/>
      </c>
      <c r="B105" s="45" t="str">
        <f ca="1">IF(AND(Registro!D104="Abierto",Registro!E104="Urgente"),TODAY()-Registro!R104,"")</f>
        <v/>
      </c>
      <c r="C105" s="45" t="str">
        <f>IF(AND(Registro!D104="Abierto",Registro!E104="Urgente"),RANK(B105,$B$9:$B$1000,0)+COUNTIF($B$9:B105,B105)-1,"")</f>
        <v/>
      </c>
      <c r="D105" s="45" t="str">
        <f>IF(AND(Registro!D104="Abierto",Registro!E104="Alta"),Registro!B104,"")</f>
        <v/>
      </c>
      <c r="E105" s="45" t="str">
        <f ca="1">IF(AND(Registro!D104="Abierto",Registro!E104="Alta"),TODAY()-Registro!R104,"")</f>
        <v/>
      </c>
      <c r="F105" s="45" t="str">
        <f>IF(AND(Registro!D104="Abierto",Registro!E104="Alta"),RANK(E105,$E$9:$E$1000,0)+COUNTIF($E$9:E105,E105)-1+MAX(C$5:C$1000),"")</f>
        <v/>
      </c>
      <c r="G105" s="45" t="str">
        <f>IF(AND(Registro!D104="Abierto",Registro!E104="Media"),Registro!B104,"")</f>
        <v/>
      </c>
      <c r="H105" s="45" t="str">
        <f ca="1">IF(AND(Registro!D104="Abierto",Registro!E104="Media"),TODAY()-Registro!R104,"")</f>
        <v/>
      </c>
      <c r="I105" s="45" t="str">
        <f>IF(AND(Registro!D104="Abierto",Registro!E104="Media"),RANK(H105,$H$9:$H$1000,0)+COUNTIF($H$9:H105,H105)-1+MAX(C$5:C$1000,F$5:F$1000),"")</f>
        <v/>
      </c>
      <c r="J105" s="45" t="str">
        <f>IF(AND(Registro!D104="Abierto",Registro!E104="Baja"),Registro!B104,"")</f>
        <v/>
      </c>
      <c r="K105" s="45" t="str">
        <f ca="1">IF(AND(Registro!D104="Abierto",Registro!E104="Baja"),TODAY()-Registro!R104,"")</f>
        <v/>
      </c>
      <c r="L105" s="45" t="str">
        <f>IF(AND(Registro!D104="Abierto",Registro!E104="Baja"),RANK(K105,$K$9:$K$1000,0)+COUNTIF($K$9:K105,K105)-1+MAX(C$5:C$1000,F$5:F$1000,I$5:I$1000),"")</f>
        <v/>
      </c>
      <c r="M105" s="46" t="str">
        <f>IF(OR(Registro!D104="Resuelto",Registro!D104=""),"",SUM(C105,F105,I105,L105))</f>
        <v/>
      </c>
      <c r="N105" s="46" t="str">
        <f>IF(OR(Registro!D104="Resuelto",Registro!D104=""),"",SUM(B105,E105,H105,K105))</f>
        <v/>
      </c>
      <c r="O105" s="46" t="str">
        <f>IF(OR(Registro!D104="Resuelto",Registro!D104=""),"",_xlfn.CONCAT(A105,D105,G105,J105))</f>
        <v/>
      </c>
      <c r="P105" s="47">
        <v>97</v>
      </c>
      <c r="Q105" s="47" t="str">
        <f t="shared" ca="1" si="3"/>
        <v/>
      </c>
      <c r="R105" s="48" t="str">
        <f t="shared" ca="1" si="4"/>
        <v/>
      </c>
      <c r="S105" s="32"/>
      <c r="T105" s="32"/>
      <c r="U105" s="32"/>
      <c r="V105" s="32"/>
      <c r="W105" s="47" t="str">
        <f>IF(X105="","",MAX($W$5:W104)+1)</f>
        <v/>
      </c>
      <c r="X105" s="50" t="str">
        <f>IF(Registro!M104="","",IF(COUNTIF($X$8:X104,Registro!M104)=0,Registro!M104,""))</f>
        <v/>
      </c>
      <c r="Y105" s="50" t="str">
        <f t="shared" si="5"/>
        <v/>
      </c>
    </row>
    <row r="106" spans="1:25">
      <c r="A106" s="45" t="str">
        <f>IF(AND(Registro!D105="Abierto",Registro!E105="Urgente"),Registro!B105,"")</f>
        <v/>
      </c>
      <c r="B106" s="45" t="str">
        <f ca="1">IF(AND(Registro!D105="Abierto",Registro!E105="Urgente"),TODAY()-Registro!R105,"")</f>
        <v/>
      </c>
      <c r="C106" s="45" t="str">
        <f>IF(AND(Registro!D105="Abierto",Registro!E105="Urgente"),RANK(B106,$B$9:$B$1000,0)+COUNTIF($B$9:B106,B106)-1,"")</f>
        <v/>
      </c>
      <c r="D106" s="45" t="str">
        <f>IF(AND(Registro!D105="Abierto",Registro!E105="Alta"),Registro!B105,"")</f>
        <v/>
      </c>
      <c r="E106" s="45" t="str">
        <f ca="1">IF(AND(Registro!D105="Abierto",Registro!E105="Alta"),TODAY()-Registro!R105,"")</f>
        <v/>
      </c>
      <c r="F106" s="45" t="str">
        <f>IF(AND(Registro!D105="Abierto",Registro!E105="Alta"),RANK(E106,$E$9:$E$1000,0)+COUNTIF($E$9:E106,E106)-1+MAX(C$5:C$1000),"")</f>
        <v/>
      </c>
      <c r="G106" s="45" t="str">
        <f>IF(AND(Registro!D105="Abierto",Registro!E105="Media"),Registro!B105,"")</f>
        <v/>
      </c>
      <c r="H106" s="45" t="str">
        <f ca="1">IF(AND(Registro!D105="Abierto",Registro!E105="Media"),TODAY()-Registro!R105,"")</f>
        <v/>
      </c>
      <c r="I106" s="45" t="str">
        <f>IF(AND(Registro!D105="Abierto",Registro!E105="Media"),RANK(H106,$H$9:$H$1000,0)+COUNTIF($H$9:H106,H106)-1+MAX(C$5:C$1000,F$5:F$1000),"")</f>
        <v/>
      </c>
      <c r="J106" s="45" t="str">
        <f>IF(AND(Registro!D105="Abierto",Registro!E105="Baja"),Registro!B105,"")</f>
        <v/>
      </c>
      <c r="K106" s="45" t="str">
        <f ca="1">IF(AND(Registro!D105="Abierto",Registro!E105="Baja"),TODAY()-Registro!R105,"")</f>
        <v/>
      </c>
      <c r="L106" s="45" t="str">
        <f>IF(AND(Registro!D105="Abierto",Registro!E105="Baja"),RANK(K106,$K$9:$K$1000,0)+COUNTIF($K$9:K106,K106)-1+MAX(C$5:C$1000,F$5:F$1000,I$5:I$1000),"")</f>
        <v/>
      </c>
      <c r="M106" s="46" t="str">
        <f>IF(OR(Registro!D105="Resuelto",Registro!D105=""),"",SUM(C106,F106,I106,L106))</f>
        <v/>
      </c>
      <c r="N106" s="46" t="str">
        <f>IF(OR(Registro!D105="Resuelto",Registro!D105=""),"",SUM(B106,E106,H106,K106))</f>
        <v/>
      </c>
      <c r="O106" s="46" t="str">
        <f>IF(OR(Registro!D105="Resuelto",Registro!D105=""),"",_xlfn.CONCAT(A106,D106,G106,J106))</f>
        <v/>
      </c>
      <c r="P106" s="47">
        <v>98</v>
      </c>
      <c r="Q106" s="47" t="str">
        <f t="shared" ca="1" si="3"/>
        <v/>
      </c>
      <c r="R106" s="48" t="str">
        <f t="shared" ca="1" si="4"/>
        <v/>
      </c>
      <c r="S106" s="32"/>
      <c r="T106" s="32"/>
      <c r="U106" s="32"/>
      <c r="V106" s="32"/>
      <c r="W106" s="47" t="str">
        <f>IF(X106="","",MAX($W$5:W105)+1)</f>
        <v/>
      </c>
      <c r="X106" s="50" t="str">
        <f>IF(Registro!M105="","",IF(COUNTIF($X$8:X105,Registro!M105)=0,Registro!M105,""))</f>
        <v/>
      </c>
      <c r="Y106" s="50" t="str">
        <f t="shared" si="5"/>
        <v/>
      </c>
    </row>
    <row r="107" spans="1:25">
      <c r="A107" s="45" t="str">
        <f>IF(AND(Registro!D106="Abierto",Registro!E106="Urgente"),Registro!B106,"")</f>
        <v/>
      </c>
      <c r="B107" s="45" t="str">
        <f ca="1">IF(AND(Registro!D106="Abierto",Registro!E106="Urgente"),TODAY()-Registro!R106,"")</f>
        <v/>
      </c>
      <c r="C107" s="45" t="str">
        <f>IF(AND(Registro!D106="Abierto",Registro!E106="Urgente"),RANK(B107,$B$9:$B$1000,0)+COUNTIF($B$9:B107,B107)-1,"")</f>
        <v/>
      </c>
      <c r="D107" s="45" t="str">
        <f>IF(AND(Registro!D106="Abierto",Registro!E106="Alta"),Registro!B106,"")</f>
        <v/>
      </c>
      <c r="E107" s="45" t="str">
        <f ca="1">IF(AND(Registro!D106="Abierto",Registro!E106="Alta"),TODAY()-Registro!R106,"")</f>
        <v/>
      </c>
      <c r="F107" s="45" t="str">
        <f>IF(AND(Registro!D106="Abierto",Registro!E106="Alta"),RANK(E107,$E$9:$E$1000,0)+COUNTIF($E$9:E107,E107)-1+MAX(C$5:C$1000),"")</f>
        <v/>
      </c>
      <c r="G107" s="45" t="str">
        <f>IF(AND(Registro!D106="Abierto",Registro!E106="Media"),Registro!B106,"")</f>
        <v/>
      </c>
      <c r="H107" s="45" t="str">
        <f ca="1">IF(AND(Registro!D106="Abierto",Registro!E106="Media"),TODAY()-Registro!R106,"")</f>
        <v/>
      </c>
      <c r="I107" s="45" t="str">
        <f>IF(AND(Registro!D106="Abierto",Registro!E106="Media"),RANK(H107,$H$9:$H$1000,0)+COUNTIF($H$9:H107,H107)-1+MAX(C$5:C$1000,F$5:F$1000),"")</f>
        <v/>
      </c>
      <c r="J107" s="45" t="str">
        <f>IF(AND(Registro!D106="Abierto",Registro!E106="Baja"),Registro!B106,"")</f>
        <v/>
      </c>
      <c r="K107" s="45" t="str">
        <f ca="1">IF(AND(Registro!D106="Abierto",Registro!E106="Baja"),TODAY()-Registro!R106,"")</f>
        <v/>
      </c>
      <c r="L107" s="45" t="str">
        <f>IF(AND(Registro!D106="Abierto",Registro!E106="Baja"),RANK(K107,$K$9:$K$1000,0)+COUNTIF($K$9:K107,K107)-1+MAX(C$5:C$1000,F$5:F$1000,I$5:I$1000),"")</f>
        <v/>
      </c>
      <c r="M107" s="46" t="str">
        <f>IF(OR(Registro!D106="Resuelto",Registro!D106=""),"",SUM(C107,F107,I107,L107))</f>
        <v/>
      </c>
      <c r="N107" s="46" t="str">
        <f>IF(OR(Registro!D106="Resuelto",Registro!D106=""),"",SUM(B107,E107,H107,K107))</f>
        <v/>
      </c>
      <c r="O107" s="46" t="str">
        <f>IF(OR(Registro!D106="Resuelto",Registro!D106=""),"",_xlfn.CONCAT(A107,D107,G107,J107))</f>
        <v/>
      </c>
      <c r="P107" s="47">
        <v>99</v>
      </c>
      <c r="Q107" s="47" t="str">
        <f t="shared" ca="1" si="3"/>
        <v/>
      </c>
      <c r="R107" s="48" t="str">
        <f t="shared" ca="1" si="4"/>
        <v/>
      </c>
      <c r="S107" s="32"/>
      <c r="T107" s="32"/>
      <c r="U107" s="32"/>
      <c r="V107" s="32"/>
      <c r="W107" s="47" t="str">
        <f>IF(X107="","",MAX($W$5:W106)+1)</f>
        <v/>
      </c>
      <c r="X107" s="50" t="str">
        <f>IF(Registro!M106="","",IF(COUNTIF($X$8:X106,Registro!M106)=0,Registro!M106,""))</f>
        <v/>
      </c>
      <c r="Y107" s="50" t="str">
        <f t="shared" si="5"/>
        <v/>
      </c>
    </row>
    <row r="108" spans="1:25">
      <c r="A108" s="45" t="str">
        <f>IF(AND(Registro!D107="Abierto",Registro!E107="Urgente"),Registro!B107,"")</f>
        <v/>
      </c>
      <c r="B108" s="45" t="str">
        <f ca="1">IF(AND(Registro!D107="Abierto",Registro!E107="Urgente"),TODAY()-Registro!R107,"")</f>
        <v/>
      </c>
      <c r="C108" s="45" t="str">
        <f>IF(AND(Registro!D107="Abierto",Registro!E107="Urgente"),RANK(B108,$B$9:$B$1000,0)+COUNTIF($B$9:B108,B108)-1,"")</f>
        <v/>
      </c>
      <c r="D108" s="45" t="str">
        <f>IF(AND(Registro!D107="Abierto",Registro!E107="Alta"),Registro!B107,"")</f>
        <v/>
      </c>
      <c r="E108" s="45" t="str">
        <f ca="1">IF(AND(Registro!D107="Abierto",Registro!E107="Alta"),TODAY()-Registro!R107,"")</f>
        <v/>
      </c>
      <c r="F108" s="45" t="str">
        <f>IF(AND(Registro!D107="Abierto",Registro!E107="Alta"),RANK(E108,$E$9:$E$1000,0)+COUNTIF($E$9:E108,E108)-1+MAX(C$5:C$1000),"")</f>
        <v/>
      </c>
      <c r="G108" s="45" t="str">
        <f>IF(AND(Registro!D107="Abierto",Registro!E107="Media"),Registro!B107,"")</f>
        <v/>
      </c>
      <c r="H108" s="45" t="str">
        <f ca="1">IF(AND(Registro!D107="Abierto",Registro!E107="Media"),TODAY()-Registro!R107,"")</f>
        <v/>
      </c>
      <c r="I108" s="45" t="str">
        <f>IF(AND(Registro!D107="Abierto",Registro!E107="Media"),RANK(H108,$H$9:$H$1000,0)+COUNTIF($H$9:H108,H108)-1+MAX(C$5:C$1000,F$5:F$1000),"")</f>
        <v/>
      </c>
      <c r="J108" s="45" t="str">
        <f>IF(AND(Registro!D107="Abierto",Registro!E107="Baja"),Registro!B107,"")</f>
        <v/>
      </c>
      <c r="K108" s="45" t="str">
        <f ca="1">IF(AND(Registro!D107="Abierto",Registro!E107="Baja"),TODAY()-Registro!R107,"")</f>
        <v/>
      </c>
      <c r="L108" s="45" t="str">
        <f>IF(AND(Registro!D107="Abierto",Registro!E107="Baja"),RANK(K108,$K$9:$K$1000,0)+COUNTIF($K$9:K108,K108)-1+MAX(C$5:C$1000,F$5:F$1000,I$5:I$1000),"")</f>
        <v/>
      </c>
      <c r="M108" s="46" t="str">
        <f>IF(OR(Registro!D107="Resuelto",Registro!D107=""),"",SUM(C108,F108,I108,L108))</f>
        <v/>
      </c>
      <c r="N108" s="46" t="str">
        <f>IF(OR(Registro!D107="Resuelto",Registro!D107=""),"",SUM(B108,E108,H108,K108))</f>
        <v/>
      </c>
      <c r="O108" s="46" t="str">
        <f>IF(OR(Registro!D107="Resuelto",Registro!D107=""),"",_xlfn.CONCAT(A108,D108,G108,J108))</f>
        <v/>
      </c>
      <c r="P108" s="47">
        <v>100</v>
      </c>
      <c r="Q108" s="47" t="str">
        <f t="shared" ca="1" si="3"/>
        <v/>
      </c>
      <c r="R108" s="48" t="str">
        <f t="shared" ca="1" si="4"/>
        <v/>
      </c>
      <c r="S108" s="32"/>
      <c r="T108" s="32"/>
      <c r="U108" s="32"/>
      <c r="V108" s="32"/>
      <c r="W108" s="47" t="str">
        <f>IF(X108="","",MAX($W$5:W107)+1)</f>
        <v/>
      </c>
      <c r="X108" s="50" t="str">
        <f>IF(Registro!M107="","",IF(COUNTIF($X$8:X107,Registro!M107)=0,Registro!M107,""))</f>
        <v/>
      </c>
      <c r="Y108" s="50" t="str">
        <f t="shared" si="5"/>
        <v/>
      </c>
    </row>
    <row r="109" spans="1:25">
      <c r="A109" s="45" t="str">
        <f>IF(AND(Registro!D108="Abierto",Registro!E108="Urgente"),Registro!B108,"")</f>
        <v/>
      </c>
      <c r="B109" s="45" t="str">
        <f ca="1">IF(AND(Registro!D108="Abierto",Registro!E108="Urgente"),TODAY()-Registro!R108,"")</f>
        <v/>
      </c>
      <c r="C109" s="45" t="str">
        <f>IF(AND(Registro!D108="Abierto",Registro!E108="Urgente"),RANK(B109,$B$9:$B$1000,0)+COUNTIF($B$9:B109,B109)-1,"")</f>
        <v/>
      </c>
      <c r="D109" s="45" t="str">
        <f>IF(AND(Registro!D108="Abierto",Registro!E108="Alta"),Registro!B108,"")</f>
        <v/>
      </c>
      <c r="E109" s="45" t="str">
        <f ca="1">IF(AND(Registro!D108="Abierto",Registro!E108="Alta"),TODAY()-Registro!R108,"")</f>
        <v/>
      </c>
      <c r="F109" s="45" t="str">
        <f>IF(AND(Registro!D108="Abierto",Registro!E108="Alta"),RANK(E109,$E$9:$E$1000,0)+COUNTIF($E$9:E109,E109)-1+MAX(C$5:C$1000),"")</f>
        <v/>
      </c>
      <c r="G109" s="45" t="str">
        <f>IF(AND(Registro!D108="Abierto",Registro!E108="Media"),Registro!B108,"")</f>
        <v/>
      </c>
      <c r="H109" s="45" t="str">
        <f ca="1">IF(AND(Registro!D108="Abierto",Registro!E108="Media"),TODAY()-Registro!R108,"")</f>
        <v/>
      </c>
      <c r="I109" s="45" t="str">
        <f>IF(AND(Registro!D108="Abierto",Registro!E108="Media"),RANK(H109,$H$9:$H$1000,0)+COUNTIF($H$9:H109,H109)-1+MAX(C$5:C$1000,F$5:F$1000),"")</f>
        <v/>
      </c>
      <c r="J109" s="45" t="str">
        <f>IF(AND(Registro!D108="Abierto",Registro!E108="Baja"),Registro!B108,"")</f>
        <v/>
      </c>
      <c r="K109" s="45" t="str">
        <f ca="1">IF(AND(Registro!D108="Abierto",Registro!E108="Baja"),TODAY()-Registro!R108,"")</f>
        <v/>
      </c>
      <c r="L109" s="45" t="str">
        <f>IF(AND(Registro!D108="Abierto",Registro!E108="Baja"),RANK(K109,$K$9:$K$1000,0)+COUNTIF($K$9:K109,K109)-1+MAX(C$5:C$1000,F$5:F$1000,I$5:I$1000),"")</f>
        <v/>
      </c>
      <c r="M109" s="46" t="str">
        <f>IF(OR(Registro!D108="Resuelto",Registro!D108=""),"",SUM(C109,F109,I109,L109))</f>
        <v/>
      </c>
      <c r="N109" s="46" t="str">
        <f>IF(OR(Registro!D108="Resuelto",Registro!D108=""),"",SUM(B109,E109,H109,K109))</f>
        <v/>
      </c>
      <c r="O109" s="46" t="str">
        <f>IF(OR(Registro!D108="Resuelto",Registro!D108=""),"",_xlfn.CONCAT(A109,D109,G109,J109))</f>
        <v/>
      </c>
      <c r="P109" s="47">
        <v>101</v>
      </c>
      <c r="Q109" s="47" t="str">
        <f t="shared" ca="1" si="3"/>
        <v/>
      </c>
      <c r="R109" s="48" t="str">
        <f t="shared" ca="1" si="4"/>
        <v/>
      </c>
      <c r="S109" s="32"/>
      <c r="T109" s="32"/>
      <c r="U109" s="32"/>
      <c r="V109" s="32"/>
      <c r="W109" s="47" t="str">
        <f>IF(X109="","",MAX($W$5:W108)+1)</f>
        <v/>
      </c>
      <c r="X109" s="50" t="str">
        <f>IF(Registro!M108="","",IF(COUNTIF($X$8:X108,Registro!M108)=0,Registro!M108,""))</f>
        <v/>
      </c>
      <c r="Y109" s="50" t="str">
        <f t="shared" si="5"/>
        <v/>
      </c>
    </row>
    <row r="110" spans="1:25">
      <c r="A110" s="45" t="str">
        <f>IF(AND(Registro!D109="Abierto",Registro!E109="Urgente"),Registro!B109,"")</f>
        <v/>
      </c>
      <c r="B110" s="45" t="str">
        <f ca="1">IF(AND(Registro!D109="Abierto",Registro!E109="Urgente"),TODAY()-Registro!R109,"")</f>
        <v/>
      </c>
      <c r="C110" s="45" t="str">
        <f>IF(AND(Registro!D109="Abierto",Registro!E109="Urgente"),RANK(B110,$B$9:$B$1000,0)+COUNTIF($B$9:B110,B110)-1,"")</f>
        <v/>
      </c>
      <c r="D110" s="45" t="str">
        <f>IF(AND(Registro!D109="Abierto",Registro!E109="Alta"),Registro!B109,"")</f>
        <v/>
      </c>
      <c r="E110" s="45" t="str">
        <f ca="1">IF(AND(Registro!D109="Abierto",Registro!E109="Alta"),TODAY()-Registro!R109,"")</f>
        <v/>
      </c>
      <c r="F110" s="45" t="str">
        <f>IF(AND(Registro!D109="Abierto",Registro!E109="Alta"),RANK(E110,$E$9:$E$1000,0)+COUNTIF($E$9:E110,E110)-1+MAX(C$5:C$1000),"")</f>
        <v/>
      </c>
      <c r="G110" s="45" t="str">
        <f>IF(AND(Registro!D109="Abierto",Registro!E109="Media"),Registro!B109,"")</f>
        <v/>
      </c>
      <c r="H110" s="45" t="str">
        <f ca="1">IF(AND(Registro!D109="Abierto",Registro!E109="Media"),TODAY()-Registro!R109,"")</f>
        <v/>
      </c>
      <c r="I110" s="45" t="str">
        <f>IF(AND(Registro!D109="Abierto",Registro!E109="Media"),RANK(H110,$H$9:$H$1000,0)+COUNTIF($H$9:H110,H110)-1+MAX(C$5:C$1000,F$5:F$1000),"")</f>
        <v/>
      </c>
      <c r="J110" s="45" t="str">
        <f>IF(AND(Registro!D109="Abierto",Registro!E109="Baja"),Registro!B109,"")</f>
        <v/>
      </c>
      <c r="K110" s="45" t="str">
        <f ca="1">IF(AND(Registro!D109="Abierto",Registro!E109="Baja"),TODAY()-Registro!R109,"")</f>
        <v/>
      </c>
      <c r="L110" s="45" t="str">
        <f>IF(AND(Registro!D109="Abierto",Registro!E109="Baja"),RANK(K110,$K$9:$K$1000,0)+COUNTIF($K$9:K110,K110)-1+MAX(C$5:C$1000,F$5:F$1000,I$5:I$1000),"")</f>
        <v/>
      </c>
      <c r="M110" s="46" t="str">
        <f>IF(OR(Registro!D109="Resuelto",Registro!D109=""),"",SUM(C110,F110,I110,L110))</f>
        <v/>
      </c>
      <c r="N110" s="46" t="str">
        <f>IF(OR(Registro!D109="Resuelto",Registro!D109=""),"",SUM(B110,E110,H110,K110))</f>
        <v/>
      </c>
      <c r="O110" s="46" t="str">
        <f>IF(OR(Registro!D109="Resuelto",Registro!D109=""),"",_xlfn.CONCAT(A110,D110,G110,J110))</f>
        <v/>
      </c>
      <c r="P110" s="47">
        <v>102</v>
      </c>
      <c r="Q110" s="47" t="str">
        <f t="shared" ca="1" si="3"/>
        <v/>
      </c>
      <c r="R110" s="48" t="str">
        <f t="shared" ca="1" si="4"/>
        <v/>
      </c>
      <c r="S110" s="32"/>
      <c r="T110" s="32"/>
      <c r="U110" s="32"/>
      <c r="V110" s="32"/>
      <c r="W110" s="47" t="str">
        <f>IF(X110="","",MAX($W$5:W109)+1)</f>
        <v/>
      </c>
      <c r="X110" s="50" t="str">
        <f>IF(Registro!M109="","",IF(COUNTIF($X$8:X109,Registro!M109)=0,Registro!M109,""))</f>
        <v/>
      </c>
      <c r="Y110" s="50" t="str">
        <f t="shared" si="5"/>
        <v/>
      </c>
    </row>
    <row r="111" spans="1:25">
      <c r="A111" s="45" t="str">
        <f>IF(AND(Registro!D110="Abierto",Registro!E110="Urgente"),Registro!B110,"")</f>
        <v/>
      </c>
      <c r="B111" s="45" t="str">
        <f ca="1">IF(AND(Registro!D110="Abierto",Registro!E110="Urgente"),TODAY()-Registro!R110,"")</f>
        <v/>
      </c>
      <c r="C111" s="45" t="str">
        <f>IF(AND(Registro!D110="Abierto",Registro!E110="Urgente"),RANK(B111,$B$9:$B$1000,0)+COUNTIF($B$9:B111,B111)-1,"")</f>
        <v/>
      </c>
      <c r="D111" s="45" t="str">
        <f>IF(AND(Registro!D110="Abierto",Registro!E110="Alta"),Registro!B110,"")</f>
        <v/>
      </c>
      <c r="E111" s="45" t="str">
        <f ca="1">IF(AND(Registro!D110="Abierto",Registro!E110="Alta"),TODAY()-Registro!R110,"")</f>
        <v/>
      </c>
      <c r="F111" s="45" t="str">
        <f>IF(AND(Registro!D110="Abierto",Registro!E110="Alta"),RANK(E111,$E$9:$E$1000,0)+COUNTIF($E$9:E111,E111)-1+MAX(C$5:C$1000),"")</f>
        <v/>
      </c>
      <c r="G111" s="45" t="str">
        <f>IF(AND(Registro!D110="Abierto",Registro!E110="Media"),Registro!B110,"")</f>
        <v/>
      </c>
      <c r="H111" s="45" t="str">
        <f ca="1">IF(AND(Registro!D110="Abierto",Registro!E110="Media"),TODAY()-Registro!R110,"")</f>
        <v/>
      </c>
      <c r="I111" s="45" t="str">
        <f>IF(AND(Registro!D110="Abierto",Registro!E110="Media"),RANK(H111,$H$9:$H$1000,0)+COUNTIF($H$9:H111,H111)-1+MAX(C$5:C$1000,F$5:F$1000),"")</f>
        <v/>
      </c>
      <c r="J111" s="45" t="str">
        <f>IF(AND(Registro!D110="Abierto",Registro!E110="Baja"),Registro!B110,"")</f>
        <v/>
      </c>
      <c r="K111" s="45" t="str">
        <f ca="1">IF(AND(Registro!D110="Abierto",Registro!E110="Baja"),TODAY()-Registro!R110,"")</f>
        <v/>
      </c>
      <c r="L111" s="45" t="str">
        <f>IF(AND(Registro!D110="Abierto",Registro!E110="Baja"),RANK(K111,$K$9:$K$1000,0)+COUNTIF($K$9:K111,K111)-1+MAX(C$5:C$1000,F$5:F$1000,I$5:I$1000),"")</f>
        <v/>
      </c>
      <c r="M111" s="46" t="str">
        <f>IF(OR(Registro!D110="Resuelto",Registro!D110=""),"",SUM(C111,F111,I111,L111))</f>
        <v/>
      </c>
      <c r="N111" s="46" t="str">
        <f>IF(OR(Registro!D110="Resuelto",Registro!D110=""),"",SUM(B111,E111,H111,K111))</f>
        <v/>
      </c>
      <c r="O111" s="46" t="str">
        <f>IF(OR(Registro!D110="Resuelto",Registro!D110=""),"",_xlfn.CONCAT(A111,D111,G111,J111))</f>
        <v/>
      </c>
      <c r="P111" s="47">
        <v>103</v>
      </c>
      <c r="Q111" s="47" t="str">
        <f t="shared" ca="1" si="3"/>
        <v/>
      </c>
      <c r="R111" s="48" t="str">
        <f t="shared" ca="1" si="4"/>
        <v/>
      </c>
      <c r="S111" s="32"/>
      <c r="T111" s="32"/>
      <c r="U111" s="32"/>
      <c r="V111" s="32"/>
      <c r="W111" s="47" t="str">
        <f>IF(X111="","",MAX($W$5:W110)+1)</f>
        <v/>
      </c>
      <c r="X111" s="50" t="str">
        <f>IF(Registro!M110="","",IF(COUNTIF($X$8:X110,Registro!M110)=0,Registro!M110,""))</f>
        <v/>
      </c>
      <c r="Y111" s="50" t="str">
        <f t="shared" si="5"/>
        <v/>
      </c>
    </row>
    <row r="112" spans="1:25">
      <c r="A112" s="45" t="str">
        <f>IF(AND(Registro!D111="Abierto",Registro!E111="Urgente"),Registro!B111,"")</f>
        <v/>
      </c>
      <c r="B112" s="45" t="str">
        <f ca="1">IF(AND(Registro!D111="Abierto",Registro!E111="Urgente"),TODAY()-Registro!R111,"")</f>
        <v/>
      </c>
      <c r="C112" s="45" t="str">
        <f>IF(AND(Registro!D111="Abierto",Registro!E111="Urgente"),RANK(B112,$B$9:$B$1000,0)+COUNTIF($B$9:B112,B112)-1,"")</f>
        <v/>
      </c>
      <c r="D112" s="45" t="str">
        <f>IF(AND(Registro!D111="Abierto",Registro!E111="Alta"),Registro!B111,"")</f>
        <v/>
      </c>
      <c r="E112" s="45" t="str">
        <f ca="1">IF(AND(Registro!D111="Abierto",Registro!E111="Alta"),TODAY()-Registro!R111,"")</f>
        <v/>
      </c>
      <c r="F112" s="45" t="str">
        <f>IF(AND(Registro!D111="Abierto",Registro!E111="Alta"),RANK(E112,$E$9:$E$1000,0)+COUNTIF($E$9:E112,E112)-1+MAX(C$5:C$1000),"")</f>
        <v/>
      </c>
      <c r="G112" s="45" t="str">
        <f>IF(AND(Registro!D111="Abierto",Registro!E111="Media"),Registro!B111,"")</f>
        <v/>
      </c>
      <c r="H112" s="45" t="str">
        <f ca="1">IF(AND(Registro!D111="Abierto",Registro!E111="Media"),TODAY()-Registro!R111,"")</f>
        <v/>
      </c>
      <c r="I112" s="45" t="str">
        <f>IF(AND(Registro!D111="Abierto",Registro!E111="Media"),RANK(H112,$H$9:$H$1000,0)+COUNTIF($H$9:H112,H112)-1+MAX(C$5:C$1000,F$5:F$1000),"")</f>
        <v/>
      </c>
      <c r="J112" s="45" t="str">
        <f>IF(AND(Registro!D111="Abierto",Registro!E111="Baja"),Registro!B111,"")</f>
        <v/>
      </c>
      <c r="K112" s="45" t="str">
        <f ca="1">IF(AND(Registro!D111="Abierto",Registro!E111="Baja"),TODAY()-Registro!R111,"")</f>
        <v/>
      </c>
      <c r="L112" s="45" t="str">
        <f>IF(AND(Registro!D111="Abierto",Registro!E111="Baja"),RANK(K112,$K$9:$K$1000,0)+COUNTIF($K$9:K112,K112)-1+MAX(C$5:C$1000,F$5:F$1000,I$5:I$1000),"")</f>
        <v/>
      </c>
      <c r="M112" s="46" t="str">
        <f>IF(OR(Registro!D111="Resuelto",Registro!D111=""),"",SUM(C112,F112,I112,L112))</f>
        <v/>
      </c>
      <c r="N112" s="46" t="str">
        <f>IF(OR(Registro!D111="Resuelto",Registro!D111=""),"",SUM(B112,E112,H112,K112))</f>
        <v/>
      </c>
      <c r="O112" s="46" t="str">
        <f>IF(OR(Registro!D111="Resuelto",Registro!D111=""),"",_xlfn.CONCAT(A112,D112,G112,J112))</f>
        <v/>
      </c>
      <c r="P112" s="47">
        <v>104</v>
      </c>
      <c r="Q112" s="47" t="str">
        <f t="shared" ca="1" si="3"/>
        <v/>
      </c>
      <c r="R112" s="48" t="str">
        <f t="shared" ca="1" si="4"/>
        <v/>
      </c>
      <c r="S112" s="32"/>
      <c r="T112" s="32"/>
      <c r="U112" s="32"/>
      <c r="V112" s="32"/>
      <c r="W112" s="47" t="str">
        <f>IF(X112="","",MAX($W$5:W111)+1)</f>
        <v/>
      </c>
      <c r="X112" s="50" t="str">
        <f>IF(Registro!M111="","",IF(COUNTIF($X$8:X111,Registro!M111)=0,Registro!M111,""))</f>
        <v/>
      </c>
      <c r="Y112" s="50" t="str">
        <f t="shared" si="5"/>
        <v/>
      </c>
    </row>
    <row r="113" spans="1:25">
      <c r="A113" s="45" t="str">
        <f>IF(AND(Registro!D112="Abierto",Registro!E112="Urgente"),Registro!B112,"")</f>
        <v/>
      </c>
      <c r="B113" s="45" t="str">
        <f ca="1">IF(AND(Registro!D112="Abierto",Registro!E112="Urgente"),TODAY()-Registro!R112,"")</f>
        <v/>
      </c>
      <c r="C113" s="45" t="str">
        <f>IF(AND(Registro!D112="Abierto",Registro!E112="Urgente"),RANK(B113,$B$9:$B$1000,0)+COUNTIF($B$9:B113,B113)-1,"")</f>
        <v/>
      </c>
      <c r="D113" s="45" t="str">
        <f>IF(AND(Registro!D112="Abierto",Registro!E112="Alta"),Registro!B112,"")</f>
        <v/>
      </c>
      <c r="E113" s="45" t="str">
        <f ca="1">IF(AND(Registro!D112="Abierto",Registro!E112="Alta"),TODAY()-Registro!R112,"")</f>
        <v/>
      </c>
      <c r="F113" s="45" t="str">
        <f>IF(AND(Registro!D112="Abierto",Registro!E112="Alta"),RANK(E113,$E$9:$E$1000,0)+COUNTIF($E$9:E113,E113)-1+MAX(C$5:C$1000),"")</f>
        <v/>
      </c>
      <c r="G113" s="45" t="str">
        <f>IF(AND(Registro!D112="Abierto",Registro!E112="Media"),Registro!B112,"")</f>
        <v/>
      </c>
      <c r="H113" s="45" t="str">
        <f ca="1">IF(AND(Registro!D112="Abierto",Registro!E112="Media"),TODAY()-Registro!R112,"")</f>
        <v/>
      </c>
      <c r="I113" s="45" t="str">
        <f>IF(AND(Registro!D112="Abierto",Registro!E112="Media"),RANK(H113,$H$9:$H$1000,0)+COUNTIF($H$9:H113,H113)-1+MAX(C$5:C$1000,F$5:F$1000),"")</f>
        <v/>
      </c>
      <c r="J113" s="45" t="str">
        <f>IF(AND(Registro!D112="Abierto",Registro!E112="Baja"),Registro!B112,"")</f>
        <v/>
      </c>
      <c r="K113" s="45" t="str">
        <f ca="1">IF(AND(Registro!D112="Abierto",Registro!E112="Baja"),TODAY()-Registro!R112,"")</f>
        <v/>
      </c>
      <c r="L113" s="45" t="str">
        <f>IF(AND(Registro!D112="Abierto",Registro!E112="Baja"),RANK(K113,$K$9:$K$1000,0)+COUNTIF($K$9:K113,K113)-1+MAX(C$5:C$1000,F$5:F$1000,I$5:I$1000),"")</f>
        <v/>
      </c>
      <c r="M113" s="46" t="str">
        <f>IF(OR(Registro!D112="Resuelto",Registro!D112=""),"",SUM(C113,F113,I113,L113))</f>
        <v/>
      </c>
      <c r="N113" s="46" t="str">
        <f>IF(OR(Registro!D112="Resuelto",Registro!D112=""),"",SUM(B113,E113,H113,K113))</f>
        <v/>
      </c>
      <c r="O113" s="46" t="str">
        <f>IF(OR(Registro!D112="Resuelto",Registro!D112=""),"",_xlfn.CONCAT(A113,D113,G113,J113))</f>
        <v/>
      </c>
      <c r="P113" s="47">
        <v>105</v>
      </c>
      <c r="Q113" s="47" t="str">
        <f t="shared" ca="1" si="3"/>
        <v/>
      </c>
      <c r="R113" s="48" t="str">
        <f t="shared" ca="1" si="4"/>
        <v/>
      </c>
      <c r="S113" s="32"/>
      <c r="T113" s="32"/>
      <c r="U113" s="32"/>
      <c r="V113" s="32"/>
      <c r="W113" s="47" t="str">
        <f>IF(X113="","",MAX($W$5:W112)+1)</f>
        <v/>
      </c>
      <c r="X113" s="50" t="str">
        <f>IF(Registro!M112="","",IF(COUNTIF($X$8:X112,Registro!M112)=0,Registro!M112,""))</f>
        <v/>
      </c>
      <c r="Y113" s="50" t="str">
        <f t="shared" si="5"/>
        <v/>
      </c>
    </row>
    <row r="114" spans="1:25">
      <c r="A114" s="45" t="str">
        <f>IF(AND(Registro!D113="Abierto",Registro!E113="Urgente"),Registro!B113,"")</f>
        <v/>
      </c>
      <c r="B114" s="45" t="str">
        <f ca="1">IF(AND(Registro!D113="Abierto",Registro!E113="Urgente"),TODAY()-Registro!R113,"")</f>
        <v/>
      </c>
      <c r="C114" s="45" t="str">
        <f>IF(AND(Registro!D113="Abierto",Registro!E113="Urgente"),RANK(B114,$B$9:$B$1000,0)+COUNTIF($B$9:B114,B114)-1,"")</f>
        <v/>
      </c>
      <c r="D114" s="45" t="str">
        <f>IF(AND(Registro!D113="Abierto",Registro!E113="Alta"),Registro!B113,"")</f>
        <v/>
      </c>
      <c r="E114" s="45" t="str">
        <f ca="1">IF(AND(Registro!D113="Abierto",Registro!E113="Alta"),TODAY()-Registro!R113,"")</f>
        <v/>
      </c>
      <c r="F114" s="45" t="str">
        <f>IF(AND(Registro!D113="Abierto",Registro!E113="Alta"),RANK(E114,$E$9:$E$1000,0)+COUNTIF($E$9:E114,E114)-1+MAX(C$5:C$1000),"")</f>
        <v/>
      </c>
      <c r="G114" s="45" t="str">
        <f>IF(AND(Registro!D113="Abierto",Registro!E113="Media"),Registro!B113,"")</f>
        <v>6387-PFIN-26</v>
      </c>
      <c r="H114" s="45">
        <f ca="1">IF(AND(Registro!D113="Abierto",Registro!E113="Media"),TODAY()-Registro!R113,"")</f>
        <v>-6</v>
      </c>
      <c r="I114" s="45">
        <f ca="1">IF(AND(Registro!D113="Abierto",Registro!E113="Media"),RANK(H114,$H$9:$H$1000,0)+COUNTIF($H$9:H114,H114)-1+MAX(C$5:C$1000,F$5:F$1000),"")</f>
        <v>17</v>
      </c>
      <c r="J114" s="45" t="str">
        <f>IF(AND(Registro!D113="Abierto",Registro!E113="Baja"),Registro!B113,"")</f>
        <v/>
      </c>
      <c r="K114" s="45" t="str">
        <f ca="1">IF(AND(Registro!D113="Abierto",Registro!E113="Baja"),TODAY()-Registro!R113,"")</f>
        <v/>
      </c>
      <c r="L114" s="45" t="str">
        <f>IF(AND(Registro!D113="Abierto",Registro!E113="Baja"),RANK(K114,$K$9:$K$1000,0)+COUNTIF($K$9:K114,K114)-1+MAX(C$5:C$1000,F$5:F$1000,I$5:I$1000),"")</f>
        <v/>
      </c>
      <c r="M114" s="46">
        <f ca="1">IF(OR(Registro!D113="Resuelto",Registro!D113=""),"",SUM(C114,F114,I114,L114))</f>
        <v>17</v>
      </c>
      <c r="N114" s="46">
        <f ca="1">IF(OR(Registro!D113="Resuelto",Registro!D113=""),"",SUM(B114,E114,H114,K114))</f>
        <v>-6</v>
      </c>
      <c r="O114" s="46" t="str">
        <f>IF(OR(Registro!D113="Resuelto",Registro!D113=""),"",_xlfn.CONCAT(A114,D114,G114,J114))</f>
        <v>6387-PFIN-26</v>
      </c>
      <c r="P114" s="47">
        <v>106</v>
      </c>
      <c r="Q114" s="47" t="str">
        <f t="shared" ca="1" si="3"/>
        <v/>
      </c>
      <c r="R114" s="48" t="str">
        <f t="shared" ca="1" si="4"/>
        <v/>
      </c>
      <c r="S114" s="32"/>
      <c r="T114" s="32"/>
      <c r="U114" s="32"/>
      <c r="V114" s="32"/>
      <c r="W114" s="47" t="str">
        <f>IF(X114="","",MAX($W$5:W113)+1)</f>
        <v/>
      </c>
      <c r="X114" s="50" t="str">
        <f>IF(Registro!M113="","",IF(COUNTIF($X$8:X113,Registro!M113)=0,Registro!M113,""))</f>
        <v/>
      </c>
      <c r="Y114" s="50" t="str">
        <f t="shared" si="5"/>
        <v/>
      </c>
    </row>
    <row r="115" spans="1:25">
      <c r="A115" s="45" t="str">
        <f>IF(AND(Registro!D114="Abierto",Registro!E114="Urgente"),Registro!B114,"")</f>
        <v/>
      </c>
      <c r="B115" s="45" t="str">
        <f ca="1">IF(AND(Registro!D114="Abierto",Registro!E114="Urgente"),TODAY()-Registro!R114,"")</f>
        <v/>
      </c>
      <c r="C115" s="45" t="str">
        <f>IF(AND(Registro!D114="Abierto",Registro!E114="Urgente"),RANK(B115,$B$9:$B$1000,0)+COUNTIF($B$9:B115,B115)-1,"")</f>
        <v/>
      </c>
      <c r="D115" s="45" t="str">
        <f>IF(AND(Registro!D114="Abierto",Registro!E114="Alta"),Registro!B114,"")</f>
        <v/>
      </c>
      <c r="E115" s="45" t="str">
        <f ca="1">IF(AND(Registro!D114="Abierto",Registro!E114="Alta"),TODAY()-Registro!R114,"")</f>
        <v/>
      </c>
      <c r="F115" s="45" t="str">
        <f>IF(AND(Registro!D114="Abierto",Registro!E114="Alta"),RANK(E115,$E$9:$E$1000,0)+COUNTIF($E$9:E115,E115)-1+MAX(C$5:C$1000),"")</f>
        <v/>
      </c>
      <c r="G115" s="45" t="str">
        <f>IF(AND(Registro!D114="Abierto",Registro!E114="Media"),Registro!B114,"")</f>
        <v/>
      </c>
      <c r="H115" s="45" t="str">
        <f ca="1">IF(AND(Registro!D114="Abierto",Registro!E114="Media"),TODAY()-Registro!R114,"")</f>
        <v/>
      </c>
      <c r="I115" s="45" t="str">
        <f>IF(AND(Registro!D114="Abierto",Registro!E114="Media"),RANK(H115,$H$9:$H$1000,0)+COUNTIF($H$9:H115,H115)-1+MAX(C$5:C$1000,F$5:F$1000),"")</f>
        <v/>
      </c>
      <c r="J115" s="45" t="str">
        <f>IF(AND(Registro!D114="Abierto",Registro!E114="Baja"),Registro!B114,"")</f>
        <v>6389-PFIN-26</v>
      </c>
      <c r="K115" s="45">
        <f ca="1">IF(AND(Registro!D114="Abierto",Registro!E114="Baja"),TODAY()-Registro!R114,"")</f>
        <v>-35</v>
      </c>
      <c r="L115" s="45">
        <f ca="1">IF(AND(Registro!D114="Abierto",Registro!E114="Baja"),RANK(K115,$K$9:$K$1000,0)+COUNTIF($K$9:K115,K115)-1+MAX(C$5:C$1000,F$5:F$1000,I$5:I$1000),"")</f>
        <v>40</v>
      </c>
      <c r="M115" s="46">
        <f ca="1">IF(OR(Registro!D114="Resuelto",Registro!D114=""),"",SUM(C115,F115,I115,L115))</f>
        <v>40</v>
      </c>
      <c r="N115" s="46">
        <f ca="1">IF(OR(Registro!D114="Resuelto",Registro!D114=""),"",SUM(B115,E115,H115,K115))</f>
        <v>-35</v>
      </c>
      <c r="O115" s="46" t="str">
        <f>IF(OR(Registro!D114="Resuelto",Registro!D114=""),"",_xlfn.CONCAT(A115,D115,G115,J115))</f>
        <v>6389-PFIN-26</v>
      </c>
      <c r="P115" s="47">
        <v>107</v>
      </c>
      <c r="Q115" s="47" t="str">
        <f t="shared" ca="1" si="3"/>
        <v/>
      </c>
      <c r="R115" s="48" t="str">
        <f t="shared" ca="1" si="4"/>
        <v/>
      </c>
      <c r="S115" s="32"/>
      <c r="T115" s="32"/>
      <c r="U115" s="32"/>
      <c r="V115" s="32"/>
      <c r="W115" s="47" t="str">
        <f>IF(X115="","",MAX($W$5:W114)+1)</f>
        <v/>
      </c>
      <c r="X115" s="50" t="str">
        <f>IF(Registro!M114="","",IF(COUNTIF($X$8:X114,Registro!M114)=0,Registro!M114,""))</f>
        <v/>
      </c>
      <c r="Y115" s="50" t="str">
        <f t="shared" si="5"/>
        <v/>
      </c>
    </row>
    <row r="116" spans="1:25">
      <c r="A116" s="45" t="str">
        <f>IF(AND(Registro!D115="Abierto",Registro!E115="Urgente"),Registro!B115,"")</f>
        <v/>
      </c>
      <c r="B116" s="45" t="str">
        <f ca="1">IF(AND(Registro!D115="Abierto",Registro!E115="Urgente"),TODAY()-Registro!R115,"")</f>
        <v/>
      </c>
      <c r="C116" s="45" t="str">
        <f>IF(AND(Registro!D115="Abierto",Registro!E115="Urgente"),RANK(B116,$B$9:$B$1000,0)+COUNTIF($B$9:B116,B116)-1,"")</f>
        <v/>
      </c>
      <c r="D116" s="45" t="str">
        <f>IF(AND(Registro!D115="Abierto",Registro!E115="Alta"),Registro!B115,"")</f>
        <v/>
      </c>
      <c r="E116" s="45" t="str">
        <f ca="1">IF(AND(Registro!D115="Abierto",Registro!E115="Alta"),TODAY()-Registro!R115,"")</f>
        <v/>
      </c>
      <c r="F116" s="45" t="str">
        <f>IF(AND(Registro!D115="Abierto",Registro!E115="Alta"),RANK(E116,$E$9:$E$1000,0)+COUNTIF($E$9:E116,E116)-1+MAX(C$5:C$1000),"")</f>
        <v/>
      </c>
      <c r="G116" s="45" t="str">
        <f>IF(AND(Registro!D115="Abierto",Registro!E115="Media"),Registro!B115,"")</f>
        <v/>
      </c>
      <c r="H116" s="45" t="str">
        <f ca="1">IF(AND(Registro!D115="Abierto",Registro!E115="Media"),TODAY()-Registro!R115,"")</f>
        <v/>
      </c>
      <c r="I116" s="45" t="str">
        <f>IF(AND(Registro!D115="Abierto",Registro!E115="Media"),RANK(H116,$H$9:$H$1000,0)+COUNTIF($H$9:H116,H116)-1+MAX(C$5:C$1000,F$5:F$1000),"")</f>
        <v/>
      </c>
      <c r="J116" s="45" t="str">
        <f>IF(AND(Registro!D115="Abierto",Registro!E115="Baja"),Registro!B115,"")</f>
        <v>6400-PFIN-26</v>
      </c>
      <c r="K116" s="45">
        <f ca="1">IF(AND(Registro!D115="Abierto",Registro!E115="Baja"),TODAY()-Registro!R115,"")</f>
        <v>-32</v>
      </c>
      <c r="L116" s="45">
        <f ca="1">IF(AND(Registro!D115="Abierto",Registro!E115="Baja"),RANK(K116,$K$9:$K$1000,0)+COUNTIF($K$9:K116,K116)-1+MAX(C$5:C$1000,F$5:F$1000,I$5:I$1000),"")</f>
        <v>39</v>
      </c>
      <c r="M116" s="46">
        <f ca="1">IF(OR(Registro!D115="Resuelto",Registro!D115=""),"",SUM(C116,F116,I116,L116))</f>
        <v>39</v>
      </c>
      <c r="N116" s="46">
        <f ca="1">IF(OR(Registro!D115="Resuelto",Registro!D115=""),"",SUM(B116,E116,H116,K116))</f>
        <v>-32</v>
      </c>
      <c r="O116" s="46" t="str">
        <f>IF(OR(Registro!D115="Resuelto",Registro!D115=""),"",_xlfn.CONCAT(A116,D116,G116,J116))</f>
        <v>6400-PFIN-26</v>
      </c>
      <c r="P116" s="47">
        <v>108</v>
      </c>
      <c r="Q116" s="47" t="str">
        <f t="shared" ca="1" si="3"/>
        <v/>
      </c>
      <c r="R116" s="48" t="str">
        <f t="shared" ca="1" si="4"/>
        <v/>
      </c>
      <c r="S116" s="32"/>
      <c r="T116" s="32"/>
      <c r="U116" s="32"/>
      <c r="V116" s="32"/>
      <c r="W116" s="47" t="str">
        <f>IF(X116="","",MAX($W$5:W115)+1)</f>
        <v/>
      </c>
      <c r="X116" s="50" t="str">
        <f>IF(Registro!M115="","",IF(COUNTIF($X$8:X115,Registro!M115)=0,Registro!M115,""))</f>
        <v/>
      </c>
      <c r="Y116" s="50" t="str">
        <f t="shared" si="5"/>
        <v/>
      </c>
    </row>
    <row r="117" spans="1:25">
      <c r="A117" s="45" t="str">
        <f>IF(AND(Registro!D116="Abierto",Registro!E116="Urgente"),Registro!B116,"")</f>
        <v>6405-PFIN-26</v>
      </c>
      <c r="B117" s="45">
        <f ca="1">IF(AND(Registro!D116="Abierto",Registro!E116="Urgente"),TODAY()-Registro!R116,"")</f>
        <v>3</v>
      </c>
      <c r="C117" s="45">
        <f ca="1">IF(AND(Registro!D116="Abierto",Registro!E116="Urgente"),RANK(B117,$B$9:$B$1000,0)+COUNTIF($B$9:B117,B117)-1,"")</f>
        <v>1</v>
      </c>
      <c r="D117" s="45" t="str">
        <f>IF(AND(Registro!D116="Abierto",Registro!E116="Alta"),Registro!B116,"")</f>
        <v/>
      </c>
      <c r="E117" s="45" t="str">
        <f ca="1">IF(AND(Registro!D116="Abierto",Registro!E116="Alta"),TODAY()-Registro!R116,"")</f>
        <v/>
      </c>
      <c r="F117" s="45" t="str">
        <f>IF(AND(Registro!D116="Abierto",Registro!E116="Alta"),RANK(E117,$E$9:$E$1000,0)+COUNTIF($E$9:E117,E117)-1+MAX(C$5:C$1000),"")</f>
        <v/>
      </c>
      <c r="G117" s="45" t="str">
        <f>IF(AND(Registro!D116="Abierto",Registro!E116="Media"),Registro!B116,"")</f>
        <v/>
      </c>
      <c r="H117" s="45" t="str">
        <f ca="1">IF(AND(Registro!D116="Abierto",Registro!E116="Media"),TODAY()-Registro!R116,"")</f>
        <v/>
      </c>
      <c r="I117" s="45" t="str">
        <f>IF(AND(Registro!D116="Abierto",Registro!E116="Media"),RANK(H117,$H$9:$H$1000,0)+COUNTIF($H$9:H117,H117)-1+MAX(C$5:C$1000,F$5:F$1000),"")</f>
        <v/>
      </c>
      <c r="J117" s="45" t="str">
        <f>IF(AND(Registro!D116="Abierto",Registro!E116="Baja"),Registro!B116,"")</f>
        <v/>
      </c>
      <c r="K117" s="45" t="str">
        <f ca="1">IF(AND(Registro!D116="Abierto",Registro!E116="Baja"),TODAY()-Registro!R116,"")</f>
        <v/>
      </c>
      <c r="L117" s="45" t="str">
        <f>IF(AND(Registro!D116="Abierto",Registro!E116="Baja"),RANK(K117,$K$9:$K$1000,0)+COUNTIF($K$9:K117,K117)-1+MAX(C$5:C$1000,F$5:F$1000,I$5:I$1000),"")</f>
        <v/>
      </c>
      <c r="M117" s="46">
        <f ca="1">IF(OR(Registro!D116="Resuelto",Registro!D116=""),"",SUM(C117,F117,I117,L117))</f>
        <v>1</v>
      </c>
      <c r="N117" s="46">
        <f ca="1">IF(OR(Registro!D116="Resuelto",Registro!D116=""),"",SUM(B117,E117,H117,K117))</f>
        <v>3</v>
      </c>
      <c r="O117" s="46" t="str">
        <f>IF(OR(Registro!D116="Resuelto",Registro!D116=""),"",_xlfn.CONCAT(A117,D117,G117,J117))</f>
        <v>6405-PFIN-26</v>
      </c>
      <c r="P117" s="47">
        <v>109</v>
      </c>
      <c r="Q117" s="47" t="str">
        <f t="shared" ca="1" si="3"/>
        <v/>
      </c>
      <c r="R117" s="48" t="str">
        <f t="shared" ca="1" si="4"/>
        <v/>
      </c>
      <c r="S117" s="32"/>
      <c r="T117" s="32"/>
      <c r="U117" s="32"/>
      <c r="V117" s="32"/>
      <c r="W117" s="47" t="str">
        <f>IF(X117="","",MAX($W$5:W116)+1)</f>
        <v/>
      </c>
      <c r="X117" s="50" t="str">
        <f>IF(Registro!M116="","",IF(COUNTIF($X$8:X116,Registro!M116)=0,Registro!M116,""))</f>
        <v/>
      </c>
      <c r="Y117" s="50" t="str">
        <f t="shared" si="5"/>
        <v/>
      </c>
    </row>
    <row r="118" spans="1:25">
      <c r="A118" s="45" t="str">
        <f>IF(AND(Registro!D117="Abierto",Registro!E117="Urgente"),Registro!B117,"")</f>
        <v/>
      </c>
      <c r="B118" s="45" t="str">
        <f ca="1">IF(AND(Registro!D117="Abierto",Registro!E117="Urgente"),TODAY()-Registro!R117,"")</f>
        <v/>
      </c>
      <c r="C118" s="45" t="str">
        <f>IF(AND(Registro!D117="Abierto",Registro!E117="Urgente"),RANK(B118,$B$9:$B$1000,0)+COUNTIF($B$9:B118,B118)-1,"")</f>
        <v/>
      </c>
      <c r="D118" s="45" t="str">
        <f>IF(AND(Registro!D117="Abierto",Registro!E117="Alta"),Registro!B117,"")</f>
        <v>6412-PFIN-26</v>
      </c>
      <c r="E118" s="45">
        <f ca="1">IF(AND(Registro!D117="Abierto",Registro!E117="Alta"),TODAY()-Registro!R117,"")</f>
        <v>-4</v>
      </c>
      <c r="F118" s="45">
        <f ca="1">IF(AND(Registro!D117="Abierto",Registro!E117="Alta"),RANK(E118,$E$9:$E$1000,0)+COUNTIF($E$9:E118,E118)-1+MAX(C$5:C$1000),"")</f>
        <v>8</v>
      </c>
      <c r="G118" s="45" t="str">
        <f>IF(AND(Registro!D117="Abierto",Registro!E117="Media"),Registro!B117,"")</f>
        <v/>
      </c>
      <c r="H118" s="45" t="str">
        <f ca="1">IF(AND(Registro!D117="Abierto",Registro!E117="Media"),TODAY()-Registro!R117,"")</f>
        <v/>
      </c>
      <c r="I118" s="45" t="str">
        <f>IF(AND(Registro!D117="Abierto",Registro!E117="Media"),RANK(H118,$H$9:$H$1000,0)+COUNTIF($H$9:H118,H118)-1+MAX(C$5:C$1000,F$5:F$1000),"")</f>
        <v/>
      </c>
      <c r="J118" s="45" t="str">
        <f>IF(AND(Registro!D117="Abierto",Registro!E117="Baja"),Registro!B117,"")</f>
        <v/>
      </c>
      <c r="K118" s="45" t="str">
        <f ca="1">IF(AND(Registro!D117="Abierto",Registro!E117="Baja"),TODAY()-Registro!R117,"")</f>
        <v/>
      </c>
      <c r="L118" s="45" t="str">
        <f>IF(AND(Registro!D117="Abierto",Registro!E117="Baja"),RANK(K118,$K$9:$K$1000,0)+COUNTIF($K$9:K118,K118)-1+MAX(C$5:C$1000,F$5:F$1000,I$5:I$1000),"")</f>
        <v/>
      </c>
      <c r="M118" s="46">
        <f ca="1">IF(OR(Registro!D117="Resuelto",Registro!D117=""),"",SUM(C118,F118,I118,L118))</f>
        <v>8</v>
      </c>
      <c r="N118" s="46">
        <f ca="1">IF(OR(Registro!D117="Resuelto",Registro!D117=""),"",SUM(B118,E118,H118,K118))</f>
        <v>-4</v>
      </c>
      <c r="O118" s="46" t="str">
        <f>IF(OR(Registro!D117="Resuelto",Registro!D117=""),"",_xlfn.CONCAT(A118,D118,G118,J118))</f>
        <v>6412-PFIN-26</v>
      </c>
      <c r="P118" s="47">
        <v>110</v>
      </c>
      <c r="Q118" s="47" t="str">
        <f t="shared" ca="1" si="3"/>
        <v/>
      </c>
      <c r="R118" s="48" t="str">
        <f t="shared" ca="1" si="4"/>
        <v/>
      </c>
      <c r="S118" s="32"/>
      <c r="T118" s="32"/>
      <c r="U118" s="32"/>
      <c r="V118" s="32"/>
      <c r="W118" s="47" t="str">
        <f>IF(X118="","",MAX($W$5:W117)+1)</f>
        <v/>
      </c>
      <c r="X118" s="50" t="str">
        <f>IF(Registro!M117="","",IF(COUNTIF($X$8:X117,Registro!M117)=0,Registro!M117,""))</f>
        <v/>
      </c>
      <c r="Y118" s="50" t="str">
        <f t="shared" si="5"/>
        <v/>
      </c>
    </row>
    <row r="119" spans="1:25">
      <c r="A119" s="45" t="str">
        <f>IF(AND(Registro!D118="Abierto",Registro!E118="Urgente"),Registro!B118,"")</f>
        <v/>
      </c>
      <c r="B119" s="45" t="str">
        <f ca="1">IF(AND(Registro!D118="Abierto",Registro!E118="Urgente"),TODAY()-Registro!R118,"")</f>
        <v/>
      </c>
      <c r="C119" s="45" t="str">
        <f>IF(AND(Registro!D118="Abierto",Registro!E118="Urgente"),RANK(B119,$B$9:$B$1000,0)+COUNTIF($B$9:B119,B119)-1,"")</f>
        <v/>
      </c>
      <c r="D119" s="45" t="str">
        <f>IF(AND(Registro!D118="Abierto",Registro!E118="Alta"),Registro!B118,"")</f>
        <v>6404-PFIN-26</v>
      </c>
      <c r="E119" s="45">
        <f ca="1">IF(AND(Registro!D118="Abierto",Registro!E118="Alta"),TODAY()-Registro!R118,"")</f>
        <v>46310</v>
      </c>
      <c r="F119" s="45">
        <f ca="1">IF(AND(Registro!D118="Abierto",Registro!E118="Alta"),RANK(E119,$E$9:$E$1000,0)+COUNTIF($E$9:E119,E119)-1+MAX(C$5:C$1000),"")</f>
        <v>3</v>
      </c>
      <c r="G119" s="45" t="str">
        <f>IF(AND(Registro!D118="Abierto",Registro!E118="Media"),Registro!B118,"")</f>
        <v/>
      </c>
      <c r="H119" s="45" t="str">
        <f ca="1">IF(AND(Registro!D118="Abierto",Registro!E118="Media"),TODAY()-Registro!R118,"")</f>
        <v/>
      </c>
      <c r="I119" s="45" t="str">
        <f>IF(AND(Registro!D118="Abierto",Registro!E118="Media"),RANK(H119,$H$9:$H$1000,0)+COUNTIF($H$9:H119,H119)-1+MAX(C$5:C$1000,F$5:F$1000),"")</f>
        <v/>
      </c>
      <c r="J119" s="45" t="str">
        <f>IF(AND(Registro!D118="Abierto",Registro!E118="Baja"),Registro!B118,"")</f>
        <v/>
      </c>
      <c r="K119" s="45" t="str">
        <f ca="1">IF(AND(Registro!D118="Abierto",Registro!E118="Baja"),TODAY()-Registro!R118,"")</f>
        <v/>
      </c>
      <c r="L119" s="45" t="str">
        <f>IF(AND(Registro!D118="Abierto",Registro!E118="Baja"),RANK(K119,$K$9:$K$1000,0)+COUNTIF($K$9:K119,K119)-1+MAX(C$5:C$1000,F$5:F$1000,I$5:I$1000),"")</f>
        <v/>
      </c>
      <c r="M119" s="46">
        <f ca="1">IF(OR(Registro!D118="Resuelto",Registro!D118=""),"",SUM(C119,F119,I119,L119))</f>
        <v>3</v>
      </c>
      <c r="N119" s="46">
        <f ca="1">IF(OR(Registro!D118="Resuelto",Registro!D118=""),"",SUM(B119,E119,H119,K119))</f>
        <v>46310</v>
      </c>
      <c r="O119" s="46" t="str">
        <f>IF(OR(Registro!D118="Resuelto",Registro!D118=""),"",_xlfn.CONCAT(A119,D119,G119,J119))</f>
        <v>6404-PFIN-26</v>
      </c>
      <c r="P119" s="47">
        <v>111</v>
      </c>
      <c r="Q119" s="47" t="str">
        <f t="shared" ca="1" si="3"/>
        <v/>
      </c>
      <c r="R119" s="48" t="str">
        <f t="shared" ca="1" si="4"/>
        <v/>
      </c>
      <c r="S119" s="32"/>
      <c r="T119" s="32"/>
      <c r="U119" s="32"/>
      <c r="V119" s="32"/>
      <c r="W119" s="47" t="str">
        <f>IF(X119="","",MAX($W$5:W118)+1)</f>
        <v/>
      </c>
      <c r="X119" s="50" t="str">
        <f>IF(Registro!M118="","",IF(COUNTIF($X$8:X118,Registro!M118)=0,Registro!M118,""))</f>
        <v/>
      </c>
      <c r="Y119" s="50" t="str">
        <f t="shared" si="5"/>
        <v/>
      </c>
    </row>
    <row r="120" spans="1:25">
      <c r="A120" s="45" t="str">
        <f>IF(AND(Registro!D119="Abierto",Registro!E119="Urgente"),Registro!B119,"")</f>
        <v>6411-PFIN-26</v>
      </c>
      <c r="B120" s="45">
        <f ca="1">IF(AND(Registro!D119="Abierto",Registro!E119="Urgente"),TODAY()-Registro!R119,"")</f>
        <v>-14</v>
      </c>
      <c r="C120" s="45">
        <f ca="1">IF(AND(Registro!D119="Abierto",Registro!E119="Urgente"),RANK(B120,$B$9:$B$1000,0)+COUNTIF($B$9:B120,B120)-1,"")</f>
        <v>2</v>
      </c>
      <c r="D120" s="45" t="str">
        <f>IF(AND(Registro!D119="Abierto",Registro!E119="Alta"),Registro!B119,"")</f>
        <v/>
      </c>
      <c r="E120" s="45" t="str">
        <f ca="1">IF(AND(Registro!D119="Abierto",Registro!E119="Alta"),TODAY()-Registro!R119,"")</f>
        <v/>
      </c>
      <c r="F120" s="45" t="str">
        <f>IF(AND(Registro!D119="Abierto",Registro!E119="Alta"),RANK(E120,$E$9:$E$1000,0)+COUNTIF($E$9:E120,E120)-1+MAX(C$5:C$1000),"")</f>
        <v/>
      </c>
      <c r="G120" s="45" t="str">
        <f>IF(AND(Registro!D119="Abierto",Registro!E119="Media"),Registro!B119,"")</f>
        <v/>
      </c>
      <c r="H120" s="45" t="str">
        <f ca="1">IF(AND(Registro!D119="Abierto",Registro!E119="Media"),TODAY()-Registro!R119,"")</f>
        <v/>
      </c>
      <c r="I120" s="45" t="str">
        <f>IF(AND(Registro!D119="Abierto",Registro!E119="Media"),RANK(H120,$H$9:$H$1000,0)+COUNTIF($H$9:H120,H120)-1+MAX(C$5:C$1000,F$5:F$1000),"")</f>
        <v/>
      </c>
      <c r="J120" s="45" t="str">
        <f>IF(AND(Registro!D119="Abierto",Registro!E119="Baja"),Registro!B119,"")</f>
        <v/>
      </c>
      <c r="K120" s="45" t="str">
        <f ca="1">IF(AND(Registro!D119="Abierto",Registro!E119="Baja"),TODAY()-Registro!R119,"")</f>
        <v/>
      </c>
      <c r="L120" s="45" t="str">
        <f>IF(AND(Registro!D119="Abierto",Registro!E119="Baja"),RANK(K120,$K$9:$K$1000,0)+COUNTIF($K$9:K120,K120)-1+MAX(C$5:C$1000,F$5:F$1000,I$5:I$1000),"")</f>
        <v/>
      </c>
      <c r="M120" s="46">
        <f ca="1">IF(OR(Registro!D119="Resuelto",Registro!D119=""),"",SUM(C120,F120,I120,L120))</f>
        <v>2</v>
      </c>
      <c r="N120" s="46">
        <f ca="1">IF(OR(Registro!D119="Resuelto",Registro!D119=""),"",SUM(B120,E120,H120,K120))</f>
        <v>-14</v>
      </c>
      <c r="O120" s="46" t="str">
        <f>IF(OR(Registro!D119="Resuelto",Registro!D119=""),"",_xlfn.CONCAT(A120,D120,G120,J120))</f>
        <v>6411-PFIN-26</v>
      </c>
      <c r="P120" s="47">
        <v>112</v>
      </c>
      <c r="Q120" s="47" t="str">
        <f t="shared" ca="1" si="3"/>
        <v/>
      </c>
      <c r="R120" s="48" t="str">
        <f t="shared" ca="1" si="4"/>
        <v/>
      </c>
      <c r="S120" s="32"/>
      <c r="T120" s="32"/>
      <c r="U120" s="32"/>
      <c r="V120" s="32"/>
      <c r="W120" s="47" t="str">
        <f>IF(X120="","",MAX($W$5:W119)+1)</f>
        <v/>
      </c>
      <c r="X120" s="50" t="str">
        <f>IF(Registro!M119="","",IF(COUNTIF($X$8:X119,Registro!M119)=0,Registro!M119,""))</f>
        <v/>
      </c>
      <c r="Y120" s="50" t="str">
        <f t="shared" si="5"/>
        <v/>
      </c>
    </row>
    <row r="121" spans="1:25">
      <c r="A121" s="45" t="str">
        <f>IF(AND(Registro!D120="Abierto",Registro!E120="Urgente"),Registro!B120,"")</f>
        <v/>
      </c>
      <c r="B121" s="45" t="str">
        <f ca="1">IF(AND(Registro!D120="Abierto",Registro!E120="Urgente"),TODAY()-Registro!R120,"")</f>
        <v/>
      </c>
      <c r="C121" s="45" t="str">
        <f>IF(AND(Registro!D120="Abierto",Registro!E120="Urgente"),RANK(B121,$B$9:$B$1000,0)+COUNTIF($B$9:B121,B121)-1,"")</f>
        <v/>
      </c>
      <c r="D121" s="45" t="str">
        <f>IF(AND(Registro!D120="Abierto",Registro!E120="Alta"),Registro!B120,"")</f>
        <v>6418-PFIN-26</v>
      </c>
      <c r="E121" s="45">
        <f ca="1">IF(AND(Registro!D120="Abierto",Registro!E120="Alta"),TODAY()-Registro!R120,"")</f>
        <v>-8</v>
      </c>
      <c r="F121" s="45">
        <f ca="1">IF(AND(Registro!D120="Abierto",Registro!E120="Alta"),RANK(E121,$E$9:$E$1000,0)+COUNTIF($E$9:E121,E121)-1+MAX(C$5:C$1000),"")</f>
        <v>10</v>
      </c>
      <c r="G121" s="45" t="str">
        <f>IF(AND(Registro!D120="Abierto",Registro!E120="Media"),Registro!B120,"")</f>
        <v/>
      </c>
      <c r="H121" s="45" t="str">
        <f ca="1">IF(AND(Registro!D120="Abierto",Registro!E120="Media"),TODAY()-Registro!R120,"")</f>
        <v/>
      </c>
      <c r="I121" s="45" t="str">
        <f>IF(AND(Registro!D120="Abierto",Registro!E120="Media"),RANK(H121,$H$9:$H$1000,0)+COUNTIF($H$9:H121,H121)-1+MAX(C$5:C$1000,F$5:F$1000),"")</f>
        <v/>
      </c>
      <c r="J121" s="45" t="str">
        <f>IF(AND(Registro!D120="Abierto",Registro!E120="Baja"),Registro!B120,"")</f>
        <v/>
      </c>
      <c r="K121" s="45" t="str">
        <f ca="1">IF(AND(Registro!D120="Abierto",Registro!E120="Baja"),TODAY()-Registro!R120,"")</f>
        <v/>
      </c>
      <c r="L121" s="45" t="str">
        <f>IF(AND(Registro!D120="Abierto",Registro!E120="Baja"),RANK(K121,$K$9:$K$1000,0)+COUNTIF($K$9:K121,K121)-1+MAX(C$5:C$1000,F$5:F$1000,I$5:I$1000),"")</f>
        <v/>
      </c>
      <c r="M121" s="46">
        <f ca="1">IF(OR(Registro!D120="Resuelto",Registro!D120=""),"",SUM(C121,F121,I121,L121))</f>
        <v>10</v>
      </c>
      <c r="N121" s="46">
        <f ca="1">IF(OR(Registro!D120="Resuelto",Registro!D120=""),"",SUM(B121,E121,H121,K121))</f>
        <v>-8</v>
      </c>
      <c r="O121" s="46" t="str">
        <f>IF(OR(Registro!D120="Resuelto",Registro!D120=""),"",_xlfn.CONCAT(A121,D121,G121,J121))</f>
        <v>6418-PFIN-26</v>
      </c>
      <c r="P121" s="47">
        <v>113</v>
      </c>
      <c r="Q121" s="47" t="str">
        <f t="shared" ca="1" si="3"/>
        <v/>
      </c>
      <c r="R121" s="48" t="str">
        <f t="shared" ca="1" si="4"/>
        <v/>
      </c>
      <c r="S121" s="32"/>
      <c r="T121" s="32"/>
      <c r="U121" s="32"/>
      <c r="V121" s="32"/>
      <c r="W121" s="47" t="str">
        <f>IF(X121="","",MAX($W$5:W120)+1)</f>
        <v/>
      </c>
      <c r="X121" s="50" t="str">
        <f>IF(Registro!M120="","",IF(COUNTIF($X$8:X120,Registro!M120)=0,Registro!M120,""))</f>
        <v/>
      </c>
      <c r="Y121" s="50" t="str">
        <f t="shared" si="5"/>
        <v/>
      </c>
    </row>
    <row r="122" spans="1:25">
      <c r="A122" s="45" t="str">
        <f>IF(AND(Registro!D121="Abierto",Registro!E121="Urgente"),Registro!B121,"")</f>
        <v/>
      </c>
      <c r="B122" s="45" t="str">
        <f ca="1">IF(AND(Registro!D121="Abierto",Registro!E121="Urgente"),TODAY()-Registro!R121,"")</f>
        <v/>
      </c>
      <c r="C122" s="45" t="str">
        <f>IF(AND(Registro!D121="Abierto",Registro!E121="Urgente"),RANK(B122,$B$9:$B$1000,0)+COUNTIF($B$9:B122,B122)-1,"")</f>
        <v/>
      </c>
      <c r="D122" s="45" t="str">
        <f>IF(AND(Registro!D121="Abierto",Registro!E121="Alta"),Registro!B121,"")</f>
        <v/>
      </c>
      <c r="E122" s="45" t="str">
        <f ca="1">IF(AND(Registro!D121="Abierto",Registro!E121="Alta"),TODAY()-Registro!R121,"")</f>
        <v/>
      </c>
      <c r="F122" s="45" t="str">
        <f>IF(AND(Registro!D121="Abierto",Registro!E121="Alta"),RANK(E122,$E$9:$E$1000,0)+COUNTIF($E$9:E122,E122)-1+MAX(C$5:C$1000),"")</f>
        <v/>
      </c>
      <c r="G122" s="45" t="str">
        <f>IF(AND(Registro!D121="Abierto",Registro!E121="Media"),Registro!B121,"")</f>
        <v/>
      </c>
      <c r="H122" s="45" t="str">
        <f ca="1">IF(AND(Registro!D121="Abierto",Registro!E121="Media"),TODAY()-Registro!R121,"")</f>
        <v/>
      </c>
      <c r="I122" s="45" t="str">
        <f>IF(AND(Registro!D121="Abierto",Registro!E121="Media"),RANK(H122,$H$9:$H$1000,0)+COUNTIF($H$9:H122,H122)-1+MAX(C$5:C$1000,F$5:F$1000),"")</f>
        <v/>
      </c>
      <c r="J122" s="45" t="str">
        <f>IF(AND(Registro!D121="Abierto",Registro!E121="Baja"),Registro!B121,"")</f>
        <v/>
      </c>
      <c r="K122" s="45" t="str">
        <f ca="1">IF(AND(Registro!D121="Abierto",Registro!E121="Baja"),TODAY()-Registro!R121,"")</f>
        <v/>
      </c>
      <c r="L122" s="45" t="str">
        <f>IF(AND(Registro!D121="Abierto",Registro!E121="Baja"),RANK(K122,$K$9:$K$1000,0)+COUNTIF($K$9:K122,K122)-1+MAX(C$5:C$1000,F$5:F$1000,I$5:I$1000),"")</f>
        <v/>
      </c>
      <c r="M122" s="46" t="str">
        <f>IF(OR(Registro!D121="Resuelto",Registro!D121=""),"",SUM(C122,F122,I122,L122))</f>
        <v/>
      </c>
      <c r="N122" s="46" t="str">
        <f>IF(OR(Registro!D121="Resuelto",Registro!D121=""),"",SUM(B122,E122,H122,K122))</f>
        <v/>
      </c>
      <c r="O122" s="46" t="str">
        <f>IF(OR(Registro!D121="Resuelto",Registro!D121=""),"",_xlfn.CONCAT(A122,D122,G122,J122))</f>
        <v/>
      </c>
      <c r="P122" s="47">
        <v>114</v>
      </c>
      <c r="Q122" s="47" t="str">
        <f t="shared" ca="1" si="3"/>
        <v/>
      </c>
      <c r="R122" s="48" t="str">
        <f t="shared" ca="1" si="4"/>
        <v/>
      </c>
      <c r="S122" s="32"/>
      <c r="T122" s="32"/>
      <c r="U122" s="32"/>
      <c r="V122" s="32"/>
      <c r="W122" s="47" t="str">
        <f>IF(X122="","",MAX($W$5:W121)+1)</f>
        <v/>
      </c>
      <c r="X122" s="50" t="str">
        <f>IF(Registro!M121="","",IF(COUNTIF($X$8:X121,Registro!M121)=0,Registro!M121,""))</f>
        <v/>
      </c>
      <c r="Y122" s="50" t="str">
        <f t="shared" si="5"/>
        <v/>
      </c>
    </row>
    <row r="123" spans="1:25">
      <c r="A123" s="45" t="str">
        <f>IF(AND(Registro!D122="Abierto",Registro!E122="Urgente"),Registro!B122,"")</f>
        <v/>
      </c>
      <c r="B123" s="45" t="str">
        <f ca="1">IF(AND(Registro!D122="Abierto",Registro!E122="Urgente"),TODAY()-Registro!R122,"")</f>
        <v/>
      </c>
      <c r="C123" s="45" t="str">
        <f>IF(AND(Registro!D122="Abierto",Registro!E122="Urgente"),RANK(B123,$B$9:$B$1000,0)+COUNTIF($B$9:B123,B123)-1,"")</f>
        <v/>
      </c>
      <c r="D123" s="45" t="str">
        <f>IF(AND(Registro!D122="Abierto",Registro!E122="Alta"),Registro!B122,"")</f>
        <v/>
      </c>
      <c r="E123" s="45" t="str">
        <f ca="1">IF(AND(Registro!D122="Abierto",Registro!E122="Alta"),TODAY()-Registro!R122,"")</f>
        <v/>
      </c>
      <c r="F123" s="45" t="str">
        <f>IF(AND(Registro!D122="Abierto",Registro!E122="Alta"),RANK(E123,$E$9:$E$1000,0)+COUNTIF($E$9:E123,E123)-1+MAX(C$5:C$1000),"")</f>
        <v/>
      </c>
      <c r="G123" s="45" t="str">
        <f>IF(AND(Registro!D122="Abierto",Registro!E122="Media"),Registro!B122,"")</f>
        <v/>
      </c>
      <c r="H123" s="45" t="str">
        <f ca="1">IF(AND(Registro!D122="Abierto",Registro!E122="Media"),TODAY()-Registro!R122,"")</f>
        <v/>
      </c>
      <c r="I123" s="45" t="str">
        <f>IF(AND(Registro!D122="Abierto",Registro!E122="Media"),RANK(H123,$H$9:$H$1000,0)+COUNTIF($H$9:H123,H123)-1+MAX(C$5:C$1000,F$5:F$1000),"")</f>
        <v/>
      </c>
      <c r="J123" s="45" t="str">
        <f>IF(AND(Registro!D122="Abierto",Registro!E122="Baja"),Registro!B122,"")</f>
        <v/>
      </c>
      <c r="K123" s="45" t="str">
        <f ca="1">IF(AND(Registro!D122="Abierto",Registro!E122="Baja"),TODAY()-Registro!R122,"")</f>
        <v/>
      </c>
      <c r="L123" s="45" t="str">
        <f>IF(AND(Registro!D122="Abierto",Registro!E122="Baja"),RANK(K123,$K$9:$K$1000,0)+COUNTIF($K$9:K123,K123)-1+MAX(C$5:C$1000,F$5:F$1000,I$5:I$1000),"")</f>
        <v/>
      </c>
      <c r="M123" s="46" t="str">
        <f>IF(OR(Registro!D122="Resuelto",Registro!D122=""),"",SUM(C123,F123,I123,L123))</f>
        <v/>
      </c>
      <c r="N123" s="46" t="str">
        <f>IF(OR(Registro!D122="Resuelto",Registro!D122=""),"",SUM(B123,E123,H123,K123))</f>
        <v/>
      </c>
      <c r="O123" s="46" t="str">
        <f>IF(OR(Registro!D122="Resuelto",Registro!D122=""),"",_xlfn.CONCAT(A123,D123,G123,J123))</f>
        <v/>
      </c>
      <c r="P123" s="47">
        <v>115</v>
      </c>
      <c r="Q123" s="47" t="str">
        <f t="shared" ca="1" si="3"/>
        <v/>
      </c>
      <c r="R123" s="48" t="str">
        <f t="shared" ca="1" si="4"/>
        <v/>
      </c>
      <c r="S123" s="32"/>
      <c r="T123" s="32"/>
      <c r="U123" s="32"/>
      <c r="V123" s="32"/>
      <c r="W123" s="47" t="str">
        <f>IF(X123="","",MAX($W$5:W122)+1)</f>
        <v/>
      </c>
      <c r="X123" s="50" t="str">
        <f>IF(Registro!M122="","",IF(COUNTIF($X$8:X122,Registro!M122)=0,Registro!M122,""))</f>
        <v/>
      </c>
      <c r="Y123" s="50" t="str">
        <f t="shared" si="5"/>
        <v/>
      </c>
    </row>
    <row r="124" spans="1:25">
      <c r="A124" s="45" t="str">
        <f>IF(AND(Registro!D123="Abierto",Registro!E123="Urgente"),Registro!B123,"")</f>
        <v/>
      </c>
      <c r="B124" s="45" t="str">
        <f ca="1">IF(AND(Registro!D123="Abierto",Registro!E123="Urgente"),TODAY()-Registro!R123,"")</f>
        <v/>
      </c>
      <c r="C124" s="45" t="str">
        <f>IF(AND(Registro!D123="Abierto",Registro!E123="Urgente"),RANK(B124,$B$9:$B$1000,0)+COUNTIF($B$9:B124,B124)-1,"")</f>
        <v/>
      </c>
      <c r="D124" s="45" t="str">
        <f>IF(AND(Registro!D123="Abierto",Registro!E123="Alta"),Registro!B123,"")</f>
        <v/>
      </c>
      <c r="E124" s="45" t="str">
        <f ca="1">IF(AND(Registro!D123="Abierto",Registro!E123="Alta"),TODAY()-Registro!R123,"")</f>
        <v/>
      </c>
      <c r="F124" s="45" t="str">
        <f>IF(AND(Registro!D123="Abierto",Registro!E123="Alta"),RANK(E124,$E$9:$E$1000,0)+COUNTIF($E$9:E124,E124)-1+MAX(C$5:C$1000),"")</f>
        <v/>
      </c>
      <c r="G124" s="45" t="str">
        <f>IF(AND(Registro!D123="Abierto",Registro!E123="Media"),Registro!B123,"")</f>
        <v/>
      </c>
      <c r="H124" s="45" t="str">
        <f ca="1">IF(AND(Registro!D123="Abierto",Registro!E123="Media"),TODAY()-Registro!R123,"")</f>
        <v/>
      </c>
      <c r="I124" s="45" t="str">
        <f>IF(AND(Registro!D123="Abierto",Registro!E123="Media"),RANK(H124,$H$9:$H$1000,0)+COUNTIF($H$9:H124,H124)-1+MAX(C$5:C$1000,F$5:F$1000),"")</f>
        <v/>
      </c>
      <c r="J124" s="45" t="str">
        <f>IF(AND(Registro!D123="Abierto",Registro!E123="Baja"),Registro!B123,"")</f>
        <v/>
      </c>
      <c r="K124" s="45" t="str">
        <f ca="1">IF(AND(Registro!D123="Abierto",Registro!E123="Baja"),TODAY()-Registro!R123,"")</f>
        <v/>
      </c>
      <c r="L124" s="45" t="str">
        <f>IF(AND(Registro!D123="Abierto",Registro!E123="Baja"),RANK(K124,$K$9:$K$1000,0)+COUNTIF($K$9:K124,K124)-1+MAX(C$5:C$1000,F$5:F$1000,I$5:I$1000),"")</f>
        <v/>
      </c>
      <c r="M124" s="46" t="str">
        <f>IF(OR(Registro!D123="Resuelto",Registro!D123=""),"",SUM(C124,F124,I124,L124))</f>
        <v/>
      </c>
      <c r="N124" s="46" t="str">
        <f>IF(OR(Registro!D123="Resuelto",Registro!D123=""),"",SUM(B124,E124,H124,K124))</f>
        <v/>
      </c>
      <c r="O124" s="46" t="str">
        <f>IF(OR(Registro!D123="Resuelto",Registro!D123=""),"",_xlfn.CONCAT(A124,D124,G124,J124))</f>
        <v/>
      </c>
      <c r="P124" s="47">
        <v>116</v>
      </c>
      <c r="Q124" s="47" t="str">
        <f t="shared" ca="1" si="3"/>
        <v/>
      </c>
      <c r="R124" s="48" t="str">
        <f t="shared" ca="1" si="4"/>
        <v/>
      </c>
      <c r="S124" s="32"/>
      <c r="T124" s="32"/>
      <c r="U124" s="32"/>
      <c r="V124" s="32"/>
      <c r="W124" s="47" t="str">
        <f>IF(X124="","",MAX($W$5:W123)+1)</f>
        <v/>
      </c>
      <c r="X124" s="50" t="str">
        <f>IF(Registro!M123="","",IF(COUNTIF($X$8:X123,Registro!M123)=0,Registro!M123,""))</f>
        <v/>
      </c>
      <c r="Y124" s="50" t="str">
        <f t="shared" si="5"/>
        <v/>
      </c>
    </row>
    <row r="125" spans="1:25">
      <c r="A125" s="45" t="str">
        <f>IF(AND(Registro!D124="Abierto",Registro!E124="Urgente"),Registro!B124,"")</f>
        <v/>
      </c>
      <c r="B125" s="45" t="str">
        <f ca="1">IF(AND(Registro!D124="Abierto",Registro!E124="Urgente"),TODAY()-Registro!R124,"")</f>
        <v/>
      </c>
      <c r="C125" s="45" t="str">
        <f>IF(AND(Registro!D124="Abierto",Registro!E124="Urgente"),RANK(B125,$B$9:$B$1000,0)+COUNTIF($B$9:B125,B125)-1,"")</f>
        <v/>
      </c>
      <c r="D125" s="45" t="str">
        <f>IF(AND(Registro!D124="Abierto",Registro!E124="Alta"),Registro!B124,"")</f>
        <v/>
      </c>
      <c r="E125" s="45" t="str">
        <f ca="1">IF(AND(Registro!D124="Abierto",Registro!E124="Alta"),TODAY()-Registro!R124,"")</f>
        <v/>
      </c>
      <c r="F125" s="45" t="str">
        <f>IF(AND(Registro!D124="Abierto",Registro!E124="Alta"),RANK(E125,$E$9:$E$1000,0)+COUNTIF($E$9:E125,E125)-1+MAX(C$5:C$1000),"")</f>
        <v/>
      </c>
      <c r="G125" s="45" t="str">
        <f>IF(AND(Registro!D124="Abierto",Registro!E124="Media"),Registro!B124,"")</f>
        <v/>
      </c>
      <c r="H125" s="45" t="str">
        <f ca="1">IF(AND(Registro!D124="Abierto",Registro!E124="Media"),TODAY()-Registro!R124,"")</f>
        <v/>
      </c>
      <c r="I125" s="45" t="str">
        <f>IF(AND(Registro!D124="Abierto",Registro!E124="Media"),RANK(H125,$H$9:$H$1000,0)+COUNTIF($H$9:H125,H125)-1+MAX(C$5:C$1000,F$5:F$1000),"")</f>
        <v/>
      </c>
      <c r="J125" s="45" t="str">
        <f>IF(AND(Registro!D124="Abierto",Registro!E124="Baja"),Registro!B124,"")</f>
        <v/>
      </c>
      <c r="K125" s="45" t="str">
        <f ca="1">IF(AND(Registro!D124="Abierto",Registro!E124="Baja"),TODAY()-Registro!R124,"")</f>
        <v/>
      </c>
      <c r="L125" s="45" t="str">
        <f>IF(AND(Registro!D124="Abierto",Registro!E124="Baja"),RANK(K125,$K$9:$K$1000,0)+COUNTIF($K$9:K125,K125)-1+MAX(C$5:C$1000,F$5:F$1000,I$5:I$1000),"")</f>
        <v/>
      </c>
      <c r="M125" s="46" t="str">
        <f>IF(OR(Registro!D124="Resuelto",Registro!D124=""),"",SUM(C125,F125,I125,L125))</f>
        <v/>
      </c>
      <c r="N125" s="46" t="str">
        <f>IF(OR(Registro!D124="Resuelto",Registro!D124=""),"",SUM(B125,E125,H125,K125))</f>
        <v/>
      </c>
      <c r="O125" s="46" t="str">
        <f>IF(OR(Registro!D124="Resuelto",Registro!D124=""),"",_xlfn.CONCAT(A125,D125,G125,J125))</f>
        <v/>
      </c>
      <c r="P125" s="47">
        <v>117</v>
      </c>
      <c r="Q125" s="47" t="str">
        <f t="shared" ca="1" si="3"/>
        <v/>
      </c>
      <c r="R125" s="48" t="str">
        <f t="shared" ca="1" si="4"/>
        <v/>
      </c>
      <c r="S125" s="32"/>
      <c r="T125" s="32"/>
      <c r="U125" s="32"/>
      <c r="V125" s="32"/>
      <c r="W125" s="47" t="str">
        <f>IF(X125="","",MAX($W$5:W124)+1)</f>
        <v/>
      </c>
      <c r="X125" s="50" t="str">
        <f>IF(Registro!M124="","",IF(COUNTIF($X$8:X124,Registro!M124)=0,Registro!M124,""))</f>
        <v/>
      </c>
      <c r="Y125" s="50" t="str">
        <f t="shared" si="5"/>
        <v/>
      </c>
    </row>
    <row r="126" spans="1:25">
      <c r="A126" s="45" t="str">
        <f>IF(AND(Registro!D125="Abierto",Registro!E125="Urgente"),Registro!B125,"")</f>
        <v/>
      </c>
      <c r="B126" s="45" t="str">
        <f ca="1">IF(AND(Registro!D125="Abierto",Registro!E125="Urgente"),TODAY()-Registro!R125,"")</f>
        <v/>
      </c>
      <c r="C126" s="45" t="str">
        <f>IF(AND(Registro!D125="Abierto",Registro!E125="Urgente"),RANK(B126,$B$9:$B$1000,0)+COUNTIF($B$9:B126,B126)-1,"")</f>
        <v/>
      </c>
      <c r="D126" s="45" t="str">
        <f>IF(AND(Registro!D125="Abierto",Registro!E125="Alta"),Registro!B125,"")</f>
        <v/>
      </c>
      <c r="E126" s="45" t="str">
        <f ca="1">IF(AND(Registro!D125="Abierto",Registro!E125="Alta"),TODAY()-Registro!R125,"")</f>
        <v/>
      </c>
      <c r="F126" s="45" t="str">
        <f>IF(AND(Registro!D125="Abierto",Registro!E125="Alta"),RANK(E126,$E$9:$E$1000,0)+COUNTIF($E$9:E126,E126)-1+MAX(C$5:C$1000),"")</f>
        <v/>
      </c>
      <c r="G126" s="45" t="str">
        <f>IF(AND(Registro!D125="Abierto",Registro!E125="Media"),Registro!B125,"")</f>
        <v/>
      </c>
      <c r="H126" s="45" t="str">
        <f ca="1">IF(AND(Registro!D125="Abierto",Registro!E125="Media"),TODAY()-Registro!R125,"")</f>
        <v/>
      </c>
      <c r="I126" s="45" t="str">
        <f>IF(AND(Registro!D125="Abierto",Registro!E125="Media"),RANK(H126,$H$9:$H$1000,0)+COUNTIF($H$9:H126,H126)-1+MAX(C$5:C$1000,F$5:F$1000),"")</f>
        <v/>
      </c>
      <c r="J126" s="45" t="str">
        <f>IF(AND(Registro!D125="Abierto",Registro!E125="Baja"),Registro!B125,"")</f>
        <v/>
      </c>
      <c r="K126" s="45" t="str">
        <f ca="1">IF(AND(Registro!D125="Abierto",Registro!E125="Baja"),TODAY()-Registro!R125,"")</f>
        <v/>
      </c>
      <c r="L126" s="45" t="str">
        <f>IF(AND(Registro!D125="Abierto",Registro!E125="Baja"),RANK(K126,$K$9:$K$1000,0)+COUNTIF($K$9:K126,K126)-1+MAX(C$5:C$1000,F$5:F$1000,I$5:I$1000),"")</f>
        <v/>
      </c>
      <c r="M126" s="46" t="str">
        <f>IF(OR(Registro!D125="Resuelto",Registro!D125=""),"",SUM(C126,F126,I126,L126))</f>
        <v/>
      </c>
      <c r="N126" s="46" t="str">
        <f>IF(OR(Registro!D125="Resuelto",Registro!D125=""),"",SUM(B126,E126,H126,K126))</f>
        <v/>
      </c>
      <c r="O126" s="46" t="str">
        <f>IF(OR(Registro!D125="Resuelto",Registro!D125=""),"",_xlfn.CONCAT(A126,D126,G126,J126))</f>
        <v/>
      </c>
      <c r="P126" s="47">
        <v>118</v>
      </c>
      <c r="Q126" s="47" t="str">
        <f t="shared" ca="1" si="3"/>
        <v/>
      </c>
      <c r="R126" s="48" t="str">
        <f t="shared" ca="1" si="4"/>
        <v/>
      </c>
      <c r="S126" s="32"/>
      <c r="T126" s="32"/>
      <c r="U126" s="32"/>
      <c r="V126" s="32"/>
      <c r="W126" s="47" t="str">
        <f>IF(X126="","",MAX($W$5:W125)+1)</f>
        <v/>
      </c>
      <c r="X126" s="50" t="str">
        <f>IF(Registro!M125="","",IF(COUNTIF($X$8:X125,Registro!M125)=0,Registro!M125,""))</f>
        <v/>
      </c>
      <c r="Y126" s="50" t="str">
        <f t="shared" si="5"/>
        <v/>
      </c>
    </row>
    <row r="127" spans="1:25">
      <c r="A127" s="45" t="str">
        <f>IF(AND(Registro!D126="Abierto",Registro!E126="Urgente"),Registro!B126,"")</f>
        <v/>
      </c>
      <c r="B127" s="45" t="str">
        <f ca="1">IF(AND(Registro!D126="Abierto",Registro!E126="Urgente"),TODAY()-Registro!R126,"")</f>
        <v/>
      </c>
      <c r="C127" s="45" t="str">
        <f>IF(AND(Registro!D126="Abierto",Registro!E126="Urgente"),RANK(B127,$B$9:$B$1000,0)+COUNTIF($B$9:B127,B127)-1,"")</f>
        <v/>
      </c>
      <c r="D127" s="45" t="str">
        <f>IF(AND(Registro!D126="Abierto",Registro!E126="Alta"),Registro!B126,"")</f>
        <v/>
      </c>
      <c r="E127" s="45" t="str">
        <f ca="1">IF(AND(Registro!D126="Abierto",Registro!E126="Alta"),TODAY()-Registro!R126,"")</f>
        <v/>
      </c>
      <c r="F127" s="45" t="str">
        <f>IF(AND(Registro!D126="Abierto",Registro!E126="Alta"),RANK(E127,$E$9:$E$1000,0)+COUNTIF($E$9:E127,E127)-1+MAX(C$5:C$1000),"")</f>
        <v/>
      </c>
      <c r="G127" s="45" t="str">
        <f>IF(AND(Registro!D126="Abierto",Registro!E126="Media"),Registro!B126,"")</f>
        <v/>
      </c>
      <c r="H127" s="45" t="str">
        <f ca="1">IF(AND(Registro!D126="Abierto",Registro!E126="Media"),TODAY()-Registro!R126,"")</f>
        <v/>
      </c>
      <c r="I127" s="45" t="str">
        <f>IF(AND(Registro!D126="Abierto",Registro!E126="Media"),RANK(H127,$H$9:$H$1000,0)+COUNTIF($H$9:H127,H127)-1+MAX(C$5:C$1000,F$5:F$1000),"")</f>
        <v/>
      </c>
      <c r="J127" s="45" t="str">
        <f>IF(AND(Registro!D126="Abierto",Registro!E126="Baja"),Registro!B126,"")</f>
        <v/>
      </c>
      <c r="K127" s="45" t="str">
        <f ca="1">IF(AND(Registro!D126="Abierto",Registro!E126="Baja"),TODAY()-Registro!R126,"")</f>
        <v/>
      </c>
      <c r="L127" s="45" t="str">
        <f>IF(AND(Registro!D126="Abierto",Registro!E126="Baja"),RANK(K127,$K$9:$K$1000,0)+COUNTIF($K$9:K127,K127)-1+MAX(C$5:C$1000,F$5:F$1000,I$5:I$1000),"")</f>
        <v/>
      </c>
      <c r="M127" s="46" t="str">
        <f>IF(OR(Registro!D126="Resuelto",Registro!D126=""),"",SUM(C127,F127,I127,L127))</f>
        <v/>
      </c>
      <c r="N127" s="46" t="str">
        <f>IF(OR(Registro!D126="Resuelto",Registro!D126=""),"",SUM(B127,E127,H127,K127))</f>
        <v/>
      </c>
      <c r="O127" s="46" t="str">
        <f>IF(OR(Registro!D126="Resuelto",Registro!D126=""),"",_xlfn.CONCAT(A127,D127,G127,J127))</f>
        <v/>
      </c>
      <c r="P127" s="47">
        <v>119</v>
      </c>
      <c r="Q127" s="47" t="str">
        <f t="shared" ca="1" si="3"/>
        <v/>
      </c>
      <c r="R127" s="48" t="str">
        <f t="shared" ca="1" si="4"/>
        <v/>
      </c>
      <c r="S127" s="32"/>
      <c r="T127" s="32"/>
      <c r="U127" s="32"/>
      <c r="V127" s="32"/>
      <c r="W127" s="47" t="str">
        <f>IF(X127="","",MAX($W$5:W126)+1)</f>
        <v/>
      </c>
      <c r="X127" s="50" t="str">
        <f>IF(Registro!M126="","",IF(COUNTIF($X$8:X126,Registro!M126)=0,Registro!M126,""))</f>
        <v/>
      </c>
      <c r="Y127" s="50" t="str">
        <f t="shared" si="5"/>
        <v/>
      </c>
    </row>
    <row r="128" spans="1:25">
      <c r="A128" s="45" t="str">
        <f>IF(AND(Registro!D127="Abierto",Registro!E127="Urgente"),Registro!B127,"")</f>
        <v/>
      </c>
      <c r="B128" s="45" t="str">
        <f ca="1">IF(AND(Registro!D127="Abierto",Registro!E127="Urgente"),TODAY()-Registro!R127,"")</f>
        <v/>
      </c>
      <c r="C128" s="45" t="str">
        <f>IF(AND(Registro!D127="Abierto",Registro!E127="Urgente"),RANK(B128,$B$9:$B$1000,0)+COUNTIF($B$9:B128,B128)-1,"")</f>
        <v/>
      </c>
      <c r="D128" s="45" t="str">
        <f>IF(AND(Registro!D127="Abierto",Registro!E127="Alta"),Registro!B127,"")</f>
        <v/>
      </c>
      <c r="E128" s="45" t="str">
        <f ca="1">IF(AND(Registro!D127="Abierto",Registro!E127="Alta"),TODAY()-Registro!R127,"")</f>
        <v/>
      </c>
      <c r="F128" s="45" t="str">
        <f>IF(AND(Registro!D127="Abierto",Registro!E127="Alta"),RANK(E128,$E$9:$E$1000,0)+COUNTIF($E$9:E128,E128)-1+MAX(C$5:C$1000),"")</f>
        <v/>
      </c>
      <c r="G128" s="45" t="str">
        <f>IF(AND(Registro!D127="Abierto",Registro!E127="Media"),Registro!B127,"")</f>
        <v/>
      </c>
      <c r="H128" s="45" t="str">
        <f ca="1">IF(AND(Registro!D127="Abierto",Registro!E127="Media"),TODAY()-Registro!R127,"")</f>
        <v/>
      </c>
      <c r="I128" s="45" t="str">
        <f>IF(AND(Registro!D127="Abierto",Registro!E127="Media"),RANK(H128,$H$9:$H$1000,0)+COUNTIF($H$9:H128,H128)-1+MAX(C$5:C$1000,F$5:F$1000),"")</f>
        <v/>
      </c>
      <c r="J128" s="45" t="str">
        <f>IF(AND(Registro!D127="Abierto",Registro!E127="Baja"),Registro!B127,"")</f>
        <v/>
      </c>
      <c r="K128" s="45" t="str">
        <f ca="1">IF(AND(Registro!D127="Abierto",Registro!E127="Baja"),TODAY()-Registro!R127,"")</f>
        <v/>
      </c>
      <c r="L128" s="45" t="str">
        <f>IF(AND(Registro!D127="Abierto",Registro!E127="Baja"),RANK(K128,$K$9:$K$1000,0)+COUNTIF($K$9:K128,K128)-1+MAX(C$5:C$1000,F$5:F$1000,I$5:I$1000),"")</f>
        <v/>
      </c>
      <c r="M128" s="46" t="str">
        <f>IF(OR(Registro!D127="Resuelto",Registro!D127=""),"",SUM(C128,F128,I128,L128))</f>
        <v/>
      </c>
      <c r="N128" s="46" t="str">
        <f>IF(OR(Registro!D127="Resuelto",Registro!D127=""),"",SUM(B128,E128,H128,K128))</f>
        <v/>
      </c>
      <c r="O128" s="46" t="str">
        <f>IF(OR(Registro!D127="Resuelto",Registro!D127=""),"",_xlfn.CONCAT(A128,D128,G128,J128))</f>
        <v/>
      </c>
      <c r="P128" s="47">
        <v>120</v>
      </c>
      <c r="Q128" s="47" t="str">
        <f t="shared" ca="1" si="3"/>
        <v/>
      </c>
      <c r="R128" s="48" t="str">
        <f t="shared" ca="1" si="4"/>
        <v/>
      </c>
      <c r="S128" s="32"/>
      <c r="T128" s="32"/>
      <c r="U128" s="32"/>
      <c r="V128" s="32"/>
      <c r="W128" s="47" t="str">
        <f>IF(X128="","",MAX($W$5:W127)+1)</f>
        <v/>
      </c>
      <c r="X128" s="50" t="str">
        <f>IF(Registro!M127="","",IF(COUNTIF($X$8:X127,Registro!M127)=0,Registro!M127,""))</f>
        <v/>
      </c>
      <c r="Y128" s="50" t="str">
        <f t="shared" si="5"/>
        <v/>
      </c>
    </row>
    <row r="129" spans="1:25">
      <c r="A129" s="45" t="str">
        <f>IF(AND(Registro!D128="Abierto",Registro!E128="Urgente"),Registro!B128,"")</f>
        <v/>
      </c>
      <c r="B129" s="45" t="str">
        <f ca="1">IF(AND(Registro!D128="Abierto",Registro!E128="Urgente"),TODAY()-Registro!R128,"")</f>
        <v/>
      </c>
      <c r="C129" s="45" t="str">
        <f>IF(AND(Registro!D128="Abierto",Registro!E128="Urgente"),RANK(B129,$B$9:$B$1000,0)+COUNTIF($B$9:B129,B129)-1,"")</f>
        <v/>
      </c>
      <c r="D129" s="45" t="str">
        <f>IF(AND(Registro!D128="Abierto",Registro!E128="Alta"),Registro!B128,"")</f>
        <v/>
      </c>
      <c r="E129" s="45" t="str">
        <f ca="1">IF(AND(Registro!D128="Abierto",Registro!E128="Alta"),TODAY()-Registro!R128,"")</f>
        <v/>
      </c>
      <c r="F129" s="45" t="str">
        <f>IF(AND(Registro!D128="Abierto",Registro!E128="Alta"),RANK(E129,$E$9:$E$1000,0)+COUNTIF($E$9:E129,E129)-1+MAX(C$5:C$1000),"")</f>
        <v/>
      </c>
      <c r="G129" s="45" t="str">
        <f>IF(AND(Registro!D128="Abierto",Registro!E128="Media"),Registro!B128,"")</f>
        <v/>
      </c>
      <c r="H129" s="45" t="str">
        <f ca="1">IF(AND(Registro!D128="Abierto",Registro!E128="Media"),TODAY()-Registro!R128,"")</f>
        <v/>
      </c>
      <c r="I129" s="45" t="str">
        <f>IF(AND(Registro!D128="Abierto",Registro!E128="Media"),RANK(H129,$H$9:$H$1000,0)+COUNTIF($H$9:H129,H129)-1+MAX(C$5:C$1000,F$5:F$1000),"")</f>
        <v/>
      </c>
      <c r="J129" s="45" t="str">
        <f>IF(AND(Registro!D128="Abierto",Registro!E128="Baja"),Registro!B128,"")</f>
        <v/>
      </c>
      <c r="K129" s="45" t="str">
        <f ca="1">IF(AND(Registro!D128="Abierto",Registro!E128="Baja"),TODAY()-Registro!R128,"")</f>
        <v/>
      </c>
      <c r="L129" s="45" t="str">
        <f>IF(AND(Registro!D128="Abierto",Registro!E128="Baja"),RANK(K129,$K$9:$K$1000,0)+COUNTIF($K$9:K129,K129)-1+MAX(C$5:C$1000,F$5:F$1000,I$5:I$1000),"")</f>
        <v/>
      </c>
      <c r="M129" s="46" t="str">
        <f>IF(OR(Registro!D128="Resuelto",Registro!D128=""),"",SUM(C129,F129,I129,L129))</f>
        <v/>
      </c>
      <c r="N129" s="46" t="str">
        <f>IF(OR(Registro!D128="Resuelto",Registro!D128=""),"",SUM(B129,E129,H129,K129))</f>
        <v/>
      </c>
      <c r="O129" s="46" t="str">
        <f>IF(OR(Registro!D128="Resuelto",Registro!D128=""),"",_xlfn.CONCAT(A129,D129,G129,J129))</f>
        <v/>
      </c>
      <c r="P129" s="47">
        <v>121</v>
      </c>
      <c r="Q129" s="47" t="str">
        <f t="shared" ca="1" si="3"/>
        <v/>
      </c>
      <c r="R129" s="48" t="str">
        <f t="shared" ca="1" si="4"/>
        <v/>
      </c>
      <c r="S129" s="32"/>
      <c r="T129" s="32"/>
      <c r="U129" s="32"/>
      <c r="V129" s="32"/>
      <c r="W129" s="47" t="str">
        <f>IF(X129="","",MAX($W$5:W128)+1)</f>
        <v/>
      </c>
      <c r="X129" s="50" t="str">
        <f>IF(Registro!M128="","",IF(COUNTIF($X$8:X128,Registro!M128)=0,Registro!M128,""))</f>
        <v/>
      </c>
      <c r="Y129" s="50" t="str">
        <f t="shared" si="5"/>
        <v/>
      </c>
    </row>
    <row r="130" spans="1:25">
      <c r="A130" s="45" t="str">
        <f>IF(AND(Registro!D129="Abierto",Registro!E129="Urgente"),Registro!B129,"")</f>
        <v/>
      </c>
      <c r="B130" s="45" t="str">
        <f ca="1">IF(AND(Registro!D129="Abierto",Registro!E129="Urgente"),TODAY()-Registro!R129,"")</f>
        <v/>
      </c>
      <c r="C130" s="45" t="str">
        <f>IF(AND(Registro!D129="Abierto",Registro!E129="Urgente"),RANK(B130,$B$9:$B$1000,0)+COUNTIF($B$9:B130,B130)-1,"")</f>
        <v/>
      </c>
      <c r="D130" s="45" t="str">
        <f>IF(AND(Registro!D129="Abierto",Registro!E129="Alta"),Registro!B129,"")</f>
        <v/>
      </c>
      <c r="E130" s="45" t="str">
        <f ca="1">IF(AND(Registro!D129="Abierto",Registro!E129="Alta"),TODAY()-Registro!R129,"")</f>
        <v/>
      </c>
      <c r="F130" s="45" t="str">
        <f>IF(AND(Registro!D129="Abierto",Registro!E129="Alta"),RANK(E130,$E$9:$E$1000,0)+COUNTIF($E$9:E130,E130)-1+MAX(C$5:C$1000),"")</f>
        <v/>
      </c>
      <c r="G130" s="45" t="str">
        <f>IF(AND(Registro!D129="Abierto",Registro!E129="Media"),Registro!B129,"")</f>
        <v/>
      </c>
      <c r="H130" s="45" t="str">
        <f ca="1">IF(AND(Registro!D129="Abierto",Registro!E129="Media"),TODAY()-Registro!R129,"")</f>
        <v/>
      </c>
      <c r="I130" s="45" t="str">
        <f>IF(AND(Registro!D129="Abierto",Registro!E129="Media"),RANK(H130,$H$9:$H$1000,0)+COUNTIF($H$9:H130,H130)-1+MAX(C$5:C$1000,F$5:F$1000),"")</f>
        <v/>
      </c>
      <c r="J130" s="45" t="str">
        <f>IF(AND(Registro!D129="Abierto",Registro!E129="Baja"),Registro!B129,"")</f>
        <v/>
      </c>
      <c r="K130" s="45" t="str">
        <f ca="1">IF(AND(Registro!D129="Abierto",Registro!E129="Baja"),TODAY()-Registro!R129,"")</f>
        <v/>
      </c>
      <c r="L130" s="45" t="str">
        <f>IF(AND(Registro!D129="Abierto",Registro!E129="Baja"),RANK(K130,$K$9:$K$1000,0)+COUNTIF($K$9:K130,K130)-1+MAX(C$5:C$1000,F$5:F$1000,I$5:I$1000),"")</f>
        <v/>
      </c>
      <c r="M130" s="46" t="str">
        <f>IF(OR(Registro!D129="Resuelto",Registro!D129=""),"",SUM(C130,F130,I130,L130))</f>
        <v/>
      </c>
      <c r="N130" s="46" t="str">
        <f>IF(OR(Registro!D129="Resuelto",Registro!D129=""),"",SUM(B130,E130,H130,K130))</f>
        <v/>
      </c>
      <c r="O130" s="46" t="str">
        <f>IF(OR(Registro!D129="Resuelto",Registro!D129=""),"",_xlfn.CONCAT(A130,D130,G130,J130))</f>
        <v/>
      </c>
      <c r="P130" s="47">
        <v>122</v>
      </c>
      <c r="Q130" s="47" t="str">
        <f t="shared" ca="1" si="3"/>
        <v/>
      </c>
      <c r="R130" s="48" t="str">
        <f t="shared" ca="1" si="4"/>
        <v/>
      </c>
      <c r="S130" s="32"/>
      <c r="T130" s="32"/>
      <c r="U130" s="32"/>
      <c r="V130" s="32"/>
      <c r="W130" s="47" t="str">
        <f>IF(X130="","",MAX($W$5:W129)+1)</f>
        <v/>
      </c>
      <c r="X130" s="50" t="str">
        <f>IF(Registro!M129="","",IF(COUNTIF($X$8:X129,Registro!M129)=0,Registro!M129,""))</f>
        <v/>
      </c>
      <c r="Y130" s="50" t="str">
        <f t="shared" si="5"/>
        <v/>
      </c>
    </row>
    <row r="131" spans="1:25">
      <c r="A131" s="45" t="str">
        <f>IF(AND(Registro!D130="Abierto",Registro!E130="Urgente"),Registro!B130,"")</f>
        <v/>
      </c>
      <c r="B131" s="45" t="str">
        <f ca="1">IF(AND(Registro!D130="Abierto",Registro!E130="Urgente"),TODAY()-Registro!R130,"")</f>
        <v/>
      </c>
      <c r="C131" s="45" t="str">
        <f>IF(AND(Registro!D130="Abierto",Registro!E130="Urgente"),RANK(B131,$B$9:$B$1000,0)+COUNTIF($B$9:B131,B131)-1,"")</f>
        <v/>
      </c>
      <c r="D131" s="45" t="str">
        <f>IF(AND(Registro!D130="Abierto",Registro!E130="Alta"),Registro!B130,"")</f>
        <v/>
      </c>
      <c r="E131" s="45" t="str">
        <f ca="1">IF(AND(Registro!D130="Abierto",Registro!E130="Alta"),TODAY()-Registro!R130,"")</f>
        <v/>
      </c>
      <c r="F131" s="45" t="str">
        <f>IF(AND(Registro!D130="Abierto",Registro!E130="Alta"),RANK(E131,$E$9:$E$1000,0)+COUNTIF($E$9:E131,E131)-1+MAX(C$5:C$1000),"")</f>
        <v/>
      </c>
      <c r="G131" s="45" t="str">
        <f>IF(AND(Registro!D130="Abierto",Registro!E130="Media"),Registro!B130,"")</f>
        <v/>
      </c>
      <c r="H131" s="45" t="str">
        <f ca="1">IF(AND(Registro!D130="Abierto",Registro!E130="Media"),TODAY()-Registro!R130,"")</f>
        <v/>
      </c>
      <c r="I131" s="45" t="str">
        <f>IF(AND(Registro!D130="Abierto",Registro!E130="Media"),RANK(H131,$H$9:$H$1000,0)+COUNTIF($H$9:H131,H131)-1+MAX(C$5:C$1000,F$5:F$1000),"")</f>
        <v/>
      </c>
      <c r="J131" s="45" t="str">
        <f>IF(AND(Registro!D130="Abierto",Registro!E130="Baja"),Registro!B130,"")</f>
        <v/>
      </c>
      <c r="K131" s="45" t="str">
        <f ca="1">IF(AND(Registro!D130="Abierto",Registro!E130="Baja"),TODAY()-Registro!R130,"")</f>
        <v/>
      </c>
      <c r="L131" s="45" t="str">
        <f>IF(AND(Registro!D130="Abierto",Registro!E130="Baja"),RANK(K131,$K$9:$K$1000,0)+COUNTIF($K$9:K131,K131)-1+MAX(C$5:C$1000,F$5:F$1000,I$5:I$1000),"")</f>
        <v/>
      </c>
      <c r="M131" s="46" t="str">
        <f>IF(OR(Registro!D130="Resuelto",Registro!D130=""),"",SUM(C131,F131,I131,L131))</f>
        <v/>
      </c>
      <c r="N131" s="46" t="str">
        <f>IF(OR(Registro!D130="Resuelto",Registro!D130=""),"",SUM(B131,E131,H131,K131))</f>
        <v/>
      </c>
      <c r="O131" s="46" t="str">
        <f>IF(OR(Registro!D130="Resuelto",Registro!D130=""),"",_xlfn.CONCAT(A131,D131,G131,J131))</f>
        <v/>
      </c>
      <c r="P131" s="47">
        <v>123</v>
      </c>
      <c r="Q131" s="47" t="str">
        <f t="shared" ca="1" si="3"/>
        <v/>
      </c>
      <c r="R131" s="48" t="str">
        <f t="shared" ca="1" si="4"/>
        <v/>
      </c>
      <c r="S131" s="32"/>
      <c r="T131" s="32"/>
      <c r="U131" s="32"/>
      <c r="V131" s="32"/>
      <c r="W131" s="47" t="str">
        <f>IF(X131="","",MAX($W$5:W130)+1)</f>
        <v/>
      </c>
      <c r="X131" s="50" t="str">
        <f>IF(Registro!M130="","",IF(COUNTIF($X$8:X130,Registro!M130)=0,Registro!M130,""))</f>
        <v/>
      </c>
      <c r="Y131" s="50" t="str">
        <f t="shared" si="5"/>
        <v/>
      </c>
    </row>
    <row r="132" spans="1:25">
      <c r="A132" s="45" t="str">
        <f>IF(AND(Registro!D131="Abierto",Registro!E131="Urgente"),Registro!B131,"")</f>
        <v/>
      </c>
      <c r="B132" s="45" t="str">
        <f ca="1">IF(AND(Registro!D131="Abierto",Registro!E131="Urgente"),TODAY()-Registro!R131,"")</f>
        <v/>
      </c>
      <c r="C132" s="45" t="str">
        <f>IF(AND(Registro!D131="Abierto",Registro!E131="Urgente"),RANK(B132,$B$9:$B$1000,0)+COUNTIF($B$9:B132,B132)-1,"")</f>
        <v/>
      </c>
      <c r="D132" s="45" t="str">
        <f>IF(AND(Registro!D131="Abierto",Registro!E131="Alta"),Registro!B131,"")</f>
        <v/>
      </c>
      <c r="E132" s="45" t="str">
        <f ca="1">IF(AND(Registro!D131="Abierto",Registro!E131="Alta"),TODAY()-Registro!R131,"")</f>
        <v/>
      </c>
      <c r="F132" s="45" t="str">
        <f>IF(AND(Registro!D131="Abierto",Registro!E131="Alta"),RANK(E132,$E$9:$E$1000,0)+COUNTIF($E$9:E132,E132)-1+MAX(C$5:C$1000),"")</f>
        <v/>
      </c>
      <c r="G132" s="45" t="str">
        <f>IF(AND(Registro!D131="Abierto",Registro!E131="Media"),Registro!B131,"")</f>
        <v/>
      </c>
      <c r="H132" s="45" t="str">
        <f ca="1">IF(AND(Registro!D131="Abierto",Registro!E131="Media"),TODAY()-Registro!R131,"")</f>
        <v/>
      </c>
      <c r="I132" s="45" t="str">
        <f>IF(AND(Registro!D131="Abierto",Registro!E131="Media"),RANK(H132,$H$9:$H$1000,0)+COUNTIF($H$9:H132,H132)-1+MAX(C$5:C$1000,F$5:F$1000),"")</f>
        <v/>
      </c>
      <c r="J132" s="45" t="str">
        <f>IF(AND(Registro!D131="Abierto",Registro!E131="Baja"),Registro!B131,"")</f>
        <v/>
      </c>
      <c r="K132" s="45" t="str">
        <f ca="1">IF(AND(Registro!D131="Abierto",Registro!E131="Baja"),TODAY()-Registro!R131,"")</f>
        <v/>
      </c>
      <c r="L132" s="45" t="str">
        <f>IF(AND(Registro!D131="Abierto",Registro!E131="Baja"),RANK(K132,$K$9:$K$1000,0)+COUNTIF($K$9:K132,K132)-1+MAX(C$5:C$1000,F$5:F$1000,I$5:I$1000),"")</f>
        <v/>
      </c>
      <c r="M132" s="46" t="str">
        <f>IF(OR(Registro!D131="Resuelto",Registro!D131=""),"",SUM(C132,F132,I132,L132))</f>
        <v/>
      </c>
      <c r="N132" s="46" t="str">
        <f>IF(OR(Registro!D131="Resuelto",Registro!D131=""),"",SUM(B132,E132,H132,K132))</f>
        <v/>
      </c>
      <c r="O132" s="46" t="str">
        <f>IF(OR(Registro!D131="Resuelto",Registro!D131=""),"",_xlfn.CONCAT(A132,D132,G132,J132))</f>
        <v/>
      </c>
      <c r="P132" s="47">
        <v>124</v>
      </c>
      <c r="Q132" s="47" t="str">
        <f t="shared" ca="1" si="3"/>
        <v/>
      </c>
      <c r="R132" s="48" t="str">
        <f t="shared" ca="1" si="4"/>
        <v/>
      </c>
      <c r="S132" s="32"/>
      <c r="T132" s="32"/>
      <c r="U132" s="32"/>
      <c r="V132" s="32"/>
      <c r="W132" s="47" t="str">
        <f>IF(X132="","",MAX($W$5:W131)+1)</f>
        <v/>
      </c>
      <c r="X132" s="50" t="str">
        <f>IF(Registro!M131="","",IF(COUNTIF($X$8:X131,Registro!M131)=0,Registro!M131,""))</f>
        <v/>
      </c>
      <c r="Y132" s="50" t="str">
        <f t="shared" si="5"/>
        <v/>
      </c>
    </row>
    <row r="133" spans="1:25">
      <c r="A133" s="45" t="str">
        <f>IF(AND(Registro!D132="Abierto",Registro!E132="Urgente"),Registro!B132,"")</f>
        <v/>
      </c>
      <c r="B133" s="45" t="str">
        <f ca="1">IF(AND(Registro!D132="Abierto",Registro!E132="Urgente"),TODAY()-Registro!R132,"")</f>
        <v/>
      </c>
      <c r="C133" s="45" t="str">
        <f>IF(AND(Registro!D132="Abierto",Registro!E132="Urgente"),RANK(B133,$B$9:$B$1000,0)+COUNTIF($B$9:B133,B133)-1,"")</f>
        <v/>
      </c>
      <c r="D133" s="45" t="str">
        <f>IF(AND(Registro!D132="Abierto",Registro!E132="Alta"),Registro!B132,"")</f>
        <v/>
      </c>
      <c r="E133" s="45" t="str">
        <f ca="1">IF(AND(Registro!D132="Abierto",Registro!E132="Alta"),TODAY()-Registro!R132,"")</f>
        <v/>
      </c>
      <c r="F133" s="45" t="str">
        <f>IF(AND(Registro!D132="Abierto",Registro!E132="Alta"),RANK(E133,$E$9:$E$1000,0)+COUNTIF($E$9:E133,E133)-1+MAX(C$5:C$1000),"")</f>
        <v/>
      </c>
      <c r="G133" s="45" t="str">
        <f>IF(AND(Registro!D132="Abierto",Registro!E132="Media"),Registro!B132,"")</f>
        <v/>
      </c>
      <c r="H133" s="45" t="str">
        <f ca="1">IF(AND(Registro!D132="Abierto",Registro!E132="Media"),TODAY()-Registro!R132,"")</f>
        <v/>
      </c>
      <c r="I133" s="45" t="str">
        <f>IF(AND(Registro!D132="Abierto",Registro!E132="Media"),RANK(H133,$H$9:$H$1000,0)+COUNTIF($H$9:H133,H133)-1+MAX(C$5:C$1000,F$5:F$1000),"")</f>
        <v/>
      </c>
      <c r="J133" s="45" t="str">
        <f>IF(AND(Registro!D132="Abierto",Registro!E132="Baja"),Registro!B132,"")</f>
        <v/>
      </c>
      <c r="K133" s="45" t="str">
        <f ca="1">IF(AND(Registro!D132="Abierto",Registro!E132="Baja"),TODAY()-Registro!R132,"")</f>
        <v/>
      </c>
      <c r="L133" s="45" t="str">
        <f>IF(AND(Registro!D132="Abierto",Registro!E132="Baja"),RANK(K133,$K$9:$K$1000,0)+COUNTIF($K$9:K133,K133)-1+MAX(C$5:C$1000,F$5:F$1000,I$5:I$1000),"")</f>
        <v/>
      </c>
      <c r="M133" s="46" t="str">
        <f>IF(OR(Registro!D132="Resuelto",Registro!D132=""),"",SUM(C133,F133,I133,L133))</f>
        <v/>
      </c>
      <c r="N133" s="46" t="str">
        <f>IF(OR(Registro!D132="Resuelto",Registro!D132=""),"",SUM(B133,E133,H133,K133))</f>
        <v/>
      </c>
      <c r="O133" s="46" t="str">
        <f>IF(OR(Registro!D132="Resuelto",Registro!D132=""),"",_xlfn.CONCAT(A133,D133,G133,J133))</f>
        <v/>
      </c>
      <c r="P133" s="47">
        <v>125</v>
      </c>
      <c r="Q133" s="47" t="str">
        <f t="shared" ca="1" si="3"/>
        <v/>
      </c>
      <c r="R133" s="48" t="str">
        <f t="shared" ca="1" si="4"/>
        <v/>
      </c>
      <c r="S133" s="32"/>
      <c r="T133" s="32"/>
      <c r="U133" s="32"/>
      <c r="V133" s="32"/>
      <c r="W133" s="47" t="str">
        <f>IF(X133="","",MAX($W$5:W132)+1)</f>
        <v/>
      </c>
      <c r="X133" s="50" t="str">
        <f>IF(Registro!M132="","",IF(COUNTIF($X$8:X132,Registro!M132)=0,Registro!M132,""))</f>
        <v/>
      </c>
      <c r="Y133" s="50" t="str">
        <f t="shared" si="5"/>
        <v/>
      </c>
    </row>
    <row r="134" spans="1:25">
      <c r="A134" s="45" t="str">
        <f>IF(AND(Registro!D133="Abierto",Registro!E133="Urgente"),Registro!B133,"")</f>
        <v/>
      </c>
      <c r="B134" s="45" t="str">
        <f ca="1">IF(AND(Registro!D133="Abierto",Registro!E133="Urgente"),TODAY()-Registro!R133,"")</f>
        <v/>
      </c>
      <c r="C134" s="45" t="str">
        <f>IF(AND(Registro!D133="Abierto",Registro!E133="Urgente"),RANK(B134,$B$9:$B$1000,0)+COUNTIF($B$9:B134,B134)-1,"")</f>
        <v/>
      </c>
      <c r="D134" s="45" t="str">
        <f>IF(AND(Registro!D133="Abierto",Registro!E133="Alta"),Registro!B133,"")</f>
        <v/>
      </c>
      <c r="E134" s="45" t="str">
        <f ca="1">IF(AND(Registro!D133="Abierto",Registro!E133="Alta"),TODAY()-Registro!R133,"")</f>
        <v/>
      </c>
      <c r="F134" s="45" t="str">
        <f>IF(AND(Registro!D133="Abierto",Registro!E133="Alta"),RANK(E134,$E$9:$E$1000,0)+COUNTIF($E$9:E134,E134)-1+MAX(C$5:C$1000),"")</f>
        <v/>
      </c>
      <c r="G134" s="45" t="str">
        <f>IF(AND(Registro!D133="Abierto",Registro!E133="Media"),Registro!B133,"")</f>
        <v/>
      </c>
      <c r="H134" s="45" t="str">
        <f ca="1">IF(AND(Registro!D133="Abierto",Registro!E133="Media"),TODAY()-Registro!R133,"")</f>
        <v/>
      </c>
      <c r="I134" s="45" t="str">
        <f>IF(AND(Registro!D133="Abierto",Registro!E133="Media"),RANK(H134,$H$9:$H$1000,0)+COUNTIF($H$9:H134,H134)-1+MAX(C$5:C$1000,F$5:F$1000),"")</f>
        <v/>
      </c>
      <c r="J134" s="45" t="str">
        <f>IF(AND(Registro!D133="Abierto",Registro!E133="Baja"),Registro!B133,"")</f>
        <v/>
      </c>
      <c r="K134" s="45" t="str">
        <f ca="1">IF(AND(Registro!D133="Abierto",Registro!E133="Baja"),TODAY()-Registro!R133,"")</f>
        <v/>
      </c>
      <c r="L134" s="45" t="str">
        <f>IF(AND(Registro!D133="Abierto",Registro!E133="Baja"),RANK(K134,$K$9:$K$1000,0)+COUNTIF($K$9:K134,K134)-1+MAX(C$5:C$1000,F$5:F$1000,I$5:I$1000),"")</f>
        <v/>
      </c>
      <c r="M134" s="46" t="str">
        <f>IF(OR(Registro!D133="Resuelto",Registro!D133=""),"",SUM(C134,F134,I134,L134))</f>
        <v/>
      </c>
      <c r="N134" s="46" t="str">
        <f>IF(OR(Registro!D133="Resuelto",Registro!D133=""),"",SUM(B134,E134,H134,K134))</f>
        <v/>
      </c>
      <c r="O134" s="46" t="str">
        <f>IF(OR(Registro!D133="Resuelto",Registro!D133=""),"",_xlfn.CONCAT(A134,D134,G134,J134))</f>
        <v/>
      </c>
      <c r="P134" s="47">
        <v>126</v>
      </c>
      <c r="Q134" s="47" t="str">
        <f t="shared" ca="1" si="3"/>
        <v/>
      </c>
      <c r="R134" s="48" t="str">
        <f t="shared" ca="1" si="4"/>
        <v/>
      </c>
      <c r="S134" s="32"/>
      <c r="T134" s="32"/>
      <c r="U134" s="32"/>
      <c r="V134" s="32"/>
      <c r="W134" s="47" t="str">
        <f>IF(X134="","",MAX($W$5:W133)+1)</f>
        <v/>
      </c>
      <c r="X134" s="50" t="str">
        <f>IF(Registro!M133="","",IF(COUNTIF($X$8:X133,Registro!M133)=0,Registro!M133,""))</f>
        <v/>
      </c>
      <c r="Y134" s="50" t="str">
        <f t="shared" si="5"/>
        <v/>
      </c>
    </row>
    <row r="135" spans="1:25">
      <c r="A135" s="45" t="str">
        <f>IF(AND(Registro!D134="Abierto",Registro!E134="Urgente"),Registro!B134,"")</f>
        <v/>
      </c>
      <c r="B135" s="45" t="str">
        <f ca="1">IF(AND(Registro!D134="Abierto",Registro!E134="Urgente"),TODAY()-Registro!R134,"")</f>
        <v/>
      </c>
      <c r="C135" s="45" t="str">
        <f>IF(AND(Registro!D134="Abierto",Registro!E134="Urgente"),RANK(B135,$B$9:$B$1000,0)+COUNTIF($B$9:B135,B135)-1,"")</f>
        <v/>
      </c>
      <c r="D135" s="45" t="str">
        <f>IF(AND(Registro!D134="Abierto",Registro!E134="Alta"),Registro!B134,"")</f>
        <v/>
      </c>
      <c r="E135" s="45" t="str">
        <f ca="1">IF(AND(Registro!D134="Abierto",Registro!E134="Alta"),TODAY()-Registro!R134,"")</f>
        <v/>
      </c>
      <c r="F135" s="45" t="str">
        <f>IF(AND(Registro!D134="Abierto",Registro!E134="Alta"),RANK(E135,$E$9:$E$1000,0)+COUNTIF($E$9:E135,E135)-1+MAX(C$5:C$1000),"")</f>
        <v/>
      </c>
      <c r="G135" s="45" t="str">
        <f>IF(AND(Registro!D134="Abierto",Registro!E134="Media"),Registro!B134,"")</f>
        <v/>
      </c>
      <c r="H135" s="45" t="str">
        <f ca="1">IF(AND(Registro!D134="Abierto",Registro!E134="Media"),TODAY()-Registro!R134,"")</f>
        <v/>
      </c>
      <c r="I135" s="45" t="str">
        <f>IF(AND(Registro!D134="Abierto",Registro!E134="Media"),RANK(H135,$H$9:$H$1000,0)+COUNTIF($H$9:H135,H135)-1+MAX(C$5:C$1000,F$5:F$1000),"")</f>
        <v/>
      </c>
      <c r="J135" s="45" t="str">
        <f>IF(AND(Registro!D134="Abierto",Registro!E134="Baja"),Registro!B134,"")</f>
        <v/>
      </c>
      <c r="K135" s="45" t="str">
        <f ca="1">IF(AND(Registro!D134="Abierto",Registro!E134="Baja"),TODAY()-Registro!R134,"")</f>
        <v/>
      </c>
      <c r="L135" s="45" t="str">
        <f>IF(AND(Registro!D134="Abierto",Registro!E134="Baja"),RANK(K135,$K$9:$K$1000,0)+COUNTIF($K$9:K135,K135)-1+MAX(C$5:C$1000,F$5:F$1000,I$5:I$1000),"")</f>
        <v/>
      </c>
      <c r="M135" s="46" t="str">
        <f>IF(OR(Registro!D134="Resuelto",Registro!D134=""),"",SUM(C135,F135,I135,L135))</f>
        <v/>
      </c>
      <c r="N135" s="46" t="str">
        <f>IF(OR(Registro!D134="Resuelto",Registro!D134=""),"",SUM(B135,E135,H135,K135))</f>
        <v/>
      </c>
      <c r="O135" s="46" t="str">
        <f>IF(OR(Registro!D134="Resuelto",Registro!D134=""),"",_xlfn.CONCAT(A135,D135,G135,J135))</f>
        <v/>
      </c>
      <c r="P135" s="47">
        <v>127</v>
      </c>
      <c r="Q135" s="47" t="str">
        <f t="shared" ca="1" si="3"/>
        <v/>
      </c>
      <c r="R135" s="48" t="str">
        <f t="shared" ca="1" si="4"/>
        <v/>
      </c>
      <c r="S135" s="32"/>
      <c r="T135" s="32"/>
      <c r="U135" s="32"/>
      <c r="V135" s="32"/>
      <c r="W135" s="47" t="str">
        <f>IF(X135="","",MAX($W$5:W134)+1)</f>
        <v/>
      </c>
      <c r="X135" s="50" t="str">
        <f>IF(Registro!M134="","",IF(COUNTIF($X$8:X134,Registro!M134)=0,Registro!M134,""))</f>
        <v/>
      </c>
      <c r="Y135" s="50" t="str">
        <f t="shared" si="5"/>
        <v/>
      </c>
    </row>
    <row r="136" spans="1:25">
      <c r="A136" s="45" t="str">
        <f>IF(AND(Registro!D135="Abierto",Registro!E135="Urgente"),Registro!B135,"")</f>
        <v/>
      </c>
      <c r="B136" s="45" t="str">
        <f ca="1">IF(AND(Registro!D135="Abierto",Registro!E135="Urgente"),TODAY()-Registro!R135,"")</f>
        <v/>
      </c>
      <c r="C136" s="45" t="str">
        <f>IF(AND(Registro!D135="Abierto",Registro!E135="Urgente"),RANK(B136,$B$9:$B$1000,0)+COUNTIF($B$9:B136,B136)-1,"")</f>
        <v/>
      </c>
      <c r="D136" s="45" t="str">
        <f>IF(AND(Registro!D135="Abierto",Registro!E135="Alta"),Registro!B135,"")</f>
        <v/>
      </c>
      <c r="E136" s="45" t="str">
        <f ca="1">IF(AND(Registro!D135="Abierto",Registro!E135="Alta"),TODAY()-Registro!R135,"")</f>
        <v/>
      </c>
      <c r="F136" s="45" t="str">
        <f>IF(AND(Registro!D135="Abierto",Registro!E135="Alta"),RANK(E136,$E$9:$E$1000,0)+COUNTIF($E$9:E136,E136)-1+MAX(C$5:C$1000),"")</f>
        <v/>
      </c>
      <c r="G136" s="45" t="str">
        <f>IF(AND(Registro!D135="Abierto",Registro!E135="Media"),Registro!B135,"")</f>
        <v/>
      </c>
      <c r="H136" s="45" t="str">
        <f ca="1">IF(AND(Registro!D135="Abierto",Registro!E135="Media"),TODAY()-Registro!R135,"")</f>
        <v/>
      </c>
      <c r="I136" s="45" t="str">
        <f>IF(AND(Registro!D135="Abierto",Registro!E135="Media"),RANK(H136,$H$9:$H$1000,0)+COUNTIF($H$9:H136,H136)-1+MAX(C$5:C$1000,F$5:F$1000),"")</f>
        <v/>
      </c>
      <c r="J136" s="45" t="str">
        <f>IF(AND(Registro!D135="Abierto",Registro!E135="Baja"),Registro!B135,"")</f>
        <v/>
      </c>
      <c r="K136" s="45" t="str">
        <f ca="1">IF(AND(Registro!D135="Abierto",Registro!E135="Baja"),TODAY()-Registro!R135,"")</f>
        <v/>
      </c>
      <c r="L136" s="45" t="str">
        <f>IF(AND(Registro!D135="Abierto",Registro!E135="Baja"),RANK(K136,$K$9:$K$1000,0)+COUNTIF($K$9:K136,K136)-1+MAX(C$5:C$1000,F$5:F$1000,I$5:I$1000),"")</f>
        <v/>
      </c>
      <c r="M136" s="46" t="str">
        <f>IF(OR(Registro!D135="Resuelto",Registro!D135=""),"",SUM(C136,F136,I136,L136))</f>
        <v/>
      </c>
      <c r="N136" s="46" t="str">
        <f>IF(OR(Registro!D135="Resuelto",Registro!D135=""),"",SUM(B136,E136,H136,K136))</f>
        <v/>
      </c>
      <c r="O136" s="46" t="str">
        <f>IF(OR(Registro!D135="Resuelto",Registro!D135=""),"",_xlfn.CONCAT(A136,D136,G136,J136))</f>
        <v/>
      </c>
      <c r="P136" s="47">
        <v>128</v>
      </c>
      <c r="Q136" s="47" t="str">
        <f t="shared" ca="1" si="3"/>
        <v/>
      </c>
      <c r="R136" s="48" t="str">
        <f t="shared" ca="1" si="4"/>
        <v/>
      </c>
      <c r="S136" s="32"/>
      <c r="T136" s="32"/>
      <c r="U136" s="32"/>
      <c r="V136" s="32"/>
      <c r="W136" s="47" t="str">
        <f>IF(X136="","",MAX($W$5:W135)+1)</f>
        <v/>
      </c>
      <c r="X136" s="50" t="str">
        <f>IF(Registro!M135="","",IF(COUNTIF($X$8:X135,Registro!M135)=0,Registro!M135,""))</f>
        <v/>
      </c>
      <c r="Y136" s="50" t="str">
        <f t="shared" si="5"/>
        <v/>
      </c>
    </row>
    <row r="137" spans="1:25">
      <c r="A137" s="45" t="str">
        <f>IF(AND(Registro!D136="Abierto",Registro!E136="Urgente"),Registro!B136,"")</f>
        <v/>
      </c>
      <c r="B137" s="45" t="str">
        <f ca="1">IF(AND(Registro!D136="Abierto",Registro!E136="Urgente"),TODAY()-Registro!R136,"")</f>
        <v/>
      </c>
      <c r="C137" s="45" t="str">
        <f>IF(AND(Registro!D136="Abierto",Registro!E136="Urgente"),RANK(B137,$B$9:$B$1000,0)+COUNTIF($B$9:B137,B137)-1,"")</f>
        <v/>
      </c>
      <c r="D137" s="45" t="str">
        <f>IF(AND(Registro!D136="Abierto",Registro!E136="Alta"),Registro!B136,"")</f>
        <v/>
      </c>
      <c r="E137" s="45" t="str">
        <f ca="1">IF(AND(Registro!D136="Abierto",Registro!E136="Alta"),TODAY()-Registro!R136,"")</f>
        <v/>
      </c>
      <c r="F137" s="45" t="str">
        <f>IF(AND(Registro!D136="Abierto",Registro!E136="Alta"),RANK(E137,$E$9:$E$1000,0)+COUNTIF($E$9:E137,E137)-1+MAX(C$5:C$1000),"")</f>
        <v/>
      </c>
      <c r="G137" s="45" t="str">
        <f>IF(AND(Registro!D136="Abierto",Registro!E136="Media"),Registro!B136,"")</f>
        <v/>
      </c>
      <c r="H137" s="45" t="str">
        <f ca="1">IF(AND(Registro!D136="Abierto",Registro!E136="Media"),TODAY()-Registro!R136,"")</f>
        <v/>
      </c>
      <c r="I137" s="45" t="str">
        <f>IF(AND(Registro!D136="Abierto",Registro!E136="Media"),RANK(H137,$H$9:$H$1000,0)+COUNTIF($H$9:H137,H137)-1+MAX(C$5:C$1000,F$5:F$1000),"")</f>
        <v/>
      </c>
      <c r="J137" s="45" t="str">
        <f>IF(AND(Registro!D136="Abierto",Registro!E136="Baja"),Registro!B136,"")</f>
        <v/>
      </c>
      <c r="K137" s="45" t="str">
        <f ca="1">IF(AND(Registro!D136="Abierto",Registro!E136="Baja"),TODAY()-Registro!R136,"")</f>
        <v/>
      </c>
      <c r="L137" s="45" t="str">
        <f>IF(AND(Registro!D136="Abierto",Registro!E136="Baja"),RANK(K137,$K$9:$K$1000,0)+COUNTIF($K$9:K137,K137)-1+MAX(C$5:C$1000,F$5:F$1000,I$5:I$1000),"")</f>
        <v/>
      </c>
      <c r="M137" s="46" t="str">
        <f>IF(OR(Registro!D136="Resuelto",Registro!D136=""),"",SUM(C137,F137,I137,L137))</f>
        <v/>
      </c>
      <c r="N137" s="46" t="str">
        <f>IF(OR(Registro!D136="Resuelto",Registro!D136=""),"",SUM(B137,E137,H137,K137))</f>
        <v/>
      </c>
      <c r="O137" s="46" t="str">
        <f>IF(OR(Registro!D136="Resuelto",Registro!D136=""),"",_xlfn.CONCAT(A137,D137,G137,J137))</f>
        <v/>
      </c>
      <c r="P137" s="47">
        <v>129</v>
      </c>
      <c r="Q137" s="47" t="str">
        <f t="shared" ref="Q137:Q200" ca="1" si="6">IF(ISNA(VLOOKUP(P137,$M$9:$O$1000,3,FALSE))=TRUE,"",VLOOKUP(P137,$M$9:$O$1000,3,FALSE))</f>
        <v/>
      </c>
      <c r="R137" s="48" t="str">
        <f t="shared" ref="R137:R200" ca="1" si="7">IF(ISNA(VLOOKUP(P137,$M$9:$O$1000,2,FALSE))=TRUE,"",VLOOKUP(P137,$M$9:$O$1000,2,FALSE))</f>
        <v/>
      </c>
      <c r="S137" s="32"/>
      <c r="T137" s="32"/>
      <c r="U137" s="32"/>
      <c r="V137" s="32"/>
      <c r="W137" s="47" t="str">
        <f>IF(X137="","",MAX($W$5:W136)+1)</f>
        <v/>
      </c>
      <c r="X137" s="50" t="str">
        <f>IF(Registro!M136="","",IF(COUNTIF($X$8:X136,Registro!M136)=0,Registro!M136,""))</f>
        <v/>
      </c>
      <c r="Y137" s="50" t="str">
        <f t="shared" ref="Y137:Y200" si="8">IF(ISNA(VLOOKUP(P137,$W$9:$X$1000,2,FALSE))=TRUE,"",VLOOKUP(P137,$W$9:$X$1000,2,FALSE))</f>
        <v/>
      </c>
    </row>
    <row r="138" spans="1:25">
      <c r="A138" s="45" t="str">
        <f>IF(AND(Registro!D137="Abierto",Registro!E137="Urgente"),Registro!B137,"")</f>
        <v/>
      </c>
      <c r="B138" s="45" t="str">
        <f ca="1">IF(AND(Registro!D137="Abierto",Registro!E137="Urgente"),TODAY()-Registro!R137,"")</f>
        <v/>
      </c>
      <c r="C138" s="45" t="str">
        <f>IF(AND(Registro!D137="Abierto",Registro!E137="Urgente"),RANK(B138,$B$9:$B$1000,0)+COUNTIF($B$9:B138,B138)-1,"")</f>
        <v/>
      </c>
      <c r="D138" s="45" t="str">
        <f>IF(AND(Registro!D137="Abierto",Registro!E137="Alta"),Registro!B137,"")</f>
        <v/>
      </c>
      <c r="E138" s="45" t="str">
        <f ca="1">IF(AND(Registro!D137="Abierto",Registro!E137="Alta"),TODAY()-Registro!R137,"")</f>
        <v/>
      </c>
      <c r="F138" s="45" t="str">
        <f>IF(AND(Registro!D137="Abierto",Registro!E137="Alta"),RANK(E138,$E$9:$E$1000,0)+COUNTIF($E$9:E138,E138)-1+MAX(C$5:C$1000),"")</f>
        <v/>
      </c>
      <c r="G138" s="45" t="str">
        <f>IF(AND(Registro!D137="Abierto",Registro!E137="Media"),Registro!B137,"")</f>
        <v/>
      </c>
      <c r="H138" s="45" t="str">
        <f ca="1">IF(AND(Registro!D137="Abierto",Registro!E137="Media"),TODAY()-Registro!R137,"")</f>
        <v/>
      </c>
      <c r="I138" s="45" t="str">
        <f>IF(AND(Registro!D137="Abierto",Registro!E137="Media"),RANK(H138,$H$9:$H$1000,0)+COUNTIF($H$9:H138,H138)-1+MAX(C$5:C$1000,F$5:F$1000),"")</f>
        <v/>
      </c>
      <c r="J138" s="45" t="str">
        <f>IF(AND(Registro!D137="Abierto",Registro!E137="Baja"),Registro!B137,"")</f>
        <v/>
      </c>
      <c r="K138" s="45" t="str">
        <f ca="1">IF(AND(Registro!D137="Abierto",Registro!E137="Baja"),TODAY()-Registro!R137,"")</f>
        <v/>
      </c>
      <c r="L138" s="45" t="str">
        <f>IF(AND(Registro!D137="Abierto",Registro!E137="Baja"),RANK(K138,$K$9:$K$1000,0)+COUNTIF($K$9:K138,K138)-1+MAX(C$5:C$1000,F$5:F$1000,I$5:I$1000),"")</f>
        <v/>
      </c>
      <c r="M138" s="46" t="str">
        <f>IF(OR(Registro!D137="Resuelto",Registro!D137=""),"",SUM(C138,F138,I138,L138))</f>
        <v/>
      </c>
      <c r="N138" s="46" t="str">
        <f>IF(OR(Registro!D137="Resuelto",Registro!D137=""),"",SUM(B138,E138,H138,K138))</f>
        <v/>
      </c>
      <c r="O138" s="46" t="str">
        <f>IF(OR(Registro!D137="Resuelto",Registro!D137=""),"",_xlfn.CONCAT(A138,D138,G138,J138))</f>
        <v/>
      </c>
      <c r="P138" s="47">
        <v>130</v>
      </c>
      <c r="Q138" s="47" t="str">
        <f t="shared" ca="1" si="6"/>
        <v/>
      </c>
      <c r="R138" s="48" t="str">
        <f t="shared" ca="1" si="7"/>
        <v/>
      </c>
      <c r="S138" s="32"/>
      <c r="T138" s="32"/>
      <c r="U138" s="32"/>
      <c r="V138" s="32"/>
      <c r="W138" s="47" t="str">
        <f>IF(X138="","",MAX($W$5:W137)+1)</f>
        <v/>
      </c>
      <c r="X138" s="50" t="str">
        <f>IF(Registro!M137="","",IF(COUNTIF($X$8:X137,Registro!M137)=0,Registro!M137,""))</f>
        <v/>
      </c>
      <c r="Y138" s="50" t="str">
        <f t="shared" si="8"/>
        <v/>
      </c>
    </row>
    <row r="139" spans="1:25">
      <c r="A139" s="45" t="str">
        <f>IF(AND(Registro!D138="Abierto",Registro!E138="Urgente"),Registro!B138,"")</f>
        <v/>
      </c>
      <c r="B139" s="45" t="str">
        <f ca="1">IF(AND(Registro!D138="Abierto",Registro!E138="Urgente"),TODAY()-Registro!R138,"")</f>
        <v/>
      </c>
      <c r="C139" s="45" t="str">
        <f>IF(AND(Registro!D138="Abierto",Registro!E138="Urgente"),RANK(B139,$B$9:$B$1000,0)+COUNTIF($B$9:B139,B139)-1,"")</f>
        <v/>
      </c>
      <c r="D139" s="45" t="str">
        <f>IF(AND(Registro!D138="Abierto",Registro!E138="Alta"),Registro!B138,"")</f>
        <v/>
      </c>
      <c r="E139" s="45" t="str">
        <f ca="1">IF(AND(Registro!D138="Abierto",Registro!E138="Alta"),TODAY()-Registro!R138,"")</f>
        <v/>
      </c>
      <c r="F139" s="45" t="str">
        <f>IF(AND(Registro!D138="Abierto",Registro!E138="Alta"),RANK(E139,$E$9:$E$1000,0)+COUNTIF($E$9:E139,E139)-1+MAX(C$5:C$1000),"")</f>
        <v/>
      </c>
      <c r="G139" s="45" t="str">
        <f>IF(AND(Registro!D138="Abierto",Registro!E138="Media"),Registro!B138,"")</f>
        <v/>
      </c>
      <c r="H139" s="45" t="str">
        <f ca="1">IF(AND(Registro!D138="Abierto",Registro!E138="Media"),TODAY()-Registro!R138,"")</f>
        <v/>
      </c>
      <c r="I139" s="45" t="str">
        <f>IF(AND(Registro!D138="Abierto",Registro!E138="Media"),RANK(H139,$H$9:$H$1000,0)+COUNTIF($H$9:H139,H139)-1+MAX(C$5:C$1000,F$5:F$1000),"")</f>
        <v/>
      </c>
      <c r="J139" s="45" t="str">
        <f>IF(AND(Registro!D138="Abierto",Registro!E138="Baja"),Registro!B138,"")</f>
        <v/>
      </c>
      <c r="K139" s="45" t="str">
        <f ca="1">IF(AND(Registro!D138="Abierto",Registro!E138="Baja"),TODAY()-Registro!R138,"")</f>
        <v/>
      </c>
      <c r="L139" s="45" t="str">
        <f>IF(AND(Registro!D138="Abierto",Registro!E138="Baja"),RANK(K139,$K$9:$K$1000,0)+COUNTIF($K$9:K139,K139)-1+MAX(C$5:C$1000,F$5:F$1000,I$5:I$1000),"")</f>
        <v/>
      </c>
      <c r="M139" s="46" t="str">
        <f>IF(OR(Registro!D138="Resuelto",Registro!D138=""),"",SUM(C139,F139,I139,L139))</f>
        <v/>
      </c>
      <c r="N139" s="46" t="str">
        <f>IF(OR(Registro!D138="Resuelto",Registro!D138=""),"",SUM(B139,E139,H139,K139))</f>
        <v/>
      </c>
      <c r="O139" s="46" t="str">
        <f>IF(OR(Registro!D138="Resuelto",Registro!D138=""),"",_xlfn.CONCAT(A139,D139,G139,J139))</f>
        <v/>
      </c>
      <c r="P139" s="47">
        <v>131</v>
      </c>
      <c r="Q139" s="47" t="str">
        <f t="shared" ca="1" si="6"/>
        <v/>
      </c>
      <c r="R139" s="48" t="str">
        <f t="shared" ca="1" si="7"/>
        <v/>
      </c>
      <c r="S139" s="32"/>
      <c r="T139" s="32"/>
      <c r="U139" s="32"/>
      <c r="V139" s="32"/>
      <c r="W139" s="47" t="str">
        <f>IF(X139="","",MAX($W$5:W138)+1)</f>
        <v/>
      </c>
      <c r="X139" s="50" t="str">
        <f>IF(Registro!M138="","",IF(COUNTIF($X$8:X138,Registro!M138)=0,Registro!M138,""))</f>
        <v/>
      </c>
      <c r="Y139" s="50" t="str">
        <f t="shared" si="8"/>
        <v/>
      </c>
    </row>
    <row r="140" spans="1:25">
      <c r="A140" s="45" t="str">
        <f>IF(AND(Registro!D139="Abierto",Registro!E139="Urgente"),Registro!B139,"")</f>
        <v/>
      </c>
      <c r="B140" s="45" t="str">
        <f ca="1">IF(AND(Registro!D139="Abierto",Registro!E139="Urgente"),TODAY()-Registro!R139,"")</f>
        <v/>
      </c>
      <c r="C140" s="45" t="str">
        <f>IF(AND(Registro!D139="Abierto",Registro!E139="Urgente"),RANK(B140,$B$9:$B$1000,0)+COUNTIF($B$9:B140,B140)-1,"")</f>
        <v/>
      </c>
      <c r="D140" s="45" t="str">
        <f>IF(AND(Registro!D139="Abierto",Registro!E139="Alta"),Registro!B139,"")</f>
        <v/>
      </c>
      <c r="E140" s="45" t="str">
        <f ca="1">IF(AND(Registro!D139="Abierto",Registro!E139="Alta"),TODAY()-Registro!R139,"")</f>
        <v/>
      </c>
      <c r="F140" s="45" t="str">
        <f>IF(AND(Registro!D139="Abierto",Registro!E139="Alta"),RANK(E140,$E$9:$E$1000,0)+COUNTIF($E$9:E140,E140)-1+MAX(C$5:C$1000),"")</f>
        <v/>
      </c>
      <c r="G140" s="45" t="str">
        <f>IF(AND(Registro!D139="Abierto",Registro!E139="Media"),Registro!B139,"")</f>
        <v/>
      </c>
      <c r="H140" s="45" t="str">
        <f ca="1">IF(AND(Registro!D139="Abierto",Registro!E139="Media"),TODAY()-Registro!R139,"")</f>
        <v/>
      </c>
      <c r="I140" s="45" t="str">
        <f>IF(AND(Registro!D139="Abierto",Registro!E139="Media"),RANK(H140,$H$9:$H$1000,0)+COUNTIF($H$9:H140,H140)-1+MAX(C$5:C$1000,F$5:F$1000),"")</f>
        <v/>
      </c>
      <c r="J140" s="45" t="str">
        <f>IF(AND(Registro!D139="Abierto",Registro!E139="Baja"),Registro!B139,"")</f>
        <v/>
      </c>
      <c r="K140" s="45" t="str">
        <f ca="1">IF(AND(Registro!D139="Abierto",Registro!E139="Baja"),TODAY()-Registro!R139,"")</f>
        <v/>
      </c>
      <c r="L140" s="45" t="str">
        <f>IF(AND(Registro!D139="Abierto",Registro!E139="Baja"),RANK(K140,$K$9:$K$1000,0)+COUNTIF($K$9:K140,K140)-1+MAX(C$5:C$1000,F$5:F$1000,I$5:I$1000),"")</f>
        <v/>
      </c>
      <c r="M140" s="46" t="str">
        <f>IF(OR(Registro!D139="Resuelto",Registro!D139=""),"",SUM(C140,F140,I140,L140))</f>
        <v/>
      </c>
      <c r="N140" s="46" t="str">
        <f>IF(OR(Registro!D139="Resuelto",Registro!D139=""),"",SUM(B140,E140,H140,K140))</f>
        <v/>
      </c>
      <c r="O140" s="46" t="str">
        <f>IF(OR(Registro!D139="Resuelto",Registro!D139=""),"",_xlfn.CONCAT(A140,D140,G140,J140))</f>
        <v/>
      </c>
      <c r="P140" s="47">
        <v>132</v>
      </c>
      <c r="Q140" s="47" t="str">
        <f t="shared" ca="1" si="6"/>
        <v/>
      </c>
      <c r="R140" s="48" t="str">
        <f t="shared" ca="1" si="7"/>
        <v/>
      </c>
      <c r="S140" s="32"/>
      <c r="T140" s="32"/>
      <c r="U140" s="32"/>
      <c r="V140" s="32"/>
      <c r="W140" s="47" t="str">
        <f>IF(X140="","",MAX($W$5:W139)+1)</f>
        <v/>
      </c>
      <c r="X140" s="50" t="str">
        <f>IF(Registro!M139="","",IF(COUNTIF($X$8:X139,Registro!M139)=0,Registro!M139,""))</f>
        <v/>
      </c>
      <c r="Y140" s="50" t="str">
        <f t="shared" si="8"/>
        <v/>
      </c>
    </row>
    <row r="141" spans="1:25">
      <c r="A141" s="45" t="str">
        <f>IF(AND(Registro!D140="Abierto",Registro!E140="Urgente"),Registro!B140,"")</f>
        <v/>
      </c>
      <c r="B141" s="45" t="str">
        <f ca="1">IF(AND(Registro!D140="Abierto",Registro!E140="Urgente"),TODAY()-Registro!R140,"")</f>
        <v/>
      </c>
      <c r="C141" s="45" t="str">
        <f>IF(AND(Registro!D140="Abierto",Registro!E140="Urgente"),RANK(B141,$B$9:$B$1000,0)+COUNTIF($B$9:B141,B141)-1,"")</f>
        <v/>
      </c>
      <c r="D141" s="45" t="str">
        <f>IF(AND(Registro!D140="Abierto",Registro!E140="Alta"),Registro!B140,"")</f>
        <v/>
      </c>
      <c r="E141" s="45" t="str">
        <f ca="1">IF(AND(Registro!D140="Abierto",Registro!E140="Alta"),TODAY()-Registro!R140,"")</f>
        <v/>
      </c>
      <c r="F141" s="45" t="str">
        <f>IF(AND(Registro!D140="Abierto",Registro!E140="Alta"),RANK(E141,$E$9:$E$1000,0)+COUNTIF($E$9:E141,E141)-1+MAX(C$5:C$1000),"")</f>
        <v/>
      </c>
      <c r="G141" s="45" t="str">
        <f>IF(AND(Registro!D140="Abierto",Registro!E140="Media"),Registro!B140,"")</f>
        <v/>
      </c>
      <c r="H141" s="45" t="str">
        <f ca="1">IF(AND(Registro!D140="Abierto",Registro!E140="Media"),TODAY()-Registro!R140,"")</f>
        <v/>
      </c>
      <c r="I141" s="45" t="str">
        <f>IF(AND(Registro!D140="Abierto",Registro!E140="Media"),RANK(H141,$H$9:$H$1000,0)+COUNTIF($H$9:H141,H141)-1+MAX(C$5:C$1000,F$5:F$1000),"")</f>
        <v/>
      </c>
      <c r="J141" s="45" t="str">
        <f>IF(AND(Registro!D140="Abierto",Registro!E140="Baja"),Registro!B140,"")</f>
        <v/>
      </c>
      <c r="K141" s="45" t="str">
        <f ca="1">IF(AND(Registro!D140="Abierto",Registro!E140="Baja"),TODAY()-Registro!R140,"")</f>
        <v/>
      </c>
      <c r="L141" s="45" t="str">
        <f>IF(AND(Registro!D140="Abierto",Registro!E140="Baja"),RANK(K141,$K$9:$K$1000,0)+COUNTIF($K$9:K141,K141)-1+MAX(C$5:C$1000,F$5:F$1000,I$5:I$1000),"")</f>
        <v/>
      </c>
      <c r="M141" s="46" t="str">
        <f>IF(OR(Registro!D140="Resuelto",Registro!D140=""),"",SUM(C141,F141,I141,L141))</f>
        <v/>
      </c>
      <c r="N141" s="46" t="str">
        <f>IF(OR(Registro!D140="Resuelto",Registro!D140=""),"",SUM(B141,E141,H141,K141))</f>
        <v/>
      </c>
      <c r="O141" s="46" t="str">
        <f>IF(OR(Registro!D140="Resuelto",Registro!D140=""),"",_xlfn.CONCAT(A141,D141,G141,J141))</f>
        <v/>
      </c>
      <c r="P141" s="47">
        <v>133</v>
      </c>
      <c r="Q141" s="47" t="str">
        <f t="shared" ca="1" si="6"/>
        <v/>
      </c>
      <c r="R141" s="48" t="str">
        <f t="shared" ca="1" si="7"/>
        <v/>
      </c>
      <c r="S141" s="32"/>
      <c r="T141" s="32"/>
      <c r="U141" s="32"/>
      <c r="V141" s="32"/>
      <c r="W141" s="47" t="str">
        <f>IF(X141="","",MAX($W$5:W140)+1)</f>
        <v/>
      </c>
      <c r="X141" s="50" t="str">
        <f>IF(Registro!M140="","",IF(COUNTIF($X$8:X140,Registro!M140)=0,Registro!M140,""))</f>
        <v/>
      </c>
      <c r="Y141" s="50" t="str">
        <f t="shared" si="8"/>
        <v/>
      </c>
    </row>
    <row r="142" spans="1:25">
      <c r="A142" s="45" t="str">
        <f>IF(AND(Registro!D141="Abierto",Registro!E141="Urgente"),Registro!B141,"")</f>
        <v/>
      </c>
      <c r="B142" s="45" t="str">
        <f ca="1">IF(AND(Registro!D141="Abierto",Registro!E141="Urgente"),TODAY()-Registro!R141,"")</f>
        <v/>
      </c>
      <c r="C142" s="45" t="str">
        <f>IF(AND(Registro!D141="Abierto",Registro!E141="Urgente"),RANK(B142,$B$9:$B$1000,0)+COUNTIF($B$9:B142,B142)-1,"")</f>
        <v/>
      </c>
      <c r="D142" s="45" t="str">
        <f>IF(AND(Registro!D141="Abierto",Registro!E141="Alta"),Registro!B141,"")</f>
        <v/>
      </c>
      <c r="E142" s="45" t="str">
        <f ca="1">IF(AND(Registro!D141="Abierto",Registro!E141="Alta"),TODAY()-Registro!R141,"")</f>
        <v/>
      </c>
      <c r="F142" s="45" t="str">
        <f>IF(AND(Registro!D141="Abierto",Registro!E141="Alta"),RANK(E142,$E$9:$E$1000,0)+COUNTIF($E$9:E142,E142)-1+MAX(C$5:C$1000),"")</f>
        <v/>
      </c>
      <c r="G142" s="45" t="str">
        <f>IF(AND(Registro!D141="Abierto",Registro!E141="Media"),Registro!B141,"")</f>
        <v/>
      </c>
      <c r="H142" s="45" t="str">
        <f ca="1">IF(AND(Registro!D141="Abierto",Registro!E141="Media"),TODAY()-Registro!R141,"")</f>
        <v/>
      </c>
      <c r="I142" s="45" t="str">
        <f>IF(AND(Registro!D141="Abierto",Registro!E141="Media"),RANK(H142,$H$9:$H$1000,0)+COUNTIF($H$9:H142,H142)-1+MAX(C$5:C$1000,F$5:F$1000),"")</f>
        <v/>
      </c>
      <c r="J142" s="45" t="str">
        <f>IF(AND(Registro!D141="Abierto",Registro!E141="Baja"),Registro!B141,"")</f>
        <v/>
      </c>
      <c r="K142" s="45" t="str">
        <f ca="1">IF(AND(Registro!D141="Abierto",Registro!E141="Baja"),TODAY()-Registro!R141,"")</f>
        <v/>
      </c>
      <c r="L142" s="45" t="str">
        <f>IF(AND(Registro!D141="Abierto",Registro!E141="Baja"),RANK(K142,$K$9:$K$1000,0)+COUNTIF($K$9:K142,K142)-1+MAX(C$5:C$1000,F$5:F$1000,I$5:I$1000),"")</f>
        <v/>
      </c>
      <c r="M142" s="46" t="str">
        <f>IF(OR(Registro!D141="Resuelto",Registro!D141=""),"",SUM(C142,F142,I142,L142))</f>
        <v/>
      </c>
      <c r="N142" s="46" t="str">
        <f>IF(OR(Registro!D141="Resuelto",Registro!D141=""),"",SUM(B142,E142,H142,K142))</f>
        <v/>
      </c>
      <c r="O142" s="46" t="str">
        <f>IF(OR(Registro!D141="Resuelto",Registro!D141=""),"",_xlfn.CONCAT(A142,D142,G142,J142))</f>
        <v/>
      </c>
      <c r="P142" s="47">
        <v>134</v>
      </c>
      <c r="Q142" s="47" t="str">
        <f t="shared" ca="1" si="6"/>
        <v/>
      </c>
      <c r="R142" s="48" t="str">
        <f t="shared" ca="1" si="7"/>
        <v/>
      </c>
      <c r="S142" s="32"/>
      <c r="T142" s="32"/>
      <c r="U142" s="32"/>
      <c r="V142" s="32"/>
      <c r="W142" s="47" t="str">
        <f>IF(X142="","",MAX($W$5:W141)+1)</f>
        <v/>
      </c>
      <c r="X142" s="50" t="str">
        <f>IF(Registro!M141="","",IF(COUNTIF($X$8:X141,Registro!M141)=0,Registro!M141,""))</f>
        <v/>
      </c>
      <c r="Y142" s="50" t="str">
        <f t="shared" si="8"/>
        <v/>
      </c>
    </row>
    <row r="143" spans="1:25">
      <c r="A143" s="45" t="str">
        <f>IF(AND(Registro!D142="Abierto",Registro!E142="Urgente"),Registro!B142,"")</f>
        <v/>
      </c>
      <c r="B143" s="45" t="str">
        <f ca="1">IF(AND(Registro!D142="Abierto",Registro!E142="Urgente"),TODAY()-Registro!R142,"")</f>
        <v/>
      </c>
      <c r="C143" s="45" t="str">
        <f>IF(AND(Registro!D142="Abierto",Registro!E142="Urgente"),RANK(B143,$B$9:$B$1000,0)+COUNTIF($B$9:B143,B143)-1,"")</f>
        <v/>
      </c>
      <c r="D143" s="45" t="str">
        <f>IF(AND(Registro!D142="Abierto",Registro!E142="Alta"),Registro!B142,"")</f>
        <v/>
      </c>
      <c r="E143" s="45" t="str">
        <f ca="1">IF(AND(Registro!D142="Abierto",Registro!E142="Alta"),TODAY()-Registro!R142,"")</f>
        <v/>
      </c>
      <c r="F143" s="45" t="str">
        <f>IF(AND(Registro!D142="Abierto",Registro!E142="Alta"),RANK(E143,$E$9:$E$1000,0)+COUNTIF($E$9:E143,E143)-1+MAX(C$5:C$1000),"")</f>
        <v/>
      </c>
      <c r="G143" s="45" t="str">
        <f>IF(AND(Registro!D142="Abierto",Registro!E142="Media"),Registro!B142,"")</f>
        <v/>
      </c>
      <c r="H143" s="45" t="str">
        <f ca="1">IF(AND(Registro!D142="Abierto",Registro!E142="Media"),TODAY()-Registro!R142,"")</f>
        <v/>
      </c>
      <c r="I143" s="45" t="str">
        <f>IF(AND(Registro!D142="Abierto",Registro!E142="Media"),RANK(H143,$H$9:$H$1000,0)+COUNTIF($H$9:H143,H143)-1+MAX(C$5:C$1000,F$5:F$1000),"")</f>
        <v/>
      </c>
      <c r="J143" s="45" t="str">
        <f>IF(AND(Registro!D142="Abierto",Registro!E142="Baja"),Registro!B142,"")</f>
        <v/>
      </c>
      <c r="K143" s="45" t="str">
        <f ca="1">IF(AND(Registro!D142="Abierto",Registro!E142="Baja"),TODAY()-Registro!R142,"")</f>
        <v/>
      </c>
      <c r="L143" s="45" t="str">
        <f>IF(AND(Registro!D142="Abierto",Registro!E142="Baja"),RANK(K143,$K$9:$K$1000,0)+COUNTIF($K$9:K143,K143)-1+MAX(C$5:C$1000,F$5:F$1000,I$5:I$1000),"")</f>
        <v/>
      </c>
      <c r="M143" s="46" t="str">
        <f>IF(OR(Registro!D142="Resuelto",Registro!D142=""),"",SUM(C143,F143,I143,L143))</f>
        <v/>
      </c>
      <c r="N143" s="46" t="str">
        <f>IF(OR(Registro!D142="Resuelto",Registro!D142=""),"",SUM(B143,E143,H143,K143))</f>
        <v/>
      </c>
      <c r="O143" s="46" t="str">
        <f>IF(OR(Registro!D142="Resuelto",Registro!D142=""),"",_xlfn.CONCAT(A143,D143,G143,J143))</f>
        <v/>
      </c>
      <c r="P143" s="47">
        <v>135</v>
      </c>
      <c r="Q143" s="47" t="str">
        <f t="shared" ca="1" si="6"/>
        <v/>
      </c>
      <c r="R143" s="48" t="str">
        <f t="shared" ca="1" si="7"/>
        <v/>
      </c>
      <c r="S143" s="32"/>
      <c r="T143" s="32"/>
      <c r="U143" s="32"/>
      <c r="V143" s="32"/>
      <c r="W143" s="47" t="str">
        <f>IF(X143="","",MAX($W$5:W142)+1)</f>
        <v/>
      </c>
      <c r="X143" s="50" t="str">
        <f>IF(Registro!M142="","",IF(COUNTIF($X$8:X142,Registro!M142)=0,Registro!M142,""))</f>
        <v/>
      </c>
      <c r="Y143" s="50" t="str">
        <f t="shared" si="8"/>
        <v/>
      </c>
    </row>
    <row r="144" spans="1:25">
      <c r="A144" s="45" t="str">
        <f>IF(AND(Registro!D143="Abierto",Registro!E143="Urgente"),Registro!B143,"")</f>
        <v/>
      </c>
      <c r="B144" s="45" t="str">
        <f ca="1">IF(AND(Registro!D143="Abierto",Registro!E143="Urgente"),TODAY()-Registro!R143,"")</f>
        <v/>
      </c>
      <c r="C144" s="45" t="str">
        <f>IF(AND(Registro!D143="Abierto",Registro!E143="Urgente"),RANK(B144,$B$9:$B$1000,0)+COUNTIF($B$9:B144,B144)-1,"")</f>
        <v/>
      </c>
      <c r="D144" s="45" t="str">
        <f>IF(AND(Registro!D143="Abierto",Registro!E143="Alta"),Registro!B143,"")</f>
        <v/>
      </c>
      <c r="E144" s="45" t="str">
        <f ca="1">IF(AND(Registro!D143="Abierto",Registro!E143="Alta"),TODAY()-Registro!R143,"")</f>
        <v/>
      </c>
      <c r="F144" s="45" t="str">
        <f>IF(AND(Registro!D143="Abierto",Registro!E143="Alta"),RANK(E144,$E$9:$E$1000,0)+COUNTIF($E$9:E144,E144)-1+MAX(C$5:C$1000),"")</f>
        <v/>
      </c>
      <c r="G144" s="45" t="str">
        <f>IF(AND(Registro!D143="Abierto",Registro!E143="Media"),Registro!B143,"")</f>
        <v/>
      </c>
      <c r="H144" s="45" t="str">
        <f ca="1">IF(AND(Registro!D143="Abierto",Registro!E143="Media"),TODAY()-Registro!R143,"")</f>
        <v/>
      </c>
      <c r="I144" s="45" t="str">
        <f>IF(AND(Registro!D143="Abierto",Registro!E143="Media"),RANK(H144,$H$9:$H$1000,0)+COUNTIF($H$9:H144,H144)-1+MAX(C$5:C$1000,F$5:F$1000),"")</f>
        <v/>
      </c>
      <c r="J144" s="45" t="str">
        <f>IF(AND(Registro!D143="Abierto",Registro!E143="Baja"),Registro!B143,"")</f>
        <v/>
      </c>
      <c r="K144" s="45" t="str">
        <f ca="1">IF(AND(Registro!D143="Abierto",Registro!E143="Baja"),TODAY()-Registro!R143,"")</f>
        <v/>
      </c>
      <c r="L144" s="45" t="str">
        <f>IF(AND(Registro!D143="Abierto",Registro!E143="Baja"),RANK(K144,$K$9:$K$1000,0)+COUNTIF($K$9:K144,K144)-1+MAX(C$5:C$1000,F$5:F$1000,I$5:I$1000),"")</f>
        <v/>
      </c>
      <c r="M144" s="46" t="str">
        <f>IF(OR(Registro!D143="Resuelto",Registro!D143=""),"",SUM(C144,F144,I144,L144))</f>
        <v/>
      </c>
      <c r="N144" s="46" t="str">
        <f>IF(OR(Registro!D143="Resuelto",Registro!D143=""),"",SUM(B144,E144,H144,K144))</f>
        <v/>
      </c>
      <c r="O144" s="46" t="str">
        <f>IF(OR(Registro!D143="Resuelto",Registro!D143=""),"",_xlfn.CONCAT(A144,D144,G144,J144))</f>
        <v/>
      </c>
      <c r="P144" s="47">
        <v>136</v>
      </c>
      <c r="Q144" s="47" t="str">
        <f t="shared" ca="1" si="6"/>
        <v/>
      </c>
      <c r="R144" s="48" t="str">
        <f t="shared" ca="1" si="7"/>
        <v/>
      </c>
      <c r="S144" s="32"/>
      <c r="T144" s="32"/>
      <c r="U144" s="32"/>
      <c r="V144" s="32"/>
      <c r="W144" s="47" t="str">
        <f>IF(X144="","",MAX($W$5:W143)+1)</f>
        <v/>
      </c>
      <c r="X144" s="50" t="str">
        <f>IF(Registro!M143="","",IF(COUNTIF($X$8:X143,Registro!M143)=0,Registro!M143,""))</f>
        <v/>
      </c>
      <c r="Y144" s="50" t="str">
        <f t="shared" si="8"/>
        <v/>
      </c>
    </row>
    <row r="145" spans="1:25">
      <c r="A145" s="45" t="str">
        <f>IF(AND(Registro!D144="Abierto",Registro!E144="Urgente"),Registro!B144,"")</f>
        <v/>
      </c>
      <c r="B145" s="45" t="str">
        <f ca="1">IF(AND(Registro!D144="Abierto",Registro!E144="Urgente"),TODAY()-Registro!R144,"")</f>
        <v/>
      </c>
      <c r="C145" s="45" t="str">
        <f>IF(AND(Registro!D144="Abierto",Registro!E144="Urgente"),RANK(B145,$B$9:$B$1000,0)+COUNTIF($B$9:B145,B145)-1,"")</f>
        <v/>
      </c>
      <c r="D145" s="45" t="str">
        <f>IF(AND(Registro!D144="Abierto",Registro!E144="Alta"),Registro!B144,"")</f>
        <v/>
      </c>
      <c r="E145" s="45" t="str">
        <f ca="1">IF(AND(Registro!D144="Abierto",Registro!E144="Alta"),TODAY()-Registro!R144,"")</f>
        <v/>
      </c>
      <c r="F145" s="45" t="str">
        <f>IF(AND(Registro!D144="Abierto",Registro!E144="Alta"),RANK(E145,$E$9:$E$1000,0)+COUNTIF($E$9:E145,E145)-1+MAX(C$5:C$1000),"")</f>
        <v/>
      </c>
      <c r="G145" s="45" t="str">
        <f>IF(AND(Registro!D144="Abierto",Registro!E144="Media"),Registro!B144,"")</f>
        <v/>
      </c>
      <c r="H145" s="45" t="str">
        <f ca="1">IF(AND(Registro!D144="Abierto",Registro!E144="Media"),TODAY()-Registro!R144,"")</f>
        <v/>
      </c>
      <c r="I145" s="45" t="str">
        <f>IF(AND(Registro!D144="Abierto",Registro!E144="Media"),RANK(H145,$H$9:$H$1000,0)+COUNTIF($H$9:H145,H145)-1+MAX(C$5:C$1000,F$5:F$1000),"")</f>
        <v/>
      </c>
      <c r="J145" s="45" t="str">
        <f>IF(AND(Registro!D144="Abierto",Registro!E144="Baja"),Registro!B144,"")</f>
        <v/>
      </c>
      <c r="K145" s="45" t="str">
        <f ca="1">IF(AND(Registro!D144="Abierto",Registro!E144="Baja"),TODAY()-Registro!R144,"")</f>
        <v/>
      </c>
      <c r="L145" s="45" t="str">
        <f>IF(AND(Registro!D144="Abierto",Registro!E144="Baja"),RANK(K145,$K$9:$K$1000,0)+COUNTIF($K$9:K145,K145)-1+MAX(C$5:C$1000,F$5:F$1000,I$5:I$1000),"")</f>
        <v/>
      </c>
      <c r="M145" s="46" t="str">
        <f>IF(OR(Registro!D144="Resuelto",Registro!D144=""),"",SUM(C145,F145,I145,L145))</f>
        <v/>
      </c>
      <c r="N145" s="46" t="str">
        <f>IF(OR(Registro!D144="Resuelto",Registro!D144=""),"",SUM(B145,E145,H145,K145))</f>
        <v/>
      </c>
      <c r="O145" s="46" t="str">
        <f>IF(OR(Registro!D144="Resuelto",Registro!D144=""),"",_xlfn.CONCAT(A145,D145,G145,J145))</f>
        <v/>
      </c>
      <c r="P145" s="47">
        <v>137</v>
      </c>
      <c r="Q145" s="47" t="str">
        <f t="shared" ca="1" si="6"/>
        <v/>
      </c>
      <c r="R145" s="48" t="str">
        <f t="shared" ca="1" si="7"/>
        <v/>
      </c>
      <c r="S145" s="32"/>
      <c r="T145" s="32"/>
      <c r="U145" s="32"/>
      <c r="V145" s="32"/>
      <c r="W145" s="47" t="str">
        <f>IF(X145="","",MAX($W$5:W144)+1)</f>
        <v/>
      </c>
      <c r="X145" s="50" t="str">
        <f>IF(Registro!M144="","",IF(COUNTIF($X$8:X144,Registro!M144)=0,Registro!M144,""))</f>
        <v/>
      </c>
      <c r="Y145" s="50" t="str">
        <f t="shared" si="8"/>
        <v/>
      </c>
    </row>
    <row r="146" spans="1:25">
      <c r="A146" s="45" t="str">
        <f>IF(AND(Registro!D145="Abierto",Registro!E145="Urgente"),Registro!B145,"")</f>
        <v/>
      </c>
      <c r="B146" s="45" t="str">
        <f ca="1">IF(AND(Registro!D145="Abierto",Registro!E145="Urgente"),TODAY()-Registro!R145,"")</f>
        <v/>
      </c>
      <c r="C146" s="45" t="str">
        <f>IF(AND(Registro!D145="Abierto",Registro!E145="Urgente"),RANK(B146,$B$9:$B$1000,0)+COUNTIF($B$9:B146,B146)-1,"")</f>
        <v/>
      </c>
      <c r="D146" s="45" t="str">
        <f>IF(AND(Registro!D145="Abierto",Registro!E145="Alta"),Registro!B145,"")</f>
        <v/>
      </c>
      <c r="E146" s="45" t="str">
        <f ca="1">IF(AND(Registro!D145="Abierto",Registro!E145="Alta"),TODAY()-Registro!R145,"")</f>
        <v/>
      </c>
      <c r="F146" s="45" t="str">
        <f>IF(AND(Registro!D145="Abierto",Registro!E145="Alta"),RANK(E146,$E$9:$E$1000,0)+COUNTIF($E$9:E146,E146)-1+MAX(C$5:C$1000),"")</f>
        <v/>
      </c>
      <c r="G146" s="45" t="str">
        <f>IF(AND(Registro!D145="Abierto",Registro!E145="Media"),Registro!B145,"")</f>
        <v/>
      </c>
      <c r="H146" s="45" t="str">
        <f ca="1">IF(AND(Registro!D145="Abierto",Registro!E145="Media"),TODAY()-Registro!R145,"")</f>
        <v/>
      </c>
      <c r="I146" s="45" t="str">
        <f>IF(AND(Registro!D145="Abierto",Registro!E145="Media"),RANK(H146,$H$9:$H$1000,0)+COUNTIF($H$9:H146,H146)-1+MAX(C$5:C$1000,F$5:F$1000),"")</f>
        <v/>
      </c>
      <c r="J146" s="45" t="str">
        <f>IF(AND(Registro!D145="Abierto",Registro!E145="Baja"),Registro!B145,"")</f>
        <v/>
      </c>
      <c r="K146" s="45" t="str">
        <f ca="1">IF(AND(Registro!D145="Abierto",Registro!E145="Baja"),TODAY()-Registro!R145,"")</f>
        <v/>
      </c>
      <c r="L146" s="45" t="str">
        <f>IF(AND(Registro!D145="Abierto",Registro!E145="Baja"),RANK(K146,$K$9:$K$1000,0)+COUNTIF($K$9:K146,K146)-1+MAX(C$5:C$1000,F$5:F$1000,I$5:I$1000),"")</f>
        <v/>
      </c>
      <c r="M146" s="46" t="str">
        <f>IF(OR(Registro!D145="Resuelto",Registro!D145=""),"",SUM(C146,F146,I146,L146))</f>
        <v/>
      </c>
      <c r="N146" s="46" t="str">
        <f>IF(OR(Registro!D145="Resuelto",Registro!D145=""),"",SUM(B146,E146,H146,K146))</f>
        <v/>
      </c>
      <c r="O146" s="46" t="str">
        <f>IF(OR(Registro!D145="Resuelto",Registro!D145=""),"",_xlfn.CONCAT(A146,D146,G146,J146))</f>
        <v/>
      </c>
      <c r="P146" s="47">
        <v>138</v>
      </c>
      <c r="Q146" s="47" t="str">
        <f t="shared" ca="1" si="6"/>
        <v/>
      </c>
      <c r="R146" s="48" t="str">
        <f t="shared" ca="1" si="7"/>
        <v/>
      </c>
      <c r="S146" s="32"/>
      <c r="T146" s="32"/>
      <c r="U146" s="32"/>
      <c r="V146" s="32"/>
      <c r="W146" s="47" t="str">
        <f>IF(X146="","",MAX($W$5:W145)+1)</f>
        <v/>
      </c>
      <c r="X146" s="50" t="str">
        <f>IF(Registro!M145="","",IF(COUNTIF($X$8:X145,Registro!M145)=0,Registro!M145,""))</f>
        <v/>
      </c>
      <c r="Y146" s="50" t="str">
        <f t="shared" si="8"/>
        <v/>
      </c>
    </row>
    <row r="147" spans="1:25">
      <c r="A147" s="45" t="str">
        <f>IF(AND(Registro!D146="Abierto",Registro!E146="Urgente"),Registro!B146,"")</f>
        <v/>
      </c>
      <c r="B147" s="45" t="str">
        <f ca="1">IF(AND(Registro!D146="Abierto",Registro!E146="Urgente"),TODAY()-Registro!R146,"")</f>
        <v/>
      </c>
      <c r="C147" s="45" t="str">
        <f>IF(AND(Registro!D146="Abierto",Registro!E146="Urgente"),RANK(B147,$B$9:$B$1000,0)+COUNTIF($B$9:B147,B147)-1,"")</f>
        <v/>
      </c>
      <c r="D147" s="45" t="str">
        <f>IF(AND(Registro!D146="Abierto",Registro!E146="Alta"),Registro!B146,"")</f>
        <v/>
      </c>
      <c r="E147" s="45" t="str">
        <f ca="1">IF(AND(Registro!D146="Abierto",Registro!E146="Alta"),TODAY()-Registro!R146,"")</f>
        <v/>
      </c>
      <c r="F147" s="45" t="str">
        <f>IF(AND(Registro!D146="Abierto",Registro!E146="Alta"),RANK(E147,$E$9:$E$1000,0)+COUNTIF($E$9:E147,E147)-1+MAX(C$5:C$1000),"")</f>
        <v/>
      </c>
      <c r="G147" s="45" t="str">
        <f>IF(AND(Registro!D146="Abierto",Registro!E146="Media"),Registro!B146,"")</f>
        <v/>
      </c>
      <c r="H147" s="45" t="str">
        <f ca="1">IF(AND(Registro!D146="Abierto",Registro!E146="Media"),TODAY()-Registro!R146,"")</f>
        <v/>
      </c>
      <c r="I147" s="45" t="str">
        <f>IF(AND(Registro!D146="Abierto",Registro!E146="Media"),RANK(H147,$H$9:$H$1000,0)+COUNTIF($H$9:H147,H147)-1+MAX(C$5:C$1000,F$5:F$1000),"")</f>
        <v/>
      </c>
      <c r="J147" s="45" t="str">
        <f>IF(AND(Registro!D146="Abierto",Registro!E146="Baja"),Registro!B146,"")</f>
        <v/>
      </c>
      <c r="K147" s="45" t="str">
        <f ca="1">IF(AND(Registro!D146="Abierto",Registro!E146="Baja"),TODAY()-Registro!R146,"")</f>
        <v/>
      </c>
      <c r="L147" s="45" t="str">
        <f>IF(AND(Registro!D146="Abierto",Registro!E146="Baja"),RANK(K147,$K$9:$K$1000,0)+COUNTIF($K$9:K147,K147)-1+MAX(C$5:C$1000,F$5:F$1000,I$5:I$1000),"")</f>
        <v/>
      </c>
      <c r="M147" s="46" t="str">
        <f>IF(OR(Registro!D146="Resuelto",Registro!D146=""),"",SUM(C147,F147,I147,L147))</f>
        <v/>
      </c>
      <c r="N147" s="46" t="str">
        <f>IF(OR(Registro!D146="Resuelto",Registro!D146=""),"",SUM(B147,E147,H147,K147))</f>
        <v/>
      </c>
      <c r="O147" s="46" t="str">
        <f>IF(OR(Registro!D146="Resuelto",Registro!D146=""),"",_xlfn.CONCAT(A147,D147,G147,J147))</f>
        <v/>
      </c>
      <c r="P147" s="47">
        <v>139</v>
      </c>
      <c r="Q147" s="47" t="str">
        <f t="shared" ca="1" si="6"/>
        <v/>
      </c>
      <c r="R147" s="48" t="str">
        <f t="shared" ca="1" si="7"/>
        <v/>
      </c>
      <c r="S147" s="32"/>
      <c r="T147" s="32"/>
      <c r="U147" s="32"/>
      <c r="V147" s="32"/>
      <c r="W147" s="47" t="str">
        <f>IF(X147="","",MAX($W$5:W146)+1)</f>
        <v/>
      </c>
      <c r="X147" s="50" t="str">
        <f>IF(Registro!M146="","",IF(COUNTIF($X$8:X146,Registro!M146)=0,Registro!M146,""))</f>
        <v/>
      </c>
      <c r="Y147" s="50" t="str">
        <f t="shared" si="8"/>
        <v/>
      </c>
    </row>
    <row r="148" spans="1:25">
      <c r="A148" s="45" t="str">
        <f>IF(AND(Registro!D147="Abierto",Registro!E147="Urgente"),Registro!B147,"")</f>
        <v/>
      </c>
      <c r="B148" s="45" t="str">
        <f ca="1">IF(AND(Registro!D147="Abierto",Registro!E147="Urgente"),TODAY()-Registro!R147,"")</f>
        <v/>
      </c>
      <c r="C148" s="45" t="str">
        <f>IF(AND(Registro!D147="Abierto",Registro!E147="Urgente"),RANK(B148,$B$9:$B$1000,0)+COUNTIF($B$9:B148,B148)-1,"")</f>
        <v/>
      </c>
      <c r="D148" s="45" t="str">
        <f>IF(AND(Registro!D147="Abierto",Registro!E147="Alta"),Registro!B147,"")</f>
        <v/>
      </c>
      <c r="E148" s="45" t="str">
        <f ca="1">IF(AND(Registro!D147="Abierto",Registro!E147="Alta"),TODAY()-Registro!R147,"")</f>
        <v/>
      </c>
      <c r="F148" s="45" t="str">
        <f>IF(AND(Registro!D147="Abierto",Registro!E147="Alta"),RANK(E148,$E$9:$E$1000,0)+COUNTIF($E$9:E148,E148)-1+MAX(C$5:C$1000),"")</f>
        <v/>
      </c>
      <c r="G148" s="45" t="str">
        <f>IF(AND(Registro!D147="Abierto",Registro!E147="Media"),Registro!B147,"")</f>
        <v/>
      </c>
      <c r="H148" s="45" t="str">
        <f ca="1">IF(AND(Registro!D147="Abierto",Registro!E147="Media"),TODAY()-Registro!R147,"")</f>
        <v/>
      </c>
      <c r="I148" s="45" t="str">
        <f>IF(AND(Registro!D147="Abierto",Registro!E147="Media"),RANK(H148,$H$9:$H$1000,0)+COUNTIF($H$9:H148,H148)-1+MAX(C$5:C$1000,F$5:F$1000),"")</f>
        <v/>
      </c>
      <c r="J148" s="45" t="str">
        <f>IF(AND(Registro!D147="Abierto",Registro!E147="Baja"),Registro!B147,"")</f>
        <v/>
      </c>
      <c r="K148" s="45" t="str">
        <f ca="1">IF(AND(Registro!D147="Abierto",Registro!E147="Baja"),TODAY()-Registro!R147,"")</f>
        <v/>
      </c>
      <c r="L148" s="45" t="str">
        <f>IF(AND(Registro!D147="Abierto",Registro!E147="Baja"),RANK(K148,$K$9:$K$1000,0)+COUNTIF($K$9:K148,K148)-1+MAX(C$5:C$1000,F$5:F$1000,I$5:I$1000),"")</f>
        <v/>
      </c>
      <c r="M148" s="46" t="str">
        <f>IF(OR(Registro!D147="Resuelto",Registro!D147=""),"",SUM(C148,F148,I148,L148))</f>
        <v/>
      </c>
      <c r="N148" s="46" t="str">
        <f>IF(OR(Registro!D147="Resuelto",Registro!D147=""),"",SUM(B148,E148,H148,K148))</f>
        <v/>
      </c>
      <c r="O148" s="46" t="str">
        <f>IF(OR(Registro!D147="Resuelto",Registro!D147=""),"",_xlfn.CONCAT(A148,D148,G148,J148))</f>
        <v/>
      </c>
      <c r="P148" s="47">
        <v>140</v>
      </c>
      <c r="Q148" s="47" t="str">
        <f t="shared" ca="1" si="6"/>
        <v/>
      </c>
      <c r="R148" s="48" t="str">
        <f t="shared" ca="1" si="7"/>
        <v/>
      </c>
      <c r="S148" s="32"/>
      <c r="T148" s="32"/>
      <c r="U148" s="32"/>
      <c r="V148" s="32"/>
      <c r="W148" s="47" t="str">
        <f>IF(X148="","",MAX($W$5:W147)+1)</f>
        <v/>
      </c>
      <c r="X148" s="50" t="str">
        <f>IF(Registro!M147="","",IF(COUNTIF($X$8:X147,Registro!M147)=0,Registro!M147,""))</f>
        <v/>
      </c>
      <c r="Y148" s="50" t="str">
        <f t="shared" si="8"/>
        <v/>
      </c>
    </row>
    <row r="149" spans="1:25">
      <c r="A149" s="45" t="str">
        <f>IF(AND(Registro!D148="Abierto",Registro!E148="Urgente"),Registro!B148,"")</f>
        <v/>
      </c>
      <c r="B149" s="45" t="str">
        <f ca="1">IF(AND(Registro!D148="Abierto",Registro!E148="Urgente"),TODAY()-Registro!R148,"")</f>
        <v/>
      </c>
      <c r="C149" s="45" t="str">
        <f>IF(AND(Registro!D148="Abierto",Registro!E148="Urgente"),RANK(B149,$B$9:$B$1000,0)+COUNTIF($B$9:B149,B149)-1,"")</f>
        <v/>
      </c>
      <c r="D149" s="45" t="str">
        <f>IF(AND(Registro!D148="Abierto",Registro!E148="Alta"),Registro!B148,"")</f>
        <v/>
      </c>
      <c r="E149" s="45" t="str">
        <f ca="1">IF(AND(Registro!D148="Abierto",Registro!E148="Alta"),TODAY()-Registro!R148,"")</f>
        <v/>
      </c>
      <c r="F149" s="45" t="str">
        <f>IF(AND(Registro!D148="Abierto",Registro!E148="Alta"),RANK(E149,$E$9:$E$1000,0)+COUNTIF($E$9:E149,E149)-1+MAX(C$5:C$1000),"")</f>
        <v/>
      </c>
      <c r="G149" s="45" t="str">
        <f>IF(AND(Registro!D148="Abierto",Registro!E148="Media"),Registro!B148,"")</f>
        <v/>
      </c>
      <c r="H149" s="45" t="str">
        <f ca="1">IF(AND(Registro!D148="Abierto",Registro!E148="Media"),TODAY()-Registro!R148,"")</f>
        <v/>
      </c>
      <c r="I149" s="45" t="str">
        <f>IF(AND(Registro!D148="Abierto",Registro!E148="Media"),RANK(H149,$H$9:$H$1000,0)+COUNTIF($H$9:H149,H149)-1+MAX(C$5:C$1000,F$5:F$1000),"")</f>
        <v/>
      </c>
      <c r="J149" s="45" t="str">
        <f>IF(AND(Registro!D148="Abierto",Registro!E148="Baja"),Registro!B148,"")</f>
        <v/>
      </c>
      <c r="K149" s="45" t="str">
        <f ca="1">IF(AND(Registro!D148="Abierto",Registro!E148="Baja"),TODAY()-Registro!R148,"")</f>
        <v/>
      </c>
      <c r="L149" s="45" t="str">
        <f>IF(AND(Registro!D148="Abierto",Registro!E148="Baja"),RANK(K149,$K$9:$K$1000,0)+COUNTIF($K$9:K149,K149)-1+MAX(C$5:C$1000,F$5:F$1000,I$5:I$1000),"")</f>
        <v/>
      </c>
      <c r="M149" s="46" t="str">
        <f>IF(OR(Registro!D148="Resuelto",Registro!D148=""),"",SUM(C149,F149,I149,L149))</f>
        <v/>
      </c>
      <c r="N149" s="46" t="str">
        <f>IF(OR(Registro!D148="Resuelto",Registro!D148=""),"",SUM(B149,E149,H149,K149))</f>
        <v/>
      </c>
      <c r="O149" s="46" t="str">
        <f>IF(OR(Registro!D148="Resuelto",Registro!D148=""),"",_xlfn.CONCAT(A149,D149,G149,J149))</f>
        <v/>
      </c>
      <c r="P149" s="47">
        <v>141</v>
      </c>
      <c r="Q149" s="47" t="str">
        <f t="shared" ca="1" si="6"/>
        <v/>
      </c>
      <c r="R149" s="48" t="str">
        <f t="shared" ca="1" si="7"/>
        <v/>
      </c>
      <c r="S149" s="32"/>
      <c r="T149" s="32"/>
      <c r="U149" s="32"/>
      <c r="V149" s="32"/>
      <c r="W149" s="47" t="str">
        <f>IF(X149="","",MAX($W$5:W148)+1)</f>
        <v/>
      </c>
      <c r="X149" s="50" t="str">
        <f>IF(Registro!M148="","",IF(COUNTIF($X$8:X148,Registro!M148)=0,Registro!M148,""))</f>
        <v/>
      </c>
      <c r="Y149" s="50" t="str">
        <f t="shared" si="8"/>
        <v/>
      </c>
    </row>
    <row r="150" spans="1:25">
      <c r="A150" s="45" t="str">
        <f>IF(AND(Registro!D149="Abierto",Registro!E149="Urgente"),Registro!B149,"")</f>
        <v/>
      </c>
      <c r="B150" s="45" t="str">
        <f ca="1">IF(AND(Registro!D149="Abierto",Registro!E149="Urgente"),TODAY()-Registro!R149,"")</f>
        <v/>
      </c>
      <c r="C150" s="45" t="str">
        <f>IF(AND(Registro!D149="Abierto",Registro!E149="Urgente"),RANK(B150,$B$9:$B$1000,0)+COUNTIF($B$9:B150,B150)-1,"")</f>
        <v/>
      </c>
      <c r="D150" s="45" t="str">
        <f>IF(AND(Registro!D149="Abierto",Registro!E149="Alta"),Registro!B149,"")</f>
        <v/>
      </c>
      <c r="E150" s="45" t="str">
        <f ca="1">IF(AND(Registro!D149="Abierto",Registro!E149="Alta"),TODAY()-Registro!R149,"")</f>
        <v/>
      </c>
      <c r="F150" s="45" t="str">
        <f>IF(AND(Registro!D149="Abierto",Registro!E149="Alta"),RANK(E150,$E$9:$E$1000,0)+COUNTIF($E$9:E150,E150)-1+MAX(C$5:C$1000),"")</f>
        <v/>
      </c>
      <c r="G150" s="45" t="str">
        <f>IF(AND(Registro!D149="Abierto",Registro!E149="Media"),Registro!B149,"")</f>
        <v/>
      </c>
      <c r="H150" s="45" t="str">
        <f ca="1">IF(AND(Registro!D149="Abierto",Registro!E149="Media"),TODAY()-Registro!R149,"")</f>
        <v/>
      </c>
      <c r="I150" s="45" t="str">
        <f>IF(AND(Registro!D149="Abierto",Registro!E149="Media"),RANK(H150,$H$9:$H$1000,0)+COUNTIF($H$9:H150,H150)-1+MAX(C$5:C$1000,F$5:F$1000),"")</f>
        <v/>
      </c>
      <c r="J150" s="45" t="str">
        <f>IF(AND(Registro!D149="Abierto",Registro!E149="Baja"),Registro!B149,"")</f>
        <v/>
      </c>
      <c r="K150" s="45" t="str">
        <f ca="1">IF(AND(Registro!D149="Abierto",Registro!E149="Baja"),TODAY()-Registro!R149,"")</f>
        <v/>
      </c>
      <c r="L150" s="45" t="str">
        <f>IF(AND(Registro!D149="Abierto",Registro!E149="Baja"),RANK(K150,$K$9:$K$1000,0)+COUNTIF($K$9:K150,K150)-1+MAX(C$5:C$1000,F$5:F$1000,I$5:I$1000),"")</f>
        <v/>
      </c>
      <c r="M150" s="46" t="str">
        <f>IF(OR(Registro!D149="Resuelto",Registro!D149=""),"",SUM(C150,F150,I150,L150))</f>
        <v/>
      </c>
      <c r="N150" s="46" t="str">
        <f>IF(OR(Registro!D149="Resuelto",Registro!D149=""),"",SUM(B150,E150,H150,K150))</f>
        <v/>
      </c>
      <c r="O150" s="46" t="str">
        <f>IF(OR(Registro!D149="Resuelto",Registro!D149=""),"",_xlfn.CONCAT(A150,D150,G150,J150))</f>
        <v/>
      </c>
      <c r="P150" s="47">
        <v>142</v>
      </c>
      <c r="Q150" s="47" t="str">
        <f t="shared" ca="1" si="6"/>
        <v/>
      </c>
      <c r="R150" s="48" t="str">
        <f t="shared" ca="1" si="7"/>
        <v/>
      </c>
      <c r="S150" s="32"/>
      <c r="T150" s="32"/>
      <c r="U150" s="32"/>
      <c r="V150" s="32"/>
      <c r="W150" s="47" t="str">
        <f>IF(X150="","",MAX($W$5:W149)+1)</f>
        <v/>
      </c>
      <c r="X150" s="50" t="str">
        <f>IF(Registro!M149="","",IF(COUNTIF($X$8:X149,Registro!M149)=0,Registro!M149,""))</f>
        <v/>
      </c>
      <c r="Y150" s="50" t="str">
        <f t="shared" si="8"/>
        <v/>
      </c>
    </row>
    <row r="151" spans="1:25">
      <c r="A151" s="45" t="str">
        <f>IF(AND(Registro!D150="Abierto",Registro!E150="Urgente"),Registro!B150,"")</f>
        <v/>
      </c>
      <c r="B151" s="45" t="str">
        <f ca="1">IF(AND(Registro!D150="Abierto",Registro!E150="Urgente"),TODAY()-Registro!R150,"")</f>
        <v/>
      </c>
      <c r="C151" s="45" t="str">
        <f>IF(AND(Registro!D150="Abierto",Registro!E150="Urgente"),RANK(B151,$B$9:$B$1000,0)+COUNTIF($B$9:B151,B151)-1,"")</f>
        <v/>
      </c>
      <c r="D151" s="45" t="str">
        <f>IF(AND(Registro!D150="Abierto",Registro!E150="Alta"),Registro!B150,"")</f>
        <v/>
      </c>
      <c r="E151" s="45" t="str">
        <f ca="1">IF(AND(Registro!D150="Abierto",Registro!E150="Alta"),TODAY()-Registro!R150,"")</f>
        <v/>
      </c>
      <c r="F151" s="45" t="str">
        <f>IF(AND(Registro!D150="Abierto",Registro!E150="Alta"),RANK(E151,$E$9:$E$1000,0)+COUNTIF($E$9:E151,E151)-1+MAX(C$5:C$1000),"")</f>
        <v/>
      </c>
      <c r="G151" s="45" t="str">
        <f>IF(AND(Registro!D150="Abierto",Registro!E150="Media"),Registro!B150,"")</f>
        <v/>
      </c>
      <c r="H151" s="45" t="str">
        <f ca="1">IF(AND(Registro!D150="Abierto",Registro!E150="Media"),TODAY()-Registro!R150,"")</f>
        <v/>
      </c>
      <c r="I151" s="45" t="str">
        <f>IF(AND(Registro!D150="Abierto",Registro!E150="Media"),RANK(H151,$H$9:$H$1000,0)+COUNTIF($H$9:H151,H151)-1+MAX(C$5:C$1000,F$5:F$1000),"")</f>
        <v/>
      </c>
      <c r="J151" s="45" t="str">
        <f>IF(AND(Registro!D150="Abierto",Registro!E150="Baja"),Registro!B150,"")</f>
        <v/>
      </c>
      <c r="K151" s="45" t="str">
        <f ca="1">IF(AND(Registro!D150="Abierto",Registro!E150="Baja"),TODAY()-Registro!R150,"")</f>
        <v/>
      </c>
      <c r="L151" s="45" t="str">
        <f>IF(AND(Registro!D150="Abierto",Registro!E150="Baja"),RANK(K151,$K$9:$K$1000,0)+COUNTIF($K$9:K151,K151)-1+MAX(C$5:C$1000,F$5:F$1000,I$5:I$1000),"")</f>
        <v/>
      </c>
      <c r="M151" s="46" t="str">
        <f>IF(OR(Registro!D150="Resuelto",Registro!D150=""),"",SUM(C151,F151,I151,L151))</f>
        <v/>
      </c>
      <c r="N151" s="46" t="str">
        <f>IF(OR(Registro!D150="Resuelto",Registro!D150=""),"",SUM(B151,E151,H151,K151))</f>
        <v/>
      </c>
      <c r="O151" s="46" t="str">
        <f>IF(OR(Registro!D150="Resuelto",Registro!D150=""),"",_xlfn.CONCAT(A151,D151,G151,J151))</f>
        <v/>
      </c>
      <c r="P151" s="47">
        <v>143</v>
      </c>
      <c r="Q151" s="47" t="str">
        <f t="shared" ca="1" si="6"/>
        <v/>
      </c>
      <c r="R151" s="48" t="str">
        <f t="shared" ca="1" si="7"/>
        <v/>
      </c>
      <c r="S151" s="32"/>
      <c r="T151" s="32"/>
      <c r="U151" s="32"/>
      <c r="V151" s="32"/>
      <c r="W151" s="47" t="str">
        <f>IF(X151="","",MAX($W$5:W150)+1)</f>
        <v/>
      </c>
      <c r="X151" s="50" t="str">
        <f>IF(Registro!M150="","",IF(COUNTIF($X$8:X150,Registro!M150)=0,Registro!M150,""))</f>
        <v/>
      </c>
      <c r="Y151" s="50" t="str">
        <f t="shared" si="8"/>
        <v/>
      </c>
    </row>
    <row r="152" spans="1:25">
      <c r="A152" s="45" t="str">
        <f>IF(AND(Registro!D151="Abierto",Registro!E151="Urgente"),Registro!B151,"")</f>
        <v/>
      </c>
      <c r="B152" s="45" t="str">
        <f ca="1">IF(AND(Registro!D151="Abierto",Registro!E151="Urgente"),TODAY()-Registro!R151,"")</f>
        <v/>
      </c>
      <c r="C152" s="45" t="str">
        <f>IF(AND(Registro!D151="Abierto",Registro!E151="Urgente"),RANK(B152,$B$9:$B$1000,0)+COUNTIF($B$9:B152,B152)-1,"")</f>
        <v/>
      </c>
      <c r="D152" s="45" t="str">
        <f>IF(AND(Registro!D151="Abierto",Registro!E151="Alta"),Registro!B151,"")</f>
        <v/>
      </c>
      <c r="E152" s="45" t="str">
        <f ca="1">IF(AND(Registro!D151="Abierto",Registro!E151="Alta"),TODAY()-Registro!R151,"")</f>
        <v/>
      </c>
      <c r="F152" s="45" t="str">
        <f>IF(AND(Registro!D151="Abierto",Registro!E151="Alta"),RANK(E152,$E$9:$E$1000,0)+COUNTIF($E$9:E152,E152)-1+MAX(C$5:C$1000),"")</f>
        <v/>
      </c>
      <c r="G152" s="45" t="str">
        <f>IF(AND(Registro!D151="Abierto",Registro!E151="Media"),Registro!B151,"")</f>
        <v/>
      </c>
      <c r="H152" s="45" t="str">
        <f ca="1">IF(AND(Registro!D151="Abierto",Registro!E151="Media"),TODAY()-Registro!R151,"")</f>
        <v/>
      </c>
      <c r="I152" s="45" t="str">
        <f>IF(AND(Registro!D151="Abierto",Registro!E151="Media"),RANK(H152,$H$9:$H$1000,0)+COUNTIF($H$9:H152,H152)-1+MAX(C$5:C$1000,F$5:F$1000),"")</f>
        <v/>
      </c>
      <c r="J152" s="45" t="str">
        <f>IF(AND(Registro!D151="Abierto",Registro!E151="Baja"),Registro!B151,"")</f>
        <v/>
      </c>
      <c r="K152" s="45" t="str">
        <f ca="1">IF(AND(Registro!D151="Abierto",Registro!E151="Baja"),TODAY()-Registro!R151,"")</f>
        <v/>
      </c>
      <c r="L152" s="45" t="str">
        <f>IF(AND(Registro!D151="Abierto",Registro!E151="Baja"),RANK(K152,$K$9:$K$1000,0)+COUNTIF($K$9:K152,K152)-1+MAX(C$5:C$1000,F$5:F$1000,I$5:I$1000),"")</f>
        <v/>
      </c>
      <c r="M152" s="46" t="str">
        <f>IF(OR(Registro!D151="Resuelto",Registro!D151=""),"",SUM(C152,F152,I152,L152))</f>
        <v/>
      </c>
      <c r="N152" s="46" t="str">
        <f>IF(OR(Registro!D151="Resuelto",Registro!D151=""),"",SUM(B152,E152,H152,K152))</f>
        <v/>
      </c>
      <c r="O152" s="46" t="str">
        <f>IF(OR(Registro!D151="Resuelto",Registro!D151=""),"",_xlfn.CONCAT(A152,D152,G152,J152))</f>
        <v/>
      </c>
      <c r="P152" s="47">
        <v>144</v>
      </c>
      <c r="Q152" s="47" t="str">
        <f t="shared" ca="1" si="6"/>
        <v/>
      </c>
      <c r="R152" s="48" t="str">
        <f t="shared" ca="1" si="7"/>
        <v/>
      </c>
      <c r="S152" s="32"/>
      <c r="T152" s="32"/>
      <c r="U152" s="32"/>
      <c r="V152" s="32"/>
      <c r="W152" s="47" t="str">
        <f>IF(X152="","",MAX($W$5:W151)+1)</f>
        <v/>
      </c>
      <c r="X152" s="50" t="str">
        <f>IF(Registro!M151="","",IF(COUNTIF($X$8:X151,Registro!M151)=0,Registro!M151,""))</f>
        <v/>
      </c>
      <c r="Y152" s="50" t="str">
        <f t="shared" si="8"/>
        <v/>
      </c>
    </row>
    <row r="153" spans="1:25">
      <c r="A153" s="45" t="str">
        <f>IF(AND(Registro!D152="Abierto",Registro!E152="Urgente"),Registro!B152,"")</f>
        <v/>
      </c>
      <c r="B153" s="45" t="str">
        <f ca="1">IF(AND(Registro!D152="Abierto",Registro!E152="Urgente"),TODAY()-Registro!R152,"")</f>
        <v/>
      </c>
      <c r="C153" s="45" t="str">
        <f>IF(AND(Registro!D152="Abierto",Registro!E152="Urgente"),RANK(B153,$B$9:$B$1000,0)+COUNTIF($B$9:B153,B153)-1,"")</f>
        <v/>
      </c>
      <c r="D153" s="45" t="str">
        <f>IF(AND(Registro!D152="Abierto",Registro!E152="Alta"),Registro!B152,"")</f>
        <v/>
      </c>
      <c r="E153" s="45" t="str">
        <f ca="1">IF(AND(Registro!D152="Abierto",Registro!E152="Alta"),TODAY()-Registro!R152,"")</f>
        <v/>
      </c>
      <c r="F153" s="45" t="str">
        <f>IF(AND(Registro!D152="Abierto",Registro!E152="Alta"),RANK(E153,$E$9:$E$1000,0)+COUNTIF($E$9:E153,E153)-1+MAX(C$5:C$1000),"")</f>
        <v/>
      </c>
      <c r="G153" s="45" t="str">
        <f>IF(AND(Registro!D152="Abierto",Registro!E152="Media"),Registro!B152,"")</f>
        <v/>
      </c>
      <c r="H153" s="45" t="str">
        <f ca="1">IF(AND(Registro!D152="Abierto",Registro!E152="Media"),TODAY()-Registro!R152,"")</f>
        <v/>
      </c>
      <c r="I153" s="45" t="str">
        <f>IF(AND(Registro!D152="Abierto",Registro!E152="Media"),RANK(H153,$H$9:$H$1000,0)+COUNTIF($H$9:H153,H153)-1+MAX(C$5:C$1000,F$5:F$1000),"")</f>
        <v/>
      </c>
      <c r="J153" s="45" t="str">
        <f>IF(AND(Registro!D152="Abierto",Registro!E152="Baja"),Registro!B152,"")</f>
        <v/>
      </c>
      <c r="K153" s="45" t="str">
        <f ca="1">IF(AND(Registro!D152="Abierto",Registro!E152="Baja"),TODAY()-Registro!R152,"")</f>
        <v/>
      </c>
      <c r="L153" s="45" t="str">
        <f>IF(AND(Registro!D152="Abierto",Registro!E152="Baja"),RANK(K153,$K$9:$K$1000,0)+COUNTIF($K$9:K153,K153)-1+MAX(C$5:C$1000,F$5:F$1000,I$5:I$1000),"")</f>
        <v/>
      </c>
      <c r="M153" s="46" t="str">
        <f>IF(OR(Registro!D152="Resuelto",Registro!D152=""),"",SUM(C153,F153,I153,L153))</f>
        <v/>
      </c>
      <c r="N153" s="46" t="str">
        <f>IF(OR(Registro!D152="Resuelto",Registro!D152=""),"",SUM(B153,E153,H153,K153))</f>
        <v/>
      </c>
      <c r="O153" s="46" t="str">
        <f>IF(OR(Registro!D152="Resuelto",Registro!D152=""),"",_xlfn.CONCAT(A153,D153,G153,J153))</f>
        <v/>
      </c>
      <c r="P153" s="47">
        <v>145</v>
      </c>
      <c r="Q153" s="47" t="str">
        <f t="shared" ca="1" si="6"/>
        <v/>
      </c>
      <c r="R153" s="48" t="str">
        <f t="shared" ca="1" si="7"/>
        <v/>
      </c>
      <c r="S153" s="32"/>
      <c r="T153" s="32"/>
      <c r="U153" s="32"/>
      <c r="V153" s="32"/>
      <c r="W153" s="47" t="str">
        <f>IF(X153="","",MAX($W$5:W152)+1)</f>
        <v/>
      </c>
      <c r="X153" s="50" t="str">
        <f>IF(Registro!M152="","",IF(COUNTIF($X$8:X152,Registro!M152)=0,Registro!M152,""))</f>
        <v/>
      </c>
      <c r="Y153" s="50" t="str">
        <f t="shared" si="8"/>
        <v/>
      </c>
    </row>
    <row r="154" spans="1:25">
      <c r="A154" s="45" t="str">
        <f>IF(AND(Registro!D153="Abierto",Registro!E153="Urgente"),Registro!B153,"")</f>
        <v/>
      </c>
      <c r="B154" s="45" t="str">
        <f ca="1">IF(AND(Registro!D153="Abierto",Registro!E153="Urgente"),TODAY()-Registro!R153,"")</f>
        <v/>
      </c>
      <c r="C154" s="45" t="str">
        <f>IF(AND(Registro!D153="Abierto",Registro!E153="Urgente"),RANK(B154,$B$9:$B$1000,0)+COUNTIF($B$9:B154,B154)-1,"")</f>
        <v/>
      </c>
      <c r="D154" s="45" t="str">
        <f>IF(AND(Registro!D153="Abierto",Registro!E153="Alta"),Registro!B153,"")</f>
        <v/>
      </c>
      <c r="E154" s="45" t="str">
        <f ca="1">IF(AND(Registro!D153="Abierto",Registro!E153="Alta"),TODAY()-Registro!R153,"")</f>
        <v/>
      </c>
      <c r="F154" s="45" t="str">
        <f>IF(AND(Registro!D153="Abierto",Registro!E153="Alta"),RANK(E154,$E$9:$E$1000,0)+COUNTIF($E$9:E154,E154)-1+MAX(C$5:C$1000),"")</f>
        <v/>
      </c>
      <c r="G154" s="45" t="str">
        <f>IF(AND(Registro!D153="Abierto",Registro!E153="Media"),Registro!B153,"")</f>
        <v/>
      </c>
      <c r="H154" s="45" t="str">
        <f ca="1">IF(AND(Registro!D153="Abierto",Registro!E153="Media"),TODAY()-Registro!R153,"")</f>
        <v/>
      </c>
      <c r="I154" s="45" t="str">
        <f>IF(AND(Registro!D153="Abierto",Registro!E153="Media"),RANK(H154,$H$9:$H$1000,0)+COUNTIF($H$9:H154,H154)-1+MAX(C$5:C$1000,F$5:F$1000),"")</f>
        <v/>
      </c>
      <c r="J154" s="45" t="str">
        <f>IF(AND(Registro!D153="Abierto",Registro!E153="Baja"),Registro!B153,"")</f>
        <v/>
      </c>
      <c r="K154" s="45" t="str">
        <f ca="1">IF(AND(Registro!D153="Abierto",Registro!E153="Baja"),TODAY()-Registro!R153,"")</f>
        <v/>
      </c>
      <c r="L154" s="45" t="str">
        <f>IF(AND(Registro!D153="Abierto",Registro!E153="Baja"),RANK(K154,$K$9:$K$1000,0)+COUNTIF($K$9:K154,K154)-1+MAX(C$5:C$1000,F$5:F$1000,I$5:I$1000),"")</f>
        <v/>
      </c>
      <c r="M154" s="46" t="str">
        <f>IF(OR(Registro!D153="Resuelto",Registro!D153=""),"",SUM(C154,F154,I154,L154))</f>
        <v/>
      </c>
      <c r="N154" s="46" t="str">
        <f>IF(OR(Registro!D153="Resuelto",Registro!D153=""),"",SUM(B154,E154,H154,K154))</f>
        <v/>
      </c>
      <c r="O154" s="46" t="str">
        <f>IF(OR(Registro!D153="Resuelto",Registro!D153=""),"",_xlfn.CONCAT(A154,D154,G154,J154))</f>
        <v/>
      </c>
      <c r="P154" s="47">
        <v>146</v>
      </c>
      <c r="Q154" s="47" t="str">
        <f t="shared" ca="1" si="6"/>
        <v/>
      </c>
      <c r="R154" s="48" t="str">
        <f t="shared" ca="1" si="7"/>
        <v/>
      </c>
      <c r="S154" s="32"/>
      <c r="T154" s="32"/>
      <c r="U154" s="32"/>
      <c r="V154" s="32"/>
      <c r="W154" s="47" t="str">
        <f>IF(X154="","",MAX($W$5:W153)+1)</f>
        <v/>
      </c>
      <c r="X154" s="50" t="str">
        <f>IF(Registro!M153="","",IF(COUNTIF($X$8:X153,Registro!M153)=0,Registro!M153,""))</f>
        <v/>
      </c>
      <c r="Y154" s="50" t="str">
        <f t="shared" si="8"/>
        <v/>
      </c>
    </row>
    <row r="155" spans="1:25">
      <c r="A155" s="45" t="str">
        <f>IF(AND(Registro!D154="Abierto",Registro!E154="Urgente"),Registro!B154,"")</f>
        <v/>
      </c>
      <c r="B155" s="45" t="str">
        <f ca="1">IF(AND(Registro!D154="Abierto",Registro!E154="Urgente"),TODAY()-Registro!R154,"")</f>
        <v/>
      </c>
      <c r="C155" s="45" t="str">
        <f>IF(AND(Registro!D154="Abierto",Registro!E154="Urgente"),RANK(B155,$B$9:$B$1000,0)+COUNTIF($B$9:B155,B155)-1,"")</f>
        <v/>
      </c>
      <c r="D155" s="45" t="str">
        <f>IF(AND(Registro!D154="Abierto",Registro!E154="Alta"),Registro!B154,"")</f>
        <v/>
      </c>
      <c r="E155" s="45" t="str">
        <f ca="1">IF(AND(Registro!D154="Abierto",Registro!E154="Alta"),TODAY()-Registro!R154,"")</f>
        <v/>
      </c>
      <c r="F155" s="45" t="str">
        <f>IF(AND(Registro!D154="Abierto",Registro!E154="Alta"),RANK(E155,$E$9:$E$1000,0)+COUNTIF($E$9:E155,E155)-1+MAX(C$5:C$1000),"")</f>
        <v/>
      </c>
      <c r="G155" s="45" t="str">
        <f>IF(AND(Registro!D154="Abierto",Registro!E154="Media"),Registro!B154,"")</f>
        <v/>
      </c>
      <c r="H155" s="45" t="str">
        <f ca="1">IF(AND(Registro!D154="Abierto",Registro!E154="Media"),TODAY()-Registro!R154,"")</f>
        <v/>
      </c>
      <c r="I155" s="45" t="str">
        <f>IF(AND(Registro!D154="Abierto",Registro!E154="Media"),RANK(H155,$H$9:$H$1000,0)+COUNTIF($H$9:H155,H155)-1+MAX(C$5:C$1000,F$5:F$1000),"")</f>
        <v/>
      </c>
      <c r="J155" s="45" t="str">
        <f>IF(AND(Registro!D154="Abierto",Registro!E154="Baja"),Registro!B154,"")</f>
        <v/>
      </c>
      <c r="K155" s="45" t="str">
        <f ca="1">IF(AND(Registro!D154="Abierto",Registro!E154="Baja"),TODAY()-Registro!R154,"")</f>
        <v/>
      </c>
      <c r="L155" s="45" t="str">
        <f>IF(AND(Registro!D154="Abierto",Registro!E154="Baja"),RANK(K155,$K$9:$K$1000,0)+COUNTIF($K$9:K155,K155)-1+MAX(C$5:C$1000,F$5:F$1000,I$5:I$1000),"")</f>
        <v/>
      </c>
      <c r="M155" s="46" t="str">
        <f>IF(OR(Registro!D154="Resuelto",Registro!D154=""),"",SUM(C155,F155,I155,L155))</f>
        <v/>
      </c>
      <c r="N155" s="46" t="str">
        <f>IF(OR(Registro!D154="Resuelto",Registro!D154=""),"",SUM(B155,E155,H155,K155))</f>
        <v/>
      </c>
      <c r="O155" s="46" t="str">
        <f>IF(OR(Registro!D154="Resuelto",Registro!D154=""),"",_xlfn.CONCAT(A155,D155,G155,J155))</f>
        <v/>
      </c>
      <c r="P155" s="47">
        <v>147</v>
      </c>
      <c r="Q155" s="47" t="str">
        <f t="shared" ca="1" si="6"/>
        <v/>
      </c>
      <c r="R155" s="48" t="str">
        <f t="shared" ca="1" si="7"/>
        <v/>
      </c>
      <c r="S155" s="32"/>
      <c r="T155" s="32"/>
      <c r="U155" s="32"/>
      <c r="V155" s="32"/>
      <c r="W155" s="47" t="str">
        <f>IF(X155="","",MAX($W$5:W154)+1)</f>
        <v/>
      </c>
      <c r="X155" s="50" t="str">
        <f>IF(Registro!M154="","",IF(COUNTIF($X$8:X154,Registro!M154)=0,Registro!M154,""))</f>
        <v/>
      </c>
      <c r="Y155" s="50" t="str">
        <f t="shared" si="8"/>
        <v/>
      </c>
    </row>
    <row r="156" spans="1:25">
      <c r="A156" s="45" t="str">
        <f>IF(AND(Registro!D155="Abierto",Registro!E155="Urgente"),Registro!B155,"")</f>
        <v/>
      </c>
      <c r="B156" s="45" t="str">
        <f ca="1">IF(AND(Registro!D155="Abierto",Registro!E155="Urgente"),TODAY()-Registro!R155,"")</f>
        <v/>
      </c>
      <c r="C156" s="45" t="str">
        <f>IF(AND(Registro!D155="Abierto",Registro!E155="Urgente"),RANK(B156,$B$9:$B$1000,0)+COUNTIF($B$9:B156,B156)-1,"")</f>
        <v/>
      </c>
      <c r="D156" s="45" t="str">
        <f>IF(AND(Registro!D155="Abierto",Registro!E155="Alta"),Registro!B155,"")</f>
        <v/>
      </c>
      <c r="E156" s="45" t="str">
        <f ca="1">IF(AND(Registro!D155="Abierto",Registro!E155="Alta"),TODAY()-Registro!R155,"")</f>
        <v/>
      </c>
      <c r="F156" s="45" t="str">
        <f>IF(AND(Registro!D155="Abierto",Registro!E155="Alta"),RANK(E156,$E$9:$E$1000,0)+COUNTIF($E$9:E156,E156)-1+MAX(C$5:C$1000),"")</f>
        <v/>
      </c>
      <c r="G156" s="45" t="str">
        <f>IF(AND(Registro!D155="Abierto",Registro!E155="Media"),Registro!B155,"")</f>
        <v/>
      </c>
      <c r="H156" s="45" t="str">
        <f ca="1">IF(AND(Registro!D155="Abierto",Registro!E155="Media"),TODAY()-Registro!R155,"")</f>
        <v/>
      </c>
      <c r="I156" s="45" t="str">
        <f>IF(AND(Registro!D155="Abierto",Registro!E155="Media"),RANK(H156,$H$9:$H$1000,0)+COUNTIF($H$9:H156,H156)-1+MAX(C$5:C$1000,F$5:F$1000),"")</f>
        <v/>
      </c>
      <c r="J156" s="45" t="str">
        <f>IF(AND(Registro!D155="Abierto",Registro!E155="Baja"),Registro!B155,"")</f>
        <v/>
      </c>
      <c r="K156" s="45" t="str">
        <f ca="1">IF(AND(Registro!D155="Abierto",Registro!E155="Baja"),TODAY()-Registro!R155,"")</f>
        <v/>
      </c>
      <c r="L156" s="45" t="str">
        <f>IF(AND(Registro!D155="Abierto",Registro!E155="Baja"),RANK(K156,$K$9:$K$1000,0)+COUNTIF($K$9:K156,K156)-1+MAX(C$5:C$1000,F$5:F$1000,I$5:I$1000),"")</f>
        <v/>
      </c>
      <c r="M156" s="46" t="str">
        <f>IF(OR(Registro!D155="Resuelto",Registro!D155=""),"",SUM(C156,F156,I156,L156))</f>
        <v/>
      </c>
      <c r="N156" s="46" t="str">
        <f>IF(OR(Registro!D155="Resuelto",Registro!D155=""),"",SUM(B156,E156,H156,K156))</f>
        <v/>
      </c>
      <c r="O156" s="46" t="str">
        <f>IF(OR(Registro!D155="Resuelto",Registro!D155=""),"",_xlfn.CONCAT(A156,D156,G156,J156))</f>
        <v/>
      </c>
      <c r="P156" s="47">
        <v>148</v>
      </c>
      <c r="Q156" s="47" t="str">
        <f t="shared" ca="1" si="6"/>
        <v/>
      </c>
      <c r="R156" s="48" t="str">
        <f t="shared" ca="1" si="7"/>
        <v/>
      </c>
      <c r="S156" s="32"/>
      <c r="T156" s="32"/>
      <c r="U156" s="32"/>
      <c r="V156" s="32"/>
      <c r="W156" s="47" t="str">
        <f>IF(X156="","",MAX($W$5:W155)+1)</f>
        <v/>
      </c>
      <c r="X156" s="50" t="str">
        <f>IF(Registro!M155="","",IF(COUNTIF($X$8:X155,Registro!M155)=0,Registro!M155,""))</f>
        <v/>
      </c>
      <c r="Y156" s="50" t="str">
        <f t="shared" si="8"/>
        <v/>
      </c>
    </row>
    <row r="157" spans="1:25">
      <c r="A157" s="45" t="str">
        <f>IF(AND(Registro!D156="Abierto",Registro!E156="Urgente"),Registro!B156,"")</f>
        <v/>
      </c>
      <c r="B157" s="45" t="str">
        <f ca="1">IF(AND(Registro!D156="Abierto",Registro!E156="Urgente"),TODAY()-Registro!R156,"")</f>
        <v/>
      </c>
      <c r="C157" s="45" t="str">
        <f>IF(AND(Registro!D156="Abierto",Registro!E156="Urgente"),RANK(B157,$B$9:$B$1000,0)+COUNTIF($B$9:B157,B157)-1,"")</f>
        <v/>
      </c>
      <c r="D157" s="45" t="str">
        <f>IF(AND(Registro!D156="Abierto",Registro!E156="Alta"),Registro!B156,"")</f>
        <v/>
      </c>
      <c r="E157" s="45" t="str">
        <f ca="1">IF(AND(Registro!D156="Abierto",Registro!E156="Alta"),TODAY()-Registro!R156,"")</f>
        <v/>
      </c>
      <c r="F157" s="45" t="str">
        <f>IF(AND(Registro!D156="Abierto",Registro!E156="Alta"),RANK(E157,$E$9:$E$1000,0)+COUNTIF($E$9:E157,E157)-1+MAX(C$5:C$1000),"")</f>
        <v/>
      </c>
      <c r="G157" s="45" t="str">
        <f>IF(AND(Registro!D156="Abierto",Registro!E156="Media"),Registro!B156,"")</f>
        <v/>
      </c>
      <c r="H157" s="45" t="str">
        <f ca="1">IF(AND(Registro!D156="Abierto",Registro!E156="Media"),TODAY()-Registro!R156,"")</f>
        <v/>
      </c>
      <c r="I157" s="45" t="str">
        <f>IF(AND(Registro!D156="Abierto",Registro!E156="Media"),RANK(H157,$H$9:$H$1000,0)+COUNTIF($H$9:H157,H157)-1+MAX(C$5:C$1000,F$5:F$1000),"")</f>
        <v/>
      </c>
      <c r="J157" s="45" t="str">
        <f>IF(AND(Registro!D156="Abierto",Registro!E156="Baja"),Registro!B156,"")</f>
        <v/>
      </c>
      <c r="K157" s="45" t="str">
        <f ca="1">IF(AND(Registro!D156="Abierto",Registro!E156="Baja"),TODAY()-Registro!R156,"")</f>
        <v/>
      </c>
      <c r="L157" s="45" t="str">
        <f>IF(AND(Registro!D156="Abierto",Registro!E156="Baja"),RANK(K157,$K$9:$K$1000,0)+COUNTIF($K$9:K157,K157)-1+MAX(C$5:C$1000,F$5:F$1000,I$5:I$1000),"")</f>
        <v/>
      </c>
      <c r="M157" s="46" t="str">
        <f>IF(OR(Registro!D156="Resuelto",Registro!D156=""),"",SUM(C157,F157,I157,L157))</f>
        <v/>
      </c>
      <c r="N157" s="46" t="str">
        <f>IF(OR(Registro!D156="Resuelto",Registro!D156=""),"",SUM(B157,E157,H157,K157))</f>
        <v/>
      </c>
      <c r="O157" s="46" t="str">
        <f>IF(OR(Registro!D156="Resuelto",Registro!D156=""),"",_xlfn.CONCAT(A157,D157,G157,J157))</f>
        <v/>
      </c>
      <c r="P157" s="47">
        <v>149</v>
      </c>
      <c r="Q157" s="47" t="str">
        <f t="shared" ca="1" si="6"/>
        <v/>
      </c>
      <c r="R157" s="48" t="str">
        <f t="shared" ca="1" si="7"/>
        <v/>
      </c>
      <c r="S157" s="32"/>
      <c r="T157" s="32"/>
      <c r="U157" s="32"/>
      <c r="V157" s="32"/>
      <c r="W157" s="47" t="str">
        <f>IF(X157="","",MAX($W$5:W156)+1)</f>
        <v/>
      </c>
      <c r="X157" s="50" t="str">
        <f>IF(Registro!M156="","",IF(COUNTIF($X$8:X156,Registro!M156)=0,Registro!M156,""))</f>
        <v/>
      </c>
      <c r="Y157" s="50" t="str">
        <f t="shared" si="8"/>
        <v/>
      </c>
    </row>
    <row r="158" spans="1:25">
      <c r="A158" s="45" t="str">
        <f>IF(AND(Registro!D157="Abierto",Registro!E157="Urgente"),Registro!B157,"")</f>
        <v/>
      </c>
      <c r="B158" s="45" t="str">
        <f ca="1">IF(AND(Registro!D157="Abierto",Registro!E157="Urgente"),TODAY()-Registro!R157,"")</f>
        <v/>
      </c>
      <c r="C158" s="45" t="str">
        <f>IF(AND(Registro!D157="Abierto",Registro!E157="Urgente"),RANK(B158,$B$9:$B$1000,0)+COUNTIF($B$9:B158,B158)-1,"")</f>
        <v/>
      </c>
      <c r="D158" s="45" t="str">
        <f>IF(AND(Registro!D157="Abierto",Registro!E157="Alta"),Registro!B157,"")</f>
        <v/>
      </c>
      <c r="E158" s="45" t="str">
        <f ca="1">IF(AND(Registro!D157="Abierto",Registro!E157="Alta"),TODAY()-Registro!R157,"")</f>
        <v/>
      </c>
      <c r="F158" s="45" t="str">
        <f>IF(AND(Registro!D157="Abierto",Registro!E157="Alta"),RANK(E158,$E$9:$E$1000,0)+COUNTIF($E$9:E158,E158)-1+MAX(C$5:C$1000),"")</f>
        <v/>
      </c>
      <c r="G158" s="45" t="str">
        <f>IF(AND(Registro!D157="Abierto",Registro!E157="Media"),Registro!B157,"")</f>
        <v/>
      </c>
      <c r="H158" s="45" t="str">
        <f ca="1">IF(AND(Registro!D157="Abierto",Registro!E157="Media"),TODAY()-Registro!R157,"")</f>
        <v/>
      </c>
      <c r="I158" s="45" t="str">
        <f>IF(AND(Registro!D157="Abierto",Registro!E157="Media"),RANK(H158,$H$9:$H$1000,0)+COUNTIF($H$9:H158,H158)-1+MAX(C$5:C$1000,F$5:F$1000),"")</f>
        <v/>
      </c>
      <c r="J158" s="45" t="str">
        <f>IF(AND(Registro!D157="Abierto",Registro!E157="Baja"),Registro!B157,"")</f>
        <v/>
      </c>
      <c r="K158" s="45" t="str">
        <f ca="1">IF(AND(Registro!D157="Abierto",Registro!E157="Baja"),TODAY()-Registro!R157,"")</f>
        <v/>
      </c>
      <c r="L158" s="45" t="str">
        <f>IF(AND(Registro!D157="Abierto",Registro!E157="Baja"),RANK(K158,$K$9:$K$1000,0)+COUNTIF($K$9:K158,K158)-1+MAX(C$5:C$1000,F$5:F$1000,I$5:I$1000),"")</f>
        <v/>
      </c>
      <c r="M158" s="46" t="str">
        <f>IF(OR(Registro!D157="Resuelto",Registro!D157=""),"",SUM(C158,F158,I158,L158))</f>
        <v/>
      </c>
      <c r="N158" s="46" t="str">
        <f>IF(OR(Registro!D157="Resuelto",Registro!D157=""),"",SUM(B158,E158,H158,K158))</f>
        <v/>
      </c>
      <c r="O158" s="46" t="str">
        <f>IF(OR(Registro!D157="Resuelto",Registro!D157=""),"",_xlfn.CONCAT(A158,D158,G158,J158))</f>
        <v/>
      </c>
      <c r="P158" s="47">
        <v>150</v>
      </c>
      <c r="Q158" s="47" t="str">
        <f t="shared" ca="1" si="6"/>
        <v/>
      </c>
      <c r="R158" s="48" t="str">
        <f t="shared" ca="1" si="7"/>
        <v/>
      </c>
      <c r="S158" s="32"/>
      <c r="T158" s="32"/>
      <c r="U158" s="32"/>
      <c r="V158" s="32"/>
      <c r="W158" s="47" t="str">
        <f>IF(X158="","",MAX($W$5:W157)+1)</f>
        <v/>
      </c>
      <c r="X158" s="50" t="str">
        <f>IF(Registro!M157="","",IF(COUNTIF($X$8:X157,Registro!M157)=0,Registro!M157,""))</f>
        <v/>
      </c>
      <c r="Y158" s="50" t="str">
        <f t="shared" si="8"/>
        <v/>
      </c>
    </row>
    <row r="159" spans="1:25">
      <c r="A159" s="45" t="str">
        <f>IF(AND(Registro!D158="Abierto",Registro!E158="Urgente"),Registro!B158,"")</f>
        <v/>
      </c>
      <c r="B159" s="45" t="str">
        <f ca="1">IF(AND(Registro!D158="Abierto",Registro!E158="Urgente"),TODAY()-Registro!R158,"")</f>
        <v/>
      </c>
      <c r="C159" s="45" t="str">
        <f>IF(AND(Registro!D158="Abierto",Registro!E158="Urgente"),RANK(B159,$B$9:$B$1000,0)+COUNTIF($B$9:B159,B159)-1,"")</f>
        <v/>
      </c>
      <c r="D159" s="45" t="str">
        <f>IF(AND(Registro!D158="Abierto",Registro!E158="Alta"),Registro!B158,"")</f>
        <v/>
      </c>
      <c r="E159" s="45" t="str">
        <f ca="1">IF(AND(Registro!D158="Abierto",Registro!E158="Alta"),TODAY()-Registro!R158,"")</f>
        <v/>
      </c>
      <c r="F159" s="45" t="str">
        <f>IF(AND(Registro!D158="Abierto",Registro!E158="Alta"),RANK(E159,$E$9:$E$1000,0)+COUNTIF($E$9:E159,E159)-1+MAX(C$5:C$1000),"")</f>
        <v/>
      </c>
      <c r="G159" s="45" t="str">
        <f>IF(AND(Registro!D158="Abierto",Registro!E158="Media"),Registro!B158,"")</f>
        <v/>
      </c>
      <c r="H159" s="45" t="str">
        <f ca="1">IF(AND(Registro!D158="Abierto",Registro!E158="Media"),TODAY()-Registro!R158,"")</f>
        <v/>
      </c>
      <c r="I159" s="45" t="str">
        <f>IF(AND(Registro!D158="Abierto",Registro!E158="Media"),RANK(H159,$H$9:$H$1000,0)+COUNTIF($H$9:H159,H159)-1+MAX(C$5:C$1000,F$5:F$1000),"")</f>
        <v/>
      </c>
      <c r="J159" s="45" t="str">
        <f>IF(AND(Registro!D158="Abierto",Registro!E158="Baja"),Registro!B158,"")</f>
        <v/>
      </c>
      <c r="K159" s="45" t="str">
        <f ca="1">IF(AND(Registro!D158="Abierto",Registro!E158="Baja"),TODAY()-Registro!R158,"")</f>
        <v/>
      </c>
      <c r="L159" s="45" t="str">
        <f>IF(AND(Registro!D158="Abierto",Registro!E158="Baja"),RANK(K159,$K$9:$K$1000,0)+COUNTIF($K$9:K159,K159)-1+MAX(C$5:C$1000,F$5:F$1000,I$5:I$1000),"")</f>
        <v/>
      </c>
      <c r="M159" s="46" t="str">
        <f>IF(OR(Registro!D158="Resuelto",Registro!D158=""),"",SUM(C159,F159,I159,L159))</f>
        <v/>
      </c>
      <c r="N159" s="46" t="str">
        <f>IF(OR(Registro!D158="Resuelto",Registro!D158=""),"",SUM(B159,E159,H159,K159))</f>
        <v/>
      </c>
      <c r="O159" s="46" t="str">
        <f>IF(OR(Registro!D158="Resuelto",Registro!D158=""),"",_xlfn.CONCAT(A159,D159,G159,J159))</f>
        <v/>
      </c>
      <c r="P159" s="47">
        <v>151</v>
      </c>
      <c r="Q159" s="47" t="str">
        <f t="shared" ca="1" si="6"/>
        <v/>
      </c>
      <c r="R159" s="48" t="str">
        <f t="shared" ca="1" si="7"/>
        <v/>
      </c>
      <c r="S159" s="32"/>
      <c r="T159" s="32"/>
      <c r="U159" s="32"/>
      <c r="V159" s="32"/>
      <c r="W159" s="47" t="str">
        <f>IF(X159="","",MAX($W$5:W158)+1)</f>
        <v/>
      </c>
      <c r="X159" s="50" t="str">
        <f>IF(Registro!M158="","",IF(COUNTIF($X$8:X158,Registro!M158)=0,Registro!M158,""))</f>
        <v/>
      </c>
      <c r="Y159" s="50" t="str">
        <f t="shared" si="8"/>
        <v/>
      </c>
    </row>
    <row r="160" spans="1:25">
      <c r="A160" s="45" t="str">
        <f>IF(AND(Registro!D159="Abierto",Registro!E159="Urgente"),Registro!B159,"")</f>
        <v/>
      </c>
      <c r="B160" s="45" t="str">
        <f ca="1">IF(AND(Registro!D159="Abierto",Registro!E159="Urgente"),TODAY()-Registro!R159,"")</f>
        <v/>
      </c>
      <c r="C160" s="45" t="str">
        <f>IF(AND(Registro!D159="Abierto",Registro!E159="Urgente"),RANK(B160,$B$9:$B$1000,0)+COUNTIF($B$9:B160,B160)-1,"")</f>
        <v/>
      </c>
      <c r="D160" s="45" t="str">
        <f>IF(AND(Registro!D159="Abierto",Registro!E159="Alta"),Registro!B159,"")</f>
        <v/>
      </c>
      <c r="E160" s="45" t="str">
        <f ca="1">IF(AND(Registro!D159="Abierto",Registro!E159="Alta"),TODAY()-Registro!R159,"")</f>
        <v/>
      </c>
      <c r="F160" s="45" t="str">
        <f>IF(AND(Registro!D159="Abierto",Registro!E159="Alta"),RANK(E160,$E$9:$E$1000,0)+COUNTIF($E$9:E160,E160)-1+MAX(C$5:C$1000),"")</f>
        <v/>
      </c>
      <c r="G160" s="45" t="str">
        <f>IF(AND(Registro!D159="Abierto",Registro!E159="Media"),Registro!B159,"")</f>
        <v/>
      </c>
      <c r="H160" s="45" t="str">
        <f ca="1">IF(AND(Registro!D159="Abierto",Registro!E159="Media"),TODAY()-Registro!R159,"")</f>
        <v/>
      </c>
      <c r="I160" s="45" t="str">
        <f>IF(AND(Registro!D159="Abierto",Registro!E159="Media"),RANK(H160,$H$9:$H$1000,0)+COUNTIF($H$9:H160,H160)-1+MAX(C$5:C$1000,F$5:F$1000),"")</f>
        <v/>
      </c>
      <c r="J160" s="45" t="str">
        <f>IF(AND(Registro!D159="Abierto",Registro!E159="Baja"),Registro!B159,"")</f>
        <v/>
      </c>
      <c r="K160" s="45" t="str">
        <f ca="1">IF(AND(Registro!D159="Abierto",Registro!E159="Baja"),TODAY()-Registro!R159,"")</f>
        <v/>
      </c>
      <c r="L160" s="45" t="str">
        <f>IF(AND(Registro!D159="Abierto",Registro!E159="Baja"),RANK(K160,$K$9:$K$1000,0)+COUNTIF($K$9:K160,K160)-1+MAX(C$5:C$1000,F$5:F$1000,I$5:I$1000),"")</f>
        <v/>
      </c>
      <c r="M160" s="46" t="str">
        <f>IF(OR(Registro!D159="Resuelto",Registro!D159=""),"",SUM(C160,F160,I160,L160))</f>
        <v/>
      </c>
      <c r="N160" s="46" t="str">
        <f>IF(OR(Registro!D159="Resuelto",Registro!D159=""),"",SUM(B160,E160,H160,K160))</f>
        <v/>
      </c>
      <c r="O160" s="46" t="str">
        <f>IF(OR(Registro!D159="Resuelto",Registro!D159=""),"",_xlfn.CONCAT(A160,D160,G160,J160))</f>
        <v/>
      </c>
      <c r="P160" s="47">
        <v>152</v>
      </c>
      <c r="Q160" s="47" t="str">
        <f t="shared" ca="1" si="6"/>
        <v/>
      </c>
      <c r="R160" s="48" t="str">
        <f t="shared" ca="1" si="7"/>
        <v/>
      </c>
      <c r="S160" s="32"/>
      <c r="T160" s="32"/>
      <c r="U160" s="32"/>
      <c r="V160" s="32"/>
      <c r="W160" s="47" t="str">
        <f>IF(X160="","",MAX($W$5:W159)+1)</f>
        <v/>
      </c>
      <c r="X160" s="50" t="str">
        <f>IF(Registro!M159="","",IF(COUNTIF($X$8:X159,Registro!M159)=0,Registro!M159,""))</f>
        <v/>
      </c>
      <c r="Y160" s="50" t="str">
        <f t="shared" si="8"/>
        <v/>
      </c>
    </row>
    <row r="161" spans="1:25">
      <c r="A161" s="45" t="str">
        <f>IF(AND(Registro!D160="Abierto",Registro!E160="Urgente"),Registro!B160,"")</f>
        <v/>
      </c>
      <c r="B161" s="45" t="str">
        <f ca="1">IF(AND(Registro!D160="Abierto",Registro!E160="Urgente"),TODAY()-Registro!R160,"")</f>
        <v/>
      </c>
      <c r="C161" s="45" t="str">
        <f>IF(AND(Registro!D160="Abierto",Registro!E160="Urgente"),RANK(B161,$B$9:$B$1000,0)+COUNTIF($B$9:B161,B161)-1,"")</f>
        <v/>
      </c>
      <c r="D161" s="45" t="str">
        <f>IF(AND(Registro!D160="Abierto",Registro!E160="Alta"),Registro!B160,"")</f>
        <v/>
      </c>
      <c r="E161" s="45" t="str">
        <f ca="1">IF(AND(Registro!D160="Abierto",Registro!E160="Alta"),TODAY()-Registro!R160,"")</f>
        <v/>
      </c>
      <c r="F161" s="45" t="str">
        <f>IF(AND(Registro!D160="Abierto",Registro!E160="Alta"),RANK(E161,$E$9:$E$1000,0)+COUNTIF($E$9:E161,E161)-1+MAX(C$5:C$1000),"")</f>
        <v/>
      </c>
      <c r="G161" s="45" t="str">
        <f>IF(AND(Registro!D160="Abierto",Registro!E160="Media"),Registro!B160,"")</f>
        <v/>
      </c>
      <c r="H161" s="45" t="str">
        <f ca="1">IF(AND(Registro!D160="Abierto",Registro!E160="Media"),TODAY()-Registro!R160,"")</f>
        <v/>
      </c>
      <c r="I161" s="45" t="str">
        <f>IF(AND(Registro!D160="Abierto",Registro!E160="Media"),RANK(H161,$H$9:$H$1000,0)+COUNTIF($H$9:H161,H161)-1+MAX(C$5:C$1000,F$5:F$1000),"")</f>
        <v/>
      </c>
      <c r="J161" s="45" t="str">
        <f>IF(AND(Registro!D160="Abierto",Registro!E160="Baja"),Registro!B160,"")</f>
        <v/>
      </c>
      <c r="K161" s="45" t="str">
        <f ca="1">IF(AND(Registro!D160="Abierto",Registro!E160="Baja"),TODAY()-Registro!R160,"")</f>
        <v/>
      </c>
      <c r="L161" s="45" t="str">
        <f>IF(AND(Registro!D160="Abierto",Registro!E160="Baja"),RANK(K161,$K$9:$K$1000,0)+COUNTIF($K$9:K161,K161)-1+MAX(C$5:C$1000,F$5:F$1000,I$5:I$1000),"")</f>
        <v/>
      </c>
      <c r="M161" s="46" t="str">
        <f>IF(OR(Registro!D160="Resuelto",Registro!D160=""),"",SUM(C161,F161,I161,L161))</f>
        <v/>
      </c>
      <c r="N161" s="46" t="str">
        <f>IF(OR(Registro!D160="Resuelto",Registro!D160=""),"",SUM(B161,E161,H161,K161))</f>
        <v/>
      </c>
      <c r="O161" s="46" t="str">
        <f>IF(OR(Registro!D160="Resuelto",Registro!D160=""),"",_xlfn.CONCAT(A161,D161,G161,J161))</f>
        <v/>
      </c>
      <c r="P161" s="47">
        <v>153</v>
      </c>
      <c r="Q161" s="47" t="str">
        <f t="shared" ca="1" si="6"/>
        <v/>
      </c>
      <c r="R161" s="48" t="str">
        <f t="shared" ca="1" si="7"/>
        <v/>
      </c>
      <c r="S161" s="32"/>
      <c r="T161" s="32"/>
      <c r="U161" s="32"/>
      <c r="V161" s="32"/>
      <c r="W161" s="47" t="str">
        <f>IF(X161="","",MAX($W$5:W160)+1)</f>
        <v/>
      </c>
      <c r="X161" s="50" t="str">
        <f>IF(Registro!M160="","",IF(COUNTIF($X$8:X160,Registro!M160)=0,Registro!M160,""))</f>
        <v/>
      </c>
      <c r="Y161" s="50" t="str">
        <f t="shared" si="8"/>
        <v/>
      </c>
    </row>
    <row r="162" spans="1:25">
      <c r="A162" s="45" t="str">
        <f>IF(AND(Registro!D161="Abierto",Registro!E161="Urgente"),Registro!B161,"")</f>
        <v/>
      </c>
      <c r="B162" s="45" t="str">
        <f ca="1">IF(AND(Registro!D161="Abierto",Registro!E161="Urgente"),TODAY()-Registro!R161,"")</f>
        <v/>
      </c>
      <c r="C162" s="45" t="str">
        <f>IF(AND(Registro!D161="Abierto",Registro!E161="Urgente"),RANK(B162,$B$9:$B$1000,0)+COUNTIF($B$9:B162,B162)-1,"")</f>
        <v/>
      </c>
      <c r="D162" s="45" t="str">
        <f>IF(AND(Registro!D161="Abierto",Registro!E161="Alta"),Registro!B161,"")</f>
        <v/>
      </c>
      <c r="E162" s="45" t="str">
        <f ca="1">IF(AND(Registro!D161="Abierto",Registro!E161="Alta"),TODAY()-Registro!R161,"")</f>
        <v/>
      </c>
      <c r="F162" s="45" t="str">
        <f>IF(AND(Registro!D161="Abierto",Registro!E161="Alta"),RANK(E162,$E$9:$E$1000,0)+COUNTIF($E$9:E162,E162)-1+MAX(C$5:C$1000),"")</f>
        <v/>
      </c>
      <c r="G162" s="45" t="str">
        <f>IF(AND(Registro!D161="Abierto",Registro!E161="Media"),Registro!B161,"")</f>
        <v/>
      </c>
      <c r="H162" s="45" t="str">
        <f ca="1">IF(AND(Registro!D161="Abierto",Registro!E161="Media"),TODAY()-Registro!R161,"")</f>
        <v/>
      </c>
      <c r="I162" s="45" t="str">
        <f>IF(AND(Registro!D161="Abierto",Registro!E161="Media"),RANK(H162,$H$9:$H$1000,0)+COUNTIF($H$9:H162,H162)-1+MAX(C$5:C$1000,F$5:F$1000),"")</f>
        <v/>
      </c>
      <c r="J162" s="45" t="str">
        <f>IF(AND(Registro!D161="Abierto",Registro!E161="Baja"),Registro!B161,"")</f>
        <v/>
      </c>
      <c r="K162" s="45" t="str">
        <f ca="1">IF(AND(Registro!D161="Abierto",Registro!E161="Baja"),TODAY()-Registro!R161,"")</f>
        <v/>
      </c>
      <c r="L162" s="45" t="str">
        <f>IF(AND(Registro!D161="Abierto",Registro!E161="Baja"),RANK(K162,$K$9:$K$1000,0)+COUNTIF($K$9:K162,K162)-1+MAX(C$5:C$1000,F$5:F$1000,I$5:I$1000),"")</f>
        <v/>
      </c>
      <c r="M162" s="46" t="str">
        <f>IF(OR(Registro!D161="Resuelto",Registro!D161=""),"",SUM(C162,F162,I162,L162))</f>
        <v/>
      </c>
      <c r="N162" s="46" t="str">
        <f>IF(OR(Registro!D161="Resuelto",Registro!D161=""),"",SUM(B162,E162,H162,K162))</f>
        <v/>
      </c>
      <c r="O162" s="46" t="str">
        <f>IF(OR(Registro!D161="Resuelto",Registro!D161=""),"",_xlfn.CONCAT(A162,D162,G162,J162))</f>
        <v/>
      </c>
      <c r="P162" s="47">
        <v>154</v>
      </c>
      <c r="Q162" s="47" t="str">
        <f t="shared" ca="1" si="6"/>
        <v/>
      </c>
      <c r="R162" s="48" t="str">
        <f t="shared" ca="1" si="7"/>
        <v/>
      </c>
      <c r="S162" s="32"/>
      <c r="T162" s="32"/>
      <c r="U162" s="32"/>
      <c r="V162" s="32"/>
      <c r="W162" s="47" t="str">
        <f>IF(X162="","",MAX($W$5:W161)+1)</f>
        <v/>
      </c>
      <c r="X162" s="50" t="str">
        <f>IF(Registro!M161="","",IF(COUNTIF($X$8:X161,Registro!M161)=0,Registro!M161,""))</f>
        <v/>
      </c>
      <c r="Y162" s="50" t="str">
        <f t="shared" si="8"/>
        <v/>
      </c>
    </row>
    <row r="163" spans="1:25">
      <c r="A163" s="45" t="str">
        <f>IF(AND(Registro!D162="Abierto",Registro!E162="Urgente"),Registro!B162,"")</f>
        <v/>
      </c>
      <c r="B163" s="45" t="str">
        <f ca="1">IF(AND(Registro!D162="Abierto",Registro!E162="Urgente"),TODAY()-Registro!R162,"")</f>
        <v/>
      </c>
      <c r="C163" s="45" t="str">
        <f>IF(AND(Registro!D162="Abierto",Registro!E162="Urgente"),RANK(B163,$B$9:$B$1000,0)+COUNTIF($B$9:B163,B163)-1,"")</f>
        <v/>
      </c>
      <c r="D163" s="45" t="str">
        <f>IF(AND(Registro!D162="Abierto",Registro!E162="Alta"),Registro!B162,"")</f>
        <v/>
      </c>
      <c r="E163" s="45" t="str">
        <f ca="1">IF(AND(Registro!D162="Abierto",Registro!E162="Alta"),TODAY()-Registro!R162,"")</f>
        <v/>
      </c>
      <c r="F163" s="45" t="str">
        <f>IF(AND(Registro!D162="Abierto",Registro!E162="Alta"),RANK(E163,$E$9:$E$1000,0)+COUNTIF($E$9:E163,E163)-1+MAX(C$5:C$1000),"")</f>
        <v/>
      </c>
      <c r="G163" s="45" t="str">
        <f>IF(AND(Registro!D162="Abierto",Registro!E162="Media"),Registro!B162,"")</f>
        <v/>
      </c>
      <c r="H163" s="45" t="str">
        <f ca="1">IF(AND(Registro!D162="Abierto",Registro!E162="Media"),TODAY()-Registro!R162,"")</f>
        <v/>
      </c>
      <c r="I163" s="45" t="str">
        <f>IF(AND(Registro!D162="Abierto",Registro!E162="Media"),RANK(H163,$H$9:$H$1000,0)+COUNTIF($H$9:H163,H163)-1+MAX(C$5:C$1000,F$5:F$1000),"")</f>
        <v/>
      </c>
      <c r="J163" s="45" t="str">
        <f>IF(AND(Registro!D162="Abierto",Registro!E162="Baja"),Registro!B162,"")</f>
        <v/>
      </c>
      <c r="K163" s="45" t="str">
        <f ca="1">IF(AND(Registro!D162="Abierto",Registro!E162="Baja"),TODAY()-Registro!R162,"")</f>
        <v/>
      </c>
      <c r="L163" s="45" t="str">
        <f>IF(AND(Registro!D162="Abierto",Registro!E162="Baja"),RANK(K163,$K$9:$K$1000,0)+COUNTIF($K$9:K163,K163)-1+MAX(C$5:C$1000,F$5:F$1000,I$5:I$1000),"")</f>
        <v/>
      </c>
      <c r="M163" s="46" t="str">
        <f>IF(OR(Registro!D162="Resuelto",Registro!D162=""),"",SUM(C163,F163,I163,L163))</f>
        <v/>
      </c>
      <c r="N163" s="46" t="str">
        <f>IF(OR(Registro!D162="Resuelto",Registro!D162=""),"",SUM(B163,E163,H163,K163))</f>
        <v/>
      </c>
      <c r="O163" s="46" t="str">
        <f>IF(OR(Registro!D162="Resuelto",Registro!D162=""),"",_xlfn.CONCAT(A163,D163,G163,J163))</f>
        <v/>
      </c>
      <c r="P163" s="47">
        <v>155</v>
      </c>
      <c r="Q163" s="47" t="str">
        <f t="shared" ca="1" si="6"/>
        <v/>
      </c>
      <c r="R163" s="48" t="str">
        <f t="shared" ca="1" si="7"/>
        <v/>
      </c>
      <c r="S163" s="32"/>
      <c r="T163" s="32"/>
      <c r="U163" s="32"/>
      <c r="V163" s="32"/>
      <c r="W163" s="47" t="str">
        <f>IF(X163="","",MAX($W$5:W162)+1)</f>
        <v/>
      </c>
      <c r="X163" s="50" t="str">
        <f>IF(Registro!M162="","",IF(COUNTIF($X$8:X162,Registro!M162)=0,Registro!M162,""))</f>
        <v/>
      </c>
      <c r="Y163" s="50" t="str">
        <f t="shared" si="8"/>
        <v/>
      </c>
    </row>
    <row r="164" spans="1:25">
      <c r="A164" s="45" t="str">
        <f>IF(AND(Registro!D163="Abierto",Registro!E163="Urgente"),Registro!B163,"")</f>
        <v/>
      </c>
      <c r="B164" s="45" t="str">
        <f ca="1">IF(AND(Registro!D163="Abierto",Registro!E163="Urgente"),TODAY()-Registro!R163,"")</f>
        <v/>
      </c>
      <c r="C164" s="45" t="str">
        <f>IF(AND(Registro!D163="Abierto",Registro!E163="Urgente"),RANK(B164,$B$9:$B$1000,0)+COUNTIF($B$9:B164,B164)-1,"")</f>
        <v/>
      </c>
      <c r="D164" s="45" t="str">
        <f>IF(AND(Registro!D163="Abierto",Registro!E163="Alta"),Registro!B163,"")</f>
        <v/>
      </c>
      <c r="E164" s="45" t="str">
        <f ca="1">IF(AND(Registro!D163="Abierto",Registro!E163="Alta"),TODAY()-Registro!R163,"")</f>
        <v/>
      </c>
      <c r="F164" s="45" t="str">
        <f>IF(AND(Registro!D163="Abierto",Registro!E163="Alta"),RANK(E164,$E$9:$E$1000,0)+COUNTIF($E$9:E164,E164)-1+MAX(C$5:C$1000),"")</f>
        <v/>
      </c>
      <c r="G164" s="45" t="str">
        <f>IF(AND(Registro!D163="Abierto",Registro!E163="Media"),Registro!B163,"")</f>
        <v/>
      </c>
      <c r="H164" s="45" t="str">
        <f ca="1">IF(AND(Registro!D163="Abierto",Registro!E163="Media"),TODAY()-Registro!R163,"")</f>
        <v/>
      </c>
      <c r="I164" s="45" t="str">
        <f>IF(AND(Registro!D163="Abierto",Registro!E163="Media"),RANK(H164,$H$9:$H$1000,0)+COUNTIF($H$9:H164,H164)-1+MAX(C$5:C$1000,F$5:F$1000),"")</f>
        <v/>
      </c>
      <c r="J164" s="45" t="str">
        <f>IF(AND(Registro!D163="Abierto",Registro!E163="Baja"),Registro!B163,"")</f>
        <v/>
      </c>
      <c r="K164" s="45" t="str">
        <f ca="1">IF(AND(Registro!D163="Abierto",Registro!E163="Baja"),TODAY()-Registro!R163,"")</f>
        <v/>
      </c>
      <c r="L164" s="45" t="str">
        <f>IF(AND(Registro!D163="Abierto",Registro!E163="Baja"),RANK(K164,$K$9:$K$1000,0)+COUNTIF($K$9:K164,K164)-1+MAX(C$5:C$1000,F$5:F$1000,I$5:I$1000),"")</f>
        <v/>
      </c>
      <c r="M164" s="46" t="str">
        <f>IF(OR(Registro!D163="Resuelto",Registro!D163=""),"",SUM(C164,F164,I164,L164))</f>
        <v/>
      </c>
      <c r="N164" s="46" t="str">
        <f>IF(OR(Registro!D163="Resuelto",Registro!D163=""),"",SUM(B164,E164,H164,K164))</f>
        <v/>
      </c>
      <c r="O164" s="46" t="str">
        <f>IF(OR(Registro!D163="Resuelto",Registro!D163=""),"",_xlfn.CONCAT(A164,D164,G164,J164))</f>
        <v/>
      </c>
      <c r="P164" s="47">
        <v>156</v>
      </c>
      <c r="Q164" s="47" t="str">
        <f t="shared" ca="1" si="6"/>
        <v/>
      </c>
      <c r="R164" s="48" t="str">
        <f t="shared" ca="1" si="7"/>
        <v/>
      </c>
      <c r="S164" s="32"/>
      <c r="T164" s="32"/>
      <c r="U164" s="32"/>
      <c r="V164" s="32"/>
      <c r="W164" s="47" t="str">
        <f>IF(X164="","",MAX($W$5:W163)+1)</f>
        <v/>
      </c>
      <c r="X164" s="50" t="str">
        <f>IF(Registro!M163="","",IF(COUNTIF($X$8:X163,Registro!M163)=0,Registro!M163,""))</f>
        <v/>
      </c>
      <c r="Y164" s="50" t="str">
        <f t="shared" si="8"/>
        <v/>
      </c>
    </row>
    <row r="165" spans="1:25">
      <c r="A165" s="45" t="str">
        <f>IF(AND(Registro!D164="Abierto",Registro!E164="Urgente"),Registro!B164,"")</f>
        <v/>
      </c>
      <c r="B165" s="45" t="str">
        <f ca="1">IF(AND(Registro!D164="Abierto",Registro!E164="Urgente"),TODAY()-Registro!R164,"")</f>
        <v/>
      </c>
      <c r="C165" s="45" t="str">
        <f>IF(AND(Registro!D164="Abierto",Registro!E164="Urgente"),RANK(B165,$B$9:$B$1000,0)+COUNTIF($B$9:B165,B165)-1,"")</f>
        <v/>
      </c>
      <c r="D165" s="45" t="str">
        <f>IF(AND(Registro!D164="Abierto",Registro!E164="Alta"),Registro!B164,"")</f>
        <v/>
      </c>
      <c r="E165" s="45" t="str">
        <f ca="1">IF(AND(Registro!D164="Abierto",Registro!E164="Alta"),TODAY()-Registro!R164,"")</f>
        <v/>
      </c>
      <c r="F165" s="45" t="str">
        <f>IF(AND(Registro!D164="Abierto",Registro!E164="Alta"),RANK(E165,$E$9:$E$1000,0)+COUNTIF($E$9:E165,E165)-1+MAX(C$5:C$1000),"")</f>
        <v/>
      </c>
      <c r="G165" s="45" t="str">
        <f>IF(AND(Registro!D164="Abierto",Registro!E164="Media"),Registro!B164,"")</f>
        <v/>
      </c>
      <c r="H165" s="45" t="str">
        <f ca="1">IF(AND(Registro!D164="Abierto",Registro!E164="Media"),TODAY()-Registro!R164,"")</f>
        <v/>
      </c>
      <c r="I165" s="45" t="str">
        <f>IF(AND(Registro!D164="Abierto",Registro!E164="Media"),RANK(H165,$H$9:$H$1000,0)+COUNTIF($H$9:H165,H165)-1+MAX(C$5:C$1000,F$5:F$1000),"")</f>
        <v/>
      </c>
      <c r="J165" s="45" t="str">
        <f>IF(AND(Registro!D164="Abierto",Registro!E164="Baja"),Registro!B164,"")</f>
        <v/>
      </c>
      <c r="K165" s="45" t="str">
        <f ca="1">IF(AND(Registro!D164="Abierto",Registro!E164="Baja"),TODAY()-Registro!R164,"")</f>
        <v/>
      </c>
      <c r="L165" s="45" t="str">
        <f>IF(AND(Registro!D164="Abierto",Registro!E164="Baja"),RANK(K165,$K$9:$K$1000,0)+COUNTIF($K$9:K165,K165)-1+MAX(C$5:C$1000,F$5:F$1000,I$5:I$1000),"")</f>
        <v/>
      </c>
      <c r="M165" s="46" t="str">
        <f>IF(OR(Registro!D164="Resuelto",Registro!D164=""),"",SUM(C165,F165,I165,L165))</f>
        <v/>
      </c>
      <c r="N165" s="46" t="str">
        <f>IF(OR(Registro!D164="Resuelto",Registro!D164=""),"",SUM(B165,E165,H165,K165))</f>
        <v/>
      </c>
      <c r="O165" s="46" t="str">
        <f>IF(OR(Registro!D164="Resuelto",Registro!D164=""),"",_xlfn.CONCAT(A165,D165,G165,J165))</f>
        <v/>
      </c>
      <c r="P165" s="47">
        <v>157</v>
      </c>
      <c r="Q165" s="47" t="str">
        <f t="shared" ca="1" si="6"/>
        <v/>
      </c>
      <c r="R165" s="48" t="str">
        <f t="shared" ca="1" si="7"/>
        <v/>
      </c>
      <c r="S165" s="32"/>
      <c r="T165" s="32"/>
      <c r="U165" s="32"/>
      <c r="V165" s="32"/>
      <c r="W165" s="47" t="str">
        <f>IF(X165="","",MAX($W$5:W164)+1)</f>
        <v/>
      </c>
      <c r="X165" s="50" t="str">
        <f>IF(Registro!M164="","",IF(COUNTIF($X$8:X164,Registro!M164)=0,Registro!M164,""))</f>
        <v/>
      </c>
      <c r="Y165" s="50" t="str">
        <f t="shared" si="8"/>
        <v/>
      </c>
    </row>
    <row r="166" spans="1:25">
      <c r="A166" s="45" t="str">
        <f>IF(AND(Registro!D165="Abierto",Registro!E165="Urgente"),Registro!B165,"")</f>
        <v/>
      </c>
      <c r="B166" s="45" t="str">
        <f ca="1">IF(AND(Registro!D165="Abierto",Registro!E165="Urgente"),TODAY()-Registro!R165,"")</f>
        <v/>
      </c>
      <c r="C166" s="45" t="str">
        <f>IF(AND(Registro!D165="Abierto",Registro!E165="Urgente"),RANK(B166,$B$9:$B$1000,0)+COUNTIF($B$9:B166,B166)-1,"")</f>
        <v/>
      </c>
      <c r="D166" s="45" t="str">
        <f>IF(AND(Registro!D165="Abierto",Registro!E165="Alta"),Registro!B165,"")</f>
        <v/>
      </c>
      <c r="E166" s="45" t="str">
        <f ca="1">IF(AND(Registro!D165="Abierto",Registro!E165="Alta"),TODAY()-Registro!R165,"")</f>
        <v/>
      </c>
      <c r="F166" s="45" t="str">
        <f>IF(AND(Registro!D165="Abierto",Registro!E165="Alta"),RANK(E166,$E$9:$E$1000,0)+COUNTIF($E$9:E166,E166)-1+MAX(C$5:C$1000),"")</f>
        <v/>
      </c>
      <c r="G166" s="45" t="str">
        <f>IF(AND(Registro!D165="Abierto",Registro!E165="Media"),Registro!B165,"")</f>
        <v/>
      </c>
      <c r="H166" s="45" t="str">
        <f ca="1">IF(AND(Registro!D165="Abierto",Registro!E165="Media"),TODAY()-Registro!R165,"")</f>
        <v/>
      </c>
      <c r="I166" s="45" t="str">
        <f>IF(AND(Registro!D165="Abierto",Registro!E165="Media"),RANK(H166,$H$9:$H$1000,0)+COUNTIF($H$9:H166,H166)-1+MAX(C$5:C$1000,F$5:F$1000),"")</f>
        <v/>
      </c>
      <c r="J166" s="45" t="str">
        <f>IF(AND(Registro!D165="Abierto",Registro!E165="Baja"),Registro!B165,"")</f>
        <v/>
      </c>
      <c r="K166" s="45" t="str">
        <f ca="1">IF(AND(Registro!D165="Abierto",Registro!E165="Baja"),TODAY()-Registro!R165,"")</f>
        <v/>
      </c>
      <c r="L166" s="45" t="str">
        <f>IF(AND(Registro!D165="Abierto",Registro!E165="Baja"),RANK(K166,$K$9:$K$1000,0)+COUNTIF($K$9:K166,K166)-1+MAX(C$5:C$1000,F$5:F$1000,I$5:I$1000),"")</f>
        <v/>
      </c>
      <c r="M166" s="46" t="str">
        <f>IF(OR(Registro!D165="Resuelto",Registro!D165=""),"",SUM(C166,F166,I166,L166))</f>
        <v/>
      </c>
      <c r="N166" s="46" t="str">
        <f>IF(OR(Registro!D165="Resuelto",Registro!D165=""),"",SUM(B166,E166,H166,K166))</f>
        <v/>
      </c>
      <c r="O166" s="46" t="str">
        <f>IF(OR(Registro!D165="Resuelto",Registro!D165=""),"",_xlfn.CONCAT(A166,D166,G166,J166))</f>
        <v/>
      </c>
      <c r="P166" s="47">
        <v>158</v>
      </c>
      <c r="Q166" s="47" t="str">
        <f t="shared" ca="1" si="6"/>
        <v/>
      </c>
      <c r="R166" s="48" t="str">
        <f t="shared" ca="1" si="7"/>
        <v/>
      </c>
      <c r="S166" s="32"/>
      <c r="T166" s="32"/>
      <c r="U166" s="32"/>
      <c r="V166" s="32"/>
      <c r="W166" s="47" t="str">
        <f>IF(X166="","",MAX($W$5:W165)+1)</f>
        <v/>
      </c>
      <c r="X166" s="50" t="str">
        <f>IF(Registro!M165="","",IF(COUNTIF($X$8:X165,Registro!M165)=0,Registro!M165,""))</f>
        <v/>
      </c>
      <c r="Y166" s="50" t="str">
        <f t="shared" si="8"/>
        <v/>
      </c>
    </row>
    <row r="167" spans="1:25">
      <c r="A167" s="45" t="str">
        <f>IF(AND(Registro!D166="Abierto",Registro!E166="Urgente"),Registro!B166,"")</f>
        <v/>
      </c>
      <c r="B167" s="45" t="str">
        <f ca="1">IF(AND(Registro!D166="Abierto",Registro!E166="Urgente"),TODAY()-Registro!R166,"")</f>
        <v/>
      </c>
      <c r="C167" s="45" t="str">
        <f>IF(AND(Registro!D166="Abierto",Registro!E166="Urgente"),RANK(B167,$B$9:$B$1000,0)+COUNTIF($B$9:B167,B167)-1,"")</f>
        <v/>
      </c>
      <c r="D167" s="45" t="str">
        <f>IF(AND(Registro!D166="Abierto",Registro!E166="Alta"),Registro!B166,"")</f>
        <v/>
      </c>
      <c r="E167" s="45" t="str">
        <f ca="1">IF(AND(Registro!D166="Abierto",Registro!E166="Alta"),TODAY()-Registro!R166,"")</f>
        <v/>
      </c>
      <c r="F167" s="45" t="str">
        <f>IF(AND(Registro!D166="Abierto",Registro!E166="Alta"),RANK(E167,$E$9:$E$1000,0)+COUNTIF($E$9:E167,E167)-1+MAX(C$5:C$1000),"")</f>
        <v/>
      </c>
      <c r="G167" s="45" t="str">
        <f>IF(AND(Registro!D166="Abierto",Registro!E166="Media"),Registro!B166,"")</f>
        <v/>
      </c>
      <c r="H167" s="45" t="str">
        <f ca="1">IF(AND(Registro!D166="Abierto",Registro!E166="Media"),TODAY()-Registro!R166,"")</f>
        <v/>
      </c>
      <c r="I167" s="45" t="str">
        <f>IF(AND(Registro!D166="Abierto",Registro!E166="Media"),RANK(H167,$H$9:$H$1000,0)+COUNTIF($H$9:H167,H167)-1+MAX(C$5:C$1000,F$5:F$1000),"")</f>
        <v/>
      </c>
      <c r="J167" s="45" t="str">
        <f>IF(AND(Registro!D166="Abierto",Registro!E166="Baja"),Registro!B166,"")</f>
        <v/>
      </c>
      <c r="K167" s="45" t="str">
        <f ca="1">IF(AND(Registro!D166="Abierto",Registro!E166="Baja"),TODAY()-Registro!R166,"")</f>
        <v/>
      </c>
      <c r="L167" s="45" t="str">
        <f>IF(AND(Registro!D166="Abierto",Registro!E166="Baja"),RANK(K167,$K$9:$K$1000,0)+COUNTIF($K$9:K167,K167)-1+MAX(C$5:C$1000,F$5:F$1000,I$5:I$1000),"")</f>
        <v/>
      </c>
      <c r="M167" s="46" t="str">
        <f>IF(OR(Registro!D166="Resuelto",Registro!D166=""),"",SUM(C167,F167,I167,L167))</f>
        <v/>
      </c>
      <c r="N167" s="46" t="str">
        <f>IF(OR(Registro!D166="Resuelto",Registro!D166=""),"",SUM(B167,E167,H167,K167))</f>
        <v/>
      </c>
      <c r="O167" s="46" t="str">
        <f>IF(OR(Registro!D166="Resuelto",Registro!D166=""),"",_xlfn.CONCAT(A167,D167,G167,J167))</f>
        <v/>
      </c>
      <c r="P167" s="47">
        <v>159</v>
      </c>
      <c r="Q167" s="47" t="str">
        <f t="shared" ca="1" si="6"/>
        <v/>
      </c>
      <c r="R167" s="48" t="str">
        <f t="shared" ca="1" si="7"/>
        <v/>
      </c>
      <c r="S167" s="32"/>
      <c r="T167" s="32"/>
      <c r="U167" s="32"/>
      <c r="V167" s="32"/>
      <c r="W167" s="47" t="str">
        <f>IF(X167="","",MAX($W$5:W166)+1)</f>
        <v/>
      </c>
      <c r="X167" s="50" t="str">
        <f>IF(Registro!M166="","",IF(COUNTIF($X$8:X166,Registro!M166)=0,Registro!M166,""))</f>
        <v/>
      </c>
      <c r="Y167" s="50" t="str">
        <f t="shared" si="8"/>
        <v/>
      </c>
    </row>
    <row r="168" spans="1:25">
      <c r="A168" s="45" t="str">
        <f>IF(AND(Registro!D167="Abierto",Registro!E167="Urgente"),Registro!B167,"")</f>
        <v/>
      </c>
      <c r="B168" s="45" t="str">
        <f ca="1">IF(AND(Registro!D167="Abierto",Registro!E167="Urgente"),TODAY()-Registro!R167,"")</f>
        <v/>
      </c>
      <c r="C168" s="45" t="str">
        <f>IF(AND(Registro!D167="Abierto",Registro!E167="Urgente"),RANK(B168,$B$9:$B$1000,0)+COUNTIF($B$9:B168,B168)-1,"")</f>
        <v/>
      </c>
      <c r="D168" s="45" t="str">
        <f>IF(AND(Registro!D167="Abierto",Registro!E167="Alta"),Registro!B167,"")</f>
        <v/>
      </c>
      <c r="E168" s="45" t="str">
        <f ca="1">IF(AND(Registro!D167="Abierto",Registro!E167="Alta"),TODAY()-Registro!R167,"")</f>
        <v/>
      </c>
      <c r="F168" s="45" t="str">
        <f>IF(AND(Registro!D167="Abierto",Registro!E167="Alta"),RANK(E168,$E$9:$E$1000,0)+COUNTIF($E$9:E168,E168)-1+MAX(C$5:C$1000),"")</f>
        <v/>
      </c>
      <c r="G168" s="45" t="str">
        <f>IF(AND(Registro!D167="Abierto",Registro!E167="Media"),Registro!B167,"")</f>
        <v/>
      </c>
      <c r="H168" s="45" t="str">
        <f ca="1">IF(AND(Registro!D167="Abierto",Registro!E167="Media"),TODAY()-Registro!R167,"")</f>
        <v/>
      </c>
      <c r="I168" s="45" t="str">
        <f>IF(AND(Registro!D167="Abierto",Registro!E167="Media"),RANK(H168,$H$9:$H$1000,0)+COUNTIF($H$9:H168,H168)-1+MAX(C$5:C$1000,F$5:F$1000),"")</f>
        <v/>
      </c>
      <c r="J168" s="45" t="str">
        <f>IF(AND(Registro!D167="Abierto",Registro!E167="Baja"),Registro!B167,"")</f>
        <v/>
      </c>
      <c r="K168" s="45" t="str">
        <f ca="1">IF(AND(Registro!D167="Abierto",Registro!E167="Baja"),TODAY()-Registro!R167,"")</f>
        <v/>
      </c>
      <c r="L168" s="45" t="str">
        <f>IF(AND(Registro!D167="Abierto",Registro!E167="Baja"),RANK(K168,$K$9:$K$1000,0)+COUNTIF($K$9:K168,K168)-1+MAX(C$5:C$1000,F$5:F$1000,I$5:I$1000),"")</f>
        <v/>
      </c>
      <c r="M168" s="46" t="str">
        <f>IF(OR(Registro!D167="Resuelto",Registro!D167=""),"",SUM(C168,F168,I168,L168))</f>
        <v/>
      </c>
      <c r="N168" s="46" t="str">
        <f>IF(OR(Registro!D167="Resuelto",Registro!D167=""),"",SUM(B168,E168,H168,K168))</f>
        <v/>
      </c>
      <c r="O168" s="46" t="str">
        <f>IF(OR(Registro!D167="Resuelto",Registro!D167=""),"",_xlfn.CONCAT(A168,D168,G168,J168))</f>
        <v/>
      </c>
      <c r="P168" s="47">
        <v>160</v>
      </c>
      <c r="Q168" s="47" t="str">
        <f t="shared" ca="1" si="6"/>
        <v/>
      </c>
      <c r="R168" s="48" t="str">
        <f t="shared" ca="1" si="7"/>
        <v/>
      </c>
      <c r="S168" s="32"/>
      <c r="T168" s="32"/>
      <c r="U168" s="32"/>
      <c r="V168" s="32"/>
      <c r="W168" s="47" t="str">
        <f>IF(X168="","",MAX($W$5:W167)+1)</f>
        <v/>
      </c>
      <c r="X168" s="50" t="str">
        <f>IF(Registro!M167="","",IF(COUNTIF($X$8:X167,Registro!M167)=0,Registro!M167,""))</f>
        <v/>
      </c>
      <c r="Y168" s="50" t="str">
        <f t="shared" si="8"/>
        <v/>
      </c>
    </row>
    <row r="169" spans="1:25">
      <c r="A169" s="45" t="str">
        <f>IF(AND(Registro!D168="Abierto",Registro!E168="Urgente"),Registro!B168,"")</f>
        <v/>
      </c>
      <c r="B169" s="45" t="str">
        <f ca="1">IF(AND(Registro!D168="Abierto",Registro!E168="Urgente"),TODAY()-Registro!R168,"")</f>
        <v/>
      </c>
      <c r="C169" s="45" t="str">
        <f>IF(AND(Registro!D168="Abierto",Registro!E168="Urgente"),RANK(B169,$B$9:$B$1000,0)+COUNTIF($B$9:B169,B169)-1,"")</f>
        <v/>
      </c>
      <c r="D169" s="45" t="str">
        <f>IF(AND(Registro!D168="Abierto",Registro!E168="Alta"),Registro!B168,"")</f>
        <v/>
      </c>
      <c r="E169" s="45" t="str">
        <f ca="1">IF(AND(Registro!D168="Abierto",Registro!E168="Alta"),TODAY()-Registro!R168,"")</f>
        <v/>
      </c>
      <c r="F169" s="45" t="str">
        <f>IF(AND(Registro!D168="Abierto",Registro!E168="Alta"),RANK(E169,$E$9:$E$1000,0)+COUNTIF($E$9:E169,E169)-1+MAX(C$5:C$1000),"")</f>
        <v/>
      </c>
      <c r="G169" s="45" t="str">
        <f>IF(AND(Registro!D168="Abierto",Registro!E168="Media"),Registro!B168,"")</f>
        <v/>
      </c>
      <c r="H169" s="45" t="str">
        <f ca="1">IF(AND(Registro!D168="Abierto",Registro!E168="Media"),TODAY()-Registro!R168,"")</f>
        <v/>
      </c>
      <c r="I169" s="45" t="str">
        <f>IF(AND(Registro!D168="Abierto",Registro!E168="Media"),RANK(H169,$H$9:$H$1000,0)+COUNTIF($H$9:H169,H169)-1+MAX(C$5:C$1000,F$5:F$1000),"")</f>
        <v/>
      </c>
      <c r="J169" s="45" t="str">
        <f>IF(AND(Registro!D168="Abierto",Registro!E168="Baja"),Registro!B168,"")</f>
        <v/>
      </c>
      <c r="K169" s="45" t="str">
        <f ca="1">IF(AND(Registro!D168="Abierto",Registro!E168="Baja"),TODAY()-Registro!R168,"")</f>
        <v/>
      </c>
      <c r="L169" s="45" t="str">
        <f>IF(AND(Registro!D168="Abierto",Registro!E168="Baja"),RANK(K169,$K$9:$K$1000,0)+COUNTIF($K$9:K169,K169)-1+MAX(C$5:C$1000,F$5:F$1000,I$5:I$1000),"")</f>
        <v/>
      </c>
      <c r="M169" s="46" t="str">
        <f>IF(OR(Registro!D168="Resuelto",Registro!D168=""),"",SUM(C169,F169,I169,L169))</f>
        <v/>
      </c>
      <c r="N169" s="46" t="str">
        <f>IF(OR(Registro!D168="Resuelto",Registro!D168=""),"",SUM(B169,E169,H169,K169))</f>
        <v/>
      </c>
      <c r="O169" s="46" t="str">
        <f>IF(OR(Registro!D168="Resuelto",Registro!D168=""),"",_xlfn.CONCAT(A169,D169,G169,J169))</f>
        <v/>
      </c>
      <c r="P169" s="47">
        <v>161</v>
      </c>
      <c r="Q169" s="47" t="str">
        <f t="shared" ca="1" si="6"/>
        <v/>
      </c>
      <c r="R169" s="48" t="str">
        <f t="shared" ca="1" si="7"/>
        <v/>
      </c>
      <c r="S169" s="32"/>
      <c r="T169" s="32"/>
      <c r="U169" s="32"/>
      <c r="V169" s="32"/>
      <c r="W169" s="47" t="str">
        <f>IF(X169="","",MAX($W$5:W168)+1)</f>
        <v/>
      </c>
      <c r="X169" s="50" t="str">
        <f>IF(Registro!M168="","",IF(COUNTIF($X$8:X168,Registro!M168)=0,Registro!M168,""))</f>
        <v/>
      </c>
      <c r="Y169" s="50" t="str">
        <f t="shared" si="8"/>
        <v/>
      </c>
    </row>
    <row r="170" spans="1:25">
      <c r="A170" s="45" t="str">
        <f>IF(AND(Registro!D169="Abierto",Registro!E169="Urgente"),Registro!B169,"")</f>
        <v/>
      </c>
      <c r="B170" s="45" t="str">
        <f ca="1">IF(AND(Registro!D169="Abierto",Registro!E169="Urgente"),TODAY()-Registro!R169,"")</f>
        <v/>
      </c>
      <c r="C170" s="45" t="str">
        <f>IF(AND(Registro!D169="Abierto",Registro!E169="Urgente"),RANK(B170,$B$9:$B$1000,0)+COUNTIF($B$9:B170,B170)-1,"")</f>
        <v/>
      </c>
      <c r="D170" s="45" t="str">
        <f>IF(AND(Registro!D169="Abierto",Registro!E169="Alta"),Registro!B169,"")</f>
        <v/>
      </c>
      <c r="E170" s="45" t="str">
        <f ca="1">IF(AND(Registro!D169="Abierto",Registro!E169="Alta"),TODAY()-Registro!R169,"")</f>
        <v/>
      </c>
      <c r="F170" s="45" t="str">
        <f>IF(AND(Registro!D169="Abierto",Registro!E169="Alta"),RANK(E170,$E$9:$E$1000,0)+COUNTIF($E$9:E170,E170)-1+MAX(C$5:C$1000),"")</f>
        <v/>
      </c>
      <c r="G170" s="45" t="str">
        <f>IF(AND(Registro!D169="Abierto",Registro!E169="Media"),Registro!B169,"")</f>
        <v/>
      </c>
      <c r="H170" s="45" t="str">
        <f ca="1">IF(AND(Registro!D169="Abierto",Registro!E169="Media"),TODAY()-Registro!R169,"")</f>
        <v/>
      </c>
      <c r="I170" s="45" t="str">
        <f>IF(AND(Registro!D169="Abierto",Registro!E169="Media"),RANK(H170,$H$9:$H$1000,0)+COUNTIF($H$9:H170,H170)-1+MAX(C$5:C$1000,F$5:F$1000),"")</f>
        <v/>
      </c>
      <c r="J170" s="45" t="str">
        <f>IF(AND(Registro!D169="Abierto",Registro!E169="Baja"),Registro!B169,"")</f>
        <v/>
      </c>
      <c r="K170" s="45" t="str">
        <f ca="1">IF(AND(Registro!D169="Abierto",Registro!E169="Baja"),TODAY()-Registro!R169,"")</f>
        <v/>
      </c>
      <c r="L170" s="45" t="str">
        <f>IF(AND(Registro!D169="Abierto",Registro!E169="Baja"),RANK(K170,$K$9:$K$1000,0)+COUNTIF($K$9:K170,K170)-1+MAX(C$5:C$1000,F$5:F$1000,I$5:I$1000),"")</f>
        <v/>
      </c>
      <c r="M170" s="46" t="str">
        <f>IF(OR(Registro!D169="Resuelto",Registro!D169=""),"",SUM(C170,F170,I170,L170))</f>
        <v/>
      </c>
      <c r="N170" s="46" t="str">
        <f>IF(OR(Registro!D169="Resuelto",Registro!D169=""),"",SUM(B170,E170,H170,K170))</f>
        <v/>
      </c>
      <c r="O170" s="46" t="str">
        <f>IF(OR(Registro!D169="Resuelto",Registro!D169=""),"",_xlfn.CONCAT(A170,D170,G170,J170))</f>
        <v/>
      </c>
      <c r="P170" s="47">
        <v>162</v>
      </c>
      <c r="Q170" s="47" t="str">
        <f t="shared" ca="1" si="6"/>
        <v/>
      </c>
      <c r="R170" s="48" t="str">
        <f t="shared" ca="1" si="7"/>
        <v/>
      </c>
      <c r="S170" s="32"/>
      <c r="T170" s="32"/>
      <c r="U170" s="32"/>
      <c r="V170" s="32"/>
      <c r="W170" s="47" t="str">
        <f>IF(X170="","",MAX($W$5:W169)+1)</f>
        <v/>
      </c>
      <c r="X170" s="50" t="str">
        <f>IF(Registro!M169="","",IF(COUNTIF($X$8:X169,Registro!M169)=0,Registro!M169,""))</f>
        <v/>
      </c>
      <c r="Y170" s="50" t="str">
        <f t="shared" si="8"/>
        <v/>
      </c>
    </row>
    <row r="171" spans="1:25">
      <c r="A171" s="45" t="str">
        <f>IF(AND(Registro!D170="Abierto",Registro!E170="Urgente"),Registro!B170,"")</f>
        <v/>
      </c>
      <c r="B171" s="45" t="str">
        <f ca="1">IF(AND(Registro!D170="Abierto",Registro!E170="Urgente"),TODAY()-Registro!R170,"")</f>
        <v/>
      </c>
      <c r="C171" s="45" t="str">
        <f>IF(AND(Registro!D170="Abierto",Registro!E170="Urgente"),RANK(B171,$B$9:$B$1000,0)+COUNTIF($B$9:B171,B171)-1,"")</f>
        <v/>
      </c>
      <c r="D171" s="45" t="str">
        <f>IF(AND(Registro!D170="Abierto",Registro!E170="Alta"),Registro!B170,"")</f>
        <v/>
      </c>
      <c r="E171" s="45" t="str">
        <f ca="1">IF(AND(Registro!D170="Abierto",Registro!E170="Alta"),TODAY()-Registro!R170,"")</f>
        <v/>
      </c>
      <c r="F171" s="45" t="str">
        <f>IF(AND(Registro!D170="Abierto",Registro!E170="Alta"),RANK(E171,$E$9:$E$1000,0)+COUNTIF($E$9:E171,E171)-1+MAX(C$5:C$1000),"")</f>
        <v/>
      </c>
      <c r="G171" s="45" t="str">
        <f>IF(AND(Registro!D170="Abierto",Registro!E170="Media"),Registro!B170,"")</f>
        <v/>
      </c>
      <c r="H171" s="45" t="str">
        <f ca="1">IF(AND(Registro!D170="Abierto",Registro!E170="Media"),TODAY()-Registro!R170,"")</f>
        <v/>
      </c>
      <c r="I171" s="45" t="str">
        <f>IF(AND(Registro!D170="Abierto",Registro!E170="Media"),RANK(H171,$H$9:$H$1000,0)+COUNTIF($H$9:H171,H171)-1+MAX(C$5:C$1000,F$5:F$1000),"")</f>
        <v/>
      </c>
      <c r="J171" s="45" t="str">
        <f>IF(AND(Registro!D170="Abierto",Registro!E170="Baja"),Registro!B170,"")</f>
        <v/>
      </c>
      <c r="K171" s="45" t="str">
        <f ca="1">IF(AND(Registro!D170="Abierto",Registro!E170="Baja"),TODAY()-Registro!R170,"")</f>
        <v/>
      </c>
      <c r="L171" s="45" t="str">
        <f>IF(AND(Registro!D170="Abierto",Registro!E170="Baja"),RANK(K171,$K$9:$K$1000,0)+COUNTIF($K$9:K171,K171)-1+MAX(C$5:C$1000,F$5:F$1000,I$5:I$1000),"")</f>
        <v/>
      </c>
      <c r="M171" s="46" t="str">
        <f>IF(OR(Registro!D170="Resuelto",Registro!D170=""),"",SUM(C171,F171,I171,L171))</f>
        <v/>
      </c>
      <c r="N171" s="46" t="str">
        <f>IF(OR(Registro!D170="Resuelto",Registro!D170=""),"",SUM(B171,E171,H171,K171))</f>
        <v/>
      </c>
      <c r="O171" s="46" t="str">
        <f>IF(OR(Registro!D170="Resuelto",Registro!D170=""),"",_xlfn.CONCAT(A171,D171,G171,J171))</f>
        <v/>
      </c>
      <c r="P171" s="47">
        <v>163</v>
      </c>
      <c r="Q171" s="47" t="str">
        <f t="shared" ca="1" si="6"/>
        <v/>
      </c>
      <c r="R171" s="48" t="str">
        <f t="shared" ca="1" si="7"/>
        <v/>
      </c>
      <c r="S171" s="32"/>
      <c r="T171" s="32"/>
      <c r="U171" s="32"/>
      <c r="V171" s="32"/>
      <c r="W171" s="47" t="str">
        <f>IF(X171="","",MAX($W$5:W170)+1)</f>
        <v/>
      </c>
      <c r="X171" s="50" t="str">
        <f>IF(Registro!M170="","",IF(COUNTIF($X$8:X170,Registro!M170)=0,Registro!M170,""))</f>
        <v/>
      </c>
      <c r="Y171" s="50" t="str">
        <f t="shared" si="8"/>
        <v/>
      </c>
    </row>
    <row r="172" spans="1:25">
      <c r="A172" s="45" t="str">
        <f>IF(AND(Registro!D171="Abierto",Registro!E171="Urgente"),Registro!B171,"")</f>
        <v/>
      </c>
      <c r="B172" s="45" t="str">
        <f ca="1">IF(AND(Registro!D171="Abierto",Registro!E171="Urgente"),TODAY()-Registro!R171,"")</f>
        <v/>
      </c>
      <c r="C172" s="45" t="str">
        <f>IF(AND(Registro!D171="Abierto",Registro!E171="Urgente"),RANK(B172,$B$9:$B$1000,0)+COUNTIF($B$9:B172,B172)-1,"")</f>
        <v/>
      </c>
      <c r="D172" s="45" t="str">
        <f>IF(AND(Registro!D171="Abierto",Registro!E171="Alta"),Registro!B171,"")</f>
        <v/>
      </c>
      <c r="E172" s="45" t="str">
        <f ca="1">IF(AND(Registro!D171="Abierto",Registro!E171="Alta"),TODAY()-Registro!R171,"")</f>
        <v/>
      </c>
      <c r="F172" s="45" t="str">
        <f>IF(AND(Registro!D171="Abierto",Registro!E171="Alta"),RANK(E172,$E$9:$E$1000,0)+COUNTIF($E$9:E172,E172)-1+MAX(C$5:C$1000),"")</f>
        <v/>
      </c>
      <c r="G172" s="45" t="str">
        <f>IF(AND(Registro!D171="Abierto",Registro!E171="Media"),Registro!B171,"")</f>
        <v/>
      </c>
      <c r="H172" s="45" t="str">
        <f ca="1">IF(AND(Registro!D171="Abierto",Registro!E171="Media"),TODAY()-Registro!R171,"")</f>
        <v/>
      </c>
      <c r="I172" s="45" t="str">
        <f>IF(AND(Registro!D171="Abierto",Registro!E171="Media"),RANK(H172,$H$9:$H$1000,0)+COUNTIF($H$9:H172,H172)-1+MAX(C$5:C$1000,F$5:F$1000),"")</f>
        <v/>
      </c>
      <c r="J172" s="45" t="str">
        <f>IF(AND(Registro!D171="Abierto",Registro!E171="Baja"),Registro!B171,"")</f>
        <v/>
      </c>
      <c r="K172" s="45" t="str">
        <f ca="1">IF(AND(Registro!D171="Abierto",Registro!E171="Baja"),TODAY()-Registro!R171,"")</f>
        <v/>
      </c>
      <c r="L172" s="45" t="str">
        <f>IF(AND(Registro!D171="Abierto",Registro!E171="Baja"),RANK(K172,$K$9:$K$1000,0)+COUNTIF($K$9:K172,K172)-1+MAX(C$5:C$1000,F$5:F$1000,I$5:I$1000),"")</f>
        <v/>
      </c>
      <c r="M172" s="46" t="str">
        <f>IF(OR(Registro!D171="Resuelto",Registro!D171=""),"",SUM(C172,F172,I172,L172))</f>
        <v/>
      </c>
      <c r="N172" s="46" t="str">
        <f>IF(OR(Registro!D171="Resuelto",Registro!D171=""),"",SUM(B172,E172,H172,K172))</f>
        <v/>
      </c>
      <c r="O172" s="46" t="str">
        <f>IF(OR(Registro!D171="Resuelto",Registro!D171=""),"",_xlfn.CONCAT(A172,D172,G172,J172))</f>
        <v/>
      </c>
      <c r="P172" s="47">
        <v>164</v>
      </c>
      <c r="Q172" s="47" t="str">
        <f t="shared" ca="1" si="6"/>
        <v/>
      </c>
      <c r="R172" s="48" t="str">
        <f t="shared" ca="1" si="7"/>
        <v/>
      </c>
      <c r="S172" s="32"/>
      <c r="T172" s="32"/>
      <c r="U172" s="32"/>
      <c r="V172" s="32"/>
      <c r="W172" s="47" t="str">
        <f>IF(X172="","",MAX($W$5:W171)+1)</f>
        <v/>
      </c>
      <c r="X172" s="50" t="str">
        <f>IF(Registro!M171="","",IF(COUNTIF($X$8:X171,Registro!M171)=0,Registro!M171,""))</f>
        <v/>
      </c>
      <c r="Y172" s="50" t="str">
        <f t="shared" si="8"/>
        <v/>
      </c>
    </row>
    <row r="173" spans="1:25">
      <c r="A173" s="45" t="str">
        <f>IF(AND(Registro!D172="Abierto",Registro!E172="Urgente"),Registro!B172,"")</f>
        <v/>
      </c>
      <c r="B173" s="45" t="str">
        <f ca="1">IF(AND(Registro!D172="Abierto",Registro!E172="Urgente"),TODAY()-Registro!R172,"")</f>
        <v/>
      </c>
      <c r="C173" s="45" t="str">
        <f>IF(AND(Registro!D172="Abierto",Registro!E172="Urgente"),RANK(B173,$B$9:$B$1000,0)+COUNTIF($B$9:B173,B173)-1,"")</f>
        <v/>
      </c>
      <c r="D173" s="45" t="str">
        <f>IF(AND(Registro!D172="Abierto",Registro!E172="Alta"),Registro!B172,"")</f>
        <v/>
      </c>
      <c r="E173" s="45" t="str">
        <f ca="1">IF(AND(Registro!D172="Abierto",Registro!E172="Alta"),TODAY()-Registro!R172,"")</f>
        <v/>
      </c>
      <c r="F173" s="45" t="str">
        <f>IF(AND(Registro!D172="Abierto",Registro!E172="Alta"),RANK(E173,$E$9:$E$1000,0)+COUNTIF($E$9:E173,E173)-1+MAX(C$5:C$1000),"")</f>
        <v/>
      </c>
      <c r="G173" s="45" t="str">
        <f>IF(AND(Registro!D172="Abierto",Registro!E172="Media"),Registro!B172,"")</f>
        <v/>
      </c>
      <c r="H173" s="45" t="str">
        <f ca="1">IF(AND(Registro!D172="Abierto",Registro!E172="Media"),TODAY()-Registro!R172,"")</f>
        <v/>
      </c>
      <c r="I173" s="45" t="str">
        <f>IF(AND(Registro!D172="Abierto",Registro!E172="Media"),RANK(H173,$H$9:$H$1000,0)+COUNTIF($H$9:H173,H173)-1+MAX(C$5:C$1000,F$5:F$1000),"")</f>
        <v/>
      </c>
      <c r="J173" s="45" t="str">
        <f>IF(AND(Registro!D172="Abierto",Registro!E172="Baja"),Registro!B172,"")</f>
        <v/>
      </c>
      <c r="K173" s="45" t="str">
        <f ca="1">IF(AND(Registro!D172="Abierto",Registro!E172="Baja"),TODAY()-Registro!R172,"")</f>
        <v/>
      </c>
      <c r="L173" s="45" t="str">
        <f>IF(AND(Registro!D172="Abierto",Registro!E172="Baja"),RANK(K173,$K$9:$K$1000,0)+COUNTIF($K$9:K173,K173)-1+MAX(C$5:C$1000,F$5:F$1000,I$5:I$1000),"")</f>
        <v/>
      </c>
      <c r="M173" s="46" t="str">
        <f>IF(OR(Registro!D172="Resuelto",Registro!D172=""),"",SUM(C173,F173,I173,L173))</f>
        <v/>
      </c>
      <c r="N173" s="46" t="str">
        <f>IF(OR(Registro!D172="Resuelto",Registro!D172=""),"",SUM(B173,E173,H173,K173))</f>
        <v/>
      </c>
      <c r="O173" s="46" t="str">
        <f>IF(OR(Registro!D172="Resuelto",Registro!D172=""),"",_xlfn.CONCAT(A173,D173,G173,J173))</f>
        <v/>
      </c>
      <c r="P173" s="47">
        <v>165</v>
      </c>
      <c r="Q173" s="47" t="str">
        <f t="shared" ca="1" si="6"/>
        <v/>
      </c>
      <c r="R173" s="48" t="str">
        <f t="shared" ca="1" si="7"/>
        <v/>
      </c>
      <c r="S173" s="32"/>
      <c r="T173" s="32"/>
      <c r="U173" s="32"/>
      <c r="V173" s="32"/>
      <c r="W173" s="47" t="str">
        <f>IF(X173="","",MAX($W$5:W172)+1)</f>
        <v/>
      </c>
      <c r="X173" s="50" t="str">
        <f>IF(Registro!M172="","",IF(COUNTIF($X$8:X172,Registro!M172)=0,Registro!M172,""))</f>
        <v/>
      </c>
      <c r="Y173" s="50" t="str">
        <f t="shared" si="8"/>
        <v/>
      </c>
    </row>
    <row r="174" spans="1:25">
      <c r="A174" s="45" t="str">
        <f>IF(AND(Registro!D173="Abierto",Registro!E173="Urgente"),Registro!B173,"")</f>
        <v/>
      </c>
      <c r="B174" s="45" t="str">
        <f ca="1">IF(AND(Registro!D173="Abierto",Registro!E173="Urgente"),TODAY()-Registro!R173,"")</f>
        <v/>
      </c>
      <c r="C174" s="45" t="str">
        <f>IF(AND(Registro!D173="Abierto",Registro!E173="Urgente"),RANK(B174,$B$9:$B$1000,0)+COUNTIF($B$9:B174,B174)-1,"")</f>
        <v/>
      </c>
      <c r="D174" s="45" t="str">
        <f>IF(AND(Registro!D173="Abierto",Registro!E173="Alta"),Registro!B173,"")</f>
        <v/>
      </c>
      <c r="E174" s="45" t="str">
        <f ca="1">IF(AND(Registro!D173="Abierto",Registro!E173="Alta"),TODAY()-Registro!R173,"")</f>
        <v/>
      </c>
      <c r="F174" s="45" t="str">
        <f>IF(AND(Registro!D173="Abierto",Registro!E173="Alta"),RANK(E174,$E$9:$E$1000,0)+COUNTIF($E$9:E174,E174)-1+MAX(C$5:C$1000),"")</f>
        <v/>
      </c>
      <c r="G174" s="45" t="str">
        <f>IF(AND(Registro!D173="Abierto",Registro!E173="Media"),Registro!B173,"")</f>
        <v/>
      </c>
      <c r="H174" s="45" t="str">
        <f ca="1">IF(AND(Registro!D173="Abierto",Registro!E173="Media"),TODAY()-Registro!R173,"")</f>
        <v/>
      </c>
      <c r="I174" s="45" t="str">
        <f>IF(AND(Registro!D173="Abierto",Registro!E173="Media"),RANK(H174,$H$9:$H$1000,0)+COUNTIF($H$9:H174,H174)-1+MAX(C$5:C$1000,F$5:F$1000),"")</f>
        <v/>
      </c>
      <c r="J174" s="45" t="str">
        <f>IF(AND(Registro!D173="Abierto",Registro!E173="Baja"),Registro!B173,"")</f>
        <v/>
      </c>
      <c r="K174" s="45" t="str">
        <f ca="1">IF(AND(Registro!D173="Abierto",Registro!E173="Baja"),TODAY()-Registro!R173,"")</f>
        <v/>
      </c>
      <c r="L174" s="45" t="str">
        <f>IF(AND(Registro!D173="Abierto",Registro!E173="Baja"),RANK(K174,$K$9:$K$1000,0)+COUNTIF($K$9:K174,K174)-1+MAX(C$5:C$1000,F$5:F$1000,I$5:I$1000),"")</f>
        <v/>
      </c>
      <c r="M174" s="46" t="str">
        <f>IF(OR(Registro!D173="Resuelto",Registro!D173=""),"",SUM(C174,F174,I174,L174))</f>
        <v/>
      </c>
      <c r="N174" s="46" t="str">
        <f>IF(OR(Registro!D173="Resuelto",Registro!D173=""),"",SUM(B174,E174,H174,K174))</f>
        <v/>
      </c>
      <c r="O174" s="46" t="str">
        <f>IF(OR(Registro!D173="Resuelto",Registro!D173=""),"",_xlfn.CONCAT(A174,D174,G174,J174))</f>
        <v/>
      </c>
      <c r="P174" s="47">
        <v>166</v>
      </c>
      <c r="Q174" s="47" t="str">
        <f t="shared" ca="1" si="6"/>
        <v/>
      </c>
      <c r="R174" s="48" t="str">
        <f t="shared" ca="1" si="7"/>
        <v/>
      </c>
      <c r="S174" s="32"/>
      <c r="T174" s="32"/>
      <c r="U174" s="32"/>
      <c r="V174" s="32"/>
      <c r="W174" s="47" t="str">
        <f>IF(X174="","",MAX($W$5:W173)+1)</f>
        <v/>
      </c>
      <c r="X174" s="50" t="str">
        <f>IF(Registro!M173="","",IF(COUNTIF($X$8:X173,Registro!M173)=0,Registro!M173,""))</f>
        <v/>
      </c>
      <c r="Y174" s="50" t="str">
        <f t="shared" si="8"/>
        <v/>
      </c>
    </row>
    <row r="175" spans="1:25">
      <c r="A175" s="45" t="str">
        <f>IF(AND(Registro!D174="Abierto",Registro!E174="Urgente"),Registro!B174,"")</f>
        <v/>
      </c>
      <c r="B175" s="45" t="str">
        <f ca="1">IF(AND(Registro!D174="Abierto",Registro!E174="Urgente"),TODAY()-Registro!R174,"")</f>
        <v/>
      </c>
      <c r="C175" s="45" t="str">
        <f>IF(AND(Registro!D174="Abierto",Registro!E174="Urgente"),RANK(B175,$B$9:$B$1000,0)+COUNTIF($B$9:B175,B175)-1,"")</f>
        <v/>
      </c>
      <c r="D175" s="45" t="str">
        <f>IF(AND(Registro!D174="Abierto",Registro!E174="Alta"),Registro!B174,"")</f>
        <v/>
      </c>
      <c r="E175" s="45" t="str">
        <f ca="1">IF(AND(Registro!D174="Abierto",Registro!E174="Alta"),TODAY()-Registro!R174,"")</f>
        <v/>
      </c>
      <c r="F175" s="45" t="str">
        <f>IF(AND(Registro!D174="Abierto",Registro!E174="Alta"),RANK(E175,$E$9:$E$1000,0)+COUNTIF($E$9:E175,E175)-1+MAX(C$5:C$1000),"")</f>
        <v/>
      </c>
      <c r="G175" s="45" t="str">
        <f>IF(AND(Registro!D174="Abierto",Registro!E174="Media"),Registro!B174,"")</f>
        <v/>
      </c>
      <c r="H175" s="45" t="str">
        <f ca="1">IF(AND(Registro!D174="Abierto",Registro!E174="Media"),TODAY()-Registro!R174,"")</f>
        <v/>
      </c>
      <c r="I175" s="45" t="str">
        <f>IF(AND(Registro!D174="Abierto",Registro!E174="Media"),RANK(H175,$H$9:$H$1000,0)+COUNTIF($H$9:H175,H175)-1+MAX(C$5:C$1000,F$5:F$1000),"")</f>
        <v/>
      </c>
      <c r="J175" s="45" t="str">
        <f>IF(AND(Registro!D174="Abierto",Registro!E174="Baja"),Registro!B174,"")</f>
        <v/>
      </c>
      <c r="K175" s="45" t="str">
        <f ca="1">IF(AND(Registro!D174="Abierto",Registro!E174="Baja"),TODAY()-Registro!R174,"")</f>
        <v/>
      </c>
      <c r="L175" s="45" t="str">
        <f>IF(AND(Registro!D174="Abierto",Registro!E174="Baja"),RANK(K175,$K$9:$K$1000,0)+COUNTIF($K$9:K175,K175)-1+MAX(C$5:C$1000,F$5:F$1000,I$5:I$1000),"")</f>
        <v/>
      </c>
      <c r="M175" s="46" t="str">
        <f>IF(OR(Registro!D174="Resuelto",Registro!D174=""),"",SUM(C175,F175,I175,L175))</f>
        <v/>
      </c>
      <c r="N175" s="46" t="str">
        <f>IF(OR(Registro!D174="Resuelto",Registro!D174=""),"",SUM(B175,E175,H175,K175))</f>
        <v/>
      </c>
      <c r="O175" s="46" t="str">
        <f>IF(OR(Registro!D174="Resuelto",Registro!D174=""),"",_xlfn.CONCAT(A175,D175,G175,J175))</f>
        <v/>
      </c>
      <c r="P175" s="47">
        <v>167</v>
      </c>
      <c r="Q175" s="47" t="str">
        <f t="shared" ca="1" si="6"/>
        <v/>
      </c>
      <c r="R175" s="48" t="str">
        <f t="shared" ca="1" si="7"/>
        <v/>
      </c>
      <c r="S175" s="32"/>
      <c r="T175" s="32"/>
      <c r="U175" s="32"/>
      <c r="V175" s="32"/>
      <c r="W175" s="47" t="str">
        <f>IF(X175="","",MAX($W$5:W174)+1)</f>
        <v/>
      </c>
      <c r="X175" s="50" t="str">
        <f>IF(Registro!M174="","",IF(COUNTIF($X$8:X174,Registro!M174)=0,Registro!M174,""))</f>
        <v/>
      </c>
      <c r="Y175" s="50" t="str">
        <f t="shared" si="8"/>
        <v/>
      </c>
    </row>
    <row r="176" spans="1:25">
      <c r="A176" s="45" t="str">
        <f>IF(AND(Registro!D175="Abierto",Registro!E175="Urgente"),Registro!B175,"")</f>
        <v/>
      </c>
      <c r="B176" s="45" t="str">
        <f ca="1">IF(AND(Registro!D175="Abierto",Registro!E175="Urgente"),TODAY()-Registro!R175,"")</f>
        <v/>
      </c>
      <c r="C176" s="45" t="str">
        <f>IF(AND(Registro!D175="Abierto",Registro!E175="Urgente"),RANK(B176,$B$9:$B$1000,0)+COUNTIF($B$9:B176,B176)-1,"")</f>
        <v/>
      </c>
      <c r="D176" s="45" t="str">
        <f>IF(AND(Registro!D175="Abierto",Registro!E175="Alta"),Registro!B175,"")</f>
        <v/>
      </c>
      <c r="E176" s="45" t="str">
        <f ca="1">IF(AND(Registro!D175="Abierto",Registro!E175="Alta"),TODAY()-Registro!R175,"")</f>
        <v/>
      </c>
      <c r="F176" s="45" t="str">
        <f>IF(AND(Registro!D175="Abierto",Registro!E175="Alta"),RANK(E176,$E$9:$E$1000,0)+COUNTIF($E$9:E176,E176)-1+MAX(C$5:C$1000),"")</f>
        <v/>
      </c>
      <c r="G176" s="45" t="str">
        <f>IF(AND(Registro!D175="Abierto",Registro!E175="Media"),Registro!B175,"")</f>
        <v/>
      </c>
      <c r="H176" s="45" t="str">
        <f ca="1">IF(AND(Registro!D175="Abierto",Registro!E175="Media"),TODAY()-Registro!R175,"")</f>
        <v/>
      </c>
      <c r="I176" s="45" t="str">
        <f>IF(AND(Registro!D175="Abierto",Registro!E175="Media"),RANK(H176,$H$9:$H$1000,0)+COUNTIF($H$9:H176,H176)-1+MAX(C$5:C$1000,F$5:F$1000),"")</f>
        <v/>
      </c>
      <c r="J176" s="45" t="str">
        <f>IF(AND(Registro!D175="Abierto",Registro!E175="Baja"),Registro!B175,"")</f>
        <v/>
      </c>
      <c r="K176" s="45" t="str">
        <f ca="1">IF(AND(Registro!D175="Abierto",Registro!E175="Baja"),TODAY()-Registro!R175,"")</f>
        <v/>
      </c>
      <c r="L176" s="45" t="str">
        <f>IF(AND(Registro!D175="Abierto",Registro!E175="Baja"),RANK(K176,$K$9:$K$1000,0)+COUNTIF($K$9:K176,K176)-1+MAX(C$5:C$1000,F$5:F$1000,I$5:I$1000),"")</f>
        <v/>
      </c>
      <c r="M176" s="46" t="str">
        <f>IF(OR(Registro!D175="Resuelto",Registro!D175=""),"",SUM(C176,F176,I176,L176))</f>
        <v/>
      </c>
      <c r="N176" s="46" t="str">
        <f>IF(OR(Registro!D175="Resuelto",Registro!D175=""),"",SUM(B176,E176,H176,K176))</f>
        <v/>
      </c>
      <c r="O176" s="46" t="str">
        <f>IF(OR(Registro!D175="Resuelto",Registro!D175=""),"",_xlfn.CONCAT(A176,D176,G176,J176))</f>
        <v/>
      </c>
      <c r="P176" s="47">
        <v>168</v>
      </c>
      <c r="Q176" s="47" t="str">
        <f t="shared" ca="1" si="6"/>
        <v/>
      </c>
      <c r="R176" s="48" t="str">
        <f t="shared" ca="1" si="7"/>
        <v/>
      </c>
      <c r="S176" s="32"/>
      <c r="T176" s="32"/>
      <c r="U176" s="32"/>
      <c r="V176" s="32"/>
      <c r="W176" s="47" t="str">
        <f>IF(X176="","",MAX($W$5:W175)+1)</f>
        <v/>
      </c>
      <c r="X176" s="50" t="str">
        <f>IF(Registro!M175="","",IF(COUNTIF($X$8:X175,Registro!M175)=0,Registro!M175,""))</f>
        <v/>
      </c>
      <c r="Y176" s="50" t="str">
        <f t="shared" si="8"/>
        <v/>
      </c>
    </row>
    <row r="177" spans="1:25">
      <c r="A177" s="45" t="str">
        <f>IF(AND(Registro!D176="Abierto",Registro!E176="Urgente"),Registro!B176,"")</f>
        <v/>
      </c>
      <c r="B177" s="45" t="str">
        <f ca="1">IF(AND(Registro!D176="Abierto",Registro!E176="Urgente"),TODAY()-Registro!R176,"")</f>
        <v/>
      </c>
      <c r="C177" s="45" t="str">
        <f>IF(AND(Registro!D176="Abierto",Registro!E176="Urgente"),RANK(B177,$B$9:$B$1000,0)+COUNTIF($B$9:B177,B177)-1,"")</f>
        <v/>
      </c>
      <c r="D177" s="45" t="str">
        <f>IF(AND(Registro!D176="Abierto",Registro!E176="Alta"),Registro!B176,"")</f>
        <v/>
      </c>
      <c r="E177" s="45" t="str">
        <f ca="1">IF(AND(Registro!D176="Abierto",Registro!E176="Alta"),TODAY()-Registro!R176,"")</f>
        <v/>
      </c>
      <c r="F177" s="45" t="str">
        <f>IF(AND(Registro!D176="Abierto",Registro!E176="Alta"),RANK(E177,$E$9:$E$1000,0)+COUNTIF($E$9:E177,E177)-1+MAX(C$5:C$1000),"")</f>
        <v/>
      </c>
      <c r="G177" s="45" t="str">
        <f>IF(AND(Registro!D176="Abierto",Registro!E176="Media"),Registro!B176,"")</f>
        <v/>
      </c>
      <c r="H177" s="45" t="str">
        <f ca="1">IF(AND(Registro!D176="Abierto",Registro!E176="Media"),TODAY()-Registro!R176,"")</f>
        <v/>
      </c>
      <c r="I177" s="45" t="str">
        <f>IF(AND(Registro!D176="Abierto",Registro!E176="Media"),RANK(H177,$H$9:$H$1000,0)+COUNTIF($H$9:H177,H177)-1+MAX(C$5:C$1000,F$5:F$1000),"")</f>
        <v/>
      </c>
      <c r="J177" s="45" t="str">
        <f>IF(AND(Registro!D176="Abierto",Registro!E176="Baja"),Registro!B176,"")</f>
        <v/>
      </c>
      <c r="K177" s="45" t="str">
        <f ca="1">IF(AND(Registro!D176="Abierto",Registro!E176="Baja"),TODAY()-Registro!R176,"")</f>
        <v/>
      </c>
      <c r="L177" s="45" t="str">
        <f>IF(AND(Registro!D176="Abierto",Registro!E176="Baja"),RANK(K177,$K$9:$K$1000,0)+COUNTIF($K$9:K177,K177)-1+MAX(C$5:C$1000,F$5:F$1000,I$5:I$1000),"")</f>
        <v/>
      </c>
      <c r="M177" s="46" t="str">
        <f>IF(OR(Registro!D176="Resuelto",Registro!D176=""),"",SUM(C177,F177,I177,L177))</f>
        <v/>
      </c>
      <c r="N177" s="46" t="str">
        <f>IF(OR(Registro!D176="Resuelto",Registro!D176=""),"",SUM(B177,E177,H177,K177))</f>
        <v/>
      </c>
      <c r="O177" s="46" t="str">
        <f>IF(OR(Registro!D176="Resuelto",Registro!D176=""),"",_xlfn.CONCAT(A177,D177,G177,J177))</f>
        <v/>
      </c>
      <c r="P177" s="47">
        <v>169</v>
      </c>
      <c r="Q177" s="47" t="str">
        <f t="shared" ca="1" si="6"/>
        <v/>
      </c>
      <c r="R177" s="48" t="str">
        <f t="shared" ca="1" si="7"/>
        <v/>
      </c>
      <c r="S177" s="32"/>
      <c r="T177" s="32"/>
      <c r="U177" s="32"/>
      <c r="V177" s="32"/>
      <c r="W177" s="47" t="str">
        <f>IF(X177="","",MAX($W$5:W176)+1)</f>
        <v/>
      </c>
      <c r="X177" s="50" t="str">
        <f>IF(Registro!M176="","",IF(COUNTIF($X$8:X176,Registro!M176)=0,Registro!M176,""))</f>
        <v/>
      </c>
      <c r="Y177" s="50" t="str">
        <f t="shared" si="8"/>
        <v/>
      </c>
    </row>
    <row r="178" spans="1:25">
      <c r="A178" s="45" t="str">
        <f>IF(AND(Registro!D177="Abierto",Registro!E177="Urgente"),Registro!B177,"")</f>
        <v/>
      </c>
      <c r="B178" s="45" t="str">
        <f ca="1">IF(AND(Registro!D177="Abierto",Registro!E177="Urgente"),TODAY()-Registro!R177,"")</f>
        <v/>
      </c>
      <c r="C178" s="45" t="str">
        <f>IF(AND(Registro!D177="Abierto",Registro!E177="Urgente"),RANK(B178,$B$9:$B$1000,0)+COUNTIF($B$9:B178,B178)-1,"")</f>
        <v/>
      </c>
      <c r="D178" s="45" t="str">
        <f>IF(AND(Registro!D177="Abierto",Registro!E177="Alta"),Registro!B177,"")</f>
        <v/>
      </c>
      <c r="E178" s="45" t="str">
        <f ca="1">IF(AND(Registro!D177="Abierto",Registro!E177="Alta"),TODAY()-Registro!R177,"")</f>
        <v/>
      </c>
      <c r="F178" s="45" t="str">
        <f>IF(AND(Registro!D177="Abierto",Registro!E177="Alta"),RANK(E178,$E$9:$E$1000,0)+COUNTIF($E$9:E178,E178)-1+MAX(C$5:C$1000),"")</f>
        <v/>
      </c>
      <c r="G178" s="45" t="str">
        <f>IF(AND(Registro!D177="Abierto",Registro!E177="Media"),Registro!B177,"")</f>
        <v/>
      </c>
      <c r="H178" s="45" t="str">
        <f ca="1">IF(AND(Registro!D177="Abierto",Registro!E177="Media"),TODAY()-Registro!R177,"")</f>
        <v/>
      </c>
      <c r="I178" s="45" t="str">
        <f>IF(AND(Registro!D177="Abierto",Registro!E177="Media"),RANK(H178,$H$9:$H$1000,0)+COUNTIF($H$9:H178,H178)-1+MAX(C$5:C$1000,F$5:F$1000),"")</f>
        <v/>
      </c>
      <c r="J178" s="45" t="str">
        <f>IF(AND(Registro!D177="Abierto",Registro!E177="Baja"),Registro!B177,"")</f>
        <v/>
      </c>
      <c r="K178" s="45" t="str">
        <f ca="1">IF(AND(Registro!D177="Abierto",Registro!E177="Baja"),TODAY()-Registro!R177,"")</f>
        <v/>
      </c>
      <c r="L178" s="45" t="str">
        <f>IF(AND(Registro!D177="Abierto",Registro!E177="Baja"),RANK(K178,$K$9:$K$1000,0)+COUNTIF($K$9:K178,K178)-1+MAX(C$5:C$1000,F$5:F$1000,I$5:I$1000),"")</f>
        <v/>
      </c>
      <c r="M178" s="46" t="str">
        <f>IF(OR(Registro!D177="Resuelto",Registro!D177=""),"",SUM(C178,F178,I178,L178))</f>
        <v/>
      </c>
      <c r="N178" s="46" t="str">
        <f>IF(OR(Registro!D177="Resuelto",Registro!D177=""),"",SUM(B178,E178,H178,K178))</f>
        <v/>
      </c>
      <c r="O178" s="46" t="str">
        <f>IF(OR(Registro!D177="Resuelto",Registro!D177=""),"",_xlfn.CONCAT(A178,D178,G178,J178))</f>
        <v/>
      </c>
      <c r="P178" s="47">
        <v>170</v>
      </c>
      <c r="Q178" s="47" t="str">
        <f t="shared" ca="1" si="6"/>
        <v/>
      </c>
      <c r="R178" s="48" t="str">
        <f t="shared" ca="1" si="7"/>
        <v/>
      </c>
      <c r="S178" s="32"/>
      <c r="T178" s="32"/>
      <c r="U178" s="32"/>
      <c r="V178" s="32"/>
      <c r="W178" s="47" t="str">
        <f>IF(X178="","",MAX($W$5:W177)+1)</f>
        <v/>
      </c>
      <c r="X178" s="50" t="str">
        <f>IF(Registro!M177="","",IF(COUNTIF($X$8:X177,Registro!M177)=0,Registro!M177,""))</f>
        <v/>
      </c>
      <c r="Y178" s="50" t="str">
        <f t="shared" si="8"/>
        <v/>
      </c>
    </row>
    <row r="179" spans="1:25">
      <c r="A179" s="45" t="str">
        <f>IF(AND(Registro!D178="Abierto",Registro!E178="Urgente"),Registro!B178,"")</f>
        <v/>
      </c>
      <c r="B179" s="45" t="str">
        <f ca="1">IF(AND(Registro!D178="Abierto",Registro!E178="Urgente"),TODAY()-Registro!R178,"")</f>
        <v/>
      </c>
      <c r="C179" s="45" t="str">
        <f>IF(AND(Registro!D178="Abierto",Registro!E178="Urgente"),RANK(B179,$B$9:$B$1000,0)+COUNTIF($B$9:B179,B179)-1,"")</f>
        <v/>
      </c>
      <c r="D179" s="45" t="str">
        <f>IF(AND(Registro!D178="Abierto",Registro!E178="Alta"),Registro!B178,"")</f>
        <v/>
      </c>
      <c r="E179" s="45" t="str">
        <f ca="1">IF(AND(Registro!D178="Abierto",Registro!E178="Alta"),TODAY()-Registro!R178,"")</f>
        <v/>
      </c>
      <c r="F179" s="45" t="str">
        <f>IF(AND(Registro!D178="Abierto",Registro!E178="Alta"),RANK(E179,$E$9:$E$1000,0)+COUNTIF($E$9:E179,E179)-1+MAX(C$5:C$1000),"")</f>
        <v/>
      </c>
      <c r="G179" s="45" t="str">
        <f>IF(AND(Registro!D178="Abierto",Registro!E178="Media"),Registro!B178,"")</f>
        <v/>
      </c>
      <c r="H179" s="45" t="str">
        <f ca="1">IF(AND(Registro!D178="Abierto",Registro!E178="Media"),TODAY()-Registro!R178,"")</f>
        <v/>
      </c>
      <c r="I179" s="45" t="str">
        <f>IF(AND(Registro!D178="Abierto",Registro!E178="Media"),RANK(H179,$H$9:$H$1000,0)+COUNTIF($H$9:H179,H179)-1+MAX(C$5:C$1000,F$5:F$1000),"")</f>
        <v/>
      </c>
      <c r="J179" s="45" t="str">
        <f>IF(AND(Registro!D178="Abierto",Registro!E178="Baja"),Registro!B178,"")</f>
        <v/>
      </c>
      <c r="K179" s="45" t="str">
        <f ca="1">IF(AND(Registro!D178="Abierto",Registro!E178="Baja"),TODAY()-Registro!R178,"")</f>
        <v/>
      </c>
      <c r="L179" s="45" t="str">
        <f>IF(AND(Registro!D178="Abierto",Registro!E178="Baja"),RANK(K179,$K$9:$K$1000,0)+COUNTIF($K$9:K179,K179)-1+MAX(C$5:C$1000,F$5:F$1000,I$5:I$1000),"")</f>
        <v/>
      </c>
      <c r="M179" s="46" t="str">
        <f>IF(OR(Registro!D178="Resuelto",Registro!D178=""),"",SUM(C179,F179,I179,L179))</f>
        <v/>
      </c>
      <c r="N179" s="46" t="str">
        <f>IF(OR(Registro!D178="Resuelto",Registro!D178=""),"",SUM(B179,E179,H179,K179))</f>
        <v/>
      </c>
      <c r="O179" s="46" t="str">
        <f>IF(OR(Registro!D178="Resuelto",Registro!D178=""),"",_xlfn.CONCAT(A179,D179,G179,J179))</f>
        <v/>
      </c>
      <c r="P179" s="47">
        <v>171</v>
      </c>
      <c r="Q179" s="47" t="str">
        <f t="shared" ca="1" si="6"/>
        <v/>
      </c>
      <c r="R179" s="48" t="str">
        <f t="shared" ca="1" si="7"/>
        <v/>
      </c>
      <c r="S179" s="32"/>
      <c r="T179" s="32"/>
      <c r="U179" s="32"/>
      <c r="V179" s="32"/>
      <c r="W179" s="47" t="str">
        <f>IF(X179="","",MAX($W$5:W178)+1)</f>
        <v/>
      </c>
      <c r="X179" s="50" t="str">
        <f>IF(Registro!M178="","",IF(COUNTIF($X$8:X178,Registro!M178)=0,Registro!M178,""))</f>
        <v/>
      </c>
      <c r="Y179" s="50" t="str">
        <f t="shared" si="8"/>
        <v/>
      </c>
    </row>
    <row r="180" spans="1:25">
      <c r="A180" s="45" t="str">
        <f>IF(AND(Registro!D179="Abierto",Registro!E179="Urgente"),Registro!B179,"")</f>
        <v/>
      </c>
      <c r="B180" s="45" t="str">
        <f ca="1">IF(AND(Registro!D179="Abierto",Registro!E179="Urgente"),TODAY()-Registro!R179,"")</f>
        <v/>
      </c>
      <c r="C180" s="45" t="str">
        <f>IF(AND(Registro!D179="Abierto",Registro!E179="Urgente"),RANK(B180,$B$9:$B$1000,0)+COUNTIF($B$9:B180,B180)-1,"")</f>
        <v/>
      </c>
      <c r="D180" s="45" t="str">
        <f>IF(AND(Registro!D179="Abierto",Registro!E179="Alta"),Registro!B179,"")</f>
        <v/>
      </c>
      <c r="E180" s="45" t="str">
        <f ca="1">IF(AND(Registro!D179="Abierto",Registro!E179="Alta"),TODAY()-Registro!R179,"")</f>
        <v/>
      </c>
      <c r="F180" s="45" t="str">
        <f>IF(AND(Registro!D179="Abierto",Registro!E179="Alta"),RANK(E180,$E$9:$E$1000,0)+COUNTIF($E$9:E180,E180)-1+MAX(C$5:C$1000),"")</f>
        <v/>
      </c>
      <c r="G180" s="45" t="str">
        <f>IF(AND(Registro!D179="Abierto",Registro!E179="Media"),Registro!B179,"")</f>
        <v/>
      </c>
      <c r="H180" s="45" t="str">
        <f ca="1">IF(AND(Registro!D179="Abierto",Registro!E179="Media"),TODAY()-Registro!R179,"")</f>
        <v/>
      </c>
      <c r="I180" s="45" t="str">
        <f>IF(AND(Registro!D179="Abierto",Registro!E179="Media"),RANK(H180,$H$9:$H$1000,0)+COUNTIF($H$9:H180,H180)-1+MAX(C$5:C$1000,F$5:F$1000),"")</f>
        <v/>
      </c>
      <c r="J180" s="45" t="str">
        <f>IF(AND(Registro!D179="Abierto",Registro!E179="Baja"),Registro!B179,"")</f>
        <v/>
      </c>
      <c r="K180" s="45" t="str">
        <f ca="1">IF(AND(Registro!D179="Abierto",Registro!E179="Baja"),TODAY()-Registro!R179,"")</f>
        <v/>
      </c>
      <c r="L180" s="45" t="str">
        <f>IF(AND(Registro!D179="Abierto",Registro!E179="Baja"),RANK(K180,$K$9:$K$1000,0)+COUNTIF($K$9:K180,K180)-1+MAX(C$5:C$1000,F$5:F$1000,I$5:I$1000),"")</f>
        <v/>
      </c>
      <c r="M180" s="46" t="str">
        <f>IF(OR(Registro!D179="Resuelto",Registro!D179=""),"",SUM(C180,F180,I180,L180))</f>
        <v/>
      </c>
      <c r="N180" s="46" t="str">
        <f>IF(OR(Registro!D179="Resuelto",Registro!D179=""),"",SUM(B180,E180,H180,K180))</f>
        <v/>
      </c>
      <c r="O180" s="46" t="str">
        <f>IF(OR(Registro!D179="Resuelto",Registro!D179=""),"",_xlfn.CONCAT(A180,D180,G180,J180))</f>
        <v/>
      </c>
      <c r="P180" s="47">
        <v>172</v>
      </c>
      <c r="Q180" s="47" t="str">
        <f t="shared" ca="1" si="6"/>
        <v/>
      </c>
      <c r="R180" s="48" t="str">
        <f t="shared" ca="1" si="7"/>
        <v/>
      </c>
      <c r="S180" s="32"/>
      <c r="T180" s="32"/>
      <c r="U180" s="32"/>
      <c r="V180" s="32"/>
      <c r="W180" s="47" t="str">
        <f>IF(X180="","",MAX($W$5:W179)+1)</f>
        <v/>
      </c>
      <c r="X180" s="50" t="str">
        <f>IF(Registro!M179="","",IF(COUNTIF($X$8:X179,Registro!M179)=0,Registro!M179,""))</f>
        <v/>
      </c>
      <c r="Y180" s="50" t="str">
        <f t="shared" si="8"/>
        <v/>
      </c>
    </row>
    <row r="181" spans="1:25">
      <c r="A181" s="45" t="str">
        <f>IF(AND(Registro!D180="Abierto",Registro!E180="Urgente"),Registro!B180,"")</f>
        <v/>
      </c>
      <c r="B181" s="45" t="str">
        <f ca="1">IF(AND(Registro!D180="Abierto",Registro!E180="Urgente"),TODAY()-Registro!R180,"")</f>
        <v/>
      </c>
      <c r="C181" s="45" t="str">
        <f>IF(AND(Registro!D180="Abierto",Registro!E180="Urgente"),RANK(B181,$B$9:$B$1000,0)+COUNTIF($B$9:B181,B181)-1,"")</f>
        <v/>
      </c>
      <c r="D181" s="45" t="str">
        <f>IF(AND(Registro!D180="Abierto",Registro!E180="Alta"),Registro!B180,"")</f>
        <v/>
      </c>
      <c r="E181" s="45" t="str">
        <f ca="1">IF(AND(Registro!D180="Abierto",Registro!E180="Alta"),TODAY()-Registro!R180,"")</f>
        <v/>
      </c>
      <c r="F181" s="45" t="str">
        <f>IF(AND(Registro!D180="Abierto",Registro!E180="Alta"),RANK(E181,$E$9:$E$1000,0)+COUNTIF($E$9:E181,E181)-1+MAX(C$5:C$1000),"")</f>
        <v/>
      </c>
      <c r="G181" s="45" t="str">
        <f>IF(AND(Registro!D180="Abierto",Registro!E180="Media"),Registro!B180,"")</f>
        <v/>
      </c>
      <c r="H181" s="45" t="str">
        <f ca="1">IF(AND(Registro!D180="Abierto",Registro!E180="Media"),TODAY()-Registro!R180,"")</f>
        <v/>
      </c>
      <c r="I181" s="45" t="str">
        <f>IF(AND(Registro!D180="Abierto",Registro!E180="Media"),RANK(H181,$H$9:$H$1000,0)+COUNTIF($H$9:H181,H181)-1+MAX(C$5:C$1000,F$5:F$1000),"")</f>
        <v/>
      </c>
      <c r="J181" s="45" t="str">
        <f>IF(AND(Registro!D180="Abierto",Registro!E180="Baja"),Registro!B180,"")</f>
        <v/>
      </c>
      <c r="K181" s="45" t="str">
        <f ca="1">IF(AND(Registro!D180="Abierto",Registro!E180="Baja"),TODAY()-Registro!R180,"")</f>
        <v/>
      </c>
      <c r="L181" s="45" t="str">
        <f>IF(AND(Registro!D180="Abierto",Registro!E180="Baja"),RANK(K181,$K$9:$K$1000,0)+COUNTIF($K$9:K181,K181)-1+MAX(C$5:C$1000,F$5:F$1000,I$5:I$1000),"")</f>
        <v/>
      </c>
      <c r="M181" s="46" t="str">
        <f>IF(OR(Registro!D180="Resuelto",Registro!D180=""),"",SUM(C181,F181,I181,L181))</f>
        <v/>
      </c>
      <c r="N181" s="46" t="str">
        <f>IF(OR(Registro!D180="Resuelto",Registro!D180=""),"",SUM(B181,E181,H181,K181))</f>
        <v/>
      </c>
      <c r="O181" s="46" t="str">
        <f>IF(OR(Registro!D180="Resuelto",Registro!D180=""),"",_xlfn.CONCAT(A181,D181,G181,J181))</f>
        <v/>
      </c>
      <c r="P181" s="47">
        <v>173</v>
      </c>
      <c r="Q181" s="47" t="str">
        <f t="shared" ca="1" si="6"/>
        <v/>
      </c>
      <c r="R181" s="48" t="str">
        <f t="shared" ca="1" si="7"/>
        <v/>
      </c>
      <c r="S181" s="32"/>
      <c r="T181" s="32"/>
      <c r="U181" s="32"/>
      <c r="V181" s="32"/>
      <c r="W181" s="47" t="str">
        <f>IF(X181="","",MAX($W$5:W180)+1)</f>
        <v/>
      </c>
      <c r="X181" s="50" t="str">
        <f>IF(Registro!M180="","",IF(COUNTIF($X$8:X180,Registro!M180)=0,Registro!M180,""))</f>
        <v/>
      </c>
      <c r="Y181" s="50" t="str">
        <f t="shared" si="8"/>
        <v/>
      </c>
    </row>
    <row r="182" spans="1:25">
      <c r="A182" s="45" t="str">
        <f>IF(AND(Registro!D181="Abierto",Registro!E181="Urgente"),Registro!B181,"")</f>
        <v/>
      </c>
      <c r="B182" s="45" t="str">
        <f ca="1">IF(AND(Registro!D181="Abierto",Registro!E181="Urgente"),TODAY()-Registro!R181,"")</f>
        <v/>
      </c>
      <c r="C182" s="45" t="str">
        <f>IF(AND(Registro!D181="Abierto",Registro!E181="Urgente"),RANK(B182,$B$9:$B$1000,0)+COUNTIF($B$9:B182,B182)-1,"")</f>
        <v/>
      </c>
      <c r="D182" s="45" t="str">
        <f>IF(AND(Registro!D181="Abierto",Registro!E181="Alta"),Registro!B181,"")</f>
        <v/>
      </c>
      <c r="E182" s="45" t="str">
        <f ca="1">IF(AND(Registro!D181="Abierto",Registro!E181="Alta"),TODAY()-Registro!R181,"")</f>
        <v/>
      </c>
      <c r="F182" s="45" t="str">
        <f>IF(AND(Registro!D181="Abierto",Registro!E181="Alta"),RANK(E182,$E$9:$E$1000,0)+COUNTIF($E$9:E182,E182)-1+MAX(C$5:C$1000),"")</f>
        <v/>
      </c>
      <c r="G182" s="45" t="str">
        <f>IF(AND(Registro!D181="Abierto",Registro!E181="Media"),Registro!B181,"")</f>
        <v/>
      </c>
      <c r="H182" s="45" t="str">
        <f ca="1">IF(AND(Registro!D181="Abierto",Registro!E181="Media"),TODAY()-Registro!R181,"")</f>
        <v/>
      </c>
      <c r="I182" s="45" t="str">
        <f>IF(AND(Registro!D181="Abierto",Registro!E181="Media"),RANK(H182,$H$9:$H$1000,0)+COUNTIF($H$9:H182,H182)-1+MAX(C$5:C$1000,F$5:F$1000),"")</f>
        <v/>
      </c>
      <c r="J182" s="45" t="str">
        <f>IF(AND(Registro!D181="Abierto",Registro!E181="Baja"),Registro!B181,"")</f>
        <v/>
      </c>
      <c r="K182" s="45" t="str">
        <f ca="1">IF(AND(Registro!D181="Abierto",Registro!E181="Baja"),TODAY()-Registro!R181,"")</f>
        <v/>
      </c>
      <c r="L182" s="45" t="str">
        <f>IF(AND(Registro!D181="Abierto",Registro!E181="Baja"),RANK(K182,$K$9:$K$1000,0)+COUNTIF($K$9:K182,K182)-1+MAX(C$5:C$1000,F$5:F$1000,I$5:I$1000),"")</f>
        <v/>
      </c>
      <c r="M182" s="46" t="str">
        <f>IF(OR(Registro!D181="Resuelto",Registro!D181=""),"",SUM(C182,F182,I182,L182))</f>
        <v/>
      </c>
      <c r="N182" s="46" t="str">
        <f>IF(OR(Registro!D181="Resuelto",Registro!D181=""),"",SUM(B182,E182,H182,K182))</f>
        <v/>
      </c>
      <c r="O182" s="46" t="str">
        <f>IF(OR(Registro!D181="Resuelto",Registro!D181=""),"",_xlfn.CONCAT(A182,D182,G182,J182))</f>
        <v/>
      </c>
      <c r="P182" s="47">
        <v>174</v>
      </c>
      <c r="Q182" s="47" t="str">
        <f t="shared" ca="1" si="6"/>
        <v/>
      </c>
      <c r="R182" s="48" t="str">
        <f t="shared" ca="1" si="7"/>
        <v/>
      </c>
      <c r="S182" s="32"/>
      <c r="T182" s="32"/>
      <c r="U182" s="32"/>
      <c r="V182" s="32"/>
      <c r="W182" s="47" t="str">
        <f>IF(X182="","",MAX($W$5:W181)+1)</f>
        <v/>
      </c>
      <c r="X182" s="50" t="str">
        <f>IF(Registro!M181="","",IF(COUNTIF($X$8:X181,Registro!M181)=0,Registro!M181,""))</f>
        <v/>
      </c>
      <c r="Y182" s="50" t="str">
        <f t="shared" si="8"/>
        <v/>
      </c>
    </row>
    <row r="183" spans="1:25">
      <c r="A183" s="45" t="str">
        <f>IF(AND(Registro!D182="Abierto",Registro!E182="Urgente"),Registro!B182,"")</f>
        <v/>
      </c>
      <c r="B183" s="45" t="str">
        <f ca="1">IF(AND(Registro!D182="Abierto",Registro!E182="Urgente"),TODAY()-Registro!R182,"")</f>
        <v/>
      </c>
      <c r="C183" s="45" t="str">
        <f>IF(AND(Registro!D182="Abierto",Registro!E182="Urgente"),RANK(B183,$B$9:$B$1000,0)+COUNTIF($B$9:B183,B183)-1,"")</f>
        <v/>
      </c>
      <c r="D183" s="45" t="str">
        <f>IF(AND(Registro!D182="Abierto",Registro!E182="Alta"),Registro!B182,"")</f>
        <v/>
      </c>
      <c r="E183" s="45" t="str">
        <f ca="1">IF(AND(Registro!D182="Abierto",Registro!E182="Alta"),TODAY()-Registro!R182,"")</f>
        <v/>
      </c>
      <c r="F183" s="45" t="str">
        <f>IF(AND(Registro!D182="Abierto",Registro!E182="Alta"),RANK(E183,$E$9:$E$1000,0)+COUNTIF($E$9:E183,E183)-1+MAX(C$5:C$1000),"")</f>
        <v/>
      </c>
      <c r="G183" s="45" t="str">
        <f>IF(AND(Registro!D182="Abierto",Registro!E182="Media"),Registro!B182,"")</f>
        <v/>
      </c>
      <c r="H183" s="45" t="str">
        <f ca="1">IF(AND(Registro!D182="Abierto",Registro!E182="Media"),TODAY()-Registro!R182,"")</f>
        <v/>
      </c>
      <c r="I183" s="45" t="str">
        <f>IF(AND(Registro!D182="Abierto",Registro!E182="Media"),RANK(H183,$H$9:$H$1000,0)+COUNTIF($H$9:H183,H183)-1+MAX(C$5:C$1000,F$5:F$1000),"")</f>
        <v/>
      </c>
      <c r="J183" s="45" t="str">
        <f>IF(AND(Registro!D182="Abierto",Registro!E182="Baja"),Registro!B182,"")</f>
        <v/>
      </c>
      <c r="K183" s="45" t="str">
        <f ca="1">IF(AND(Registro!D182="Abierto",Registro!E182="Baja"),TODAY()-Registro!R182,"")</f>
        <v/>
      </c>
      <c r="L183" s="45" t="str">
        <f>IF(AND(Registro!D182="Abierto",Registro!E182="Baja"),RANK(K183,$K$9:$K$1000,0)+COUNTIF($K$9:K183,K183)-1+MAX(C$5:C$1000,F$5:F$1000,I$5:I$1000),"")</f>
        <v/>
      </c>
      <c r="M183" s="46" t="str">
        <f>IF(OR(Registro!D182="Resuelto",Registro!D182=""),"",SUM(C183,F183,I183,L183))</f>
        <v/>
      </c>
      <c r="N183" s="46" t="str">
        <f>IF(OR(Registro!D182="Resuelto",Registro!D182=""),"",SUM(B183,E183,H183,K183))</f>
        <v/>
      </c>
      <c r="O183" s="46" t="str">
        <f>IF(OR(Registro!D182="Resuelto",Registro!D182=""),"",_xlfn.CONCAT(A183,D183,G183,J183))</f>
        <v/>
      </c>
      <c r="P183" s="47">
        <v>175</v>
      </c>
      <c r="Q183" s="47" t="str">
        <f t="shared" ca="1" si="6"/>
        <v/>
      </c>
      <c r="R183" s="48" t="str">
        <f t="shared" ca="1" si="7"/>
        <v/>
      </c>
      <c r="S183" s="32"/>
      <c r="T183" s="32"/>
      <c r="U183" s="32"/>
      <c r="V183" s="32"/>
      <c r="W183" s="47" t="str">
        <f>IF(X183="","",MAX($W$5:W182)+1)</f>
        <v/>
      </c>
      <c r="X183" s="50" t="str">
        <f>IF(Registro!M182="","",IF(COUNTIF($X$8:X182,Registro!M182)=0,Registro!M182,""))</f>
        <v/>
      </c>
      <c r="Y183" s="50" t="str">
        <f t="shared" si="8"/>
        <v/>
      </c>
    </row>
    <row r="184" spans="1:25">
      <c r="A184" s="45" t="str">
        <f>IF(AND(Registro!D183="Abierto",Registro!E183="Urgente"),Registro!B183,"")</f>
        <v/>
      </c>
      <c r="B184" s="45" t="str">
        <f ca="1">IF(AND(Registro!D183="Abierto",Registro!E183="Urgente"),TODAY()-Registro!R183,"")</f>
        <v/>
      </c>
      <c r="C184" s="45" t="str">
        <f>IF(AND(Registro!D183="Abierto",Registro!E183="Urgente"),RANK(B184,$B$9:$B$1000,0)+COUNTIF($B$9:B184,B184)-1,"")</f>
        <v/>
      </c>
      <c r="D184" s="45" t="str">
        <f>IF(AND(Registro!D183="Abierto",Registro!E183="Alta"),Registro!B183,"")</f>
        <v/>
      </c>
      <c r="E184" s="45" t="str">
        <f ca="1">IF(AND(Registro!D183="Abierto",Registro!E183="Alta"),TODAY()-Registro!R183,"")</f>
        <v/>
      </c>
      <c r="F184" s="45" t="str">
        <f>IF(AND(Registro!D183="Abierto",Registro!E183="Alta"),RANK(E184,$E$9:$E$1000,0)+COUNTIF($E$9:E184,E184)-1+MAX(C$5:C$1000),"")</f>
        <v/>
      </c>
      <c r="G184" s="45" t="str">
        <f>IF(AND(Registro!D183="Abierto",Registro!E183="Media"),Registro!B183,"")</f>
        <v/>
      </c>
      <c r="H184" s="45" t="str">
        <f ca="1">IF(AND(Registro!D183="Abierto",Registro!E183="Media"),TODAY()-Registro!R183,"")</f>
        <v/>
      </c>
      <c r="I184" s="45" t="str">
        <f>IF(AND(Registro!D183="Abierto",Registro!E183="Media"),RANK(H184,$H$9:$H$1000,0)+COUNTIF($H$9:H184,H184)-1+MAX(C$5:C$1000,F$5:F$1000),"")</f>
        <v/>
      </c>
      <c r="J184" s="45" t="str">
        <f>IF(AND(Registro!D183="Abierto",Registro!E183="Baja"),Registro!B183,"")</f>
        <v/>
      </c>
      <c r="K184" s="45" t="str">
        <f ca="1">IF(AND(Registro!D183="Abierto",Registro!E183="Baja"),TODAY()-Registro!R183,"")</f>
        <v/>
      </c>
      <c r="L184" s="45" t="str">
        <f>IF(AND(Registro!D183="Abierto",Registro!E183="Baja"),RANK(K184,$K$9:$K$1000,0)+COUNTIF($K$9:K184,K184)-1+MAX(C$5:C$1000,F$5:F$1000,I$5:I$1000),"")</f>
        <v/>
      </c>
      <c r="M184" s="46" t="str">
        <f>IF(OR(Registro!D183="Resuelto",Registro!D183=""),"",SUM(C184,F184,I184,L184))</f>
        <v/>
      </c>
      <c r="N184" s="46" t="str">
        <f>IF(OR(Registro!D183="Resuelto",Registro!D183=""),"",SUM(B184,E184,H184,K184))</f>
        <v/>
      </c>
      <c r="O184" s="46" t="str">
        <f>IF(OR(Registro!D183="Resuelto",Registro!D183=""),"",_xlfn.CONCAT(A184,D184,G184,J184))</f>
        <v/>
      </c>
      <c r="P184" s="47">
        <v>176</v>
      </c>
      <c r="Q184" s="47" t="str">
        <f t="shared" ca="1" si="6"/>
        <v/>
      </c>
      <c r="R184" s="48" t="str">
        <f t="shared" ca="1" si="7"/>
        <v/>
      </c>
      <c r="S184" s="32"/>
      <c r="T184" s="32"/>
      <c r="U184" s="32"/>
      <c r="V184" s="32"/>
      <c r="W184" s="47" t="str">
        <f>IF(X184="","",MAX($W$5:W183)+1)</f>
        <v/>
      </c>
      <c r="X184" s="50" t="str">
        <f>IF(Registro!M183="","",IF(COUNTIF($X$8:X183,Registro!M183)=0,Registro!M183,""))</f>
        <v/>
      </c>
      <c r="Y184" s="50" t="str">
        <f t="shared" si="8"/>
        <v/>
      </c>
    </row>
    <row r="185" spans="1:25">
      <c r="A185" s="45" t="str">
        <f>IF(AND(Registro!D184="Abierto",Registro!E184="Urgente"),Registro!B184,"")</f>
        <v/>
      </c>
      <c r="B185" s="45" t="str">
        <f ca="1">IF(AND(Registro!D184="Abierto",Registro!E184="Urgente"),TODAY()-Registro!R184,"")</f>
        <v/>
      </c>
      <c r="C185" s="45" t="str">
        <f>IF(AND(Registro!D184="Abierto",Registro!E184="Urgente"),RANK(B185,$B$9:$B$1000,0)+COUNTIF($B$9:B185,B185)-1,"")</f>
        <v/>
      </c>
      <c r="D185" s="45" t="str">
        <f>IF(AND(Registro!D184="Abierto",Registro!E184="Alta"),Registro!B184,"")</f>
        <v/>
      </c>
      <c r="E185" s="45" t="str">
        <f ca="1">IF(AND(Registro!D184="Abierto",Registro!E184="Alta"),TODAY()-Registro!R184,"")</f>
        <v/>
      </c>
      <c r="F185" s="45" t="str">
        <f>IF(AND(Registro!D184="Abierto",Registro!E184="Alta"),RANK(E185,$E$9:$E$1000,0)+COUNTIF($E$9:E185,E185)-1+MAX(C$5:C$1000),"")</f>
        <v/>
      </c>
      <c r="G185" s="45" t="str">
        <f>IF(AND(Registro!D184="Abierto",Registro!E184="Media"),Registro!B184,"")</f>
        <v/>
      </c>
      <c r="H185" s="45" t="str">
        <f ca="1">IF(AND(Registro!D184="Abierto",Registro!E184="Media"),TODAY()-Registro!R184,"")</f>
        <v/>
      </c>
      <c r="I185" s="45" t="str">
        <f>IF(AND(Registro!D184="Abierto",Registro!E184="Media"),RANK(H185,$H$9:$H$1000,0)+COUNTIF($H$9:H185,H185)-1+MAX(C$5:C$1000,F$5:F$1000),"")</f>
        <v/>
      </c>
      <c r="J185" s="45" t="str">
        <f>IF(AND(Registro!D184="Abierto",Registro!E184="Baja"),Registro!B184,"")</f>
        <v/>
      </c>
      <c r="K185" s="45" t="str">
        <f ca="1">IF(AND(Registro!D184="Abierto",Registro!E184="Baja"),TODAY()-Registro!R184,"")</f>
        <v/>
      </c>
      <c r="L185" s="45" t="str">
        <f>IF(AND(Registro!D184="Abierto",Registro!E184="Baja"),RANK(K185,$K$9:$K$1000,0)+COUNTIF($K$9:K185,K185)-1+MAX(C$5:C$1000,F$5:F$1000,I$5:I$1000),"")</f>
        <v/>
      </c>
      <c r="M185" s="46" t="str">
        <f>IF(OR(Registro!D184="Resuelto",Registro!D184=""),"",SUM(C185,F185,I185,L185))</f>
        <v/>
      </c>
      <c r="N185" s="46" t="str">
        <f>IF(OR(Registro!D184="Resuelto",Registro!D184=""),"",SUM(B185,E185,H185,K185))</f>
        <v/>
      </c>
      <c r="O185" s="46" t="str">
        <f>IF(OR(Registro!D184="Resuelto",Registro!D184=""),"",_xlfn.CONCAT(A185,D185,G185,J185))</f>
        <v/>
      </c>
      <c r="P185" s="47">
        <v>177</v>
      </c>
      <c r="Q185" s="47" t="str">
        <f t="shared" ca="1" si="6"/>
        <v/>
      </c>
      <c r="R185" s="48" t="str">
        <f t="shared" ca="1" si="7"/>
        <v/>
      </c>
      <c r="S185" s="32"/>
      <c r="T185" s="32"/>
      <c r="U185" s="32"/>
      <c r="V185" s="32"/>
      <c r="W185" s="47" t="str">
        <f>IF(X185="","",MAX($W$5:W184)+1)</f>
        <v/>
      </c>
      <c r="X185" s="50" t="str">
        <f>IF(Registro!M184="","",IF(COUNTIF($X$8:X184,Registro!M184)=0,Registro!M184,""))</f>
        <v/>
      </c>
      <c r="Y185" s="50" t="str">
        <f t="shared" si="8"/>
        <v/>
      </c>
    </row>
    <row r="186" spans="1:25">
      <c r="A186" s="45" t="str">
        <f>IF(AND(Registro!D185="Abierto",Registro!E185="Urgente"),Registro!B185,"")</f>
        <v/>
      </c>
      <c r="B186" s="45" t="str">
        <f ca="1">IF(AND(Registro!D185="Abierto",Registro!E185="Urgente"),TODAY()-Registro!R185,"")</f>
        <v/>
      </c>
      <c r="C186" s="45" t="str">
        <f>IF(AND(Registro!D185="Abierto",Registro!E185="Urgente"),RANK(B186,$B$9:$B$1000,0)+COUNTIF($B$9:B186,B186)-1,"")</f>
        <v/>
      </c>
      <c r="D186" s="45" t="str">
        <f>IF(AND(Registro!D185="Abierto",Registro!E185="Alta"),Registro!B185,"")</f>
        <v/>
      </c>
      <c r="E186" s="45" t="str">
        <f ca="1">IF(AND(Registro!D185="Abierto",Registro!E185="Alta"),TODAY()-Registro!R185,"")</f>
        <v/>
      </c>
      <c r="F186" s="45" t="str">
        <f>IF(AND(Registro!D185="Abierto",Registro!E185="Alta"),RANK(E186,$E$9:$E$1000,0)+COUNTIF($E$9:E186,E186)-1+MAX(C$5:C$1000),"")</f>
        <v/>
      </c>
      <c r="G186" s="45" t="str">
        <f>IF(AND(Registro!D185="Abierto",Registro!E185="Media"),Registro!B185,"")</f>
        <v/>
      </c>
      <c r="H186" s="45" t="str">
        <f ca="1">IF(AND(Registro!D185="Abierto",Registro!E185="Media"),TODAY()-Registro!R185,"")</f>
        <v/>
      </c>
      <c r="I186" s="45" t="str">
        <f>IF(AND(Registro!D185="Abierto",Registro!E185="Media"),RANK(H186,$H$9:$H$1000,0)+COUNTIF($H$9:H186,H186)-1+MAX(C$5:C$1000,F$5:F$1000),"")</f>
        <v/>
      </c>
      <c r="J186" s="45" t="str">
        <f>IF(AND(Registro!D185="Abierto",Registro!E185="Baja"),Registro!B185,"")</f>
        <v/>
      </c>
      <c r="K186" s="45" t="str">
        <f ca="1">IF(AND(Registro!D185="Abierto",Registro!E185="Baja"),TODAY()-Registro!R185,"")</f>
        <v/>
      </c>
      <c r="L186" s="45" t="str">
        <f>IF(AND(Registro!D185="Abierto",Registro!E185="Baja"),RANK(K186,$K$9:$K$1000,0)+COUNTIF($K$9:K186,K186)-1+MAX(C$5:C$1000,F$5:F$1000,I$5:I$1000),"")</f>
        <v/>
      </c>
      <c r="M186" s="46" t="str">
        <f>IF(OR(Registro!D185="Resuelto",Registro!D185=""),"",SUM(C186,F186,I186,L186))</f>
        <v/>
      </c>
      <c r="N186" s="46" t="str">
        <f>IF(OR(Registro!D185="Resuelto",Registro!D185=""),"",SUM(B186,E186,H186,K186))</f>
        <v/>
      </c>
      <c r="O186" s="46" t="str">
        <f>IF(OR(Registro!D185="Resuelto",Registro!D185=""),"",_xlfn.CONCAT(A186,D186,G186,J186))</f>
        <v/>
      </c>
      <c r="P186" s="47">
        <v>178</v>
      </c>
      <c r="Q186" s="47" t="str">
        <f t="shared" ca="1" si="6"/>
        <v/>
      </c>
      <c r="R186" s="48" t="str">
        <f t="shared" ca="1" si="7"/>
        <v/>
      </c>
      <c r="S186" s="32"/>
      <c r="T186" s="32"/>
      <c r="U186" s="32"/>
      <c r="V186" s="32"/>
      <c r="W186" s="47" t="str">
        <f>IF(X186="","",MAX($W$5:W185)+1)</f>
        <v/>
      </c>
      <c r="X186" s="50" t="str">
        <f>IF(Registro!M185="","",IF(COUNTIF($X$8:X185,Registro!M185)=0,Registro!M185,""))</f>
        <v/>
      </c>
      <c r="Y186" s="50" t="str">
        <f t="shared" si="8"/>
        <v/>
      </c>
    </row>
    <row r="187" spans="1:25">
      <c r="A187" s="45" t="str">
        <f>IF(AND(Registro!D186="Abierto",Registro!E186="Urgente"),Registro!B186,"")</f>
        <v/>
      </c>
      <c r="B187" s="45" t="str">
        <f ca="1">IF(AND(Registro!D186="Abierto",Registro!E186="Urgente"),TODAY()-Registro!R186,"")</f>
        <v/>
      </c>
      <c r="C187" s="45" t="str">
        <f>IF(AND(Registro!D186="Abierto",Registro!E186="Urgente"),RANK(B187,$B$9:$B$1000,0)+COUNTIF($B$9:B187,B187)-1,"")</f>
        <v/>
      </c>
      <c r="D187" s="45" t="str">
        <f>IF(AND(Registro!D186="Abierto",Registro!E186="Alta"),Registro!B186,"")</f>
        <v/>
      </c>
      <c r="E187" s="45" t="str">
        <f ca="1">IF(AND(Registro!D186="Abierto",Registro!E186="Alta"),TODAY()-Registro!R186,"")</f>
        <v/>
      </c>
      <c r="F187" s="45" t="str">
        <f>IF(AND(Registro!D186="Abierto",Registro!E186="Alta"),RANK(E187,$E$9:$E$1000,0)+COUNTIF($E$9:E187,E187)-1+MAX(C$5:C$1000),"")</f>
        <v/>
      </c>
      <c r="G187" s="45" t="str">
        <f>IF(AND(Registro!D186="Abierto",Registro!E186="Media"),Registro!B186,"")</f>
        <v/>
      </c>
      <c r="H187" s="45" t="str">
        <f ca="1">IF(AND(Registro!D186="Abierto",Registro!E186="Media"),TODAY()-Registro!R186,"")</f>
        <v/>
      </c>
      <c r="I187" s="45" t="str">
        <f>IF(AND(Registro!D186="Abierto",Registro!E186="Media"),RANK(H187,$H$9:$H$1000,0)+COUNTIF($H$9:H187,H187)-1+MAX(C$5:C$1000,F$5:F$1000),"")</f>
        <v/>
      </c>
      <c r="J187" s="45" t="str">
        <f>IF(AND(Registro!D186="Abierto",Registro!E186="Baja"),Registro!B186,"")</f>
        <v/>
      </c>
      <c r="K187" s="45" t="str">
        <f ca="1">IF(AND(Registro!D186="Abierto",Registro!E186="Baja"),TODAY()-Registro!R186,"")</f>
        <v/>
      </c>
      <c r="L187" s="45" t="str">
        <f>IF(AND(Registro!D186="Abierto",Registro!E186="Baja"),RANK(K187,$K$9:$K$1000,0)+COUNTIF($K$9:K187,K187)-1+MAX(C$5:C$1000,F$5:F$1000,I$5:I$1000),"")</f>
        <v/>
      </c>
      <c r="M187" s="46" t="str">
        <f>IF(OR(Registro!D186="Resuelto",Registro!D186=""),"",SUM(C187,F187,I187,L187))</f>
        <v/>
      </c>
      <c r="N187" s="46" t="str">
        <f>IF(OR(Registro!D186="Resuelto",Registro!D186=""),"",SUM(B187,E187,H187,K187))</f>
        <v/>
      </c>
      <c r="O187" s="46" t="str">
        <f>IF(OR(Registro!D186="Resuelto",Registro!D186=""),"",_xlfn.CONCAT(A187,D187,G187,J187))</f>
        <v/>
      </c>
      <c r="P187" s="47">
        <v>179</v>
      </c>
      <c r="Q187" s="47" t="str">
        <f t="shared" ca="1" si="6"/>
        <v/>
      </c>
      <c r="R187" s="48" t="str">
        <f t="shared" ca="1" si="7"/>
        <v/>
      </c>
      <c r="S187" s="32"/>
      <c r="T187" s="32"/>
      <c r="U187" s="32"/>
      <c r="V187" s="32"/>
      <c r="W187" s="47" t="str">
        <f>IF(X187="","",MAX($W$5:W186)+1)</f>
        <v/>
      </c>
      <c r="X187" s="50" t="str">
        <f>IF(Registro!M186="","",IF(COUNTIF($X$8:X186,Registro!M186)=0,Registro!M186,""))</f>
        <v/>
      </c>
      <c r="Y187" s="50" t="str">
        <f t="shared" si="8"/>
        <v/>
      </c>
    </row>
    <row r="188" spans="1:25">
      <c r="A188" s="45" t="str">
        <f>IF(AND(Registro!D187="Abierto",Registro!E187="Urgente"),Registro!B187,"")</f>
        <v/>
      </c>
      <c r="B188" s="45" t="str">
        <f ca="1">IF(AND(Registro!D187="Abierto",Registro!E187="Urgente"),TODAY()-Registro!R187,"")</f>
        <v/>
      </c>
      <c r="C188" s="45" t="str">
        <f>IF(AND(Registro!D187="Abierto",Registro!E187="Urgente"),RANK(B188,$B$9:$B$1000,0)+COUNTIF($B$9:B188,B188)-1,"")</f>
        <v/>
      </c>
      <c r="D188" s="45" t="str">
        <f>IF(AND(Registro!D187="Abierto",Registro!E187="Alta"),Registro!B187,"")</f>
        <v/>
      </c>
      <c r="E188" s="45" t="str">
        <f ca="1">IF(AND(Registro!D187="Abierto",Registro!E187="Alta"),TODAY()-Registro!R187,"")</f>
        <v/>
      </c>
      <c r="F188" s="45" t="str">
        <f>IF(AND(Registro!D187="Abierto",Registro!E187="Alta"),RANK(E188,$E$9:$E$1000,0)+COUNTIF($E$9:E188,E188)-1+MAX(C$5:C$1000),"")</f>
        <v/>
      </c>
      <c r="G188" s="45" t="str">
        <f>IF(AND(Registro!D187="Abierto",Registro!E187="Media"),Registro!B187,"")</f>
        <v/>
      </c>
      <c r="H188" s="45" t="str">
        <f ca="1">IF(AND(Registro!D187="Abierto",Registro!E187="Media"),TODAY()-Registro!R187,"")</f>
        <v/>
      </c>
      <c r="I188" s="45" t="str">
        <f>IF(AND(Registro!D187="Abierto",Registro!E187="Media"),RANK(H188,$H$9:$H$1000,0)+COUNTIF($H$9:H188,H188)-1+MAX(C$5:C$1000,F$5:F$1000),"")</f>
        <v/>
      </c>
      <c r="J188" s="45" t="str">
        <f>IF(AND(Registro!D187="Abierto",Registro!E187="Baja"),Registro!B187,"")</f>
        <v/>
      </c>
      <c r="K188" s="45" t="str">
        <f ca="1">IF(AND(Registro!D187="Abierto",Registro!E187="Baja"),TODAY()-Registro!R187,"")</f>
        <v/>
      </c>
      <c r="L188" s="45" t="str">
        <f>IF(AND(Registro!D187="Abierto",Registro!E187="Baja"),RANK(K188,$K$9:$K$1000,0)+COUNTIF($K$9:K188,K188)-1+MAX(C$5:C$1000,F$5:F$1000,I$5:I$1000),"")</f>
        <v/>
      </c>
      <c r="M188" s="46" t="str">
        <f>IF(OR(Registro!D187="Resuelto",Registro!D187=""),"",SUM(C188,F188,I188,L188))</f>
        <v/>
      </c>
      <c r="N188" s="46" t="str">
        <f>IF(OR(Registro!D187="Resuelto",Registro!D187=""),"",SUM(B188,E188,H188,K188))</f>
        <v/>
      </c>
      <c r="O188" s="46" t="str">
        <f>IF(OR(Registro!D187="Resuelto",Registro!D187=""),"",_xlfn.CONCAT(A188,D188,G188,J188))</f>
        <v/>
      </c>
      <c r="P188" s="47">
        <v>180</v>
      </c>
      <c r="Q188" s="47" t="str">
        <f t="shared" ca="1" si="6"/>
        <v/>
      </c>
      <c r="R188" s="48" t="str">
        <f t="shared" ca="1" si="7"/>
        <v/>
      </c>
      <c r="S188" s="32"/>
      <c r="T188" s="32"/>
      <c r="U188" s="32"/>
      <c r="V188" s="32"/>
      <c r="W188" s="47" t="str">
        <f>IF(X188="","",MAX($W$5:W187)+1)</f>
        <v/>
      </c>
      <c r="X188" s="50" t="str">
        <f>IF(Registro!M187="","",IF(COUNTIF($X$8:X187,Registro!M187)=0,Registro!M187,""))</f>
        <v/>
      </c>
      <c r="Y188" s="50" t="str">
        <f t="shared" si="8"/>
        <v/>
      </c>
    </row>
    <row r="189" spans="1:25">
      <c r="A189" s="45" t="str">
        <f>IF(AND(Registro!D188="Abierto",Registro!E188="Urgente"),Registro!B188,"")</f>
        <v/>
      </c>
      <c r="B189" s="45" t="str">
        <f ca="1">IF(AND(Registro!D188="Abierto",Registro!E188="Urgente"),TODAY()-Registro!R188,"")</f>
        <v/>
      </c>
      <c r="C189" s="45" t="str">
        <f>IF(AND(Registro!D188="Abierto",Registro!E188="Urgente"),RANK(B189,$B$9:$B$1000,0)+COUNTIF($B$9:B189,B189)-1,"")</f>
        <v/>
      </c>
      <c r="D189" s="45" t="str">
        <f>IF(AND(Registro!D188="Abierto",Registro!E188="Alta"),Registro!B188,"")</f>
        <v/>
      </c>
      <c r="E189" s="45" t="str">
        <f ca="1">IF(AND(Registro!D188="Abierto",Registro!E188="Alta"),TODAY()-Registro!R188,"")</f>
        <v/>
      </c>
      <c r="F189" s="45" t="str">
        <f>IF(AND(Registro!D188="Abierto",Registro!E188="Alta"),RANK(E189,$E$9:$E$1000,0)+COUNTIF($E$9:E189,E189)-1+MAX(C$5:C$1000),"")</f>
        <v/>
      </c>
      <c r="G189" s="45" t="str">
        <f>IF(AND(Registro!D188="Abierto",Registro!E188="Media"),Registro!B188,"")</f>
        <v/>
      </c>
      <c r="H189" s="45" t="str">
        <f ca="1">IF(AND(Registro!D188="Abierto",Registro!E188="Media"),TODAY()-Registro!R188,"")</f>
        <v/>
      </c>
      <c r="I189" s="45" t="str">
        <f>IF(AND(Registro!D188="Abierto",Registro!E188="Media"),RANK(H189,$H$9:$H$1000,0)+COUNTIF($H$9:H189,H189)-1+MAX(C$5:C$1000,F$5:F$1000),"")</f>
        <v/>
      </c>
      <c r="J189" s="45" t="str">
        <f>IF(AND(Registro!D188="Abierto",Registro!E188="Baja"),Registro!B188,"")</f>
        <v/>
      </c>
      <c r="K189" s="45" t="str">
        <f ca="1">IF(AND(Registro!D188="Abierto",Registro!E188="Baja"),TODAY()-Registro!R188,"")</f>
        <v/>
      </c>
      <c r="L189" s="45" t="str">
        <f>IF(AND(Registro!D188="Abierto",Registro!E188="Baja"),RANK(K189,$K$9:$K$1000,0)+COUNTIF($K$9:K189,K189)-1+MAX(C$5:C$1000,F$5:F$1000,I$5:I$1000),"")</f>
        <v/>
      </c>
      <c r="M189" s="46" t="str">
        <f>IF(OR(Registro!D188="Resuelto",Registro!D188=""),"",SUM(C189,F189,I189,L189))</f>
        <v/>
      </c>
      <c r="N189" s="46" t="str">
        <f>IF(OR(Registro!D188="Resuelto",Registro!D188=""),"",SUM(B189,E189,H189,K189))</f>
        <v/>
      </c>
      <c r="O189" s="46" t="str">
        <f>IF(OR(Registro!D188="Resuelto",Registro!D188=""),"",_xlfn.CONCAT(A189,D189,G189,J189))</f>
        <v/>
      </c>
      <c r="P189" s="47">
        <v>181</v>
      </c>
      <c r="Q189" s="47" t="str">
        <f t="shared" ca="1" si="6"/>
        <v/>
      </c>
      <c r="R189" s="48" t="str">
        <f t="shared" ca="1" si="7"/>
        <v/>
      </c>
      <c r="S189" s="32"/>
      <c r="T189" s="32"/>
      <c r="U189" s="32"/>
      <c r="V189" s="32"/>
      <c r="W189" s="47" t="str">
        <f>IF(X189="","",MAX($W$5:W188)+1)</f>
        <v/>
      </c>
      <c r="X189" s="50" t="str">
        <f>IF(Registro!M188="","",IF(COUNTIF($X$8:X188,Registro!M188)=0,Registro!M188,""))</f>
        <v/>
      </c>
      <c r="Y189" s="50" t="str">
        <f t="shared" si="8"/>
        <v/>
      </c>
    </row>
    <row r="190" spans="1:25">
      <c r="A190" s="45" t="str">
        <f>IF(AND(Registro!D189="Abierto",Registro!E189="Urgente"),Registro!B189,"")</f>
        <v/>
      </c>
      <c r="B190" s="45" t="str">
        <f ca="1">IF(AND(Registro!D189="Abierto",Registro!E189="Urgente"),TODAY()-Registro!R189,"")</f>
        <v/>
      </c>
      <c r="C190" s="45" t="str">
        <f>IF(AND(Registro!D189="Abierto",Registro!E189="Urgente"),RANK(B190,$B$9:$B$1000,0)+COUNTIF($B$9:B190,B190)-1,"")</f>
        <v/>
      </c>
      <c r="D190" s="45" t="str">
        <f>IF(AND(Registro!D189="Abierto",Registro!E189="Alta"),Registro!B189,"")</f>
        <v/>
      </c>
      <c r="E190" s="45" t="str">
        <f ca="1">IF(AND(Registro!D189="Abierto",Registro!E189="Alta"),TODAY()-Registro!R189,"")</f>
        <v/>
      </c>
      <c r="F190" s="45" t="str">
        <f>IF(AND(Registro!D189="Abierto",Registro!E189="Alta"),RANK(E190,$E$9:$E$1000,0)+COUNTIF($E$9:E190,E190)-1+MAX(C$5:C$1000),"")</f>
        <v/>
      </c>
      <c r="G190" s="45" t="str">
        <f>IF(AND(Registro!D189="Abierto",Registro!E189="Media"),Registro!B189,"")</f>
        <v/>
      </c>
      <c r="H190" s="45" t="str">
        <f ca="1">IF(AND(Registro!D189="Abierto",Registro!E189="Media"),TODAY()-Registro!R189,"")</f>
        <v/>
      </c>
      <c r="I190" s="45" t="str">
        <f>IF(AND(Registro!D189="Abierto",Registro!E189="Media"),RANK(H190,$H$9:$H$1000,0)+COUNTIF($H$9:H190,H190)-1+MAX(C$5:C$1000,F$5:F$1000),"")</f>
        <v/>
      </c>
      <c r="J190" s="45" t="str">
        <f>IF(AND(Registro!D189="Abierto",Registro!E189="Baja"),Registro!B189,"")</f>
        <v/>
      </c>
      <c r="K190" s="45" t="str">
        <f ca="1">IF(AND(Registro!D189="Abierto",Registro!E189="Baja"),TODAY()-Registro!R189,"")</f>
        <v/>
      </c>
      <c r="L190" s="45" t="str">
        <f>IF(AND(Registro!D189="Abierto",Registro!E189="Baja"),RANK(K190,$K$9:$K$1000,0)+COUNTIF($K$9:K190,K190)-1+MAX(C$5:C$1000,F$5:F$1000,I$5:I$1000),"")</f>
        <v/>
      </c>
      <c r="M190" s="46" t="str">
        <f>IF(OR(Registro!D189="Resuelto",Registro!D189=""),"",SUM(C190,F190,I190,L190))</f>
        <v/>
      </c>
      <c r="N190" s="46" t="str">
        <f>IF(OR(Registro!D189="Resuelto",Registro!D189=""),"",SUM(B190,E190,H190,K190))</f>
        <v/>
      </c>
      <c r="O190" s="46" t="str">
        <f>IF(OR(Registro!D189="Resuelto",Registro!D189=""),"",_xlfn.CONCAT(A190,D190,G190,J190))</f>
        <v/>
      </c>
      <c r="P190" s="47">
        <v>182</v>
      </c>
      <c r="Q190" s="47" t="str">
        <f t="shared" ca="1" si="6"/>
        <v/>
      </c>
      <c r="R190" s="48" t="str">
        <f t="shared" ca="1" si="7"/>
        <v/>
      </c>
      <c r="S190" s="32"/>
      <c r="T190" s="32"/>
      <c r="U190" s="32"/>
      <c r="V190" s="32"/>
      <c r="W190" s="47" t="str">
        <f>IF(X190="","",MAX($W$5:W189)+1)</f>
        <v/>
      </c>
      <c r="X190" s="50" t="str">
        <f>IF(Registro!M189="","",IF(COUNTIF($X$8:X189,Registro!M189)=0,Registro!M189,""))</f>
        <v/>
      </c>
      <c r="Y190" s="50" t="str">
        <f t="shared" si="8"/>
        <v/>
      </c>
    </row>
    <row r="191" spans="1:25">
      <c r="A191" s="45" t="str">
        <f>IF(AND(Registro!D190="Abierto",Registro!E190="Urgente"),Registro!B190,"")</f>
        <v/>
      </c>
      <c r="B191" s="45" t="str">
        <f ca="1">IF(AND(Registro!D190="Abierto",Registro!E190="Urgente"),TODAY()-Registro!R190,"")</f>
        <v/>
      </c>
      <c r="C191" s="45" t="str">
        <f>IF(AND(Registro!D190="Abierto",Registro!E190="Urgente"),RANK(B191,$B$9:$B$1000,0)+COUNTIF($B$9:B191,B191)-1,"")</f>
        <v/>
      </c>
      <c r="D191" s="45" t="str">
        <f>IF(AND(Registro!D190="Abierto",Registro!E190="Alta"),Registro!B190,"")</f>
        <v/>
      </c>
      <c r="E191" s="45" t="str">
        <f ca="1">IF(AND(Registro!D190="Abierto",Registro!E190="Alta"),TODAY()-Registro!R190,"")</f>
        <v/>
      </c>
      <c r="F191" s="45" t="str">
        <f>IF(AND(Registro!D190="Abierto",Registro!E190="Alta"),RANK(E191,$E$9:$E$1000,0)+COUNTIF($E$9:E191,E191)-1+MAX(C$5:C$1000),"")</f>
        <v/>
      </c>
      <c r="G191" s="45" t="str">
        <f>IF(AND(Registro!D190="Abierto",Registro!E190="Media"),Registro!B190,"")</f>
        <v/>
      </c>
      <c r="H191" s="45" t="str">
        <f ca="1">IF(AND(Registro!D190="Abierto",Registro!E190="Media"),TODAY()-Registro!R190,"")</f>
        <v/>
      </c>
      <c r="I191" s="45" t="str">
        <f>IF(AND(Registro!D190="Abierto",Registro!E190="Media"),RANK(H191,$H$9:$H$1000,0)+COUNTIF($H$9:H191,H191)-1+MAX(C$5:C$1000,F$5:F$1000),"")</f>
        <v/>
      </c>
      <c r="J191" s="45" t="str">
        <f>IF(AND(Registro!D190="Abierto",Registro!E190="Baja"),Registro!B190,"")</f>
        <v/>
      </c>
      <c r="K191" s="45" t="str">
        <f ca="1">IF(AND(Registro!D190="Abierto",Registro!E190="Baja"),TODAY()-Registro!R190,"")</f>
        <v/>
      </c>
      <c r="L191" s="45" t="str">
        <f>IF(AND(Registro!D190="Abierto",Registro!E190="Baja"),RANK(K191,$K$9:$K$1000,0)+COUNTIF($K$9:K191,K191)-1+MAX(C$5:C$1000,F$5:F$1000,I$5:I$1000),"")</f>
        <v/>
      </c>
      <c r="M191" s="46" t="str">
        <f>IF(OR(Registro!D190="Resuelto",Registro!D190=""),"",SUM(C191,F191,I191,L191))</f>
        <v/>
      </c>
      <c r="N191" s="46" t="str">
        <f>IF(OR(Registro!D190="Resuelto",Registro!D190=""),"",SUM(B191,E191,H191,K191))</f>
        <v/>
      </c>
      <c r="O191" s="46" t="str">
        <f>IF(OR(Registro!D190="Resuelto",Registro!D190=""),"",_xlfn.CONCAT(A191,D191,G191,J191))</f>
        <v/>
      </c>
      <c r="P191" s="47">
        <v>183</v>
      </c>
      <c r="Q191" s="47" t="str">
        <f t="shared" ca="1" si="6"/>
        <v/>
      </c>
      <c r="R191" s="48" t="str">
        <f t="shared" ca="1" si="7"/>
        <v/>
      </c>
      <c r="S191" s="32"/>
      <c r="T191" s="32"/>
      <c r="U191" s="32"/>
      <c r="V191" s="32"/>
      <c r="W191" s="47" t="str">
        <f>IF(X191="","",MAX($W$5:W190)+1)</f>
        <v/>
      </c>
      <c r="X191" s="50" t="str">
        <f>IF(Registro!M190="","",IF(COUNTIF($X$8:X190,Registro!M190)=0,Registro!M190,""))</f>
        <v/>
      </c>
      <c r="Y191" s="50" t="str">
        <f t="shared" si="8"/>
        <v/>
      </c>
    </row>
    <row r="192" spans="1:25">
      <c r="A192" s="45" t="str">
        <f>IF(AND(Registro!D191="Abierto",Registro!E191="Urgente"),Registro!B191,"")</f>
        <v/>
      </c>
      <c r="B192" s="45" t="str">
        <f ca="1">IF(AND(Registro!D191="Abierto",Registro!E191="Urgente"),TODAY()-Registro!R191,"")</f>
        <v/>
      </c>
      <c r="C192" s="45" t="str">
        <f>IF(AND(Registro!D191="Abierto",Registro!E191="Urgente"),RANK(B192,$B$9:$B$1000,0)+COUNTIF($B$9:B192,B192)-1,"")</f>
        <v/>
      </c>
      <c r="D192" s="45" t="str">
        <f>IF(AND(Registro!D191="Abierto",Registro!E191="Alta"),Registro!B191,"")</f>
        <v/>
      </c>
      <c r="E192" s="45" t="str">
        <f ca="1">IF(AND(Registro!D191="Abierto",Registro!E191="Alta"),TODAY()-Registro!R191,"")</f>
        <v/>
      </c>
      <c r="F192" s="45" t="str">
        <f>IF(AND(Registro!D191="Abierto",Registro!E191="Alta"),RANK(E192,$E$9:$E$1000,0)+COUNTIF($E$9:E192,E192)-1+MAX(C$5:C$1000),"")</f>
        <v/>
      </c>
      <c r="G192" s="45" t="str">
        <f>IF(AND(Registro!D191="Abierto",Registro!E191="Media"),Registro!B191,"")</f>
        <v/>
      </c>
      <c r="H192" s="45" t="str">
        <f ca="1">IF(AND(Registro!D191="Abierto",Registro!E191="Media"),TODAY()-Registro!R191,"")</f>
        <v/>
      </c>
      <c r="I192" s="45" t="str">
        <f>IF(AND(Registro!D191="Abierto",Registro!E191="Media"),RANK(H192,$H$9:$H$1000,0)+COUNTIF($H$9:H192,H192)-1+MAX(C$5:C$1000,F$5:F$1000),"")</f>
        <v/>
      </c>
      <c r="J192" s="45" t="str">
        <f>IF(AND(Registro!D191="Abierto",Registro!E191="Baja"),Registro!B191,"")</f>
        <v/>
      </c>
      <c r="K192" s="45" t="str">
        <f ca="1">IF(AND(Registro!D191="Abierto",Registro!E191="Baja"),TODAY()-Registro!R191,"")</f>
        <v/>
      </c>
      <c r="L192" s="45" t="str">
        <f>IF(AND(Registro!D191="Abierto",Registro!E191="Baja"),RANK(K192,$K$9:$K$1000,0)+COUNTIF($K$9:K192,K192)-1+MAX(C$5:C$1000,F$5:F$1000,I$5:I$1000),"")</f>
        <v/>
      </c>
      <c r="M192" s="46" t="str">
        <f>IF(OR(Registro!D191="Resuelto",Registro!D191=""),"",SUM(C192,F192,I192,L192))</f>
        <v/>
      </c>
      <c r="N192" s="46" t="str">
        <f>IF(OR(Registro!D191="Resuelto",Registro!D191=""),"",SUM(B192,E192,H192,K192))</f>
        <v/>
      </c>
      <c r="O192" s="46" t="str">
        <f>IF(OR(Registro!D191="Resuelto",Registro!D191=""),"",_xlfn.CONCAT(A192,D192,G192,J192))</f>
        <v/>
      </c>
      <c r="P192" s="47">
        <v>184</v>
      </c>
      <c r="Q192" s="47" t="str">
        <f t="shared" ca="1" si="6"/>
        <v/>
      </c>
      <c r="R192" s="48" t="str">
        <f t="shared" ca="1" si="7"/>
        <v/>
      </c>
      <c r="S192" s="32"/>
      <c r="T192" s="32"/>
      <c r="U192" s="32"/>
      <c r="V192" s="32"/>
      <c r="W192" s="47" t="str">
        <f>IF(X192="","",MAX($W$5:W191)+1)</f>
        <v/>
      </c>
      <c r="X192" s="50" t="str">
        <f>IF(Registro!M191="","",IF(COUNTIF($X$8:X191,Registro!M191)=0,Registro!M191,""))</f>
        <v/>
      </c>
      <c r="Y192" s="50" t="str">
        <f t="shared" si="8"/>
        <v/>
      </c>
    </row>
    <row r="193" spans="1:25">
      <c r="A193" s="45" t="str">
        <f>IF(AND(Registro!D192="Abierto",Registro!E192="Urgente"),Registro!B192,"")</f>
        <v/>
      </c>
      <c r="B193" s="45" t="str">
        <f ca="1">IF(AND(Registro!D192="Abierto",Registro!E192="Urgente"),TODAY()-Registro!R192,"")</f>
        <v/>
      </c>
      <c r="C193" s="45" t="str">
        <f>IF(AND(Registro!D192="Abierto",Registro!E192="Urgente"),RANK(B193,$B$9:$B$1000,0)+COUNTIF($B$9:B193,B193)-1,"")</f>
        <v/>
      </c>
      <c r="D193" s="45" t="str">
        <f>IF(AND(Registro!D192="Abierto",Registro!E192="Alta"),Registro!B192,"")</f>
        <v/>
      </c>
      <c r="E193" s="45" t="str">
        <f ca="1">IF(AND(Registro!D192="Abierto",Registro!E192="Alta"),TODAY()-Registro!R192,"")</f>
        <v/>
      </c>
      <c r="F193" s="45" t="str">
        <f>IF(AND(Registro!D192="Abierto",Registro!E192="Alta"),RANK(E193,$E$9:$E$1000,0)+COUNTIF($E$9:E193,E193)-1+MAX(C$5:C$1000),"")</f>
        <v/>
      </c>
      <c r="G193" s="45" t="str">
        <f>IF(AND(Registro!D192="Abierto",Registro!E192="Media"),Registro!B192,"")</f>
        <v/>
      </c>
      <c r="H193" s="45" t="str">
        <f ca="1">IF(AND(Registro!D192="Abierto",Registro!E192="Media"),TODAY()-Registro!R192,"")</f>
        <v/>
      </c>
      <c r="I193" s="45" t="str">
        <f>IF(AND(Registro!D192="Abierto",Registro!E192="Media"),RANK(H193,$H$9:$H$1000,0)+COUNTIF($H$9:H193,H193)-1+MAX(C$5:C$1000,F$5:F$1000),"")</f>
        <v/>
      </c>
      <c r="J193" s="45" t="str">
        <f>IF(AND(Registro!D192="Abierto",Registro!E192="Baja"),Registro!B192,"")</f>
        <v/>
      </c>
      <c r="K193" s="45" t="str">
        <f ca="1">IF(AND(Registro!D192="Abierto",Registro!E192="Baja"),TODAY()-Registro!R192,"")</f>
        <v/>
      </c>
      <c r="L193" s="45" t="str">
        <f>IF(AND(Registro!D192="Abierto",Registro!E192="Baja"),RANK(K193,$K$9:$K$1000,0)+COUNTIF($K$9:K193,K193)-1+MAX(C$5:C$1000,F$5:F$1000,I$5:I$1000),"")</f>
        <v/>
      </c>
      <c r="M193" s="46" t="str">
        <f>IF(OR(Registro!D192="Resuelto",Registro!D192=""),"",SUM(C193,F193,I193,L193))</f>
        <v/>
      </c>
      <c r="N193" s="46" t="str">
        <f>IF(OR(Registro!D192="Resuelto",Registro!D192=""),"",SUM(B193,E193,H193,K193))</f>
        <v/>
      </c>
      <c r="O193" s="46" t="str">
        <f>IF(OR(Registro!D192="Resuelto",Registro!D192=""),"",_xlfn.CONCAT(A193,D193,G193,J193))</f>
        <v/>
      </c>
      <c r="P193" s="47">
        <v>185</v>
      </c>
      <c r="Q193" s="47" t="str">
        <f t="shared" ca="1" si="6"/>
        <v/>
      </c>
      <c r="R193" s="48" t="str">
        <f t="shared" ca="1" si="7"/>
        <v/>
      </c>
      <c r="S193" s="32"/>
      <c r="T193" s="32"/>
      <c r="U193" s="32"/>
      <c r="V193" s="32"/>
      <c r="W193" s="47" t="str">
        <f>IF(X193="","",MAX($W$5:W192)+1)</f>
        <v/>
      </c>
      <c r="X193" s="50" t="str">
        <f>IF(Registro!M192="","",IF(COUNTIF($X$8:X192,Registro!M192)=0,Registro!M192,""))</f>
        <v/>
      </c>
      <c r="Y193" s="50" t="str">
        <f t="shared" si="8"/>
        <v/>
      </c>
    </row>
    <row r="194" spans="1:25">
      <c r="A194" s="45" t="str">
        <f>IF(AND(Registro!D193="Abierto",Registro!E193="Urgente"),Registro!B193,"")</f>
        <v/>
      </c>
      <c r="B194" s="45" t="str">
        <f ca="1">IF(AND(Registro!D193="Abierto",Registro!E193="Urgente"),TODAY()-Registro!R193,"")</f>
        <v/>
      </c>
      <c r="C194" s="45" t="str">
        <f>IF(AND(Registro!D193="Abierto",Registro!E193="Urgente"),RANK(B194,$B$9:$B$1000,0)+COUNTIF($B$9:B194,B194)-1,"")</f>
        <v/>
      </c>
      <c r="D194" s="45" t="str">
        <f>IF(AND(Registro!D193="Abierto",Registro!E193="Alta"),Registro!B193,"")</f>
        <v/>
      </c>
      <c r="E194" s="45" t="str">
        <f ca="1">IF(AND(Registro!D193="Abierto",Registro!E193="Alta"),TODAY()-Registro!R193,"")</f>
        <v/>
      </c>
      <c r="F194" s="45" t="str">
        <f>IF(AND(Registro!D193="Abierto",Registro!E193="Alta"),RANK(E194,$E$9:$E$1000,0)+COUNTIF($E$9:E194,E194)-1+MAX(C$5:C$1000),"")</f>
        <v/>
      </c>
      <c r="G194" s="45" t="str">
        <f>IF(AND(Registro!D193="Abierto",Registro!E193="Media"),Registro!B193,"")</f>
        <v/>
      </c>
      <c r="H194" s="45" t="str">
        <f ca="1">IF(AND(Registro!D193="Abierto",Registro!E193="Media"),TODAY()-Registro!R193,"")</f>
        <v/>
      </c>
      <c r="I194" s="45" t="str">
        <f>IF(AND(Registro!D193="Abierto",Registro!E193="Media"),RANK(H194,$H$9:$H$1000,0)+COUNTIF($H$9:H194,H194)-1+MAX(C$5:C$1000,F$5:F$1000),"")</f>
        <v/>
      </c>
      <c r="J194" s="45" t="str">
        <f>IF(AND(Registro!D193="Abierto",Registro!E193="Baja"),Registro!B193,"")</f>
        <v/>
      </c>
      <c r="K194" s="45" t="str">
        <f ca="1">IF(AND(Registro!D193="Abierto",Registro!E193="Baja"),TODAY()-Registro!R193,"")</f>
        <v/>
      </c>
      <c r="L194" s="45" t="str">
        <f>IF(AND(Registro!D193="Abierto",Registro!E193="Baja"),RANK(K194,$K$9:$K$1000,0)+COUNTIF($K$9:K194,K194)-1+MAX(C$5:C$1000,F$5:F$1000,I$5:I$1000),"")</f>
        <v/>
      </c>
      <c r="M194" s="46" t="str">
        <f>IF(OR(Registro!D193="Resuelto",Registro!D193=""),"",SUM(C194,F194,I194,L194))</f>
        <v/>
      </c>
      <c r="N194" s="46" t="str">
        <f>IF(OR(Registro!D193="Resuelto",Registro!D193=""),"",SUM(B194,E194,H194,K194))</f>
        <v/>
      </c>
      <c r="O194" s="46" t="str">
        <f>IF(OR(Registro!D193="Resuelto",Registro!D193=""),"",_xlfn.CONCAT(A194,D194,G194,J194))</f>
        <v/>
      </c>
      <c r="P194" s="47">
        <v>186</v>
      </c>
      <c r="Q194" s="47" t="str">
        <f t="shared" ca="1" si="6"/>
        <v/>
      </c>
      <c r="R194" s="48" t="str">
        <f t="shared" ca="1" si="7"/>
        <v/>
      </c>
      <c r="S194" s="32"/>
      <c r="T194" s="32"/>
      <c r="U194" s="32"/>
      <c r="V194" s="32"/>
      <c r="W194" s="47" t="str">
        <f>IF(X194="","",MAX($W$5:W193)+1)</f>
        <v/>
      </c>
      <c r="X194" s="50" t="str">
        <f>IF(Registro!M193="","",IF(COUNTIF($X$8:X193,Registro!M193)=0,Registro!M193,""))</f>
        <v/>
      </c>
      <c r="Y194" s="50" t="str">
        <f t="shared" si="8"/>
        <v/>
      </c>
    </row>
    <row r="195" spans="1:25">
      <c r="A195" s="45" t="str">
        <f>IF(AND(Registro!D194="Abierto",Registro!E194="Urgente"),Registro!B194,"")</f>
        <v/>
      </c>
      <c r="B195" s="45" t="str">
        <f ca="1">IF(AND(Registro!D194="Abierto",Registro!E194="Urgente"),TODAY()-Registro!R194,"")</f>
        <v/>
      </c>
      <c r="C195" s="45" t="str">
        <f>IF(AND(Registro!D194="Abierto",Registro!E194="Urgente"),RANK(B195,$B$9:$B$1000,0)+COUNTIF($B$9:B195,B195)-1,"")</f>
        <v/>
      </c>
      <c r="D195" s="45" t="str">
        <f>IF(AND(Registro!D194="Abierto",Registro!E194="Alta"),Registro!B194,"")</f>
        <v/>
      </c>
      <c r="E195" s="45" t="str">
        <f ca="1">IF(AND(Registro!D194="Abierto",Registro!E194="Alta"),TODAY()-Registro!R194,"")</f>
        <v/>
      </c>
      <c r="F195" s="45" t="str">
        <f>IF(AND(Registro!D194="Abierto",Registro!E194="Alta"),RANK(E195,$E$9:$E$1000,0)+COUNTIF($E$9:E195,E195)-1+MAX(C$5:C$1000),"")</f>
        <v/>
      </c>
      <c r="G195" s="45" t="str">
        <f>IF(AND(Registro!D194="Abierto",Registro!E194="Media"),Registro!B194,"")</f>
        <v/>
      </c>
      <c r="H195" s="45" t="str">
        <f ca="1">IF(AND(Registro!D194="Abierto",Registro!E194="Media"),TODAY()-Registro!R194,"")</f>
        <v/>
      </c>
      <c r="I195" s="45" t="str">
        <f>IF(AND(Registro!D194="Abierto",Registro!E194="Media"),RANK(H195,$H$9:$H$1000,0)+COUNTIF($H$9:H195,H195)-1+MAX(C$5:C$1000,F$5:F$1000),"")</f>
        <v/>
      </c>
      <c r="J195" s="45" t="str">
        <f>IF(AND(Registro!D194="Abierto",Registro!E194="Baja"),Registro!B194,"")</f>
        <v/>
      </c>
      <c r="K195" s="45" t="str">
        <f ca="1">IF(AND(Registro!D194="Abierto",Registro!E194="Baja"),TODAY()-Registro!R194,"")</f>
        <v/>
      </c>
      <c r="L195" s="45" t="str">
        <f>IF(AND(Registro!D194="Abierto",Registro!E194="Baja"),RANK(K195,$K$9:$K$1000,0)+COUNTIF($K$9:K195,K195)-1+MAX(C$5:C$1000,F$5:F$1000,I$5:I$1000),"")</f>
        <v/>
      </c>
      <c r="M195" s="46" t="str">
        <f>IF(OR(Registro!D194="Resuelto",Registro!D194=""),"",SUM(C195,F195,I195,L195))</f>
        <v/>
      </c>
      <c r="N195" s="46" t="str">
        <f>IF(OR(Registro!D194="Resuelto",Registro!D194=""),"",SUM(B195,E195,H195,K195))</f>
        <v/>
      </c>
      <c r="O195" s="46" t="str">
        <f>IF(OR(Registro!D194="Resuelto",Registro!D194=""),"",_xlfn.CONCAT(A195,D195,G195,J195))</f>
        <v/>
      </c>
      <c r="P195" s="47">
        <v>187</v>
      </c>
      <c r="Q195" s="47" t="str">
        <f t="shared" ca="1" si="6"/>
        <v/>
      </c>
      <c r="R195" s="48" t="str">
        <f t="shared" ca="1" si="7"/>
        <v/>
      </c>
      <c r="S195" s="32"/>
      <c r="T195" s="32"/>
      <c r="U195" s="32"/>
      <c r="V195" s="32"/>
      <c r="W195" s="47" t="str">
        <f>IF(X195="","",MAX($W$5:W194)+1)</f>
        <v/>
      </c>
      <c r="X195" s="50" t="str">
        <f>IF(Registro!M194="","",IF(COUNTIF($X$8:X194,Registro!M194)=0,Registro!M194,""))</f>
        <v/>
      </c>
      <c r="Y195" s="50" t="str">
        <f t="shared" si="8"/>
        <v/>
      </c>
    </row>
    <row r="196" spans="1:25">
      <c r="A196" s="45" t="str">
        <f>IF(AND(Registro!D195="Abierto",Registro!E195="Urgente"),Registro!B195,"")</f>
        <v/>
      </c>
      <c r="B196" s="45" t="str">
        <f ca="1">IF(AND(Registro!D195="Abierto",Registro!E195="Urgente"),TODAY()-Registro!R195,"")</f>
        <v/>
      </c>
      <c r="C196" s="45" t="str">
        <f>IF(AND(Registro!D195="Abierto",Registro!E195="Urgente"),RANK(B196,$B$9:$B$1000,0)+COUNTIF($B$9:B196,B196)-1,"")</f>
        <v/>
      </c>
      <c r="D196" s="45" t="str">
        <f>IF(AND(Registro!D195="Abierto",Registro!E195="Alta"),Registro!B195,"")</f>
        <v/>
      </c>
      <c r="E196" s="45" t="str">
        <f ca="1">IF(AND(Registro!D195="Abierto",Registro!E195="Alta"),TODAY()-Registro!R195,"")</f>
        <v/>
      </c>
      <c r="F196" s="45" t="str">
        <f>IF(AND(Registro!D195="Abierto",Registro!E195="Alta"),RANK(E196,$E$9:$E$1000,0)+COUNTIF($E$9:E196,E196)-1+MAX(C$5:C$1000),"")</f>
        <v/>
      </c>
      <c r="G196" s="45" t="str">
        <f>IF(AND(Registro!D195="Abierto",Registro!E195="Media"),Registro!B195,"")</f>
        <v/>
      </c>
      <c r="H196" s="45" t="str">
        <f ca="1">IF(AND(Registro!D195="Abierto",Registro!E195="Media"),TODAY()-Registro!R195,"")</f>
        <v/>
      </c>
      <c r="I196" s="45" t="str">
        <f>IF(AND(Registro!D195="Abierto",Registro!E195="Media"),RANK(H196,$H$9:$H$1000,0)+COUNTIF($H$9:H196,H196)-1+MAX(C$5:C$1000,F$5:F$1000),"")</f>
        <v/>
      </c>
      <c r="J196" s="45" t="str">
        <f>IF(AND(Registro!D195="Abierto",Registro!E195="Baja"),Registro!B195,"")</f>
        <v/>
      </c>
      <c r="K196" s="45" t="str">
        <f ca="1">IF(AND(Registro!D195="Abierto",Registro!E195="Baja"),TODAY()-Registro!R195,"")</f>
        <v/>
      </c>
      <c r="L196" s="45" t="str">
        <f>IF(AND(Registro!D195="Abierto",Registro!E195="Baja"),RANK(K196,$K$9:$K$1000,0)+COUNTIF($K$9:K196,K196)-1+MAX(C$5:C$1000,F$5:F$1000,I$5:I$1000),"")</f>
        <v/>
      </c>
      <c r="M196" s="46" t="str">
        <f>IF(OR(Registro!D195="Resuelto",Registro!D195=""),"",SUM(C196,F196,I196,L196))</f>
        <v/>
      </c>
      <c r="N196" s="46" t="str">
        <f>IF(OR(Registro!D195="Resuelto",Registro!D195=""),"",SUM(B196,E196,H196,K196))</f>
        <v/>
      </c>
      <c r="O196" s="46" t="str">
        <f>IF(OR(Registro!D195="Resuelto",Registro!D195=""),"",_xlfn.CONCAT(A196,D196,G196,J196))</f>
        <v/>
      </c>
      <c r="P196" s="47">
        <v>188</v>
      </c>
      <c r="Q196" s="47" t="str">
        <f t="shared" ca="1" si="6"/>
        <v/>
      </c>
      <c r="R196" s="48" t="str">
        <f t="shared" ca="1" si="7"/>
        <v/>
      </c>
      <c r="S196" s="32"/>
      <c r="T196" s="32"/>
      <c r="U196" s="32"/>
      <c r="V196" s="32"/>
      <c r="W196" s="47" t="str">
        <f>IF(X196="","",MAX($W$5:W195)+1)</f>
        <v/>
      </c>
      <c r="X196" s="50" t="str">
        <f>IF(Registro!M195="","",IF(COUNTIF($X$8:X195,Registro!M195)=0,Registro!M195,""))</f>
        <v/>
      </c>
      <c r="Y196" s="50" t="str">
        <f t="shared" si="8"/>
        <v/>
      </c>
    </row>
    <row r="197" spans="1:25">
      <c r="A197" s="45" t="str">
        <f>IF(AND(Registro!D196="Abierto",Registro!E196="Urgente"),Registro!B196,"")</f>
        <v/>
      </c>
      <c r="B197" s="45" t="str">
        <f ca="1">IF(AND(Registro!D196="Abierto",Registro!E196="Urgente"),TODAY()-Registro!R196,"")</f>
        <v/>
      </c>
      <c r="C197" s="45" t="str">
        <f>IF(AND(Registro!D196="Abierto",Registro!E196="Urgente"),RANK(B197,$B$9:$B$1000,0)+COUNTIF($B$9:B197,B197)-1,"")</f>
        <v/>
      </c>
      <c r="D197" s="45" t="str">
        <f>IF(AND(Registro!D196="Abierto",Registro!E196="Alta"),Registro!B196,"")</f>
        <v/>
      </c>
      <c r="E197" s="45" t="str">
        <f ca="1">IF(AND(Registro!D196="Abierto",Registro!E196="Alta"),TODAY()-Registro!R196,"")</f>
        <v/>
      </c>
      <c r="F197" s="45" t="str">
        <f>IF(AND(Registro!D196="Abierto",Registro!E196="Alta"),RANK(E197,$E$9:$E$1000,0)+COUNTIF($E$9:E197,E197)-1+MAX(C$5:C$1000),"")</f>
        <v/>
      </c>
      <c r="G197" s="45" t="str">
        <f>IF(AND(Registro!D196="Abierto",Registro!E196="Media"),Registro!B196,"")</f>
        <v/>
      </c>
      <c r="H197" s="45" t="str">
        <f ca="1">IF(AND(Registro!D196="Abierto",Registro!E196="Media"),TODAY()-Registro!R196,"")</f>
        <v/>
      </c>
      <c r="I197" s="45" t="str">
        <f>IF(AND(Registro!D196="Abierto",Registro!E196="Media"),RANK(H197,$H$9:$H$1000,0)+COUNTIF($H$9:H197,H197)-1+MAX(C$5:C$1000,F$5:F$1000),"")</f>
        <v/>
      </c>
      <c r="J197" s="45" t="str">
        <f>IF(AND(Registro!D196="Abierto",Registro!E196="Baja"),Registro!B196,"")</f>
        <v/>
      </c>
      <c r="K197" s="45" t="str">
        <f ca="1">IF(AND(Registro!D196="Abierto",Registro!E196="Baja"),TODAY()-Registro!R196,"")</f>
        <v/>
      </c>
      <c r="L197" s="45" t="str">
        <f>IF(AND(Registro!D196="Abierto",Registro!E196="Baja"),RANK(K197,$K$9:$K$1000,0)+COUNTIF($K$9:K197,K197)-1+MAX(C$5:C$1000,F$5:F$1000,I$5:I$1000),"")</f>
        <v/>
      </c>
      <c r="M197" s="46" t="str">
        <f>IF(OR(Registro!D196="Resuelto",Registro!D196=""),"",SUM(C197,F197,I197,L197))</f>
        <v/>
      </c>
      <c r="N197" s="46" t="str">
        <f>IF(OR(Registro!D196="Resuelto",Registro!D196=""),"",SUM(B197,E197,H197,K197))</f>
        <v/>
      </c>
      <c r="O197" s="46" t="str">
        <f>IF(OR(Registro!D196="Resuelto",Registro!D196=""),"",_xlfn.CONCAT(A197,D197,G197,J197))</f>
        <v/>
      </c>
      <c r="P197" s="47">
        <v>189</v>
      </c>
      <c r="Q197" s="47" t="str">
        <f t="shared" ca="1" si="6"/>
        <v/>
      </c>
      <c r="R197" s="48" t="str">
        <f t="shared" ca="1" si="7"/>
        <v/>
      </c>
      <c r="S197" s="32"/>
      <c r="T197" s="32"/>
      <c r="U197" s="32"/>
      <c r="V197" s="32"/>
      <c r="W197" s="47" t="str">
        <f>IF(X197="","",MAX($W$5:W196)+1)</f>
        <v/>
      </c>
      <c r="X197" s="50" t="str">
        <f>IF(Registro!M196="","",IF(COUNTIF($X$8:X196,Registro!M196)=0,Registro!M196,""))</f>
        <v/>
      </c>
      <c r="Y197" s="50" t="str">
        <f t="shared" si="8"/>
        <v/>
      </c>
    </row>
    <row r="198" spans="1:25">
      <c r="A198" s="45" t="str">
        <f>IF(AND(Registro!D197="Abierto",Registro!E197="Urgente"),Registro!B197,"")</f>
        <v/>
      </c>
      <c r="B198" s="45" t="str">
        <f ca="1">IF(AND(Registro!D197="Abierto",Registro!E197="Urgente"),TODAY()-Registro!R197,"")</f>
        <v/>
      </c>
      <c r="C198" s="45" t="str">
        <f>IF(AND(Registro!D197="Abierto",Registro!E197="Urgente"),RANK(B198,$B$9:$B$1000,0)+COUNTIF($B$9:B198,B198)-1,"")</f>
        <v/>
      </c>
      <c r="D198" s="45" t="str">
        <f>IF(AND(Registro!D197="Abierto",Registro!E197="Alta"),Registro!B197,"")</f>
        <v/>
      </c>
      <c r="E198" s="45" t="str">
        <f ca="1">IF(AND(Registro!D197="Abierto",Registro!E197="Alta"),TODAY()-Registro!R197,"")</f>
        <v/>
      </c>
      <c r="F198" s="45" t="str">
        <f>IF(AND(Registro!D197="Abierto",Registro!E197="Alta"),RANK(E198,$E$9:$E$1000,0)+COUNTIF($E$9:E198,E198)-1+MAX(C$5:C$1000),"")</f>
        <v/>
      </c>
      <c r="G198" s="45" t="str">
        <f>IF(AND(Registro!D197="Abierto",Registro!E197="Media"),Registro!B197,"")</f>
        <v/>
      </c>
      <c r="H198" s="45" t="str">
        <f ca="1">IF(AND(Registro!D197="Abierto",Registro!E197="Media"),TODAY()-Registro!R197,"")</f>
        <v/>
      </c>
      <c r="I198" s="45" t="str">
        <f>IF(AND(Registro!D197="Abierto",Registro!E197="Media"),RANK(H198,$H$9:$H$1000,0)+COUNTIF($H$9:H198,H198)-1+MAX(C$5:C$1000,F$5:F$1000),"")</f>
        <v/>
      </c>
      <c r="J198" s="45" t="str">
        <f>IF(AND(Registro!D197="Abierto",Registro!E197="Baja"),Registro!B197,"")</f>
        <v/>
      </c>
      <c r="K198" s="45" t="str">
        <f ca="1">IF(AND(Registro!D197="Abierto",Registro!E197="Baja"),TODAY()-Registro!R197,"")</f>
        <v/>
      </c>
      <c r="L198" s="45" t="str">
        <f>IF(AND(Registro!D197="Abierto",Registro!E197="Baja"),RANK(K198,$K$9:$K$1000,0)+COUNTIF($K$9:K198,K198)-1+MAX(C$5:C$1000,F$5:F$1000,I$5:I$1000),"")</f>
        <v/>
      </c>
      <c r="M198" s="46" t="str">
        <f>IF(OR(Registro!D197="Resuelto",Registro!D197=""),"",SUM(C198,F198,I198,L198))</f>
        <v/>
      </c>
      <c r="N198" s="46" t="str">
        <f>IF(OR(Registro!D197="Resuelto",Registro!D197=""),"",SUM(B198,E198,H198,K198))</f>
        <v/>
      </c>
      <c r="O198" s="46" t="str">
        <f>IF(OR(Registro!D197="Resuelto",Registro!D197=""),"",_xlfn.CONCAT(A198,D198,G198,J198))</f>
        <v/>
      </c>
      <c r="P198" s="47">
        <v>190</v>
      </c>
      <c r="Q198" s="47" t="str">
        <f t="shared" ca="1" si="6"/>
        <v/>
      </c>
      <c r="R198" s="48" t="str">
        <f t="shared" ca="1" si="7"/>
        <v/>
      </c>
      <c r="S198" s="32"/>
      <c r="T198" s="32"/>
      <c r="U198" s="32"/>
      <c r="V198" s="32"/>
      <c r="W198" s="47" t="str">
        <f>IF(X198="","",MAX($W$5:W197)+1)</f>
        <v/>
      </c>
      <c r="X198" s="50" t="str">
        <f>IF(Registro!M197="","",IF(COUNTIF($X$8:X197,Registro!M197)=0,Registro!M197,""))</f>
        <v/>
      </c>
      <c r="Y198" s="50" t="str">
        <f t="shared" si="8"/>
        <v/>
      </c>
    </row>
    <row r="199" spans="1:25">
      <c r="A199" s="45" t="str">
        <f>IF(AND(Registro!D198="Abierto",Registro!E198="Urgente"),Registro!B198,"")</f>
        <v/>
      </c>
      <c r="B199" s="45" t="str">
        <f ca="1">IF(AND(Registro!D198="Abierto",Registro!E198="Urgente"),TODAY()-Registro!R198,"")</f>
        <v/>
      </c>
      <c r="C199" s="45" t="str">
        <f>IF(AND(Registro!D198="Abierto",Registro!E198="Urgente"),RANK(B199,$B$9:$B$1000,0)+COUNTIF($B$9:B199,B199)-1,"")</f>
        <v/>
      </c>
      <c r="D199" s="45" t="str">
        <f>IF(AND(Registro!D198="Abierto",Registro!E198="Alta"),Registro!B198,"")</f>
        <v/>
      </c>
      <c r="E199" s="45" t="str">
        <f ca="1">IF(AND(Registro!D198="Abierto",Registro!E198="Alta"),TODAY()-Registro!R198,"")</f>
        <v/>
      </c>
      <c r="F199" s="45" t="str">
        <f>IF(AND(Registro!D198="Abierto",Registro!E198="Alta"),RANK(E199,$E$9:$E$1000,0)+COUNTIF($E$9:E199,E199)-1+MAX(C$5:C$1000),"")</f>
        <v/>
      </c>
      <c r="G199" s="45" t="str">
        <f>IF(AND(Registro!D198="Abierto",Registro!E198="Media"),Registro!B198,"")</f>
        <v/>
      </c>
      <c r="H199" s="45" t="str">
        <f ca="1">IF(AND(Registro!D198="Abierto",Registro!E198="Media"),TODAY()-Registro!R198,"")</f>
        <v/>
      </c>
      <c r="I199" s="45" t="str">
        <f>IF(AND(Registro!D198="Abierto",Registro!E198="Media"),RANK(H199,$H$9:$H$1000,0)+COUNTIF($H$9:H199,H199)-1+MAX(C$5:C$1000,F$5:F$1000),"")</f>
        <v/>
      </c>
      <c r="J199" s="45" t="str">
        <f>IF(AND(Registro!D198="Abierto",Registro!E198="Baja"),Registro!B198,"")</f>
        <v/>
      </c>
      <c r="K199" s="45" t="str">
        <f ca="1">IF(AND(Registro!D198="Abierto",Registro!E198="Baja"),TODAY()-Registro!R198,"")</f>
        <v/>
      </c>
      <c r="L199" s="45" t="str">
        <f>IF(AND(Registro!D198="Abierto",Registro!E198="Baja"),RANK(K199,$K$9:$K$1000,0)+COUNTIF($K$9:K199,K199)-1+MAX(C$5:C$1000,F$5:F$1000,I$5:I$1000),"")</f>
        <v/>
      </c>
      <c r="M199" s="46" t="str">
        <f>IF(OR(Registro!D198="Resuelto",Registro!D198=""),"",SUM(C199,F199,I199,L199))</f>
        <v/>
      </c>
      <c r="N199" s="46" t="str">
        <f>IF(OR(Registro!D198="Resuelto",Registro!D198=""),"",SUM(B199,E199,H199,K199))</f>
        <v/>
      </c>
      <c r="O199" s="46" t="str">
        <f>IF(OR(Registro!D198="Resuelto",Registro!D198=""),"",_xlfn.CONCAT(A199,D199,G199,J199))</f>
        <v/>
      </c>
      <c r="P199" s="47">
        <v>191</v>
      </c>
      <c r="Q199" s="47" t="str">
        <f t="shared" ca="1" si="6"/>
        <v/>
      </c>
      <c r="R199" s="48" t="str">
        <f t="shared" ca="1" si="7"/>
        <v/>
      </c>
      <c r="S199" s="32"/>
      <c r="T199" s="32"/>
      <c r="U199" s="32"/>
      <c r="V199" s="32"/>
      <c r="W199" s="47" t="str">
        <f>IF(X199="","",MAX($W$5:W198)+1)</f>
        <v/>
      </c>
      <c r="X199" s="50" t="str">
        <f>IF(Registro!M198="","",IF(COUNTIF($X$8:X198,Registro!M198)=0,Registro!M198,""))</f>
        <v/>
      </c>
      <c r="Y199" s="50" t="str">
        <f t="shared" si="8"/>
        <v/>
      </c>
    </row>
    <row r="200" spans="1:25">
      <c r="A200" s="45" t="str">
        <f>IF(AND(Registro!D199="Abierto",Registro!E199="Urgente"),Registro!B199,"")</f>
        <v/>
      </c>
      <c r="B200" s="45" t="str">
        <f ca="1">IF(AND(Registro!D199="Abierto",Registro!E199="Urgente"),TODAY()-Registro!R199,"")</f>
        <v/>
      </c>
      <c r="C200" s="45" t="str">
        <f>IF(AND(Registro!D199="Abierto",Registro!E199="Urgente"),RANK(B200,$B$9:$B$1000,0)+COUNTIF($B$9:B200,B200)-1,"")</f>
        <v/>
      </c>
      <c r="D200" s="45" t="str">
        <f>IF(AND(Registro!D199="Abierto",Registro!E199="Alta"),Registro!B199,"")</f>
        <v/>
      </c>
      <c r="E200" s="45" t="str">
        <f ca="1">IF(AND(Registro!D199="Abierto",Registro!E199="Alta"),TODAY()-Registro!R199,"")</f>
        <v/>
      </c>
      <c r="F200" s="45" t="str">
        <f>IF(AND(Registro!D199="Abierto",Registro!E199="Alta"),RANK(E200,$E$9:$E$1000,0)+COUNTIF($E$9:E200,E200)-1+MAX(C$5:C$1000),"")</f>
        <v/>
      </c>
      <c r="G200" s="45" t="str">
        <f>IF(AND(Registro!D199="Abierto",Registro!E199="Media"),Registro!B199,"")</f>
        <v/>
      </c>
      <c r="H200" s="45" t="str">
        <f ca="1">IF(AND(Registro!D199="Abierto",Registro!E199="Media"),TODAY()-Registro!R199,"")</f>
        <v/>
      </c>
      <c r="I200" s="45" t="str">
        <f>IF(AND(Registro!D199="Abierto",Registro!E199="Media"),RANK(H200,$H$9:$H$1000,0)+COUNTIF($H$9:H200,H200)-1+MAX(C$5:C$1000,F$5:F$1000),"")</f>
        <v/>
      </c>
      <c r="J200" s="45" t="str">
        <f>IF(AND(Registro!D199="Abierto",Registro!E199="Baja"),Registro!B199,"")</f>
        <v/>
      </c>
      <c r="K200" s="45" t="str">
        <f ca="1">IF(AND(Registro!D199="Abierto",Registro!E199="Baja"),TODAY()-Registro!R199,"")</f>
        <v/>
      </c>
      <c r="L200" s="45" t="str">
        <f>IF(AND(Registro!D199="Abierto",Registro!E199="Baja"),RANK(K200,$K$9:$K$1000,0)+COUNTIF($K$9:K200,K200)-1+MAX(C$5:C$1000,F$5:F$1000,I$5:I$1000),"")</f>
        <v/>
      </c>
      <c r="M200" s="46" t="str">
        <f>IF(OR(Registro!D199="Resuelto",Registro!D199=""),"",SUM(C200,F200,I200,L200))</f>
        <v/>
      </c>
      <c r="N200" s="46" t="str">
        <f>IF(OR(Registro!D199="Resuelto",Registro!D199=""),"",SUM(B200,E200,H200,K200))</f>
        <v/>
      </c>
      <c r="O200" s="46" t="str">
        <f>IF(OR(Registro!D199="Resuelto",Registro!D199=""),"",_xlfn.CONCAT(A200,D200,G200,J200))</f>
        <v/>
      </c>
      <c r="P200" s="47">
        <v>192</v>
      </c>
      <c r="Q200" s="47" t="str">
        <f t="shared" ca="1" si="6"/>
        <v/>
      </c>
      <c r="R200" s="48" t="str">
        <f t="shared" ca="1" si="7"/>
        <v/>
      </c>
      <c r="S200" s="32"/>
      <c r="T200" s="32"/>
      <c r="U200" s="32"/>
      <c r="V200" s="32"/>
      <c r="W200" s="47" t="str">
        <f>IF(X200="","",MAX($W$5:W199)+1)</f>
        <v/>
      </c>
      <c r="X200" s="50" t="str">
        <f>IF(Registro!M199="","",IF(COUNTIF($X$8:X199,Registro!M199)=0,Registro!M199,""))</f>
        <v/>
      </c>
      <c r="Y200" s="50" t="str">
        <f t="shared" si="8"/>
        <v/>
      </c>
    </row>
    <row r="201" spans="1:25">
      <c r="A201" s="45" t="str">
        <f>IF(AND(Registro!D200="Abierto",Registro!E200="Urgente"),Registro!B200,"")</f>
        <v/>
      </c>
      <c r="B201" s="45" t="str">
        <f ca="1">IF(AND(Registro!D200="Abierto",Registro!E200="Urgente"),TODAY()-Registro!R200,"")</f>
        <v/>
      </c>
      <c r="C201" s="45" t="str">
        <f>IF(AND(Registro!D200="Abierto",Registro!E200="Urgente"),RANK(B201,$B$9:$B$1000,0)+COUNTIF($B$9:B201,B201)-1,"")</f>
        <v/>
      </c>
      <c r="D201" s="45" t="str">
        <f>IF(AND(Registro!D200="Abierto",Registro!E200="Alta"),Registro!B200,"")</f>
        <v/>
      </c>
      <c r="E201" s="45" t="str">
        <f ca="1">IF(AND(Registro!D200="Abierto",Registro!E200="Alta"),TODAY()-Registro!R200,"")</f>
        <v/>
      </c>
      <c r="F201" s="45" t="str">
        <f>IF(AND(Registro!D200="Abierto",Registro!E200="Alta"),RANK(E201,$E$9:$E$1000,0)+COUNTIF($E$9:E201,E201)-1+MAX(C$5:C$1000),"")</f>
        <v/>
      </c>
      <c r="G201" s="45" t="str">
        <f>IF(AND(Registro!D200="Abierto",Registro!E200="Media"),Registro!B200,"")</f>
        <v/>
      </c>
      <c r="H201" s="45" t="str">
        <f ca="1">IF(AND(Registro!D200="Abierto",Registro!E200="Media"),TODAY()-Registro!R200,"")</f>
        <v/>
      </c>
      <c r="I201" s="45" t="str">
        <f>IF(AND(Registro!D200="Abierto",Registro!E200="Media"),RANK(H201,$H$9:$H$1000,0)+COUNTIF($H$9:H201,H201)-1+MAX(C$5:C$1000,F$5:F$1000),"")</f>
        <v/>
      </c>
      <c r="J201" s="45" t="str">
        <f>IF(AND(Registro!D200="Abierto",Registro!E200="Baja"),Registro!B200,"")</f>
        <v/>
      </c>
      <c r="K201" s="45" t="str">
        <f ca="1">IF(AND(Registro!D200="Abierto",Registro!E200="Baja"),TODAY()-Registro!R200,"")</f>
        <v/>
      </c>
      <c r="L201" s="45" t="str">
        <f>IF(AND(Registro!D200="Abierto",Registro!E200="Baja"),RANK(K201,$K$9:$K$1000,0)+COUNTIF($K$9:K201,K201)-1+MAX(C$5:C$1000,F$5:F$1000,I$5:I$1000),"")</f>
        <v/>
      </c>
      <c r="M201" s="46" t="str">
        <f>IF(OR(Registro!D200="Resuelto",Registro!D200=""),"",SUM(C201,F201,I201,L201))</f>
        <v/>
      </c>
      <c r="N201" s="46" t="str">
        <f>IF(OR(Registro!D200="Resuelto",Registro!D200=""),"",SUM(B201,E201,H201,K201))</f>
        <v/>
      </c>
      <c r="O201" s="46" t="str">
        <f>IF(OR(Registro!D200="Resuelto",Registro!D200=""),"",_xlfn.CONCAT(A201,D201,G201,J201))</f>
        <v/>
      </c>
      <c r="P201" s="47">
        <v>193</v>
      </c>
      <c r="Q201" s="47" t="str">
        <f t="shared" ref="Q201:Q264" ca="1" si="9">IF(ISNA(VLOOKUP(P201,$M$9:$O$1000,3,FALSE))=TRUE,"",VLOOKUP(P201,$M$9:$O$1000,3,FALSE))</f>
        <v/>
      </c>
      <c r="R201" s="48" t="str">
        <f t="shared" ref="R201:R264" ca="1" si="10">IF(ISNA(VLOOKUP(P201,$M$9:$O$1000,2,FALSE))=TRUE,"",VLOOKUP(P201,$M$9:$O$1000,2,FALSE))</f>
        <v/>
      </c>
      <c r="S201" s="32"/>
      <c r="T201" s="32"/>
      <c r="U201" s="32"/>
      <c r="V201" s="32"/>
      <c r="W201" s="47" t="str">
        <f>IF(X201="","",MAX($W$5:W200)+1)</f>
        <v/>
      </c>
      <c r="X201" s="50" t="str">
        <f>IF(Registro!M200="","",IF(COUNTIF($X$8:X200,Registro!M200)=0,Registro!M200,""))</f>
        <v/>
      </c>
      <c r="Y201" s="50" t="str">
        <f t="shared" ref="Y201:Y264" si="11">IF(ISNA(VLOOKUP(P201,$W$9:$X$1000,2,FALSE))=TRUE,"",VLOOKUP(P201,$W$9:$X$1000,2,FALSE))</f>
        <v/>
      </c>
    </row>
    <row r="202" spans="1:25">
      <c r="A202" s="45" t="str">
        <f>IF(AND(Registro!D201="Abierto",Registro!E201="Urgente"),Registro!B201,"")</f>
        <v/>
      </c>
      <c r="B202" s="45" t="str">
        <f ca="1">IF(AND(Registro!D201="Abierto",Registro!E201="Urgente"),TODAY()-Registro!R201,"")</f>
        <v/>
      </c>
      <c r="C202" s="45" t="str">
        <f>IF(AND(Registro!D201="Abierto",Registro!E201="Urgente"),RANK(B202,$B$9:$B$1000,0)+COUNTIF($B$9:B202,B202)-1,"")</f>
        <v/>
      </c>
      <c r="D202" s="45" t="str">
        <f>IF(AND(Registro!D201="Abierto",Registro!E201="Alta"),Registro!B201,"")</f>
        <v/>
      </c>
      <c r="E202" s="45" t="str">
        <f ca="1">IF(AND(Registro!D201="Abierto",Registro!E201="Alta"),TODAY()-Registro!R201,"")</f>
        <v/>
      </c>
      <c r="F202" s="45" t="str">
        <f>IF(AND(Registro!D201="Abierto",Registro!E201="Alta"),RANK(E202,$E$9:$E$1000,0)+COUNTIF($E$9:E202,E202)-1+MAX(C$5:C$1000),"")</f>
        <v/>
      </c>
      <c r="G202" s="45" t="str">
        <f>IF(AND(Registro!D201="Abierto",Registro!E201="Media"),Registro!B201,"")</f>
        <v/>
      </c>
      <c r="H202" s="45" t="str">
        <f ca="1">IF(AND(Registro!D201="Abierto",Registro!E201="Media"),TODAY()-Registro!R201,"")</f>
        <v/>
      </c>
      <c r="I202" s="45" t="str">
        <f>IF(AND(Registro!D201="Abierto",Registro!E201="Media"),RANK(H202,$H$9:$H$1000,0)+COUNTIF($H$9:H202,H202)-1+MAX(C$5:C$1000,F$5:F$1000),"")</f>
        <v/>
      </c>
      <c r="J202" s="45" t="str">
        <f>IF(AND(Registro!D201="Abierto",Registro!E201="Baja"),Registro!B201,"")</f>
        <v/>
      </c>
      <c r="K202" s="45" t="str">
        <f ca="1">IF(AND(Registro!D201="Abierto",Registro!E201="Baja"),TODAY()-Registro!R201,"")</f>
        <v/>
      </c>
      <c r="L202" s="45" t="str">
        <f>IF(AND(Registro!D201="Abierto",Registro!E201="Baja"),RANK(K202,$K$9:$K$1000,0)+COUNTIF($K$9:K202,K202)-1+MAX(C$5:C$1000,F$5:F$1000,I$5:I$1000),"")</f>
        <v/>
      </c>
      <c r="M202" s="46" t="str">
        <f>IF(OR(Registro!D201="Resuelto",Registro!D201=""),"",SUM(C202,F202,I202,L202))</f>
        <v/>
      </c>
      <c r="N202" s="46" t="str">
        <f>IF(OR(Registro!D201="Resuelto",Registro!D201=""),"",SUM(B202,E202,H202,K202))</f>
        <v/>
      </c>
      <c r="O202" s="46" t="str">
        <f>IF(OR(Registro!D201="Resuelto",Registro!D201=""),"",_xlfn.CONCAT(A202,D202,G202,J202))</f>
        <v/>
      </c>
      <c r="P202" s="47">
        <v>194</v>
      </c>
      <c r="Q202" s="47" t="str">
        <f t="shared" ca="1" si="9"/>
        <v/>
      </c>
      <c r="R202" s="48" t="str">
        <f t="shared" ca="1" si="10"/>
        <v/>
      </c>
      <c r="S202" s="32"/>
      <c r="T202" s="32"/>
      <c r="U202" s="32"/>
      <c r="V202" s="32"/>
      <c r="W202" s="47" t="str">
        <f>IF(X202="","",MAX($W$5:W201)+1)</f>
        <v/>
      </c>
      <c r="X202" s="50" t="str">
        <f>IF(Registro!M201="","",IF(COUNTIF($X$8:X201,Registro!M201)=0,Registro!M201,""))</f>
        <v/>
      </c>
      <c r="Y202" s="50" t="str">
        <f t="shared" si="11"/>
        <v/>
      </c>
    </row>
    <row r="203" spans="1:25">
      <c r="A203" s="45" t="str">
        <f>IF(AND(Registro!D202="Abierto",Registro!E202="Urgente"),Registro!B202,"")</f>
        <v/>
      </c>
      <c r="B203" s="45" t="str">
        <f ca="1">IF(AND(Registro!D202="Abierto",Registro!E202="Urgente"),TODAY()-Registro!R202,"")</f>
        <v/>
      </c>
      <c r="C203" s="45" t="str">
        <f>IF(AND(Registro!D202="Abierto",Registro!E202="Urgente"),RANK(B203,$B$9:$B$1000,0)+COUNTIF($B$9:B203,B203)-1,"")</f>
        <v/>
      </c>
      <c r="D203" s="45" t="str">
        <f>IF(AND(Registro!D202="Abierto",Registro!E202="Alta"),Registro!B202,"")</f>
        <v/>
      </c>
      <c r="E203" s="45" t="str">
        <f ca="1">IF(AND(Registro!D202="Abierto",Registro!E202="Alta"),TODAY()-Registro!R202,"")</f>
        <v/>
      </c>
      <c r="F203" s="45" t="str">
        <f>IF(AND(Registro!D202="Abierto",Registro!E202="Alta"),RANK(E203,$E$9:$E$1000,0)+COUNTIF($E$9:E203,E203)-1+MAX(C$5:C$1000),"")</f>
        <v/>
      </c>
      <c r="G203" s="45" t="str">
        <f>IF(AND(Registro!D202="Abierto",Registro!E202="Media"),Registro!B202,"")</f>
        <v/>
      </c>
      <c r="H203" s="45" t="str">
        <f ca="1">IF(AND(Registro!D202="Abierto",Registro!E202="Media"),TODAY()-Registro!R202,"")</f>
        <v/>
      </c>
      <c r="I203" s="45" t="str">
        <f>IF(AND(Registro!D202="Abierto",Registro!E202="Media"),RANK(H203,$H$9:$H$1000,0)+COUNTIF($H$9:H203,H203)-1+MAX(C$5:C$1000,F$5:F$1000),"")</f>
        <v/>
      </c>
      <c r="J203" s="45" t="str">
        <f>IF(AND(Registro!D202="Abierto",Registro!E202="Baja"),Registro!B202,"")</f>
        <v/>
      </c>
      <c r="K203" s="45" t="str">
        <f ca="1">IF(AND(Registro!D202="Abierto",Registro!E202="Baja"),TODAY()-Registro!R202,"")</f>
        <v/>
      </c>
      <c r="L203" s="45" t="str">
        <f>IF(AND(Registro!D202="Abierto",Registro!E202="Baja"),RANK(K203,$K$9:$K$1000,0)+COUNTIF($K$9:K203,K203)-1+MAX(C$5:C$1000,F$5:F$1000,I$5:I$1000),"")</f>
        <v/>
      </c>
      <c r="M203" s="46" t="str">
        <f>IF(OR(Registro!D202="Resuelto",Registro!D202=""),"",SUM(C203,F203,I203,L203))</f>
        <v/>
      </c>
      <c r="N203" s="46" t="str">
        <f>IF(OR(Registro!D202="Resuelto",Registro!D202=""),"",SUM(B203,E203,H203,K203))</f>
        <v/>
      </c>
      <c r="O203" s="46" t="str">
        <f>IF(OR(Registro!D202="Resuelto",Registro!D202=""),"",_xlfn.CONCAT(A203,D203,G203,J203))</f>
        <v/>
      </c>
      <c r="P203" s="47">
        <v>195</v>
      </c>
      <c r="Q203" s="47" t="str">
        <f t="shared" ca="1" si="9"/>
        <v/>
      </c>
      <c r="R203" s="48" t="str">
        <f t="shared" ca="1" si="10"/>
        <v/>
      </c>
      <c r="S203" s="32"/>
      <c r="T203" s="32"/>
      <c r="U203" s="32"/>
      <c r="V203" s="32"/>
      <c r="W203" s="47" t="str">
        <f>IF(X203="","",MAX($W$5:W202)+1)</f>
        <v/>
      </c>
      <c r="X203" s="50" t="str">
        <f>IF(Registro!M202="","",IF(COUNTIF($X$8:X202,Registro!M202)=0,Registro!M202,""))</f>
        <v/>
      </c>
      <c r="Y203" s="50" t="str">
        <f t="shared" si="11"/>
        <v/>
      </c>
    </row>
    <row r="204" spans="1:25">
      <c r="A204" s="45" t="str">
        <f>IF(AND(Registro!D203="Abierto",Registro!E203="Urgente"),Registro!B203,"")</f>
        <v/>
      </c>
      <c r="B204" s="45" t="str">
        <f ca="1">IF(AND(Registro!D203="Abierto",Registro!E203="Urgente"),TODAY()-Registro!R203,"")</f>
        <v/>
      </c>
      <c r="C204" s="45" t="str">
        <f>IF(AND(Registro!D203="Abierto",Registro!E203="Urgente"),RANK(B204,$B$9:$B$1000,0)+COUNTIF($B$9:B204,B204)-1,"")</f>
        <v/>
      </c>
      <c r="D204" s="45" t="str">
        <f>IF(AND(Registro!D203="Abierto",Registro!E203="Alta"),Registro!B203,"")</f>
        <v/>
      </c>
      <c r="E204" s="45" t="str">
        <f ca="1">IF(AND(Registro!D203="Abierto",Registro!E203="Alta"),TODAY()-Registro!R203,"")</f>
        <v/>
      </c>
      <c r="F204" s="45" t="str">
        <f>IF(AND(Registro!D203="Abierto",Registro!E203="Alta"),RANK(E204,$E$9:$E$1000,0)+COUNTIF($E$9:E204,E204)-1+MAX(C$5:C$1000),"")</f>
        <v/>
      </c>
      <c r="G204" s="45" t="str">
        <f>IF(AND(Registro!D203="Abierto",Registro!E203="Media"),Registro!B203,"")</f>
        <v/>
      </c>
      <c r="H204" s="45" t="str">
        <f ca="1">IF(AND(Registro!D203="Abierto",Registro!E203="Media"),TODAY()-Registro!R203,"")</f>
        <v/>
      </c>
      <c r="I204" s="45" t="str">
        <f>IF(AND(Registro!D203="Abierto",Registro!E203="Media"),RANK(H204,$H$9:$H$1000,0)+COUNTIF($H$9:H204,H204)-1+MAX(C$5:C$1000,F$5:F$1000),"")</f>
        <v/>
      </c>
      <c r="J204" s="45" t="str">
        <f>IF(AND(Registro!D203="Abierto",Registro!E203="Baja"),Registro!B203,"")</f>
        <v/>
      </c>
      <c r="K204" s="45" t="str">
        <f ca="1">IF(AND(Registro!D203="Abierto",Registro!E203="Baja"),TODAY()-Registro!R203,"")</f>
        <v/>
      </c>
      <c r="L204" s="45" t="str">
        <f>IF(AND(Registro!D203="Abierto",Registro!E203="Baja"),RANK(K204,$K$9:$K$1000,0)+COUNTIF($K$9:K204,K204)-1+MAX(C$5:C$1000,F$5:F$1000,I$5:I$1000),"")</f>
        <v/>
      </c>
      <c r="M204" s="46" t="str">
        <f>IF(OR(Registro!D203="Resuelto",Registro!D203=""),"",SUM(C204,F204,I204,L204))</f>
        <v/>
      </c>
      <c r="N204" s="46" t="str">
        <f>IF(OR(Registro!D203="Resuelto",Registro!D203=""),"",SUM(B204,E204,H204,K204))</f>
        <v/>
      </c>
      <c r="O204" s="46" t="str">
        <f>IF(OR(Registro!D203="Resuelto",Registro!D203=""),"",_xlfn.CONCAT(A204,D204,G204,J204))</f>
        <v/>
      </c>
      <c r="P204" s="47">
        <v>196</v>
      </c>
      <c r="Q204" s="47" t="str">
        <f t="shared" ca="1" si="9"/>
        <v/>
      </c>
      <c r="R204" s="48" t="str">
        <f t="shared" ca="1" si="10"/>
        <v/>
      </c>
      <c r="S204" s="32"/>
      <c r="T204" s="32"/>
      <c r="U204" s="32"/>
      <c r="V204" s="32"/>
      <c r="W204" s="47" t="str">
        <f>IF(X204="","",MAX($W$5:W203)+1)</f>
        <v/>
      </c>
      <c r="X204" s="50" t="str">
        <f>IF(Registro!M203="","",IF(COUNTIF($X$8:X203,Registro!M203)=0,Registro!M203,""))</f>
        <v/>
      </c>
      <c r="Y204" s="50" t="str">
        <f t="shared" si="11"/>
        <v/>
      </c>
    </row>
    <row r="205" spans="1:25">
      <c r="A205" s="45" t="str">
        <f>IF(AND(Registro!D204="Abierto",Registro!E204="Urgente"),Registro!B204,"")</f>
        <v/>
      </c>
      <c r="B205" s="45" t="str">
        <f ca="1">IF(AND(Registro!D204="Abierto",Registro!E204="Urgente"),TODAY()-Registro!R204,"")</f>
        <v/>
      </c>
      <c r="C205" s="45" t="str">
        <f>IF(AND(Registro!D204="Abierto",Registro!E204="Urgente"),RANK(B205,$B$9:$B$1000,0)+COUNTIF($B$9:B205,B205)-1,"")</f>
        <v/>
      </c>
      <c r="D205" s="45" t="str">
        <f>IF(AND(Registro!D204="Abierto",Registro!E204="Alta"),Registro!B204,"")</f>
        <v/>
      </c>
      <c r="E205" s="45" t="str">
        <f ca="1">IF(AND(Registro!D204="Abierto",Registro!E204="Alta"),TODAY()-Registro!R204,"")</f>
        <v/>
      </c>
      <c r="F205" s="45" t="str">
        <f>IF(AND(Registro!D204="Abierto",Registro!E204="Alta"),RANK(E205,$E$9:$E$1000,0)+COUNTIF($E$9:E205,E205)-1+MAX(C$5:C$1000),"")</f>
        <v/>
      </c>
      <c r="G205" s="45" t="str">
        <f>IF(AND(Registro!D204="Abierto",Registro!E204="Media"),Registro!B204,"")</f>
        <v/>
      </c>
      <c r="H205" s="45" t="str">
        <f ca="1">IF(AND(Registro!D204="Abierto",Registro!E204="Media"),TODAY()-Registro!R204,"")</f>
        <v/>
      </c>
      <c r="I205" s="45" t="str">
        <f>IF(AND(Registro!D204="Abierto",Registro!E204="Media"),RANK(H205,$H$9:$H$1000,0)+COUNTIF($H$9:H205,H205)-1+MAX(C$5:C$1000,F$5:F$1000),"")</f>
        <v/>
      </c>
      <c r="J205" s="45" t="str">
        <f>IF(AND(Registro!D204="Abierto",Registro!E204="Baja"),Registro!B204,"")</f>
        <v/>
      </c>
      <c r="K205" s="45" t="str">
        <f ca="1">IF(AND(Registro!D204="Abierto",Registro!E204="Baja"),TODAY()-Registro!R204,"")</f>
        <v/>
      </c>
      <c r="L205" s="45" t="str">
        <f>IF(AND(Registro!D204="Abierto",Registro!E204="Baja"),RANK(K205,$K$9:$K$1000,0)+COUNTIF($K$9:K205,K205)-1+MAX(C$5:C$1000,F$5:F$1000,I$5:I$1000),"")</f>
        <v/>
      </c>
      <c r="M205" s="46" t="str">
        <f>IF(OR(Registro!D204="Resuelto",Registro!D204=""),"",SUM(C205,F205,I205,L205))</f>
        <v/>
      </c>
      <c r="N205" s="46" t="str">
        <f>IF(OR(Registro!D204="Resuelto",Registro!D204=""),"",SUM(B205,E205,H205,K205))</f>
        <v/>
      </c>
      <c r="O205" s="46" t="str">
        <f>IF(OR(Registro!D204="Resuelto",Registro!D204=""),"",_xlfn.CONCAT(A205,D205,G205,J205))</f>
        <v/>
      </c>
      <c r="P205" s="47">
        <v>197</v>
      </c>
      <c r="Q205" s="47" t="str">
        <f t="shared" ca="1" si="9"/>
        <v/>
      </c>
      <c r="R205" s="48" t="str">
        <f t="shared" ca="1" si="10"/>
        <v/>
      </c>
      <c r="S205" s="32"/>
      <c r="T205" s="32"/>
      <c r="U205" s="32"/>
      <c r="V205" s="32"/>
      <c r="W205" s="47" t="str">
        <f>IF(X205="","",MAX($W$5:W204)+1)</f>
        <v/>
      </c>
      <c r="X205" s="50" t="str">
        <f>IF(Registro!M204="","",IF(COUNTIF($X$8:X204,Registro!M204)=0,Registro!M204,""))</f>
        <v/>
      </c>
      <c r="Y205" s="50" t="str">
        <f t="shared" si="11"/>
        <v/>
      </c>
    </row>
    <row r="206" spans="1:25">
      <c r="A206" s="45" t="str">
        <f>IF(AND(Registro!D205="Abierto",Registro!E205="Urgente"),Registro!B205,"")</f>
        <v/>
      </c>
      <c r="B206" s="45" t="str">
        <f ca="1">IF(AND(Registro!D205="Abierto",Registro!E205="Urgente"),TODAY()-Registro!R205,"")</f>
        <v/>
      </c>
      <c r="C206" s="45" t="str">
        <f>IF(AND(Registro!D205="Abierto",Registro!E205="Urgente"),RANK(B206,$B$9:$B$1000,0)+COUNTIF($B$9:B206,B206)-1,"")</f>
        <v/>
      </c>
      <c r="D206" s="45" t="str">
        <f>IF(AND(Registro!D205="Abierto",Registro!E205="Alta"),Registro!B205,"")</f>
        <v/>
      </c>
      <c r="E206" s="45" t="str">
        <f ca="1">IF(AND(Registro!D205="Abierto",Registro!E205="Alta"),TODAY()-Registro!R205,"")</f>
        <v/>
      </c>
      <c r="F206" s="45" t="str">
        <f>IF(AND(Registro!D205="Abierto",Registro!E205="Alta"),RANK(E206,$E$9:$E$1000,0)+COUNTIF($E$9:E206,E206)-1+MAX(C$5:C$1000),"")</f>
        <v/>
      </c>
      <c r="G206" s="45" t="str">
        <f>IF(AND(Registro!D205="Abierto",Registro!E205="Media"),Registro!B205,"")</f>
        <v/>
      </c>
      <c r="H206" s="45" t="str">
        <f ca="1">IF(AND(Registro!D205="Abierto",Registro!E205="Media"),TODAY()-Registro!R205,"")</f>
        <v/>
      </c>
      <c r="I206" s="45" t="str">
        <f>IF(AND(Registro!D205="Abierto",Registro!E205="Media"),RANK(H206,$H$9:$H$1000,0)+COUNTIF($H$9:H206,H206)-1+MAX(C$5:C$1000,F$5:F$1000),"")</f>
        <v/>
      </c>
      <c r="J206" s="45" t="str">
        <f>IF(AND(Registro!D205="Abierto",Registro!E205="Baja"),Registro!B205,"")</f>
        <v/>
      </c>
      <c r="K206" s="45" t="str">
        <f ca="1">IF(AND(Registro!D205="Abierto",Registro!E205="Baja"),TODAY()-Registro!R205,"")</f>
        <v/>
      </c>
      <c r="L206" s="45" t="str">
        <f>IF(AND(Registro!D205="Abierto",Registro!E205="Baja"),RANK(K206,$K$9:$K$1000,0)+COUNTIF($K$9:K206,K206)-1+MAX(C$5:C$1000,F$5:F$1000,I$5:I$1000),"")</f>
        <v/>
      </c>
      <c r="M206" s="46" t="str">
        <f>IF(OR(Registro!D205="Resuelto",Registro!D205=""),"",SUM(C206,F206,I206,L206))</f>
        <v/>
      </c>
      <c r="N206" s="46" t="str">
        <f>IF(OR(Registro!D205="Resuelto",Registro!D205=""),"",SUM(B206,E206,H206,K206))</f>
        <v/>
      </c>
      <c r="O206" s="46" t="str">
        <f>IF(OR(Registro!D205="Resuelto",Registro!D205=""),"",_xlfn.CONCAT(A206,D206,G206,J206))</f>
        <v/>
      </c>
      <c r="P206" s="47">
        <v>198</v>
      </c>
      <c r="Q206" s="47" t="str">
        <f t="shared" ca="1" si="9"/>
        <v/>
      </c>
      <c r="R206" s="48" t="str">
        <f t="shared" ca="1" si="10"/>
        <v/>
      </c>
      <c r="S206" s="32"/>
      <c r="T206" s="32"/>
      <c r="U206" s="32"/>
      <c r="V206" s="32"/>
      <c r="W206" s="47" t="str">
        <f>IF(X206="","",MAX($W$5:W205)+1)</f>
        <v/>
      </c>
      <c r="X206" s="50" t="str">
        <f>IF(Registro!M205="","",IF(COUNTIF($X$8:X205,Registro!M205)=0,Registro!M205,""))</f>
        <v/>
      </c>
      <c r="Y206" s="50" t="str">
        <f t="shared" si="11"/>
        <v/>
      </c>
    </row>
    <row r="207" spans="1:25">
      <c r="A207" s="45" t="str">
        <f>IF(AND(Registro!D206="Abierto",Registro!E206="Urgente"),Registro!B206,"")</f>
        <v/>
      </c>
      <c r="B207" s="45" t="str">
        <f ca="1">IF(AND(Registro!D206="Abierto",Registro!E206="Urgente"),TODAY()-Registro!R206,"")</f>
        <v/>
      </c>
      <c r="C207" s="45" t="str">
        <f>IF(AND(Registro!D206="Abierto",Registro!E206="Urgente"),RANK(B207,$B$9:$B$1000,0)+COUNTIF($B$9:B207,B207)-1,"")</f>
        <v/>
      </c>
      <c r="D207" s="45" t="str">
        <f>IF(AND(Registro!D206="Abierto",Registro!E206="Alta"),Registro!B206,"")</f>
        <v/>
      </c>
      <c r="E207" s="45" t="str">
        <f ca="1">IF(AND(Registro!D206="Abierto",Registro!E206="Alta"),TODAY()-Registro!R206,"")</f>
        <v/>
      </c>
      <c r="F207" s="45" t="str">
        <f>IF(AND(Registro!D206="Abierto",Registro!E206="Alta"),RANK(E207,$E$9:$E$1000,0)+COUNTIF($E$9:E207,E207)-1+MAX(C$5:C$1000),"")</f>
        <v/>
      </c>
      <c r="G207" s="45" t="str">
        <f>IF(AND(Registro!D206="Abierto",Registro!E206="Media"),Registro!B206,"")</f>
        <v/>
      </c>
      <c r="H207" s="45" t="str">
        <f ca="1">IF(AND(Registro!D206="Abierto",Registro!E206="Media"),TODAY()-Registro!R206,"")</f>
        <v/>
      </c>
      <c r="I207" s="45" t="str">
        <f>IF(AND(Registro!D206="Abierto",Registro!E206="Media"),RANK(H207,$H$9:$H$1000,0)+COUNTIF($H$9:H207,H207)-1+MAX(C$5:C$1000,F$5:F$1000),"")</f>
        <v/>
      </c>
      <c r="J207" s="45" t="str">
        <f>IF(AND(Registro!D206="Abierto",Registro!E206="Baja"),Registro!B206,"")</f>
        <v/>
      </c>
      <c r="K207" s="45" t="str">
        <f ca="1">IF(AND(Registro!D206="Abierto",Registro!E206="Baja"),TODAY()-Registro!R206,"")</f>
        <v/>
      </c>
      <c r="L207" s="45" t="str">
        <f>IF(AND(Registro!D206="Abierto",Registro!E206="Baja"),RANK(K207,$K$9:$K$1000,0)+COUNTIF($K$9:K207,K207)-1+MAX(C$5:C$1000,F$5:F$1000,I$5:I$1000),"")</f>
        <v/>
      </c>
      <c r="M207" s="46" t="str">
        <f>IF(OR(Registro!D206="Resuelto",Registro!D206=""),"",SUM(C207,F207,I207,L207))</f>
        <v/>
      </c>
      <c r="N207" s="46" t="str">
        <f>IF(OR(Registro!D206="Resuelto",Registro!D206=""),"",SUM(B207,E207,H207,K207))</f>
        <v/>
      </c>
      <c r="O207" s="46" t="str">
        <f>IF(OR(Registro!D206="Resuelto",Registro!D206=""),"",_xlfn.CONCAT(A207,D207,G207,J207))</f>
        <v/>
      </c>
      <c r="P207" s="47">
        <v>199</v>
      </c>
      <c r="Q207" s="47" t="str">
        <f t="shared" ca="1" si="9"/>
        <v/>
      </c>
      <c r="R207" s="48" t="str">
        <f t="shared" ca="1" si="10"/>
        <v/>
      </c>
      <c r="S207" s="32"/>
      <c r="T207" s="32"/>
      <c r="U207" s="32"/>
      <c r="V207" s="32"/>
      <c r="W207" s="47" t="str">
        <f>IF(X207="","",MAX($W$5:W206)+1)</f>
        <v/>
      </c>
      <c r="X207" s="50" t="str">
        <f>IF(Registro!M206="","",IF(COUNTIF($X$8:X206,Registro!M206)=0,Registro!M206,""))</f>
        <v/>
      </c>
      <c r="Y207" s="50" t="str">
        <f t="shared" si="11"/>
        <v/>
      </c>
    </row>
    <row r="208" spans="1:25">
      <c r="A208" s="45" t="str">
        <f>IF(AND(Registro!D207="Abierto",Registro!E207="Urgente"),Registro!B207,"")</f>
        <v/>
      </c>
      <c r="B208" s="45" t="str">
        <f ca="1">IF(AND(Registro!D207="Abierto",Registro!E207="Urgente"),TODAY()-Registro!R207,"")</f>
        <v/>
      </c>
      <c r="C208" s="45" t="str">
        <f>IF(AND(Registro!D207="Abierto",Registro!E207="Urgente"),RANK(B208,$B$9:$B$1000,0)+COUNTIF($B$9:B208,B208)-1,"")</f>
        <v/>
      </c>
      <c r="D208" s="45" t="str">
        <f>IF(AND(Registro!D207="Abierto",Registro!E207="Alta"),Registro!B207,"")</f>
        <v/>
      </c>
      <c r="E208" s="45" t="str">
        <f ca="1">IF(AND(Registro!D207="Abierto",Registro!E207="Alta"),TODAY()-Registro!R207,"")</f>
        <v/>
      </c>
      <c r="F208" s="45" t="str">
        <f>IF(AND(Registro!D207="Abierto",Registro!E207="Alta"),RANK(E208,$E$9:$E$1000,0)+COUNTIF($E$9:E208,E208)-1+MAX(C$5:C$1000),"")</f>
        <v/>
      </c>
      <c r="G208" s="45" t="str">
        <f>IF(AND(Registro!D207="Abierto",Registro!E207="Media"),Registro!B207,"")</f>
        <v/>
      </c>
      <c r="H208" s="45" t="str">
        <f ca="1">IF(AND(Registro!D207="Abierto",Registro!E207="Media"),TODAY()-Registro!R207,"")</f>
        <v/>
      </c>
      <c r="I208" s="45" t="str">
        <f>IF(AND(Registro!D207="Abierto",Registro!E207="Media"),RANK(H208,$H$9:$H$1000,0)+COUNTIF($H$9:H208,H208)-1+MAX(C$5:C$1000,F$5:F$1000),"")</f>
        <v/>
      </c>
      <c r="J208" s="45" t="str">
        <f>IF(AND(Registro!D207="Abierto",Registro!E207="Baja"),Registro!B207,"")</f>
        <v/>
      </c>
      <c r="K208" s="45" t="str">
        <f ca="1">IF(AND(Registro!D207="Abierto",Registro!E207="Baja"),TODAY()-Registro!R207,"")</f>
        <v/>
      </c>
      <c r="L208" s="45" t="str">
        <f>IF(AND(Registro!D207="Abierto",Registro!E207="Baja"),RANK(K208,$K$9:$K$1000,0)+COUNTIF($K$9:K208,K208)-1+MAX(C$5:C$1000,F$5:F$1000,I$5:I$1000),"")</f>
        <v/>
      </c>
      <c r="M208" s="46" t="str">
        <f>IF(OR(Registro!D207="Resuelto",Registro!D207=""),"",SUM(C208,F208,I208,L208))</f>
        <v/>
      </c>
      <c r="N208" s="46" t="str">
        <f>IF(OR(Registro!D207="Resuelto",Registro!D207=""),"",SUM(B208,E208,H208,K208))</f>
        <v/>
      </c>
      <c r="O208" s="46" t="str">
        <f>IF(OR(Registro!D207="Resuelto",Registro!D207=""),"",_xlfn.CONCAT(A208,D208,G208,J208))</f>
        <v/>
      </c>
      <c r="P208" s="47">
        <v>200</v>
      </c>
      <c r="Q208" s="47" t="str">
        <f t="shared" ca="1" si="9"/>
        <v/>
      </c>
      <c r="R208" s="48" t="str">
        <f t="shared" ca="1" si="10"/>
        <v/>
      </c>
      <c r="S208" s="32"/>
      <c r="T208" s="32"/>
      <c r="U208" s="32"/>
      <c r="V208" s="32"/>
      <c r="W208" s="47" t="str">
        <f>IF(X208="","",MAX($W$5:W207)+1)</f>
        <v/>
      </c>
      <c r="X208" s="50" t="str">
        <f>IF(Registro!M207="","",IF(COUNTIF($X$8:X207,Registro!M207)=0,Registro!M207,""))</f>
        <v/>
      </c>
      <c r="Y208" s="50" t="str">
        <f t="shared" si="11"/>
        <v/>
      </c>
    </row>
    <row r="209" spans="1:25">
      <c r="A209" s="45" t="str">
        <f>IF(AND(Registro!D208="Abierto",Registro!E208="Urgente"),Registro!B208,"")</f>
        <v/>
      </c>
      <c r="B209" s="45" t="str">
        <f ca="1">IF(AND(Registro!D208="Abierto",Registro!E208="Urgente"),TODAY()-Registro!R208,"")</f>
        <v/>
      </c>
      <c r="C209" s="45" t="str">
        <f>IF(AND(Registro!D208="Abierto",Registro!E208="Urgente"),RANK(B209,$B$9:$B$1000,0)+COUNTIF($B$9:B209,B209)-1,"")</f>
        <v/>
      </c>
      <c r="D209" s="45" t="str">
        <f>IF(AND(Registro!D208="Abierto",Registro!E208="Alta"),Registro!B208,"")</f>
        <v/>
      </c>
      <c r="E209" s="45" t="str">
        <f ca="1">IF(AND(Registro!D208="Abierto",Registro!E208="Alta"),TODAY()-Registro!R208,"")</f>
        <v/>
      </c>
      <c r="F209" s="45" t="str">
        <f>IF(AND(Registro!D208="Abierto",Registro!E208="Alta"),RANK(E209,$E$9:$E$1000,0)+COUNTIF($E$9:E209,E209)-1+MAX(C$5:C$1000),"")</f>
        <v/>
      </c>
      <c r="G209" s="45" t="str">
        <f>IF(AND(Registro!D208="Abierto",Registro!E208="Media"),Registro!B208,"")</f>
        <v/>
      </c>
      <c r="H209" s="45" t="str">
        <f ca="1">IF(AND(Registro!D208="Abierto",Registro!E208="Media"),TODAY()-Registro!R208,"")</f>
        <v/>
      </c>
      <c r="I209" s="45" t="str">
        <f>IF(AND(Registro!D208="Abierto",Registro!E208="Media"),RANK(H209,$H$9:$H$1000,0)+COUNTIF($H$9:H209,H209)-1+MAX(C$5:C$1000,F$5:F$1000),"")</f>
        <v/>
      </c>
      <c r="J209" s="45" t="str">
        <f>IF(AND(Registro!D208="Abierto",Registro!E208="Baja"),Registro!B208,"")</f>
        <v/>
      </c>
      <c r="K209" s="45" t="str">
        <f ca="1">IF(AND(Registro!D208="Abierto",Registro!E208="Baja"),TODAY()-Registro!R208,"")</f>
        <v/>
      </c>
      <c r="L209" s="45" t="str">
        <f>IF(AND(Registro!D208="Abierto",Registro!E208="Baja"),RANK(K209,$K$9:$K$1000,0)+COUNTIF($K$9:K209,K209)-1+MAX(C$5:C$1000,F$5:F$1000,I$5:I$1000),"")</f>
        <v/>
      </c>
      <c r="M209" s="46" t="str">
        <f>IF(OR(Registro!D208="Resuelto",Registro!D208=""),"",SUM(C209,F209,I209,L209))</f>
        <v/>
      </c>
      <c r="N209" s="46" t="str">
        <f>IF(OR(Registro!D208="Resuelto",Registro!D208=""),"",SUM(B209,E209,H209,K209))</f>
        <v/>
      </c>
      <c r="O209" s="46" t="str">
        <f>IF(OR(Registro!D208="Resuelto",Registro!D208=""),"",_xlfn.CONCAT(A209,D209,G209,J209))</f>
        <v/>
      </c>
      <c r="P209" s="47">
        <v>201</v>
      </c>
      <c r="Q209" s="47" t="str">
        <f t="shared" ca="1" si="9"/>
        <v/>
      </c>
      <c r="R209" s="48" t="str">
        <f t="shared" ca="1" si="10"/>
        <v/>
      </c>
      <c r="S209" s="32"/>
      <c r="T209" s="32"/>
      <c r="U209" s="32"/>
      <c r="V209" s="32"/>
      <c r="W209" s="47" t="str">
        <f>IF(X209="","",MAX($W$5:W208)+1)</f>
        <v/>
      </c>
      <c r="X209" s="50" t="str">
        <f>IF(Registro!M208="","",IF(COUNTIF($X$8:X208,Registro!M208)=0,Registro!M208,""))</f>
        <v/>
      </c>
      <c r="Y209" s="50" t="str">
        <f t="shared" si="11"/>
        <v/>
      </c>
    </row>
    <row r="210" spans="1:25">
      <c r="A210" s="45" t="str">
        <f>IF(AND(Registro!D209="Abierto",Registro!E209="Urgente"),Registro!B209,"")</f>
        <v/>
      </c>
      <c r="B210" s="45" t="str">
        <f ca="1">IF(AND(Registro!D209="Abierto",Registro!E209="Urgente"),TODAY()-Registro!R209,"")</f>
        <v/>
      </c>
      <c r="C210" s="45" t="str">
        <f>IF(AND(Registro!D209="Abierto",Registro!E209="Urgente"),RANK(B210,$B$9:$B$1000,0)+COUNTIF($B$9:B210,B210)-1,"")</f>
        <v/>
      </c>
      <c r="D210" s="45" t="str">
        <f>IF(AND(Registro!D209="Abierto",Registro!E209="Alta"),Registro!B209,"")</f>
        <v/>
      </c>
      <c r="E210" s="45" t="str">
        <f ca="1">IF(AND(Registro!D209="Abierto",Registro!E209="Alta"),TODAY()-Registro!R209,"")</f>
        <v/>
      </c>
      <c r="F210" s="45" t="str">
        <f>IF(AND(Registro!D209="Abierto",Registro!E209="Alta"),RANK(E210,$E$9:$E$1000,0)+COUNTIF($E$9:E210,E210)-1+MAX(C$5:C$1000),"")</f>
        <v/>
      </c>
      <c r="G210" s="45" t="str">
        <f>IF(AND(Registro!D209="Abierto",Registro!E209="Media"),Registro!B209,"")</f>
        <v/>
      </c>
      <c r="H210" s="45" t="str">
        <f ca="1">IF(AND(Registro!D209="Abierto",Registro!E209="Media"),TODAY()-Registro!R209,"")</f>
        <v/>
      </c>
      <c r="I210" s="45" t="str">
        <f>IF(AND(Registro!D209="Abierto",Registro!E209="Media"),RANK(H210,$H$9:$H$1000,0)+COUNTIF($H$9:H210,H210)-1+MAX(C$5:C$1000,F$5:F$1000),"")</f>
        <v/>
      </c>
      <c r="J210" s="45" t="str">
        <f>IF(AND(Registro!D209="Abierto",Registro!E209="Baja"),Registro!B209,"")</f>
        <v/>
      </c>
      <c r="K210" s="45" t="str">
        <f ca="1">IF(AND(Registro!D209="Abierto",Registro!E209="Baja"),TODAY()-Registro!R209,"")</f>
        <v/>
      </c>
      <c r="L210" s="45" t="str">
        <f>IF(AND(Registro!D209="Abierto",Registro!E209="Baja"),RANK(K210,$K$9:$K$1000,0)+COUNTIF($K$9:K210,K210)-1+MAX(C$5:C$1000,F$5:F$1000,I$5:I$1000),"")</f>
        <v/>
      </c>
      <c r="M210" s="46" t="str">
        <f>IF(OR(Registro!D209="Resuelto",Registro!D209=""),"",SUM(C210,F210,I210,L210))</f>
        <v/>
      </c>
      <c r="N210" s="46" t="str">
        <f>IF(OR(Registro!D209="Resuelto",Registro!D209=""),"",SUM(B210,E210,H210,K210))</f>
        <v/>
      </c>
      <c r="O210" s="46" t="str">
        <f>IF(OR(Registro!D209="Resuelto",Registro!D209=""),"",_xlfn.CONCAT(A210,D210,G210,J210))</f>
        <v/>
      </c>
      <c r="P210" s="47">
        <v>202</v>
      </c>
      <c r="Q210" s="47" t="str">
        <f t="shared" ca="1" si="9"/>
        <v/>
      </c>
      <c r="R210" s="48" t="str">
        <f t="shared" ca="1" si="10"/>
        <v/>
      </c>
      <c r="S210" s="32"/>
      <c r="T210" s="32"/>
      <c r="U210" s="32"/>
      <c r="V210" s="32"/>
      <c r="W210" s="47" t="str">
        <f>IF(X210="","",MAX($W$5:W209)+1)</f>
        <v/>
      </c>
      <c r="X210" s="50" t="str">
        <f>IF(Registro!M209="","",IF(COUNTIF($X$8:X209,Registro!M209)=0,Registro!M209,""))</f>
        <v/>
      </c>
      <c r="Y210" s="50" t="str">
        <f t="shared" si="11"/>
        <v/>
      </c>
    </row>
    <row r="211" spans="1:25">
      <c r="A211" s="45" t="str">
        <f>IF(AND(Registro!D210="Abierto",Registro!E210="Urgente"),Registro!B210,"")</f>
        <v/>
      </c>
      <c r="B211" s="45" t="str">
        <f ca="1">IF(AND(Registro!D210="Abierto",Registro!E210="Urgente"),TODAY()-Registro!R210,"")</f>
        <v/>
      </c>
      <c r="C211" s="45" t="str">
        <f>IF(AND(Registro!D210="Abierto",Registro!E210="Urgente"),RANK(B211,$B$9:$B$1000,0)+COUNTIF($B$9:B211,B211)-1,"")</f>
        <v/>
      </c>
      <c r="D211" s="45" t="str">
        <f>IF(AND(Registro!D210="Abierto",Registro!E210="Alta"),Registro!B210,"")</f>
        <v/>
      </c>
      <c r="E211" s="45" t="str">
        <f ca="1">IF(AND(Registro!D210="Abierto",Registro!E210="Alta"),TODAY()-Registro!R210,"")</f>
        <v/>
      </c>
      <c r="F211" s="45" t="str">
        <f>IF(AND(Registro!D210="Abierto",Registro!E210="Alta"),RANK(E211,$E$9:$E$1000,0)+COUNTIF($E$9:E211,E211)-1+MAX(C$5:C$1000),"")</f>
        <v/>
      </c>
      <c r="G211" s="45" t="str">
        <f>IF(AND(Registro!D210="Abierto",Registro!E210="Media"),Registro!B210,"")</f>
        <v/>
      </c>
      <c r="H211" s="45" t="str">
        <f ca="1">IF(AND(Registro!D210="Abierto",Registro!E210="Media"),TODAY()-Registro!R210,"")</f>
        <v/>
      </c>
      <c r="I211" s="45" t="str">
        <f>IF(AND(Registro!D210="Abierto",Registro!E210="Media"),RANK(H211,$H$9:$H$1000,0)+COUNTIF($H$9:H211,H211)-1+MAX(C$5:C$1000,F$5:F$1000),"")</f>
        <v/>
      </c>
      <c r="J211" s="45" t="str">
        <f>IF(AND(Registro!D210="Abierto",Registro!E210="Baja"),Registro!B210,"")</f>
        <v/>
      </c>
      <c r="K211" s="45" t="str">
        <f ca="1">IF(AND(Registro!D210="Abierto",Registro!E210="Baja"),TODAY()-Registro!R210,"")</f>
        <v/>
      </c>
      <c r="L211" s="45" t="str">
        <f>IF(AND(Registro!D210="Abierto",Registro!E210="Baja"),RANK(K211,$K$9:$K$1000,0)+COUNTIF($K$9:K211,K211)-1+MAX(C$5:C$1000,F$5:F$1000,I$5:I$1000),"")</f>
        <v/>
      </c>
      <c r="M211" s="46" t="str">
        <f>IF(OR(Registro!D210="Resuelto",Registro!D210=""),"",SUM(C211,F211,I211,L211))</f>
        <v/>
      </c>
      <c r="N211" s="46" t="str">
        <f>IF(OR(Registro!D210="Resuelto",Registro!D210=""),"",SUM(B211,E211,H211,K211))</f>
        <v/>
      </c>
      <c r="O211" s="46" t="str">
        <f>IF(OR(Registro!D210="Resuelto",Registro!D210=""),"",_xlfn.CONCAT(A211,D211,G211,J211))</f>
        <v/>
      </c>
      <c r="P211" s="47">
        <v>203</v>
      </c>
      <c r="Q211" s="47" t="str">
        <f t="shared" ca="1" si="9"/>
        <v/>
      </c>
      <c r="R211" s="48" t="str">
        <f t="shared" ca="1" si="10"/>
        <v/>
      </c>
      <c r="S211" s="32"/>
      <c r="T211" s="32"/>
      <c r="U211" s="32"/>
      <c r="V211" s="32"/>
      <c r="W211" s="47" t="str">
        <f>IF(X211="","",MAX($W$5:W210)+1)</f>
        <v/>
      </c>
      <c r="X211" s="50" t="str">
        <f>IF(Registro!M210="","",IF(COUNTIF($X$8:X210,Registro!M210)=0,Registro!M210,""))</f>
        <v/>
      </c>
      <c r="Y211" s="50" t="str">
        <f t="shared" si="11"/>
        <v/>
      </c>
    </row>
    <row r="212" spans="1:25">
      <c r="A212" s="45" t="str">
        <f>IF(AND(Registro!D211="Abierto",Registro!E211="Urgente"),Registro!B211,"")</f>
        <v/>
      </c>
      <c r="B212" s="45" t="str">
        <f ca="1">IF(AND(Registro!D211="Abierto",Registro!E211="Urgente"),TODAY()-Registro!R211,"")</f>
        <v/>
      </c>
      <c r="C212" s="45" t="str">
        <f>IF(AND(Registro!D211="Abierto",Registro!E211="Urgente"),RANK(B212,$B$9:$B$1000,0)+COUNTIF($B$9:B212,B212)-1,"")</f>
        <v/>
      </c>
      <c r="D212" s="45" t="str">
        <f>IF(AND(Registro!D211="Abierto",Registro!E211="Alta"),Registro!B211,"")</f>
        <v/>
      </c>
      <c r="E212" s="45" t="str">
        <f ca="1">IF(AND(Registro!D211="Abierto",Registro!E211="Alta"),TODAY()-Registro!R211,"")</f>
        <v/>
      </c>
      <c r="F212" s="45" t="str">
        <f>IF(AND(Registro!D211="Abierto",Registro!E211="Alta"),RANK(E212,$E$9:$E$1000,0)+COUNTIF($E$9:E212,E212)-1+MAX(C$5:C$1000),"")</f>
        <v/>
      </c>
      <c r="G212" s="45" t="str">
        <f>IF(AND(Registro!D211="Abierto",Registro!E211="Media"),Registro!B211,"")</f>
        <v/>
      </c>
      <c r="H212" s="45" t="str">
        <f ca="1">IF(AND(Registro!D211="Abierto",Registro!E211="Media"),TODAY()-Registro!R211,"")</f>
        <v/>
      </c>
      <c r="I212" s="45" t="str">
        <f>IF(AND(Registro!D211="Abierto",Registro!E211="Media"),RANK(H212,$H$9:$H$1000,0)+COUNTIF($H$9:H212,H212)-1+MAX(C$5:C$1000,F$5:F$1000),"")</f>
        <v/>
      </c>
      <c r="J212" s="45" t="str">
        <f>IF(AND(Registro!D211="Abierto",Registro!E211="Baja"),Registro!B211,"")</f>
        <v/>
      </c>
      <c r="K212" s="45" t="str">
        <f ca="1">IF(AND(Registro!D211="Abierto",Registro!E211="Baja"),TODAY()-Registro!R211,"")</f>
        <v/>
      </c>
      <c r="L212" s="45" t="str">
        <f>IF(AND(Registro!D211="Abierto",Registro!E211="Baja"),RANK(K212,$K$9:$K$1000,0)+COUNTIF($K$9:K212,K212)-1+MAX(C$5:C$1000,F$5:F$1000,I$5:I$1000),"")</f>
        <v/>
      </c>
      <c r="M212" s="46" t="str">
        <f>IF(OR(Registro!D211="Resuelto",Registro!D211=""),"",SUM(C212,F212,I212,L212))</f>
        <v/>
      </c>
      <c r="N212" s="46" t="str">
        <f>IF(OR(Registro!D211="Resuelto",Registro!D211=""),"",SUM(B212,E212,H212,K212))</f>
        <v/>
      </c>
      <c r="O212" s="46" t="str">
        <f>IF(OR(Registro!D211="Resuelto",Registro!D211=""),"",_xlfn.CONCAT(A212,D212,G212,J212))</f>
        <v/>
      </c>
      <c r="P212" s="47">
        <v>204</v>
      </c>
      <c r="Q212" s="47" t="str">
        <f t="shared" ca="1" si="9"/>
        <v/>
      </c>
      <c r="R212" s="48" t="str">
        <f t="shared" ca="1" si="10"/>
        <v/>
      </c>
      <c r="S212" s="32"/>
      <c r="T212" s="32"/>
      <c r="U212" s="32"/>
      <c r="V212" s="32"/>
      <c r="W212" s="47" t="str">
        <f>IF(X212="","",MAX($W$5:W211)+1)</f>
        <v/>
      </c>
      <c r="X212" s="50" t="str">
        <f>IF(Registro!M211="","",IF(COUNTIF($X$8:X211,Registro!M211)=0,Registro!M211,""))</f>
        <v/>
      </c>
      <c r="Y212" s="50" t="str">
        <f t="shared" si="11"/>
        <v/>
      </c>
    </row>
    <row r="213" spans="1:25">
      <c r="A213" s="45" t="str">
        <f>IF(AND(Registro!D212="Abierto",Registro!E212="Urgente"),Registro!B212,"")</f>
        <v/>
      </c>
      <c r="B213" s="45" t="str">
        <f ca="1">IF(AND(Registro!D212="Abierto",Registro!E212="Urgente"),TODAY()-Registro!R212,"")</f>
        <v/>
      </c>
      <c r="C213" s="45" t="str">
        <f>IF(AND(Registro!D212="Abierto",Registro!E212="Urgente"),RANK(B213,$B$9:$B$1000,0)+COUNTIF($B$9:B213,B213)-1,"")</f>
        <v/>
      </c>
      <c r="D213" s="45" t="str">
        <f>IF(AND(Registro!D212="Abierto",Registro!E212="Alta"),Registro!B212,"")</f>
        <v/>
      </c>
      <c r="E213" s="45" t="str">
        <f ca="1">IF(AND(Registro!D212="Abierto",Registro!E212="Alta"),TODAY()-Registro!R212,"")</f>
        <v/>
      </c>
      <c r="F213" s="45" t="str">
        <f>IF(AND(Registro!D212="Abierto",Registro!E212="Alta"),RANK(E213,$E$9:$E$1000,0)+COUNTIF($E$9:E213,E213)-1+MAX(C$5:C$1000),"")</f>
        <v/>
      </c>
      <c r="G213" s="45" t="str">
        <f>IF(AND(Registro!D212="Abierto",Registro!E212="Media"),Registro!B212,"")</f>
        <v/>
      </c>
      <c r="H213" s="45" t="str">
        <f ca="1">IF(AND(Registro!D212="Abierto",Registro!E212="Media"),TODAY()-Registro!R212,"")</f>
        <v/>
      </c>
      <c r="I213" s="45" t="str">
        <f>IF(AND(Registro!D212="Abierto",Registro!E212="Media"),RANK(H213,$H$9:$H$1000,0)+COUNTIF($H$9:H213,H213)-1+MAX(C$5:C$1000,F$5:F$1000),"")</f>
        <v/>
      </c>
      <c r="J213" s="45" t="str">
        <f>IF(AND(Registro!D212="Abierto",Registro!E212="Baja"),Registro!B212,"")</f>
        <v/>
      </c>
      <c r="K213" s="45" t="str">
        <f ca="1">IF(AND(Registro!D212="Abierto",Registro!E212="Baja"),TODAY()-Registro!R212,"")</f>
        <v/>
      </c>
      <c r="L213" s="45" t="str">
        <f>IF(AND(Registro!D212="Abierto",Registro!E212="Baja"),RANK(K213,$K$9:$K$1000,0)+COUNTIF($K$9:K213,K213)-1+MAX(C$5:C$1000,F$5:F$1000,I$5:I$1000),"")</f>
        <v/>
      </c>
      <c r="M213" s="46" t="str">
        <f>IF(OR(Registro!D212="Resuelto",Registro!D212=""),"",SUM(C213,F213,I213,L213))</f>
        <v/>
      </c>
      <c r="N213" s="46" t="str">
        <f>IF(OR(Registro!D212="Resuelto",Registro!D212=""),"",SUM(B213,E213,H213,K213))</f>
        <v/>
      </c>
      <c r="O213" s="46" t="str">
        <f>IF(OR(Registro!D212="Resuelto",Registro!D212=""),"",_xlfn.CONCAT(A213,D213,G213,J213))</f>
        <v/>
      </c>
      <c r="P213" s="47">
        <v>205</v>
      </c>
      <c r="Q213" s="47" t="str">
        <f t="shared" ca="1" si="9"/>
        <v/>
      </c>
      <c r="R213" s="48" t="str">
        <f t="shared" ca="1" si="10"/>
        <v/>
      </c>
      <c r="S213" s="32"/>
      <c r="T213" s="32"/>
      <c r="U213" s="32"/>
      <c r="V213" s="32"/>
      <c r="W213" s="47" t="str">
        <f>IF(X213="","",MAX($W$5:W212)+1)</f>
        <v/>
      </c>
      <c r="X213" s="50" t="str">
        <f>IF(Registro!M212="","",IF(COUNTIF($X$8:X212,Registro!M212)=0,Registro!M212,""))</f>
        <v/>
      </c>
      <c r="Y213" s="50" t="str">
        <f t="shared" si="11"/>
        <v/>
      </c>
    </row>
    <row r="214" spans="1:25">
      <c r="A214" s="45" t="str">
        <f>IF(AND(Registro!D213="Abierto",Registro!E213="Urgente"),Registro!B213,"")</f>
        <v/>
      </c>
      <c r="B214" s="45" t="str">
        <f ca="1">IF(AND(Registro!D213="Abierto",Registro!E213="Urgente"),TODAY()-Registro!R213,"")</f>
        <v/>
      </c>
      <c r="C214" s="45" t="str">
        <f>IF(AND(Registro!D213="Abierto",Registro!E213="Urgente"),RANK(B214,$B$9:$B$1000,0)+COUNTIF($B$9:B214,B214)-1,"")</f>
        <v/>
      </c>
      <c r="D214" s="45" t="str">
        <f>IF(AND(Registro!D213="Abierto",Registro!E213="Alta"),Registro!B213,"")</f>
        <v/>
      </c>
      <c r="E214" s="45" t="str">
        <f ca="1">IF(AND(Registro!D213="Abierto",Registro!E213="Alta"),TODAY()-Registro!R213,"")</f>
        <v/>
      </c>
      <c r="F214" s="45" t="str">
        <f>IF(AND(Registro!D213="Abierto",Registro!E213="Alta"),RANK(E214,$E$9:$E$1000,0)+COUNTIF($E$9:E214,E214)-1+MAX(C$5:C$1000),"")</f>
        <v/>
      </c>
      <c r="G214" s="45" t="str">
        <f>IF(AND(Registro!D213="Abierto",Registro!E213="Media"),Registro!B213,"")</f>
        <v/>
      </c>
      <c r="H214" s="45" t="str">
        <f ca="1">IF(AND(Registro!D213="Abierto",Registro!E213="Media"),TODAY()-Registro!R213,"")</f>
        <v/>
      </c>
      <c r="I214" s="45" t="str">
        <f>IF(AND(Registro!D213="Abierto",Registro!E213="Media"),RANK(H214,$H$9:$H$1000,0)+COUNTIF($H$9:H214,H214)-1+MAX(C$5:C$1000,F$5:F$1000),"")</f>
        <v/>
      </c>
      <c r="J214" s="45" t="str">
        <f>IF(AND(Registro!D213="Abierto",Registro!E213="Baja"),Registro!B213,"")</f>
        <v/>
      </c>
      <c r="K214" s="45" t="str">
        <f ca="1">IF(AND(Registro!D213="Abierto",Registro!E213="Baja"),TODAY()-Registro!R213,"")</f>
        <v/>
      </c>
      <c r="L214" s="45" t="str">
        <f>IF(AND(Registro!D213="Abierto",Registro!E213="Baja"),RANK(K214,$K$9:$K$1000,0)+COUNTIF($K$9:K214,K214)-1+MAX(C$5:C$1000,F$5:F$1000,I$5:I$1000),"")</f>
        <v/>
      </c>
      <c r="M214" s="46" t="str">
        <f>IF(OR(Registro!D213="Resuelto",Registro!D213=""),"",SUM(C214,F214,I214,L214))</f>
        <v/>
      </c>
      <c r="N214" s="46" t="str">
        <f>IF(OR(Registro!D213="Resuelto",Registro!D213=""),"",SUM(B214,E214,H214,K214))</f>
        <v/>
      </c>
      <c r="O214" s="46" t="str">
        <f>IF(OR(Registro!D213="Resuelto",Registro!D213=""),"",_xlfn.CONCAT(A214,D214,G214,J214))</f>
        <v/>
      </c>
      <c r="P214" s="47">
        <v>206</v>
      </c>
      <c r="Q214" s="47" t="str">
        <f t="shared" ca="1" si="9"/>
        <v/>
      </c>
      <c r="R214" s="48" t="str">
        <f t="shared" ca="1" si="10"/>
        <v/>
      </c>
      <c r="S214" s="32"/>
      <c r="T214" s="32"/>
      <c r="U214" s="32"/>
      <c r="V214" s="32"/>
      <c r="W214" s="47" t="str">
        <f>IF(X214="","",MAX($W$5:W213)+1)</f>
        <v/>
      </c>
      <c r="X214" s="50" t="str">
        <f>IF(Registro!M213="","",IF(COUNTIF($X$8:X213,Registro!M213)=0,Registro!M213,""))</f>
        <v/>
      </c>
      <c r="Y214" s="50" t="str">
        <f t="shared" si="11"/>
        <v/>
      </c>
    </row>
    <row r="215" spans="1:25">
      <c r="A215" s="45" t="str">
        <f>IF(AND(Registro!D214="Abierto",Registro!E214="Urgente"),Registro!B214,"")</f>
        <v/>
      </c>
      <c r="B215" s="45" t="str">
        <f ca="1">IF(AND(Registro!D214="Abierto",Registro!E214="Urgente"),TODAY()-Registro!R214,"")</f>
        <v/>
      </c>
      <c r="C215" s="45" t="str">
        <f>IF(AND(Registro!D214="Abierto",Registro!E214="Urgente"),RANK(B215,$B$9:$B$1000,0)+COUNTIF($B$9:B215,B215)-1,"")</f>
        <v/>
      </c>
      <c r="D215" s="45" t="str">
        <f>IF(AND(Registro!D214="Abierto",Registro!E214="Alta"),Registro!B214,"")</f>
        <v/>
      </c>
      <c r="E215" s="45" t="str">
        <f ca="1">IF(AND(Registro!D214="Abierto",Registro!E214="Alta"),TODAY()-Registro!R214,"")</f>
        <v/>
      </c>
      <c r="F215" s="45" t="str">
        <f>IF(AND(Registro!D214="Abierto",Registro!E214="Alta"),RANK(E215,$E$9:$E$1000,0)+COUNTIF($E$9:E215,E215)-1+MAX(C$5:C$1000),"")</f>
        <v/>
      </c>
      <c r="G215" s="45" t="str">
        <f>IF(AND(Registro!D214="Abierto",Registro!E214="Media"),Registro!B214,"")</f>
        <v/>
      </c>
      <c r="H215" s="45" t="str">
        <f ca="1">IF(AND(Registro!D214="Abierto",Registro!E214="Media"),TODAY()-Registro!R214,"")</f>
        <v/>
      </c>
      <c r="I215" s="45" t="str">
        <f>IF(AND(Registro!D214="Abierto",Registro!E214="Media"),RANK(H215,$H$9:$H$1000,0)+COUNTIF($H$9:H215,H215)-1+MAX(C$5:C$1000,F$5:F$1000),"")</f>
        <v/>
      </c>
      <c r="J215" s="45" t="str">
        <f>IF(AND(Registro!D214="Abierto",Registro!E214="Baja"),Registro!B214,"")</f>
        <v/>
      </c>
      <c r="K215" s="45" t="str">
        <f ca="1">IF(AND(Registro!D214="Abierto",Registro!E214="Baja"),TODAY()-Registro!R214,"")</f>
        <v/>
      </c>
      <c r="L215" s="45" t="str">
        <f>IF(AND(Registro!D214="Abierto",Registro!E214="Baja"),RANK(K215,$K$9:$K$1000,0)+COUNTIF($K$9:K215,K215)-1+MAX(C$5:C$1000,F$5:F$1000,I$5:I$1000),"")</f>
        <v/>
      </c>
      <c r="M215" s="46" t="str">
        <f>IF(OR(Registro!D214="Resuelto",Registro!D214=""),"",SUM(C215,F215,I215,L215))</f>
        <v/>
      </c>
      <c r="N215" s="46" t="str">
        <f>IF(OR(Registro!D214="Resuelto",Registro!D214=""),"",SUM(B215,E215,H215,K215))</f>
        <v/>
      </c>
      <c r="O215" s="46" t="str">
        <f>IF(OR(Registro!D214="Resuelto",Registro!D214=""),"",_xlfn.CONCAT(A215,D215,G215,J215))</f>
        <v/>
      </c>
      <c r="P215" s="47">
        <v>207</v>
      </c>
      <c r="Q215" s="47" t="str">
        <f t="shared" ca="1" si="9"/>
        <v/>
      </c>
      <c r="R215" s="48" t="str">
        <f t="shared" ca="1" si="10"/>
        <v/>
      </c>
      <c r="S215" s="32"/>
      <c r="T215" s="32"/>
      <c r="U215" s="32"/>
      <c r="V215" s="32"/>
      <c r="W215" s="47" t="str">
        <f>IF(X215="","",MAX($W$5:W214)+1)</f>
        <v/>
      </c>
      <c r="X215" s="50" t="str">
        <f>IF(Registro!M214="","",IF(COUNTIF($X$8:X214,Registro!M214)=0,Registro!M214,""))</f>
        <v/>
      </c>
      <c r="Y215" s="50" t="str">
        <f t="shared" si="11"/>
        <v/>
      </c>
    </row>
    <row r="216" spans="1:25">
      <c r="A216" s="45" t="str">
        <f>IF(AND(Registro!D215="Abierto",Registro!E215="Urgente"),Registro!B215,"")</f>
        <v/>
      </c>
      <c r="B216" s="45" t="str">
        <f ca="1">IF(AND(Registro!D215="Abierto",Registro!E215="Urgente"),TODAY()-Registro!R215,"")</f>
        <v/>
      </c>
      <c r="C216" s="45" t="str">
        <f>IF(AND(Registro!D215="Abierto",Registro!E215="Urgente"),RANK(B216,$B$9:$B$1000,0)+COUNTIF($B$9:B216,B216)-1,"")</f>
        <v/>
      </c>
      <c r="D216" s="45" t="str">
        <f>IF(AND(Registro!D215="Abierto",Registro!E215="Alta"),Registro!B215,"")</f>
        <v/>
      </c>
      <c r="E216" s="45" t="str">
        <f ca="1">IF(AND(Registro!D215="Abierto",Registro!E215="Alta"),TODAY()-Registro!R215,"")</f>
        <v/>
      </c>
      <c r="F216" s="45" t="str">
        <f>IF(AND(Registro!D215="Abierto",Registro!E215="Alta"),RANK(E216,$E$9:$E$1000,0)+COUNTIF($E$9:E216,E216)-1+MAX(C$5:C$1000),"")</f>
        <v/>
      </c>
      <c r="G216" s="45" t="str">
        <f>IF(AND(Registro!D215="Abierto",Registro!E215="Media"),Registro!B215,"")</f>
        <v/>
      </c>
      <c r="H216" s="45" t="str">
        <f ca="1">IF(AND(Registro!D215="Abierto",Registro!E215="Media"),TODAY()-Registro!R215,"")</f>
        <v/>
      </c>
      <c r="I216" s="45" t="str">
        <f>IF(AND(Registro!D215="Abierto",Registro!E215="Media"),RANK(H216,$H$9:$H$1000,0)+COUNTIF($H$9:H216,H216)-1+MAX(C$5:C$1000,F$5:F$1000),"")</f>
        <v/>
      </c>
      <c r="J216" s="45" t="str">
        <f>IF(AND(Registro!D215="Abierto",Registro!E215="Baja"),Registro!B215,"")</f>
        <v/>
      </c>
      <c r="K216" s="45" t="str">
        <f ca="1">IF(AND(Registro!D215="Abierto",Registro!E215="Baja"),TODAY()-Registro!R215,"")</f>
        <v/>
      </c>
      <c r="L216" s="45" t="str">
        <f>IF(AND(Registro!D215="Abierto",Registro!E215="Baja"),RANK(K216,$K$9:$K$1000,0)+COUNTIF($K$9:K216,K216)-1+MAX(C$5:C$1000,F$5:F$1000,I$5:I$1000),"")</f>
        <v/>
      </c>
      <c r="M216" s="46" t="str">
        <f>IF(OR(Registro!D215="Resuelto",Registro!D215=""),"",SUM(C216,F216,I216,L216))</f>
        <v/>
      </c>
      <c r="N216" s="46" t="str">
        <f>IF(OR(Registro!D215="Resuelto",Registro!D215=""),"",SUM(B216,E216,H216,K216))</f>
        <v/>
      </c>
      <c r="O216" s="46" t="str">
        <f>IF(OR(Registro!D215="Resuelto",Registro!D215=""),"",_xlfn.CONCAT(A216,D216,G216,J216))</f>
        <v/>
      </c>
      <c r="P216" s="47">
        <v>208</v>
      </c>
      <c r="Q216" s="47" t="str">
        <f t="shared" ca="1" si="9"/>
        <v/>
      </c>
      <c r="R216" s="48" t="str">
        <f t="shared" ca="1" si="10"/>
        <v/>
      </c>
      <c r="S216" s="32"/>
      <c r="T216" s="32"/>
      <c r="U216" s="32"/>
      <c r="V216" s="32"/>
      <c r="W216" s="47" t="str">
        <f>IF(X216="","",MAX($W$5:W215)+1)</f>
        <v/>
      </c>
      <c r="X216" s="50" t="str">
        <f>IF(Registro!M215="","",IF(COUNTIF($X$8:X215,Registro!M215)=0,Registro!M215,""))</f>
        <v/>
      </c>
      <c r="Y216" s="50" t="str">
        <f t="shared" si="11"/>
        <v/>
      </c>
    </row>
    <row r="217" spans="1:25">
      <c r="A217" s="45" t="str">
        <f>IF(AND(Registro!D216="Abierto",Registro!E216="Urgente"),Registro!B216,"")</f>
        <v/>
      </c>
      <c r="B217" s="45" t="str">
        <f ca="1">IF(AND(Registro!D216="Abierto",Registro!E216="Urgente"),TODAY()-Registro!R216,"")</f>
        <v/>
      </c>
      <c r="C217" s="45" t="str">
        <f>IF(AND(Registro!D216="Abierto",Registro!E216="Urgente"),RANK(B217,$B$9:$B$1000,0)+COUNTIF($B$9:B217,B217)-1,"")</f>
        <v/>
      </c>
      <c r="D217" s="45" t="str">
        <f>IF(AND(Registro!D216="Abierto",Registro!E216="Alta"),Registro!B216,"")</f>
        <v/>
      </c>
      <c r="E217" s="45" t="str">
        <f ca="1">IF(AND(Registro!D216="Abierto",Registro!E216="Alta"),TODAY()-Registro!R216,"")</f>
        <v/>
      </c>
      <c r="F217" s="45" t="str">
        <f>IF(AND(Registro!D216="Abierto",Registro!E216="Alta"),RANK(E217,$E$9:$E$1000,0)+COUNTIF($E$9:E217,E217)-1+MAX(C$5:C$1000),"")</f>
        <v/>
      </c>
      <c r="G217" s="45" t="str">
        <f>IF(AND(Registro!D216="Abierto",Registro!E216="Media"),Registro!B216,"")</f>
        <v/>
      </c>
      <c r="H217" s="45" t="str">
        <f ca="1">IF(AND(Registro!D216="Abierto",Registro!E216="Media"),TODAY()-Registro!R216,"")</f>
        <v/>
      </c>
      <c r="I217" s="45" t="str">
        <f>IF(AND(Registro!D216="Abierto",Registro!E216="Media"),RANK(H217,$H$9:$H$1000,0)+COUNTIF($H$9:H217,H217)-1+MAX(C$5:C$1000,F$5:F$1000),"")</f>
        <v/>
      </c>
      <c r="J217" s="45" t="str">
        <f>IF(AND(Registro!D216="Abierto",Registro!E216="Baja"),Registro!B216,"")</f>
        <v/>
      </c>
      <c r="K217" s="45" t="str">
        <f ca="1">IF(AND(Registro!D216="Abierto",Registro!E216="Baja"),TODAY()-Registro!R216,"")</f>
        <v/>
      </c>
      <c r="L217" s="45" t="str">
        <f>IF(AND(Registro!D216="Abierto",Registro!E216="Baja"),RANK(K217,$K$9:$K$1000,0)+COUNTIF($K$9:K217,K217)-1+MAX(C$5:C$1000,F$5:F$1000,I$5:I$1000),"")</f>
        <v/>
      </c>
      <c r="M217" s="46" t="str">
        <f>IF(OR(Registro!D216="Resuelto",Registro!D216=""),"",SUM(C217,F217,I217,L217))</f>
        <v/>
      </c>
      <c r="N217" s="46" t="str">
        <f>IF(OR(Registro!D216="Resuelto",Registro!D216=""),"",SUM(B217,E217,H217,K217))</f>
        <v/>
      </c>
      <c r="O217" s="46" t="str">
        <f>IF(OR(Registro!D216="Resuelto",Registro!D216=""),"",_xlfn.CONCAT(A217,D217,G217,J217))</f>
        <v/>
      </c>
      <c r="P217" s="47">
        <v>209</v>
      </c>
      <c r="Q217" s="47" t="str">
        <f t="shared" ca="1" si="9"/>
        <v/>
      </c>
      <c r="R217" s="48" t="str">
        <f t="shared" ca="1" si="10"/>
        <v/>
      </c>
      <c r="S217" s="32"/>
      <c r="T217" s="32"/>
      <c r="U217" s="32"/>
      <c r="V217" s="32"/>
      <c r="W217" s="47" t="str">
        <f>IF(X217="","",MAX($W$5:W216)+1)</f>
        <v/>
      </c>
      <c r="X217" s="50" t="str">
        <f>IF(Registro!M216="","",IF(COUNTIF($X$8:X216,Registro!M216)=0,Registro!M216,""))</f>
        <v/>
      </c>
      <c r="Y217" s="50" t="str">
        <f t="shared" si="11"/>
        <v/>
      </c>
    </row>
    <row r="218" spans="1:25">
      <c r="A218" s="45" t="str">
        <f>IF(AND(Registro!D217="Abierto",Registro!E217="Urgente"),Registro!B217,"")</f>
        <v/>
      </c>
      <c r="B218" s="45" t="str">
        <f ca="1">IF(AND(Registro!D217="Abierto",Registro!E217="Urgente"),TODAY()-Registro!R217,"")</f>
        <v/>
      </c>
      <c r="C218" s="45" t="str">
        <f>IF(AND(Registro!D217="Abierto",Registro!E217="Urgente"),RANK(B218,$B$9:$B$1000,0)+COUNTIF($B$9:B218,B218)-1,"")</f>
        <v/>
      </c>
      <c r="D218" s="45" t="str">
        <f>IF(AND(Registro!D217="Abierto",Registro!E217="Alta"),Registro!B217,"")</f>
        <v/>
      </c>
      <c r="E218" s="45" t="str">
        <f ca="1">IF(AND(Registro!D217="Abierto",Registro!E217="Alta"),TODAY()-Registro!R217,"")</f>
        <v/>
      </c>
      <c r="F218" s="45" t="str">
        <f>IF(AND(Registro!D217="Abierto",Registro!E217="Alta"),RANK(E218,$E$9:$E$1000,0)+COUNTIF($E$9:E218,E218)-1+MAX(C$5:C$1000),"")</f>
        <v/>
      </c>
      <c r="G218" s="45" t="str">
        <f>IF(AND(Registro!D217="Abierto",Registro!E217="Media"),Registro!B217,"")</f>
        <v/>
      </c>
      <c r="H218" s="45" t="str">
        <f ca="1">IF(AND(Registro!D217="Abierto",Registro!E217="Media"),TODAY()-Registro!R217,"")</f>
        <v/>
      </c>
      <c r="I218" s="45" t="str">
        <f>IF(AND(Registro!D217="Abierto",Registro!E217="Media"),RANK(H218,$H$9:$H$1000,0)+COUNTIF($H$9:H218,H218)-1+MAX(C$5:C$1000,F$5:F$1000),"")</f>
        <v/>
      </c>
      <c r="J218" s="45" t="str">
        <f>IF(AND(Registro!D217="Abierto",Registro!E217="Baja"),Registro!B217,"")</f>
        <v/>
      </c>
      <c r="K218" s="45" t="str">
        <f ca="1">IF(AND(Registro!D217="Abierto",Registro!E217="Baja"),TODAY()-Registro!R217,"")</f>
        <v/>
      </c>
      <c r="L218" s="45" t="str">
        <f>IF(AND(Registro!D217="Abierto",Registro!E217="Baja"),RANK(K218,$K$9:$K$1000,0)+COUNTIF($K$9:K218,K218)-1+MAX(C$5:C$1000,F$5:F$1000,I$5:I$1000),"")</f>
        <v/>
      </c>
      <c r="M218" s="46" t="str">
        <f>IF(OR(Registro!D217="Resuelto",Registro!D217=""),"",SUM(C218,F218,I218,L218))</f>
        <v/>
      </c>
      <c r="N218" s="46" t="str">
        <f>IF(OR(Registro!D217="Resuelto",Registro!D217=""),"",SUM(B218,E218,H218,K218))</f>
        <v/>
      </c>
      <c r="O218" s="46" t="str">
        <f>IF(OR(Registro!D217="Resuelto",Registro!D217=""),"",_xlfn.CONCAT(A218,D218,G218,J218))</f>
        <v/>
      </c>
      <c r="P218" s="47">
        <v>210</v>
      </c>
      <c r="Q218" s="47" t="str">
        <f t="shared" ca="1" si="9"/>
        <v/>
      </c>
      <c r="R218" s="48" t="str">
        <f t="shared" ca="1" si="10"/>
        <v/>
      </c>
      <c r="S218" s="32"/>
      <c r="T218" s="32"/>
      <c r="U218" s="32"/>
      <c r="V218" s="32"/>
      <c r="W218" s="47" t="str">
        <f>IF(X218="","",MAX($W$5:W217)+1)</f>
        <v/>
      </c>
      <c r="X218" s="50" t="str">
        <f>IF(Registro!M217="","",IF(COUNTIF($X$8:X217,Registro!M217)=0,Registro!M217,""))</f>
        <v/>
      </c>
      <c r="Y218" s="50" t="str">
        <f t="shared" si="11"/>
        <v/>
      </c>
    </row>
    <row r="219" spans="1:25">
      <c r="A219" s="45" t="str">
        <f>IF(AND(Registro!D218="Abierto",Registro!E218="Urgente"),Registro!B218,"")</f>
        <v/>
      </c>
      <c r="B219" s="45" t="str">
        <f ca="1">IF(AND(Registro!D218="Abierto",Registro!E218="Urgente"),TODAY()-Registro!R218,"")</f>
        <v/>
      </c>
      <c r="C219" s="45" t="str">
        <f>IF(AND(Registro!D218="Abierto",Registro!E218="Urgente"),RANK(B219,$B$9:$B$1000,0)+COUNTIF($B$9:B219,B219)-1,"")</f>
        <v/>
      </c>
      <c r="D219" s="45" t="str">
        <f>IF(AND(Registro!D218="Abierto",Registro!E218="Alta"),Registro!B218,"")</f>
        <v/>
      </c>
      <c r="E219" s="45" t="str">
        <f ca="1">IF(AND(Registro!D218="Abierto",Registro!E218="Alta"),TODAY()-Registro!R218,"")</f>
        <v/>
      </c>
      <c r="F219" s="45" t="str">
        <f>IF(AND(Registro!D218="Abierto",Registro!E218="Alta"),RANK(E219,$E$9:$E$1000,0)+COUNTIF($E$9:E219,E219)-1+MAX(C$5:C$1000),"")</f>
        <v/>
      </c>
      <c r="G219" s="45" t="str">
        <f>IF(AND(Registro!D218="Abierto",Registro!E218="Media"),Registro!B218,"")</f>
        <v/>
      </c>
      <c r="H219" s="45" t="str">
        <f ca="1">IF(AND(Registro!D218="Abierto",Registro!E218="Media"),TODAY()-Registro!R218,"")</f>
        <v/>
      </c>
      <c r="I219" s="45" t="str">
        <f>IF(AND(Registro!D218="Abierto",Registro!E218="Media"),RANK(H219,$H$9:$H$1000,0)+COUNTIF($H$9:H219,H219)-1+MAX(C$5:C$1000,F$5:F$1000),"")</f>
        <v/>
      </c>
      <c r="J219" s="45" t="str">
        <f>IF(AND(Registro!D218="Abierto",Registro!E218="Baja"),Registro!B218,"")</f>
        <v/>
      </c>
      <c r="K219" s="45" t="str">
        <f ca="1">IF(AND(Registro!D218="Abierto",Registro!E218="Baja"),TODAY()-Registro!R218,"")</f>
        <v/>
      </c>
      <c r="L219" s="45" t="str">
        <f>IF(AND(Registro!D218="Abierto",Registro!E218="Baja"),RANK(K219,$K$9:$K$1000,0)+COUNTIF($K$9:K219,K219)-1+MAX(C$5:C$1000,F$5:F$1000,I$5:I$1000),"")</f>
        <v/>
      </c>
      <c r="M219" s="46" t="str">
        <f>IF(OR(Registro!D218="Resuelto",Registro!D218=""),"",SUM(C219,F219,I219,L219))</f>
        <v/>
      </c>
      <c r="N219" s="46" t="str">
        <f>IF(OR(Registro!D218="Resuelto",Registro!D218=""),"",SUM(B219,E219,H219,K219))</f>
        <v/>
      </c>
      <c r="O219" s="46" t="str">
        <f>IF(OR(Registro!D218="Resuelto",Registro!D218=""),"",_xlfn.CONCAT(A219,D219,G219,J219))</f>
        <v/>
      </c>
      <c r="P219" s="47">
        <v>211</v>
      </c>
      <c r="Q219" s="47" t="str">
        <f t="shared" ca="1" si="9"/>
        <v/>
      </c>
      <c r="R219" s="48" t="str">
        <f t="shared" ca="1" si="10"/>
        <v/>
      </c>
      <c r="S219" s="32"/>
      <c r="T219" s="32"/>
      <c r="U219" s="32"/>
      <c r="V219" s="32"/>
      <c r="W219" s="47" t="str">
        <f>IF(X219="","",MAX($W$5:W218)+1)</f>
        <v/>
      </c>
      <c r="X219" s="50" t="str">
        <f>IF(Registro!M218="","",IF(COUNTIF($X$8:X218,Registro!M218)=0,Registro!M218,""))</f>
        <v/>
      </c>
      <c r="Y219" s="50" t="str">
        <f t="shared" si="11"/>
        <v/>
      </c>
    </row>
    <row r="220" spans="1:25">
      <c r="A220" s="45" t="str">
        <f>IF(AND(Registro!D219="Abierto",Registro!E219="Urgente"),Registro!B219,"")</f>
        <v/>
      </c>
      <c r="B220" s="45" t="str">
        <f ca="1">IF(AND(Registro!D219="Abierto",Registro!E219="Urgente"),TODAY()-Registro!R219,"")</f>
        <v/>
      </c>
      <c r="C220" s="45" t="str">
        <f>IF(AND(Registro!D219="Abierto",Registro!E219="Urgente"),RANK(B220,$B$9:$B$1000,0)+COUNTIF($B$9:B220,B220)-1,"")</f>
        <v/>
      </c>
      <c r="D220" s="45" t="str">
        <f>IF(AND(Registro!D219="Abierto",Registro!E219="Alta"),Registro!B219,"")</f>
        <v/>
      </c>
      <c r="E220" s="45" t="str">
        <f ca="1">IF(AND(Registro!D219="Abierto",Registro!E219="Alta"),TODAY()-Registro!R219,"")</f>
        <v/>
      </c>
      <c r="F220" s="45" t="str">
        <f>IF(AND(Registro!D219="Abierto",Registro!E219="Alta"),RANK(E220,$E$9:$E$1000,0)+COUNTIF($E$9:E220,E220)-1+MAX(C$5:C$1000),"")</f>
        <v/>
      </c>
      <c r="G220" s="45" t="str">
        <f>IF(AND(Registro!D219="Abierto",Registro!E219="Media"),Registro!B219,"")</f>
        <v/>
      </c>
      <c r="H220" s="45" t="str">
        <f ca="1">IF(AND(Registro!D219="Abierto",Registro!E219="Media"),TODAY()-Registro!R219,"")</f>
        <v/>
      </c>
      <c r="I220" s="45" t="str">
        <f>IF(AND(Registro!D219="Abierto",Registro!E219="Media"),RANK(H220,$H$9:$H$1000,0)+COUNTIF($H$9:H220,H220)-1+MAX(C$5:C$1000,F$5:F$1000),"")</f>
        <v/>
      </c>
      <c r="J220" s="45" t="str">
        <f>IF(AND(Registro!D219="Abierto",Registro!E219="Baja"),Registro!B219,"")</f>
        <v/>
      </c>
      <c r="K220" s="45" t="str">
        <f ca="1">IF(AND(Registro!D219="Abierto",Registro!E219="Baja"),TODAY()-Registro!R219,"")</f>
        <v/>
      </c>
      <c r="L220" s="45" t="str">
        <f>IF(AND(Registro!D219="Abierto",Registro!E219="Baja"),RANK(K220,$K$9:$K$1000,0)+COUNTIF($K$9:K220,K220)-1+MAX(C$5:C$1000,F$5:F$1000,I$5:I$1000),"")</f>
        <v/>
      </c>
      <c r="M220" s="46" t="str">
        <f>IF(OR(Registro!D219="Resuelto",Registro!D219=""),"",SUM(C220,F220,I220,L220))</f>
        <v/>
      </c>
      <c r="N220" s="46" t="str">
        <f>IF(OR(Registro!D219="Resuelto",Registro!D219=""),"",SUM(B220,E220,H220,K220))</f>
        <v/>
      </c>
      <c r="O220" s="46" t="str">
        <f>IF(OR(Registro!D219="Resuelto",Registro!D219=""),"",_xlfn.CONCAT(A220,D220,G220,J220))</f>
        <v/>
      </c>
      <c r="P220" s="47">
        <v>212</v>
      </c>
      <c r="Q220" s="47" t="str">
        <f t="shared" ca="1" si="9"/>
        <v/>
      </c>
      <c r="R220" s="48" t="str">
        <f t="shared" ca="1" si="10"/>
        <v/>
      </c>
      <c r="S220" s="32"/>
      <c r="T220" s="32"/>
      <c r="U220" s="32"/>
      <c r="V220" s="32"/>
      <c r="W220" s="47" t="str">
        <f>IF(X220="","",MAX($W$5:W219)+1)</f>
        <v/>
      </c>
      <c r="X220" s="50" t="str">
        <f>IF(Registro!M219="","",IF(COUNTIF($X$8:X219,Registro!M219)=0,Registro!M219,""))</f>
        <v/>
      </c>
      <c r="Y220" s="50" t="str">
        <f t="shared" si="11"/>
        <v/>
      </c>
    </row>
    <row r="221" spans="1:25">
      <c r="A221" s="45" t="str">
        <f>IF(AND(Registro!D220="Abierto",Registro!E220="Urgente"),Registro!B220,"")</f>
        <v/>
      </c>
      <c r="B221" s="45" t="str">
        <f ca="1">IF(AND(Registro!D220="Abierto",Registro!E220="Urgente"),TODAY()-Registro!R220,"")</f>
        <v/>
      </c>
      <c r="C221" s="45" t="str">
        <f>IF(AND(Registro!D220="Abierto",Registro!E220="Urgente"),RANK(B221,$B$9:$B$1000,0)+COUNTIF($B$9:B221,B221)-1,"")</f>
        <v/>
      </c>
      <c r="D221" s="45" t="str">
        <f>IF(AND(Registro!D220="Abierto",Registro!E220="Alta"),Registro!B220,"")</f>
        <v/>
      </c>
      <c r="E221" s="45" t="str">
        <f ca="1">IF(AND(Registro!D220="Abierto",Registro!E220="Alta"),TODAY()-Registro!R220,"")</f>
        <v/>
      </c>
      <c r="F221" s="45" t="str">
        <f>IF(AND(Registro!D220="Abierto",Registro!E220="Alta"),RANK(E221,$E$9:$E$1000,0)+COUNTIF($E$9:E221,E221)-1+MAX(C$5:C$1000),"")</f>
        <v/>
      </c>
      <c r="G221" s="45" t="str">
        <f>IF(AND(Registro!D220="Abierto",Registro!E220="Media"),Registro!B220,"")</f>
        <v/>
      </c>
      <c r="H221" s="45" t="str">
        <f ca="1">IF(AND(Registro!D220="Abierto",Registro!E220="Media"),TODAY()-Registro!R220,"")</f>
        <v/>
      </c>
      <c r="I221" s="45" t="str">
        <f>IF(AND(Registro!D220="Abierto",Registro!E220="Media"),RANK(H221,$H$9:$H$1000,0)+COUNTIF($H$9:H221,H221)-1+MAX(C$5:C$1000,F$5:F$1000),"")</f>
        <v/>
      </c>
      <c r="J221" s="45" t="str">
        <f>IF(AND(Registro!D220="Abierto",Registro!E220="Baja"),Registro!B220,"")</f>
        <v/>
      </c>
      <c r="K221" s="45" t="str">
        <f ca="1">IF(AND(Registro!D220="Abierto",Registro!E220="Baja"),TODAY()-Registro!R220,"")</f>
        <v/>
      </c>
      <c r="L221" s="45" t="str">
        <f>IF(AND(Registro!D220="Abierto",Registro!E220="Baja"),RANK(K221,$K$9:$K$1000,0)+COUNTIF($K$9:K221,K221)-1+MAX(C$5:C$1000,F$5:F$1000,I$5:I$1000),"")</f>
        <v/>
      </c>
      <c r="M221" s="46" t="str">
        <f>IF(OR(Registro!D220="Resuelto",Registro!D220=""),"",SUM(C221,F221,I221,L221))</f>
        <v/>
      </c>
      <c r="N221" s="46" t="str">
        <f>IF(OR(Registro!D220="Resuelto",Registro!D220=""),"",SUM(B221,E221,H221,K221))</f>
        <v/>
      </c>
      <c r="O221" s="46" t="str">
        <f>IF(OR(Registro!D220="Resuelto",Registro!D220=""),"",_xlfn.CONCAT(A221,D221,G221,J221))</f>
        <v/>
      </c>
      <c r="P221" s="47">
        <v>213</v>
      </c>
      <c r="Q221" s="47" t="str">
        <f t="shared" ca="1" si="9"/>
        <v/>
      </c>
      <c r="R221" s="48" t="str">
        <f t="shared" ca="1" si="10"/>
        <v/>
      </c>
      <c r="S221" s="32"/>
      <c r="T221" s="32"/>
      <c r="U221" s="32"/>
      <c r="V221" s="32"/>
      <c r="W221" s="47" t="str">
        <f>IF(X221="","",MAX($W$5:W220)+1)</f>
        <v/>
      </c>
      <c r="X221" s="50" t="str">
        <f>IF(Registro!M220="","",IF(COUNTIF($X$8:X220,Registro!M220)=0,Registro!M220,""))</f>
        <v/>
      </c>
      <c r="Y221" s="50" t="str">
        <f t="shared" si="11"/>
        <v/>
      </c>
    </row>
    <row r="222" spans="1:25">
      <c r="A222" s="45" t="str">
        <f>IF(AND(Registro!D221="Abierto",Registro!E221="Urgente"),Registro!B221,"")</f>
        <v/>
      </c>
      <c r="B222" s="45" t="str">
        <f ca="1">IF(AND(Registro!D221="Abierto",Registro!E221="Urgente"),TODAY()-Registro!R221,"")</f>
        <v/>
      </c>
      <c r="C222" s="45" t="str">
        <f>IF(AND(Registro!D221="Abierto",Registro!E221="Urgente"),RANK(B222,$B$9:$B$1000,0)+COUNTIF($B$9:B222,B222)-1,"")</f>
        <v/>
      </c>
      <c r="D222" s="45" t="str">
        <f>IF(AND(Registro!D221="Abierto",Registro!E221="Alta"),Registro!B221,"")</f>
        <v/>
      </c>
      <c r="E222" s="45" t="str">
        <f ca="1">IF(AND(Registro!D221="Abierto",Registro!E221="Alta"),TODAY()-Registro!R221,"")</f>
        <v/>
      </c>
      <c r="F222" s="45" t="str">
        <f>IF(AND(Registro!D221="Abierto",Registro!E221="Alta"),RANK(E222,$E$9:$E$1000,0)+COUNTIF($E$9:E222,E222)-1+MAX(C$5:C$1000),"")</f>
        <v/>
      </c>
      <c r="G222" s="45" t="str">
        <f>IF(AND(Registro!D221="Abierto",Registro!E221="Media"),Registro!B221,"")</f>
        <v/>
      </c>
      <c r="H222" s="45" t="str">
        <f ca="1">IF(AND(Registro!D221="Abierto",Registro!E221="Media"),TODAY()-Registro!R221,"")</f>
        <v/>
      </c>
      <c r="I222" s="45" t="str">
        <f>IF(AND(Registro!D221="Abierto",Registro!E221="Media"),RANK(H222,$H$9:$H$1000,0)+COUNTIF($H$9:H222,H222)-1+MAX(C$5:C$1000,F$5:F$1000),"")</f>
        <v/>
      </c>
      <c r="J222" s="45" t="str">
        <f>IF(AND(Registro!D221="Abierto",Registro!E221="Baja"),Registro!B221,"")</f>
        <v/>
      </c>
      <c r="K222" s="45" t="str">
        <f ca="1">IF(AND(Registro!D221="Abierto",Registro!E221="Baja"),TODAY()-Registro!R221,"")</f>
        <v/>
      </c>
      <c r="L222" s="45" t="str">
        <f>IF(AND(Registro!D221="Abierto",Registro!E221="Baja"),RANK(K222,$K$9:$K$1000,0)+COUNTIF($K$9:K222,K222)-1+MAX(C$5:C$1000,F$5:F$1000,I$5:I$1000),"")</f>
        <v/>
      </c>
      <c r="M222" s="46" t="str">
        <f>IF(OR(Registro!D221="Resuelto",Registro!D221=""),"",SUM(C222,F222,I222,L222))</f>
        <v/>
      </c>
      <c r="N222" s="46" t="str">
        <f>IF(OR(Registro!D221="Resuelto",Registro!D221=""),"",SUM(B222,E222,H222,K222))</f>
        <v/>
      </c>
      <c r="O222" s="46" t="str">
        <f>IF(OR(Registro!D221="Resuelto",Registro!D221=""),"",_xlfn.CONCAT(A222,D222,G222,J222))</f>
        <v/>
      </c>
      <c r="P222" s="47">
        <v>214</v>
      </c>
      <c r="Q222" s="47" t="str">
        <f t="shared" ca="1" si="9"/>
        <v/>
      </c>
      <c r="R222" s="48" t="str">
        <f t="shared" ca="1" si="10"/>
        <v/>
      </c>
      <c r="S222" s="32"/>
      <c r="T222" s="32"/>
      <c r="U222" s="32"/>
      <c r="V222" s="32"/>
      <c r="W222" s="47" t="str">
        <f>IF(X222="","",MAX($W$5:W221)+1)</f>
        <v/>
      </c>
      <c r="X222" s="50" t="str">
        <f>IF(Registro!M221="","",IF(COUNTIF($X$8:X221,Registro!M221)=0,Registro!M221,""))</f>
        <v/>
      </c>
      <c r="Y222" s="50" t="str">
        <f t="shared" si="11"/>
        <v/>
      </c>
    </row>
    <row r="223" spans="1:25">
      <c r="A223" s="45" t="str">
        <f>IF(AND(Registro!D222="Abierto",Registro!E222="Urgente"),Registro!B222,"")</f>
        <v/>
      </c>
      <c r="B223" s="45" t="str">
        <f ca="1">IF(AND(Registro!D222="Abierto",Registro!E222="Urgente"),TODAY()-Registro!R222,"")</f>
        <v/>
      </c>
      <c r="C223" s="45" t="str">
        <f>IF(AND(Registro!D222="Abierto",Registro!E222="Urgente"),RANK(B223,$B$9:$B$1000,0)+COUNTIF($B$9:B223,B223)-1,"")</f>
        <v/>
      </c>
      <c r="D223" s="45" t="str">
        <f>IF(AND(Registro!D222="Abierto",Registro!E222="Alta"),Registro!B222,"")</f>
        <v/>
      </c>
      <c r="E223" s="45" t="str">
        <f ca="1">IF(AND(Registro!D222="Abierto",Registro!E222="Alta"),TODAY()-Registro!R222,"")</f>
        <v/>
      </c>
      <c r="F223" s="45" t="str">
        <f>IF(AND(Registro!D222="Abierto",Registro!E222="Alta"),RANK(E223,$E$9:$E$1000,0)+COUNTIF($E$9:E223,E223)-1+MAX(C$5:C$1000),"")</f>
        <v/>
      </c>
      <c r="G223" s="45" t="str">
        <f>IF(AND(Registro!D222="Abierto",Registro!E222="Media"),Registro!B222,"")</f>
        <v/>
      </c>
      <c r="H223" s="45" t="str">
        <f ca="1">IF(AND(Registro!D222="Abierto",Registro!E222="Media"),TODAY()-Registro!R222,"")</f>
        <v/>
      </c>
      <c r="I223" s="45" t="str">
        <f>IF(AND(Registro!D222="Abierto",Registro!E222="Media"),RANK(H223,$H$9:$H$1000,0)+COUNTIF($H$9:H223,H223)-1+MAX(C$5:C$1000,F$5:F$1000),"")</f>
        <v/>
      </c>
      <c r="J223" s="45" t="str">
        <f>IF(AND(Registro!D222="Abierto",Registro!E222="Baja"),Registro!B222,"")</f>
        <v/>
      </c>
      <c r="K223" s="45" t="str">
        <f ca="1">IF(AND(Registro!D222="Abierto",Registro!E222="Baja"),TODAY()-Registro!R222,"")</f>
        <v/>
      </c>
      <c r="L223" s="45" t="str">
        <f>IF(AND(Registro!D222="Abierto",Registro!E222="Baja"),RANK(K223,$K$9:$K$1000,0)+COUNTIF($K$9:K223,K223)-1+MAX(C$5:C$1000,F$5:F$1000,I$5:I$1000),"")</f>
        <v/>
      </c>
      <c r="M223" s="46" t="str">
        <f>IF(OR(Registro!D222="Resuelto",Registro!D222=""),"",SUM(C223,F223,I223,L223))</f>
        <v/>
      </c>
      <c r="N223" s="46" t="str">
        <f>IF(OR(Registro!D222="Resuelto",Registro!D222=""),"",SUM(B223,E223,H223,K223))</f>
        <v/>
      </c>
      <c r="O223" s="46" t="str">
        <f>IF(OR(Registro!D222="Resuelto",Registro!D222=""),"",_xlfn.CONCAT(A223,D223,G223,J223))</f>
        <v/>
      </c>
      <c r="P223" s="47">
        <v>215</v>
      </c>
      <c r="Q223" s="47" t="str">
        <f t="shared" ca="1" si="9"/>
        <v/>
      </c>
      <c r="R223" s="48" t="str">
        <f t="shared" ca="1" si="10"/>
        <v/>
      </c>
      <c r="S223" s="32"/>
      <c r="T223" s="32"/>
      <c r="U223" s="32"/>
      <c r="V223" s="32"/>
      <c r="W223" s="47" t="str">
        <f>IF(X223="","",MAX($W$5:W222)+1)</f>
        <v/>
      </c>
      <c r="X223" s="50" t="str">
        <f>IF(Registro!M222="","",IF(COUNTIF($X$8:X222,Registro!M222)=0,Registro!M222,""))</f>
        <v/>
      </c>
      <c r="Y223" s="50" t="str">
        <f t="shared" si="11"/>
        <v/>
      </c>
    </row>
    <row r="224" spans="1:25">
      <c r="A224" s="45" t="str">
        <f>IF(AND(Registro!D223="Abierto",Registro!E223="Urgente"),Registro!B223,"")</f>
        <v/>
      </c>
      <c r="B224" s="45" t="str">
        <f ca="1">IF(AND(Registro!D223="Abierto",Registro!E223="Urgente"),TODAY()-Registro!R223,"")</f>
        <v/>
      </c>
      <c r="C224" s="45" t="str">
        <f>IF(AND(Registro!D223="Abierto",Registro!E223="Urgente"),RANK(B224,$B$9:$B$1000,0)+COUNTIF($B$9:B224,B224)-1,"")</f>
        <v/>
      </c>
      <c r="D224" s="45" t="str">
        <f>IF(AND(Registro!D223="Abierto",Registro!E223="Alta"),Registro!B223,"")</f>
        <v/>
      </c>
      <c r="E224" s="45" t="str">
        <f ca="1">IF(AND(Registro!D223="Abierto",Registro!E223="Alta"),TODAY()-Registro!R223,"")</f>
        <v/>
      </c>
      <c r="F224" s="45" t="str">
        <f>IF(AND(Registro!D223="Abierto",Registro!E223="Alta"),RANK(E224,$E$9:$E$1000,0)+COUNTIF($E$9:E224,E224)-1+MAX(C$5:C$1000),"")</f>
        <v/>
      </c>
      <c r="G224" s="45" t="str">
        <f>IF(AND(Registro!D223="Abierto",Registro!E223="Media"),Registro!B223,"")</f>
        <v/>
      </c>
      <c r="H224" s="45" t="str">
        <f ca="1">IF(AND(Registro!D223="Abierto",Registro!E223="Media"),TODAY()-Registro!R223,"")</f>
        <v/>
      </c>
      <c r="I224" s="45" t="str">
        <f>IF(AND(Registro!D223="Abierto",Registro!E223="Media"),RANK(H224,$H$9:$H$1000,0)+COUNTIF($H$9:H224,H224)-1+MAX(C$5:C$1000,F$5:F$1000),"")</f>
        <v/>
      </c>
      <c r="J224" s="45" t="str">
        <f>IF(AND(Registro!D223="Abierto",Registro!E223="Baja"),Registro!B223,"")</f>
        <v/>
      </c>
      <c r="K224" s="45" t="str">
        <f ca="1">IF(AND(Registro!D223="Abierto",Registro!E223="Baja"),TODAY()-Registro!R223,"")</f>
        <v/>
      </c>
      <c r="L224" s="45" t="str">
        <f>IF(AND(Registro!D223="Abierto",Registro!E223="Baja"),RANK(K224,$K$9:$K$1000,0)+COUNTIF($K$9:K224,K224)-1+MAX(C$5:C$1000,F$5:F$1000,I$5:I$1000),"")</f>
        <v/>
      </c>
      <c r="M224" s="46" t="str">
        <f>IF(OR(Registro!D223="Resuelto",Registro!D223=""),"",SUM(C224,F224,I224,L224))</f>
        <v/>
      </c>
      <c r="N224" s="46" t="str">
        <f>IF(OR(Registro!D223="Resuelto",Registro!D223=""),"",SUM(B224,E224,H224,K224))</f>
        <v/>
      </c>
      <c r="O224" s="46" t="str">
        <f>IF(OR(Registro!D223="Resuelto",Registro!D223=""),"",_xlfn.CONCAT(A224,D224,G224,J224))</f>
        <v/>
      </c>
      <c r="P224" s="47">
        <v>216</v>
      </c>
      <c r="Q224" s="47" t="str">
        <f t="shared" ca="1" si="9"/>
        <v/>
      </c>
      <c r="R224" s="48" t="str">
        <f t="shared" ca="1" si="10"/>
        <v/>
      </c>
      <c r="S224" s="32"/>
      <c r="T224" s="32"/>
      <c r="U224" s="32"/>
      <c r="V224" s="32"/>
      <c r="W224" s="47" t="str">
        <f>IF(X224="","",MAX($W$5:W223)+1)</f>
        <v/>
      </c>
      <c r="X224" s="50" t="str">
        <f>IF(Registro!M223="","",IF(COUNTIF($X$8:X223,Registro!M223)=0,Registro!M223,""))</f>
        <v/>
      </c>
      <c r="Y224" s="50" t="str">
        <f t="shared" si="11"/>
        <v/>
      </c>
    </row>
    <row r="225" spans="1:25">
      <c r="A225" s="45" t="str">
        <f>IF(AND(Registro!D224="Abierto",Registro!E224="Urgente"),Registro!B224,"")</f>
        <v/>
      </c>
      <c r="B225" s="45" t="str">
        <f ca="1">IF(AND(Registro!D224="Abierto",Registro!E224="Urgente"),TODAY()-Registro!R224,"")</f>
        <v/>
      </c>
      <c r="C225" s="45" t="str">
        <f>IF(AND(Registro!D224="Abierto",Registro!E224="Urgente"),RANK(B225,$B$9:$B$1000,0)+COUNTIF($B$9:B225,B225)-1,"")</f>
        <v/>
      </c>
      <c r="D225" s="45" t="str">
        <f>IF(AND(Registro!D224="Abierto",Registro!E224="Alta"),Registro!B224,"")</f>
        <v/>
      </c>
      <c r="E225" s="45" t="str">
        <f ca="1">IF(AND(Registro!D224="Abierto",Registro!E224="Alta"),TODAY()-Registro!R224,"")</f>
        <v/>
      </c>
      <c r="F225" s="45" t="str">
        <f>IF(AND(Registro!D224="Abierto",Registro!E224="Alta"),RANK(E225,$E$9:$E$1000,0)+COUNTIF($E$9:E225,E225)-1+MAX(C$5:C$1000),"")</f>
        <v/>
      </c>
      <c r="G225" s="45" t="str">
        <f>IF(AND(Registro!D224="Abierto",Registro!E224="Media"),Registro!B224,"")</f>
        <v/>
      </c>
      <c r="H225" s="45" t="str">
        <f ca="1">IF(AND(Registro!D224="Abierto",Registro!E224="Media"),TODAY()-Registro!R224,"")</f>
        <v/>
      </c>
      <c r="I225" s="45" t="str">
        <f>IF(AND(Registro!D224="Abierto",Registro!E224="Media"),RANK(H225,$H$9:$H$1000,0)+COUNTIF($H$9:H225,H225)-1+MAX(C$5:C$1000,F$5:F$1000),"")</f>
        <v/>
      </c>
      <c r="J225" s="45" t="str">
        <f>IF(AND(Registro!D224="Abierto",Registro!E224="Baja"),Registro!B224,"")</f>
        <v/>
      </c>
      <c r="K225" s="45" t="str">
        <f ca="1">IF(AND(Registro!D224="Abierto",Registro!E224="Baja"),TODAY()-Registro!R224,"")</f>
        <v/>
      </c>
      <c r="L225" s="45" t="str">
        <f>IF(AND(Registro!D224="Abierto",Registro!E224="Baja"),RANK(K225,$K$9:$K$1000,0)+COUNTIF($K$9:K225,K225)-1+MAX(C$5:C$1000,F$5:F$1000,I$5:I$1000),"")</f>
        <v/>
      </c>
      <c r="M225" s="46" t="str">
        <f>IF(OR(Registro!D224="Resuelto",Registro!D224=""),"",SUM(C225,F225,I225,L225))</f>
        <v/>
      </c>
      <c r="N225" s="46" t="str">
        <f>IF(OR(Registro!D224="Resuelto",Registro!D224=""),"",SUM(B225,E225,H225,K225))</f>
        <v/>
      </c>
      <c r="O225" s="46" t="str">
        <f>IF(OR(Registro!D224="Resuelto",Registro!D224=""),"",_xlfn.CONCAT(A225,D225,G225,J225))</f>
        <v/>
      </c>
      <c r="P225" s="47">
        <v>217</v>
      </c>
      <c r="Q225" s="47" t="str">
        <f t="shared" ca="1" si="9"/>
        <v/>
      </c>
      <c r="R225" s="48" t="str">
        <f t="shared" ca="1" si="10"/>
        <v/>
      </c>
      <c r="S225" s="32"/>
      <c r="T225" s="32"/>
      <c r="U225" s="32"/>
      <c r="V225" s="32"/>
      <c r="W225" s="47" t="str">
        <f>IF(X225="","",MAX($W$5:W224)+1)</f>
        <v/>
      </c>
      <c r="X225" s="50" t="str">
        <f>IF(Registro!M224="","",IF(COUNTIF($X$8:X224,Registro!M224)=0,Registro!M224,""))</f>
        <v/>
      </c>
      <c r="Y225" s="50" t="str">
        <f t="shared" si="11"/>
        <v/>
      </c>
    </row>
    <row r="226" spans="1:25">
      <c r="A226" s="45" t="str">
        <f>IF(AND(Registro!D225="Abierto",Registro!E225="Urgente"),Registro!B225,"")</f>
        <v/>
      </c>
      <c r="B226" s="45" t="str">
        <f ca="1">IF(AND(Registro!D225="Abierto",Registro!E225="Urgente"),TODAY()-Registro!R225,"")</f>
        <v/>
      </c>
      <c r="C226" s="45" t="str">
        <f>IF(AND(Registro!D225="Abierto",Registro!E225="Urgente"),RANK(B226,$B$9:$B$1000,0)+COUNTIF($B$9:B226,B226)-1,"")</f>
        <v/>
      </c>
      <c r="D226" s="45" t="str">
        <f>IF(AND(Registro!D225="Abierto",Registro!E225="Alta"),Registro!B225,"")</f>
        <v/>
      </c>
      <c r="E226" s="45" t="str">
        <f ca="1">IF(AND(Registro!D225="Abierto",Registro!E225="Alta"),TODAY()-Registro!R225,"")</f>
        <v/>
      </c>
      <c r="F226" s="45" t="str">
        <f>IF(AND(Registro!D225="Abierto",Registro!E225="Alta"),RANK(E226,$E$9:$E$1000,0)+COUNTIF($E$9:E226,E226)-1+MAX(C$5:C$1000),"")</f>
        <v/>
      </c>
      <c r="G226" s="45" t="str">
        <f>IF(AND(Registro!D225="Abierto",Registro!E225="Media"),Registro!B225,"")</f>
        <v/>
      </c>
      <c r="H226" s="45" t="str">
        <f ca="1">IF(AND(Registro!D225="Abierto",Registro!E225="Media"),TODAY()-Registro!R225,"")</f>
        <v/>
      </c>
      <c r="I226" s="45" t="str">
        <f>IF(AND(Registro!D225="Abierto",Registro!E225="Media"),RANK(H226,$H$9:$H$1000,0)+COUNTIF($H$9:H226,H226)-1+MAX(C$5:C$1000,F$5:F$1000),"")</f>
        <v/>
      </c>
      <c r="J226" s="45" t="str">
        <f>IF(AND(Registro!D225="Abierto",Registro!E225="Baja"),Registro!B225,"")</f>
        <v/>
      </c>
      <c r="K226" s="45" t="str">
        <f ca="1">IF(AND(Registro!D225="Abierto",Registro!E225="Baja"),TODAY()-Registro!R225,"")</f>
        <v/>
      </c>
      <c r="L226" s="45" t="str">
        <f>IF(AND(Registro!D225="Abierto",Registro!E225="Baja"),RANK(K226,$K$9:$K$1000,0)+COUNTIF($K$9:K226,K226)-1+MAX(C$5:C$1000,F$5:F$1000,I$5:I$1000),"")</f>
        <v/>
      </c>
      <c r="M226" s="46" t="str">
        <f>IF(OR(Registro!D225="Resuelto",Registro!D225=""),"",SUM(C226,F226,I226,L226))</f>
        <v/>
      </c>
      <c r="N226" s="46" t="str">
        <f>IF(OR(Registro!D225="Resuelto",Registro!D225=""),"",SUM(B226,E226,H226,K226))</f>
        <v/>
      </c>
      <c r="O226" s="46" t="str">
        <f>IF(OR(Registro!D225="Resuelto",Registro!D225=""),"",_xlfn.CONCAT(A226,D226,G226,J226))</f>
        <v/>
      </c>
      <c r="P226" s="47">
        <v>218</v>
      </c>
      <c r="Q226" s="47" t="str">
        <f t="shared" ca="1" si="9"/>
        <v/>
      </c>
      <c r="R226" s="48" t="str">
        <f t="shared" ca="1" si="10"/>
        <v/>
      </c>
      <c r="S226" s="32"/>
      <c r="T226" s="32"/>
      <c r="U226" s="32"/>
      <c r="V226" s="32"/>
      <c r="W226" s="47" t="str">
        <f>IF(X226="","",MAX($W$5:W225)+1)</f>
        <v/>
      </c>
      <c r="X226" s="50" t="str">
        <f>IF(Registro!M225="","",IF(COUNTIF($X$8:X225,Registro!M225)=0,Registro!M225,""))</f>
        <v/>
      </c>
      <c r="Y226" s="50" t="str">
        <f t="shared" si="11"/>
        <v/>
      </c>
    </row>
    <row r="227" spans="1:25">
      <c r="A227" s="45" t="str">
        <f>IF(AND(Registro!D226="Abierto",Registro!E226="Urgente"),Registro!B226,"")</f>
        <v/>
      </c>
      <c r="B227" s="45" t="str">
        <f ca="1">IF(AND(Registro!D226="Abierto",Registro!E226="Urgente"),TODAY()-Registro!R226,"")</f>
        <v/>
      </c>
      <c r="C227" s="45" t="str">
        <f>IF(AND(Registro!D226="Abierto",Registro!E226="Urgente"),RANK(B227,$B$9:$B$1000,0)+COUNTIF($B$9:B227,B227)-1,"")</f>
        <v/>
      </c>
      <c r="D227" s="45" t="str">
        <f>IF(AND(Registro!D226="Abierto",Registro!E226="Alta"),Registro!B226,"")</f>
        <v/>
      </c>
      <c r="E227" s="45" t="str">
        <f ca="1">IF(AND(Registro!D226="Abierto",Registro!E226="Alta"),TODAY()-Registro!R226,"")</f>
        <v/>
      </c>
      <c r="F227" s="45" t="str">
        <f>IF(AND(Registro!D226="Abierto",Registro!E226="Alta"),RANK(E227,$E$9:$E$1000,0)+COUNTIF($E$9:E227,E227)-1+MAX(C$5:C$1000),"")</f>
        <v/>
      </c>
      <c r="G227" s="45" t="str">
        <f>IF(AND(Registro!D226="Abierto",Registro!E226="Media"),Registro!B226,"")</f>
        <v/>
      </c>
      <c r="H227" s="45" t="str">
        <f ca="1">IF(AND(Registro!D226="Abierto",Registro!E226="Media"),TODAY()-Registro!R226,"")</f>
        <v/>
      </c>
      <c r="I227" s="45" t="str">
        <f>IF(AND(Registro!D226="Abierto",Registro!E226="Media"),RANK(H227,$H$9:$H$1000,0)+COUNTIF($H$9:H227,H227)-1+MAX(C$5:C$1000,F$5:F$1000),"")</f>
        <v/>
      </c>
      <c r="J227" s="45" t="str">
        <f>IF(AND(Registro!D226="Abierto",Registro!E226="Baja"),Registro!B226,"")</f>
        <v/>
      </c>
      <c r="K227" s="45" t="str">
        <f ca="1">IF(AND(Registro!D226="Abierto",Registro!E226="Baja"),TODAY()-Registro!R226,"")</f>
        <v/>
      </c>
      <c r="L227" s="45" t="str">
        <f>IF(AND(Registro!D226="Abierto",Registro!E226="Baja"),RANK(K227,$K$9:$K$1000,0)+COUNTIF($K$9:K227,K227)-1+MAX(C$5:C$1000,F$5:F$1000,I$5:I$1000),"")</f>
        <v/>
      </c>
      <c r="M227" s="46" t="str">
        <f>IF(OR(Registro!D226="Resuelto",Registro!D226=""),"",SUM(C227,F227,I227,L227))</f>
        <v/>
      </c>
      <c r="N227" s="46" t="str">
        <f>IF(OR(Registro!D226="Resuelto",Registro!D226=""),"",SUM(B227,E227,H227,K227))</f>
        <v/>
      </c>
      <c r="O227" s="46" t="str">
        <f>IF(OR(Registro!D226="Resuelto",Registro!D226=""),"",_xlfn.CONCAT(A227,D227,G227,J227))</f>
        <v/>
      </c>
      <c r="P227" s="47">
        <v>219</v>
      </c>
      <c r="Q227" s="47" t="str">
        <f t="shared" ca="1" si="9"/>
        <v/>
      </c>
      <c r="R227" s="48" t="str">
        <f t="shared" ca="1" si="10"/>
        <v/>
      </c>
      <c r="S227" s="32"/>
      <c r="T227" s="32"/>
      <c r="U227" s="32"/>
      <c r="V227" s="32"/>
      <c r="W227" s="47" t="str">
        <f>IF(X227="","",MAX($W$5:W226)+1)</f>
        <v/>
      </c>
      <c r="X227" s="50" t="str">
        <f>IF(Registro!M226="","",IF(COUNTIF($X$8:X226,Registro!M226)=0,Registro!M226,""))</f>
        <v/>
      </c>
      <c r="Y227" s="50" t="str">
        <f t="shared" si="11"/>
        <v/>
      </c>
    </row>
    <row r="228" spans="1:25">
      <c r="A228" s="45" t="str">
        <f>IF(AND(Registro!D227="Abierto",Registro!E227="Urgente"),Registro!B227,"")</f>
        <v/>
      </c>
      <c r="B228" s="45" t="str">
        <f ca="1">IF(AND(Registro!D227="Abierto",Registro!E227="Urgente"),TODAY()-Registro!R227,"")</f>
        <v/>
      </c>
      <c r="C228" s="45" t="str">
        <f>IF(AND(Registro!D227="Abierto",Registro!E227="Urgente"),RANK(B228,$B$9:$B$1000,0)+COUNTIF($B$9:B228,B228)-1,"")</f>
        <v/>
      </c>
      <c r="D228" s="45" t="str">
        <f>IF(AND(Registro!D227="Abierto",Registro!E227="Alta"),Registro!B227,"")</f>
        <v/>
      </c>
      <c r="E228" s="45" t="str">
        <f ca="1">IF(AND(Registro!D227="Abierto",Registro!E227="Alta"),TODAY()-Registro!R227,"")</f>
        <v/>
      </c>
      <c r="F228" s="45" t="str">
        <f>IF(AND(Registro!D227="Abierto",Registro!E227="Alta"),RANK(E228,$E$9:$E$1000,0)+COUNTIF($E$9:E228,E228)-1+MAX(C$5:C$1000),"")</f>
        <v/>
      </c>
      <c r="G228" s="45" t="str">
        <f>IF(AND(Registro!D227="Abierto",Registro!E227="Media"),Registro!B227,"")</f>
        <v/>
      </c>
      <c r="H228" s="45" t="str">
        <f ca="1">IF(AND(Registro!D227="Abierto",Registro!E227="Media"),TODAY()-Registro!R227,"")</f>
        <v/>
      </c>
      <c r="I228" s="45" t="str">
        <f>IF(AND(Registro!D227="Abierto",Registro!E227="Media"),RANK(H228,$H$9:$H$1000,0)+COUNTIF($H$9:H228,H228)-1+MAX(C$5:C$1000,F$5:F$1000),"")</f>
        <v/>
      </c>
      <c r="J228" s="45" t="str">
        <f>IF(AND(Registro!D227="Abierto",Registro!E227="Baja"),Registro!B227,"")</f>
        <v/>
      </c>
      <c r="K228" s="45" t="str">
        <f ca="1">IF(AND(Registro!D227="Abierto",Registro!E227="Baja"),TODAY()-Registro!R227,"")</f>
        <v/>
      </c>
      <c r="L228" s="45" t="str">
        <f>IF(AND(Registro!D227="Abierto",Registro!E227="Baja"),RANK(K228,$K$9:$K$1000,0)+COUNTIF($K$9:K228,K228)-1+MAX(C$5:C$1000,F$5:F$1000,I$5:I$1000),"")</f>
        <v/>
      </c>
      <c r="M228" s="46" t="str">
        <f>IF(OR(Registro!D227="Resuelto",Registro!D227=""),"",SUM(C228,F228,I228,L228))</f>
        <v/>
      </c>
      <c r="N228" s="46" t="str">
        <f>IF(OR(Registro!D227="Resuelto",Registro!D227=""),"",SUM(B228,E228,H228,K228))</f>
        <v/>
      </c>
      <c r="O228" s="46" t="str">
        <f>IF(OR(Registro!D227="Resuelto",Registro!D227=""),"",_xlfn.CONCAT(A228,D228,G228,J228))</f>
        <v/>
      </c>
      <c r="P228" s="47">
        <v>220</v>
      </c>
      <c r="Q228" s="47" t="str">
        <f t="shared" ca="1" si="9"/>
        <v/>
      </c>
      <c r="R228" s="48" t="str">
        <f t="shared" ca="1" si="10"/>
        <v/>
      </c>
      <c r="S228" s="32"/>
      <c r="T228" s="32"/>
      <c r="U228" s="32"/>
      <c r="V228" s="32"/>
      <c r="W228" s="47" t="str">
        <f>IF(X228="","",MAX($W$5:W227)+1)</f>
        <v/>
      </c>
      <c r="X228" s="50" t="str">
        <f>IF(Registro!M227="","",IF(COUNTIF($X$8:X227,Registro!M227)=0,Registro!M227,""))</f>
        <v/>
      </c>
      <c r="Y228" s="50" t="str">
        <f t="shared" si="11"/>
        <v/>
      </c>
    </row>
    <row r="229" spans="1:25">
      <c r="A229" s="45" t="str">
        <f>IF(AND(Registro!D228="Abierto",Registro!E228="Urgente"),Registro!B228,"")</f>
        <v/>
      </c>
      <c r="B229" s="45" t="str">
        <f ca="1">IF(AND(Registro!D228="Abierto",Registro!E228="Urgente"),TODAY()-Registro!R228,"")</f>
        <v/>
      </c>
      <c r="C229" s="45" t="str">
        <f>IF(AND(Registro!D228="Abierto",Registro!E228="Urgente"),RANK(B229,$B$9:$B$1000,0)+COUNTIF($B$9:B229,B229)-1,"")</f>
        <v/>
      </c>
      <c r="D229" s="45" t="str">
        <f>IF(AND(Registro!D228="Abierto",Registro!E228="Alta"),Registro!B228,"")</f>
        <v/>
      </c>
      <c r="E229" s="45" t="str">
        <f ca="1">IF(AND(Registro!D228="Abierto",Registro!E228="Alta"),TODAY()-Registro!R228,"")</f>
        <v/>
      </c>
      <c r="F229" s="45" t="str">
        <f>IF(AND(Registro!D228="Abierto",Registro!E228="Alta"),RANK(E229,$E$9:$E$1000,0)+COUNTIF($E$9:E229,E229)-1+MAX(C$5:C$1000),"")</f>
        <v/>
      </c>
      <c r="G229" s="45" t="str">
        <f>IF(AND(Registro!D228="Abierto",Registro!E228="Media"),Registro!B228,"")</f>
        <v/>
      </c>
      <c r="H229" s="45" t="str">
        <f ca="1">IF(AND(Registro!D228="Abierto",Registro!E228="Media"),TODAY()-Registro!R228,"")</f>
        <v/>
      </c>
      <c r="I229" s="45" t="str">
        <f>IF(AND(Registro!D228="Abierto",Registro!E228="Media"),RANK(H229,$H$9:$H$1000,0)+COUNTIF($H$9:H229,H229)-1+MAX(C$5:C$1000,F$5:F$1000),"")</f>
        <v/>
      </c>
      <c r="J229" s="45" t="str">
        <f>IF(AND(Registro!D228="Abierto",Registro!E228="Baja"),Registro!B228,"")</f>
        <v/>
      </c>
      <c r="K229" s="45" t="str">
        <f ca="1">IF(AND(Registro!D228="Abierto",Registro!E228="Baja"),TODAY()-Registro!R228,"")</f>
        <v/>
      </c>
      <c r="L229" s="45" t="str">
        <f>IF(AND(Registro!D228="Abierto",Registro!E228="Baja"),RANK(K229,$K$9:$K$1000,0)+COUNTIF($K$9:K229,K229)-1+MAX(C$5:C$1000,F$5:F$1000,I$5:I$1000),"")</f>
        <v/>
      </c>
      <c r="M229" s="46" t="str">
        <f>IF(OR(Registro!D228="Resuelto",Registro!D228=""),"",SUM(C229,F229,I229,L229))</f>
        <v/>
      </c>
      <c r="N229" s="46" t="str">
        <f>IF(OR(Registro!D228="Resuelto",Registro!D228=""),"",SUM(B229,E229,H229,K229))</f>
        <v/>
      </c>
      <c r="O229" s="46" t="str">
        <f>IF(OR(Registro!D228="Resuelto",Registro!D228=""),"",_xlfn.CONCAT(A229,D229,G229,J229))</f>
        <v/>
      </c>
      <c r="P229" s="47">
        <v>221</v>
      </c>
      <c r="Q229" s="47" t="str">
        <f t="shared" ca="1" si="9"/>
        <v/>
      </c>
      <c r="R229" s="48" t="str">
        <f t="shared" ca="1" si="10"/>
        <v/>
      </c>
      <c r="S229" s="32"/>
      <c r="T229" s="32"/>
      <c r="U229" s="32"/>
      <c r="V229" s="32"/>
      <c r="W229" s="47" t="str">
        <f>IF(X229="","",MAX($W$5:W228)+1)</f>
        <v/>
      </c>
      <c r="X229" s="50" t="str">
        <f>IF(Registro!M228="","",IF(COUNTIF($X$8:X228,Registro!M228)=0,Registro!M228,""))</f>
        <v/>
      </c>
      <c r="Y229" s="50" t="str">
        <f t="shared" si="11"/>
        <v/>
      </c>
    </row>
    <row r="230" spans="1:25">
      <c r="A230" s="45" t="str">
        <f>IF(AND(Registro!D229="Abierto",Registro!E229="Urgente"),Registro!B229,"")</f>
        <v/>
      </c>
      <c r="B230" s="45" t="str">
        <f ca="1">IF(AND(Registro!D229="Abierto",Registro!E229="Urgente"),TODAY()-Registro!R229,"")</f>
        <v/>
      </c>
      <c r="C230" s="45" t="str">
        <f>IF(AND(Registro!D229="Abierto",Registro!E229="Urgente"),RANK(B230,$B$9:$B$1000,0)+COUNTIF($B$9:B230,B230)-1,"")</f>
        <v/>
      </c>
      <c r="D230" s="45" t="str">
        <f>IF(AND(Registro!D229="Abierto",Registro!E229="Alta"),Registro!B229,"")</f>
        <v/>
      </c>
      <c r="E230" s="45" t="str">
        <f ca="1">IF(AND(Registro!D229="Abierto",Registro!E229="Alta"),TODAY()-Registro!R229,"")</f>
        <v/>
      </c>
      <c r="F230" s="45" t="str">
        <f>IF(AND(Registro!D229="Abierto",Registro!E229="Alta"),RANK(E230,$E$9:$E$1000,0)+COUNTIF($E$9:E230,E230)-1+MAX(C$5:C$1000),"")</f>
        <v/>
      </c>
      <c r="G230" s="45" t="str">
        <f>IF(AND(Registro!D229="Abierto",Registro!E229="Media"),Registro!B229,"")</f>
        <v/>
      </c>
      <c r="H230" s="45" t="str">
        <f ca="1">IF(AND(Registro!D229="Abierto",Registro!E229="Media"),TODAY()-Registro!R229,"")</f>
        <v/>
      </c>
      <c r="I230" s="45" t="str">
        <f>IF(AND(Registro!D229="Abierto",Registro!E229="Media"),RANK(H230,$H$9:$H$1000,0)+COUNTIF($H$9:H230,H230)-1+MAX(C$5:C$1000,F$5:F$1000),"")</f>
        <v/>
      </c>
      <c r="J230" s="45" t="str">
        <f>IF(AND(Registro!D229="Abierto",Registro!E229="Baja"),Registro!B229,"")</f>
        <v/>
      </c>
      <c r="K230" s="45" t="str">
        <f ca="1">IF(AND(Registro!D229="Abierto",Registro!E229="Baja"),TODAY()-Registro!R229,"")</f>
        <v/>
      </c>
      <c r="L230" s="45" t="str">
        <f>IF(AND(Registro!D229="Abierto",Registro!E229="Baja"),RANK(K230,$K$9:$K$1000,0)+COUNTIF($K$9:K230,K230)-1+MAX(C$5:C$1000,F$5:F$1000,I$5:I$1000),"")</f>
        <v/>
      </c>
      <c r="M230" s="46" t="str">
        <f>IF(OR(Registro!D229="Resuelto",Registro!D229=""),"",SUM(C230,F230,I230,L230))</f>
        <v/>
      </c>
      <c r="N230" s="46" t="str">
        <f>IF(OR(Registro!D229="Resuelto",Registro!D229=""),"",SUM(B230,E230,H230,K230))</f>
        <v/>
      </c>
      <c r="O230" s="46" t="str">
        <f>IF(OR(Registro!D229="Resuelto",Registro!D229=""),"",_xlfn.CONCAT(A230,D230,G230,J230))</f>
        <v/>
      </c>
      <c r="P230" s="47">
        <v>222</v>
      </c>
      <c r="Q230" s="47" t="str">
        <f t="shared" ca="1" si="9"/>
        <v/>
      </c>
      <c r="R230" s="48" t="str">
        <f t="shared" ca="1" si="10"/>
        <v/>
      </c>
      <c r="S230" s="32"/>
      <c r="T230" s="32"/>
      <c r="U230" s="32"/>
      <c r="V230" s="32"/>
      <c r="W230" s="47" t="str">
        <f>IF(X230="","",MAX($W$5:W229)+1)</f>
        <v/>
      </c>
      <c r="X230" s="50" t="str">
        <f>IF(Registro!M229="","",IF(COUNTIF($X$8:X229,Registro!M229)=0,Registro!M229,""))</f>
        <v/>
      </c>
      <c r="Y230" s="50" t="str">
        <f t="shared" si="11"/>
        <v/>
      </c>
    </row>
    <row r="231" spans="1:25">
      <c r="A231" s="45" t="str">
        <f>IF(AND(Registro!D230="Abierto",Registro!E230="Urgente"),Registro!B230,"")</f>
        <v/>
      </c>
      <c r="B231" s="45" t="str">
        <f ca="1">IF(AND(Registro!D230="Abierto",Registro!E230="Urgente"),TODAY()-Registro!R230,"")</f>
        <v/>
      </c>
      <c r="C231" s="45" t="str">
        <f>IF(AND(Registro!D230="Abierto",Registro!E230="Urgente"),RANK(B231,$B$9:$B$1000,0)+COUNTIF($B$9:B231,B231)-1,"")</f>
        <v/>
      </c>
      <c r="D231" s="45" t="str">
        <f>IF(AND(Registro!D230="Abierto",Registro!E230="Alta"),Registro!B230,"")</f>
        <v/>
      </c>
      <c r="E231" s="45" t="str">
        <f ca="1">IF(AND(Registro!D230="Abierto",Registro!E230="Alta"),TODAY()-Registro!R230,"")</f>
        <v/>
      </c>
      <c r="F231" s="45" t="str">
        <f>IF(AND(Registro!D230="Abierto",Registro!E230="Alta"),RANK(E231,$E$9:$E$1000,0)+COUNTIF($E$9:E231,E231)-1+MAX(C$5:C$1000),"")</f>
        <v/>
      </c>
      <c r="G231" s="45" t="str">
        <f>IF(AND(Registro!D230="Abierto",Registro!E230="Media"),Registro!B230,"")</f>
        <v/>
      </c>
      <c r="H231" s="45" t="str">
        <f ca="1">IF(AND(Registro!D230="Abierto",Registro!E230="Media"),TODAY()-Registro!R230,"")</f>
        <v/>
      </c>
      <c r="I231" s="45" t="str">
        <f>IF(AND(Registro!D230="Abierto",Registro!E230="Media"),RANK(H231,$H$9:$H$1000,0)+COUNTIF($H$9:H231,H231)-1+MAX(C$5:C$1000,F$5:F$1000),"")</f>
        <v/>
      </c>
      <c r="J231" s="45" t="str">
        <f>IF(AND(Registro!D230="Abierto",Registro!E230="Baja"),Registro!B230,"")</f>
        <v/>
      </c>
      <c r="K231" s="45" t="str">
        <f ca="1">IF(AND(Registro!D230="Abierto",Registro!E230="Baja"),TODAY()-Registro!R230,"")</f>
        <v/>
      </c>
      <c r="L231" s="45" t="str">
        <f>IF(AND(Registro!D230="Abierto",Registro!E230="Baja"),RANK(K231,$K$9:$K$1000,0)+COUNTIF($K$9:K231,K231)-1+MAX(C$5:C$1000,F$5:F$1000,I$5:I$1000),"")</f>
        <v/>
      </c>
      <c r="M231" s="46" t="str">
        <f>IF(OR(Registro!D230="Resuelto",Registro!D230=""),"",SUM(C231,F231,I231,L231))</f>
        <v/>
      </c>
      <c r="N231" s="46" t="str">
        <f>IF(OR(Registro!D230="Resuelto",Registro!D230=""),"",SUM(B231,E231,H231,K231))</f>
        <v/>
      </c>
      <c r="O231" s="46" t="str">
        <f>IF(OR(Registro!D230="Resuelto",Registro!D230=""),"",_xlfn.CONCAT(A231,D231,G231,J231))</f>
        <v/>
      </c>
      <c r="P231" s="47">
        <v>223</v>
      </c>
      <c r="Q231" s="47" t="str">
        <f t="shared" ca="1" si="9"/>
        <v/>
      </c>
      <c r="R231" s="48" t="str">
        <f t="shared" ca="1" si="10"/>
        <v/>
      </c>
      <c r="S231" s="32"/>
      <c r="T231" s="32"/>
      <c r="U231" s="32"/>
      <c r="V231" s="32"/>
      <c r="W231" s="47" t="str">
        <f>IF(X231="","",MAX($W$5:W230)+1)</f>
        <v/>
      </c>
      <c r="X231" s="50" t="str">
        <f>IF(Registro!M230="","",IF(COUNTIF($X$8:X230,Registro!M230)=0,Registro!M230,""))</f>
        <v/>
      </c>
      <c r="Y231" s="50" t="str">
        <f t="shared" si="11"/>
        <v/>
      </c>
    </row>
    <row r="232" spans="1:25">
      <c r="A232" s="45" t="str">
        <f>IF(AND(Registro!D231="Abierto",Registro!E231="Urgente"),Registro!B231,"")</f>
        <v/>
      </c>
      <c r="B232" s="45" t="str">
        <f ca="1">IF(AND(Registro!D231="Abierto",Registro!E231="Urgente"),TODAY()-Registro!R231,"")</f>
        <v/>
      </c>
      <c r="C232" s="45" t="str">
        <f>IF(AND(Registro!D231="Abierto",Registro!E231="Urgente"),RANK(B232,$B$9:$B$1000,0)+COUNTIF($B$9:B232,B232)-1,"")</f>
        <v/>
      </c>
      <c r="D232" s="45" t="str">
        <f>IF(AND(Registro!D231="Abierto",Registro!E231="Alta"),Registro!B231,"")</f>
        <v/>
      </c>
      <c r="E232" s="45" t="str">
        <f ca="1">IF(AND(Registro!D231="Abierto",Registro!E231="Alta"),TODAY()-Registro!R231,"")</f>
        <v/>
      </c>
      <c r="F232" s="45" t="str">
        <f>IF(AND(Registro!D231="Abierto",Registro!E231="Alta"),RANK(E232,$E$9:$E$1000,0)+COUNTIF($E$9:E232,E232)-1+MAX(C$5:C$1000),"")</f>
        <v/>
      </c>
      <c r="G232" s="45" t="str">
        <f>IF(AND(Registro!D231="Abierto",Registro!E231="Media"),Registro!B231,"")</f>
        <v/>
      </c>
      <c r="H232" s="45" t="str">
        <f ca="1">IF(AND(Registro!D231="Abierto",Registro!E231="Media"),TODAY()-Registro!R231,"")</f>
        <v/>
      </c>
      <c r="I232" s="45" t="str">
        <f>IF(AND(Registro!D231="Abierto",Registro!E231="Media"),RANK(H232,$H$9:$H$1000,0)+COUNTIF($H$9:H232,H232)-1+MAX(C$5:C$1000,F$5:F$1000),"")</f>
        <v/>
      </c>
      <c r="J232" s="45" t="str">
        <f>IF(AND(Registro!D231="Abierto",Registro!E231="Baja"),Registro!B231,"")</f>
        <v/>
      </c>
      <c r="K232" s="45" t="str">
        <f ca="1">IF(AND(Registro!D231="Abierto",Registro!E231="Baja"),TODAY()-Registro!R231,"")</f>
        <v/>
      </c>
      <c r="L232" s="45" t="str">
        <f>IF(AND(Registro!D231="Abierto",Registro!E231="Baja"),RANK(K232,$K$9:$K$1000,0)+COUNTIF($K$9:K232,K232)-1+MAX(C$5:C$1000,F$5:F$1000,I$5:I$1000),"")</f>
        <v/>
      </c>
      <c r="M232" s="46" t="str">
        <f>IF(OR(Registro!D231="Resuelto",Registro!D231=""),"",SUM(C232,F232,I232,L232))</f>
        <v/>
      </c>
      <c r="N232" s="46" t="str">
        <f>IF(OR(Registro!D231="Resuelto",Registro!D231=""),"",SUM(B232,E232,H232,K232))</f>
        <v/>
      </c>
      <c r="O232" s="46" t="str">
        <f>IF(OR(Registro!D231="Resuelto",Registro!D231=""),"",_xlfn.CONCAT(A232,D232,G232,J232))</f>
        <v/>
      </c>
      <c r="P232" s="47">
        <v>224</v>
      </c>
      <c r="Q232" s="47" t="str">
        <f t="shared" ca="1" si="9"/>
        <v/>
      </c>
      <c r="R232" s="48" t="str">
        <f t="shared" ca="1" si="10"/>
        <v/>
      </c>
      <c r="S232" s="32"/>
      <c r="T232" s="32"/>
      <c r="U232" s="32"/>
      <c r="V232" s="32"/>
      <c r="W232" s="47" t="str">
        <f>IF(X232="","",MAX($W$5:W231)+1)</f>
        <v/>
      </c>
      <c r="X232" s="50" t="str">
        <f>IF(Registro!M231="","",IF(COUNTIF($X$8:X231,Registro!M231)=0,Registro!M231,""))</f>
        <v/>
      </c>
      <c r="Y232" s="50" t="str">
        <f t="shared" si="11"/>
        <v/>
      </c>
    </row>
    <row r="233" spans="1:25">
      <c r="A233" s="45" t="str">
        <f>IF(AND(Registro!D232="Abierto",Registro!E232="Urgente"),Registro!B232,"")</f>
        <v/>
      </c>
      <c r="B233" s="45" t="str">
        <f ca="1">IF(AND(Registro!D232="Abierto",Registro!E232="Urgente"),TODAY()-Registro!R232,"")</f>
        <v/>
      </c>
      <c r="C233" s="45" t="str">
        <f>IF(AND(Registro!D232="Abierto",Registro!E232="Urgente"),RANK(B233,$B$9:$B$1000,0)+COUNTIF($B$9:B233,B233)-1,"")</f>
        <v/>
      </c>
      <c r="D233" s="45" t="str">
        <f>IF(AND(Registro!D232="Abierto",Registro!E232="Alta"),Registro!B232,"")</f>
        <v/>
      </c>
      <c r="E233" s="45" t="str">
        <f ca="1">IF(AND(Registro!D232="Abierto",Registro!E232="Alta"),TODAY()-Registro!R232,"")</f>
        <v/>
      </c>
      <c r="F233" s="45" t="str">
        <f>IF(AND(Registro!D232="Abierto",Registro!E232="Alta"),RANK(E233,$E$9:$E$1000,0)+COUNTIF($E$9:E233,E233)-1+MAX(C$5:C$1000),"")</f>
        <v/>
      </c>
      <c r="G233" s="45" t="str">
        <f>IF(AND(Registro!D232="Abierto",Registro!E232="Media"),Registro!B232,"")</f>
        <v/>
      </c>
      <c r="H233" s="45" t="str">
        <f ca="1">IF(AND(Registro!D232="Abierto",Registro!E232="Media"),TODAY()-Registro!R232,"")</f>
        <v/>
      </c>
      <c r="I233" s="45" t="str">
        <f>IF(AND(Registro!D232="Abierto",Registro!E232="Media"),RANK(H233,$H$9:$H$1000,0)+COUNTIF($H$9:H233,H233)-1+MAX(C$5:C$1000,F$5:F$1000),"")</f>
        <v/>
      </c>
      <c r="J233" s="45" t="str">
        <f>IF(AND(Registro!D232="Abierto",Registro!E232="Baja"),Registro!B232,"")</f>
        <v/>
      </c>
      <c r="K233" s="45" t="str">
        <f ca="1">IF(AND(Registro!D232="Abierto",Registro!E232="Baja"),TODAY()-Registro!R232,"")</f>
        <v/>
      </c>
      <c r="L233" s="45" t="str">
        <f>IF(AND(Registro!D232="Abierto",Registro!E232="Baja"),RANK(K233,$K$9:$K$1000,0)+COUNTIF($K$9:K233,K233)-1+MAX(C$5:C$1000,F$5:F$1000,I$5:I$1000),"")</f>
        <v/>
      </c>
      <c r="M233" s="46" t="str">
        <f>IF(OR(Registro!D232="Resuelto",Registro!D232=""),"",SUM(C233,F233,I233,L233))</f>
        <v/>
      </c>
      <c r="N233" s="46" t="str">
        <f>IF(OR(Registro!D232="Resuelto",Registro!D232=""),"",SUM(B233,E233,H233,K233))</f>
        <v/>
      </c>
      <c r="O233" s="46" t="str">
        <f>IF(OR(Registro!D232="Resuelto",Registro!D232=""),"",_xlfn.CONCAT(A233,D233,G233,J233))</f>
        <v/>
      </c>
      <c r="P233" s="47">
        <v>225</v>
      </c>
      <c r="Q233" s="47" t="str">
        <f t="shared" ca="1" si="9"/>
        <v/>
      </c>
      <c r="R233" s="48" t="str">
        <f t="shared" ca="1" si="10"/>
        <v/>
      </c>
      <c r="S233" s="32"/>
      <c r="T233" s="32"/>
      <c r="U233" s="32"/>
      <c r="V233" s="32"/>
      <c r="W233" s="47" t="str">
        <f>IF(X233="","",MAX($W$5:W232)+1)</f>
        <v/>
      </c>
      <c r="X233" s="50" t="str">
        <f>IF(Registro!M232="","",IF(COUNTIF($X$8:X232,Registro!M232)=0,Registro!M232,""))</f>
        <v/>
      </c>
      <c r="Y233" s="50" t="str">
        <f t="shared" si="11"/>
        <v/>
      </c>
    </row>
    <row r="234" spans="1:25">
      <c r="A234" s="45" t="str">
        <f>IF(AND(Registro!D233="Abierto",Registro!E233="Urgente"),Registro!B233,"")</f>
        <v/>
      </c>
      <c r="B234" s="45" t="str">
        <f ca="1">IF(AND(Registro!D233="Abierto",Registro!E233="Urgente"),TODAY()-Registro!R233,"")</f>
        <v/>
      </c>
      <c r="C234" s="45" t="str">
        <f>IF(AND(Registro!D233="Abierto",Registro!E233="Urgente"),RANK(B234,$B$9:$B$1000,0)+COUNTIF($B$9:B234,B234)-1,"")</f>
        <v/>
      </c>
      <c r="D234" s="45" t="str">
        <f>IF(AND(Registro!D233="Abierto",Registro!E233="Alta"),Registro!B233,"")</f>
        <v/>
      </c>
      <c r="E234" s="45" t="str">
        <f ca="1">IF(AND(Registro!D233="Abierto",Registro!E233="Alta"),TODAY()-Registro!R233,"")</f>
        <v/>
      </c>
      <c r="F234" s="45" t="str">
        <f>IF(AND(Registro!D233="Abierto",Registro!E233="Alta"),RANK(E234,$E$9:$E$1000,0)+COUNTIF($E$9:E234,E234)-1+MAX(C$5:C$1000),"")</f>
        <v/>
      </c>
      <c r="G234" s="45" t="str">
        <f>IF(AND(Registro!D233="Abierto",Registro!E233="Media"),Registro!B233,"")</f>
        <v/>
      </c>
      <c r="H234" s="45" t="str">
        <f ca="1">IF(AND(Registro!D233="Abierto",Registro!E233="Media"),TODAY()-Registro!R233,"")</f>
        <v/>
      </c>
      <c r="I234" s="45" t="str">
        <f>IF(AND(Registro!D233="Abierto",Registro!E233="Media"),RANK(H234,$H$9:$H$1000,0)+COUNTIF($H$9:H234,H234)-1+MAX(C$5:C$1000,F$5:F$1000),"")</f>
        <v/>
      </c>
      <c r="J234" s="45" t="str">
        <f>IF(AND(Registro!D233="Abierto",Registro!E233="Baja"),Registro!B233,"")</f>
        <v/>
      </c>
      <c r="K234" s="45" t="str">
        <f ca="1">IF(AND(Registro!D233="Abierto",Registro!E233="Baja"),TODAY()-Registro!R233,"")</f>
        <v/>
      </c>
      <c r="L234" s="45" t="str">
        <f>IF(AND(Registro!D233="Abierto",Registro!E233="Baja"),RANK(K234,$K$9:$K$1000,0)+COUNTIF($K$9:K234,K234)-1+MAX(C$5:C$1000,F$5:F$1000,I$5:I$1000),"")</f>
        <v/>
      </c>
      <c r="M234" s="46" t="str">
        <f>IF(OR(Registro!D233="Resuelto",Registro!D233=""),"",SUM(C234,F234,I234,L234))</f>
        <v/>
      </c>
      <c r="N234" s="46" t="str">
        <f>IF(OR(Registro!D233="Resuelto",Registro!D233=""),"",SUM(B234,E234,H234,K234))</f>
        <v/>
      </c>
      <c r="O234" s="46" t="str">
        <f>IF(OR(Registro!D233="Resuelto",Registro!D233=""),"",_xlfn.CONCAT(A234,D234,G234,J234))</f>
        <v/>
      </c>
      <c r="P234" s="47">
        <v>226</v>
      </c>
      <c r="Q234" s="47" t="str">
        <f t="shared" ca="1" si="9"/>
        <v/>
      </c>
      <c r="R234" s="48" t="str">
        <f t="shared" ca="1" si="10"/>
        <v/>
      </c>
      <c r="S234" s="32"/>
      <c r="T234" s="32"/>
      <c r="U234" s="32"/>
      <c r="V234" s="32"/>
      <c r="W234" s="47" t="str">
        <f>IF(X234="","",MAX($W$5:W233)+1)</f>
        <v/>
      </c>
      <c r="X234" s="50" t="str">
        <f>IF(Registro!M233="","",IF(COUNTIF($X$8:X233,Registro!M233)=0,Registro!M233,""))</f>
        <v/>
      </c>
      <c r="Y234" s="50" t="str">
        <f t="shared" si="11"/>
        <v/>
      </c>
    </row>
    <row r="235" spans="1:25">
      <c r="A235" s="45" t="str">
        <f>IF(AND(Registro!D234="Abierto",Registro!E234="Urgente"),Registro!B234,"")</f>
        <v/>
      </c>
      <c r="B235" s="45" t="str">
        <f ca="1">IF(AND(Registro!D234="Abierto",Registro!E234="Urgente"),TODAY()-Registro!R234,"")</f>
        <v/>
      </c>
      <c r="C235" s="45" t="str">
        <f>IF(AND(Registro!D234="Abierto",Registro!E234="Urgente"),RANK(B235,$B$9:$B$1000,0)+COUNTIF($B$9:B235,B235)-1,"")</f>
        <v/>
      </c>
      <c r="D235" s="45" t="str">
        <f>IF(AND(Registro!D234="Abierto",Registro!E234="Alta"),Registro!B234,"")</f>
        <v/>
      </c>
      <c r="E235" s="45" t="str">
        <f ca="1">IF(AND(Registro!D234="Abierto",Registro!E234="Alta"),TODAY()-Registro!R234,"")</f>
        <v/>
      </c>
      <c r="F235" s="45" t="str">
        <f>IF(AND(Registro!D234="Abierto",Registro!E234="Alta"),RANK(E235,$E$9:$E$1000,0)+COUNTIF($E$9:E235,E235)-1+MAX(C$5:C$1000),"")</f>
        <v/>
      </c>
      <c r="G235" s="45" t="str">
        <f>IF(AND(Registro!D234="Abierto",Registro!E234="Media"),Registro!B234,"")</f>
        <v/>
      </c>
      <c r="H235" s="45" t="str">
        <f ca="1">IF(AND(Registro!D234="Abierto",Registro!E234="Media"),TODAY()-Registro!R234,"")</f>
        <v/>
      </c>
      <c r="I235" s="45" t="str">
        <f>IF(AND(Registro!D234="Abierto",Registro!E234="Media"),RANK(H235,$H$9:$H$1000,0)+COUNTIF($H$9:H235,H235)-1+MAX(C$5:C$1000,F$5:F$1000),"")</f>
        <v/>
      </c>
      <c r="J235" s="45" t="str">
        <f>IF(AND(Registro!D234="Abierto",Registro!E234="Baja"),Registro!B234,"")</f>
        <v/>
      </c>
      <c r="K235" s="45" t="str">
        <f ca="1">IF(AND(Registro!D234="Abierto",Registro!E234="Baja"),TODAY()-Registro!R234,"")</f>
        <v/>
      </c>
      <c r="L235" s="45" t="str">
        <f>IF(AND(Registro!D234="Abierto",Registro!E234="Baja"),RANK(K235,$K$9:$K$1000,0)+COUNTIF($K$9:K235,K235)-1+MAX(C$5:C$1000,F$5:F$1000,I$5:I$1000),"")</f>
        <v/>
      </c>
      <c r="M235" s="46" t="str">
        <f>IF(OR(Registro!D234="Resuelto",Registro!D234=""),"",SUM(C235,F235,I235,L235))</f>
        <v/>
      </c>
      <c r="N235" s="46" t="str">
        <f>IF(OR(Registro!D234="Resuelto",Registro!D234=""),"",SUM(B235,E235,H235,K235))</f>
        <v/>
      </c>
      <c r="O235" s="46" t="str">
        <f>IF(OR(Registro!D234="Resuelto",Registro!D234=""),"",_xlfn.CONCAT(A235,D235,G235,J235))</f>
        <v/>
      </c>
      <c r="P235" s="47">
        <v>227</v>
      </c>
      <c r="Q235" s="47" t="str">
        <f t="shared" ca="1" si="9"/>
        <v/>
      </c>
      <c r="R235" s="48" t="str">
        <f t="shared" ca="1" si="10"/>
        <v/>
      </c>
      <c r="S235" s="32"/>
      <c r="T235" s="32"/>
      <c r="U235" s="32"/>
      <c r="V235" s="32"/>
      <c r="W235" s="47" t="str">
        <f>IF(X235="","",MAX($W$5:W234)+1)</f>
        <v/>
      </c>
      <c r="X235" s="50" t="str">
        <f>IF(Registro!M234="","",IF(COUNTIF($X$8:X234,Registro!M234)=0,Registro!M234,""))</f>
        <v/>
      </c>
      <c r="Y235" s="50" t="str">
        <f t="shared" si="11"/>
        <v/>
      </c>
    </row>
    <row r="236" spans="1:25">
      <c r="A236" s="45" t="str">
        <f>IF(AND(Registro!D235="Abierto",Registro!E235="Urgente"),Registro!B235,"")</f>
        <v/>
      </c>
      <c r="B236" s="45" t="str">
        <f ca="1">IF(AND(Registro!D235="Abierto",Registro!E235="Urgente"),TODAY()-Registro!R235,"")</f>
        <v/>
      </c>
      <c r="C236" s="45" t="str">
        <f>IF(AND(Registro!D235="Abierto",Registro!E235="Urgente"),RANK(B236,$B$9:$B$1000,0)+COUNTIF($B$9:B236,B236)-1,"")</f>
        <v/>
      </c>
      <c r="D236" s="45" t="str">
        <f>IF(AND(Registro!D235="Abierto",Registro!E235="Alta"),Registro!B235,"")</f>
        <v/>
      </c>
      <c r="E236" s="45" t="str">
        <f ca="1">IF(AND(Registro!D235="Abierto",Registro!E235="Alta"),TODAY()-Registro!R235,"")</f>
        <v/>
      </c>
      <c r="F236" s="45" t="str">
        <f>IF(AND(Registro!D235="Abierto",Registro!E235="Alta"),RANK(E236,$E$9:$E$1000,0)+COUNTIF($E$9:E236,E236)-1+MAX(C$5:C$1000),"")</f>
        <v/>
      </c>
      <c r="G236" s="45" t="str">
        <f>IF(AND(Registro!D235="Abierto",Registro!E235="Media"),Registro!B235,"")</f>
        <v/>
      </c>
      <c r="H236" s="45" t="str">
        <f ca="1">IF(AND(Registro!D235="Abierto",Registro!E235="Media"),TODAY()-Registro!R235,"")</f>
        <v/>
      </c>
      <c r="I236" s="45" t="str">
        <f>IF(AND(Registro!D235="Abierto",Registro!E235="Media"),RANK(H236,$H$9:$H$1000,0)+COUNTIF($H$9:H236,H236)-1+MAX(C$5:C$1000,F$5:F$1000),"")</f>
        <v/>
      </c>
      <c r="J236" s="45" t="str">
        <f>IF(AND(Registro!D235="Abierto",Registro!E235="Baja"),Registro!B235,"")</f>
        <v/>
      </c>
      <c r="K236" s="45" t="str">
        <f ca="1">IF(AND(Registro!D235="Abierto",Registro!E235="Baja"),TODAY()-Registro!R235,"")</f>
        <v/>
      </c>
      <c r="L236" s="45" t="str">
        <f>IF(AND(Registro!D235="Abierto",Registro!E235="Baja"),RANK(K236,$K$9:$K$1000,0)+COUNTIF($K$9:K236,K236)-1+MAX(C$5:C$1000,F$5:F$1000,I$5:I$1000),"")</f>
        <v/>
      </c>
      <c r="M236" s="46" t="str">
        <f>IF(OR(Registro!D235="Resuelto",Registro!D235=""),"",SUM(C236,F236,I236,L236))</f>
        <v/>
      </c>
      <c r="N236" s="46" t="str">
        <f>IF(OR(Registro!D235="Resuelto",Registro!D235=""),"",SUM(B236,E236,H236,K236))</f>
        <v/>
      </c>
      <c r="O236" s="46" t="str">
        <f>IF(OR(Registro!D235="Resuelto",Registro!D235=""),"",_xlfn.CONCAT(A236,D236,G236,J236))</f>
        <v/>
      </c>
      <c r="P236" s="47">
        <v>228</v>
      </c>
      <c r="Q236" s="47" t="str">
        <f t="shared" ca="1" si="9"/>
        <v/>
      </c>
      <c r="R236" s="48" t="str">
        <f t="shared" ca="1" si="10"/>
        <v/>
      </c>
      <c r="S236" s="32"/>
      <c r="T236" s="32"/>
      <c r="U236" s="32"/>
      <c r="V236" s="32"/>
      <c r="W236" s="47" t="str">
        <f>IF(X236="","",MAX($W$5:W235)+1)</f>
        <v/>
      </c>
      <c r="X236" s="50" t="str">
        <f>IF(Registro!M235="","",IF(COUNTIF($X$8:X235,Registro!M235)=0,Registro!M235,""))</f>
        <v/>
      </c>
      <c r="Y236" s="50" t="str">
        <f t="shared" si="11"/>
        <v/>
      </c>
    </row>
    <row r="237" spans="1:25">
      <c r="A237" s="45" t="str">
        <f>IF(AND(Registro!D236="Abierto",Registro!E236="Urgente"),Registro!B236,"")</f>
        <v/>
      </c>
      <c r="B237" s="45" t="str">
        <f ca="1">IF(AND(Registro!D236="Abierto",Registro!E236="Urgente"),TODAY()-Registro!R236,"")</f>
        <v/>
      </c>
      <c r="C237" s="45" t="str">
        <f>IF(AND(Registro!D236="Abierto",Registro!E236="Urgente"),RANK(B237,$B$9:$B$1000,0)+COUNTIF($B$9:B237,B237)-1,"")</f>
        <v/>
      </c>
      <c r="D237" s="45" t="str">
        <f>IF(AND(Registro!D236="Abierto",Registro!E236="Alta"),Registro!B236,"")</f>
        <v/>
      </c>
      <c r="E237" s="45" t="str">
        <f ca="1">IF(AND(Registro!D236="Abierto",Registro!E236="Alta"),TODAY()-Registro!R236,"")</f>
        <v/>
      </c>
      <c r="F237" s="45" t="str">
        <f>IF(AND(Registro!D236="Abierto",Registro!E236="Alta"),RANK(E237,$E$9:$E$1000,0)+COUNTIF($E$9:E237,E237)-1+MAX(C$5:C$1000),"")</f>
        <v/>
      </c>
      <c r="G237" s="45" t="str">
        <f>IF(AND(Registro!D236="Abierto",Registro!E236="Media"),Registro!B236,"")</f>
        <v/>
      </c>
      <c r="H237" s="45" t="str">
        <f ca="1">IF(AND(Registro!D236="Abierto",Registro!E236="Media"),TODAY()-Registro!R236,"")</f>
        <v/>
      </c>
      <c r="I237" s="45" t="str">
        <f>IF(AND(Registro!D236="Abierto",Registro!E236="Media"),RANK(H237,$H$9:$H$1000,0)+COUNTIF($H$9:H237,H237)-1+MAX(C$5:C$1000,F$5:F$1000),"")</f>
        <v/>
      </c>
      <c r="J237" s="45" t="str">
        <f>IF(AND(Registro!D236="Abierto",Registro!E236="Baja"),Registro!B236,"")</f>
        <v/>
      </c>
      <c r="K237" s="45" t="str">
        <f ca="1">IF(AND(Registro!D236="Abierto",Registro!E236="Baja"),TODAY()-Registro!R236,"")</f>
        <v/>
      </c>
      <c r="L237" s="45" t="str">
        <f>IF(AND(Registro!D236="Abierto",Registro!E236="Baja"),RANK(K237,$K$9:$K$1000,0)+COUNTIF($K$9:K237,K237)-1+MAX(C$5:C$1000,F$5:F$1000,I$5:I$1000),"")</f>
        <v/>
      </c>
      <c r="M237" s="46" t="str">
        <f>IF(OR(Registro!D236="Resuelto",Registro!D236=""),"",SUM(C237,F237,I237,L237))</f>
        <v/>
      </c>
      <c r="N237" s="46" t="str">
        <f>IF(OR(Registro!D236="Resuelto",Registro!D236=""),"",SUM(B237,E237,H237,K237))</f>
        <v/>
      </c>
      <c r="O237" s="46" t="str">
        <f>IF(OR(Registro!D236="Resuelto",Registro!D236=""),"",_xlfn.CONCAT(A237,D237,G237,J237))</f>
        <v/>
      </c>
      <c r="P237" s="47">
        <v>229</v>
      </c>
      <c r="Q237" s="47" t="str">
        <f t="shared" ca="1" si="9"/>
        <v/>
      </c>
      <c r="R237" s="48" t="str">
        <f t="shared" ca="1" si="10"/>
        <v/>
      </c>
      <c r="S237" s="32"/>
      <c r="T237" s="32"/>
      <c r="U237" s="32"/>
      <c r="V237" s="32"/>
      <c r="W237" s="47" t="str">
        <f>IF(X237="","",MAX($W$5:W236)+1)</f>
        <v/>
      </c>
      <c r="X237" s="50" t="str">
        <f>IF(Registro!M236="","",IF(COUNTIF($X$8:X236,Registro!M236)=0,Registro!M236,""))</f>
        <v/>
      </c>
      <c r="Y237" s="50" t="str">
        <f t="shared" si="11"/>
        <v/>
      </c>
    </row>
    <row r="238" spans="1:25">
      <c r="A238" s="45" t="str">
        <f>IF(AND(Registro!D237="Abierto",Registro!E237="Urgente"),Registro!B237,"")</f>
        <v/>
      </c>
      <c r="B238" s="45" t="str">
        <f ca="1">IF(AND(Registro!D237="Abierto",Registro!E237="Urgente"),TODAY()-Registro!R237,"")</f>
        <v/>
      </c>
      <c r="C238" s="45" t="str">
        <f>IF(AND(Registro!D237="Abierto",Registro!E237="Urgente"),RANK(B238,$B$9:$B$1000,0)+COUNTIF($B$9:B238,B238)-1,"")</f>
        <v/>
      </c>
      <c r="D238" s="45" t="str">
        <f>IF(AND(Registro!D237="Abierto",Registro!E237="Alta"),Registro!B237,"")</f>
        <v/>
      </c>
      <c r="E238" s="45" t="str">
        <f ca="1">IF(AND(Registro!D237="Abierto",Registro!E237="Alta"),TODAY()-Registro!R237,"")</f>
        <v/>
      </c>
      <c r="F238" s="45" t="str">
        <f>IF(AND(Registro!D237="Abierto",Registro!E237="Alta"),RANK(E238,$E$9:$E$1000,0)+COUNTIF($E$9:E238,E238)-1+MAX(C$5:C$1000),"")</f>
        <v/>
      </c>
      <c r="G238" s="45" t="str">
        <f>IF(AND(Registro!D237="Abierto",Registro!E237="Media"),Registro!B237,"")</f>
        <v/>
      </c>
      <c r="H238" s="45" t="str">
        <f ca="1">IF(AND(Registro!D237="Abierto",Registro!E237="Media"),TODAY()-Registro!R237,"")</f>
        <v/>
      </c>
      <c r="I238" s="45" t="str">
        <f>IF(AND(Registro!D237="Abierto",Registro!E237="Media"),RANK(H238,$H$9:$H$1000,0)+COUNTIF($H$9:H238,H238)-1+MAX(C$5:C$1000,F$5:F$1000),"")</f>
        <v/>
      </c>
      <c r="J238" s="45" t="str">
        <f>IF(AND(Registro!D237="Abierto",Registro!E237="Baja"),Registro!B237,"")</f>
        <v/>
      </c>
      <c r="K238" s="45" t="str">
        <f ca="1">IF(AND(Registro!D237="Abierto",Registro!E237="Baja"),TODAY()-Registro!R237,"")</f>
        <v/>
      </c>
      <c r="L238" s="45" t="str">
        <f>IF(AND(Registro!D237="Abierto",Registro!E237="Baja"),RANK(K238,$K$9:$K$1000,0)+COUNTIF($K$9:K238,K238)-1+MAX(C$5:C$1000,F$5:F$1000,I$5:I$1000),"")</f>
        <v/>
      </c>
      <c r="M238" s="46" t="str">
        <f>IF(OR(Registro!D237="Resuelto",Registro!D237=""),"",SUM(C238,F238,I238,L238))</f>
        <v/>
      </c>
      <c r="N238" s="46" t="str">
        <f>IF(OR(Registro!D237="Resuelto",Registro!D237=""),"",SUM(B238,E238,H238,K238))</f>
        <v/>
      </c>
      <c r="O238" s="46" t="str">
        <f>IF(OR(Registro!D237="Resuelto",Registro!D237=""),"",_xlfn.CONCAT(A238,D238,G238,J238))</f>
        <v/>
      </c>
      <c r="P238" s="47">
        <v>230</v>
      </c>
      <c r="Q238" s="47" t="str">
        <f t="shared" ca="1" si="9"/>
        <v/>
      </c>
      <c r="R238" s="48" t="str">
        <f t="shared" ca="1" si="10"/>
        <v/>
      </c>
      <c r="S238" s="32"/>
      <c r="T238" s="32"/>
      <c r="U238" s="32"/>
      <c r="V238" s="32"/>
      <c r="W238" s="47" t="str">
        <f>IF(X238="","",MAX($W$5:W237)+1)</f>
        <v/>
      </c>
      <c r="X238" s="50" t="str">
        <f>IF(Registro!M237="","",IF(COUNTIF($X$8:X237,Registro!M237)=0,Registro!M237,""))</f>
        <v/>
      </c>
      <c r="Y238" s="50" t="str">
        <f t="shared" si="11"/>
        <v/>
      </c>
    </row>
    <row r="239" spans="1:25">
      <c r="A239" s="45" t="str">
        <f>IF(AND(Registro!D238="Abierto",Registro!E238="Urgente"),Registro!B238,"")</f>
        <v/>
      </c>
      <c r="B239" s="45" t="str">
        <f ca="1">IF(AND(Registro!D238="Abierto",Registro!E238="Urgente"),TODAY()-Registro!R238,"")</f>
        <v/>
      </c>
      <c r="C239" s="45" t="str">
        <f>IF(AND(Registro!D238="Abierto",Registro!E238="Urgente"),RANK(B239,$B$9:$B$1000,0)+COUNTIF($B$9:B239,B239)-1,"")</f>
        <v/>
      </c>
      <c r="D239" s="45" t="str">
        <f>IF(AND(Registro!D238="Abierto",Registro!E238="Alta"),Registro!B238,"")</f>
        <v/>
      </c>
      <c r="E239" s="45" t="str">
        <f ca="1">IF(AND(Registro!D238="Abierto",Registro!E238="Alta"),TODAY()-Registro!R238,"")</f>
        <v/>
      </c>
      <c r="F239" s="45" t="str">
        <f>IF(AND(Registro!D238="Abierto",Registro!E238="Alta"),RANK(E239,$E$9:$E$1000,0)+COUNTIF($E$9:E239,E239)-1+MAX(C$5:C$1000),"")</f>
        <v/>
      </c>
      <c r="G239" s="45" t="str">
        <f>IF(AND(Registro!D238="Abierto",Registro!E238="Media"),Registro!B238,"")</f>
        <v/>
      </c>
      <c r="H239" s="45" t="str">
        <f ca="1">IF(AND(Registro!D238="Abierto",Registro!E238="Media"),TODAY()-Registro!R238,"")</f>
        <v/>
      </c>
      <c r="I239" s="45" t="str">
        <f>IF(AND(Registro!D238="Abierto",Registro!E238="Media"),RANK(H239,$H$9:$H$1000,0)+COUNTIF($H$9:H239,H239)-1+MAX(C$5:C$1000,F$5:F$1000),"")</f>
        <v/>
      </c>
      <c r="J239" s="45" t="str">
        <f>IF(AND(Registro!D238="Abierto",Registro!E238="Baja"),Registro!B238,"")</f>
        <v/>
      </c>
      <c r="K239" s="45" t="str">
        <f ca="1">IF(AND(Registro!D238="Abierto",Registro!E238="Baja"),TODAY()-Registro!R238,"")</f>
        <v/>
      </c>
      <c r="L239" s="45" t="str">
        <f>IF(AND(Registro!D238="Abierto",Registro!E238="Baja"),RANK(K239,$K$9:$K$1000,0)+COUNTIF($K$9:K239,K239)-1+MAX(C$5:C$1000,F$5:F$1000,I$5:I$1000),"")</f>
        <v/>
      </c>
      <c r="M239" s="46" t="str">
        <f>IF(OR(Registro!D238="Resuelto",Registro!D238=""),"",SUM(C239,F239,I239,L239))</f>
        <v/>
      </c>
      <c r="N239" s="46" t="str">
        <f>IF(OR(Registro!D238="Resuelto",Registro!D238=""),"",SUM(B239,E239,H239,K239))</f>
        <v/>
      </c>
      <c r="O239" s="46" t="str">
        <f>IF(OR(Registro!D238="Resuelto",Registro!D238=""),"",_xlfn.CONCAT(A239,D239,G239,J239))</f>
        <v/>
      </c>
      <c r="P239" s="47">
        <v>231</v>
      </c>
      <c r="Q239" s="47" t="str">
        <f t="shared" ca="1" si="9"/>
        <v/>
      </c>
      <c r="R239" s="48" t="str">
        <f t="shared" ca="1" si="10"/>
        <v/>
      </c>
      <c r="S239" s="32"/>
      <c r="T239" s="32"/>
      <c r="U239" s="32"/>
      <c r="V239" s="32"/>
      <c r="W239" s="47" t="str">
        <f>IF(X239="","",MAX($W$5:W238)+1)</f>
        <v/>
      </c>
      <c r="X239" s="50" t="str">
        <f>IF(Registro!M238="","",IF(COUNTIF($X$8:X238,Registro!M238)=0,Registro!M238,""))</f>
        <v/>
      </c>
      <c r="Y239" s="50" t="str">
        <f t="shared" si="11"/>
        <v/>
      </c>
    </row>
    <row r="240" spans="1:25">
      <c r="A240" s="45" t="str">
        <f>IF(AND(Registro!D239="Abierto",Registro!E239="Urgente"),Registro!B239,"")</f>
        <v/>
      </c>
      <c r="B240" s="45" t="str">
        <f ca="1">IF(AND(Registro!D239="Abierto",Registro!E239="Urgente"),TODAY()-Registro!R239,"")</f>
        <v/>
      </c>
      <c r="C240" s="45" t="str">
        <f>IF(AND(Registro!D239="Abierto",Registro!E239="Urgente"),RANK(B240,$B$9:$B$1000,0)+COUNTIF($B$9:B240,B240)-1,"")</f>
        <v/>
      </c>
      <c r="D240" s="45" t="str">
        <f>IF(AND(Registro!D239="Abierto",Registro!E239="Alta"),Registro!B239,"")</f>
        <v/>
      </c>
      <c r="E240" s="45" t="str">
        <f ca="1">IF(AND(Registro!D239="Abierto",Registro!E239="Alta"),TODAY()-Registro!R239,"")</f>
        <v/>
      </c>
      <c r="F240" s="45" t="str">
        <f>IF(AND(Registro!D239="Abierto",Registro!E239="Alta"),RANK(E240,$E$9:$E$1000,0)+COUNTIF($E$9:E240,E240)-1+MAX(C$5:C$1000),"")</f>
        <v/>
      </c>
      <c r="G240" s="45" t="str">
        <f>IF(AND(Registro!D239="Abierto",Registro!E239="Media"),Registro!B239,"")</f>
        <v/>
      </c>
      <c r="H240" s="45" t="str">
        <f ca="1">IF(AND(Registro!D239="Abierto",Registro!E239="Media"),TODAY()-Registro!R239,"")</f>
        <v/>
      </c>
      <c r="I240" s="45" t="str">
        <f>IF(AND(Registro!D239="Abierto",Registro!E239="Media"),RANK(H240,$H$9:$H$1000,0)+COUNTIF($H$9:H240,H240)-1+MAX(C$5:C$1000,F$5:F$1000),"")</f>
        <v/>
      </c>
      <c r="J240" s="45" t="str">
        <f>IF(AND(Registro!D239="Abierto",Registro!E239="Baja"),Registro!B239,"")</f>
        <v/>
      </c>
      <c r="K240" s="45" t="str">
        <f ca="1">IF(AND(Registro!D239="Abierto",Registro!E239="Baja"),TODAY()-Registro!R239,"")</f>
        <v/>
      </c>
      <c r="L240" s="45" t="str">
        <f>IF(AND(Registro!D239="Abierto",Registro!E239="Baja"),RANK(K240,$K$9:$K$1000,0)+COUNTIF($K$9:K240,K240)-1+MAX(C$5:C$1000,F$5:F$1000,I$5:I$1000),"")</f>
        <v/>
      </c>
      <c r="M240" s="46" t="str">
        <f>IF(OR(Registro!D239="Resuelto",Registro!D239=""),"",SUM(C240,F240,I240,L240))</f>
        <v/>
      </c>
      <c r="N240" s="46" t="str">
        <f>IF(OR(Registro!D239="Resuelto",Registro!D239=""),"",SUM(B240,E240,H240,K240))</f>
        <v/>
      </c>
      <c r="O240" s="46" t="str">
        <f>IF(OR(Registro!D239="Resuelto",Registro!D239=""),"",_xlfn.CONCAT(A240,D240,G240,J240))</f>
        <v/>
      </c>
      <c r="P240" s="47">
        <v>232</v>
      </c>
      <c r="Q240" s="47" t="str">
        <f t="shared" ca="1" si="9"/>
        <v/>
      </c>
      <c r="R240" s="48" t="str">
        <f t="shared" ca="1" si="10"/>
        <v/>
      </c>
      <c r="S240" s="32"/>
      <c r="T240" s="32"/>
      <c r="U240" s="32"/>
      <c r="V240" s="32"/>
      <c r="W240" s="47" t="str">
        <f>IF(X240="","",MAX($W$5:W239)+1)</f>
        <v/>
      </c>
      <c r="X240" s="50" t="str">
        <f>IF(Registro!M239="","",IF(COUNTIF($X$8:X239,Registro!M239)=0,Registro!M239,""))</f>
        <v/>
      </c>
      <c r="Y240" s="50" t="str">
        <f t="shared" si="11"/>
        <v/>
      </c>
    </row>
    <row r="241" spans="1:25">
      <c r="A241" s="45" t="str">
        <f>IF(AND(Registro!D240="Abierto",Registro!E240="Urgente"),Registro!B240,"")</f>
        <v/>
      </c>
      <c r="B241" s="45" t="str">
        <f ca="1">IF(AND(Registro!D240="Abierto",Registro!E240="Urgente"),TODAY()-Registro!R240,"")</f>
        <v/>
      </c>
      <c r="C241" s="45" t="str">
        <f>IF(AND(Registro!D240="Abierto",Registro!E240="Urgente"),RANK(B241,$B$9:$B$1000,0)+COUNTIF($B$9:B241,B241)-1,"")</f>
        <v/>
      </c>
      <c r="D241" s="45" t="str">
        <f>IF(AND(Registro!D240="Abierto",Registro!E240="Alta"),Registro!B240,"")</f>
        <v/>
      </c>
      <c r="E241" s="45" t="str">
        <f ca="1">IF(AND(Registro!D240="Abierto",Registro!E240="Alta"),TODAY()-Registro!R240,"")</f>
        <v/>
      </c>
      <c r="F241" s="45" t="str">
        <f>IF(AND(Registro!D240="Abierto",Registro!E240="Alta"),RANK(E241,$E$9:$E$1000,0)+COUNTIF($E$9:E241,E241)-1+MAX(C$5:C$1000),"")</f>
        <v/>
      </c>
      <c r="G241" s="45" t="str">
        <f>IF(AND(Registro!D240="Abierto",Registro!E240="Media"),Registro!B240,"")</f>
        <v/>
      </c>
      <c r="H241" s="45" t="str">
        <f ca="1">IF(AND(Registro!D240="Abierto",Registro!E240="Media"),TODAY()-Registro!R240,"")</f>
        <v/>
      </c>
      <c r="I241" s="45" t="str">
        <f>IF(AND(Registro!D240="Abierto",Registro!E240="Media"),RANK(H241,$H$9:$H$1000,0)+COUNTIF($H$9:H241,H241)-1+MAX(C$5:C$1000,F$5:F$1000),"")</f>
        <v/>
      </c>
      <c r="J241" s="45" t="str">
        <f>IF(AND(Registro!D240="Abierto",Registro!E240="Baja"),Registro!B240,"")</f>
        <v/>
      </c>
      <c r="K241" s="45" t="str">
        <f ca="1">IF(AND(Registro!D240="Abierto",Registro!E240="Baja"),TODAY()-Registro!R240,"")</f>
        <v/>
      </c>
      <c r="L241" s="45" t="str">
        <f>IF(AND(Registro!D240="Abierto",Registro!E240="Baja"),RANK(K241,$K$9:$K$1000,0)+COUNTIF($K$9:K241,K241)-1+MAX(C$5:C$1000,F$5:F$1000,I$5:I$1000),"")</f>
        <v/>
      </c>
      <c r="M241" s="46" t="str">
        <f>IF(OR(Registro!D240="Resuelto",Registro!D240=""),"",SUM(C241,F241,I241,L241))</f>
        <v/>
      </c>
      <c r="N241" s="46" t="str">
        <f>IF(OR(Registro!D240="Resuelto",Registro!D240=""),"",SUM(B241,E241,H241,K241))</f>
        <v/>
      </c>
      <c r="O241" s="46" t="str">
        <f>IF(OR(Registro!D240="Resuelto",Registro!D240=""),"",_xlfn.CONCAT(A241,D241,G241,J241))</f>
        <v/>
      </c>
      <c r="P241" s="47">
        <v>233</v>
      </c>
      <c r="Q241" s="47" t="str">
        <f t="shared" ca="1" si="9"/>
        <v/>
      </c>
      <c r="R241" s="48" t="str">
        <f t="shared" ca="1" si="10"/>
        <v/>
      </c>
      <c r="S241" s="32"/>
      <c r="T241" s="32"/>
      <c r="U241" s="32"/>
      <c r="V241" s="32"/>
      <c r="W241" s="47" t="str">
        <f>IF(X241="","",MAX($W$5:W240)+1)</f>
        <v/>
      </c>
      <c r="X241" s="50" t="str">
        <f>IF(Registro!M240="","",IF(COUNTIF($X$8:X240,Registro!M240)=0,Registro!M240,""))</f>
        <v/>
      </c>
      <c r="Y241" s="50" t="str">
        <f t="shared" si="11"/>
        <v/>
      </c>
    </row>
    <row r="242" spans="1:25">
      <c r="A242" s="45" t="str">
        <f>IF(AND(Registro!D241="Abierto",Registro!E241="Urgente"),Registro!B241,"")</f>
        <v/>
      </c>
      <c r="B242" s="45" t="str">
        <f ca="1">IF(AND(Registro!D241="Abierto",Registro!E241="Urgente"),TODAY()-Registro!R241,"")</f>
        <v/>
      </c>
      <c r="C242" s="45" t="str">
        <f>IF(AND(Registro!D241="Abierto",Registro!E241="Urgente"),RANK(B242,$B$9:$B$1000,0)+COUNTIF($B$9:B242,B242)-1,"")</f>
        <v/>
      </c>
      <c r="D242" s="45" t="str">
        <f>IF(AND(Registro!D241="Abierto",Registro!E241="Alta"),Registro!B241,"")</f>
        <v/>
      </c>
      <c r="E242" s="45" t="str">
        <f ca="1">IF(AND(Registro!D241="Abierto",Registro!E241="Alta"),TODAY()-Registro!R241,"")</f>
        <v/>
      </c>
      <c r="F242" s="45" t="str">
        <f>IF(AND(Registro!D241="Abierto",Registro!E241="Alta"),RANK(E242,$E$9:$E$1000,0)+COUNTIF($E$9:E242,E242)-1+MAX(C$5:C$1000),"")</f>
        <v/>
      </c>
      <c r="G242" s="45" t="str">
        <f>IF(AND(Registro!D241="Abierto",Registro!E241="Media"),Registro!B241,"")</f>
        <v/>
      </c>
      <c r="H242" s="45" t="str">
        <f ca="1">IF(AND(Registro!D241="Abierto",Registro!E241="Media"),TODAY()-Registro!R241,"")</f>
        <v/>
      </c>
      <c r="I242" s="45" t="str">
        <f>IF(AND(Registro!D241="Abierto",Registro!E241="Media"),RANK(H242,$H$9:$H$1000,0)+COUNTIF($H$9:H242,H242)-1+MAX(C$5:C$1000,F$5:F$1000),"")</f>
        <v/>
      </c>
      <c r="J242" s="45" t="str">
        <f>IF(AND(Registro!D241="Abierto",Registro!E241="Baja"),Registro!B241,"")</f>
        <v/>
      </c>
      <c r="K242" s="45" t="str">
        <f ca="1">IF(AND(Registro!D241="Abierto",Registro!E241="Baja"),TODAY()-Registro!R241,"")</f>
        <v/>
      </c>
      <c r="L242" s="45" t="str">
        <f>IF(AND(Registro!D241="Abierto",Registro!E241="Baja"),RANK(K242,$K$9:$K$1000,0)+COUNTIF($K$9:K242,K242)-1+MAX(C$5:C$1000,F$5:F$1000,I$5:I$1000),"")</f>
        <v/>
      </c>
      <c r="M242" s="46" t="str">
        <f>IF(OR(Registro!D241="Resuelto",Registro!D241=""),"",SUM(C242,F242,I242,L242))</f>
        <v/>
      </c>
      <c r="N242" s="46" t="str">
        <f>IF(OR(Registro!D241="Resuelto",Registro!D241=""),"",SUM(B242,E242,H242,K242))</f>
        <v/>
      </c>
      <c r="O242" s="46" t="str">
        <f>IF(OR(Registro!D241="Resuelto",Registro!D241=""),"",_xlfn.CONCAT(A242,D242,G242,J242))</f>
        <v/>
      </c>
      <c r="P242" s="47">
        <v>234</v>
      </c>
      <c r="Q242" s="47" t="str">
        <f t="shared" ca="1" si="9"/>
        <v/>
      </c>
      <c r="R242" s="48" t="str">
        <f t="shared" ca="1" si="10"/>
        <v/>
      </c>
      <c r="S242" s="32"/>
      <c r="T242" s="32"/>
      <c r="U242" s="32"/>
      <c r="V242" s="32"/>
      <c r="W242" s="47" t="str">
        <f>IF(X242="","",MAX($W$5:W241)+1)</f>
        <v/>
      </c>
      <c r="X242" s="50" t="str">
        <f>IF(Registro!M241="","",IF(COUNTIF($X$8:X241,Registro!M241)=0,Registro!M241,""))</f>
        <v/>
      </c>
      <c r="Y242" s="50" t="str">
        <f t="shared" si="11"/>
        <v/>
      </c>
    </row>
    <row r="243" spans="1:25">
      <c r="A243" s="45" t="str">
        <f>IF(AND(Registro!D242="Abierto",Registro!E242="Urgente"),Registro!B242,"")</f>
        <v/>
      </c>
      <c r="B243" s="45" t="str">
        <f ca="1">IF(AND(Registro!D242="Abierto",Registro!E242="Urgente"),TODAY()-Registro!R242,"")</f>
        <v/>
      </c>
      <c r="C243" s="45" t="str">
        <f>IF(AND(Registro!D242="Abierto",Registro!E242="Urgente"),RANK(B243,$B$9:$B$1000,0)+COUNTIF($B$9:B243,B243)-1,"")</f>
        <v/>
      </c>
      <c r="D243" s="45" t="str">
        <f>IF(AND(Registro!D242="Abierto",Registro!E242="Alta"),Registro!B242,"")</f>
        <v/>
      </c>
      <c r="E243" s="45" t="str">
        <f ca="1">IF(AND(Registro!D242="Abierto",Registro!E242="Alta"),TODAY()-Registro!R242,"")</f>
        <v/>
      </c>
      <c r="F243" s="45" t="str">
        <f>IF(AND(Registro!D242="Abierto",Registro!E242="Alta"),RANK(E243,$E$9:$E$1000,0)+COUNTIF($E$9:E243,E243)-1+MAX(C$5:C$1000),"")</f>
        <v/>
      </c>
      <c r="G243" s="45" t="str">
        <f>IF(AND(Registro!D242="Abierto",Registro!E242="Media"),Registro!B242,"")</f>
        <v/>
      </c>
      <c r="H243" s="45" t="str">
        <f ca="1">IF(AND(Registro!D242="Abierto",Registro!E242="Media"),TODAY()-Registro!R242,"")</f>
        <v/>
      </c>
      <c r="I243" s="45" t="str">
        <f>IF(AND(Registro!D242="Abierto",Registro!E242="Media"),RANK(H243,$H$9:$H$1000,0)+COUNTIF($H$9:H243,H243)-1+MAX(C$5:C$1000,F$5:F$1000),"")</f>
        <v/>
      </c>
      <c r="J243" s="45" t="str">
        <f>IF(AND(Registro!D242="Abierto",Registro!E242="Baja"),Registro!B242,"")</f>
        <v/>
      </c>
      <c r="K243" s="45" t="str">
        <f ca="1">IF(AND(Registro!D242="Abierto",Registro!E242="Baja"),TODAY()-Registro!R242,"")</f>
        <v/>
      </c>
      <c r="L243" s="45" t="str">
        <f>IF(AND(Registro!D242="Abierto",Registro!E242="Baja"),RANK(K243,$K$9:$K$1000,0)+COUNTIF($K$9:K243,K243)-1+MAX(C$5:C$1000,F$5:F$1000,I$5:I$1000),"")</f>
        <v/>
      </c>
      <c r="M243" s="46" t="str">
        <f>IF(OR(Registro!D242="Resuelto",Registro!D242=""),"",SUM(C243,F243,I243,L243))</f>
        <v/>
      </c>
      <c r="N243" s="46" t="str">
        <f>IF(OR(Registro!D242="Resuelto",Registro!D242=""),"",SUM(B243,E243,H243,K243))</f>
        <v/>
      </c>
      <c r="O243" s="46" t="str">
        <f>IF(OR(Registro!D242="Resuelto",Registro!D242=""),"",_xlfn.CONCAT(A243,D243,G243,J243))</f>
        <v/>
      </c>
      <c r="P243" s="47">
        <v>235</v>
      </c>
      <c r="Q243" s="47" t="str">
        <f t="shared" ca="1" si="9"/>
        <v/>
      </c>
      <c r="R243" s="48" t="str">
        <f t="shared" ca="1" si="10"/>
        <v/>
      </c>
      <c r="S243" s="32"/>
      <c r="T243" s="32"/>
      <c r="U243" s="32"/>
      <c r="V243" s="32"/>
      <c r="W243" s="47" t="str">
        <f>IF(X243="","",MAX($W$5:W242)+1)</f>
        <v/>
      </c>
      <c r="X243" s="50" t="str">
        <f>IF(Registro!M242="","",IF(COUNTIF($X$8:X242,Registro!M242)=0,Registro!M242,""))</f>
        <v/>
      </c>
      <c r="Y243" s="50" t="str">
        <f t="shared" si="11"/>
        <v/>
      </c>
    </row>
    <row r="244" spans="1:25">
      <c r="A244" s="45" t="str">
        <f>IF(AND(Registro!D243="Abierto",Registro!E243="Urgente"),Registro!B243,"")</f>
        <v/>
      </c>
      <c r="B244" s="45" t="str">
        <f ca="1">IF(AND(Registro!D243="Abierto",Registro!E243="Urgente"),TODAY()-Registro!R243,"")</f>
        <v/>
      </c>
      <c r="C244" s="45" t="str">
        <f>IF(AND(Registro!D243="Abierto",Registro!E243="Urgente"),RANK(B244,$B$9:$B$1000,0)+COUNTIF($B$9:B244,B244)-1,"")</f>
        <v/>
      </c>
      <c r="D244" s="45" t="str">
        <f>IF(AND(Registro!D243="Abierto",Registro!E243="Alta"),Registro!B243,"")</f>
        <v/>
      </c>
      <c r="E244" s="45" t="str">
        <f ca="1">IF(AND(Registro!D243="Abierto",Registro!E243="Alta"),TODAY()-Registro!R243,"")</f>
        <v/>
      </c>
      <c r="F244" s="45" t="str">
        <f>IF(AND(Registro!D243="Abierto",Registro!E243="Alta"),RANK(E244,$E$9:$E$1000,0)+COUNTIF($E$9:E244,E244)-1+MAX(C$5:C$1000),"")</f>
        <v/>
      </c>
      <c r="G244" s="45" t="str">
        <f>IF(AND(Registro!D243="Abierto",Registro!E243="Media"),Registro!B243,"")</f>
        <v/>
      </c>
      <c r="H244" s="45" t="str">
        <f ca="1">IF(AND(Registro!D243="Abierto",Registro!E243="Media"),TODAY()-Registro!R243,"")</f>
        <v/>
      </c>
      <c r="I244" s="45" t="str">
        <f>IF(AND(Registro!D243="Abierto",Registro!E243="Media"),RANK(H244,$H$9:$H$1000,0)+COUNTIF($H$9:H244,H244)-1+MAX(C$5:C$1000,F$5:F$1000),"")</f>
        <v/>
      </c>
      <c r="J244" s="45" t="str">
        <f>IF(AND(Registro!D243="Abierto",Registro!E243="Baja"),Registro!B243,"")</f>
        <v/>
      </c>
      <c r="K244" s="45" t="str">
        <f ca="1">IF(AND(Registro!D243="Abierto",Registro!E243="Baja"),TODAY()-Registro!R243,"")</f>
        <v/>
      </c>
      <c r="L244" s="45" t="str">
        <f>IF(AND(Registro!D243="Abierto",Registro!E243="Baja"),RANK(K244,$K$9:$K$1000,0)+COUNTIF($K$9:K244,K244)-1+MAX(C$5:C$1000,F$5:F$1000,I$5:I$1000),"")</f>
        <v/>
      </c>
      <c r="M244" s="46" t="str">
        <f>IF(OR(Registro!D243="Resuelto",Registro!D243=""),"",SUM(C244,F244,I244,L244))</f>
        <v/>
      </c>
      <c r="N244" s="46" t="str">
        <f>IF(OR(Registro!D243="Resuelto",Registro!D243=""),"",SUM(B244,E244,H244,K244))</f>
        <v/>
      </c>
      <c r="O244" s="46" t="str">
        <f>IF(OR(Registro!D243="Resuelto",Registro!D243=""),"",_xlfn.CONCAT(A244,D244,G244,J244))</f>
        <v/>
      </c>
      <c r="P244" s="47">
        <v>236</v>
      </c>
      <c r="Q244" s="47" t="str">
        <f t="shared" ca="1" si="9"/>
        <v/>
      </c>
      <c r="R244" s="48" t="str">
        <f t="shared" ca="1" si="10"/>
        <v/>
      </c>
      <c r="S244" s="32"/>
      <c r="T244" s="32"/>
      <c r="U244" s="32"/>
      <c r="V244" s="32"/>
      <c r="W244" s="47" t="str">
        <f>IF(X244="","",MAX($W$5:W243)+1)</f>
        <v/>
      </c>
      <c r="X244" s="50" t="str">
        <f>IF(Registro!M243="","",IF(COUNTIF($X$8:X243,Registro!M243)=0,Registro!M243,""))</f>
        <v/>
      </c>
      <c r="Y244" s="50" t="str">
        <f t="shared" si="11"/>
        <v/>
      </c>
    </row>
    <row r="245" spans="1:25">
      <c r="A245" s="45" t="str">
        <f>IF(AND(Registro!D244="Abierto",Registro!E244="Urgente"),Registro!B244,"")</f>
        <v/>
      </c>
      <c r="B245" s="45" t="str">
        <f ca="1">IF(AND(Registro!D244="Abierto",Registro!E244="Urgente"),TODAY()-Registro!R244,"")</f>
        <v/>
      </c>
      <c r="C245" s="45" t="str">
        <f>IF(AND(Registro!D244="Abierto",Registro!E244="Urgente"),RANK(B245,$B$9:$B$1000,0)+COUNTIF($B$9:B245,B245)-1,"")</f>
        <v/>
      </c>
      <c r="D245" s="45" t="str">
        <f>IF(AND(Registro!D244="Abierto",Registro!E244="Alta"),Registro!B244,"")</f>
        <v/>
      </c>
      <c r="E245" s="45" t="str">
        <f ca="1">IF(AND(Registro!D244="Abierto",Registro!E244="Alta"),TODAY()-Registro!R244,"")</f>
        <v/>
      </c>
      <c r="F245" s="45" t="str">
        <f>IF(AND(Registro!D244="Abierto",Registro!E244="Alta"),RANK(E245,$E$9:$E$1000,0)+COUNTIF($E$9:E245,E245)-1+MAX(C$5:C$1000),"")</f>
        <v/>
      </c>
      <c r="G245" s="45" t="str">
        <f>IF(AND(Registro!D244="Abierto",Registro!E244="Media"),Registro!B244,"")</f>
        <v/>
      </c>
      <c r="H245" s="45" t="str">
        <f ca="1">IF(AND(Registro!D244="Abierto",Registro!E244="Media"),TODAY()-Registro!R244,"")</f>
        <v/>
      </c>
      <c r="I245" s="45" t="str">
        <f>IF(AND(Registro!D244="Abierto",Registro!E244="Media"),RANK(H245,$H$9:$H$1000,0)+COUNTIF($H$9:H245,H245)-1+MAX(C$5:C$1000,F$5:F$1000),"")</f>
        <v/>
      </c>
      <c r="J245" s="45" t="str">
        <f>IF(AND(Registro!D244="Abierto",Registro!E244="Baja"),Registro!B244,"")</f>
        <v/>
      </c>
      <c r="K245" s="45" t="str">
        <f ca="1">IF(AND(Registro!D244="Abierto",Registro!E244="Baja"),TODAY()-Registro!R244,"")</f>
        <v/>
      </c>
      <c r="L245" s="45" t="str">
        <f>IF(AND(Registro!D244="Abierto",Registro!E244="Baja"),RANK(K245,$K$9:$K$1000,0)+COUNTIF($K$9:K245,K245)-1+MAX(C$5:C$1000,F$5:F$1000,I$5:I$1000),"")</f>
        <v/>
      </c>
      <c r="M245" s="46" t="str">
        <f>IF(OR(Registro!D244="Resuelto",Registro!D244=""),"",SUM(C245,F245,I245,L245))</f>
        <v/>
      </c>
      <c r="N245" s="46" t="str">
        <f>IF(OR(Registro!D244="Resuelto",Registro!D244=""),"",SUM(B245,E245,H245,K245))</f>
        <v/>
      </c>
      <c r="O245" s="46" t="str">
        <f>IF(OR(Registro!D244="Resuelto",Registro!D244=""),"",_xlfn.CONCAT(A245,D245,G245,J245))</f>
        <v/>
      </c>
      <c r="P245" s="47">
        <v>237</v>
      </c>
      <c r="Q245" s="47" t="str">
        <f t="shared" ca="1" si="9"/>
        <v/>
      </c>
      <c r="R245" s="48" t="str">
        <f t="shared" ca="1" si="10"/>
        <v/>
      </c>
      <c r="S245" s="32"/>
      <c r="T245" s="32"/>
      <c r="U245" s="32"/>
      <c r="V245" s="32"/>
      <c r="W245" s="47" t="str">
        <f>IF(X245="","",MAX($W$5:W244)+1)</f>
        <v/>
      </c>
      <c r="X245" s="50" t="str">
        <f>IF(Registro!M244="","",IF(COUNTIF($X$8:X244,Registro!M244)=0,Registro!M244,""))</f>
        <v/>
      </c>
      <c r="Y245" s="50" t="str">
        <f t="shared" si="11"/>
        <v/>
      </c>
    </row>
    <row r="246" spans="1:25">
      <c r="A246" s="45" t="str">
        <f>IF(AND(Registro!D245="Abierto",Registro!E245="Urgente"),Registro!B245,"")</f>
        <v/>
      </c>
      <c r="B246" s="45" t="str">
        <f ca="1">IF(AND(Registro!D245="Abierto",Registro!E245="Urgente"),TODAY()-Registro!R245,"")</f>
        <v/>
      </c>
      <c r="C246" s="45" t="str">
        <f>IF(AND(Registro!D245="Abierto",Registro!E245="Urgente"),RANK(B246,$B$9:$B$1000,0)+COUNTIF($B$9:B246,B246)-1,"")</f>
        <v/>
      </c>
      <c r="D246" s="45" t="str">
        <f>IF(AND(Registro!D245="Abierto",Registro!E245="Alta"),Registro!B245,"")</f>
        <v/>
      </c>
      <c r="E246" s="45" t="str">
        <f ca="1">IF(AND(Registro!D245="Abierto",Registro!E245="Alta"),TODAY()-Registro!R245,"")</f>
        <v/>
      </c>
      <c r="F246" s="45" t="str">
        <f>IF(AND(Registro!D245="Abierto",Registro!E245="Alta"),RANK(E246,$E$9:$E$1000,0)+COUNTIF($E$9:E246,E246)-1+MAX(C$5:C$1000),"")</f>
        <v/>
      </c>
      <c r="G246" s="45" t="str">
        <f>IF(AND(Registro!D245="Abierto",Registro!E245="Media"),Registro!B245,"")</f>
        <v/>
      </c>
      <c r="H246" s="45" t="str">
        <f ca="1">IF(AND(Registro!D245="Abierto",Registro!E245="Media"),TODAY()-Registro!R245,"")</f>
        <v/>
      </c>
      <c r="I246" s="45" t="str">
        <f>IF(AND(Registro!D245="Abierto",Registro!E245="Media"),RANK(H246,$H$9:$H$1000,0)+COUNTIF($H$9:H246,H246)-1+MAX(C$5:C$1000,F$5:F$1000),"")</f>
        <v/>
      </c>
      <c r="J246" s="45" t="str">
        <f>IF(AND(Registro!D245="Abierto",Registro!E245="Baja"),Registro!B245,"")</f>
        <v/>
      </c>
      <c r="K246" s="45" t="str">
        <f ca="1">IF(AND(Registro!D245="Abierto",Registro!E245="Baja"),TODAY()-Registro!R245,"")</f>
        <v/>
      </c>
      <c r="L246" s="45" t="str">
        <f>IF(AND(Registro!D245="Abierto",Registro!E245="Baja"),RANK(K246,$K$9:$K$1000,0)+COUNTIF($K$9:K246,K246)-1+MAX(C$5:C$1000,F$5:F$1000,I$5:I$1000),"")</f>
        <v/>
      </c>
      <c r="M246" s="46" t="str">
        <f>IF(OR(Registro!D245="Resuelto",Registro!D245=""),"",SUM(C246,F246,I246,L246))</f>
        <v/>
      </c>
      <c r="N246" s="46" t="str">
        <f>IF(OR(Registro!D245="Resuelto",Registro!D245=""),"",SUM(B246,E246,H246,K246))</f>
        <v/>
      </c>
      <c r="O246" s="46" t="str">
        <f>IF(OR(Registro!D245="Resuelto",Registro!D245=""),"",_xlfn.CONCAT(A246,D246,G246,J246))</f>
        <v/>
      </c>
      <c r="P246" s="47">
        <v>238</v>
      </c>
      <c r="Q246" s="47" t="str">
        <f t="shared" ca="1" si="9"/>
        <v/>
      </c>
      <c r="R246" s="48" t="str">
        <f t="shared" ca="1" si="10"/>
        <v/>
      </c>
      <c r="S246" s="32"/>
      <c r="T246" s="32"/>
      <c r="U246" s="32"/>
      <c r="V246" s="32"/>
      <c r="W246" s="47" t="str">
        <f>IF(X246="","",MAX($W$5:W245)+1)</f>
        <v/>
      </c>
      <c r="X246" s="50" t="str">
        <f>IF(Registro!M245="","",IF(COUNTIF($X$8:X245,Registro!M245)=0,Registro!M245,""))</f>
        <v/>
      </c>
      <c r="Y246" s="50" t="str">
        <f t="shared" si="11"/>
        <v/>
      </c>
    </row>
    <row r="247" spans="1:25">
      <c r="A247" s="45" t="str">
        <f>IF(AND(Registro!D246="Abierto",Registro!E246="Urgente"),Registro!B246,"")</f>
        <v/>
      </c>
      <c r="B247" s="45" t="str">
        <f ca="1">IF(AND(Registro!D246="Abierto",Registro!E246="Urgente"),TODAY()-Registro!R246,"")</f>
        <v/>
      </c>
      <c r="C247" s="45" t="str">
        <f>IF(AND(Registro!D246="Abierto",Registro!E246="Urgente"),RANK(B247,$B$9:$B$1000,0)+COUNTIF($B$9:B247,B247)-1,"")</f>
        <v/>
      </c>
      <c r="D247" s="45" t="str">
        <f>IF(AND(Registro!D246="Abierto",Registro!E246="Alta"),Registro!B246,"")</f>
        <v/>
      </c>
      <c r="E247" s="45" t="str">
        <f ca="1">IF(AND(Registro!D246="Abierto",Registro!E246="Alta"),TODAY()-Registro!R246,"")</f>
        <v/>
      </c>
      <c r="F247" s="45" t="str">
        <f>IF(AND(Registro!D246="Abierto",Registro!E246="Alta"),RANK(E247,$E$9:$E$1000,0)+COUNTIF($E$9:E247,E247)-1+MAX(C$5:C$1000),"")</f>
        <v/>
      </c>
      <c r="G247" s="45" t="str">
        <f>IF(AND(Registro!D246="Abierto",Registro!E246="Media"),Registro!B246,"")</f>
        <v/>
      </c>
      <c r="H247" s="45" t="str">
        <f ca="1">IF(AND(Registro!D246="Abierto",Registro!E246="Media"),TODAY()-Registro!R246,"")</f>
        <v/>
      </c>
      <c r="I247" s="45" t="str">
        <f>IF(AND(Registro!D246="Abierto",Registro!E246="Media"),RANK(H247,$H$9:$H$1000,0)+COUNTIF($H$9:H247,H247)-1+MAX(C$5:C$1000,F$5:F$1000),"")</f>
        <v/>
      </c>
      <c r="J247" s="45" t="str">
        <f>IF(AND(Registro!D246="Abierto",Registro!E246="Baja"),Registro!B246,"")</f>
        <v/>
      </c>
      <c r="K247" s="45" t="str">
        <f ca="1">IF(AND(Registro!D246="Abierto",Registro!E246="Baja"),TODAY()-Registro!R246,"")</f>
        <v/>
      </c>
      <c r="L247" s="45" t="str">
        <f>IF(AND(Registro!D246="Abierto",Registro!E246="Baja"),RANK(K247,$K$9:$K$1000,0)+COUNTIF($K$9:K247,K247)-1+MAX(C$5:C$1000,F$5:F$1000,I$5:I$1000),"")</f>
        <v/>
      </c>
      <c r="M247" s="46" t="str">
        <f>IF(OR(Registro!D246="Resuelto",Registro!D246=""),"",SUM(C247,F247,I247,L247))</f>
        <v/>
      </c>
      <c r="N247" s="46" t="str">
        <f>IF(OR(Registro!D246="Resuelto",Registro!D246=""),"",SUM(B247,E247,H247,K247))</f>
        <v/>
      </c>
      <c r="O247" s="46" t="str">
        <f>IF(OR(Registro!D246="Resuelto",Registro!D246=""),"",_xlfn.CONCAT(A247,D247,G247,J247))</f>
        <v/>
      </c>
      <c r="P247" s="47">
        <v>239</v>
      </c>
      <c r="Q247" s="47" t="str">
        <f t="shared" ca="1" si="9"/>
        <v/>
      </c>
      <c r="R247" s="48" t="str">
        <f t="shared" ca="1" si="10"/>
        <v/>
      </c>
      <c r="S247" s="32"/>
      <c r="T247" s="32"/>
      <c r="U247" s="32"/>
      <c r="V247" s="32"/>
      <c r="W247" s="47" t="str">
        <f>IF(X247="","",MAX($W$5:W246)+1)</f>
        <v/>
      </c>
      <c r="X247" s="50" t="str">
        <f>IF(Registro!M246="","",IF(COUNTIF($X$8:X246,Registro!M246)=0,Registro!M246,""))</f>
        <v/>
      </c>
      <c r="Y247" s="50" t="str">
        <f t="shared" si="11"/>
        <v/>
      </c>
    </row>
    <row r="248" spans="1:25">
      <c r="A248" s="45" t="str">
        <f>IF(AND(Registro!D247="Abierto",Registro!E247="Urgente"),Registro!B247,"")</f>
        <v/>
      </c>
      <c r="B248" s="45" t="str">
        <f ca="1">IF(AND(Registro!D247="Abierto",Registro!E247="Urgente"),TODAY()-Registro!R247,"")</f>
        <v/>
      </c>
      <c r="C248" s="45" t="str">
        <f>IF(AND(Registro!D247="Abierto",Registro!E247="Urgente"),RANK(B248,$B$9:$B$1000,0)+COUNTIF($B$9:B248,B248)-1,"")</f>
        <v/>
      </c>
      <c r="D248" s="45" t="str">
        <f>IF(AND(Registro!D247="Abierto",Registro!E247="Alta"),Registro!B247,"")</f>
        <v/>
      </c>
      <c r="E248" s="45" t="str">
        <f ca="1">IF(AND(Registro!D247="Abierto",Registro!E247="Alta"),TODAY()-Registro!R247,"")</f>
        <v/>
      </c>
      <c r="F248" s="45" t="str">
        <f>IF(AND(Registro!D247="Abierto",Registro!E247="Alta"),RANK(E248,$E$9:$E$1000,0)+COUNTIF($E$9:E248,E248)-1+MAX(C$5:C$1000),"")</f>
        <v/>
      </c>
      <c r="G248" s="45" t="str">
        <f>IF(AND(Registro!D247="Abierto",Registro!E247="Media"),Registro!B247,"")</f>
        <v/>
      </c>
      <c r="H248" s="45" t="str">
        <f ca="1">IF(AND(Registro!D247="Abierto",Registro!E247="Media"),TODAY()-Registro!R247,"")</f>
        <v/>
      </c>
      <c r="I248" s="45" t="str">
        <f>IF(AND(Registro!D247="Abierto",Registro!E247="Media"),RANK(H248,$H$9:$H$1000,0)+COUNTIF($H$9:H248,H248)-1+MAX(C$5:C$1000,F$5:F$1000),"")</f>
        <v/>
      </c>
      <c r="J248" s="45" t="str">
        <f>IF(AND(Registro!D247="Abierto",Registro!E247="Baja"),Registro!B247,"")</f>
        <v/>
      </c>
      <c r="K248" s="45" t="str">
        <f ca="1">IF(AND(Registro!D247="Abierto",Registro!E247="Baja"),TODAY()-Registro!R247,"")</f>
        <v/>
      </c>
      <c r="L248" s="45" t="str">
        <f>IF(AND(Registro!D247="Abierto",Registro!E247="Baja"),RANK(K248,$K$9:$K$1000,0)+COUNTIF($K$9:K248,K248)-1+MAX(C$5:C$1000,F$5:F$1000,I$5:I$1000),"")</f>
        <v/>
      </c>
      <c r="M248" s="46" t="str">
        <f>IF(OR(Registro!D247="Resuelto",Registro!D247=""),"",SUM(C248,F248,I248,L248))</f>
        <v/>
      </c>
      <c r="N248" s="46" t="str">
        <f>IF(OR(Registro!D247="Resuelto",Registro!D247=""),"",SUM(B248,E248,H248,K248))</f>
        <v/>
      </c>
      <c r="O248" s="46" t="str">
        <f>IF(OR(Registro!D247="Resuelto",Registro!D247=""),"",_xlfn.CONCAT(A248,D248,G248,J248))</f>
        <v/>
      </c>
      <c r="P248" s="47">
        <v>240</v>
      </c>
      <c r="Q248" s="47" t="str">
        <f t="shared" ca="1" si="9"/>
        <v/>
      </c>
      <c r="R248" s="48" t="str">
        <f t="shared" ca="1" si="10"/>
        <v/>
      </c>
      <c r="S248" s="32"/>
      <c r="T248" s="32"/>
      <c r="U248" s="32"/>
      <c r="V248" s="32"/>
      <c r="W248" s="47" t="str">
        <f>IF(X248="","",MAX($W$5:W247)+1)</f>
        <v/>
      </c>
      <c r="X248" s="50" t="str">
        <f>IF(Registro!M247="","",IF(COUNTIF($X$8:X247,Registro!M247)=0,Registro!M247,""))</f>
        <v/>
      </c>
      <c r="Y248" s="50" t="str">
        <f t="shared" si="11"/>
        <v/>
      </c>
    </row>
    <row r="249" spans="1:25">
      <c r="A249" s="45" t="str">
        <f>IF(AND(Registro!D248="Abierto",Registro!E248="Urgente"),Registro!B248,"")</f>
        <v/>
      </c>
      <c r="B249" s="45" t="str">
        <f ca="1">IF(AND(Registro!D248="Abierto",Registro!E248="Urgente"),TODAY()-Registro!R248,"")</f>
        <v/>
      </c>
      <c r="C249" s="45" t="str">
        <f>IF(AND(Registro!D248="Abierto",Registro!E248="Urgente"),RANK(B249,$B$9:$B$1000,0)+COUNTIF($B$9:B249,B249)-1,"")</f>
        <v/>
      </c>
      <c r="D249" s="45" t="str">
        <f>IF(AND(Registro!D248="Abierto",Registro!E248="Alta"),Registro!B248,"")</f>
        <v/>
      </c>
      <c r="E249" s="45" t="str">
        <f ca="1">IF(AND(Registro!D248="Abierto",Registro!E248="Alta"),TODAY()-Registro!R248,"")</f>
        <v/>
      </c>
      <c r="F249" s="45" t="str">
        <f>IF(AND(Registro!D248="Abierto",Registro!E248="Alta"),RANK(E249,$E$9:$E$1000,0)+COUNTIF($E$9:E249,E249)-1+MAX(C$5:C$1000),"")</f>
        <v/>
      </c>
      <c r="G249" s="45" t="str">
        <f>IF(AND(Registro!D248="Abierto",Registro!E248="Media"),Registro!B248,"")</f>
        <v/>
      </c>
      <c r="H249" s="45" t="str">
        <f ca="1">IF(AND(Registro!D248="Abierto",Registro!E248="Media"),TODAY()-Registro!R248,"")</f>
        <v/>
      </c>
      <c r="I249" s="45" t="str">
        <f>IF(AND(Registro!D248="Abierto",Registro!E248="Media"),RANK(H249,$H$9:$H$1000,0)+COUNTIF($H$9:H249,H249)-1+MAX(C$5:C$1000,F$5:F$1000),"")</f>
        <v/>
      </c>
      <c r="J249" s="45" t="str">
        <f>IF(AND(Registro!D248="Abierto",Registro!E248="Baja"),Registro!B248,"")</f>
        <v/>
      </c>
      <c r="K249" s="45" t="str">
        <f ca="1">IF(AND(Registro!D248="Abierto",Registro!E248="Baja"),TODAY()-Registro!R248,"")</f>
        <v/>
      </c>
      <c r="L249" s="45" t="str">
        <f>IF(AND(Registro!D248="Abierto",Registro!E248="Baja"),RANK(K249,$K$9:$K$1000,0)+COUNTIF($K$9:K249,K249)-1+MAX(C$5:C$1000,F$5:F$1000,I$5:I$1000),"")</f>
        <v/>
      </c>
      <c r="M249" s="46" t="str">
        <f>IF(OR(Registro!D248="Resuelto",Registro!D248=""),"",SUM(C249,F249,I249,L249))</f>
        <v/>
      </c>
      <c r="N249" s="46" t="str">
        <f>IF(OR(Registro!D248="Resuelto",Registro!D248=""),"",SUM(B249,E249,H249,K249))</f>
        <v/>
      </c>
      <c r="O249" s="46" t="str">
        <f>IF(OR(Registro!D248="Resuelto",Registro!D248=""),"",_xlfn.CONCAT(A249,D249,G249,J249))</f>
        <v/>
      </c>
      <c r="P249" s="47">
        <v>241</v>
      </c>
      <c r="Q249" s="47" t="str">
        <f t="shared" ca="1" si="9"/>
        <v/>
      </c>
      <c r="R249" s="48" t="str">
        <f t="shared" ca="1" si="10"/>
        <v/>
      </c>
      <c r="S249" s="32"/>
      <c r="T249" s="32"/>
      <c r="U249" s="32"/>
      <c r="V249" s="32"/>
      <c r="W249" s="47" t="str">
        <f>IF(X249="","",MAX($W$5:W248)+1)</f>
        <v/>
      </c>
      <c r="X249" s="50" t="str">
        <f>IF(Registro!M248="","",IF(COUNTIF($X$8:X248,Registro!M248)=0,Registro!M248,""))</f>
        <v/>
      </c>
      <c r="Y249" s="50" t="str">
        <f t="shared" si="11"/>
        <v/>
      </c>
    </row>
    <row r="250" spans="1:25">
      <c r="A250" s="45" t="str">
        <f>IF(AND(Registro!D249="Abierto",Registro!E249="Urgente"),Registro!B249,"")</f>
        <v/>
      </c>
      <c r="B250" s="45" t="str">
        <f ca="1">IF(AND(Registro!D249="Abierto",Registro!E249="Urgente"),TODAY()-Registro!R249,"")</f>
        <v/>
      </c>
      <c r="C250" s="45" t="str">
        <f>IF(AND(Registro!D249="Abierto",Registro!E249="Urgente"),RANK(B250,$B$9:$B$1000,0)+COUNTIF($B$9:B250,B250)-1,"")</f>
        <v/>
      </c>
      <c r="D250" s="45" t="str">
        <f>IF(AND(Registro!D249="Abierto",Registro!E249="Alta"),Registro!B249,"")</f>
        <v/>
      </c>
      <c r="E250" s="45" t="str">
        <f ca="1">IF(AND(Registro!D249="Abierto",Registro!E249="Alta"),TODAY()-Registro!R249,"")</f>
        <v/>
      </c>
      <c r="F250" s="45" t="str">
        <f>IF(AND(Registro!D249="Abierto",Registro!E249="Alta"),RANK(E250,$E$9:$E$1000,0)+COUNTIF($E$9:E250,E250)-1+MAX(C$5:C$1000),"")</f>
        <v/>
      </c>
      <c r="G250" s="45" t="str">
        <f>IF(AND(Registro!D249="Abierto",Registro!E249="Media"),Registro!B249,"")</f>
        <v/>
      </c>
      <c r="H250" s="45" t="str">
        <f ca="1">IF(AND(Registro!D249="Abierto",Registro!E249="Media"),TODAY()-Registro!R249,"")</f>
        <v/>
      </c>
      <c r="I250" s="45" t="str">
        <f>IF(AND(Registro!D249="Abierto",Registro!E249="Media"),RANK(H250,$H$9:$H$1000,0)+COUNTIF($H$9:H250,H250)-1+MAX(C$5:C$1000,F$5:F$1000),"")</f>
        <v/>
      </c>
      <c r="J250" s="45" t="str">
        <f>IF(AND(Registro!D249="Abierto",Registro!E249="Baja"),Registro!B249,"")</f>
        <v/>
      </c>
      <c r="K250" s="45" t="str">
        <f ca="1">IF(AND(Registro!D249="Abierto",Registro!E249="Baja"),TODAY()-Registro!R249,"")</f>
        <v/>
      </c>
      <c r="L250" s="45" t="str">
        <f>IF(AND(Registro!D249="Abierto",Registro!E249="Baja"),RANK(K250,$K$9:$K$1000,0)+COUNTIF($K$9:K250,K250)-1+MAX(C$5:C$1000,F$5:F$1000,I$5:I$1000),"")</f>
        <v/>
      </c>
      <c r="M250" s="46" t="str">
        <f>IF(OR(Registro!D249="Resuelto",Registro!D249=""),"",SUM(C250,F250,I250,L250))</f>
        <v/>
      </c>
      <c r="N250" s="46" t="str">
        <f>IF(OR(Registro!D249="Resuelto",Registro!D249=""),"",SUM(B250,E250,H250,K250))</f>
        <v/>
      </c>
      <c r="O250" s="46" t="str">
        <f>IF(OR(Registro!D249="Resuelto",Registro!D249=""),"",_xlfn.CONCAT(A250,D250,G250,J250))</f>
        <v/>
      </c>
      <c r="P250" s="47">
        <v>242</v>
      </c>
      <c r="Q250" s="47" t="str">
        <f t="shared" ca="1" si="9"/>
        <v/>
      </c>
      <c r="R250" s="48" t="str">
        <f t="shared" ca="1" si="10"/>
        <v/>
      </c>
      <c r="S250" s="32"/>
      <c r="T250" s="32"/>
      <c r="U250" s="32"/>
      <c r="V250" s="32"/>
      <c r="W250" s="47" t="str">
        <f>IF(X250="","",MAX($W$5:W249)+1)</f>
        <v/>
      </c>
      <c r="X250" s="50" t="str">
        <f>IF(Registro!M249="","",IF(COUNTIF($X$8:X249,Registro!M249)=0,Registro!M249,""))</f>
        <v/>
      </c>
      <c r="Y250" s="50" t="str">
        <f t="shared" si="11"/>
        <v/>
      </c>
    </row>
    <row r="251" spans="1:25">
      <c r="A251" s="45" t="str">
        <f>IF(AND(Registro!D250="Abierto",Registro!E250="Urgente"),Registro!B250,"")</f>
        <v/>
      </c>
      <c r="B251" s="45" t="str">
        <f ca="1">IF(AND(Registro!D250="Abierto",Registro!E250="Urgente"),TODAY()-Registro!R250,"")</f>
        <v/>
      </c>
      <c r="C251" s="45" t="str">
        <f>IF(AND(Registro!D250="Abierto",Registro!E250="Urgente"),RANK(B251,$B$9:$B$1000,0)+COUNTIF($B$9:B251,B251)-1,"")</f>
        <v/>
      </c>
      <c r="D251" s="45" t="str">
        <f>IF(AND(Registro!D250="Abierto",Registro!E250="Alta"),Registro!B250,"")</f>
        <v/>
      </c>
      <c r="E251" s="45" t="str">
        <f ca="1">IF(AND(Registro!D250="Abierto",Registro!E250="Alta"),TODAY()-Registro!R250,"")</f>
        <v/>
      </c>
      <c r="F251" s="45" t="str">
        <f>IF(AND(Registro!D250="Abierto",Registro!E250="Alta"),RANK(E251,$E$9:$E$1000,0)+COUNTIF($E$9:E251,E251)-1+MAX(C$5:C$1000),"")</f>
        <v/>
      </c>
      <c r="G251" s="45" t="str">
        <f>IF(AND(Registro!D250="Abierto",Registro!E250="Media"),Registro!B250,"")</f>
        <v/>
      </c>
      <c r="H251" s="45" t="str">
        <f ca="1">IF(AND(Registro!D250="Abierto",Registro!E250="Media"),TODAY()-Registro!R250,"")</f>
        <v/>
      </c>
      <c r="I251" s="45" t="str">
        <f>IF(AND(Registro!D250="Abierto",Registro!E250="Media"),RANK(H251,$H$9:$H$1000,0)+COUNTIF($H$9:H251,H251)-1+MAX(C$5:C$1000,F$5:F$1000),"")</f>
        <v/>
      </c>
      <c r="J251" s="45" t="str">
        <f>IF(AND(Registro!D250="Abierto",Registro!E250="Baja"),Registro!B250,"")</f>
        <v/>
      </c>
      <c r="K251" s="45" t="str">
        <f ca="1">IF(AND(Registro!D250="Abierto",Registro!E250="Baja"),TODAY()-Registro!R250,"")</f>
        <v/>
      </c>
      <c r="L251" s="45" t="str">
        <f>IF(AND(Registro!D250="Abierto",Registro!E250="Baja"),RANK(K251,$K$9:$K$1000,0)+COUNTIF($K$9:K251,K251)-1+MAX(C$5:C$1000,F$5:F$1000,I$5:I$1000),"")</f>
        <v/>
      </c>
      <c r="M251" s="46" t="str">
        <f>IF(OR(Registro!D250="Resuelto",Registro!D250=""),"",SUM(C251,F251,I251,L251))</f>
        <v/>
      </c>
      <c r="N251" s="46" t="str">
        <f>IF(OR(Registro!D250="Resuelto",Registro!D250=""),"",SUM(B251,E251,H251,K251))</f>
        <v/>
      </c>
      <c r="O251" s="46" t="str">
        <f>IF(OR(Registro!D250="Resuelto",Registro!D250=""),"",_xlfn.CONCAT(A251,D251,G251,J251))</f>
        <v/>
      </c>
      <c r="P251" s="47">
        <v>243</v>
      </c>
      <c r="Q251" s="47" t="str">
        <f t="shared" ca="1" si="9"/>
        <v/>
      </c>
      <c r="R251" s="48" t="str">
        <f t="shared" ca="1" si="10"/>
        <v/>
      </c>
      <c r="S251" s="32"/>
      <c r="T251" s="32"/>
      <c r="U251" s="32"/>
      <c r="V251" s="32"/>
      <c r="W251" s="47" t="str">
        <f>IF(X251="","",MAX($W$5:W250)+1)</f>
        <v/>
      </c>
      <c r="X251" s="50" t="str">
        <f>IF(Registro!M250="","",IF(COUNTIF($X$8:X250,Registro!M250)=0,Registro!M250,""))</f>
        <v/>
      </c>
      <c r="Y251" s="50" t="str">
        <f t="shared" si="11"/>
        <v/>
      </c>
    </row>
    <row r="252" spans="1:25">
      <c r="A252" s="45" t="str">
        <f>IF(AND(Registro!D251="Abierto",Registro!E251="Urgente"),Registro!B251,"")</f>
        <v/>
      </c>
      <c r="B252" s="45" t="str">
        <f ca="1">IF(AND(Registro!D251="Abierto",Registro!E251="Urgente"),TODAY()-Registro!R251,"")</f>
        <v/>
      </c>
      <c r="C252" s="45" t="str">
        <f>IF(AND(Registro!D251="Abierto",Registro!E251="Urgente"),RANK(B252,$B$9:$B$1000,0)+COUNTIF($B$9:B252,B252)-1,"")</f>
        <v/>
      </c>
      <c r="D252" s="45" t="str">
        <f>IF(AND(Registro!D251="Abierto",Registro!E251="Alta"),Registro!B251,"")</f>
        <v/>
      </c>
      <c r="E252" s="45" t="str">
        <f ca="1">IF(AND(Registro!D251="Abierto",Registro!E251="Alta"),TODAY()-Registro!R251,"")</f>
        <v/>
      </c>
      <c r="F252" s="45" t="str">
        <f>IF(AND(Registro!D251="Abierto",Registro!E251="Alta"),RANK(E252,$E$9:$E$1000,0)+COUNTIF($E$9:E252,E252)-1+MAX(C$5:C$1000),"")</f>
        <v/>
      </c>
      <c r="G252" s="45" t="str">
        <f>IF(AND(Registro!D251="Abierto",Registro!E251="Media"),Registro!B251,"")</f>
        <v/>
      </c>
      <c r="H252" s="45" t="str">
        <f ca="1">IF(AND(Registro!D251="Abierto",Registro!E251="Media"),TODAY()-Registro!R251,"")</f>
        <v/>
      </c>
      <c r="I252" s="45" t="str">
        <f>IF(AND(Registro!D251="Abierto",Registro!E251="Media"),RANK(H252,$H$9:$H$1000,0)+COUNTIF($H$9:H252,H252)-1+MAX(C$5:C$1000,F$5:F$1000),"")</f>
        <v/>
      </c>
      <c r="J252" s="45" t="str">
        <f>IF(AND(Registro!D251="Abierto",Registro!E251="Baja"),Registro!B251,"")</f>
        <v/>
      </c>
      <c r="K252" s="45" t="str">
        <f ca="1">IF(AND(Registro!D251="Abierto",Registro!E251="Baja"),TODAY()-Registro!R251,"")</f>
        <v/>
      </c>
      <c r="L252" s="45" t="str">
        <f>IF(AND(Registro!D251="Abierto",Registro!E251="Baja"),RANK(K252,$K$9:$K$1000,0)+COUNTIF($K$9:K252,K252)-1+MAX(C$5:C$1000,F$5:F$1000,I$5:I$1000),"")</f>
        <v/>
      </c>
      <c r="M252" s="46" t="str">
        <f>IF(OR(Registro!D251="Resuelto",Registro!D251=""),"",SUM(C252,F252,I252,L252))</f>
        <v/>
      </c>
      <c r="N252" s="46" t="str">
        <f>IF(OR(Registro!D251="Resuelto",Registro!D251=""),"",SUM(B252,E252,H252,K252))</f>
        <v/>
      </c>
      <c r="O252" s="46" t="str">
        <f>IF(OR(Registro!D251="Resuelto",Registro!D251=""),"",_xlfn.CONCAT(A252,D252,G252,J252))</f>
        <v/>
      </c>
      <c r="P252" s="47">
        <v>244</v>
      </c>
      <c r="Q252" s="47" t="str">
        <f t="shared" ca="1" si="9"/>
        <v/>
      </c>
      <c r="R252" s="48" t="str">
        <f t="shared" ca="1" si="10"/>
        <v/>
      </c>
      <c r="S252" s="32"/>
      <c r="T252" s="32"/>
      <c r="U252" s="32"/>
      <c r="V252" s="32"/>
      <c r="W252" s="47" t="str">
        <f>IF(X252="","",MAX($W$5:W251)+1)</f>
        <v/>
      </c>
      <c r="X252" s="50" t="str">
        <f>IF(Registro!M251="","",IF(COUNTIF($X$8:X251,Registro!M251)=0,Registro!M251,""))</f>
        <v/>
      </c>
      <c r="Y252" s="50" t="str">
        <f t="shared" si="11"/>
        <v/>
      </c>
    </row>
    <row r="253" spans="1:25">
      <c r="A253" s="45" t="str">
        <f>IF(AND(Registro!D252="Abierto",Registro!E252="Urgente"),Registro!B252,"")</f>
        <v/>
      </c>
      <c r="B253" s="45" t="str">
        <f ca="1">IF(AND(Registro!D252="Abierto",Registro!E252="Urgente"),TODAY()-Registro!R252,"")</f>
        <v/>
      </c>
      <c r="C253" s="45" t="str">
        <f>IF(AND(Registro!D252="Abierto",Registro!E252="Urgente"),RANK(B253,$B$9:$B$1000,0)+COUNTIF($B$9:B253,B253)-1,"")</f>
        <v/>
      </c>
      <c r="D253" s="45" t="str">
        <f>IF(AND(Registro!D252="Abierto",Registro!E252="Alta"),Registro!B252,"")</f>
        <v/>
      </c>
      <c r="E253" s="45" t="str">
        <f ca="1">IF(AND(Registro!D252="Abierto",Registro!E252="Alta"),TODAY()-Registro!R252,"")</f>
        <v/>
      </c>
      <c r="F253" s="45" t="str">
        <f>IF(AND(Registro!D252="Abierto",Registro!E252="Alta"),RANK(E253,$E$9:$E$1000,0)+COUNTIF($E$9:E253,E253)-1+MAX(C$5:C$1000),"")</f>
        <v/>
      </c>
      <c r="G253" s="45" t="str">
        <f>IF(AND(Registro!D252="Abierto",Registro!E252="Media"),Registro!B252,"")</f>
        <v/>
      </c>
      <c r="H253" s="45" t="str">
        <f ca="1">IF(AND(Registro!D252="Abierto",Registro!E252="Media"),TODAY()-Registro!R252,"")</f>
        <v/>
      </c>
      <c r="I253" s="45" t="str">
        <f>IF(AND(Registro!D252="Abierto",Registro!E252="Media"),RANK(H253,$H$9:$H$1000,0)+COUNTIF($H$9:H253,H253)-1+MAX(C$5:C$1000,F$5:F$1000),"")</f>
        <v/>
      </c>
      <c r="J253" s="45" t="str">
        <f>IF(AND(Registro!D252="Abierto",Registro!E252="Baja"),Registro!B252,"")</f>
        <v/>
      </c>
      <c r="K253" s="45" t="str">
        <f ca="1">IF(AND(Registro!D252="Abierto",Registro!E252="Baja"),TODAY()-Registro!R252,"")</f>
        <v/>
      </c>
      <c r="L253" s="45" t="str">
        <f>IF(AND(Registro!D252="Abierto",Registro!E252="Baja"),RANK(K253,$K$9:$K$1000,0)+COUNTIF($K$9:K253,K253)-1+MAX(C$5:C$1000,F$5:F$1000,I$5:I$1000),"")</f>
        <v/>
      </c>
      <c r="M253" s="46" t="str">
        <f>IF(OR(Registro!D252="Resuelto",Registro!D252=""),"",SUM(C253,F253,I253,L253))</f>
        <v/>
      </c>
      <c r="N253" s="46" t="str">
        <f>IF(OR(Registro!D252="Resuelto",Registro!D252=""),"",SUM(B253,E253,H253,K253))</f>
        <v/>
      </c>
      <c r="O253" s="46" t="str">
        <f>IF(OR(Registro!D252="Resuelto",Registro!D252=""),"",_xlfn.CONCAT(A253,D253,G253,J253))</f>
        <v/>
      </c>
      <c r="P253" s="47">
        <v>245</v>
      </c>
      <c r="Q253" s="47" t="str">
        <f t="shared" ca="1" si="9"/>
        <v/>
      </c>
      <c r="R253" s="48" t="str">
        <f t="shared" ca="1" si="10"/>
        <v/>
      </c>
      <c r="S253" s="32"/>
      <c r="T253" s="32"/>
      <c r="U253" s="32"/>
      <c r="V253" s="32"/>
      <c r="W253" s="47" t="str">
        <f>IF(X253="","",MAX($W$5:W252)+1)</f>
        <v/>
      </c>
      <c r="X253" s="50" t="str">
        <f>IF(Registro!M252="","",IF(COUNTIF($X$8:X252,Registro!M252)=0,Registro!M252,""))</f>
        <v/>
      </c>
      <c r="Y253" s="50" t="str">
        <f t="shared" si="11"/>
        <v/>
      </c>
    </row>
    <row r="254" spans="1:25">
      <c r="A254" s="45" t="str">
        <f>IF(AND(Registro!D253="Abierto",Registro!E253="Urgente"),Registro!B253,"")</f>
        <v/>
      </c>
      <c r="B254" s="45" t="str">
        <f ca="1">IF(AND(Registro!D253="Abierto",Registro!E253="Urgente"),TODAY()-Registro!R253,"")</f>
        <v/>
      </c>
      <c r="C254" s="45" t="str">
        <f>IF(AND(Registro!D253="Abierto",Registro!E253="Urgente"),RANK(B254,$B$9:$B$1000,0)+COUNTIF($B$9:B254,B254)-1,"")</f>
        <v/>
      </c>
      <c r="D254" s="45" t="str">
        <f>IF(AND(Registro!D253="Abierto",Registro!E253="Alta"),Registro!B253,"")</f>
        <v/>
      </c>
      <c r="E254" s="45" t="str">
        <f ca="1">IF(AND(Registro!D253="Abierto",Registro!E253="Alta"),TODAY()-Registro!R253,"")</f>
        <v/>
      </c>
      <c r="F254" s="45" t="str">
        <f>IF(AND(Registro!D253="Abierto",Registro!E253="Alta"),RANK(E254,$E$9:$E$1000,0)+COUNTIF($E$9:E254,E254)-1+MAX(C$5:C$1000),"")</f>
        <v/>
      </c>
      <c r="G254" s="45" t="str">
        <f>IF(AND(Registro!D253="Abierto",Registro!E253="Media"),Registro!B253,"")</f>
        <v/>
      </c>
      <c r="H254" s="45" t="str">
        <f ca="1">IF(AND(Registro!D253="Abierto",Registro!E253="Media"),TODAY()-Registro!R253,"")</f>
        <v/>
      </c>
      <c r="I254" s="45" t="str">
        <f>IF(AND(Registro!D253="Abierto",Registro!E253="Media"),RANK(H254,$H$9:$H$1000,0)+COUNTIF($H$9:H254,H254)-1+MAX(C$5:C$1000,F$5:F$1000),"")</f>
        <v/>
      </c>
      <c r="J254" s="45" t="str">
        <f>IF(AND(Registro!D253="Abierto",Registro!E253="Baja"),Registro!B253,"")</f>
        <v/>
      </c>
      <c r="K254" s="45" t="str">
        <f ca="1">IF(AND(Registro!D253="Abierto",Registro!E253="Baja"),TODAY()-Registro!R253,"")</f>
        <v/>
      </c>
      <c r="L254" s="45" t="str">
        <f>IF(AND(Registro!D253="Abierto",Registro!E253="Baja"),RANK(K254,$K$9:$K$1000,0)+COUNTIF($K$9:K254,K254)-1+MAX(C$5:C$1000,F$5:F$1000,I$5:I$1000),"")</f>
        <v/>
      </c>
      <c r="M254" s="46" t="str">
        <f>IF(OR(Registro!D253="Resuelto",Registro!D253=""),"",SUM(C254,F254,I254,L254))</f>
        <v/>
      </c>
      <c r="N254" s="46" t="str">
        <f>IF(OR(Registro!D253="Resuelto",Registro!D253=""),"",SUM(B254,E254,H254,K254))</f>
        <v/>
      </c>
      <c r="O254" s="46" t="str">
        <f>IF(OR(Registro!D253="Resuelto",Registro!D253=""),"",_xlfn.CONCAT(A254,D254,G254,J254))</f>
        <v/>
      </c>
      <c r="P254" s="47">
        <v>246</v>
      </c>
      <c r="Q254" s="47" t="str">
        <f t="shared" ca="1" si="9"/>
        <v/>
      </c>
      <c r="R254" s="48" t="str">
        <f t="shared" ca="1" si="10"/>
        <v/>
      </c>
      <c r="S254" s="32"/>
      <c r="T254" s="32"/>
      <c r="U254" s="32"/>
      <c r="V254" s="32"/>
      <c r="W254" s="47" t="str">
        <f>IF(X254="","",MAX($W$5:W253)+1)</f>
        <v/>
      </c>
      <c r="X254" s="50" t="str">
        <f>IF(Registro!M253="","",IF(COUNTIF($X$8:X253,Registro!M253)=0,Registro!M253,""))</f>
        <v/>
      </c>
      <c r="Y254" s="50" t="str">
        <f t="shared" si="11"/>
        <v/>
      </c>
    </row>
    <row r="255" spans="1:25">
      <c r="A255" s="45" t="str">
        <f>IF(AND(Registro!D254="Abierto",Registro!E254="Urgente"),Registro!B254,"")</f>
        <v/>
      </c>
      <c r="B255" s="45" t="str">
        <f ca="1">IF(AND(Registro!D254="Abierto",Registro!E254="Urgente"),TODAY()-Registro!R254,"")</f>
        <v/>
      </c>
      <c r="C255" s="45" t="str">
        <f>IF(AND(Registro!D254="Abierto",Registro!E254="Urgente"),RANK(B255,$B$9:$B$1000,0)+COUNTIF($B$9:B255,B255)-1,"")</f>
        <v/>
      </c>
      <c r="D255" s="45" t="str">
        <f>IF(AND(Registro!D254="Abierto",Registro!E254="Alta"),Registro!B254,"")</f>
        <v/>
      </c>
      <c r="E255" s="45" t="str">
        <f ca="1">IF(AND(Registro!D254="Abierto",Registro!E254="Alta"),TODAY()-Registro!R254,"")</f>
        <v/>
      </c>
      <c r="F255" s="45" t="str">
        <f>IF(AND(Registro!D254="Abierto",Registro!E254="Alta"),RANK(E255,$E$9:$E$1000,0)+COUNTIF($E$9:E255,E255)-1+MAX(C$5:C$1000),"")</f>
        <v/>
      </c>
      <c r="G255" s="45" t="str">
        <f>IF(AND(Registro!D254="Abierto",Registro!E254="Media"),Registro!B254,"")</f>
        <v/>
      </c>
      <c r="H255" s="45" t="str">
        <f ca="1">IF(AND(Registro!D254="Abierto",Registro!E254="Media"),TODAY()-Registro!R254,"")</f>
        <v/>
      </c>
      <c r="I255" s="45" t="str">
        <f>IF(AND(Registro!D254="Abierto",Registro!E254="Media"),RANK(H255,$H$9:$H$1000,0)+COUNTIF($H$9:H255,H255)-1+MAX(C$5:C$1000,F$5:F$1000),"")</f>
        <v/>
      </c>
      <c r="J255" s="45" t="str">
        <f>IF(AND(Registro!D254="Abierto",Registro!E254="Baja"),Registro!B254,"")</f>
        <v/>
      </c>
      <c r="K255" s="45" t="str">
        <f ca="1">IF(AND(Registro!D254="Abierto",Registro!E254="Baja"),TODAY()-Registro!R254,"")</f>
        <v/>
      </c>
      <c r="L255" s="45" t="str">
        <f>IF(AND(Registro!D254="Abierto",Registro!E254="Baja"),RANK(K255,$K$9:$K$1000,0)+COUNTIF($K$9:K255,K255)-1+MAX(C$5:C$1000,F$5:F$1000,I$5:I$1000),"")</f>
        <v/>
      </c>
      <c r="M255" s="46" t="str">
        <f>IF(OR(Registro!D254="Resuelto",Registro!D254=""),"",SUM(C255,F255,I255,L255))</f>
        <v/>
      </c>
      <c r="N255" s="46" t="str">
        <f>IF(OR(Registro!D254="Resuelto",Registro!D254=""),"",SUM(B255,E255,H255,K255))</f>
        <v/>
      </c>
      <c r="O255" s="46" t="str">
        <f>IF(OR(Registro!D254="Resuelto",Registro!D254=""),"",_xlfn.CONCAT(A255,D255,G255,J255))</f>
        <v/>
      </c>
      <c r="P255" s="47">
        <v>247</v>
      </c>
      <c r="Q255" s="47" t="str">
        <f t="shared" ca="1" si="9"/>
        <v/>
      </c>
      <c r="R255" s="48" t="str">
        <f t="shared" ca="1" si="10"/>
        <v/>
      </c>
      <c r="S255" s="32"/>
      <c r="T255" s="32"/>
      <c r="U255" s="32"/>
      <c r="V255" s="32"/>
      <c r="W255" s="47" t="str">
        <f>IF(X255="","",MAX($W$5:W254)+1)</f>
        <v/>
      </c>
      <c r="X255" s="50" t="str">
        <f>IF(Registro!M254="","",IF(COUNTIF($X$8:X254,Registro!M254)=0,Registro!M254,""))</f>
        <v/>
      </c>
      <c r="Y255" s="50" t="str">
        <f t="shared" si="11"/>
        <v/>
      </c>
    </row>
    <row r="256" spans="1:25">
      <c r="A256" s="45" t="str">
        <f>IF(AND(Registro!D255="Abierto",Registro!E255="Urgente"),Registro!B255,"")</f>
        <v/>
      </c>
      <c r="B256" s="45" t="str">
        <f ca="1">IF(AND(Registro!D255="Abierto",Registro!E255="Urgente"),TODAY()-Registro!R255,"")</f>
        <v/>
      </c>
      <c r="C256" s="45" t="str">
        <f>IF(AND(Registro!D255="Abierto",Registro!E255="Urgente"),RANK(B256,$B$9:$B$1000,0)+COUNTIF($B$9:B256,B256)-1,"")</f>
        <v/>
      </c>
      <c r="D256" s="45" t="str">
        <f>IF(AND(Registro!D255="Abierto",Registro!E255="Alta"),Registro!B255,"")</f>
        <v/>
      </c>
      <c r="E256" s="45" t="str">
        <f ca="1">IF(AND(Registro!D255="Abierto",Registro!E255="Alta"),TODAY()-Registro!R255,"")</f>
        <v/>
      </c>
      <c r="F256" s="45" t="str">
        <f>IF(AND(Registro!D255="Abierto",Registro!E255="Alta"),RANK(E256,$E$9:$E$1000,0)+COUNTIF($E$9:E256,E256)-1+MAX(C$5:C$1000),"")</f>
        <v/>
      </c>
      <c r="G256" s="45" t="str">
        <f>IF(AND(Registro!D255="Abierto",Registro!E255="Media"),Registro!B255,"")</f>
        <v/>
      </c>
      <c r="H256" s="45" t="str">
        <f ca="1">IF(AND(Registro!D255="Abierto",Registro!E255="Media"),TODAY()-Registro!R255,"")</f>
        <v/>
      </c>
      <c r="I256" s="45" t="str">
        <f>IF(AND(Registro!D255="Abierto",Registro!E255="Media"),RANK(H256,$H$9:$H$1000,0)+COUNTIF($H$9:H256,H256)-1+MAX(C$5:C$1000,F$5:F$1000),"")</f>
        <v/>
      </c>
      <c r="J256" s="45" t="str">
        <f>IF(AND(Registro!D255="Abierto",Registro!E255="Baja"),Registro!B255,"")</f>
        <v/>
      </c>
      <c r="K256" s="45" t="str">
        <f ca="1">IF(AND(Registro!D255="Abierto",Registro!E255="Baja"),TODAY()-Registro!R255,"")</f>
        <v/>
      </c>
      <c r="L256" s="45" t="str">
        <f>IF(AND(Registro!D255="Abierto",Registro!E255="Baja"),RANK(K256,$K$9:$K$1000,0)+COUNTIF($K$9:K256,K256)-1+MAX(C$5:C$1000,F$5:F$1000,I$5:I$1000),"")</f>
        <v/>
      </c>
      <c r="M256" s="46" t="str">
        <f>IF(OR(Registro!D255="Resuelto",Registro!D255=""),"",SUM(C256,F256,I256,L256))</f>
        <v/>
      </c>
      <c r="N256" s="46" t="str">
        <f>IF(OR(Registro!D255="Resuelto",Registro!D255=""),"",SUM(B256,E256,H256,K256))</f>
        <v/>
      </c>
      <c r="O256" s="46" t="str">
        <f>IF(OR(Registro!D255="Resuelto",Registro!D255=""),"",_xlfn.CONCAT(A256,D256,G256,J256))</f>
        <v/>
      </c>
      <c r="P256" s="47">
        <v>248</v>
      </c>
      <c r="Q256" s="47" t="str">
        <f t="shared" ca="1" si="9"/>
        <v/>
      </c>
      <c r="R256" s="48" t="str">
        <f t="shared" ca="1" si="10"/>
        <v/>
      </c>
      <c r="S256" s="32"/>
      <c r="T256" s="32"/>
      <c r="U256" s="32"/>
      <c r="V256" s="32"/>
      <c r="W256" s="47" t="str">
        <f>IF(X256="","",MAX($W$5:W255)+1)</f>
        <v/>
      </c>
      <c r="X256" s="50" t="str">
        <f>IF(Registro!M255="","",IF(COUNTIF($X$8:X255,Registro!M255)=0,Registro!M255,""))</f>
        <v/>
      </c>
      <c r="Y256" s="50" t="str">
        <f t="shared" si="11"/>
        <v/>
      </c>
    </row>
    <row r="257" spans="1:25">
      <c r="A257" s="45" t="str">
        <f>IF(AND(Registro!D256="Abierto",Registro!E256="Urgente"),Registro!B256,"")</f>
        <v/>
      </c>
      <c r="B257" s="45" t="str">
        <f ca="1">IF(AND(Registro!D256="Abierto",Registro!E256="Urgente"),TODAY()-Registro!R256,"")</f>
        <v/>
      </c>
      <c r="C257" s="45" t="str">
        <f>IF(AND(Registro!D256="Abierto",Registro!E256="Urgente"),RANK(B257,$B$9:$B$1000,0)+COUNTIF($B$9:B257,B257)-1,"")</f>
        <v/>
      </c>
      <c r="D257" s="45" t="str">
        <f>IF(AND(Registro!D256="Abierto",Registro!E256="Alta"),Registro!B256,"")</f>
        <v/>
      </c>
      <c r="E257" s="45" t="str">
        <f ca="1">IF(AND(Registro!D256="Abierto",Registro!E256="Alta"),TODAY()-Registro!R256,"")</f>
        <v/>
      </c>
      <c r="F257" s="45" t="str">
        <f>IF(AND(Registro!D256="Abierto",Registro!E256="Alta"),RANK(E257,$E$9:$E$1000,0)+COUNTIF($E$9:E257,E257)-1+MAX(C$5:C$1000),"")</f>
        <v/>
      </c>
      <c r="G257" s="45" t="str">
        <f>IF(AND(Registro!D256="Abierto",Registro!E256="Media"),Registro!B256,"")</f>
        <v/>
      </c>
      <c r="H257" s="45" t="str">
        <f ca="1">IF(AND(Registro!D256="Abierto",Registro!E256="Media"),TODAY()-Registro!R256,"")</f>
        <v/>
      </c>
      <c r="I257" s="45" t="str">
        <f>IF(AND(Registro!D256="Abierto",Registro!E256="Media"),RANK(H257,$H$9:$H$1000,0)+COUNTIF($H$9:H257,H257)-1+MAX(C$5:C$1000,F$5:F$1000),"")</f>
        <v/>
      </c>
      <c r="J257" s="45" t="str">
        <f>IF(AND(Registro!D256="Abierto",Registro!E256="Baja"),Registro!B256,"")</f>
        <v/>
      </c>
      <c r="K257" s="45" t="str">
        <f ca="1">IF(AND(Registro!D256="Abierto",Registro!E256="Baja"),TODAY()-Registro!R256,"")</f>
        <v/>
      </c>
      <c r="L257" s="45" t="str">
        <f>IF(AND(Registro!D256="Abierto",Registro!E256="Baja"),RANK(K257,$K$9:$K$1000,0)+COUNTIF($K$9:K257,K257)-1+MAX(C$5:C$1000,F$5:F$1000,I$5:I$1000),"")</f>
        <v/>
      </c>
      <c r="M257" s="46" t="str">
        <f>IF(OR(Registro!D256="Resuelto",Registro!D256=""),"",SUM(C257,F257,I257,L257))</f>
        <v/>
      </c>
      <c r="N257" s="46" t="str">
        <f>IF(OR(Registro!D256="Resuelto",Registro!D256=""),"",SUM(B257,E257,H257,K257))</f>
        <v/>
      </c>
      <c r="O257" s="46" t="str">
        <f>IF(OR(Registro!D256="Resuelto",Registro!D256=""),"",_xlfn.CONCAT(A257,D257,G257,J257))</f>
        <v/>
      </c>
      <c r="P257" s="47">
        <v>249</v>
      </c>
      <c r="Q257" s="47" t="str">
        <f t="shared" ca="1" si="9"/>
        <v/>
      </c>
      <c r="R257" s="48" t="str">
        <f t="shared" ca="1" si="10"/>
        <v/>
      </c>
      <c r="S257" s="32"/>
      <c r="T257" s="32"/>
      <c r="U257" s="32"/>
      <c r="V257" s="32"/>
      <c r="W257" s="47" t="str">
        <f>IF(X257="","",MAX($W$5:W256)+1)</f>
        <v/>
      </c>
      <c r="X257" s="50" t="str">
        <f>IF(Registro!M256="","",IF(COUNTIF($X$8:X256,Registro!M256)=0,Registro!M256,""))</f>
        <v/>
      </c>
      <c r="Y257" s="50" t="str">
        <f t="shared" si="11"/>
        <v/>
      </c>
    </row>
    <row r="258" spans="1:25">
      <c r="A258" s="45" t="str">
        <f>IF(AND(Registro!D257="Abierto",Registro!E257="Urgente"),Registro!B257,"")</f>
        <v/>
      </c>
      <c r="B258" s="45" t="str">
        <f ca="1">IF(AND(Registro!D257="Abierto",Registro!E257="Urgente"),TODAY()-Registro!R257,"")</f>
        <v/>
      </c>
      <c r="C258" s="45" t="str">
        <f>IF(AND(Registro!D257="Abierto",Registro!E257="Urgente"),RANK(B258,$B$9:$B$1000,0)+COUNTIF($B$9:B258,B258)-1,"")</f>
        <v/>
      </c>
      <c r="D258" s="45" t="str">
        <f>IF(AND(Registro!D257="Abierto",Registro!E257="Alta"),Registro!B257,"")</f>
        <v/>
      </c>
      <c r="E258" s="45" t="str">
        <f ca="1">IF(AND(Registro!D257="Abierto",Registro!E257="Alta"),TODAY()-Registro!R257,"")</f>
        <v/>
      </c>
      <c r="F258" s="45" t="str">
        <f>IF(AND(Registro!D257="Abierto",Registro!E257="Alta"),RANK(E258,$E$9:$E$1000,0)+COUNTIF($E$9:E258,E258)-1+MAX(C$5:C$1000),"")</f>
        <v/>
      </c>
      <c r="G258" s="45" t="str">
        <f>IF(AND(Registro!D257="Abierto",Registro!E257="Media"),Registro!B257,"")</f>
        <v/>
      </c>
      <c r="H258" s="45" t="str">
        <f ca="1">IF(AND(Registro!D257="Abierto",Registro!E257="Media"),TODAY()-Registro!R257,"")</f>
        <v/>
      </c>
      <c r="I258" s="45" t="str">
        <f>IF(AND(Registro!D257="Abierto",Registro!E257="Media"),RANK(H258,$H$9:$H$1000,0)+COUNTIF($H$9:H258,H258)-1+MAX(C$5:C$1000,F$5:F$1000),"")</f>
        <v/>
      </c>
      <c r="J258" s="45" t="str">
        <f>IF(AND(Registro!D257="Abierto",Registro!E257="Baja"),Registro!B257,"")</f>
        <v/>
      </c>
      <c r="K258" s="45" t="str">
        <f ca="1">IF(AND(Registro!D257="Abierto",Registro!E257="Baja"),TODAY()-Registro!R257,"")</f>
        <v/>
      </c>
      <c r="L258" s="45" t="str">
        <f>IF(AND(Registro!D257="Abierto",Registro!E257="Baja"),RANK(K258,$K$9:$K$1000,0)+COUNTIF($K$9:K258,K258)-1+MAX(C$5:C$1000,F$5:F$1000,I$5:I$1000),"")</f>
        <v/>
      </c>
      <c r="M258" s="46" t="str">
        <f>IF(OR(Registro!D257="Resuelto",Registro!D257=""),"",SUM(C258,F258,I258,L258))</f>
        <v/>
      </c>
      <c r="N258" s="46" t="str">
        <f>IF(OR(Registro!D257="Resuelto",Registro!D257=""),"",SUM(B258,E258,H258,K258))</f>
        <v/>
      </c>
      <c r="O258" s="46" t="str">
        <f>IF(OR(Registro!D257="Resuelto",Registro!D257=""),"",_xlfn.CONCAT(A258,D258,G258,J258))</f>
        <v/>
      </c>
      <c r="P258" s="47">
        <v>250</v>
      </c>
      <c r="Q258" s="47" t="str">
        <f t="shared" ca="1" si="9"/>
        <v/>
      </c>
      <c r="R258" s="48" t="str">
        <f t="shared" ca="1" si="10"/>
        <v/>
      </c>
      <c r="S258" s="32"/>
      <c r="T258" s="32"/>
      <c r="U258" s="32"/>
      <c r="V258" s="32"/>
      <c r="W258" s="47" t="str">
        <f>IF(X258="","",MAX($W$5:W257)+1)</f>
        <v/>
      </c>
      <c r="X258" s="50" t="str">
        <f>IF(Registro!M257="","",IF(COUNTIF($X$8:X257,Registro!M257)=0,Registro!M257,""))</f>
        <v/>
      </c>
      <c r="Y258" s="50" t="str">
        <f t="shared" si="11"/>
        <v/>
      </c>
    </row>
    <row r="259" spans="1:25">
      <c r="A259" s="45" t="str">
        <f>IF(AND(Registro!D258="Abierto",Registro!E258="Urgente"),Registro!B258,"")</f>
        <v/>
      </c>
      <c r="B259" s="45" t="str">
        <f ca="1">IF(AND(Registro!D258="Abierto",Registro!E258="Urgente"),TODAY()-Registro!R258,"")</f>
        <v/>
      </c>
      <c r="C259" s="45" t="str">
        <f>IF(AND(Registro!D258="Abierto",Registro!E258="Urgente"),RANK(B259,$B$9:$B$1000,0)+COUNTIF($B$9:B259,B259)-1,"")</f>
        <v/>
      </c>
      <c r="D259" s="45" t="str">
        <f>IF(AND(Registro!D258="Abierto",Registro!E258="Alta"),Registro!B258,"")</f>
        <v/>
      </c>
      <c r="E259" s="45" t="str">
        <f ca="1">IF(AND(Registro!D258="Abierto",Registro!E258="Alta"),TODAY()-Registro!R258,"")</f>
        <v/>
      </c>
      <c r="F259" s="45" t="str">
        <f>IF(AND(Registro!D258="Abierto",Registro!E258="Alta"),RANK(E259,$E$9:$E$1000,0)+COUNTIF($E$9:E259,E259)-1+MAX(C$5:C$1000),"")</f>
        <v/>
      </c>
      <c r="G259" s="45" t="str">
        <f>IF(AND(Registro!D258="Abierto",Registro!E258="Media"),Registro!B258,"")</f>
        <v/>
      </c>
      <c r="H259" s="45" t="str">
        <f ca="1">IF(AND(Registro!D258="Abierto",Registro!E258="Media"),TODAY()-Registro!R258,"")</f>
        <v/>
      </c>
      <c r="I259" s="45" t="str">
        <f>IF(AND(Registro!D258="Abierto",Registro!E258="Media"),RANK(H259,$H$9:$H$1000,0)+COUNTIF($H$9:H259,H259)-1+MAX(C$5:C$1000,F$5:F$1000),"")</f>
        <v/>
      </c>
      <c r="J259" s="45" t="str">
        <f>IF(AND(Registro!D258="Abierto",Registro!E258="Baja"),Registro!B258,"")</f>
        <v/>
      </c>
      <c r="K259" s="45" t="str">
        <f ca="1">IF(AND(Registro!D258="Abierto",Registro!E258="Baja"),TODAY()-Registro!R258,"")</f>
        <v/>
      </c>
      <c r="L259" s="45" t="str">
        <f>IF(AND(Registro!D258="Abierto",Registro!E258="Baja"),RANK(K259,$K$9:$K$1000,0)+COUNTIF($K$9:K259,K259)-1+MAX(C$5:C$1000,F$5:F$1000,I$5:I$1000),"")</f>
        <v/>
      </c>
      <c r="M259" s="46" t="str">
        <f>IF(OR(Registro!D258="Resuelto",Registro!D258=""),"",SUM(C259,F259,I259,L259))</f>
        <v/>
      </c>
      <c r="N259" s="46" t="str">
        <f>IF(OR(Registro!D258="Resuelto",Registro!D258=""),"",SUM(B259,E259,H259,K259))</f>
        <v/>
      </c>
      <c r="O259" s="46" t="str">
        <f>IF(OR(Registro!D258="Resuelto",Registro!D258=""),"",_xlfn.CONCAT(A259,D259,G259,J259))</f>
        <v/>
      </c>
      <c r="P259" s="47">
        <v>251</v>
      </c>
      <c r="Q259" s="47" t="str">
        <f t="shared" ca="1" si="9"/>
        <v/>
      </c>
      <c r="R259" s="48" t="str">
        <f t="shared" ca="1" si="10"/>
        <v/>
      </c>
      <c r="S259" s="32"/>
      <c r="T259" s="32"/>
      <c r="U259" s="32"/>
      <c r="V259" s="32"/>
      <c r="W259" s="47" t="str">
        <f>IF(X259="","",MAX($W$5:W258)+1)</f>
        <v/>
      </c>
      <c r="X259" s="50" t="str">
        <f>IF(Registro!M258="","",IF(COUNTIF($X$8:X258,Registro!M258)=0,Registro!M258,""))</f>
        <v/>
      </c>
      <c r="Y259" s="50" t="str">
        <f t="shared" si="11"/>
        <v/>
      </c>
    </row>
    <row r="260" spans="1:25">
      <c r="A260" s="45" t="str">
        <f>IF(AND(Registro!D259="Abierto",Registro!E259="Urgente"),Registro!B259,"")</f>
        <v/>
      </c>
      <c r="B260" s="45" t="str">
        <f ca="1">IF(AND(Registro!D259="Abierto",Registro!E259="Urgente"),TODAY()-Registro!R259,"")</f>
        <v/>
      </c>
      <c r="C260" s="45" t="str">
        <f>IF(AND(Registro!D259="Abierto",Registro!E259="Urgente"),RANK(B260,$B$9:$B$1000,0)+COUNTIF($B$9:B260,B260)-1,"")</f>
        <v/>
      </c>
      <c r="D260" s="45" t="str">
        <f>IF(AND(Registro!D259="Abierto",Registro!E259="Alta"),Registro!B259,"")</f>
        <v/>
      </c>
      <c r="E260" s="45" t="str">
        <f ca="1">IF(AND(Registro!D259="Abierto",Registro!E259="Alta"),TODAY()-Registro!R259,"")</f>
        <v/>
      </c>
      <c r="F260" s="45" t="str">
        <f>IF(AND(Registro!D259="Abierto",Registro!E259="Alta"),RANK(E260,$E$9:$E$1000,0)+COUNTIF($E$9:E260,E260)-1+MAX(C$5:C$1000),"")</f>
        <v/>
      </c>
      <c r="G260" s="45" t="str">
        <f>IF(AND(Registro!D259="Abierto",Registro!E259="Media"),Registro!B259,"")</f>
        <v/>
      </c>
      <c r="H260" s="45" t="str">
        <f ca="1">IF(AND(Registro!D259="Abierto",Registro!E259="Media"),TODAY()-Registro!R259,"")</f>
        <v/>
      </c>
      <c r="I260" s="45" t="str">
        <f>IF(AND(Registro!D259="Abierto",Registro!E259="Media"),RANK(H260,$H$9:$H$1000,0)+COUNTIF($H$9:H260,H260)-1+MAX(C$5:C$1000,F$5:F$1000),"")</f>
        <v/>
      </c>
      <c r="J260" s="45" t="str">
        <f>IF(AND(Registro!D259="Abierto",Registro!E259="Baja"),Registro!B259,"")</f>
        <v/>
      </c>
      <c r="K260" s="45" t="str">
        <f ca="1">IF(AND(Registro!D259="Abierto",Registro!E259="Baja"),TODAY()-Registro!R259,"")</f>
        <v/>
      </c>
      <c r="L260" s="45" t="str">
        <f>IF(AND(Registro!D259="Abierto",Registro!E259="Baja"),RANK(K260,$K$9:$K$1000,0)+COUNTIF($K$9:K260,K260)-1+MAX(C$5:C$1000,F$5:F$1000,I$5:I$1000),"")</f>
        <v/>
      </c>
      <c r="M260" s="46" t="str">
        <f>IF(OR(Registro!D259="Resuelto",Registro!D259=""),"",SUM(C260,F260,I260,L260))</f>
        <v/>
      </c>
      <c r="N260" s="46" t="str">
        <f>IF(OR(Registro!D259="Resuelto",Registro!D259=""),"",SUM(B260,E260,H260,K260))</f>
        <v/>
      </c>
      <c r="O260" s="46" t="str">
        <f>IF(OR(Registro!D259="Resuelto",Registro!D259=""),"",_xlfn.CONCAT(A260,D260,G260,J260))</f>
        <v/>
      </c>
      <c r="P260" s="47">
        <v>252</v>
      </c>
      <c r="Q260" s="47" t="str">
        <f t="shared" ca="1" si="9"/>
        <v/>
      </c>
      <c r="R260" s="48" t="str">
        <f t="shared" ca="1" si="10"/>
        <v/>
      </c>
      <c r="S260" s="32"/>
      <c r="T260" s="32"/>
      <c r="U260" s="32"/>
      <c r="V260" s="32"/>
      <c r="W260" s="47" t="str">
        <f>IF(X260="","",MAX($W$5:W259)+1)</f>
        <v/>
      </c>
      <c r="X260" s="50" t="str">
        <f>IF(Registro!M259="","",IF(COUNTIF($X$8:X259,Registro!M259)=0,Registro!M259,""))</f>
        <v/>
      </c>
      <c r="Y260" s="50" t="str">
        <f t="shared" si="11"/>
        <v/>
      </c>
    </row>
    <row r="261" spans="1:25">
      <c r="A261" s="45" t="str">
        <f>IF(AND(Registro!D260="Abierto",Registro!E260="Urgente"),Registro!B260,"")</f>
        <v/>
      </c>
      <c r="B261" s="45" t="str">
        <f ca="1">IF(AND(Registro!D260="Abierto",Registro!E260="Urgente"),TODAY()-Registro!R260,"")</f>
        <v/>
      </c>
      <c r="C261" s="45" t="str">
        <f>IF(AND(Registro!D260="Abierto",Registro!E260="Urgente"),RANK(B261,$B$9:$B$1000,0)+COUNTIF($B$9:B261,B261)-1,"")</f>
        <v/>
      </c>
      <c r="D261" s="45" t="str">
        <f>IF(AND(Registro!D260="Abierto",Registro!E260="Alta"),Registro!B260,"")</f>
        <v/>
      </c>
      <c r="E261" s="45" t="str">
        <f ca="1">IF(AND(Registro!D260="Abierto",Registro!E260="Alta"),TODAY()-Registro!R260,"")</f>
        <v/>
      </c>
      <c r="F261" s="45" t="str">
        <f>IF(AND(Registro!D260="Abierto",Registro!E260="Alta"),RANK(E261,$E$9:$E$1000,0)+COUNTIF($E$9:E261,E261)-1+MAX(C$5:C$1000),"")</f>
        <v/>
      </c>
      <c r="G261" s="45" t="str">
        <f>IF(AND(Registro!D260="Abierto",Registro!E260="Media"),Registro!B260,"")</f>
        <v/>
      </c>
      <c r="H261" s="45" t="str">
        <f ca="1">IF(AND(Registro!D260="Abierto",Registro!E260="Media"),TODAY()-Registro!R260,"")</f>
        <v/>
      </c>
      <c r="I261" s="45" t="str">
        <f>IF(AND(Registro!D260="Abierto",Registro!E260="Media"),RANK(H261,$H$9:$H$1000,0)+COUNTIF($H$9:H261,H261)-1+MAX(C$5:C$1000,F$5:F$1000),"")</f>
        <v/>
      </c>
      <c r="J261" s="45" t="str">
        <f>IF(AND(Registro!D260="Abierto",Registro!E260="Baja"),Registro!B260,"")</f>
        <v/>
      </c>
      <c r="K261" s="45" t="str">
        <f ca="1">IF(AND(Registro!D260="Abierto",Registro!E260="Baja"),TODAY()-Registro!R260,"")</f>
        <v/>
      </c>
      <c r="L261" s="45" t="str">
        <f>IF(AND(Registro!D260="Abierto",Registro!E260="Baja"),RANK(K261,$K$9:$K$1000,0)+COUNTIF($K$9:K261,K261)-1+MAX(C$5:C$1000,F$5:F$1000,I$5:I$1000),"")</f>
        <v/>
      </c>
      <c r="M261" s="46" t="str">
        <f>IF(OR(Registro!D260="Resuelto",Registro!D260=""),"",SUM(C261,F261,I261,L261))</f>
        <v/>
      </c>
      <c r="N261" s="46" t="str">
        <f>IF(OR(Registro!D260="Resuelto",Registro!D260=""),"",SUM(B261,E261,H261,K261))</f>
        <v/>
      </c>
      <c r="O261" s="46" t="str">
        <f>IF(OR(Registro!D260="Resuelto",Registro!D260=""),"",_xlfn.CONCAT(A261,D261,G261,J261))</f>
        <v/>
      </c>
      <c r="P261" s="47">
        <v>253</v>
      </c>
      <c r="Q261" s="47" t="str">
        <f t="shared" ca="1" si="9"/>
        <v/>
      </c>
      <c r="R261" s="48" t="str">
        <f t="shared" ca="1" si="10"/>
        <v/>
      </c>
      <c r="S261" s="32"/>
      <c r="T261" s="32"/>
      <c r="U261" s="32"/>
      <c r="V261" s="32"/>
      <c r="W261" s="47" t="str">
        <f>IF(X261="","",MAX($W$5:W260)+1)</f>
        <v/>
      </c>
      <c r="X261" s="50" t="str">
        <f>IF(Registro!M260="","",IF(COUNTIF($X$8:X260,Registro!M260)=0,Registro!M260,""))</f>
        <v/>
      </c>
      <c r="Y261" s="50" t="str">
        <f t="shared" si="11"/>
        <v/>
      </c>
    </row>
    <row r="262" spans="1:25">
      <c r="A262" s="45" t="str">
        <f>IF(AND(Registro!D261="Abierto",Registro!E261="Urgente"),Registro!B261,"")</f>
        <v/>
      </c>
      <c r="B262" s="45" t="str">
        <f ca="1">IF(AND(Registro!D261="Abierto",Registro!E261="Urgente"),TODAY()-Registro!R261,"")</f>
        <v/>
      </c>
      <c r="C262" s="45" t="str">
        <f>IF(AND(Registro!D261="Abierto",Registro!E261="Urgente"),RANK(B262,$B$9:$B$1000,0)+COUNTIF($B$9:B262,B262)-1,"")</f>
        <v/>
      </c>
      <c r="D262" s="45" t="str">
        <f>IF(AND(Registro!D261="Abierto",Registro!E261="Alta"),Registro!B261,"")</f>
        <v/>
      </c>
      <c r="E262" s="45" t="str">
        <f ca="1">IF(AND(Registro!D261="Abierto",Registro!E261="Alta"),TODAY()-Registro!R261,"")</f>
        <v/>
      </c>
      <c r="F262" s="45" t="str">
        <f>IF(AND(Registro!D261="Abierto",Registro!E261="Alta"),RANK(E262,$E$9:$E$1000,0)+COUNTIF($E$9:E262,E262)-1+MAX(C$5:C$1000),"")</f>
        <v/>
      </c>
      <c r="G262" s="45" t="str">
        <f>IF(AND(Registro!D261="Abierto",Registro!E261="Media"),Registro!B261,"")</f>
        <v/>
      </c>
      <c r="H262" s="45" t="str">
        <f ca="1">IF(AND(Registro!D261="Abierto",Registro!E261="Media"),TODAY()-Registro!R261,"")</f>
        <v/>
      </c>
      <c r="I262" s="45" t="str">
        <f>IF(AND(Registro!D261="Abierto",Registro!E261="Media"),RANK(H262,$H$9:$H$1000,0)+COUNTIF($H$9:H262,H262)-1+MAX(C$5:C$1000,F$5:F$1000),"")</f>
        <v/>
      </c>
      <c r="J262" s="45" t="str">
        <f>IF(AND(Registro!D261="Abierto",Registro!E261="Baja"),Registro!B261,"")</f>
        <v/>
      </c>
      <c r="K262" s="45" t="str">
        <f ca="1">IF(AND(Registro!D261="Abierto",Registro!E261="Baja"),TODAY()-Registro!R261,"")</f>
        <v/>
      </c>
      <c r="L262" s="45" t="str">
        <f>IF(AND(Registro!D261="Abierto",Registro!E261="Baja"),RANK(K262,$K$9:$K$1000,0)+COUNTIF($K$9:K262,K262)-1+MAX(C$5:C$1000,F$5:F$1000,I$5:I$1000),"")</f>
        <v/>
      </c>
      <c r="M262" s="46" t="str">
        <f>IF(OR(Registro!D261="Resuelto",Registro!D261=""),"",SUM(C262,F262,I262,L262))</f>
        <v/>
      </c>
      <c r="N262" s="46" t="str">
        <f>IF(OR(Registro!D261="Resuelto",Registro!D261=""),"",SUM(B262,E262,H262,K262))</f>
        <v/>
      </c>
      <c r="O262" s="46" t="str">
        <f>IF(OR(Registro!D261="Resuelto",Registro!D261=""),"",_xlfn.CONCAT(A262,D262,G262,J262))</f>
        <v/>
      </c>
      <c r="P262" s="47">
        <v>254</v>
      </c>
      <c r="Q262" s="47" t="str">
        <f t="shared" ca="1" si="9"/>
        <v/>
      </c>
      <c r="R262" s="48" t="str">
        <f t="shared" ca="1" si="10"/>
        <v/>
      </c>
      <c r="S262" s="32"/>
      <c r="T262" s="32"/>
      <c r="U262" s="32"/>
      <c r="V262" s="32"/>
      <c r="W262" s="47" t="str">
        <f>IF(X262="","",MAX($W$5:W261)+1)</f>
        <v/>
      </c>
      <c r="X262" s="50" t="str">
        <f>IF(Registro!M261="","",IF(COUNTIF($X$8:X261,Registro!M261)=0,Registro!M261,""))</f>
        <v/>
      </c>
      <c r="Y262" s="50" t="str">
        <f t="shared" si="11"/>
        <v/>
      </c>
    </row>
    <row r="263" spans="1:25">
      <c r="A263" s="45" t="str">
        <f>IF(AND(Registro!D262="Abierto",Registro!E262="Urgente"),Registro!B262,"")</f>
        <v/>
      </c>
      <c r="B263" s="45" t="str">
        <f ca="1">IF(AND(Registro!D262="Abierto",Registro!E262="Urgente"),TODAY()-Registro!R262,"")</f>
        <v/>
      </c>
      <c r="C263" s="45" t="str">
        <f>IF(AND(Registro!D262="Abierto",Registro!E262="Urgente"),RANK(B263,$B$9:$B$1000,0)+COUNTIF($B$9:B263,B263)-1,"")</f>
        <v/>
      </c>
      <c r="D263" s="45" t="str">
        <f>IF(AND(Registro!D262="Abierto",Registro!E262="Alta"),Registro!B262,"")</f>
        <v/>
      </c>
      <c r="E263" s="45" t="str">
        <f ca="1">IF(AND(Registro!D262="Abierto",Registro!E262="Alta"),TODAY()-Registro!R262,"")</f>
        <v/>
      </c>
      <c r="F263" s="45" t="str">
        <f>IF(AND(Registro!D262="Abierto",Registro!E262="Alta"),RANK(E263,$E$9:$E$1000,0)+COUNTIF($E$9:E263,E263)-1+MAX(C$5:C$1000),"")</f>
        <v/>
      </c>
      <c r="G263" s="45" t="str">
        <f>IF(AND(Registro!D262="Abierto",Registro!E262="Media"),Registro!B262,"")</f>
        <v/>
      </c>
      <c r="H263" s="45" t="str">
        <f ca="1">IF(AND(Registro!D262="Abierto",Registro!E262="Media"),TODAY()-Registro!R262,"")</f>
        <v/>
      </c>
      <c r="I263" s="45" t="str">
        <f>IF(AND(Registro!D262="Abierto",Registro!E262="Media"),RANK(H263,$H$9:$H$1000,0)+COUNTIF($H$9:H263,H263)-1+MAX(C$5:C$1000,F$5:F$1000),"")</f>
        <v/>
      </c>
      <c r="J263" s="45" t="str">
        <f>IF(AND(Registro!D262="Abierto",Registro!E262="Baja"),Registro!B262,"")</f>
        <v/>
      </c>
      <c r="K263" s="45" t="str">
        <f ca="1">IF(AND(Registro!D262="Abierto",Registro!E262="Baja"),TODAY()-Registro!R262,"")</f>
        <v/>
      </c>
      <c r="L263" s="45" t="str">
        <f>IF(AND(Registro!D262="Abierto",Registro!E262="Baja"),RANK(K263,$K$9:$K$1000,0)+COUNTIF($K$9:K263,K263)-1+MAX(C$5:C$1000,F$5:F$1000,I$5:I$1000),"")</f>
        <v/>
      </c>
      <c r="M263" s="46" t="str">
        <f>IF(OR(Registro!D262="Resuelto",Registro!D262=""),"",SUM(C263,F263,I263,L263))</f>
        <v/>
      </c>
      <c r="N263" s="46" t="str">
        <f>IF(OR(Registro!D262="Resuelto",Registro!D262=""),"",SUM(B263,E263,H263,K263))</f>
        <v/>
      </c>
      <c r="O263" s="46" t="str">
        <f>IF(OR(Registro!D262="Resuelto",Registro!D262=""),"",_xlfn.CONCAT(A263,D263,G263,J263))</f>
        <v/>
      </c>
      <c r="P263" s="47">
        <v>255</v>
      </c>
      <c r="Q263" s="47" t="str">
        <f t="shared" ca="1" si="9"/>
        <v/>
      </c>
      <c r="R263" s="48" t="str">
        <f t="shared" ca="1" si="10"/>
        <v/>
      </c>
      <c r="S263" s="32"/>
      <c r="T263" s="32"/>
      <c r="U263" s="32"/>
      <c r="V263" s="32"/>
      <c r="W263" s="47" t="str">
        <f>IF(X263="","",MAX($W$5:W262)+1)</f>
        <v/>
      </c>
      <c r="X263" s="50" t="str">
        <f>IF(Registro!M262="","",IF(COUNTIF($X$8:X262,Registro!M262)=0,Registro!M262,""))</f>
        <v/>
      </c>
      <c r="Y263" s="50" t="str">
        <f t="shared" si="11"/>
        <v/>
      </c>
    </row>
    <row r="264" spans="1:25">
      <c r="A264" s="45" t="str">
        <f>IF(AND(Registro!D263="Abierto",Registro!E263="Urgente"),Registro!B263,"")</f>
        <v/>
      </c>
      <c r="B264" s="45" t="str">
        <f ca="1">IF(AND(Registro!D263="Abierto",Registro!E263="Urgente"),TODAY()-Registro!R263,"")</f>
        <v/>
      </c>
      <c r="C264" s="45" t="str">
        <f>IF(AND(Registro!D263="Abierto",Registro!E263="Urgente"),RANK(B264,$B$9:$B$1000,0)+COUNTIF($B$9:B264,B264)-1,"")</f>
        <v/>
      </c>
      <c r="D264" s="45" t="str">
        <f>IF(AND(Registro!D263="Abierto",Registro!E263="Alta"),Registro!B263,"")</f>
        <v/>
      </c>
      <c r="E264" s="45" t="str">
        <f ca="1">IF(AND(Registro!D263="Abierto",Registro!E263="Alta"),TODAY()-Registro!R263,"")</f>
        <v/>
      </c>
      <c r="F264" s="45" t="str">
        <f>IF(AND(Registro!D263="Abierto",Registro!E263="Alta"),RANK(E264,$E$9:$E$1000,0)+COUNTIF($E$9:E264,E264)-1+MAX(C$5:C$1000),"")</f>
        <v/>
      </c>
      <c r="G264" s="45" t="str">
        <f>IF(AND(Registro!D263="Abierto",Registro!E263="Media"),Registro!B263,"")</f>
        <v/>
      </c>
      <c r="H264" s="45" t="str">
        <f ca="1">IF(AND(Registro!D263="Abierto",Registro!E263="Media"),TODAY()-Registro!R263,"")</f>
        <v/>
      </c>
      <c r="I264" s="45" t="str">
        <f>IF(AND(Registro!D263="Abierto",Registro!E263="Media"),RANK(H264,$H$9:$H$1000,0)+COUNTIF($H$9:H264,H264)-1+MAX(C$5:C$1000,F$5:F$1000),"")</f>
        <v/>
      </c>
      <c r="J264" s="45" t="str">
        <f>IF(AND(Registro!D263="Abierto",Registro!E263="Baja"),Registro!B263,"")</f>
        <v/>
      </c>
      <c r="K264" s="45" t="str">
        <f ca="1">IF(AND(Registro!D263="Abierto",Registro!E263="Baja"),TODAY()-Registro!R263,"")</f>
        <v/>
      </c>
      <c r="L264" s="45" t="str">
        <f>IF(AND(Registro!D263="Abierto",Registro!E263="Baja"),RANK(K264,$K$9:$K$1000,0)+COUNTIF($K$9:K264,K264)-1+MAX(C$5:C$1000,F$5:F$1000,I$5:I$1000),"")</f>
        <v/>
      </c>
      <c r="M264" s="46" t="str">
        <f>IF(OR(Registro!D263="Resuelto",Registro!D263=""),"",SUM(C264,F264,I264,L264))</f>
        <v/>
      </c>
      <c r="N264" s="46" t="str">
        <f>IF(OR(Registro!D263="Resuelto",Registro!D263=""),"",SUM(B264,E264,H264,K264))</f>
        <v/>
      </c>
      <c r="O264" s="46" t="str">
        <f>IF(OR(Registro!D263="Resuelto",Registro!D263=""),"",_xlfn.CONCAT(A264,D264,G264,J264))</f>
        <v/>
      </c>
      <c r="P264" s="47">
        <v>256</v>
      </c>
      <c r="Q264" s="47" t="str">
        <f t="shared" ca="1" si="9"/>
        <v/>
      </c>
      <c r="R264" s="48" t="str">
        <f t="shared" ca="1" si="10"/>
        <v/>
      </c>
      <c r="S264" s="32"/>
      <c r="T264" s="32"/>
      <c r="U264" s="32"/>
      <c r="V264" s="32"/>
      <c r="W264" s="47" t="str">
        <f>IF(X264="","",MAX($W$5:W263)+1)</f>
        <v/>
      </c>
      <c r="X264" s="50" t="str">
        <f>IF(Registro!M263="","",IF(COUNTIF($X$8:X263,Registro!M263)=0,Registro!M263,""))</f>
        <v/>
      </c>
      <c r="Y264" s="50" t="str">
        <f t="shared" si="11"/>
        <v/>
      </c>
    </row>
    <row r="265" spans="1:25">
      <c r="A265" s="45" t="str">
        <f>IF(AND(Registro!D264="Abierto",Registro!E264="Urgente"),Registro!B264,"")</f>
        <v/>
      </c>
      <c r="B265" s="45" t="str">
        <f ca="1">IF(AND(Registro!D264="Abierto",Registro!E264="Urgente"),TODAY()-Registro!R264,"")</f>
        <v/>
      </c>
      <c r="C265" s="45" t="str">
        <f>IF(AND(Registro!D264="Abierto",Registro!E264="Urgente"),RANK(B265,$B$9:$B$1000,0)+COUNTIF($B$9:B265,B265)-1,"")</f>
        <v/>
      </c>
      <c r="D265" s="45" t="str">
        <f>IF(AND(Registro!D264="Abierto",Registro!E264="Alta"),Registro!B264,"")</f>
        <v/>
      </c>
      <c r="E265" s="45" t="str">
        <f ca="1">IF(AND(Registro!D264="Abierto",Registro!E264="Alta"),TODAY()-Registro!R264,"")</f>
        <v/>
      </c>
      <c r="F265" s="45" t="str">
        <f>IF(AND(Registro!D264="Abierto",Registro!E264="Alta"),RANK(E265,$E$9:$E$1000,0)+COUNTIF($E$9:E265,E265)-1+MAX(C$5:C$1000),"")</f>
        <v/>
      </c>
      <c r="G265" s="45" t="str">
        <f>IF(AND(Registro!D264="Abierto",Registro!E264="Media"),Registro!B264,"")</f>
        <v/>
      </c>
      <c r="H265" s="45" t="str">
        <f ca="1">IF(AND(Registro!D264="Abierto",Registro!E264="Media"),TODAY()-Registro!R264,"")</f>
        <v/>
      </c>
      <c r="I265" s="45" t="str">
        <f>IF(AND(Registro!D264="Abierto",Registro!E264="Media"),RANK(H265,$H$9:$H$1000,0)+COUNTIF($H$9:H265,H265)-1+MAX(C$5:C$1000,F$5:F$1000),"")</f>
        <v/>
      </c>
      <c r="J265" s="45" t="str">
        <f>IF(AND(Registro!D264="Abierto",Registro!E264="Baja"),Registro!B264,"")</f>
        <v/>
      </c>
      <c r="K265" s="45" t="str">
        <f ca="1">IF(AND(Registro!D264="Abierto",Registro!E264="Baja"),TODAY()-Registro!R264,"")</f>
        <v/>
      </c>
      <c r="L265" s="45" t="str">
        <f>IF(AND(Registro!D264="Abierto",Registro!E264="Baja"),RANK(K265,$K$9:$K$1000,0)+COUNTIF($K$9:K265,K265)-1+MAX(C$5:C$1000,F$5:F$1000,I$5:I$1000),"")</f>
        <v/>
      </c>
      <c r="M265" s="46" t="str">
        <f>IF(OR(Registro!D264="Resuelto",Registro!D264=""),"",SUM(C265,F265,I265,L265))</f>
        <v/>
      </c>
      <c r="N265" s="46" t="str">
        <f>IF(OR(Registro!D264="Resuelto",Registro!D264=""),"",SUM(B265,E265,H265,K265))</f>
        <v/>
      </c>
      <c r="O265" s="46" t="str">
        <f>IF(OR(Registro!D264="Resuelto",Registro!D264=""),"",_xlfn.CONCAT(A265,D265,G265,J265))</f>
        <v/>
      </c>
      <c r="P265" s="47">
        <v>257</v>
      </c>
      <c r="Q265" s="47" t="str">
        <f t="shared" ref="Q265:Q328" ca="1" si="12">IF(ISNA(VLOOKUP(P265,$M$9:$O$1000,3,FALSE))=TRUE,"",VLOOKUP(P265,$M$9:$O$1000,3,FALSE))</f>
        <v/>
      </c>
      <c r="R265" s="48" t="str">
        <f t="shared" ref="R265:R328" ca="1" si="13">IF(ISNA(VLOOKUP(P265,$M$9:$O$1000,2,FALSE))=TRUE,"",VLOOKUP(P265,$M$9:$O$1000,2,FALSE))</f>
        <v/>
      </c>
      <c r="S265" s="32"/>
      <c r="T265" s="32"/>
      <c r="U265" s="32"/>
      <c r="V265" s="32"/>
      <c r="W265" s="47" t="str">
        <f>IF(X265="","",MAX($W$5:W264)+1)</f>
        <v/>
      </c>
      <c r="X265" s="50" t="str">
        <f>IF(Registro!M264="","",IF(COUNTIF($X$8:X264,Registro!M264)=0,Registro!M264,""))</f>
        <v/>
      </c>
      <c r="Y265" s="50" t="str">
        <f t="shared" ref="Y265:Y328" si="14">IF(ISNA(VLOOKUP(P265,$W$9:$X$1000,2,FALSE))=TRUE,"",VLOOKUP(P265,$W$9:$X$1000,2,FALSE))</f>
        <v/>
      </c>
    </row>
    <row r="266" spans="1:25">
      <c r="A266" s="45" t="str">
        <f>IF(AND(Registro!D265="Abierto",Registro!E265="Urgente"),Registro!B265,"")</f>
        <v/>
      </c>
      <c r="B266" s="45" t="str">
        <f ca="1">IF(AND(Registro!D265="Abierto",Registro!E265="Urgente"),TODAY()-Registro!R265,"")</f>
        <v/>
      </c>
      <c r="C266" s="45" t="str">
        <f>IF(AND(Registro!D265="Abierto",Registro!E265="Urgente"),RANK(B266,$B$9:$B$1000,0)+COUNTIF($B$9:B266,B266)-1,"")</f>
        <v/>
      </c>
      <c r="D266" s="45" t="str">
        <f>IF(AND(Registro!D265="Abierto",Registro!E265="Alta"),Registro!B265,"")</f>
        <v/>
      </c>
      <c r="E266" s="45" t="str">
        <f ca="1">IF(AND(Registro!D265="Abierto",Registro!E265="Alta"),TODAY()-Registro!R265,"")</f>
        <v/>
      </c>
      <c r="F266" s="45" t="str">
        <f>IF(AND(Registro!D265="Abierto",Registro!E265="Alta"),RANK(E266,$E$9:$E$1000,0)+COUNTIF($E$9:E266,E266)-1+MAX(C$5:C$1000),"")</f>
        <v/>
      </c>
      <c r="G266" s="45" t="str">
        <f>IF(AND(Registro!D265="Abierto",Registro!E265="Media"),Registro!B265,"")</f>
        <v/>
      </c>
      <c r="H266" s="45" t="str">
        <f ca="1">IF(AND(Registro!D265="Abierto",Registro!E265="Media"),TODAY()-Registro!R265,"")</f>
        <v/>
      </c>
      <c r="I266" s="45" t="str">
        <f>IF(AND(Registro!D265="Abierto",Registro!E265="Media"),RANK(H266,$H$9:$H$1000,0)+COUNTIF($H$9:H266,H266)-1+MAX(C$5:C$1000,F$5:F$1000),"")</f>
        <v/>
      </c>
      <c r="J266" s="45" t="str">
        <f>IF(AND(Registro!D265="Abierto",Registro!E265="Baja"),Registro!B265,"")</f>
        <v/>
      </c>
      <c r="K266" s="45" t="str">
        <f ca="1">IF(AND(Registro!D265="Abierto",Registro!E265="Baja"),TODAY()-Registro!R265,"")</f>
        <v/>
      </c>
      <c r="L266" s="45" t="str">
        <f>IF(AND(Registro!D265="Abierto",Registro!E265="Baja"),RANK(K266,$K$9:$K$1000,0)+COUNTIF($K$9:K266,K266)-1+MAX(C$5:C$1000,F$5:F$1000,I$5:I$1000),"")</f>
        <v/>
      </c>
      <c r="M266" s="46" t="str">
        <f>IF(OR(Registro!D265="Resuelto",Registro!D265=""),"",SUM(C266,F266,I266,L266))</f>
        <v/>
      </c>
      <c r="N266" s="46" t="str">
        <f>IF(OR(Registro!D265="Resuelto",Registro!D265=""),"",SUM(B266,E266,H266,K266))</f>
        <v/>
      </c>
      <c r="O266" s="46" t="str">
        <f>IF(OR(Registro!D265="Resuelto",Registro!D265=""),"",_xlfn.CONCAT(A266,D266,G266,J266))</f>
        <v/>
      </c>
      <c r="P266" s="47">
        <v>258</v>
      </c>
      <c r="Q266" s="47" t="str">
        <f t="shared" ca="1" si="12"/>
        <v/>
      </c>
      <c r="R266" s="48" t="str">
        <f t="shared" ca="1" si="13"/>
        <v/>
      </c>
      <c r="S266" s="32"/>
      <c r="T266" s="32"/>
      <c r="U266" s="32"/>
      <c r="V266" s="32"/>
      <c r="W266" s="47" t="str">
        <f>IF(X266="","",MAX($W$5:W265)+1)</f>
        <v/>
      </c>
      <c r="X266" s="50" t="str">
        <f>IF(Registro!M265="","",IF(COUNTIF($X$8:X265,Registro!M265)=0,Registro!M265,""))</f>
        <v/>
      </c>
      <c r="Y266" s="50" t="str">
        <f t="shared" si="14"/>
        <v/>
      </c>
    </row>
    <row r="267" spans="1:25">
      <c r="A267" s="45" t="str">
        <f>IF(AND(Registro!D266="Abierto",Registro!E266="Urgente"),Registro!B266,"")</f>
        <v/>
      </c>
      <c r="B267" s="45" t="str">
        <f ca="1">IF(AND(Registro!D266="Abierto",Registro!E266="Urgente"),TODAY()-Registro!R266,"")</f>
        <v/>
      </c>
      <c r="C267" s="45" t="str">
        <f>IF(AND(Registro!D266="Abierto",Registro!E266="Urgente"),RANK(B267,$B$9:$B$1000,0)+COUNTIF($B$9:B267,B267)-1,"")</f>
        <v/>
      </c>
      <c r="D267" s="45" t="str">
        <f>IF(AND(Registro!D266="Abierto",Registro!E266="Alta"),Registro!B266,"")</f>
        <v/>
      </c>
      <c r="E267" s="45" t="str">
        <f ca="1">IF(AND(Registro!D266="Abierto",Registro!E266="Alta"),TODAY()-Registro!R266,"")</f>
        <v/>
      </c>
      <c r="F267" s="45" t="str">
        <f>IF(AND(Registro!D266="Abierto",Registro!E266="Alta"),RANK(E267,$E$9:$E$1000,0)+COUNTIF($E$9:E267,E267)-1+MAX(C$5:C$1000),"")</f>
        <v/>
      </c>
      <c r="G267" s="45" t="str">
        <f>IF(AND(Registro!D266="Abierto",Registro!E266="Media"),Registro!B266,"")</f>
        <v/>
      </c>
      <c r="H267" s="45" t="str">
        <f ca="1">IF(AND(Registro!D266="Abierto",Registro!E266="Media"),TODAY()-Registro!R266,"")</f>
        <v/>
      </c>
      <c r="I267" s="45" t="str">
        <f>IF(AND(Registro!D266="Abierto",Registro!E266="Media"),RANK(H267,$H$9:$H$1000,0)+COUNTIF($H$9:H267,H267)-1+MAX(C$5:C$1000,F$5:F$1000),"")</f>
        <v/>
      </c>
      <c r="J267" s="45" t="str">
        <f>IF(AND(Registro!D266="Abierto",Registro!E266="Baja"),Registro!B266,"")</f>
        <v/>
      </c>
      <c r="K267" s="45" t="str">
        <f ca="1">IF(AND(Registro!D266="Abierto",Registro!E266="Baja"),TODAY()-Registro!R266,"")</f>
        <v/>
      </c>
      <c r="L267" s="45" t="str">
        <f>IF(AND(Registro!D266="Abierto",Registro!E266="Baja"),RANK(K267,$K$9:$K$1000,0)+COUNTIF($K$9:K267,K267)-1+MAX(C$5:C$1000,F$5:F$1000,I$5:I$1000),"")</f>
        <v/>
      </c>
      <c r="M267" s="46" t="str">
        <f>IF(OR(Registro!D266="Resuelto",Registro!D266=""),"",SUM(C267,F267,I267,L267))</f>
        <v/>
      </c>
      <c r="N267" s="46" t="str">
        <f>IF(OR(Registro!D266="Resuelto",Registro!D266=""),"",SUM(B267,E267,H267,K267))</f>
        <v/>
      </c>
      <c r="O267" s="46" t="str">
        <f>IF(OR(Registro!D266="Resuelto",Registro!D266=""),"",_xlfn.CONCAT(A267,D267,G267,J267))</f>
        <v/>
      </c>
      <c r="P267" s="47">
        <v>259</v>
      </c>
      <c r="Q267" s="47" t="str">
        <f t="shared" ca="1" si="12"/>
        <v/>
      </c>
      <c r="R267" s="48" t="str">
        <f t="shared" ca="1" si="13"/>
        <v/>
      </c>
      <c r="S267" s="32"/>
      <c r="T267" s="32"/>
      <c r="U267" s="32"/>
      <c r="V267" s="32"/>
      <c r="W267" s="47" t="str">
        <f>IF(X267="","",MAX($W$5:W266)+1)</f>
        <v/>
      </c>
      <c r="X267" s="50" t="str">
        <f>IF(Registro!M266="","",IF(COUNTIF($X$8:X266,Registro!M266)=0,Registro!M266,""))</f>
        <v/>
      </c>
      <c r="Y267" s="50" t="str">
        <f t="shared" si="14"/>
        <v/>
      </c>
    </row>
    <row r="268" spans="1:25">
      <c r="A268" s="45" t="str">
        <f>IF(AND(Registro!D267="Abierto",Registro!E267="Urgente"),Registro!B267,"")</f>
        <v/>
      </c>
      <c r="B268" s="45" t="str">
        <f ca="1">IF(AND(Registro!D267="Abierto",Registro!E267="Urgente"),TODAY()-Registro!R267,"")</f>
        <v/>
      </c>
      <c r="C268" s="45" t="str">
        <f>IF(AND(Registro!D267="Abierto",Registro!E267="Urgente"),RANK(B268,$B$9:$B$1000,0)+COUNTIF($B$9:B268,B268)-1,"")</f>
        <v/>
      </c>
      <c r="D268" s="45" t="str">
        <f>IF(AND(Registro!D267="Abierto",Registro!E267="Alta"),Registro!B267,"")</f>
        <v/>
      </c>
      <c r="E268" s="45" t="str">
        <f ca="1">IF(AND(Registro!D267="Abierto",Registro!E267="Alta"),TODAY()-Registro!R267,"")</f>
        <v/>
      </c>
      <c r="F268" s="45" t="str">
        <f>IF(AND(Registro!D267="Abierto",Registro!E267="Alta"),RANK(E268,$E$9:$E$1000,0)+COUNTIF($E$9:E268,E268)-1+MAX(C$5:C$1000),"")</f>
        <v/>
      </c>
      <c r="G268" s="45" t="str">
        <f>IF(AND(Registro!D267="Abierto",Registro!E267="Media"),Registro!B267,"")</f>
        <v/>
      </c>
      <c r="H268" s="45" t="str">
        <f ca="1">IF(AND(Registro!D267="Abierto",Registro!E267="Media"),TODAY()-Registro!R267,"")</f>
        <v/>
      </c>
      <c r="I268" s="45" t="str">
        <f>IF(AND(Registro!D267="Abierto",Registro!E267="Media"),RANK(H268,$H$9:$H$1000,0)+COUNTIF($H$9:H268,H268)-1+MAX(C$5:C$1000,F$5:F$1000),"")</f>
        <v/>
      </c>
      <c r="J268" s="45" t="str">
        <f>IF(AND(Registro!D267="Abierto",Registro!E267="Baja"),Registro!B267,"")</f>
        <v/>
      </c>
      <c r="K268" s="45" t="str">
        <f ca="1">IF(AND(Registro!D267="Abierto",Registro!E267="Baja"),TODAY()-Registro!R267,"")</f>
        <v/>
      </c>
      <c r="L268" s="45" t="str">
        <f>IF(AND(Registro!D267="Abierto",Registro!E267="Baja"),RANK(K268,$K$9:$K$1000,0)+COUNTIF($K$9:K268,K268)-1+MAX(C$5:C$1000,F$5:F$1000,I$5:I$1000),"")</f>
        <v/>
      </c>
      <c r="M268" s="46" t="str">
        <f>IF(OR(Registro!D267="Resuelto",Registro!D267=""),"",SUM(C268,F268,I268,L268))</f>
        <v/>
      </c>
      <c r="N268" s="46" t="str">
        <f>IF(OR(Registro!D267="Resuelto",Registro!D267=""),"",SUM(B268,E268,H268,K268))</f>
        <v/>
      </c>
      <c r="O268" s="46" t="str">
        <f>IF(OR(Registro!D267="Resuelto",Registro!D267=""),"",_xlfn.CONCAT(A268,D268,G268,J268))</f>
        <v/>
      </c>
      <c r="P268" s="47">
        <v>260</v>
      </c>
      <c r="Q268" s="47" t="str">
        <f t="shared" ca="1" si="12"/>
        <v/>
      </c>
      <c r="R268" s="48" t="str">
        <f t="shared" ca="1" si="13"/>
        <v/>
      </c>
      <c r="S268" s="32"/>
      <c r="T268" s="32"/>
      <c r="U268" s="32"/>
      <c r="V268" s="32"/>
      <c r="W268" s="47" t="str">
        <f>IF(X268="","",MAX($W$5:W267)+1)</f>
        <v/>
      </c>
      <c r="X268" s="50" t="str">
        <f>IF(Registro!M267="","",IF(COUNTIF($X$8:X267,Registro!M267)=0,Registro!M267,""))</f>
        <v/>
      </c>
      <c r="Y268" s="50" t="str">
        <f t="shared" si="14"/>
        <v/>
      </c>
    </row>
    <row r="269" spans="1:25">
      <c r="A269" s="45" t="str">
        <f>IF(AND(Registro!D268="Abierto",Registro!E268="Urgente"),Registro!B268,"")</f>
        <v/>
      </c>
      <c r="B269" s="45" t="str">
        <f ca="1">IF(AND(Registro!D268="Abierto",Registro!E268="Urgente"),TODAY()-Registro!R268,"")</f>
        <v/>
      </c>
      <c r="C269" s="45" t="str">
        <f>IF(AND(Registro!D268="Abierto",Registro!E268="Urgente"),RANK(B269,$B$9:$B$1000,0)+COUNTIF($B$9:B269,B269)-1,"")</f>
        <v/>
      </c>
      <c r="D269" s="45" t="str">
        <f>IF(AND(Registro!D268="Abierto",Registro!E268="Alta"),Registro!B268,"")</f>
        <v/>
      </c>
      <c r="E269" s="45" t="str">
        <f ca="1">IF(AND(Registro!D268="Abierto",Registro!E268="Alta"),TODAY()-Registro!R268,"")</f>
        <v/>
      </c>
      <c r="F269" s="45" t="str">
        <f>IF(AND(Registro!D268="Abierto",Registro!E268="Alta"),RANK(E269,$E$9:$E$1000,0)+COUNTIF($E$9:E269,E269)-1+MAX(C$5:C$1000),"")</f>
        <v/>
      </c>
      <c r="G269" s="45" t="str">
        <f>IF(AND(Registro!D268="Abierto",Registro!E268="Media"),Registro!B268,"")</f>
        <v/>
      </c>
      <c r="H269" s="45" t="str">
        <f ca="1">IF(AND(Registro!D268="Abierto",Registro!E268="Media"),TODAY()-Registro!R268,"")</f>
        <v/>
      </c>
      <c r="I269" s="45" t="str">
        <f>IF(AND(Registro!D268="Abierto",Registro!E268="Media"),RANK(H269,$H$9:$H$1000,0)+COUNTIF($H$9:H269,H269)-1+MAX(C$5:C$1000,F$5:F$1000),"")</f>
        <v/>
      </c>
      <c r="J269" s="45" t="str">
        <f>IF(AND(Registro!D268="Abierto",Registro!E268="Baja"),Registro!B268,"")</f>
        <v/>
      </c>
      <c r="K269" s="45" t="str">
        <f ca="1">IF(AND(Registro!D268="Abierto",Registro!E268="Baja"),TODAY()-Registro!R268,"")</f>
        <v/>
      </c>
      <c r="L269" s="45" t="str">
        <f>IF(AND(Registro!D268="Abierto",Registro!E268="Baja"),RANK(K269,$K$9:$K$1000,0)+COUNTIF($K$9:K269,K269)-1+MAX(C$5:C$1000,F$5:F$1000,I$5:I$1000),"")</f>
        <v/>
      </c>
      <c r="M269" s="46" t="str">
        <f>IF(OR(Registro!D268="Resuelto",Registro!D268=""),"",SUM(C269,F269,I269,L269))</f>
        <v/>
      </c>
      <c r="N269" s="46" t="str">
        <f>IF(OR(Registro!D268="Resuelto",Registro!D268=""),"",SUM(B269,E269,H269,K269))</f>
        <v/>
      </c>
      <c r="O269" s="46" t="str">
        <f>IF(OR(Registro!D268="Resuelto",Registro!D268=""),"",_xlfn.CONCAT(A269,D269,G269,J269))</f>
        <v/>
      </c>
      <c r="P269" s="47">
        <v>261</v>
      </c>
      <c r="Q269" s="47" t="str">
        <f t="shared" ca="1" si="12"/>
        <v/>
      </c>
      <c r="R269" s="48" t="str">
        <f t="shared" ca="1" si="13"/>
        <v/>
      </c>
      <c r="S269" s="32"/>
      <c r="T269" s="32"/>
      <c r="U269" s="32"/>
      <c r="V269" s="32"/>
      <c r="W269" s="47" t="str">
        <f>IF(X269="","",MAX($W$5:W268)+1)</f>
        <v/>
      </c>
      <c r="X269" s="50" t="str">
        <f>IF(Registro!M268="","",IF(COUNTIF($X$8:X268,Registro!M268)=0,Registro!M268,""))</f>
        <v/>
      </c>
      <c r="Y269" s="50" t="str">
        <f t="shared" si="14"/>
        <v/>
      </c>
    </row>
    <row r="270" spans="1:25">
      <c r="A270" s="45" t="str">
        <f>IF(AND(Registro!D269="Abierto",Registro!E269="Urgente"),Registro!B269,"")</f>
        <v/>
      </c>
      <c r="B270" s="45" t="str">
        <f ca="1">IF(AND(Registro!D269="Abierto",Registro!E269="Urgente"),TODAY()-Registro!R269,"")</f>
        <v/>
      </c>
      <c r="C270" s="45" t="str">
        <f>IF(AND(Registro!D269="Abierto",Registro!E269="Urgente"),RANK(B270,$B$9:$B$1000,0)+COUNTIF($B$9:B270,B270)-1,"")</f>
        <v/>
      </c>
      <c r="D270" s="45" t="str">
        <f>IF(AND(Registro!D269="Abierto",Registro!E269="Alta"),Registro!B269,"")</f>
        <v/>
      </c>
      <c r="E270" s="45" t="str">
        <f ca="1">IF(AND(Registro!D269="Abierto",Registro!E269="Alta"),TODAY()-Registro!R269,"")</f>
        <v/>
      </c>
      <c r="F270" s="45" t="str">
        <f>IF(AND(Registro!D269="Abierto",Registro!E269="Alta"),RANK(E270,$E$9:$E$1000,0)+COUNTIF($E$9:E270,E270)-1+MAX(C$5:C$1000),"")</f>
        <v/>
      </c>
      <c r="G270" s="45" t="str">
        <f>IF(AND(Registro!D269="Abierto",Registro!E269="Media"),Registro!B269,"")</f>
        <v/>
      </c>
      <c r="H270" s="45" t="str">
        <f ca="1">IF(AND(Registro!D269="Abierto",Registro!E269="Media"),TODAY()-Registro!R269,"")</f>
        <v/>
      </c>
      <c r="I270" s="45" t="str">
        <f>IF(AND(Registro!D269="Abierto",Registro!E269="Media"),RANK(H270,$H$9:$H$1000,0)+COUNTIF($H$9:H270,H270)-1+MAX(C$5:C$1000,F$5:F$1000),"")</f>
        <v/>
      </c>
      <c r="J270" s="45" t="str">
        <f>IF(AND(Registro!D269="Abierto",Registro!E269="Baja"),Registro!B269,"")</f>
        <v/>
      </c>
      <c r="K270" s="45" t="str">
        <f ca="1">IF(AND(Registro!D269="Abierto",Registro!E269="Baja"),TODAY()-Registro!R269,"")</f>
        <v/>
      </c>
      <c r="L270" s="45" t="str">
        <f>IF(AND(Registro!D269="Abierto",Registro!E269="Baja"),RANK(K270,$K$9:$K$1000,0)+COUNTIF($K$9:K270,K270)-1+MAX(C$5:C$1000,F$5:F$1000,I$5:I$1000),"")</f>
        <v/>
      </c>
      <c r="M270" s="46" t="str">
        <f>IF(OR(Registro!D269="Resuelto",Registro!D269=""),"",SUM(C270,F270,I270,L270))</f>
        <v/>
      </c>
      <c r="N270" s="46" t="str">
        <f>IF(OR(Registro!D269="Resuelto",Registro!D269=""),"",SUM(B270,E270,H270,K270))</f>
        <v/>
      </c>
      <c r="O270" s="46" t="str">
        <f>IF(OR(Registro!D269="Resuelto",Registro!D269=""),"",_xlfn.CONCAT(A270,D270,G270,J270))</f>
        <v/>
      </c>
      <c r="P270" s="47">
        <v>262</v>
      </c>
      <c r="Q270" s="47" t="str">
        <f t="shared" ca="1" si="12"/>
        <v/>
      </c>
      <c r="R270" s="48" t="str">
        <f t="shared" ca="1" si="13"/>
        <v/>
      </c>
      <c r="S270" s="32"/>
      <c r="T270" s="32"/>
      <c r="U270" s="32"/>
      <c r="V270" s="32"/>
      <c r="W270" s="47" t="str">
        <f>IF(X270="","",MAX($W$5:W269)+1)</f>
        <v/>
      </c>
      <c r="X270" s="50" t="str">
        <f>IF(Registro!M269="","",IF(COUNTIF($X$8:X269,Registro!M269)=0,Registro!M269,""))</f>
        <v/>
      </c>
      <c r="Y270" s="50" t="str">
        <f t="shared" si="14"/>
        <v/>
      </c>
    </row>
    <row r="271" spans="1:25">
      <c r="A271" s="45" t="str">
        <f>IF(AND(Registro!D270="Abierto",Registro!E270="Urgente"),Registro!B270,"")</f>
        <v/>
      </c>
      <c r="B271" s="45" t="str">
        <f ca="1">IF(AND(Registro!D270="Abierto",Registro!E270="Urgente"),TODAY()-Registro!R270,"")</f>
        <v/>
      </c>
      <c r="C271" s="45" t="str">
        <f>IF(AND(Registro!D270="Abierto",Registro!E270="Urgente"),RANK(B271,$B$9:$B$1000,0)+COUNTIF($B$9:B271,B271)-1,"")</f>
        <v/>
      </c>
      <c r="D271" s="45" t="str">
        <f>IF(AND(Registro!D270="Abierto",Registro!E270="Alta"),Registro!B270,"")</f>
        <v/>
      </c>
      <c r="E271" s="45" t="str">
        <f ca="1">IF(AND(Registro!D270="Abierto",Registro!E270="Alta"),TODAY()-Registro!R270,"")</f>
        <v/>
      </c>
      <c r="F271" s="45" t="str">
        <f>IF(AND(Registro!D270="Abierto",Registro!E270="Alta"),RANK(E271,$E$9:$E$1000,0)+COUNTIF($E$9:E271,E271)-1+MAX(C$5:C$1000),"")</f>
        <v/>
      </c>
      <c r="G271" s="45" t="str">
        <f>IF(AND(Registro!D270="Abierto",Registro!E270="Media"),Registro!B270,"")</f>
        <v/>
      </c>
      <c r="H271" s="45" t="str">
        <f ca="1">IF(AND(Registro!D270="Abierto",Registro!E270="Media"),TODAY()-Registro!R270,"")</f>
        <v/>
      </c>
      <c r="I271" s="45" t="str">
        <f>IF(AND(Registro!D270="Abierto",Registro!E270="Media"),RANK(H271,$H$9:$H$1000,0)+COUNTIF($H$9:H271,H271)-1+MAX(C$5:C$1000,F$5:F$1000),"")</f>
        <v/>
      </c>
      <c r="J271" s="45" t="str">
        <f>IF(AND(Registro!D270="Abierto",Registro!E270="Baja"),Registro!B270,"")</f>
        <v/>
      </c>
      <c r="K271" s="45" t="str">
        <f ca="1">IF(AND(Registro!D270="Abierto",Registro!E270="Baja"),TODAY()-Registro!R270,"")</f>
        <v/>
      </c>
      <c r="L271" s="45" t="str">
        <f>IF(AND(Registro!D270="Abierto",Registro!E270="Baja"),RANK(K271,$K$9:$K$1000,0)+COUNTIF($K$9:K271,K271)-1+MAX(C$5:C$1000,F$5:F$1000,I$5:I$1000),"")</f>
        <v/>
      </c>
      <c r="M271" s="46" t="str">
        <f>IF(OR(Registro!D270="Resuelto",Registro!D270=""),"",SUM(C271,F271,I271,L271))</f>
        <v/>
      </c>
      <c r="N271" s="46" t="str">
        <f>IF(OR(Registro!D270="Resuelto",Registro!D270=""),"",SUM(B271,E271,H271,K271))</f>
        <v/>
      </c>
      <c r="O271" s="46" t="str">
        <f>IF(OR(Registro!D270="Resuelto",Registro!D270=""),"",_xlfn.CONCAT(A271,D271,G271,J271))</f>
        <v/>
      </c>
      <c r="P271" s="47">
        <v>263</v>
      </c>
      <c r="Q271" s="47" t="str">
        <f t="shared" ca="1" si="12"/>
        <v/>
      </c>
      <c r="R271" s="48" t="str">
        <f t="shared" ca="1" si="13"/>
        <v/>
      </c>
      <c r="S271" s="32"/>
      <c r="T271" s="32"/>
      <c r="U271" s="32"/>
      <c r="V271" s="32"/>
      <c r="W271" s="47" t="str">
        <f>IF(X271="","",MAX($W$5:W270)+1)</f>
        <v/>
      </c>
      <c r="X271" s="50" t="str">
        <f>IF(Registro!M270="","",IF(COUNTIF($X$8:X270,Registro!M270)=0,Registro!M270,""))</f>
        <v/>
      </c>
      <c r="Y271" s="50" t="str">
        <f t="shared" si="14"/>
        <v/>
      </c>
    </row>
    <row r="272" spans="1:25">
      <c r="A272" s="45" t="str">
        <f>IF(AND(Registro!D271="Abierto",Registro!E271="Urgente"),Registro!B271,"")</f>
        <v/>
      </c>
      <c r="B272" s="45" t="str">
        <f ca="1">IF(AND(Registro!D271="Abierto",Registro!E271="Urgente"),TODAY()-Registro!R271,"")</f>
        <v/>
      </c>
      <c r="C272" s="45" t="str">
        <f>IF(AND(Registro!D271="Abierto",Registro!E271="Urgente"),RANK(B272,$B$9:$B$1000,0)+COUNTIF($B$9:B272,B272)-1,"")</f>
        <v/>
      </c>
      <c r="D272" s="45" t="str">
        <f>IF(AND(Registro!D271="Abierto",Registro!E271="Alta"),Registro!B271,"")</f>
        <v/>
      </c>
      <c r="E272" s="45" t="str">
        <f ca="1">IF(AND(Registro!D271="Abierto",Registro!E271="Alta"),TODAY()-Registro!R271,"")</f>
        <v/>
      </c>
      <c r="F272" s="45" t="str">
        <f>IF(AND(Registro!D271="Abierto",Registro!E271="Alta"),RANK(E272,$E$9:$E$1000,0)+COUNTIF($E$9:E272,E272)-1+MAX(C$5:C$1000),"")</f>
        <v/>
      </c>
      <c r="G272" s="45" t="str">
        <f>IF(AND(Registro!D271="Abierto",Registro!E271="Media"),Registro!B271,"")</f>
        <v/>
      </c>
      <c r="H272" s="45" t="str">
        <f ca="1">IF(AND(Registro!D271="Abierto",Registro!E271="Media"),TODAY()-Registro!R271,"")</f>
        <v/>
      </c>
      <c r="I272" s="45" t="str">
        <f>IF(AND(Registro!D271="Abierto",Registro!E271="Media"),RANK(H272,$H$9:$H$1000,0)+COUNTIF($H$9:H272,H272)-1+MAX(C$5:C$1000,F$5:F$1000),"")</f>
        <v/>
      </c>
      <c r="J272" s="45" t="str">
        <f>IF(AND(Registro!D271="Abierto",Registro!E271="Baja"),Registro!B271,"")</f>
        <v/>
      </c>
      <c r="K272" s="45" t="str">
        <f ca="1">IF(AND(Registro!D271="Abierto",Registro!E271="Baja"),TODAY()-Registro!R271,"")</f>
        <v/>
      </c>
      <c r="L272" s="45" t="str">
        <f>IF(AND(Registro!D271="Abierto",Registro!E271="Baja"),RANK(K272,$K$9:$K$1000,0)+COUNTIF($K$9:K272,K272)-1+MAX(C$5:C$1000,F$5:F$1000,I$5:I$1000),"")</f>
        <v/>
      </c>
      <c r="M272" s="46" t="str">
        <f>IF(OR(Registro!D271="Resuelto",Registro!D271=""),"",SUM(C272,F272,I272,L272))</f>
        <v/>
      </c>
      <c r="N272" s="46" t="str">
        <f>IF(OR(Registro!D271="Resuelto",Registro!D271=""),"",SUM(B272,E272,H272,K272))</f>
        <v/>
      </c>
      <c r="O272" s="46" t="str">
        <f>IF(OR(Registro!D271="Resuelto",Registro!D271=""),"",_xlfn.CONCAT(A272,D272,G272,J272))</f>
        <v/>
      </c>
      <c r="P272" s="47">
        <v>264</v>
      </c>
      <c r="Q272" s="47" t="str">
        <f t="shared" ca="1" si="12"/>
        <v/>
      </c>
      <c r="R272" s="48" t="str">
        <f t="shared" ca="1" si="13"/>
        <v/>
      </c>
      <c r="S272" s="32"/>
      <c r="T272" s="32"/>
      <c r="U272" s="32"/>
      <c r="V272" s="32"/>
      <c r="W272" s="47" t="str">
        <f>IF(X272="","",MAX($W$5:W271)+1)</f>
        <v/>
      </c>
      <c r="X272" s="50" t="str">
        <f>IF(Registro!M271="","",IF(COUNTIF($X$8:X271,Registro!M271)=0,Registro!M271,""))</f>
        <v/>
      </c>
      <c r="Y272" s="50" t="str">
        <f t="shared" si="14"/>
        <v/>
      </c>
    </row>
    <row r="273" spans="1:25">
      <c r="A273" s="45" t="str">
        <f>IF(AND(Registro!D272="Abierto",Registro!E272="Urgente"),Registro!B272,"")</f>
        <v/>
      </c>
      <c r="B273" s="45" t="str">
        <f ca="1">IF(AND(Registro!D272="Abierto",Registro!E272="Urgente"),TODAY()-Registro!R272,"")</f>
        <v/>
      </c>
      <c r="C273" s="45" t="str">
        <f>IF(AND(Registro!D272="Abierto",Registro!E272="Urgente"),RANK(B273,$B$9:$B$1000,0)+COUNTIF($B$9:B273,B273)-1,"")</f>
        <v/>
      </c>
      <c r="D273" s="45" t="str">
        <f>IF(AND(Registro!D272="Abierto",Registro!E272="Alta"),Registro!B272,"")</f>
        <v/>
      </c>
      <c r="E273" s="45" t="str">
        <f ca="1">IF(AND(Registro!D272="Abierto",Registro!E272="Alta"),TODAY()-Registro!R272,"")</f>
        <v/>
      </c>
      <c r="F273" s="45" t="str">
        <f>IF(AND(Registro!D272="Abierto",Registro!E272="Alta"),RANK(E273,$E$9:$E$1000,0)+COUNTIF($E$9:E273,E273)-1+MAX(C$5:C$1000),"")</f>
        <v/>
      </c>
      <c r="G273" s="45" t="str">
        <f>IF(AND(Registro!D272="Abierto",Registro!E272="Media"),Registro!B272,"")</f>
        <v/>
      </c>
      <c r="H273" s="45" t="str">
        <f ca="1">IF(AND(Registro!D272="Abierto",Registro!E272="Media"),TODAY()-Registro!R272,"")</f>
        <v/>
      </c>
      <c r="I273" s="45" t="str">
        <f>IF(AND(Registro!D272="Abierto",Registro!E272="Media"),RANK(H273,$H$9:$H$1000,0)+COUNTIF($H$9:H273,H273)-1+MAX(C$5:C$1000,F$5:F$1000),"")</f>
        <v/>
      </c>
      <c r="J273" s="45" t="str">
        <f>IF(AND(Registro!D272="Abierto",Registro!E272="Baja"),Registro!B272,"")</f>
        <v/>
      </c>
      <c r="K273" s="45" t="str">
        <f ca="1">IF(AND(Registro!D272="Abierto",Registro!E272="Baja"),TODAY()-Registro!R272,"")</f>
        <v/>
      </c>
      <c r="L273" s="45" t="str">
        <f>IF(AND(Registro!D272="Abierto",Registro!E272="Baja"),RANK(K273,$K$9:$K$1000,0)+COUNTIF($K$9:K273,K273)-1+MAX(C$5:C$1000,F$5:F$1000,I$5:I$1000),"")</f>
        <v/>
      </c>
      <c r="M273" s="46" t="str">
        <f>IF(OR(Registro!D272="Resuelto",Registro!D272=""),"",SUM(C273,F273,I273,L273))</f>
        <v/>
      </c>
      <c r="N273" s="46" t="str">
        <f>IF(OR(Registro!D272="Resuelto",Registro!D272=""),"",SUM(B273,E273,H273,K273))</f>
        <v/>
      </c>
      <c r="O273" s="46" t="str">
        <f>IF(OR(Registro!D272="Resuelto",Registro!D272=""),"",_xlfn.CONCAT(A273,D273,G273,J273))</f>
        <v/>
      </c>
      <c r="P273" s="47">
        <v>265</v>
      </c>
      <c r="Q273" s="47" t="str">
        <f t="shared" ca="1" si="12"/>
        <v/>
      </c>
      <c r="R273" s="48" t="str">
        <f t="shared" ca="1" si="13"/>
        <v/>
      </c>
      <c r="S273" s="32"/>
      <c r="T273" s="32"/>
      <c r="U273" s="32"/>
      <c r="V273" s="32"/>
      <c r="W273" s="47" t="str">
        <f>IF(X273="","",MAX($W$5:W272)+1)</f>
        <v/>
      </c>
      <c r="X273" s="50" t="str">
        <f>IF(Registro!M272="","",IF(COUNTIF($X$8:X272,Registro!M272)=0,Registro!M272,""))</f>
        <v/>
      </c>
      <c r="Y273" s="50" t="str">
        <f t="shared" si="14"/>
        <v/>
      </c>
    </row>
    <row r="274" spans="1:25">
      <c r="A274" s="45" t="str">
        <f>IF(AND(Registro!D273="Abierto",Registro!E273="Urgente"),Registro!B273,"")</f>
        <v/>
      </c>
      <c r="B274" s="45" t="str">
        <f ca="1">IF(AND(Registro!D273="Abierto",Registro!E273="Urgente"),TODAY()-Registro!R273,"")</f>
        <v/>
      </c>
      <c r="C274" s="45" t="str">
        <f>IF(AND(Registro!D273="Abierto",Registro!E273="Urgente"),RANK(B274,$B$9:$B$1000,0)+COUNTIF($B$9:B274,B274)-1,"")</f>
        <v/>
      </c>
      <c r="D274" s="45" t="str">
        <f>IF(AND(Registro!D273="Abierto",Registro!E273="Alta"),Registro!B273,"")</f>
        <v/>
      </c>
      <c r="E274" s="45" t="str">
        <f ca="1">IF(AND(Registro!D273="Abierto",Registro!E273="Alta"),TODAY()-Registro!R273,"")</f>
        <v/>
      </c>
      <c r="F274" s="45" t="str">
        <f>IF(AND(Registro!D273="Abierto",Registro!E273="Alta"),RANK(E274,$E$9:$E$1000,0)+COUNTIF($E$9:E274,E274)-1+MAX(C$5:C$1000),"")</f>
        <v/>
      </c>
      <c r="G274" s="45" t="str">
        <f>IF(AND(Registro!D273="Abierto",Registro!E273="Media"),Registro!B273,"")</f>
        <v/>
      </c>
      <c r="H274" s="45" t="str">
        <f ca="1">IF(AND(Registro!D273="Abierto",Registro!E273="Media"),TODAY()-Registro!R273,"")</f>
        <v/>
      </c>
      <c r="I274" s="45" t="str">
        <f>IF(AND(Registro!D273="Abierto",Registro!E273="Media"),RANK(H274,$H$9:$H$1000,0)+COUNTIF($H$9:H274,H274)-1+MAX(C$5:C$1000,F$5:F$1000),"")</f>
        <v/>
      </c>
      <c r="J274" s="45" t="str">
        <f>IF(AND(Registro!D273="Abierto",Registro!E273="Baja"),Registro!B273,"")</f>
        <v/>
      </c>
      <c r="K274" s="45" t="str">
        <f ca="1">IF(AND(Registro!D273="Abierto",Registro!E273="Baja"),TODAY()-Registro!R273,"")</f>
        <v/>
      </c>
      <c r="L274" s="45" t="str">
        <f>IF(AND(Registro!D273="Abierto",Registro!E273="Baja"),RANK(K274,$K$9:$K$1000,0)+COUNTIF($K$9:K274,K274)-1+MAX(C$5:C$1000,F$5:F$1000,I$5:I$1000),"")</f>
        <v/>
      </c>
      <c r="M274" s="46" t="str">
        <f>IF(OR(Registro!D273="Resuelto",Registro!D273=""),"",SUM(C274,F274,I274,L274))</f>
        <v/>
      </c>
      <c r="N274" s="46" t="str">
        <f>IF(OR(Registro!D273="Resuelto",Registro!D273=""),"",SUM(B274,E274,H274,K274))</f>
        <v/>
      </c>
      <c r="O274" s="46" t="str">
        <f>IF(OR(Registro!D273="Resuelto",Registro!D273=""),"",_xlfn.CONCAT(A274,D274,G274,J274))</f>
        <v/>
      </c>
      <c r="P274" s="47">
        <v>266</v>
      </c>
      <c r="Q274" s="47" t="str">
        <f t="shared" ca="1" si="12"/>
        <v/>
      </c>
      <c r="R274" s="48" t="str">
        <f t="shared" ca="1" si="13"/>
        <v/>
      </c>
      <c r="S274" s="32"/>
      <c r="T274" s="32"/>
      <c r="U274" s="32"/>
      <c r="V274" s="32"/>
      <c r="W274" s="47" t="str">
        <f>IF(X274="","",MAX($W$5:W273)+1)</f>
        <v/>
      </c>
      <c r="X274" s="50" t="str">
        <f>IF(Registro!M273="","",IF(COUNTIF($X$8:X273,Registro!M273)=0,Registro!M273,""))</f>
        <v/>
      </c>
      <c r="Y274" s="50" t="str">
        <f t="shared" si="14"/>
        <v/>
      </c>
    </row>
    <row r="275" spans="1:25">
      <c r="A275" s="45" t="str">
        <f>IF(AND(Registro!D274="Abierto",Registro!E274="Urgente"),Registro!B274,"")</f>
        <v/>
      </c>
      <c r="B275" s="45" t="str">
        <f ca="1">IF(AND(Registro!D274="Abierto",Registro!E274="Urgente"),TODAY()-Registro!R274,"")</f>
        <v/>
      </c>
      <c r="C275" s="45" t="str">
        <f>IF(AND(Registro!D274="Abierto",Registro!E274="Urgente"),RANK(B275,$B$9:$B$1000,0)+COUNTIF($B$9:B275,B275)-1,"")</f>
        <v/>
      </c>
      <c r="D275" s="45" t="str">
        <f>IF(AND(Registro!D274="Abierto",Registro!E274="Alta"),Registro!B274,"")</f>
        <v/>
      </c>
      <c r="E275" s="45" t="str">
        <f ca="1">IF(AND(Registro!D274="Abierto",Registro!E274="Alta"),TODAY()-Registro!R274,"")</f>
        <v/>
      </c>
      <c r="F275" s="45" t="str">
        <f>IF(AND(Registro!D274="Abierto",Registro!E274="Alta"),RANK(E275,$E$9:$E$1000,0)+COUNTIF($E$9:E275,E275)-1+MAX(C$5:C$1000),"")</f>
        <v/>
      </c>
      <c r="G275" s="45" t="str">
        <f>IF(AND(Registro!D274="Abierto",Registro!E274="Media"),Registro!B274,"")</f>
        <v/>
      </c>
      <c r="H275" s="45" t="str">
        <f ca="1">IF(AND(Registro!D274="Abierto",Registro!E274="Media"),TODAY()-Registro!R274,"")</f>
        <v/>
      </c>
      <c r="I275" s="45" t="str">
        <f>IF(AND(Registro!D274="Abierto",Registro!E274="Media"),RANK(H275,$H$9:$H$1000,0)+COUNTIF($H$9:H275,H275)-1+MAX(C$5:C$1000,F$5:F$1000),"")</f>
        <v/>
      </c>
      <c r="J275" s="45" t="str">
        <f>IF(AND(Registro!D274="Abierto",Registro!E274="Baja"),Registro!B274,"")</f>
        <v/>
      </c>
      <c r="K275" s="45" t="str">
        <f ca="1">IF(AND(Registro!D274="Abierto",Registro!E274="Baja"),TODAY()-Registro!R274,"")</f>
        <v/>
      </c>
      <c r="L275" s="45" t="str">
        <f>IF(AND(Registro!D274="Abierto",Registro!E274="Baja"),RANK(K275,$K$9:$K$1000,0)+COUNTIF($K$9:K275,K275)-1+MAX(C$5:C$1000,F$5:F$1000,I$5:I$1000),"")</f>
        <v/>
      </c>
      <c r="M275" s="46" t="str">
        <f>IF(OR(Registro!D274="Resuelto",Registro!D274=""),"",SUM(C275,F275,I275,L275))</f>
        <v/>
      </c>
      <c r="N275" s="46" t="str">
        <f>IF(OR(Registro!D274="Resuelto",Registro!D274=""),"",SUM(B275,E275,H275,K275))</f>
        <v/>
      </c>
      <c r="O275" s="46" t="str">
        <f>IF(OR(Registro!D274="Resuelto",Registro!D274=""),"",_xlfn.CONCAT(A275,D275,G275,J275))</f>
        <v/>
      </c>
      <c r="P275" s="47">
        <v>267</v>
      </c>
      <c r="Q275" s="47" t="str">
        <f t="shared" ca="1" si="12"/>
        <v/>
      </c>
      <c r="R275" s="48" t="str">
        <f t="shared" ca="1" si="13"/>
        <v/>
      </c>
      <c r="S275" s="32"/>
      <c r="T275" s="32"/>
      <c r="U275" s="32"/>
      <c r="V275" s="32"/>
      <c r="W275" s="47" t="str">
        <f>IF(X275="","",MAX($W$5:W274)+1)</f>
        <v/>
      </c>
      <c r="X275" s="50" t="str">
        <f>IF(Registro!M274="","",IF(COUNTIF($X$8:X274,Registro!M274)=0,Registro!M274,""))</f>
        <v/>
      </c>
      <c r="Y275" s="50" t="str">
        <f t="shared" si="14"/>
        <v/>
      </c>
    </row>
    <row r="276" spans="1:25">
      <c r="A276" s="45" t="str">
        <f>IF(AND(Registro!D275="Abierto",Registro!E275="Urgente"),Registro!B275,"")</f>
        <v/>
      </c>
      <c r="B276" s="45" t="str">
        <f ca="1">IF(AND(Registro!D275="Abierto",Registro!E275="Urgente"),TODAY()-Registro!R275,"")</f>
        <v/>
      </c>
      <c r="C276" s="45" t="str">
        <f>IF(AND(Registro!D275="Abierto",Registro!E275="Urgente"),RANK(B276,$B$9:$B$1000,0)+COUNTIF($B$9:B276,B276)-1,"")</f>
        <v/>
      </c>
      <c r="D276" s="45" t="str">
        <f>IF(AND(Registro!D275="Abierto",Registro!E275="Alta"),Registro!B275,"")</f>
        <v/>
      </c>
      <c r="E276" s="45" t="str">
        <f ca="1">IF(AND(Registro!D275="Abierto",Registro!E275="Alta"),TODAY()-Registro!R275,"")</f>
        <v/>
      </c>
      <c r="F276" s="45" t="str">
        <f>IF(AND(Registro!D275="Abierto",Registro!E275="Alta"),RANK(E276,$E$9:$E$1000,0)+COUNTIF($E$9:E276,E276)-1+MAX(C$5:C$1000),"")</f>
        <v/>
      </c>
      <c r="G276" s="45" t="str">
        <f>IF(AND(Registro!D275="Abierto",Registro!E275="Media"),Registro!B275,"")</f>
        <v/>
      </c>
      <c r="H276" s="45" t="str">
        <f ca="1">IF(AND(Registro!D275="Abierto",Registro!E275="Media"),TODAY()-Registro!R275,"")</f>
        <v/>
      </c>
      <c r="I276" s="45" t="str">
        <f>IF(AND(Registro!D275="Abierto",Registro!E275="Media"),RANK(H276,$H$9:$H$1000,0)+COUNTIF($H$9:H276,H276)-1+MAX(C$5:C$1000,F$5:F$1000),"")</f>
        <v/>
      </c>
      <c r="J276" s="45" t="str">
        <f>IF(AND(Registro!D275="Abierto",Registro!E275="Baja"),Registro!B275,"")</f>
        <v/>
      </c>
      <c r="K276" s="45" t="str">
        <f ca="1">IF(AND(Registro!D275="Abierto",Registro!E275="Baja"),TODAY()-Registro!R275,"")</f>
        <v/>
      </c>
      <c r="L276" s="45" t="str">
        <f>IF(AND(Registro!D275="Abierto",Registro!E275="Baja"),RANK(K276,$K$9:$K$1000,0)+COUNTIF($K$9:K276,K276)-1+MAX(C$5:C$1000,F$5:F$1000,I$5:I$1000),"")</f>
        <v/>
      </c>
      <c r="M276" s="46" t="str">
        <f>IF(OR(Registro!D275="Resuelto",Registro!D275=""),"",SUM(C276,F276,I276,L276))</f>
        <v/>
      </c>
      <c r="N276" s="46" t="str">
        <f>IF(OR(Registro!D275="Resuelto",Registro!D275=""),"",SUM(B276,E276,H276,K276))</f>
        <v/>
      </c>
      <c r="O276" s="46" t="str">
        <f>IF(OR(Registro!D275="Resuelto",Registro!D275=""),"",_xlfn.CONCAT(A276,D276,G276,J276))</f>
        <v/>
      </c>
      <c r="P276" s="47">
        <v>268</v>
      </c>
      <c r="Q276" s="47" t="str">
        <f t="shared" ca="1" si="12"/>
        <v/>
      </c>
      <c r="R276" s="48" t="str">
        <f t="shared" ca="1" si="13"/>
        <v/>
      </c>
      <c r="S276" s="32"/>
      <c r="T276" s="32"/>
      <c r="U276" s="32"/>
      <c r="V276" s="32"/>
      <c r="W276" s="47" t="str">
        <f>IF(X276="","",MAX($W$5:W275)+1)</f>
        <v/>
      </c>
      <c r="X276" s="50" t="str">
        <f>IF(Registro!M275="","",IF(COUNTIF($X$8:X275,Registro!M275)=0,Registro!M275,""))</f>
        <v/>
      </c>
      <c r="Y276" s="50" t="str">
        <f t="shared" si="14"/>
        <v/>
      </c>
    </row>
    <row r="277" spans="1:25">
      <c r="A277" s="45" t="str">
        <f>IF(AND(Registro!D276="Abierto",Registro!E276="Urgente"),Registro!B276,"")</f>
        <v/>
      </c>
      <c r="B277" s="45" t="str">
        <f ca="1">IF(AND(Registro!D276="Abierto",Registro!E276="Urgente"),TODAY()-Registro!R276,"")</f>
        <v/>
      </c>
      <c r="C277" s="45" t="str">
        <f>IF(AND(Registro!D276="Abierto",Registro!E276="Urgente"),RANK(B277,$B$9:$B$1000,0)+COUNTIF($B$9:B277,B277)-1,"")</f>
        <v/>
      </c>
      <c r="D277" s="45" t="str">
        <f>IF(AND(Registro!D276="Abierto",Registro!E276="Alta"),Registro!B276,"")</f>
        <v/>
      </c>
      <c r="E277" s="45" t="str">
        <f ca="1">IF(AND(Registro!D276="Abierto",Registro!E276="Alta"),TODAY()-Registro!R276,"")</f>
        <v/>
      </c>
      <c r="F277" s="45" t="str">
        <f>IF(AND(Registro!D276="Abierto",Registro!E276="Alta"),RANK(E277,$E$9:$E$1000,0)+COUNTIF($E$9:E277,E277)-1+MAX(C$5:C$1000),"")</f>
        <v/>
      </c>
      <c r="G277" s="45" t="str">
        <f>IF(AND(Registro!D276="Abierto",Registro!E276="Media"),Registro!B276,"")</f>
        <v/>
      </c>
      <c r="H277" s="45" t="str">
        <f ca="1">IF(AND(Registro!D276="Abierto",Registro!E276="Media"),TODAY()-Registro!R276,"")</f>
        <v/>
      </c>
      <c r="I277" s="45" t="str">
        <f>IF(AND(Registro!D276="Abierto",Registro!E276="Media"),RANK(H277,$H$9:$H$1000,0)+COUNTIF($H$9:H277,H277)-1+MAX(C$5:C$1000,F$5:F$1000),"")</f>
        <v/>
      </c>
      <c r="J277" s="45" t="str">
        <f>IF(AND(Registro!D276="Abierto",Registro!E276="Baja"),Registro!B276,"")</f>
        <v/>
      </c>
      <c r="K277" s="45" t="str">
        <f ca="1">IF(AND(Registro!D276="Abierto",Registro!E276="Baja"),TODAY()-Registro!R276,"")</f>
        <v/>
      </c>
      <c r="L277" s="45" t="str">
        <f>IF(AND(Registro!D276="Abierto",Registro!E276="Baja"),RANK(K277,$K$9:$K$1000,0)+COUNTIF($K$9:K277,K277)-1+MAX(C$5:C$1000,F$5:F$1000,I$5:I$1000),"")</f>
        <v/>
      </c>
      <c r="M277" s="46" t="str">
        <f>IF(OR(Registro!D276="Resuelto",Registro!D276=""),"",SUM(C277,F277,I277,L277))</f>
        <v/>
      </c>
      <c r="N277" s="46" t="str">
        <f>IF(OR(Registro!D276="Resuelto",Registro!D276=""),"",SUM(B277,E277,H277,K277))</f>
        <v/>
      </c>
      <c r="O277" s="46" t="str">
        <f>IF(OR(Registro!D276="Resuelto",Registro!D276=""),"",_xlfn.CONCAT(A277,D277,G277,J277))</f>
        <v/>
      </c>
      <c r="P277" s="47">
        <v>269</v>
      </c>
      <c r="Q277" s="47" t="str">
        <f t="shared" ca="1" si="12"/>
        <v/>
      </c>
      <c r="R277" s="48" t="str">
        <f t="shared" ca="1" si="13"/>
        <v/>
      </c>
      <c r="S277" s="32"/>
      <c r="T277" s="32"/>
      <c r="U277" s="32"/>
      <c r="V277" s="32"/>
      <c r="W277" s="47" t="str">
        <f>IF(X277="","",MAX($W$5:W276)+1)</f>
        <v/>
      </c>
      <c r="X277" s="50" t="str">
        <f>IF(Registro!M276="","",IF(COUNTIF($X$8:X276,Registro!M276)=0,Registro!M276,""))</f>
        <v/>
      </c>
      <c r="Y277" s="50" t="str">
        <f t="shared" si="14"/>
        <v/>
      </c>
    </row>
    <row r="278" spans="1:25">
      <c r="A278" s="45" t="str">
        <f>IF(AND(Registro!D277="Abierto",Registro!E277="Urgente"),Registro!B277,"")</f>
        <v/>
      </c>
      <c r="B278" s="45" t="str">
        <f ca="1">IF(AND(Registro!D277="Abierto",Registro!E277="Urgente"),TODAY()-Registro!R277,"")</f>
        <v/>
      </c>
      <c r="C278" s="45" t="str">
        <f>IF(AND(Registro!D277="Abierto",Registro!E277="Urgente"),RANK(B278,$B$9:$B$1000,0)+COUNTIF($B$9:B278,B278)-1,"")</f>
        <v/>
      </c>
      <c r="D278" s="45" t="str">
        <f>IF(AND(Registro!D277="Abierto",Registro!E277="Alta"),Registro!B277,"")</f>
        <v/>
      </c>
      <c r="E278" s="45" t="str">
        <f ca="1">IF(AND(Registro!D277="Abierto",Registro!E277="Alta"),TODAY()-Registro!R277,"")</f>
        <v/>
      </c>
      <c r="F278" s="45" t="str">
        <f>IF(AND(Registro!D277="Abierto",Registro!E277="Alta"),RANK(E278,$E$9:$E$1000,0)+COUNTIF($E$9:E278,E278)-1+MAX(C$5:C$1000),"")</f>
        <v/>
      </c>
      <c r="G278" s="45" t="str">
        <f>IF(AND(Registro!D277="Abierto",Registro!E277="Media"),Registro!B277,"")</f>
        <v/>
      </c>
      <c r="H278" s="45" t="str">
        <f ca="1">IF(AND(Registro!D277="Abierto",Registro!E277="Media"),TODAY()-Registro!R277,"")</f>
        <v/>
      </c>
      <c r="I278" s="45" t="str">
        <f>IF(AND(Registro!D277="Abierto",Registro!E277="Media"),RANK(H278,$H$9:$H$1000,0)+COUNTIF($H$9:H278,H278)-1+MAX(C$5:C$1000,F$5:F$1000),"")</f>
        <v/>
      </c>
      <c r="J278" s="45" t="str">
        <f>IF(AND(Registro!D277="Abierto",Registro!E277="Baja"),Registro!B277,"")</f>
        <v/>
      </c>
      <c r="K278" s="45" t="str">
        <f ca="1">IF(AND(Registro!D277="Abierto",Registro!E277="Baja"),TODAY()-Registro!R277,"")</f>
        <v/>
      </c>
      <c r="L278" s="45" t="str">
        <f>IF(AND(Registro!D277="Abierto",Registro!E277="Baja"),RANK(K278,$K$9:$K$1000,0)+COUNTIF($K$9:K278,K278)-1+MAX(C$5:C$1000,F$5:F$1000,I$5:I$1000),"")</f>
        <v/>
      </c>
      <c r="M278" s="46" t="str">
        <f>IF(OR(Registro!D277="Resuelto",Registro!D277=""),"",SUM(C278,F278,I278,L278))</f>
        <v/>
      </c>
      <c r="N278" s="46" t="str">
        <f>IF(OR(Registro!D277="Resuelto",Registro!D277=""),"",SUM(B278,E278,H278,K278))</f>
        <v/>
      </c>
      <c r="O278" s="46" t="str">
        <f>IF(OR(Registro!D277="Resuelto",Registro!D277=""),"",_xlfn.CONCAT(A278,D278,G278,J278))</f>
        <v/>
      </c>
      <c r="P278" s="47">
        <v>270</v>
      </c>
      <c r="Q278" s="47" t="str">
        <f t="shared" ca="1" si="12"/>
        <v/>
      </c>
      <c r="R278" s="48" t="str">
        <f t="shared" ca="1" si="13"/>
        <v/>
      </c>
      <c r="S278" s="32"/>
      <c r="T278" s="32"/>
      <c r="U278" s="32"/>
      <c r="V278" s="32"/>
      <c r="W278" s="47" t="str">
        <f>IF(X278="","",MAX($W$5:W277)+1)</f>
        <v/>
      </c>
      <c r="X278" s="50" t="str">
        <f>IF(Registro!M277="","",IF(COUNTIF($X$8:X277,Registro!M277)=0,Registro!M277,""))</f>
        <v/>
      </c>
      <c r="Y278" s="50" t="str">
        <f t="shared" si="14"/>
        <v/>
      </c>
    </row>
    <row r="279" spans="1:25">
      <c r="A279" s="45" t="str">
        <f>IF(AND(Registro!D278="Abierto",Registro!E278="Urgente"),Registro!B278,"")</f>
        <v/>
      </c>
      <c r="B279" s="45" t="str">
        <f ca="1">IF(AND(Registro!D278="Abierto",Registro!E278="Urgente"),TODAY()-Registro!R278,"")</f>
        <v/>
      </c>
      <c r="C279" s="45" t="str">
        <f>IF(AND(Registro!D278="Abierto",Registro!E278="Urgente"),RANK(B279,$B$9:$B$1000,0)+COUNTIF($B$9:B279,B279)-1,"")</f>
        <v/>
      </c>
      <c r="D279" s="45" t="str">
        <f>IF(AND(Registro!D278="Abierto",Registro!E278="Alta"),Registro!B278,"")</f>
        <v/>
      </c>
      <c r="E279" s="45" t="str">
        <f ca="1">IF(AND(Registro!D278="Abierto",Registro!E278="Alta"),TODAY()-Registro!R278,"")</f>
        <v/>
      </c>
      <c r="F279" s="45" t="str">
        <f>IF(AND(Registro!D278="Abierto",Registro!E278="Alta"),RANK(E279,$E$9:$E$1000,0)+COUNTIF($E$9:E279,E279)-1+MAX(C$5:C$1000),"")</f>
        <v/>
      </c>
      <c r="G279" s="45" t="str">
        <f>IF(AND(Registro!D278="Abierto",Registro!E278="Media"),Registro!B278,"")</f>
        <v/>
      </c>
      <c r="H279" s="45" t="str">
        <f ca="1">IF(AND(Registro!D278="Abierto",Registro!E278="Media"),TODAY()-Registro!R278,"")</f>
        <v/>
      </c>
      <c r="I279" s="45" t="str">
        <f>IF(AND(Registro!D278="Abierto",Registro!E278="Media"),RANK(H279,$H$9:$H$1000,0)+COUNTIF($H$9:H279,H279)-1+MAX(C$5:C$1000,F$5:F$1000),"")</f>
        <v/>
      </c>
      <c r="J279" s="45" t="str">
        <f>IF(AND(Registro!D278="Abierto",Registro!E278="Baja"),Registro!B278,"")</f>
        <v/>
      </c>
      <c r="K279" s="45" t="str">
        <f ca="1">IF(AND(Registro!D278="Abierto",Registro!E278="Baja"),TODAY()-Registro!R278,"")</f>
        <v/>
      </c>
      <c r="L279" s="45" t="str">
        <f>IF(AND(Registro!D278="Abierto",Registro!E278="Baja"),RANK(K279,$K$9:$K$1000,0)+COUNTIF($K$9:K279,K279)-1+MAX(C$5:C$1000,F$5:F$1000,I$5:I$1000),"")</f>
        <v/>
      </c>
      <c r="M279" s="46" t="str">
        <f>IF(OR(Registro!D278="Resuelto",Registro!D278=""),"",SUM(C279,F279,I279,L279))</f>
        <v/>
      </c>
      <c r="N279" s="46" t="str">
        <f>IF(OR(Registro!D278="Resuelto",Registro!D278=""),"",SUM(B279,E279,H279,K279))</f>
        <v/>
      </c>
      <c r="O279" s="46" t="str">
        <f>IF(OR(Registro!D278="Resuelto",Registro!D278=""),"",_xlfn.CONCAT(A279,D279,G279,J279))</f>
        <v/>
      </c>
      <c r="P279" s="47">
        <v>271</v>
      </c>
      <c r="Q279" s="47" t="str">
        <f t="shared" ca="1" si="12"/>
        <v/>
      </c>
      <c r="R279" s="48" t="str">
        <f t="shared" ca="1" si="13"/>
        <v/>
      </c>
      <c r="S279" s="32"/>
      <c r="T279" s="32"/>
      <c r="U279" s="32"/>
      <c r="V279" s="32"/>
      <c r="W279" s="47" t="str">
        <f>IF(X279="","",MAX($W$5:W278)+1)</f>
        <v/>
      </c>
      <c r="X279" s="50" t="str">
        <f>IF(Registro!M278="","",IF(COUNTIF($X$8:X278,Registro!M278)=0,Registro!M278,""))</f>
        <v/>
      </c>
      <c r="Y279" s="50" t="str">
        <f t="shared" si="14"/>
        <v/>
      </c>
    </row>
    <row r="280" spans="1:25">
      <c r="A280" s="45" t="str">
        <f>IF(AND(Registro!D279="Abierto",Registro!E279="Urgente"),Registro!B279,"")</f>
        <v/>
      </c>
      <c r="B280" s="45" t="str">
        <f ca="1">IF(AND(Registro!D279="Abierto",Registro!E279="Urgente"),TODAY()-Registro!R279,"")</f>
        <v/>
      </c>
      <c r="C280" s="45" t="str">
        <f>IF(AND(Registro!D279="Abierto",Registro!E279="Urgente"),RANK(B280,$B$9:$B$1000,0)+COUNTIF($B$9:B280,B280)-1,"")</f>
        <v/>
      </c>
      <c r="D280" s="45" t="str">
        <f>IF(AND(Registro!D279="Abierto",Registro!E279="Alta"),Registro!B279,"")</f>
        <v/>
      </c>
      <c r="E280" s="45" t="str">
        <f ca="1">IF(AND(Registro!D279="Abierto",Registro!E279="Alta"),TODAY()-Registro!R279,"")</f>
        <v/>
      </c>
      <c r="F280" s="45" t="str">
        <f>IF(AND(Registro!D279="Abierto",Registro!E279="Alta"),RANK(E280,$E$9:$E$1000,0)+COUNTIF($E$9:E280,E280)-1+MAX(C$5:C$1000),"")</f>
        <v/>
      </c>
      <c r="G280" s="45" t="str">
        <f>IF(AND(Registro!D279="Abierto",Registro!E279="Media"),Registro!B279,"")</f>
        <v/>
      </c>
      <c r="H280" s="45" t="str">
        <f ca="1">IF(AND(Registro!D279="Abierto",Registro!E279="Media"),TODAY()-Registro!R279,"")</f>
        <v/>
      </c>
      <c r="I280" s="45" t="str">
        <f>IF(AND(Registro!D279="Abierto",Registro!E279="Media"),RANK(H280,$H$9:$H$1000,0)+COUNTIF($H$9:H280,H280)-1+MAX(C$5:C$1000,F$5:F$1000),"")</f>
        <v/>
      </c>
      <c r="J280" s="45" t="str">
        <f>IF(AND(Registro!D279="Abierto",Registro!E279="Baja"),Registro!B279,"")</f>
        <v/>
      </c>
      <c r="K280" s="45" t="str">
        <f ca="1">IF(AND(Registro!D279="Abierto",Registro!E279="Baja"),TODAY()-Registro!R279,"")</f>
        <v/>
      </c>
      <c r="L280" s="45" t="str">
        <f>IF(AND(Registro!D279="Abierto",Registro!E279="Baja"),RANK(K280,$K$9:$K$1000,0)+COUNTIF($K$9:K280,K280)-1+MAX(C$5:C$1000,F$5:F$1000,I$5:I$1000),"")</f>
        <v/>
      </c>
      <c r="M280" s="46" t="str">
        <f>IF(OR(Registro!D279="Resuelto",Registro!D279=""),"",SUM(C280,F280,I280,L280))</f>
        <v/>
      </c>
      <c r="N280" s="46" t="str">
        <f>IF(OR(Registro!D279="Resuelto",Registro!D279=""),"",SUM(B280,E280,H280,K280))</f>
        <v/>
      </c>
      <c r="O280" s="46" t="str">
        <f>IF(OR(Registro!D279="Resuelto",Registro!D279=""),"",_xlfn.CONCAT(A280,D280,G280,J280))</f>
        <v/>
      </c>
      <c r="P280" s="47">
        <v>272</v>
      </c>
      <c r="Q280" s="47" t="str">
        <f t="shared" ca="1" si="12"/>
        <v/>
      </c>
      <c r="R280" s="48" t="str">
        <f t="shared" ca="1" si="13"/>
        <v/>
      </c>
      <c r="S280" s="32"/>
      <c r="T280" s="32"/>
      <c r="U280" s="32"/>
      <c r="V280" s="32"/>
      <c r="W280" s="47" t="str">
        <f>IF(X280="","",MAX($W$5:W279)+1)</f>
        <v/>
      </c>
      <c r="X280" s="50" t="str">
        <f>IF(Registro!M279="","",IF(COUNTIF($X$8:X279,Registro!M279)=0,Registro!M279,""))</f>
        <v/>
      </c>
      <c r="Y280" s="50" t="str">
        <f t="shared" si="14"/>
        <v/>
      </c>
    </row>
    <row r="281" spans="1:25">
      <c r="A281" s="45" t="str">
        <f>IF(AND(Registro!D280="Abierto",Registro!E280="Urgente"),Registro!B280,"")</f>
        <v/>
      </c>
      <c r="B281" s="45" t="str">
        <f ca="1">IF(AND(Registro!D280="Abierto",Registro!E280="Urgente"),TODAY()-Registro!R280,"")</f>
        <v/>
      </c>
      <c r="C281" s="45" t="str">
        <f>IF(AND(Registro!D280="Abierto",Registro!E280="Urgente"),RANK(B281,$B$9:$B$1000,0)+COUNTIF($B$9:B281,B281)-1,"")</f>
        <v/>
      </c>
      <c r="D281" s="45" t="str">
        <f>IF(AND(Registro!D280="Abierto",Registro!E280="Alta"),Registro!B280,"")</f>
        <v/>
      </c>
      <c r="E281" s="45" t="str">
        <f ca="1">IF(AND(Registro!D280="Abierto",Registro!E280="Alta"),TODAY()-Registro!R280,"")</f>
        <v/>
      </c>
      <c r="F281" s="45" t="str">
        <f>IF(AND(Registro!D280="Abierto",Registro!E280="Alta"),RANK(E281,$E$9:$E$1000,0)+COUNTIF($E$9:E281,E281)-1+MAX(C$5:C$1000),"")</f>
        <v/>
      </c>
      <c r="G281" s="45" t="str">
        <f>IF(AND(Registro!D280="Abierto",Registro!E280="Media"),Registro!B280,"")</f>
        <v/>
      </c>
      <c r="H281" s="45" t="str">
        <f ca="1">IF(AND(Registro!D280="Abierto",Registro!E280="Media"),TODAY()-Registro!R280,"")</f>
        <v/>
      </c>
      <c r="I281" s="45" t="str">
        <f>IF(AND(Registro!D280="Abierto",Registro!E280="Media"),RANK(H281,$H$9:$H$1000,0)+COUNTIF($H$9:H281,H281)-1+MAX(C$5:C$1000,F$5:F$1000),"")</f>
        <v/>
      </c>
      <c r="J281" s="45" t="str">
        <f>IF(AND(Registro!D280="Abierto",Registro!E280="Baja"),Registro!B280,"")</f>
        <v/>
      </c>
      <c r="K281" s="45" t="str">
        <f ca="1">IF(AND(Registro!D280="Abierto",Registro!E280="Baja"),TODAY()-Registro!R280,"")</f>
        <v/>
      </c>
      <c r="L281" s="45" t="str">
        <f>IF(AND(Registro!D280="Abierto",Registro!E280="Baja"),RANK(K281,$K$9:$K$1000,0)+COUNTIF($K$9:K281,K281)-1+MAX(C$5:C$1000,F$5:F$1000,I$5:I$1000),"")</f>
        <v/>
      </c>
      <c r="M281" s="46" t="str">
        <f>IF(OR(Registro!D280="Resuelto",Registro!D280=""),"",SUM(C281,F281,I281,L281))</f>
        <v/>
      </c>
      <c r="N281" s="46" t="str">
        <f>IF(OR(Registro!D280="Resuelto",Registro!D280=""),"",SUM(B281,E281,H281,K281))</f>
        <v/>
      </c>
      <c r="O281" s="46" t="str">
        <f>IF(OR(Registro!D280="Resuelto",Registro!D280=""),"",_xlfn.CONCAT(A281,D281,G281,J281))</f>
        <v/>
      </c>
      <c r="P281" s="47">
        <v>273</v>
      </c>
      <c r="Q281" s="47" t="str">
        <f t="shared" ca="1" si="12"/>
        <v/>
      </c>
      <c r="R281" s="48" t="str">
        <f t="shared" ca="1" si="13"/>
        <v/>
      </c>
      <c r="S281" s="32"/>
      <c r="T281" s="32"/>
      <c r="U281" s="32"/>
      <c r="V281" s="32"/>
      <c r="W281" s="47" t="str">
        <f>IF(X281="","",MAX($W$5:W280)+1)</f>
        <v/>
      </c>
      <c r="X281" s="50" t="str">
        <f>IF(Registro!M280="","",IF(COUNTIF($X$8:X280,Registro!M280)=0,Registro!M280,""))</f>
        <v/>
      </c>
      <c r="Y281" s="50" t="str">
        <f t="shared" si="14"/>
        <v/>
      </c>
    </row>
    <row r="282" spans="1:25">
      <c r="A282" s="45" t="str">
        <f>IF(AND(Registro!D281="Abierto",Registro!E281="Urgente"),Registro!B281,"")</f>
        <v/>
      </c>
      <c r="B282" s="45" t="str">
        <f ca="1">IF(AND(Registro!D281="Abierto",Registro!E281="Urgente"),TODAY()-Registro!R281,"")</f>
        <v/>
      </c>
      <c r="C282" s="45" t="str">
        <f>IF(AND(Registro!D281="Abierto",Registro!E281="Urgente"),RANK(B282,$B$9:$B$1000,0)+COUNTIF($B$9:B282,B282)-1,"")</f>
        <v/>
      </c>
      <c r="D282" s="45" t="str">
        <f>IF(AND(Registro!D281="Abierto",Registro!E281="Alta"),Registro!B281,"")</f>
        <v/>
      </c>
      <c r="E282" s="45" t="str">
        <f ca="1">IF(AND(Registro!D281="Abierto",Registro!E281="Alta"),TODAY()-Registro!R281,"")</f>
        <v/>
      </c>
      <c r="F282" s="45" t="str">
        <f>IF(AND(Registro!D281="Abierto",Registro!E281="Alta"),RANK(E282,$E$9:$E$1000,0)+COUNTIF($E$9:E282,E282)-1+MAX(C$5:C$1000),"")</f>
        <v/>
      </c>
      <c r="G282" s="45" t="str">
        <f>IF(AND(Registro!D281="Abierto",Registro!E281="Media"),Registro!B281,"")</f>
        <v/>
      </c>
      <c r="H282" s="45" t="str">
        <f ca="1">IF(AND(Registro!D281="Abierto",Registro!E281="Media"),TODAY()-Registro!R281,"")</f>
        <v/>
      </c>
      <c r="I282" s="45" t="str">
        <f>IF(AND(Registro!D281="Abierto",Registro!E281="Media"),RANK(H282,$H$9:$H$1000,0)+COUNTIF($H$9:H282,H282)-1+MAX(C$5:C$1000,F$5:F$1000),"")</f>
        <v/>
      </c>
      <c r="J282" s="45" t="str">
        <f>IF(AND(Registro!D281="Abierto",Registro!E281="Baja"),Registro!B281,"")</f>
        <v/>
      </c>
      <c r="K282" s="45" t="str">
        <f ca="1">IF(AND(Registro!D281="Abierto",Registro!E281="Baja"),TODAY()-Registro!R281,"")</f>
        <v/>
      </c>
      <c r="L282" s="45" t="str">
        <f>IF(AND(Registro!D281="Abierto",Registro!E281="Baja"),RANK(K282,$K$9:$K$1000,0)+COUNTIF($K$9:K282,K282)-1+MAX(C$5:C$1000,F$5:F$1000,I$5:I$1000),"")</f>
        <v/>
      </c>
      <c r="M282" s="46" t="str">
        <f>IF(OR(Registro!D281="Resuelto",Registro!D281=""),"",SUM(C282,F282,I282,L282))</f>
        <v/>
      </c>
      <c r="N282" s="46" t="str">
        <f>IF(OR(Registro!D281="Resuelto",Registro!D281=""),"",SUM(B282,E282,H282,K282))</f>
        <v/>
      </c>
      <c r="O282" s="46" t="str">
        <f>IF(OR(Registro!D281="Resuelto",Registro!D281=""),"",_xlfn.CONCAT(A282,D282,G282,J282))</f>
        <v/>
      </c>
      <c r="P282" s="47">
        <v>274</v>
      </c>
      <c r="Q282" s="47" t="str">
        <f t="shared" ca="1" si="12"/>
        <v/>
      </c>
      <c r="R282" s="48" t="str">
        <f t="shared" ca="1" si="13"/>
        <v/>
      </c>
      <c r="S282" s="32"/>
      <c r="T282" s="32"/>
      <c r="U282" s="32"/>
      <c r="V282" s="32"/>
      <c r="W282" s="47" t="str">
        <f>IF(X282="","",MAX($W$5:W281)+1)</f>
        <v/>
      </c>
      <c r="X282" s="50" t="str">
        <f>IF(Registro!M281="","",IF(COUNTIF($X$8:X281,Registro!M281)=0,Registro!M281,""))</f>
        <v/>
      </c>
      <c r="Y282" s="50" t="str">
        <f t="shared" si="14"/>
        <v/>
      </c>
    </row>
    <row r="283" spans="1:25">
      <c r="A283" s="45" t="str">
        <f>IF(AND(Registro!D282="Abierto",Registro!E282="Urgente"),Registro!B282,"")</f>
        <v/>
      </c>
      <c r="B283" s="45" t="str">
        <f ca="1">IF(AND(Registro!D282="Abierto",Registro!E282="Urgente"),TODAY()-Registro!R282,"")</f>
        <v/>
      </c>
      <c r="C283" s="45" t="str">
        <f>IF(AND(Registro!D282="Abierto",Registro!E282="Urgente"),RANK(B283,$B$9:$B$1000,0)+COUNTIF($B$9:B283,B283)-1,"")</f>
        <v/>
      </c>
      <c r="D283" s="45" t="str">
        <f>IF(AND(Registro!D282="Abierto",Registro!E282="Alta"),Registro!B282,"")</f>
        <v/>
      </c>
      <c r="E283" s="45" t="str">
        <f ca="1">IF(AND(Registro!D282="Abierto",Registro!E282="Alta"),TODAY()-Registro!R282,"")</f>
        <v/>
      </c>
      <c r="F283" s="45" t="str">
        <f>IF(AND(Registro!D282="Abierto",Registro!E282="Alta"),RANK(E283,$E$9:$E$1000,0)+COUNTIF($E$9:E283,E283)-1+MAX(C$5:C$1000),"")</f>
        <v/>
      </c>
      <c r="G283" s="45" t="str">
        <f>IF(AND(Registro!D282="Abierto",Registro!E282="Media"),Registro!B282,"")</f>
        <v/>
      </c>
      <c r="H283" s="45" t="str">
        <f ca="1">IF(AND(Registro!D282="Abierto",Registro!E282="Media"),TODAY()-Registro!R282,"")</f>
        <v/>
      </c>
      <c r="I283" s="45" t="str">
        <f>IF(AND(Registro!D282="Abierto",Registro!E282="Media"),RANK(H283,$H$9:$H$1000,0)+COUNTIF($H$9:H283,H283)-1+MAX(C$5:C$1000,F$5:F$1000),"")</f>
        <v/>
      </c>
      <c r="J283" s="45" t="str">
        <f>IF(AND(Registro!D282="Abierto",Registro!E282="Baja"),Registro!B282,"")</f>
        <v/>
      </c>
      <c r="K283" s="45" t="str">
        <f ca="1">IF(AND(Registro!D282="Abierto",Registro!E282="Baja"),TODAY()-Registro!R282,"")</f>
        <v/>
      </c>
      <c r="L283" s="45" t="str">
        <f>IF(AND(Registro!D282="Abierto",Registro!E282="Baja"),RANK(K283,$K$9:$K$1000,0)+COUNTIF($K$9:K283,K283)-1+MAX(C$5:C$1000,F$5:F$1000,I$5:I$1000),"")</f>
        <v/>
      </c>
      <c r="M283" s="46" t="str">
        <f>IF(OR(Registro!D282="Resuelto",Registro!D282=""),"",SUM(C283,F283,I283,L283))</f>
        <v/>
      </c>
      <c r="N283" s="46" t="str">
        <f>IF(OR(Registro!D282="Resuelto",Registro!D282=""),"",SUM(B283,E283,H283,K283))</f>
        <v/>
      </c>
      <c r="O283" s="46" t="str">
        <f>IF(OR(Registro!D282="Resuelto",Registro!D282=""),"",_xlfn.CONCAT(A283,D283,G283,J283))</f>
        <v/>
      </c>
      <c r="P283" s="47">
        <v>275</v>
      </c>
      <c r="Q283" s="47" t="str">
        <f t="shared" ca="1" si="12"/>
        <v/>
      </c>
      <c r="R283" s="48" t="str">
        <f t="shared" ca="1" si="13"/>
        <v/>
      </c>
      <c r="S283" s="32"/>
      <c r="T283" s="32"/>
      <c r="U283" s="32"/>
      <c r="V283" s="32"/>
      <c r="W283" s="47" t="str">
        <f>IF(X283="","",MAX($W$5:W282)+1)</f>
        <v/>
      </c>
      <c r="X283" s="50" t="str">
        <f>IF(Registro!M282="","",IF(COUNTIF($X$8:X282,Registro!M282)=0,Registro!M282,""))</f>
        <v/>
      </c>
      <c r="Y283" s="50" t="str">
        <f t="shared" si="14"/>
        <v/>
      </c>
    </row>
    <row r="284" spans="1:25">
      <c r="A284" s="45" t="str">
        <f>IF(AND(Registro!D283="Abierto",Registro!E283="Urgente"),Registro!B283,"")</f>
        <v/>
      </c>
      <c r="B284" s="45" t="str">
        <f ca="1">IF(AND(Registro!D283="Abierto",Registro!E283="Urgente"),TODAY()-Registro!R283,"")</f>
        <v/>
      </c>
      <c r="C284" s="45" t="str">
        <f>IF(AND(Registro!D283="Abierto",Registro!E283="Urgente"),RANK(B284,$B$9:$B$1000,0)+COUNTIF($B$9:B284,B284)-1,"")</f>
        <v/>
      </c>
      <c r="D284" s="45" t="str">
        <f>IF(AND(Registro!D283="Abierto",Registro!E283="Alta"),Registro!B283,"")</f>
        <v/>
      </c>
      <c r="E284" s="45" t="str">
        <f ca="1">IF(AND(Registro!D283="Abierto",Registro!E283="Alta"),TODAY()-Registro!R283,"")</f>
        <v/>
      </c>
      <c r="F284" s="45" t="str">
        <f>IF(AND(Registro!D283="Abierto",Registro!E283="Alta"),RANK(E284,$E$9:$E$1000,0)+COUNTIF($E$9:E284,E284)-1+MAX(C$5:C$1000),"")</f>
        <v/>
      </c>
      <c r="G284" s="45" t="str">
        <f>IF(AND(Registro!D283="Abierto",Registro!E283="Media"),Registro!B283,"")</f>
        <v/>
      </c>
      <c r="H284" s="45" t="str">
        <f ca="1">IF(AND(Registro!D283="Abierto",Registro!E283="Media"),TODAY()-Registro!R283,"")</f>
        <v/>
      </c>
      <c r="I284" s="45" t="str">
        <f>IF(AND(Registro!D283="Abierto",Registro!E283="Media"),RANK(H284,$H$9:$H$1000,0)+COUNTIF($H$9:H284,H284)-1+MAX(C$5:C$1000,F$5:F$1000),"")</f>
        <v/>
      </c>
      <c r="J284" s="45" t="str">
        <f>IF(AND(Registro!D283="Abierto",Registro!E283="Baja"),Registro!B283,"")</f>
        <v/>
      </c>
      <c r="K284" s="45" t="str">
        <f ca="1">IF(AND(Registro!D283="Abierto",Registro!E283="Baja"),TODAY()-Registro!R283,"")</f>
        <v/>
      </c>
      <c r="L284" s="45" t="str">
        <f>IF(AND(Registro!D283="Abierto",Registro!E283="Baja"),RANK(K284,$K$9:$K$1000,0)+COUNTIF($K$9:K284,K284)-1+MAX(C$5:C$1000,F$5:F$1000,I$5:I$1000),"")</f>
        <v/>
      </c>
      <c r="M284" s="46" t="str">
        <f>IF(OR(Registro!D283="Resuelto",Registro!D283=""),"",SUM(C284,F284,I284,L284))</f>
        <v/>
      </c>
      <c r="N284" s="46" t="str">
        <f>IF(OR(Registro!D283="Resuelto",Registro!D283=""),"",SUM(B284,E284,H284,K284))</f>
        <v/>
      </c>
      <c r="O284" s="46" t="str">
        <f>IF(OR(Registro!D283="Resuelto",Registro!D283=""),"",_xlfn.CONCAT(A284,D284,G284,J284))</f>
        <v/>
      </c>
      <c r="P284" s="47">
        <v>276</v>
      </c>
      <c r="Q284" s="47" t="str">
        <f t="shared" ca="1" si="12"/>
        <v/>
      </c>
      <c r="R284" s="48" t="str">
        <f t="shared" ca="1" si="13"/>
        <v/>
      </c>
      <c r="S284" s="32"/>
      <c r="T284" s="32"/>
      <c r="U284" s="32"/>
      <c r="V284" s="32"/>
      <c r="W284" s="47" t="str">
        <f>IF(X284="","",MAX($W$5:W283)+1)</f>
        <v/>
      </c>
      <c r="X284" s="50" t="str">
        <f>IF(Registro!M283="","",IF(COUNTIF($X$8:X283,Registro!M283)=0,Registro!M283,""))</f>
        <v/>
      </c>
      <c r="Y284" s="50" t="str">
        <f t="shared" si="14"/>
        <v/>
      </c>
    </row>
    <row r="285" spans="1:25">
      <c r="A285" s="45" t="str">
        <f>IF(AND(Registro!D284="Abierto",Registro!E284="Urgente"),Registro!B284,"")</f>
        <v/>
      </c>
      <c r="B285" s="45" t="str">
        <f ca="1">IF(AND(Registro!D284="Abierto",Registro!E284="Urgente"),TODAY()-Registro!R284,"")</f>
        <v/>
      </c>
      <c r="C285" s="45" t="str">
        <f>IF(AND(Registro!D284="Abierto",Registro!E284="Urgente"),RANK(B285,$B$9:$B$1000,0)+COUNTIF($B$9:B285,B285)-1,"")</f>
        <v/>
      </c>
      <c r="D285" s="45" t="str">
        <f>IF(AND(Registro!D284="Abierto",Registro!E284="Alta"),Registro!B284,"")</f>
        <v/>
      </c>
      <c r="E285" s="45" t="str">
        <f ca="1">IF(AND(Registro!D284="Abierto",Registro!E284="Alta"),TODAY()-Registro!R284,"")</f>
        <v/>
      </c>
      <c r="F285" s="45" t="str">
        <f>IF(AND(Registro!D284="Abierto",Registro!E284="Alta"),RANK(E285,$E$9:$E$1000,0)+COUNTIF($E$9:E285,E285)-1+MAX(C$5:C$1000),"")</f>
        <v/>
      </c>
      <c r="G285" s="45" t="str">
        <f>IF(AND(Registro!D284="Abierto",Registro!E284="Media"),Registro!B284,"")</f>
        <v/>
      </c>
      <c r="H285" s="45" t="str">
        <f ca="1">IF(AND(Registro!D284="Abierto",Registro!E284="Media"),TODAY()-Registro!R284,"")</f>
        <v/>
      </c>
      <c r="I285" s="45" t="str">
        <f>IF(AND(Registro!D284="Abierto",Registro!E284="Media"),RANK(H285,$H$9:$H$1000,0)+COUNTIF($H$9:H285,H285)-1+MAX(C$5:C$1000,F$5:F$1000),"")</f>
        <v/>
      </c>
      <c r="J285" s="45" t="str">
        <f>IF(AND(Registro!D284="Abierto",Registro!E284="Baja"),Registro!B284,"")</f>
        <v/>
      </c>
      <c r="K285" s="45" t="str">
        <f ca="1">IF(AND(Registro!D284="Abierto",Registro!E284="Baja"),TODAY()-Registro!R284,"")</f>
        <v/>
      </c>
      <c r="L285" s="45" t="str">
        <f>IF(AND(Registro!D284="Abierto",Registro!E284="Baja"),RANK(K285,$K$9:$K$1000,0)+COUNTIF($K$9:K285,K285)-1+MAX(C$5:C$1000,F$5:F$1000,I$5:I$1000),"")</f>
        <v/>
      </c>
      <c r="M285" s="46" t="str">
        <f>IF(OR(Registro!D284="Resuelto",Registro!D284=""),"",SUM(C285,F285,I285,L285))</f>
        <v/>
      </c>
      <c r="N285" s="46" t="str">
        <f>IF(OR(Registro!D284="Resuelto",Registro!D284=""),"",SUM(B285,E285,H285,K285))</f>
        <v/>
      </c>
      <c r="O285" s="46" t="str">
        <f>IF(OR(Registro!D284="Resuelto",Registro!D284=""),"",_xlfn.CONCAT(A285,D285,G285,J285))</f>
        <v/>
      </c>
      <c r="P285" s="47">
        <v>277</v>
      </c>
      <c r="Q285" s="47" t="str">
        <f t="shared" ca="1" si="12"/>
        <v/>
      </c>
      <c r="R285" s="48" t="str">
        <f t="shared" ca="1" si="13"/>
        <v/>
      </c>
      <c r="S285" s="32"/>
      <c r="T285" s="32"/>
      <c r="U285" s="32"/>
      <c r="V285" s="32"/>
      <c r="W285" s="47" t="str">
        <f>IF(X285="","",MAX($W$5:W284)+1)</f>
        <v/>
      </c>
      <c r="X285" s="50" t="str">
        <f>IF(Registro!M284="","",IF(COUNTIF($X$8:X284,Registro!M284)=0,Registro!M284,""))</f>
        <v/>
      </c>
      <c r="Y285" s="50" t="str">
        <f t="shared" si="14"/>
        <v/>
      </c>
    </row>
    <row r="286" spans="1:25">
      <c r="A286" s="45" t="str">
        <f>IF(AND(Registro!D285="Abierto",Registro!E285="Urgente"),Registro!B285,"")</f>
        <v/>
      </c>
      <c r="B286" s="45" t="str">
        <f ca="1">IF(AND(Registro!D285="Abierto",Registro!E285="Urgente"),TODAY()-Registro!R285,"")</f>
        <v/>
      </c>
      <c r="C286" s="45" t="str">
        <f>IF(AND(Registro!D285="Abierto",Registro!E285="Urgente"),RANK(B286,$B$9:$B$1000,0)+COUNTIF($B$9:B286,B286)-1,"")</f>
        <v/>
      </c>
      <c r="D286" s="45" t="str">
        <f>IF(AND(Registro!D285="Abierto",Registro!E285="Alta"),Registro!B285,"")</f>
        <v/>
      </c>
      <c r="E286" s="45" t="str">
        <f ca="1">IF(AND(Registro!D285="Abierto",Registro!E285="Alta"),TODAY()-Registro!R285,"")</f>
        <v/>
      </c>
      <c r="F286" s="45" t="str">
        <f>IF(AND(Registro!D285="Abierto",Registro!E285="Alta"),RANK(E286,$E$9:$E$1000,0)+COUNTIF($E$9:E286,E286)-1+MAX(C$5:C$1000),"")</f>
        <v/>
      </c>
      <c r="G286" s="45" t="str">
        <f>IF(AND(Registro!D285="Abierto",Registro!E285="Media"),Registro!B285,"")</f>
        <v/>
      </c>
      <c r="H286" s="45" t="str">
        <f ca="1">IF(AND(Registro!D285="Abierto",Registro!E285="Media"),TODAY()-Registro!R285,"")</f>
        <v/>
      </c>
      <c r="I286" s="45" t="str">
        <f>IF(AND(Registro!D285="Abierto",Registro!E285="Media"),RANK(H286,$H$9:$H$1000,0)+COUNTIF($H$9:H286,H286)-1+MAX(C$5:C$1000,F$5:F$1000),"")</f>
        <v/>
      </c>
      <c r="J286" s="45" t="str">
        <f>IF(AND(Registro!D285="Abierto",Registro!E285="Baja"),Registro!B285,"")</f>
        <v/>
      </c>
      <c r="K286" s="45" t="str">
        <f ca="1">IF(AND(Registro!D285="Abierto",Registro!E285="Baja"),TODAY()-Registro!R285,"")</f>
        <v/>
      </c>
      <c r="L286" s="45" t="str">
        <f>IF(AND(Registro!D285="Abierto",Registro!E285="Baja"),RANK(K286,$K$9:$K$1000,0)+COUNTIF($K$9:K286,K286)-1+MAX(C$5:C$1000,F$5:F$1000,I$5:I$1000),"")</f>
        <v/>
      </c>
      <c r="M286" s="46" t="str">
        <f>IF(OR(Registro!D285="Resuelto",Registro!D285=""),"",SUM(C286,F286,I286,L286))</f>
        <v/>
      </c>
      <c r="N286" s="46" t="str">
        <f>IF(OR(Registro!D285="Resuelto",Registro!D285=""),"",SUM(B286,E286,H286,K286))</f>
        <v/>
      </c>
      <c r="O286" s="46" t="str">
        <f>IF(OR(Registro!D285="Resuelto",Registro!D285=""),"",_xlfn.CONCAT(A286,D286,G286,J286))</f>
        <v/>
      </c>
      <c r="P286" s="47">
        <v>278</v>
      </c>
      <c r="Q286" s="47" t="str">
        <f t="shared" ca="1" si="12"/>
        <v/>
      </c>
      <c r="R286" s="48" t="str">
        <f t="shared" ca="1" si="13"/>
        <v/>
      </c>
      <c r="S286" s="32"/>
      <c r="T286" s="32"/>
      <c r="U286" s="32"/>
      <c r="V286" s="32"/>
      <c r="W286" s="47" t="str">
        <f>IF(X286="","",MAX($W$5:W285)+1)</f>
        <v/>
      </c>
      <c r="X286" s="50" t="str">
        <f>IF(Registro!M285="","",IF(COUNTIF($X$8:X285,Registro!M285)=0,Registro!M285,""))</f>
        <v/>
      </c>
      <c r="Y286" s="50" t="str">
        <f t="shared" si="14"/>
        <v/>
      </c>
    </row>
    <row r="287" spans="1:25">
      <c r="A287" s="45" t="str">
        <f>IF(AND(Registro!D286="Abierto",Registro!E286="Urgente"),Registro!B286,"")</f>
        <v/>
      </c>
      <c r="B287" s="45" t="str">
        <f ca="1">IF(AND(Registro!D286="Abierto",Registro!E286="Urgente"),TODAY()-Registro!R286,"")</f>
        <v/>
      </c>
      <c r="C287" s="45" t="str">
        <f>IF(AND(Registro!D286="Abierto",Registro!E286="Urgente"),RANK(B287,$B$9:$B$1000,0)+COUNTIF($B$9:B287,B287)-1,"")</f>
        <v/>
      </c>
      <c r="D287" s="45" t="str">
        <f>IF(AND(Registro!D286="Abierto",Registro!E286="Alta"),Registro!B286,"")</f>
        <v/>
      </c>
      <c r="E287" s="45" t="str">
        <f ca="1">IF(AND(Registro!D286="Abierto",Registro!E286="Alta"),TODAY()-Registro!R286,"")</f>
        <v/>
      </c>
      <c r="F287" s="45" t="str">
        <f>IF(AND(Registro!D286="Abierto",Registro!E286="Alta"),RANK(E287,$E$9:$E$1000,0)+COUNTIF($E$9:E287,E287)-1+MAX(C$5:C$1000),"")</f>
        <v/>
      </c>
      <c r="G287" s="45" t="str">
        <f>IF(AND(Registro!D286="Abierto",Registro!E286="Media"),Registro!B286,"")</f>
        <v/>
      </c>
      <c r="H287" s="45" t="str">
        <f ca="1">IF(AND(Registro!D286="Abierto",Registro!E286="Media"),TODAY()-Registro!R286,"")</f>
        <v/>
      </c>
      <c r="I287" s="45" t="str">
        <f>IF(AND(Registro!D286="Abierto",Registro!E286="Media"),RANK(H287,$H$9:$H$1000,0)+COUNTIF($H$9:H287,H287)-1+MAX(C$5:C$1000,F$5:F$1000),"")</f>
        <v/>
      </c>
      <c r="J287" s="45" t="str">
        <f>IF(AND(Registro!D286="Abierto",Registro!E286="Baja"),Registro!B286,"")</f>
        <v/>
      </c>
      <c r="K287" s="45" t="str">
        <f ca="1">IF(AND(Registro!D286="Abierto",Registro!E286="Baja"),TODAY()-Registro!R286,"")</f>
        <v/>
      </c>
      <c r="L287" s="45" t="str">
        <f>IF(AND(Registro!D286="Abierto",Registro!E286="Baja"),RANK(K287,$K$9:$K$1000,0)+COUNTIF($K$9:K287,K287)-1+MAX(C$5:C$1000,F$5:F$1000,I$5:I$1000),"")</f>
        <v/>
      </c>
      <c r="M287" s="46" t="str">
        <f>IF(OR(Registro!D286="Resuelto",Registro!D286=""),"",SUM(C287,F287,I287,L287))</f>
        <v/>
      </c>
      <c r="N287" s="46" t="str">
        <f>IF(OR(Registro!D286="Resuelto",Registro!D286=""),"",SUM(B287,E287,H287,K287))</f>
        <v/>
      </c>
      <c r="O287" s="46" t="str">
        <f>IF(OR(Registro!D286="Resuelto",Registro!D286=""),"",_xlfn.CONCAT(A287,D287,G287,J287))</f>
        <v/>
      </c>
      <c r="P287" s="47">
        <v>279</v>
      </c>
      <c r="Q287" s="47" t="str">
        <f t="shared" ca="1" si="12"/>
        <v/>
      </c>
      <c r="R287" s="48" t="str">
        <f t="shared" ca="1" si="13"/>
        <v/>
      </c>
      <c r="S287" s="32"/>
      <c r="T287" s="32"/>
      <c r="U287" s="32"/>
      <c r="V287" s="32"/>
      <c r="W287" s="47" t="str">
        <f>IF(X287="","",MAX($W$5:W286)+1)</f>
        <v/>
      </c>
      <c r="X287" s="50" t="str">
        <f>IF(Registro!M286="","",IF(COUNTIF($X$8:X286,Registro!M286)=0,Registro!M286,""))</f>
        <v/>
      </c>
      <c r="Y287" s="50" t="str">
        <f t="shared" si="14"/>
        <v/>
      </c>
    </row>
    <row r="288" spans="1:25">
      <c r="A288" s="45" t="str">
        <f>IF(AND(Registro!D287="Abierto",Registro!E287="Urgente"),Registro!B287,"")</f>
        <v/>
      </c>
      <c r="B288" s="45" t="str">
        <f ca="1">IF(AND(Registro!D287="Abierto",Registro!E287="Urgente"),TODAY()-Registro!R287,"")</f>
        <v/>
      </c>
      <c r="C288" s="45" t="str">
        <f>IF(AND(Registro!D287="Abierto",Registro!E287="Urgente"),RANK(B288,$B$9:$B$1000,0)+COUNTIF($B$9:B288,B288)-1,"")</f>
        <v/>
      </c>
      <c r="D288" s="45" t="str">
        <f>IF(AND(Registro!D287="Abierto",Registro!E287="Alta"),Registro!B287,"")</f>
        <v/>
      </c>
      <c r="E288" s="45" t="str">
        <f ca="1">IF(AND(Registro!D287="Abierto",Registro!E287="Alta"),TODAY()-Registro!R287,"")</f>
        <v/>
      </c>
      <c r="F288" s="45" t="str">
        <f>IF(AND(Registro!D287="Abierto",Registro!E287="Alta"),RANK(E288,$E$9:$E$1000,0)+COUNTIF($E$9:E288,E288)-1+MAX(C$5:C$1000),"")</f>
        <v/>
      </c>
      <c r="G288" s="45" t="str">
        <f>IF(AND(Registro!D287="Abierto",Registro!E287="Media"),Registro!B287,"")</f>
        <v/>
      </c>
      <c r="H288" s="45" t="str">
        <f ca="1">IF(AND(Registro!D287="Abierto",Registro!E287="Media"),TODAY()-Registro!R287,"")</f>
        <v/>
      </c>
      <c r="I288" s="45" t="str">
        <f>IF(AND(Registro!D287="Abierto",Registro!E287="Media"),RANK(H288,$H$9:$H$1000,0)+COUNTIF($H$9:H288,H288)-1+MAX(C$5:C$1000,F$5:F$1000),"")</f>
        <v/>
      </c>
      <c r="J288" s="45" t="str">
        <f>IF(AND(Registro!D287="Abierto",Registro!E287="Baja"),Registro!B287,"")</f>
        <v/>
      </c>
      <c r="K288" s="45" t="str">
        <f ca="1">IF(AND(Registro!D287="Abierto",Registro!E287="Baja"),TODAY()-Registro!R287,"")</f>
        <v/>
      </c>
      <c r="L288" s="45" t="str">
        <f>IF(AND(Registro!D287="Abierto",Registro!E287="Baja"),RANK(K288,$K$9:$K$1000,0)+COUNTIF($K$9:K288,K288)-1+MAX(C$5:C$1000,F$5:F$1000,I$5:I$1000),"")</f>
        <v/>
      </c>
      <c r="M288" s="46" t="str">
        <f>IF(OR(Registro!D287="Resuelto",Registro!D287=""),"",SUM(C288,F288,I288,L288))</f>
        <v/>
      </c>
      <c r="N288" s="46" t="str">
        <f>IF(OR(Registro!D287="Resuelto",Registro!D287=""),"",SUM(B288,E288,H288,K288))</f>
        <v/>
      </c>
      <c r="O288" s="46" t="str">
        <f>IF(OR(Registro!D287="Resuelto",Registro!D287=""),"",_xlfn.CONCAT(A288,D288,G288,J288))</f>
        <v/>
      </c>
      <c r="P288" s="47">
        <v>280</v>
      </c>
      <c r="Q288" s="47" t="str">
        <f t="shared" ca="1" si="12"/>
        <v/>
      </c>
      <c r="R288" s="48" t="str">
        <f t="shared" ca="1" si="13"/>
        <v/>
      </c>
      <c r="S288" s="32"/>
      <c r="T288" s="32"/>
      <c r="U288" s="32"/>
      <c r="V288" s="32"/>
      <c r="W288" s="47" t="str">
        <f>IF(X288="","",MAX($W$5:W287)+1)</f>
        <v/>
      </c>
      <c r="X288" s="50" t="str">
        <f>IF(Registro!M287="","",IF(COUNTIF($X$8:X287,Registro!M287)=0,Registro!M287,""))</f>
        <v/>
      </c>
      <c r="Y288" s="50" t="str">
        <f t="shared" si="14"/>
        <v/>
      </c>
    </row>
    <row r="289" spans="1:25">
      <c r="A289" s="45" t="str">
        <f>IF(AND(Registro!D288="Abierto",Registro!E288="Urgente"),Registro!B288,"")</f>
        <v/>
      </c>
      <c r="B289" s="45" t="str">
        <f ca="1">IF(AND(Registro!D288="Abierto",Registro!E288="Urgente"),TODAY()-Registro!R288,"")</f>
        <v/>
      </c>
      <c r="C289" s="45" t="str">
        <f>IF(AND(Registro!D288="Abierto",Registro!E288="Urgente"),RANK(B289,$B$9:$B$1000,0)+COUNTIF($B$9:B289,B289)-1,"")</f>
        <v/>
      </c>
      <c r="D289" s="45" t="str">
        <f>IF(AND(Registro!D288="Abierto",Registro!E288="Alta"),Registro!B288,"")</f>
        <v/>
      </c>
      <c r="E289" s="45" t="str">
        <f ca="1">IF(AND(Registro!D288="Abierto",Registro!E288="Alta"),TODAY()-Registro!R288,"")</f>
        <v/>
      </c>
      <c r="F289" s="45" t="str">
        <f>IF(AND(Registro!D288="Abierto",Registro!E288="Alta"),RANK(E289,$E$9:$E$1000,0)+COUNTIF($E$9:E289,E289)-1+MAX(C$5:C$1000),"")</f>
        <v/>
      </c>
      <c r="G289" s="45" t="str">
        <f>IF(AND(Registro!D288="Abierto",Registro!E288="Media"),Registro!B288,"")</f>
        <v/>
      </c>
      <c r="H289" s="45" t="str">
        <f ca="1">IF(AND(Registro!D288="Abierto",Registro!E288="Media"),TODAY()-Registro!R288,"")</f>
        <v/>
      </c>
      <c r="I289" s="45" t="str">
        <f>IF(AND(Registro!D288="Abierto",Registro!E288="Media"),RANK(H289,$H$9:$H$1000,0)+COUNTIF($H$9:H289,H289)-1+MAX(C$5:C$1000,F$5:F$1000),"")</f>
        <v/>
      </c>
      <c r="J289" s="45" t="str">
        <f>IF(AND(Registro!D288="Abierto",Registro!E288="Baja"),Registro!B288,"")</f>
        <v/>
      </c>
      <c r="K289" s="45" t="str">
        <f ca="1">IF(AND(Registro!D288="Abierto",Registro!E288="Baja"),TODAY()-Registro!R288,"")</f>
        <v/>
      </c>
      <c r="L289" s="45" t="str">
        <f>IF(AND(Registro!D288="Abierto",Registro!E288="Baja"),RANK(K289,$K$9:$K$1000,0)+COUNTIF($K$9:K289,K289)-1+MAX(C$5:C$1000,F$5:F$1000,I$5:I$1000),"")</f>
        <v/>
      </c>
      <c r="M289" s="46" t="str">
        <f>IF(OR(Registro!D288="Resuelto",Registro!D288=""),"",SUM(C289,F289,I289,L289))</f>
        <v/>
      </c>
      <c r="N289" s="46" t="str">
        <f>IF(OR(Registro!D288="Resuelto",Registro!D288=""),"",SUM(B289,E289,H289,K289))</f>
        <v/>
      </c>
      <c r="O289" s="46" t="str">
        <f>IF(OR(Registro!D288="Resuelto",Registro!D288=""),"",_xlfn.CONCAT(A289,D289,G289,J289))</f>
        <v/>
      </c>
      <c r="P289" s="47">
        <v>281</v>
      </c>
      <c r="Q289" s="47" t="str">
        <f t="shared" ca="1" si="12"/>
        <v/>
      </c>
      <c r="R289" s="48" t="str">
        <f t="shared" ca="1" si="13"/>
        <v/>
      </c>
      <c r="S289" s="32"/>
      <c r="T289" s="32"/>
      <c r="U289" s="32"/>
      <c r="V289" s="32"/>
      <c r="W289" s="47" t="str">
        <f>IF(X289="","",MAX($W$5:W288)+1)</f>
        <v/>
      </c>
      <c r="X289" s="50" t="str">
        <f>IF(Registro!M288="","",IF(COUNTIF($X$8:X288,Registro!M288)=0,Registro!M288,""))</f>
        <v/>
      </c>
      <c r="Y289" s="50" t="str">
        <f t="shared" si="14"/>
        <v/>
      </c>
    </row>
    <row r="290" spans="1:25">
      <c r="A290" s="45" t="str">
        <f>IF(AND(Registro!D289="Abierto",Registro!E289="Urgente"),Registro!B289,"")</f>
        <v/>
      </c>
      <c r="B290" s="45" t="str">
        <f ca="1">IF(AND(Registro!D289="Abierto",Registro!E289="Urgente"),TODAY()-Registro!R289,"")</f>
        <v/>
      </c>
      <c r="C290" s="45" t="str">
        <f>IF(AND(Registro!D289="Abierto",Registro!E289="Urgente"),RANK(B290,$B$9:$B$1000,0)+COUNTIF($B$9:B290,B290)-1,"")</f>
        <v/>
      </c>
      <c r="D290" s="45" t="str">
        <f>IF(AND(Registro!D289="Abierto",Registro!E289="Alta"),Registro!B289,"")</f>
        <v/>
      </c>
      <c r="E290" s="45" t="str">
        <f ca="1">IF(AND(Registro!D289="Abierto",Registro!E289="Alta"),TODAY()-Registro!R289,"")</f>
        <v/>
      </c>
      <c r="F290" s="45" t="str">
        <f>IF(AND(Registro!D289="Abierto",Registro!E289="Alta"),RANK(E290,$E$9:$E$1000,0)+COUNTIF($E$9:E290,E290)-1+MAX(C$5:C$1000),"")</f>
        <v/>
      </c>
      <c r="G290" s="45" t="str">
        <f>IF(AND(Registro!D289="Abierto",Registro!E289="Media"),Registro!B289,"")</f>
        <v/>
      </c>
      <c r="H290" s="45" t="str">
        <f ca="1">IF(AND(Registro!D289="Abierto",Registro!E289="Media"),TODAY()-Registro!R289,"")</f>
        <v/>
      </c>
      <c r="I290" s="45" t="str">
        <f>IF(AND(Registro!D289="Abierto",Registro!E289="Media"),RANK(H290,$H$9:$H$1000,0)+COUNTIF($H$9:H290,H290)-1+MAX(C$5:C$1000,F$5:F$1000),"")</f>
        <v/>
      </c>
      <c r="J290" s="45" t="str">
        <f>IF(AND(Registro!D289="Abierto",Registro!E289="Baja"),Registro!B289,"")</f>
        <v/>
      </c>
      <c r="K290" s="45" t="str">
        <f ca="1">IF(AND(Registro!D289="Abierto",Registro!E289="Baja"),TODAY()-Registro!R289,"")</f>
        <v/>
      </c>
      <c r="L290" s="45" t="str">
        <f>IF(AND(Registro!D289="Abierto",Registro!E289="Baja"),RANK(K290,$K$9:$K$1000,0)+COUNTIF($K$9:K290,K290)-1+MAX(C$5:C$1000,F$5:F$1000,I$5:I$1000),"")</f>
        <v/>
      </c>
      <c r="M290" s="46" t="str">
        <f>IF(OR(Registro!D289="Resuelto",Registro!D289=""),"",SUM(C290,F290,I290,L290))</f>
        <v/>
      </c>
      <c r="N290" s="46" t="str">
        <f>IF(OR(Registro!D289="Resuelto",Registro!D289=""),"",SUM(B290,E290,H290,K290))</f>
        <v/>
      </c>
      <c r="O290" s="46" t="str">
        <f>IF(OR(Registro!D289="Resuelto",Registro!D289=""),"",_xlfn.CONCAT(A290,D290,G290,J290))</f>
        <v/>
      </c>
      <c r="P290" s="47">
        <v>282</v>
      </c>
      <c r="Q290" s="47" t="str">
        <f t="shared" ca="1" si="12"/>
        <v/>
      </c>
      <c r="R290" s="48" t="str">
        <f t="shared" ca="1" si="13"/>
        <v/>
      </c>
      <c r="S290" s="32"/>
      <c r="T290" s="32"/>
      <c r="U290" s="32"/>
      <c r="V290" s="32"/>
      <c r="W290" s="47" t="str">
        <f>IF(X290="","",MAX($W$5:W289)+1)</f>
        <v/>
      </c>
      <c r="X290" s="50" t="str">
        <f>IF(Registro!M289="","",IF(COUNTIF($X$8:X289,Registro!M289)=0,Registro!M289,""))</f>
        <v/>
      </c>
      <c r="Y290" s="50" t="str">
        <f t="shared" si="14"/>
        <v/>
      </c>
    </row>
    <row r="291" spans="1:25">
      <c r="A291" s="45" t="str">
        <f>IF(AND(Registro!D290="Abierto",Registro!E290="Urgente"),Registro!B290,"")</f>
        <v/>
      </c>
      <c r="B291" s="45" t="str">
        <f ca="1">IF(AND(Registro!D290="Abierto",Registro!E290="Urgente"),TODAY()-Registro!R290,"")</f>
        <v/>
      </c>
      <c r="C291" s="45" t="str">
        <f>IF(AND(Registro!D290="Abierto",Registro!E290="Urgente"),RANK(B291,$B$9:$B$1000,0)+COUNTIF($B$9:B291,B291)-1,"")</f>
        <v/>
      </c>
      <c r="D291" s="45" t="str">
        <f>IF(AND(Registro!D290="Abierto",Registro!E290="Alta"),Registro!B290,"")</f>
        <v/>
      </c>
      <c r="E291" s="45" t="str">
        <f ca="1">IF(AND(Registro!D290="Abierto",Registro!E290="Alta"),TODAY()-Registro!R290,"")</f>
        <v/>
      </c>
      <c r="F291" s="45" t="str">
        <f>IF(AND(Registro!D290="Abierto",Registro!E290="Alta"),RANK(E291,$E$9:$E$1000,0)+COUNTIF($E$9:E291,E291)-1+MAX(C$5:C$1000),"")</f>
        <v/>
      </c>
      <c r="G291" s="45" t="str">
        <f>IF(AND(Registro!D290="Abierto",Registro!E290="Media"),Registro!B290,"")</f>
        <v/>
      </c>
      <c r="H291" s="45" t="str">
        <f ca="1">IF(AND(Registro!D290="Abierto",Registro!E290="Media"),TODAY()-Registro!R290,"")</f>
        <v/>
      </c>
      <c r="I291" s="45" t="str">
        <f>IF(AND(Registro!D290="Abierto",Registro!E290="Media"),RANK(H291,$H$9:$H$1000,0)+COUNTIF($H$9:H291,H291)-1+MAX(C$5:C$1000,F$5:F$1000),"")</f>
        <v/>
      </c>
      <c r="J291" s="45" t="str">
        <f>IF(AND(Registro!D290="Abierto",Registro!E290="Baja"),Registro!B290,"")</f>
        <v/>
      </c>
      <c r="K291" s="45" t="str">
        <f ca="1">IF(AND(Registro!D290="Abierto",Registro!E290="Baja"),TODAY()-Registro!R290,"")</f>
        <v/>
      </c>
      <c r="L291" s="45" t="str">
        <f>IF(AND(Registro!D290="Abierto",Registro!E290="Baja"),RANK(K291,$K$9:$K$1000,0)+COUNTIF($K$9:K291,K291)-1+MAX(C$5:C$1000,F$5:F$1000,I$5:I$1000),"")</f>
        <v/>
      </c>
      <c r="M291" s="46" t="str">
        <f>IF(OR(Registro!D290="Resuelto",Registro!D290=""),"",SUM(C291,F291,I291,L291))</f>
        <v/>
      </c>
      <c r="N291" s="46" t="str">
        <f>IF(OR(Registro!D290="Resuelto",Registro!D290=""),"",SUM(B291,E291,H291,K291))</f>
        <v/>
      </c>
      <c r="O291" s="46" t="str">
        <f>IF(OR(Registro!D290="Resuelto",Registro!D290=""),"",_xlfn.CONCAT(A291,D291,G291,J291))</f>
        <v/>
      </c>
      <c r="P291" s="47">
        <v>283</v>
      </c>
      <c r="Q291" s="47" t="str">
        <f t="shared" ca="1" si="12"/>
        <v/>
      </c>
      <c r="R291" s="48" t="str">
        <f t="shared" ca="1" si="13"/>
        <v/>
      </c>
      <c r="S291" s="32"/>
      <c r="T291" s="32"/>
      <c r="U291" s="32"/>
      <c r="V291" s="32"/>
      <c r="W291" s="47" t="str">
        <f>IF(X291="","",MAX($W$5:W290)+1)</f>
        <v/>
      </c>
      <c r="X291" s="50" t="str">
        <f>IF(Registro!M290="","",IF(COUNTIF($X$8:X290,Registro!M290)=0,Registro!M290,""))</f>
        <v/>
      </c>
      <c r="Y291" s="50" t="str">
        <f t="shared" si="14"/>
        <v/>
      </c>
    </row>
    <row r="292" spans="1:25">
      <c r="A292" s="45" t="str">
        <f>IF(AND(Registro!D291="Abierto",Registro!E291="Urgente"),Registro!B291,"")</f>
        <v/>
      </c>
      <c r="B292" s="45" t="str">
        <f ca="1">IF(AND(Registro!D291="Abierto",Registro!E291="Urgente"),TODAY()-Registro!R291,"")</f>
        <v/>
      </c>
      <c r="C292" s="45" t="str">
        <f>IF(AND(Registro!D291="Abierto",Registro!E291="Urgente"),RANK(B292,$B$9:$B$1000,0)+COUNTIF($B$9:B292,B292)-1,"")</f>
        <v/>
      </c>
      <c r="D292" s="45" t="str">
        <f>IF(AND(Registro!D291="Abierto",Registro!E291="Alta"),Registro!B291,"")</f>
        <v/>
      </c>
      <c r="E292" s="45" t="str">
        <f ca="1">IF(AND(Registro!D291="Abierto",Registro!E291="Alta"),TODAY()-Registro!R291,"")</f>
        <v/>
      </c>
      <c r="F292" s="45" t="str">
        <f>IF(AND(Registro!D291="Abierto",Registro!E291="Alta"),RANK(E292,$E$9:$E$1000,0)+COUNTIF($E$9:E292,E292)-1+MAX(C$5:C$1000),"")</f>
        <v/>
      </c>
      <c r="G292" s="45" t="str">
        <f>IF(AND(Registro!D291="Abierto",Registro!E291="Media"),Registro!B291,"")</f>
        <v/>
      </c>
      <c r="H292" s="45" t="str">
        <f ca="1">IF(AND(Registro!D291="Abierto",Registro!E291="Media"),TODAY()-Registro!R291,"")</f>
        <v/>
      </c>
      <c r="I292" s="45" t="str">
        <f>IF(AND(Registro!D291="Abierto",Registro!E291="Media"),RANK(H292,$H$9:$H$1000,0)+COUNTIF($H$9:H292,H292)-1+MAX(C$5:C$1000,F$5:F$1000),"")</f>
        <v/>
      </c>
      <c r="J292" s="45" t="str">
        <f>IF(AND(Registro!D291="Abierto",Registro!E291="Baja"),Registro!B291,"")</f>
        <v/>
      </c>
      <c r="K292" s="45" t="str">
        <f ca="1">IF(AND(Registro!D291="Abierto",Registro!E291="Baja"),TODAY()-Registro!R291,"")</f>
        <v/>
      </c>
      <c r="L292" s="45" t="str">
        <f>IF(AND(Registro!D291="Abierto",Registro!E291="Baja"),RANK(K292,$K$9:$K$1000,0)+COUNTIF($K$9:K292,K292)-1+MAX(C$5:C$1000,F$5:F$1000,I$5:I$1000),"")</f>
        <v/>
      </c>
      <c r="M292" s="46" t="str">
        <f>IF(OR(Registro!D291="Resuelto",Registro!D291=""),"",SUM(C292,F292,I292,L292))</f>
        <v/>
      </c>
      <c r="N292" s="46" t="str">
        <f>IF(OR(Registro!D291="Resuelto",Registro!D291=""),"",SUM(B292,E292,H292,K292))</f>
        <v/>
      </c>
      <c r="O292" s="46" t="str">
        <f>IF(OR(Registro!D291="Resuelto",Registro!D291=""),"",_xlfn.CONCAT(A292,D292,G292,J292))</f>
        <v/>
      </c>
      <c r="P292" s="47">
        <v>284</v>
      </c>
      <c r="Q292" s="47" t="str">
        <f t="shared" ca="1" si="12"/>
        <v/>
      </c>
      <c r="R292" s="48" t="str">
        <f t="shared" ca="1" si="13"/>
        <v/>
      </c>
      <c r="S292" s="32"/>
      <c r="T292" s="32"/>
      <c r="U292" s="32"/>
      <c r="V292" s="32"/>
      <c r="W292" s="47" t="str">
        <f>IF(X292="","",MAX($W$5:W291)+1)</f>
        <v/>
      </c>
      <c r="X292" s="50" t="str">
        <f>IF(Registro!M291="","",IF(COUNTIF($X$8:X291,Registro!M291)=0,Registro!M291,""))</f>
        <v/>
      </c>
      <c r="Y292" s="50" t="str">
        <f t="shared" si="14"/>
        <v/>
      </c>
    </row>
    <row r="293" spans="1:25">
      <c r="A293" s="45" t="str">
        <f>IF(AND(Registro!D292="Abierto",Registro!E292="Urgente"),Registro!B292,"")</f>
        <v/>
      </c>
      <c r="B293" s="45" t="str">
        <f ca="1">IF(AND(Registro!D292="Abierto",Registro!E292="Urgente"),TODAY()-Registro!R292,"")</f>
        <v/>
      </c>
      <c r="C293" s="45" t="str">
        <f>IF(AND(Registro!D292="Abierto",Registro!E292="Urgente"),RANK(B293,$B$9:$B$1000,0)+COUNTIF($B$9:B293,B293)-1,"")</f>
        <v/>
      </c>
      <c r="D293" s="45" t="str">
        <f>IF(AND(Registro!D292="Abierto",Registro!E292="Alta"),Registro!B292,"")</f>
        <v/>
      </c>
      <c r="E293" s="45" t="str">
        <f ca="1">IF(AND(Registro!D292="Abierto",Registro!E292="Alta"),TODAY()-Registro!R292,"")</f>
        <v/>
      </c>
      <c r="F293" s="45" t="str">
        <f>IF(AND(Registro!D292="Abierto",Registro!E292="Alta"),RANK(E293,$E$9:$E$1000,0)+COUNTIF($E$9:E293,E293)-1+MAX(C$5:C$1000),"")</f>
        <v/>
      </c>
      <c r="G293" s="45" t="str">
        <f>IF(AND(Registro!D292="Abierto",Registro!E292="Media"),Registro!B292,"")</f>
        <v/>
      </c>
      <c r="H293" s="45" t="str">
        <f ca="1">IF(AND(Registro!D292="Abierto",Registro!E292="Media"),TODAY()-Registro!R292,"")</f>
        <v/>
      </c>
      <c r="I293" s="45" t="str">
        <f>IF(AND(Registro!D292="Abierto",Registro!E292="Media"),RANK(H293,$H$9:$H$1000,0)+COUNTIF($H$9:H293,H293)-1+MAX(C$5:C$1000,F$5:F$1000),"")</f>
        <v/>
      </c>
      <c r="J293" s="45" t="str">
        <f>IF(AND(Registro!D292="Abierto",Registro!E292="Baja"),Registro!B292,"")</f>
        <v/>
      </c>
      <c r="K293" s="45" t="str">
        <f ca="1">IF(AND(Registro!D292="Abierto",Registro!E292="Baja"),TODAY()-Registro!R292,"")</f>
        <v/>
      </c>
      <c r="L293" s="45" t="str">
        <f>IF(AND(Registro!D292="Abierto",Registro!E292="Baja"),RANK(K293,$K$9:$K$1000,0)+COUNTIF($K$9:K293,K293)-1+MAX(C$5:C$1000,F$5:F$1000,I$5:I$1000),"")</f>
        <v/>
      </c>
      <c r="M293" s="46" t="str">
        <f>IF(OR(Registro!D292="Resuelto",Registro!D292=""),"",SUM(C293,F293,I293,L293))</f>
        <v/>
      </c>
      <c r="N293" s="46" t="str">
        <f>IF(OR(Registro!D292="Resuelto",Registro!D292=""),"",SUM(B293,E293,H293,K293))</f>
        <v/>
      </c>
      <c r="O293" s="46" t="str">
        <f>IF(OR(Registro!D292="Resuelto",Registro!D292=""),"",_xlfn.CONCAT(A293,D293,G293,J293))</f>
        <v/>
      </c>
      <c r="P293" s="47">
        <v>285</v>
      </c>
      <c r="Q293" s="47" t="str">
        <f t="shared" ca="1" si="12"/>
        <v/>
      </c>
      <c r="R293" s="48" t="str">
        <f t="shared" ca="1" si="13"/>
        <v/>
      </c>
      <c r="S293" s="32"/>
      <c r="T293" s="32"/>
      <c r="U293" s="32"/>
      <c r="V293" s="32"/>
      <c r="W293" s="47" t="str">
        <f>IF(X293="","",MAX($W$5:W292)+1)</f>
        <v/>
      </c>
      <c r="X293" s="50" t="str">
        <f>IF(Registro!M292="","",IF(COUNTIF($X$8:X292,Registro!M292)=0,Registro!M292,""))</f>
        <v/>
      </c>
      <c r="Y293" s="50" t="str">
        <f t="shared" si="14"/>
        <v/>
      </c>
    </row>
    <row r="294" spans="1:25">
      <c r="A294" s="45" t="str">
        <f>IF(AND(Registro!D293="Abierto",Registro!E293="Urgente"),Registro!B293,"")</f>
        <v/>
      </c>
      <c r="B294" s="45" t="str">
        <f ca="1">IF(AND(Registro!D293="Abierto",Registro!E293="Urgente"),TODAY()-Registro!R293,"")</f>
        <v/>
      </c>
      <c r="C294" s="45" t="str">
        <f>IF(AND(Registro!D293="Abierto",Registro!E293="Urgente"),RANK(B294,$B$9:$B$1000,0)+COUNTIF($B$9:B294,B294)-1,"")</f>
        <v/>
      </c>
      <c r="D294" s="45" t="str">
        <f>IF(AND(Registro!D293="Abierto",Registro!E293="Alta"),Registro!B293,"")</f>
        <v/>
      </c>
      <c r="E294" s="45" t="str">
        <f ca="1">IF(AND(Registro!D293="Abierto",Registro!E293="Alta"),TODAY()-Registro!R293,"")</f>
        <v/>
      </c>
      <c r="F294" s="45" t="str">
        <f>IF(AND(Registro!D293="Abierto",Registro!E293="Alta"),RANK(E294,$E$9:$E$1000,0)+COUNTIF($E$9:E294,E294)-1+MAX(C$5:C$1000),"")</f>
        <v/>
      </c>
      <c r="G294" s="45" t="str">
        <f>IF(AND(Registro!D293="Abierto",Registro!E293="Media"),Registro!B293,"")</f>
        <v/>
      </c>
      <c r="H294" s="45" t="str">
        <f ca="1">IF(AND(Registro!D293="Abierto",Registro!E293="Media"),TODAY()-Registro!R293,"")</f>
        <v/>
      </c>
      <c r="I294" s="45" t="str">
        <f>IF(AND(Registro!D293="Abierto",Registro!E293="Media"),RANK(H294,$H$9:$H$1000,0)+COUNTIF($H$9:H294,H294)-1+MAX(C$5:C$1000,F$5:F$1000),"")</f>
        <v/>
      </c>
      <c r="J294" s="45" t="str">
        <f>IF(AND(Registro!D293="Abierto",Registro!E293="Baja"),Registro!B293,"")</f>
        <v/>
      </c>
      <c r="K294" s="45" t="str">
        <f ca="1">IF(AND(Registro!D293="Abierto",Registro!E293="Baja"),TODAY()-Registro!R293,"")</f>
        <v/>
      </c>
      <c r="L294" s="45" t="str">
        <f>IF(AND(Registro!D293="Abierto",Registro!E293="Baja"),RANK(K294,$K$9:$K$1000,0)+COUNTIF($K$9:K294,K294)-1+MAX(C$5:C$1000,F$5:F$1000,I$5:I$1000),"")</f>
        <v/>
      </c>
      <c r="M294" s="46" t="str">
        <f>IF(OR(Registro!D293="Resuelto",Registro!D293=""),"",SUM(C294,F294,I294,L294))</f>
        <v/>
      </c>
      <c r="N294" s="46" t="str">
        <f>IF(OR(Registro!D293="Resuelto",Registro!D293=""),"",SUM(B294,E294,H294,K294))</f>
        <v/>
      </c>
      <c r="O294" s="46" t="str">
        <f>IF(OR(Registro!D293="Resuelto",Registro!D293=""),"",_xlfn.CONCAT(A294,D294,G294,J294))</f>
        <v/>
      </c>
      <c r="P294" s="47">
        <v>286</v>
      </c>
      <c r="Q294" s="47" t="str">
        <f t="shared" ca="1" si="12"/>
        <v/>
      </c>
      <c r="R294" s="48" t="str">
        <f t="shared" ca="1" si="13"/>
        <v/>
      </c>
      <c r="S294" s="32"/>
      <c r="T294" s="32"/>
      <c r="U294" s="32"/>
      <c r="V294" s="32"/>
      <c r="W294" s="47" t="str">
        <f>IF(X294="","",MAX($W$5:W293)+1)</f>
        <v/>
      </c>
      <c r="X294" s="50" t="str">
        <f>IF(Registro!M293="","",IF(COUNTIF($X$8:X293,Registro!M293)=0,Registro!M293,""))</f>
        <v/>
      </c>
      <c r="Y294" s="50" t="str">
        <f t="shared" si="14"/>
        <v/>
      </c>
    </row>
    <row r="295" spans="1:25">
      <c r="A295" s="45" t="str">
        <f>IF(AND(Registro!D294="Abierto",Registro!E294="Urgente"),Registro!B294,"")</f>
        <v/>
      </c>
      <c r="B295" s="45" t="str">
        <f ca="1">IF(AND(Registro!D294="Abierto",Registro!E294="Urgente"),TODAY()-Registro!R294,"")</f>
        <v/>
      </c>
      <c r="C295" s="45" t="str">
        <f>IF(AND(Registro!D294="Abierto",Registro!E294="Urgente"),RANK(B295,$B$9:$B$1000,0)+COUNTIF($B$9:B295,B295)-1,"")</f>
        <v/>
      </c>
      <c r="D295" s="45" t="str">
        <f>IF(AND(Registro!D294="Abierto",Registro!E294="Alta"),Registro!B294,"")</f>
        <v/>
      </c>
      <c r="E295" s="45" t="str">
        <f ca="1">IF(AND(Registro!D294="Abierto",Registro!E294="Alta"),TODAY()-Registro!R294,"")</f>
        <v/>
      </c>
      <c r="F295" s="45" t="str">
        <f>IF(AND(Registro!D294="Abierto",Registro!E294="Alta"),RANK(E295,$E$9:$E$1000,0)+COUNTIF($E$9:E295,E295)-1+MAX(C$5:C$1000),"")</f>
        <v/>
      </c>
      <c r="G295" s="45" t="str">
        <f>IF(AND(Registro!D294="Abierto",Registro!E294="Media"),Registro!B294,"")</f>
        <v/>
      </c>
      <c r="H295" s="45" t="str">
        <f ca="1">IF(AND(Registro!D294="Abierto",Registro!E294="Media"),TODAY()-Registro!R294,"")</f>
        <v/>
      </c>
      <c r="I295" s="45" t="str">
        <f>IF(AND(Registro!D294="Abierto",Registro!E294="Media"),RANK(H295,$H$9:$H$1000,0)+COUNTIF($H$9:H295,H295)-1+MAX(C$5:C$1000,F$5:F$1000),"")</f>
        <v/>
      </c>
      <c r="J295" s="45" t="str">
        <f>IF(AND(Registro!D294="Abierto",Registro!E294="Baja"),Registro!B294,"")</f>
        <v/>
      </c>
      <c r="K295" s="45" t="str">
        <f ca="1">IF(AND(Registro!D294="Abierto",Registro!E294="Baja"),TODAY()-Registro!R294,"")</f>
        <v/>
      </c>
      <c r="L295" s="45" t="str">
        <f>IF(AND(Registro!D294="Abierto",Registro!E294="Baja"),RANK(K295,$K$9:$K$1000,0)+COUNTIF($K$9:K295,K295)-1+MAX(C$5:C$1000,F$5:F$1000,I$5:I$1000),"")</f>
        <v/>
      </c>
      <c r="M295" s="46" t="str">
        <f>IF(OR(Registro!D294="Resuelto",Registro!D294=""),"",SUM(C295,F295,I295,L295))</f>
        <v/>
      </c>
      <c r="N295" s="46" t="str">
        <f>IF(OR(Registro!D294="Resuelto",Registro!D294=""),"",SUM(B295,E295,H295,K295))</f>
        <v/>
      </c>
      <c r="O295" s="46" t="str">
        <f>IF(OR(Registro!D294="Resuelto",Registro!D294=""),"",_xlfn.CONCAT(A295,D295,G295,J295))</f>
        <v/>
      </c>
      <c r="P295" s="47">
        <v>287</v>
      </c>
      <c r="Q295" s="47" t="str">
        <f t="shared" ca="1" si="12"/>
        <v/>
      </c>
      <c r="R295" s="48" t="str">
        <f t="shared" ca="1" si="13"/>
        <v/>
      </c>
      <c r="S295" s="32"/>
      <c r="T295" s="32"/>
      <c r="U295" s="32"/>
      <c r="V295" s="32"/>
      <c r="W295" s="47" t="str">
        <f>IF(X295="","",MAX($W$5:W294)+1)</f>
        <v/>
      </c>
      <c r="X295" s="50" t="str">
        <f>IF(Registro!M294="","",IF(COUNTIF($X$8:X294,Registro!M294)=0,Registro!M294,""))</f>
        <v/>
      </c>
      <c r="Y295" s="50" t="str">
        <f t="shared" si="14"/>
        <v/>
      </c>
    </row>
    <row r="296" spans="1:25">
      <c r="A296" s="45" t="str">
        <f>IF(AND(Registro!D295="Abierto",Registro!E295="Urgente"),Registro!B295,"")</f>
        <v/>
      </c>
      <c r="B296" s="45" t="str">
        <f ca="1">IF(AND(Registro!D295="Abierto",Registro!E295="Urgente"),TODAY()-Registro!R295,"")</f>
        <v/>
      </c>
      <c r="C296" s="45" t="str">
        <f>IF(AND(Registro!D295="Abierto",Registro!E295="Urgente"),RANK(B296,$B$9:$B$1000,0)+COUNTIF($B$9:B296,B296)-1,"")</f>
        <v/>
      </c>
      <c r="D296" s="45" t="str">
        <f>IF(AND(Registro!D295="Abierto",Registro!E295="Alta"),Registro!B295,"")</f>
        <v/>
      </c>
      <c r="E296" s="45" t="str">
        <f ca="1">IF(AND(Registro!D295="Abierto",Registro!E295="Alta"),TODAY()-Registro!R295,"")</f>
        <v/>
      </c>
      <c r="F296" s="45" t="str">
        <f>IF(AND(Registro!D295="Abierto",Registro!E295="Alta"),RANK(E296,$E$9:$E$1000,0)+COUNTIF($E$9:E296,E296)-1+MAX(C$5:C$1000),"")</f>
        <v/>
      </c>
      <c r="G296" s="45" t="str">
        <f>IF(AND(Registro!D295="Abierto",Registro!E295="Media"),Registro!B295,"")</f>
        <v/>
      </c>
      <c r="H296" s="45" t="str">
        <f ca="1">IF(AND(Registro!D295="Abierto",Registro!E295="Media"),TODAY()-Registro!R295,"")</f>
        <v/>
      </c>
      <c r="I296" s="45" t="str">
        <f>IF(AND(Registro!D295="Abierto",Registro!E295="Media"),RANK(H296,$H$9:$H$1000,0)+COUNTIF($H$9:H296,H296)-1+MAX(C$5:C$1000,F$5:F$1000),"")</f>
        <v/>
      </c>
      <c r="J296" s="45" t="str">
        <f>IF(AND(Registro!D295="Abierto",Registro!E295="Baja"),Registro!B295,"")</f>
        <v/>
      </c>
      <c r="K296" s="45" t="str">
        <f ca="1">IF(AND(Registro!D295="Abierto",Registro!E295="Baja"),TODAY()-Registro!R295,"")</f>
        <v/>
      </c>
      <c r="L296" s="45" t="str">
        <f>IF(AND(Registro!D295="Abierto",Registro!E295="Baja"),RANK(K296,$K$9:$K$1000,0)+COUNTIF($K$9:K296,K296)-1+MAX(C$5:C$1000,F$5:F$1000,I$5:I$1000),"")</f>
        <v/>
      </c>
      <c r="M296" s="46" t="str">
        <f>IF(OR(Registro!D295="Resuelto",Registro!D295=""),"",SUM(C296,F296,I296,L296))</f>
        <v/>
      </c>
      <c r="N296" s="46" t="str">
        <f>IF(OR(Registro!D295="Resuelto",Registro!D295=""),"",SUM(B296,E296,H296,K296))</f>
        <v/>
      </c>
      <c r="O296" s="46" t="str">
        <f>IF(OR(Registro!D295="Resuelto",Registro!D295=""),"",_xlfn.CONCAT(A296,D296,G296,J296))</f>
        <v/>
      </c>
      <c r="P296" s="47">
        <v>288</v>
      </c>
      <c r="Q296" s="47" t="str">
        <f t="shared" ca="1" si="12"/>
        <v/>
      </c>
      <c r="R296" s="48" t="str">
        <f t="shared" ca="1" si="13"/>
        <v/>
      </c>
      <c r="S296" s="32"/>
      <c r="T296" s="32"/>
      <c r="U296" s="32"/>
      <c r="V296" s="32"/>
      <c r="W296" s="47" t="str">
        <f>IF(X296="","",MAX($W$5:W295)+1)</f>
        <v/>
      </c>
      <c r="X296" s="50" t="str">
        <f>IF(Registro!M295="","",IF(COUNTIF($X$8:X295,Registro!M295)=0,Registro!M295,""))</f>
        <v/>
      </c>
      <c r="Y296" s="50" t="str">
        <f t="shared" si="14"/>
        <v/>
      </c>
    </row>
    <row r="297" spans="1:25">
      <c r="A297" s="45" t="str">
        <f>IF(AND(Registro!D296="Abierto",Registro!E296="Urgente"),Registro!B296,"")</f>
        <v/>
      </c>
      <c r="B297" s="45" t="str">
        <f ca="1">IF(AND(Registro!D296="Abierto",Registro!E296="Urgente"),TODAY()-Registro!R296,"")</f>
        <v/>
      </c>
      <c r="C297" s="45" t="str">
        <f>IF(AND(Registro!D296="Abierto",Registro!E296="Urgente"),RANK(B297,$B$9:$B$1000,0)+COUNTIF($B$9:B297,B297)-1,"")</f>
        <v/>
      </c>
      <c r="D297" s="45" t="str">
        <f>IF(AND(Registro!D296="Abierto",Registro!E296="Alta"),Registro!B296,"")</f>
        <v/>
      </c>
      <c r="E297" s="45" t="str">
        <f ca="1">IF(AND(Registro!D296="Abierto",Registro!E296="Alta"),TODAY()-Registro!R296,"")</f>
        <v/>
      </c>
      <c r="F297" s="45" t="str">
        <f>IF(AND(Registro!D296="Abierto",Registro!E296="Alta"),RANK(E297,$E$9:$E$1000,0)+COUNTIF($E$9:E297,E297)-1+MAX(C$5:C$1000),"")</f>
        <v/>
      </c>
      <c r="G297" s="45" t="str">
        <f>IF(AND(Registro!D296="Abierto",Registro!E296="Media"),Registro!B296,"")</f>
        <v/>
      </c>
      <c r="H297" s="45" t="str">
        <f ca="1">IF(AND(Registro!D296="Abierto",Registro!E296="Media"),TODAY()-Registro!R296,"")</f>
        <v/>
      </c>
      <c r="I297" s="45" t="str">
        <f>IF(AND(Registro!D296="Abierto",Registro!E296="Media"),RANK(H297,$H$9:$H$1000,0)+COUNTIF($H$9:H297,H297)-1+MAX(C$5:C$1000,F$5:F$1000),"")</f>
        <v/>
      </c>
      <c r="J297" s="45" t="str">
        <f>IF(AND(Registro!D296="Abierto",Registro!E296="Baja"),Registro!B296,"")</f>
        <v/>
      </c>
      <c r="K297" s="45" t="str">
        <f ca="1">IF(AND(Registro!D296="Abierto",Registro!E296="Baja"),TODAY()-Registro!R296,"")</f>
        <v/>
      </c>
      <c r="L297" s="45" t="str">
        <f>IF(AND(Registro!D296="Abierto",Registro!E296="Baja"),RANK(K297,$K$9:$K$1000,0)+COUNTIF($K$9:K297,K297)-1+MAX(C$5:C$1000,F$5:F$1000,I$5:I$1000),"")</f>
        <v/>
      </c>
      <c r="M297" s="46" t="str">
        <f>IF(OR(Registro!D296="Resuelto",Registro!D296=""),"",SUM(C297,F297,I297,L297))</f>
        <v/>
      </c>
      <c r="N297" s="46" t="str">
        <f>IF(OR(Registro!D296="Resuelto",Registro!D296=""),"",SUM(B297,E297,H297,K297))</f>
        <v/>
      </c>
      <c r="O297" s="46" t="str">
        <f>IF(OR(Registro!D296="Resuelto",Registro!D296=""),"",_xlfn.CONCAT(A297,D297,G297,J297))</f>
        <v/>
      </c>
      <c r="P297" s="47">
        <v>289</v>
      </c>
      <c r="Q297" s="47" t="str">
        <f t="shared" ca="1" si="12"/>
        <v/>
      </c>
      <c r="R297" s="48" t="str">
        <f t="shared" ca="1" si="13"/>
        <v/>
      </c>
      <c r="S297" s="32"/>
      <c r="T297" s="32"/>
      <c r="U297" s="32"/>
      <c r="V297" s="32"/>
      <c r="W297" s="47" t="str">
        <f>IF(X297="","",MAX($W$5:W296)+1)</f>
        <v/>
      </c>
      <c r="X297" s="50" t="str">
        <f>IF(Registro!M296="","",IF(COUNTIF($X$8:X296,Registro!M296)=0,Registro!M296,""))</f>
        <v/>
      </c>
      <c r="Y297" s="50" t="str">
        <f t="shared" si="14"/>
        <v/>
      </c>
    </row>
    <row r="298" spans="1:25">
      <c r="A298" s="45" t="str">
        <f>IF(AND(Registro!D297="Abierto",Registro!E297="Urgente"),Registro!B297,"")</f>
        <v/>
      </c>
      <c r="B298" s="45" t="str">
        <f ca="1">IF(AND(Registro!D297="Abierto",Registro!E297="Urgente"),TODAY()-Registro!R297,"")</f>
        <v/>
      </c>
      <c r="C298" s="45" t="str">
        <f>IF(AND(Registro!D297="Abierto",Registro!E297="Urgente"),RANK(B298,$B$9:$B$1000,0)+COUNTIF($B$9:B298,B298)-1,"")</f>
        <v/>
      </c>
      <c r="D298" s="45" t="str">
        <f>IF(AND(Registro!D297="Abierto",Registro!E297="Alta"),Registro!B297,"")</f>
        <v/>
      </c>
      <c r="E298" s="45" t="str">
        <f ca="1">IF(AND(Registro!D297="Abierto",Registro!E297="Alta"),TODAY()-Registro!R297,"")</f>
        <v/>
      </c>
      <c r="F298" s="45" t="str">
        <f>IF(AND(Registro!D297="Abierto",Registro!E297="Alta"),RANK(E298,$E$9:$E$1000,0)+COUNTIF($E$9:E298,E298)-1+MAX(C$5:C$1000),"")</f>
        <v/>
      </c>
      <c r="G298" s="45" t="str">
        <f>IF(AND(Registro!D297="Abierto",Registro!E297="Media"),Registro!B297,"")</f>
        <v/>
      </c>
      <c r="H298" s="45" t="str">
        <f ca="1">IF(AND(Registro!D297="Abierto",Registro!E297="Media"),TODAY()-Registro!R297,"")</f>
        <v/>
      </c>
      <c r="I298" s="45" t="str">
        <f>IF(AND(Registro!D297="Abierto",Registro!E297="Media"),RANK(H298,$H$9:$H$1000,0)+COUNTIF($H$9:H298,H298)-1+MAX(C$5:C$1000,F$5:F$1000),"")</f>
        <v/>
      </c>
      <c r="J298" s="45" t="str">
        <f>IF(AND(Registro!D297="Abierto",Registro!E297="Baja"),Registro!B297,"")</f>
        <v/>
      </c>
      <c r="K298" s="45" t="str">
        <f ca="1">IF(AND(Registro!D297="Abierto",Registro!E297="Baja"),TODAY()-Registro!R297,"")</f>
        <v/>
      </c>
      <c r="L298" s="45" t="str">
        <f>IF(AND(Registro!D297="Abierto",Registro!E297="Baja"),RANK(K298,$K$9:$K$1000,0)+COUNTIF($K$9:K298,K298)-1+MAX(C$5:C$1000,F$5:F$1000,I$5:I$1000),"")</f>
        <v/>
      </c>
      <c r="M298" s="46" t="str">
        <f>IF(OR(Registro!D297="Resuelto",Registro!D297=""),"",SUM(C298,F298,I298,L298))</f>
        <v/>
      </c>
      <c r="N298" s="46" t="str">
        <f>IF(OR(Registro!D297="Resuelto",Registro!D297=""),"",SUM(B298,E298,H298,K298))</f>
        <v/>
      </c>
      <c r="O298" s="46" t="str">
        <f>IF(OR(Registro!D297="Resuelto",Registro!D297=""),"",_xlfn.CONCAT(A298,D298,G298,J298))</f>
        <v/>
      </c>
      <c r="P298" s="47">
        <v>290</v>
      </c>
      <c r="Q298" s="47" t="str">
        <f t="shared" ca="1" si="12"/>
        <v/>
      </c>
      <c r="R298" s="48" t="str">
        <f t="shared" ca="1" si="13"/>
        <v/>
      </c>
      <c r="S298" s="32"/>
      <c r="T298" s="32"/>
      <c r="U298" s="32"/>
      <c r="V298" s="32"/>
      <c r="W298" s="47" t="str">
        <f>IF(X298="","",MAX($W$5:W297)+1)</f>
        <v/>
      </c>
      <c r="X298" s="50" t="str">
        <f>IF(Registro!M297="","",IF(COUNTIF($X$8:X297,Registro!M297)=0,Registro!M297,""))</f>
        <v/>
      </c>
      <c r="Y298" s="50" t="str">
        <f t="shared" si="14"/>
        <v/>
      </c>
    </row>
    <row r="299" spans="1:25">
      <c r="A299" s="45" t="str">
        <f>IF(AND(Registro!D298="Abierto",Registro!E298="Urgente"),Registro!B298,"")</f>
        <v/>
      </c>
      <c r="B299" s="45" t="str">
        <f ca="1">IF(AND(Registro!D298="Abierto",Registro!E298="Urgente"),TODAY()-Registro!R298,"")</f>
        <v/>
      </c>
      <c r="C299" s="45" t="str">
        <f>IF(AND(Registro!D298="Abierto",Registro!E298="Urgente"),RANK(B299,$B$9:$B$1000,0)+COUNTIF($B$9:B299,B299)-1,"")</f>
        <v/>
      </c>
      <c r="D299" s="45" t="str">
        <f>IF(AND(Registro!D298="Abierto",Registro!E298="Alta"),Registro!B298,"")</f>
        <v/>
      </c>
      <c r="E299" s="45" t="str">
        <f ca="1">IF(AND(Registro!D298="Abierto",Registro!E298="Alta"),TODAY()-Registro!R298,"")</f>
        <v/>
      </c>
      <c r="F299" s="45" t="str">
        <f>IF(AND(Registro!D298="Abierto",Registro!E298="Alta"),RANK(E299,$E$9:$E$1000,0)+COUNTIF($E$9:E299,E299)-1+MAX(C$5:C$1000),"")</f>
        <v/>
      </c>
      <c r="G299" s="45" t="str">
        <f>IF(AND(Registro!D298="Abierto",Registro!E298="Media"),Registro!B298,"")</f>
        <v/>
      </c>
      <c r="H299" s="45" t="str">
        <f ca="1">IF(AND(Registro!D298="Abierto",Registro!E298="Media"),TODAY()-Registro!R298,"")</f>
        <v/>
      </c>
      <c r="I299" s="45" t="str">
        <f>IF(AND(Registro!D298="Abierto",Registro!E298="Media"),RANK(H299,$H$9:$H$1000,0)+COUNTIF($H$9:H299,H299)-1+MAX(C$5:C$1000,F$5:F$1000),"")</f>
        <v/>
      </c>
      <c r="J299" s="45" t="str">
        <f>IF(AND(Registro!D298="Abierto",Registro!E298="Baja"),Registro!B298,"")</f>
        <v/>
      </c>
      <c r="K299" s="45" t="str">
        <f ca="1">IF(AND(Registro!D298="Abierto",Registro!E298="Baja"),TODAY()-Registro!R298,"")</f>
        <v/>
      </c>
      <c r="L299" s="45" t="str">
        <f>IF(AND(Registro!D298="Abierto",Registro!E298="Baja"),RANK(K299,$K$9:$K$1000,0)+COUNTIF($K$9:K299,K299)-1+MAX(C$5:C$1000,F$5:F$1000,I$5:I$1000),"")</f>
        <v/>
      </c>
      <c r="M299" s="46" t="str">
        <f>IF(OR(Registro!D298="Resuelto",Registro!D298=""),"",SUM(C299,F299,I299,L299))</f>
        <v/>
      </c>
      <c r="N299" s="46" t="str">
        <f>IF(OR(Registro!D298="Resuelto",Registro!D298=""),"",SUM(B299,E299,H299,K299))</f>
        <v/>
      </c>
      <c r="O299" s="46" t="str">
        <f>IF(OR(Registro!D298="Resuelto",Registro!D298=""),"",_xlfn.CONCAT(A299,D299,G299,J299))</f>
        <v/>
      </c>
      <c r="P299" s="47">
        <v>291</v>
      </c>
      <c r="Q299" s="47" t="str">
        <f t="shared" ca="1" si="12"/>
        <v/>
      </c>
      <c r="R299" s="48" t="str">
        <f t="shared" ca="1" si="13"/>
        <v/>
      </c>
      <c r="S299" s="32"/>
      <c r="T299" s="32"/>
      <c r="U299" s="32"/>
      <c r="V299" s="32"/>
      <c r="W299" s="47" t="str">
        <f>IF(X299="","",MAX($W$5:W298)+1)</f>
        <v/>
      </c>
      <c r="X299" s="50" t="str">
        <f>IF(Registro!M298="","",IF(COUNTIF($X$8:X298,Registro!M298)=0,Registro!M298,""))</f>
        <v/>
      </c>
      <c r="Y299" s="50" t="str">
        <f t="shared" si="14"/>
        <v/>
      </c>
    </row>
    <row r="300" spans="1:25">
      <c r="A300" s="45" t="str">
        <f>IF(AND(Registro!D299="Abierto",Registro!E299="Urgente"),Registro!B299,"")</f>
        <v/>
      </c>
      <c r="B300" s="45" t="str">
        <f ca="1">IF(AND(Registro!D299="Abierto",Registro!E299="Urgente"),TODAY()-Registro!R299,"")</f>
        <v/>
      </c>
      <c r="C300" s="45" t="str">
        <f>IF(AND(Registro!D299="Abierto",Registro!E299="Urgente"),RANK(B300,$B$9:$B$1000,0)+COUNTIF($B$9:B300,B300)-1,"")</f>
        <v/>
      </c>
      <c r="D300" s="45" t="str">
        <f>IF(AND(Registro!D299="Abierto",Registro!E299="Alta"),Registro!B299,"")</f>
        <v/>
      </c>
      <c r="E300" s="45" t="str">
        <f ca="1">IF(AND(Registro!D299="Abierto",Registro!E299="Alta"),TODAY()-Registro!R299,"")</f>
        <v/>
      </c>
      <c r="F300" s="45" t="str">
        <f>IF(AND(Registro!D299="Abierto",Registro!E299="Alta"),RANK(E300,$E$9:$E$1000,0)+COUNTIF($E$9:E300,E300)-1+MAX(C$5:C$1000),"")</f>
        <v/>
      </c>
      <c r="G300" s="45" t="str">
        <f>IF(AND(Registro!D299="Abierto",Registro!E299="Media"),Registro!B299,"")</f>
        <v/>
      </c>
      <c r="H300" s="45" t="str">
        <f ca="1">IF(AND(Registro!D299="Abierto",Registro!E299="Media"),TODAY()-Registro!R299,"")</f>
        <v/>
      </c>
      <c r="I300" s="45" t="str">
        <f>IF(AND(Registro!D299="Abierto",Registro!E299="Media"),RANK(H300,$H$9:$H$1000,0)+COUNTIF($H$9:H300,H300)-1+MAX(C$5:C$1000,F$5:F$1000),"")</f>
        <v/>
      </c>
      <c r="J300" s="45" t="str">
        <f>IF(AND(Registro!D299="Abierto",Registro!E299="Baja"),Registro!B299,"")</f>
        <v/>
      </c>
      <c r="K300" s="45" t="str">
        <f ca="1">IF(AND(Registro!D299="Abierto",Registro!E299="Baja"),TODAY()-Registro!R299,"")</f>
        <v/>
      </c>
      <c r="L300" s="45" t="str">
        <f>IF(AND(Registro!D299="Abierto",Registro!E299="Baja"),RANK(K300,$K$9:$K$1000,0)+COUNTIF($K$9:K300,K300)-1+MAX(C$5:C$1000,F$5:F$1000,I$5:I$1000),"")</f>
        <v/>
      </c>
      <c r="M300" s="46" t="str">
        <f>IF(OR(Registro!D299="Resuelto",Registro!D299=""),"",SUM(C300,F300,I300,L300))</f>
        <v/>
      </c>
      <c r="N300" s="46" t="str">
        <f>IF(OR(Registro!D299="Resuelto",Registro!D299=""),"",SUM(B300,E300,H300,K300))</f>
        <v/>
      </c>
      <c r="O300" s="46" t="str">
        <f>IF(OR(Registro!D299="Resuelto",Registro!D299=""),"",_xlfn.CONCAT(A300,D300,G300,J300))</f>
        <v/>
      </c>
      <c r="P300" s="47">
        <v>292</v>
      </c>
      <c r="Q300" s="47" t="str">
        <f t="shared" ca="1" si="12"/>
        <v/>
      </c>
      <c r="R300" s="48" t="str">
        <f t="shared" ca="1" si="13"/>
        <v/>
      </c>
      <c r="S300" s="32"/>
      <c r="T300" s="32"/>
      <c r="U300" s="32"/>
      <c r="V300" s="32"/>
      <c r="W300" s="47" t="str">
        <f>IF(X300="","",MAX($W$5:W299)+1)</f>
        <v/>
      </c>
      <c r="X300" s="50" t="str">
        <f>IF(Registro!M299="","",IF(COUNTIF($X$8:X299,Registro!M299)=0,Registro!M299,""))</f>
        <v/>
      </c>
      <c r="Y300" s="50" t="str">
        <f t="shared" si="14"/>
        <v/>
      </c>
    </row>
    <row r="301" spans="1:25">
      <c r="A301" s="45" t="str">
        <f>IF(AND(Registro!D300="Abierto",Registro!E300="Urgente"),Registro!B300,"")</f>
        <v/>
      </c>
      <c r="B301" s="45" t="str">
        <f ca="1">IF(AND(Registro!D300="Abierto",Registro!E300="Urgente"),TODAY()-Registro!R300,"")</f>
        <v/>
      </c>
      <c r="C301" s="45" t="str">
        <f>IF(AND(Registro!D300="Abierto",Registro!E300="Urgente"),RANK(B301,$B$9:$B$1000,0)+COUNTIF($B$9:B301,B301)-1,"")</f>
        <v/>
      </c>
      <c r="D301" s="45" t="str">
        <f>IF(AND(Registro!D300="Abierto",Registro!E300="Alta"),Registro!B300,"")</f>
        <v/>
      </c>
      <c r="E301" s="45" t="str">
        <f ca="1">IF(AND(Registro!D300="Abierto",Registro!E300="Alta"),TODAY()-Registro!R300,"")</f>
        <v/>
      </c>
      <c r="F301" s="45" t="str">
        <f>IF(AND(Registro!D300="Abierto",Registro!E300="Alta"),RANK(E301,$E$9:$E$1000,0)+COUNTIF($E$9:E301,E301)-1+MAX(C$5:C$1000),"")</f>
        <v/>
      </c>
      <c r="G301" s="45" t="str">
        <f>IF(AND(Registro!D300="Abierto",Registro!E300="Media"),Registro!B300,"")</f>
        <v/>
      </c>
      <c r="H301" s="45" t="str">
        <f ca="1">IF(AND(Registro!D300="Abierto",Registro!E300="Media"),TODAY()-Registro!R300,"")</f>
        <v/>
      </c>
      <c r="I301" s="45" t="str">
        <f>IF(AND(Registro!D300="Abierto",Registro!E300="Media"),RANK(H301,$H$9:$H$1000,0)+COUNTIF($H$9:H301,H301)-1+MAX(C$5:C$1000,F$5:F$1000),"")</f>
        <v/>
      </c>
      <c r="J301" s="45" t="str">
        <f>IF(AND(Registro!D300="Abierto",Registro!E300="Baja"),Registro!B300,"")</f>
        <v/>
      </c>
      <c r="K301" s="45" t="str">
        <f ca="1">IF(AND(Registro!D300="Abierto",Registro!E300="Baja"),TODAY()-Registro!R300,"")</f>
        <v/>
      </c>
      <c r="L301" s="45" t="str">
        <f>IF(AND(Registro!D300="Abierto",Registro!E300="Baja"),RANK(K301,$K$9:$K$1000,0)+COUNTIF($K$9:K301,K301)-1+MAX(C$5:C$1000,F$5:F$1000,I$5:I$1000),"")</f>
        <v/>
      </c>
      <c r="M301" s="46" t="str">
        <f>IF(OR(Registro!D300="Resuelto",Registro!D300=""),"",SUM(C301,F301,I301,L301))</f>
        <v/>
      </c>
      <c r="N301" s="46" t="str">
        <f>IF(OR(Registro!D300="Resuelto",Registro!D300=""),"",SUM(B301,E301,H301,K301))</f>
        <v/>
      </c>
      <c r="O301" s="46" t="str">
        <f>IF(OR(Registro!D300="Resuelto",Registro!D300=""),"",_xlfn.CONCAT(A301,D301,G301,J301))</f>
        <v/>
      </c>
      <c r="P301" s="47">
        <v>293</v>
      </c>
      <c r="Q301" s="47" t="str">
        <f t="shared" ca="1" si="12"/>
        <v/>
      </c>
      <c r="R301" s="48" t="str">
        <f t="shared" ca="1" si="13"/>
        <v/>
      </c>
      <c r="S301" s="32"/>
      <c r="T301" s="32"/>
      <c r="U301" s="32"/>
      <c r="V301" s="32"/>
      <c r="W301" s="47" t="str">
        <f>IF(X301="","",MAX($W$5:W300)+1)</f>
        <v/>
      </c>
      <c r="X301" s="50" t="str">
        <f>IF(Registro!M300="","",IF(COUNTIF($X$8:X300,Registro!M300)=0,Registro!M300,""))</f>
        <v/>
      </c>
      <c r="Y301" s="50" t="str">
        <f t="shared" si="14"/>
        <v/>
      </c>
    </row>
    <row r="302" spans="1:25">
      <c r="A302" s="45" t="str">
        <f>IF(AND(Registro!D301="Abierto",Registro!E301="Urgente"),Registro!B301,"")</f>
        <v/>
      </c>
      <c r="B302" s="45" t="str">
        <f ca="1">IF(AND(Registro!D301="Abierto",Registro!E301="Urgente"),TODAY()-Registro!R301,"")</f>
        <v/>
      </c>
      <c r="C302" s="45" t="str">
        <f>IF(AND(Registro!D301="Abierto",Registro!E301="Urgente"),RANK(B302,$B$9:$B$1000,0)+COUNTIF($B$9:B302,B302)-1,"")</f>
        <v/>
      </c>
      <c r="D302" s="45" t="str">
        <f>IF(AND(Registro!D301="Abierto",Registro!E301="Alta"),Registro!B301,"")</f>
        <v/>
      </c>
      <c r="E302" s="45" t="str">
        <f ca="1">IF(AND(Registro!D301="Abierto",Registro!E301="Alta"),TODAY()-Registro!R301,"")</f>
        <v/>
      </c>
      <c r="F302" s="45" t="str">
        <f>IF(AND(Registro!D301="Abierto",Registro!E301="Alta"),RANK(E302,$E$9:$E$1000,0)+COUNTIF($E$9:E302,E302)-1+MAX(C$5:C$1000),"")</f>
        <v/>
      </c>
      <c r="G302" s="45" t="str">
        <f>IF(AND(Registro!D301="Abierto",Registro!E301="Media"),Registro!B301,"")</f>
        <v/>
      </c>
      <c r="H302" s="45" t="str">
        <f ca="1">IF(AND(Registro!D301="Abierto",Registro!E301="Media"),TODAY()-Registro!R301,"")</f>
        <v/>
      </c>
      <c r="I302" s="45" t="str">
        <f>IF(AND(Registro!D301="Abierto",Registro!E301="Media"),RANK(H302,$H$9:$H$1000,0)+COUNTIF($H$9:H302,H302)-1+MAX(C$5:C$1000,F$5:F$1000),"")</f>
        <v/>
      </c>
      <c r="J302" s="45" t="str">
        <f>IF(AND(Registro!D301="Abierto",Registro!E301="Baja"),Registro!B301,"")</f>
        <v/>
      </c>
      <c r="K302" s="45" t="str">
        <f ca="1">IF(AND(Registro!D301="Abierto",Registro!E301="Baja"),TODAY()-Registro!R301,"")</f>
        <v/>
      </c>
      <c r="L302" s="45" t="str">
        <f>IF(AND(Registro!D301="Abierto",Registro!E301="Baja"),RANK(K302,$K$9:$K$1000,0)+COUNTIF($K$9:K302,K302)-1+MAX(C$5:C$1000,F$5:F$1000,I$5:I$1000),"")</f>
        <v/>
      </c>
      <c r="M302" s="46" t="str">
        <f>IF(OR(Registro!D301="Resuelto",Registro!D301=""),"",SUM(C302,F302,I302,L302))</f>
        <v/>
      </c>
      <c r="N302" s="46" t="str">
        <f>IF(OR(Registro!D301="Resuelto",Registro!D301=""),"",SUM(B302,E302,H302,K302))</f>
        <v/>
      </c>
      <c r="O302" s="46" t="str">
        <f>IF(OR(Registro!D301="Resuelto",Registro!D301=""),"",_xlfn.CONCAT(A302,D302,G302,J302))</f>
        <v/>
      </c>
      <c r="P302" s="47">
        <v>294</v>
      </c>
      <c r="Q302" s="47" t="str">
        <f t="shared" ca="1" si="12"/>
        <v/>
      </c>
      <c r="R302" s="48" t="str">
        <f t="shared" ca="1" si="13"/>
        <v/>
      </c>
      <c r="S302" s="32"/>
      <c r="T302" s="32"/>
      <c r="U302" s="32"/>
      <c r="V302" s="32"/>
      <c r="W302" s="47" t="str">
        <f>IF(X302="","",MAX($W$5:W301)+1)</f>
        <v/>
      </c>
      <c r="X302" s="50" t="str">
        <f>IF(Registro!M301="","",IF(COUNTIF($X$8:X301,Registro!M301)=0,Registro!M301,""))</f>
        <v/>
      </c>
      <c r="Y302" s="50" t="str">
        <f t="shared" si="14"/>
        <v/>
      </c>
    </row>
    <row r="303" spans="1:25">
      <c r="A303" s="45" t="str">
        <f>IF(AND(Registro!D302="Abierto",Registro!E302="Urgente"),Registro!B302,"")</f>
        <v/>
      </c>
      <c r="B303" s="45" t="str">
        <f ca="1">IF(AND(Registro!D302="Abierto",Registro!E302="Urgente"),TODAY()-Registro!R302,"")</f>
        <v/>
      </c>
      <c r="C303" s="45" t="str">
        <f>IF(AND(Registro!D302="Abierto",Registro!E302="Urgente"),RANK(B303,$B$9:$B$1000,0)+COUNTIF($B$9:B303,B303)-1,"")</f>
        <v/>
      </c>
      <c r="D303" s="45" t="str">
        <f>IF(AND(Registro!D302="Abierto",Registro!E302="Alta"),Registro!B302,"")</f>
        <v/>
      </c>
      <c r="E303" s="45" t="str">
        <f ca="1">IF(AND(Registro!D302="Abierto",Registro!E302="Alta"),TODAY()-Registro!R302,"")</f>
        <v/>
      </c>
      <c r="F303" s="45" t="str">
        <f>IF(AND(Registro!D302="Abierto",Registro!E302="Alta"),RANK(E303,$E$9:$E$1000,0)+COUNTIF($E$9:E303,E303)-1+MAX(C$5:C$1000),"")</f>
        <v/>
      </c>
      <c r="G303" s="45" t="str">
        <f>IF(AND(Registro!D302="Abierto",Registro!E302="Media"),Registro!B302,"")</f>
        <v/>
      </c>
      <c r="H303" s="45" t="str">
        <f ca="1">IF(AND(Registro!D302="Abierto",Registro!E302="Media"),TODAY()-Registro!R302,"")</f>
        <v/>
      </c>
      <c r="I303" s="45" t="str">
        <f>IF(AND(Registro!D302="Abierto",Registro!E302="Media"),RANK(H303,$H$9:$H$1000,0)+COUNTIF($H$9:H303,H303)-1+MAX(C$5:C$1000,F$5:F$1000),"")</f>
        <v/>
      </c>
      <c r="J303" s="45" t="str">
        <f>IF(AND(Registro!D302="Abierto",Registro!E302="Baja"),Registro!B302,"")</f>
        <v/>
      </c>
      <c r="K303" s="45" t="str">
        <f ca="1">IF(AND(Registro!D302="Abierto",Registro!E302="Baja"),TODAY()-Registro!R302,"")</f>
        <v/>
      </c>
      <c r="L303" s="45" t="str">
        <f>IF(AND(Registro!D302="Abierto",Registro!E302="Baja"),RANK(K303,$K$9:$K$1000,0)+COUNTIF($K$9:K303,K303)-1+MAX(C$5:C$1000,F$5:F$1000,I$5:I$1000),"")</f>
        <v/>
      </c>
      <c r="M303" s="46" t="str">
        <f>IF(OR(Registro!D302="Resuelto",Registro!D302=""),"",SUM(C303,F303,I303,L303))</f>
        <v/>
      </c>
      <c r="N303" s="46" t="str">
        <f>IF(OR(Registro!D302="Resuelto",Registro!D302=""),"",SUM(B303,E303,H303,K303))</f>
        <v/>
      </c>
      <c r="O303" s="46" t="str">
        <f>IF(OR(Registro!D302="Resuelto",Registro!D302=""),"",_xlfn.CONCAT(A303,D303,G303,J303))</f>
        <v/>
      </c>
      <c r="P303" s="47">
        <v>295</v>
      </c>
      <c r="Q303" s="47" t="str">
        <f t="shared" ca="1" si="12"/>
        <v/>
      </c>
      <c r="R303" s="48" t="str">
        <f t="shared" ca="1" si="13"/>
        <v/>
      </c>
      <c r="S303" s="32"/>
      <c r="T303" s="32"/>
      <c r="U303" s="32"/>
      <c r="V303" s="32"/>
      <c r="W303" s="47" t="str">
        <f>IF(X303="","",MAX($W$5:W302)+1)</f>
        <v/>
      </c>
      <c r="X303" s="50" t="str">
        <f>IF(Registro!M302="","",IF(COUNTIF($X$8:X302,Registro!M302)=0,Registro!M302,""))</f>
        <v/>
      </c>
      <c r="Y303" s="50" t="str">
        <f t="shared" si="14"/>
        <v/>
      </c>
    </row>
    <row r="304" spans="1:25">
      <c r="A304" s="45" t="str">
        <f>IF(AND(Registro!D303="Abierto",Registro!E303="Urgente"),Registro!B303,"")</f>
        <v/>
      </c>
      <c r="B304" s="45" t="str">
        <f ca="1">IF(AND(Registro!D303="Abierto",Registro!E303="Urgente"),TODAY()-Registro!R303,"")</f>
        <v/>
      </c>
      <c r="C304" s="45" t="str">
        <f>IF(AND(Registro!D303="Abierto",Registro!E303="Urgente"),RANK(B304,$B$9:$B$1000,0)+COUNTIF($B$9:B304,B304)-1,"")</f>
        <v/>
      </c>
      <c r="D304" s="45" t="str">
        <f>IF(AND(Registro!D303="Abierto",Registro!E303="Alta"),Registro!B303,"")</f>
        <v/>
      </c>
      <c r="E304" s="45" t="str">
        <f ca="1">IF(AND(Registro!D303="Abierto",Registro!E303="Alta"),TODAY()-Registro!R303,"")</f>
        <v/>
      </c>
      <c r="F304" s="45" t="str">
        <f>IF(AND(Registro!D303="Abierto",Registro!E303="Alta"),RANK(E304,$E$9:$E$1000,0)+COUNTIF($E$9:E304,E304)-1+MAX(C$5:C$1000),"")</f>
        <v/>
      </c>
      <c r="G304" s="45" t="str">
        <f>IF(AND(Registro!D303="Abierto",Registro!E303="Media"),Registro!B303,"")</f>
        <v/>
      </c>
      <c r="H304" s="45" t="str">
        <f ca="1">IF(AND(Registro!D303="Abierto",Registro!E303="Media"),TODAY()-Registro!R303,"")</f>
        <v/>
      </c>
      <c r="I304" s="45" t="str">
        <f>IF(AND(Registro!D303="Abierto",Registro!E303="Media"),RANK(H304,$H$9:$H$1000,0)+COUNTIF($H$9:H304,H304)-1+MAX(C$5:C$1000,F$5:F$1000),"")</f>
        <v/>
      </c>
      <c r="J304" s="45" t="str">
        <f>IF(AND(Registro!D303="Abierto",Registro!E303="Baja"),Registro!B303,"")</f>
        <v/>
      </c>
      <c r="K304" s="45" t="str">
        <f ca="1">IF(AND(Registro!D303="Abierto",Registro!E303="Baja"),TODAY()-Registro!R303,"")</f>
        <v/>
      </c>
      <c r="L304" s="45" t="str">
        <f>IF(AND(Registro!D303="Abierto",Registro!E303="Baja"),RANK(K304,$K$9:$K$1000,0)+COUNTIF($K$9:K304,K304)-1+MAX(C$5:C$1000,F$5:F$1000,I$5:I$1000),"")</f>
        <v/>
      </c>
      <c r="M304" s="46" t="str">
        <f>IF(OR(Registro!D303="Resuelto",Registro!D303=""),"",SUM(C304,F304,I304,L304))</f>
        <v/>
      </c>
      <c r="N304" s="46" t="str">
        <f>IF(OR(Registro!D303="Resuelto",Registro!D303=""),"",SUM(B304,E304,H304,K304))</f>
        <v/>
      </c>
      <c r="O304" s="46" t="str">
        <f>IF(OR(Registro!D303="Resuelto",Registro!D303=""),"",_xlfn.CONCAT(A304,D304,G304,J304))</f>
        <v/>
      </c>
      <c r="P304" s="47">
        <v>296</v>
      </c>
      <c r="Q304" s="47" t="str">
        <f t="shared" ca="1" si="12"/>
        <v/>
      </c>
      <c r="R304" s="48" t="str">
        <f t="shared" ca="1" si="13"/>
        <v/>
      </c>
      <c r="S304" s="32"/>
      <c r="T304" s="32"/>
      <c r="U304" s="32"/>
      <c r="V304" s="32"/>
      <c r="W304" s="47" t="str">
        <f>IF(X304="","",MAX($W$5:W303)+1)</f>
        <v/>
      </c>
      <c r="X304" s="50" t="str">
        <f>IF(Registro!M303="","",IF(COUNTIF($X$8:X303,Registro!M303)=0,Registro!M303,""))</f>
        <v/>
      </c>
      <c r="Y304" s="50" t="str">
        <f t="shared" si="14"/>
        <v/>
      </c>
    </row>
    <row r="305" spans="1:25">
      <c r="A305" s="45" t="str">
        <f>IF(AND(Registro!D304="Abierto",Registro!E304="Urgente"),Registro!B304,"")</f>
        <v/>
      </c>
      <c r="B305" s="45" t="str">
        <f ca="1">IF(AND(Registro!D304="Abierto",Registro!E304="Urgente"),TODAY()-Registro!R304,"")</f>
        <v/>
      </c>
      <c r="C305" s="45" t="str">
        <f>IF(AND(Registro!D304="Abierto",Registro!E304="Urgente"),RANK(B305,$B$9:$B$1000,0)+COUNTIF($B$9:B305,B305)-1,"")</f>
        <v/>
      </c>
      <c r="D305" s="45" t="str">
        <f>IF(AND(Registro!D304="Abierto",Registro!E304="Alta"),Registro!B304,"")</f>
        <v/>
      </c>
      <c r="E305" s="45" t="str">
        <f ca="1">IF(AND(Registro!D304="Abierto",Registro!E304="Alta"),TODAY()-Registro!R304,"")</f>
        <v/>
      </c>
      <c r="F305" s="45" t="str">
        <f>IF(AND(Registro!D304="Abierto",Registro!E304="Alta"),RANK(E305,$E$9:$E$1000,0)+COUNTIF($E$9:E305,E305)-1+MAX(C$5:C$1000),"")</f>
        <v/>
      </c>
      <c r="G305" s="45" t="str">
        <f>IF(AND(Registro!D304="Abierto",Registro!E304="Media"),Registro!B304,"")</f>
        <v/>
      </c>
      <c r="H305" s="45" t="str">
        <f ca="1">IF(AND(Registro!D304="Abierto",Registro!E304="Media"),TODAY()-Registro!R304,"")</f>
        <v/>
      </c>
      <c r="I305" s="45" t="str">
        <f>IF(AND(Registro!D304="Abierto",Registro!E304="Media"),RANK(H305,$H$9:$H$1000,0)+COUNTIF($H$9:H305,H305)-1+MAX(C$5:C$1000,F$5:F$1000),"")</f>
        <v/>
      </c>
      <c r="J305" s="45" t="str">
        <f>IF(AND(Registro!D304="Abierto",Registro!E304="Baja"),Registro!B304,"")</f>
        <v/>
      </c>
      <c r="K305" s="45" t="str">
        <f ca="1">IF(AND(Registro!D304="Abierto",Registro!E304="Baja"),TODAY()-Registro!R304,"")</f>
        <v/>
      </c>
      <c r="L305" s="45" t="str">
        <f>IF(AND(Registro!D304="Abierto",Registro!E304="Baja"),RANK(K305,$K$9:$K$1000,0)+COUNTIF($K$9:K305,K305)-1+MAX(C$5:C$1000,F$5:F$1000,I$5:I$1000),"")</f>
        <v/>
      </c>
      <c r="M305" s="46" t="str">
        <f>IF(OR(Registro!D304="Resuelto",Registro!D304=""),"",SUM(C305,F305,I305,L305))</f>
        <v/>
      </c>
      <c r="N305" s="46" t="str">
        <f>IF(OR(Registro!D304="Resuelto",Registro!D304=""),"",SUM(B305,E305,H305,K305))</f>
        <v/>
      </c>
      <c r="O305" s="46" t="str">
        <f>IF(OR(Registro!D304="Resuelto",Registro!D304=""),"",_xlfn.CONCAT(A305,D305,G305,J305))</f>
        <v/>
      </c>
      <c r="P305" s="47">
        <v>297</v>
      </c>
      <c r="Q305" s="47" t="str">
        <f t="shared" ca="1" si="12"/>
        <v/>
      </c>
      <c r="R305" s="48" t="str">
        <f t="shared" ca="1" si="13"/>
        <v/>
      </c>
      <c r="S305" s="32"/>
      <c r="T305" s="32"/>
      <c r="U305" s="32"/>
      <c r="V305" s="32"/>
      <c r="W305" s="47" t="str">
        <f>IF(X305="","",MAX($W$5:W304)+1)</f>
        <v/>
      </c>
      <c r="X305" s="50" t="str">
        <f>IF(Registro!M304="","",IF(COUNTIF($X$8:X304,Registro!M304)=0,Registro!M304,""))</f>
        <v/>
      </c>
      <c r="Y305" s="50" t="str">
        <f t="shared" si="14"/>
        <v/>
      </c>
    </row>
    <row r="306" spans="1:25">
      <c r="A306" s="45" t="str">
        <f>IF(AND(Registro!D305="Abierto",Registro!E305="Urgente"),Registro!B305,"")</f>
        <v/>
      </c>
      <c r="B306" s="45" t="str">
        <f ca="1">IF(AND(Registro!D305="Abierto",Registro!E305="Urgente"),TODAY()-Registro!R305,"")</f>
        <v/>
      </c>
      <c r="C306" s="45" t="str">
        <f>IF(AND(Registro!D305="Abierto",Registro!E305="Urgente"),RANK(B306,$B$9:$B$1000,0)+COUNTIF($B$9:B306,B306)-1,"")</f>
        <v/>
      </c>
      <c r="D306" s="45" t="str">
        <f>IF(AND(Registro!D305="Abierto",Registro!E305="Alta"),Registro!B305,"")</f>
        <v/>
      </c>
      <c r="E306" s="45" t="str">
        <f ca="1">IF(AND(Registro!D305="Abierto",Registro!E305="Alta"),TODAY()-Registro!R305,"")</f>
        <v/>
      </c>
      <c r="F306" s="45" t="str">
        <f>IF(AND(Registro!D305="Abierto",Registro!E305="Alta"),RANK(E306,$E$9:$E$1000,0)+COUNTIF($E$9:E306,E306)-1+MAX(C$5:C$1000),"")</f>
        <v/>
      </c>
      <c r="G306" s="45" t="str">
        <f>IF(AND(Registro!D305="Abierto",Registro!E305="Media"),Registro!B305,"")</f>
        <v/>
      </c>
      <c r="H306" s="45" t="str">
        <f ca="1">IF(AND(Registro!D305="Abierto",Registro!E305="Media"),TODAY()-Registro!R305,"")</f>
        <v/>
      </c>
      <c r="I306" s="45" t="str">
        <f>IF(AND(Registro!D305="Abierto",Registro!E305="Media"),RANK(H306,$H$9:$H$1000,0)+COUNTIF($H$9:H306,H306)-1+MAX(C$5:C$1000,F$5:F$1000),"")</f>
        <v/>
      </c>
      <c r="J306" s="45" t="str">
        <f>IF(AND(Registro!D305="Abierto",Registro!E305="Baja"),Registro!B305,"")</f>
        <v/>
      </c>
      <c r="K306" s="45" t="str">
        <f ca="1">IF(AND(Registro!D305="Abierto",Registro!E305="Baja"),TODAY()-Registro!R305,"")</f>
        <v/>
      </c>
      <c r="L306" s="45" t="str">
        <f>IF(AND(Registro!D305="Abierto",Registro!E305="Baja"),RANK(K306,$K$9:$K$1000,0)+COUNTIF($K$9:K306,K306)-1+MAX(C$5:C$1000,F$5:F$1000,I$5:I$1000),"")</f>
        <v/>
      </c>
      <c r="M306" s="46" t="str">
        <f>IF(OR(Registro!D305="Resuelto",Registro!D305=""),"",SUM(C306,F306,I306,L306))</f>
        <v/>
      </c>
      <c r="N306" s="46" t="str">
        <f>IF(OR(Registro!D305="Resuelto",Registro!D305=""),"",SUM(B306,E306,H306,K306))</f>
        <v/>
      </c>
      <c r="O306" s="46" t="str">
        <f>IF(OR(Registro!D305="Resuelto",Registro!D305=""),"",_xlfn.CONCAT(A306,D306,G306,J306))</f>
        <v/>
      </c>
      <c r="P306" s="47">
        <v>298</v>
      </c>
      <c r="Q306" s="47" t="str">
        <f t="shared" ca="1" si="12"/>
        <v/>
      </c>
      <c r="R306" s="48" t="str">
        <f t="shared" ca="1" si="13"/>
        <v/>
      </c>
      <c r="S306" s="32"/>
      <c r="T306" s="32"/>
      <c r="U306" s="32"/>
      <c r="V306" s="32"/>
      <c r="W306" s="47" t="str">
        <f>IF(X306="","",MAX($W$5:W305)+1)</f>
        <v/>
      </c>
      <c r="X306" s="50" t="str">
        <f>IF(Registro!M305="","",IF(COUNTIF($X$8:X305,Registro!M305)=0,Registro!M305,""))</f>
        <v/>
      </c>
      <c r="Y306" s="50" t="str">
        <f t="shared" si="14"/>
        <v/>
      </c>
    </row>
    <row r="307" spans="1:25">
      <c r="A307" s="45" t="str">
        <f>IF(AND(Registro!D306="Abierto",Registro!E306="Urgente"),Registro!B306,"")</f>
        <v/>
      </c>
      <c r="B307" s="45" t="str">
        <f ca="1">IF(AND(Registro!D306="Abierto",Registro!E306="Urgente"),TODAY()-Registro!R306,"")</f>
        <v/>
      </c>
      <c r="C307" s="45" t="str">
        <f>IF(AND(Registro!D306="Abierto",Registro!E306="Urgente"),RANK(B307,$B$9:$B$1000,0)+COUNTIF($B$9:B307,B307)-1,"")</f>
        <v/>
      </c>
      <c r="D307" s="45" t="str">
        <f>IF(AND(Registro!D306="Abierto",Registro!E306="Alta"),Registro!B306,"")</f>
        <v/>
      </c>
      <c r="E307" s="45" t="str">
        <f ca="1">IF(AND(Registro!D306="Abierto",Registro!E306="Alta"),TODAY()-Registro!R306,"")</f>
        <v/>
      </c>
      <c r="F307" s="45" t="str">
        <f>IF(AND(Registro!D306="Abierto",Registro!E306="Alta"),RANK(E307,$E$9:$E$1000,0)+COUNTIF($E$9:E307,E307)-1+MAX(C$5:C$1000),"")</f>
        <v/>
      </c>
      <c r="G307" s="45" t="str">
        <f>IF(AND(Registro!D306="Abierto",Registro!E306="Media"),Registro!B306,"")</f>
        <v/>
      </c>
      <c r="H307" s="45" t="str">
        <f ca="1">IF(AND(Registro!D306="Abierto",Registro!E306="Media"),TODAY()-Registro!R306,"")</f>
        <v/>
      </c>
      <c r="I307" s="45" t="str">
        <f>IF(AND(Registro!D306="Abierto",Registro!E306="Media"),RANK(H307,$H$9:$H$1000,0)+COUNTIF($H$9:H307,H307)-1+MAX(C$5:C$1000,F$5:F$1000),"")</f>
        <v/>
      </c>
      <c r="J307" s="45" t="str">
        <f>IF(AND(Registro!D306="Abierto",Registro!E306="Baja"),Registro!B306,"")</f>
        <v/>
      </c>
      <c r="K307" s="45" t="str">
        <f ca="1">IF(AND(Registro!D306="Abierto",Registro!E306="Baja"),TODAY()-Registro!R306,"")</f>
        <v/>
      </c>
      <c r="L307" s="45" t="str">
        <f>IF(AND(Registro!D306="Abierto",Registro!E306="Baja"),RANK(K307,$K$9:$K$1000,0)+COUNTIF($K$9:K307,K307)-1+MAX(C$5:C$1000,F$5:F$1000,I$5:I$1000),"")</f>
        <v/>
      </c>
      <c r="M307" s="46" t="str">
        <f>IF(OR(Registro!D306="Resuelto",Registro!D306=""),"",SUM(C307,F307,I307,L307))</f>
        <v/>
      </c>
      <c r="N307" s="46" t="str">
        <f>IF(OR(Registro!D306="Resuelto",Registro!D306=""),"",SUM(B307,E307,H307,K307))</f>
        <v/>
      </c>
      <c r="O307" s="46" t="str">
        <f>IF(OR(Registro!D306="Resuelto",Registro!D306=""),"",_xlfn.CONCAT(A307,D307,G307,J307))</f>
        <v/>
      </c>
      <c r="P307" s="47">
        <v>299</v>
      </c>
      <c r="Q307" s="47" t="str">
        <f t="shared" ca="1" si="12"/>
        <v/>
      </c>
      <c r="R307" s="48" t="str">
        <f t="shared" ca="1" si="13"/>
        <v/>
      </c>
      <c r="S307" s="32"/>
      <c r="T307" s="32"/>
      <c r="U307" s="32"/>
      <c r="V307" s="32"/>
      <c r="W307" s="47" t="str">
        <f>IF(X307="","",MAX($W$5:W306)+1)</f>
        <v/>
      </c>
      <c r="X307" s="50" t="str">
        <f>IF(Registro!M306="","",IF(COUNTIF($X$8:X306,Registro!M306)=0,Registro!M306,""))</f>
        <v/>
      </c>
      <c r="Y307" s="50" t="str">
        <f t="shared" si="14"/>
        <v/>
      </c>
    </row>
    <row r="308" spans="1:25">
      <c r="A308" s="45" t="str">
        <f>IF(AND(Registro!D307="Abierto",Registro!E307="Urgente"),Registro!B307,"")</f>
        <v/>
      </c>
      <c r="B308" s="45" t="str">
        <f ca="1">IF(AND(Registro!D307="Abierto",Registro!E307="Urgente"),TODAY()-Registro!R307,"")</f>
        <v/>
      </c>
      <c r="C308" s="45" t="str">
        <f>IF(AND(Registro!D307="Abierto",Registro!E307="Urgente"),RANK(B308,$B$9:$B$1000,0)+COUNTIF($B$9:B308,B308)-1,"")</f>
        <v/>
      </c>
      <c r="D308" s="45" t="str">
        <f>IF(AND(Registro!D307="Abierto",Registro!E307="Alta"),Registro!B307,"")</f>
        <v/>
      </c>
      <c r="E308" s="45" t="str">
        <f ca="1">IF(AND(Registro!D307="Abierto",Registro!E307="Alta"),TODAY()-Registro!R307,"")</f>
        <v/>
      </c>
      <c r="F308" s="45" t="str">
        <f>IF(AND(Registro!D307="Abierto",Registro!E307="Alta"),RANK(E308,$E$9:$E$1000,0)+COUNTIF($E$9:E308,E308)-1+MAX(C$5:C$1000),"")</f>
        <v/>
      </c>
      <c r="G308" s="45" t="str">
        <f>IF(AND(Registro!D307="Abierto",Registro!E307="Media"),Registro!B307,"")</f>
        <v/>
      </c>
      <c r="H308" s="45" t="str">
        <f ca="1">IF(AND(Registro!D307="Abierto",Registro!E307="Media"),TODAY()-Registro!R307,"")</f>
        <v/>
      </c>
      <c r="I308" s="45" t="str">
        <f>IF(AND(Registro!D307="Abierto",Registro!E307="Media"),RANK(H308,$H$9:$H$1000,0)+COUNTIF($H$9:H308,H308)-1+MAX(C$5:C$1000,F$5:F$1000),"")</f>
        <v/>
      </c>
      <c r="J308" s="45" t="str">
        <f>IF(AND(Registro!D307="Abierto",Registro!E307="Baja"),Registro!B307,"")</f>
        <v/>
      </c>
      <c r="K308" s="45" t="str">
        <f ca="1">IF(AND(Registro!D307="Abierto",Registro!E307="Baja"),TODAY()-Registro!R307,"")</f>
        <v/>
      </c>
      <c r="L308" s="45" t="str">
        <f>IF(AND(Registro!D307="Abierto",Registro!E307="Baja"),RANK(K308,$K$9:$K$1000,0)+COUNTIF($K$9:K308,K308)-1+MAX(C$5:C$1000,F$5:F$1000,I$5:I$1000),"")</f>
        <v/>
      </c>
      <c r="M308" s="46" t="str">
        <f>IF(OR(Registro!D307="Resuelto",Registro!D307=""),"",SUM(C308,F308,I308,L308))</f>
        <v/>
      </c>
      <c r="N308" s="46" t="str">
        <f>IF(OR(Registro!D307="Resuelto",Registro!D307=""),"",SUM(B308,E308,H308,K308))</f>
        <v/>
      </c>
      <c r="O308" s="46" t="str">
        <f>IF(OR(Registro!D307="Resuelto",Registro!D307=""),"",_xlfn.CONCAT(A308,D308,G308,J308))</f>
        <v/>
      </c>
      <c r="P308" s="47">
        <v>300</v>
      </c>
      <c r="Q308" s="47" t="str">
        <f t="shared" ca="1" si="12"/>
        <v/>
      </c>
      <c r="R308" s="48" t="str">
        <f t="shared" ca="1" si="13"/>
        <v/>
      </c>
      <c r="S308" s="32"/>
      <c r="T308" s="32"/>
      <c r="U308" s="32"/>
      <c r="V308" s="32"/>
      <c r="W308" s="47" t="str">
        <f>IF(X308="","",MAX($W$5:W307)+1)</f>
        <v/>
      </c>
      <c r="X308" s="50" t="str">
        <f>IF(Registro!M307="","",IF(COUNTIF($X$8:X307,Registro!M307)=0,Registro!M307,""))</f>
        <v/>
      </c>
      <c r="Y308" s="50" t="str">
        <f t="shared" si="14"/>
        <v/>
      </c>
    </row>
    <row r="309" spans="1:25">
      <c r="A309" s="45" t="str">
        <f>IF(AND(Registro!D308="Abierto",Registro!E308="Urgente"),Registro!B308,"")</f>
        <v/>
      </c>
      <c r="B309" s="45" t="str">
        <f ca="1">IF(AND(Registro!D308="Abierto",Registro!E308="Urgente"),TODAY()-Registro!R308,"")</f>
        <v/>
      </c>
      <c r="C309" s="45" t="str">
        <f>IF(AND(Registro!D308="Abierto",Registro!E308="Urgente"),RANK(B309,$B$9:$B$1000,0)+COUNTIF($B$9:B309,B309)-1,"")</f>
        <v/>
      </c>
      <c r="D309" s="45" t="str">
        <f>IF(AND(Registro!D308="Abierto",Registro!E308="Alta"),Registro!B308,"")</f>
        <v/>
      </c>
      <c r="E309" s="45" t="str">
        <f ca="1">IF(AND(Registro!D308="Abierto",Registro!E308="Alta"),TODAY()-Registro!R308,"")</f>
        <v/>
      </c>
      <c r="F309" s="45" t="str">
        <f>IF(AND(Registro!D308="Abierto",Registro!E308="Alta"),RANK(E309,$E$9:$E$1000,0)+COUNTIF($E$9:E309,E309)-1+MAX(C$5:C$1000),"")</f>
        <v/>
      </c>
      <c r="G309" s="45" t="str">
        <f>IF(AND(Registro!D308="Abierto",Registro!E308="Media"),Registro!B308,"")</f>
        <v/>
      </c>
      <c r="H309" s="45" t="str">
        <f ca="1">IF(AND(Registro!D308="Abierto",Registro!E308="Media"),TODAY()-Registro!R308,"")</f>
        <v/>
      </c>
      <c r="I309" s="45" t="str">
        <f>IF(AND(Registro!D308="Abierto",Registro!E308="Media"),RANK(H309,$H$9:$H$1000,0)+COUNTIF($H$9:H309,H309)-1+MAX(C$5:C$1000,F$5:F$1000),"")</f>
        <v/>
      </c>
      <c r="J309" s="45" t="str">
        <f>IF(AND(Registro!D308="Abierto",Registro!E308="Baja"),Registro!B308,"")</f>
        <v/>
      </c>
      <c r="K309" s="45" t="str">
        <f ca="1">IF(AND(Registro!D308="Abierto",Registro!E308="Baja"),TODAY()-Registro!R308,"")</f>
        <v/>
      </c>
      <c r="L309" s="45" t="str">
        <f>IF(AND(Registro!D308="Abierto",Registro!E308="Baja"),RANK(K309,$K$9:$K$1000,0)+COUNTIF($K$9:K309,K309)-1+MAX(C$5:C$1000,F$5:F$1000,I$5:I$1000),"")</f>
        <v/>
      </c>
      <c r="M309" s="46" t="str">
        <f>IF(OR(Registro!D308="Resuelto",Registro!D308=""),"",SUM(C309,F309,I309,L309))</f>
        <v/>
      </c>
      <c r="N309" s="46" t="str">
        <f>IF(OR(Registro!D308="Resuelto",Registro!D308=""),"",SUM(B309,E309,H309,K309))</f>
        <v/>
      </c>
      <c r="O309" s="46" t="str">
        <f>IF(OR(Registro!D308="Resuelto",Registro!D308=""),"",_xlfn.CONCAT(A309,D309,G309,J309))</f>
        <v/>
      </c>
      <c r="P309" s="47">
        <v>301</v>
      </c>
      <c r="Q309" s="47" t="str">
        <f t="shared" ca="1" si="12"/>
        <v/>
      </c>
      <c r="R309" s="48" t="str">
        <f t="shared" ca="1" si="13"/>
        <v/>
      </c>
      <c r="S309" s="32"/>
      <c r="T309" s="32"/>
      <c r="U309" s="32"/>
      <c r="V309" s="32"/>
      <c r="W309" s="47" t="str">
        <f>IF(X309="","",MAX($W$5:W308)+1)</f>
        <v/>
      </c>
      <c r="X309" s="50" t="str">
        <f>IF(Registro!M308="","",IF(COUNTIF($X$8:X308,Registro!M308)=0,Registro!M308,""))</f>
        <v/>
      </c>
      <c r="Y309" s="50" t="str">
        <f t="shared" si="14"/>
        <v/>
      </c>
    </row>
    <row r="310" spans="1:25">
      <c r="A310" s="45" t="str">
        <f>IF(AND(Registro!D309="Abierto",Registro!E309="Urgente"),Registro!B309,"")</f>
        <v/>
      </c>
      <c r="B310" s="45" t="str">
        <f ca="1">IF(AND(Registro!D309="Abierto",Registro!E309="Urgente"),TODAY()-Registro!R309,"")</f>
        <v/>
      </c>
      <c r="C310" s="45" t="str">
        <f>IF(AND(Registro!D309="Abierto",Registro!E309="Urgente"),RANK(B310,$B$9:$B$1000,0)+COUNTIF($B$9:B310,B310)-1,"")</f>
        <v/>
      </c>
      <c r="D310" s="45" t="str">
        <f>IF(AND(Registro!D309="Abierto",Registro!E309="Alta"),Registro!B309,"")</f>
        <v/>
      </c>
      <c r="E310" s="45" t="str">
        <f ca="1">IF(AND(Registro!D309="Abierto",Registro!E309="Alta"),TODAY()-Registro!R309,"")</f>
        <v/>
      </c>
      <c r="F310" s="45" t="str">
        <f>IF(AND(Registro!D309="Abierto",Registro!E309="Alta"),RANK(E310,$E$9:$E$1000,0)+COUNTIF($E$9:E310,E310)-1+MAX(C$5:C$1000),"")</f>
        <v/>
      </c>
      <c r="G310" s="45" t="str">
        <f>IF(AND(Registro!D309="Abierto",Registro!E309="Media"),Registro!B309,"")</f>
        <v/>
      </c>
      <c r="H310" s="45" t="str">
        <f ca="1">IF(AND(Registro!D309="Abierto",Registro!E309="Media"),TODAY()-Registro!R309,"")</f>
        <v/>
      </c>
      <c r="I310" s="45" t="str">
        <f>IF(AND(Registro!D309="Abierto",Registro!E309="Media"),RANK(H310,$H$9:$H$1000,0)+COUNTIF($H$9:H310,H310)-1+MAX(C$5:C$1000,F$5:F$1000),"")</f>
        <v/>
      </c>
      <c r="J310" s="45" t="str">
        <f>IF(AND(Registro!D309="Abierto",Registro!E309="Baja"),Registro!B309,"")</f>
        <v/>
      </c>
      <c r="K310" s="45" t="str">
        <f ca="1">IF(AND(Registro!D309="Abierto",Registro!E309="Baja"),TODAY()-Registro!R309,"")</f>
        <v/>
      </c>
      <c r="L310" s="45" t="str">
        <f>IF(AND(Registro!D309="Abierto",Registro!E309="Baja"),RANK(K310,$K$9:$K$1000,0)+COUNTIF($K$9:K310,K310)-1+MAX(C$5:C$1000,F$5:F$1000,I$5:I$1000),"")</f>
        <v/>
      </c>
      <c r="M310" s="46" t="str">
        <f>IF(OR(Registro!D309="Resuelto",Registro!D309=""),"",SUM(C310,F310,I310,L310))</f>
        <v/>
      </c>
      <c r="N310" s="46" t="str">
        <f>IF(OR(Registro!D309="Resuelto",Registro!D309=""),"",SUM(B310,E310,H310,K310))</f>
        <v/>
      </c>
      <c r="O310" s="46" t="str">
        <f>IF(OR(Registro!D309="Resuelto",Registro!D309=""),"",_xlfn.CONCAT(A310,D310,G310,J310))</f>
        <v/>
      </c>
      <c r="P310" s="47">
        <v>302</v>
      </c>
      <c r="Q310" s="47" t="str">
        <f t="shared" ca="1" si="12"/>
        <v/>
      </c>
      <c r="R310" s="48" t="str">
        <f t="shared" ca="1" si="13"/>
        <v/>
      </c>
      <c r="S310" s="32"/>
      <c r="T310" s="32"/>
      <c r="U310" s="32"/>
      <c r="V310" s="32"/>
      <c r="W310" s="47" t="str">
        <f>IF(X310="","",MAX($W$5:W309)+1)</f>
        <v/>
      </c>
      <c r="X310" s="50" t="str">
        <f>IF(Registro!M309="","",IF(COUNTIF($X$8:X309,Registro!M309)=0,Registro!M309,""))</f>
        <v/>
      </c>
      <c r="Y310" s="50" t="str">
        <f t="shared" si="14"/>
        <v/>
      </c>
    </row>
    <row r="311" spans="1:25">
      <c r="A311" s="45" t="str">
        <f>IF(AND(Registro!D310="Abierto",Registro!E310="Urgente"),Registro!B310,"")</f>
        <v/>
      </c>
      <c r="B311" s="45" t="str">
        <f ca="1">IF(AND(Registro!D310="Abierto",Registro!E310="Urgente"),TODAY()-Registro!R310,"")</f>
        <v/>
      </c>
      <c r="C311" s="45" t="str">
        <f>IF(AND(Registro!D310="Abierto",Registro!E310="Urgente"),RANK(B311,$B$9:$B$1000,0)+COUNTIF($B$9:B311,B311)-1,"")</f>
        <v/>
      </c>
      <c r="D311" s="45" t="str">
        <f>IF(AND(Registro!D310="Abierto",Registro!E310="Alta"),Registro!B310,"")</f>
        <v/>
      </c>
      <c r="E311" s="45" t="str">
        <f ca="1">IF(AND(Registro!D310="Abierto",Registro!E310="Alta"),TODAY()-Registro!R310,"")</f>
        <v/>
      </c>
      <c r="F311" s="45" t="str">
        <f>IF(AND(Registro!D310="Abierto",Registro!E310="Alta"),RANK(E311,$E$9:$E$1000,0)+COUNTIF($E$9:E311,E311)-1+MAX(C$5:C$1000),"")</f>
        <v/>
      </c>
      <c r="G311" s="45" t="str">
        <f>IF(AND(Registro!D310="Abierto",Registro!E310="Media"),Registro!B310,"")</f>
        <v/>
      </c>
      <c r="H311" s="45" t="str">
        <f ca="1">IF(AND(Registro!D310="Abierto",Registro!E310="Media"),TODAY()-Registro!R310,"")</f>
        <v/>
      </c>
      <c r="I311" s="45" t="str">
        <f>IF(AND(Registro!D310="Abierto",Registro!E310="Media"),RANK(H311,$H$9:$H$1000,0)+COUNTIF($H$9:H311,H311)-1+MAX(C$5:C$1000,F$5:F$1000),"")</f>
        <v/>
      </c>
      <c r="J311" s="45" t="str">
        <f>IF(AND(Registro!D310="Abierto",Registro!E310="Baja"),Registro!B310,"")</f>
        <v/>
      </c>
      <c r="K311" s="45" t="str">
        <f ca="1">IF(AND(Registro!D310="Abierto",Registro!E310="Baja"),TODAY()-Registro!R310,"")</f>
        <v/>
      </c>
      <c r="L311" s="45" t="str">
        <f>IF(AND(Registro!D310="Abierto",Registro!E310="Baja"),RANK(K311,$K$9:$K$1000,0)+COUNTIF($K$9:K311,K311)-1+MAX(C$5:C$1000,F$5:F$1000,I$5:I$1000),"")</f>
        <v/>
      </c>
      <c r="M311" s="46" t="str">
        <f>IF(OR(Registro!D310="Resuelto",Registro!D310=""),"",SUM(C311,F311,I311,L311))</f>
        <v/>
      </c>
      <c r="N311" s="46" t="str">
        <f>IF(OR(Registro!D310="Resuelto",Registro!D310=""),"",SUM(B311,E311,H311,K311))</f>
        <v/>
      </c>
      <c r="O311" s="46" t="str">
        <f>IF(OR(Registro!D310="Resuelto",Registro!D310=""),"",_xlfn.CONCAT(A311,D311,G311,J311))</f>
        <v/>
      </c>
      <c r="P311" s="47">
        <v>303</v>
      </c>
      <c r="Q311" s="47" t="str">
        <f t="shared" ca="1" si="12"/>
        <v/>
      </c>
      <c r="R311" s="48" t="str">
        <f t="shared" ca="1" si="13"/>
        <v/>
      </c>
      <c r="S311" s="32"/>
      <c r="T311" s="32"/>
      <c r="U311" s="32"/>
      <c r="V311" s="32"/>
      <c r="W311" s="47" t="str">
        <f>IF(X311="","",MAX($W$5:W310)+1)</f>
        <v/>
      </c>
      <c r="X311" s="50" t="str">
        <f>IF(Registro!M310="","",IF(COUNTIF($X$8:X310,Registro!M310)=0,Registro!M310,""))</f>
        <v/>
      </c>
      <c r="Y311" s="50" t="str">
        <f t="shared" si="14"/>
        <v/>
      </c>
    </row>
    <row r="312" spans="1:25">
      <c r="A312" s="45" t="str">
        <f>IF(AND(Registro!D311="Abierto",Registro!E311="Urgente"),Registro!B311,"")</f>
        <v/>
      </c>
      <c r="B312" s="45" t="str">
        <f ca="1">IF(AND(Registro!D311="Abierto",Registro!E311="Urgente"),TODAY()-Registro!R311,"")</f>
        <v/>
      </c>
      <c r="C312" s="45" t="str">
        <f>IF(AND(Registro!D311="Abierto",Registro!E311="Urgente"),RANK(B312,$B$9:$B$1000,0)+COUNTIF($B$9:B312,B312)-1,"")</f>
        <v/>
      </c>
      <c r="D312" s="45" t="str">
        <f>IF(AND(Registro!D311="Abierto",Registro!E311="Alta"),Registro!B311,"")</f>
        <v/>
      </c>
      <c r="E312" s="45" t="str">
        <f ca="1">IF(AND(Registro!D311="Abierto",Registro!E311="Alta"),TODAY()-Registro!R311,"")</f>
        <v/>
      </c>
      <c r="F312" s="45" t="str">
        <f>IF(AND(Registro!D311="Abierto",Registro!E311="Alta"),RANK(E312,$E$9:$E$1000,0)+COUNTIF($E$9:E312,E312)-1+MAX(C$5:C$1000),"")</f>
        <v/>
      </c>
      <c r="G312" s="45" t="str">
        <f>IF(AND(Registro!D311="Abierto",Registro!E311="Media"),Registro!B311,"")</f>
        <v/>
      </c>
      <c r="H312" s="45" t="str">
        <f ca="1">IF(AND(Registro!D311="Abierto",Registro!E311="Media"),TODAY()-Registro!R311,"")</f>
        <v/>
      </c>
      <c r="I312" s="45" t="str">
        <f>IF(AND(Registro!D311="Abierto",Registro!E311="Media"),RANK(H312,$H$9:$H$1000,0)+COUNTIF($H$9:H312,H312)-1+MAX(C$5:C$1000,F$5:F$1000),"")</f>
        <v/>
      </c>
      <c r="J312" s="45" t="str">
        <f>IF(AND(Registro!D311="Abierto",Registro!E311="Baja"),Registro!B311,"")</f>
        <v/>
      </c>
      <c r="K312" s="45" t="str">
        <f ca="1">IF(AND(Registro!D311="Abierto",Registro!E311="Baja"),TODAY()-Registro!R311,"")</f>
        <v/>
      </c>
      <c r="L312" s="45" t="str">
        <f>IF(AND(Registro!D311="Abierto",Registro!E311="Baja"),RANK(K312,$K$9:$K$1000,0)+COUNTIF($K$9:K312,K312)-1+MAX(C$5:C$1000,F$5:F$1000,I$5:I$1000),"")</f>
        <v/>
      </c>
      <c r="M312" s="46" t="str">
        <f>IF(OR(Registro!D311="Resuelto",Registro!D311=""),"",SUM(C312,F312,I312,L312))</f>
        <v/>
      </c>
      <c r="N312" s="46" t="str">
        <f>IF(OR(Registro!D311="Resuelto",Registro!D311=""),"",SUM(B312,E312,H312,K312))</f>
        <v/>
      </c>
      <c r="O312" s="46" t="str">
        <f>IF(OR(Registro!D311="Resuelto",Registro!D311=""),"",_xlfn.CONCAT(A312,D312,G312,J312))</f>
        <v/>
      </c>
      <c r="P312" s="47">
        <v>304</v>
      </c>
      <c r="Q312" s="47" t="str">
        <f t="shared" ca="1" si="12"/>
        <v/>
      </c>
      <c r="R312" s="48" t="str">
        <f t="shared" ca="1" si="13"/>
        <v/>
      </c>
      <c r="S312" s="32"/>
      <c r="T312" s="32"/>
      <c r="U312" s="32"/>
      <c r="V312" s="32"/>
      <c r="W312" s="47" t="str">
        <f>IF(X312="","",MAX($W$5:W311)+1)</f>
        <v/>
      </c>
      <c r="X312" s="50" t="str">
        <f>IF(Registro!M311="","",IF(COUNTIF($X$8:X311,Registro!M311)=0,Registro!M311,""))</f>
        <v/>
      </c>
      <c r="Y312" s="50" t="str">
        <f t="shared" si="14"/>
        <v/>
      </c>
    </row>
    <row r="313" spans="1:25">
      <c r="A313" s="45" t="str">
        <f>IF(AND(Registro!D312="Abierto",Registro!E312="Urgente"),Registro!B312,"")</f>
        <v/>
      </c>
      <c r="B313" s="45" t="str">
        <f ca="1">IF(AND(Registro!D312="Abierto",Registro!E312="Urgente"),TODAY()-Registro!R312,"")</f>
        <v/>
      </c>
      <c r="C313" s="45" t="str">
        <f>IF(AND(Registro!D312="Abierto",Registro!E312="Urgente"),RANK(B313,$B$9:$B$1000,0)+COUNTIF($B$9:B313,B313)-1,"")</f>
        <v/>
      </c>
      <c r="D313" s="45" t="str">
        <f>IF(AND(Registro!D312="Abierto",Registro!E312="Alta"),Registro!B312,"")</f>
        <v/>
      </c>
      <c r="E313" s="45" t="str">
        <f ca="1">IF(AND(Registro!D312="Abierto",Registro!E312="Alta"),TODAY()-Registro!R312,"")</f>
        <v/>
      </c>
      <c r="F313" s="45" t="str">
        <f>IF(AND(Registro!D312="Abierto",Registro!E312="Alta"),RANK(E313,$E$9:$E$1000,0)+COUNTIF($E$9:E313,E313)-1+MAX(C$5:C$1000),"")</f>
        <v/>
      </c>
      <c r="G313" s="45" t="str">
        <f>IF(AND(Registro!D312="Abierto",Registro!E312="Media"),Registro!B312,"")</f>
        <v/>
      </c>
      <c r="H313" s="45" t="str">
        <f ca="1">IF(AND(Registro!D312="Abierto",Registro!E312="Media"),TODAY()-Registro!R312,"")</f>
        <v/>
      </c>
      <c r="I313" s="45" t="str">
        <f>IF(AND(Registro!D312="Abierto",Registro!E312="Media"),RANK(H313,$H$9:$H$1000,0)+COUNTIF($H$9:H313,H313)-1+MAX(C$5:C$1000,F$5:F$1000),"")</f>
        <v/>
      </c>
      <c r="J313" s="45" t="str">
        <f>IF(AND(Registro!D312="Abierto",Registro!E312="Baja"),Registro!B312,"")</f>
        <v/>
      </c>
      <c r="K313" s="45" t="str">
        <f ca="1">IF(AND(Registro!D312="Abierto",Registro!E312="Baja"),TODAY()-Registro!R312,"")</f>
        <v/>
      </c>
      <c r="L313" s="45" t="str">
        <f>IF(AND(Registro!D312="Abierto",Registro!E312="Baja"),RANK(K313,$K$9:$K$1000,0)+COUNTIF($K$9:K313,K313)-1+MAX(C$5:C$1000,F$5:F$1000,I$5:I$1000),"")</f>
        <v/>
      </c>
      <c r="M313" s="46" t="str">
        <f>IF(OR(Registro!D312="Resuelto",Registro!D312=""),"",SUM(C313,F313,I313,L313))</f>
        <v/>
      </c>
      <c r="N313" s="46" t="str">
        <f>IF(OR(Registro!D312="Resuelto",Registro!D312=""),"",SUM(B313,E313,H313,K313))</f>
        <v/>
      </c>
      <c r="O313" s="46" t="str">
        <f>IF(OR(Registro!D312="Resuelto",Registro!D312=""),"",_xlfn.CONCAT(A313,D313,G313,J313))</f>
        <v/>
      </c>
      <c r="P313" s="47">
        <v>305</v>
      </c>
      <c r="Q313" s="47" t="str">
        <f t="shared" ca="1" si="12"/>
        <v/>
      </c>
      <c r="R313" s="48" t="str">
        <f t="shared" ca="1" si="13"/>
        <v/>
      </c>
      <c r="S313" s="32"/>
      <c r="T313" s="32"/>
      <c r="U313" s="32"/>
      <c r="V313" s="32"/>
      <c r="W313" s="47" t="str">
        <f>IF(X313="","",MAX($W$5:W312)+1)</f>
        <v/>
      </c>
      <c r="X313" s="50" t="str">
        <f>IF(Registro!M312="","",IF(COUNTIF($X$8:X312,Registro!M312)=0,Registro!M312,""))</f>
        <v/>
      </c>
      <c r="Y313" s="50" t="str">
        <f t="shared" si="14"/>
        <v/>
      </c>
    </row>
    <row r="314" spans="1:25">
      <c r="A314" s="45" t="str">
        <f>IF(AND(Registro!D313="Abierto",Registro!E313="Urgente"),Registro!B313,"")</f>
        <v/>
      </c>
      <c r="B314" s="45" t="str">
        <f ca="1">IF(AND(Registro!D313="Abierto",Registro!E313="Urgente"),TODAY()-Registro!R313,"")</f>
        <v/>
      </c>
      <c r="C314" s="45" t="str">
        <f>IF(AND(Registro!D313="Abierto",Registro!E313="Urgente"),RANK(B314,$B$9:$B$1000,0)+COUNTIF($B$9:B314,B314)-1,"")</f>
        <v/>
      </c>
      <c r="D314" s="45" t="str">
        <f>IF(AND(Registro!D313="Abierto",Registro!E313="Alta"),Registro!B313,"")</f>
        <v/>
      </c>
      <c r="E314" s="45" t="str">
        <f ca="1">IF(AND(Registro!D313="Abierto",Registro!E313="Alta"),TODAY()-Registro!R313,"")</f>
        <v/>
      </c>
      <c r="F314" s="45" t="str">
        <f>IF(AND(Registro!D313="Abierto",Registro!E313="Alta"),RANK(E314,$E$9:$E$1000,0)+COUNTIF($E$9:E314,E314)-1+MAX(C$5:C$1000),"")</f>
        <v/>
      </c>
      <c r="G314" s="45" t="str">
        <f>IF(AND(Registro!D313="Abierto",Registro!E313="Media"),Registro!B313,"")</f>
        <v/>
      </c>
      <c r="H314" s="45" t="str">
        <f ca="1">IF(AND(Registro!D313="Abierto",Registro!E313="Media"),TODAY()-Registro!R313,"")</f>
        <v/>
      </c>
      <c r="I314" s="45" t="str">
        <f>IF(AND(Registro!D313="Abierto",Registro!E313="Media"),RANK(H314,$H$9:$H$1000,0)+COUNTIF($H$9:H314,H314)-1+MAX(C$5:C$1000,F$5:F$1000),"")</f>
        <v/>
      </c>
      <c r="J314" s="45" t="str">
        <f>IF(AND(Registro!D313="Abierto",Registro!E313="Baja"),Registro!B313,"")</f>
        <v/>
      </c>
      <c r="K314" s="45" t="str">
        <f ca="1">IF(AND(Registro!D313="Abierto",Registro!E313="Baja"),TODAY()-Registro!R313,"")</f>
        <v/>
      </c>
      <c r="L314" s="45" t="str">
        <f>IF(AND(Registro!D313="Abierto",Registro!E313="Baja"),RANK(K314,$K$9:$K$1000,0)+COUNTIF($K$9:K314,K314)-1+MAX(C$5:C$1000,F$5:F$1000,I$5:I$1000),"")</f>
        <v/>
      </c>
      <c r="M314" s="46" t="str">
        <f>IF(OR(Registro!D313="Resuelto",Registro!D313=""),"",SUM(C314,F314,I314,L314))</f>
        <v/>
      </c>
      <c r="N314" s="46" t="str">
        <f>IF(OR(Registro!D313="Resuelto",Registro!D313=""),"",SUM(B314,E314,H314,K314))</f>
        <v/>
      </c>
      <c r="O314" s="46" t="str">
        <f>IF(OR(Registro!D313="Resuelto",Registro!D313=""),"",_xlfn.CONCAT(A314,D314,G314,J314))</f>
        <v/>
      </c>
      <c r="P314" s="47">
        <v>306</v>
      </c>
      <c r="Q314" s="47" t="str">
        <f t="shared" ca="1" si="12"/>
        <v/>
      </c>
      <c r="R314" s="48" t="str">
        <f t="shared" ca="1" si="13"/>
        <v/>
      </c>
      <c r="S314" s="32"/>
      <c r="T314" s="32"/>
      <c r="U314" s="32"/>
      <c r="V314" s="32"/>
      <c r="W314" s="47" t="str">
        <f>IF(X314="","",MAX($W$5:W313)+1)</f>
        <v/>
      </c>
      <c r="X314" s="50" t="str">
        <f>IF(Registro!M313="","",IF(COUNTIF($X$8:X313,Registro!M313)=0,Registro!M313,""))</f>
        <v/>
      </c>
      <c r="Y314" s="50" t="str">
        <f t="shared" si="14"/>
        <v/>
      </c>
    </row>
    <row r="315" spans="1:25">
      <c r="A315" s="45" t="str">
        <f>IF(AND(Registro!D314="Abierto",Registro!E314="Urgente"),Registro!B314,"")</f>
        <v/>
      </c>
      <c r="B315" s="45" t="str">
        <f ca="1">IF(AND(Registro!D314="Abierto",Registro!E314="Urgente"),TODAY()-Registro!R314,"")</f>
        <v/>
      </c>
      <c r="C315" s="45" t="str">
        <f>IF(AND(Registro!D314="Abierto",Registro!E314="Urgente"),RANK(B315,$B$9:$B$1000,0)+COUNTIF($B$9:B315,B315)-1,"")</f>
        <v/>
      </c>
      <c r="D315" s="45" t="str">
        <f>IF(AND(Registro!D314="Abierto",Registro!E314="Alta"),Registro!B314,"")</f>
        <v/>
      </c>
      <c r="E315" s="45" t="str">
        <f ca="1">IF(AND(Registro!D314="Abierto",Registro!E314="Alta"),TODAY()-Registro!R314,"")</f>
        <v/>
      </c>
      <c r="F315" s="45" t="str">
        <f>IF(AND(Registro!D314="Abierto",Registro!E314="Alta"),RANK(E315,$E$9:$E$1000,0)+COUNTIF($E$9:E315,E315)-1+MAX(C$5:C$1000),"")</f>
        <v/>
      </c>
      <c r="G315" s="45" t="str">
        <f>IF(AND(Registro!D314="Abierto",Registro!E314="Media"),Registro!B314,"")</f>
        <v/>
      </c>
      <c r="H315" s="45" t="str">
        <f ca="1">IF(AND(Registro!D314="Abierto",Registro!E314="Media"),TODAY()-Registro!R314,"")</f>
        <v/>
      </c>
      <c r="I315" s="45" t="str">
        <f>IF(AND(Registro!D314="Abierto",Registro!E314="Media"),RANK(H315,$H$9:$H$1000,0)+COUNTIF($H$9:H315,H315)-1+MAX(C$5:C$1000,F$5:F$1000),"")</f>
        <v/>
      </c>
      <c r="J315" s="45" t="str">
        <f>IF(AND(Registro!D314="Abierto",Registro!E314="Baja"),Registro!B314,"")</f>
        <v/>
      </c>
      <c r="K315" s="45" t="str">
        <f ca="1">IF(AND(Registro!D314="Abierto",Registro!E314="Baja"),TODAY()-Registro!R314,"")</f>
        <v/>
      </c>
      <c r="L315" s="45" t="str">
        <f>IF(AND(Registro!D314="Abierto",Registro!E314="Baja"),RANK(K315,$K$9:$K$1000,0)+COUNTIF($K$9:K315,K315)-1+MAX(C$5:C$1000,F$5:F$1000,I$5:I$1000),"")</f>
        <v/>
      </c>
      <c r="M315" s="46" t="str">
        <f>IF(OR(Registro!D314="Resuelto",Registro!D314=""),"",SUM(C315,F315,I315,L315))</f>
        <v/>
      </c>
      <c r="N315" s="46" t="str">
        <f>IF(OR(Registro!D314="Resuelto",Registro!D314=""),"",SUM(B315,E315,H315,K315))</f>
        <v/>
      </c>
      <c r="O315" s="46" t="str">
        <f>IF(OR(Registro!D314="Resuelto",Registro!D314=""),"",_xlfn.CONCAT(A315,D315,G315,J315))</f>
        <v/>
      </c>
      <c r="P315" s="47">
        <v>307</v>
      </c>
      <c r="Q315" s="47" t="str">
        <f t="shared" ca="1" si="12"/>
        <v/>
      </c>
      <c r="R315" s="48" t="str">
        <f t="shared" ca="1" si="13"/>
        <v/>
      </c>
      <c r="S315" s="32"/>
      <c r="T315" s="32"/>
      <c r="U315" s="32"/>
      <c r="V315" s="32"/>
      <c r="W315" s="47" t="str">
        <f>IF(X315="","",MAX($W$5:W314)+1)</f>
        <v/>
      </c>
      <c r="X315" s="50" t="str">
        <f>IF(Registro!M314="","",IF(COUNTIF($X$8:X314,Registro!M314)=0,Registro!M314,""))</f>
        <v/>
      </c>
      <c r="Y315" s="50" t="str">
        <f t="shared" si="14"/>
        <v/>
      </c>
    </row>
    <row r="316" spans="1:25">
      <c r="A316" s="45" t="str">
        <f>IF(AND(Registro!D315="Abierto",Registro!E315="Urgente"),Registro!B315,"")</f>
        <v/>
      </c>
      <c r="B316" s="45" t="str">
        <f ca="1">IF(AND(Registro!D315="Abierto",Registro!E315="Urgente"),TODAY()-Registro!R315,"")</f>
        <v/>
      </c>
      <c r="C316" s="45" t="str">
        <f>IF(AND(Registro!D315="Abierto",Registro!E315="Urgente"),RANK(B316,$B$9:$B$1000,0)+COUNTIF($B$9:B316,B316)-1,"")</f>
        <v/>
      </c>
      <c r="D316" s="45" t="str">
        <f>IF(AND(Registro!D315="Abierto",Registro!E315="Alta"),Registro!B315,"")</f>
        <v/>
      </c>
      <c r="E316" s="45" t="str">
        <f ca="1">IF(AND(Registro!D315="Abierto",Registro!E315="Alta"),TODAY()-Registro!R315,"")</f>
        <v/>
      </c>
      <c r="F316" s="45" t="str">
        <f>IF(AND(Registro!D315="Abierto",Registro!E315="Alta"),RANK(E316,$E$9:$E$1000,0)+COUNTIF($E$9:E316,E316)-1+MAX(C$5:C$1000),"")</f>
        <v/>
      </c>
      <c r="G316" s="45" t="str">
        <f>IF(AND(Registro!D315="Abierto",Registro!E315="Media"),Registro!B315,"")</f>
        <v/>
      </c>
      <c r="H316" s="45" t="str">
        <f ca="1">IF(AND(Registro!D315="Abierto",Registro!E315="Media"),TODAY()-Registro!R315,"")</f>
        <v/>
      </c>
      <c r="I316" s="45" t="str">
        <f>IF(AND(Registro!D315="Abierto",Registro!E315="Media"),RANK(H316,$H$9:$H$1000,0)+COUNTIF($H$9:H316,H316)-1+MAX(C$5:C$1000,F$5:F$1000),"")</f>
        <v/>
      </c>
      <c r="J316" s="45" t="str">
        <f>IF(AND(Registro!D315="Abierto",Registro!E315="Baja"),Registro!B315,"")</f>
        <v/>
      </c>
      <c r="K316" s="45" t="str">
        <f ca="1">IF(AND(Registro!D315="Abierto",Registro!E315="Baja"),TODAY()-Registro!R315,"")</f>
        <v/>
      </c>
      <c r="L316" s="45" t="str">
        <f>IF(AND(Registro!D315="Abierto",Registro!E315="Baja"),RANK(K316,$K$9:$K$1000,0)+COUNTIF($K$9:K316,K316)-1+MAX(C$5:C$1000,F$5:F$1000,I$5:I$1000),"")</f>
        <v/>
      </c>
      <c r="M316" s="46" t="str">
        <f>IF(OR(Registro!D315="Resuelto",Registro!D315=""),"",SUM(C316,F316,I316,L316))</f>
        <v/>
      </c>
      <c r="N316" s="46" t="str">
        <f>IF(OR(Registro!D315="Resuelto",Registro!D315=""),"",SUM(B316,E316,H316,K316))</f>
        <v/>
      </c>
      <c r="O316" s="46" t="str">
        <f>IF(OR(Registro!D315="Resuelto",Registro!D315=""),"",_xlfn.CONCAT(A316,D316,G316,J316))</f>
        <v/>
      </c>
      <c r="P316" s="47">
        <v>308</v>
      </c>
      <c r="Q316" s="47" t="str">
        <f t="shared" ca="1" si="12"/>
        <v/>
      </c>
      <c r="R316" s="48" t="str">
        <f t="shared" ca="1" si="13"/>
        <v/>
      </c>
      <c r="S316" s="32"/>
      <c r="T316" s="32"/>
      <c r="U316" s="32"/>
      <c r="V316" s="32"/>
      <c r="W316" s="47" t="str">
        <f>IF(X316="","",MAX($W$5:W315)+1)</f>
        <v/>
      </c>
      <c r="X316" s="50" t="str">
        <f>IF(Registro!M315="","",IF(COUNTIF($X$8:X315,Registro!M315)=0,Registro!M315,""))</f>
        <v/>
      </c>
      <c r="Y316" s="50" t="str">
        <f t="shared" si="14"/>
        <v/>
      </c>
    </row>
    <row r="317" spans="1:25">
      <c r="A317" s="45" t="str">
        <f>IF(AND(Registro!D316="Abierto",Registro!E316="Urgente"),Registro!B316,"")</f>
        <v/>
      </c>
      <c r="B317" s="45" t="str">
        <f ca="1">IF(AND(Registro!D316="Abierto",Registro!E316="Urgente"),TODAY()-Registro!R316,"")</f>
        <v/>
      </c>
      <c r="C317" s="45" t="str">
        <f>IF(AND(Registro!D316="Abierto",Registro!E316="Urgente"),RANK(B317,$B$9:$B$1000,0)+COUNTIF($B$9:B317,B317)-1,"")</f>
        <v/>
      </c>
      <c r="D317" s="45" t="str">
        <f>IF(AND(Registro!D316="Abierto",Registro!E316="Alta"),Registro!B316,"")</f>
        <v/>
      </c>
      <c r="E317" s="45" t="str">
        <f ca="1">IF(AND(Registro!D316="Abierto",Registro!E316="Alta"),TODAY()-Registro!R316,"")</f>
        <v/>
      </c>
      <c r="F317" s="45" t="str">
        <f>IF(AND(Registro!D316="Abierto",Registro!E316="Alta"),RANK(E317,$E$9:$E$1000,0)+COUNTIF($E$9:E317,E317)-1+MAX(C$5:C$1000),"")</f>
        <v/>
      </c>
      <c r="G317" s="45" t="str">
        <f>IF(AND(Registro!D316="Abierto",Registro!E316="Media"),Registro!B316,"")</f>
        <v/>
      </c>
      <c r="H317" s="45" t="str">
        <f ca="1">IF(AND(Registro!D316="Abierto",Registro!E316="Media"),TODAY()-Registro!R316,"")</f>
        <v/>
      </c>
      <c r="I317" s="45" t="str">
        <f>IF(AND(Registro!D316="Abierto",Registro!E316="Media"),RANK(H317,$H$9:$H$1000,0)+COUNTIF($H$9:H317,H317)-1+MAX(C$5:C$1000,F$5:F$1000),"")</f>
        <v/>
      </c>
      <c r="J317" s="45" t="str">
        <f>IF(AND(Registro!D316="Abierto",Registro!E316="Baja"),Registro!B316,"")</f>
        <v/>
      </c>
      <c r="K317" s="45" t="str">
        <f ca="1">IF(AND(Registro!D316="Abierto",Registro!E316="Baja"),TODAY()-Registro!R316,"")</f>
        <v/>
      </c>
      <c r="L317" s="45" t="str">
        <f>IF(AND(Registro!D316="Abierto",Registro!E316="Baja"),RANK(K317,$K$9:$K$1000,0)+COUNTIF($K$9:K317,K317)-1+MAX(C$5:C$1000,F$5:F$1000,I$5:I$1000),"")</f>
        <v/>
      </c>
      <c r="M317" s="46" t="str">
        <f>IF(OR(Registro!D316="Resuelto",Registro!D316=""),"",SUM(C317,F317,I317,L317))</f>
        <v/>
      </c>
      <c r="N317" s="46" t="str">
        <f>IF(OR(Registro!D316="Resuelto",Registro!D316=""),"",SUM(B317,E317,H317,K317))</f>
        <v/>
      </c>
      <c r="O317" s="46" t="str">
        <f>IF(OR(Registro!D316="Resuelto",Registro!D316=""),"",_xlfn.CONCAT(A317,D317,G317,J317))</f>
        <v/>
      </c>
      <c r="P317" s="47">
        <v>309</v>
      </c>
      <c r="Q317" s="47" t="str">
        <f t="shared" ca="1" si="12"/>
        <v/>
      </c>
      <c r="R317" s="48" t="str">
        <f t="shared" ca="1" si="13"/>
        <v/>
      </c>
      <c r="S317" s="32"/>
      <c r="T317" s="32"/>
      <c r="U317" s="32"/>
      <c r="V317" s="32"/>
      <c r="W317" s="47" t="str">
        <f>IF(X317="","",MAX($W$5:W316)+1)</f>
        <v/>
      </c>
      <c r="X317" s="50" t="str">
        <f>IF(Registro!M316="","",IF(COUNTIF($X$8:X316,Registro!M316)=0,Registro!M316,""))</f>
        <v/>
      </c>
      <c r="Y317" s="50" t="str">
        <f t="shared" si="14"/>
        <v/>
      </c>
    </row>
    <row r="318" spans="1:25">
      <c r="A318" s="45" t="str">
        <f>IF(AND(Registro!D317="Abierto",Registro!E317="Urgente"),Registro!B317,"")</f>
        <v/>
      </c>
      <c r="B318" s="45" t="str">
        <f ca="1">IF(AND(Registro!D317="Abierto",Registro!E317="Urgente"),TODAY()-Registro!R317,"")</f>
        <v/>
      </c>
      <c r="C318" s="45" t="str">
        <f>IF(AND(Registro!D317="Abierto",Registro!E317="Urgente"),RANK(B318,$B$9:$B$1000,0)+COUNTIF($B$9:B318,B318)-1,"")</f>
        <v/>
      </c>
      <c r="D318" s="45" t="str">
        <f>IF(AND(Registro!D317="Abierto",Registro!E317="Alta"),Registro!B317,"")</f>
        <v/>
      </c>
      <c r="E318" s="45" t="str">
        <f ca="1">IF(AND(Registro!D317="Abierto",Registro!E317="Alta"),TODAY()-Registro!R317,"")</f>
        <v/>
      </c>
      <c r="F318" s="45" t="str">
        <f>IF(AND(Registro!D317="Abierto",Registro!E317="Alta"),RANK(E318,$E$9:$E$1000,0)+COUNTIF($E$9:E318,E318)-1+MAX(C$5:C$1000),"")</f>
        <v/>
      </c>
      <c r="G318" s="45" t="str">
        <f>IF(AND(Registro!D317="Abierto",Registro!E317="Media"),Registro!B317,"")</f>
        <v/>
      </c>
      <c r="H318" s="45" t="str">
        <f ca="1">IF(AND(Registro!D317="Abierto",Registro!E317="Media"),TODAY()-Registro!R317,"")</f>
        <v/>
      </c>
      <c r="I318" s="45" t="str">
        <f>IF(AND(Registro!D317="Abierto",Registro!E317="Media"),RANK(H318,$H$9:$H$1000,0)+COUNTIF($H$9:H318,H318)-1+MAX(C$5:C$1000,F$5:F$1000),"")</f>
        <v/>
      </c>
      <c r="J318" s="45" t="str">
        <f>IF(AND(Registro!D317="Abierto",Registro!E317="Baja"),Registro!B317,"")</f>
        <v/>
      </c>
      <c r="K318" s="45" t="str">
        <f ca="1">IF(AND(Registro!D317="Abierto",Registro!E317="Baja"),TODAY()-Registro!R317,"")</f>
        <v/>
      </c>
      <c r="L318" s="45" t="str">
        <f>IF(AND(Registro!D317="Abierto",Registro!E317="Baja"),RANK(K318,$K$9:$K$1000,0)+COUNTIF($K$9:K318,K318)-1+MAX(C$5:C$1000,F$5:F$1000,I$5:I$1000),"")</f>
        <v/>
      </c>
      <c r="M318" s="46" t="str">
        <f>IF(OR(Registro!D317="Resuelto",Registro!D317=""),"",SUM(C318,F318,I318,L318))</f>
        <v/>
      </c>
      <c r="N318" s="46" t="str">
        <f>IF(OR(Registro!D317="Resuelto",Registro!D317=""),"",SUM(B318,E318,H318,K318))</f>
        <v/>
      </c>
      <c r="O318" s="46" t="str">
        <f>IF(OR(Registro!D317="Resuelto",Registro!D317=""),"",_xlfn.CONCAT(A318,D318,G318,J318))</f>
        <v/>
      </c>
      <c r="P318" s="47">
        <v>310</v>
      </c>
      <c r="Q318" s="47" t="str">
        <f t="shared" ca="1" si="12"/>
        <v/>
      </c>
      <c r="R318" s="48" t="str">
        <f t="shared" ca="1" si="13"/>
        <v/>
      </c>
      <c r="S318" s="32"/>
      <c r="T318" s="32"/>
      <c r="U318" s="32"/>
      <c r="V318" s="32"/>
      <c r="W318" s="47" t="str">
        <f>IF(X318="","",MAX($W$5:W317)+1)</f>
        <v/>
      </c>
      <c r="X318" s="50" t="str">
        <f>IF(Registro!M317="","",IF(COUNTIF($X$8:X317,Registro!M317)=0,Registro!M317,""))</f>
        <v/>
      </c>
      <c r="Y318" s="50" t="str">
        <f t="shared" si="14"/>
        <v/>
      </c>
    </row>
    <row r="319" spans="1:25">
      <c r="A319" s="45" t="str">
        <f>IF(AND(Registro!D318="Abierto",Registro!E318="Urgente"),Registro!B318,"")</f>
        <v/>
      </c>
      <c r="B319" s="45" t="str">
        <f ca="1">IF(AND(Registro!D318="Abierto",Registro!E318="Urgente"),TODAY()-Registro!R318,"")</f>
        <v/>
      </c>
      <c r="C319" s="45" t="str">
        <f>IF(AND(Registro!D318="Abierto",Registro!E318="Urgente"),RANK(B319,$B$9:$B$1000,0)+COUNTIF($B$9:B319,B319)-1,"")</f>
        <v/>
      </c>
      <c r="D319" s="45" t="str">
        <f>IF(AND(Registro!D318="Abierto",Registro!E318="Alta"),Registro!B318,"")</f>
        <v/>
      </c>
      <c r="E319" s="45" t="str">
        <f ca="1">IF(AND(Registro!D318="Abierto",Registro!E318="Alta"),TODAY()-Registro!R318,"")</f>
        <v/>
      </c>
      <c r="F319" s="45" t="str">
        <f>IF(AND(Registro!D318="Abierto",Registro!E318="Alta"),RANK(E319,$E$9:$E$1000,0)+COUNTIF($E$9:E319,E319)-1+MAX(C$5:C$1000),"")</f>
        <v/>
      </c>
      <c r="G319" s="45" t="str">
        <f>IF(AND(Registro!D318="Abierto",Registro!E318="Media"),Registro!B318,"")</f>
        <v/>
      </c>
      <c r="H319" s="45" t="str">
        <f ca="1">IF(AND(Registro!D318="Abierto",Registro!E318="Media"),TODAY()-Registro!R318,"")</f>
        <v/>
      </c>
      <c r="I319" s="45" t="str">
        <f>IF(AND(Registro!D318="Abierto",Registro!E318="Media"),RANK(H319,$H$9:$H$1000,0)+COUNTIF($H$9:H319,H319)-1+MAX(C$5:C$1000,F$5:F$1000),"")</f>
        <v/>
      </c>
      <c r="J319" s="45" t="str">
        <f>IF(AND(Registro!D318="Abierto",Registro!E318="Baja"),Registro!B318,"")</f>
        <v/>
      </c>
      <c r="K319" s="45" t="str">
        <f ca="1">IF(AND(Registro!D318="Abierto",Registro!E318="Baja"),TODAY()-Registro!R318,"")</f>
        <v/>
      </c>
      <c r="L319" s="45" t="str">
        <f>IF(AND(Registro!D318="Abierto",Registro!E318="Baja"),RANK(K319,$K$9:$K$1000,0)+COUNTIF($K$9:K319,K319)-1+MAX(C$5:C$1000,F$5:F$1000,I$5:I$1000),"")</f>
        <v/>
      </c>
      <c r="M319" s="46" t="str">
        <f>IF(OR(Registro!D318="Resuelto",Registro!D318=""),"",SUM(C319,F319,I319,L319))</f>
        <v/>
      </c>
      <c r="N319" s="46" t="str">
        <f>IF(OR(Registro!D318="Resuelto",Registro!D318=""),"",SUM(B319,E319,H319,K319))</f>
        <v/>
      </c>
      <c r="O319" s="46" t="str">
        <f>IF(OR(Registro!D318="Resuelto",Registro!D318=""),"",_xlfn.CONCAT(A319,D319,G319,J319))</f>
        <v/>
      </c>
      <c r="P319" s="47">
        <v>311</v>
      </c>
      <c r="Q319" s="47" t="str">
        <f t="shared" ca="1" si="12"/>
        <v/>
      </c>
      <c r="R319" s="48" t="str">
        <f t="shared" ca="1" si="13"/>
        <v/>
      </c>
      <c r="S319" s="32"/>
      <c r="T319" s="32"/>
      <c r="U319" s="32"/>
      <c r="V319" s="32"/>
      <c r="W319" s="47" t="str">
        <f>IF(X319="","",MAX($W$5:W318)+1)</f>
        <v/>
      </c>
      <c r="X319" s="50" t="str">
        <f>IF(Registro!M318="","",IF(COUNTIF($X$8:X318,Registro!M318)=0,Registro!M318,""))</f>
        <v/>
      </c>
      <c r="Y319" s="50" t="str">
        <f t="shared" si="14"/>
        <v/>
      </c>
    </row>
    <row r="320" spans="1:25">
      <c r="A320" s="45" t="str">
        <f>IF(AND(Registro!D319="Abierto",Registro!E319="Urgente"),Registro!B319,"")</f>
        <v/>
      </c>
      <c r="B320" s="45" t="str">
        <f ca="1">IF(AND(Registro!D319="Abierto",Registro!E319="Urgente"),TODAY()-Registro!R319,"")</f>
        <v/>
      </c>
      <c r="C320" s="45" t="str">
        <f>IF(AND(Registro!D319="Abierto",Registro!E319="Urgente"),RANK(B320,$B$9:$B$1000,0)+COUNTIF($B$9:B320,B320)-1,"")</f>
        <v/>
      </c>
      <c r="D320" s="45" t="str">
        <f>IF(AND(Registro!D319="Abierto",Registro!E319="Alta"),Registro!B319,"")</f>
        <v/>
      </c>
      <c r="E320" s="45" t="str">
        <f ca="1">IF(AND(Registro!D319="Abierto",Registro!E319="Alta"),TODAY()-Registro!R319,"")</f>
        <v/>
      </c>
      <c r="F320" s="45" t="str">
        <f>IF(AND(Registro!D319="Abierto",Registro!E319="Alta"),RANK(E320,$E$9:$E$1000,0)+COUNTIF($E$9:E320,E320)-1+MAX(C$5:C$1000),"")</f>
        <v/>
      </c>
      <c r="G320" s="45" t="str">
        <f>IF(AND(Registro!D319="Abierto",Registro!E319="Media"),Registro!B319,"")</f>
        <v/>
      </c>
      <c r="H320" s="45" t="str">
        <f ca="1">IF(AND(Registro!D319="Abierto",Registro!E319="Media"),TODAY()-Registro!R319,"")</f>
        <v/>
      </c>
      <c r="I320" s="45" t="str">
        <f>IF(AND(Registro!D319="Abierto",Registro!E319="Media"),RANK(H320,$H$9:$H$1000,0)+COUNTIF($H$9:H320,H320)-1+MAX(C$5:C$1000,F$5:F$1000),"")</f>
        <v/>
      </c>
      <c r="J320" s="45" t="str">
        <f>IF(AND(Registro!D319="Abierto",Registro!E319="Baja"),Registro!B319,"")</f>
        <v/>
      </c>
      <c r="K320" s="45" t="str">
        <f ca="1">IF(AND(Registro!D319="Abierto",Registro!E319="Baja"),TODAY()-Registro!R319,"")</f>
        <v/>
      </c>
      <c r="L320" s="45" t="str">
        <f>IF(AND(Registro!D319="Abierto",Registro!E319="Baja"),RANK(K320,$K$9:$K$1000,0)+COUNTIF($K$9:K320,K320)-1+MAX(C$5:C$1000,F$5:F$1000,I$5:I$1000),"")</f>
        <v/>
      </c>
      <c r="M320" s="46" t="str">
        <f>IF(OR(Registro!D319="Resuelto",Registro!D319=""),"",SUM(C320,F320,I320,L320))</f>
        <v/>
      </c>
      <c r="N320" s="46" t="str">
        <f>IF(OR(Registro!D319="Resuelto",Registro!D319=""),"",SUM(B320,E320,H320,K320))</f>
        <v/>
      </c>
      <c r="O320" s="46" t="str">
        <f>IF(OR(Registro!D319="Resuelto",Registro!D319=""),"",_xlfn.CONCAT(A320,D320,G320,J320))</f>
        <v/>
      </c>
      <c r="P320" s="47">
        <v>312</v>
      </c>
      <c r="Q320" s="47" t="str">
        <f t="shared" ca="1" si="12"/>
        <v/>
      </c>
      <c r="R320" s="48" t="str">
        <f t="shared" ca="1" si="13"/>
        <v/>
      </c>
      <c r="S320" s="32"/>
      <c r="T320" s="32"/>
      <c r="U320" s="32"/>
      <c r="V320" s="32"/>
      <c r="W320" s="47" t="str">
        <f>IF(X320="","",MAX($W$5:W319)+1)</f>
        <v/>
      </c>
      <c r="X320" s="50" t="str">
        <f>IF(Registro!M319="","",IF(COUNTIF($X$8:X319,Registro!M319)=0,Registro!M319,""))</f>
        <v/>
      </c>
      <c r="Y320" s="50" t="str">
        <f t="shared" si="14"/>
        <v/>
      </c>
    </row>
    <row r="321" spans="1:25">
      <c r="A321" s="45" t="str">
        <f>IF(AND(Registro!D320="Abierto",Registro!E320="Urgente"),Registro!B320,"")</f>
        <v/>
      </c>
      <c r="B321" s="45" t="str">
        <f ca="1">IF(AND(Registro!D320="Abierto",Registro!E320="Urgente"),TODAY()-Registro!R320,"")</f>
        <v/>
      </c>
      <c r="C321" s="45" t="str">
        <f>IF(AND(Registro!D320="Abierto",Registro!E320="Urgente"),RANK(B321,$B$9:$B$1000,0)+COUNTIF($B$9:B321,B321)-1,"")</f>
        <v/>
      </c>
      <c r="D321" s="45" t="str">
        <f>IF(AND(Registro!D320="Abierto",Registro!E320="Alta"),Registro!B320,"")</f>
        <v/>
      </c>
      <c r="E321" s="45" t="str">
        <f ca="1">IF(AND(Registro!D320="Abierto",Registro!E320="Alta"),TODAY()-Registro!R320,"")</f>
        <v/>
      </c>
      <c r="F321" s="45" t="str">
        <f>IF(AND(Registro!D320="Abierto",Registro!E320="Alta"),RANK(E321,$E$9:$E$1000,0)+COUNTIF($E$9:E321,E321)-1+MAX(C$5:C$1000),"")</f>
        <v/>
      </c>
      <c r="G321" s="45" t="str">
        <f>IF(AND(Registro!D320="Abierto",Registro!E320="Media"),Registro!B320,"")</f>
        <v/>
      </c>
      <c r="H321" s="45" t="str">
        <f ca="1">IF(AND(Registro!D320="Abierto",Registro!E320="Media"),TODAY()-Registro!R320,"")</f>
        <v/>
      </c>
      <c r="I321" s="45" t="str">
        <f>IF(AND(Registro!D320="Abierto",Registro!E320="Media"),RANK(H321,$H$9:$H$1000,0)+COUNTIF($H$9:H321,H321)-1+MAX(C$5:C$1000,F$5:F$1000),"")</f>
        <v/>
      </c>
      <c r="J321" s="45" t="str">
        <f>IF(AND(Registro!D320="Abierto",Registro!E320="Baja"),Registro!B320,"")</f>
        <v/>
      </c>
      <c r="K321" s="45" t="str">
        <f ca="1">IF(AND(Registro!D320="Abierto",Registro!E320="Baja"),TODAY()-Registro!R320,"")</f>
        <v/>
      </c>
      <c r="L321" s="45" t="str">
        <f>IF(AND(Registro!D320="Abierto",Registro!E320="Baja"),RANK(K321,$K$9:$K$1000,0)+COUNTIF($K$9:K321,K321)-1+MAX(C$5:C$1000,F$5:F$1000,I$5:I$1000),"")</f>
        <v/>
      </c>
      <c r="M321" s="46" t="str">
        <f>IF(OR(Registro!D320="Resuelto",Registro!D320=""),"",SUM(C321,F321,I321,L321))</f>
        <v/>
      </c>
      <c r="N321" s="46" t="str">
        <f>IF(OR(Registro!D320="Resuelto",Registro!D320=""),"",SUM(B321,E321,H321,K321))</f>
        <v/>
      </c>
      <c r="O321" s="46" t="str">
        <f>IF(OR(Registro!D320="Resuelto",Registro!D320=""),"",_xlfn.CONCAT(A321,D321,G321,J321))</f>
        <v/>
      </c>
      <c r="P321" s="47">
        <v>313</v>
      </c>
      <c r="Q321" s="47" t="str">
        <f t="shared" ca="1" si="12"/>
        <v/>
      </c>
      <c r="R321" s="48" t="str">
        <f t="shared" ca="1" si="13"/>
        <v/>
      </c>
      <c r="S321" s="32"/>
      <c r="T321" s="32"/>
      <c r="U321" s="32"/>
      <c r="V321" s="32"/>
      <c r="W321" s="47" t="str">
        <f>IF(X321="","",MAX($W$5:W320)+1)</f>
        <v/>
      </c>
      <c r="X321" s="50" t="str">
        <f>IF(Registro!M320="","",IF(COUNTIF($X$8:X320,Registro!M320)=0,Registro!M320,""))</f>
        <v/>
      </c>
      <c r="Y321" s="50" t="str">
        <f t="shared" si="14"/>
        <v/>
      </c>
    </row>
    <row r="322" spans="1:25">
      <c r="A322" s="45" t="str">
        <f>IF(AND(Registro!D321="Abierto",Registro!E321="Urgente"),Registro!B321,"")</f>
        <v/>
      </c>
      <c r="B322" s="45" t="str">
        <f ca="1">IF(AND(Registro!D321="Abierto",Registro!E321="Urgente"),TODAY()-Registro!R321,"")</f>
        <v/>
      </c>
      <c r="C322" s="45" t="str">
        <f>IF(AND(Registro!D321="Abierto",Registro!E321="Urgente"),RANK(B322,$B$9:$B$1000,0)+COUNTIF($B$9:B322,B322)-1,"")</f>
        <v/>
      </c>
      <c r="D322" s="45" t="str">
        <f>IF(AND(Registro!D321="Abierto",Registro!E321="Alta"),Registro!B321,"")</f>
        <v/>
      </c>
      <c r="E322" s="45" t="str">
        <f ca="1">IF(AND(Registro!D321="Abierto",Registro!E321="Alta"),TODAY()-Registro!R321,"")</f>
        <v/>
      </c>
      <c r="F322" s="45" t="str">
        <f>IF(AND(Registro!D321="Abierto",Registro!E321="Alta"),RANK(E322,$E$9:$E$1000,0)+COUNTIF($E$9:E322,E322)-1+MAX(C$5:C$1000),"")</f>
        <v/>
      </c>
      <c r="G322" s="45" t="str">
        <f>IF(AND(Registro!D321="Abierto",Registro!E321="Media"),Registro!B321,"")</f>
        <v/>
      </c>
      <c r="H322" s="45" t="str">
        <f ca="1">IF(AND(Registro!D321="Abierto",Registro!E321="Media"),TODAY()-Registro!R321,"")</f>
        <v/>
      </c>
      <c r="I322" s="45" t="str">
        <f>IF(AND(Registro!D321="Abierto",Registro!E321="Media"),RANK(H322,$H$9:$H$1000,0)+COUNTIF($H$9:H322,H322)-1+MAX(C$5:C$1000,F$5:F$1000),"")</f>
        <v/>
      </c>
      <c r="J322" s="45" t="str">
        <f>IF(AND(Registro!D321="Abierto",Registro!E321="Baja"),Registro!B321,"")</f>
        <v/>
      </c>
      <c r="K322" s="45" t="str">
        <f ca="1">IF(AND(Registro!D321="Abierto",Registro!E321="Baja"),TODAY()-Registro!R321,"")</f>
        <v/>
      </c>
      <c r="L322" s="45" t="str">
        <f>IF(AND(Registro!D321="Abierto",Registro!E321="Baja"),RANK(K322,$K$9:$K$1000,0)+COUNTIF($K$9:K322,K322)-1+MAX(C$5:C$1000,F$5:F$1000,I$5:I$1000),"")</f>
        <v/>
      </c>
      <c r="M322" s="46" t="str">
        <f>IF(OR(Registro!D321="Resuelto",Registro!D321=""),"",SUM(C322,F322,I322,L322))</f>
        <v/>
      </c>
      <c r="N322" s="46" t="str">
        <f>IF(OR(Registro!D321="Resuelto",Registro!D321=""),"",SUM(B322,E322,H322,K322))</f>
        <v/>
      </c>
      <c r="O322" s="46" t="str">
        <f>IF(OR(Registro!D321="Resuelto",Registro!D321=""),"",_xlfn.CONCAT(A322,D322,G322,J322))</f>
        <v/>
      </c>
      <c r="P322" s="47">
        <v>314</v>
      </c>
      <c r="Q322" s="47" t="str">
        <f t="shared" ca="1" si="12"/>
        <v/>
      </c>
      <c r="R322" s="48" t="str">
        <f t="shared" ca="1" si="13"/>
        <v/>
      </c>
      <c r="S322" s="32"/>
      <c r="T322" s="32"/>
      <c r="U322" s="32"/>
      <c r="V322" s="32"/>
      <c r="W322" s="47" t="str">
        <f>IF(X322="","",MAX($W$5:W321)+1)</f>
        <v/>
      </c>
      <c r="X322" s="50" t="str">
        <f>IF(Registro!M321="","",IF(COUNTIF($X$8:X321,Registro!M321)=0,Registro!M321,""))</f>
        <v/>
      </c>
      <c r="Y322" s="50" t="str">
        <f t="shared" si="14"/>
        <v/>
      </c>
    </row>
    <row r="323" spans="1:25">
      <c r="A323" s="45" t="str">
        <f>IF(AND(Registro!D322="Abierto",Registro!E322="Urgente"),Registro!B322,"")</f>
        <v/>
      </c>
      <c r="B323" s="45" t="str">
        <f ca="1">IF(AND(Registro!D322="Abierto",Registro!E322="Urgente"),TODAY()-Registro!R322,"")</f>
        <v/>
      </c>
      <c r="C323" s="45" t="str">
        <f>IF(AND(Registro!D322="Abierto",Registro!E322="Urgente"),RANK(B323,$B$9:$B$1000,0)+COUNTIF($B$9:B323,B323)-1,"")</f>
        <v/>
      </c>
      <c r="D323" s="45" t="str">
        <f>IF(AND(Registro!D322="Abierto",Registro!E322="Alta"),Registro!B322,"")</f>
        <v/>
      </c>
      <c r="E323" s="45" t="str">
        <f ca="1">IF(AND(Registro!D322="Abierto",Registro!E322="Alta"),TODAY()-Registro!R322,"")</f>
        <v/>
      </c>
      <c r="F323" s="45" t="str">
        <f>IF(AND(Registro!D322="Abierto",Registro!E322="Alta"),RANK(E323,$E$9:$E$1000,0)+COUNTIF($E$9:E323,E323)-1+MAX(C$5:C$1000),"")</f>
        <v/>
      </c>
      <c r="G323" s="45" t="str">
        <f>IF(AND(Registro!D322="Abierto",Registro!E322="Media"),Registro!B322,"")</f>
        <v/>
      </c>
      <c r="H323" s="45" t="str">
        <f ca="1">IF(AND(Registro!D322="Abierto",Registro!E322="Media"),TODAY()-Registro!R322,"")</f>
        <v/>
      </c>
      <c r="I323" s="45" t="str">
        <f>IF(AND(Registro!D322="Abierto",Registro!E322="Media"),RANK(H323,$H$9:$H$1000,0)+COUNTIF($H$9:H323,H323)-1+MAX(C$5:C$1000,F$5:F$1000),"")</f>
        <v/>
      </c>
      <c r="J323" s="45" t="str">
        <f>IF(AND(Registro!D322="Abierto",Registro!E322="Baja"),Registro!B322,"")</f>
        <v/>
      </c>
      <c r="K323" s="45" t="str">
        <f ca="1">IF(AND(Registro!D322="Abierto",Registro!E322="Baja"),TODAY()-Registro!R322,"")</f>
        <v/>
      </c>
      <c r="L323" s="45" t="str">
        <f>IF(AND(Registro!D322="Abierto",Registro!E322="Baja"),RANK(K323,$K$9:$K$1000,0)+COUNTIF($K$9:K323,K323)-1+MAX(C$5:C$1000,F$5:F$1000,I$5:I$1000),"")</f>
        <v/>
      </c>
      <c r="M323" s="46" t="str">
        <f>IF(OR(Registro!D322="Resuelto",Registro!D322=""),"",SUM(C323,F323,I323,L323))</f>
        <v/>
      </c>
      <c r="N323" s="46" t="str">
        <f>IF(OR(Registro!D322="Resuelto",Registro!D322=""),"",SUM(B323,E323,H323,K323))</f>
        <v/>
      </c>
      <c r="O323" s="46" t="str">
        <f>IF(OR(Registro!D322="Resuelto",Registro!D322=""),"",_xlfn.CONCAT(A323,D323,G323,J323))</f>
        <v/>
      </c>
      <c r="P323" s="47">
        <v>315</v>
      </c>
      <c r="Q323" s="47" t="str">
        <f t="shared" ca="1" si="12"/>
        <v/>
      </c>
      <c r="R323" s="48" t="str">
        <f t="shared" ca="1" si="13"/>
        <v/>
      </c>
      <c r="S323" s="32"/>
      <c r="T323" s="32"/>
      <c r="U323" s="32"/>
      <c r="V323" s="32"/>
      <c r="W323" s="47" t="str">
        <f>IF(X323="","",MAX($W$5:W322)+1)</f>
        <v/>
      </c>
      <c r="X323" s="50" t="str">
        <f>IF(Registro!M322="","",IF(COUNTIF($X$8:X322,Registro!M322)=0,Registro!M322,""))</f>
        <v/>
      </c>
      <c r="Y323" s="50" t="str">
        <f t="shared" si="14"/>
        <v/>
      </c>
    </row>
    <row r="324" spans="1:25">
      <c r="A324" s="45" t="str">
        <f>IF(AND(Registro!D323="Abierto",Registro!E323="Urgente"),Registro!B323,"")</f>
        <v/>
      </c>
      <c r="B324" s="45" t="str">
        <f ca="1">IF(AND(Registro!D323="Abierto",Registro!E323="Urgente"),TODAY()-Registro!R323,"")</f>
        <v/>
      </c>
      <c r="C324" s="45" t="str">
        <f>IF(AND(Registro!D323="Abierto",Registro!E323="Urgente"),RANK(B324,$B$9:$B$1000,0)+COUNTIF($B$9:B324,B324)-1,"")</f>
        <v/>
      </c>
      <c r="D324" s="45" t="str">
        <f>IF(AND(Registro!D323="Abierto",Registro!E323="Alta"),Registro!B323,"")</f>
        <v/>
      </c>
      <c r="E324" s="45" t="str">
        <f ca="1">IF(AND(Registro!D323="Abierto",Registro!E323="Alta"),TODAY()-Registro!R323,"")</f>
        <v/>
      </c>
      <c r="F324" s="45" t="str">
        <f>IF(AND(Registro!D323="Abierto",Registro!E323="Alta"),RANK(E324,$E$9:$E$1000,0)+COUNTIF($E$9:E324,E324)-1+MAX(C$5:C$1000),"")</f>
        <v/>
      </c>
      <c r="G324" s="45" t="str">
        <f>IF(AND(Registro!D323="Abierto",Registro!E323="Media"),Registro!B323,"")</f>
        <v/>
      </c>
      <c r="H324" s="45" t="str">
        <f ca="1">IF(AND(Registro!D323="Abierto",Registro!E323="Media"),TODAY()-Registro!R323,"")</f>
        <v/>
      </c>
      <c r="I324" s="45" t="str">
        <f>IF(AND(Registro!D323="Abierto",Registro!E323="Media"),RANK(H324,$H$9:$H$1000,0)+COUNTIF($H$9:H324,H324)-1+MAX(C$5:C$1000,F$5:F$1000),"")</f>
        <v/>
      </c>
      <c r="J324" s="45" t="str">
        <f>IF(AND(Registro!D323="Abierto",Registro!E323="Baja"),Registro!B323,"")</f>
        <v/>
      </c>
      <c r="K324" s="45" t="str">
        <f ca="1">IF(AND(Registro!D323="Abierto",Registro!E323="Baja"),TODAY()-Registro!R323,"")</f>
        <v/>
      </c>
      <c r="L324" s="45" t="str">
        <f>IF(AND(Registro!D323="Abierto",Registro!E323="Baja"),RANK(K324,$K$9:$K$1000,0)+COUNTIF($K$9:K324,K324)-1+MAX(C$5:C$1000,F$5:F$1000,I$5:I$1000),"")</f>
        <v/>
      </c>
      <c r="M324" s="46" t="str">
        <f>IF(OR(Registro!D323="Resuelto",Registro!D323=""),"",SUM(C324,F324,I324,L324))</f>
        <v/>
      </c>
      <c r="N324" s="46" t="str">
        <f>IF(OR(Registro!D323="Resuelto",Registro!D323=""),"",SUM(B324,E324,H324,K324))</f>
        <v/>
      </c>
      <c r="O324" s="46" t="str">
        <f>IF(OR(Registro!D323="Resuelto",Registro!D323=""),"",_xlfn.CONCAT(A324,D324,G324,J324))</f>
        <v/>
      </c>
      <c r="P324" s="47">
        <v>316</v>
      </c>
      <c r="Q324" s="47" t="str">
        <f t="shared" ca="1" si="12"/>
        <v/>
      </c>
      <c r="R324" s="48" t="str">
        <f t="shared" ca="1" si="13"/>
        <v/>
      </c>
      <c r="S324" s="32"/>
      <c r="T324" s="32"/>
      <c r="U324" s="32"/>
      <c r="V324" s="32"/>
      <c r="W324" s="47" t="str">
        <f>IF(X324="","",MAX($W$5:W323)+1)</f>
        <v/>
      </c>
      <c r="X324" s="50" t="str">
        <f>IF(Registro!M323="","",IF(COUNTIF($X$8:X323,Registro!M323)=0,Registro!M323,""))</f>
        <v/>
      </c>
      <c r="Y324" s="50" t="str">
        <f t="shared" si="14"/>
        <v/>
      </c>
    </row>
    <row r="325" spans="1:25">
      <c r="A325" s="45" t="str">
        <f>IF(AND(Registro!D324="Abierto",Registro!E324="Urgente"),Registro!B324,"")</f>
        <v/>
      </c>
      <c r="B325" s="45" t="str">
        <f ca="1">IF(AND(Registro!D324="Abierto",Registro!E324="Urgente"),TODAY()-Registro!R324,"")</f>
        <v/>
      </c>
      <c r="C325" s="45" t="str">
        <f>IF(AND(Registro!D324="Abierto",Registro!E324="Urgente"),RANK(B325,$B$9:$B$1000,0)+COUNTIF($B$9:B325,B325)-1,"")</f>
        <v/>
      </c>
      <c r="D325" s="45" t="str">
        <f>IF(AND(Registro!D324="Abierto",Registro!E324="Alta"),Registro!B324,"")</f>
        <v/>
      </c>
      <c r="E325" s="45" t="str">
        <f ca="1">IF(AND(Registro!D324="Abierto",Registro!E324="Alta"),TODAY()-Registro!R324,"")</f>
        <v/>
      </c>
      <c r="F325" s="45" t="str">
        <f>IF(AND(Registro!D324="Abierto",Registro!E324="Alta"),RANK(E325,$E$9:$E$1000,0)+COUNTIF($E$9:E325,E325)-1+MAX(C$5:C$1000),"")</f>
        <v/>
      </c>
      <c r="G325" s="45" t="str">
        <f>IF(AND(Registro!D324="Abierto",Registro!E324="Media"),Registro!B324,"")</f>
        <v/>
      </c>
      <c r="H325" s="45" t="str">
        <f ca="1">IF(AND(Registro!D324="Abierto",Registro!E324="Media"),TODAY()-Registro!R324,"")</f>
        <v/>
      </c>
      <c r="I325" s="45" t="str">
        <f>IF(AND(Registro!D324="Abierto",Registro!E324="Media"),RANK(H325,$H$9:$H$1000,0)+COUNTIF($H$9:H325,H325)-1+MAX(C$5:C$1000,F$5:F$1000),"")</f>
        <v/>
      </c>
      <c r="J325" s="45" t="str">
        <f>IF(AND(Registro!D324="Abierto",Registro!E324="Baja"),Registro!B324,"")</f>
        <v/>
      </c>
      <c r="K325" s="45" t="str">
        <f ca="1">IF(AND(Registro!D324="Abierto",Registro!E324="Baja"),TODAY()-Registro!R324,"")</f>
        <v/>
      </c>
      <c r="L325" s="45" t="str">
        <f>IF(AND(Registro!D324="Abierto",Registro!E324="Baja"),RANK(K325,$K$9:$K$1000,0)+COUNTIF($K$9:K325,K325)-1+MAX(C$5:C$1000,F$5:F$1000,I$5:I$1000),"")</f>
        <v/>
      </c>
      <c r="M325" s="46" t="str">
        <f>IF(OR(Registro!D324="Resuelto",Registro!D324=""),"",SUM(C325,F325,I325,L325))</f>
        <v/>
      </c>
      <c r="N325" s="46" t="str">
        <f>IF(OR(Registro!D324="Resuelto",Registro!D324=""),"",SUM(B325,E325,H325,K325))</f>
        <v/>
      </c>
      <c r="O325" s="46" t="str">
        <f>IF(OR(Registro!D324="Resuelto",Registro!D324=""),"",_xlfn.CONCAT(A325,D325,G325,J325))</f>
        <v/>
      </c>
      <c r="P325" s="47">
        <v>317</v>
      </c>
      <c r="Q325" s="47" t="str">
        <f t="shared" ca="1" si="12"/>
        <v/>
      </c>
      <c r="R325" s="48" t="str">
        <f t="shared" ca="1" si="13"/>
        <v/>
      </c>
      <c r="S325" s="32"/>
      <c r="T325" s="32"/>
      <c r="U325" s="32"/>
      <c r="V325" s="32"/>
      <c r="W325" s="47" t="str">
        <f>IF(X325="","",MAX($W$5:W324)+1)</f>
        <v/>
      </c>
      <c r="X325" s="50" t="str">
        <f>IF(Registro!M324="","",IF(COUNTIF($X$8:X324,Registro!M324)=0,Registro!M324,""))</f>
        <v/>
      </c>
      <c r="Y325" s="50" t="str">
        <f t="shared" si="14"/>
        <v/>
      </c>
    </row>
    <row r="326" spans="1:25">
      <c r="A326" s="45" t="str">
        <f>IF(AND(Registro!D325="Abierto",Registro!E325="Urgente"),Registro!B325,"")</f>
        <v/>
      </c>
      <c r="B326" s="45" t="str">
        <f ca="1">IF(AND(Registro!D325="Abierto",Registro!E325="Urgente"),TODAY()-Registro!R325,"")</f>
        <v/>
      </c>
      <c r="C326" s="45" t="str">
        <f>IF(AND(Registro!D325="Abierto",Registro!E325="Urgente"),RANK(B326,$B$9:$B$1000,0)+COUNTIF($B$9:B326,B326)-1,"")</f>
        <v/>
      </c>
      <c r="D326" s="45" t="str">
        <f>IF(AND(Registro!D325="Abierto",Registro!E325="Alta"),Registro!B325,"")</f>
        <v/>
      </c>
      <c r="E326" s="45" t="str">
        <f ca="1">IF(AND(Registro!D325="Abierto",Registro!E325="Alta"),TODAY()-Registro!R325,"")</f>
        <v/>
      </c>
      <c r="F326" s="45" t="str">
        <f>IF(AND(Registro!D325="Abierto",Registro!E325="Alta"),RANK(E326,$E$9:$E$1000,0)+COUNTIF($E$9:E326,E326)-1+MAX(C$5:C$1000),"")</f>
        <v/>
      </c>
      <c r="G326" s="45" t="str">
        <f>IF(AND(Registro!D325="Abierto",Registro!E325="Media"),Registro!B325,"")</f>
        <v/>
      </c>
      <c r="H326" s="45" t="str">
        <f ca="1">IF(AND(Registro!D325="Abierto",Registro!E325="Media"),TODAY()-Registro!R325,"")</f>
        <v/>
      </c>
      <c r="I326" s="45" t="str">
        <f>IF(AND(Registro!D325="Abierto",Registro!E325="Media"),RANK(H326,$H$9:$H$1000,0)+COUNTIF($H$9:H326,H326)-1+MAX(C$5:C$1000,F$5:F$1000),"")</f>
        <v/>
      </c>
      <c r="J326" s="45" t="str">
        <f>IF(AND(Registro!D325="Abierto",Registro!E325="Baja"),Registro!B325,"")</f>
        <v/>
      </c>
      <c r="K326" s="45" t="str">
        <f ca="1">IF(AND(Registro!D325="Abierto",Registro!E325="Baja"),TODAY()-Registro!R325,"")</f>
        <v/>
      </c>
      <c r="L326" s="45" t="str">
        <f>IF(AND(Registro!D325="Abierto",Registro!E325="Baja"),RANK(K326,$K$9:$K$1000,0)+COUNTIF($K$9:K326,K326)-1+MAX(C$5:C$1000,F$5:F$1000,I$5:I$1000),"")</f>
        <v/>
      </c>
      <c r="M326" s="46" t="str">
        <f>IF(OR(Registro!D325="Resuelto",Registro!D325=""),"",SUM(C326,F326,I326,L326))</f>
        <v/>
      </c>
      <c r="N326" s="46" t="str">
        <f>IF(OR(Registro!D325="Resuelto",Registro!D325=""),"",SUM(B326,E326,H326,K326))</f>
        <v/>
      </c>
      <c r="O326" s="46" t="str">
        <f>IF(OR(Registro!D325="Resuelto",Registro!D325=""),"",_xlfn.CONCAT(A326,D326,G326,J326))</f>
        <v/>
      </c>
      <c r="P326" s="47">
        <v>318</v>
      </c>
      <c r="Q326" s="47" t="str">
        <f t="shared" ca="1" si="12"/>
        <v/>
      </c>
      <c r="R326" s="48" t="str">
        <f t="shared" ca="1" si="13"/>
        <v/>
      </c>
      <c r="S326" s="32"/>
      <c r="T326" s="32"/>
      <c r="U326" s="32"/>
      <c r="V326" s="32"/>
      <c r="W326" s="47" t="str">
        <f>IF(X326="","",MAX($W$5:W325)+1)</f>
        <v/>
      </c>
      <c r="X326" s="50" t="str">
        <f>IF(Registro!M325="","",IF(COUNTIF($X$8:X325,Registro!M325)=0,Registro!M325,""))</f>
        <v/>
      </c>
      <c r="Y326" s="50" t="str">
        <f t="shared" si="14"/>
        <v/>
      </c>
    </row>
    <row r="327" spans="1:25">
      <c r="A327" s="45" t="str">
        <f>IF(AND(Registro!D326="Abierto",Registro!E326="Urgente"),Registro!B326,"")</f>
        <v/>
      </c>
      <c r="B327" s="45" t="str">
        <f ca="1">IF(AND(Registro!D326="Abierto",Registro!E326="Urgente"),TODAY()-Registro!R326,"")</f>
        <v/>
      </c>
      <c r="C327" s="45" t="str">
        <f>IF(AND(Registro!D326="Abierto",Registro!E326="Urgente"),RANK(B327,$B$9:$B$1000,0)+COUNTIF($B$9:B327,B327)-1,"")</f>
        <v/>
      </c>
      <c r="D327" s="45" t="str">
        <f>IF(AND(Registro!D326="Abierto",Registro!E326="Alta"),Registro!B326,"")</f>
        <v/>
      </c>
      <c r="E327" s="45" t="str">
        <f ca="1">IF(AND(Registro!D326="Abierto",Registro!E326="Alta"),TODAY()-Registro!R326,"")</f>
        <v/>
      </c>
      <c r="F327" s="45" t="str">
        <f>IF(AND(Registro!D326="Abierto",Registro!E326="Alta"),RANK(E327,$E$9:$E$1000,0)+COUNTIF($E$9:E327,E327)-1+MAX(C$5:C$1000),"")</f>
        <v/>
      </c>
      <c r="G327" s="45" t="str">
        <f>IF(AND(Registro!D326="Abierto",Registro!E326="Media"),Registro!B326,"")</f>
        <v/>
      </c>
      <c r="H327" s="45" t="str">
        <f ca="1">IF(AND(Registro!D326="Abierto",Registro!E326="Media"),TODAY()-Registro!R326,"")</f>
        <v/>
      </c>
      <c r="I327" s="45" t="str">
        <f>IF(AND(Registro!D326="Abierto",Registro!E326="Media"),RANK(H327,$H$9:$H$1000,0)+COUNTIF($H$9:H327,H327)-1+MAX(C$5:C$1000,F$5:F$1000),"")</f>
        <v/>
      </c>
      <c r="J327" s="45" t="str">
        <f>IF(AND(Registro!D326="Abierto",Registro!E326="Baja"),Registro!B326,"")</f>
        <v/>
      </c>
      <c r="K327" s="45" t="str">
        <f ca="1">IF(AND(Registro!D326="Abierto",Registro!E326="Baja"),TODAY()-Registro!R326,"")</f>
        <v/>
      </c>
      <c r="L327" s="45" t="str">
        <f>IF(AND(Registro!D326="Abierto",Registro!E326="Baja"),RANK(K327,$K$9:$K$1000,0)+COUNTIF($K$9:K327,K327)-1+MAX(C$5:C$1000,F$5:F$1000,I$5:I$1000),"")</f>
        <v/>
      </c>
      <c r="M327" s="46" t="str">
        <f>IF(OR(Registro!D326="Resuelto",Registro!D326=""),"",SUM(C327,F327,I327,L327))</f>
        <v/>
      </c>
      <c r="N327" s="46" t="str">
        <f>IF(OR(Registro!D326="Resuelto",Registro!D326=""),"",SUM(B327,E327,H327,K327))</f>
        <v/>
      </c>
      <c r="O327" s="46" t="str">
        <f>IF(OR(Registro!D326="Resuelto",Registro!D326=""),"",_xlfn.CONCAT(A327,D327,G327,J327))</f>
        <v/>
      </c>
      <c r="P327" s="47">
        <v>319</v>
      </c>
      <c r="Q327" s="47" t="str">
        <f t="shared" ca="1" si="12"/>
        <v/>
      </c>
      <c r="R327" s="48" t="str">
        <f t="shared" ca="1" si="13"/>
        <v/>
      </c>
      <c r="S327" s="32"/>
      <c r="T327" s="32"/>
      <c r="U327" s="32"/>
      <c r="V327" s="32"/>
      <c r="W327" s="47" t="str">
        <f>IF(X327="","",MAX($W$5:W326)+1)</f>
        <v/>
      </c>
      <c r="X327" s="50" t="str">
        <f>IF(Registro!M326="","",IF(COUNTIF($X$8:X326,Registro!M326)=0,Registro!M326,""))</f>
        <v/>
      </c>
      <c r="Y327" s="50" t="str">
        <f t="shared" si="14"/>
        <v/>
      </c>
    </row>
    <row r="328" spans="1:25">
      <c r="A328" s="45" t="str">
        <f>IF(AND(Registro!D327="Abierto",Registro!E327="Urgente"),Registro!B327,"")</f>
        <v/>
      </c>
      <c r="B328" s="45" t="str">
        <f ca="1">IF(AND(Registro!D327="Abierto",Registro!E327="Urgente"),TODAY()-Registro!R327,"")</f>
        <v/>
      </c>
      <c r="C328" s="45" t="str">
        <f>IF(AND(Registro!D327="Abierto",Registro!E327="Urgente"),RANK(B328,$B$9:$B$1000,0)+COUNTIF($B$9:B328,B328)-1,"")</f>
        <v/>
      </c>
      <c r="D328" s="45" t="str">
        <f>IF(AND(Registro!D327="Abierto",Registro!E327="Alta"),Registro!B327,"")</f>
        <v/>
      </c>
      <c r="E328" s="45" t="str">
        <f ca="1">IF(AND(Registro!D327="Abierto",Registro!E327="Alta"),TODAY()-Registro!R327,"")</f>
        <v/>
      </c>
      <c r="F328" s="45" t="str">
        <f>IF(AND(Registro!D327="Abierto",Registro!E327="Alta"),RANK(E328,$E$9:$E$1000,0)+COUNTIF($E$9:E328,E328)-1+MAX(C$5:C$1000),"")</f>
        <v/>
      </c>
      <c r="G328" s="45" t="str">
        <f>IF(AND(Registro!D327="Abierto",Registro!E327="Media"),Registro!B327,"")</f>
        <v/>
      </c>
      <c r="H328" s="45" t="str">
        <f ca="1">IF(AND(Registro!D327="Abierto",Registro!E327="Media"),TODAY()-Registro!R327,"")</f>
        <v/>
      </c>
      <c r="I328" s="45" t="str">
        <f>IF(AND(Registro!D327="Abierto",Registro!E327="Media"),RANK(H328,$H$9:$H$1000,0)+COUNTIF($H$9:H328,H328)-1+MAX(C$5:C$1000,F$5:F$1000),"")</f>
        <v/>
      </c>
      <c r="J328" s="45" t="str">
        <f>IF(AND(Registro!D327="Abierto",Registro!E327="Baja"),Registro!B327,"")</f>
        <v/>
      </c>
      <c r="K328" s="45" t="str">
        <f ca="1">IF(AND(Registro!D327="Abierto",Registro!E327="Baja"),TODAY()-Registro!R327,"")</f>
        <v/>
      </c>
      <c r="L328" s="45" t="str">
        <f>IF(AND(Registro!D327="Abierto",Registro!E327="Baja"),RANK(K328,$K$9:$K$1000,0)+COUNTIF($K$9:K328,K328)-1+MAX(C$5:C$1000,F$5:F$1000,I$5:I$1000),"")</f>
        <v/>
      </c>
      <c r="M328" s="46" t="str">
        <f>IF(OR(Registro!D327="Resuelto",Registro!D327=""),"",SUM(C328,F328,I328,L328))</f>
        <v/>
      </c>
      <c r="N328" s="46" t="str">
        <f>IF(OR(Registro!D327="Resuelto",Registro!D327=""),"",SUM(B328,E328,H328,K328))</f>
        <v/>
      </c>
      <c r="O328" s="46" t="str">
        <f>IF(OR(Registro!D327="Resuelto",Registro!D327=""),"",_xlfn.CONCAT(A328,D328,G328,J328))</f>
        <v/>
      </c>
      <c r="P328" s="47">
        <v>320</v>
      </c>
      <c r="Q328" s="47" t="str">
        <f t="shared" ca="1" si="12"/>
        <v/>
      </c>
      <c r="R328" s="48" t="str">
        <f t="shared" ca="1" si="13"/>
        <v/>
      </c>
      <c r="S328" s="32"/>
      <c r="T328" s="32"/>
      <c r="U328" s="32"/>
      <c r="V328" s="32"/>
      <c r="W328" s="47" t="str">
        <f>IF(X328="","",MAX($W$5:W327)+1)</f>
        <v/>
      </c>
      <c r="X328" s="50" t="str">
        <f>IF(Registro!M327="","",IF(COUNTIF($X$8:X327,Registro!M327)=0,Registro!M327,""))</f>
        <v/>
      </c>
      <c r="Y328" s="50" t="str">
        <f t="shared" si="14"/>
        <v/>
      </c>
    </row>
    <row r="329" spans="1:25">
      <c r="A329" s="45" t="str">
        <f>IF(AND(Registro!D328="Abierto",Registro!E328="Urgente"),Registro!B328,"")</f>
        <v/>
      </c>
      <c r="B329" s="45" t="str">
        <f ca="1">IF(AND(Registro!D328="Abierto",Registro!E328="Urgente"),TODAY()-Registro!R328,"")</f>
        <v/>
      </c>
      <c r="C329" s="45" t="str">
        <f>IF(AND(Registro!D328="Abierto",Registro!E328="Urgente"),RANK(B329,$B$9:$B$1000,0)+COUNTIF($B$9:B329,B329)-1,"")</f>
        <v/>
      </c>
      <c r="D329" s="45" t="str">
        <f>IF(AND(Registro!D328="Abierto",Registro!E328="Alta"),Registro!B328,"")</f>
        <v/>
      </c>
      <c r="E329" s="45" t="str">
        <f ca="1">IF(AND(Registro!D328="Abierto",Registro!E328="Alta"),TODAY()-Registro!R328,"")</f>
        <v/>
      </c>
      <c r="F329" s="45" t="str">
        <f>IF(AND(Registro!D328="Abierto",Registro!E328="Alta"),RANK(E329,$E$9:$E$1000,0)+COUNTIF($E$9:E329,E329)-1+MAX(C$5:C$1000),"")</f>
        <v/>
      </c>
      <c r="G329" s="45" t="str">
        <f>IF(AND(Registro!D328="Abierto",Registro!E328="Media"),Registro!B328,"")</f>
        <v/>
      </c>
      <c r="H329" s="45" t="str">
        <f ca="1">IF(AND(Registro!D328="Abierto",Registro!E328="Media"),TODAY()-Registro!R328,"")</f>
        <v/>
      </c>
      <c r="I329" s="45" t="str">
        <f>IF(AND(Registro!D328="Abierto",Registro!E328="Media"),RANK(H329,$H$9:$H$1000,0)+COUNTIF($H$9:H329,H329)-1+MAX(C$5:C$1000,F$5:F$1000),"")</f>
        <v/>
      </c>
      <c r="J329" s="45" t="str">
        <f>IF(AND(Registro!D328="Abierto",Registro!E328="Baja"),Registro!B328,"")</f>
        <v/>
      </c>
      <c r="K329" s="45" t="str">
        <f ca="1">IF(AND(Registro!D328="Abierto",Registro!E328="Baja"),TODAY()-Registro!R328,"")</f>
        <v/>
      </c>
      <c r="L329" s="45" t="str">
        <f>IF(AND(Registro!D328="Abierto",Registro!E328="Baja"),RANK(K329,$K$9:$K$1000,0)+COUNTIF($K$9:K329,K329)-1+MAX(C$5:C$1000,F$5:F$1000,I$5:I$1000),"")</f>
        <v/>
      </c>
      <c r="M329" s="46" t="str">
        <f>IF(OR(Registro!D328="Resuelto",Registro!D328=""),"",SUM(C329,F329,I329,L329))</f>
        <v/>
      </c>
      <c r="N329" s="46" t="str">
        <f>IF(OR(Registro!D328="Resuelto",Registro!D328=""),"",SUM(B329,E329,H329,K329))</f>
        <v/>
      </c>
      <c r="O329" s="46" t="str">
        <f>IF(OR(Registro!D328="Resuelto",Registro!D328=""),"",_xlfn.CONCAT(A329,D329,G329,J329))</f>
        <v/>
      </c>
      <c r="P329" s="47">
        <v>321</v>
      </c>
      <c r="Q329" s="47" t="str">
        <f t="shared" ref="Q329:Q392" ca="1" si="15">IF(ISNA(VLOOKUP(P329,$M$9:$O$1000,3,FALSE))=TRUE,"",VLOOKUP(P329,$M$9:$O$1000,3,FALSE))</f>
        <v/>
      </c>
      <c r="R329" s="48" t="str">
        <f t="shared" ref="R329:R392" ca="1" si="16">IF(ISNA(VLOOKUP(P329,$M$9:$O$1000,2,FALSE))=TRUE,"",VLOOKUP(P329,$M$9:$O$1000,2,FALSE))</f>
        <v/>
      </c>
      <c r="S329" s="32"/>
      <c r="T329" s="32"/>
      <c r="U329" s="32"/>
      <c r="V329" s="32"/>
      <c r="W329" s="47" t="str">
        <f>IF(X329="","",MAX($W$5:W328)+1)</f>
        <v/>
      </c>
      <c r="X329" s="50" t="str">
        <f>IF(Registro!M328="","",IF(COUNTIF($X$8:X328,Registro!M328)=0,Registro!M328,""))</f>
        <v/>
      </c>
      <c r="Y329" s="50" t="str">
        <f t="shared" ref="Y329:Y392" si="17">IF(ISNA(VLOOKUP(P329,$W$9:$X$1000,2,FALSE))=TRUE,"",VLOOKUP(P329,$W$9:$X$1000,2,FALSE))</f>
        <v/>
      </c>
    </row>
    <row r="330" spans="1:25">
      <c r="A330" s="45" t="str">
        <f>IF(AND(Registro!D329="Abierto",Registro!E329="Urgente"),Registro!B329,"")</f>
        <v/>
      </c>
      <c r="B330" s="45" t="str">
        <f ca="1">IF(AND(Registro!D329="Abierto",Registro!E329="Urgente"),TODAY()-Registro!R329,"")</f>
        <v/>
      </c>
      <c r="C330" s="45" t="str">
        <f>IF(AND(Registro!D329="Abierto",Registro!E329="Urgente"),RANK(B330,$B$9:$B$1000,0)+COUNTIF($B$9:B330,B330)-1,"")</f>
        <v/>
      </c>
      <c r="D330" s="45" t="str">
        <f>IF(AND(Registro!D329="Abierto",Registro!E329="Alta"),Registro!B329,"")</f>
        <v/>
      </c>
      <c r="E330" s="45" t="str">
        <f ca="1">IF(AND(Registro!D329="Abierto",Registro!E329="Alta"),TODAY()-Registro!R329,"")</f>
        <v/>
      </c>
      <c r="F330" s="45" t="str">
        <f>IF(AND(Registro!D329="Abierto",Registro!E329="Alta"),RANK(E330,$E$9:$E$1000,0)+COUNTIF($E$9:E330,E330)-1+MAX(C$5:C$1000),"")</f>
        <v/>
      </c>
      <c r="G330" s="45" t="str">
        <f>IF(AND(Registro!D329="Abierto",Registro!E329="Media"),Registro!B329,"")</f>
        <v/>
      </c>
      <c r="H330" s="45" t="str">
        <f ca="1">IF(AND(Registro!D329="Abierto",Registro!E329="Media"),TODAY()-Registro!R329,"")</f>
        <v/>
      </c>
      <c r="I330" s="45" t="str">
        <f>IF(AND(Registro!D329="Abierto",Registro!E329="Media"),RANK(H330,$H$9:$H$1000,0)+COUNTIF($H$9:H330,H330)-1+MAX(C$5:C$1000,F$5:F$1000),"")</f>
        <v/>
      </c>
      <c r="J330" s="45" t="str">
        <f>IF(AND(Registro!D329="Abierto",Registro!E329="Baja"),Registro!B329,"")</f>
        <v/>
      </c>
      <c r="K330" s="45" t="str">
        <f ca="1">IF(AND(Registro!D329="Abierto",Registro!E329="Baja"),TODAY()-Registro!R329,"")</f>
        <v/>
      </c>
      <c r="L330" s="45" t="str">
        <f>IF(AND(Registro!D329="Abierto",Registro!E329="Baja"),RANK(K330,$K$9:$K$1000,0)+COUNTIF($K$9:K330,K330)-1+MAX(C$5:C$1000,F$5:F$1000,I$5:I$1000),"")</f>
        <v/>
      </c>
      <c r="M330" s="46" t="str">
        <f>IF(OR(Registro!D329="Resuelto",Registro!D329=""),"",SUM(C330,F330,I330,L330))</f>
        <v/>
      </c>
      <c r="N330" s="46" t="str">
        <f>IF(OR(Registro!D329="Resuelto",Registro!D329=""),"",SUM(B330,E330,H330,K330))</f>
        <v/>
      </c>
      <c r="O330" s="46" t="str">
        <f>IF(OR(Registro!D329="Resuelto",Registro!D329=""),"",_xlfn.CONCAT(A330,D330,G330,J330))</f>
        <v/>
      </c>
      <c r="P330" s="47">
        <v>322</v>
      </c>
      <c r="Q330" s="47" t="str">
        <f t="shared" ca="1" si="15"/>
        <v/>
      </c>
      <c r="R330" s="48" t="str">
        <f t="shared" ca="1" si="16"/>
        <v/>
      </c>
      <c r="S330" s="32"/>
      <c r="T330" s="32"/>
      <c r="U330" s="32"/>
      <c r="V330" s="32"/>
      <c r="W330" s="47" t="str">
        <f>IF(X330="","",MAX($W$5:W329)+1)</f>
        <v/>
      </c>
      <c r="X330" s="50" t="str">
        <f>IF(Registro!M329="","",IF(COUNTIF($X$8:X329,Registro!M329)=0,Registro!M329,""))</f>
        <v/>
      </c>
      <c r="Y330" s="50" t="str">
        <f t="shared" si="17"/>
        <v/>
      </c>
    </row>
    <row r="331" spans="1:25">
      <c r="A331" s="45" t="str">
        <f>IF(AND(Registro!D330="Abierto",Registro!E330="Urgente"),Registro!B330,"")</f>
        <v/>
      </c>
      <c r="B331" s="45" t="str">
        <f ca="1">IF(AND(Registro!D330="Abierto",Registro!E330="Urgente"),TODAY()-Registro!R330,"")</f>
        <v/>
      </c>
      <c r="C331" s="45" t="str">
        <f>IF(AND(Registro!D330="Abierto",Registro!E330="Urgente"),RANK(B331,$B$9:$B$1000,0)+COUNTIF($B$9:B331,B331)-1,"")</f>
        <v/>
      </c>
      <c r="D331" s="45" t="str">
        <f>IF(AND(Registro!D330="Abierto",Registro!E330="Alta"),Registro!B330,"")</f>
        <v/>
      </c>
      <c r="E331" s="45" t="str">
        <f ca="1">IF(AND(Registro!D330="Abierto",Registro!E330="Alta"),TODAY()-Registro!R330,"")</f>
        <v/>
      </c>
      <c r="F331" s="45" t="str">
        <f>IF(AND(Registro!D330="Abierto",Registro!E330="Alta"),RANK(E331,$E$9:$E$1000,0)+COUNTIF($E$9:E331,E331)-1+MAX(C$5:C$1000),"")</f>
        <v/>
      </c>
      <c r="G331" s="45" t="str">
        <f>IF(AND(Registro!D330="Abierto",Registro!E330="Media"),Registro!B330,"")</f>
        <v/>
      </c>
      <c r="H331" s="45" t="str">
        <f ca="1">IF(AND(Registro!D330="Abierto",Registro!E330="Media"),TODAY()-Registro!R330,"")</f>
        <v/>
      </c>
      <c r="I331" s="45" t="str">
        <f>IF(AND(Registro!D330="Abierto",Registro!E330="Media"),RANK(H331,$H$9:$H$1000,0)+COUNTIF($H$9:H331,H331)-1+MAX(C$5:C$1000,F$5:F$1000),"")</f>
        <v/>
      </c>
      <c r="J331" s="45" t="str">
        <f>IF(AND(Registro!D330="Abierto",Registro!E330="Baja"),Registro!B330,"")</f>
        <v/>
      </c>
      <c r="K331" s="45" t="str">
        <f ca="1">IF(AND(Registro!D330="Abierto",Registro!E330="Baja"),TODAY()-Registro!R330,"")</f>
        <v/>
      </c>
      <c r="L331" s="45" t="str">
        <f>IF(AND(Registro!D330="Abierto",Registro!E330="Baja"),RANK(K331,$K$9:$K$1000,0)+COUNTIF($K$9:K331,K331)-1+MAX(C$5:C$1000,F$5:F$1000,I$5:I$1000),"")</f>
        <v/>
      </c>
      <c r="M331" s="46" t="str">
        <f>IF(OR(Registro!D330="Resuelto",Registro!D330=""),"",SUM(C331,F331,I331,L331))</f>
        <v/>
      </c>
      <c r="N331" s="46" t="str">
        <f>IF(OR(Registro!D330="Resuelto",Registro!D330=""),"",SUM(B331,E331,H331,K331))</f>
        <v/>
      </c>
      <c r="O331" s="46" t="str">
        <f>IF(OR(Registro!D330="Resuelto",Registro!D330=""),"",_xlfn.CONCAT(A331,D331,G331,J331))</f>
        <v/>
      </c>
      <c r="P331" s="47">
        <v>323</v>
      </c>
      <c r="Q331" s="47" t="str">
        <f t="shared" ca="1" si="15"/>
        <v/>
      </c>
      <c r="R331" s="48" t="str">
        <f t="shared" ca="1" si="16"/>
        <v/>
      </c>
      <c r="S331" s="32"/>
      <c r="T331" s="32"/>
      <c r="U331" s="32"/>
      <c r="V331" s="32"/>
      <c r="W331" s="47" t="str">
        <f>IF(X331="","",MAX($W$5:W330)+1)</f>
        <v/>
      </c>
      <c r="X331" s="50" t="str">
        <f>IF(Registro!M330="","",IF(COUNTIF($X$8:X330,Registro!M330)=0,Registro!M330,""))</f>
        <v/>
      </c>
      <c r="Y331" s="50" t="str">
        <f t="shared" si="17"/>
        <v/>
      </c>
    </row>
    <row r="332" spans="1:25">
      <c r="A332" s="45" t="str">
        <f>IF(AND(Registro!D331="Abierto",Registro!E331="Urgente"),Registro!B331,"")</f>
        <v/>
      </c>
      <c r="B332" s="45" t="str">
        <f ca="1">IF(AND(Registro!D331="Abierto",Registro!E331="Urgente"),TODAY()-Registro!R331,"")</f>
        <v/>
      </c>
      <c r="C332" s="45" t="str">
        <f>IF(AND(Registro!D331="Abierto",Registro!E331="Urgente"),RANK(B332,$B$9:$B$1000,0)+COUNTIF($B$9:B332,B332)-1,"")</f>
        <v/>
      </c>
      <c r="D332" s="45" t="str">
        <f>IF(AND(Registro!D331="Abierto",Registro!E331="Alta"),Registro!B331,"")</f>
        <v/>
      </c>
      <c r="E332" s="45" t="str">
        <f ca="1">IF(AND(Registro!D331="Abierto",Registro!E331="Alta"),TODAY()-Registro!R331,"")</f>
        <v/>
      </c>
      <c r="F332" s="45" t="str">
        <f>IF(AND(Registro!D331="Abierto",Registro!E331="Alta"),RANK(E332,$E$9:$E$1000,0)+COUNTIF($E$9:E332,E332)-1+MAX(C$5:C$1000),"")</f>
        <v/>
      </c>
      <c r="G332" s="45" t="str">
        <f>IF(AND(Registro!D331="Abierto",Registro!E331="Media"),Registro!B331,"")</f>
        <v/>
      </c>
      <c r="H332" s="45" t="str">
        <f ca="1">IF(AND(Registro!D331="Abierto",Registro!E331="Media"),TODAY()-Registro!R331,"")</f>
        <v/>
      </c>
      <c r="I332" s="45" t="str">
        <f>IF(AND(Registro!D331="Abierto",Registro!E331="Media"),RANK(H332,$H$9:$H$1000,0)+COUNTIF($H$9:H332,H332)-1+MAX(C$5:C$1000,F$5:F$1000),"")</f>
        <v/>
      </c>
      <c r="J332" s="45" t="str">
        <f>IF(AND(Registro!D331="Abierto",Registro!E331="Baja"),Registro!B331,"")</f>
        <v/>
      </c>
      <c r="K332" s="45" t="str">
        <f ca="1">IF(AND(Registro!D331="Abierto",Registro!E331="Baja"),TODAY()-Registro!R331,"")</f>
        <v/>
      </c>
      <c r="L332" s="45" t="str">
        <f>IF(AND(Registro!D331="Abierto",Registro!E331="Baja"),RANK(K332,$K$9:$K$1000,0)+COUNTIF($K$9:K332,K332)-1+MAX(C$5:C$1000,F$5:F$1000,I$5:I$1000),"")</f>
        <v/>
      </c>
      <c r="M332" s="46" t="str">
        <f>IF(OR(Registro!D331="Resuelto",Registro!D331=""),"",SUM(C332,F332,I332,L332))</f>
        <v/>
      </c>
      <c r="N332" s="46" t="str">
        <f>IF(OR(Registro!D331="Resuelto",Registro!D331=""),"",SUM(B332,E332,H332,K332))</f>
        <v/>
      </c>
      <c r="O332" s="46" t="str">
        <f>IF(OR(Registro!D331="Resuelto",Registro!D331=""),"",_xlfn.CONCAT(A332,D332,G332,J332))</f>
        <v/>
      </c>
      <c r="P332" s="47">
        <v>324</v>
      </c>
      <c r="Q332" s="47" t="str">
        <f t="shared" ca="1" si="15"/>
        <v/>
      </c>
      <c r="R332" s="48" t="str">
        <f t="shared" ca="1" si="16"/>
        <v/>
      </c>
      <c r="S332" s="32"/>
      <c r="T332" s="32"/>
      <c r="U332" s="32"/>
      <c r="V332" s="32"/>
      <c r="W332" s="47" t="str">
        <f>IF(X332="","",MAX($W$5:W331)+1)</f>
        <v/>
      </c>
      <c r="X332" s="50" t="str">
        <f>IF(Registro!M331="","",IF(COUNTIF($X$8:X331,Registro!M331)=0,Registro!M331,""))</f>
        <v/>
      </c>
      <c r="Y332" s="50" t="str">
        <f t="shared" si="17"/>
        <v/>
      </c>
    </row>
    <row r="333" spans="1:25">
      <c r="A333" s="45" t="str">
        <f>IF(AND(Registro!D332="Abierto",Registro!E332="Urgente"),Registro!B332,"")</f>
        <v/>
      </c>
      <c r="B333" s="45" t="str">
        <f ca="1">IF(AND(Registro!D332="Abierto",Registro!E332="Urgente"),TODAY()-Registro!R332,"")</f>
        <v/>
      </c>
      <c r="C333" s="45" t="str">
        <f>IF(AND(Registro!D332="Abierto",Registro!E332="Urgente"),RANK(B333,$B$9:$B$1000,0)+COUNTIF($B$9:B333,B333)-1,"")</f>
        <v/>
      </c>
      <c r="D333" s="45" t="str">
        <f>IF(AND(Registro!D332="Abierto",Registro!E332="Alta"),Registro!B332,"")</f>
        <v/>
      </c>
      <c r="E333" s="45" t="str">
        <f ca="1">IF(AND(Registro!D332="Abierto",Registro!E332="Alta"),TODAY()-Registro!R332,"")</f>
        <v/>
      </c>
      <c r="F333" s="45" t="str">
        <f>IF(AND(Registro!D332="Abierto",Registro!E332="Alta"),RANK(E333,$E$9:$E$1000,0)+COUNTIF($E$9:E333,E333)-1+MAX(C$5:C$1000),"")</f>
        <v/>
      </c>
      <c r="G333" s="45" t="str">
        <f>IF(AND(Registro!D332="Abierto",Registro!E332="Media"),Registro!B332,"")</f>
        <v/>
      </c>
      <c r="H333" s="45" t="str">
        <f ca="1">IF(AND(Registro!D332="Abierto",Registro!E332="Media"),TODAY()-Registro!R332,"")</f>
        <v/>
      </c>
      <c r="I333" s="45" t="str">
        <f>IF(AND(Registro!D332="Abierto",Registro!E332="Media"),RANK(H333,$H$9:$H$1000,0)+COUNTIF($H$9:H333,H333)-1+MAX(C$5:C$1000,F$5:F$1000),"")</f>
        <v/>
      </c>
      <c r="J333" s="45" t="str">
        <f>IF(AND(Registro!D332="Abierto",Registro!E332="Baja"),Registro!B332,"")</f>
        <v/>
      </c>
      <c r="K333" s="45" t="str">
        <f ca="1">IF(AND(Registro!D332="Abierto",Registro!E332="Baja"),TODAY()-Registro!R332,"")</f>
        <v/>
      </c>
      <c r="L333" s="45" t="str">
        <f>IF(AND(Registro!D332="Abierto",Registro!E332="Baja"),RANK(K333,$K$9:$K$1000,0)+COUNTIF($K$9:K333,K333)-1+MAX(C$5:C$1000,F$5:F$1000,I$5:I$1000),"")</f>
        <v/>
      </c>
      <c r="M333" s="46" t="str">
        <f>IF(OR(Registro!D332="Resuelto",Registro!D332=""),"",SUM(C333,F333,I333,L333))</f>
        <v/>
      </c>
      <c r="N333" s="46" t="str">
        <f>IF(OR(Registro!D332="Resuelto",Registro!D332=""),"",SUM(B333,E333,H333,K333))</f>
        <v/>
      </c>
      <c r="O333" s="46" t="str">
        <f>IF(OR(Registro!D332="Resuelto",Registro!D332=""),"",_xlfn.CONCAT(A333,D333,G333,J333))</f>
        <v/>
      </c>
      <c r="P333" s="47">
        <v>325</v>
      </c>
      <c r="Q333" s="47" t="str">
        <f t="shared" ca="1" si="15"/>
        <v/>
      </c>
      <c r="R333" s="48" t="str">
        <f t="shared" ca="1" si="16"/>
        <v/>
      </c>
      <c r="S333" s="32"/>
      <c r="T333" s="32"/>
      <c r="U333" s="32"/>
      <c r="V333" s="32"/>
      <c r="W333" s="47" t="str">
        <f>IF(X333="","",MAX($W$5:W332)+1)</f>
        <v/>
      </c>
      <c r="X333" s="50" t="str">
        <f>IF(Registro!M332="","",IF(COUNTIF($X$8:X332,Registro!M332)=0,Registro!M332,""))</f>
        <v/>
      </c>
      <c r="Y333" s="50" t="str">
        <f t="shared" si="17"/>
        <v/>
      </c>
    </row>
    <row r="334" spans="1:25">
      <c r="A334" s="45" t="str">
        <f>IF(AND(Registro!D333="Abierto",Registro!E333="Urgente"),Registro!B333,"")</f>
        <v/>
      </c>
      <c r="B334" s="45" t="str">
        <f ca="1">IF(AND(Registro!D333="Abierto",Registro!E333="Urgente"),TODAY()-Registro!R333,"")</f>
        <v/>
      </c>
      <c r="C334" s="45" t="str">
        <f>IF(AND(Registro!D333="Abierto",Registro!E333="Urgente"),RANK(B334,$B$9:$B$1000,0)+COUNTIF($B$9:B334,B334)-1,"")</f>
        <v/>
      </c>
      <c r="D334" s="45" t="str">
        <f>IF(AND(Registro!D333="Abierto",Registro!E333="Alta"),Registro!B333,"")</f>
        <v/>
      </c>
      <c r="E334" s="45" t="str">
        <f ca="1">IF(AND(Registro!D333="Abierto",Registro!E333="Alta"),TODAY()-Registro!R333,"")</f>
        <v/>
      </c>
      <c r="F334" s="45" t="str">
        <f>IF(AND(Registro!D333="Abierto",Registro!E333="Alta"),RANK(E334,$E$9:$E$1000,0)+COUNTIF($E$9:E334,E334)-1+MAX(C$5:C$1000),"")</f>
        <v/>
      </c>
      <c r="G334" s="45" t="str">
        <f>IF(AND(Registro!D333="Abierto",Registro!E333="Media"),Registro!B333,"")</f>
        <v/>
      </c>
      <c r="H334" s="45" t="str">
        <f ca="1">IF(AND(Registro!D333="Abierto",Registro!E333="Media"),TODAY()-Registro!R333,"")</f>
        <v/>
      </c>
      <c r="I334" s="45" t="str">
        <f>IF(AND(Registro!D333="Abierto",Registro!E333="Media"),RANK(H334,$H$9:$H$1000,0)+COUNTIF($H$9:H334,H334)-1+MAX(C$5:C$1000,F$5:F$1000),"")</f>
        <v/>
      </c>
      <c r="J334" s="45" t="str">
        <f>IF(AND(Registro!D333="Abierto",Registro!E333="Baja"),Registro!B333,"")</f>
        <v/>
      </c>
      <c r="K334" s="45" t="str">
        <f ca="1">IF(AND(Registro!D333="Abierto",Registro!E333="Baja"),TODAY()-Registro!R333,"")</f>
        <v/>
      </c>
      <c r="L334" s="45" t="str">
        <f>IF(AND(Registro!D333="Abierto",Registro!E333="Baja"),RANK(K334,$K$9:$K$1000,0)+COUNTIF($K$9:K334,K334)-1+MAX(C$5:C$1000,F$5:F$1000,I$5:I$1000),"")</f>
        <v/>
      </c>
      <c r="M334" s="46" t="str">
        <f>IF(OR(Registro!D333="Resuelto",Registro!D333=""),"",SUM(C334,F334,I334,L334))</f>
        <v/>
      </c>
      <c r="N334" s="46" t="str">
        <f>IF(OR(Registro!D333="Resuelto",Registro!D333=""),"",SUM(B334,E334,H334,K334))</f>
        <v/>
      </c>
      <c r="O334" s="46" t="str">
        <f>IF(OR(Registro!D333="Resuelto",Registro!D333=""),"",_xlfn.CONCAT(A334,D334,G334,J334))</f>
        <v/>
      </c>
      <c r="P334" s="47">
        <v>326</v>
      </c>
      <c r="Q334" s="47" t="str">
        <f t="shared" ca="1" si="15"/>
        <v/>
      </c>
      <c r="R334" s="48" t="str">
        <f t="shared" ca="1" si="16"/>
        <v/>
      </c>
      <c r="S334" s="32"/>
      <c r="T334" s="32"/>
      <c r="U334" s="32"/>
      <c r="V334" s="32"/>
      <c r="W334" s="47" t="str">
        <f>IF(X334="","",MAX($W$5:W333)+1)</f>
        <v/>
      </c>
      <c r="X334" s="50" t="str">
        <f>IF(Registro!M333="","",IF(COUNTIF($X$8:X333,Registro!M333)=0,Registro!M333,""))</f>
        <v/>
      </c>
      <c r="Y334" s="50" t="str">
        <f t="shared" si="17"/>
        <v/>
      </c>
    </row>
    <row r="335" spans="1:25">
      <c r="A335" s="45" t="str">
        <f>IF(AND(Registro!D334="Abierto",Registro!E334="Urgente"),Registro!B334,"")</f>
        <v/>
      </c>
      <c r="B335" s="45" t="str">
        <f ca="1">IF(AND(Registro!D334="Abierto",Registro!E334="Urgente"),TODAY()-Registro!R334,"")</f>
        <v/>
      </c>
      <c r="C335" s="45" t="str">
        <f>IF(AND(Registro!D334="Abierto",Registro!E334="Urgente"),RANK(B335,$B$9:$B$1000,0)+COUNTIF($B$9:B335,B335)-1,"")</f>
        <v/>
      </c>
      <c r="D335" s="45" t="str">
        <f>IF(AND(Registro!D334="Abierto",Registro!E334="Alta"),Registro!B334,"")</f>
        <v/>
      </c>
      <c r="E335" s="45" t="str">
        <f ca="1">IF(AND(Registro!D334="Abierto",Registro!E334="Alta"),TODAY()-Registro!R334,"")</f>
        <v/>
      </c>
      <c r="F335" s="45" t="str">
        <f>IF(AND(Registro!D334="Abierto",Registro!E334="Alta"),RANK(E335,$E$9:$E$1000,0)+COUNTIF($E$9:E335,E335)-1+MAX(C$5:C$1000),"")</f>
        <v/>
      </c>
      <c r="G335" s="45" t="str">
        <f>IF(AND(Registro!D334="Abierto",Registro!E334="Media"),Registro!B334,"")</f>
        <v/>
      </c>
      <c r="H335" s="45" t="str">
        <f ca="1">IF(AND(Registro!D334="Abierto",Registro!E334="Media"),TODAY()-Registro!R334,"")</f>
        <v/>
      </c>
      <c r="I335" s="45" t="str">
        <f>IF(AND(Registro!D334="Abierto",Registro!E334="Media"),RANK(H335,$H$9:$H$1000,0)+COUNTIF($H$9:H335,H335)-1+MAX(C$5:C$1000,F$5:F$1000),"")</f>
        <v/>
      </c>
      <c r="J335" s="45" t="str">
        <f>IF(AND(Registro!D334="Abierto",Registro!E334="Baja"),Registro!B334,"")</f>
        <v/>
      </c>
      <c r="K335" s="45" t="str">
        <f ca="1">IF(AND(Registro!D334="Abierto",Registro!E334="Baja"),TODAY()-Registro!R334,"")</f>
        <v/>
      </c>
      <c r="L335" s="45" t="str">
        <f>IF(AND(Registro!D334="Abierto",Registro!E334="Baja"),RANK(K335,$K$9:$K$1000,0)+COUNTIF($K$9:K335,K335)-1+MAX(C$5:C$1000,F$5:F$1000,I$5:I$1000),"")</f>
        <v/>
      </c>
      <c r="M335" s="46" t="str">
        <f>IF(OR(Registro!D334="Resuelto",Registro!D334=""),"",SUM(C335,F335,I335,L335))</f>
        <v/>
      </c>
      <c r="N335" s="46" t="str">
        <f>IF(OR(Registro!D334="Resuelto",Registro!D334=""),"",SUM(B335,E335,H335,K335))</f>
        <v/>
      </c>
      <c r="O335" s="46" t="str">
        <f>IF(OR(Registro!D334="Resuelto",Registro!D334=""),"",_xlfn.CONCAT(A335,D335,G335,J335))</f>
        <v/>
      </c>
      <c r="P335" s="47">
        <v>327</v>
      </c>
      <c r="Q335" s="47" t="str">
        <f t="shared" ca="1" si="15"/>
        <v/>
      </c>
      <c r="R335" s="48" t="str">
        <f t="shared" ca="1" si="16"/>
        <v/>
      </c>
      <c r="S335" s="32"/>
      <c r="T335" s="32"/>
      <c r="U335" s="32"/>
      <c r="V335" s="32"/>
      <c r="W335" s="47" t="str">
        <f>IF(X335="","",MAX($W$5:W334)+1)</f>
        <v/>
      </c>
      <c r="X335" s="50" t="str">
        <f>IF(Registro!M334="","",IF(COUNTIF($X$8:X334,Registro!M334)=0,Registro!M334,""))</f>
        <v/>
      </c>
      <c r="Y335" s="50" t="str">
        <f t="shared" si="17"/>
        <v/>
      </c>
    </row>
    <row r="336" spans="1:25">
      <c r="A336" s="45" t="str">
        <f>IF(AND(Registro!D335="Abierto",Registro!E335="Urgente"),Registro!B335,"")</f>
        <v/>
      </c>
      <c r="B336" s="45" t="str">
        <f ca="1">IF(AND(Registro!D335="Abierto",Registro!E335="Urgente"),TODAY()-Registro!R335,"")</f>
        <v/>
      </c>
      <c r="C336" s="45" t="str">
        <f>IF(AND(Registro!D335="Abierto",Registro!E335="Urgente"),RANK(B336,$B$9:$B$1000,0)+COUNTIF($B$9:B336,B336)-1,"")</f>
        <v/>
      </c>
      <c r="D336" s="45" t="str">
        <f>IF(AND(Registro!D335="Abierto",Registro!E335="Alta"),Registro!B335,"")</f>
        <v/>
      </c>
      <c r="E336" s="45" t="str">
        <f ca="1">IF(AND(Registro!D335="Abierto",Registro!E335="Alta"),TODAY()-Registro!R335,"")</f>
        <v/>
      </c>
      <c r="F336" s="45" t="str">
        <f>IF(AND(Registro!D335="Abierto",Registro!E335="Alta"),RANK(E336,$E$9:$E$1000,0)+COUNTIF($E$9:E336,E336)-1+MAX(C$5:C$1000),"")</f>
        <v/>
      </c>
      <c r="G336" s="45" t="str">
        <f>IF(AND(Registro!D335="Abierto",Registro!E335="Media"),Registro!B335,"")</f>
        <v/>
      </c>
      <c r="H336" s="45" t="str">
        <f ca="1">IF(AND(Registro!D335="Abierto",Registro!E335="Media"),TODAY()-Registro!R335,"")</f>
        <v/>
      </c>
      <c r="I336" s="45" t="str">
        <f>IF(AND(Registro!D335="Abierto",Registro!E335="Media"),RANK(H336,$H$9:$H$1000,0)+COUNTIF($H$9:H336,H336)-1+MAX(C$5:C$1000,F$5:F$1000),"")</f>
        <v/>
      </c>
      <c r="J336" s="45" t="str">
        <f>IF(AND(Registro!D335="Abierto",Registro!E335="Baja"),Registro!B335,"")</f>
        <v/>
      </c>
      <c r="K336" s="45" t="str">
        <f ca="1">IF(AND(Registro!D335="Abierto",Registro!E335="Baja"),TODAY()-Registro!R335,"")</f>
        <v/>
      </c>
      <c r="L336" s="45" t="str">
        <f>IF(AND(Registro!D335="Abierto",Registro!E335="Baja"),RANK(K336,$K$9:$K$1000,0)+COUNTIF($K$9:K336,K336)-1+MAX(C$5:C$1000,F$5:F$1000,I$5:I$1000),"")</f>
        <v/>
      </c>
      <c r="M336" s="46" t="str">
        <f>IF(OR(Registro!D335="Resuelto",Registro!D335=""),"",SUM(C336,F336,I336,L336))</f>
        <v/>
      </c>
      <c r="N336" s="46" t="str">
        <f>IF(OR(Registro!D335="Resuelto",Registro!D335=""),"",SUM(B336,E336,H336,K336))</f>
        <v/>
      </c>
      <c r="O336" s="46" t="str">
        <f>IF(OR(Registro!D335="Resuelto",Registro!D335=""),"",_xlfn.CONCAT(A336,D336,G336,J336))</f>
        <v/>
      </c>
      <c r="P336" s="47">
        <v>328</v>
      </c>
      <c r="Q336" s="47" t="str">
        <f t="shared" ca="1" si="15"/>
        <v/>
      </c>
      <c r="R336" s="48" t="str">
        <f t="shared" ca="1" si="16"/>
        <v/>
      </c>
      <c r="S336" s="32"/>
      <c r="T336" s="32"/>
      <c r="U336" s="32"/>
      <c r="V336" s="32"/>
      <c r="W336" s="47" t="str">
        <f>IF(X336="","",MAX($W$5:W335)+1)</f>
        <v/>
      </c>
      <c r="X336" s="50" t="str">
        <f>IF(Registro!M335="","",IF(COUNTIF($X$8:X335,Registro!M335)=0,Registro!M335,""))</f>
        <v/>
      </c>
      <c r="Y336" s="50" t="str">
        <f t="shared" si="17"/>
        <v/>
      </c>
    </row>
    <row r="337" spans="1:25">
      <c r="A337" s="45" t="str">
        <f>IF(AND(Registro!D336="Abierto",Registro!E336="Urgente"),Registro!B336,"")</f>
        <v/>
      </c>
      <c r="B337" s="45" t="str">
        <f ca="1">IF(AND(Registro!D336="Abierto",Registro!E336="Urgente"),TODAY()-Registro!R336,"")</f>
        <v/>
      </c>
      <c r="C337" s="45" t="str">
        <f>IF(AND(Registro!D336="Abierto",Registro!E336="Urgente"),RANK(B337,$B$9:$B$1000,0)+COUNTIF($B$9:B337,B337)-1,"")</f>
        <v/>
      </c>
      <c r="D337" s="45" t="str">
        <f>IF(AND(Registro!D336="Abierto",Registro!E336="Alta"),Registro!B336,"")</f>
        <v/>
      </c>
      <c r="E337" s="45" t="str">
        <f ca="1">IF(AND(Registro!D336="Abierto",Registro!E336="Alta"),TODAY()-Registro!R336,"")</f>
        <v/>
      </c>
      <c r="F337" s="45" t="str">
        <f>IF(AND(Registro!D336="Abierto",Registro!E336="Alta"),RANK(E337,$E$9:$E$1000,0)+COUNTIF($E$9:E337,E337)-1+MAX(C$5:C$1000),"")</f>
        <v/>
      </c>
      <c r="G337" s="45" t="str">
        <f>IF(AND(Registro!D336="Abierto",Registro!E336="Media"),Registro!B336,"")</f>
        <v/>
      </c>
      <c r="H337" s="45" t="str">
        <f ca="1">IF(AND(Registro!D336="Abierto",Registro!E336="Media"),TODAY()-Registro!R336,"")</f>
        <v/>
      </c>
      <c r="I337" s="45" t="str">
        <f>IF(AND(Registro!D336="Abierto",Registro!E336="Media"),RANK(H337,$H$9:$H$1000,0)+COUNTIF($H$9:H337,H337)-1+MAX(C$5:C$1000,F$5:F$1000),"")</f>
        <v/>
      </c>
      <c r="J337" s="45" t="str">
        <f>IF(AND(Registro!D336="Abierto",Registro!E336="Baja"),Registro!B336,"")</f>
        <v/>
      </c>
      <c r="K337" s="45" t="str">
        <f ca="1">IF(AND(Registro!D336="Abierto",Registro!E336="Baja"),TODAY()-Registro!R336,"")</f>
        <v/>
      </c>
      <c r="L337" s="45" t="str">
        <f>IF(AND(Registro!D336="Abierto",Registro!E336="Baja"),RANK(K337,$K$9:$K$1000,0)+COUNTIF($K$9:K337,K337)-1+MAX(C$5:C$1000,F$5:F$1000,I$5:I$1000),"")</f>
        <v/>
      </c>
      <c r="M337" s="46" t="str">
        <f>IF(OR(Registro!D336="Resuelto",Registro!D336=""),"",SUM(C337,F337,I337,L337))</f>
        <v/>
      </c>
      <c r="N337" s="46" t="str">
        <f>IF(OR(Registro!D336="Resuelto",Registro!D336=""),"",SUM(B337,E337,H337,K337))</f>
        <v/>
      </c>
      <c r="O337" s="46" t="str">
        <f>IF(OR(Registro!D336="Resuelto",Registro!D336=""),"",_xlfn.CONCAT(A337,D337,G337,J337))</f>
        <v/>
      </c>
      <c r="P337" s="47">
        <v>329</v>
      </c>
      <c r="Q337" s="47" t="str">
        <f t="shared" ca="1" si="15"/>
        <v/>
      </c>
      <c r="R337" s="48" t="str">
        <f t="shared" ca="1" si="16"/>
        <v/>
      </c>
      <c r="S337" s="32"/>
      <c r="T337" s="32"/>
      <c r="U337" s="32"/>
      <c r="V337" s="32"/>
      <c r="W337" s="47" t="str">
        <f>IF(X337="","",MAX($W$5:W336)+1)</f>
        <v/>
      </c>
      <c r="X337" s="50" t="str">
        <f>IF(Registro!M336="","",IF(COUNTIF($X$8:X336,Registro!M336)=0,Registro!M336,""))</f>
        <v/>
      </c>
      <c r="Y337" s="50" t="str">
        <f t="shared" si="17"/>
        <v/>
      </c>
    </row>
    <row r="338" spans="1:25">
      <c r="A338" s="45" t="str">
        <f>IF(AND(Registro!D337="Abierto",Registro!E337="Urgente"),Registro!B337,"")</f>
        <v/>
      </c>
      <c r="B338" s="45" t="str">
        <f ca="1">IF(AND(Registro!D337="Abierto",Registro!E337="Urgente"),TODAY()-Registro!R337,"")</f>
        <v/>
      </c>
      <c r="C338" s="45" t="str">
        <f>IF(AND(Registro!D337="Abierto",Registro!E337="Urgente"),RANK(B338,$B$9:$B$1000,0)+COUNTIF($B$9:B338,B338)-1,"")</f>
        <v/>
      </c>
      <c r="D338" s="45" t="str">
        <f>IF(AND(Registro!D337="Abierto",Registro!E337="Alta"),Registro!B337,"")</f>
        <v/>
      </c>
      <c r="E338" s="45" t="str">
        <f ca="1">IF(AND(Registro!D337="Abierto",Registro!E337="Alta"),TODAY()-Registro!R337,"")</f>
        <v/>
      </c>
      <c r="F338" s="45" t="str">
        <f>IF(AND(Registro!D337="Abierto",Registro!E337="Alta"),RANK(E338,$E$9:$E$1000,0)+COUNTIF($E$9:E338,E338)-1+MAX(C$5:C$1000),"")</f>
        <v/>
      </c>
      <c r="G338" s="45" t="str">
        <f>IF(AND(Registro!D337="Abierto",Registro!E337="Media"),Registro!B337,"")</f>
        <v/>
      </c>
      <c r="H338" s="45" t="str">
        <f ca="1">IF(AND(Registro!D337="Abierto",Registro!E337="Media"),TODAY()-Registro!R337,"")</f>
        <v/>
      </c>
      <c r="I338" s="45" t="str">
        <f>IF(AND(Registro!D337="Abierto",Registro!E337="Media"),RANK(H338,$H$9:$H$1000,0)+COUNTIF($H$9:H338,H338)-1+MAX(C$5:C$1000,F$5:F$1000),"")</f>
        <v/>
      </c>
      <c r="J338" s="45" t="str">
        <f>IF(AND(Registro!D337="Abierto",Registro!E337="Baja"),Registro!B337,"")</f>
        <v/>
      </c>
      <c r="K338" s="45" t="str">
        <f ca="1">IF(AND(Registro!D337="Abierto",Registro!E337="Baja"),TODAY()-Registro!R337,"")</f>
        <v/>
      </c>
      <c r="L338" s="45" t="str">
        <f>IF(AND(Registro!D337="Abierto",Registro!E337="Baja"),RANK(K338,$K$9:$K$1000,0)+COUNTIF($K$9:K338,K338)-1+MAX(C$5:C$1000,F$5:F$1000,I$5:I$1000),"")</f>
        <v/>
      </c>
      <c r="M338" s="46" t="str">
        <f>IF(OR(Registro!D337="Resuelto",Registro!D337=""),"",SUM(C338,F338,I338,L338))</f>
        <v/>
      </c>
      <c r="N338" s="46" t="str">
        <f>IF(OR(Registro!D337="Resuelto",Registro!D337=""),"",SUM(B338,E338,H338,K338))</f>
        <v/>
      </c>
      <c r="O338" s="46" t="str">
        <f>IF(OR(Registro!D337="Resuelto",Registro!D337=""),"",_xlfn.CONCAT(A338,D338,G338,J338))</f>
        <v/>
      </c>
      <c r="P338" s="47">
        <v>330</v>
      </c>
      <c r="Q338" s="47" t="str">
        <f t="shared" ca="1" si="15"/>
        <v/>
      </c>
      <c r="R338" s="48" t="str">
        <f t="shared" ca="1" si="16"/>
        <v/>
      </c>
      <c r="S338" s="32"/>
      <c r="T338" s="32"/>
      <c r="U338" s="32"/>
      <c r="V338" s="32"/>
      <c r="W338" s="47" t="str">
        <f>IF(X338="","",MAX($W$5:W337)+1)</f>
        <v/>
      </c>
      <c r="X338" s="50" t="str">
        <f>IF(Registro!M337="","",IF(COUNTIF($X$8:X337,Registro!M337)=0,Registro!M337,""))</f>
        <v/>
      </c>
      <c r="Y338" s="50" t="str">
        <f t="shared" si="17"/>
        <v/>
      </c>
    </row>
    <row r="339" spans="1:25">
      <c r="A339" s="45" t="str">
        <f>IF(AND(Registro!D338="Abierto",Registro!E338="Urgente"),Registro!B338,"")</f>
        <v/>
      </c>
      <c r="B339" s="45" t="str">
        <f ca="1">IF(AND(Registro!D338="Abierto",Registro!E338="Urgente"),TODAY()-Registro!R338,"")</f>
        <v/>
      </c>
      <c r="C339" s="45" t="str">
        <f>IF(AND(Registro!D338="Abierto",Registro!E338="Urgente"),RANK(B339,$B$9:$B$1000,0)+COUNTIF($B$9:B339,B339)-1,"")</f>
        <v/>
      </c>
      <c r="D339" s="45" t="str">
        <f>IF(AND(Registro!D338="Abierto",Registro!E338="Alta"),Registro!B338,"")</f>
        <v/>
      </c>
      <c r="E339" s="45" t="str">
        <f ca="1">IF(AND(Registro!D338="Abierto",Registro!E338="Alta"),TODAY()-Registro!R338,"")</f>
        <v/>
      </c>
      <c r="F339" s="45" t="str">
        <f>IF(AND(Registro!D338="Abierto",Registro!E338="Alta"),RANK(E339,$E$9:$E$1000,0)+COUNTIF($E$9:E339,E339)-1+MAX(C$5:C$1000),"")</f>
        <v/>
      </c>
      <c r="G339" s="45" t="str">
        <f>IF(AND(Registro!D338="Abierto",Registro!E338="Media"),Registro!B338,"")</f>
        <v/>
      </c>
      <c r="H339" s="45" t="str">
        <f ca="1">IF(AND(Registro!D338="Abierto",Registro!E338="Media"),TODAY()-Registro!R338,"")</f>
        <v/>
      </c>
      <c r="I339" s="45" t="str">
        <f>IF(AND(Registro!D338="Abierto",Registro!E338="Media"),RANK(H339,$H$9:$H$1000,0)+COUNTIF($H$9:H339,H339)-1+MAX(C$5:C$1000,F$5:F$1000),"")</f>
        <v/>
      </c>
      <c r="J339" s="45" t="str">
        <f>IF(AND(Registro!D338="Abierto",Registro!E338="Baja"),Registro!B338,"")</f>
        <v/>
      </c>
      <c r="K339" s="45" t="str">
        <f ca="1">IF(AND(Registro!D338="Abierto",Registro!E338="Baja"),TODAY()-Registro!R338,"")</f>
        <v/>
      </c>
      <c r="L339" s="45" t="str">
        <f>IF(AND(Registro!D338="Abierto",Registro!E338="Baja"),RANK(K339,$K$9:$K$1000,0)+COUNTIF($K$9:K339,K339)-1+MAX(C$5:C$1000,F$5:F$1000,I$5:I$1000),"")</f>
        <v/>
      </c>
      <c r="M339" s="46" t="str">
        <f>IF(OR(Registro!D338="Resuelto",Registro!D338=""),"",SUM(C339,F339,I339,L339))</f>
        <v/>
      </c>
      <c r="N339" s="46" t="str">
        <f>IF(OR(Registro!D338="Resuelto",Registro!D338=""),"",SUM(B339,E339,H339,K339))</f>
        <v/>
      </c>
      <c r="O339" s="46" t="str">
        <f>IF(OR(Registro!D338="Resuelto",Registro!D338=""),"",_xlfn.CONCAT(A339,D339,G339,J339))</f>
        <v/>
      </c>
      <c r="P339" s="47">
        <v>331</v>
      </c>
      <c r="Q339" s="47" t="str">
        <f t="shared" ca="1" si="15"/>
        <v/>
      </c>
      <c r="R339" s="48" t="str">
        <f t="shared" ca="1" si="16"/>
        <v/>
      </c>
      <c r="S339" s="32"/>
      <c r="T339" s="32"/>
      <c r="U339" s="32"/>
      <c r="V339" s="32"/>
      <c r="W339" s="47" t="str">
        <f>IF(X339="","",MAX($W$5:W338)+1)</f>
        <v/>
      </c>
      <c r="X339" s="50" t="str">
        <f>IF(Registro!M338="","",IF(COUNTIF($X$8:X338,Registro!M338)=0,Registro!M338,""))</f>
        <v/>
      </c>
      <c r="Y339" s="50" t="str">
        <f t="shared" si="17"/>
        <v/>
      </c>
    </row>
    <row r="340" spans="1:25">
      <c r="A340" s="45" t="str">
        <f>IF(AND(Registro!D339="Abierto",Registro!E339="Urgente"),Registro!B339,"")</f>
        <v/>
      </c>
      <c r="B340" s="45" t="str">
        <f ca="1">IF(AND(Registro!D339="Abierto",Registro!E339="Urgente"),TODAY()-Registro!R339,"")</f>
        <v/>
      </c>
      <c r="C340" s="45" t="str">
        <f>IF(AND(Registro!D339="Abierto",Registro!E339="Urgente"),RANK(B340,$B$9:$B$1000,0)+COUNTIF($B$9:B340,B340)-1,"")</f>
        <v/>
      </c>
      <c r="D340" s="45" t="str">
        <f>IF(AND(Registro!D339="Abierto",Registro!E339="Alta"),Registro!B339,"")</f>
        <v/>
      </c>
      <c r="E340" s="45" t="str">
        <f ca="1">IF(AND(Registro!D339="Abierto",Registro!E339="Alta"),TODAY()-Registro!R339,"")</f>
        <v/>
      </c>
      <c r="F340" s="45" t="str">
        <f>IF(AND(Registro!D339="Abierto",Registro!E339="Alta"),RANK(E340,$E$9:$E$1000,0)+COUNTIF($E$9:E340,E340)-1+MAX(C$5:C$1000),"")</f>
        <v/>
      </c>
      <c r="G340" s="45" t="str">
        <f>IF(AND(Registro!D339="Abierto",Registro!E339="Media"),Registro!B339,"")</f>
        <v/>
      </c>
      <c r="H340" s="45" t="str">
        <f ca="1">IF(AND(Registro!D339="Abierto",Registro!E339="Media"),TODAY()-Registro!R339,"")</f>
        <v/>
      </c>
      <c r="I340" s="45" t="str">
        <f>IF(AND(Registro!D339="Abierto",Registro!E339="Media"),RANK(H340,$H$9:$H$1000,0)+COUNTIF($H$9:H340,H340)-1+MAX(C$5:C$1000,F$5:F$1000),"")</f>
        <v/>
      </c>
      <c r="J340" s="45" t="str">
        <f>IF(AND(Registro!D339="Abierto",Registro!E339="Baja"),Registro!B339,"")</f>
        <v/>
      </c>
      <c r="K340" s="45" t="str">
        <f ca="1">IF(AND(Registro!D339="Abierto",Registro!E339="Baja"),TODAY()-Registro!R339,"")</f>
        <v/>
      </c>
      <c r="L340" s="45" t="str">
        <f>IF(AND(Registro!D339="Abierto",Registro!E339="Baja"),RANK(K340,$K$9:$K$1000,0)+COUNTIF($K$9:K340,K340)-1+MAX(C$5:C$1000,F$5:F$1000,I$5:I$1000),"")</f>
        <v/>
      </c>
      <c r="M340" s="46" t="str">
        <f>IF(OR(Registro!D339="Resuelto",Registro!D339=""),"",SUM(C340,F340,I340,L340))</f>
        <v/>
      </c>
      <c r="N340" s="46" t="str">
        <f>IF(OR(Registro!D339="Resuelto",Registro!D339=""),"",SUM(B340,E340,H340,K340))</f>
        <v/>
      </c>
      <c r="O340" s="46" t="str">
        <f>IF(OR(Registro!D339="Resuelto",Registro!D339=""),"",_xlfn.CONCAT(A340,D340,G340,J340))</f>
        <v/>
      </c>
      <c r="P340" s="47">
        <v>332</v>
      </c>
      <c r="Q340" s="47" t="str">
        <f t="shared" ca="1" si="15"/>
        <v/>
      </c>
      <c r="R340" s="48" t="str">
        <f t="shared" ca="1" si="16"/>
        <v/>
      </c>
      <c r="S340" s="32"/>
      <c r="T340" s="32"/>
      <c r="U340" s="32"/>
      <c r="V340" s="32"/>
      <c r="W340" s="47" t="str">
        <f>IF(X340="","",MAX($W$5:W339)+1)</f>
        <v/>
      </c>
      <c r="X340" s="50" t="str">
        <f>IF(Registro!M339="","",IF(COUNTIF($X$8:X339,Registro!M339)=0,Registro!M339,""))</f>
        <v/>
      </c>
      <c r="Y340" s="50" t="str">
        <f t="shared" si="17"/>
        <v/>
      </c>
    </row>
    <row r="341" spans="1:25">
      <c r="A341" s="45" t="str">
        <f>IF(AND(Registro!D340="Abierto",Registro!E340="Urgente"),Registro!B340,"")</f>
        <v/>
      </c>
      <c r="B341" s="45" t="str">
        <f ca="1">IF(AND(Registro!D340="Abierto",Registro!E340="Urgente"),TODAY()-Registro!R340,"")</f>
        <v/>
      </c>
      <c r="C341" s="45" t="str">
        <f>IF(AND(Registro!D340="Abierto",Registro!E340="Urgente"),RANK(B341,$B$9:$B$1000,0)+COUNTIF($B$9:B341,B341)-1,"")</f>
        <v/>
      </c>
      <c r="D341" s="45" t="str">
        <f>IF(AND(Registro!D340="Abierto",Registro!E340="Alta"),Registro!B340,"")</f>
        <v/>
      </c>
      <c r="E341" s="45" t="str">
        <f ca="1">IF(AND(Registro!D340="Abierto",Registro!E340="Alta"),TODAY()-Registro!R340,"")</f>
        <v/>
      </c>
      <c r="F341" s="45" t="str">
        <f>IF(AND(Registro!D340="Abierto",Registro!E340="Alta"),RANK(E341,$E$9:$E$1000,0)+COUNTIF($E$9:E341,E341)-1+MAX(C$5:C$1000),"")</f>
        <v/>
      </c>
      <c r="G341" s="45" t="str">
        <f>IF(AND(Registro!D340="Abierto",Registro!E340="Media"),Registro!B340,"")</f>
        <v/>
      </c>
      <c r="H341" s="45" t="str">
        <f ca="1">IF(AND(Registro!D340="Abierto",Registro!E340="Media"),TODAY()-Registro!R340,"")</f>
        <v/>
      </c>
      <c r="I341" s="45" t="str">
        <f>IF(AND(Registro!D340="Abierto",Registro!E340="Media"),RANK(H341,$H$9:$H$1000,0)+COUNTIF($H$9:H341,H341)-1+MAX(C$5:C$1000,F$5:F$1000),"")</f>
        <v/>
      </c>
      <c r="J341" s="45" t="str">
        <f>IF(AND(Registro!D340="Abierto",Registro!E340="Baja"),Registro!B340,"")</f>
        <v/>
      </c>
      <c r="K341" s="45" t="str">
        <f ca="1">IF(AND(Registro!D340="Abierto",Registro!E340="Baja"),TODAY()-Registro!R340,"")</f>
        <v/>
      </c>
      <c r="L341" s="45" t="str">
        <f>IF(AND(Registro!D340="Abierto",Registro!E340="Baja"),RANK(K341,$K$9:$K$1000,0)+COUNTIF($K$9:K341,K341)-1+MAX(C$5:C$1000,F$5:F$1000,I$5:I$1000),"")</f>
        <v/>
      </c>
      <c r="M341" s="46" t="str">
        <f>IF(OR(Registro!D340="Resuelto",Registro!D340=""),"",SUM(C341,F341,I341,L341))</f>
        <v/>
      </c>
      <c r="N341" s="46" t="str">
        <f>IF(OR(Registro!D340="Resuelto",Registro!D340=""),"",SUM(B341,E341,H341,K341))</f>
        <v/>
      </c>
      <c r="O341" s="46" t="str">
        <f>IF(OR(Registro!D340="Resuelto",Registro!D340=""),"",_xlfn.CONCAT(A341,D341,G341,J341))</f>
        <v/>
      </c>
      <c r="P341" s="47">
        <v>333</v>
      </c>
      <c r="Q341" s="47" t="str">
        <f t="shared" ca="1" si="15"/>
        <v/>
      </c>
      <c r="R341" s="48" t="str">
        <f t="shared" ca="1" si="16"/>
        <v/>
      </c>
      <c r="S341" s="32"/>
      <c r="T341" s="32"/>
      <c r="U341" s="32"/>
      <c r="V341" s="32"/>
      <c r="W341" s="47" t="str">
        <f>IF(X341="","",MAX($W$5:W340)+1)</f>
        <v/>
      </c>
      <c r="X341" s="50" t="str">
        <f>IF(Registro!M340="","",IF(COUNTIF($X$8:X340,Registro!M340)=0,Registro!M340,""))</f>
        <v/>
      </c>
      <c r="Y341" s="50" t="str">
        <f t="shared" si="17"/>
        <v/>
      </c>
    </row>
    <row r="342" spans="1:25">
      <c r="A342" s="45" t="str">
        <f>IF(AND(Registro!D341="Abierto",Registro!E341="Urgente"),Registro!B341,"")</f>
        <v/>
      </c>
      <c r="B342" s="45" t="str">
        <f ca="1">IF(AND(Registro!D341="Abierto",Registro!E341="Urgente"),TODAY()-Registro!R341,"")</f>
        <v/>
      </c>
      <c r="C342" s="45" t="str">
        <f>IF(AND(Registro!D341="Abierto",Registro!E341="Urgente"),RANK(B342,$B$9:$B$1000,0)+COUNTIF($B$9:B342,B342)-1,"")</f>
        <v/>
      </c>
      <c r="D342" s="45" t="str">
        <f>IF(AND(Registro!D341="Abierto",Registro!E341="Alta"),Registro!B341,"")</f>
        <v/>
      </c>
      <c r="E342" s="45" t="str">
        <f ca="1">IF(AND(Registro!D341="Abierto",Registro!E341="Alta"),TODAY()-Registro!R341,"")</f>
        <v/>
      </c>
      <c r="F342" s="45" t="str">
        <f>IF(AND(Registro!D341="Abierto",Registro!E341="Alta"),RANK(E342,$E$9:$E$1000,0)+COUNTIF($E$9:E342,E342)-1+MAX(C$5:C$1000),"")</f>
        <v/>
      </c>
      <c r="G342" s="45" t="str">
        <f>IF(AND(Registro!D341="Abierto",Registro!E341="Media"),Registro!B341,"")</f>
        <v/>
      </c>
      <c r="H342" s="45" t="str">
        <f ca="1">IF(AND(Registro!D341="Abierto",Registro!E341="Media"),TODAY()-Registro!R341,"")</f>
        <v/>
      </c>
      <c r="I342" s="45" t="str">
        <f>IF(AND(Registro!D341="Abierto",Registro!E341="Media"),RANK(H342,$H$9:$H$1000,0)+COUNTIF($H$9:H342,H342)-1+MAX(C$5:C$1000,F$5:F$1000),"")</f>
        <v/>
      </c>
      <c r="J342" s="45" t="str">
        <f>IF(AND(Registro!D341="Abierto",Registro!E341="Baja"),Registro!B341,"")</f>
        <v/>
      </c>
      <c r="K342" s="45" t="str">
        <f ca="1">IF(AND(Registro!D341="Abierto",Registro!E341="Baja"),TODAY()-Registro!R341,"")</f>
        <v/>
      </c>
      <c r="L342" s="45" t="str">
        <f>IF(AND(Registro!D341="Abierto",Registro!E341="Baja"),RANK(K342,$K$9:$K$1000,0)+COUNTIF($K$9:K342,K342)-1+MAX(C$5:C$1000,F$5:F$1000,I$5:I$1000),"")</f>
        <v/>
      </c>
      <c r="M342" s="46" t="str">
        <f>IF(OR(Registro!D341="Resuelto",Registro!D341=""),"",SUM(C342,F342,I342,L342))</f>
        <v/>
      </c>
      <c r="N342" s="46" t="str">
        <f>IF(OR(Registro!D341="Resuelto",Registro!D341=""),"",SUM(B342,E342,H342,K342))</f>
        <v/>
      </c>
      <c r="O342" s="46" t="str">
        <f>IF(OR(Registro!D341="Resuelto",Registro!D341=""),"",_xlfn.CONCAT(A342,D342,G342,J342))</f>
        <v/>
      </c>
      <c r="P342" s="47">
        <v>334</v>
      </c>
      <c r="Q342" s="47" t="str">
        <f t="shared" ca="1" si="15"/>
        <v/>
      </c>
      <c r="R342" s="48" t="str">
        <f t="shared" ca="1" si="16"/>
        <v/>
      </c>
      <c r="S342" s="32"/>
      <c r="T342" s="32"/>
      <c r="U342" s="32"/>
      <c r="V342" s="32"/>
      <c r="W342" s="47" t="str">
        <f>IF(X342="","",MAX($W$5:W341)+1)</f>
        <v/>
      </c>
      <c r="X342" s="50" t="str">
        <f>IF(Registro!M341="","",IF(COUNTIF($X$8:X341,Registro!M341)=0,Registro!M341,""))</f>
        <v/>
      </c>
      <c r="Y342" s="50" t="str">
        <f t="shared" si="17"/>
        <v/>
      </c>
    </row>
    <row r="343" spans="1:25">
      <c r="A343" s="45" t="str">
        <f>IF(AND(Registro!D342="Abierto",Registro!E342="Urgente"),Registro!B342,"")</f>
        <v/>
      </c>
      <c r="B343" s="45" t="str">
        <f ca="1">IF(AND(Registro!D342="Abierto",Registro!E342="Urgente"),TODAY()-Registro!R342,"")</f>
        <v/>
      </c>
      <c r="C343" s="45" t="str">
        <f>IF(AND(Registro!D342="Abierto",Registro!E342="Urgente"),RANK(B343,$B$9:$B$1000,0)+COUNTIF($B$9:B343,B343)-1,"")</f>
        <v/>
      </c>
      <c r="D343" s="45" t="str">
        <f>IF(AND(Registro!D342="Abierto",Registro!E342="Alta"),Registro!B342,"")</f>
        <v/>
      </c>
      <c r="E343" s="45" t="str">
        <f ca="1">IF(AND(Registro!D342="Abierto",Registro!E342="Alta"),TODAY()-Registro!R342,"")</f>
        <v/>
      </c>
      <c r="F343" s="45" t="str">
        <f>IF(AND(Registro!D342="Abierto",Registro!E342="Alta"),RANK(E343,$E$9:$E$1000,0)+COUNTIF($E$9:E343,E343)-1+MAX(C$5:C$1000),"")</f>
        <v/>
      </c>
      <c r="G343" s="45" t="str">
        <f>IF(AND(Registro!D342="Abierto",Registro!E342="Media"),Registro!B342,"")</f>
        <v/>
      </c>
      <c r="H343" s="45" t="str">
        <f ca="1">IF(AND(Registro!D342="Abierto",Registro!E342="Media"),TODAY()-Registro!R342,"")</f>
        <v/>
      </c>
      <c r="I343" s="45" t="str">
        <f>IF(AND(Registro!D342="Abierto",Registro!E342="Media"),RANK(H343,$H$9:$H$1000,0)+COUNTIF($H$9:H343,H343)-1+MAX(C$5:C$1000,F$5:F$1000),"")</f>
        <v/>
      </c>
      <c r="J343" s="45" t="str">
        <f>IF(AND(Registro!D342="Abierto",Registro!E342="Baja"),Registro!B342,"")</f>
        <v/>
      </c>
      <c r="K343" s="45" t="str">
        <f ca="1">IF(AND(Registro!D342="Abierto",Registro!E342="Baja"),TODAY()-Registro!R342,"")</f>
        <v/>
      </c>
      <c r="L343" s="45" t="str">
        <f>IF(AND(Registro!D342="Abierto",Registro!E342="Baja"),RANK(K343,$K$9:$K$1000,0)+COUNTIF($K$9:K343,K343)-1+MAX(C$5:C$1000,F$5:F$1000,I$5:I$1000),"")</f>
        <v/>
      </c>
      <c r="M343" s="46" t="str">
        <f>IF(OR(Registro!D342="Resuelto",Registro!D342=""),"",SUM(C343,F343,I343,L343))</f>
        <v/>
      </c>
      <c r="N343" s="46" t="str">
        <f>IF(OR(Registro!D342="Resuelto",Registro!D342=""),"",SUM(B343,E343,H343,K343))</f>
        <v/>
      </c>
      <c r="O343" s="46" t="str">
        <f>IF(OR(Registro!D342="Resuelto",Registro!D342=""),"",_xlfn.CONCAT(A343,D343,G343,J343))</f>
        <v/>
      </c>
      <c r="P343" s="47">
        <v>335</v>
      </c>
      <c r="Q343" s="47" t="str">
        <f t="shared" ca="1" si="15"/>
        <v/>
      </c>
      <c r="R343" s="48" t="str">
        <f t="shared" ca="1" si="16"/>
        <v/>
      </c>
      <c r="S343" s="32"/>
      <c r="T343" s="32"/>
      <c r="U343" s="32"/>
      <c r="V343" s="32"/>
      <c r="W343" s="47" t="str">
        <f>IF(X343="","",MAX($W$5:W342)+1)</f>
        <v/>
      </c>
      <c r="X343" s="50" t="str">
        <f>IF(Registro!M342="","",IF(COUNTIF($X$8:X342,Registro!M342)=0,Registro!M342,""))</f>
        <v/>
      </c>
      <c r="Y343" s="50" t="str">
        <f t="shared" si="17"/>
        <v/>
      </c>
    </row>
    <row r="344" spans="1:25">
      <c r="A344" s="45" t="str">
        <f>IF(AND(Registro!D343="Abierto",Registro!E343="Urgente"),Registro!B343,"")</f>
        <v/>
      </c>
      <c r="B344" s="45" t="str">
        <f ca="1">IF(AND(Registro!D343="Abierto",Registro!E343="Urgente"),TODAY()-Registro!R343,"")</f>
        <v/>
      </c>
      <c r="C344" s="45" t="str">
        <f>IF(AND(Registro!D343="Abierto",Registro!E343="Urgente"),RANK(B344,$B$9:$B$1000,0)+COUNTIF($B$9:B344,B344)-1,"")</f>
        <v/>
      </c>
      <c r="D344" s="45" t="str">
        <f>IF(AND(Registro!D343="Abierto",Registro!E343="Alta"),Registro!B343,"")</f>
        <v/>
      </c>
      <c r="E344" s="45" t="str">
        <f ca="1">IF(AND(Registro!D343="Abierto",Registro!E343="Alta"),TODAY()-Registro!R343,"")</f>
        <v/>
      </c>
      <c r="F344" s="45" t="str">
        <f>IF(AND(Registro!D343="Abierto",Registro!E343="Alta"),RANK(E344,$E$9:$E$1000,0)+COUNTIF($E$9:E344,E344)-1+MAX(C$5:C$1000),"")</f>
        <v/>
      </c>
      <c r="G344" s="45" t="str">
        <f>IF(AND(Registro!D343="Abierto",Registro!E343="Media"),Registro!B343,"")</f>
        <v/>
      </c>
      <c r="H344" s="45" t="str">
        <f ca="1">IF(AND(Registro!D343="Abierto",Registro!E343="Media"),TODAY()-Registro!R343,"")</f>
        <v/>
      </c>
      <c r="I344" s="45" t="str">
        <f>IF(AND(Registro!D343="Abierto",Registro!E343="Media"),RANK(H344,$H$9:$H$1000,0)+COUNTIF($H$9:H344,H344)-1+MAX(C$5:C$1000,F$5:F$1000),"")</f>
        <v/>
      </c>
      <c r="J344" s="45" t="str">
        <f>IF(AND(Registro!D343="Abierto",Registro!E343="Baja"),Registro!B343,"")</f>
        <v/>
      </c>
      <c r="K344" s="45" t="str">
        <f ca="1">IF(AND(Registro!D343="Abierto",Registro!E343="Baja"),TODAY()-Registro!R343,"")</f>
        <v/>
      </c>
      <c r="L344" s="45" t="str">
        <f>IF(AND(Registro!D343="Abierto",Registro!E343="Baja"),RANK(K344,$K$9:$K$1000,0)+COUNTIF($K$9:K344,K344)-1+MAX(C$5:C$1000,F$5:F$1000,I$5:I$1000),"")</f>
        <v/>
      </c>
      <c r="M344" s="46" t="str">
        <f>IF(OR(Registro!D343="Resuelto",Registro!D343=""),"",SUM(C344,F344,I344,L344))</f>
        <v/>
      </c>
      <c r="N344" s="46" t="str">
        <f>IF(OR(Registro!D343="Resuelto",Registro!D343=""),"",SUM(B344,E344,H344,K344))</f>
        <v/>
      </c>
      <c r="O344" s="46" t="str">
        <f>IF(OR(Registro!D343="Resuelto",Registro!D343=""),"",_xlfn.CONCAT(A344,D344,G344,J344))</f>
        <v/>
      </c>
      <c r="P344" s="47">
        <v>336</v>
      </c>
      <c r="Q344" s="47" t="str">
        <f t="shared" ca="1" si="15"/>
        <v/>
      </c>
      <c r="R344" s="48" t="str">
        <f t="shared" ca="1" si="16"/>
        <v/>
      </c>
      <c r="S344" s="32"/>
      <c r="T344" s="32"/>
      <c r="U344" s="32"/>
      <c r="V344" s="32"/>
      <c r="W344" s="47" t="str">
        <f>IF(X344="","",MAX($W$5:W343)+1)</f>
        <v/>
      </c>
      <c r="X344" s="50" t="str">
        <f>IF(Registro!M343="","",IF(COUNTIF($X$8:X343,Registro!M343)=0,Registro!M343,""))</f>
        <v/>
      </c>
      <c r="Y344" s="50" t="str">
        <f t="shared" si="17"/>
        <v/>
      </c>
    </row>
    <row r="345" spans="1:25">
      <c r="A345" s="45" t="str">
        <f>IF(AND(Registro!D344="Abierto",Registro!E344="Urgente"),Registro!B344,"")</f>
        <v/>
      </c>
      <c r="B345" s="45" t="str">
        <f ca="1">IF(AND(Registro!D344="Abierto",Registro!E344="Urgente"),TODAY()-Registro!R344,"")</f>
        <v/>
      </c>
      <c r="C345" s="45" t="str">
        <f>IF(AND(Registro!D344="Abierto",Registro!E344="Urgente"),RANK(B345,$B$9:$B$1000,0)+COUNTIF($B$9:B345,B345)-1,"")</f>
        <v/>
      </c>
      <c r="D345" s="45" t="str">
        <f>IF(AND(Registro!D344="Abierto",Registro!E344="Alta"),Registro!B344,"")</f>
        <v/>
      </c>
      <c r="E345" s="45" t="str">
        <f ca="1">IF(AND(Registro!D344="Abierto",Registro!E344="Alta"),TODAY()-Registro!R344,"")</f>
        <v/>
      </c>
      <c r="F345" s="45" t="str">
        <f>IF(AND(Registro!D344="Abierto",Registro!E344="Alta"),RANK(E345,$E$9:$E$1000,0)+COUNTIF($E$9:E345,E345)-1+MAX(C$5:C$1000),"")</f>
        <v/>
      </c>
      <c r="G345" s="45" t="str">
        <f>IF(AND(Registro!D344="Abierto",Registro!E344="Media"),Registro!B344,"")</f>
        <v/>
      </c>
      <c r="H345" s="45" t="str">
        <f ca="1">IF(AND(Registro!D344="Abierto",Registro!E344="Media"),TODAY()-Registro!R344,"")</f>
        <v/>
      </c>
      <c r="I345" s="45" t="str">
        <f>IF(AND(Registro!D344="Abierto",Registro!E344="Media"),RANK(H345,$H$9:$H$1000,0)+COUNTIF($H$9:H345,H345)-1+MAX(C$5:C$1000,F$5:F$1000),"")</f>
        <v/>
      </c>
      <c r="J345" s="45" t="str">
        <f>IF(AND(Registro!D344="Abierto",Registro!E344="Baja"),Registro!B344,"")</f>
        <v/>
      </c>
      <c r="K345" s="45" t="str">
        <f ca="1">IF(AND(Registro!D344="Abierto",Registro!E344="Baja"),TODAY()-Registro!R344,"")</f>
        <v/>
      </c>
      <c r="L345" s="45" t="str">
        <f>IF(AND(Registro!D344="Abierto",Registro!E344="Baja"),RANK(K345,$K$9:$K$1000,0)+COUNTIF($K$9:K345,K345)-1+MAX(C$5:C$1000,F$5:F$1000,I$5:I$1000),"")</f>
        <v/>
      </c>
      <c r="M345" s="46" t="str">
        <f>IF(OR(Registro!D344="Resuelto",Registro!D344=""),"",SUM(C345,F345,I345,L345))</f>
        <v/>
      </c>
      <c r="N345" s="46" t="str">
        <f>IF(OR(Registro!D344="Resuelto",Registro!D344=""),"",SUM(B345,E345,H345,K345))</f>
        <v/>
      </c>
      <c r="O345" s="46" t="str">
        <f>IF(OR(Registro!D344="Resuelto",Registro!D344=""),"",_xlfn.CONCAT(A345,D345,G345,J345))</f>
        <v/>
      </c>
      <c r="P345" s="47">
        <v>337</v>
      </c>
      <c r="Q345" s="47" t="str">
        <f t="shared" ca="1" si="15"/>
        <v/>
      </c>
      <c r="R345" s="48" t="str">
        <f t="shared" ca="1" si="16"/>
        <v/>
      </c>
      <c r="S345" s="32"/>
      <c r="T345" s="32"/>
      <c r="U345" s="32"/>
      <c r="V345" s="32"/>
      <c r="W345" s="47" t="str">
        <f>IF(X345="","",MAX($W$5:W344)+1)</f>
        <v/>
      </c>
      <c r="X345" s="50" t="str">
        <f>IF(Registro!M344="","",IF(COUNTIF($X$8:X344,Registro!M344)=0,Registro!M344,""))</f>
        <v/>
      </c>
      <c r="Y345" s="50" t="str">
        <f t="shared" si="17"/>
        <v/>
      </c>
    </row>
    <row r="346" spans="1:25">
      <c r="A346" s="45" t="str">
        <f>IF(AND(Registro!D345="Abierto",Registro!E345="Urgente"),Registro!B345,"")</f>
        <v/>
      </c>
      <c r="B346" s="45" t="str">
        <f ca="1">IF(AND(Registro!D345="Abierto",Registro!E345="Urgente"),TODAY()-Registro!R345,"")</f>
        <v/>
      </c>
      <c r="C346" s="45" t="str">
        <f>IF(AND(Registro!D345="Abierto",Registro!E345="Urgente"),RANK(B346,$B$9:$B$1000,0)+COUNTIF($B$9:B346,B346)-1,"")</f>
        <v/>
      </c>
      <c r="D346" s="45" t="str">
        <f>IF(AND(Registro!D345="Abierto",Registro!E345="Alta"),Registro!B345,"")</f>
        <v/>
      </c>
      <c r="E346" s="45" t="str">
        <f ca="1">IF(AND(Registro!D345="Abierto",Registro!E345="Alta"),TODAY()-Registro!R345,"")</f>
        <v/>
      </c>
      <c r="F346" s="45" t="str">
        <f>IF(AND(Registro!D345="Abierto",Registro!E345="Alta"),RANK(E346,$E$9:$E$1000,0)+COUNTIF($E$9:E346,E346)-1+MAX(C$5:C$1000),"")</f>
        <v/>
      </c>
      <c r="G346" s="45" t="str">
        <f>IF(AND(Registro!D345="Abierto",Registro!E345="Media"),Registro!B345,"")</f>
        <v/>
      </c>
      <c r="H346" s="45" t="str">
        <f ca="1">IF(AND(Registro!D345="Abierto",Registro!E345="Media"),TODAY()-Registro!R345,"")</f>
        <v/>
      </c>
      <c r="I346" s="45" t="str">
        <f>IF(AND(Registro!D345="Abierto",Registro!E345="Media"),RANK(H346,$H$9:$H$1000,0)+COUNTIF($H$9:H346,H346)-1+MAX(C$5:C$1000,F$5:F$1000),"")</f>
        <v/>
      </c>
      <c r="J346" s="45" t="str">
        <f>IF(AND(Registro!D345="Abierto",Registro!E345="Baja"),Registro!B345,"")</f>
        <v/>
      </c>
      <c r="K346" s="45" t="str">
        <f ca="1">IF(AND(Registro!D345="Abierto",Registro!E345="Baja"),TODAY()-Registro!R345,"")</f>
        <v/>
      </c>
      <c r="L346" s="45" t="str">
        <f>IF(AND(Registro!D345="Abierto",Registro!E345="Baja"),RANK(K346,$K$9:$K$1000,0)+COUNTIF($K$9:K346,K346)-1+MAX(C$5:C$1000,F$5:F$1000,I$5:I$1000),"")</f>
        <v/>
      </c>
      <c r="M346" s="46" t="str">
        <f>IF(OR(Registro!D345="Resuelto",Registro!D345=""),"",SUM(C346,F346,I346,L346))</f>
        <v/>
      </c>
      <c r="N346" s="46" t="str">
        <f>IF(OR(Registro!D345="Resuelto",Registro!D345=""),"",SUM(B346,E346,H346,K346))</f>
        <v/>
      </c>
      <c r="O346" s="46" t="str">
        <f>IF(OR(Registro!D345="Resuelto",Registro!D345=""),"",_xlfn.CONCAT(A346,D346,G346,J346))</f>
        <v/>
      </c>
      <c r="P346" s="47">
        <v>338</v>
      </c>
      <c r="Q346" s="47" t="str">
        <f t="shared" ca="1" si="15"/>
        <v/>
      </c>
      <c r="R346" s="48" t="str">
        <f t="shared" ca="1" si="16"/>
        <v/>
      </c>
      <c r="S346" s="32"/>
      <c r="T346" s="32"/>
      <c r="U346" s="32"/>
      <c r="V346" s="32"/>
      <c r="W346" s="47" t="str">
        <f>IF(X346="","",MAX($W$5:W345)+1)</f>
        <v/>
      </c>
      <c r="X346" s="50" t="str">
        <f>IF(Registro!M345="","",IF(COUNTIF($X$8:X345,Registro!M345)=0,Registro!M345,""))</f>
        <v/>
      </c>
      <c r="Y346" s="50" t="str">
        <f t="shared" si="17"/>
        <v/>
      </c>
    </row>
    <row r="347" spans="1:25">
      <c r="A347" s="45" t="str">
        <f>IF(AND(Registro!D346="Abierto",Registro!E346="Urgente"),Registro!B346,"")</f>
        <v/>
      </c>
      <c r="B347" s="45" t="str">
        <f ca="1">IF(AND(Registro!D346="Abierto",Registro!E346="Urgente"),TODAY()-Registro!R346,"")</f>
        <v/>
      </c>
      <c r="C347" s="45" t="str">
        <f>IF(AND(Registro!D346="Abierto",Registro!E346="Urgente"),RANK(B347,$B$9:$B$1000,0)+COUNTIF($B$9:B347,B347)-1,"")</f>
        <v/>
      </c>
      <c r="D347" s="45" t="str">
        <f>IF(AND(Registro!D346="Abierto",Registro!E346="Alta"),Registro!B346,"")</f>
        <v/>
      </c>
      <c r="E347" s="45" t="str">
        <f ca="1">IF(AND(Registro!D346="Abierto",Registro!E346="Alta"),TODAY()-Registro!R346,"")</f>
        <v/>
      </c>
      <c r="F347" s="45" t="str">
        <f>IF(AND(Registro!D346="Abierto",Registro!E346="Alta"),RANK(E347,$E$9:$E$1000,0)+COUNTIF($E$9:E347,E347)-1+MAX(C$5:C$1000),"")</f>
        <v/>
      </c>
      <c r="G347" s="45" t="str">
        <f>IF(AND(Registro!D346="Abierto",Registro!E346="Media"),Registro!B346,"")</f>
        <v/>
      </c>
      <c r="H347" s="45" t="str">
        <f ca="1">IF(AND(Registro!D346="Abierto",Registro!E346="Media"),TODAY()-Registro!R346,"")</f>
        <v/>
      </c>
      <c r="I347" s="45" t="str">
        <f>IF(AND(Registro!D346="Abierto",Registro!E346="Media"),RANK(H347,$H$9:$H$1000,0)+COUNTIF($H$9:H347,H347)-1+MAX(C$5:C$1000,F$5:F$1000),"")</f>
        <v/>
      </c>
      <c r="J347" s="45" t="str">
        <f>IF(AND(Registro!D346="Abierto",Registro!E346="Baja"),Registro!B346,"")</f>
        <v/>
      </c>
      <c r="K347" s="45" t="str">
        <f ca="1">IF(AND(Registro!D346="Abierto",Registro!E346="Baja"),TODAY()-Registro!R346,"")</f>
        <v/>
      </c>
      <c r="L347" s="45" t="str">
        <f>IF(AND(Registro!D346="Abierto",Registro!E346="Baja"),RANK(K347,$K$9:$K$1000,0)+COUNTIF($K$9:K347,K347)-1+MAX(C$5:C$1000,F$5:F$1000,I$5:I$1000),"")</f>
        <v/>
      </c>
      <c r="M347" s="46" t="str">
        <f>IF(OR(Registro!D346="Resuelto",Registro!D346=""),"",SUM(C347,F347,I347,L347))</f>
        <v/>
      </c>
      <c r="N347" s="46" t="str">
        <f>IF(OR(Registro!D346="Resuelto",Registro!D346=""),"",SUM(B347,E347,H347,K347))</f>
        <v/>
      </c>
      <c r="O347" s="46" t="str">
        <f>IF(OR(Registro!D346="Resuelto",Registro!D346=""),"",_xlfn.CONCAT(A347,D347,G347,J347))</f>
        <v/>
      </c>
      <c r="P347" s="47">
        <v>339</v>
      </c>
      <c r="Q347" s="47" t="str">
        <f t="shared" ca="1" si="15"/>
        <v/>
      </c>
      <c r="R347" s="48" t="str">
        <f t="shared" ca="1" si="16"/>
        <v/>
      </c>
      <c r="S347" s="32"/>
      <c r="T347" s="32"/>
      <c r="U347" s="32"/>
      <c r="V347" s="32"/>
      <c r="W347" s="47" t="str">
        <f>IF(X347="","",MAX($W$5:W346)+1)</f>
        <v/>
      </c>
      <c r="X347" s="50" t="str">
        <f>IF(Registro!M346="","",IF(COUNTIF($X$8:X346,Registro!M346)=0,Registro!M346,""))</f>
        <v/>
      </c>
      <c r="Y347" s="50" t="str">
        <f t="shared" si="17"/>
        <v/>
      </c>
    </row>
    <row r="348" spans="1:25">
      <c r="A348" s="45" t="str">
        <f>IF(AND(Registro!D347="Abierto",Registro!E347="Urgente"),Registro!B347,"")</f>
        <v/>
      </c>
      <c r="B348" s="45" t="str">
        <f ca="1">IF(AND(Registro!D347="Abierto",Registro!E347="Urgente"),TODAY()-Registro!R347,"")</f>
        <v/>
      </c>
      <c r="C348" s="45" t="str">
        <f>IF(AND(Registro!D347="Abierto",Registro!E347="Urgente"),RANK(B348,$B$9:$B$1000,0)+COUNTIF($B$9:B348,B348)-1,"")</f>
        <v/>
      </c>
      <c r="D348" s="45" t="str">
        <f>IF(AND(Registro!D347="Abierto",Registro!E347="Alta"),Registro!B347,"")</f>
        <v/>
      </c>
      <c r="E348" s="45" t="str">
        <f ca="1">IF(AND(Registro!D347="Abierto",Registro!E347="Alta"),TODAY()-Registro!R347,"")</f>
        <v/>
      </c>
      <c r="F348" s="45" t="str">
        <f>IF(AND(Registro!D347="Abierto",Registro!E347="Alta"),RANK(E348,$E$9:$E$1000,0)+COUNTIF($E$9:E348,E348)-1+MAX(C$5:C$1000),"")</f>
        <v/>
      </c>
      <c r="G348" s="45" t="str">
        <f>IF(AND(Registro!D347="Abierto",Registro!E347="Media"),Registro!B347,"")</f>
        <v/>
      </c>
      <c r="H348" s="45" t="str">
        <f ca="1">IF(AND(Registro!D347="Abierto",Registro!E347="Media"),TODAY()-Registro!R347,"")</f>
        <v/>
      </c>
      <c r="I348" s="45" t="str">
        <f>IF(AND(Registro!D347="Abierto",Registro!E347="Media"),RANK(H348,$H$9:$H$1000,0)+COUNTIF($H$9:H348,H348)-1+MAX(C$5:C$1000,F$5:F$1000),"")</f>
        <v/>
      </c>
      <c r="J348" s="45" t="str">
        <f>IF(AND(Registro!D347="Abierto",Registro!E347="Baja"),Registro!B347,"")</f>
        <v/>
      </c>
      <c r="K348" s="45" t="str">
        <f ca="1">IF(AND(Registro!D347="Abierto",Registro!E347="Baja"),TODAY()-Registro!R347,"")</f>
        <v/>
      </c>
      <c r="L348" s="45" t="str">
        <f>IF(AND(Registro!D347="Abierto",Registro!E347="Baja"),RANK(K348,$K$9:$K$1000,0)+COUNTIF($K$9:K348,K348)-1+MAX(C$5:C$1000,F$5:F$1000,I$5:I$1000),"")</f>
        <v/>
      </c>
      <c r="M348" s="46" t="str">
        <f>IF(OR(Registro!D347="Resuelto",Registro!D347=""),"",SUM(C348,F348,I348,L348))</f>
        <v/>
      </c>
      <c r="N348" s="46" t="str">
        <f>IF(OR(Registro!D347="Resuelto",Registro!D347=""),"",SUM(B348,E348,H348,K348))</f>
        <v/>
      </c>
      <c r="O348" s="46" t="str">
        <f>IF(OR(Registro!D347="Resuelto",Registro!D347=""),"",_xlfn.CONCAT(A348,D348,G348,J348))</f>
        <v/>
      </c>
      <c r="P348" s="47">
        <v>340</v>
      </c>
      <c r="Q348" s="47" t="str">
        <f t="shared" ca="1" si="15"/>
        <v/>
      </c>
      <c r="R348" s="48" t="str">
        <f t="shared" ca="1" si="16"/>
        <v/>
      </c>
      <c r="S348" s="32"/>
      <c r="T348" s="32"/>
      <c r="U348" s="32"/>
      <c r="V348" s="32"/>
      <c r="W348" s="47" t="str">
        <f>IF(X348="","",MAX($W$5:W347)+1)</f>
        <v/>
      </c>
      <c r="X348" s="50" t="str">
        <f>IF(Registro!M347="","",IF(COUNTIF($X$8:X347,Registro!M347)=0,Registro!M347,""))</f>
        <v/>
      </c>
      <c r="Y348" s="50" t="str">
        <f t="shared" si="17"/>
        <v/>
      </c>
    </row>
    <row r="349" spans="1:25">
      <c r="A349" s="45" t="str">
        <f>IF(AND(Registro!D348="Abierto",Registro!E348="Urgente"),Registro!B348,"")</f>
        <v/>
      </c>
      <c r="B349" s="45" t="str">
        <f ca="1">IF(AND(Registro!D348="Abierto",Registro!E348="Urgente"),TODAY()-Registro!R348,"")</f>
        <v/>
      </c>
      <c r="C349" s="45" t="str">
        <f>IF(AND(Registro!D348="Abierto",Registro!E348="Urgente"),RANK(B349,$B$9:$B$1000,0)+COUNTIF($B$9:B349,B349)-1,"")</f>
        <v/>
      </c>
      <c r="D349" s="45" t="str">
        <f>IF(AND(Registro!D348="Abierto",Registro!E348="Alta"),Registro!B348,"")</f>
        <v/>
      </c>
      <c r="E349" s="45" t="str">
        <f ca="1">IF(AND(Registro!D348="Abierto",Registro!E348="Alta"),TODAY()-Registro!R348,"")</f>
        <v/>
      </c>
      <c r="F349" s="45" t="str">
        <f>IF(AND(Registro!D348="Abierto",Registro!E348="Alta"),RANK(E349,$E$9:$E$1000,0)+COUNTIF($E$9:E349,E349)-1+MAX(C$5:C$1000),"")</f>
        <v/>
      </c>
      <c r="G349" s="45" t="str">
        <f>IF(AND(Registro!D348="Abierto",Registro!E348="Media"),Registro!B348,"")</f>
        <v/>
      </c>
      <c r="H349" s="45" t="str">
        <f ca="1">IF(AND(Registro!D348="Abierto",Registro!E348="Media"),TODAY()-Registro!R348,"")</f>
        <v/>
      </c>
      <c r="I349" s="45" t="str">
        <f>IF(AND(Registro!D348="Abierto",Registro!E348="Media"),RANK(H349,$H$9:$H$1000,0)+COUNTIF($H$9:H349,H349)-1+MAX(C$5:C$1000,F$5:F$1000),"")</f>
        <v/>
      </c>
      <c r="J349" s="45" t="str">
        <f>IF(AND(Registro!D348="Abierto",Registro!E348="Baja"),Registro!B348,"")</f>
        <v/>
      </c>
      <c r="K349" s="45" t="str">
        <f ca="1">IF(AND(Registro!D348="Abierto",Registro!E348="Baja"),TODAY()-Registro!R348,"")</f>
        <v/>
      </c>
      <c r="L349" s="45" t="str">
        <f>IF(AND(Registro!D348="Abierto",Registro!E348="Baja"),RANK(K349,$K$9:$K$1000,0)+COUNTIF($K$9:K349,K349)-1+MAX(C$5:C$1000,F$5:F$1000,I$5:I$1000),"")</f>
        <v/>
      </c>
      <c r="M349" s="46" t="str">
        <f>IF(OR(Registro!D348="Resuelto",Registro!D348=""),"",SUM(C349,F349,I349,L349))</f>
        <v/>
      </c>
      <c r="N349" s="46" t="str">
        <f>IF(OR(Registro!D348="Resuelto",Registro!D348=""),"",SUM(B349,E349,H349,K349))</f>
        <v/>
      </c>
      <c r="O349" s="46" t="str">
        <f>IF(OR(Registro!D348="Resuelto",Registro!D348=""),"",_xlfn.CONCAT(A349,D349,G349,J349))</f>
        <v/>
      </c>
      <c r="P349" s="47">
        <v>341</v>
      </c>
      <c r="Q349" s="47" t="str">
        <f t="shared" ca="1" si="15"/>
        <v/>
      </c>
      <c r="R349" s="48" t="str">
        <f t="shared" ca="1" si="16"/>
        <v/>
      </c>
      <c r="S349" s="32"/>
      <c r="T349" s="32"/>
      <c r="U349" s="32"/>
      <c r="V349" s="32"/>
      <c r="W349" s="47" t="str">
        <f>IF(X349="","",MAX($W$5:W348)+1)</f>
        <v/>
      </c>
      <c r="X349" s="50" t="str">
        <f>IF(Registro!M348="","",IF(COUNTIF($X$8:X348,Registro!M348)=0,Registro!M348,""))</f>
        <v/>
      </c>
      <c r="Y349" s="50" t="str">
        <f t="shared" si="17"/>
        <v/>
      </c>
    </row>
    <row r="350" spans="1:25">
      <c r="A350" s="45" t="str">
        <f>IF(AND(Registro!D349="Abierto",Registro!E349="Urgente"),Registro!B349,"")</f>
        <v/>
      </c>
      <c r="B350" s="45" t="str">
        <f ca="1">IF(AND(Registro!D349="Abierto",Registro!E349="Urgente"),TODAY()-Registro!R349,"")</f>
        <v/>
      </c>
      <c r="C350" s="45" t="str">
        <f>IF(AND(Registro!D349="Abierto",Registro!E349="Urgente"),RANK(B350,$B$9:$B$1000,0)+COUNTIF($B$9:B350,B350)-1,"")</f>
        <v/>
      </c>
      <c r="D350" s="45" t="str">
        <f>IF(AND(Registro!D349="Abierto",Registro!E349="Alta"),Registro!B349,"")</f>
        <v/>
      </c>
      <c r="E350" s="45" t="str">
        <f ca="1">IF(AND(Registro!D349="Abierto",Registro!E349="Alta"),TODAY()-Registro!R349,"")</f>
        <v/>
      </c>
      <c r="F350" s="45" t="str">
        <f>IF(AND(Registro!D349="Abierto",Registro!E349="Alta"),RANK(E350,$E$9:$E$1000,0)+COUNTIF($E$9:E350,E350)-1+MAX(C$5:C$1000),"")</f>
        <v/>
      </c>
      <c r="G350" s="45" t="str">
        <f>IF(AND(Registro!D349="Abierto",Registro!E349="Media"),Registro!B349,"")</f>
        <v/>
      </c>
      <c r="H350" s="45" t="str">
        <f ca="1">IF(AND(Registro!D349="Abierto",Registro!E349="Media"),TODAY()-Registro!R349,"")</f>
        <v/>
      </c>
      <c r="I350" s="45" t="str">
        <f>IF(AND(Registro!D349="Abierto",Registro!E349="Media"),RANK(H350,$H$9:$H$1000,0)+COUNTIF($H$9:H350,H350)-1+MAX(C$5:C$1000,F$5:F$1000),"")</f>
        <v/>
      </c>
      <c r="J350" s="45" t="str">
        <f>IF(AND(Registro!D349="Abierto",Registro!E349="Baja"),Registro!B349,"")</f>
        <v/>
      </c>
      <c r="K350" s="45" t="str">
        <f ca="1">IF(AND(Registro!D349="Abierto",Registro!E349="Baja"),TODAY()-Registro!R349,"")</f>
        <v/>
      </c>
      <c r="L350" s="45" t="str">
        <f>IF(AND(Registro!D349="Abierto",Registro!E349="Baja"),RANK(K350,$K$9:$K$1000,0)+COUNTIF($K$9:K350,K350)-1+MAX(C$5:C$1000,F$5:F$1000,I$5:I$1000),"")</f>
        <v/>
      </c>
      <c r="M350" s="46" t="str">
        <f>IF(OR(Registro!D349="Resuelto",Registro!D349=""),"",SUM(C350,F350,I350,L350))</f>
        <v/>
      </c>
      <c r="N350" s="46" t="str">
        <f>IF(OR(Registro!D349="Resuelto",Registro!D349=""),"",SUM(B350,E350,H350,K350))</f>
        <v/>
      </c>
      <c r="O350" s="46" t="str">
        <f>IF(OR(Registro!D349="Resuelto",Registro!D349=""),"",_xlfn.CONCAT(A350,D350,G350,J350))</f>
        <v/>
      </c>
      <c r="P350" s="47">
        <v>342</v>
      </c>
      <c r="Q350" s="47" t="str">
        <f t="shared" ca="1" si="15"/>
        <v/>
      </c>
      <c r="R350" s="48" t="str">
        <f t="shared" ca="1" si="16"/>
        <v/>
      </c>
      <c r="S350" s="32"/>
      <c r="T350" s="32"/>
      <c r="U350" s="32"/>
      <c r="V350" s="32"/>
      <c r="W350" s="47" t="str">
        <f>IF(X350="","",MAX($W$5:W349)+1)</f>
        <v/>
      </c>
      <c r="X350" s="50" t="str">
        <f>IF(Registro!M349="","",IF(COUNTIF($X$8:X349,Registro!M349)=0,Registro!M349,""))</f>
        <v/>
      </c>
      <c r="Y350" s="50" t="str">
        <f t="shared" si="17"/>
        <v/>
      </c>
    </row>
    <row r="351" spans="1:25">
      <c r="A351" s="45" t="str">
        <f>IF(AND(Registro!D350="Abierto",Registro!E350="Urgente"),Registro!B350,"")</f>
        <v/>
      </c>
      <c r="B351" s="45" t="str">
        <f ca="1">IF(AND(Registro!D350="Abierto",Registro!E350="Urgente"),TODAY()-Registro!R350,"")</f>
        <v/>
      </c>
      <c r="C351" s="45" t="str">
        <f>IF(AND(Registro!D350="Abierto",Registro!E350="Urgente"),RANK(B351,$B$9:$B$1000,0)+COUNTIF($B$9:B351,B351)-1,"")</f>
        <v/>
      </c>
      <c r="D351" s="45" t="str">
        <f>IF(AND(Registro!D350="Abierto",Registro!E350="Alta"),Registro!B350,"")</f>
        <v/>
      </c>
      <c r="E351" s="45" t="str">
        <f ca="1">IF(AND(Registro!D350="Abierto",Registro!E350="Alta"),TODAY()-Registro!R350,"")</f>
        <v/>
      </c>
      <c r="F351" s="45" t="str">
        <f>IF(AND(Registro!D350="Abierto",Registro!E350="Alta"),RANK(E351,$E$9:$E$1000,0)+COUNTIF($E$9:E351,E351)-1+MAX(C$5:C$1000),"")</f>
        <v/>
      </c>
      <c r="G351" s="45" t="str">
        <f>IF(AND(Registro!D350="Abierto",Registro!E350="Media"),Registro!B350,"")</f>
        <v/>
      </c>
      <c r="H351" s="45" t="str">
        <f ca="1">IF(AND(Registro!D350="Abierto",Registro!E350="Media"),TODAY()-Registro!R350,"")</f>
        <v/>
      </c>
      <c r="I351" s="45" t="str">
        <f>IF(AND(Registro!D350="Abierto",Registro!E350="Media"),RANK(H351,$H$9:$H$1000,0)+COUNTIF($H$9:H351,H351)-1+MAX(C$5:C$1000,F$5:F$1000),"")</f>
        <v/>
      </c>
      <c r="J351" s="45" t="str">
        <f>IF(AND(Registro!D350="Abierto",Registro!E350="Baja"),Registro!B350,"")</f>
        <v/>
      </c>
      <c r="K351" s="45" t="str">
        <f ca="1">IF(AND(Registro!D350="Abierto",Registro!E350="Baja"),TODAY()-Registro!R350,"")</f>
        <v/>
      </c>
      <c r="L351" s="45" t="str">
        <f>IF(AND(Registro!D350="Abierto",Registro!E350="Baja"),RANK(K351,$K$9:$K$1000,0)+COUNTIF($K$9:K351,K351)-1+MAX(C$5:C$1000,F$5:F$1000,I$5:I$1000),"")</f>
        <v/>
      </c>
      <c r="M351" s="46" t="str">
        <f>IF(OR(Registro!D350="Resuelto",Registro!D350=""),"",SUM(C351,F351,I351,L351))</f>
        <v/>
      </c>
      <c r="N351" s="46" t="str">
        <f>IF(OR(Registro!D350="Resuelto",Registro!D350=""),"",SUM(B351,E351,H351,K351))</f>
        <v/>
      </c>
      <c r="O351" s="46" t="str">
        <f>IF(OR(Registro!D350="Resuelto",Registro!D350=""),"",_xlfn.CONCAT(A351,D351,G351,J351))</f>
        <v/>
      </c>
      <c r="P351" s="47">
        <v>343</v>
      </c>
      <c r="Q351" s="47" t="str">
        <f t="shared" ca="1" si="15"/>
        <v/>
      </c>
      <c r="R351" s="48" t="str">
        <f t="shared" ca="1" si="16"/>
        <v/>
      </c>
      <c r="S351" s="32"/>
      <c r="T351" s="32"/>
      <c r="U351" s="32"/>
      <c r="V351" s="32"/>
      <c r="W351" s="47" t="str">
        <f>IF(X351="","",MAX($W$5:W350)+1)</f>
        <v/>
      </c>
      <c r="X351" s="50" t="str">
        <f>IF(Registro!M350="","",IF(COUNTIF($X$8:X350,Registro!M350)=0,Registro!M350,""))</f>
        <v/>
      </c>
      <c r="Y351" s="50" t="str">
        <f t="shared" si="17"/>
        <v/>
      </c>
    </row>
    <row r="352" spans="1:25">
      <c r="A352" s="45" t="str">
        <f>IF(AND(Registro!D351="Abierto",Registro!E351="Urgente"),Registro!B351,"")</f>
        <v/>
      </c>
      <c r="B352" s="45" t="str">
        <f ca="1">IF(AND(Registro!D351="Abierto",Registro!E351="Urgente"),TODAY()-Registro!R351,"")</f>
        <v/>
      </c>
      <c r="C352" s="45" t="str">
        <f>IF(AND(Registro!D351="Abierto",Registro!E351="Urgente"),RANK(B352,$B$9:$B$1000,0)+COUNTIF($B$9:B352,B352)-1,"")</f>
        <v/>
      </c>
      <c r="D352" s="45" t="str">
        <f>IF(AND(Registro!D351="Abierto",Registro!E351="Alta"),Registro!B351,"")</f>
        <v/>
      </c>
      <c r="E352" s="45" t="str">
        <f ca="1">IF(AND(Registro!D351="Abierto",Registro!E351="Alta"),TODAY()-Registro!R351,"")</f>
        <v/>
      </c>
      <c r="F352" s="45" t="str">
        <f>IF(AND(Registro!D351="Abierto",Registro!E351="Alta"),RANK(E352,$E$9:$E$1000,0)+COUNTIF($E$9:E352,E352)-1+MAX(C$5:C$1000),"")</f>
        <v/>
      </c>
      <c r="G352" s="45" t="str">
        <f>IF(AND(Registro!D351="Abierto",Registro!E351="Media"),Registro!B351,"")</f>
        <v/>
      </c>
      <c r="H352" s="45" t="str">
        <f ca="1">IF(AND(Registro!D351="Abierto",Registro!E351="Media"),TODAY()-Registro!R351,"")</f>
        <v/>
      </c>
      <c r="I352" s="45" t="str">
        <f>IF(AND(Registro!D351="Abierto",Registro!E351="Media"),RANK(H352,$H$9:$H$1000,0)+COUNTIF($H$9:H352,H352)-1+MAX(C$5:C$1000,F$5:F$1000),"")</f>
        <v/>
      </c>
      <c r="J352" s="45" t="str">
        <f>IF(AND(Registro!D351="Abierto",Registro!E351="Baja"),Registro!B351,"")</f>
        <v/>
      </c>
      <c r="K352" s="45" t="str">
        <f ca="1">IF(AND(Registro!D351="Abierto",Registro!E351="Baja"),TODAY()-Registro!R351,"")</f>
        <v/>
      </c>
      <c r="L352" s="45" t="str">
        <f>IF(AND(Registro!D351="Abierto",Registro!E351="Baja"),RANK(K352,$K$9:$K$1000,0)+COUNTIF($K$9:K352,K352)-1+MAX(C$5:C$1000,F$5:F$1000,I$5:I$1000),"")</f>
        <v/>
      </c>
      <c r="M352" s="46" t="str">
        <f>IF(OR(Registro!D351="Resuelto",Registro!D351=""),"",SUM(C352,F352,I352,L352))</f>
        <v/>
      </c>
      <c r="N352" s="46" t="str">
        <f>IF(OR(Registro!D351="Resuelto",Registro!D351=""),"",SUM(B352,E352,H352,K352))</f>
        <v/>
      </c>
      <c r="O352" s="46" t="str">
        <f>IF(OR(Registro!D351="Resuelto",Registro!D351=""),"",_xlfn.CONCAT(A352,D352,G352,J352))</f>
        <v/>
      </c>
      <c r="P352" s="47">
        <v>344</v>
      </c>
      <c r="Q352" s="47" t="str">
        <f t="shared" ca="1" si="15"/>
        <v/>
      </c>
      <c r="R352" s="48" t="str">
        <f t="shared" ca="1" si="16"/>
        <v/>
      </c>
      <c r="S352" s="32"/>
      <c r="T352" s="32"/>
      <c r="U352" s="32"/>
      <c r="V352" s="32"/>
      <c r="W352" s="47" t="str">
        <f>IF(X352="","",MAX($W$5:W351)+1)</f>
        <v/>
      </c>
      <c r="X352" s="50" t="str">
        <f>IF(Registro!M351="","",IF(COUNTIF($X$8:X351,Registro!M351)=0,Registro!M351,""))</f>
        <v/>
      </c>
      <c r="Y352" s="50" t="str">
        <f t="shared" si="17"/>
        <v/>
      </c>
    </row>
    <row r="353" spans="1:25">
      <c r="A353" s="45" t="str">
        <f>IF(AND(Registro!D352="Abierto",Registro!E352="Urgente"),Registro!B352,"")</f>
        <v/>
      </c>
      <c r="B353" s="45" t="str">
        <f ca="1">IF(AND(Registro!D352="Abierto",Registro!E352="Urgente"),TODAY()-Registro!R352,"")</f>
        <v/>
      </c>
      <c r="C353" s="45" t="str">
        <f>IF(AND(Registro!D352="Abierto",Registro!E352="Urgente"),RANK(B353,$B$9:$B$1000,0)+COUNTIF($B$9:B353,B353)-1,"")</f>
        <v/>
      </c>
      <c r="D353" s="45" t="str">
        <f>IF(AND(Registro!D352="Abierto",Registro!E352="Alta"),Registro!B352,"")</f>
        <v/>
      </c>
      <c r="E353" s="45" t="str">
        <f ca="1">IF(AND(Registro!D352="Abierto",Registro!E352="Alta"),TODAY()-Registro!R352,"")</f>
        <v/>
      </c>
      <c r="F353" s="45" t="str">
        <f>IF(AND(Registro!D352="Abierto",Registro!E352="Alta"),RANK(E353,$E$9:$E$1000,0)+COUNTIF($E$9:E353,E353)-1+MAX(C$5:C$1000),"")</f>
        <v/>
      </c>
      <c r="G353" s="45" t="str">
        <f>IF(AND(Registro!D352="Abierto",Registro!E352="Media"),Registro!B352,"")</f>
        <v/>
      </c>
      <c r="H353" s="45" t="str">
        <f ca="1">IF(AND(Registro!D352="Abierto",Registro!E352="Media"),TODAY()-Registro!R352,"")</f>
        <v/>
      </c>
      <c r="I353" s="45" t="str">
        <f>IF(AND(Registro!D352="Abierto",Registro!E352="Media"),RANK(H353,$H$9:$H$1000,0)+COUNTIF($H$9:H353,H353)-1+MAX(C$5:C$1000,F$5:F$1000),"")</f>
        <v/>
      </c>
      <c r="J353" s="45" t="str">
        <f>IF(AND(Registro!D352="Abierto",Registro!E352="Baja"),Registro!B352,"")</f>
        <v/>
      </c>
      <c r="K353" s="45" t="str">
        <f ca="1">IF(AND(Registro!D352="Abierto",Registro!E352="Baja"),TODAY()-Registro!R352,"")</f>
        <v/>
      </c>
      <c r="L353" s="45" t="str">
        <f>IF(AND(Registro!D352="Abierto",Registro!E352="Baja"),RANK(K353,$K$9:$K$1000,0)+COUNTIF($K$9:K353,K353)-1+MAX(C$5:C$1000,F$5:F$1000,I$5:I$1000),"")</f>
        <v/>
      </c>
      <c r="M353" s="46" t="str">
        <f>IF(OR(Registro!D352="Resuelto",Registro!D352=""),"",SUM(C353,F353,I353,L353))</f>
        <v/>
      </c>
      <c r="N353" s="46" t="str">
        <f>IF(OR(Registro!D352="Resuelto",Registro!D352=""),"",SUM(B353,E353,H353,K353))</f>
        <v/>
      </c>
      <c r="O353" s="46" t="str">
        <f>IF(OR(Registro!D352="Resuelto",Registro!D352=""),"",_xlfn.CONCAT(A353,D353,G353,J353))</f>
        <v/>
      </c>
      <c r="P353" s="47">
        <v>345</v>
      </c>
      <c r="Q353" s="47" t="str">
        <f t="shared" ca="1" si="15"/>
        <v/>
      </c>
      <c r="R353" s="48" t="str">
        <f t="shared" ca="1" si="16"/>
        <v/>
      </c>
      <c r="S353" s="32"/>
      <c r="T353" s="32"/>
      <c r="U353" s="32"/>
      <c r="V353" s="32"/>
      <c r="W353" s="47" t="str">
        <f>IF(X353="","",MAX($W$5:W352)+1)</f>
        <v/>
      </c>
      <c r="X353" s="50" t="str">
        <f>IF(Registro!M352="","",IF(COUNTIF($X$8:X352,Registro!M352)=0,Registro!M352,""))</f>
        <v/>
      </c>
      <c r="Y353" s="50" t="str">
        <f t="shared" si="17"/>
        <v/>
      </c>
    </row>
    <row r="354" spans="1:25">
      <c r="A354" s="45" t="str">
        <f>IF(AND(Registro!D353="Abierto",Registro!E353="Urgente"),Registro!B353,"")</f>
        <v/>
      </c>
      <c r="B354" s="45" t="str">
        <f ca="1">IF(AND(Registro!D353="Abierto",Registro!E353="Urgente"),TODAY()-Registro!R353,"")</f>
        <v/>
      </c>
      <c r="C354" s="45" t="str">
        <f>IF(AND(Registro!D353="Abierto",Registro!E353="Urgente"),RANK(B354,$B$9:$B$1000,0)+COUNTIF($B$9:B354,B354)-1,"")</f>
        <v/>
      </c>
      <c r="D354" s="45" t="str">
        <f>IF(AND(Registro!D353="Abierto",Registro!E353="Alta"),Registro!B353,"")</f>
        <v/>
      </c>
      <c r="E354" s="45" t="str">
        <f ca="1">IF(AND(Registro!D353="Abierto",Registro!E353="Alta"),TODAY()-Registro!R353,"")</f>
        <v/>
      </c>
      <c r="F354" s="45" t="str">
        <f>IF(AND(Registro!D353="Abierto",Registro!E353="Alta"),RANK(E354,$E$9:$E$1000,0)+COUNTIF($E$9:E354,E354)-1+MAX(C$5:C$1000),"")</f>
        <v/>
      </c>
      <c r="G354" s="45" t="str">
        <f>IF(AND(Registro!D353="Abierto",Registro!E353="Media"),Registro!B353,"")</f>
        <v/>
      </c>
      <c r="H354" s="45" t="str">
        <f ca="1">IF(AND(Registro!D353="Abierto",Registro!E353="Media"),TODAY()-Registro!R353,"")</f>
        <v/>
      </c>
      <c r="I354" s="45" t="str">
        <f>IF(AND(Registro!D353="Abierto",Registro!E353="Media"),RANK(H354,$H$9:$H$1000,0)+COUNTIF($H$9:H354,H354)-1+MAX(C$5:C$1000,F$5:F$1000),"")</f>
        <v/>
      </c>
      <c r="J354" s="45" t="str">
        <f>IF(AND(Registro!D353="Abierto",Registro!E353="Baja"),Registro!B353,"")</f>
        <v/>
      </c>
      <c r="K354" s="45" t="str">
        <f ca="1">IF(AND(Registro!D353="Abierto",Registro!E353="Baja"),TODAY()-Registro!R353,"")</f>
        <v/>
      </c>
      <c r="L354" s="45" t="str">
        <f>IF(AND(Registro!D353="Abierto",Registro!E353="Baja"),RANK(K354,$K$9:$K$1000,0)+COUNTIF($K$9:K354,K354)-1+MAX(C$5:C$1000,F$5:F$1000,I$5:I$1000),"")</f>
        <v/>
      </c>
      <c r="M354" s="46" t="str">
        <f>IF(OR(Registro!D353="Resuelto",Registro!D353=""),"",SUM(C354,F354,I354,L354))</f>
        <v/>
      </c>
      <c r="N354" s="46" t="str">
        <f>IF(OR(Registro!D353="Resuelto",Registro!D353=""),"",SUM(B354,E354,H354,K354))</f>
        <v/>
      </c>
      <c r="O354" s="46" t="str">
        <f>IF(OR(Registro!D353="Resuelto",Registro!D353=""),"",_xlfn.CONCAT(A354,D354,G354,J354))</f>
        <v/>
      </c>
      <c r="P354" s="47">
        <v>346</v>
      </c>
      <c r="Q354" s="47" t="str">
        <f t="shared" ca="1" si="15"/>
        <v/>
      </c>
      <c r="R354" s="48" t="str">
        <f t="shared" ca="1" si="16"/>
        <v/>
      </c>
      <c r="S354" s="32"/>
      <c r="T354" s="32"/>
      <c r="U354" s="32"/>
      <c r="V354" s="32"/>
      <c r="W354" s="47" t="str">
        <f>IF(X354="","",MAX($W$5:W353)+1)</f>
        <v/>
      </c>
      <c r="X354" s="50" t="str">
        <f>IF(Registro!M353="","",IF(COUNTIF($X$8:X353,Registro!M353)=0,Registro!M353,""))</f>
        <v/>
      </c>
      <c r="Y354" s="50" t="str">
        <f t="shared" si="17"/>
        <v/>
      </c>
    </row>
    <row r="355" spans="1:25">
      <c r="A355" s="45" t="str">
        <f>IF(AND(Registro!D354="Abierto",Registro!E354="Urgente"),Registro!B354,"")</f>
        <v/>
      </c>
      <c r="B355" s="45" t="str">
        <f ca="1">IF(AND(Registro!D354="Abierto",Registro!E354="Urgente"),TODAY()-Registro!R354,"")</f>
        <v/>
      </c>
      <c r="C355" s="45" t="str">
        <f>IF(AND(Registro!D354="Abierto",Registro!E354="Urgente"),RANK(B355,$B$9:$B$1000,0)+COUNTIF($B$9:B355,B355)-1,"")</f>
        <v/>
      </c>
      <c r="D355" s="45" t="str">
        <f>IF(AND(Registro!D354="Abierto",Registro!E354="Alta"),Registro!B354,"")</f>
        <v/>
      </c>
      <c r="E355" s="45" t="str">
        <f ca="1">IF(AND(Registro!D354="Abierto",Registro!E354="Alta"),TODAY()-Registro!R354,"")</f>
        <v/>
      </c>
      <c r="F355" s="45" t="str">
        <f>IF(AND(Registro!D354="Abierto",Registro!E354="Alta"),RANK(E355,$E$9:$E$1000,0)+COUNTIF($E$9:E355,E355)-1+MAX(C$5:C$1000),"")</f>
        <v/>
      </c>
      <c r="G355" s="45" t="str">
        <f>IF(AND(Registro!D354="Abierto",Registro!E354="Media"),Registro!B354,"")</f>
        <v/>
      </c>
      <c r="H355" s="45" t="str">
        <f ca="1">IF(AND(Registro!D354="Abierto",Registro!E354="Media"),TODAY()-Registro!R354,"")</f>
        <v/>
      </c>
      <c r="I355" s="45" t="str">
        <f>IF(AND(Registro!D354="Abierto",Registro!E354="Media"),RANK(H355,$H$9:$H$1000,0)+COUNTIF($H$9:H355,H355)-1+MAX(C$5:C$1000,F$5:F$1000),"")</f>
        <v/>
      </c>
      <c r="J355" s="45" t="str">
        <f>IF(AND(Registro!D354="Abierto",Registro!E354="Baja"),Registro!B354,"")</f>
        <v/>
      </c>
      <c r="K355" s="45" t="str">
        <f ca="1">IF(AND(Registro!D354="Abierto",Registro!E354="Baja"),TODAY()-Registro!R354,"")</f>
        <v/>
      </c>
      <c r="L355" s="45" t="str">
        <f>IF(AND(Registro!D354="Abierto",Registro!E354="Baja"),RANK(K355,$K$9:$K$1000,0)+COUNTIF($K$9:K355,K355)-1+MAX(C$5:C$1000,F$5:F$1000,I$5:I$1000),"")</f>
        <v/>
      </c>
      <c r="M355" s="46" t="str">
        <f>IF(OR(Registro!D354="Resuelto",Registro!D354=""),"",SUM(C355,F355,I355,L355))</f>
        <v/>
      </c>
      <c r="N355" s="46" t="str">
        <f>IF(OR(Registro!D354="Resuelto",Registro!D354=""),"",SUM(B355,E355,H355,K355))</f>
        <v/>
      </c>
      <c r="O355" s="46" t="str">
        <f>IF(OR(Registro!D354="Resuelto",Registro!D354=""),"",_xlfn.CONCAT(A355,D355,G355,J355))</f>
        <v/>
      </c>
      <c r="P355" s="47">
        <v>347</v>
      </c>
      <c r="Q355" s="47" t="str">
        <f t="shared" ca="1" si="15"/>
        <v/>
      </c>
      <c r="R355" s="48" t="str">
        <f t="shared" ca="1" si="16"/>
        <v/>
      </c>
      <c r="S355" s="32"/>
      <c r="T355" s="32"/>
      <c r="U355" s="32"/>
      <c r="V355" s="32"/>
      <c r="W355" s="47" t="str">
        <f>IF(X355="","",MAX($W$5:W354)+1)</f>
        <v/>
      </c>
      <c r="X355" s="50" t="str">
        <f>IF(Registro!M354="","",IF(COUNTIF($X$8:X354,Registro!M354)=0,Registro!M354,""))</f>
        <v/>
      </c>
      <c r="Y355" s="50" t="str">
        <f t="shared" si="17"/>
        <v/>
      </c>
    </row>
    <row r="356" spans="1:25">
      <c r="A356" s="45" t="str">
        <f>IF(AND(Registro!D355="Abierto",Registro!E355="Urgente"),Registro!B355,"")</f>
        <v/>
      </c>
      <c r="B356" s="45" t="str">
        <f ca="1">IF(AND(Registro!D355="Abierto",Registro!E355="Urgente"),TODAY()-Registro!R355,"")</f>
        <v/>
      </c>
      <c r="C356" s="45" t="str">
        <f>IF(AND(Registro!D355="Abierto",Registro!E355="Urgente"),RANK(B356,$B$9:$B$1000,0)+COUNTIF($B$9:B356,B356)-1,"")</f>
        <v/>
      </c>
      <c r="D356" s="45" t="str">
        <f>IF(AND(Registro!D355="Abierto",Registro!E355="Alta"),Registro!B355,"")</f>
        <v/>
      </c>
      <c r="E356" s="45" t="str">
        <f ca="1">IF(AND(Registro!D355="Abierto",Registro!E355="Alta"),TODAY()-Registro!R355,"")</f>
        <v/>
      </c>
      <c r="F356" s="45" t="str">
        <f>IF(AND(Registro!D355="Abierto",Registro!E355="Alta"),RANK(E356,$E$9:$E$1000,0)+COUNTIF($E$9:E356,E356)-1+MAX(C$5:C$1000),"")</f>
        <v/>
      </c>
      <c r="G356" s="45" t="str">
        <f>IF(AND(Registro!D355="Abierto",Registro!E355="Media"),Registro!B355,"")</f>
        <v/>
      </c>
      <c r="H356" s="45" t="str">
        <f ca="1">IF(AND(Registro!D355="Abierto",Registro!E355="Media"),TODAY()-Registro!R355,"")</f>
        <v/>
      </c>
      <c r="I356" s="45" t="str">
        <f>IF(AND(Registro!D355="Abierto",Registro!E355="Media"),RANK(H356,$H$9:$H$1000,0)+COUNTIF($H$9:H356,H356)-1+MAX(C$5:C$1000,F$5:F$1000),"")</f>
        <v/>
      </c>
      <c r="J356" s="45" t="str">
        <f>IF(AND(Registro!D355="Abierto",Registro!E355="Baja"),Registro!B355,"")</f>
        <v/>
      </c>
      <c r="K356" s="45" t="str">
        <f ca="1">IF(AND(Registro!D355="Abierto",Registro!E355="Baja"),TODAY()-Registro!R355,"")</f>
        <v/>
      </c>
      <c r="L356" s="45" t="str">
        <f>IF(AND(Registro!D355="Abierto",Registro!E355="Baja"),RANK(K356,$K$9:$K$1000,0)+COUNTIF($K$9:K356,K356)-1+MAX(C$5:C$1000,F$5:F$1000,I$5:I$1000),"")</f>
        <v/>
      </c>
      <c r="M356" s="46" t="str">
        <f>IF(OR(Registro!D355="Resuelto",Registro!D355=""),"",SUM(C356,F356,I356,L356))</f>
        <v/>
      </c>
      <c r="N356" s="46" t="str">
        <f>IF(OR(Registro!D355="Resuelto",Registro!D355=""),"",SUM(B356,E356,H356,K356))</f>
        <v/>
      </c>
      <c r="O356" s="46" t="str">
        <f>IF(OR(Registro!D355="Resuelto",Registro!D355=""),"",_xlfn.CONCAT(A356,D356,G356,J356))</f>
        <v/>
      </c>
      <c r="P356" s="47">
        <v>348</v>
      </c>
      <c r="Q356" s="47" t="str">
        <f t="shared" ca="1" si="15"/>
        <v/>
      </c>
      <c r="R356" s="48" t="str">
        <f t="shared" ca="1" si="16"/>
        <v/>
      </c>
      <c r="S356" s="32"/>
      <c r="T356" s="32"/>
      <c r="U356" s="32"/>
      <c r="V356" s="32"/>
      <c r="W356" s="47" t="str">
        <f>IF(X356="","",MAX($W$5:W355)+1)</f>
        <v/>
      </c>
      <c r="X356" s="50" t="str">
        <f>IF(Registro!M355="","",IF(COUNTIF($X$8:X355,Registro!M355)=0,Registro!M355,""))</f>
        <v/>
      </c>
      <c r="Y356" s="50" t="str">
        <f t="shared" si="17"/>
        <v/>
      </c>
    </row>
    <row r="357" spans="1:25">
      <c r="A357" s="45" t="str">
        <f>IF(AND(Registro!D356="Abierto",Registro!E356="Urgente"),Registro!B356,"")</f>
        <v/>
      </c>
      <c r="B357" s="45" t="str">
        <f ca="1">IF(AND(Registro!D356="Abierto",Registro!E356="Urgente"),TODAY()-Registro!R356,"")</f>
        <v/>
      </c>
      <c r="C357" s="45" t="str">
        <f>IF(AND(Registro!D356="Abierto",Registro!E356="Urgente"),RANK(B357,$B$9:$B$1000,0)+COUNTIF($B$9:B357,B357)-1,"")</f>
        <v/>
      </c>
      <c r="D357" s="45" t="str">
        <f>IF(AND(Registro!D356="Abierto",Registro!E356="Alta"),Registro!B356,"")</f>
        <v/>
      </c>
      <c r="E357" s="45" t="str">
        <f ca="1">IF(AND(Registro!D356="Abierto",Registro!E356="Alta"),TODAY()-Registro!R356,"")</f>
        <v/>
      </c>
      <c r="F357" s="45" t="str">
        <f>IF(AND(Registro!D356="Abierto",Registro!E356="Alta"),RANK(E357,$E$9:$E$1000,0)+COUNTIF($E$9:E357,E357)-1+MAX(C$5:C$1000),"")</f>
        <v/>
      </c>
      <c r="G357" s="45" t="str">
        <f>IF(AND(Registro!D356="Abierto",Registro!E356="Media"),Registro!B356,"")</f>
        <v/>
      </c>
      <c r="H357" s="45" t="str">
        <f ca="1">IF(AND(Registro!D356="Abierto",Registro!E356="Media"),TODAY()-Registro!R356,"")</f>
        <v/>
      </c>
      <c r="I357" s="45" t="str">
        <f>IF(AND(Registro!D356="Abierto",Registro!E356="Media"),RANK(H357,$H$9:$H$1000,0)+COUNTIF($H$9:H357,H357)-1+MAX(C$5:C$1000,F$5:F$1000),"")</f>
        <v/>
      </c>
      <c r="J357" s="45" t="str">
        <f>IF(AND(Registro!D356="Abierto",Registro!E356="Baja"),Registro!B356,"")</f>
        <v/>
      </c>
      <c r="K357" s="45" t="str">
        <f ca="1">IF(AND(Registro!D356="Abierto",Registro!E356="Baja"),TODAY()-Registro!R356,"")</f>
        <v/>
      </c>
      <c r="L357" s="45" t="str">
        <f>IF(AND(Registro!D356="Abierto",Registro!E356="Baja"),RANK(K357,$K$9:$K$1000,0)+COUNTIF($K$9:K357,K357)-1+MAX(C$5:C$1000,F$5:F$1000,I$5:I$1000),"")</f>
        <v/>
      </c>
      <c r="M357" s="46" t="str">
        <f>IF(OR(Registro!D356="Resuelto",Registro!D356=""),"",SUM(C357,F357,I357,L357))</f>
        <v/>
      </c>
      <c r="N357" s="46" t="str">
        <f>IF(OR(Registro!D356="Resuelto",Registro!D356=""),"",SUM(B357,E357,H357,K357))</f>
        <v/>
      </c>
      <c r="O357" s="46" t="str">
        <f>IF(OR(Registro!D356="Resuelto",Registro!D356=""),"",_xlfn.CONCAT(A357,D357,G357,J357))</f>
        <v/>
      </c>
      <c r="P357" s="47">
        <v>349</v>
      </c>
      <c r="Q357" s="47" t="str">
        <f t="shared" ca="1" si="15"/>
        <v/>
      </c>
      <c r="R357" s="48" t="str">
        <f t="shared" ca="1" si="16"/>
        <v/>
      </c>
      <c r="S357" s="32"/>
      <c r="T357" s="32"/>
      <c r="U357" s="32"/>
      <c r="V357" s="32"/>
      <c r="W357" s="47" t="str">
        <f>IF(X357="","",MAX($W$5:W356)+1)</f>
        <v/>
      </c>
      <c r="X357" s="50" t="str">
        <f>IF(Registro!M356="","",IF(COUNTIF($X$8:X356,Registro!M356)=0,Registro!M356,""))</f>
        <v/>
      </c>
      <c r="Y357" s="50" t="str">
        <f t="shared" si="17"/>
        <v/>
      </c>
    </row>
    <row r="358" spans="1:25">
      <c r="A358" s="45" t="str">
        <f>IF(AND(Registro!D357="Abierto",Registro!E357="Urgente"),Registro!B357,"")</f>
        <v/>
      </c>
      <c r="B358" s="45" t="str">
        <f ca="1">IF(AND(Registro!D357="Abierto",Registro!E357="Urgente"),TODAY()-Registro!R357,"")</f>
        <v/>
      </c>
      <c r="C358" s="45" t="str">
        <f>IF(AND(Registro!D357="Abierto",Registro!E357="Urgente"),RANK(B358,$B$9:$B$1000,0)+COUNTIF($B$9:B358,B358)-1,"")</f>
        <v/>
      </c>
      <c r="D358" s="45" t="str">
        <f>IF(AND(Registro!D357="Abierto",Registro!E357="Alta"),Registro!B357,"")</f>
        <v/>
      </c>
      <c r="E358" s="45" t="str">
        <f ca="1">IF(AND(Registro!D357="Abierto",Registro!E357="Alta"),TODAY()-Registro!R357,"")</f>
        <v/>
      </c>
      <c r="F358" s="45" t="str">
        <f>IF(AND(Registro!D357="Abierto",Registro!E357="Alta"),RANK(E358,$E$9:$E$1000,0)+COUNTIF($E$9:E358,E358)-1+MAX(C$5:C$1000),"")</f>
        <v/>
      </c>
      <c r="G358" s="45" t="str">
        <f>IF(AND(Registro!D357="Abierto",Registro!E357="Media"),Registro!B357,"")</f>
        <v/>
      </c>
      <c r="H358" s="45" t="str">
        <f ca="1">IF(AND(Registro!D357="Abierto",Registro!E357="Media"),TODAY()-Registro!R357,"")</f>
        <v/>
      </c>
      <c r="I358" s="45" t="str">
        <f>IF(AND(Registro!D357="Abierto",Registro!E357="Media"),RANK(H358,$H$9:$H$1000,0)+COUNTIF($H$9:H358,H358)-1+MAX(C$5:C$1000,F$5:F$1000),"")</f>
        <v/>
      </c>
      <c r="J358" s="45" t="str">
        <f>IF(AND(Registro!D357="Abierto",Registro!E357="Baja"),Registro!B357,"")</f>
        <v/>
      </c>
      <c r="K358" s="45" t="str">
        <f ca="1">IF(AND(Registro!D357="Abierto",Registro!E357="Baja"),TODAY()-Registro!R357,"")</f>
        <v/>
      </c>
      <c r="L358" s="45" t="str">
        <f>IF(AND(Registro!D357="Abierto",Registro!E357="Baja"),RANK(K358,$K$9:$K$1000,0)+COUNTIF($K$9:K358,K358)-1+MAX(C$5:C$1000,F$5:F$1000,I$5:I$1000),"")</f>
        <v/>
      </c>
      <c r="M358" s="46" t="str">
        <f>IF(OR(Registro!D357="Resuelto",Registro!D357=""),"",SUM(C358,F358,I358,L358))</f>
        <v/>
      </c>
      <c r="N358" s="46" t="str">
        <f>IF(OR(Registro!D357="Resuelto",Registro!D357=""),"",SUM(B358,E358,H358,K358))</f>
        <v/>
      </c>
      <c r="O358" s="46" t="str">
        <f>IF(OR(Registro!D357="Resuelto",Registro!D357=""),"",_xlfn.CONCAT(A358,D358,G358,J358))</f>
        <v/>
      </c>
      <c r="P358" s="47">
        <v>350</v>
      </c>
      <c r="Q358" s="47" t="str">
        <f t="shared" ca="1" si="15"/>
        <v/>
      </c>
      <c r="R358" s="48" t="str">
        <f t="shared" ca="1" si="16"/>
        <v/>
      </c>
      <c r="S358" s="32"/>
      <c r="T358" s="32"/>
      <c r="U358" s="32"/>
      <c r="V358" s="32"/>
      <c r="W358" s="47" t="str">
        <f>IF(X358="","",MAX($W$5:W357)+1)</f>
        <v/>
      </c>
      <c r="X358" s="50" t="str">
        <f>IF(Registro!M357="","",IF(COUNTIF($X$8:X357,Registro!M357)=0,Registro!M357,""))</f>
        <v/>
      </c>
      <c r="Y358" s="50" t="str">
        <f t="shared" si="17"/>
        <v/>
      </c>
    </row>
    <row r="359" spans="1:25">
      <c r="A359" s="45" t="str">
        <f>IF(AND(Registro!D358="Abierto",Registro!E358="Urgente"),Registro!B358,"")</f>
        <v/>
      </c>
      <c r="B359" s="45" t="str">
        <f ca="1">IF(AND(Registro!D358="Abierto",Registro!E358="Urgente"),TODAY()-Registro!R358,"")</f>
        <v/>
      </c>
      <c r="C359" s="45" t="str">
        <f>IF(AND(Registro!D358="Abierto",Registro!E358="Urgente"),RANK(B359,$B$9:$B$1000,0)+COUNTIF($B$9:B359,B359)-1,"")</f>
        <v/>
      </c>
      <c r="D359" s="45" t="str">
        <f>IF(AND(Registro!D358="Abierto",Registro!E358="Alta"),Registro!B358,"")</f>
        <v/>
      </c>
      <c r="E359" s="45" t="str">
        <f ca="1">IF(AND(Registro!D358="Abierto",Registro!E358="Alta"),TODAY()-Registro!R358,"")</f>
        <v/>
      </c>
      <c r="F359" s="45" t="str">
        <f>IF(AND(Registro!D358="Abierto",Registro!E358="Alta"),RANK(E359,$E$9:$E$1000,0)+COUNTIF($E$9:E359,E359)-1+MAX(C$5:C$1000),"")</f>
        <v/>
      </c>
      <c r="G359" s="45" t="str">
        <f>IF(AND(Registro!D358="Abierto",Registro!E358="Media"),Registro!B358,"")</f>
        <v/>
      </c>
      <c r="H359" s="45" t="str">
        <f ca="1">IF(AND(Registro!D358="Abierto",Registro!E358="Media"),TODAY()-Registro!R358,"")</f>
        <v/>
      </c>
      <c r="I359" s="45" t="str">
        <f>IF(AND(Registro!D358="Abierto",Registro!E358="Media"),RANK(H359,$H$9:$H$1000,0)+COUNTIF($H$9:H359,H359)-1+MAX(C$5:C$1000,F$5:F$1000),"")</f>
        <v/>
      </c>
      <c r="J359" s="45" t="str">
        <f>IF(AND(Registro!D358="Abierto",Registro!E358="Baja"),Registro!B358,"")</f>
        <v/>
      </c>
      <c r="K359" s="45" t="str">
        <f ca="1">IF(AND(Registro!D358="Abierto",Registro!E358="Baja"),TODAY()-Registro!R358,"")</f>
        <v/>
      </c>
      <c r="L359" s="45" t="str">
        <f>IF(AND(Registro!D358="Abierto",Registro!E358="Baja"),RANK(K359,$K$9:$K$1000,0)+COUNTIF($K$9:K359,K359)-1+MAX(C$5:C$1000,F$5:F$1000,I$5:I$1000),"")</f>
        <v/>
      </c>
      <c r="M359" s="46" t="str">
        <f>IF(OR(Registro!D358="Resuelto",Registro!D358=""),"",SUM(C359,F359,I359,L359))</f>
        <v/>
      </c>
      <c r="N359" s="46" t="str">
        <f>IF(OR(Registro!D358="Resuelto",Registro!D358=""),"",SUM(B359,E359,H359,K359))</f>
        <v/>
      </c>
      <c r="O359" s="46" t="str">
        <f>IF(OR(Registro!D358="Resuelto",Registro!D358=""),"",_xlfn.CONCAT(A359,D359,G359,J359))</f>
        <v/>
      </c>
      <c r="P359" s="47">
        <v>351</v>
      </c>
      <c r="Q359" s="47" t="str">
        <f t="shared" ca="1" si="15"/>
        <v/>
      </c>
      <c r="R359" s="48" t="str">
        <f t="shared" ca="1" si="16"/>
        <v/>
      </c>
      <c r="S359" s="32"/>
      <c r="T359" s="32"/>
      <c r="U359" s="32"/>
      <c r="V359" s="32"/>
      <c r="W359" s="47" t="str">
        <f>IF(X359="","",MAX($W$5:W358)+1)</f>
        <v/>
      </c>
      <c r="X359" s="50" t="str">
        <f>IF(Registro!M358="","",IF(COUNTIF($X$8:X358,Registro!M358)=0,Registro!M358,""))</f>
        <v/>
      </c>
      <c r="Y359" s="50" t="str">
        <f t="shared" si="17"/>
        <v/>
      </c>
    </row>
    <row r="360" spans="1:25">
      <c r="A360" s="45" t="str">
        <f>IF(AND(Registro!D359="Abierto",Registro!E359="Urgente"),Registro!B359,"")</f>
        <v/>
      </c>
      <c r="B360" s="45" t="str">
        <f ca="1">IF(AND(Registro!D359="Abierto",Registro!E359="Urgente"),TODAY()-Registro!R359,"")</f>
        <v/>
      </c>
      <c r="C360" s="45" t="str">
        <f>IF(AND(Registro!D359="Abierto",Registro!E359="Urgente"),RANK(B360,$B$9:$B$1000,0)+COUNTIF($B$9:B360,B360)-1,"")</f>
        <v/>
      </c>
      <c r="D360" s="45" t="str">
        <f>IF(AND(Registro!D359="Abierto",Registro!E359="Alta"),Registro!B359,"")</f>
        <v/>
      </c>
      <c r="E360" s="45" t="str">
        <f ca="1">IF(AND(Registro!D359="Abierto",Registro!E359="Alta"),TODAY()-Registro!R359,"")</f>
        <v/>
      </c>
      <c r="F360" s="45" t="str">
        <f>IF(AND(Registro!D359="Abierto",Registro!E359="Alta"),RANK(E360,$E$9:$E$1000,0)+COUNTIF($E$9:E360,E360)-1+MAX(C$5:C$1000),"")</f>
        <v/>
      </c>
      <c r="G360" s="45" t="str">
        <f>IF(AND(Registro!D359="Abierto",Registro!E359="Media"),Registro!B359,"")</f>
        <v/>
      </c>
      <c r="H360" s="45" t="str">
        <f ca="1">IF(AND(Registro!D359="Abierto",Registro!E359="Media"),TODAY()-Registro!R359,"")</f>
        <v/>
      </c>
      <c r="I360" s="45" t="str">
        <f>IF(AND(Registro!D359="Abierto",Registro!E359="Media"),RANK(H360,$H$9:$H$1000,0)+COUNTIF($H$9:H360,H360)-1+MAX(C$5:C$1000,F$5:F$1000),"")</f>
        <v/>
      </c>
      <c r="J360" s="45" t="str">
        <f>IF(AND(Registro!D359="Abierto",Registro!E359="Baja"),Registro!B359,"")</f>
        <v/>
      </c>
      <c r="K360" s="45" t="str">
        <f ca="1">IF(AND(Registro!D359="Abierto",Registro!E359="Baja"),TODAY()-Registro!R359,"")</f>
        <v/>
      </c>
      <c r="L360" s="45" t="str">
        <f>IF(AND(Registro!D359="Abierto",Registro!E359="Baja"),RANK(K360,$K$9:$K$1000,0)+COUNTIF($K$9:K360,K360)-1+MAX(C$5:C$1000,F$5:F$1000,I$5:I$1000),"")</f>
        <v/>
      </c>
      <c r="M360" s="46" t="str">
        <f>IF(OR(Registro!D359="Resuelto",Registro!D359=""),"",SUM(C360,F360,I360,L360))</f>
        <v/>
      </c>
      <c r="N360" s="46" t="str">
        <f>IF(OR(Registro!D359="Resuelto",Registro!D359=""),"",SUM(B360,E360,H360,K360))</f>
        <v/>
      </c>
      <c r="O360" s="46" t="str">
        <f>IF(OR(Registro!D359="Resuelto",Registro!D359=""),"",_xlfn.CONCAT(A360,D360,G360,J360))</f>
        <v/>
      </c>
      <c r="P360" s="47">
        <v>352</v>
      </c>
      <c r="Q360" s="47" t="str">
        <f t="shared" ca="1" si="15"/>
        <v/>
      </c>
      <c r="R360" s="48" t="str">
        <f t="shared" ca="1" si="16"/>
        <v/>
      </c>
      <c r="S360" s="32"/>
      <c r="T360" s="32"/>
      <c r="U360" s="32"/>
      <c r="V360" s="32"/>
      <c r="W360" s="47" t="str">
        <f>IF(X360="","",MAX($W$5:W359)+1)</f>
        <v/>
      </c>
      <c r="X360" s="50" t="str">
        <f>IF(Registro!M359="","",IF(COUNTIF($X$8:X359,Registro!M359)=0,Registro!M359,""))</f>
        <v/>
      </c>
      <c r="Y360" s="50" t="str">
        <f t="shared" si="17"/>
        <v/>
      </c>
    </row>
    <row r="361" spans="1:25">
      <c r="A361" s="45" t="str">
        <f>IF(AND(Registro!D360="Abierto",Registro!E360="Urgente"),Registro!B360,"")</f>
        <v/>
      </c>
      <c r="B361" s="45" t="str">
        <f ca="1">IF(AND(Registro!D360="Abierto",Registro!E360="Urgente"),TODAY()-Registro!R360,"")</f>
        <v/>
      </c>
      <c r="C361" s="45" t="str">
        <f>IF(AND(Registro!D360="Abierto",Registro!E360="Urgente"),RANK(B361,$B$9:$B$1000,0)+COUNTIF($B$9:B361,B361)-1,"")</f>
        <v/>
      </c>
      <c r="D361" s="45" t="str">
        <f>IF(AND(Registro!D360="Abierto",Registro!E360="Alta"),Registro!B360,"")</f>
        <v/>
      </c>
      <c r="E361" s="45" t="str">
        <f ca="1">IF(AND(Registro!D360="Abierto",Registro!E360="Alta"),TODAY()-Registro!R360,"")</f>
        <v/>
      </c>
      <c r="F361" s="45" t="str">
        <f>IF(AND(Registro!D360="Abierto",Registro!E360="Alta"),RANK(E361,$E$9:$E$1000,0)+COUNTIF($E$9:E361,E361)-1+MAX(C$5:C$1000),"")</f>
        <v/>
      </c>
      <c r="G361" s="45" t="str">
        <f>IF(AND(Registro!D360="Abierto",Registro!E360="Media"),Registro!B360,"")</f>
        <v/>
      </c>
      <c r="H361" s="45" t="str">
        <f ca="1">IF(AND(Registro!D360="Abierto",Registro!E360="Media"),TODAY()-Registro!R360,"")</f>
        <v/>
      </c>
      <c r="I361" s="45" t="str">
        <f>IF(AND(Registro!D360="Abierto",Registro!E360="Media"),RANK(H361,$H$9:$H$1000,0)+COUNTIF($H$9:H361,H361)-1+MAX(C$5:C$1000,F$5:F$1000),"")</f>
        <v/>
      </c>
      <c r="J361" s="45" t="str">
        <f>IF(AND(Registro!D360="Abierto",Registro!E360="Baja"),Registro!B360,"")</f>
        <v/>
      </c>
      <c r="K361" s="45" t="str">
        <f ca="1">IF(AND(Registro!D360="Abierto",Registro!E360="Baja"),TODAY()-Registro!R360,"")</f>
        <v/>
      </c>
      <c r="L361" s="45" t="str">
        <f>IF(AND(Registro!D360="Abierto",Registro!E360="Baja"),RANK(K361,$K$9:$K$1000,0)+COUNTIF($K$9:K361,K361)-1+MAX(C$5:C$1000,F$5:F$1000,I$5:I$1000),"")</f>
        <v/>
      </c>
      <c r="M361" s="46" t="str">
        <f>IF(OR(Registro!D360="Resuelto",Registro!D360=""),"",SUM(C361,F361,I361,L361))</f>
        <v/>
      </c>
      <c r="N361" s="46" t="str">
        <f>IF(OR(Registro!D360="Resuelto",Registro!D360=""),"",SUM(B361,E361,H361,K361))</f>
        <v/>
      </c>
      <c r="O361" s="46" t="str">
        <f>IF(OR(Registro!D360="Resuelto",Registro!D360=""),"",_xlfn.CONCAT(A361,D361,G361,J361))</f>
        <v/>
      </c>
      <c r="P361" s="47">
        <v>353</v>
      </c>
      <c r="Q361" s="47" t="str">
        <f t="shared" ca="1" si="15"/>
        <v/>
      </c>
      <c r="R361" s="48" t="str">
        <f t="shared" ca="1" si="16"/>
        <v/>
      </c>
      <c r="S361" s="32"/>
      <c r="T361" s="32"/>
      <c r="U361" s="32"/>
      <c r="V361" s="32"/>
      <c r="W361" s="47" t="str">
        <f>IF(X361="","",MAX($W$5:W360)+1)</f>
        <v/>
      </c>
      <c r="X361" s="50" t="str">
        <f>IF(Registro!M360="","",IF(COUNTIF($X$8:X360,Registro!M360)=0,Registro!M360,""))</f>
        <v/>
      </c>
      <c r="Y361" s="50" t="str">
        <f t="shared" si="17"/>
        <v/>
      </c>
    </row>
    <row r="362" spans="1:25">
      <c r="A362" s="45" t="str">
        <f>IF(AND(Registro!D361="Abierto",Registro!E361="Urgente"),Registro!B361,"")</f>
        <v/>
      </c>
      <c r="B362" s="45" t="str">
        <f ca="1">IF(AND(Registro!D361="Abierto",Registro!E361="Urgente"),TODAY()-Registro!R361,"")</f>
        <v/>
      </c>
      <c r="C362" s="45" t="str">
        <f>IF(AND(Registro!D361="Abierto",Registro!E361="Urgente"),RANK(B362,$B$9:$B$1000,0)+COUNTIF($B$9:B362,B362)-1,"")</f>
        <v/>
      </c>
      <c r="D362" s="45" t="str">
        <f>IF(AND(Registro!D361="Abierto",Registro!E361="Alta"),Registro!B361,"")</f>
        <v/>
      </c>
      <c r="E362" s="45" t="str">
        <f ca="1">IF(AND(Registro!D361="Abierto",Registro!E361="Alta"),TODAY()-Registro!R361,"")</f>
        <v/>
      </c>
      <c r="F362" s="45" t="str">
        <f>IF(AND(Registro!D361="Abierto",Registro!E361="Alta"),RANK(E362,$E$9:$E$1000,0)+COUNTIF($E$9:E362,E362)-1+MAX(C$5:C$1000),"")</f>
        <v/>
      </c>
      <c r="G362" s="45" t="str">
        <f>IF(AND(Registro!D361="Abierto",Registro!E361="Media"),Registro!B361,"")</f>
        <v/>
      </c>
      <c r="H362" s="45" t="str">
        <f ca="1">IF(AND(Registro!D361="Abierto",Registro!E361="Media"),TODAY()-Registro!R361,"")</f>
        <v/>
      </c>
      <c r="I362" s="45" t="str">
        <f>IF(AND(Registro!D361="Abierto",Registro!E361="Media"),RANK(H362,$H$9:$H$1000,0)+COUNTIF($H$9:H362,H362)-1+MAX(C$5:C$1000,F$5:F$1000),"")</f>
        <v/>
      </c>
      <c r="J362" s="45" t="str">
        <f>IF(AND(Registro!D361="Abierto",Registro!E361="Baja"),Registro!B361,"")</f>
        <v/>
      </c>
      <c r="K362" s="45" t="str">
        <f ca="1">IF(AND(Registro!D361="Abierto",Registro!E361="Baja"),TODAY()-Registro!R361,"")</f>
        <v/>
      </c>
      <c r="L362" s="45" t="str">
        <f>IF(AND(Registro!D361="Abierto",Registro!E361="Baja"),RANK(K362,$K$9:$K$1000,0)+COUNTIF($K$9:K362,K362)-1+MAX(C$5:C$1000,F$5:F$1000,I$5:I$1000),"")</f>
        <v/>
      </c>
      <c r="M362" s="46" t="str">
        <f>IF(OR(Registro!D361="Resuelto",Registro!D361=""),"",SUM(C362,F362,I362,L362))</f>
        <v/>
      </c>
      <c r="N362" s="46" t="str">
        <f>IF(OR(Registro!D361="Resuelto",Registro!D361=""),"",SUM(B362,E362,H362,K362))</f>
        <v/>
      </c>
      <c r="O362" s="46" t="str">
        <f>IF(OR(Registro!D361="Resuelto",Registro!D361=""),"",_xlfn.CONCAT(A362,D362,G362,J362))</f>
        <v/>
      </c>
      <c r="P362" s="47">
        <v>354</v>
      </c>
      <c r="Q362" s="47" t="str">
        <f t="shared" ca="1" si="15"/>
        <v/>
      </c>
      <c r="R362" s="48" t="str">
        <f t="shared" ca="1" si="16"/>
        <v/>
      </c>
      <c r="S362" s="32"/>
      <c r="T362" s="32"/>
      <c r="U362" s="32"/>
      <c r="V362" s="32"/>
      <c r="W362" s="47" t="str">
        <f>IF(X362="","",MAX($W$5:W361)+1)</f>
        <v/>
      </c>
      <c r="X362" s="50" t="str">
        <f>IF(Registro!M361="","",IF(COUNTIF($X$8:X361,Registro!M361)=0,Registro!M361,""))</f>
        <v/>
      </c>
      <c r="Y362" s="50" t="str">
        <f t="shared" si="17"/>
        <v/>
      </c>
    </row>
    <row r="363" spans="1:25">
      <c r="A363" s="45" t="str">
        <f>IF(AND(Registro!D362="Abierto",Registro!E362="Urgente"),Registro!B362,"")</f>
        <v/>
      </c>
      <c r="B363" s="45" t="str">
        <f ca="1">IF(AND(Registro!D362="Abierto",Registro!E362="Urgente"),TODAY()-Registro!R362,"")</f>
        <v/>
      </c>
      <c r="C363" s="45" t="str">
        <f>IF(AND(Registro!D362="Abierto",Registro!E362="Urgente"),RANK(B363,$B$9:$B$1000,0)+COUNTIF($B$9:B363,B363)-1,"")</f>
        <v/>
      </c>
      <c r="D363" s="45" t="str">
        <f>IF(AND(Registro!D362="Abierto",Registro!E362="Alta"),Registro!B362,"")</f>
        <v/>
      </c>
      <c r="E363" s="45" t="str">
        <f ca="1">IF(AND(Registro!D362="Abierto",Registro!E362="Alta"),TODAY()-Registro!R362,"")</f>
        <v/>
      </c>
      <c r="F363" s="45" t="str">
        <f>IF(AND(Registro!D362="Abierto",Registro!E362="Alta"),RANK(E363,$E$9:$E$1000,0)+COUNTIF($E$9:E363,E363)-1+MAX(C$5:C$1000),"")</f>
        <v/>
      </c>
      <c r="G363" s="45" t="str">
        <f>IF(AND(Registro!D362="Abierto",Registro!E362="Media"),Registro!B362,"")</f>
        <v/>
      </c>
      <c r="H363" s="45" t="str">
        <f ca="1">IF(AND(Registro!D362="Abierto",Registro!E362="Media"),TODAY()-Registro!R362,"")</f>
        <v/>
      </c>
      <c r="I363" s="45" t="str">
        <f>IF(AND(Registro!D362="Abierto",Registro!E362="Media"),RANK(H363,$H$9:$H$1000,0)+COUNTIF($H$9:H363,H363)-1+MAX(C$5:C$1000,F$5:F$1000),"")</f>
        <v/>
      </c>
      <c r="J363" s="45" t="str">
        <f>IF(AND(Registro!D362="Abierto",Registro!E362="Baja"),Registro!B362,"")</f>
        <v/>
      </c>
      <c r="K363" s="45" t="str">
        <f ca="1">IF(AND(Registro!D362="Abierto",Registro!E362="Baja"),TODAY()-Registro!R362,"")</f>
        <v/>
      </c>
      <c r="L363" s="45" t="str">
        <f>IF(AND(Registro!D362="Abierto",Registro!E362="Baja"),RANK(K363,$K$9:$K$1000,0)+COUNTIF($K$9:K363,K363)-1+MAX(C$5:C$1000,F$5:F$1000,I$5:I$1000),"")</f>
        <v/>
      </c>
      <c r="M363" s="46" t="str">
        <f>IF(OR(Registro!D362="Resuelto",Registro!D362=""),"",SUM(C363,F363,I363,L363))</f>
        <v/>
      </c>
      <c r="N363" s="46" t="str">
        <f>IF(OR(Registro!D362="Resuelto",Registro!D362=""),"",SUM(B363,E363,H363,K363))</f>
        <v/>
      </c>
      <c r="O363" s="46" t="str">
        <f>IF(OR(Registro!D362="Resuelto",Registro!D362=""),"",_xlfn.CONCAT(A363,D363,G363,J363))</f>
        <v/>
      </c>
      <c r="P363" s="47">
        <v>355</v>
      </c>
      <c r="Q363" s="47" t="str">
        <f t="shared" ca="1" si="15"/>
        <v/>
      </c>
      <c r="R363" s="48" t="str">
        <f t="shared" ca="1" si="16"/>
        <v/>
      </c>
      <c r="S363" s="32"/>
      <c r="T363" s="32"/>
      <c r="U363" s="32"/>
      <c r="V363" s="32"/>
      <c r="W363" s="47" t="str">
        <f>IF(X363="","",MAX($W$5:W362)+1)</f>
        <v/>
      </c>
      <c r="X363" s="50" t="str">
        <f>IF(Registro!M362="","",IF(COUNTIF($X$8:X362,Registro!M362)=0,Registro!M362,""))</f>
        <v/>
      </c>
      <c r="Y363" s="50" t="str">
        <f t="shared" si="17"/>
        <v/>
      </c>
    </row>
    <row r="364" spans="1:25">
      <c r="A364" s="45" t="str">
        <f>IF(AND(Registro!D363="Abierto",Registro!E363="Urgente"),Registro!B363,"")</f>
        <v/>
      </c>
      <c r="B364" s="45" t="str">
        <f ca="1">IF(AND(Registro!D363="Abierto",Registro!E363="Urgente"),TODAY()-Registro!R363,"")</f>
        <v/>
      </c>
      <c r="C364" s="45" t="str">
        <f>IF(AND(Registro!D363="Abierto",Registro!E363="Urgente"),RANK(B364,$B$9:$B$1000,0)+COUNTIF($B$9:B364,B364)-1,"")</f>
        <v/>
      </c>
      <c r="D364" s="45" t="str">
        <f>IF(AND(Registro!D363="Abierto",Registro!E363="Alta"),Registro!B363,"")</f>
        <v/>
      </c>
      <c r="E364" s="45" t="str">
        <f ca="1">IF(AND(Registro!D363="Abierto",Registro!E363="Alta"),TODAY()-Registro!R363,"")</f>
        <v/>
      </c>
      <c r="F364" s="45" t="str">
        <f>IF(AND(Registro!D363="Abierto",Registro!E363="Alta"),RANK(E364,$E$9:$E$1000,0)+COUNTIF($E$9:E364,E364)-1+MAX(C$5:C$1000),"")</f>
        <v/>
      </c>
      <c r="G364" s="45" t="str">
        <f>IF(AND(Registro!D363="Abierto",Registro!E363="Media"),Registro!B363,"")</f>
        <v/>
      </c>
      <c r="H364" s="45" t="str">
        <f ca="1">IF(AND(Registro!D363="Abierto",Registro!E363="Media"),TODAY()-Registro!R363,"")</f>
        <v/>
      </c>
      <c r="I364" s="45" t="str">
        <f>IF(AND(Registro!D363="Abierto",Registro!E363="Media"),RANK(H364,$H$9:$H$1000,0)+COUNTIF($H$9:H364,H364)-1+MAX(C$5:C$1000,F$5:F$1000),"")</f>
        <v/>
      </c>
      <c r="J364" s="45" t="str">
        <f>IF(AND(Registro!D363="Abierto",Registro!E363="Baja"),Registro!B363,"")</f>
        <v/>
      </c>
      <c r="K364" s="45" t="str">
        <f ca="1">IF(AND(Registro!D363="Abierto",Registro!E363="Baja"),TODAY()-Registro!R363,"")</f>
        <v/>
      </c>
      <c r="L364" s="45" t="str">
        <f>IF(AND(Registro!D363="Abierto",Registro!E363="Baja"),RANK(K364,$K$9:$K$1000,0)+COUNTIF($K$9:K364,K364)-1+MAX(C$5:C$1000,F$5:F$1000,I$5:I$1000),"")</f>
        <v/>
      </c>
      <c r="M364" s="46" t="str">
        <f>IF(OR(Registro!D363="Resuelto",Registro!D363=""),"",SUM(C364,F364,I364,L364))</f>
        <v/>
      </c>
      <c r="N364" s="46" t="str">
        <f>IF(OR(Registro!D363="Resuelto",Registro!D363=""),"",SUM(B364,E364,H364,K364))</f>
        <v/>
      </c>
      <c r="O364" s="46" t="str">
        <f>IF(OR(Registro!D363="Resuelto",Registro!D363=""),"",_xlfn.CONCAT(A364,D364,G364,J364))</f>
        <v/>
      </c>
      <c r="P364" s="47">
        <v>356</v>
      </c>
      <c r="Q364" s="47" t="str">
        <f t="shared" ca="1" si="15"/>
        <v/>
      </c>
      <c r="R364" s="48" t="str">
        <f t="shared" ca="1" si="16"/>
        <v/>
      </c>
      <c r="S364" s="32"/>
      <c r="T364" s="32"/>
      <c r="U364" s="32"/>
      <c r="V364" s="32"/>
      <c r="W364" s="47" t="str">
        <f>IF(X364="","",MAX($W$5:W363)+1)</f>
        <v/>
      </c>
      <c r="X364" s="50" t="str">
        <f>IF(Registro!M363="","",IF(COUNTIF($X$8:X363,Registro!M363)=0,Registro!M363,""))</f>
        <v/>
      </c>
      <c r="Y364" s="50" t="str">
        <f t="shared" si="17"/>
        <v/>
      </c>
    </row>
    <row r="365" spans="1:25">
      <c r="A365" s="45" t="str">
        <f>IF(AND(Registro!D364="Abierto",Registro!E364="Urgente"),Registro!B364,"")</f>
        <v/>
      </c>
      <c r="B365" s="45" t="str">
        <f ca="1">IF(AND(Registro!D364="Abierto",Registro!E364="Urgente"),TODAY()-Registro!R364,"")</f>
        <v/>
      </c>
      <c r="C365" s="45" t="str">
        <f>IF(AND(Registro!D364="Abierto",Registro!E364="Urgente"),RANK(B365,$B$9:$B$1000,0)+COUNTIF($B$9:B365,B365)-1,"")</f>
        <v/>
      </c>
      <c r="D365" s="45" t="str">
        <f>IF(AND(Registro!D364="Abierto",Registro!E364="Alta"),Registro!B364,"")</f>
        <v/>
      </c>
      <c r="E365" s="45" t="str">
        <f ca="1">IF(AND(Registro!D364="Abierto",Registro!E364="Alta"),TODAY()-Registro!R364,"")</f>
        <v/>
      </c>
      <c r="F365" s="45" t="str">
        <f>IF(AND(Registro!D364="Abierto",Registro!E364="Alta"),RANK(E365,$E$9:$E$1000,0)+COUNTIF($E$9:E365,E365)-1+MAX(C$5:C$1000),"")</f>
        <v/>
      </c>
      <c r="G365" s="45" t="str">
        <f>IF(AND(Registro!D364="Abierto",Registro!E364="Media"),Registro!B364,"")</f>
        <v/>
      </c>
      <c r="H365" s="45" t="str">
        <f ca="1">IF(AND(Registro!D364="Abierto",Registro!E364="Media"),TODAY()-Registro!R364,"")</f>
        <v/>
      </c>
      <c r="I365" s="45" t="str">
        <f>IF(AND(Registro!D364="Abierto",Registro!E364="Media"),RANK(H365,$H$9:$H$1000,0)+COUNTIF($H$9:H365,H365)-1+MAX(C$5:C$1000,F$5:F$1000),"")</f>
        <v/>
      </c>
      <c r="J365" s="45" t="str">
        <f>IF(AND(Registro!D364="Abierto",Registro!E364="Baja"),Registro!B364,"")</f>
        <v/>
      </c>
      <c r="K365" s="45" t="str">
        <f ca="1">IF(AND(Registro!D364="Abierto",Registro!E364="Baja"),TODAY()-Registro!R364,"")</f>
        <v/>
      </c>
      <c r="L365" s="45" t="str">
        <f>IF(AND(Registro!D364="Abierto",Registro!E364="Baja"),RANK(K365,$K$9:$K$1000,0)+COUNTIF($K$9:K365,K365)-1+MAX(C$5:C$1000,F$5:F$1000,I$5:I$1000),"")</f>
        <v/>
      </c>
      <c r="M365" s="46" t="str">
        <f>IF(OR(Registro!D364="Resuelto",Registro!D364=""),"",SUM(C365,F365,I365,L365))</f>
        <v/>
      </c>
      <c r="N365" s="46" t="str">
        <f>IF(OR(Registro!D364="Resuelto",Registro!D364=""),"",SUM(B365,E365,H365,K365))</f>
        <v/>
      </c>
      <c r="O365" s="46" t="str">
        <f>IF(OR(Registro!D364="Resuelto",Registro!D364=""),"",_xlfn.CONCAT(A365,D365,G365,J365))</f>
        <v/>
      </c>
      <c r="P365" s="47">
        <v>357</v>
      </c>
      <c r="Q365" s="47" t="str">
        <f t="shared" ca="1" si="15"/>
        <v/>
      </c>
      <c r="R365" s="48" t="str">
        <f t="shared" ca="1" si="16"/>
        <v/>
      </c>
      <c r="S365" s="32"/>
      <c r="T365" s="32"/>
      <c r="U365" s="32"/>
      <c r="V365" s="32"/>
      <c r="W365" s="47" t="str">
        <f>IF(X365="","",MAX($W$5:W364)+1)</f>
        <v/>
      </c>
      <c r="X365" s="50" t="str">
        <f>IF(Registro!M364="","",IF(COUNTIF($X$8:X364,Registro!M364)=0,Registro!M364,""))</f>
        <v/>
      </c>
      <c r="Y365" s="50" t="str">
        <f t="shared" si="17"/>
        <v/>
      </c>
    </row>
    <row r="366" spans="1:25">
      <c r="A366" s="45" t="str">
        <f>IF(AND(Registro!D365="Abierto",Registro!E365="Urgente"),Registro!B365,"")</f>
        <v/>
      </c>
      <c r="B366" s="45" t="str">
        <f ca="1">IF(AND(Registro!D365="Abierto",Registro!E365="Urgente"),TODAY()-Registro!R365,"")</f>
        <v/>
      </c>
      <c r="C366" s="45" t="str">
        <f>IF(AND(Registro!D365="Abierto",Registro!E365="Urgente"),RANK(B366,$B$9:$B$1000,0)+COUNTIF($B$9:B366,B366)-1,"")</f>
        <v/>
      </c>
      <c r="D366" s="45" t="str">
        <f>IF(AND(Registro!D365="Abierto",Registro!E365="Alta"),Registro!B365,"")</f>
        <v/>
      </c>
      <c r="E366" s="45" t="str">
        <f ca="1">IF(AND(Registro!D365="Abierto",Registro!E365="Alta"),TODAY()-Registro!R365,"")</f>
        <v/>
      </c>
      <c r="F366" s="45" t="str">
        <f>IF(AND(Registro!D365="Abierto",Registro!E365="Alta"),RANK(E366,$E$9:$E$1000,0)+COUNTIF($E$9:E366,E366)-1+MAX(C$5:C$1000),"")</f>
        <v/>
      </c>
      <c r="G366" s="45" t="str">
        <f>IF(AND(Registro!D365="Abierto",Registro!E365="Media"),Registro!B365,"")</f>
        <v/>
      </c>
      <c r="H366" s="45" t="str">
        <f ca="1">IF(AND(Registro!D365="Abierto",Registro!E365="Media"),TODAY()-Registro!R365,"")</f>
        <v/>
      </c>
      <c r="I366" s="45" t="str">
        <f>IF(AND(Registro!D365="Abierto",Registro!E365="Media"),RANK(H366,$H$9:$H$1000,0)+COUNTIF($H$9:H366,H366)-1+MAX(C$5:C$1000,F$5:F$1000),"")</f>
        <v/>
      </c>
      <c r="J366" s="45" t="str">
        <f>IF(AND(Registro!D365="Abierto",Registro!E365="Baja"),Registro!B365,"")</f>
        <v/>
      </c>
      <c r="K366" s="45" t="str">
        <f ca="1">IF(AND(Registro!D365="Abierto",Registro!E365="Baja"),TODAY()-Registro!R365,"")</f>
        <v/>
      </c>
      <c r="L366" s="45" t="str">
        <f>IF(AND(Registro!D365="Abierto",Registro!E365="Baja"),RANK(K366,$K$9:$K$1000,0)+COUNTIF($K$9:K366,K366)-1+MAX(C$5:C$1000,F$5:F$1000,I$5:I$1000),"")</f>
        <v/>
      </c>
      <c r="M366" s="46" t="str">
        <f>IF(OR(Registro!D365="Resuelto",Registro!D365=""),"",SUM(C366,F366,I366,L366))</f>
        <v/>
      </c>
      <c r="N366" s="46" t="str">
        <f>IF(OR(Registro!D365="Resuelto",Registro!D365=""),"",SUM(B366,E366,H366,K366))</f>
        <v/>
      </c>
      <c r="O366" s="46" t="str">
        <f>IF(OR(Registro!D365="Resuelto",Registro!D365=""),"",_xlfn.CONCAT(A366,D366,G366,J366))</f>
        <v/>
      </c>
      <c r="P366" s="47">
        <v>358</v>
      </c>
      <c r="Q366" s="47" t="str">
        <f t="shared" ca="1" si="15"/>
        <v/>
      </c>
      <c r="R366" s="48" t="str">
        <f t="shared" ca="1" si="16"/>
        <v/>
      </c>
      <c r="S366" s="32"/>
      <c r="T366" s="32"/>
      <c r="U366" s="32"/>
      <c r="V366" s="32"/>
      <c r="W366" s="47" t="str">
        <f>IF(X366="","",MAX($W$5:W365)+1)</f>
        <v/>
      </c>
      <c r="X366" s="50" t="str">
        <f>IF(Registro!M365="","",IF(COUNTIF($X$8:X365,Registro!M365)=0,Registro!M365,""))</f>
        <v/>
      </c>
      <c r="Y366" s="50" t="str">
        <f t="shared" si="17"/>
        <v/>
      </c>
    </row>
    <row r="367" spans="1:25">
      <c r="A367" s="45" t="str">
        <f>IF(AND(Registro!D366="Abierto",Registro!E366="Urgente"),Registro!B366,"")</f>
        <v/>
      </c>
      <c r="B367" s="45" t="str">
        <f ca="1">IF(AND(Registro!D366="Abierto",Registro!E366="Urgente"),TODAY()-Registro!R366,"")</f>
        <v/>
      </c>
      <c r="C367" s="45" t="str">
        <f>IF(AND(Registro!D366="Abierto",Registro!E366="Urgente"),RANK(B367,$B$9:$B$1000,0)+COUNTIF($B$9:B367,B367)-1,"")</f>
        <v/>
      </c>
      <c r="D367" s="45" t="str">
        <f>IF(AND(Registro!D366="Abierto",Registro!E366="Alta"),Registro!B366,"")</f>
        <v/>
      </c>
      <c r="E367" s="45" t="str">
        <f ca="1">IF(AND(Registro!D366="Abierto",Registro!E366="Alta"),TODAY()-Registro!R366,"")</f>
        <v/>
      </c>
      <c r="F367" s="45" t="str">
        <f>IF(AND(Registro!D366="Abierto",Registro!E366="Alta"),RANK(E367,$E$9:$E$1000,0)+COUNTIF($E$9:E367,E367)-1+MAX(C$5:C$1000),"")</f>
        <v/>
      </c>
      <c r="G367" s="45" t="str">
        <f>IF(AND(Registro!D366="Abierto",Registro!E366="Media"),Registro!B366,"")</f>
        <v/>
      </c>
      <c r="H367" s="45" t="str">
        <f ca="1">IF(AND(Registro!D366="Abierto",Registro!E366="Media"),TODAY()-Registro!R366,"")</f>
        <v/>
      </c>
      <c r="I367" s="45" t="str">
        <f>IF(AND(Registro!D366="Abierto",Registro!E366="Media"),RANK(H367,$H$9:$H$1000,0)+COUNTIF($H$9:H367,H367)-1+MAX(C$5:C$1000,F$5:F$1000),"")</f>
        <v/>
      </c>
      <c r="J367" s="45" t="str">
        <f>IF(AND(Registro!D366="Abierto",Registro!E366="Baja"),Registro!B366,"")</f>
        <v/>
      </c>
      <c r="K367" s="45" t="str">
        <f ca="1">IF(AND(Registro!D366="Abierto",Registro!E366="Baja"),TODAY()-Registro!R366,"")</f>
        <v/>
      </c>
      <c r="L367" s="45" t="str">
        <f>IF(AND(Registro!D366="Abierto",Registro!E366="Baja"),RANK(K367,$K$9:$K$1000,0)+COUNTIF($K$9:K367,K367)-1+MAX(C$5:C$1000,F$5:F$1000,I$5:I$1000),"")</f>
        <v/>
      </c>
      <c r="M367" s="46" t="str">
        <f>IF(OR(Registro!D366="Resuelto",Registro!D366=""),"",SUM(C367,F367,I367,L367))</f>
        <v/>
      </c>
      <c r="N367" s="46" t="str">
        <f>IF(OR(Registro!D366="Resuelto",Registro!D366=""),"",SUM(B367,E367,H367,K367))</f>
        <v/>
      </c>
      <c r="O367" s="46" t="str">
        <f>IF(OR(Registro!D366="Resuelto",Registro!D366=""),"",_xlfn.CONCAT(A367,D367,G367,J367))</f>
        <v/>
      </c>
      <c r="P367" s="47">
        <v>359</v>
      </c>
      <c r="Q367" s="47" t="str">
        <f t="shared" ca="1" si="15"/>
        <v/>
      </c>
      <c r="R367" s="48" t="str">
        <f t="shared" ca="1" si="16"/>
        <v/>
      </c>
      <c r="S367" s="32"/>
      <c r="T367" s="32"/>
      <c r="U367" s="32"/>
      <c r="V367" s="32"/>
      <c r="W367" s="47" t="str">
        <f>IF(X367="","",MAX($W$5:W366)+1)</f>
        <v/>
      </c>
      <c r="X367" s="50" t="str">
        <f>IF(Registro!M366="","",IF(COUNTIF($X$8:X366,Registro!M366)=0,Registro!M366,""))</f>
        <v/>
      </c>
      <c r="Y367" s="50" t="str">
        <f t="shared" si="17"/>
        <v/>
      </c>
    </row>
    <row r="368" spans="1:25">
      <c r="A368" s="45" t="str">
        <f>IF(AND(Registro!D367="Abierto",Registro!E367="Urgente"),Registro!B367,"")</f>
        <v/>
      </c>
      <c r="B368" s="45" t="str">
        <f ca="1">IF(AND(Registro!D367="Abierto",Registro!E367="Urgente"),TODAY()-Registro!R367,"")</f>
        <v/>
      </c>
      <c r="C368" s="45" t="str">
        <f>IF(AND(Registro!D367="Abierto",Registro!E367="Urgente"),RANK(B368,$B$9:$B$1000,0)+COUNTIF($B$9:B368,B368)-1,"")</f>
        <v/>
      </c>
      <c r="D368" s="45" t="str">
        <f>IF(AND(Registro!D367="Abierto",Registro!E367="Alta"),Registro!B367,"")</f>
        <v/>
      </c>
      <c r="E368" s="45" t="str">
        <f ca="1">IF(AND(Registro!D367="Abierto",Registro!E367="Alta"),TODAY()-Registro!R367,"")</f>
        <v/>
      </c>
      <c r="F368" s="45" t="str">
        <f>IF(AND(Registro!D367="Abierto",Registro!E367="Alta"),RANK(E368,$E$9:$E$1000,0)+COUNTIF($E$9:E368,E368)-1+MAX(C$5:C$1000),"")</f>
        <v/>
      </c>
      <c r="G368" s="45" t="str">
        <f>IF(AND(Registro!D367="Abierto",Registro!E367="Media"),Registro!B367,"")</f>
        <v/>
      </c>
      <c r="H368" s="45" t="str">
        <f ca="1">IF(AND(Registro!D367="Abierto",Registro!E367="Media"),TODAY()-Registro!R367,"")</f>
        <v/>
      </c>
      <c r="I368" s="45" t="str">
        <f>IF(AND(Registro!D367="Abierto",Registro!E367="Media"),RANK(H368,$H$9:$H$1000,0)+COUNTIF($H$9:H368,H368)-1+MAX(C$5:C$1000,F$5:F$1000),"")</f>
        <v/>
      </c>
      <c r="J368" s="45" t="str">
        <f>IF(AND(Registro!D367="Abierto",Registro!E367="Baja"),Registro!B367,"")</f>
        <v/>
      </c>
      <c r="K368" s="45" t="str">
        <f ca="1">IF(AND(Registro!D367="Abierto",Registro!E367="Baja"),TODAY()-Registro!R367,"")</f>
        <v/>
      </c>
      <c r="L368" s="45" t="str">
        <f>IF(AND(Registro!D367="Abierto",Registro!E367="Baja"),RANK(K368,$K$9:$K$1000,0)+COUNTIF($K$9:K368,K368)-1+MAX(C$5:C$1000,F$5:F$1000,I$5:I$1000),"")</f>
        <v/>
      </c>
      <c r="M368" s="46" t="str">
        <f>IF(OR(Registro!D367="Resuelto",Registro!D367=""),"",SUM(C368,F368,I368,L368))</f>
        <v/>
      </c>
      <c r="N368" s="46" t="str">
        <f>IF(OR(Registro!D367="Resuelto",Registro!D367=""),"",SUM(B368,E368,H368,K368))</f>
        <v/>
      </c>
      <c r="O368" s="46" t="str">
        <f>IF(OR(Registro!D367="Resuelto",Registro!D367=""),"",_xlfn.CONCAT(A368,D368,G368,J368))</f>
        <v/>
      </c>
      <c r="P368" s="47">
        <v>360</v>
      </c>
      <c r="Q368" s="47" t="str">
        <f t="shared" ca="1" si="15"/>
        <v/>
      </c>
      <c r="R368" s="48" t="str">
        <f t="shared" ca="1" si="16"/>
        <v/>
      </c>
      <c r="S368" s="32"/>
      <c r="T368" s="32"/>
      <c r="U368" s="32"/>
      <c r="V368" s="32"/>
      <c r="W368" s="47" t="str">
        <f>IF(X368="","",MAX($W$5:W367)+1)</f>
        <v/>
      </c>
      <c r="X368" s="50" t="str">
        <f>IF(Registro!M367="","",IF(COUNTIF($X$8:X367,Registro!M367)=0,Registro!M367,""))</f>
        <v/>
      </c>
      <c r="Y368" s="50" t="str">
        <f t="shared" si="17"/>
        <v/>
      </c>
    </row>
    <row r="369" spans="1:25">
      <c r="A369" s="45" t="str">
        <f>IF(AND(Registro!D368="Abierto",Registro!E368="Urgente"),Registro!B368,"")</f>
        <v/>
      </c>
      <c r="B369" s="45" t="str">
        <f ca="1">IF(AND(Registro!D368="Abierto",Registro!E368="Urgente"),TODAY()-Registro!R368,"")</f>
        <v/>
      </c>
      <c r="C369" s="45" t="str">
        <f>IF(AND(Registro!D368="Abierto",Registro!E368="Urgente"),RANK(B369,$B$9:$B$1000,0)+COUNTIF($B$9:B369,B369)-1,"")</f>
        <v/>
      </c>
      <c r="D369" s="45" t="str">
        <f>IF(AND(Registro!D368="Abierto",Registro!E368="Alta"),Registro!B368,"")</f>
        <v/>
      </c>
      <c r="E369" s="45" t="str">
        <f ca="1">IF(AND(Registro!D368="Abierto",Registro!E368="Alta"),TODAY()-Registro!R368,"")</f>
        <v/>
      </c>
      <c r="F369" s="45" t="str">
        <f>IF(AND(Registro!D368="Abierto",Registro!E368="Alta"),RANK(E369,$E$9:$E$1000,0)+COUNTIF($E$9:E369,E369)-1+MAX(C$5:C$1000),"")</f>
        <v/>
      </c>
      <c r="G369" s="45" t="str">
        <f>IF(AND(Registro!D368="Abierto",Registro!E368="Media"),Registro!B368,"")</f>
        <v/>
      </c>
      <c r="H369" s="45" t="str">
        <f ca="1">IF(AND(Registro!D368="Abierto",Registro!E368="Media"),TODAY()-Registro!R368,"")</f>
        <v/>
      </c>
      <c r="I369" s="45" t="str">
        <f>IF(AND(Registro!D368="Abierto",Registro!E368="Media"),RANK(H369,$H$9:$H$1000,0)+COUNTIF($H$9:H369,H369)-1+MAX(C$5:C$1000,F$5:F$1000),"")</f>
        <v/>
      </c>
      <c r="J369" s="45" t="str">
        <f>IF(AND(Registro!D368="Abierto",Registro!E368="Baja"),Registro!B368,"")</f>
        <v/>
      </c>
      <c r="K369" s="45" t="str">
        <f ca="1">IF(AND(Registro!D368="Abierto",Registro!E368="Baja"),TODAY()-Registro!R368,"")</f>
        <v/>
      </c>
      <c r="L369" s="45" t="str">
        <f>IF(AND(Registro!D368="Abierto",Registro!E368="Baja"),RANK(K369,$K$9:$K$1000,0)+COUNTIF($K$9:K369,K369)-1+MAX(C$5:C$1000,F$5:F$1000,I$5:I$1000),"")</f>
        <v/>
      </c>
      <c r="M369" s="46" t="str">
        <f>IF(OR(Registro!D368="Resuelto",Registro!D368=""),"",SUM(C369,F369,I369,L369))</f>
        <v/>
      </c>
      <c r="N369" s="46" t="str">
        <f>IF(OR(Registro!D368="Resuelto",Registro!D368=""),"",SUM(B369,E369,H369,K369))</f>
        <v/>
      </c>
      <c r="O369" s="46" t="str">
        <f>IF(OR(Registro!D368="Resuelto",Registro!D368=""),"",_xlfn.CONCAT(A369,D369,G369,J369))</f>
        <v/>
      </c>
      <c r="P369" s="47">
        <v>361</v>
      </c>
      <c r="Q369" s="47" t="str">
        <f t="shared" ca="1" si="15"/>
        <v/>
      </c>
      <c r="R369" s="48" t="str">
        <f t="shared" ca="1" si="16"/>
        <v/>
      </c>
      <c r="S369" s="32"/>
      <c r="T369" s="32"/>
      <c r="U369" s="32"/>
      <c r="V369" s="32"/>
      <c r="W369" s="47" t="str">
        <f>IF(X369="","",MAX($W$5:W368)+1)</f>
        <v/>
      </c>
      <c r="X369" s="50" t="str">
        <f>IF(Registro!M368="","",IF(COUNTIF($X$8:X368,Registro!M368)=0,Registro!M368,""))</f>
        <v/>
      </c>
      <c r="Y369" s="50" t="str">
        <f t="shared" si="17"/>
        <v/>
      </c>
    </row>
    <row r="370" spans="1:25">
      <c r="A370" s="45" t="str">
        <f>IF(AND(Registro!D369="Abierto",Registro!E369="Urgente"),Registro!B369,"")</f>
        <v/>
      </c>
      <c r="B370" s="45" t="str">
        <f ca="1">IF(AND(Registro!D369="Abierto",Registro!E369="Urgente"),TODAY()-Registro!R369,"")</f>
        <v/>
      </c>
      <c r="C370" s="45" t="str">
        <f>IF(AND(Registro!D369="Abierto",Registro!E369="Urgente"),RANK(B370,$B$9:$B$1000,0)+COUNTIF($B$9:B370,B370)-1,"")</f>
        <v/>
      </c>
      <c r="D370" s="45" t="str">
        <f>IF(AND(Registro!D369="Abierto",Registro!E369="Alta"),Registro!B369,"")</f>
        <v/>
      </c>
      <c r="E370" s="45" t="str">
        <f ca="1">IF(AND(Registro!D369="Abierto",Registro!E369="Alta"),TODAY()-Registro!R369,"")</f>
        <v/>
      </c>
      <c r="F370" s="45" t="str">
        <f>IF(AND(Registro!D369="Abierto",Registro!E369="Alta"),RANK(E370,$E$9:$E$1000,0)+COUNTIF($E$9:E370,E370)-1+MAX(C$5:C$1000),"")</f>
        <v/>
      </c>
      <c r="G370" s="45" t="str">
        <f>IF(AND(Registro!D369="Abierto",Registro!E369="Media"),Registro!B369,"")</f>
        <v/>
      </c>
      <c r="H370" s="45" t="str">
        <f ca="1">IF(AND(Registro!D369="Abierto",Registro!E369="Media"),TODAY()-Registro!R369,"")</f>
        <v/>
      </c>
      <c r="I370" s="45" t="str">
        <f>IF(AND(Registro!D369="Abierto",Registro!E369="Media"),RANK(H370,$H$9:$H$1000,0)+COUNTIF($H$9:H370,H370)-1+MAX(C$5:C$1000,F$5:F$1000),"")</f>
        <v/>
      </c>
      <c r="J370" s="45" t="str">
        <f>IF(AND(Registro!D369="Abierto",Registro!E369="Baja"),Registro!B369,"")</f>
        <v/>
      </c>
      <c r="K370" s="45" t="str">
        <f ca="1">IF(AND(Registro!D369="Abierto",Registro!E369="Baja"),TODAY()-Registro!R369,"")</f>
        <v/>
      </c>
      <c r="L370" s="45" t="str">
        <f>IF(AND(Registro!D369="Abierto",Registro!E369="Baja"),RANK(K370,$K$9:$K$1000,0)+COUNTIF($K$9:K370,K370)-1+MAX(C$5:C$1000,F$5:F$1000,I$5:I$1000),"")</f>
        <v/>
      </c>
      <c r="M370" s="46" t="str">
        <f>IF(OR(Registro!D369="Resuelto",Registro!D369=""),"",SUM(C370,F370,I370,L370))</f>
        <v/>
      </c>
      <c r="N370" s="46" t="str">
        <f>IF(OR(Registro!D369="Resuelto",Registro!D369=""),"",SUM(B370,E370,H370,K370))</f>
        <v/>
      </c>
      <c r="O370" s="46" t="str">
        <f>IF(OR(Registro!D369="Resuelto",Registro!D369=""),"",_xlfn.CONCAT(A370,D370,G370,J370))</f>
        <v/>
      </c>
      <c r="P370" s="47">
        <v>362</v>
      </c>
      <c r="Q370" s="47" t="str">
        <f t="shared" ca="1" si="15"/>
        <v/>
      </c>
      <c r="R370" s="48" t="str">
        <f t="shared" ca="1" si="16"/>
        <v/>
      </c>
      <c r="S370" s="32"/>
      <c r="T370" s="32"/>
      <c r="U370" s="32"/>
      <c r="V370" s="32"/>
      <c r="W370" s="47" t="str">
        <f>IF(X370="","",MAX($W$5:W369)+1)</f>
        <v/>
      </c>
      <c r="X370" s="50" t="str">
        <f>IF(Registro!M369="","",IF(COUNTIF($X$8:X369,Registro!M369)=0,Registro!M369,""))</f>
        <v/>
      </c>
      <c r="Y370" s="50" t="str">
        <f t="shared" si="17"/>
        <v/>
      </c>
    </row>
    <row r="371" spans="1:25">
      <c r="A371" s="45" t="str">
        <f>IF(AND(Registro!D370="Abierto",Registro!E370="Urgente"),Registro!B370,"")</f>
        <v/>
      </c>
      <c r="B371" s="45" t="str">
        <f ca="1">IF(AND(Registro!D370="Abierto",Registro!E370="Urgente"),TODAY()-Registro!R370,"")</f>
        <v/>
      </c>
      <c r="C371" s="45" t="str">
        <f>IF(AND(Registro!D370="Abierto",Registro!E370="Urgente"),RANK(B371,$B$9:$B$1000,0)+COUNTIF($B$9:B371,B371)-1,"")</f>
        <v/>
      </c>
      <c r="D371" s="45" t="str">
        <f>IF(AND(Registro!D370="Abierto",Registro!E370="Alta"),Registro!B370,"")</f>
        <v/>
      </c>
      <c r="E371" s="45" t="str">
        <f ca="1">IF(AND(Registro!D370="Abierto",Registro!E370="Alta"),TODAY()-Registro!R370,"")</f>
        <v/>
      </c>
      <c r="F371" s="45" t="str">
        <f>IF(AND(Registro!D370="Abierto",Registro!E370="Alta"),RANK(E371,$E$9:$E$1000,0)+COUNTIF($E$9:E371,E371)-1+MAX(C$5:C$1000),"")</f>
        <v/>
      </c>
      <c r="G371" s="45" t="str">
        <f>IF(AND(Registro!D370="Abierto",Registro!E370="Media"),Registro!B370,"")</f>
        <v/>
      </c>
      <c r="H371" s="45" t="str">
        <f ca="1">IF(AND(Registro!D370="Abierto",Registro!E370="Media"),TODAY()-Registro!R370,"")</f>
        <v/>
      </c>
      <c r="I371" s="45" t="str">
        <f>IF(AND(Registro!D370="Abierto",Registro!E370="Media"),RANK(H371,$H$9:$H$1000,0)+COUNTIF($H$9:H371,H371)-1+MAX(C$5:C$1000,F$5:F$1000),"")</f>
        <v/>
      </c>
      <c r="J371" s="45" t="str">
        <f>IF(AND(Registro!D370="Abierto",Registro!E370="Baja"),Registro!B370,"")</f>
        <v/>
      </c>
      <c r="K371" s="45" t="str">
        <f ca="1">IF(AND(Registro!D370="Abierto",Registro!E370="Baja"),TODAY()-Registro!R370,"")</f>
        <v/>
      </c>
      <c r="L371" s="45" t="str">
        <f>IF(AND(Registro!D370="Abierto",Registro!E370="Baja"),RANK(K371,$K$9:$K$1000,0)+COUNTIF($K$9:K371,K371)-1+MAX(C$5:C$1000,F$5:F$1000,I$5:I$1000),"")</f>
        <v/>
      </c>
      <c r="M371" s="46" t="str">
        <f>IF(OR(Registro!D370="Resuelto",Registro!D370=""),"",SUM(C371,F371,I371,L371))</f>
        <v/>
      </c>
      <c r="N371" s="46" t="str">
        <f>IF(OR(Registro!D370="Resuelto",Registro!D370=""),"",SUM(B371,E371,H371,K371))</f>
        <v/>
      </c>
      <c r="O371" s="46" t="str">
        <f>IF(OR(Registro!D370="Resuelto",Registro!D370=""),"",_xlfn.CONCAT(A371,D371,G371,J371))</f>
        <v/>
      </c>
      <c r="P371" s="47">
        <v>363</v>
      </c>
      <c r="Q371" s="47" t="str">
        <f t="shared" ca="1" si="15"/>
        <v/>
      </c>
      <c r="R371" s="48" t="str">
        <f t="shared" ca="1" si="16"/>
        <v/>
      </c>
      <c r="S371" s="32"/>
      <c r="T371" s="32"/>
      <c r="U371" s="32"/>
      <c r="V371" s="32"/>
      <c r="W371" s="47" t="str">
        <f>IF(X371="","",MAX($W$5:W370)+1)</f>
        <v/>
      </c>
      <c r="X371" s="50" t="str">
        <f>IF(Registro!M370="","",IF(COUNTIF($X$8:X370,Registro!M370)=0,Registro!M370,""))</f>
        <v/>
      </c>
      <c r="Y371" s="50" t="str">
        <f t="shared" si="17"/>
        <v/>
      </c>
    </row>
    <row r="372" spans="1:25">
      <c r="A372" s="45" t="str">
        <f>IF(AND(Registro!D371="Abierto",Registro!E371="Urgente"),Registro!B371,"")</f>
        <v/>
      </c>
      <c r="B372" s="45" t="str">
        <f ca="1">IF(AND(Registro!D371="Abierto",Registro!E371="Urgente"),TODAY()-Registro!R371,"")</f>
        <v/>
      </c>
      <c r="C372" s="45" t="str">
        <f>IF(AND(Registro!D371="Abierto",Registro!E371="Urgente"),RANK(B372,$B$9:$B$1000,0)+COUNTIF($B$9:B372,B372)-1,"")</f>
        <v/>
      </c>
      <c r="D372" s="45" t="str">
        <f>IF(AND(Registro!D371="Abierto",Registro!E371="Alta"),Registro!B371,"")</f>
        <v/>
      </c>
      <c r="E372" s="45" t="str">
        <f ca="1">IF(AND(Registro!D371="Abierto",Registro!E371="Alta"),TODAY()-Registro!R371,"")</f>
        <v/>
      </c>
      <c r="F372" s="45" t="str">
        <f>IF(AND(Registro!D371="Abierto",Registro!E371="Alta"),RANK(E372,$E$9:$E$1000,0)+COUNTIF($E$9:E372,E372)-1+MAX(C$5:C$1000),"")</f>
        <v/>
      </c>
      <c r="G372" s="45" t="str">
        <f>IF(AND(Registro!D371="Abierto",Registro!E371="Media"),Registro!B371,"")</f>
        <v/>
      </c>
      <c r="H372" s="45" t="str">
        <f ca="1">IF(AND(Registro!D371="Abierto",Registro!E371="Media"),TODAY()-Registro!R371,"")</f>
        <v/>
      </c>
      <c r="I372" s="45" t="str">
        <f>IF(AND(Registro!D371="Abierto",Registro!E371="Media"),RANK(H372,$H$9:$H$1000,0)+COUNTIF($H$9:H372,H372)-1+MAX(C$5:C$1000,F$5:F$1000),"")</f>
        <v/>
      </c>
      <c r="J372" s="45" t="str">
        <f>IF(AND(Registro!D371="Abierto",Registro!E371="Baja"),Registro!B371,"")</f>
        <v/>
      </c>
      <c r="K372" s="45" t="str">
        <f ca="1">IF(AND(Registro!D371="Abierto",Registro!E371="Baja"),TODAY()-Registro!R371,"")</f>
        <v/>
      </c>
      <c r="L372" s="45" t="str">
        <f>IF(AND(Registro!D371="Abierto",Registro!E371="Baja"),RANK(K372,$K$9:$K$1000,0)+COUNTIF($K$9:K372,K372)-1+MAX(C$5:C$1000,F$5:F$1000,I$5:I$1000),"")</f>
        <v/>
      </c>
      <c r="M372" s="46" t="str">
        <f>IF(OR(Registro!D371="Resuelto",Registro!D371=""),"",SUM(C372,F372,I372,L372))</f>
        <v/>
      </c>
      <c r="N372" s="46" t="str">
        <f>IF(OR(Registro!D371="Resuelto",Registro!D371=""),"",SUM(B372,E372,H372,K372))</f>
        <v/>
      </c>
      <c r="O372" s="46" t="str">
        <f>IF(OR(Registro!D371="Resuelto",Registro!D371=""),"",_xlfn.CONCAT(A372,D372,G372,J372))</f>
        <v/>
      </c>
      <c r="P372" s="47">
        <v>364</v>
      </c>
      <c r="Q372" s="47" t="str">
        <f t="shared" ca="1" si="15"/>
        <v/>
      </c>
      <c r="R372" s="48" t="str">
        <f t="shared" ca="1" si="16"/>
        <v/>
      </c>
      <c r="S372" s="32"/>
      <c r="T372" s="32"/>
      <c r="U372" s="32"/>
      <c r="V372" s="32"/>
      <c r="W372" s="47" t="str">
        <f>IF(X372="","",MAX($W$5:W371)+1)</f>
        <v/>
      </c>
      <c r="X372" s="50" t="str">
        <f>IF(Registro!M371="","",IF(COUNTIF($X$8:X371,Registro!M371)=0,Registro!M371,""))</f>
        <v/>
      </c>
      <c r="Y372" s="50" t="str">
        <f t="shared" si="17"/>
        <v/>
      </c>
    </row>
    <row r="373" spans="1:25">
      <c r="A373" s="45" t="str">
        <f>IF(AND(Registro!D372="Abierto",Registro!E372="Urgente"),Registro!B372,"")</f>
        <v/>
      </c>
      <c r="B373" s="45" t="str">
        <f ca="1">IF(AND(Registro!D372="Abierto",Registro!E372="Urgente"),TODAY()-Registro!R372,"")</f>
        <v/>
      </c>
      <c r="C373" s="45" t="str">
        <f>IF(AND(Registro!D372="Abierto",Registro!E372="Urgente"),RANK(B373,$B$9:$B$1000,0)+COUNTIF($B$9:B373,B373)-1,"")</f>
        <v/>
      </c>
      <c r="D373" s="45" t="str">
        <f>IF(AND(Registro!D372="Abierto",Registro!E372="Alta"),Registro!B372,"")</f>
        <v/>
      </c>
      <c r="E373" s="45" t="str">
        <f ca="1">IF(AND(Registro!D372="Abierto",Registro!E372="Alta"),TODAY()-Registro!R372,"")</f>
        <v/>
      </c>
      <c r="F373" s="45" t="str">
        <f>IF(AND(Registro!D372="Abierto",Registro!E372="Alta"),RANK(E373,$E$9:$E$1000,0)+COUNTIF($E$9:E373,E373)-1+MAX(C$5:C$1000),"")</f>
        <v/>
      </c>
      <c r="G373" s="45" t="str">
        <f>IF(AND(Registro!D372="Abierto",Registro!E372="Media"),Registro!B372,"")</f>
        <v/>
      </c>
      <c r="H373" s="45" t="str">
        <f ca="1">IF(AND(Registro!D372="Abierto",Registro!E372="Media"),TODAY()-Registro!R372,"")</f>
        <v/>
      </c>
      <c r="I373" s="45" t="str">
        <f>IF(AND(Registro!D372="Abierto",Registro!E372="Media"),RANK(H373,$H$9:$H$1000,0)+COUNTIF($H$9:H373,H373)-1+MAX(C$5:C$1000,F$5:F$1000),"")</f>
        <v/>
      </c>
      <c r="J373" s="45" t="str">
        <f>IF(AND(Registro!D372="Abierto",Registro!E372="Baja"),Registro!B372,"")</f>
        <v/>
      </c>
      <c r="K373" s="45" t="str">
        <f ca="1">IF(AND(Registro!D372="Abierto",Registro!E372="Baja"),TODAY()-Registro!R372,"")</f>
        <v/>
      </c>
      <c r="L373" s="45" t="str">
        <f>IF(AND(Registro!D372="Abierto",Registro!E372="Baja"),RANK(K373,$K$9:$K$1000,0)+COUNTIF($K$9:K373,K373)-1+MAX(C$5:C$1000,F$5:F$1000,I$5:I$1000),"")</f>
        <v/>
      </c>
      <c r="M373" s="46" t="str">
        <f>IF(OR(Registro!D372="Resuelto",Registro!D372=""),"",SUM(C373,F373,I373,L373))</f>
        <v/>
      </c>
      <c r="N373" s="46" t="str">
        <f>IF(OR(Registro!D372="Resuelto",Registro!D372=""),"",SUM(B373,E373,H373,K373))</f>
        <v/>
      </c>
      <c r="O373" s="46" t="str">
        <f>IF(OR(Registro!D372="Resuelto",Registro!D372=""),"",_xlfn.CONCAT(A373,D373,G373,J373))</f>
        <v/>
      </c>
      <c r="P373" s="47">
        <v>365</v>
      </c>
      <c r="Q373" s="47" t="str">
        <f t="shared" ca="1" si="15"/>
        <v/>
      </c>
      <c r="R373" s="48" t="str">
        <f t="shared" ca="1" si="16"/>
        <v/>
      </c>
      <c r="S373" s="32"/>
      <c r="T373" s="32"/>
      <c r="U373" s="32"/>
      <c r="V373" s="32"/>
      <c r="W373" s="47" t="str">
        <f>IF(X373="","",MAX($W$5:W372)+1)</f>
        <v/>
      </c>
      <c r="X373" s="50" t="str">
        <f>IF(Registro!M372="","",IF(COUNTIF($X$8:X372,Registro!M372)=0,Registro!M372,""))</f>
        <v/>
      </c>
      <c r="Y373" s="50" t="str">
        <f t="shared" si="17"/>
        <v/>
      </c>
    </row>
    <row r="374" spans="1:25">
      <c r="A374" s="45" t="str">
        <f>IF(AND(Registro!D373="Abierto",Registro!E373="Urgente"),Registro!B373,"")</f>
        <v/>
      </c>
      <c r="B374" s="45" t="str">
        <f ca="1">IF(AND(Registro!D373="Abierto",Registro!E373="Urgente"),TODAY()-Registro!R373,"")</f>
        <v/>
      </c>
      <c r="C374" s="45" t="str">
        <f>IF(AND(Registro!D373="Abierto",Registro!E373="Urgente"),RANK(B374,$B$9:$B$1000,0)+COUNTIF($B$9:B374,B374)-1,"")</f>
        <v/>
      </c>
      <c r="D374" s="45" t="str">
        <f>IF(AND(Registro!D373="Abierto",Registro!E373="Alta"),Registro!B373,"")</f>
        <v/>
      </c>
      <c r="E374" s="45" t="str">
        <f ca="1">IF(AND(Registro!D373="Abierto",Registro!E373="Alta"),TODAY()-Registro!R373,"")</f>
        <v/>
      </c>
      <c r="F374" s="45" t="str">
        <f>IF(AND(Registro!D373="Abierto",Registro!E373="Alta"),RANK(E374,$E$9:$E$1000,0)+COUNTIF($E$9:E374,E374)-1+MAX(C$5:C$1000),"")</f>
        <v/>
      </c>
      <c r="G374" s="45" t="str">
        <f>IF(AND(Registro!D373="Abierto",Registro!E373="Media"),Registro!B373,"")</f>
        <v/>
      </c>
      <c r="H374" s="45" t="str">
        <f ca="1">IF(AND(Registro!D373="Abierto",Registro!E373="Media"),TODAY()-Registro!R373,"")</f>
        <v/>
      </c>
      <c r="I374" s="45" t="str">
        <f>IF(AND(Registro!D373="Abierto",Registro!E373="Media"),RANK(H374,$H$9:$H$1000,0)+COUNTIF($H$9:H374,H374)-1+MAX(C$5:C$1000,F$5:F$1000),"")</f>
        <v/>
      </c>
      <c r="J374" s="45" t="str">
        <f>IF(AND(Registro!D373="Abierto",Registro!E373="Baja"),Registro!B373,"")</f>
        <v/>
      </c>
      <c r="K374" s="45" t="str">
        <f ca="1">IF(AND(Registro!D373="Abierto",Registro!E373="Baja"),TODAY()-Registro!R373,"")</f>
        <v/>
      </c>
      <c r="L374" s="45" t="str">
        <f>IF(AND(Registro!D373="Abierto",Registro!E373="Baja"),RANK(K374,$K$9:$K$1000,0)+COUNTIF($K$9:K374,K374)-1+MAX(C$5:C$1000,F$5:F$1000,I$5:I$1000),"")</f>
        <v/>
      </c>
      <c r="M374" s="46" t="str">
        <f>IF(OR(Registro!D373="Resuelto",Registro!D373=""),"",SUM(C374,F374,I374,L374))</f>
        <v/>
      </c>
      <c r="N374" s="46" t="str">
        <f>IF(OR(Registro!D373="Resuelto",Registro!D373=""),"",SUM(B374,E374,H374,K374))</f>
        <v/>
      </c>
      <c r="O374" s="46" t="str">
        <f>IF(OR(Registro!D373="Resuelto",Registro!D373=""),"",_xlfn.CONCAT(A374,D374,G374,J374))</f>
        <v/>
      </c>
      <c r="P374" s="47">
        <v>366</v>
      </c>
      <c r="Q374" s="47" t="str">
        <f t="shared" ca="1" si="15"/>
        <v/>
      </c>
      <c r="R374" s="48" t="str">
        <f t="shared" ca="1" si="16"/>
        <v/>
      </c>
      <c r="S374" s="32"/>
      <c r="T374" s="32"/>
      <c r="U374" s="32"/>
      <c r="V374" s="32"/>
      <c r="W374" s="47" t="str">
        <f>IF(X374="","",MAX($W$5:W373)+1)</f>
        <v/>
      </c>
      <c r="X374" s="50" t="str">
        <f>IF(Registro!M373="","",IF(COUNTIF($X$8:X373,Registro!M373)=0,Registro!M373,""))</f>
        <v/>
      </c>
      <c r="Y374" s="50" t="str">
        <f t="shared" si="17"/>
        <v/>
      </c>
    </row>
    <row r="375" spans="1:25">
      <c r="A375" s="45" t="str">
        <f>IF(AND(Registro!D374="Abierto",Registro!E374="Urgente"),Registro!B374,"")</f>
        <v/>
      </c>
      <c r="B375" s="45" t="str">
        <f ca="1">IF(AND(Registro!D374="Abierto",Registro!E374="Urgente"),TODAY()-Registro!R374,"")</f>
        <v/>
      </c>
      <c r="C375" s="45" t="str">
        <f>IF(AND(Registro!D374="Abierto",Registro!E374="Urgente"),RANK(B375,$B$9:$B$1000,0)+COUNTIF($B$9:B375,B375)-1,"")</f>
        <v/>
      </c>
      <c r="D375" s="45" t="str">
        <f>IF(AND(Registro!D374="Abierto",Registro!E374="Alta"),Registro!B374,"")</f>
        <v/>
      </c>
      <c r="E375" s="45" t="str">
        <f ca="1">IF(AND(Registro!D374="Abierto",Registro!E374="Alta"),TODAY()-Registro!R374,"")</f>
        <v/>
      </c>
      <c r="F375" s="45" t="str">
        <f>IF(AND(Registro!D374="Abierto",Registro!E374="Alta"),RANK(E375,$E$9:$E$1000,0)+COUNTIF($E$9:E375,E375)-1+MAX(C$5:C$1000),"")</f>
        <v/>
      </c>
      <c r="G375" s="45" t="str">
        <f>IF(AND(Registro!D374="Abierto",Registro!E374="Media"),Registro!B374,"")</f>
        <v/>
      </c>
      <c r="H375" s="45" t="str">
        <f ca="1">IF(AND(Registro!D374="Abierto",Registro!E374="Media"),TODAY()-Registro!R374,"")</f>
        <v/>
      </c>
      <c r="I375" s="45" t="str">
        <f>IF(AND(Registro!D374="Abierto",Registro!E374="Media"),RANK(H375,$H$9:$H$1000,0)+COUNTIF($H$9:H375,H375)-1+MAX(C$5:C$1000,F$5:F$1000),"")</f>
        <v/>
      </c>
      <c r="J375" s="45" t="str">
        <f>IF(AND(Registro!D374="Abierto",Registro!E374="Baja"),Registro!B374,"")</f>
        <v/>
      </c>
      <c r="K375" s="45" t="str">
        <f ca="1">IF(AND(Registro!D374="Abierto",Registro!E374="Baja"),TODAY()-Registro!R374,"")</f>
        <v/>
      </c>
      <c r="L375" s="45" t="str">
        <f>IF(AND(Registro!D374="Abierto",Registro!E374="Baja"),RANK(K375,$K$9:$K$1000,0)+COUNTIF($K$9:K375,K375)-1+MAX(C$5:C$1000,F$5:F$1000,I$5:I$1000),"")</f>
        <v/>
      </c>
      <c r="M375" s="46" t="str">
        <f>IF(OR(Registro!D374="Resuelto",Registro!D374=""),"",SUM(C375,F375,I375,L375))</f>
        <v/>
      </c>
      <c r="N375" s="46" t="str">
        <f>IF(OR(Registro!D374="Resuelto",Registro!D374=""),"",SUM(B375,E375,H375,K375))</f>
        <v/>
      </c>
      <c r="O375" s="46" t="str">
        <f>IF(OR(Registro!D374="Resuelto",Registro!D374=""),"",_xlfn.CONCAT(A375,D375,G375,J375))</f>
        <v/>
      </c>
      <c r="P375" s="47">
        <v>367</v>
      </c>
      <c r="Q375" s="47" t="str">
        <f t="shared" ca="1" si="15"/>
        <v/>
      </c>
      <c r="R375" s="48" t="str">
        <f t="shared" ca="1" si="16"/>
        <v/>
      </c>
      <c r="S375" s="32"/>
      <c r="T375" s="32"/>
      <c r="U375" s="32"/>
      <c r="V375" s="32"/>
      <c r="W375" s="47" t="str">
        <f>IF(X375="","",MAX($W$5:W374)+1)</f>
        <v/>
      </c>
      <c r="X375" s="50" t="str">
        <f>IF(Registro!M374="","",IF(COUNTIF($X$8:X374,Registro!M374)=0,Registro!M374,""))</f>
        <v/>
      </c>
      <c r="Y375" s="50" t="str">
        <f t="shared" si="17"/>
        <v/>
      </c>
    </row>
    <row r="376" spans="1:25">
      <c r="A376" s="45" t="str">
        <f>IF(AND(Registro!D375="Abierto",Registro!E375="Urgente"),Registro!B375,"")</f>
        <v/>
      </c>
      <c r="B376" s="45" t="str">
        <f ca="1">IF(AND(Registro!D375="Abierto",Registro!E375="Urgente"),TODAY()-Registro!R375,"")</f>
        <v/>
      </c>
      <c r="C376" s="45" t="str">
        <f>IF(AND(Registro!D375="Abierto",Registro!E375="Urgente"),RANK(B376,$B$9:$B$1000,0)+COUNTIF($B$9:B376,B376)-1,"")</f>
        <v/>
      </c>
      <c r="D376" s="45" t="str">
        <f>IF(AND(Registro!D375="Abierto",Registro!E375="Alta"),Registro!B375,"")</f>
        <v/>
      </c>
      <c r="E376" s="45" t="str">
        <f ca="1">IF(AND(Registro!D375="Abierto",Registro!E375="Alta"),TODAY()-Registro!R375,"")</f>
        <v/>
      </c>
      <c r="F376" s="45" t="str">
        <f>IF(AND(Registro!D375="Abierto",Registro!E375="Alta"),RANK(E376,$E$9:$E$1000,0)+COUNTIF($E$9:E376,E376)-1+MAX(C$5:C$1000),"")</f>
        <v/>
      </c>
      <c r="G376" s="45" t="str">
        <f>IF(AND(Registro!D375="Abierto",Registro!E375="Media"),Registro!B375,"")</f>
        <v/>
      </c>
      <c r="H376" s="45" t="str">
        <f ca="1">IF(AND(Registro!D375="Abierto",Registro!E375="Media"),TODAY()-Registro!R375,"")</f>
        <v/>
      </c>
      <c r="I376" s="45" t="str">
        <f>IF(AND(Registro!D375="Abierto",Registro!E375="Media"),RANK(H376,$H$9:$H$1000,0)+COUNTIF($H$9:H376,H376)-1+MAX(C$5:C$1000,F$5:F$1000),"")</f>
        <v/>
      </c>
      <c r="J376" s="45" t="str">
        <f>IF(AND(Registro!D375="Abierto",Registro!E375="Baja"),Registro!B375,"")</f>
        <v/>
      </c>
      <c r="K376" s="45" t="str">
        <f ca="1">IF(AND(Registro!D375="Abierto",Registro!E375="Baja"),TODAY()-Registro!R375,"")</f>
        <v/>
      </c>
      <c r="L376" s="45" t="str">
        <f>IF(AND(Registro!D375="Abierto",Registro!E375="Baja"),RANK(K376,$K$9:$K$1000,0)+COUNTIF($K$9:K376,K376)-1+MAX(C$5:C$1000,F$5:F$1000,I$5:I$1000),"")</f>
        <v/>
      </c>
      <c r="M376" s="46" t="str">
        <f>IF(OR(Registro!D375="Resuelto",Registro!D375=""),"",SUM(C376,F376,I376,L376))</f>
        <v/>
      </c>
      <c r="N376" s="46" t="str">
        <f>IF(OR(Registro!D375="Resuelto",Registro!D375=""),"",SUM(B376,E376,H376,K376))</f>
        <v/>
      </c>
      <c r="O376" s="46" t="str">
        <f>IF(OR(Registro!D375="Resuelto",Registro!D375=""),"",_xlfn.CONCAT(A376,D376,G376,J376))</f>
        <v/>
      </c>
      <c r="P376" s="47">
        <v>368</v>
      </c>
      <c r="Q376" s="47" t="str">
        <f t="shared" ca="1" si="15"/>
        <v/>
      </c>
      <c r="R376" s="48" t="str">
        <f t="shared" ca="1" si="16"/>
        <v/>
      </c>
      <c r="S376" s="32"/>
      <c r="T376" s="32"/>
      <c r="U376" s="32"/>
      <c r="V376" s="32"/>
      <c r="W376" s="47" t="str">
        <f>IF(X376="","",MAX($W$5:W375)+1)</f>
        <v/>
      </c>
      <c r="X376" s="50" t="str">
        <f>IF(Registro!M375="","",IF(COUNTIF($X$8:X375,Registro!M375)=0,Registro!M375,""))</f>
        <v/>
      </c>
      <c r="Y376" s="50" t="str">
        <f t="shared" si="17"/>
        <v/>
      </c>
    </row>
    <row r="377" spans="1:25">
      <c r="A377" s="45" t="str">
        <f>IF(AND(Registro!D376="Abierto",Registro!E376="Urgente"),Registro!B376,"")</f>
        <v/>
      </c>
      <c r="B377" s="45" t="str">
        <f ca="1">IF(AND(Registro!D376="Abierto",Registro!E376="Urgente"),TODAY()-Registro!R376,"")</f>
        <v/>
      </c>
      <c r="C377" s="45" t="str">
        <f>IF(AND(Registro!D376="Abierto",Registro!E376="Urgente"),RANK(B377,$B$9:$B$1000,0)+COUNTIF($B$9:B377,B377)-1,"")</f>
        <v/>
      </c>
      <c r="D377" s="45" t="str">
        <f>IF(AND(Registro!D376="Abierto",Registro!E376="Alta"),Registro!B376,"")</f>
        <v/>
      </c>
      <c r="E377" s="45" t="str">
        <f ca="1">IF(AND(Registro!D376="Abierto",Registro!E376="Alta"),TODAY()-Registro!R376,"")</f>
        <v/>
      </c>
      <c r="F377" s="45" t="str">
        <f>IF(AND(Registro!D376="Abierto",Registro!E376="Alta"),RANK(E377,$E$9:$E$1000,0)+COUNTIF($E$9:E377,E377)-1+MAX(C$5:C$1000),"")</f>
        <v/>
      </c>
      <c r="G377" s="45" t="str">
        <f>IF(AND(Registro!D376="Abierto",Registro!E376="Media"),Registro!B376,"")</f>
        <v/>
      </c>
      <c r="H377" s="45" t="str">
        <f ca="1">IF(AND(Registro!D376="Abierto",Registro!E376="Media"),TODAY()-Registro!R376,"")</f>
        <v/>
      </c>
      <c r="I377" s="45" t="str">
        <f>IF(AND(Registro!D376="Abierto",Registro!E376="Media"),RANK(H377,$H$9:$H$1000,0)+COUNTIF($H$9:H377,H377)-1+MAX(C$5:C$1000,F$5:F$1000),"")</f>
        <v/>
      </c>
      <c r="J377" s="45" t="str">
        <f>IF(AND(Registro!D376="Abierto",Registro!E376="Baja"),Registro!B376,"")</f>
        <v/>
      </c>
      <c r="K377" s="45" t="str">
        <f ca="1">IF(AND(Registro!D376="Abierto",Registro!E376="Baja"),TODAY()-Registro!R376,"")</f>
        <v/>
      </c>
      <c r="L377" s="45" t="str">
        <f>IF(AND(Registro!D376="Abierto",Registro!E376="Baja"),RANK(K377,$K$9:$K$1000,0)+COUNTIF($K$9:K377,K377)-1+MAX(C$5:C$1000,F$5:F$1000,I$5:I$1000),"")</f>
        <v/>
      </c>
      <c r="M377" s="46" t="str">
        <f>IF(OR(Registro!D376="Resuelto",Registro!D376=""),"",SUM(C377,F377,I377,L377))</f>
        <v/>
      </c>
      <c r="N377" s="46" t="str">
        <f>IF(OR(Registro!D376="Resuelto",Registro!D376=""),"",SUM(B377,E377,H377,K377))</f>
        <v/>
      </c>
      <c r="O377" s="46" t="str">
        <f>IF(OR(Registro!D376="Resuelto",Registro!D376=""),"",_xlfn.CONCAT(A377,D377,G377,J377))</f>
        <v/>
      </c>
      <c r="P377" s="47">
        <v>369</v>
      </c>
      <c r="Q377" s="47" t="str">
        <f t="shared" ca="1" si="15"/>
        <v/>
      </c>
      <c r="R377" s="48" t="str">
        <f t="shared" ca="1" si="16"/>
        <v/>
      </c>
      <c r="S377" s="32"/>
      <c r="T377" s="32"/>
      <c r="U377" s="32"/>
      <c r="V377" s="32"/>
      <c r="W377" s="47" t="str">
        <f>IF(X377="","",MAX($W$5:W376)+1)</f>
        <v/>
      </c>
      <c r="X377" s="50" t="str">
        <f>IF(Registro!M376="","",IF(COUNTIF($X$8:X376,Registro!M376)=0,Registro!M376,""))</f>
        <v/>
      </c>
      <c r="Y377" s="50" t="str">
        <f t="shared" si="17"/>
        <v/>
      </c>
    </row>
    <row r="378" spans="1:25">
      <c r="A378" s="45" t="str">
        <f>IF(AND(Registro!D377="Abierto",Registro!E377="Urgente"),Registro!B377,"")</f>
        <v/>
      </c>
      <c r="B378" s="45" t="str">
        <f ca="1">IF(AND(Registro!D377="Abierto",Registro!E377="Urgente"),TODAY()-Registro!R377,"")</f>
        <v/>
      </c>
      <c r="C378" s="45" t="str">
        <f>IF(AND(Registro!D377="Abierto",Registro!E377="Urgente"),RANK(B378,$B$9:$B$1000,0)+COUNTIF($B$9:B378,B378)-1,"")</f>
        <v/>
      </c>
      <c r="D378" s="45" t="str">
        <f>IF(AND(Registro!D377="Abierto",Registro!E377="Alta"),Registro!B377,"")</f>
        <v/>
      </c>
      <c r="E378" s="45" t="str">
        <f ca="1">IF(AND(Registro!D377="Abierto",Registro!E377="Alta"),TODAY()-Registro!R377,"")</f>
        <v/>
      </c>
      <c r="F378" s="45" t="str">
        <f>IF(AND(Registro!D377="Abierto",Registro!E377="Alta"),RANK(E378,$E$9:$E$1000,0)+COUNTIF($E$9:E378,E378)-1+MAX(C$5:C$1000),"")</f>
        <v/>
      </c>
      <c r="G378" s="45" t="str">
        <f>IF(AND(Registro!D377="Abierto",Registro!E377="Media"),Registro!B377,"")</f>
        <v/>
      </c>
      <c r="H378" s="45" t="str">
        <f ca="1">IF(AND(Registro!D377="Abierto",Registro!E377="Media"),TODAY()-Registro!R377,"")</f>
        <v/>
      </c>
      <c r="I378" s="45" t="str">
        <f>IF(AND(Registro!D377="Abierto",Registro!E377="Media"),RANK(H378,$H$9:$H$1000,0)+COUNTIF($H$9:H378,H378)-1+MAX(C$5:C$1000,F$5:F$1000),"")</f>
        <v/>
      </c>
      <c r="J378" s="45" t="str">
        <f>IF(AND(Registro!D377="Abierto",Registro!E377="Baja"),Registro!B377,"")</f>
        <v/>
      </c>
      <c r="K378" s="45" t="str">
        <f ca="1">IF(AND(Registro!D377="Abierto",Registro!E377="Baja"),TODAY()-Registro!R377,"")</f>
        <v/>
      </c>
      <c r="L378" s="45" t="str">
        <f>IF(AND(Registro!D377="Abierto",Registro!E377="Baja"),RANK(K378,$K$9:$K$1000,0)+COUNTIF($K$9:K378,K378)-1+MAX(C$5:C$1000,F$5:F$1000,I$5:I$1000),"")</f>
        <v/>
      </c>
      <c r="M378" s="46" t="str">
        <f>IF(OR(Registro!D377="Resuelto",Registro!D377=""),"",SUM(C378,F378,I378,L378))</f>
        <v/>
      </c>
      <c r="N378" s="46" t="str">
        <f>IF(OR(Registro!D377="Resuelto",Registro!D377=""),"",SUM(B378,E378,H378,K378))</f>
        <v/>
      </c>
      <c r="O378" s="46" t="str">
        <f>IF(OR(Registro!D377="Resuelto",Registro!D377=""),"",_xlfn.CONCAT(A378,D378,G378,J378))</f>
        <v/>
      </c>
      <c r="P378" s="47">
        <v>370</v>
      </c>
      <c r="Q378" s="47" t="str">
        <f t="shared" ca="1" si="15"/>
        <v/>
      </c>
      <c r="R378" s="48" t="str">
        <f t="shared" ca="1" si="16"/>
        <v/>
      </c>
      <c r="S378" s="32"/>
      <c r="T378" s="32"/>
      <c r="U378" s="32"/>
      <c r="V378" s="32"/>
      <c r="W378" s="47" t="str">
        <f>IF(X378="","",MAX($W$5:W377)+1)</f>
        <v/>
      </c>
      <c r="X378" s="50" t="str">
        <f>IF(Registro!M377="","",IF(COUNTIF($X$8:X377,Registro!M377)=0,Registro!M377,""))</f>
        <v/>
      </c>
      <c r="Y378" s="50" t="str">
        <f t="shared" si="17"/>
        <v/>
      </c>
    </row>
    <row r="379" spans="1:25">
      <c r="A379" s="45" t="str">
        <f>IF(AND(Registro!D378="Abierto",Registro!E378="Urgente"),Registro!B378,"")</f>
        <v/>
      </c>
      <c r="B379" s="45" t="str">
        <f ca="1">IF(AND(Registro!D378="Abierto",Registro!E378="Urgente"),TODAY()-Registro!R378,"")</f>
        <v/>
      </c>
      <c r="C379" s="45" t="str">
        <f>IF(AND(Registro!D378="Abierto",Registro!E378="Urgente"),RANK(B379,$B$9:$B$1000,0)+COUNTIF($B$9:B379,B379)-1,"")</f>
        <v/>
      </c>
      <c r="D379" s="45" t="str">
        <f>IF(AND(Registro!D378="Abierto",Registro!E378="Alta"),Registro!B378,"")</f>
        <v/>
      </c>
      <c r="E379" s="45" t="str">
        <f ca="1">IF(AND(Registro!D378="Abierto",Registro!E378="Alta"),TODAY()-Registro!R378,"")</f>
        <v/>
      </c>
      <c r="F379" s="45" t="str">
        <f>IF(AND(Registro!D378="Abierto",Registro!E378="Alta"),RANK(E379,$E$9:$E$1000,0)+COUNTIF($E$9:E379,E379)-1+MAX(C$5:C$1000),"")</f>
        <v/>
      </c>
      <c r="G379" s="45" t="str">
        <f>IF(AND(Registro!D378="Abierto",Registro!E378="Media"),Registro!B378,"")</f>
        <v/>
      </c>
      <c r="H379" s="45" t="str">
        <f ca="1">IF(AND(Registro!D378="Abierto",Registro!E378="Media"),TODAY()-Registro!R378,"")</f>
        <v/>
      </c>
      <c r="I379" s="45" t="str">
        <f>IF(AND(Registro!D378="Abierto",Registro!E378="Media"),RANK(H379,$H$9:$H$1000,0)+COUNTIF($H$9:H379,H379)-1+MAX(C$5:C$1000,F$5:F$1000),"")</f>
        <v/>
      </c>
      <c r="J379" s="45" t="str">
        <f>IF(AND(Registro!D378="Abierto",Registro!E378="Baja"),Registro!B378,"")</f>
        <v/>
      </c>
      <c r="K379" s="45" t="str">
        <f ca="1">IF(AND(Registro!D378="Abierto",Registro!E378="Baja"),TODAY()-Registro!R378,"")</f>
        <v/>
      </c>
      <c r="L379" s="45" t="str">
        <f>IF(AND(Registro!D378="Abierto",Registro!E378="Baja"),RANK(K379,$K$9:$K$1000,0)+COUNTIF($K$9:K379,K379)-1+MAX(C$5:C$1000,F$5:F$1000,I$5:I$1000),"")</f>
        <v/>
      </c>
      <c r="M379" s="46" t="str">
        <f>IF(OR(Registro!D378="Resuelto",Registro!D378=""),"",SUM(C379,F379,I379,L379))</f>
        <v/>
      </c>
      <c r="N379" s="46" t="str">
        <f>IF(OR(Registro!D378="Resuelto",Registro!D378=""),"",SUM(B379,E379,H379,K379))</f>
        <v/>
      </c>
      <c r="O379" s="46" t="str">
        <f>IF(OR(Registro!D378="Resuelto",Registro!D378=""),"",_xlfn.CONCAT(A379,D379,G379,J379))</f>
        <v/>
      </c>
      <c r="P379" s="47">
        <v>371</v>
      </c>
      <c r="Q379" s="47" t="str">
        <f t="shared" ca="1" si="15"/>
        <v/>
      </c>
      <c r="R379" s="48" t="str">
        <f t="shared" ca="1" si="16"/>
        <v/>
      </c>
      <c r="S379" s="32"/>
      <c r="T379" s="32"/>
      <c r="U379" s="32"/>
      <c r="V379" s="32"/>
      <c r="W379" s="47" t="str">
        <f>IF(X379="","",MAX($W$5:W378)+1)</f>
        <v/>
      </c>
      <c r="X379" s="50" t="str">
        <f>IF(Registro!M378="","",IF(COUNTIF($X$8:X378,Registro!M378)=0,Registro!M378,""))</f>
        <v/>
      </c>
      <c r="Y379" s="50" t="str">
        <f t="shared" si="17"/>
        <v/>
      </c>
    </row>
    <row r="380" spans="1:25">
      <c r="A380" s="45" t="str">
        <f>IF(AND(Registro!D379="Abierto",Registro!E379="Urgente"),Registro!B379,"")</f>
        <v/>
      </c>
      <c r="B380" s="45" t="str">
        <f ca="1">IF(AND(Registro!D379="Abierto",Registro!E379="Urgente"),TODAY()-Registro!R379,"")</f>
        <v/>
      </c>
      <c r="C380" s="45" t="str">
        <f>IF(AND(Registro!D379="Abierto",Registro!E379="Urgente"),RANK(B380,$B$9:$B$1000,0)+COUNTIF($B$9:B380,B380)-1,"")</f>
        <v/>
      </c>
      <c r="D380" s="45" t="str">
        <f>IF(AND(Registro!D379="Abierto",Registro!E379="Alta"),Registro!B379,"")</f>
        <v/>
      </c>
      <c r="E380" s="45" t="str">
        <f ca="1">IF(AND(Registro!D379="Abierto",Registro!E379="Alta"),TODAY()-Registro!R379,"")</f>
        <v/>
      </c>
      <c r="F380" s="45" t="str">
        <f>IF(AND(Registro!D379="Abierto",Registro!E379="Alta"),RANK(E380,$E$9:$E$1000,0)+COUNTIF($E$9:E380,E380)-1+MAX(C$5:C$1000),"")</f>
        <v/>
      </c>
      <c r="G380" s="45" t="str">
        <f>IF(AND(Registro!D379="Abierto",Registro!E379="Media"),Registro!B379,"")</f>
        <v/>
      </c>
      <c r="H380" s="45" t="str">
        <f ca="1">IF(AND(Registro!D379="Abierto",Registro!E379="Media"),TODAY()-Registro!R379,"")</f>
        <v/>
      </c>
      <c r="I380" s="45" t="str">
        <f>IF(AND(Registro!D379="Abierto",Registro!E379="Media"),RANK(H380,$H$9:$H$1000,0)+COUNTIF($H$9:H380,H380)-1+MAX(C$5:C$1000,F$5:F$1000),"")</f>
        <v/>
      </c>
      <c r="J380" s="45" t="str">
        <f>IF(AND(Registro!D379="Abierto",Registro!E379="Baja"),Registro!B379,"")</f>
        <v/>
      </c>
      <c r="K380" s="45" t="str">
        <f ca="1">IF(AND(Registro!D379="Abierto",Registro!E379="Baja"),TODAY()-Registro!R379,"")</f>
        <v/>
      </c>
      <c r="L380" s="45" t="str">
        <f>IF(AND(Registro!D379="Abierto",Registro!E379="Baja"),RANK(K380,$K$9:$K$1000,0)+COUNTIF($K$9:K380,K380)-1+MAX(C$5:C$1000,F$5:F$1000,I$5:I$1000),"")</f>
        <v/>
      </c>
      <c r="M380" s="46" t="str">
        <f>IF(OR(Registro!D379="Resuelto",Registro!D379=""),"",SUM(C380,F380,I380,L380))</f>
        <v/>
      </c>
      <c r="N380" s="46" t="str">
        <f>IF(OR(Registro!D379="Resuelto",Registro!D379=""),"",SUM(B380,E380,H380,K380))</f>
        <v/>
      </c>
      <c r="O380" s="46" t="str">
        <f>IF(OR(Registro!D379="Resuelto",Registro!D379=""),"",_xlfn.CONCAT(A380,D380,G380,J380))</f>
        <v/>
      </c>
      <c r="P380" s="47">
        <v>372</v>
      </c>
      <c r="Q380" s="47" t="str">
        <f t="shared" ca="1" si="15"/>
        <v/>
      </c>
      <c r="R380" s="48" t="str">
        <f t="shared" ca="1" si="16"/>
        <v/>
      </c>
      <c r="S380" s="32"/>
      <c r="T380" s="32"/>
      <c r="U380" s="32"/>
      <c r="V380" s="32"/>
      <c r="W380" s="47" t="str">
        <f>IF(X380="","",MAX($W$5:W379)+1)</f>
        <v/>
      </c>
      <c r="X380" s="50" t="str">
        <f>IF(Registro!M379="","",IF(COUNTIF($X$8:X379,Registro!M379)=0,Registro!M379,""))</f>
        <v/>
      </c>
      <c r="Y380" s="50" t="str">
        <f t="shared" si="17"/>
        <v/>
      </c>
    </row>
    <row r="381" spans="1:25">
      <c r="A381" s="45" t="str">
        <f>IF(AND(Registro!D380="Abierto",Registro!E380="Urgente"),Registro!B380,"")</f>
        <v/>
      </c>
      <c r="B381" s="45" t="str">
        <f ca="1">IF(AND(Registro!D380="Abierto",Registro!E380="Urgente"),TODAY()-Registro!R380,"")</f>
        <v/>
      </c>
      <c r="C381" s="45" t="str">
        <f>IF(AND(Registro!D380="Abierto",Registro!E380="Urgente"),RANK(B381,$B$9:$B$1000,0)+COUNTIF($B$9:B381,B381)-1,"")</f>
        <v/>
      </c>
      <c r="D381" s="45" t="str">
        <f>IF(AND(Registro!D380="Abierto",Registro!E380="Alta"),Registro!B380,"")</f>
        <v/>
      </c>
      <c r="E381" s="45" t="str">
        <f ca="1">IF(AND(Registro!D380="Abierto",Registro!E380="Alta"),TODAY()-Registro!R380,"")</f>
        <v/>
      </c>
      <c r="F381" s="45" t="str">
        <f>IF(AND(Registro!D380="Abierto",Registro!E380="Alta"),RANK(E381,$E$9:$E$1000,0)+COUNTIF($E$9:E381,E381)-1+MAX(C$5:C$1000),"")</f>
        <v/>
      </c>
      <c r="G381" s="45" t="str">
        <f>IF(AND(Registro!D380="Abierto",Registro!E380="Media"),Registro!B380,"")</f>
        <v/>
      </c>
      <c r="H381" s="45" t="str">
        <f ca="1">IF(AND(Registro!D380="Abierto",Registro!E380="Media"),TODAY()-Registro!R380,"")</f>
        <v/>
      </c>
      <c r="I381" s="45" t="str">
        <f>IF(AND(Registro!D380="Abierto",Registro!E380="Media"),RANK(H381,$H$9:$H$1000,0)+COUNTIF($H$9:H381,H381)-1+MAX(C$5:C$1000,F$5:F$1000),"")</f>
        <v/>
      </c>
      <c r="J381" s="45" t="str">
        <f>IF(AND(Registro!D380="Abierto",Registro!E380="Baja"),Registro!B380,"")</f>
        <v/>
      </c>
      <c r="K381" s="45" t="str">
        <f ca="1">IF(AND(Registro!D380="Abierto",Registro!E380="Baja"),TODAY()-Registro!R380,"")</f>
        <v/>
      </c>
      <c r="L381" s="45" t="str">
        <f>IF(AND(Registro!D380="Abierto",Registro!E380="Baja"),RANK(K381,$K$9:$K$1000,0)+COUNTIF($K$9:K381,K381)-1+MAX(C$5:C$1000,F$5:F$1000,I$5:I$1000),"")</f>
        <v/>
      </c>
      <c r="M381" s="46" t="str">
        <f>IF(OR(Registro!D380="Resuelto",Registro!D380=""),"",SUM(C381,F381,I381,L381))</f>
        <v/>
      </c>
      <c r="N381" s="46" t="str">
        <f>IF(OR(Registro!D380="Resuelto",Registro!D380=""),"",SUM(B381,E381,H381,K381))</f>
        <v/>
      </c>
      <c r="O381" s="46" t="str">
        <f>IF(OR(Registro!D380="Resuelto",Registro!D380=""),"",_xlfn.CONCAT(A381,D381,G381,J381))</f>
        <v/>
      </c>
      <c r="P381" s="47">
        <v>373</v>
      </c>
      <c r="Q381" s="47" t="str">
        <f t="shared" ca="1" si="15"/>
        <v/>
      </c>
      <c r="R381" s="48" t="str">
        <f t="shared" ca="1" si="16"/>
        <v/>
      </c>
      <c r="S381" s="32"/>
      <c r="T381" s="32"/>
      <c r="U381" s="32"/>
      <c r="V381" s="32"/>
      <c r="W381" s="47" t="str">
        <f>IF(X381="","",MAX($W$5:W380)+1)</f>
        <v/>
      </c>
      <c r="X381" s="50" t="str">
        <f>IF(Registro!M380="","",IF(COUNTIF($X$8:X380,Registro!M380)=0,Registro!M380,""))</f>
        <v/>
      </c>
      <c r="Y381" s="50" t="str">
        <f t="shared" si="17"/>
        <v/>
      </c>
    </row>
    <row r="382" spans="1:25">
      <c r="A382" s="45" t="str">
        <f>IF(AND(Registro!D381="Abierto",Registro!E381="Urgente"),Registro!B381,"")</f>
        <v/>
      </c>
      <c r="B382" s="45" t="str">
        <f ca="1">IF(AND(Registro!D381="Abierto",Registro!E381="Urgente"),TODAY()-Registro!R381,"")</f>
        <v/>
      </c>
      <c r="C382" s="45" t="str">
        <f>IF(AND(Registro!D381="Abierto",Registro!E381="Urgente"),RANK(B382,$B$9:$B$1000,0)+COUNTIF($B$9:B382,B382)-1,"")</f>
        <v/>
      </c>
      <c r="D382" s="45" t="str">
        <f>IF(AND(Registro!D381="Abierto",Registro!E381="Alta"),Registro!B381,"")</f>
        <v/>
      </c>
      <c r="E382" s="45" t="str">
        <f ca="1">IF(AND(Registro!D381="Abierto",Registro!E381="Alta"),TODAY()-Registro!R381,"")</f>
        <v/>
      </c>
      <c r="F382" s="45" t="str">
        <f>IF(AND(Registro!D381="Abierto",Registro!E381="Alta"),RANK(E382,$E$9:$E$1000,0)+COUNTIF($E$9:E382,E382)-1+MAX(C$5:C$1000),"")</f>
        <v/>
      </c>
      <c r="G382" s="45" t="str">
        <f>IF(AND(Registro!D381="Abierto",Registro!E381="Media"),Registro!B381,"")</f>
        <v/>
      </c>
      <c r="H382" s="45" t="str">
        <f ca="1">IF(AND(Registro!D381="Abierto",Registro!E381="Media"),TODAY()-Registro!R381,"")</f>
        <v/>
      </c>
      <c r="I382" s="45" t="str">
        <f>IF(AND(Registro!D381="Abierto",Registro!E381="Media"),RANK(H382,$H$9:$H$1000,0)+COUNTIF($H$9:H382,H382)-1+MAX(C$5:C$1000,F$5:F$1000),"")</f>
        <v/>
      </c>
      <c r="J382" s="45" t="str">
        <f>IF(AND(Registro!D381="Abierto",Registro!E381="Baja"),Registro!B381,"")</f>
        <v/>
      </c>
      <c r="K382" s="45" t="str">
        <f ca="1">IF(AND(Registro!D381="Abierto",Registro!E381="Baja"),TODAY()-Registro!R381,"")</f>
        <v/>
      </c>
      <c r="L382" s="45" t="str">
        <f>IF(AND(Registro!D381="Abierto",Registro!E381="Baja"),RANK(K382,$K$9:$K$1000,0)+COUNTIF($K$9:K382,K382)-1+MAX(C$5:C$1000,F$5:F$1000,I$5:I$1000),"")</f>
        <v/>
      </c>
      <c r="M382" s="46" t="str">
        <f>IF(OR(Registro!D381="Resuelto",Registro!D381=""),"",SUM(C382,F382,I382,L382))</f>
        <v/>
      </c>
      <c r="N382" s="46" t="str">
        <f>IF(OR(Registro!D381="Resuelto",Registro!D381=""),"",SUM(B382,E382,H382,K382))</f>
        <v/>
      </c>
      <c r="O382" s="46" t="str">
        <f>IF(OR(Registro!D381="Resuelto",Registro!D381=""),"",_xlfn.CONCAT(A382,D382,G382,J382))</f>
        <v/>
      </c>
      <c r="P382" s="47">
        <v>374</v>
      </c>
      <c r="Q382" s="47" t="str">
        <f t="shared" ca="1" si="15"/>
        <v/>
      </c>
      <c r="R382" s="48" t="str">
        <f t="shared" ca="1" si="16"/>
        <v/>
      </c>
      <c r="S382" s="32"/>
      <c r="T382" s="32"/>
      <c r="U382" s="32"/>
      <c r="V382" s="32"/>
      <c r="W382" s="47" t="str">
        <f>IF(X382="","",MAX($W$5:W381)+1)</f>
        <v/>
      </c>
      <c r="X382" s="50" t="str">
        <f>IF(Registro!M381="","",IF(COUNTIF($X$8:X381,Registro!M381)=0,Registro!M381,""))</f>
        <v/>
      </c>
      <c r="Y382" s="50" t="str">
        <f t="shared" si="17"/>
        <v/>
      </c>
    </row>
    <row r="383" spans="1:25">
      <c r="A383" s="45" t="str">
        <f>IF(AND(Registro!D382="Abierto",Registro!E382="Urgente"),Registro!B382,"")</f>
        <v/>
      </c>
      <c r="B383" s="45" t="str">
        <f ca="1">IF(AND(Registro!D382="Abierto",Registro!E382="Urgente"),TODAY()-Registro!R382,"")</f>
        <v/>
      </c>
      <c r="C383" s="45" t="str">
        <f>IF(AND(Registro!D382="Abierto",Registro!E382="Urgente"),RANK(B383,$B$9:$B$1000,0)+COUNTIF($B$9:B383,B383)-1,"")</f>
        <v/>
      </c>
      <c r="D383" s="45" t="str">
        <f>IF(AND(Registro!D382="Abierto",Registro!E382="Alta"),Registro!B382,"")</f>
        <v/>
      </c>
      <c r="E383" s="45" t="str">
        <f ca="1">IF(AND(Registro!D382="Abierto",Registro!E382="Alta"),TODAY()-Registro!R382,"")</f>
        <v/>
      </c>
      <c r="F383" s="45" t="str">
        <f>IF(AND(Registro!D382="Abierto",Registro!E382="Alta"),RANK(E383,$E$9:$E$1000,0)+COUNTIF($E$9:E383,E383)-1+MAX(C$5:C$1000),"")</f>
        <v/>
      </c>
      <c r="G383" s="45" t="str">
        <f>IF(AND(Registro!D382="Abierto",Registro!E382="Media"),Registro!B382,"")</f>
        <v/>
      </c>
      <c r="H383" s="45" t="str">
        <f ca="1">IF(AND(Registro!D382="Abierto",Registro!E382="Media"),TODAY()-Registro!R382,"")</f>
        <v/>
      </c>
      <c r="I383" s="45" t="str">
        <f>IF(AND(Registro!D382="Abierto",Registro!E382="Media"),RANK(H383,$H$9:$H$1000,0)+COUNTIF($H$9:H383,H383)-1+MAX(C$5:C$1000,F$5:F$1000),"")</f>
        <v/>
      </c>
      <c r="J383" s="45" t="str">
        <f>IF(AND(Registro!D382="Abierto",Registro!E382="Baja"),Registro!B382,"")</f>
        <v/>
      </c>
      <c r="K383" s="45" t="str">
        <f ca="1">IF(AND(Registro!D382="Abierto",Registro!E382="Baja"),TODAY()-Registro!R382,"")</f>
        <v/>
      </c>
      <c r="L383" s="45" t="str">
        <f>IF(AND(Registro!D382="Abierto",Registro!E382="Baja"),RANK(K383,$K$9:$K$1000,0)+COUNTIF($K$9:K383,K383)-1+MAX(C$5:C$1000,F$5:F$1000,I$5:I$1000),"")</f>
        <v/>
      </c>
      <c r="M383" s="46" t="str">
        <f>IF(OR(Registro!D382="Resuelto",Registro!D382=""),"",SUM(C383,F383,I383,L383))</f>
        <v/>
      </c>
      <c r="N383" s="46" t="str">
        <f>IF(OR(Registro!D382="Resuelto",Registro!D382=""),"",SUM(B383,E383,H383,K383))</f>
        <v/>
      </c>
      <c r="O383" s="46" t="str">
        <f>IF(OR(Registro!D382="Resuelto",Registro!D382=""),"",_xlfn.CONCAT(A383,D383,G383,J383))</f>
        <v/>
      </c>
      <c r="P383" s="47">
        <v>375</v>
      </c>
      <c r="Q383" s="47" t="str">
        <f t="shared" ca="1" si="15"/>
        <v/>
      </c>
      <c r="R383" s="48" t="str">
        <f t="shared" ca="1" si="16"/>
        <v/>
      </c>
      <c r="S383" s="32"/>
      <c r="T383" s="32"/>
      <c r="U383" s="32"/>
      <c r="V383" s="32"/>
      <c r="W383" s="47" t="str">
        <f>IF(X383="","",MAX($W$5:W382)+1)</f>
        <v/>
      </c>
      <c r="X383" s="50" t="str">
        <f>IF(Registro!M382="","",IF(COUNTIF($X$8:X382,Registro!M382)=0,Registro!M382,""))</f>
        <v/>
      </c>
      <c r="Y383" s="50" t="str">
        <f t="shared" si="17"/>
        <v/>
      </c>
    </row>
    <row r="384" spans="1:25">
      <c r="A384" s="45" t="str">
        <f>IF(AND(Registro!D383="Abierto",Registro!E383="Urgente"),Registro!B383,"")</f>
        <v/>
      </c>
      <c r="B384" s="45" t="str">
        <f ca="1">IF(AND(Registro!D383="Abierto",Registro!E383="Urgente"),TODAY()-Registro!R383,"")</f>
        <v/>
      </c>
      <c r="C384" s="45" t="str">
        <f>IF(AND(Registro!D383="Abierto",Registro!E383="Urgente"),RANK(B384,$B$9:$B$1000,0)+COUNTIF($B$9:B384,B384)-1,"")</f>
        <v/>
      </c>
      <c r="D384" s="45" t="str">
        <f>IF(AND(Registro!D383="Abierto",Registro!E383="Alta"),Registro!B383,"")</f>
        <v/>
      </c>
      <c r="E384" s="45" t="str">
        <f ca="1">IF(AND(Registro!D383="Abierto",Registro!E383="Alta"),TODAY()-Registro!R383,"")</f>
        <v/>
      </c>
      <c r="F384" s="45" t="str">
        <f>IF(AND(Registro!D383="Abierto",Registro!E383="Alta"),RANK(E384,$E$9:$E$1000,0)+COUNTIF($E$9:E384,E384)-1+MAX(C$5:C$1000),"")</f>
        <v/>
      </c>
      <c r="G384" s="45" t="str">
        <f>IF(AND(Registro!D383="Abierto",Registro!E383="Media"),Registro!B383,"")</f>
        <v/>
      </c>
      <c r="H384" s="45" t="str">
        <f ca="1">IF(AND(Registro!D383="Abierto",Registro!E383="Media"),TODAY()-Registro!R383,"")</f>
        <v/>
      </c>
      <c r="I384" s="45" t="str">
        <f>IF(AND(Registro!D383="Abierto",Registro!E383="Media"),RANK(H384,$H$9:$H$1000,0)+COUNTIF($H$9:H384,H384)-1+MAX(C$5:C$1000,F$5:F$1000),"")</f>
        <v/>
      </c>
      <c r="J384" s="45" t="str">
        <f>IF(AND(Registro!D383="Abierto",Registro!E383="Baja"),Registro!B383,"")</f>
        <v/>
      </c>
      <c r="K384" s="45" t="str">
        <f ca="1">IF(AND(Registro!D383="Abierto",Registro!E383="Baja"),TODAY()-Registro!R383,"")</f>
        <v/>
      </c>
      <c r="L384" s="45" t="str">
        <f>IF(AND(Registro!D383="Abierto",Registro!E383="Baja"),RANK(K384,$K$9:$K$1000,0)+COUNTIF($K$9:K384,K384)-1+MAX(C$5:C$1000,F$5:F$1000,I$5:I$1000),"")</f>
        <v/>
      </c>
      <c r="M384" s="46" t="str">
        <f>IF(OR(Registro!D383="Resuelto",Registro!D383=""),"",SUM(C384,F384,I384,L384))</f>
        <v/>
      </c>
      <c r="N384" s="46" t="str">
        <f>IF(OR(Registro!D383="Resuelto",Registro!D383=""),"",SUM(B384,E384,H384,K384))</f>
        <v/>
      </c>
      <c r="O384" s="46" t="str">
        <f>IF(OR(Registro!D383="Resuelto",Registro!D383=""),"",_xlfn.CONCAT(A384,D384,G384,J384))</f>
        <v/>
      </c>
      <c r="P384" s="47">
        <v>376</v>
      </c>
      <c r="Q384" s="47" t="str">
        <f t="shared" ca="1" si="15"/>
        <v/>
      </c>
      <c r="R384" s="48" t="str">
        <f t="shared" ca="1" si="16"/>
        <v/>
      </c>
      <c r="S384" s="32"/>
      <c r="T384" s="32"/>
      <c r="U384" s="32"/>
      <c r="V384" s="32"/>
      <c r="W384" s="47" t="str">
        <f>IF(X384="","",MAX($W$5:W383)+1)</f>
        <v/>
      </c>
      <c r="X384" s="50" t="str">
        <f>IF(Registro!M383="","",IF(COUNTIF($X$8:X383,Registro!M383)=0,Registro!M383,""))</f>
        <v/>
      </c>
      <c r="Y384" s="50" t="str">
        <f t="shared" si="17"/>
        <v/>
      </c>
    </row>
    <row r="385" spans="1:25">
      <c r="A385" s="45" t="str">
        <f>IF(AND(Registro!D384="Abierto",Registro!E384="Urgente"),Registro!B384,"")</f>
        <v/>
      </c>
      <c r="B385" s="45" t="str">
        <f ca="1">IF(AND(Registro!D384="Abierto",Registro!E384="Urgente"),TODAY()-Registro!R384,"")</f>
        <v/>
      </c>
      <c r="C385" s="45" t="str">
        <f>IF(AND(Registro!D384="Abierto",Registro!E384="Urgente"),RANK(B385,$B$9:$B$1000,0)+COUNTIF($B$9:B385,B385)-1,"")</f>
        <v/>
      </c>
      <c r="D385" s="45" t="str">
        <f>IF(AND(Registro!D384="Abierto",Registro!E384="Alta"),Registro!B384,"")</f>
        <v/>
      </c>
      <c r="E385" s="45" t="str">
        <f ca="1">IF(AND(Registro!D384="Abierto",Registro!E384="Alta"),TODAY()-Registro!R384,"")</f>
        <v/>
      </c>
      <c r="F385" s="45" t="str">
        <f>IF(AND(Registro!D384="Abierto",Registro!E384="Alta"),RANK(E385,$E$9:$E$1000,0)+COUNTIF($E$9:E385,E385)-1+MAX(C$5:C$1000),"")</f>
        <v/>
      </c>
      <c r="G385" s="45" t="str">
        <f>IF(AND(Registro!D384="Abierto",Registro!E384="Media"),Registro!B384,"")</f>
        <v/>
      </c>
      <c r="H385" s="45" t="str">
        <f ca="1">IF(AND(Registro!D384="Abierto",Registro!E384="Media"),TODAY()-Registro!R384,"")</f>
        <v/>
      </c>
      <c r="I385" s="45" t="str">
        <f>IF(AND(Registro!D384="Abierto",Registro!E384="Media"),RANK(H385,$H$9:$H$1000,0)+COUNTIF($H$9:H385,H385)-1+MAX(C$5:C$1000,F$5:F$1000),"")</f>
        <v/>
      </c>
      <c r="J385" s="45" t="str">
        <f>IF(AND(Registro!D384="Abierto",Registro!E384="Baja"),Registro!B384,"")</f>
        <v/>
      </c>
      <c r="K385" s="45" t="str">
        <f ca="1">IF(AND(Registro!D384="Abierto",Registro!E384="Baja"),TODAY()-Registro!R384,"")</f>
        <v/>
      </c>
      <c r="L385" s="45" t="str">
        <f>IF(AND(Registro!D384="Abierto",Registro!E384="Baja"),RANK(K385,$K$9:$K$1000,0)+COUNTIF($K$9:K385,K385)-1+MAX(C$5:C$1000,F$5:F$1000,I$5:I$1000),"")</f>
        <v/>
      </c>
      <c r="M385" s="46" t="str">
        <f>IF(OR(Registro!D384="Resuelto",Registro!D384=""),"",SUM(C385,F385,I385,L385))</f>
        <v/>
      </c>
      <c r="N385" s="46" t="str">
        <f>IF(OR(Registro!D384="Resuelto",Registro!D384=""),"",SUM(B385,E385,H385,K385))</f>
        <v/>
      </c>
      <c r="O385" s="46" t="str">
        <f>IF(OR(Registro!D384="Resuelto",Registro!D384=""),"",_xlfn.CONCAT(A385,D385,G385,J385))</f>
        <v/>
      </c>
      <c r="P385" s="47">
        <v>377</v>
      </c>
      <c r="Q385" s="47" t="str">
        <f t="shared" ca="1" si="15"/>
        <v/>
      </c>
      <c r="R385" s="48" t="str">
        <f t="shared" ca="1" si="16"/>
        <v/>
      </c>
      <c r="S385" s="32"/>
      <c r="T385" s="32"/>
      <c r="U385" s="32"/>
      <c r="V385" s="32"/>
      <c r="W385" s="47" t="str">
        <f>IF(X385="","",MAX($W$5:W384)+1)</f>
        <v/>
      </c>
      <c r="X385" s="50" t="str">
        <f>IF(Registro!M384="","",IF(COUNTIF($X$8:X384,Registro!M384)=0,Registro!M384,""))</f>
        <v/>
      </c>
      <c r="Y385" s="50" t="str">
        <f t="shared" si="17"/>
        <v/>
      </c>
    </row>
    <row r="386" spans="1:25">
      <c r="A386" s="45" t="str">
        <f>IF(AND(Registro!D385="Abierto",Registro!E385="Urgente"),Registro!B385,"")</f>
        <v/>
      </c>
      <c r="B386" s="45" t="str">
        <f ca="1">IF(AND(Registro!D385="Abierto",Registro!E385="Urgente"),TODAY()-Registro!R385,"")</f>
        <v/>
      </c>
      <c r="C386" s="45" t="str">
        <f>IF(AND(Registro!D385="Abierto",Registro!E385="Urgente"),RANK(B386,$B$9:$B$1000,0)+COUNTIF($B$9:B386,B386)-1,"")</f>
        <v/>
      </c>
      <c r="D386" s="45" t="str">
        <f>IF(AND(Registro!D385="Abierto",Registro!E385="Alta"),Registro!B385,"")</f>
        <v/>
      </c>
      <c r="E386" s="45" t="str">
        <f ca="1">IF(AND(Registro!D385="Abierto",Registro!E385="Alta"),TODAY()-Registro!R385,"")</f>
        <v/>
      </c>
      <c r="F386" s="45" t="str">
        <f>IF(AND(Registro!D385="Abierto",Registro!E385="Alta"),RANK(E386,$E$9:$E$1000,0)+COUNTIF($E$9:E386,E386)-1+MAX(C$5:C$1000),"")</f>
        <v/>
      </c>
      <c r="G386" s="45" t="str">
        <f>IF(AND(Registro!D385="Abierto",Registro!E385="Media"),Registro!B385,"")</f>
        <v/>
      </c>
      <c r="H386" s="45" t="str">
        <f ca="1">IF(AND(Registro!D385="Abierto",Registro!E385="Media"),TODAY()-Registro!R385,"")</f>
        <v/>
      </c>
      <c r="I386" s="45" t="str">
        <f>IF(AND(Registro!D385="Abierto",Registro!E385="Media"),RANK(H386,$H$9:$H$1000,0)+COUNTIF($H$9:H386,H386)-1+MAX(C$5:C$1000,F$5:F$1000),"")</f>
        <v/>
      </c>
      <c r="J386" s="45" t="str">
        <f>IF(AND(Registro!D385="Abierto",Registro!E385="Baja"),Registro!B385,"")</f>
        <v/>
      </c>
      <c r="K386" s="45" t="str">
        <f ca="1">IF(AND(Registro!D385="Abierto",Registro!E385="Baja"),TODAY()-Registro!R385,"")</f>
        <v/>
      </c>
      <c r="L386" s="45" t="str">
        <f>IF(AND(Registro!D385="Abierto",Registro!E385="Baja"),RANK(K386,$K$9:$K$1000,0)+COUNTIF($K$9:K386,K386)-1+MAX(C$5:C$1000,F$5:F$1000,I$5:I$1000),"")</f>
        <v/>
      </c>
      <c r="M386" s="46" t="str">
        <f>IF(OR(Registro!D385="Resuelto",Registro!D385=""),"",SUM(C386,F386,I386,L386))</f>
        <v/>
      </c>
      <c r="N386" s="46" t="str">
        <f>IF(OR(Registro!D385="Resuelto",Registro!D385=""),"",SUM(B386,E386,H386,K386))</f>
        <v/>
      </c>
      <c r="O386" s="46" t="str">
        <f>IF(OR(Registro!D385="Resuelto",Registro!D385=""),"",_xlfn.CONCAT(A386,D386,G386,J386))</f>
        <v/>
      </c>
      <c r="P386" s="47">
        <v>378</v>
      </c>
      <c r="Q386" s="47" t="str">
        <f t="shared" ca="1" si="15"/>
        <v/>
      </c>
      <c r="R386" s="48" t="str">
        <f t="shared" ca="1" si="16"/>
        <v/>
      </c>
      <c r="S386" s="32"/>
      <c r="T386" s="32"/>
      <c r="U386" s="32"/>
      <c r="V386" s="32"/>
      <c r="W386" s="47" t="str">
        <f>IF(X386="","",MAX($W$5:W385)+1)</f>
        <v/>
      </c>
      <c r="X386" s="50" t="str">
        <f>IF(Registro!M385="","",IF(COUNTIF($X$8:X385,Registro!M385)=0,Registro!M385,""))</f>
        <v/>
      </c>
      <c r="Y386" s="50" t="str">
        <f t="shared" si="17"/>
        <v/>
      </c>
    </row>
    <row r="387" spans="1:25">
      <c r="A387" s="45" t="str">
        <f>IF(AND(Registro!D386="Abierto",Registro!E386="Urgente"),Registro!B386,"")</f>
        <v/>
      </c>
      <c r="B387" s="45" t="str">
        <f ca="1">IF(AND(Registro!D386="Abierto",Registro!E386="Urgente"),TODAY()-Registro!R386,"")</f>
        <v/>
      </c>
      <c r="C387" s="45" t="str">
        <f>IF(AND(Registro!D386="Abierto",Registro!E386="Urgente"),RANK(B387,$B$9:$B$1000,0)+COUNTIF($B$9:B387,B387)-1,"")</f>
        <v/>
      </c>
      <c r="D387" s="45" t="str">
        <f>IF(AND(Registro!D386="Abierto",Registro!E386="Alta"),Registro!B386,"")</f>
        <v/>
      </c>
      <c r="E387" s="45" t="str">
        <f ca="1">IF(AND(Registro!D386="Abierto",Registro!E386="Alta"),TODAY()-Registro!R386,"")</f>
        <v/>
      </c>
      <c r="F387" s="45" t="str">
        <f>IF(AND(Registro!D386="Abierto",Registro!E386="Alta"),RANK(E387,$E$9:$E$1000,0)+COUNTIF($E$9:E387,E387)-1+MAX(C$5:C$1000),"")</f>
        <v/>
      </c>
      <c r="G387" s="45" t="str">
        <f>IF(AND(Registro!D386="Abierto",Registro!E386="Media"),Registro!B386,"")</f>
        <v/>
      </c>
      <c r="H387" s="45" t="str">
        <f ca="1">IF(AND(Registro!D386="Abierto",Registro!E386="Media"),TODAY()-Registro!R386,"")</f>
        <v/>
      </c>
      <c r="I387" s="45" t="str">
        <f>IF(AND(Registro!D386="Abierto",Registro!E386="Media"),RANK(H387,$H$9:$H$1000,0)+COUNTIF($H$9:H387,H387)-1+MAX(C$5:C$1000,F$5:F$1000),"")</f>
        <v/>
      </c>
      <c r="J387" s="45" t="str">
        <f>IF(AND(Registro!D386="Abierto",Registro!E386="Baja"),Registro!B386,"")</f>
        <v/>
      </c>
      <c r="K387" s="45" t="str">
        <f ca="1">IF(AND(Registro!D386="Abierto",Registro!E386="Baja"),TODAY()-Registro!R386,"")</f>
        <v/>
      </c>
      <c r="L387" s="45" t="str">
        <f>IF(AND(Registro!D386="Abierto",Registro!E386="Baja"),RANK(K387,$K$9:$K$1000,0)+COUNTIF($K$9:K387,K387)-1+MAX(C$5:C$1000,F$5:F$1000,I$5:I$1000),"")</f>
        <v/>
      </c>
      <c r="M387" s="46" t="str">
        <f>IF(OR(Registro!D386="Resuelto",Registro!D386=""),"",SUM(C387,F387,I387,L387))</f>
        <v/>
      </c>
      <c r="N387" s="46" t="str">
        <f>IF(OR(Registro!D386="Resuelto",Registro!D386=""),"",SUM(B387,E387,H387,K387))</f>
        <v/>
      </c>
      <c r="O387" s="46" t="str">
        <f>IF(OR(Registro!D386="Resuelto",Registro!D386=""),"",_xlfn.CONCAT(A387,D387,G387,J387))</f>
        <v/>
      </c>
      <c r="P387" s="47">
        <v>379</v>
      </c>
      <c r="Q387" s="47" t="str">
        <f t="shared" ca="1" si="15"/>
        <v/>
      </c>
      <c r="R387" s="48" t="str">
        <f t="shared" ca="1" si="16"/>
        <v/>
      </c>
      <c r="S387" s="32"/>
      <c r="T387" s="32"/>
      <c r="U387" s="32"/>
      <c r="V387" s="32"/>
      <c r="W387" s="47" t="str">
        <f>IF(X387="","",MAX($W$5:W386)+1)</f>
        <v/>
      </c>
      <c r="X387" s="50" t="str">
        <f>IF(Registro!M386="","",IF(COUNTIF($X$8:X386,Registro!M386)=0,Registro!M386,""))</f>
        <v/>
      </c>
      <c r="Y387" s="50" t="str">
        <f t="shared" si="17"/>
        <v/>
      </c>
    </row>
    <row r="388" spans="1:25">
      <c r="A388" s="45" t="str">
        <f>IF(AND(Registro!D387="Abierto",Registro!E387="Urgente"),Registro!B387,"")</f>
        <v/>
      </c>
      <c r="B388" s="45" t="str">
        <f ca="1">IF(AND(Registro!D387="Abierto",Registro!E387="Urgente"),TODAY()-Registro!R387,"")</f>
        <v/>
      </c>
      <c r="C388" s="45" t="str">
        <f>IF(AND(Registro!D387="Abierto",Registro!E387="Urgente"),RANK(B388,$B$9:$B$1000,0)+COUNTIF($B$9:B388,B388)-1,"")</f>
        <v/>
      </c>
      <c r="D388" s="45" t="str">
        <f>IF(AND(Registro!D387="Abierto",Registro!E387="Alta"),Registro!B387,"")</f>
        <v/>
      </c>
      <c r="E388" s="45" t="str">
        <f ca="1">IF(AND(Registro!D387="Abierto",Registro!E387="Alta"),TODAY()-Registro!R387,"")</f>
        <v/>
      </c>
      <c r="F388" s="45" t="str">
        <f>IF(AND(Registro!D387="Abierto",Registro!E387="Alta"),RANK(E388,$E$9:$E$1000,0)+COUNTIF($E$9:E388,E388)-1+MAX(C$5:C$1000),"")</f>
        <v/>
      </c>
      <c r="G388" s="45" t="str">
        <f>IF(AND(Registro!D387="Abierto",Registro!E387="Media"),Registro!B387,"")</f>
        <v/>
      </c>
      <c r="H388" s="45" t="str">
        <f ca="1">IF(AND(Registro!D387="Abierto",Registro!E387="Media"),TODAY()-Registro!R387,"")</f>
        <v/>
      </c>
      <c r="I388" s="45" t="str">
        <f>IF(AND(Registro!D387="Abierto",Registro!E387="Media"),RANK(H388,$H$9:$H$1000,0)+COUNTIF($H$9:H388,H388)-1+MAX(C$5:C$1000,F$5:F$1000),"")</f>
        <v/>
      </c>
      <c r="J388" s="45" t="str">
        <f>IF(AND(Registro!D387="Abierto",Registro!E387="Baja"),Registro!B387,"")</f>
        <v/>
      </c>
      <c r="K388" s="45" t="str">
        <f ca="1">IF(AND(Registro!D387="Abierto",Registro!E387="Baja"),TODAY()-Registro!R387,"")</f>
        <v/>
      </c>
      <c r="L388" s="45" t="str">
        <f>IF(AND(Registro!D387="Abierto",Registro!E387="Baja"),RANK(K388,$K$9:$K$1000,0)+COUNTIF($K$9:K388,K388)-1+MAX(C$5:C$1000,F$5:F$1000,I$5:I$1000),"")</f>
        <v/>
      </c>
      <c r="M388" s="46" t="str">
        <f>IF(OR(Registro!D387="Resuelto",Registro!D387=""),"",SUM(C388,F388,I388,L388))</f>
        <v/>
      </c>
      <c r="N388" s="46" t="str">
        <f>IF(OR(Registro!D387="Resuelto",Registro!D387=""),"",SUM(B388,E388,H388,K388))</f>
        <v/>
      </c>
      <c r="O388" s="46" t="str">
        <f>IF(OR(Registro!D387="Resuelto",Registro!D387=""),"",_xlfn.CONCAT(A388,D388,G388,J388))</f>
        <v/>
      </c>
      <c r="P388" s="47">
        <v>380</v>
      </c>
      <c r="Q388" s="47" t="str">
        <f t="shared" ca="1" si="15"/>
        <v/>
      </c>
      <c r="R388" s="48" t="str">
        <f t="shared" ca="1" si="16"/>
        <v/>
      </c>
      <c r="S388" s="32"/>
      <c r="T388" s="32"/>
      <c r="U388" s="32"/>
      <c r="V388" s="32"/>
      <c r="W388" s="47" t="str">
        <f>IF(X388="","",MAX($W$5:W387)+1)</f>
        <v/>
      </c>
      <c r="X388" s="50" t="str">
        <f>IF(Registro!M387="","",IF(COUNTIF($X$8:X387,Registro!M387)=0,Registro!M387,""))</f>
        <v/>
      </c>
      <c r="Y388" s="50" t="str">
        <f t="shared" si="17"/>
        <v/>
      </c>
    </row>
    <row r="389" spans="1:25">
      <c r="A389" s="45" t="str">
        <f>IF(AND(Registro!D388="Abierto",Registro!E388="Urgente"),Registro!B388,"")</f>
        <v/>
      </c>
      <c r="B389" s="45" t="str">
        <f ca="1">IF(AND(Registro!D388="Abierto",Registro!E388="Urgente"),TODAY()-Registro!R388,"")</f>
        <v/>
      </c>
      <c r="C389" s="45" t="str">
        <f>IF(AND(Registro!D388="Abierto",Registro!E388="Urgente"),RANK(B389,$B$9:$B$1000,0)+COUNTIF($B$9:B389,B389)-1,"")</f>
        <v/>
      </c>
      <c r="D389" s="45" t="str">
        <f>IF(AND(Registro!D388="Abierto",Registro!E388="Alta"),Registro!B388,"")</f>
        <v/>
      </c>
      <c r="E389" s="45" t="str">
        <f ca="1">IF(AND(Registro!D388="Abierto",Registro!E388="Alta"),TODAY()-Registro!R388,"")</f>
        <v/>
      </c>
      <c r="F389" s="45" t="str">
        <f>IF(AND(Registro!D388="Abierto",Registro!E388="Alta"),RANK(E389,$E$9:$E$1000,0)+COUNTIF($E$9:E389,E389)-1+MAX(C$5:C$1000),"")</f>
        <v/>
      </c>
      <c r="G389" s="45" t="str">
        <f>IF(AND(Registro!D388="Abierto",Registro!E388="Media"),Registro!B388,"")</f>
        <v/>
      </c>
      <c r="H389" s="45" t="str">
        <f ca="1">IF(AND(Registro!D388="Abierto",Registro!E388="Media"),TODAY()-Registro!R388,"")</f>
        <v/>
      </c>
      <c r="I389" s="45" t="str">
        <f>IF(AND(Registro!D388="Abierto",Registro!E388="Media"),RANK(H389,$H$9:$H$1000,0)+COUNTIF($H$9:H389,H389)-1+MAX(C$5:C$1000,F$5:F$1000),"")</f>
        <v/>
      </c>
      <c r="J389" s="45" t="str">
        <f>IF(AND(Registro!D388="Abierto",Registro!E388="Baja"),Registro!B388,"")</f>
        <v/>
      </c>
      <c r="K389" s="45" t="str">
        <f ca="1">IF(AND(Registro!D388="Abierto",Registro!E388="Baja"),TODAY()-Registro!R388,"")</f>
        <v/>
      </c>
      <c r="L389" s="45" t="str">
        <f>IF(AND(Registro!D388="Abierto",Registro!E388="Baja"),RANK(K389,$K$9:$K$1000,0)+COUNTIF($K$9:K389,K389)-1+MAX(C$5:C$1000,F$5:F$1000,I$5:I$1000),"")</f>
        <v/>
      </c>
      <c r="M389" s="46" t="str">
        <f>IF(OR(Registro!D388="Resuelto",Registro!D388=""),"",SUM(C389,F389,I389,L389))</f>
        <v/>
      </c>
      <c r="N389" s="46" t="str">
        <f>IF(OR(Registro!D388="Resuelto",Registro!D388=""),"",SUM(B389,E389,H389,K389))</f>
        <v/>
      </c>
      <c r="O389" s="46" t="str">
        <f>IF(OR(Registro!D388="Resuelto",Registro!D388=""),"",_xlfn.CONCAT(A389,D389,G389,J389))</f>
        <v/>
      </c>
      <c r="P389" s="47">
        <v>381</v>
      </c>
      <c r="Q389" s="47" t="str">
        <f t="shared" ca="1" si="15"/>
        <v/>
      </c>
      <c r="R389" s="48" t="str">
        <f t="shared" ca="1" si="16"/>
        <v/>
      </c>
      <c r="S389" s="32"/>
      <c r="T389" s="32"/>
      <c r="U389" s="32"/>
      <c r="V389" s="32"/>
      <c r="W389" s="47" t="str">
        <f>IF(X389="","",MAX($W$5:W388)+1)</f>
        <v/>
      </c>
      <c r="X389" s="50" t="str">
        <f>IF(Registro!M388="","",IF(COUNTIF($X$8:X388,Registro!M388)=0,Registro!M388,""))</f>
        <v/>
      </c>
      <c r="Y389" s="50" t="str">
        <f t="shared" si="17"/>
        <v/>
      </c>
    </row>
    <row r="390" spans="1:25">
      <c r="A390" s="45" t="str">
        <f>IF(AND(Registro!D389="Abierto",Registro!E389="Urgente"),Registro!B389,"")</f>
        <v/>
      </c>
      <c r="B390" s="45" t="str">
        <f ca="1">IF(AND(Registro!D389="Abierto",Registro!E389="Urgente"),TODAY()-Registro!R389,"")</f>
        <v/>
      </c>
      <c r="C390" s="45" t="str">
        <f>IF(AND(Registro!D389="Abierto",Registro!E389="Urgente"),RANK(B390,$B$9:$B$1000,0)+COUNTIF($B$9:B390,B390)-1,"")</f>
        <v/>
      </c>
      <c r="D390" s="45" t="str">
        <f>IF(AND(Registro!D389="Abierto",Registro!E389="Alta"),Registro!B389,"")</f>
        <v/>
      </c>
      <c r="E390" s="45" t="str">
        <f ca="1">IF(AND(Registro!D389="Abierto",Registro!E389="Alta"),TODAY()-Registro!R389,"")</f>
        <v/>
      </c>
      <c r="F390" s="45" t="str">
        <f>IF(AND(Registro!D389="Abierto",Registro!E389="Alta"),RANK(E390,$E$9:$E$1000,0)+COUNTIF($E$9:E390,E390)-1+MAX(C$5:C$1000),"")</f>
        <v/>
      </c>
      <c r="G390" s="45" t="str">
        <f>IF(AND(Registro!D389="Abierto",Registro!E389="Media"),Registro!B389,"")</f>
        <v/>
      </c>
      <c r="H390" s="45" t="str">
        <f ca="1">IF(AND(Registro!D389="Abierto",Registro!E389="Media"),TODAY()-Registro!R389,"")</f>
        <v/>
      </c>
      <c r="I390" s="45" t="str">
        <f>IF(AND(Registro!D389="Abierto",Registro!E389="Media"),RANK(H390,$H$9:$H$1000,0)+COUNTIF($H$9:H390,H390)-1+MAX(C$5:C$1000,F$5:F$1000),"")</f>
        <v/>
      </c>
      <c r="J390" s="45" t="str">
        <f>IF(AND(Registro!D389="Abierto",Registro!E389="Baja"),Registro!B389,"")</f>
        <v/>
      </c>
      <c r="K390" s="45" t="str">
        <f ca="1">IF(AND(Registro!D389="Abierto",Registro!E389="Baja"),TODAY()-Registro!R389,"")</f>
        <v/>
      </c>
      <c r="L390" s="45" t="str">
        <f>IF(AND(Registro!D389="Abierto",Registro!E389="Baja"),RANK(K390,$K$9:$K$1000,0)+COUNTIF($K$9:K390,K390)-1+MAX(C$5:C$1000,F$5:F$1000,I$5:I$1000),"")</f>
        <v/>
      </c>
      <c r="M390" s="46" t="str">
        <f>IF(OR(Registro!D389="Resuelto",Registro!D389=""),"",SUM(C390,F390,I390,L390))</f>
        <v/>
      </c>
      <c r="N390" s="46" t="str">
        <f>IF(OR(Registro!D389="Resuelto",Registro!D389=""),"",SUM(B390,E390,H390,K390))</f>
        <v/>
      </c>
      <c r="O390" s="46" t="str">
        <f>IF(OR(Registro!D389="Resuelto",Registro!D389=""),"",_xlfn.CONCAT(A390,D390,G390,J390))</f>
        <v/>
      </c>
      <c r="P390" s="47">
        <v>382</v>
      </c>
      <c r="Q390" s="47" t="str">
        <f t="shared" ca="1" si="15"/>
        <v/>
      </c>
      <c r="R390" s="48" t="str">
        <f t="shared" ca="1" si="16"/>
        <v/>
      </c>
      <c r="S390" s="32"/>
      <c r="T390" s="32"/>
      <c r="U390" s="32"/>
      <c r="V390" s="32"/>
      <c r="W390" s="47" t="str">
        <f>IF(X390="","",MAX($W$5:W389)+1)</f>
        <v/>
      </c>
      <c r="X390" s="50" t="str">
        <f>IF(Registro!M389="","",IF(COUNTIF($X$8:X389,Registro!M389)=0,Registro!M389,""))</f>
        <v/>
      </c>
      <c r="Y390" s="50" t="str">
        <f t="shared" si="17"/>
        <v/>
      </c>
    </row>
    <row r="391" spans="1:25">
      <c r="A391" s="45" t="str">
        <f>IF(AND(Registro!D390="Abierto",Registro!E390="Urgente"),Registro!B390,"")</f>
        <v/>
      </c>
      <c r="B391" s="45" t="str">
        <f ca="1">IF(AND(Registro!D390="Abierto",Registro!E390="Urgente"),TODAY()-Registro!R390,"")</f>
        <v/>
      </c>
      <c r="C391" s="45" t="str">
        <f>IF(AND(Registro!D390="Abierto",Registro!E390="Urgente"),RANK(B391,$B$9:$B$1000,0)+COUNTIF($B$9:B391,B391)-1,"")</f>
        <v/>
      </c>
      <c r="D391" s="45" t="str">
        <f>IF(AND(Registro!D390="Abierto",Registro!E390="Alta"),Registro!B390,"")</f>
        <v/>
      </c>
      <c r="E391" s="45" t="str">
        <f ca="1">IF(AND(Registro!D390="Abierto",Registro!E390="Alta"),TODAY()-Registro!R390,"")</f>
        <v/>
      </c>
      <c r="F391" s="45" t="str">
        <f>IF(AND(Registro!D390="Abierto",Registro!E390="Alta"),RANK(E391,$E$9:$E$1000,0)+COUNTIF($E$9:E391,E391)-1+MAX(C$5:C$1000),"")</f>
        <v/>
      </c>
      <c r="G391" s="45" t="str">
        <f>IF(AND(Registro!D390="Abierto",Registro!E390="Media"),Registro!B390,"")</f>
        <v/>
      </c>
      <c r="H391" s="45" t="str">
        <f ca="1">IF(AND(Registro!D390="Abierto",Registro!E390="Media"),TODAY()-Registro!R390,"")</f>
        <v/>
      </c>
      <c r="I391" s="45" t="str">
        <f>IF(AND(Registro!D390="Abierto",Registro!E390="Media"),RANK(H391,$H$9:$H$1000,0)+COUNTIF($H$9:H391,H391)-1+MAX(C$5:C$1000,F$5:F$1000),"")</f>
        <v/>
      </c>
      <c r="J391" s="45" t="str">
        <f>IF(AND(Registro!D390="Abierto",Registro!E390="Baja"),Registro!B390,"")</f>
        <v/>
      </c>
      <c r="K391" s="45" t="str">
        <f ca="1">IF(AND(Registro!D390="Abierto",Registro!E390="Baja"),TODAY()-Registro!R390,"")</f>
        <v/>
      </c>
      <c r="L391" s="45" t="str">
        <f>IF(AND(Registro!D390="Abierto",Registro!E390="Baja"),RANK(K391,$K$9:$K$1000,0)+COUNTIF($K$9:K391,K391)-1+MAX(C$5:C$1000,F$5:F$1000,I$5:I$1000),"")</f>
        <v/>
      </c>
      <c r="M391" s="46" t="str">
        <f>IF(OR(Registro!D390="Resuelto",Registro!D390=""),"",SUM(C391,F391,I391,L391))</f>
        <v/>
      </c>
      <c r="N391" s="46" t="str">
        <f>IF(OR(Registro!D390="Resuelto",Registro!D390=""),"",SUM(B391,E391,H391,K391))</f>
        <v/>
      </c>
      <c r="O391" s="46" t="str">
        <f>IF(OR(Registro!D390="Resuelto",Registro!D390=""),"",_xlfn.CONCAT(A391,D391,G391,J391))</f>
        <v/>
      </c>
      <c r="P391" s="47">
        <v>383</v>
      </c>
      <c r="Q391" s="47" t="str">
        <f t="shared" ca="1" si="15"/>
        <v/>
      </c>
      <c r="R391" s="48" t="str">
        <f t="shared" ca="1" si="16"/>
        <v/>
      </c>
      <c r="S391" s="32"/>
      <c r="T391" s="32"/>
      <c r="U391" s="32"/>
      <c r="V391" s="32"/>
      <c r="W391" s="47" t="str">
        <f>IF(X391="","",MAX($W$5:W390)+1)</f>
        <v/>
      </c>
      <c r="X391" s="50" t="str">
        <f>IF(Registro!M390="","",IF(COUNTIF($X$8:X390,Registro!M390)=0,Registro!M390,""))</f>
        <v/>
      </c>
      <c r="Y391" s="50" t="str">
        <f t="shared" si="17"/>
        <v/>
      </c>
    </row>
    <row r="392" spans="1:25">
      <c r="A392" s="45" t="str">
        <f>IF(AND(Registro!D391="Abierto",Registro!E391="Urgente"),Registro!B391,"")</f>
        <v/>
      </c>
      <c r="B392" s="45" t="str">
        <f ca="1">IF(AND(Registro!D391="Abierto",Registro!E391="Urgente"),TODAY()-Registro!R391,"")</f>
        <v/>
      </c>
      <c r="C392" s="45" t="str">
        <f>IF(AND(Registro!D391="Abierto",Registro!E391="Urgente"),RANK(B392,$B$9:$B$1000,0)+COUNTIF($B$9:B392,B392)-1,"")</f>
        <v/>
      </c>
      <c r="D392" s="45" t="str">
        <f>IF(AND(Registro!D391="Abierto",Registro!E391="Alta"),Registro!B391,"")</f>
        <v/>
      </c>
      <c r="E392" s="45" t="str">
        <f ca="1">IF(AND(Registro!D391="Abierto",Registro!E391="Alta"),TODAY()-Registro!R391,"")</f>
        <v/>
      </c>
      <c r="F392" s="45" t="str">
        <f>IF(AND(Registro!D391="Abierto",Registro!E391="Alta"),RANK(E392,$E$9:$E$1000,0)+COUNTIF($E$9:E392,E392)-1+MAX(C$5:C$1000),"")</f>
        <v/>
      </c>
      <c r="G392" s="45" t="str">
        <f>IF(AND(Registro!D391="Abierto",Registro!E391="Media"),Registro!B391,"")</f>
        <v/>
      </c>
      <c r="H392" s="45" t="str">
        <f ca="1">IF(AND(Registro!D391="Abierto",Registro!E391="Media"),TODAY()-Registro!R391,"")</f>
        <v/>
      </c>
      <c r="I392" s="45" t="str">
        <f>IF(AND(Registro!D391="Abierto",Registro!E391="Media"),RANK(H392,$H$9:$H$1000,0)+COUNTIF($H$9:H392,H392)-1+MAX(C$5:C$1000,F$5:F$1000),"")</f>
        <v/>
      </c>
      <c r="J392" s="45" t="str">
        <f>IF(AND(Registro!D391="Abierto",Registro!E391="Baja"),Registro!B391,"")</f>
        <v/>
      </c>
      <c r="K392" s="45" t="str">
        <f ca="1">IF(AND(Registro!D391="Abierto",Registro!E391="Baja"),TODAY()-Registro!R391,"")</f>
        <v/>
      </c>
      <c r="L392" s="45" t="str">
        <f>IF(AND(Registro!D391="Abierto",Registro!E391="Baja"),RANK(K392,$K$9:$K$1000,0)+COUNTIF($K$9:K392,K392)-1+MAX(C$5:C$1000,F$5:F$1000,I$5:I$1000),"")</f>
        <v/>
      </c>
      <c r="M392" s="46" t="str">
        <f>IF(OR(Registro!D391="Resuelto",Registro!D391=""),"",SUM(C392,F392,I392,L392))</f>
        <v/>
      </c>
      <c r="N392" s="46" t="str">
        <f>IF(OR(Registro!D391="Resuelto",Registro!D391=""),"",SUM(B392,E392,H392,K392))</f>
        <v/>
      </c>
      <c r="O392" s="46" t="str">
        <f>IF(OR(Registro!D391="Resuelto",Registro!D391=""),"",_xlfn.CONCAT(A392,D392,G392,J392))</f>
        <v/>
      </c>
      <c r="P392" s="47">
        <v>384</v>
      </c>
      <c r="Q392" s="47" t="str">
        <f t="shared" ca="1" si="15"/>
        <v/>
      </c>
      <c r="R392" s="48" t="str">
        <f t="shared" ca="1" si="16"/>
        <v/>
      </c>
      <c r="S392" s="32"/>
      <c r="T392" s="32"/>
      <c r="U392" s="32"/>
      <c r="V392" s="32"/>
      <c r="W392" s="47" t="str">
        <f>IF(X392="","",MAX($W$5:W391)+1)</f>
        <v/>
      </c>
      <c r="X392" s="50" t="str">
        <f>IF(Registro!M391="","",IF(COUNTIF($X$8:X391,Registro!M391)=0,Registro!M391,""))</f>
        <v/>
      </c>
      <c r="Y392" s="50" t="str">
        <f t="shared" si="17"/>
        <v/>
      </c>
    </row>
    <row r="393" spans="1:25">
      <c r="A393" s="45" t="str">
        <f>IF(AND(Registro!D392="Abierto",Registro!E392="Urgente"),Registro!B392,"")</f>
        <v/>
      </c>
      <c r="B393" s="45" t="str">
        <f ca="1">IF(AND(Registro!D392="Abierto",Registro!E392="Urgente"),TODAY()-Registro!R392,"")</f>
        <v/>
      </c>
      <c r="C393" s="45" t="str">
        <f>IF(AND(Registro!D392="Abierto",Registro!E392="Urgente"),RANK(B393,$B$9:$B$1000,0)+COUNTIF($B$9:B393,B393)-1,"")</f>
        <v/>
      </c>
      <c r="D393" s="45" t="str">
        <f>IF(AND(Registro!D392="Abierto",Registro!E392="Alta"),Registro!B392,"")</f>
        <v/>
      </c>
      <c r="E393" s="45" t="str">
        <f ca="1">IF(AND(Registro!D392="Abierto",Registro!E392="Alta"),TODAY()-Registro!R392,"")</f>
        <v/>
      </c>
      <c r="F393" s="45" t="str">
        <f>IF(AND(Registro!D392="Abierto",Registro!E392="Alta"),RANK(E393,$E$9:$E$1000,0)+COUNTIF($E$9:E393,E393)-1+MAX(C$5:C$1000),"")</f>
        <v/>
      </c>
      <c r="G393" s="45" t="str">
        <f>IF(AND(Registro!D392="Abierto",Registro!E392="Media"),Registro!B392,"")</f>
        <v/>
      </c>
      <c r="H393" s="45" t="str">
        <f ca="1">IF(AND(Registro!D392="Abierto",Registro!E392="Media"),TODAY()-Registro!R392,"")</f>
        <v/>
      </c>
      <c r="I393" s="45" t="str">
        <f>IF(AND(Registro!D392="Abierto",Registro!E392="Media"),RANK(H393,$H$9:$H$1000,0)+COUNTIF($H$9:H393,H393)-1+MAX(C$5:C$1000,F$5:F$1000),"")</f>
        <v/>
      </c>
      <c r="J393" s="45" t="str">
        <f>IF(AND(Registro!D392="Abierto",Registro!E392="Baja"),Registro!B392,"")</f>
        <v/>
      </c>
      <c r="K393" s="45" t="str">
        <f ca="1">IF(AND(Registro!D392="Abierto",Registro!E392="Baja"),TODAY()-Registro!R392,"")</f>
        <v/>
      </c>
      <c r="L393" s="45" t="str">
        <f>IF(AND(Registro!D392="Abierto",Registro!E392="Baja"),RANK(K393,$K$9:$K$1000,0)+COUNTIF($K$9:K393,K393)-1+MAX(C$5:C$1000,F$5:F$1000,I$5:I$1000),"")</f>
        <v/>
      </c>
      <c r="M393" s="46" t="str">
        <f>IF(OR(Registro!D392="Resuelto",Registro!D392=""),"",SUM(C393,F393,I393,L393))</f>
        <v/>
      </c>
      <c r="N393" s="46" t="str">
        <f>IF(OR(Registro!D392="Resuelto",Registro!D392=""),"",SUM(B393,E393,H393,K393))</f>
        <v/>
      </c>
      <c r="O393" s="46" t="str">
        <f>IF(OR(Registro!D392="Resuelto",Registro!D392=""),"",_xlfn.CONCAT(A393,D393,G393,J393))</f>
        <v/>
      </c>
      <c r="P393" s="47">
        <v>385</v>
      </c>
      <c r="Q393" s="47" t="str">
        <f t="shared" ref="Q393:Q456" ca="1" si="18">IF(ISNA(VLOOKUP(P393,$M$9:$O$1000,3,FALSE))=TRUE,"",VLOOKUP(P393,$M$9:$O$1000,3,FALSE))</f>
        <v/>
      </c>
      <c r="R393" s="48" t="str">
        <f t="shared" ref="R393:R456" ca="1" si="19">IF(ISNA(VLOOKUP(P393,$M$9:$O$1000,2,FALSE))=TRUE,"",VLOOKUP(P393,$M$9:$O$1000,2,FALSE))</f>
        <v/>
      </c>
      <c r="S393" s="32"/>
      <c r="T393" s="32"/>
      <c r="U393" s="32"/>
      <c r="V393" s="32"/>
      <c r="W393" s="47" t="str">
        <f>IF(X393="","",MAX($W$5:W392)+1)</f>
        <v/>
      </c>
      <c r="X393" s="50" t="str">
        <f>IF(Registro!M392="","",IF(COUNTIF($X$8:X392,Registro!M392)=0,Registro!M392,""))</f>
        <v/>
      </c>
      <c r="Y393" s="50" t="str">
        <f t="shared" ref="Y393:Y456" si="20">IF(ISNA(VLOOKUP(P393,$W$9:$X$1000,2,FALSE))=TRUE,"",VLOOKUP(P393,$W$9:$X$1000,2,FALSE))</f>
        <v/>
      </c>
    </row>
    <row r="394" spans="1:25">
      <c r="A394" s="45" t="str">
        <f>IF(AND(Registro!D393="Abierto",Registro!E393="Urgente"),Registro!B393,"")</f>
        <v/>
      </c>
      <c r="B394" s="45" t="str">
        <f ca="1">IF(AND(Registro!D393="Abierto",Registro!E393="Urgente"),TODAY()-Registro!R393,"")</f>
        <v/>
      </c>
      <c r="C394" s="45" t="str">
        <f>IF(AND(Registro!D393="Abierto",Registro!E393="Urgente"),RANK(B394,$B$9:$B$1000,0)+COUNTIF($B$9:B394,B394)-1,"")</f>
        <v/>
      </c>
      <c r="D394" s="45" t="str">
        <f>IF(AND(Registro!D393="Abierto",Registro!E393="Alta"),Registro!B393,"")</f>
        <v/>
      </c>
      <c r="E394" s="45" t="str">
        <f ca="1">IF(AND(Registro!D393="Abierto",Registro!E393="Alta"),TODAY()-Registro!R393,"")</f>
        <v/>
      </c>
      <c r="F394" s="45" t="str">
        <f>IF(AND(Registro!D393="Abierto",Registro!E393="Alta"),RANK(E394,$E$9:$E$1000,0)+COUNTIF($E$9:E394,E394)-1+MAX(C$5:C$1000),"")</f>
        <v/>
      </c>
      <c r="G394" s="45" t="str">
        <f>IF(AND(Registro!D393="Abierto",Registro!E393="Media"),Registro!B393,"")</f>
        <v/>
      </c>
      <c r="H394" s="45" t="str">
        <f ca="1">IF(AND(Registro!D393="Abierto",Registro!E393="Media"),TODAY()-Registro!R393,"")</f>
        <v/>
      </c>
      <c r="I394" s="45" t="str">
        <f>IF(AND(Registro!D393="Abierto",Registro!E393="Media"),RANK(H394,$H$9:$H$1000,0)+COUNTIF($H$9:H394,H394)-1+MAX(C$5:C$1000,F$5:F$1000),"")</f>
        <v/>
      </c>
      <c r="J394" s="45" t="str">
        <f>IF(AND(Registro!D393="Abierto",Registro!E393="Baja"),Registro!B393,"")</f>
        <v/>
      </c>
      <c r="K394" s="45" t="str">
        <f ca="1">IF(AND(Registro!D393="Abierto",Registro!E393="Baja"),TODAY()-Registro!R393,"")</f>
        <v/>
      </c>
      <c r="L394" s="45" t="str">
        <f>IF(AND(Registro!D393="Abierto",Registro!E393="Baja"),RANK(K394,$K$9:$K$1000,0)+COUNTIF($K$9:K394,K394)-1+MAX(C$5:C$1000,F$5:F$1000,I$5:I$1000),"")</f>
        <v/>
      </c>
      <c r="M394" s="46" t="str">
        <f>IF(OR(Registro!D393="Resuelto",Registro!D393=""),"",SUM(C394,F394,I394,L394))</f>
        <v/>
      </c>
      <c r="N394" s="46" t="str">
        <f>IF(OR(Registro!D393="Resuelto",Registro!D393=""),"",SUM(B394,E394,H394,K394))</f>
        <v/>
      </c>
      <c r="O394" s="46" t="str">
        <f>IF(OR(Registro!D393="Resuelto",Registro!D393=""),"",_xlfn.CONCAT(A394,D394,G394,J394))</f>
        <v/>
      </c>
      <c r="P394" s="47">
        <v>386</v>
      </c>
      <c r="Q394" s="47" t="str">
        <f t="shared" ca="1" si="18"/>
        <v/>
      </c>
      <c r="R394" s="48" t="str">
        <f t="shared" ca="1" si="19"/>
        <v/>
      </c>
      <c r="S394" s="32"/>
      <c r="T394" s="32"/>
      <c r="U394" s="32"/>
      <c r="V394" s="32"/>
      <c r="W394" s="47" t="str">
        <f>IF(X394="","",MAX($W$5:W393)+1)</f>
        <v/>
      </c>
      <c r="X394" s="50" t="str">
        <f>IF(Registro!M393="","",IF(COUNTIF($X$8:X393,Registro!M393)=0,Registro!M393,""))</f>
        <v/>
      </c>
      <c r="Y394" s="50" t="str">
        <f t="shared" si="20"/>
        <v/>
      </c>
    </row>
    <row r="395" spans="1:25">
      <c r="A395" s="45" t="str">
        <f>IF(AND(Registro!D394="Abierto",Registro!E394="Urgente"),Registro!B394,"")</f>
        <v/>
      </c>
      <c r="B395" s="45" t="str">
        <f ca="1">IF(AND(Registro!D394="Abierto",Registro!E394="Urgente"),TODAY()-Registro!R394,"")</f>
        <v/>
      </c>
      <c r="C395" s="45" t="str">
        <f>IF(AND(Registro!D394="Abierto",Registro!E394="Urgente"),RANK(B395,$B$9:$B$1000,0)+COUNTIF($B$9:B395,B395)-1,"")</f>
        <v/>
      </c>
      <c r="D395" s="45" t="str">
        <f>IF(AND(Registro!D394="Abierto",Registro!E394="Alta"),Registro!B394,"")</f>
        <v/>
      </c>
      <c r="E395" s="45" t="str">
        <f ca="1">IF(AND(Registro!D394="Abierto",Registro!E394="Alta"),TODAY()-Registro!R394,"")</f>
        <v/>
      </c>
      <c r="F395" s="45" t="str">
        <f>IF(AND(Registro!D394="Abierto",Registro!E394="Alta"),RANK(E395,$E$9:$E$1000,0)+COUNTIF($E$9:E395,E395)-1+MAX(C$5:C$1000),"")</f>
        <v/>
      </c>
      <c r="G395" s="45" t="str">
        <f>IF(AND(Registro!D394="Abierto",Registro!E394="Media"),Registro!B394,"")</f>
        <v/>
      </c>
      <c r="H395" s="45" t="str">
        <f ca="1">IF(AND(Registro!D394="Abierto",Registro!E394="Media"),TODAY()-Registro!R394,"")</f>
        <v/>
      </c>
      <c r="I395" s="45" t="str">
        <f>IF(AND(Registro!D394="Abierto",Registro!E394="Media"),RANK(H395,$H$9:$H$1000,0)+COUNTIF($H$9:H395,H395)-1+MAX(C$5:C$1000,F$5:F$1000),"")</f>
        <v/>
      </c>
      <c r="J395" s="45" t="str">
        <f>IF(AND(Registro!D394="Abierto",Registro!E394="Baja"),Registro!B394,"")</f>
        <v/>
      </c>
      <c r="K395" s="45" t="str">
        <f ca="1">IF(AND(Registro!D394="Abierto",Registro!E394="Baja"),TODAY()-Registro!R394,"")</f>
        <v/>
      </c>
      <c r="L395" s="45" t="str">
        <f>IF(AND(Registro!D394="Abierto",Registro!E394="Baja"),RANK(K395,$K$9:$K$1000,0)+COUNTIF($K$9:K395,K395)-1+MAX(C$5:C$1000,F$5:F$1000,I$5:I$1000),"")</f>
        <v/>
      </c>
      <c r="M395" s="46" t="str">
        <f>IF(OR(Registro!D394="Resuelto",Registro!D394=""),"",SUM(C395,F395,I395,L395))</f>
        <v/>
      </c>
      <c r="N395" s="46" t="str">
        <f>IF(OR(Registro!D394="Resuelto",Registro!D394=""),"",SUM(B395,E395,H395,K395))</f>
        <v/>
      </c>
      <c r="O395" s="46" t="str">
        <f>IF(OR(Registro!D394="Resuelto",Registro!D394=""),"",_xlfn.CONCAT(A395,D395,G395,J395))</f>
        <v/>
      </c>
      <c r="P395" s="47">
        <v>387</v>
      </c>
      <c r="Q395" s="47" t="str">
        <f t="shared" ca="1" si="18"/>
        <v/>
      </c>
      <c r="R395" s="48" t="str">
        <f t="shared" ca="1" si="19"/>
        <v/>
      </c>
      <c r="S395" s="32"/>
      <c r="T395" s="32"/>
      <c r="U395" s="32"/>
      <c r="V395" s="32"/>
      <c r="W395" s="47" t="str">
        <f>IF(X395="","",MAX($W$5:W394)+1)</f>
        <v/>
      </c>
      <c r="X395" s="50" t="str">
        <f>IF(Registro!M394="","",IF(COUNTIF($X$8:X394,Registro!M394)=0,Registro!M394,""))</f>
        <v/>
      </c>
      <c r="Y395" s="50" t="str">
        <f t="shared" si="20"/>
        <v/>
      </c>
    </row>
    <row r="396" spans="1:25">
      <c r="A396" s="45" t="str">
        <f>IF(AND(Registro!D395="Abierto",Registro!E395="Urgente"),Registro!B395,"")</f>
        <v/>
      </c>
      <c r="B396" s="45" t="str">
        <f ca="1">IF(AND(Registro!D395="Abierto",Registro!E395="Urgente"),TODAY()-Registro!R395,"")</f>
        <v/>
      </c>
      <c r="C396" s="45" t="str">
        <f>IF(AND(Registro!D395="Abierto",Registro!E395="Urgente"),RANK(B396,$B$9:$B$1000,0)+COUNTIF($B$9:B396,B396)-1,"")</f>
        <v/>
      </c>
      <c r="D396" s="45" t="str">
        <f>IF(AND(Registro!D395="Abierto",Registro!E395="Alta"),Registro!B395,"")</f>
        <v/>
      </c>
      <c r="E396" s="45" t="str">
        <f ca="1">IF(AND(Registro!D395="Abierto",Registro!E395="Alta"),TODAY()-Registro!R395,"")</f>
        <v/>
      </c>
      <c r="F396" s="45" t="str">
        <f>IF(AND(Registro!D395="Abierto",Registro!E395="Alta"),RANK(E396,$E$9:$E$1000,0)+COUNTIF($E$9:E396,E396)-1+MAX(C$5:C$1000),"")</f>
        <v/>
      </c>
      <c r="G396" s="45" t="str">
        <f>IF(AND(Registro!D395="Abierto",Registro!E395="Media"),Registro!B395,"")</f>
        <v/>
      </c>
      <c r="H396" s="45" t="str">
        <f ca="1">IF(AND(Registro!D395="Abierto",Registro!E395="Media"),TODAY()-Registro!R395,"")</f>
        <v/>
      </c>
      <c r="I396" s="45" t="str">
        <f>IF(AND(Registro!D395="Abierto",Registro!E395="Media"),RANK(H396,$H$9:$H$1000,0)+COUNTIF($H$9:H396,H396)-1+MAX(C$5:C$1000,F$5:F$1000),"")</f>
        <v/>
      </c>
      <c r="J396" s="45" t="str">
        <f>IF(AND(Registro!D395="Abierto",Registro!E395="Baja"),Registro!B395,"")</f>
        <v/>
      </c>
      <c r="K396" s="45" t="str">
        <f ca="1">IF(AND(Registro!D395="Abierto",Registro!E395="Baja"),TODAY()-Registro!R395,"")</f>
        <v/>
      </c>
      <c r="L396" s="45" t="str">
        <f>IF(AND(Registro!D395="Abierto",Registro!E395="Baja"),RANK(K396,$K$9:$K$1000,0)+COUNTIF($K$9:K396,K396)-1+MAX(C$5:C$1000,F$5:F$1000,I$5:I$1000),"")</f>
        <v/>
      </c>
      <c r="M396" s="46" t="str">
        <f>IF(OR(Registro!D395="Resuelto",Registro!D395=""),"",SUM(C396,F396,I396,L396))</f>
        <v/>
      </c>
      <c r="N396" s="46" t="str">
        <f>IF(OR(Registro!D395="Resuelto",Registro!D395=""),"",SUM(B396,E396,H396,K396))</f>
        <v/>
      </c>
      <c r="O396" s="46" t="str">
        <f>IF(OR(Registro!D395="Resuelto",Registro!D395=""),"",_xlfn.CONCAT(A396,D396,G396,J396))</f>
        <v/>
      </c>
      <c r="P396" s="47">
        <v>388</v>
      </c>
      <c r="Q396" s="47" t="str">
        <f t="shared" ca="1" si="18"/>
        <v/>
      </c>
      <c r="R396" s="48" t="str">
        <f t="shared" ca="1" si="19"/>
        <v/>
      </c>
      <c r="S396" s="32"/>
      <c r="T396" s="32"/>
      <c r="U396" s="32"/>
      <c r="V396" s="32"/>
      <c r="W396" s="47" t="str">
        <f>IF(X396="","",MAX($W$5:W395)+1)</f>
        <v/>
      </c>
      <c r="X396" s="50" t="str">
        <f>IF(Registro!M395="","",IF(COUNTIF($X$8:X395,Registro!M395)=0,Registro!M395,""))</f>
        <v/>
      </c>
      <c r="Y396" s="50" t="str">
        <f t="shared" si="20"/>
        <v/>
      </c>
    </row>
    <row r="397" spans="1:25">
      <c r="A397" s="45" t="str">
        <f>IF(AND(Registro!D396="Abierto",Registro!E396="Urgente"),Registro!B396,"")</f>
        <v/>
      </c>
      <c r="B397" s="45" t="str">
        <f ca="1">IF(AND(Registro!D396="Abierto",Registro!E396="Urgente"),TODAY()-Registro!R396,"")</f>
        <v/>
      </c>
      <c r="C397" s="45" t="str">
        <f>IF(AND(Registro!D396="Abierto",Registro!E396="Urgente"),RANK(B397,$B$9:$B$1000,0)+COUNTIF($B$9:B397,B397)-1,"")</f>
        <v/>
      </c>
      <c r="D397" s="45" t="str">
        <f>IF(AND(Registro!D396="Abierto",Registro!E396="Alta"),Registro!B396,"")</f>
        <v/>
      </c>
      <c r="E397" s="45" t="str">
        <f ca="1">IF(AND(Registro!D396="Abierto",Registro!E396="Alta"),TODAY()-Registro!R396,"")</f>
        <v/>
      </c>
      <c r="F397" s="45" t="str">
        <f>IF(AND(Registro!D396="Abierto",Registro!E396="Alta"),RANK(E397,$E$9:$E$1000,0)+COUNTIF($E$9:E397,E397)-1+MAX(C$5:C$1000),"")</f>
        <v/>
      </c>
      <c r="G397" s="45" t="str">
        <f>IF(AND(Registro!D396="Abierto",Registro!E396="Media"),Registro!B396,"")</f>
        <v/>
      </c>
      <c r="H397" s="45" t="str">
        <f ca="1">IF(AND(Registro!D396="Abierto",Registro!E396="Media"),TODAY()-Registro!R396,"")</f>
        <v/>
      </c>
      <c r="I397" s="45" t="str">
        <f>IF(AND(Registro!D396="Abierto",Registro!E396="Media"),RANK(H397,$H$9:$H$1000,0)+COUNTIF($H$9:H397,H397)-1+MAX(C$5:C$1000,F$5:F$1000),"")</f>
        <v/>
      </c>
      <c r="J397" s="45" t="str">
        <f>IF(AND(Registro!D396="Abierto",Registro!E396="Baja"),Registro!B396,"")</f>
        <v/>
      </c>
      <c r="K397" s="45" t="str">
        <f ca="1">IF(AND(Registro!D396="Abierto",Registro!E396="Baja"),TODAY()-Registro!R396,"")</f>
        <v/>
      </c>
      <c r="L397" s="45" t="str">
        <f>IF(AND(Registro!D396="Abierto",Registro!E396="Baja"),RANK(K397,$K$9:$K$1000,0)+COUNTIF($K$9:K397,K397)-1+MAX(C$5:C$1000,F$5:F$1000,I$5:I$1000),"")</f>
        <v/>
      </c>
      <c r="M397" s="46" t="str">
        <f>IF(OR(Registro!D396="Resuelto",Registro!D396=""),"",SUM(C397,F397,I397,L397))</f>
        <v/>
      </c>
      <c r="N397" s="46" t="str">
        <f>IF(OR(Registro!D396="Resuelto",Registro!D396=""),"",SUM(B397,E397,H397,K397))</f>
        <v/>
      </c>
      <c r="O397" s="46" t="str">
        <f>IF(OR(Registro!D396="Resuelto",Registro!D396=""),"",_xlfn.CONCAT(A397,D397,G397,J397))</f>
        <v/>
      </c>
      <c r="P397" s="47">
        <v>389</v>
      </c>
      <c r="Q397" s="47" t="str">
        <f t="shared" ca="1" si="18"/>
        <v/>
      </c>
      <c r="R397" s="48" t="str">
        <f t="shared" ca="1" si="19"/>
        <v/>
      </c>
      <c r="S397" s="32"/>
      <c r="T397" s="32"/>
      <c r="U397" s="32"/>
      <c r="V397" s="32"/>
      <c r="W397" s="47" t="str">
        <f>IF(X397="","",MAX($W$5:W396)+1)</f>
        <v/>
      </c>
      <c r="X397" s="50" t="str">
        <f>IF(Registro!M396="","",IF(COUNTIF($X$8:X396,Registro!M396)=0,Registro!M396,""))</f>
        <v/>
      </c>
      <c r="Y397" s="50" t="str">
        <f t="shared" si="20"/>
        <v/>
      </c>
    </row>
    <row r="398" spans="1:25">
      <c r="A398" s="45" t="str">
        <f>IF(AND(Registro!D397="Abierto",Registro!E397="Urgente"),Registro!B397,"")</f>
        <v/>
      </c>
      <c r="B398" s="45" t="str">
        <f ca="1">IF(AND(Registro!D397="Abierto",Registro!E397="Urgente"),TODAY()-Registro!R397,"")</f>
        <v/>
      </c>
      <c r="C398" s="45" t="str">
        <f>IF(AND(Registro!D397="Abierto",Registro!E397="Urgente"),RANK(B398,$B$9:$B$1000,0)+COUNTIF($B$9:B398,B398)-1,"")</f>
        <v/>
      </c>
      <c r="D398" s="45" t="str">
        <f>IF(AND(Registro!D397="Abierto",Registro!E397="Alta"),Registro!B397,"")</f>
        <v/>
      </c>
      <c r="E398" s="45" t="str">
        <f ca="1">IF(AND(Registro!D397="Abierto",Registro!E397="Alta"),TODAY()-Registro!R397,"")</f>
        <v/>
      </c>
      <c r="F398" s="45" t="str">
        <f>IF(AND(Registro!D397="Abierto",Registro!E397="Alta"),RANK(E398,$E$9:$E$1000,0)+COUNTIF($E$9:E398,E398)-1+MAX(C$5:C$1000),"")</f>
        <v/>
      </c>
      <c r="G398" s="45" t="str">
        <f>IF(AND(Registro!D397="Abierto",Registro!E397="Media"),Registro!B397,"")</f>
        <v/>
      </c>
      <c r="H398" s="45" t="str">
        <f ca="1">IF(AND(Registro!D397="Abierto",Registro!E397="Media"),TODAY()-Registro!R397,"")</f>
        <v/>
      </c>
      <c r="I398" s="45" t="str">
        <f>IF(AND(Registro!D397="Abierto",Registro!E397="Media"),RANK(H398,$H$9:$H$1000,0)+COUNTIF($H$9:H398,H398)-1+MAX(C$5:C$1000,F$5:F$1000),"")</f>
        <v/>
      </c>
      <c r="J398" s="45" t="str">
        <f>IF(AND(Registro!D397="Abierto",Registro!E397="Baja"),Registro!B397,"")</f>
        <v/>
      </c>
      <c r="K398" s="45" t="str">
        <f ca="1">IF(AND(Registro!D397="Abierto",Registro!E397="Baja"),TODAY()-Registro!R397,"")</f>
        <v/>
      </c>
      <c r="L398" s="45" t="str">
        <f>IF(AND(Registro!D397="Abierto",Registro!E397="Baja"),RANK(K398,$K$9:$K$1000,0)+COUNTIF($K$9:K398,K398)-1+MAX(C$5:C$1000,F$5:F$1000,I$5:I$1000),"")</f>
        <v/>
      </c>
      <c r="M398" s="46" t="str">
        <f>IF(OR(Registro!D397="Resuelto",Registro!D397=""),"",SUM(C398,F398,I398,L398))</f>
        <v/>
      </c>
      <c r="N398" s="46" t="str">
        <f>IF(OR(Registro!D397="Resuelto",Registro!D397=""),"",SUM(B398,E398,H398,K398))</f>
        <v/>
      </c>
      <c r="O398" s="46" t="str">
        <f>IF(OR(Registro!D397="Resuelto",Registro!D397=""),"",_xlfn.CONCAT(A398,D398,G398,J398))</f>
        <v/>
      </c>
      <c r="P398" s="47">
        <v>390</v>
      </c>
      <c r="Q398" s="47" t="str">
        <f t="shared" ca="1" si="18"/>
        <v/>
      </c>
      <c r="R398" s="48" t="str">
        <f t="shared" ca="1" si="19"/>
        <v/>
      </c>
      <c r="S398" s="32"/>
      <c r="T398" s="32"/>
      <c r="U398" s="32"/>
      <c r="V398" s="32"/>
      <c r="W398" s="47" t="str">
        <f>IF(X398="","",MAX($W$5:W397)+1)</f>
        <v/>
      </c>
      <c r="X398" s="50" t="str">
        <f>IF(Registro!M397="","",IF(COUNTIF($X$8:X397,Registro!M397)=0,Registro!M397,""))</f>
        <v/>
      </c>
      <c r="Y398" s="50" t="str">
        <f t="shared" si="20"/>
        <v/>
      </c>
    </row>
    <row r="399" spans="1:25">
      <c r="A399" s="45" t="str">
        <f>IF(AND(Registro!D398="Abierto",Registro!E398="Urgente"),Registro!B398,"")</f>
        <v/>
      </c>
      <c r="B399" s="45" t="str">
        <f ca="1">IF(AND(Registro!D398="Abierto",Registro!E398="Urgente"),TODAY()-Registro!R398,"")</f>
        <v/>
      </c>
      <c r="C399" s="45" t="str">
        <f>IF(AND(Registro!D398="Abierto",Registro!E398="Urgente"),RANK(B399,$B$9:$B$1000,0)+COUNTIF($B$9:B399,B399)-1,"")</f>
        <v/>
      </c>
      <c r="D399" s="45" t="str">
        <f>IF(AND(Registro!D398="Abierto",Registro!E398="Alta"),Registro!B398,"")</f>
        <v/>
      </c>
      <c r="E399" s="45" t="str">
        <f ca="1">IF(AND(Registro!D398="Abierto",Registro!E398="Alta"),TODAY()-Registro!R398,"")</f>
        <v/>
      </c>
      <c r="F399" s="45" t="str">
        <f>IF(AND(Registro!D398="Abierto",Registro!E398="Alta"),RANK(E399,$E$9:$E$1000,0)+COUNTIF($E$9:E399,E399)-1+MAX(C$5:C$1000),"")</f>
        <v/>
      </c>
      <c r="G399" s="45" t="str">
        <f>IF(AND(Registro!D398="Abierto",Registro!E398="Media"),Registro!B398,"")</f>
        <v/>
      </c>
      <c r="H399" s="45" t="str">
        <f ca="1">IF(AND(Registro!D398="Abierto",Registro!E398="Media"),TODAY()-Registro!R398,"")</f>
        <v/>
      </c>
      <c r="I399" s="45" t="str">
        <f>IF(AND(Registro!D398="Abierto",Registro!E398="Media"),RANK(H399,$H$9:$H$1000,0)+COUNTIF($H$9:H399,H399)-1+MAX(C$5:C$1000,F$5:F$1000),"")</f>
        <v/>
      </c>
      <c r="J399" s="45" t="str">
        <f>IF(AND(Registro!D398="Abierto",Registro!E398="Baja"),Registro!B398,"")</f>
        <v/>
      </c>
      <c r="K399" s="45" t="str">
        <f ca="1">IF(AND(Registro!D398="Abierto",Registro!E398="Baja"),TODAY()-Registro!R398,"")</f>
        <v/>
      </c>
      <c r="L399" s="45" t="str">
        <f>IF(AND(Registro!D398="Abierto",Registro!E398="Baja"),RANK(K399,$K$9:$K$1000,0)+COUNTIF($K$9:K399,K399)-1+MAX(C$5:C$1000,F$5:F$1000,I$5:I$1000),"")</f>
        <v/>
      </c>
      <c r="M399" s="46" t="str">
        <f>IF(OR(Registro!D398="Resuelto",Registro!D398=""),"",SUM(C399,F399,I399,L399))</f>
        <v/>
      </c>
      <c r="N399" s="46" t="str">
        <f>IF(OR(Registro!D398="Resuelto",Registro!D398=""),"",SUM(B399,E399,H399,K399))</f>
        <v/>
      </c>
      <c r="O399" s="46" t="str">
        <f>IF(OR(Registro!D398="Resuelto",Registro!D398=""),"",_xlfn.CONCAT(A399,D399,G399,J399))</f>
        <v/>
      </c>
      <c r="P399" s="47">
        <v>391</v>
      </c>
      <c r="Q399" s="47" t="str">
        <f t="shared" ca="1" si="18"/>
        <v/>
      </c>
      <c r="R399" s="48" t="str">
        <f t="shared" ca="1" si="19"/>
        <v/>
      </c>
      <c r="S399" s="32"/>
      <c r="T399" s="32"/>
      <c r="U399" s="32"/>
      <c r="V399" s="32"/>
      <c r="W399" s="47" t="str">
        <f>IF(X399="","",MAX($W$5:W398)+1)</f>
        <v/>
      </c>
      <c r="X399" s="50" t="str">
        <f>IF(Registro!M398="","",IF(COUNTIF($X$8:X398,Registro!M398)=0,Registro!M398,""))</f>
        <v/>
      </c>
      <c r="Y399" s="50" t="str">
        <f t="shared" si="20"/>
        <v/>
      </c>
    </row>
    <row r="400" spans="1:25">
      <c r="A400" s="45" t="str">
        <f>IF(AND(Registro!D399="Abierto",Registro!E399="Urgente"),Registro!B399,"")</f>
        <v/>
      </c>
      <c r="B400" s="45" t="str">
        <f ca="1">IF(AND(Registro!D399="Abierto",Registro!E399="Urgente"),TODAY()-Registro!R399,"")</f>
        <v/>
      </c>
      <c r="C400" s="45" t="str">
        <f>IF(AND(Registro!D399="Abierto",Registro!E399="Urgente"),RANK(B400,$B$9:$B$1000,0)+COUNTIF($B$9:B400,B400)-1,"")</f>
        <v/>
      </c>
      <c r="D400" s="45" t="str">
        <f>IF(AND(Registro!D399="Abierto",Registro!E399="Alta"),Registro!B399,"")</f>
        <v/>
      </c>
      <c r="E400" s="45" t="str">
        <f ca="1">IF(AND(Registro!D399="Abierto",Registro!E399="Alta"),TODAY()-Registro!R399,"")</f>
        <v/>
      </c>
      <c r="F400" s="45" t="str">
        <f>IF(AND(Registro!D399="Abierto",Registro!E399="Alta"),RANK(E400,$E$9:$E$1000,0)+COUNTIF($E$9:E400,E400)-1+MAX(C$5:C$1000),"")</f>
        <v/>
      </c>
      <c r="G400" s="45" t="str">
        <f>IF(AND(Registro!D399="Abierto",Registro!E399="Media"),Registro!B399,"")</f>
        <v/>
      </c>
      <c r="H400" s="45" t="str">
        <f ca="1">IF(AND(Registro!D399="Abierto",Registro!E399="Media"),TODAY()-Registro!R399,"")</f>
        <v/>
      </c>
      <c r="I400" s="45" t="str">
        <f>IF(AND(Registro!D399="Abierto",Registro!E399="Media"),RANK(H400,$H$9:$H$1000,0)+COUNTIF($H$9:H400,H400)-1+MAX(C$5:C$1000,F$5:F$1000),"")</f>
        <v/>
      </c>
      <c r="J400" s="45" t="str">
        <f>IF(AND(Registro!D399="Abierto",Registro!E399="Baja"),Registro!B399,"")</f>
        <v/>
      </c>
      <c r="K400" s="45" t="str">
        <f ca="1">IF(AND(Registro!D399="Abierto",Registro!E399="Baja"),TODAY()-Registro!R399,"")</f>
        <v/>
      </c>
      <c r="L400" s="45" t="str">
        <f>IF(AND(Registro!D399="Abierto",Registro!E399="Baja"),RANK(K400,$K$9:$K$1000,0)+COUNTIF($K$9:K400,K400)-1+MAX(C$5:C$1000,F$5:F$1000,I$5:I$1000),"")</f>
        <v/>
      </c>
      <c r="M400" s="46" t="str">
        <f>IF(OR(Registro!D399="Resuelto",Registro!D399=""),"",SUM(C400,F400,I400,L400))</f>
        <v/>
      </c>
      <c r="N400" s="46" t="str">
        <f>IF(OR(Registro!D399="Resuelto",Registro!D399=""),"",SUM(B400,E400,H400,K400))</f>
        <v/>
      </c>
      <c r="O400" s="46" t="str">
        <f>IF(OR(Registro!D399="Resuelto",Registro!D399=""),"",_xlfn.CONCAT(A400,D400,G400,J400))</f>
        <v/>
      </c>
      <c r="P400" s="47">
        <v>392</v>
      </c>
      <c r="Q400" s="47" t="str">
        <f t="shared" ca="1" si="18"/>
        <v/>
      </c>
      <c r="R400" s="48" t="str">
        <f t="shared" ca="1" si="19"/>
        <v/>
      </c>
      <c r="S400" s="32"/>
      <c r="T400" s="32"/>
      <c r="U400" s="32"/>
      <c r="V400" s="32"/>
      <c r="W400" s="47" t="str">
        <f>IF(X400="","",MAX($W$5:W399)+1)</f>
        <v/>
      </c>
      <c r="X400" s="50" t="str">
        <f>IF(Registro!M399="","",IF(COUNTIF($X$8:X399,Registro!M399)=0,Registro!M399,""))</f>
        <v/>
      </c>
      <c r="Y400" s="50" t="str">
        <f t="shared" si="20"/>
        <v/>
      </c>
    </row>
    <row r="401" spans="1:25">
      <c r="A401" s="45" t="str">
        <f>IF(AND(Registro!D400="Abierto",Registro!E400="Urgente"),Registro!B400,"")</f>
        <v/>
      </c>
      <c r="B401" s="45" t="str">
        <f ca="1">IF(AND(Registro!D400="Abierto",Registro!E400="Urgente"),TODAY()-Registro!R400,"")</f>
        <v/>
      </c>
      <c r="C401" s="45" t="str">
        <f>IF(AND(Registro!D400="Abierto",Registro!E400="Urgente"),RANK(B401,$B$9:$B$1000,0)+COUNTIF($B$9:B401,B401)-1,"")</f>
        <v/>
      </c>
      <c r="D401" s="45" t="str">
        <f>IF(AND(Registro!D400="Abierto",Registro!E400="Alta"),Registro!B400,"")</f>
        <v/>
      </c>
      <c r="E401" s="45" t="str">
        <f ca="1">IF(AND(Registro!D400="Abierto",Registro!E400="Alta"),TODAY()-Registro!R400,"")</f>
        <v/>
      </c>
      <c r="F401" s="45" t="str">
        <f>IF(AND(Registro!D400="Abierto",Registro!E400="Alta"),RANK(E401,$E$9:$E$1000,0)+COUNTIF($E$9:E401,E401)-1+MAX(C$5:C$1000),"")</f>
        <v/>
      </c>
      <c r="G401" s="45" t="str">
        <f>IF(AND(Registro!D400="Abierto",Registro!E400="Media"),Registro!B400,"")</f>
        <v/>
      </c>
      <c r="H401" s="45" t="str">
        <f ca="1">IF(AND(Registro!D400="Abierto",Registro!E400="Media"),TODAY()-Registro!R400,"")</f>
        <v/>
      </c>
      <c r="I401" s="45" t="str">
        <f>IF(AND(Registro!D400="Abierto",Registro!E400="Media"),RANK(H401,$H$9:$H$1000,0)+COUNTIF($H$9:H401,H401)-1+MAX(C$5:C$1000,F$5:F$1000),"")</f>
        <v/>
      </c>
      <c r="J401" s="45" t="str">
        <f>IF(AND(Registro!D400="Abierto",Registro!E400="Baja"),Registro!B400,"")</f>
        <v/>
      </c>
      <c r="K401" s="45" t="str">
        <f ca="1">IF(AND(Registro!D400="Abierto",Registro!E400="Baja"),TODAY()-Registro!R400,"")</f>
        <v/>
      </c>
      <c r="L401" s="45" t="str">
        <f>IF(AND(Registro!D400="Abierto",Registro!E400="Baja"),RANK(K401,$K$9:$K$1000,0)+COUNTIF($K$9:K401,K401)-1+MAX(C$5:C$1000,F$5:F$1000,I$5:I$1000),"")</f>
        <v/>
      </c>
      <c r="M401" s="46" t="str">
        <f>IF(OR(Registro!D400="Resuelto",Registro!D400=""),"",SUM(C401,F401,I401,L401))</f>
        <v/>
      </c>
      <c r="N401" s="46" t="str">
        <f>IF(OR(Registro!D400="Resuelto",Registro!D400=""),"",SUM(B401,E401,H401,K401))</f>
        <v/>
      </c>
      <c r="O401" s="46" t="str">
        <f>IF(OR(Registro!D400="Resuelto",Registro!D400=""),"",_xlfn.CONCAT(A401,D401,G401,J401))</f>
        <v/>
      </c>
      <c r="P401" s="47">
        <v>393</v>
      </c>
      <c r="Q401" s="47" t="str">
        <f t="shared" ca="1" si="18"/>
        <v/>
      </c>
      <c r="R401" s="48" t="str">
        <f t="shared" ca="1" si="19"/>
        <v/>
      </c>
      <c r="S401" s="32"/>
      <c r="T401" s="32"/>
      <c r="U401" s="32"/>
      <c r="V401" s="32"/>
      <c r="W401" s="47" t="str">
        <f>IF(X401="","",MAX($W$5:W400)+1)</f>
        <v/>
      </c>
      <c r="X401" s="50" t="str">
        <f>IF(Registro!M400="","",IF(COUNTIF($X$8:X400,Registro!M400)=0,Registro!M400,""))</f>
        <v/>
      </c>
      <c r="Y401" s="50" t="str">
        <f t="shared" si="20"/>
        <v/>
      </c>
    </row>
    <row r="402" spans="1:25">
      <c r="A402" s="45" t="str">
        <f>IF(AND(Registro!D401="Abierto",Registro!E401="Urgente"),Registro!B401,"")</f>
        <v/>
      </c>
      <c r="B402" s="45" t="str">
        <f ca="1">IF(AND(Registro!D401="Abierto",Registro!E401="Urgente"),TODAY()-Registro!R401,"")</f>
        <v/>
      </c>
      <c r="C402" s="45" t="str">
        <f>IF(AND(Registro!D401="Abierto",Registro!E401="Urgente"),RANK(B402,$B$9:$B$1000,0)+COUNTIF($B$9:B402,B402)-1,"")</f>
        <v/>
      </c>
      <c r="D402" s="45" t="str">
        <f>IF(AND(Registro!D401="Abierto",Registro!E401="Alta"),Registro!B401,"")</f>
        <v/>
      </c>
      <c r="E402" s="45" t="str">
        <f ca="1">IF(AND(Registro!D401="Abierto",Registro!E401="Alta"),TODAY()-Registro!R401,"")</f>
        <v/>
      </c>
      <c r="F402" s="45" t="str">
        <f>IF(AND(Registro!D401="Abierto",Registro!E401="Alta"),RANK(E402,$E$9:$E$1000,0)+COUNTIF($E$9:E402,E402)-1+MAX(C$5:C$1000),"")</f>
        <v/>
      </c>
      <c r="G402" s="45" t="str">
        <f>IF(AND(Registro!D401="Abierto",Registro!E401="Media"),Registro!B401,"")</f>
        <v/>
      </c>
      <c r="H402" s="45" t="str">
        <f ca="1">IF(AND(Registro!D401="Abierto",Registro!E401="Media"),TODAY()-Registro!R401,"")</f>
        <v/>
      </c>
      <c r="I402" s="45" t="str">
        <f>IF(AND(Registro!D401="Abierto",Registro!E401="Media"),RANK(H402,$H$9:$H$1000,0)+COUNTIF($H$9:H402,H402)-1+MAX(C$5:C$1000,F$5:F$1000),"")</f>
        <v/>
      </c>
      <c r="J402" s="45" t="str">
        <f>IF(AND(Registro!D401="Abierto",Registro!E401="Baja"),Registro!B401,"")</f>
        <v/>
      </c>
      <c r="K402" s="45" t="str">
        <f ca="1">IF(AND(Registro!D401="Abierto",Registro!E401="Baja"),TODAY()-Registro!R401,"")</f>
        <v/>
      </c>
      <c r="L402" s="45" t="str">
        <f>IF(AND(Registro!D401="Abierto",Registro!E401="Baja"),RANK(K402,$K$9:$K$1000,0)+COUNTIF($K$9:K402,K402)-1+MAX(C$5:C$1000,F$5:F$1000,I$5:I$1000),"")</f>
        <v/>
      </c>
      <c r="M402" s="46" t="str">
        <f>IF(OR(Registro!D401="Resuelto",Registro!D401=""),"",SUM(C402,F402,I402,L402))</f>
        <v/>
      </c>
      <c r="N402" s="46" t="str">
        <f>IF(OR(Registro!D401="Resuelto",Registro!D401=""),"",SUM(B402,E402,H402,K402))</f>
        <v/>
      </c>
      <c r="O402" s="46" t="str">
        <f>IF(OR(Registro!D401="Resuelto",Registro!D401=""),"",_xlfn.CONCAT(A402,D402,G402,J402))</f>
        <v/>
      </c>
      <c r="P402" s="47">
        <v>394</v>
      </c>
      <c r="Q402" s="47" t="str">
        <f t="shared" ca="1" si="18"/>
        <v/>
      </c>
      <c r="R402" s="48" t="str">
        <f t="shared" ca="1" si="19"/>
        <v/>
      </c>
      <c r="S402" s="32"/>
      <c r="T402" s="32"/>
      <c r="U402" s="32"/>
      <c r="V402" s="32"/>
      <c r="W402" s="47" t="str">
        <f>IF(X402="","",MAX($W$5:W401)+1)</f>
        <v/>
      </c>
      <c r="X402" s="50" t="str">
        <f>IF(Registro!M401="","",IF(COUNTIF($X$8:X401,Registro!M401)=0,Registro!M401,""))</f>
        <v/>
      </c>
      <c r="Y402" s="50" t="str">
        <f t="shared" si="20"/>
        <v/>
      </c>
    </row>
    <row r="403" spans="1:25">
      <c r="A403" s="45" t="str">
        <f>IF(AND(Registro!D402="Abierto",Registro!E402="Urgente"),Registro!B402,"")</f>
        <v/>
      </c>
      <c r="B403" s="45" t="str">
        <f ca="1">IF(AND(Registro!D402="Abierto",Registro!E402="Urgente"),TODAY()-Registro!R402,"")</f>
        <v/>
      </c>
      <c r="C403" s="45" t="str">
        <f>IF(AND(Registro!D402="Abierto",Registro!E402="Urgente"),RANK(B403,$B$9:$B$1000,0)+COUNTIF($B$9:B403,B403)-1,"")</f>
        <v/>
      </c>
      <c r="D403" s="45" t="str">
        <f>IF(AND(Registro!D402="Abierto",Registro!E402="Alta"),Registro!B402,"")</f>
        <v/>
      </c>
      <c r="E403" s="45" t="str">
        <f ca="1">IF(AND(Registro!D402="Abierto",Registro!E402="Alta"),TODAY()-Registro!R402,"")</f>
        <v/>
      </c>
      <c r="F403" s="45" t="str">
        <f>IF(AND(Registro!D402="Abierto",Registro!E402="Alta"),RANK(E403,$E$9:$E$1000,0)+COUNTIF($E$9:E403,E403)-1+MAX(C$5:C$1000),"")</f>
        <v/>
      </c>
      <c r="G403" s="45" t="str">
        <f>IF(AND(Registro!D402="Abierto",Registro!E402="Media"),Registro!B402,"")</f>
        <v/>
      </c>
      <c r="H403" s="45" t="str">
        <f ca="1">IF(AND(Registro!D402="Abierto",Registro!E402="Media"),TODAY()-Registro!R402,"")</f>
        <v/>
      </c>
      <c r="I403" s="45" t="str">
        <f>IF(AND(Registro!D402="Abierto",Registro!E402="Media"),RANK(H403,$H$9:$H$1000,0)+COUNTIF($H$9:H403,H403)-1+MAX(C$5:C$1000,F$5:F$1000),"")</f>
        <v/>
      </c>
      <c r="J403" s="45" t="str">
        <f>IF(AND(Registro!D402="Abierto",Registro!E402="Baja"),Registro!B402,"")</f>
        <v/>
      </c>
      <c r="K403" s="45" t="str">
        <f ca="1">IF(AND(Registro!D402="Abierto",Registro!E402="Baja"),TODAY()-Registro!R402,"")</f>
        <v/>
      </c>
      <c r="L403" s="45" t="str">
        <f>IF(AND(Registro!D402="Abierto",Registro!E402="Baja"),RANK(K403,$K$9:$K$1000,0)+COUNTIF($K$9:K403,K403)-1+MAX(C$5:C$1000,F$5:F$1000,I$5:I$1000),"")</f>
        <v/>
      </c>
      <c r="M403" s="46" t="str">
        <f>IF(OR(Registro!D402="Resuelto",Registro!D402=""),"",SUM(C403,F403,I403,L403))</f>
        <v/>
      </c>
      <c r="N403" s="46" t="str">
        <f>IF(OR(Registro!D402="Resuelto",Registro!D402=""),"",SUM(B403,E403,H403,K403))</f>
        <v/>
      </c>
      <c r="O403" s="46" t="str">
        <f>IF(OR(Registro!D402="Resuelto",Registro!D402=""),"",_xlfn.CONCAT(A403,D403,G403,J403))</f>
        <v/>
      </c>
      <c r="P403" s="47">
        <v>395</v>
      </c>
      <c r="Q403" s="47" t="str">
        <f t="shared" ca="1" si="18"/>
        <v/>
      </c>
      <c r="R403" s="48" t="str">
        <f t="shared" ca="1" si="19"/>
        <v/>
      </c>
      <c r="S403" s="32"/>
      <c r="T403" s="32"/>
      <c r="U403" s="32"/>
      <c r="V403" s="32"/>
      <c r="W403" s="47" t="str">
        <f>IF(X403="","",MAX($W$5:W402)+1)</f>
        <v/>
      </c>
      <c r="X403" s="50" t="str">
        <f>IF(Registro!M402="","",IF(COUNTIF($X$8:X402,Registro!M402)=0,Registro!M402,""))</f>
        <v/>
      </c>
      <c r="Y403" s="50" t="str">
        <f t="shared" si="20"/>
        <v/>
      </c>
    </row>
    <row r="404" spans="1:25">
      <c r="A404" s="45" t="str">
        <f>IF(AND(Registro!D403="Abierto",Registro!E403="Urgente"),Registro!B403,"")</f>
        <v/>
      </c>
      <c r="B404" s="45" t="str">
        <f ca="1">IF(AND(Registro!D403="Abierto",Registro!E403="Urgente"),TODAY()-Registro!R403,"")</f>
        <v/>
      </c>
      <c r="C404" s="45" t="str">
        <f>IF(AND(Registro!D403="Abierto",Registro!E403="Urgente"),RANK(B404,$B$9:$B$1000,0)+COUNTIF($B$9:B404,B404)-1,"")</f>
        <v/>
      </c>
      <c r="D404" s="45" t="str">
        <f>IF(AND(Registro!D403="Abierto",Registro!E403="Alta"),Registro!B403,"")</f>
        <v/>
      </c>
      <c r="E404" s="45" t="str">
        <f ca="1">IF(AND(Registro!D403="Abierto",Registro!E403="Alta"),TODAY()-Registro!R403,"")</f>
        <v/>
      </c>
      <c r="F404" s="45" t="str">
        <f>IF(AND(Registro!D403="Abierto",Registro!E403="Alta"),RANK(E404,$E$9:$E$1000,0)+COUNTIF($E$9:E404,E404)-1+MAX(C$5:C$1000),"")</f>
        <v/>
      </c>
      <c r="G404" s="45" t="str">
        <f>IF(AND(Registro!D403="Abierto",Registro!E403="Media"),Registro!B403,"")</f>
        <v/>
      </c>
      <c r="H404" s="45" t="str">
        <f ca="1">IF(AND(Registro!D403="Abierto",Registro!E403="Media"),TODAY()-Registro!R403,"")</f>
        <v/>
      </c>
      <c r="I404" s="45" t="str">
        <f>IF(AND(Registro!D403="Abierto",Registro!E403="Media"),RANK(H404,$H$9:$H$1000,0)+COUNTIF($H$9:H404,H404)-1+MAX(C$5:C$1000,F$5:F$1000),"")</f>
        <v/>
      </c>
      <c r="J404" s="45" t="str">
        <f>IF(AND(Registro!D403="Abierto",Registro!E403="Baja"),Registro!B403,"")</f>
        <v/>
      </c>
      <c r="K404" s="45" t="str">
        <f ca="1">IF(AND(Registro!D403="Abierto",Registro!E403="Baja"),TODAY()-Registro!R403,"")</f>
        <v/>
      </c>
      <c r="L404" s="45" t="str">
        <f>IF(AND(Registro!D403="Abierto",Registro!E403="Baja"),RANK(K404,$K$9:$K$1000,0)+COUNTIF($K$9:K404,K404)-1+MAX(C$5:C$1000,F$5:F$1000,I$5:I$1000),"")</f>
        <v/>
      </c>
      <c r="M404" s="46" t="str">
        <f>IF(OR(Registro!D403="Resuelto",Registro!D403=""),"",SUM(C404,F404,I404,L404))</f>
        <v/>
      </c>
      <c r="N404" s="46" t="str">
        <f>IF(OR(Registro!D403="Resuelto",Registro!D403=""),"",SUM(B404,E404,H404,K404))</f>
        <v/>
      </c>
      <c r="O404" s="46" t="str">
        <f>IF(OR(Registro!D403="Resuelto",Registro!D403=""),"",_xlfn.CONCAT(A404,D404,G404,J404))</f>
        <v/>
      </c>
      <c r="P404" s="47">
        <v>396</v>
      </c>
      <c r="Q404" s="47" t="str">
        <f t="shared" ca="1" si="18"/>
        <v/>
      </c>
      <c r="R404" s="48" t="str">
        <f t="shared" ca="1" si="19"/>
        <v/>
      </c>
      <c r="S404" s="32"/>
      <c r="T404" s="32"/>
      <c r="U404" s="32"/>
      <c r="V404" s="32"/>
      <c r="W404" s="47" t="str">
        <f>IF(X404="","",MAX($W$5:W403)+1)</f>
        <v/>
      </c>
      <c r="X404" s="50" t="str">
        <f>IF(Registro!M403="","",IF(COUNTIF($X$8:X403,Registro!M403)=0,Registro!M403,""))</f>
        <v/>
      </c>
      <c r="Y404" s="50" t="str">
        <f t="shared" si="20"/>
        <v/>
      </c>
    </row>
    <row r="405" spans="1:25">
      <c r="A405" s="45" t="str">
        <f>IF(AND(Registro!D404="Abierto",Registro!E404="Urgente"),Registro!B404,"")</f>
        <v/>
      </c>
      <c r="B405" s="45" t="str">
        <f ca="1">IF(AND(Registro!D404="Abierto",Registro!E404="Urgente"),TODAY()-Registro!R404,"")</f>
        <v/>
      </c>
      <c r="C405" s="45" t="str">
        <f>IF(AND(Registro!D404="Abierto",Registro!E404="Urgente"),RANK(B405,$B$9:$B$1000,0)+COUNTIF($B$9:B405,B405)-1,"")</f>
        <v/>
      </c>
      <c r="D405" s="45" t="str">
        <f>IF(AND(Registro!D404="Abierto",Registro!E404="Alta"),Registro!B404,"")</f>
        <v/>
      </c>
      <c r="E405" s="45" t="str">
        <f ca="1">IF(AND(Registro!D404="Abierto",Registro!E404="Alta"),TODAY()-Registro!R404,"")</f>
        <v/>
      </c>
      <c r="F405" s="45" t="str">
        <f>IF(AND(Registro!D404="Abierto",Registro!E404="Alta"),RANK(E405,$E$9:$E$1000,0)+COUNTIF($E$9:E405,E405)-1+MAX(C$5:C$1000),"")</f>
        <v/>
      </c>
      <c r="G405" s="45" t="str">
        <f>IF(AND(Registro!D404="Abierto",Registro!E404="Media"),Registro!B404,"")</f>
        <v/>
      </c>
      <c r="H405" s="45" t="str">
        <f ca="1">IF(AND(Registro!D404="Abierto",Registro!E404="Media"),TODAY()-Registro!R404,"")</f>
        <v/>
      </c>
      <c r="I405" s="45" t="str">
        <f>IF(AND(Registro!D404="Abierto",Registro!E404="Media"),RANK(H405,$H$9:$H$1000,0)+COUNTIF($H$9:H405,H405)-1+MAX(C$5:C$1000,F$5:F$1000),"")</f>
        <v/>
      </c>
      <c r="J405" s="45" t="str">
        <f>IF(AND(Registro!D404="Abierto",Registro!E404="Baja"),Registro!B404,"")</f>
        <v/>
      </c>
      <c r="K405" s="45" t="str">
        <f ca="1">IF(AND(Registro!D404="Abierto",Registro!E404="Baja"),TODAY()-Registro!R404,"")</f>
        <v/>
      </c>
      <c r="L405" s="45" t="str">
        <f>IF(AND(Registro!D404="Abierto",Registro!E404="Baja"),RANK(K405,$K$9:$K$1000,0)+COUNTIF($K$9:K405,K405)-1+MAX(C$5:C$1000,F$5:F$1000,I$5:I$1000),"")</f>
        <v/>
      </c>
      <c r="M405" s="46" t="str">
        <f>IF(OR(Registro!D404="Resuelto",Registro!D404=""),"",SUM(C405,F405,I405,L405))</f>
        <v/>
      </c>
      <c r="N405" s="46" t="str">
        <f>IF(OR(Registro!D404="Resuelto",Registro!D404=""),"",SUM(B405,E405,H405,K405))</f>
        <v/>
      </c>
      <c r="O405" s="46" t="str">
        <f>IF(OR(Registro!D404="Resuelto",Registro!D404=""),"",_xlfn.CONCAT(A405,D405,G405,J405))</f>
        <v/>
      </c>
      <c r="P405" s="47">
        <v>397</v>
      </c>
      <c r="Q405" s="47" t="str">
        <f t="shared" ca="1" si="18"/>
        <v/>
      </c>
      <c r="R405" s="48" t="str">
        <f t="shared" ca="1" si="19"/>
        <v/>
      </c>
      <c r="S405" s="32"/>
      <c r="T405" s="32"/>
      <c r="U405" s="32"/>
      <c r="V405" s="32"/>
      <c r="W405" s="47" t="str">
        <f>IF(X405="","",MAX($W$5:W404)+1)</f>
        <v/>
      </c>
      <c r="X405" s="50" t="str">
        <f>IF(Registro!M404="","",IF(COUNTIF($X$8:X404,Registro!M404)=0,Registro!M404,""))</f>
        <v/>
      </c>
      <c r="Y405" s="50" t="str">
        <f t="shared" si="20"/>
        <v/>
      </c>
    </row>
    <row r="406" spans="1:25">
      <c r="A406" s="45" t="str">
        <f>IF(AND(Registro!D405="Abierto",Registro!E405="Urgente"),Registro!B405,"")</f>
        <v/>
      </c>
      <c r="B406" s="45" t="str">
        <f ca="1">IF(AND(Registro!D405="Abierto",Registro!E405="Urgente"),TODAY()-Registro!R405,"")</f>
        <v/>
      </c>
      <c r="C406" s="45" t="str">
        <f>IF(AND(Registro!D405="Abierto",Registro!E405="Urgente"),RANK(B406,$B$9:$B$1000,0)+COUNTIF($B$9:B406,B406)-1,"")</f>
        <v/>
      </c>
      <c r="D406" s="45" t="str">
        <f>IF(AND(Registro!D405="Abierto",Registro!E405="Alta"),Registro!B405,"")</f>
        <v/>
      </c>
      <c r="E406" s="45" t="str">
        <f ca="1">IF(AND(Registro!D405="Abierto",Registro!E405="Alta"),TODAY()-Registro!R405,"")</f>
        <v/>
      </c>
      <c r="F406" s="45" t="str">
        <f>IF(AND(Registro!D405="Abierto",Registro!E405="Alta"),RANK(E406,$E$9:$E$1000,0)+COUNTIF($E$9:E406,E406)-1+MAX(C$5:C$1000),"")</f>
        <v/>
      </c>
      <c r="G406" s="45" t="str">
        <f>IF(AND(Registro!D405="Abierto",Registro!E405="Media"),Registro!B405,"")</f>
        <v/>
      </c>
      <c r="H406" s="45" t="str">
        <f ca="1">IF(AND(Registro!D405="Abierto",Registro!E405="Media"),TODAY()-Registro!R405,"")</f>
        <v/>
      </c>
      <c r="I406" s="45" t="str">
        <f>IF(AND(Registro!D405="Abierto",Registro!E405="Media"),RANK(H406,$H$9:$H$1000,0)+COUNTIF($H$9:H406,H406)-1+MAX(C$5:C$1000,F$5:F$1000),"")</f>
        <v/>
      </c>
      <c r="J406" s="45" t="str">
        <f>IF(AND(Registro!D405="Abierto",Registro!E405="Baja"),Registro!B405,"")</f>
        <v/>
      </c>
      <c r="K406" s="45" t="str">
        <f ca="1">IF(AND(Registro!D405="Abierto",Registro!E405="Baja"),TODAY()-Registro!R405,"")</f>
        <v/>
      </c>
      <c r="L406" s="45" t="str">
        <f>IF(AND(Registro!D405="Abierto",Registro!E405="Baja"),RANK(K406,$K$9:$K$1000,0)+COUNTIF($K$9:K406,K406)-1+MAX(C$5:C$1000,F$5:F$1000,I$5:I$1000),"")</f>
        <v/>
      </c>
      <c r="M406" s="46" t="str">
        <f>IF(OR(Registro!D405="Resuelto",Registro!D405=""),"",SUM(C406,F406,I406,L406))</f>
        <v/>
      </c>
      <c r="N406" s="46" t="str">
        <f>IF(OR(Registro!D405="Resuelto",Registro!D405=""),"",SUM(B406,E406,H406,K406))</f>
        <v/>
      </c>
      <c r="O406" s="46" t="str">
        <f>IF(OR(Registro!D405="Resuelto",Registro!D405=""),"",_xlfn.CONCAT(A406,D406,G406,J406))</f>
        <v/>
      </c>
      <c r="P406" s="47">
        <v>398</v>
      </c>
      <c r="Q406" s="47" t="str">
        <f t="shared" ca="1" si="18"/>
        <v/>
      </c>
      <c r="R406" s="48" t="str">
        <f t="shared" ca="1" si="19"/>
        <v/>
      </c>
      <c r="S406" s="32"/>
      <c r="T406" s="32"/>
      <c r="U406" s="32"/>
      <c r="V406" s="32"/>
      <c r="W406" s="47" t="str">
        <f>IF(X406="","",MAX($W$5:W405)+1)</f>
        <v/>
      </c>
      <c r="X406" s="50" t="str">
        <f>IF(Registro!M405="","",IF(COUNTIF($X$8:X405,Registro!M405)=0,Registro!M405,""))</f>
        <v/>
      </c>
      <c r="Y406" s="50" t="str">
        <f t="shared" si="20"/>
        <v/>
      </c>
    </row>
    <row r="407" spans="1:25">
      <c r="A407" s="45" t="str">
        <f>IF(AND(Registro!D406="Abierto",Registro!E406="Urgente"),Registro!B406,"")</f>
        <v/>
      </c>
      <c r="B407" s="45" t="str">
        <f ca="1">IF(AND(Registro!D406="Abierto",Registro!E406="Urgente"),TODAY()-Registro!R406,"")</f>
        <v/>
      </c>
      <c r="C407" s="45" t="str">
        <f>IF(AND(Registro!D406="Abierto",Registro!E406="Urgente"),RANK(B407,$B$9:$B$1000,0)+COUNTIF($B$9:B407,B407)-1,"")</f>
        <v/>
      </c>
      <c r="D407" s="45" t="str">
        <f>IF(AND(Registro!D406="Abierto",Registro!E406="Alta"),Registro!B406,"")</f>
        <v/>
      </c>
      <c r="E407" s="45" t="str">
        <f ca="1">IF(AND(Registro!D406="Abierto",Registro!E406="Alta"),TODAY()-Registro!R406,"")</f>
        <v/>
      </c>
      <c r="F407" s="45" t="str">
        <f>IF(AND(Registro!D406="Abierto",Registro!E406="Alta"),RANK(E407,$E$9:$E$1000,0)+COUNTIF($E$9:E407,E407)-1+MAX(C$5:C$1000),"")</f>
        <v/>
      </c>
      <c r="G407" s="45" t="str">
        <f>IF(AND(Registro!D406="Abierto",Registro!E406="Media"),Registro!B406,"")</f>
        <v/>
      </c>
      <c r="H407" s="45" t="str">
        <f ca="1">IF(AND(Registro!D406="Abierto",Registro!E406="Media"),TODAY()-Registro!R406,"")</f>
        <v/>
      </c>
      <c r="I407" s="45" t="str">
        <f>IF(AND(Registro!D406="Abierto",Registro!E406="Media"),RANK(H407,$H$9:$H$1000,0)+COUNTIF($H$9:H407,H407)-1+MAX(C$5:C$1000,F$5:F$1000),"")</f>
        <v/>
      </c>
      <c r="J407" s="45" t="str">
        <f>IF(AND(Registro!D406="Abierto",Registro!E406="Baja"),Registro!B406,"")</f>
        <v/>
      </c>
      <c r="K407" s="45" t="str">
        <f ca="1">IF(AND(Registro!D406="Abierto",Registro!E406="Baja"),TODAY()-Registro!R406,"")</f>
        <v/>
      </c>
      <c r="L407" s="45" t="str">
        <f>IF(AND(Registro!D406="Abierto",Registro!E406="Baja"),RANK(K407,$K$9:$K$1000,0)+COUNTIF($K$9:K407,K407)-1+MAX(C$5:C$1000,F$5:F$1000,I$5:I$1000),"")</f>
        <v/>
      </c>
      <c r="M407" s="46" t="str">
        <f>IF(OR(Registro!D406="Resuelto",Registro!D406=""),"",SUM(C407,F407,I407,L407))</f>
        <v/>
      </c>
      <c r="N407" s="46" t="str">
        <f>IF(OR(Registro!D406="Resuelto",Registro!D406=""),"",SUM(B407,E407,H407,K407))</f>
        <v/>
      </c>
      <c r="O407" s="46" t="str">
        <f>IF(OR(Registro!D406="Resuelto",Registro!D406=""),"",_xlfn.CONCAT(A407,D407,G407,J407))</f>
        <v/>
      </c>
      <c r="P407" s="47">
        <v>399</v>
      </c>
      <c r="Q407" s="47" t="str">
        <f t="shared" ca="1" si="18"/>
        <v/>
      </c>
      <c r="R407" s="48" t="str">
        <f t="shared" ca="1" si="19"/>
        <v/>
      </c>
      <c r="S407" s="32"/>
      <c r="T407" s="32"/>
      <c r="U407" s="32"/>
      <c r="V407" s="32"/>
      <c r="W407" s="47" t="str">
        <f>IF(X407="","",MAX($W$5:W406)+1)</f>
        <v/>
      </c>
      <c r="X407" s="50" t="str">
        <f>IF(Registro!M406="","",IF(COUNTIF($X$8:X406,Registro!M406)=0,Registro!M406,""))</f>
        <v/>
      </c>
      <c r="Y407" s="50" t="str">
        <f t="shared" si="20"/>
        <v/>
      </c>
    </row>
    <row r="408" spans="1:25">
      <c r="A408" s="45" t="str">
        <f>IF(AND(Registro!D407="Abierto",Registro!E407="Urgente"),Registro!B407,"")</f>
        <v/>
      </c>
      <c r="B408" s="45" t="str">
        <f ca="1">IF(AND(Registro!D407="Abierto",Registro!E407="Urgente"),TODAY()-Registro!R407,"")</f>
        <v/>
      </c>
      <c r="C408" s="45" t="str">
        <f>IF(AND(Registro!D407="Abierto",Registro!E407="Urgente"),RANK(B408,$B$9:$B$1000,0)+COUNTIF($B$9:B408,B408)-1,"")</f>
        <v/>
      </c>
      <c r="D408" s="45" t="str">
        <f>IF(AND(Registro!D407="Abierto",Registro!E407="Alta"),Registro!B407,"")</f>
        <v/>
      </c>
      <c r="E408" s="45" t="str">
        <f ca="1">IF(AND(Registro!D407="Abierto",Registro!E407="Alta"),TODAY()-Registro!R407,"")</f>
        <v/>
      </c>
      <c r="F408" s="45" t="str">
        <f>IF(AND(Registro!D407="Abierto",Registro!E407="Alta"),RANK(E408,$E$9:$E$1000,0)+COUNTIF($E$9:E408,E408)-1+MAX(C$5:C$1000),"")</f>
        <v/>
      </c>
      <c r="G408" s="45" t="str">
        <f>IF(AND(Registro!D407="Abierto",Registro!E407="Media"),Registro!B407,"")</f>
        <v/>
      </c>
      <c r="H408" s="45" t="str">
        <f ca="1">IF(AND(Registro!D407="Abierto",Registro!E407="Media"),TODAY()-Registro!R407,"")</f>
        <v/>
      </c>
      <c r="I408" s="45" t="str">
        <f>IF(AND(Registro!D407="Abierto",Registro!E407="Media"),RANK(H408,$H$9:$H$1000,0)+COUNTIF($H$9:H408,H408)-1+MAX(C$5:C$1000,F$5:F$1000),"")</f>
        <v/>
      </c>
      <c r="J408" s="45" t="str">
        <f>IF(AND(Registro!D407="Abierto",Registro!E407="Baja"),Registro!B407,"")</f>
        <v/>
      </c>
      <c r="K408" s="45" t="str">
        <f ca="1">IF(AND(Registro!D407="Abierto",Registro!E407="Baja"),TODAY()-Registro!R407,"")</f>
        <v/>
      </c>
      <c r="L408" s="45" t="str">
        <f>IF(AND(Registro!D407="Abierto",Registro!E407="Baja"),RANK(K408,$K$9:$K$1000,0)+COUNTIF($K$9:K408,K408)-1+MAX(C$5:C$1000,F$5:F$1000,I$5:I$1000),"")</f>
        <v/>
      </c>
      <c r="M408" s="46" t="str">
        <f>IF(OR(Registro!D407="Resuelto",Registro!D407=""),"",SUM(C408,F408,I408,L408))</f>
        <v/>
      </c>
      <c r="N408" s="46" t="str">
        <f>IF(OR(Registro!D407="Resuelto",Registro!D407=""),"",SUM(B408,E408,H408,K408))</f>
        <v/>
      </c>
      <c r="O408" s="46" t="str">
        <f>IF(OR(Registro!D407="Resuelto",Registro!D407=""),"",_xlfn.CONCAT(A408,D408,G408,J408))</f>
        <v/>
      </c>
      <c r="P408" s="47">
        <v>400</v>
      </c>
      <c r="Q408" s="47" t="str">
        <f t="shared" ca="1" si="18"/>
        <v/>
      </c>
      <c r="R408" s="48" t="str">
        <f t="shared" ca="1" si="19"/>
        <v/>
      </c>
      <c r="S408" s="32"/>
      <c r="T408" s="32"/>
      <c r="U408" s="32"/>
      <c r="V408" s="32"/>
      <c r="W408" s="47" t="str">
        <f>IF(X408="","",MAX($W$5:W407)+1)</f>
        <v/>
      </c>
      <c r="X408" s="50" t="str">
        <f>IF(Registro!M407="","",IF(COUNTIF($X$8:X407,Registro!M407)=0,Registro!M407,""))</f>
        <v/>
      </c>
      <c r="Y408" s="50" t="str">
        <f t="shared" si="20"/>
        <v/>
      </c>
    </row>
    <row r="409" spans="1:25">
      <c r="A409" s="45" t="str">
        <f>IF(AND(Registro!D408="Abierto",Registro!E408="Urgente"),Registro!B408,"")</f>
        <v/>
      </c>
      <c r="B409" s="45" t="str">
        <f ca="1">IF(AND(Registro!D408="Abierto",Registro!E408="Urgente"),TODAY()-Registro!R408,"")</f>
        <v/>
      </c>
      <c r="C409" s="45" t="str">
        <f>IF(AND(Registro!D408="Abierto",Registro!E408="Urgente"),RANK(B409,$B$9:$B$1000,0)+COUNTIF($B$9:B409,B409)-1,"")</f>
        <v/>
      </c>
      <c r="D409" s="45" t="str">
        <f>IF(AND(Registro!D408="Abierto",Registro!E408="Alta"),Registro!B408,"")</f>
        <v/>
      </c>
      <c r="E409" s="45" t="str">
        <f ca="1">IF(AND(Registro!D408="Abierto",Registro!E408="Alta"),TODAY()-Registro!R408,"")</f>
        <v/>
      </c>
      <c r="F409" s="45" t="str">
        <f>IF(AND(Registro!D408="Abierto",Registro!E408="Alta"),RANK(E409,$E$9:$E$1000,0)+COUNTIF($E$9:E409,E409)-1+MAX(C$5:C$1000),"")</f>
        <v/>
      </c>
      <c r="G409" s="45" t="str">
        <f>IF(AND(Registro!D408="Abierto",Registro!E408="Media"),Registro!B408,"")</f>
        <v/>
      </c>
      <c r="H409" s="45" t="str">
        <f ca="1">IF(AND(Registro!D408="Abierto",Registro!E408="Media"),TODAY()-Registro!R408,"")</f>
        <v/>
      </c>
      <c r="I409" s="45" t="str">
        <f>IF(AND(Registro!D408="Abierto",Registro!E408="Media"),RANK(H409,$H$9:$H$1000,0)+COUNTIF($H$9:H409,H409)-1+MAX(C$5:C$1000,F$5:F$1000),"")</f>
        <v/>
      </c>
      <c r="J409" s="45" t="str">
        <f>IF(AND(Registro!D408="Abierto",Registro!E408="Baja"),Registro!B408,"")</f>
        <v/>
      </c>
      <c r="K409" s="45" t="str">
        <f ca="1">IF(AND(Registro!D408="Abierto",Registro!E408="Baja"),TODAY()-Registro!R408,"")</f>
        <v/>
      </c>
      <c r="L409" s="45" t="str">
        <f>IF(AND(Registro!D408="Abierto",Registro!E408="Baja"),RANK(K409,$K$9:$K$1000,0)+COUNTIF($K$9:K409,K409)-1+MAX(C$5:C$1000,F$5:F$1000,I$5:I$1000),"")</f>
        <v/>
      </c>
      <c r="M409" s="46" t="str">
        <f>IF(OR(Registro!D408="Resuelto",Registro!D408=""),"",SUM(C409,F409,I409,L409))</f>
        <v/>
      </c>
      <c r="N409" s="46" t="str">
        <f>IF(OR(Registro!D408="Resuelto",Registro!D408=""),"",SUM(B409,E409,H409,K409))</f>
        <v/>
      </c>
      <c r="O409" s="46" t="str">
        <f>IF(OR(Registro!D408="Resuelto",Registro!D408=""),"",_xlfn.CONCAT(A409,D409,G409,J409))</f>
        <v/>
      </c>
      <c r="P409" s="47">
        <v>401</v>
      </c>
      <c r="Q409" s="47" t="str">
        <f t="shared" ca="1" si="18"/>
        <v/>
      </c>
      <c r="R409" s="48" t="str">
        <f t="shared" ca="1" si="19"/>
        <v/>
      </c>
      <c r="S409" s="32"/>
      <c r="T409" s="32"/>
      <c r="U409" s="32"/>
      <c r="V409" s="32"/>
      <c r="W409" s="47" t="str">
        <f>IF(X409="","",MAX($W$5:W408)+1)</f>
        <v/>
      </c>
      <c r="X409" s="50" t="str">
        <f>IF(Registro!M408="","",IF(COUNTIF($X$8:X408,Registro!M408)=0,Registro!M408,""))</f>
        <v/>
      </c>
      <c r="Y409" s="50" t="str">
        <f t="shared" si="20"/>
        <v/>
      </c>
    </row>
    <row r="410" spans="1:25">
      <c r="A410" s="45" t="str">
        <f>IF(AND(Registro!D409="Abierto",Registro!E409="Urgente"),Registro!B409,"")</f>
        <v/>
      </c>
      <c r="B410" s="45" t="str">
        <f ca="1">IF(AND(Registro!D409="Abierto",Registro!E409="Urgente"),TODAY()-Registro!R409,"")</f>
        <v/>
      </c>
      <c r="C410" s="45" t="str">
        <f>IF(AND(Registro!D409="Abierto",Registro!E409="Urgente"),RANK(B410,$B$9:$B$1000,0)+COUNTIF($B$9:B410,B410)-1,"")</f>
        <v/>
      </c>
      <c r="D410" s="45" t="str">
        <f>IF(AND(Registro!D409="Abierto",Registro!E409="Alta"),Registro!B409,"")</f>
        <v/>
      </c>
      <c r="E410" s="45" t="str">
        <f ca="1">IF(AND(Registro!D409="Abierto",Registro!E409="Alta"),TODAY()-Registro!R409,"")</f>
        <v/>
      </c>
      <c r="F410" s="45" t="str">
        <f>IF(AND(Registro!D409="Abierto",Registro!E409="Alta"),RANK(E410,$E$9:$E$1000,0)+COUNTIF($E$9:E410,E410)-1+MAX(C$5:C$1000),"")</f>
        <v/>
      </c>
      <c r="G410" s="45" t="str">
        <f>IF(AND(Registro!D409="Abierto",Registro!E409="Media"),Registro!B409,"")</f>
        <v/>
      </c>
      <c r="H410" s="45" t="str">
        <f ca="1">IF(AND(Registro!D409="Abierto",Registro!E409="Media"),TODAY()-Registro!R409,"")</f>
        <v/>
      </c>
      <c r="I410" s="45" t="str">
        <f>IF(AND(Registro!D409="Abierto",Registro!E409="Media"),RANK(H410,$H$9:$H$1000,0)+COUNTIF($H$9:H410,H410)-1+MAX(C$5:C$1000,F$5:F$1000),"")</f>
        <v/>
      </c>
      <c r="J410" s="45" t="str">
        <f>IF(AND(Registro!D409="Abierto",Registro!E409="Baja"),Registro!B409,"")</f>
        <v/>
      </c>
      <c r="K410" s="45" t="str">
        <f ca="1">IF(AND(Registro!D409="Abierto",Registro!E409="Baja"),TODAY()-Registro!R409,"")</f>
        <v/>
      </c>
      <c r="L410" s="45" t="str">
        <f>IF(AND(Registro!D409="Abierto",Registro!E409="Baja"),RANK(K410,$K$9:$K$1000,0)+COUNTIF($K$9:K410,K410)-1+MAX(C$5:C$1000,F$5:F$1000,I$5:I$1000),"")</f>
        <v/>
      </c>
      <c r="M410" s="46" t="str">
        <f>IF(OR(Registro!D409="Resuelto",Registro!D409=""),"",SUM(C410,F410,I410,L410))</f>
        <v/>
      </c>
      <c r="N410" s="46" t="str">
        <f>IF(OR(Registro!D409="Resuelto",Registro!D409=""),"",SUM(B410,E410,H410,K410))</f>
        <v/>
      </c>
      <c r="O410" s="46" t="str">
        <f>IF(OR(Registro!D409="Resuelto",Registro!D409=""),"",_xlfn.CONCAT(A410,D410,G410,J410))</f>
        <v/>
      </c>
      <c r="P410" s="47">
        <v>402</v>
      </c>
      <c r="Q410" s="47" t="str">
        <f t="shared" ca="1" si="18"/>
        <v/>
      </c>
      <c r="R410" s="48" t="str">
        <f t="shared" ca="1" si="19"/>
        <v/>
      </c>
      <c r="S410" s="32"/>
      <c r="T410" s="32"/>
      <c r="U410" s="32"/>
      <c r="V410" s="32"/>
      <c r="W410" s="47" t="str">
        <f>IF(X410="","",MAX($W$5:W409)+1)</f>
        <v/>
      </c>
      <c r="X410" s="50" t="str">
        <f>IF(Registro!M409="","",IF(COUNTIF($X$8:X409,Registro!M409)=0,Registro!M409,""))</f>
        <v/>
      </c>
      <c r="Y410" s="50" t="str">
        <f t="shared" si="20"/>
        <v/>
      </c>
    </row>
    <row r="411" spans="1:25">
      <c r="A411" s="45" t="str">
        <f>IF(AND(Registro!D410="Abierto",Registro!E410="Urgente"),Registro!B410,"")</f>
        <v/>
      </c>
      <c r="B411" s="45" t="str">
        <f ca="1">IF(AND(Registro!D410="Abierto",Registro!E410="Urgente"),TODAY()-Registro!R410,"")</f>
        <v/>
      </c>
      <c r="C411" s="45" t="str">
        <f>IF(AND(Registro!D410="Abierto",Registro!E410="Urgente"),RANK(B411,$B$9:$B$1000,0)+COUNTIF($B$9:B411,B411)-1,"")</f>
        <v/>
      </c>
      <c r="D411" s="45" t="str">
        <f>IF(AND(Registro!D410="Abierto",Registro!E410="Alta"),Registro!B410,"")</f>
        <v/>
      </c>
      <c r="E411" s="45" t="str">
        <f ca="1">IF(AND(Registro!D410="Abierto",Registro!E410="Alta"),TODAY()-Registro!R410,"")</f>
        <v/>
      </c>
      <c r="F411" s="45" t="str">
        <f>IF(AND(Registro!D410="Abierto",Registro!E410="Alta"),RANK(E411,$E$9:$E$1000,0)+COUNTIF($E$9:E411,E411)-1+MAX(C$5:C$1000),"")</f>
        <v/>
      </c>
      <c r="G411" s="45" t="str">
        <f>IF(AND(Registro!D410="Abierto",Registro!E410="Media"),Registro!B410,"")</f>
        <v/>
      </c>
      <c r="H411" s="45" t="str">
        <f ca="1">IF(AND(Registro!D410="Abierto",Registro!E410="Media"),TODAY()-Registro!R410,"")</f>
        <v/>
      </c>
      <c r="I411" s="45" t="str">
        <f>IF(AND(Registro!D410="Abierto",Registro!E410="Media"),RANK(H411,$H$9:$H$1000,0)+COUNTIF($H$9:H411,H411)-1+MAX(C$5:C$1000,F$5:F$1000),"")</f>
        <v/>
      </c>
      <c r="J411" s="45" t="str">
        <f>IF(AND(Registro!D410="Abierto",Registro!E410="Baja"),Registro!B410,"")</f>
        <v/>
      </c>
      <c r="K411" s="45" t="str">
        <f ca="1">IF(AND(Registro!D410="Abierto",Registro!E410="Baja"),TODAY()-Registro!R410,"")</f>
        <v/>
      </c>
      <c r="L411" s="45" t="str">
        <f>IF(AND(Registro!D410="Abierto",Registro!E410="Baja"),RANK(K411,$K$9:$K$1000,0)+COUNTIF($K$9:K411,K411)-1+MAX(C$5:C$1000,F$5:F$1000,I$5:I$1000),"")</f>
        <v/>
      </c>
      <c r="M411" s="46" t="str">
        <f>IF(OR(Registro!D410="Resuelto",Registro!D410=""),"",SUM(C411,F411,I411,L411))</f>
        <v/>
      </c>
      <c r="N411" s="46" t="str">
        <f>IF(OR(Registro!D410="Resuelto",Registro!D410=""),"",SUM(B411,E411,H411,K411))</f>
        <v/>
      </c>
      <c r="O411" s="46" t="str">
        <f>IF(OR(Registro!D410="Resuelto",Registro!D410=""),"",_xlfn.CONCAT(A411,D411,G411,J411))</f>
        <v/>
      </c>
      <c r="P411" s="47">
        <v>403</v>
      </c>
      <c r="Q411" s="47" t="str">
        <f t="shared" ca="1" si="18"/>
        <v/>
      </c>
      <c r="R411" s="48" t="str">
        <f t="shared" ca="1" si="19"/>
        <v/>
      </c>
      <c r="S411" s="32"/>
      <c r="T411" s="32"/>
      <c r="U411" s="32"/>
      <c r="V411" s="32"/>
      <c r="W411" s="47" t="str">
        <f>IF(X411="","",MAX($W$5:W410)+1)</f>
        <v/>
      </c>
      <c r="X411" s="50" t="str">
        <f>IF(Registro!M410="","",IF(COUNTIF($X$8:X410,Registro!M410)=0,Registro!M410,""))</f>
        <v/>
      </c>
      <c r="Y411" s="50" t="str">
        <f t="shared" si="20"/>
        <v/>
      </c>
    </row>
    <row r="412" spans="1:25">
      <c r="A412" s="45" t="str">
        <f>IF(AND(Registro!D411="Abierto",Registro!E411="Urgente"),Registro!B411,"")</f>
        <v/>
      </c>
      <c r="B412" s="45" t="str">
        <f ca="1">IF(AND(Registro!D411="Abierto",Registro!E411="Urgente"),TODAY()-Registro!R411,"")</f>
        <v/>
      </c>
      <c r="C412" s="45" t="str">
        <f>IF(AND(Registro!D411="Abierto",Registro!E411="Urgente"),RANK(B412,$B$9:$B$1000,0)+COUNTIF($B$9:B412,B412)-1,"")</f>
        <v/>
      </c>
      <c r="D412" s="45" t="str">
        <f>IF(AND(Registro!D411="Abierto",Registro!E411="Alta"),Registro!B411,"")</f>
        <v/>
      </c>
      <c r="E412" s="45" t="str">
        <f ca="1">IF(AND(Registro!D411="Abierto",Registro!E411="Alta"),TODAY()-Registro!R411,"")</f>
        <v/>
      </c>
      <c r="F412" s="45" t="str">
        <f>IF(AND(Registro!D411="Abierto",Registro!E411="Alta"),RANK(E412,$E$9:$E$1000,0)+COUNTIF($E$9:E412,E412)-1+MAX(C$5:C$1000),"")</f>
        <v/>
      </c>
      <c r="G412" s="45" t="str">
        <f>IF(AND(Registro!D411="Abierto",Registro!E411="Media"),Registro!B411,"")</f>
        <v/>
      </c>
      <c r="H412" s="45" t="str">
        <f ca="1">IF(AND(Registro!D411="Abierto",Registro!E411="Media"),TODAY()-Registro!R411,"")</f>
        <v/>
      </c>
      <c r="I412" s="45" t="str">
        <f>IF(AND(Registro!D411="Abierto",Registro!E411="Media"),RANK(H412,$H$9:$H$1000,0)+COUNTIF($H$9:H412,H412)-1+MAX(C$5:C$1000,F$5:F$1000),"")</f>
        <v/>
      </c>
      <c r="J412" s="45" t="str">
        <f>IF(AND(Registro!D411="Abierto",Registro!E411="Baja"),Registro!B411,"")</f>
        <v/>
      </c>
      <c r="K412" s="45" t="str">
        <f ca="1">IF(AND(Registro!D411="Abierto",Registro!E411="Baja"),TODAY()-Registro!R411,"")</f>
        <v/>
      </c>
      <c r="L412" s="45" t="str">
        <f>IF(AND(Registro!D411="Abierto",Registro!E411="Baja"),RANK(K412,$K$9:$K$1000,0)+COUNTIF($K$9:K412,K412)-1+MAX(C$5:C$1000,F$5:F$1000,I$5:I$1000),"")</f>
        <v/>
      </c>
      <c r="M412" s="46" t="str">
        <f>IF(OR(Registro!D411="Resuelto",Registro!D411=""),"",SUM(C412,F412,I412,L412))</f>
        <v/>
      </c>
      <c r="N412" s="46" t="str">
        <f>IF(OR(Registro!D411="Resuelto",Registro!D411=""),"",SUM(B412,E412,H412,K412))</f>
        <v/>
      </c>
      <c r="O412" s="46" t="str">
        <f>IF(OR(Registro!D411="Resuelto",Registro!D411=""),"",_xlfn.CONCAT(A412,D412,G412,J412))</f>
        <v/>
      </c>
      <c r="P412" s="47">
        <v>404</v>
      </c>
      <c r="Q412" s="47" t="str">
        <f t="shared" ca="1" si="18"/>
        <v/>
      </c>
      <c r="R412" s="48" t="str">
        <f t="shared" ca="1" si="19"/>
        <v/>
      </c>
      <c r="S412" s="32"/>
      <c r="T412" s="32"/>
      <c r="U412" s="32"/>
      <c r="V412" s="32"/>
      <c r="W412" s="47" t="str">
        <f>IF(X412="","",MAX($W$5:W411)+1)</f>
        <v/>
      </c>
      <c r="X412" s="50" t="str">
        <f>IF(Registro!M411="","",IF(COUNTIF($X$8:X411,Registro!M411)=0,Registro!M411,""))</f>
        <v/>
      </c>
      <c r="Y412" s="50" t="str">
        <f t="shared" si="20"/>
        <v/>
      </c>
    </row>
    <row r="413" spans="1:25">
      <c r="A413" s="45" t="str">
        <f>IF(AND(Registro!D412="Abierto",Registro!E412="Urgente"),Registro!B412,"")</f>
        <v/>
      </c>
      <c r="B413" s="45" t="str">
        <f ca="1">IF(AND(Registro!D412="Abierto",Registro!E412="Urgente"),TODAY()-Registro!R412,"")</f>
        <v/>
      </c>
      <c r="C413" s="45" t="str">
        <f>IF(AND(Registro!D412="Abierto",Registro!E412="Urgente"),RANK(B413,$B$9:$B$1000,0)+COUNTIF($B$9:B413,B413)-1,"")</f>
        <v/>
      </c>
      <c r="D413" s="45" t="str">
        <f>IF(AND(Registro!D412="Abierto",Registro!E412="Alta"),Registro!B412,"")</f>
        <v/>
      </c>
      <c r="E413" s="45" t="str">
        <f ca="1">IF(AND(Registro!D412="Abierto",Registro!E412="Alta"),TODAY()-Registro!R412,"")</f>
        <v/>
      </c>
      <c r="F413" s="45" t="str">
        <f>IF(AND(Registro!D412="Abierto",Registro!E412="Alta"),RANK(E413,$E$9:$E$1000,0)+COUNTIF($E$9:E413,E413)-1+MAX(C$5:C$1000),"")</f>
        <v/>
      </c>
      <c r="G413" s="45" t="str">
        <f>IF(AND(Registro!D412="Abierto",Registro!E412="Media"),Registro!B412,"")</f>
        <v/>
      </c>
      <c r="H413" s="45" t="str">
        <f ca="1">IF(AND(Registro!D412="Abierto",Registro!E412="Media"),TODAY()-Registro!R412,"")</f>
        <v/>
      </c>
      <c r="I413" s="45" t="str">
        <f>IF(AND(Registro!D412="Abierto",Registro!E412="Media"),RANK(H413,$H$9:$H$1000,0)+COUNTIF($H$9:H413,H413)-1+MAX(C$5:C$1000,F$5:F$1000),"")</f>
        <v/>
      </c>
      <c r="J413" s="45" t="str">
        <f>IF(AND(Registro!D412="Abierto",Registro!E412="Baja"),Registro!B412,"")</f>
        <v/>
      </c>
      <c r="K413" s="45" t="str">
        <f ca="1">IF(AND(Registro!D412="Abierto",Registro!E412="Baja"),TODAY()-Registro!R412,"")</f>
        <v/>
      </c>
      <c r="L413" s="45" t="str">
        <f>IF(AND(Registro!D412="Abierto",Registro!E412="Baja"),RANK(K413,$K$9:$K$1000,0)+COUNTIF($K$9:K413,K413)-1+MAX(C$5:C$1000,F$5:F$1000,I$5:I$1000),"")</f>
        <v/>
      </c>
      <c r="M413" s="46" t="str">
        <f>IF(OR(Registro!D412="Resuelto",Registro!D412=""),"",SUM(C413,F413,I413,L413))</f>
        <v/>
      </c>
      <c r="N413" s="46" t="str">
        <f>IF(OR(Registro!D412="Resuelto",Registro!D412=""),"",SUM(B413,E413,H413,K413))</f>
        <v/>
      </c>
      <c r="O413" s="46" t="str">
        <f>IF(OR(Registro!D412="Resuelto",Registro!D412=""),"",_xlfn.CONCAT(A413,D413,G413,J413))</f>
        <v/>
      </c>
      <c r="P413" s="47">
        <v>405</v>
      </c>
      <c r="Q413" s="47" t="str">
        <f t="shared" ca="1" si="18"/>
        <v/>
      </c>
      <c r="R413" s="48" t="str">
        <f t="shared" ca="1" si="19"/>
        <v/>
      </c>
      <c r="S413" s="32"/>
      <c r="T413" s="32"/>
      <c r="U413" s="32"/>
      <c r="V413" s="32"/>
      <c r="W413" s="47" t="str">
        <f>IF(X413="","",MAX($W$5:W412)+1)</f>
        <v/>
      </c>
      <c r="X413" s="50" t="str">
        <f>IF(Registro!M412="","",IF(COUNTIF($X$8:X412,Registro!M412)=0,Registro!M412,""))</f>
        <v/>
      </c>
      <c r="Y413" s="50" t="str">
        <f t="shared" si="20"/>
        <v/>
      </c>
    </row>
    <row r="414" spans="1:25">
      <c r="A414" s="45" t="str">
        <f>IF(AND(Registro!D413="Abierto",Registro!E413="Urgente"),Registro!B413,"")</f>
        <v/>
      </c>
      <c r="B414" s="45" t="str">
        <f ca="1">IF(AND(Registro!D413="Abierto",Registro!E413="Urgente"),TODAY()-Registro!R413,"")</f>
        <v/>
      </c>
      <c r="C414" s="45" t="str">
        <f>IF(AND(Registro!D413="Abierto",Registro!E413="Urgente"),RANK(B414,$B$9:$B$1000,0)+COUNTIF($B$9:B414,B414)-1,"")</f>
        <v/>
      </c>
      <c r="D414" s="45" t="str">
        <f>IF(AND(Registro!D413="Abierto",Registro!E413="Alta"),Registro!B413,"")</f>
        <v/>
      </c>
      <c r="E414" s="45" t="str">
        <f ca="1">IF(AND(Registro!D413="Abierto",Registro!E413="Alta"),TODAY()-Registro!R413,"")</f>
        <v/>
      </c>
      <c r="F414" s="45" t="str">
        <f>IF(AND(Registro!D413="Abierto",Registro!E413="Alta"),RANK(E414,$E$9:$E$1000,0)+COUNTIF($E$9:E414,E414)-1+MAX(C$5:C$1000),"")</f>
        <v/>
      </c>
      <c r="G414" s="45" t="str">
        <f>IF(AND(Registro!D413="Abierto",Registro!E413="Media"),Registro!B413,"")</f>
        <v/>
      </c>
      <c r="H414" s="45" t="str">
        <f ca="1">IF(AND(Registro!D413="Abierto",Registro!E413="Media"),TODAY()-Registro!R413,"")</f>
        <v/>
      </c>
      <c r="I414" s="45" t="str">
        <f>IF(AND(Registro!D413="Abierto",Registro!E413="Media"),RANK(H414,$H$9:$H$1000,0)+COUNTIF($H$9:H414,H414)-1+MAX(C$5:C$1000,F$5:F$1000),"")</f>
        <v/>
      </c>
      <c r="J414" s="45" t="str">
        <f>IF(AND(Registro!D413="Abierto",Registro!E413="Baja"),Registro!B413,"")</f>
        <v/>
      </c>
      <c r="K414" s="45" t="str">
        <f ca="1">IF(AND(Registro!D413="Abierto",Registro!E413="Baja"),TODAY()-Registro!R413,"")</f>
        <v/>
      </c>
      <c r="L414" s="45" t="str">
        <f>IF(AND(Registro!D413="Abierto",Registro!E413="Baja"),RANK(K414,$K$9:$K$1000,0)+COUNTIF($K$9:K414,K414)-1+MAX(C$5:C$1000,F$5:F$1000,I$5:I$1000),"")</f>
        <v/>
      </c>
      <c r="M414" s="46" t="str">
        <f>IF(OR(Registro!D413="Resuelto",Registro!D413=""),"",SUM(C414,F414,I414,L414))</f>
        <v/>
      </c>
      <c r="N414" s="46" t="str">
        <f>IF(OR(Registro!D413="Resuelto",Registro!D413=""),"",SUM(B414,E414,H414,K414))</f>
        <v/>
      </c>
      <c r="O414" s="46" t="str">
        <f>IF(OR(Registro!D413="Resuelto",Registro!D413=""),"",_xlfn.CONCAT(A414,D414,G414,J414))</f>
        <v/>
      </c>
      <c r="P414" s="47">
        <v>406</v>
      </c>
      <c r="Q414" s="47" t="str">
        <f t="shared" ca="1" si="18"/>
        <v/>
      </c>
      <c r="R414" s="48" t="str">
        <f t="shared" ca="1" si="19"/>
        <v/>
      </c>
      <c r="S414" s="32"/>
      <c r="T414" s="32"/>
      <c r="U414" s="32"/>
      <c r="V414" s="32"/>
      <c r="W414" s="47" t="str">
        <f>IF(X414="","",MAX($W$5:W413)+1)</f>
        <v/>
      </c>
      <c r="X414" s="50" t="str">
        <f>IF(Registro!M413="","",IF(COUNTIF($X$8:X413,Registro!M413)=0,Registro!M413,""))</f>
        <v/>
      </c>
      <c r="Y414" s="50" t="str">
        <f t="shared" si="20"/>
        <v/>
      </c>
    </row>
    <row r="415" spans="1:25">
      <c r="A415" s="45" t="str">
        <f>IF(AND(Registro!D414="Abierto",Registro!E414="Urgente"),Registro!B414,"")</f>
        <v/>
      </c>
      <c r="B415" s="45" t="str">
        <f ca="1">IF(AND(Registro!D414="Abierto",Registro!E414="Urgente"),TODAY()-Registro!R414,"")</f>
        <v/>
      </c>
      <c r="C415" s="45" t="str">
        <f>IF(AND(Registro!D414="Abierto",Registro!E414="Urgente"),RANK(B415,$B$9:$B$1000,0)+COUNTIF($B$9:B415,B415)-1,"")</f>
        <v/>
      </c>
      <c r="D415" s="45" t="str">
        <f>IF(AND(Registro!D414="Abierto",Registro!E414="Alta"),Registro!B414,"")</f>
        <v/>
      </c>
      <c r="E415" s="45" t="str">
        <f ca="1">IF(AND(Registro!D414="Abierto",Registro!E414="Alta"),TODAY()-Registro!R414,"")</f>
        <v/>
      </c>
      <c r="F415" s="45" t="str">
        <f>IF(AND(Registro!D414="Abierto",Registro!E414="Alta"),RANK(E415,$E$9:$E$1000,0)+COUNTIF($E$9:E415,E415)-1+MAX(C$5:C$1000),"")</f>
        <v/>
      </c>
      <c r="G415" s="45" t="str">
        <f>IF(AND(Registro!D414="Abierto",Registro!E414="Media"),Registro!B414,"")</f>
        <v/>
      </c>
      <c r="H415" s="45" t="str">
        <f ca="1">IF(AND(Registro!D414="Abierto",Registro!E414="Media"),TODAY()-Registro!R414,"")</f>
        <v/>
      </c>
      <c r="I415" s="45" t="str">
        <f>IF(AND(Registro!D414="Abierto",Registro!E414="Media"),RANK(H415,$H$9:$H$1000,0)+COUNTIF($H$9:H415,H415)-1+MAX(C$5:C$1000,F$5:F$1000),"")</f>
        <v/>
      </c>
      <c r="J415" s="45" t="str">
        <f>IF(AND(Registro!D414="Abierto",Registro!E414="Baja"),Registro!B414,"")</f>
        <v/>
      </c>
      <c r="K415" s="45" t="str">
        <f ca="1">IF(AND(Registro!D414="Abierto",Registro!E414="Baja"),TODAY()-Registro!R414,"")</f>
        <v/>
      </c>
      <c r="L415" s="45" t="str">
        <f>IF(AND(Registro!D414="Abierto",Registro!E414="Baja"),RANK(K415,$K$9:$K$1000,0)+COUNTIF($K$9:K415,K415)-1+MAX(C$5:C$1000,F$5:F$1000,I$5:I$1000),"")</f>
        <v/>
      </c>
      <c r="M415" s="46" t="str">
        <f>IF(OR(Registro!D414="Resuelto",Registro!D414=""),"",SUM(C415,F415,I415,L415))</f>
        <v/>
      </c>
      <c r="N415" s="46" t="str">
        <f>IF(OR(Registro!D414="Resuelto",Registro!D414=""),"",SUM(B415,E415,H415,K415))</f>
        <v/>
      </c>
      <c r="O415" s="46" t="str">
        <f>IF(OR(Registro!D414="Resuelto",Registro!D414=""),"",_xlfn.CONCAT(A415,D415,G415,J415))</f>
        <v/>
      </c>
      <c r="P415" s="47">
        <v>407</v>
      </c>
      <c r="Q415" s="47" t="str">
        <f t="shared" ca="1" si="18"/>
        <v/>
      </c>
      <c r="R415" s="48" t="str">
        <f t="shared" ca="1" si="19"/>
        <v/>
      </c>
      <c r="S415" s="32"/>
      <c r="T415" s="32"/>
      <c r="U415" s="32"/>
      <c r="V415" s="32"/>
      <c r="W415" s="47" t="str">
        <f>IF(X415="","",MAX($W$5:W414)+1)</f>
        <v/>
      </c>
      <c r="X415" s="50" t="str">
        <f>IF(Registro!M414="","",IF(COUNTIF($X$8:X414,Registro!M414)=0,Registro!M414,""))</f>
        <v/>
      </c>
      <c r="Y415" s="50" t="str">
        <f t="shared" si="20"/>
        <v/>
      </c>
    </row>
    <row r="416" spans="1:25">
      <c r="A416" s="45" t="str">
        <f>IF(AND(Registro!D415="Abierto",Registro!E415="Urgente"),Registro!B415,"")</f>
        <v/>
      </c>
      <c r="B416" s="45" t="str">
        <f ca="1">IF(AND(Registro!D415="Abierto",Registro!E415="Urgente"),TODAY()-Registro!R415,"")</f>
        <v/>
      </c>
      <c r="C416" s="45" t="str">
        <f>IF(AND(Registro!D415="Abierto",Registro!E415="Urgente"),RANK(B416,$B$9:$B$1000,0)+COUNTIF($B$9:B416,B416)-1,"")</f>
        <v/>
      </c>
      <c r="D416" s="45" t="str">
        <f>IF(AND(Registro!D415="Abierto",Registro!E415="Alta"),Registro!B415,"")</f>
        <v/>
      </c>
      <c r="E416" s="45" t="str">
        <f ca="1">IF(AND(Registro!D415="Abierto",Registro!E415="Alta"),TODAY()-Registro!R415,"")</f>
        <v/>
      </c>
      <c r="F416" s="45" t="str">
        <f>IF(AND(Registro!D415="Abierto",Registro!E415="Alta"),RANK(E416,$E$9:$E$1000,0)+COUNTIF($E$9:E416,E416)-1+MAX(C$5:C$1000),"")</f>
        <v/>
      </c>
      <c r="G416" s="45" t="str">
        <f>IF(AND(Registro!D415="Abierto",Registro!E415="Media"),Registro!B415,"")</f>
        <v/>
      </c>
      <c r="H416" s="45" t="str">
        <f ca="1">IF(AND(Registro!D415="Abierto",Registro!E415="Media"),TODAY()-Registro!R415,"")</f>
        <v/>
      </c>
      <c r="I416" s="45" t="str">
        <f>IF(AND(Registro!D415="Abierto",Registro!E415="Media"),RANK(H416,$H$9:$H$1000,0)+COUNTIF($H$9:H416,H416)-1+MAX(C$5:C$1000,F$5:F$1000),"")</f>
        <v/>
      </c>
      <c r="J416" s="45" t="str">
        <f>IF(AND(Registro!D415="Abierto",Registro!E415="Baja"),Registro!B415,"")</f>
        <v/>
      </c>
      <c r="K416" s="45" t="str">
        <f ca="1">IF(AND(Registro!D415="Abierto",Registro!E415="Baja"),TODAY()-Registro!R415,"")</f>
        <v/>
      </c>
      <c r="L416" s="45" t="str">
        <f>IF(AND(Registro!D415="Abierto",Registro!E415="Baja"),RANK(K416,$K$9:$K$1000,0)+COUNTIF($K$9:K416,K416)-1+MAX(C$5:C$1000,F$5:F$1000,I$5:I$1000),"")</f>
        <v/>
      </c>
      <c r="M416" s="46" t="str">
        <f>IF(OR(Registro!D415="Resuelto",Registro!D415=""),"",SUM(C416,F416,I416,L416))</f>
        <v/>
      </c>
      <c r="N416" s="46" t="str">
        <f>IF(OR(Registro!D415="Resuelto",Registro!D415=""),"",SUM(B416,E416,H416,K416))</f>
        <v/>
      </c>
      <c r="O416" s="46" t="str">
        <f>IF(OR(Registro!D415="Resuelto",Registro!D415=""),"",_xlfn.CONCAT(A416,D416,G416,J416))</f>
        <v/>
      </c>
      <c r="P416" s="47">
        <v>408</v>
      </c>
      <c r="Q416" s="47" t="str">
        <f t="shared" ca="1" si="18"/>
        <v/>
      </c>
      <c r="R416" s="48" t="str">
        <f t="shared" ca="1" si="19"/>
        <v/>
      </c>
      <c r="S416" s="32"/>
      <c r="T416" s="32"/>
      <c r="U416" s="32"/>
      <c r="V416" s="32"/>
      <c r="W416" s="47" t="str">
        <f>IF(X416="","",MAX($W$5:W415)+1)</f>
        <v/>
      </c>
      <c r="X416" s="50" t="str">
        <f>IF(Registro!M415="","",IF(COUNTIF($X$8:X415,Registro!M415)=0,Registro!M415,""))</f>
        <v/>
      </c>
      <c r="Y416" s="50" t="str">
        <f t="shared" si="20"/>
        <v/>
      </c>
    </row>
    <row r="417" spans="1:25">
      <c r="A417" s="45" t="str">
        <f>IF(AND(Registro!D416="Abierto",Registro!E416="Urgente"),Registro!B416,"")</f>
        <v/>
      </c>
      <c r="B417" s="45" t="str">
        <f ca="1">IF(AND(Registro!D416="Abierto",Registro!E416="Urgente"),TODAY()-Registro!R416,"")</f>
        <v/>
      </c>
      <c r="C417" s="45" t="str">
        <f>IF(AND(Registro!D416="Abierto",Registro!E416="Urgente"),RANK(B417,$B$9:$B$1000,0)+COUNTIF($B$9:B417,B417)-1,"")</f>
        <v/>
      </c>
      <c r="D417" s="45" t="str">
        <f>IF(AND(Registro!D416="Abierto",Registro!E416="Alta"),Registro!B416,"")</f>
        <v/>
      </c>
      <c r="E417" s="45" t="str">
        <f ca="1">IF(AND(Registro!D416="Abierto",Registro!E416="Alta"),TODAY()-Registro!R416,"")</f>
        <v/>
      </c>
      <c r="F417" s="45" t="str">
        <f>IF(AND(Registro!D416="Abierto",Registro!E416="Alta"),RANK(E417,$E$9:$E$1000,0)+COUNTIF($E$9:E417,E417)-1+MAX(C$5:C$1000),"")</f>
        <v/>
      </c>
      <c r="G417" s="45" t="str">
        <f>IF(AND(Registro!D416="Abierto",Registro!E416="Media"),Registro!B416,"")</f>
        <v/>
      </c>
      <c r="H417" s="45" t="str">
        <f ca="1">IF(AND(Registro!D416="Abierto",Registro!E416="Media"),TODAY()-Registro!R416,"")</f>
        <v/>
      </c>
      <c r="I417" s="45" t="str">
        <f>IF(AND(Registro!D416="Abierto",Registro!E416="Media"),RANK(H417,$H$9:$H$1000,0)+COUNTIF($H$9:H417,H417)-1+MAX(C$5:C$1000,F$5:F$1000),"")</f>
        <v/>
      </c>
      <c r="J417" s="45" t="str">
        <f>IF(AND(Registro!D416="Abierto",Registro!E416="Baja"),Registro!B416,"")</f>
        <v/>
      </c>
      <c r="K417" s="45" t="str">
        <f ca="1">IF(AND(Registro!D416="Abierto",Registro!E416="Baja"),TODAY()-Registro!R416,"")</f>
        <v/>
      </c>
      <c r="L417" s="45" t="str">
        <f>IF(AND(Registro!D416="Abierto",Registro!E416="Baja"),RANK(K417,$K$9:$K$1000,0)+COUNTIF($K$9:K417,K417)-1+MAX(C$5:C$1000,F$5:F$1000,I$5:I$1000),"")</f>
        <v/>
      </c>
      <c r="M417" s="46" t="str">
        <f>IF(OR(Registro!D416="Resuelto",Registro!D416=""),"",SUM(C417,F417,I417,L417))</f>
        <v/>
      </c>
      <c r="N417" s="46" t="str">
        <f>IF(OR(Registro!D416="Resuelto",Registro!D416=""),"",SUM(B417,E417,H417,K417))</f>
        <v/>
      </c>
      <c r="O417" s="46" t="str">
        <f>IF(OR(Registro!D416="Resuelto",Registro!D416=""),"",_xlfn.CONCAT(A417,D417,G417,J417))</f>
        <v/>
      </c>
      <c r="P417" s="47">
        <v>409</v>
      </c>
      <c r="Q417" s="47" t="str">
        <f t="shared" ca="1" si="18"/>
        <v/>
      </c>
      <c r="R417" s="48" t="str">
        <f t="shared" ca="1" si="19"/>
        <v/>
      </c>
      <c r="S417" s="32"/>
      <c r="T417" s="32"/>
      <c r="U417" s="32"/>
      <c r="V417" s="32"/>
      <c r="W417" s="47" t="str">
        <f>IF(X417="","",MAX($W$5:W416)+1)</f>
        <v/>
      </c>
      <c r="X417" s="50" t="str">
        <f>IF(Registro!M416="","",IF(COUNTIF($X$8:X416,Registro!M416)=0,Registro!M416,""))</f>
        <v/>
      </c>
      <c r="Y417" s="50" t="str">
        <f t="shared" si="20"/>
        <v/>
      </c>
    </row>
    <row r="418" spans="1:25">
      <c r="A418" s="45" t="str">
        <f>IF(AND(Registro!D417="Abierto",Registro!E417="Urgente"),Registro!B417,"")</f>
        <v/>
      </c>
      <c r="B418" s="45" t="str">
        <f ca="1">IF(AND(Registro!D417="Abierto",Registro!E417="Urgente"),TODAY()-Registro!R417,"")</f>
        <v/>
      </c>
      <c r="C418" s="45" t="str">
        <f>IF(AND(Registro!D417="Abierto",Registro!E417="Urgente"),RANK(B418,$B$9:$B$1000,0)+COUNTIF($B$9:B418,B418)-1,"")</f>
        <v/>
      </c>
      <c r="D418" s="45" t="str">
        <f>IF(AND(Registro!D417="Abierto",Registro!E417="Alta"),Registro!B417,"")</f>
        <v/>
      </c>
      <c r="E418" s="45" t="str">
        <f ca="1">IF(AND(Registro!D417="Abierto",Registro!E417="Alta"),TODAY()-Registro!R417,"")</f>
        <v/>
      </c>
      <c r="F418" s="45" t="str">
        <f>IF(AND(Registro!D417="Abierto",Registro!E417="Alta"),RANK(E418,$E$9:$E$1000,0)+COUNTIF($E$9:E418,E418)-1+MAX(C$5:C$1000),"")</f>
        <v/>
      </c>
      <c r="G418" s="45" t="str">
        <f>IF(AND(Registro!D417="Abierto",Registro!E417="Media"),Registro!B417,"")</f>
        <v/>
      </c>
      <c r="H418" s="45" t="str">
        <f ca="1">IF(AND(Registro!D417="Abierto",Registro!E417="Media"),TODAY()-Registro!R417,"")</f>
        <v/>
      </c>
      <c r="I418" s="45" t="str">
        <f>IF(AND(Registro!D417="Abierto",Registro!E417="Media"),RANK(H418,$H$9:$H$1000,0)+COUNTIF($H$9:H418,H418)-1+MAX(C$5:C$1000,F$5:F$1000),"")</f>
        <v/>
      </c>
      <c r="J418" s="45" t="str">
        <f>IF(AND(Registro!D417="Abierto",Registro!E417="Baja"),Registro!B417,"")</f>
        <v/>
      </c>
      <c r="K418" s="45" t="str">
        <f ca="1">IF(AND(Registro!D417="Abierto",Registro!E417="Baja"),TODAY()-Registro!R417,"")</f>
        <v/>
      </c>
      <c r="L418" s="45" t="str">
        <f>IF(AND(Registro!D417="Abierto",Registro!E417="Baja"),RANK(K418,$K$9:$K$1000,0)+COUNTIF($K$9:K418,K418)-1+MAX(C$5:C$1000,F$5:F$1000,I$5:I$1000),"")</f>
        <v/>
      </c>
      <c r="M418" s="46" t="str">
        <f>IF(OR(Registro!D417="Resuelto",Registro!D417=""),"",SUM(C418,F418,I418,L418))</f>
        <v/>
      </c>
      <c r="N418" s="46" t="str">
        <f>IF(OR(Registro!D417="Resuelto",Registro!D417=""),"",SUM(B418,E418,H418,K418))</f>
        <v/>
      </c>
      <c r="O418" s="46" t="str">
        <f>IF(OR(Registro!D417="Resuelto",Registro!D417=""),"",_xlfn.CONCAT(A418,D418,G418,J418))</f>
        <v/>
      </c>
      <c r="P418" s="47">
        <v>410</v>
      </c>
      <c r="Q418" s="47" t="str">
        <f t="shared" ca="1" si="18"/>
        <v/>
      </c>
      <c r="R418" s="48" t="str">
        <f t="shared" ca="1" si="19"/>
        <v/>
      </c>
      <c r="S418" s="32"/>
      <c r="T418" s="32"/>
      <c r="U418" s="32"/>
      <c r="V418" s="32"/>
      <c r="W418" s="47" t="str">
        <f>IF(X418="","",MAX($W$5:W417)+1)</f>
        <v/>
      </c>
      <c r="X418" s="50" t="str">
        <f>IF(Registro!M417="","",IF(COUNTIF($X$8:X417,Registro!M417)=0,Registro!M417,""))</f>
        <v/>
      </c>
      <c r="Y418" s="50" t="str">
        <f t="shared" si="20"/>
        <v/>
      </c>
    </row>
    <row r="419" spans="1:25">
      <c r="A419" s="45" t="str">
        <f>IF(AND(Registro!D418="Abierto",Registro!E418="Urgente"),Registro!B418,"")</f>
        <v/>
      </c>
      <c r="B419" s="45" t="str">
        <f ca="1">IF(AND(Registro!D418="Abierto",Registro!E418="Urgente"),TODAY()-Registro!R418,"")</f>
        <v/>
      </c>
      <c r="C419" s="45" t="str">
        <f>IF(AND(Registro!D418="Abierto",Registro!E418="Urgente"),RANK(B419,$B$9:$B$1000,0)+COUNTIF($B$9:B419,B419)-1,"")</f>
        <v/>
      </c>
      <c r="D419" s="45" t="str">
        <f>IF(AND(Registro!D418="Abierto",Registro!E418="Alta"),Registro!B418,"")</f>
        <v/>
      </c>
      <c r="E419" s="45" t="str">
        <f ca="1">IF(AND(Registro!D418="Abierto",Registro!E418="Alta"),TODAY()-Registro!R418,"")</f>
        <v/>
      </c>
      <c r="F419" s="45" t="str">
        <f>IF(AND(Registro!D418="Abierto",Registro!E418="Alta"),RANK(E419,$E$9:$E$1000,0)+COUNTIF($E$9:E419,E419)-1+MAX(C$5:C$1000),"")</f>
        <v/>
      </c>
      <c r="G419" s="45" t="str">
        <f>IF(AND(Registro!D418="Abierto",Registro!E418="Media"),Registro!B418,"")</f>
        <v/>
      </c>
      <c r="H419" s="45" t="str">
        <f ca="1">IF(AND(Registro!D418="Abierto",Registro!E418="Media"),TODAY()-Registro!R418,"")</f>
        <v/>
      </c>
      <c r="I419" s="45" t="str">
        <f>IF(AND(Registro!D418="Abierto",Registro!E418="Media"),RANK(H419,$H$9:$H$1000,0)+COUNTIF($H$9:H419,H419)-1+MAX(C$5:C$1000,F$5:F$1000),"")</f>
        <v/>
      </c>
      <c r="J419" s="45" t="str">
        <f>IF(AND(Registro!D418="Abierto",Registro!E418="Baja"),Registro!B418,"")</f>
        <v/>
      </c>
      <c r="K419" s="45" t="str">
        <f ca="1">IF(AND(Registro!D418="Abierto",Registro!E418="Baja"),TODAY()-Registro!R418,"")</f>
        <v/>
      </c>
      <c r="L419" s="45" t="str">
        <f>IF(AND(Registro!D418="Abierto",Registro!E418="Baja"),RANK(K419,$K$9:$K$1000,0)+COUNTIF($K$9:K419,K419)-1+MAX(C$5:C$1000,F$5:F$1000,I$5:I$1000),"")</f>
        <v/>
      </c>
      <c r="M419" s="46" t="str">
        <f>IF(OR(Registro!D418="Resuelto",Registro!D418=""),"",SUM(C419,F419,I419,L419))</f>
        <v/>
      </c>
      <c r="N419" s="46" t="str">
        <f>IF(OR(Registro!D418="Resuelto",Registro!D418=""),"",SUM(B419,E419,H419,K419))</f>
        <v/>
      </c>
      <c r="O419" s="46" t="str">
        <f>IF(OR(Registro!D418="Resuelto",Registro!D418=""),"",_xlfn.CONCAT(A419,D419,G419,J419))</f>
        <v/>
      </c>
      <c r="P419" s="47">
        <v>411</v>
      </c>
      <c r="Q419" s="47" t="str">
        <f t="shared" ca="1" si="18"/>
        <v/>
      </c>
      <c r="R419" s="48" t="str">
        <f t="shared" ca="1" si="19"/>
        <v/>
      </c>
      <c r="S419" s="32"/>
      <c r="T419" s="32"/>
      <c r="U419" s="32"/>
      <c r="V419" s="32"/>
      <c r="W419" s="47" t="str">
        <f>IF(X419="","",MAX($W$5:W418)+1)</f>
        <v/>
      </c>
      <c r="X419" s="50" t="str">
        <f>IF(Registro!M418="","",IF(COUNTIF($X$8:X418,Registro!M418)=0,Registro!M418,""))</f>
        <v/>
      </c>
      <c r="Y419" s="50" t="str">
        <f t="shared" si="20"/>
        <v/>
      </c>
    </row>
    <row r="420" spans="1:25">
      <c r="A420" s="45" t="str">
        <f>IF(AND(Registro!D419="Abierto",Registro!E419="Urgente"),Registro!B419,"")</f>
        <v/>
      </c>
      <c r="B420" s="45" t="str">
        <f ca="1">IF(AND(Registro!D419="Abierto",Registro!E419="Urgente"),TODAY()-Registro!R419,"")</f>
        <v/>
      </c>
      <c r="C420" s="45" t="str">
        <f>IF(AND(Registro!D419="Abierto",Registro!E419="Urgente"),RANK(B420,$B$9:$B$1000,0)+COUNTIF($B$9:B420,B420)-1,"")</f>
        <v/>
      </c>
      <c r="D420" s="45" t="str">
        <f>IF(AND(Registro!D419="Abierto",Registro!E419="Alta"),Registro!B419,"")</f>
        <v/>
      </c>
      <c r="E420" s="45" t="str">
        <f ca="1">IF(AND(Registro!D419="Abierto",Registro!E419="Alta"),TODAY()-Registro!R419,"")</f>
        <v/>
      </c>
      <c r="F420" s="45" t="str">
        <f>IF(AND(Registro!D419="Abierto",Registro!E419="Alta"),RANK(E420,$E$9:$E$1000,0)+COUNTIF($E$9:E420,E420)-1+MAX(C$5:C$1000),"")</f>
        <v/>
      </c>
      <c r="G420" s="45" t="str">
        <f>IF(AND(Registro!D419="Abierto",Registro!E419="Media"),Registro!B419,"")</f>
        <v/>
      </c>
      <c r="H420" s="45" t="str">
        <f ca="1">IF(AND(Registro!D419="Abierto",Registro!E419="Media"),TODAY()-Registro!R419,"")</f>
        <v/>
      </c>
      <c r="I420" s="45" t="str">
        <f>IF(AND(Registro!D419="Abierto",Registro!E419="Media"),RANK(H420,$H$9:$H$1000,0)+COUNTIF($H$9:H420,H420)-1+MAX(C$5:C$1000,F$5:F$1000),"")</f>
        <v/>
      </c>
      <c r="J420" s="45" t="str">
        <f>IF(AND(Registro!D419="Abierto",Registro!E419="Baja"),Registro!B419,"")</f>
        <v/>
      </c>
      <c r="K420" s="45" t="str">
        <f ca="1">IF(AND(Registro!D419="Abierto",Registro!E419="Baja"),TODAY()-Registro!R419,"")</f>
        <v/>
      </c>
      <c r="L420" s="45" t="str">
        <f>IF(AND(Registro!D419="Abierto",Registro!E419="Baja"),RANK(K420,$K$9:$K$1000,0)+COUNTIF($K$9:K420,K420)-1+MAX(C$5:C$1000,F$5:F$1000,I$5:I$1000),"")</f>
        <v/>
      </c>
      <c r="M420" s="46" t="str">
        <f>IF(OR(Registro!D419="Resuelto",Registro!D419=""),"",SUM(C420,F420,I420,L420))</f>
        <v/>
      </c>
      <c r="N420" s="46" t="str">
        <f>IF(OR(Registro!D419="Resuelto",Registro!D419=""),"",SUM(B420,E420,H420,K420))</f>
        <v/>
      </c>
      <c r="O420" s="46" t="str">
        <f>IF(OR(Registro!D419="Resuelto",Registro!D419=""),"",_xlfn.CONCAT(A420,D420,G420,J420))</f>
        <v/>
      </c>
      <c r="P420" s="47">
        <v>412</v>
      </c>
      <c r="Q420" s="47" t="str">
        <f t="shared" ca="1" si="18"/>
        <v/>
      </c>
      <c r="R420" s="48" t="str">
        <f t="shared" ca="1" si="19"/>
        <v/>
      </c>
      <c r="S420" s="32"/>
      <c r="T420" s="32"/>
      <c r="U420" s="32"/>
      <c r="V420" s="32"/>
      <c r="W420" s="47" t="str">
        <f>IF(X420="","",MAX($W$5:W419)+1)</f>
        <v/>
      </c>
      <c r="X420" s="50" t="str">
        <f>IF(Registro!M419="","",IF(COUNTIF($X$8:X419,Registro!M419)=0,Registro!M419,""))</f>
        <v/>
      </c>
      <c r="Y420" s="50" t="str">
        <f t="shared" si="20"/>
        <v/>
      </c>
    </row>
    <row r="421" spans="1:25">
      <c r="A421" s="45" t="str">
        <f>IF(AND(Registro!D420="Abierto",Registro!E420="Urgente"),Registro!B420,"")</f>
        <v/>
      </c>
      <c r="B421" s="45" t="str">
        <f ca="1">IF(AND(Registro!D420="Abierto",Registro!E420="Urgente"),TODAY()-Registro!R420,"")</f>
        <v/>
      </c>
      <c r="C421" s="45" t="str">
        <f>IF(AND(Registro!D420="Abierto",Registro!E420="Urgente"),RANK(B421,$B$9:$B$1000,0)+COUNTIF($B$9:B421,B421)-1,"")</f>
        <v/>
      </c>
      <c r="D421" s="45" t="str">
        <f>IF(AND(Registro!D420="Abierto",Registro!E420="Alta"),Registro!B420,"")</f>
        <v/>
      </c>
      <c r="E421" s="45" t="str">
        <f ca="1">IF(AND(Registro!D420="Abierto",Registro!E420="Alta"),TODAY()-Registro!R420,"")</f>
        <v/>
      </c>
      <c r="F421" s="45" t="str">
        <f>IF(AND(Registro!D420="Abierto",Registro!E420="Alta"),RANK(E421,$E$9:$E$1000,0)+COUNTIF($E$9:E421,E421)-1+MAX(C$5:C$1000),"")</f>
        <v/>
      </c>
      <c r="G421" s="45" t="str">
        <f>IF(AND(Registro!D420="Abierto",Registro!E420="Media"),Registro!B420,"")</f>
        <v/>
      </c>
      <c r="H421" s="45" t="str">
        <f ca="1">IF(AND(Registro!D420="Abierto",Registro!E420="Media"),TODAY()-Registro!R420,"")</f>
        <v/>
      </c>
      <c r="I421" s="45" t="str">
        <f>IF(AND(Registro!D420="Abierto",Registro!E420="Media"),RANK(H421,$H$9:$H$1000,0)+COUNTIF($H$9:H421,H421)-1+MAX(C$5:C$1000,F$5:F$1000),"")</f>
        <v/>
      </c>
      <c r="J421" s="45" t="str">
        <f>IF(AND(Registro!D420="Abierto",Registro!E420="Baja"),Registro!B420,"")</f>
        <v/>
      </c>
      <c r="K421" s="45" t="str">
        <f ca="1">IF(AND(Registro!D420="Abierto",Registro!E420="Baja"),TODAY()-Registro!R420,"")</f>
        <v/>
      </c>
      <c r="L421" s="45" t="str">
        <f>IF(AND(Registro!D420="Abierto",Registro!E420="Baja"),RANK(K421,$K$9:$K$1000,0)+COUNTIF($K$9:K421,K421)-1+MAX(C$5:C$1000,F$5:F$1000,I$5:I$1000),"")</f>
        <v/>
      </c>
      <c r="M421" s="46" t="str">
        <f>IF(OR(Registro!D420="Resuelto",Registro!D420=""),"",SUM(C421,F421,I421,L421))</f>
        <v/>
      </c>
      <c r="N421" s="46" t="str">
        <f>IF(OR(Registro!D420="Resuelto",Registro!D420=""),"",SUM(B421,E421,H421,K421))</f>
        <v/>
      </c>
      <c r="O421" s="46" t="str">
        <f>IF(OR(Registro!D420="Resuelto",Registro!D420=""),"",_xlfn.CONCAT(A421,D421,G421,J421))</f>
        <v/>
      </c>
      <c r="P421" s="47">
        <v>413</v>
      </c>
      <c r="Q421" s="47" t="str">
        <f t="shared" ca="1" si="18"/>
        <v/>
      </c>
      <c r="R421" s="48" t="str">
        <f t="shared" ca="1" si="19"/>
        <v/>
      </c>
      <c r="S421" s="32"/>
      <c r="T421" s="32"/>
      <c r="U421" s="32"/>
      <c r="V421" s="32"/>
      <c r="W421" s="47" t="str">
        <f>IF(X421="","",MAX($W$5:W420)+1)</f>
        <v/>
      </c>
      <c r="X421" s="50" t="str">
        <f>IF(Registro!M420="","",IF(COUNTIF($X$8:X420,Registro!M420)=0,Registro!M420,""))</f>
        <v/>
      </c>
      <c r="Y421" s="50" t="str">
        <f t="shared" si="20"/>
        <v/>
      </c>
    </row>
    <row r="422" spans="1:25">
      <c r="A422" s="45" t="str">
        <f>IF(AND(Registro!D421="Abierto",Registro!E421="Urgente"),Registro!B421,"")</f>
        <v/>
      </c>
      <c r="B422" s="45" t="str">
        <f ca="1">IF(AND(Registro!D421="Abierto",Registro!E421="Urgente"),TODAY()-Registro!R421,"")</f>
        <v/>
      </c>
      <c r="C422" s="45" t="str">
        <f>IF(AND(Registro!D421="Abierto",Registro!E421="Urgente"),RANK(B422,$B$9:$B$1000,0)+COUNTIF($B$9:B422,B422)-1,"")</f>
        <v/>
      </c>
      <c r="D422" s="45" t="str">
        <f>IF(AND(Registro!D421="Abierto",Registro!E421="Alta"),Registro!B421,"")</f>
        <v/>
      </c>
      <c r="E422" s="45" t="str">
        <f ca="1">IF(AND(Registro!D421="Abierto",Registro!E421="Alta"),TODAY()-Registro!R421,"")</f>
        <v/>
      </c>
      <c r="F422" s="45" t="str">
        <f>IF(AND(Registro!D421="Abierto",Registro!E421="Alta"),RANK(E422,$E$9:$E$1000,0)+COUNTIF($E$9:E422,E422)-1+MAX(C$5:C$1000),"")</f>
        <v/>
      </c>
      <c r="G422" s="45" t="str">
        <f>IF(AND(Registro!D421="Abierto",Registro!E421="Media"),Registro!B421,"")</f>
        <v/>
      </c>
      <c r="H422" s="45" t="str">
        <f ca="1">IF(AND(Registro!D421="Abierto",Registro!E421="Media"),TODAY()-Registro!R421,"")</f>
        <v/>
      </c>
      <c r="I422" s="45" t="str">
        <f>IF(AND(Registro!D421="Abierto",Registro!E421="Media"),RANK(H422,$H$9:$H$1000,0)+COUNTIF($H$9:H422,H422)-1+MAX(C$5:C$1000,F$5:F$1000),"")</f>
        <v/>
      </c>
      <c r="J422" s="45" t="str">
        <f>IF(AND(Registro!D421="Abierto",Registro!E421="Baja"),Registro!B421,"")</f>
        <v/>
      </c>
      <c r="K422" s="45" t="str">
        <f ca="1">IF(AND(Registro!D421="Abierto",Registro!E421="Baja"),TODAY()-Registro!R421,"")</f>
        <v/>
      </c>
      <c r="L422" s="45" t="str">
        <f>IF(AND(Registro!D421="Abierto",Registro!E421="Baja"),RANK(K422,$K$9:$K$1000,0)+COUNTIF($K$9:K422,K422)-1+MAX(C$5:C$1000,F$5:F$1000,I$5:I$1000),"")</f>
        <v/>
      </c>
      <c r="M422" s="46" t="str">
        <f>IF(OR(Registro!D421="Resuelto",Registro!D421=""),"",SUM(C422,F422,I422,L422))</f>
        <v/>
      </c>
      <c r="N422" s="46" t="str">
        <f>IF(OR(Registro!D421="Resuelto",Registro!D421=""),"",SUM(B422,E422,H422,K422))</f>
        <v/>
      </c>
      <c r="O422" s="46" t="str">
        <f>IF(OR(Registro!D421="Resuelto",Registro!D421=""),"",_xlfn.CONCAT(A422,D422,G422,J422))</f>
        <v/>
      </c>
      <c r="P422" s="47">
        <v>414</v>
      </c>
      <c r="Q422" s="47" t="str">
        <f t="shared" ca="1" si="18"/>
        <v/>
      </c>
      <c r="R422" s="48" t="str">
        <f t="shared" ca="1" si="19"/>
        <v/>
      </c>
      <c r="S422" s="32"/>
      <c r="T422" s="32"/>
      <c r="U422" s="32"/>
      <c r="V422" s="32"/>
      <c r="W422" s="47" t="str">
        <f>IF(X422="","",MAX($W$5:W421)+1)</f>
        <v/>
      </c>
      <c r="X422" s="50" t="str">
        <f>IF(Registro!M421="","",IF(COUNTIF($X$8:X421,Registro!M421)=0,Registro!M421,""))</f>
        <v/>
      </c>
      <c r="Y422" s="50" t="str">
        <f t="shared" si="20"/>
        <v/>
      </c>
    </row>
    <row r="423" spans="1:25">
      <c r="A423" s="45" t="str">
        <f>IF(AND(Registro!D422="Abierto",Registro!E422="Urgente"),Registro!B422,"")</f>
        <v/>
      </c>
      <c r="B423" s="45" t="str">
        <f ca="1">IF(AND(Registro!D422="Abierto",Registro!E422="Urgente"),TODAY()-Registro!R422,"")</f>
        <v/>
      </c>
      <c r="C423" s="45" t="str">
        <f>IF(AND(Registro!D422="Abierto",Registro!E422="Urgente"),RANK(B423,$B$9:$B$1000,0)+COUNTIF($B$9:B423,B423)-1,"")</f>
        <v/>
      </c>
      <c r="D423" s="45" t="str">
        <f>IF(AND(Registro!D422="Abierto",Registro!E422="Alta"),Registro!B422,"")</f>
        <v/>
      </c>
      <c r="E423" s="45" t="str">
        <f ca="1">IF(AND(Registro!D422="Abierto",Registro!E422="Alta"),TODAY()-Registro!R422,"")</f>
        <v/>
      </c>
      <c r="F423" s="45" t="str">
        <f>IF(AND(Registro!D422="Abierto",Registro!E422="Alta"),RANK(E423,$E$9:$E$1000,0)+COUNTIF($E$9:E423,E423)-1+MAX(C$5:C$1000),"")</f>
        <v/>
      </c>
      <c r="G423" s="45" t="str">
        <f>IF(AND(Registro!D422="Abierto",Registro!E422="Media"),Registro!B422,"")</f>
        <v/>
      </c>
      <c r="H423" s="45" t="str">
        <f ca="1">IF(AND(Registro!D422="Abierto",Registro!E422="Media"),TODAY()-Registro!R422,"")</f>
        <v/>
      </c>
      <c r="I423" s="45" t="str">
        <f>IF(AND(Registro!D422="Abierto",Registro!E422="Media"),RANK(H423,$H$9:$H$1000,0)+COUNTIF($H$9:H423,H423)-1+MAX(C$5:C$1000,F$5:F$1000),"")</f>
        <v/>
      </c>
      <c r="J423" s="45" t="str">
        <f>IF(AND(Registro!D422="Abierto",Registro!E422="Baja"),Registro!B422,"")</f>
        <v/>
      </c>
      <c r="K423" s="45" t="str">
        <f ca="1">IF(AND(Registro!D422="Abierto",Registro!E422="Baja"),TODAY()-Registro!R422,"")</f>
        <v/>
      </c>
      <c r="L423" s="45" t="str">
        <f>IF(AND(Registro!D422="Abierto",Registro!E422="Baja"),RANK(K423,$K$9:$K$1000,0)+COUNTIF($K$9:K423,K423)-1+MAX(C$5:C$1000,F$5:F$1000,I$5:I$1000),"")</f>
        <v/>
      </c>
      <c r="M423" s="46" t="str">
        <f>IF(OR(Registro!D422="Resuelto",Registro!D422=""),"",SUM(C423,F423,I423,L423))</f>
        <v/>
      </c>
      <c r="N423" s="46" t="str">
        <f>IF(OR(Registro!D422="Resuelto",Registro!D422=""),"",SUM(B423,E423,H423,K423))</f>
        <v/>
      </c>
      <c r="O423" s="46" t="str">
        <f>IF(OR(Registro!D422="Resuelto",Registro!D422=""),"",_xlfn.CONCAT(A423,D423,G423,J423))</f>
        <v/>
      </c>
      <c r="P423" s="47">
        <v>415</v>
      </c>
      <c r="Q423" s="47" t="str">
        <f t="shared" ca="1" si="18"/>
        <v/>
      </c>
      <c r="R423" s="48" t="str">
        <f t="shared" ca="1" si="19"/>
        <v/>
      </c>
      <c r="S423" s="32"/>
      <c r="T423" s="32"/>
      <c r="U423" s="32"/>
      <c r="V423" s="32"/>
      <c r="W423" s="47" t="str">
        <f>IF(X423="","",MAX($W$5:W422)+1)</f>
        <v/>
      </c>
      <c r="X423" s="50" t="str">
        <f>IF(Registro!M422="","",IF(COUNTIF($X$8:X422,Registro!M422)=0,Registro!M422,""))</f>
        <v/>
      </c>
      <c r="Y423" s="50" t="str">
        <f t="shared" si="20"/>
        <v/>
      </c>
    </row>
    <row r="424" spans="1:25">
      <c r="A424" s="45" t="str">
        <f>IF(AND(Registro!D423="Abierto",Registro!E423="Urgente"),Registro!B423,"")</f>
        <v/>
      </c>
      <c r="B424" s="45" t="str">
        <f ca="1">IF(AND(Registro!D423="Abierto",Registro!E423="Urgente"),TODAY()-Registro!R423,"")</f>
        <v/>
      </c>
      <c r="C424" s="45" t="str">
        <f>IF(AND(Registro!D423="Abierto",Registro!E423="Urgente"),RANK(B424,$B$9:$B$1000,0)+COUNTIF($B$9:B424,B424)-1,"")</f>
        <v/>
      </c>
      <c r="D424" s="45" t="str">
        <f>IF(AND(Registro!D423="Abierto",Registro!E423="Alta"),Registro!B423,"")</f>
        <v/>
      </c>
      <c r="E424" s="45" t="str">
        <f ca="1">IF(AND(Registro!D423="Abierto",Registro!E423="Alta"),TODAY()-Registro!R423,"")</f>
        <v/>
      </c>
      <c r="F424" s="45" t="str">
        <f>IF(AND(Registro!D423="Abierto",Registro!E423="Alta"),RANK(E424,$E$9:$E$1000,0)+COUNTIF($E$9:E424,E424)-1+MAX(C$5:C$1000),"")</f>
        <v/>
      </c>
      <c r="G424" s="45" t="str">
        <f>IF(AND(Registro!D423="Abierto",Registro!E423="Media"),Registro!B423,"")</f>
        <v/>
      </c>
      <c r="H424" s="45" t="str">
        <f ca="1">IF(AND(Registro!D423="Abierto",Registro!E423="Media"),TODAY()-Registro!R423,"")</f>
        <v/>
      </c>
      <c r="I424" s="45" t="str">
        <f>IF(AND(Registro!D423="Abierto",Registro!E423="Media"),RANK(H424,$H$9:$H$1000,0)+COUNTIF($H$9:H424,H424)-1+MAX(C$5:C$1000,F$5:F$1000),"")</f>
        <v/>
      </c>
      <c r="J424" s="45" t="str">
        <f>IF(AND(Registro!D423="Abierto",Registro!E423="Baja"),Registro!B423,"")</f>
        <v/>
      </c>
      <c r="K424" s="45" t="str">
        <f ca="1">IF(AND(Registro!D423="Abierto",Registro!E423="Baja"),TODAY()-Registro!R423,"")</f>
        <v/>
      </c>
      <c r="L424" s="45" t="str">
        <f>IF(AND(Registro!D423="Abierto",Registro!E423="Baja"),RANK(K424,$K$9:$K$1000,0)+COUNTIF($K$9:K424,K424)-1+MAX(C$5:C$1000,F$5:F$1000,I$5:I$1000),"")</f>
        <v/>
      </c>
      <c r="M424" s="46" t="str">
        <f>IF(OR(Registro!D423="Resuelto",Registro!D423=""),"",SUM(C424,F424,I424,L424))</f>
        <v/>
      </c>
      <c r="N424" s="46" t="str">
        <f>IF(OR(Registro!D423="Resuelto",Registro!D423=""),"",SUM(B424,E424,H424,K424))</f>
        <v/>
      </c>
      <c r="O424" s="46" t="str">
        <f>IF(OR(Registro!D423="Resuelto",Registro!D423=""),"",_xlfn.CONCAT(A424,D424,G424,J424))</f>
        <v/>
      </c>
      <c r="P424" s="47">
        <v>416</v>
      </c>
      <c r="Q424" s="47" t="str">
        <f t="shared" ca="1" si="18"/>
        <v/>
      </c>
      <c r="R424" s="48" t="str">
        <f t="shared" ca="1" si="19"/>
        <v/>
      </c>
      <c r="S424" s="32"/>
      <c r="T424" s="32"/>
      <c r="U424" s="32"/>
      <c r="V424" s="32"/>
      <c r="W424" s="47" t="str">
        <f>IF(X424="","",MAX($W$5:W423)+1)</f>
        <v/>
      </c>
      <c r="X424" s="50" t="str">
        <f>IF(Registro!M423="","",IF(COUNTIF($X$8:X423,Registro!M423)=0,Registro!M423,""))</f>
        <v/>
      </c>
      <c r="Y424" s="50" t="str">
        <f t="shared" si="20"/>
        <v/>
      </c>
    </row>
    <row r="425" spans="1:25">
      <c r="A425" s="45" t="str">
        <f>IF(AND(Registro!D424="Abierto",Registro!E424="Urgente"),Registro!B424,"")</f>
        <v/>
      </c>
      <c r="B425" s="45" t="str">
        <f ca="1">IF(AND(Registro!D424="Abierto",Registro!E424="Urgente"),TODAY()-Registro!R424,"")</f>
        <v/>
      </c>
      <c r="C425" s="45" t="str">
        <f>IF(AND(Registro!D424="Abierto",Registro!E424="Urgente"),RANK(B425,$B$9:$B$1000,0)+COUNTIF($B$9:B425,B425)-1,"")</f>
        <v/>
      </c>
      <c r="D425" s="45" t="str">
        <f>IF(AND(Registro!D424="Abierto",Registro!E424="Alta"),Registro!B424,"")</f>
        <v/>
      </c>
      <c r="E425" s="45" t="str">
        <f ca="1">IF(AND(Registro!D424="Abierto",Registro!E424="Alta"),TODAY()-Registro!R424,"")</f>
        <v/>
      </c>
      <c r="F425" s="45" t="str">
        <f>IF(AND(Registro!D424="Abierto",Registro!E424="Alta"),RANK(E425,$E$9:$E$1000,0)+COUNTIF($E$9:E425,E425)-1+MAX(C$5:C$1000),"")</f>
        <v/>
      </c>
      <c r="G425" s="45" t="str">
        <f>IF(AND(Registro!D424="Abierto",Registro!E424="Media"),Registro!B424,"")</f>
        <v/>
      </c>
      <c r="H425" s="45" t="str">
        <f ca="1">IF(AND(Registro!D424="Abierto",Registro!E424="Media"),TODAY()-Registro!R424,"")</f>
        <v/>
      </c>
      <c r="I425" s="45" t="str">
        <f>IF(AND(Registro!D424="Abierto",Registro!E424="Media"),RANK(H425,$H$9:$H$1000,0)+COUNTIF($H$9:H425,H425)-1+MAX(C$5:C$1000,F$5:F$1000),"")</f>
        <v/>
      </c>
      <c r="J425" s="45" t="str">
        <f>IF(AND(Registro!D424="Abierto",Registro!E424="Baja"),Registro!B424,"")</f>
        <v/>
      </c>
      <c r="K425" s="45" t="str">
        <f ca="1">IF(AND(Registro!D424="Abierto",Registro!E424="Baja"),TODAY()-Registro!R424,"")</f>
        <v/>
      </c>
      <c r="L425" s="45" t="str">
        <f>IF(AND(Registro!D424="Abierto",Registro!E424="Baja"),RANK(K425,$K$9:$K$1000,0)+COUNTIF($K$9:K425,K425)-1+MAX(C$5:C$1000,F$5:F$1000,I$5:I$1000),"")</f>
        <v/>
      </c>
      <c r="M425" s="46" t="str">
        <f>IF(OR(Registro!D424="Resuelto",Registro!D424=""),"",SUM(C425,F425,I425,L425))</f>
        <v/>
      </c>
      <c r="N425" s="46" t="str">
        <f>IF(OR(Registro!D424="Resuelto",Registro!D424=""),"",SUM(B425,E425,H425,K425))</f>
        <v/>
      </c>
      <c r="O425" s="46" t="str">
        <f>IF(OR(Registro!D424="Resuelto",Registro!D424=""),"",_xlfn.CONCAT(A425,D425,G425,J425))</f>
        <v/>
      </c>
      <c r="P425" s="47">
        <v>417</v>
      </c>
      <c r="Q425" s="47" t="str">
        <f t="shared" ca="1" si="18"/>
        <v/>
      </c>
      <c r="R425" s="48" t="str">
        <f t="shared" ca="1" si="19"/>
        <v/>
      </c>
      <c r="S425" s="32"/>
      <c r="T425" s="32"/>
      <c r="U425" s="32"/>
      <c r="V425" s="32"/>
      <c r="W425" s="47" t="str">
        <f>IF(X425="","",MAX($W$5:W424)+1)</f>
        <v/>
      </c>
      <c r="X425" s="50" t="str">
        <f>IF(Registro!M424="","",IF(COUNTIF($X$8:X424,Registro!M424)=0,Registro!M424,""))</f>
        <v/>
      </c>
      <c r="Y425" s="50" t="str">
        <f t="shared" si="20"/>
        <v/>
      </c>
    </row>
    <row r="426" spans="1:25">
      <c r="A426" s="45" t="str">
        <f>IF(AND(Registro!D425="Abierto",Registro!E425="Urgente"),Registro!B425,"")</f>
        <v/>
      </c>
      <c r="B426" s="45" t="str">
        <f ca="1">IF(AND(Registro!D425="Abierto",Registro!E425="Urgente"),TODAY()-Registro!R425,"")</f>
        <v/>
      </c>
      <c r="C426" s="45" t="str">
        <f>IF(AND(Registro!D425="Abierto",Registro!E425="Urgente"),RANK(B426,$B$9:$B$1000,0)+COUNTIF($B$9:B426,B426)-1,"")</f>
        <v/>
      </c>
      <c r="D426" s="45" t="str">
        <f>IF(AND(Registro!D425="Abierto",Registro!E425="Alta"),Registro!B425,"")</f>
        <v/>
      </c>
      <c r="E426" s="45" t="str">
        <f ca="1">IF(AND(Registro!D425="Abierto",Registro!E425="Alta"),TODAY()-Registro!R425,"")</f>
        <v/>
      </c>
      <c r="F426" s="45" t="str">
        <f>IF(AND(Registro!D425="Abierto",Registro!E425="Alta"),RANK(E426,$E$9:$E$1000,0)+COUNTIF($E$9:E426,E426)-1+MAX(C$5:C$1000),"")</f>
        <v/>
      </c>
      <c r="G426" s="45" t="str">
        <f>IF(AND(Registro!D425="Abierto",Registro!E425="Media"),Registro!B425,"")</f>
        <v/>
      </c>
      <c r="H426" s="45" t="str">
        <f ca="1">IF(AND(Registro!D425="Abierto",Registro!E425="Media"),TODAY()-Registro!R425,"")</f>
        <v/>
      </c>
      <c r="I426" s="45" t="str">
        <f>IF(AND(Registro!D425="Abierto",Registro!E425="Media"),RANK(H426,$H$9:$H$1000,0)+COUNTIF($H$9:H426,H426)-1+MAX(C$5:C$1000,F$5:F$1000),"")</f>
        <v/>
      </c>
      <c r="J426" s="45" t="str">
        <f>IF(AND(Registro!D425="Abierto",Registro!E425="Baja"),Registro!B425,"")</f>
        <v/>
      </c>
      <c r="K426" s="45" t="str">
        <f ca="1">IF(AND(Registro!D425="Abierto",Registro!E425="Baja"),TODAY()-Registro!R425,"")</f>
        <v/>
      </c>
      <c r="L426" s="45" t="str">
        <f>IF(AND(Registro!D425="Abierto",Registro!E425="Baja"),RANK(K426,$K$9:$K$1000,0)+COUNTIF($K$9:K426,K426)-1+MAX(C$5:C$1000,F$5:F$1000,I$5:I$1000),"")</f>
        <v/>
      </c>
      <c r="M426" s="46" t="str">
        <f>IF(OR(Registro!D425="Resuelto",Registro!D425=""),"",SUM(C426,F426,I426,L426))</f>
        <v/>
      </c>
      <c r="N426" s="46" t="str">
        <f>IF(OR(Registro!D425="Resuelto",Registro!D425=""),"",SUM(B426,E426,H426,K426))</f>
        <v/>
      </c>
      <c r="O426" s="46" t="str">
        <f>IF(OR(Registro!D425="Resuelto",Registro!D425=""),"",_xlfn.CONCAT(A426,D426,G426,J426))</f>
        <v/>
      </c>
      <c r="P426" s="47">
        <v>418</v>
      </c>
      <c r="Q426" s="47" t="str">
        <f t="shared" ca="1" si="18"/>
        <v/>
      </c>
      <c r="R426" s="48" t="str">
        <f t="shared" ca="1" si="19"/>
        <v/>
      </c>
      <c r="S426" s="32"/>
      <c r="T426" s="32"/>
      <c r="U426" s="32"/>
      <c r="V426" s="32"/>
      <c r="W426" s="47" t="str">
        <f>IF(X426="","",MAX($W$5:W425)+1)</f>
        <v/>
      </c>
      <c r="X426" s="50" t="str">
        <f>IF(Registro!M425="","",IF(COUNTIF($X$8:X425,Registro!M425)=0,Registro!M425,""))</f>
        <v/>
      </c>
      <c r="Y426" s="50" t="str">
        <f t="shared" si="20"/>
        <v/>
      </c>
    </row>
    <row r="427" spans="1:25">
      <c r="A427" s="45" t="str">
        <f>IF(AND(Registro!D426="Abierto",Registro!E426="Urgente"),Registro!B426,"")</f>
        <v/>
      </c>
      <c r="B427" s="45" t="str">
        <f ca="1">IF(AND(Registro!D426="Abierto",Registro!E426="Urgente"),TODAY()-Registro!R426,"")</f>
        <v/>
      </c>
      <c r="C427" s="45" t="str">
        <f>IF(AND(Registro!D426="Abierto",Registro!E426="Urgente"),RANK(B427,$B$9:$B$1000,0)+COUNTIF($B$9:B427,B427)-1,"")</f>
        <v/>
      </c>
      <c r="D427" s="45" t="str">
        <f>IF(AND(Registro!D426="Abierto",Registro!E426="Alta"),Registro!B426,"")</f>
        <v/>
      </c>
      <c r="E427" s="45" t="str">
        <f ca="1">IF(AND(Registro!D426="Abierto",Registro!E426="Alta"),TODAY()-Registro!R426,"")</f>
        <v/>
      </c>
      <c r="F427" s="45" t="str">
        <f>IF(AND(Registro!D426="Abierto",Registro!E426="Alta"),RANK(E427,$E$9:$E$1000,0)+COUNTIF($E$9:E427,E427)-1+MAX(C$5:C$1000),"")</f>
        <v/>
      </c>
      <c r="G427" s="45" t="str">
        <f>IF(AND(Registro!D426="Abierto",Registro!E426="Media"),Registro!B426,"")</f>
        <v/>
      </c>
      <c r="H427" s="45" t="str">
        <f ca="1">IF(AND(Registro!D426="Abierto",Registro!E426="Media"),TODAY()-Registro!R426,"")</f>
        <v/>
      </c>
      <c r="I427" s="45" t="str">
        <f>IF(AND(Registro!D426="Abierto",Registro!E426="Media"),RANK(H427,$H$9:$H$1000,0)+COUNTIF($H$9:H427,H427)-1+MAX(C$5:C$1000,F$5:F$1000),"")</f>
        <v/>
      </c>
      <c r="J427" s="45" t="str">
        <f>IF(AND(Registro!D426="Abierto",Registro!E426="Baja"),Registro!B426,"")</f>
        <v/>
      </c>
      <c r="K427" s="45" t="str">
        <f ca="1">IF(AND(Registro!D426="Abierto",Registro!E426="Baja"),TODAY()-Registro!R426,"")</f>
        <v/>
      </c>
      <c r="L427" s="45" t="str">
        <f>IF(AND(Registro!D426="Abierto",Registro!E426="Baja"),RANK(K427,$K$9:$K$1000,0)+COUNTIF($K$9:K427,K427)-1+MAX(C$5:C$1000,F$5:F$1000,I$5:I$1000),"")</f>
        <v/>
      </c>
      <c r="M427" s="46" t="str">
        <f>IF(OR(Registro!D426="Resuelto",Registro!D426=""),"",SUM(C427,F427,I427,L427))</f>
        <v/>
      </c>
      <c r="N427" s="46" t="str">
        <f>IF(OR(Registro!D426="Resuelto",Registro!D426=""),"",SUM(B427,E427,H427,K427))</f>
        <v/>
      </c>
      <c r="O427" s="46" t="str">
        <f>IF(OR(Registro!D426="Resuelto",Registro!D426=""),"",_xlfn.CONCAT(A427,D427,G427,J427))</f>
        <v/>
      </c>
      <c r="P427" s="47">
        <v>419</v>
      </c>
      <c r="Q427" s="47" t="str">
        <f t="shared" ca="1" si="18"/>
        <v/>
      </c>
      <c r="R427" s="48" t="str">
        <f t="shared" ca="1" si="19"/>
        <v/>
      </c>
      <c r="S427" s="32"/>
      <c r="T427" s="32"/>
      <c r="U427" s="32"/>
      <c r="V427" s="32"/>
      <c r="W427" s="47" t="str">
        <f>IF(X427="","",MAX($W$5:W426)+1)</f>
        <v/>
      </c>
      <c r="X427" s="50" t="str">
        <f>IF(Registro!M426="","",IF(COUNTIF($X$8:X426,Registro!M426)=0,Registro!M426,""))</f>
        <v/>
      </c>
      <c r="Y427" s="50" t="str">
        <f t="shared" si="20"/>
        <v/>
      </c>
    </row>
    <row r="428" spans="1:25">
      <c r="A428" s="45" t="str">
        <f>IF(AND(Registro!D427="Abierto",Registro!E427="Urgente"),Registro!B427,"")</f>
        <v/>
      </c>
      <c r="B428" s="45" t="str">
        <f ca="1">IF(AND(Registro!D427="Abierto",Registro!E427="Urgente"),TODAY()-Registro!R427,"")</f>
        <v/>
      </c>
      <c r="C428" s="45" t="str">
        <f>IF(AND(Registro!D427="Abierto",Registro!E427="Urgente"),RANK(B428,$B$9:$B$1000,0)+COUNTIF($B$9:B428,B428)-1,"")</f>
        <v/>
      </c>
      <c r="D428" s="45" t="str">
        <f>IF(AND(Registro!D427="Abierto",Registro!E427="Alta"),Registro!B427,"")</f>
        <v/>
      </c>
      <c r="E428" s="45" t="str">
        <f ca="1">IF(AND(Registro!D427="Abierto",Registro!E427="Alta"),TODAY()-Registro!R427,"")</f>
        <v/>
      </c>
      <c r="F428" s="45" t="str">
        <f>IF(AND(Registro!D427="Abierto",Registro!E427="Alta"),RANK(E428,$E$9:$E$1000,0)+COUNTIF($E$9:E428,E428)-1+MAX(C$5:C$1000),"")</f>
        <v/>
      </c>
      <c r="G428" s="45" t="str">
        <f>IF(AND(Registro!D427="Abierto",Registro!E427="Media"),Registro!B427,"")</f>
        <v/>
      </c>
      <c r="H428" s="45" t="str">
        <f ca="1">IF(AND(Registro!D427="Abierto",Registro!E427="Media"),TODAY()-Registro!R427,"")</f>
        <v/>
      </c>
      <c r="I428" s="45" t="str">
        <f>IF(AND(Registro!D427="Abierto",Registro!E427="Media"),RANK(H428,$H$9:$H$1000,0)+COUNTIF($H$9:H428,H428)-1+MAX(C$5:C$1000,F$5:F$1000),"")</f>
        <v/>
      </c>
      <c r="J428" s="45" t="str">
        <f>IF(AND(Registro!D427="Abierto",Registro!E427="Baja"),Registro!B427,"")</f>
        <v/>
      </c>
      <c r="K428" s="45" t="str">
        <f ca="1">IF(AND(Registro!D427="Abierto",Registro!E427="Baja"),TODAY()-Registro!R427,"")</f>
        <v/>
      </c>
      <c r="L428" s="45" t="str">
        <f>IF(AND(Registro!D427="Abierto",Registro!E427="Baja"),RANK(K428,$K$9:$K$1000,0)+COUNTIF($K$9:K428,K428)-1+MAX(C$5:C$1000,F$5:F$1000,I$5:I$1000),"")</f>
        <v/>
      </c>
      <c r="M428" s="46" t="str">
        <f>IF(OR(Registro!D427="Resuelto",Registro!D427=""),"",SUM(C428,F428,I428,L428))</f>
        <v/>
      </c>
      <c r="N428" s="46" t="str">
        <f>IF(OR(Registro!D427="Resuelto",Registro!D427=""),"",SUM(B428,E428,H428,K428))</f>
        <v/>
      </c>
      <c r="O428" s="46" t="str">
        <f>IF(OR(Registro!D427="Resuelto",Registro!D427=""),"",_xlfn.CONCAT(A428,D428,G428,J428))</f>
        <v/>
      </c>
      <c r="P428" s="47">
        <v>420</v>
      </c>
      <c r="Q428" s="47" t="str">
        <f t="shared" ca="1" si="18"/>
        <v/>
      </c>
      <c r="R428" s="48" t="str">
        <f t="shared" ca="1" si="19"/>
        <v/>
      </c>
      <c r="S428" s="32"/>
      <c r="T428" s="32"/>
      <c r="U428" s="32"/>
      <c r="V428" s="32"/>
      <c r="W428" s="47" t="str">
        <f>IF(X428="","",MAX($W$5:W427)+1)</f>
        <v/>
      </c>
      <c r="X428" s="50" t="str">
        <f>IF(Registro!M427="","",IF(COUNTIF($X$8:X427,Registro!M427)=0,Registro!M427,""))</f>
        <v/>
      </c>
      <c r="Y428" s="50" t="str">
        <f t="shared" si="20"/>
        <v/>
      </c>
    </row>
    <row r="429" spans="1:25">
      <c r="A429" s="45" t="str">
        <f>IF(AND(Registro!D428="Abierto",Registro!E428="Urgente"),Registro!B428,"")</f>
        <v/>
      </c>
      <c r="B429" s="45" t="str">
        <f ca="1">IF(AND(Registro!D428="Abierto",Registro!E428="Urgente"),TODAY()-Registro!R428,"")</f>
        <v/>
      </c>
      <c r="C429" s="45" t="str">
        <f>IF(AND(Registro!D428="Abierto",Registro!E428="Urgente"),RANK(B429,$B$9:$B$1000,0)+COUNTIF($B$9:B429,B429)-1,"")</f>
        <v/>
      </c>
      <c r="D429" s="45" t="str">
        <f>IF(AND(Registro!D428="Abierto",Registro!E428="Alta"),Registro!B428,"")</f>
        <v/>
      </c>
      <c r="E429" s="45" t="str">
        <f ca="1">IF(AND(Registro!D428="Abierto",Registro!E428="Alta"),TODAY()-Registro!R428,"")</f>
        <v/>
      </c>
      <c r="F429" s="45" t="str">
        <f>IF(AND(Registro!D428="Abierto",Registro!E428="Alta"),RANK(E429,$E$9:$E$1000,0)+COUNTIF($E$9:E429,E429)-1+MAX(C$5:C$1000),"")</f>
        <v/>
      </c>
      <c r="G429" s="45" t="str">
        <f>IF(AND(Registro!D428="Abierto",Registro!E428="Media"),Registro!B428,"")</f>
        <v/>
      </c>
      <c r="H429" s="45" t="str">
        <f ca="1">IF(AND(Registro!D428="Abierto",Registro!E428="Media"),TODAY()-Registro!R428,"")</f>
        <v/>
      </c>
      <c r="I429" s="45" t="str">
        <f>IF(AND(Registro!D428="Abierto",Registro!E428="Media"),RANK(H429,$H$9:$H$1000,0)+COUNTIF($H$9:H429,H429)-1+MAX(C$5:C$1000,F$5:F$1000),"")</f>
        <v/>
      </c>
      <c r="J429" s="45" t="str">
        <f>IF(AND(Registro!D428="Abierto",Registro!E428="Baja"),Registro!B428,"")</f>
        <v/>
      </c>
      <c r="K429" s="45" t="str">
        <f ca="1">IF(AND(Registro!D428="Abierto",Registro!E428="Baja"),TODAY()-Registro!R428,"")</f>
        <v/>
      </c>
      <c r="L429" s="45" t="str">
        <f>IF(AND(Registro!D428="Abierto",Registro!E428="Baja"),RANK(K429,$K$9:$K$1000,0)+COUNTIF($K$9:K429,K429)-1+MAX(C$5:C$1000,F$5:F$1000,I$5:I$1000),"")</f>
        <v/>
      </c>
      <c r="M429" s="46" t="str">
        <f>IF(OR(Registro!D428="Resuelto",Registro!D428=""),"",SUM(C429,F429,I429,L429))</f>
        <v/>
      </c>
      <c r="N429" s="46" t="str">
        <f>IF(OR(Registro!D428="Resuelto",Registro!D428=""),"",SUM(B429,E429,H429,K429))</f>
        <v/>
      </c>
      <c r="O429" s="46" t="str">
        <f>IF(OR(Registro!D428="Resuelto",Registro!D428=""),"",_xlfn.CONCAT(A429,D429,G429,J429))</f>
        <v/>
      </c>
      <c r="P429" s="47">
        <v>421</v>
      </c>
      <c r="Q429" s="47" t="str">
        <f t="shared" ca="1" si="18"/>
        <v/>
      </c>
      <c r="R429" s="48" t="str">
        <f t="shared" ca="1" si="19"/>
        <v/>
      </c>
      <c r="S429" s="32"/>
      <c r="T429" s="32"/>
      <c r="U429" s="32"/>
      <c r="V429" s="32"/>
      <c r="W429" s="47" t="str">
        <f>IF(X429="","",MAX($W$5:W428)+1)</f>
        <v/>
      </c>
      <c r="X429" s="50" t="str">
        <f>IF(Registro!M428="","",IF(COUNTIF($X$8:X428,Registro!M428)=0,Registro!M428,""))</f>
        <v/>
      </c>
      <c r="Y429" s="50" t="str">
        <f t="shared" si="20"/>
        <v/>
      </c>
    </row>
    <row r="430" spans="1:25">
      <c r="A430" s="45" t="str">
        <f>IF(AND(Registro!D429="Abierto",Registro!E429="Urgente"),Registro!B429,"")</f>
        <v/>
      </c>
      <c r="B430" s="45" t="str">
        <f ca="1">IF(AND(Registro!D429="Abierto",Registro!E429="Urgente"),TODAY()-Registro!R429,"")</f>
        <v/>
      </c>
      <c r="C430" s="45" t="str">
        <f>IF(AND(Registro!D429="Abierto",Registro!E429="Urgente"),RANK(B430,$B$9:$B$1000,0)+COUNTIF($B$9:B430,B430)-1,"")</f>
        <v/>
      </c>
      <c r="D430" s="45" t="str">
        <f>IF(AND(Registro!D429="Abierto",Registro!E429="Alta"),Registro!B429,"")</f>
        <v/>
      </c>
      <c r="E430" s="45" t="str">
        <f ca="1">IF(AND(Registro!D429="Abierto",Registro!E429="Alta"),TODAY()-Registro!R429,"")</f>
        <v/>
      </c>
      <c r="F430" s="45" t="str">
        <f>IF(AND(Registro!D429="Abierto",Registro!E429="Alta"),RANK(E430,$E$9:$E$1000,0)+COUNTIF($E$9:E430,E430)-1+MAX(C$5:C$1000),"")</f>
        <v/>
      </c>
      <c r="G430" s="45" t="str">
        <f>IF(AND(Registro!D429="Abierto",Registro!E429="Media"),Registro!B429,"")</f>
        <v/>
      </c>
      <c r="H430" s="45" t="str">
        <f ca="1">IF(AND(Registro!D429="Abierto",Registro!E429="Media"),TODAY()-Registro!R429,"")</f>
        <v/>
      </c>
      <c r="I430" s="45" t="str">
        <f>IF(AND(Registro!D429="Abierto",Registro!E429="Media"),RANK(H430,$H$9:$H$1000,0)+COUNTIF($H$9:H430,H430)-1+MAX(C$5:C$1000,F$5:F$1000),"")</f>
        <v/>
      </c>
      <c r="J430" s="45" t="str">
        <f>IF(AND(Registro!D429="Abierto",Registro!E429="Baja"),Registro!B429,"")</f>
        <v/>
      </c>
      <c r="K430" s="45" t="str">
        <f ca="1">IF(AND(Registro!D429="Abierto",Registro!E429="Baja"),TODAY()-Registro!R429,"")</f>
        <v/>
      </c>
      <c r="L430" s="45" t="str">
        <f>IF(AND(Registro!D429="Abierto",Registro!E429="Baja"),RANK(K430,$K$9:$K$1000,0)+COUNTIF($K$9:K430,K430)-1+MAX(C$5:C$1000,F$5:F$1000,I$5:I$1000),"")</f>
        <v/>
      </c>
      <c r="M430" s="46" t="str">
        <f>IF(OR(Registro!D429="Resuelto",Registro!D429=""),"",SUM(C430,F430,I430,L430))</f>
        <v/>
      </c>
      <c r="N430" s="46" t="str">
        <f>IF(OR(Registro!D429="Resuelto",Registro!D429=""),"",SUM(B430,E430,H430,K430))</f>
        <v/>
      </c>
      <c r="O430" s="46" t="str">
        <f>IF(OR(Registro!D429="Resuelto",Registro!D429=""),"",_xlfn.CONCAT(A430,D430,G430,J430))</f>
        <v/>
      </c>
      <c r="P430" s="47">
        <v>422</v>
      </c>
      <c r="Q430" s="47" t="str">
        <f t="shared" ca="1" si="18"/>
        <v/>
      </c>
      <c r="R430" s="48" t="str">
        <f t="shared" ca="1" si="19"/>
        <v/>
      </c>
      <c r="S430" s="32"/>
      <c r="T430" s="32"/>
      <c r="U430" s="32"/>
      <c r="V430" s="32"/>
      <c r="W430" s="47" t="str">
        <f>IF(X430="","",MAX($W$5:W429)+1)</f>
        <v/>
      </c>
      <c r="X430" s="50" t="str">
        <f>IF(Registro!M429="","",IF(COUNTIF($X$8:X429,Registro!M429)=0,Registro!M429,""))</f>
        <v/>
      </c>
      <c r="Y430" s="50" t="str">
        <f t="shared" si="20"/>
        <v/>
      </c>
    </row>
    <row r="431" spans="1:25">
      <c r="A431" s="45" t="str">
        <f>IF(AND(Registro!D430="Abierto",Registro!E430="Urgente"),Registro!B430,"")</f>
        <v/>
      </c>
      <c r="B431" s="45" t="str">
        <f ca="1">IF(AND(Registro!D430="Abierto",Registro!E430="Urgente"),TODAY()-Registro!R430,"")</f>
        <v/>
      </c>
      <c r="C431" s="45" t="str">
        <f>IF(AND(Registro!D430="Abierto",Registro!E430="Urgente"),RANK(B431,$B$9:$B$1000,0)+COUNTIF($B$9:B431,B431)-1,"")</f>
        <v/>
      </c>
      <c r="D431" s="45" t="str">
        <f>IF(AND(Registro!D430="Abierto",Registro!E430="Alta"),Registro!B430,"")</f>
        <v/>
      </c>
      <c r="E431" s="45" t="str">
        <f ca="1">IF(AND(Registro!D430="Abierto",Registro!E430="Alta"),TODAY()-Registro!R430,"")</f>
        <v/>
      </c>
      <c r="F431" s="45" t="str">
        <f>IF(AND(Registro!D430="Abierto",Registro!E430="Alta"),RANK(E431,$E$9:$E$1000,0)+COUNTIF($E$9:E431,E431)-1+MAX(C$5:C$1000),"")</f>
        <v/>
      </c>
      <c r="G431" s="45" t="str">
        <f>IF(AND(Registro!D430="Abierto",Registro!E430="Media"),Registro!B430,"")</f>
        <v/>
      </c>
      <c r="H431" s="45" t="str">
        <f ca="1">IF(AND(Registro!D430="Abierto",Registro!E430="Media"),TODAY()-Registro!R430,"")</f>
        <v/>
      </c>
      <c r="I431" s="45" t="str">
        <f>IF(AND(Registro!D430="Abierto",Registro!E430="Media"),RANK(H431,$H$9:$H$1000,0)+COUNTIF($H$9:H431,H431)-1+MAX(C$5:C$1000,F$5:F$1000),"")</f>
        <v/>
      </c>
      <c r="J431" s="45" t="str">
        <f>IF(AND(Registro!D430="Abierto",Registro!E430="Baja"),Registro!B430,"")</f>
        <v/>
      </c>
      <c r="K431" s="45" t="str">
        <f ca="1">IF(AND(Registro!D430="Abierto",Registro!E430="Baja"),TODAY()-Registro!R430,"")</f>
        <v/>
      </c>
      <c r="L431" s="45" t="str">
        <f>IF(AND(Registro!D430="Abierto",Registro!E430="Baja"),RANK(K431,$K$9:$K$1000,0)+COUNTIF($K$9:K431,K431)-1+MAX(C$5:C$1000,F$5:F$1000,I$5:I$1000),"")</f>
        <v/>
      </c>
      <c r="M431" s="46" t="str">
        <f>IF(OR(Registro!D430="Resuelto",Registro!D430=""),"",SUM(C431,F431,I431,L431))</f>
        <v/>
      </c>
      <c r="N431" s="46" t="str">
        <f>IF(OR(Registro!D430="Resuelto",Registro!D430=""),"",SUM(B431,E431,H431,K431))</f>
        <v/>
      </c>
      <c r="O431" s="46" t="str">
        <f>IF(OR(Registro!D430="Resuelto",Registro!D430=""),"",_xlfn.CONCAT(A431,D431,G431,J431))</f>
        <v/>
      </c>
      <c r="P431" s="47">
        <v>423</v>
      </c>
      <c r="Q431" s="47" t="str">
        <f t="shared" ca="1" si="18"/>
        <v/>
      </c>
      <c r="R431" s="48" t="str">
        <f t="shared" ca="1" si="19"/>
        <v/>
      </c>
      <c r="S431" s="32"/>
      <c r="T431" s="32"/>
      <c r="U431" s="32"/>
      <c r="V431" s="32"/>
      <c r="W431" s="47" t="str">
        <f>IF(X431="","",MAX($W$5:W430)+1)</f>
        <v/>
      </c>
      <c r="X431" s="50" t="str">
        <f>IF(Registro!M430="","",IF(COUNTIF($X$8:X430,Registro!M430)=0,Registro!M430,""))</f>
        <v/>
      </c>
      <c r="Y431" s="50" t="str">
        <f t="shared" si="20"/>
        <v/>
      </c>
    </row>
    <row r="432" spans="1:25">
      <c r="A432" s="45" t="str">
        <f>IF(AND(Registro!D431="Abierto",Registro!E431="Urgente"),Registro!B431,"")</f>
        <v/>
      </c>
      <c r="B432" s="45" t="str">
        <f ca="1">IF(AND(Registro!D431="Abierto",Registro!E431="Urgente"),TODAY()-Registro!R431,"")</f>
        <v/>
      </c>
      <c r="C432" s="45" t="str">
        <f>IF(AND(Registro!D431="Abierto",Registro!E431="Urgente"),RANK(B432,$B$9:$B$1000,0)+COUNTIF($B$9:B432,B432)-1,"")</f>
        <v/>
      </c>
      <c r="D432" s="45" t="str">
        <f>IF(AND(Registro!D431="Abierto",Registro!E431="Alta"),Registro!B431,"")</f>
        <v/>
      </c>
      <c r="E432" s="45" t="str">
        <f ca="1">IF(AND(Registro!D431="Abierto",Registro!E431="Alta"),TODAY()-Registro!R431,"")</f>
        <v/>
      </c>
      <c r="F432" s="45" t="str">
        <f>IF(AND(Registro!D431="Abierto",Registro!E431="Alta"),RANK(E432,$E$9:$E$1000,0)+COUNTIF($E$9:E432,E432)-1+MAX(C$5:C$1000),"")</f>
        <v/>
      </c>
      <c r="G432" s="45" t="str">
        <f>IF(AND(Registro!D431="Abierto",Registro!E431="Media"),Registro!B431,"")</f>
        <v/>
      </c>
      <c r="H432" s="45" t="str">
        <f ca="1">IF(AND(Registro!D431="Abierto",Registro!E431="Media"),TODAY()-Registro!R431,"")</f>
        <v/>
      </c>
      <c r="I432" s="45" t="str">
        <f>IF(AND(Registro!D431="Abierto",Registro!E431="Media"),RANK(H432,$H$9:$H$1000,0)+COUNTIF($H$9:H432,H432)-1+MAX(C$5:C$1000,F$5:F$1000),"")</f>
        <v/>
      </c>
      <c r="J432" s="45" t="str">
        <f>IF(AND(Registro!D431="Abierto",Registro!E431="Baja"),Registro!B431,"")</f>
        <v/>
      </c>
      <c r="K432" s="45" t="str">
        <f ca="1">IF(AND(Registro!D431="Abierto",Registro!E431="Baja"),TODAY()-Registro!R431,"")</f>
        <v/>
      </c>
      <c r="L432" s="45" t="str">
        <f>IF(AND(Registro!D431="Abierto",Registro!E431="Baja"),RANK(K432,$K$9:$K$1000,0)+COUNTIF($K$9:K432,K432)-1+MAX(C$5:C$1000,F$5:F$1000,I$5:I$1000),"")</f>
        <v/>
      </c>
      <c r="M432" s="46" t="str">
        <f>IF(OR(Registro!D431="Resuelto",Registro!D431=""),"",SUM(C432,F432,I432,L432))</f>
        <v/>
      </c>
      <c r="N432" s="46" t="str">
        <f>IF(OR(Registro!D431="Resuelto",Registro!D431=""),"",SUM(B432,E432,H432,K432))</f>
        <v/>
      </c>
      <c r="O432" s="46" t="str">
        <f>IF(OR(Registro!D431="Resuelto",Registro!D431=""),"",_xlfn.CONCAT(A432,D432,G432,J432))</f>
        <v/>
      </c>
      <c r="P432" s="47">
        <v>424</v>
      </c>
      <c r="Q432" s="47" t="str">
        <f t="shared" ca="1" si="18"/>
        <v/>
      </c>
      <c r="R432" s="48" t="str">
        <f t="shared" ca="1" si="19"/>
        <v/>
      </c>
      <c r="S432" s="32"/>
      <c r="T432" s="32"/>
      <c r="U432" s="32"/>
      <c r="V432" s="32"/>
      <c r="W432" s="47" t="str">
        <f>IF(X432="","",MAX($W$5:W431)+1)</f>
        <v/>
      </c>
      <c r="X432" s="50" t="str">
        <f>IF(Registro!M431="","",IF(COUNTIF($X$8:X431,Registro!M431)=0,Registro!M431,""))</f>
        <v/>
      </c>
      <c r="Y432" s="50" t="str">
        <f t="shared" si="20"/>
        <v/>
      </c>
    </row>
    <row r="433" spans="1:25">
      <c r="A433" s="45" t="str">
        <f>IF(AND(Registro!D432="Abierto",Registro!E432="Urgente"),Registro!B432,"")</f>
        <v/>
      </c>
      <c r="B433" s="45" t="str">
        <f ca="1">IF(AND(Registro!D432="Abierto",Registro!E432="Urgente"),TODAY()-Registro!R432,"")</f>
        <v/>
      </c>
      <c r="C433" s="45" t="str">
        <f>IF(AND(Registro!D432="Abierto",Registro!E432="Urgente"),RANK(B433,$B$9:$B$1000,0)+COUNTIF($B$9:B433,B433)-1,"")</f>
        <v/>
      </c>
      <c r="D433" s="45" t="str">
        <f>IF(AND(Registro!D432="Abierto",Registro!E432="Alta"),Registro!B432,"")</f>
        <v/>
      </c>
      <c r="E433" s="45" t="str">
        <f ca="1">IF(AND(Registro!D432="Abierto",Registro!E432="Alta"),TODAY()-Registro!R432,"")</f>
        <v/>
      </c>
      <c r="F433" s="45" t="str">
        <f>IF(AND(Registro!D432="Abierto",Registro!E432="Alta"),RANK(E433,$E$9:$E$1000,0)+COUNTIF($E$9:E433,E433)-1+MAX(C$5:C$1000),"")</f>
        <v/>
      </c>
      <c r="G433" s="45" t="str">
        <f>IF(AND(Registro!D432="Abierto",Registro!E432="Media"),Registro!B432,"")</f>
        <v/>
      </c>
      <c r="H433" s="45" t="str">
        <f ca="1">IF(AND(Registro!D432="Abierto",Registro!E432="Media"),TODAY()-Registro!R432,"")</f>
        <v/>
      </c>
      <c r="I433" s="45" t="str">
        <f>IF(AND(Registro!D432="Abierto",Registro!E432="Media"),RANK(H433,$H$9:$H$1000,0)+COUNTIF($H$9:H433,H433)-1+MAX(C$5:C$1000,F$5:F$1000),"")</f>
        <v/>
      </c>
      <c r="J433" s="45" t="str">
        <f>IF(AND(Registro!D432="Abierto",Registro!E432="Baja"),Registro!B432,"")</f>
        <v/>
      </c>
      <c r="K433" s="45" t="str">
        <f ca="1">IF(AND(Registro!D432="Abierto",Registro!E432="Baja"),TODAY()-Registro!R432,"")</f>
        <v/>
      </c>
      <c r="L433" s="45" t="str">
        <f>IF(AND(Registro!D432="Abierto",Registro!E432="Baja"),RANK(K433,$K$9:$K$1000,0)+COUNTIF($K$9:K433,K433)-1+MAX(C$5:C$1000,F$5:F$1000,I$5:I$1000),"")</f>
        <v/>
      </c>
      <c r="M433" s="46" t="str">
        <f>IF(OR(Registro!D432="Resuelto",Registro!D432=""),"",SUM(C433,F433,I433,L433))</f>
        <v/>
      </c>
      <c r="N433" s="46" t="str">
        <f>IF(OR(Registro!D432="Resuelto",Registro!D432=""),"",SUM(B433,E433,H433,K433))</f>
        <v/>
      </c>
      <c r="O433" s="46" t="str">
        <f>IF(OR(Registro!D432="Resuelto",Registro!D432=""),"",_xlfn.CONCAT(A433,D433,G433,J433))</f>
        <v/>
      </c>
      <c r="P433" s="47">
        <v>425</v>
      </c>
      <c r="Q433" s="47" t="str">
        <f t="shared" ca="1" si="18"/>
        <v/>
      </c>
      <c r="R433" s="48" t="str">
        <f t="shared" ca="1" si="19"/>
        <v/>
      </c>
      <c r="S433" s="32"/>
      <c r="T433" s="32"/>
      <c r="U433" s="32"/>
      <c r="V433" s="32"/>
      <c r="W433" s="47" t="str">
        <f>IF(X433="","",MAX($W$5:W432)+1)</f>
        <v/>
      </c>
      <c r="X433" s="50" t="str">
        <f>IF(Registro!M432="","",IF(COUNTIF($X$8:X432,Registro!M432)=0,Registro!M432,""))</f>
        <v/>
      </c>
      <c r="Y433" s="50" t="str">
        <f t="shared" si="20"/>
        <v/>
      </c>
    </row>
    <row r="434" spans="1:25">
      <c r="A434" s="45" t="str">
        <f>IF(AND(Registro!D433="Abierto",Registro!E433="Urgente"),Registro!B433,"")</f>
        <v/>
      </c>
      <c r="B434" s="45" t="str">
        <f ca="1">IF(AND(Registro!D433="Abierto",Registro!E433="Urgente"),TODAY()-Registro!R433,"")</f>
        <v/>
      </c>
      <c r="C434" s="45" t="str">
        <f>IF(AND(Registro!D433="Abierto",Registro!E433="Urgente"),RANK(B434,$B$9:$B$1000,0)+COUNTIF($B$9:B434,B434)-1,"")</f>
        <v/>
      </c>
      <c r="D434" s="45" t="str">
        <f>IF(AND(Registro!D433="Abierto",Registro!E433="Alta"),Registro!B433,"")</f>
        <v/>
      </c>
      <c r="E434" s="45" t="str">
        <f ca="1">IF(AND(Registro!D433="Abierto",Registro!E433="Alta"),TODAY()-Registro!R433,"")</f>
        <v/>
      </c>
      <c r="F434" s="45" t="str">
        <f>IF(AND(Registro!D433="Abierto",Registro!E433="Alta"),RANK(E434,$E$9:$E$1000,0)+COUNTIF($E$9:E434,E434)-1+MAX(C$5:C$1000),"")</f>
        <v/>
      </c>
      <c r="G434" s="45" t="str">
        <f>IF(AND(Registro!D433="Abierto",Registro!E433="Media"),Registro!B433,"")</f>
        <v/>
      </c>
      <c r="H434" s="45" t="str">
        <f ca="1">IF(AND(Registro!D433="Abierto",Registro!E433="Media"),TODAY()-Registro!R433,"")</f>
        <v/>
      </c>
      <c r="I434" s="45" t="str">
        <f>IF(AND(Registro!D433="Abierto",Registro!E433="Media"),RANK(H434,$H$9:$H$1000,0)+COUNTIF($H$9:H434,H434)-1+MAX(C$5:C$1000,F$5:F$1000),"")</f>
        <v/>
      </c>
      <c r="J434" s="45" t="str">
        <f>IF(AND(Registro!D433="Abierto",Registro!E433="Baja"),Registro!B433,"")</f>
        <v/>
      </c>
      <c r="K434" s="45" t="str">
        <f ca="1">IF(AND(Registro!D433="Abierto",Registro!E433="Baja"),TODAY()-Registro!R433,"")</f>
        <v/>
      </c>
      <c r="L434" s="45" t="str">
        <f>IF(AND(Registro!D433="Abierto",Registro!E433="Baja"),RANK(K434,$K$9:$K$1000,0)+COUNTIF($K$9:K434,K434)-1+MAX(C$5:C$1000,F$5:F$1000,I$5:I$1000),"")</f>
        <v/>
      </c>
      <c r="M434" s="46" t="str">
        <f>IF(OR(Registro!D433="Resuelto",Registro!D433=""),"",SUM(C434,F434,I434,L434))</f>
        <v/>
      </c>
      <c r="N434" s="46" t="str">
        <f>IF(OR(Registro!D433="Resuelto",Registro!D433=""),"",SUM(B434,E434,H434,K434))</f>
        <v/>
      </c>
      <c r="O434" s="46" t="str">
        <f>IF(OR(Registro!D433="Resuelto",Registro!D433=""),"",_xlfn.CONCAT(A434,D434,G434,J434))</f>
        <v/>
      </c>
      <c r="P434" s="47">
        <v>426</v>
      </c>
      <c r="Q434" s="47" t="str">
        <f t="shared" ca="1" si="18"/>
        <v/>
      </c>
      <c r="R434" s="48" t="str">
        <f t="shared" ca="1" si="19"/>
        <v/>
      </c>
      <c r="S434" s="32"/>
      <c r="T434" s="32"/>
      <c r="U434" s="32"/>
      <c r="V434" s="32"/>
      <c r="W434" s="47" t="str">
        <f>IF(X434="","",MAX($W$5:W433)+1)</f>
        <v/>
      </c>
      <c r="X434" s="50" t="str">
        <f>IF(Registro!M433="","",IF(COUNTIF($X$8:X433,Registro!M433)=0,Registro!M433,""))</f>
        <v/>
      </c>
      <c r="Y434" s="50" t="str">
        <f t="shared" si="20"/>
        <v/>
      </c>
    </row>
    <row r="435" spans="1:25">
      <c r="A435" s="45" t="str">
        <f>IF(AND(Registro!D434="Abierto",Registro!E434="Urgente"),Registro!B434,"")</f>
        <v/>
      </c>
      <c r="B435" s="45" t="str">
        <f ca="1">IF(AND(Registro!D434="Abierto",Registro!E434="Urgente"),TODAY()-Registro!R434,"")</f>
        <v/>
      </c>
      <c r="C435" s="45" t="str">
        <f>IF(AND(Registro!D434="Abierto",Registro!E434="Urgente"),RANK(B435,$B$9:$B$1000,0)+COUNTIF($B$9:B435,B435)-1,"")</f>
        <v/>
      </c>
      <c r="D435" s="45" t="str">
        <f>IF(AND(Registro!D434="Abierto",Registro!E434="Alta"),Registro!B434,"")</f>
        <v/>
      </c>
      <c r="E435" s="45" t="str">
        <f ca="1">IF(AND(Registro!D434="Abierto",Registro!E434="Alta"),TODAY()-Registro!R434,"")</f>
        <v/>
      </c>
      <c r="F435" s="45" t="str">
        <f>IF(AND(Registro!D434="Abierto",Registro!E434="Alta"),RANK(E435,$E$9:$E$1000,0)+COUNTIF($E$9:E435,E435)-1+MAX(C$5:C$1000),"")</f>
        <v/>
      </c>
      <c r="G435" s="45" t="str">
        <f>IF(AND(Registro!D434="Abierto",Registro!E434="Media"),Registro!B434,"")</f>
        <v/>
      </c>
      <c r="H435" s="45" t="str">
        <f ca="1">IF(AND(Registro!D434="Abierto",Registro!E434="Media"),TODAY()-Registro!R434,"")</f>
        <v/>
      </c>
      <c r="I435" s="45" t="str">
        <f>IF(AND(Registro!D434="Abierto",Registro!E434="Media"),RANK(H435,$H$9:$H$1000,0)+COUNTIF($H$9:H435,H435)-1+MAX(C$5:C$1000,F$5:F$1000),"")</f>
        <v/>
      </c>
      <c r="J435" s="45" t="str">
        <f>IF(AND(Registro!D434="Abierto",Registro!E434="Baja"),Registro!B434,"")</f>
        <v/>
      </c>
      <c r="K435" s="45" t="str">
        <f ca="1">IF(AND(Registro!D434="Abierto",Registro!E434="Baja"),TODAY()-Registro!R434,"")</f>
        <v/>
      </c>
      <c r="L435" s="45" t="str">
        <f>IF(AND(Registro!D434="Abierto",Registro!E434="Baja"),RANK(K435,$K$9:$K$1000,0)+COUNTIF($K$9:K435,K435)-1+MAX(C$5:C$1000,F$5:F$1000,I$5:I$1000),"")</f>
        <v/>
      </c>
      <c r="M435" s="46" t="str">
        <f>IF(OR(Registro!D434="Resuelto",Registro!D434=""),"",SUM(C435,F435,I435,L435))</f>
        <v/>
      </c>
      <c r="N435" s="46" t="str">
        <f>IF(OR(Registro!D434="Resuelto",Registro!D434=""),"",SUM(B435,E435,H435,K435))</f>
        <v/>
      </c>
      <c r="O435" s="46" t="str">
        <f>IF(OR(Registro!D434="Resuelto",Registro!D434=""),"",_xlfn.CONCAT(A435,D435,G435,J435))</f>
        <v/>
      </c>
      <c r="P435" s="47">
        <v>427</v>
      </c>
      <c r="Q435" s="47" t="str">
        <f t="shared" ca="1" si="18"/>
        <v/>
      </c>
      <c r="R435" s="48" t="str">
        <f t="shared" ca="1" si="19"/>
        <v/>
      </c>
      <c r="S435" s="32"/>
      <c r="T435" s="32"/>
      <c r="U435" s="32"/>
      <c r="V435" s="32"/>
      <c r="W435" s="47" t="str">
        <f>IF(X435="","",MAX($W$5:W434)+1)</f>
        <v/>
      </c>
      <c r="X435" s="50" t="str">
        <f>IF(Registro!M434="","",IF(COUNTIF($X$8:X434,Registro!M434)=0,Registro!M434,""))</f>
        <v/>
      </c>
      <c r="Y435" s="50" t="str">
        <f t="shared" si="20"/>
        <v/>
      </c>
    </row>
    <row r="436" spans="1:25">
      <c r="A436" s="45" t="str">
        <f>IF(AND(Registro!D435="Abierto",Registro!E435="Urgente"),Registro!B435,"")</f>
        <v/>
      </c>
      <c r="B436" s="45" t="str">
        <f ca="1">IF(AND(Registro!D435="Abierto",Registro!E435="Urgente"),TODAY()-Registro!R435,"")</f>
        <v/>
      </c>
      <c r="C436" s="45" t="str">
        <f>IF(AND(Registro!D435="Abierto",Registro!E435="Urgente"),RANK(B436,$B$9:$B$1000,0)+COUNTIF($B$9:B436,B436)-1,"")</f>
        <v/>
      </c>
      <c r="D436" s="45" t="str">
        <f>IF(AND(Registro!D435="Abierto",Registro!E435="Alta"),Registro!B435,"")</f>
        <v/>
      </c>
      <c r="E436" s="45" t="str">
        <f ca="1">IF(AND(Registro!D435="Abierto",Registro!E435="Alta"),TODAY()-Registro!R435,"")</f>
        <v/>
      </c>
      <c r="F436" s="45" t="str">
        <f>IF(AND(Registro!D435="Abierto",Registro!E435="Alta"),RANK(E436,$E$9:$E$1000,0)+COUNTIF($E$9:E436,E436)-1+MAX(C$5:C$1000),"")</f>
        <v/>
      </c>
      <c r="G436" s="45" t="str">
        <f>IF(AND(Registro!D435="Abierto",Registro!E435="Media"),Registro!B435,"")</f>
        <v/>
      </c>
      <c r="H436" s="45" t="str">
        <f ca="1">IF(AND(Registro!D435="Abierto",Registro!E435="Media"),TODAY()-Registro!R435,"")</f>
        <v/>
      </c>
      <c r="I436" s="45" t="str">
        <f>IF(AND(Registro!D435="Abierto",Registro!E435="Media"),RANK(H436,$H$9:$H$1000,0)+COUNTIF($H$9:H436,H436)-1+MAX(C$5:C$1000,F$5:F$1000),"")</f>
        <v/>
      </c>
      <c r="J436" s="45" t="str">
        <f>IF(AND(Registro!D435="Abierto",Registro!E435="Baja"),Registro!B435,"")</f>
        <v/>
      </c>
      <c r="K436" s="45" t="str">
        <f ca="1">IF(AND(Registro!D435="Abierto",Registro!E435="Baja"),TODAY()-Registro!R435,"")</f>
        <v/>
      </c>
      <c r="L436" s="45" t="str">
        <f>IF(AND(Registro!D435="Abierto",Registro!E435="Baja"),RANK(K436,$K$9:$K$1000,0)+COUNTIF($K$9:K436,K436)-1+MAX(C$5:C$1000,F$5:F$1000,I$5:I$1000),"")</f>
        <v/>
      </c>
      <c r="M436" s="46" t="str">
        <f>IF(OR(Registro!D435="Resuelto",Registro!D435=""),"",SUM(C436,F436,I436,L436))</f>
        <v/>
      </c>
      <c r="N436" s="46" t="str">
        <f>IF(OR(Registro!D435="Resuelto",Registro!D435=""),"",SUM(B436,E436,H436,K436))</f>
        <v/>
      </c>
      <c r="O436" s="46" t="str">
        <f>IF(OR(Registro!D435="Resuelto",Registro!D435=""),"",_xlfn.CONCAT(A436,D436,G436,J436))</f>
        <v/>
      </c>
      <c r="P436" s="47">
        <v>428</v>
      </c>
      <c r="Q436" s="47" t="str">
        <f t="shared" ca="1" si="18"/>
        <v/>
      </c>
      <c r="R436" s="48" t="str">
        <f t="shared" ca="1" si="19"/>
        <v/>
      </c>
      <c r="S436" s="32"/>
      <c r="T436" s="32"/>
      <c r="U436" s="32"/>
      <c r="V436" s="32"/>
      <c r="W436" s="47" t="str">
        <f>IF(X436="","",MAX($W$5:W435)+1)</f>
        <v/>
      </c>
      <c r="X436" s="50" t="str">
        <f>IF(Registro!M435="","",IF(COUNTIF($X$8:X435,Registro!M435)=0,Registro!M435,""))</f>
        <v/>
      </c>
      <c r="Y436" s="50" t="str">
        <f t="shared" si="20"/>
        <v/>
      </c>
    </row>
    <row r="437" spans="1:25">
      <c r="A437" s="45" t="str">
        <f>IF(AND(Registro!D436="Abierto",Registro!E436="Urgente"),Registro!B436,"")</f>
        <v/>
      </c>
      <c r="B437" s="45" t="str">
        <f ca="1">IF(AND(Registro!D436="Abierto",Registro!E436="Urgente"),TODAY()-Registro!R436,"")</f>
        <v/>
      </c>
      <c r="C437" s="45" t="str">
        <f>IF(AND(Registro!D436="Abierto",Registro!E436="Urgente"),RANK(B437,$B$9:$B$1000,0)+COUNTIF($B$9:B437,B437)-1,"")</f>
        <v/>
      </c>
      <c r="D437" s="45" t="str">
        <f>IF(AND(Registro!D436="Abierto",Registro!E436="Alta"),Registro!B436,"")</f>
        <v/>
      </c>
      <c r="E437" s="45" t="str">
        <f ca="1">IF(AND(Registro!D436="Abierto",Registro!E436="Alta"),TODAY()-Registro!R436,"")</f>
        <v/>
      </c>
      <c r="F437" s="45" t="str">
        <f>IF(AND(Registro!D436="Abierto",Registro!E436="Alta"),RANK(E437,$E$9:$E$1000,0)+COUNTIF($E$9:E437,E437)-1+MAX(C$5:C$1000),"")</f>
        <v/>
      </c>
      <c r="G437" s="45" t="str">
        <f>IF(AND(Registro!D436="Abierto",Registro!E436="Media"),Registro!B436,"")</f>
        <v/>
      </c>
      <c r="H437" s="45" t="str">
        <f ca="1">IF(AND(Registro!D436="Abierto",Registro!E436="Media"),TODAY()-Registro!R436,"")</f>
        <v/>
      </c>
      <c r="I437" s="45" t="str">
        <f>IF(AND(Registro!D436="Abierto",Registro!E436="Media"),RANK(H437,$H$9:$H$1000,0)+COUNTIF($H$9:H437,H437)-1+MAX(C$5:C$1000,F$5:F$1000),"")</f>
        <v/>
      </c>
      <c r="J437" s="45" t="str">
        <f>IF(AND(Registro!D436="Abierto",Registro!E436="Baja"),Registro!B436,"")</f>
        <v/>
      </c>
      <c r="K437" s="45" t="str">
        <f ca="1">IF(AND(Registro!D436="Abierto",Registro!E436="Baja"),TODAY()-Registro!R436,"")</f>
        <v/>
      </c>
      <c r="L437" s="45" t="str">
        <f>IF(AND(Registro!D436="Abierto",Registro!E436="Baja"),RANK(K437,$K$9:$K$1000,0)+COUNTIF($K$9:K437,K437)-1+MAX(C$5:C$1000,F$5:F$1000,I$5:I$1000),"")</f>
        <v/>
      </c>
      <c r="M437" s="46" t="str">
        <f>IF(OR(Registro!D436="Resuelto",Registro!D436=""),"",SUM(C437,F437,I437,L437))</f>
        <v/>
      </c>
      <c r="N437" s="46" t="str">
        <f>IF(OR(Registro!D436="Resuelto",Registro!D436=""),"",SUM(B437,E437,H437,K437))</f>
        <v/>
      </c>
      <c r="O437" s="46" t="str">
        <f>IF(OR(Registro!D436="Resuelto",Registro!D436=""),"",_xlfn.CONCAT(A437,D437,G437,J437))</f>
        <v/>
      </c>
      <c r="P437" s="47">
        <v>429</v>
      </c>
      <c r="Q437" s="47" t="str">
        <f t="shared" ca="1" si="18"/>
        <v/>
      </c>
      <c r="R437" s="48" t="str">
        <f t="shared" ca="1" si="19"/>
        <v/>
      </c>
      <c r="S437" s="32"/>
      <c r="T437" s="32"/>
      <c r="U437" s="32"/>
      <c r="V437" s="32"/>
      <c r="W437" s="47" t="str">
        <f>IF(X437="","",MAX($W$5:W436)+1)</f>
        <v/>
      </c>
      <c r="X437" s="50" t="str">
        <f>IF(Registro!M436="","",IF(COUNTIF($X$8:X436,Registro!M436)=0,Registro!M436,""))</f>
        <v/>
      </c>
      <c r="Y437" s="50" t="str">
        <f t="shared" si="20"/>
        <v/>
      </c>
    </row>
    <row r="438" spans="1:25">
      <c r="A438" s="45" t="str">
        <f>IF(AND(Registro!D437="Abierto",Registro!E437="Urgente"),Registro!B437,"")</f>
        <v/>
      </c>
      <c r="B438" s="45" t="str">
        <f ca="1">IF(AND(Registro!D437="Abierto",Registro!E437="Urgente"),TODAY()-Registro!R437,"")</f>
        <v/>
      </c>
      <c r="C438" s="45" t="str">
        <f>IF(AND(Registro!D437="Abierto",Registro!E437="Urgente"),RANK(B438,$B$9:$B$1000,0)+COUNTIF($B$9:B438,B438)-1,"")</f>
        <v/>
      </c>
      <c r="D438" s="45" t="str">
        <f>IF(AND(Registro!D437="Abierto",Registro!E437="Alta"),Registro!B437,"")</f>
        <v/>
      </c>
      <c r="E438" s="45" t="str">
        <f ca="1">IF(AND(Registro!D437="Abierto",Registro!E437="Alta"),TODAY()-Registro!R437,"")</f>
        <v/>
      </c>
      <c r="F438" s="45" t="str">
        <f>IF(AND(Registro!D437="Abierto",Registro!E437="Alta"),RANK(E438,$E$9:$E$1000,0)+COUNTIF($E$9:E438,E438)-1+MAX(C$5:C$1000),"")</f>
        <v/>
      </c>
      <c r="G438" s="45" t="str">
        <f>IF(AND(Registro!D437="Abierto",Registro!E437="Media"),Registro!B437,"")</f>
        <v/>
      </c>
      <c r="H438" s="45" t="str">
        <f ca="1">IF(AND(Registro!D437="Abierto",Registro!E437="Media"),TODAY()-Registro!R437,"")</f>
        <v/>
      </c>
      <c r="I438" s="45" t="str">
        <f>IF(AND(Registro!D437="Abierto",Registro!E437="Media"),RANK(H438,$H$9:$H$1000,0)+COUNTIF($H$9:H438,H438)-1+MAX(C$5:C$1000,F$5:F$1000),"")</f>
        <v/>
      </c>
      <c r="J438" s="45" t="str">
        <f>IF(AND(Registro!D437="Abierto",Registro!E437="Baja"),Registro!B437,"")</f>
        <v/>
      </c>
      <c r="K438" s="45" t="str">
        <f ca="1">IF(AND(Registro!D437="Abierto",Registro!E437="Baja"),TODAY()-Registro!R437,"")</f>
        <v/>
      </c>
      <c r="L438" s="45" t="str">
        <f>IF(AND(Registro!D437="Abierto",Registro!E437="Baja"),RANK(K438,$K$9:$K$1000,0)+COUNTIF($K$9:K438,K438)-1+MAX(C$5:C$1000,F$5:F$1000,I$5:I$1000),"")</f>
        <v/>
      </c>
      <c r="M438" s="46" t="str">
        <f>IF(OR(Registro!D437="Resuelto",Registro!D437=""),"",SUM(C438,F438,I438,L438))</f>
        <v/>
      </c>
      <c r="N438" s="46" t="str">
        <f>IF(OR(Registro!D437="Resuelto",Registro!D437=""),"",SUM(B438,E438,H438,K438))</f>
        <v/>
      </c>
      <c r="O438" s="46" t="str">
        <f>IF(OR(Registro!D437="Resuelto",Registro!D437=""),"",_xlfn.CONCAT(A438,D438,G438,J438))</f>
        <v/>
      </c>
      <c r="P438" s="47">
        <v>430</v>
      </c>
      <c r="Q438" s="47" t="str">
        <f t="shared" ca="1" si="18"/>
        <v/>
      </c>
      <c r="R438" s="48" t="str">
        <f t="shared" ca="1" si="19"/>
        <v/>
      </c>
      <c r="S438" s="32"/>
      <c r="T438" s="32"/>
      <c r="U438" s="32"/>
      <c r="V438" s="32"/>
      <c r="W438" s="47" t="str">
        <f>IF(X438="","",MAX($W$5:W437)+1)</f>
        <v/>
      </c>
      <c r="X438" s="50" t="str">
        <f>IF(Registro!M437="","",IF(COUNTIF($X$8:X437,Registro!M437)=0,Registro!M437,""))</f>
        <v/>
      </c>
      <c r="Y438" s="50" t="str">
        <f t="shared" si="20"/>
        <v/>
      </c>
    </row>
    <row r="439" spans="1:25">
      <c r="A439" s="45" t="str">
        <f>IF(AND(Registro!D438="Abierto",Registro!E438="Urgente"),Registro!B438,"")</f>
        <v/>
      </c>
      <c r="B439" s="45" t="str">
        <f ca="1">IF(AND(Registro!D438="Abierto",Registro!E438="Urgente"),TODAY()-Registro!R438,"")</f>
        <v/>
      </c>
      <c r="C439" s="45" t="str">
        <f>IF(AND(Registro!D438="Abierto",Registro!E438="Urgente"),RANK(B439,$B$9:$B$1000,0)+COUNTIF($B$9:B439,B439)-1,"")</f>
        <v/>
      </c>
      <c r="D439" s="45" t="str">
        <f>IF(AND(Registro!D438="Abierto",Registro!E438="Alta"),Registro!B438,"")</f>
        <v/>
      </c>
      <c r="E439" s="45" t="str">
        <f ca="1">IF(AND(Registro!D438="Abierto",Registro!E438="Alta"),TODAY()-Registro!R438,"")</f>
        <v/>
      </c>
      <c r="F439" s="45" t="str">
        <f>IF(AND(Registro!D438="Abierto",Registro!E438="Alta"),RANK(E439,$E$9:$E$1000,0)+COUNTIF($E$9:E439,E439)-1+MAX(C$5:C$1000),"")</f>
        <v/>
      </c>
      <c r="G439" s="45" t="str">
        <f>IF(AND(Registro!D438="Abierto",Registro!E438="Media"),Registro!B438,"")</f>
        <v/>
      </c>
      <c r="H439" s="45" t="str">
        <f ca="1">IF(AND(Registro!D438="Abierto",Registro!E438="Media"),TODAY()-Registro!R438,"")</f>
        <v/>
      </c>
      <c r="I439" s="45" t="str">
        <f>IF(AND(Registro!D438="Abierto",Registro!E438="Media"),RANK(H439,$H$9:$H$1000,0)+COUNTIF($H$9:H439,H439)-1+MAX(C$5:C$1000,F$5:F$1000),"")</f>
        <v/>
      </c>
      <c r="J439" s="45" t="str">
        <f>IF(AND(Registro!D438="Abierto",Registro!E438="Baja"),Registro!B438,"")</f>
        <v/>
      </c>
      <c r="K439" s="45" t="str">
        <f ca="1">IF(AND(Registro!D438="Abierto",Registro!E438="Baja"),TODAY()-Registro!R438,"")</f>
        <v/>
      </c>
      <c r="L439" s="45" t="str">
        <f>IF(AND(Registro!D438="Abierto",Registro!E438="Baja"),RANK(K439,$K$9:$K$1000,0)+COUNTIF($K$9:K439,K439)-1+MAX(C$5:C$1000,F$5:F$1000,I$5:I$1000),"")</f>
        <v/>
      </c>
      <c r="M439" s="46" t="str">
        <f>IF(OR(Registro!D438="Resuelto",Registro!D438=""),"",SUM(C439,F439,I439,L439))</f>
        <v/>
      </c>
      <c r="N439" s="46" t="str">
        <f>IF(OR(Registro!D438="Resuelto",Registro!D438=""),"",SUM(B439,E439,H439,K439))</f>
        <v/>
      </c>
      <c r="O439" s="46" t="str">
        <f>IF(OR(Registro!D438="Resuelto",Registro!D438=""),"",_xlfn.CONCAT(A439,D439,G439,J439))</f>
        <v/>
      </c>
      <c r="P439" s="47">
        <v>431</v>
      </c>
      <c r="Q439" s="47" t="str">
        <f t="shared" ca="1" si="18"/>
        <v/>
      </c>
      <c r="R439" s="48" t="str">
        <f t="shared" ca="1" si="19"/>
        <v/>
      </c>
      <c r="S439" s="32"/>
      <c r="T439" s="32"/>
      <c r="U439" s="32"/>
      <c r="V439" s="32"/>
      <c r="W439" s="47" t="str">
        <f>IF(X439="","",MAX($W$5:W438)+1)</f>
        <v/>
      </c>
      <c r="X439" s="50" t="str">
        <f>IF(Registro!M438="","",IF(COUNTIF($X$8:X438,Registro!M438)=0,Registro!M438,""))</f>
        <v/>
      </c>
      <c r="Y439" s="50" t="str">
        <f t="shared" si="20"/>
        <v/>
      </c>
    </row>
    <row r="440" spans="1:25">
      <c r="A440" s="45" t="str">
        <f>IF(AND(Registro!D439="Abierto",Registro!E439="Urgente"),Registro!B439,"")</f>
        <v/>
      </c>
      <c r="B440" s="45" t="str">
        <f ca="1">IF(AND(Registro!D439="Abierto",Registro!E439="Urgente"),TODAY()-Registro!R439,"")</f>
        <v/>
      </c>
      <c r="C440" s="45" t="str">
        <f>IF(AND(Registro!D439="Abierto",Registro!E439="Urgente"),RANK(B440,$B$9:$B$1000,0)+COUNTIF($B$9:B440,B440)-1,"")</f>
        <v/>
      </c>
      <c r="D440" s="45" t="str">
        <f>IF(AND(Registro!D439="Abierto",Registro!E439="Alta"),Registro!B439,"")</f>
        <v/>
      </c>
      <c r="E440" s="45" t="str">
        <f ca="1">IF(AND(Registro!D439="Abierto",Registro!E439="Alta"),TODAY()-Registro!R439,"")</f>
        <v/>
      </c>
      <c r="F440" s="45" t="str">
        <f>IF(AND(Registro!D439="Abierto",Registro!E439="Alta"),RANK(E440,$E$9:$E$1000,0)+COUNTIF($E$9:E440,E440)-1+MAX(C$5:C$1000),"")</f>
        <v/>
      </c>
      <c r="G440" s="45" t="str">
        <f>IF(AND(Registro!D439="Abierto",Registro!E439="Media"),Registro!B439,"")</f>
        <v/>
      </c>
      <c r="H440" s="45" t="str">
        <f ca="1">IF(AND(Registro!D439="Abierto",Registro!E439="Media"),TODAY()-Registro!R439,"")</f>
        <v/>
      </c>
      <c r="I440" s="45" t="str">
        <f>IF(AND(Registro!D439="Abierto",Registro!E439="Media"),RANK(H440,$H$9:$H$1000,0)+COUNTIF($H$9:H440,H440)-1+MAX(C$5:C$1000,F$5:F$1000),"")</f>
        <v/>
      </c>
      <c r="J440" s="45" t="str">
        <f>IF(AND(Registro!D439="Abierto",Registro!E439="Baja"),Registro!B439,"")</f>
        <v/>
      </c>
      <c r="K440" s="45" t="str">
        <f ca="1">IF(AND(Registro!D439="Abierto",Registro!E439="Baja"),TODAY()-Registro!R439,"")</f>
        <v/>
      </c>
      <c r="L440" s="45" t="str">
        <f>IF(AND(Registro!D439="Abierto",Registro!E439="Baja"),RANK(K440,$K$9:$K$1000,0)+COUNTIF($K$9:K440,K440)-1+MAX(C$5:C$1000,F$5:F$1000,I$5:I$1000),"")</f>
        <v/>
      </c>
      <c r="M440" s="46" t="str">
        <f>IF(OR(Registro!D439="Resuelto",Registro!D439=""),"",SUM(C440,F440,I440,L440))</f>
        <v/>
      </c>
      <c r="N440" s="46" t="str">
        <f>IF(OR(Registro!D439="Resuelto",Registro!D439=""),"",SUM(B440,E440,H440,K440))</f>
        <v/>
      </c>
      <c r="O440" s="46" t="str">
        <f>IF(OR(Registro!D439="Resuelto",Registro!D439=""),"",_xlfn.CONCAT(A440,D440,G440,J440))</f>
        <v/>
      </c>
      <c r="P440" s="47">
        <v>432</v>
      </c>
      <c r="Q440" s="47" t="str">
        <f t="shared" ca="1" si="18"/>
        <v/>
      </c>
      <c r="R440" s="48" t="str">
        <f t="shared" ca="1" si="19"/>
        <v/>
      </c>
      <c r="S440" s="32"/>
      <c r="T440" s="32"/>
      <c r="U440" s="32"/>
      <c r="V440" s="32"/>
      <c r="W440" s="47" t="str">
        <f>IF(X440="","",MAX($W$5:W439)+1)</f>
        <v/>
      </c>
      <c r="X440" s="50" t="str">
        <f>IF(Registro!M439="","",IF(COUNTIF($X$8:X439,Registro!M439)=0,Registro!M439,""))</f>
        <v/>
      </c>
      <c r="Y440" s="50" t="str">
        <f t="shared" si="20"/>
        <v/>
      </c>
    </row>
    <row r="441" spans="1:25">
      <c r="A441" s="45" t="str">
        <f>IF(AND(Registro!D440="Abierto",Registro!E440="Urgente"),Registro!B440,"")</f>
        <v/>
      </c>
      <c r="B441" s="45" t="str">
        <f ca="1">IF(AND(Registro!D440="Abierto",Registro!E440="Urgente"),TODAY()-Registro!R440,"")</f>
        <v/>
      </c>
      <c r="C441" s="45" t="str">
        <f>IF(AND(Registro!D440="Abierto",Registro!E440="Urgente"),RANK(B441,$B$9:$B$1000,0)+COUNTIF($B$9:B441,B441)-1,"")</f>
        <v/>
      </c>
      <c r="D441" s="45" t="str">
        <f>IF(AND(Registro!D440="Abierto",Registro!E440="Alta"),Registro!B440,"")</f>
        <v/>
      </c>
      <c r="E441" s="45" t="str">
        <f ca="1">IF(AND(Registro!D440="Abierto",Registro!E440="Alta"),TODAY()-Registro!R440,"")</f>
        <v/>
      </c>
      <c r="F441" s="45" t="str">
        <f>IF(AND(Registro!D440="Abierto",Registro!E440="Alta"),RANK(E441,$E$9:$E$1000,0)+COUNTIF($E$9:E441,E441)-1+MAX(C$5:C$1000),"")</f>
        <v/>
      </c>
      <c r="G441" s="45" t="str">
        <f>IF(AND(Registro!D440="Abierto",Registro!E440="Media"),Registro!B440,"")</f>
        <v/>
      </c>
      <c r="H441" s="45" t="str">
        <f ca="1">IF(AND(Registro!D440="Abierto",Registro!E440="Media"),TODAY()-Registro!R440,"")</f>
        <v/>
      </c>
      <c r="I441" s="45" t="str">
        <f>IF(AND(Registro!D440="Abierto",Registro!E440="Media"),RANK(H441,$H$9:$H$1000,0)+COUNTIF($H$9:H441,H441)-1+MAX(C$5:C$1000,F$5:F$1000),"")</f>
        <v/>
      </c>
      <c r="J441" s="45" t="str">
        <f>IF(AND(Registro!D440="Abierto",Registro!E440="Baja"),Registro!B440,"")</f>
        <v/>
      </c>
      <c r="K441" s="45" t="str">
        <f ca="1">IF(AND(Registro!D440="Abierto",Registro!E440="Baja"),TODAY()-Registro!R440,"")</f>
        <v/>
      </c>
      <c r="L441" s="45" t="str">
        <f>IF(AND(Registro!D440="Abierto",Registro!E440="Baja"),RANK(K441,$K$9:$K$1000,0)+COUNTIF($K$9:K441,K441)-1+MAX(C$5:C$1000,F$5:F$1000,I$5:I$1000),"")</f>
        <v/>
      </c>
      <c r="M441" s="46" t="str">
        <f>IF(OR(Registro!D440="Resuelto",Registro!D440=""),"",SUM(C441,F441,I441,L441))</f>
        <v/>
      </c>
      <c r="N441" s="46" t="str">
        <f>IF(OR(Registro!D440="Resuelto",Registro!D440=""),"",SUM(B441,E441,H441,K441))</f>
        <v/>
      </c>
      <c r="O441" s="46" t="str">
        <f>IF(OR(Registro!D440="Resuelto",Registro!D440=""),"",_xlfn.CONCAT(A441,D441,G441,J441))</f>
        <v/>
      </c>
      <c r="P441" s="47">
        <v>433</v>
      </c>
      <c r="Q441" s="47" t="str">
        <f t="shared" ca="1" si="18"/>
        <v/>
      </c>
      <c r="R441" s="48" t="str">
        <f t="shared" ca="1" si="19"/>
        <v/>
      </c>
      <c r="S441" s="32"/>
      <c r="T441" s="32"/>
      <c r="U441" s="32"/>
      <c r="V441" s="32"/>
      <c r="W441" s="47" t="str">
        <f>IF(X441="","",MAX($W$5:W440)+1)</f>
        <v/>
      </c>
      <c r="X441" s="50" t="str">
        <f>IF(Registro!M440="","",IF(COUNTIF($X$8:X440,Registro!M440)=0,Registro!M440,""))</f>
        <v/>
      </c>
      <c r="Y441" s="50" t="str">
        <f t="shared" si="20"/>
        <v/>
      </c>
    </row>
    <row r="442" spans="1:25">
      <c r="A442" s="45" t="str">
        <f>IF(AND(Registro!D441="Abierto",Registro!E441="Urgente"),Registro!B441,"")</f>
        <v/>
      </c>
      <c r="B442" s="45" t="str">
        <f ca="1">IF(AND(Registro!D441="Abierto",Registro!E441="Urgente"),TODAY()-Registro!R441,"")</f>
        <v/>
      </c>
      <c r="C442" s="45" t="str">
        <f>IF(AND(Registro!D441="Abierto",Registro!E441="Urgente"),RANK(B442,$B$9:$B$1000,0)+COUNTIF($B$9:B442,B442)-1,"")</f>
        <v/>
      </c>
      <c r="D442" s="45" t="str">
        <f>IF(AND(Registro!D441="Abierto",Registro!E441="Alta"),Registro!B441,"")</f>
        <v/>
      </c>
      <c r="E442" s="45" t="str">
        <f ca="1">IF(AND(Registro!D441="Abierto",Registro!E441="Alta"),TODAY()-Registro!R441,"")</f>
        <v/>
      </c>
      <c r="F442" s="45" t="str">
        <f>IF(AND(Registro!D441="Abierto",Registro!E441="Alta"),RANK(E442,$E$9:$E$1000,0)+COUNTIF($E$9:E442,E442)-1+MAX(C$5:C$1000),"")</f>
        <v/>
      </c>
      <c r="G442" s="45" t="str">
        <f>IF(AND(Registro!D441="Abierto",Registro!E441="Media"),Registro!B441,"")</f>
        <v/>
      </c>
      <c r="H442" s="45" t="str">
        <f ca="1">IF(AND(Registro!D441="Abierto",Registro!E441="Media"),TODAY()-Registro!R441,"")</f>
        <v/>
      </c>
      <c r="I442" s="45" t="str">
        <f>IF(AND(Registro!D441="Abierto",Registro!E441="Media"),RANK(H442,$H$9:$H$1000,0)+COUNTIF($H$9:H442,H442)-1+MAX(C$5:C$1000,F$5:F$1000),"")</f>
        <v/>
      </c>
      <c r="J442" s="45" t="str">
        <f>IF(AND(Registro!D441="Abierto",Registro!E441="Baja"),Registro!B441,"")</f>
        <v/>
      </c>
      <c r="K442" s="45" t="str">
        <f ca="1">IF(AND(Registro!D441="Abierto",Registro!E441="Baja"),TODAY()-Registro!R441,"")</f>
        <v/>
      </c>
      <c r="L442" s="45" t="str">
        <f>IF(AND(Registro!D441="Abierto",Registro!E441="Baja"),RANK(K442,$K$9:$K$1000,0)+COUNTIF($K$9:K442,K442)-1+MAX(C$5:C$1000,F$5:F$1000,I$5:I$1000),"")</f>
        <v/>
      </c>
      <c r="M442" s="46" t="str">
        <f>IF(OR(Registro!D441="Resuelto",Registro!D441=""),"",SUM(C442,F442,I442,L442))</f>
        <v/>
      </c>
      <c r="N442" s="46" t="str">
        <f>IF(OR(Registro!D441="Resuelto",Registro!D441=""),"",SUM(B442,E442,H442,K442))</f>
        <v/>
      </c>
      <c r="O442" s="46" t="str">
        <f>IF(OR(Registro!D441="Resuelto",Registro!D441=""),"",_xlfn.CONCAT(A442,D442,G442,J442))</f>
        <v/>
      </c>
      <c r="P442" s="47">
        <v>434</v>
      </c>
      <c r="Q442" s="47" t="str">
        <f t="shared" ca="1" si="18"/>
        <v/>
      </c>
      <c r="R442" s="48" t="str">
        <f t="shared" ca="1" si="19"/>
        <v/>
      </c>
      <c r="S442" s="32"/>
      <c r="T442" s="32"/>
      <c r="U442" s="32"/>
      <c r="V442" s="32"/>
      <c r="W442" s="47" t="str">
        <f>IF(X442="","",MAX($W$5:W441)+1)</f>
        <v/>
      </c>
      <c r="X442" s="50" t="str">
        <f>IF(Registro!M441="","",IF(COUNTIF($X$8:X441,Registro!M441)=0,Registro!M441,""))</f>
        <v/>
      </c>
      <c r="Y442" s="50" t="str">
        <f t="shared" si="20"/>
        <v/>
      </c>
    </row>
    <row r="443" spans="1:25">
      <c r="A443" s="45" t="str">
        <f>IF(AND(Registro!D442="Abierto",Registro!E442="Urgente"),Registro!B442,"")</f>
        <v/>
      </c>
      <c r="B443" s="45" t="str">
        <f ca="1">IF(AND(Registro!D442="Abierto",Registro!E442="Urgente"),TODAY()-Registro!R442,"")</f>
        <v/>
      </c>
      <c r="C443" s="45" t="str">
        <f>IF(AND(Registro!D442="Abierto",Registro!E442="Urgente"),RANK(B443,$B$9:$B$1000,0)+COUNTIF($B$9:B443,B443)-1,"")</f>
        <v/>
      </c>
      <c r="D443" s="45" t="str">
        <f>IF(AND(Registro!D442="Abierto",Registro!E442="Alta"),Registro!B442,"")</f>
        <v/>
      </c>
      <c r="E443" s="45" t="str">
        <f ca="1">IF(AND(Registro!D442="Abierto",Registro!E442="Alta"),TODAY()-Registro!R442,"")</f>
        <v/>
      </c>
      <c r="F443" s="45" t="str">
        <f>IF(AND(Registro!D442="Abierto",Registro!E442="Alta"),RANK(E443,$E$9:$E$1000,0)+COUNTIF($E$9:E443,E443)-1+MAX(C$5:C$1000),"")</f>
        <v/>
      </c>
      <c r="G443" s="45" t="str">
        <f>IF(AND(Registro!D442="Abierto",Registro!E442="Media"),Registro!B442,"")</f>
        <v/>
      </c>
      <c r="H443" s="45" t="str">
        <f ca="1">IF(AND(Registro!D442="Abierto",Registro!E442="Media"),TODAY()-Registro!R442,"")</f>
        <v/>
      </c>
      <c r="I443" s="45" t="str">
        <f>IF(AND(Registro!D442="Abierto",Registro!E442="Media"),RANK(H443,$H$9:$H$1000,0)+COUNTIF($H$9:H443,H443)-1+MAX(C$5:C$1000,F$5:F$1000),"")</f>
        <v/>
      </c>
      <c r="J443" s="45" t="str">
        <f>IF(AND(Registro!D442="Abierto",Registro!E442="Baja"),Registro!B442,"")</f>
        <v/>
      </c>
      <c r="K443" s="45" t="str">
        <f ca="1">IF(AND(Registro!D442="Abierto",Registro!E442="Baja"),TODAY()-Registro!R442,"")</f>
        <v/>
      </c>
      <c r="L443" s="45" t="str">
        <f>IF(AND(Registro!D442="Abierto",Registro!E442="Baja"),RANK(K443,$K$9:$K$1000,0)+COUNTIF($K$9:K443,K443)-1+MAX(C$5:C$1000,F$5:F$1000,I$5:I$1000),"")</f>
        <v/>
      </c>
      <c r="M443" s="46" t="str">
        <f>IF(OR(Registro!D442="Resuelto",Registro!D442=""),"",SUM(C443,F443,I443,L443))</f>
        <v/>
      </c>
      <c r="N443" s="46" t="str">
        <f>IF(OR(Registro!D442="Resuelto",Registro!D442=""),"",SUM(B443,E443,H443,K443))</f>
        <v/>
      </c>
      <c r="O443" s="46" t="str">
        <f>IF(OR(Registro!D442="Resuelto",Registro!D442=""),"",_xlfn.CONCAT(A443,D443,G443,J443))</f>
        <v/>
      </c>
      <c r="P443" s="47">
        <v>435</v>
      </c>
      <c r="Q443" s="47" t="str">
        <f t="shared" ca="1" si="18"/>
        <v/>
      </c>
      <c r="R443" s="48" t="str">
        <f t="shared" ca="1" si="19"/>
        <v/>
      </c>
      <c r="S443" s="32"/>
      <c r="T443" s="32"/>
      <c r="U443" s="32"/>
      <c r="V443" s="32"/>
      <c r="W443" s="47" t="str">
        <f>IF(X443="","",MAX($W$5:W442)+1)</f>
        <v/>
      </c>
      <c r="X443" s="50" t="str">
        <f>IF(Registro!M442="","",IF(COUNTIF($X$8:X442,Registro!M442)=0,Registro!M442,""))</f>
        <v/>
      </c>
      <c r="Y443" s="50" t="str">
        <f t="shared" si="20"/>
        <v/>
      </c>
    </row>
    <row r="444" spans="1:25">
      <c r="A444" s="45" t="str">
        <f>IF(AND(Registro!D443="Abierto",Registro!E443="Urgente"),Registro!B443,"")</f>
        <v/>
      </c>
      <c r="B444" s="45" t="str">
        <f ca="1">IF(AND(Registro!D443="Abierto",Registro!E443="Urgente"),TODAY()-Registro!R443,"")</f>
        <v/>
      </c>
      <c r="C444" s="45" t="str">
        <f>IF(AND(Registro!D443="Abierto",Registro!E443="Urgente"),RANK(B444,$B$9:$B$1000,0)+COUNTIF($B$9:B444,B444)-1,"")</f>
        <v/>
      </c>
      <c r="D444" s="45" t="str">
        <f>IF(AND(Registro!D443="Abierto",Registro!E443="Alta"),Registro!B443,"")</f>
        <v/>
      </c>
      <c r="E444" s="45" t="str">
        <f ca="1">IF(AND(Registro!D443="Abierto",Registro!E443="Alta"),TODAY()-Registro!R443,"")</f>
        <v/>
      </c>
      <c r="F444" s="45" t="str">
        <f>IF(AND(Registro!D443="Abierto",Registro!E443="Alta"),RANK(E444,$E$9:$E$1000,0)+COUNTIF($E$9:E444,E444)-1+MAX(C$5:C$1000),"")</f>
        <v/>
      </c>
      <c r="G444" s="45" t="str">
        <f>IF(AND(Registro!D443="Abierto",Registro!E443="Media"),Registro!B443,"")</f>
        <v/>
      </c>
      <c r="H444" s="45" t="str">
        <f ca="1">IF(AND(Registro!D443="Abierto",Registro!E443="Media"),TODAY()-Registro!R443,"")</f>
        <v/>
      </c>
      <c r="I444" s="45" t="str">
        <f>IF(AND(Registro!D443="Abierto",Registro!E443="Media"),RANK(H444,$H$9:$H$1000,0)+COUNTIF($H$9:H444,H444)-1+MAX(C$5:C$1000,F$5:F$1000),"")</f>
        <v/>
      </c>
      <c r="J444" s="45" t="str">
        <f>IF(AND(Registro!D443="Abierto",Registro!E443="Baja"),Registro!B443,"")</f>
        <v/>
      </c>
      <c r="K444" s="45" t="str">
        <f ca="1">IF(AND(Registro!D443="Abierto",Registro!E443="Baja"),TODAY()-Registro!R443,"")</f>
        <v/>
      </c>
      <c r="L444" s="45" t="str">
        <f>IF(AND(Registro!D443="Abierto",Registro!E443="Baja"),RANK(K444,$K$9:$K$1000,0)+COUNTIF($K$9:K444,K444)-1+MAX(C$5:C$1000,F$5:F$1000,I$5:I$1000),"")</f>
        <v/>
      </c>
      <c r="M444" s="46" t="str">
        <f>IF(OR(Registro!D443="Resuelto",Registro!D443=""),"",SUM(C444,F444,I444,L444))</f>
        <v/>
      </c>
      <c r="N444" s="46" t="str">
        <f>IF(OR(Registro!D443="Resuelto",Registro!D443=""),"",SUM(B444,E444,H444,K444))</f>
        <v/>
      </c>
      <c r="O444" s="46" t="str">
        <f>IF(OR(Registro!D443="Resuelto",Registro!D443=""),"",_xlfn.CONCAT(A444,D444,G444,J444))</f>
        <v/>
      </c>
      <c r="P444" s="47">
        <v>436</v>
      </c>
      <c r="Q444" s="47" t="str">
        <f t="shared" ca="1" si="18"/>
        <v/>
      </c>
      <c r="R444" s="48" t="str">
        <f t="shared" ca="1" si="19"/>
        <v/>
      </c>
      <c r="S444" s="32"/>
      <c r="T444" s="32"/>
      <c r="U444" s="32"/>
      <c r="V444" s="32"/>
      <c r="W444" s="47" t="str">
        <f>IF(X444="","",MAX($W$5:W443)+1)</f>
        <v/>
      </c>
      <c r="X444" s="50" t="str">
        <f>IF(Registro!M443="","",IF(COUNTIF($X$8:X443,Registro!M443)=0,Registro!M443,""))</f>
        <v/>
      </c>
      <c r="Y444" s="50" t="str">
        <f t="shared" si="20"/>
        <v/>
      </c>
    </row>
    <row r="445" spans="1:25">
      <c r="A445" s="45" t="str">
        <f>IF(AND(Registro!D444="Abierto",Registro!E444="Urgente"),Registro!B444,"")</f>
        <v/>
      </c>
      <c r="B445" s="45" t="str">
        <f ca="1">IF(AND(Registro!D444="Abierto",Registro!E444="Urgente"),TODAY()-Registro!R444,"")</f>
        <v/>
      </c>
      <c r="C445" s="45" t="str">
        <f>IF(AND(Registro!D444="Abierto",Registro!E444="Urgente"),RANK(B445,$B$9:$B$1000,0)+COUNTIF($B$9:B445,B445)-1,"")</f>
        <v/>
      </c>
      <c r="D445" s="45" t="str">
        <f>IF(AND(Registro!D444="Abierto",Registro!E444="Alta"),Registro!B444,"")</f>
        <v/>
      </c>
      <c r="E445" s="45" t="str">
        <f ca="1">IF(AND(Registro!D444="Abierto",Registro!E444="Alta"),TODAY()-Registro!R444,"")</f>
        <v/>
      </c>
      <c r="F445" s="45" t="str">
        <f>IF(AND(Registro!D444="Abierto",Registro!E444="Alta"),RANK(E445,$E$9:$E$1000,0)+COUNTIF($E$9:E445,E445)-1+MAX(C$5:C$1000),"")</f>
        <v/>
      </c>
      <c r="G445" s="45" t="str">
        <f>IF(AND(Registro!D444="Abierto",Registro!E444="Media"),Registro!B444,"")</f>
        <v/>
      </c>
      <c r="H445" s="45" t="str">
        <f ca="1">IF(AND(Registro!D444="Abierto",Registro!E444="Media"),TODAY()-Registro!R444,"")</f>
        <v/>
      </c>
      <c r="I445" s="45" t="str">
        <f>IF(AND(Registro!D444="Abierto",Registro!E444="Media"),RANK(H445,$H$9:$H$1000,0)+COUNTIF($H$9:H445,H445)-1+MAX(C$5:C$1000,F$5:F$1000),"")</f>
        <v/>
      </c>
      <c r="J445" s="45" t="str">
        <f>IF(AND(Registro!D444="Abierto",Registro!E444="Baja"),Registro!B444,"")</f>
        <v/>
      </c>
      <c r="K445" s="45" t="str">
        <f ca="1">IF(AND(Registro!D444="Abierto",Registro!E444="Baja"),TODAY()-Registro!R444,"")</f>
        <v/>
      </c>
      <c r="L445" s="45" t="str">
        <f>IF(AND(Registro!D444="Abierto",Registro!E444="Baja"),RANK(K445,$K$9:$K$1000,0)+COUNTIF($K$9:K445,K445)-1+MAX(C$5:C$1000,F$5:F$1000,I$5:I$1000),"")</f>
        <v/>
      </c>
      <c r="M445" s="46" t="str">
        <f>IF(OR(Registro!D444="Resuelto",Registro!D444=""),"",SUM(C445,F445,I445,L445))</f>
        <v/>
      </c>
      <c r="N445" s="46" t="str">
        <f>IF(OR(Registro!D444="Resuelto",Registro!D444=""),"",SUM(B445,E445,H445,K445))</f>
        <v/>
      </c>
      <c r="O445" s="46" t="str">
        <f>IF(OR(Registro!D444="Resuelto",Registro!D444=""),"",_xlfn.CONCAT(A445,D445,G445,J445))</f>
        <v/>
      </c>
      <c r="P445" s="47">
        <v>437</v>
      </c>
      <c r="Q445" s="47" t="str">
        <f t="shared" ca="1" si="18"/>
        <v/>
      </c>
      <c r="R445" s="48" t="str">
        <f t="shared" ca="1" si="19"/>
        <v/>
      </c>
      <c r="S445" s="32"/>
      <c r="T445" s="32"/>
      <c r="U445" s="32"/>
      <c r="V445" s="32"/>
      <c r="W445" s="47" t="str">
        <f>IF(X445="","",MAX($W$5:W444)+1)</f>
        <v/>
      </c>
      <c r="X445" s="50" t="str">
        <f>IF(Registro!M444="","",IF(COUNTIF($X$8:X444,Registro!M444)=0,Registro!M444,""))</f>
        <v/>
      </c>
      <c r="Y445" s="50" t="str">
        <f t="shared" si="20"/>
        <v/>
      </c>
    </row>
    <row r="446" spans="1:25">
      <c r="A446" s="45" t="str">
        <f>IF(AND(Registro!D445="Abierto",Registro!E445="Urgente"),Registro!B445,"")</f>
        <v/>
      </c>
      <c r="B446" s="45" t="str">
        <f ca="1">IF(AND(Registro!D445="Abierto",Registro!E445="Urgente"),TODAY()-Registro!R445,"")</f>
        <v/>
      </c>
      <c r="C446" s="45" t="str">
        <f>IF(AND(Registro!D445="Abierto",Registro!E445="Urgente"),RANK(B446,$B$9:$B$1000,0)+COUNTIF($B$9:B446,B446)-1,"")</f>
        <v/>
      </c>
      <c r="D446" s="45" t="str">
        <f>IF(AND(Registro!D445="Abierto",Registro!E445="Alta"),Registro!B445,"")</f>
        <v/>
      </c>
      <c r="E446" s="45" t="str">
        <f ca="1">IF(AND(Registro!D445="Abierto",Registro!E445="Alta"),TODAY()-Registro!R445,"")</f>
        <v/>
      </c>
      <c r="F446" s="45" t="str">
        <f>IF(AND(Registro!D445="Abierto",Registro!E445="Alta"),RANK(E446,$E$9:$E$1000,0)+COUNTIF($E$9:E446,E446)-1+MAX(C$5:C$1000),"")</f>
        <v/>
      </c>
      <c r="G446" s="45" t="str">
        <f>IF(AND(Registro!D445="Abierto",Registro!E445="Media"),Registro!B445,"")</f>
        <v/>
      </c>
      <c r="H446" s="45" t="str">
        <f ca="1">IF(AND(Registro!D445="Abierto",Registro!E445="Media"),TODAY()-Registro!R445,"")</f>
        <v/>
      </c>
      <c r="I446" s="45" t="str">
        <f>IF(AND(Registro!D445="Abierto",Registro!E445="Media"),RANK(H446,$H$9:$H$1000,0)+COUNTIF($H$9:H446,H446)-1+MAX(C$5:C$1000,F$5:F$1000),"")</f>
        <v/>
      </c>
      <c r="J446" s="45" t="str">
        <f>IF(AND(Registro!D445="Abierto",Registro!E445="Baja"),Registro!B445,"")</f>
        <v/>
      </c>
      <c r="K446" s="45" t="str">
        <f ca="1">IF(AND(Registro!D445="Abierto",Registro!E445="Baja"),TODAY()-Registro!R445,"")</f>
        <v/>
      </c>
      <c r="L446" s="45" t="str">
        <f>IF(AND(Registro!D445="Abierto",Registro!E445="Baja"),RANK(K446,$K$9:$K$1000,0)+COUNTIF($K$9:K446,K446)-1+MAX(C$5:C$1000,F$5:F$1000,I$5:I$1000),"")</f>
        <v/>
      </c>
      <c r="M446" s="46" t="str">
        <f>IF(OR(Registro!D445="Resuelto",Registro!D445=""),"",SUM(C446,F446,I446,L446))</f>
        <v/>
      </c>
      <c r="N446" s="46" t="str">
        <f>IF(OR(Registro!D445="Resuelto",Registro!D445=""),"",SUM(B446,E446,H446,K446))</f>
        <v/>
      </c>
      <c r="O446" s="46" t="str">
        <f>IF(OR(Registro!D445="Resuelto",Registro!D445=""),"",_xlfn.CONCAT(A446,D446,G446,J446))</f>
        <v/>
      </c>
      <c r="P446" s="47">
        <v>438</v>
      </c>
      <c r="Q446" s="47" t="str">
        <f t="shared" ca="1" si="18"/>
        <v/>
      </c>
      <c r="R446" s="48" t="str">
        <f t="shared" ca="1" si="19"/>
        <v/>
      </c>
      <c r="S446" s="32"/>
      <c r="T446" s="32"/>
      <c r="U446" s="32"/>
      <c r="V446" s="32"/>
      <c r="W446" s="47" t="str">
        <f>IF(X446="","",MAX($W$5:W445)+1)</f>
        <v/>
      </c>
      <c r="X446" s="50" t="str">
        <f>IF(Registro!M445="","",IF(COUNTIF($X$8:X445,Registro!M445)=0,Registro!M445,""))</f>
        <v/>
      </c>
      <c r="Y446" s="50" t="str">
        <f t="shared" si="20"/>
        <v/>
      </c>
    </row>
    <row r="447" spans="1:25">
      <c r="A447" s="45" t="str">
        <f>IF(AND(Registro!D446="Abierto",Registro!E446="Urgente"),Registro!B446,"")</f>
        <v/>
      </c>
      <c r="B447" s="45" t="str">
        <f ca="1">IF(AND(Registro!D446="Abierto",Registro!E446="Urgente"),TODAY()-Registro!R446,"")</f>
        <v/>
      </c>
      <c r="C447" s="45" t="str">
        <f>IF(AND(Registro!D446="Abierto",Registro!E446="Urgente"),RANK(B447,$B$9:$B$1000,0)+COUNTIF($B$9:B447,B447)-1,"")</f>
        <v/>
      </c>
      <c r="D447" s="45" t="str">
        <f>IF(AND(Registro!D446="Abierto",Registro!E446="Alta"),Registro!B446,"")</f>
        <v/>
      </c>
      <c r="E447" s="45" t="str">
        <f ca="1">IF(AND(Registro!D446="Abierto",Registro!E446="Alta"),TODAY()-Registro!R446,"")</f>
        <v/>
      </c>
      <c r="F447" s="45" t="str">
        <f>IF(AND(Registro!D446="Abierto",Registro!E446="Alta"),RANK(E447,$E$9:$E$1000,0)+COUNTIF($E$9:E447,E447)-1+MAX(C$5:C$1000),"")</f>
        <v/>
      </c>
      <c r="G447" s="45" t="str">
        <f>IF(AND(Registro!D446="Abierto",Registro!E446="Media"),Registro!B446,"")</f>
        <v/>
      </c>
      <c r="H447" s="45" t="str">
        <f ca="1">IF(AND(Registro!D446="Abierto",Registro!E446="Media"),TODAY()-Registro!R446,"")</f>
        <v/>
      </c>
      <c r="I447" s="45" t="str">
        <f>IF(AND(Registro!D446="Abierto",Registro!E446="Media"),RANK(H447,$H$9:$H$1000,0)+COUNTIF($H$9:H447,H447)-1+MAX(C$5:C$1000,F$5:F$1000),"")</f>
        <v/>
      </c>
      <c r="J447" s="45" t="str">
        <f>IF(AND(Registro!D446="Abierto",Registro!E446="Baja"),Registro!B446,"")</f>
        <v/>
      </c>
      <c r="K447" s="45" t="str">
        <f ca="1">IF(AND(Registro!D446="Abierto",Registro!E446="Baja"),TODAY()-Registro!R446,"")</f>
        <v/>
      </c>
      <c r="L447" s="45" t="str">
        <f>IF(AND(Registro!D446="Abierto",Registro!E446="Baja"),RANK(K447,$K$9:$K$1000,0)+COUNTIF($K$9:K447,K447)-1+MAX(C$5:C$1000,F$5:F$1000,I$5:I$1000),"")</f>
        <v/>
      </c>
      <c r="M447" s="46" t="str">
        <f>IF(OR(Registro!D446="Resuelto",Registro!D446=""),"",SUM(C447,F447,I447,L447))</f>
        <v/>
      </c>
      <c r="N447" s="46" t="str">
        <f>IF(OR(Registro!D446="Resuelto",Registro!D446=""),"",SUM(B447,E447,H447,K447))</f>
        <v/>
      </c>
      <c r="O447" s="46" t="str">
        <f>IF(OR(Registro!D446="Resuelto",Registro!D446=""),"",_xlfn.CONCAT(A447,D447,G447,J447))</f>
        <v/>
      </c>
      <c r="P447" s="47">
        <v>439</v>
      </c>
      <c r="Q447" s="47" t="str">
        <f t="shared" ca="1" si="18"/>
        <v/>
      </c>
      <c r="R447" s="48" t="str">
        <f t="shared" ca="1" si="19"/>
        <v/>
      </c>
      <c r="S447" s="32"/>
      <c r="T447" s="32"/>
      <c r="U447" s="32"/>
      <c r="V447" s="32"/>
      <c r="W447" s="47" t="str">
        <f>IF(X447="","",MAX($W$5:W446)+1)</f>
        <v/>
      </c>
      <c r="X447" s="50" t="str">
        <f>IF(Registro!M446="","",IF(COUNTIF($X$8:X446,Registro!M446)=0,Registro!M446,""))</f>
        <v/>
      </c>
      <c r="Y447" s="50" t="str">
        <f t="shared" si="20"/>
        <v/>
      </c>
    </row>
    <row r="448" spans="1:25">
      <c r="A448" s="45" t="str">
        <f>IF(AND(Registro!D447="Abierto",Registro!E447="Urgente"),Registro!B447,"")</f>
        <v/>
      </c>
      <c r="B448" s="45" t="str">
        <f ca="1">IF(AND(Registro!D447="Abierto",Registro!E447="Urgente"),TODAY()-Registro!R447,"")</f>
        <v/>
      </c>
      <c r="C448" s="45" t="str">
        <f>IF(AND(Registro!D447="Abierto",Registro!E447="Urgente"),RANK(B448,$B$9:$B$1000,0)+COUNTIF($B$9:B448,B448)-1,"")</f>
        <v/>
      </c>
      <c r="D448" s="45" t="str">
        <f>IF(AND(Registro!D447="Abierto",Registro!E447="Alta"),Registro!B447,"")</f>
        <v/>
      </c>
      <c r="E448" s="45" t="str">
        <f ca="1">IF(AND(Registro!D447="Abierto",Registro!E447="Alta"),TODAY()-Registro!R447,"")</f>
        <v/>
      </c>
      <c r="F448" s="45" t="str">
        <f>IF(AND(Registro!D447="Abierto",Registro!E447="Alta"),RANK(E448,$E$9:$E$1000,0)+COUNTIF($E$9:E448,E448)-1+MAX(C$5:C$1000),"")</f>
        <v/>
      </c>
      <c r="G448" s="45" t="str">
        <f>IF(AND(Registro!D447="Abierto",Registro!E447="Media"),Registro!B447,"")</f>
        <v/>
      </c>
      <c r="H448" s="45" t="str">
        <f ca="1">IF(AND(Registro!D447="Abierto",Registro!E447="Media"),TODAY()-Registro!R447,"")</f>
        <v/>
      </c>
      <c r="I448" s="45" t="str">
        <f>IF(AND(Registro!D447="Abierto",Registro!E447="Media"),RANK(H448,$H$9:$H$1000,0)+COUNTIF($H$9:H448,H448)-1+MAX(C$5:C$1000,F$5:F$1000),"")</f>
        <v/>
      </c>
      <c r="J448" s="45" t="str">
        <f>IF(AND(Registro!D447="Abierto",Registro!E447="Baja"),Registro!B447,"")</f>
        <v/>
      </c>
      <c r="K448" s="45" t="str">
        <f ca="1">IF(AND(Registro!D447="Abierto",Registro!E447="Baja"),TODAY()-Registro!R447,"")</f>
        <v/>
      </c>
      <c r="L448" s="45" t="str">
        <f>IF(AND(Registro!D447="Abierto",Registro!E447="Baja"),RANK(K448,$K$9:$K$1000,0)+COUNTIF($K$9:K448,K448)-1+MAX(C$5:C$1000,F$5:F$1000,I$5:I$1000),"")</f>
        <v/>
      </c>
      <c r="M448" s="46" t="str">
        <f>IF(OR(Registro!D447="Resuelto",Registro!D447=""),"",SUM(C448,F448,I448,L448))</f>
        <v/>
      </c>
      <c r="N448" s="46" t="str">
        <f>IF(OR(Registro!D447="Resuelto",Registro!D447=""),"",SUM(B448,E448,H448,K448))</f>
        <v/>
      </c>
      <c r="O448" s="46" t="str">
        <f>IF(OR(Registro!D447="Resuelto",Registro!D447=""),"",_xlfn.CONCAT(A448,D448,G448,J448))</f>
        <v/>
      </c>
      <c r="P448" s="47">
        <v>440</v>
      </c>
      <c r="Q448" s="47" t="str">
        <f t="shared" ca="1" si="18"/>
        <v/>
      </c>
      <c r="R448" s="48" t="str">
        <f t="shared" ca="1" si="19"/>
        <v/>
      </c>
      <c r="S448" s="32"/>
      <c r="T448" s="32"/>
      <c r="U448" s="32"/>
      <c r="V448" s="32"/>
      <c r="W448" s="47" t="str">
        <f>IF(X448="","",MAX($W$5:W447)+1)</f>
        <v/>
      </c>
      <c r="X448" s="50" t="str">
        <f>IF(Registro!M447="","",IF(COUNTIF($X$8:X447,Registro!M447)=0,Registro!M447,""))</f>
        <v/>
      </c>
      <c r="Y448" s="50" t="str">
        <f t="shared" si="20"/>
        <v/>
      </c>
    </row>
    <row r="449" spans="1:25">
      <c r="A449" s="45" t="str">
        <f>IF(AND(Registro!D448="Abierto",Registro!E448="Urgente"),Registro!B448,"")</f>
        <v/>
      </c>
      <c r="B449" s="45" t="str">
        <f ca="1">IF(AND(Registro!D448="Abierto",Registro!E448="Urgente"),TODAY()-Registro!R448,"")</f>
        <v/>
      </c>
      <c r="C449" s="45" t="str">
        <f>IF(AND(Registro!D448="Abierto",Registro!E448="Urgente"),RANK(B449,$B$9:$B$1000,0)+COUNTIF($B$9:B449,B449)-1,"")</f>
        <v/>
      </c>
      <c r="D449" s="45" t="str">
        <f>IF(AND(Registro!D448="Abierto",Registro!E448="Alta"),Registro!B448,"")</f>
        <v/>
      </c>
      <c r="E449" s="45" t="str">
        <f ca="1">IF(AND(Registro!D448="Abierto",Registro!E448="Alta"),TODAY()-Registro!R448,"")</f>
        <v/>
      </c>
      <c r="F449" s="45" t="str">
        <f>IF(AND(Registro!D448="Abierto",Registro!E448="Alta"),RANK(E449,$E$9:$E$1000,0)+COUNTIF($E$9:E449,E449)-1+MAX(C$5:C$1000),"")</f>
        <v/>
      </c>
      <c r="G449" s="45" t="str">
        <f>IF(AND(Registro!D448="Abierto",Registro!E448="Media"),Registro!B448,"")</f>
        <v/>
      </c>
      <c r="H449" s="45" t="str">
        <f ca="1">IF(AND(Registro!D448="Abierto",Registro!E448="Media"),TODAY()-Registro!R448,"")</f>
        <v/>
      </c>
      <c r="I449" s="45" t="str">
        <f>IF(AND(Registro!D448="Abierto",Registro!E448="Media"),RANK(H449,$H$9:$H$1000,0)+COUNTIF($H$9:H449,H449)-1+MAX(C$5:C$1000,F$5:F$1000),"")</f>
        <v/>
      </c>
      <c r="J449" s="45" t="str">
        <f>IF(AND(Registro!D448="Abierto",Registro!E448="Baja"),Registro!B448,"")</f>
        <v/>
      </c>
      <c r="K449" s="45" t="str">
        <f ca="1">IF(AND(Registro!D448="Abierto",Registro!E448="Baja"),TODAY()-Registro!R448,"")</f>
        <v/>
      </c>
      <c r="L449" s="45" t="str">
        <f>IF(AND(Registro!D448="Abierto",Registro!E448="Baja"),RANK(K449,$K$9:$K$1000,0)+COUNTIF($K$9:K449,K449)-1+MAX(C$5:C$1000,F$5:F$1000,I$5:I$1000),"")</f>
        <v/>
      </c>
      <c r="M449" s="46" t="str">
        <f>IF(OR(Registro!D448="Resuelto",Registro!D448=""),"",SUM(C449,F449,I449,L449))</f>
        <v/>
      </c>
      <c r="N449" s="46" t="str">
        <f>IF(OR(Registro!D448="Resuelto",Registro!D448=""),"",SUM(B449,E449,H449,K449))</f>
        <v/>
      </c>
      <c r="O449" s="46" t="str">
        <f>IF(OR(Registro!D448="Resuelto",Registro!D448=""),"",_xlfn.CONCAT(A449,D449,G449,J449))</f>
        <v/>
      </c>
      <c r="P449" s="47">
        <v>441</v>
      </c>
      <c r="Q449" s="47" t="str">
        <f t="shared" ca="1" si="18"/>
        <v/>
      </c>
      <c r="R449" s="48" t="str">
        <f t="shared" ca="1" si="19"/>
        <v/>
      </c>
      <c r="S449" s="32"/>
      <c r="T449" s="32"/>
      <c r="U449" s="32"/>
      <c r="V449" s="32"/>
      <c r="W449" s="47" t="str">
        <f>IF(X449="","",MAX($W$5:W448)+1)</f>
        <v/>
      </c>
      <c r="X449" s="50" t="str">
        <f>IF(Registro!M448="","",IF(COUNTIF($X$8:X448,Registro!M448)=0,Registro!M448,""))</f>
        <v/>
      </c>
      <c r="Y449" s="50" t="str">
        <f t="shared" si="20"/>
        <v/>
      </c>
    </row>
    <row r="450" spans="1:25">
      <c r="A450" s="45" t="str">
        <f>IF(AND(Registro!D449="Abierto",Registro!E449="Urgente"),Registro!B449,"")</f>
        <v/>
      </c>
      <c r="B450" s="45" t="str">
        <f ca="1">IF(AND(Registro!D449="Abierto",Registro!E449="Urgente"),TODAY()-Registro!R449,"")</f>
        <v/>
      </c>
      <c r="C450" s="45" t="str">
        <f>IF(AND(Registro!D449="Abierto",Registro!E449="Urgente"),RANK(B450,$B$9:$B$1000,0)+COUNTIF($B$9:B450,B450)-1,"")</f>
        <v/>
      </c>
      <c r="D450" s="45" t="str">
        <f>IF(AND(Registro!D449="Abierto",Registro!E449="Alta"),Registro!B449,"")</f>
        <v/>
      </c>
      <c r="E450" s="45" t="str">
        <f ca="1">IF(AND(Registro!D449="Abierto",Registro!E449="Alta"),TODAY()-Registro!R449,"")</f>
        <v/>
      </c>
      <c r="F450" s="45" t="str">
        <f>IF(AND(Registro!D449="Abierto",Registro!E449="Alta"),RANK(E450,$E$9:$E$1000,0)+COUNTIF($E$9:E450,E450)-1+MAX(C$5:C$1000),"")</f>
        <v/>
      </c>
      <c r="G450" s="45" t="str">
        <f>IF(AND(Registro!D449="Abierto",Registro!E449="Media"),Registro!B449,"")</f>
        <v/>
      </c>
      <c r="H450" s="45" t="str">
        <f ca="1">IF(AND(Registro!D449="Abierto",Registro!E449="Media"),TODAY()-Registro!R449,"")</f>
        <v/>
      </c>
      <c r="I450" s="45" t="str">
        <f>IF(AND(Registro!D449="Abierto",Registro!E449="Media"),RANK(H450,$H$9:$H$1000,0)+COUNTIF($H$9:H450,H450)-1+MAX(C$5:C$1000,F$5:F$1000),"")</f>
        <v/>
      </c>
      <c r="J450" s="45" t="str">
        <f>IF(AND(Registro!D449="Abierto",Registro!E449="Baja"),Registro!B449,"")</f>
        <v/>
      </c>
      <c r="K450" s="45" t="str">
        <f ca="1">IF(AND(Registro!D449="Abierto",Registro!E449="Baja"),TODAY()-Registro!R449,"")</f>
        <v/>
      </c>
      <c r="L450" s="45" t="str">
        <f>IF(AND(Registro!D449="Abierto",Registro!E449="Baja"),RANK(K450,$K$9:$K$1000,0)+COUNTIF($K$9:K450,K450)-1+MAX(C$5:C$1000,F$5:F$1000,I$5:I$1000),"")</f>
        <v/>
      </c>
      <c r="M450" s="46" t="str">
        <f>IF(OR(Registro!D449="Resuelto",Registro!D449=""),"",SUM(C450,F450,I450,L450))</f>
        <v/>
      </c>
      <c r="N450" s="46" t="str">
        <f>IF(OR(Registro!D449="Resuelto",Registro!D449=""),"",SUM(B450,E450,H450,K450))</f>
        <v/>
      </c>
      <c r="O450" s="46" t="str">
        <f>IF(OR(Registro!D449="Resuelto",Registro!D449=""),"",_xlfn.CONCAT(A450,D450,G450,J450))</f>
        <v/>
      </c>
      <c r="P450" s="47">
        <v>442</v>
      </c>
      <c r="Q450" s="47" t="str">
        <f t="shared" ca="1" si="18"/>
        <v/>
      </c>
      <c r="R450" s="48" t="str">
        <f t="shared" ca="1" si="19"/>
        <v/>
      </c>
      <c r="S450" s="32"/>
      <c r="T450" s="32"/>
      <c r="U450" s="32"/>
      <c r="V450" s="32"/>
      <c r="W450" s="47" t="str">
        <f>IF(X450="","",MAX($W$5:W449)+1)</f>
        <v/>
      </c>
      <c r="X450" s="50" t="str">
        <f>IF(Registro!M449="","",IF(COUNTIF($X$8:X449,Registro!M449)=0,Registro!M449,""))</f>
        <v/>
      </c>
      <c r="Y450" s="50" t="str">
        <f t="shared" si="20"/>
        <v/>
      </c>
    </row>
    <row r="451" spans="1:25">
      <c r="A451" s="45" t="str">
        <f>IF(AND(Registro!D450="Abierto",Registro!E450="Urgente"),Registro!B450,"")</f>
        <v/>
      </c>
      <c r="B451" s="45" t="str">
        <f ca="1">IF(AND(Registro!D450="Abierto",Registro!E450="Urgente"),TODAY()-Registro!R450,"")</f>
        <v/>
      </c>
      <c r="C451" s="45" t="str">
        <f>IF(AND(Registro!D450="Abierto",Registro!E450="Urgente"),RANK(B451,$B$9:$B$1000,0)+COUNTIF($B$9:B451,B451)-1,"")</f>
        <v/>
      </c>
      <c r="D451" s="45" t="str">
        <f>IF(AND(Registro!D450="Abierto",Registro!E450="Alta"),Registro!B450,"")</f>
        <v/>
      </c>
      <c r="E451" s="45" t="str">
        <f ca="1">IF(AND(Registro!D450="Abierto",Registro!E450="Alta"),TODAY()-Registro!R450,"")</f>
        <v/>
      </c>
      <c r="F451" s="45" t="str">
        <f>IF(AND(Registro!D450="Abierto",Registro!E450="Alta"),RANK(E451,$E$9:$E$1000,0)+COUNTIF($E$9:E451,E451)-1+MAX(C$5:C$1000),"")</f>
        <v/>
      </c>
      <c r="G451" s="45" t="str">
        <f>IF(AND(Registro!D450="Abierto",Registro!E450="Media"),Registro!B450,"")</f>
        <v/>
      </c>
      <c r="H451" s="45" t="str">
        <f ca="1">IF(AND(Registro!D450="Abierto",Registro!E450="Media"),TODAY()-Registro!R450,"")</f>
        <v/>
      </c>
      <c r="I451" s="45" t="str">
        <f>IF(AND(Registro!D450="Abierto",Registro!E450="Media"),RANK(H451,$H$9:$H$1000,0)+COUNTIF($H$9:H451,H451)-1+MAX(C$5:C$1000,F$5:F$1000),"")</f>
        <v/>
      </c>
      <c r="J451" s="45" t="str">
        <f>IF(AND(Registro!D450="Abierto",Registro!E450="Baja"),Registro!B450,"")</f>
        <v/>
      </c>
      <c r="K451" s="45" t="str">
        <f ca="1">IF(AND(Registro!D450="Abierto",Registro!E450="Baja"),TODAY()-Registro!R450,"")</f>
        <v/>
      </c>
      <c r="L451" s="45" t="str">
        <f>IF(AND(Registro!D450="Abierto",Registro!E450="Baja"),RANK(K451,$K$9:$K$1000,0)+COUNTIF($K$9:K451,K451)-1+MAX(C$5:C$1000,F$5:F$1000,I$5:I$1000),"")</f>
        <v/>
      </c>
      <c r="M451" s="46" t="str">
        <f>IF(OR(Registro!D450="Resuelto",Registro!D450=""),"",SUM(C451,F451,I451,L451))</f>
        <v/>
      </c>
      <c r="N451" s="46" t="str">
        <f>IF(OR(Registro!D450="Resuelto",Registro!D450=""),"",SUM(B451,E451,H451,K451))</f>
        <v/>
      </c>
      <c r="O451" s="46" t="str">
        <f>IF(OR(Registro!D450="Resuelto",Registro!D450=""),"",_xlfn.CONCAT(A451,D451,G451,J451))</f>
        <v/>
      </c>
      <c r="P451" s="47">
        <v>443</v>
      </c>
      <c r="Q451" s="47" t="str">
        <f t="shared" ca="1" si="18"/>
        <v/>
      </c>
      <c r="R451" s="48" t="str">
        <f t="shared" ca="1" si="19"/>
        <v/>
      </c>
      <c r="S451" s="32"/>
      <c r="T451" s="32"/>
      <c r="U451" s="32"/>
      <c r="V451" s="32"/>
      <c r="W451" s="47" t="str">
        <f>IF(X451="","",MAX($W$5:W450)+1)</f>
        <v/>
      </c>
      <c r="X451" s="50" t="str">
        <f>IF(Registro!M450="","",IF(COUNTIF($X$8:X450,Registro!M450)=0,Registro!M450,""))</f>
        <v/>
      </c>
      <c r="Y451" s="50" t="str">
        <f t="shared" si="20"/>
        <v/>
      </c>
    </row>
    <row r="452" spans="1:25">
      <c r="A452" s="45" t="str">
        <f>IF(AND(Registro!D451="Abierto",Registro!E451="Urgente"),Registro!B451,"")</f>
        <v/>
      </c>
      <c r="B452" s="45" t="str">
        <f ca="1">IF(AND(Registro!D451="Abierto",Registro!E451="Urgente"),TODAY()-Registro!R451,"")</f>
        <v/>
      </c>
      <c r="C452" s="45" t="str">
        <f>IF(AND(Registro!D451="Abierto",Registro!E451="Urgente"),RANK(B452,$B$9:$B$1000,0)+COUNTIF($B$9:B452,B452)-1,"")</f>
        <v/>
      </c>
      <c r="D452" s="45" t="str">
        <f>IF(AND(Registro!D451="Abierto",Registro!E451="Alta"),Registro!B451,"")</f>
        <v/>
      </c>
      <c r="E452" s="45" t="str">
        <f ca="1">IF(AND(Registro!D451="Abierto",Registro!E451="Alta"),TODAY()-Registro!R451,"")</f>
        <v/>
      </c>
      <c r="F452" s="45" t="str">
        <f>IF(AND(Registro!D451="Abierto",Registro!E451="Alta"),RANK(E452,$E$9:$E$1000,0)+COUNTIF($E$9:E452,E452)-1+MAX(C$5:C$1000),"")</f>
        <v/>
      </c>
      <c r="G452" s="45" t="str">
        <f>IF(AND(Registro!D451="Abierto",Registro!E451="Media"),Registro!B451,"")</f>
        <v/>
      </c>
      <c r="H452" s="45" t="str">
        <f ca="1">IF(AND(Registro!D451="Abierto",Registro!E451="Media"),TODAY()-Registro!R451,"")</f>
        <v/>
      </c>
      <c r="I452" s="45" t="str">
        <f>IF(AND(Registro!D451="Abierto",Registro!E451="Media"),RANK(H452,$H$9:$H$1000,0)+COUNTIF($H$9:H452,H452)-1+MAX(C$5:C$1000,F$5:F$1000),"")</f>
        <v/>
      </c>
      <c r="J452" s="45" t="str">
        <f>IF(AND(Registro!D451="Abierto",Registro!E451="Baja"),Registro!B451,"")</f>
        <v/>
      </c>
      <c r="K452" s="45" t="str">
        <f ca="1">IF(AND(Registro!D451="Abierto",Registro!E451="Baja"),TODAY()-Registro!R451,"")</f>
        <v/>
      </c>
      <c r="L452" s="45" t="str">
        <f>IF(AND(Registro!D451="Abierto",Registro!E451="Baja"),RANK(K452,$K$9:$K$1000,0)+COUNTIF($K$9:K452,K452)-1+MAX(C$5:C$1000,F$5:F$1000,I$5:I$1000),"")</f>
        <v/>
      </c>
      <c r="M452" s="46" t="str">
        <f>IF(OR(Registro!D451="Resuelto",Registro!D451=""),"",SUM(C452,F452,I452,L452))</f>
        <v/>
      </c>
      <c r="N452" s="46" t="str">
        <f>IF(OR(Registro!D451="Resuelto",Registro!D451=""),"",SUM(B452,E452,H452,K452))</f>
        <v/>
      </c>
      <c r="O452" s="46" t="str">
        <f>IF(OR(Registro!D451="Resuelto",Registro!D451=""),"",_xlfn.CONCAT(A452,D452,G452,J452))</f>
        <v/>
      </c>
      <c r="P452" s="47">
        <v>444</v>
      </c>
      <c r="Q452" s="47" t="str">
        <f t="shared" ca="1" si="18"/>
        <v/>
      </c>
      <c r="R452" s="48" t="str">
        <f t="shared" ca="1" si="19"/>
        <v/>
      </c>
      <c r="S452" s="32"/>
      <c r="T452" s="32"/>
      <c r="U452" s="32"/>
      <c r="V452" s="32"/>
      <c r="W452" s="47" t="str">
        <f>IF(X452="","",MAX($W$5:W451)+1)</f>
        <v/>
      </c>
      <c r="X452" s="50" t="str">
        <f>IF(Registro!M451="","",IF(COUNTIF($X$8:X451,Registro!M451)=0,Registro!M451,""))</f>
        <v/>
      </c>
      <c r="Y452" s="50" t="str">
        <f t="shared" si="20"/>
        <v/>
      </c>
    </row>
    <row r="453" spans="1:25">
      <c r="A453" s="45" t="str">
        <f>IF(AND(Registro!D452="Abierto",Registro!E452="Urgente"),Registro!B452,"")</f>
        <v/>
      </c>
      <c r="B453" s="45" t="str">
        <f ca="1">IF(AND(Registro!D452="Abierto",Registro!E452="Urgente"),TODAY()-Registro!R452,"")</f>
        <v/>
      </c>
      <c r="C453" s="45" t="str">
        <f>IF(AND(Registro!D452="Abierto",Registro!E452="Urgente"),RANK(B453,$B$9:$B$1000,0)+COUNTIF($B$9:B453,B453)-1,"")</f>
        <v/>
      </c>
      <c r="D453" s="45" t="str">
        <f>IF(AND(Registro!D452="Abierto",Registro!E452="Alta"),Registro!B452,"")</f>
        <v/>
      </c>
      <c r="E453" s="45" t="str">
        <f ca="1">IF(AND(Registro!D452="Abierto",Registro!E452="Alta"),TODAY()-Registro!R452,"")</f>
        <v/>
      </c>
      <c r="F453" s="45" t="str">
        <f>IF(AND(Registro!D452="Abierto",Registro!E452="Alta"),RANK(E453,$E$9:$E$1000,0)+COUNTIF($E$9:E453,E453)-1+MAX(C$5:C$1000),"")</f>
        <v/>
      </c>
      <c r="G453" s="45" t="str">
        <f>IF(AND(Registro!D452="Abierto",Registro!E452="Media"),Registro!B452,"")</f>
        <v/>
      </c>
      <c r="H453" s="45" t="str">
        <f ca="1">IF(AND(Registro!D452="Abierto",Registro!E452="Media"),TODAY()-Registro!R452,"")</f>
        <v/>
      </c>
      <c r="I453" s="45" t="str">
        <f>IF(AND(Registro!D452="Abierto",Registro!E452="Media"),RANK(H453,$H$9:$H$1000,0)+COUNTIF($H$9:H453,H453)-1+MAX(C$5:C$1000,F$5:F$1000),"")</f>
        <v/>
      </c>
      <c r="J453" s="45" t="str">
        <f>IF(AND(Registro!D452="Abierto",Registro!E452="Baja"),Registro!B452,"")</f>
        <v/>
      </c>
      <c r="K453" s="45" t="str">
        <f ca="1">IF(AND(Registro!D452="Abierto",Registro!E452="Baja"),TODAY()-Registro!R452,"")</f>
        <v/>
      </c>
      <c r="L453" s="45" t="str">
        <f>IF(AND(Registro!D452="Abierto",Registro!E452="Baja"),RANK(K453,$K$9:$K$1000,0)+COUNTIF($K$9:K453,K453)-1+MAX(C$5:C$1000,F$5:F$1000,I$5:I$1000),"")</f>
        <v/>
      </c>
      <c r="M453" s="46" t="str">
        <f>IF(OR(Registro!D452="Resuelto",Registro!D452=""),"",SUM(C453,F453,I453,L453))</f>
        <v/>
      </c>
      <c r="N453" s="46" t="str">
        <f>IF(OR(Registro!D452="Resuelto",Registro!D452=""),"",SUM(B453,E453,H453,K453))</f>
        <v/>
      </c>
      <c r="O453" s="46" t="str">
        <f>IF(OR(Registro!D452="Resuelto",Registro!D452=""),"",_xlfn.CONCAT(A453,D453,G453,J453))</f>
        <v/>
      </c>
      <c r="P453" s="47">
        <v>445</v>
      </c>
      <c r="Q453" s="47" t="str">
        <f t="shared" ca="1" si="18"/>
        <v/>
      </c>
      <c r="R453" s="48" t="str">
        <f t="shared" ca="1" si="19"/>
        <v/>
      </c>
      <c r="S453" s="32"/>
      <c r="T453" s="32"/>
      <c r="U453" s="32"/>
      <c r="V453" s="32"/>
      <c r="W453" s="47" t="str">
        <f>IF(X453="","",MAX($W$5:W452)+1)</f>
        <v/>
      </c>
      <c r="X453" s="50" t="str">
        <f>IF(Registro!M452="","",IF(COUNTIF($X$8:X452,Registro!M452)=0,Registro!M452,""))</f>
        <v/>
      </c>
      <c r="Y453" s="50" t="str">
        <f t="shared" si="20"/>
        <v/>
      </c>
    </row>
    <row r="454" spans="1:25">
      <c r="A454" s="45" t="str">
        <f>IF(AND(Registro!D453="Abierto",Registro!E453="Urgente"),Registro!B453,"")</f>
        <v/>
      </c>
      <c r="B454" s="45" t="str">
        <f ca="1">IF(AND(Registro!D453="Abierto",Registro!E453="Urgente"),TODAY()-Registro!R453,"")</f>
        <v/>
      </c>
      <c r="C454" s="45" t="str">
        <f>IF(AND(Registro!D453="Abierto",Registro!E453="Urgente"),RANK(B454,$B$9:$B$1000,0)+COUNTIF($B$9:B454,B454)-1,"")</f>
        <v/>
      </c>
      <c r="D454" s="45" t="str">
        <f>IF(AND(Registro!D453="Abierto",Registro!E453="Alta"),Registro!B453,"")</f>
        <v/>
      </c>
      <c r="E454" s="45" t="str">
        <f ca="1">IF(AND(Registro!D453="Abierto",Registro!E453="Alta"),TODAY()-Registro!R453,"")</f>
        <v/>
      </c>
      <c r="F454" s="45" t="str">
        <f>IF(AND(Registro!D453="Abierto",Registro!E453="Alta"),RANK(E454,$E$9:$E$1000,0)+COUNTIF($E$9:E454,E454)-1+MAX(C$5:C$1000),"")</f>
        <v/>
      </c>
      <c r="G454" s="45" t="str">
        <f>IF(AND(Registro!D453="Abierto",Registro!E453="Media"),Registro!B453,"")</f>
        <v/>
      </c>
      <c r="H454" s="45" t="str">
        <f ca="1">IF(AND(Registro!D453="Abierto",Registro!E453="Media"),TODAY()-Registro!R453,"")</f>
        <v/>
      </c>
      <c r="I454" s="45" t="str">
        <f>IF(AND(Registro!D453="Abierto",Registro!E453="Media"),RANK(H454,$H$9:$H$1000,0)+COUNTIF($H$9:H454,H454)-1+MAX(C$5:C$1000,F$5:F$1000),"")</f>
        <v/>
      </c>
      <c r="J454" s="45" t="str">
        <f>IF(AND(Registro!D453="Abierto",Registro!E453="Baja"),Registro!B453,"")</f>
        <v/>
      </c>
      <c r="K454" s="45" t="str">
        <f ca="1">IF(AND(Registro!D453="Abierto",Registro!E453="Baja"),TODAY()-Registro!R453,"")</f>
        <v/>
      </c>
      <c r="L454" s="45" t="str">
        <f>IF(AND(Registro!D453="Abierto",Registro!E453="Baja"),RANK(K454,$K$9:$K$1000,0)+COUNTIF($K$9:K454,K454)-1+MAX(C$5:C$1000,F$5:F$1000,I$5:I$1000),"")</f>
        <v/>
      </c>
      <c r="M454" s="46" t="str">
        <f>IF(OR(Registro!D453="Resuelto",Registro!D453=""),"",SUM(C454,F454,I454,L454))</f>
        <v/>
      </c>
      <c r="N454" s="46" t="str">
        <f>IF(OR(Registro!D453="Resuelto",Registro!D453=""),"",SUM(B454,E454,H454,K454))</f>
        <v/>
      </c>
      <c r="O454" s="46" t="str">
        <f>IF(OR(Registro!D453="Resuelto",Registro!D453=""),"",_xlfn.CONCAT(A454,D454,G454,J454))</f>
        <v/>
      </c>
      <c r="P454" s="47">
        <v>446</v>
      </c>
      <c r="Q454" s="47" t="str">
        <f t="shared" ca="1" si="18"/>
        <v/>
      </c>
      <c r="R454" s="48" t="str">
        <f t="shared" ca="1" si="19"/>
        <v/>
      </c>
      <c r="S454" s="32"/>
      <c r="T454" s="32"/>
      <c r="U454" s="32"/>
      <c r="V454" s="32"/>
      <c r="W454" s="47" t="str">
        <f>IF(X454="","",MAX($W$5:W453)+1)</f>
        <v/>
      </c>
      <c r="X454" s="50" t="str">
        <f>IF(Registro!M453="","",IF(COUNTIF($X$8:X453,Registro!M453)=0,Registro!M453,""))</f>
        <v/>
      </c>
      <c r="Y454" s="50" t="str">
        <f t="shared" si="20"/>
        <v/>
      </c>
    </row>
    <row r="455" spans="1:25">
      <c r="A455" s="45" t="str">
        <f>IF(AND(Registro!D454="Abierto",Registro!E454="Urgente"),Registro!B454,"")</f>
        <v/>
      </c>
      <c r="B455" s="45" t="str">
        <f ca="1">IF(AND(Registro!D454="Abierto",Registro!E454="Urgente"),TODAY()-Registro!R454,"")</f>
        <v/>
      </c>
      <c r="C455" s="45" t="str">
        <f>IF(AND(Registro!D454="Abierto",Registro!E454="Urgente"),RANK(B455,$B$9:$B$1000,0)+COUNTIF($B$9:B455,B455)-1,"")</f>
        <v/>
      </c>
      <c r="D455" s="45" t="str">
        <f>IF(AND(Registro!D454="Abierto",Registro!E454="Alta"),Registro!B454,"")</f>
        <v/>
      </c>
      <c r="E455" s="45" t="str">
        <f ca="1">IF(AND(Registro!D454="Abierto",Registro!E454="Alta"),TODAY()-Registro!R454,"")</f>
        <v/>
      </c>
      <c r="F455" s="45" t="str">
        <f>IF(AND(Registro!D454="Abierto",Registro!E454="Alta"),RANK(E455,$E$9:$E$1000,0)+COUNTIF($E$9:E455,E455)-1+MAX(C$5:C$1000),"")</f>
        <v/>
      </c>
      <c r="G455" s="45" t="str">
        <f>IF(AND(Registro!D454="Abierto",Registro!E454="Media"),Registro!B454,"")</f>
        <v/>
      </c>
      <c r="H455" s="45" t="str">
        <f ca="1">IF(AND(Registro!D454="Abierto",Registro!E454="Media"),TODAY()-Registro!R454,"")</f>
        <v/>
      </c>
      <c r="I455" s="45" t="str">
        <f>IF(AND(Registro!D454="Abierto",Registro!E454="Media"),RANK(H455,$H$9:$H$1000,0)+COUNTIF($H$9:H455,H455)-1+MAX(C$5:C$1000,F$5:F$1000),"")</f>
        <v/>
      </c>
      <c r="J455" s="45" t="str">
        <f>IF(AND(Registro!D454="Abierto",Registro!E454="Baja"),Registro!B454,"")</f>
        <v/>
      </c>
      <c r="K455" s="45" t="str">
        <f ca="1">IF(AND(Registro!D454="Abierto",Registro!E454="Baja"),TODAY()-Registro!R454,"")</f>
        <v/>
      </c>
      <c r="L455" s="45" t="str">
        <f>IF(AND(Registro!D454="Abierto",Registro!E454="Baja"),RANK(K455,$K$9:$K$1000,0)+COUNTIF($K$9:K455,K455)-1+MAX(C$5:C$1000,F$5:F$1000,I$5:I$1000),"")</f>
        <v/>
      </c>
      <c r="M455" s="46" t="str">
        <f>IF(OR(Registro!D454="Resuelto",Registro!D454=""),"",SUM(C455,F455,I455,L455))</f>
        <v/>
      </c>
      <c r="N455" s="46" t="str">
        <f>IF(OR(Registro!D454="Resuelto",Registro!D454=""),"",SUM(B455,E455,H455,K455))</f>
        <v/>
      </c>
      <c r="O455" s="46" t="str">
        <f>IF(OR(Registro!D454="Resuelto",Registro!D454=""),"",_xlfn.CONCAT(A455,D455,G455,J455))</f>
        <v/>
      </c>
      <c r="P455" s="47">
        <v>447</v>
      </c>
      <c r="Q455" s="47" t="str">
        <f t="shared" ca="1" si="18"/>
        <v/>
      </c>
      <c r="R455" s="48" t="str">
        <f t="shared" ca="1" si="19"/>
        <v/>
      </c>
      <c r="S455" s="32"/>
      <c r="T455" s="32"/>
      <c r="U455" s="32"/>
      <c r="V455" s="32"/>
      <c r="W455" s="47" t="str">
        <f>IF(X455="","",MAX($W$5:W454)+1)</f>
        <v/>
      </c>
      <c r="X455" s="50" t="str">
        <f>IF(Registro!M454="","",IF(COUNTIF($X$8:X454,Registro!M454)=0,Registro!M454,""))</f>
        <v/>
      </c>
      <c r="Y455" s="50" t="str">
        <f t="shared" si="20"/>
        <v/>
      </c>
    </row>
    <row r="456" spans="1:25">
      <c r="A456" s="45" t="str">
        <f>IF(AND(Registro!D455="Abierto",Registro!E455="Urgente"),Registro!B455,"")</f>
        <v/>
      </c>
      <c r="B456" s="45" t="str">
        <f ca="1">IF(AND(Registro!D455="Abierto",Registro!E455="Urgente"),TODAY()-Registro!R455,"")</f>
        <v/>
      </c>
      <c r="C456" s="45" t="str">
        <f>IF(AND(Registro!D455="Abierto",Registro!E455="Urgente"),RANK(B456,$B$9:$B$1000,0)+COUNTIF($B$9:B456,B456)-1,"")</f>
        <v/>
      </c>
      <c r="D456" s="45" t="str">
        <f>IF(AND(Registro!D455="Abierto",Registro!E455="Alta"),Registro!B455,"")</f>
        <v/>
      </c>
      <c r="E456" s="45" t="str">
        <f ca="1">IF(AND(Registro!D455="Abierto",Registro!E455="Alta"),TODAY()-Registro!R455,"")</f>
        <v/>
      </c>
      <c r="F456" s="45" t="str">
        <f>IF(AND(Registro!D455="Abierto",Registro!E455="Alta"),RANK(E456,$E$9:$E$1000,0)+COUNTIF($E$9:E456,E456)-1+MAX(C$5:C$1000),"")</f>
        <v/>
      </c>
      <c r="G456" s="45" t="str">
        <f>IF(AND(Registro!D455="Abierto",Registro!E455="Media"),Registro!B455,"")</f>
        <v/>
      </c>
      <c r="H456" s="45" t="str">
        <f ca="1">IF(AND(Registro!D455="Abierto",Registro!E455="Media"),TODAY()-Registro!R455,"")</f>
        <v/>
      </c>
      <c r="I456" s="45" t="str">
        <f>IF(AND(Registro!D455="Abierto",Registro!E455="Media"),RANK(H456,$H$9:$H$1000,0)+COUNTIF($H$9:H456,H456)-1+MAX(C$5:C$1000,F$5:F$1000),"")</f>
        <v/>
      </c>
      <c r="J456" s="45" t="str">
        <f>IF(AND(Registro!D455="Abierto",Registro!E455="Baja"),Registro!B455,"")</f>
        <v/>
      </c>
      <c r="K456" s="45" t="str">
        <f ca="1">IF(AND(Registro!D455="Abierto",Registro!E455="Baja"),TODAY()-Registro!R455,"")</f>
        <v/>
      </c>
      <c r="L456" s="45" t="str">
        <f>IF(AND(Registro!D455="Abierto",Registro!E455="Baja"),RANK(K456,$K$9:$K$1000,0)+COUNTIF($K$9:K456,K456)-1+MAX(C$5:C$1000,F$5:F$1000,I$5:I$1000),"")</f>
        <v/>
      </c>
      <c r="M456" s="46" t="str">
        <f>IF(OR(Registro!D455="Resuelto",Registro!D455=""),"",SUM(C456,F456,I456,L456))</f>
        <v/>
      </c>
      <c r="N456" s="46" t="str">
        <f>IF(OR(Registro!D455="Resuelto",Registro!D455=""),"",SUM(B456,E456,H456,K456))</f>
        <v/>
      </c>
      <c r="O456" s="46" t="str">
        <f>IF(OR(Registro!D455="Resuelto",Registro!D455=""),"",_xlfn.CONCAT(A456,D456,G456,J456))</f>
        <v/>
      </c>
      <c r="P456" s="47">
        <v>448</v>
      </c>
      <c r="Q456" s="47" t="str">
        <f t="shared" ca="1" si="18"/>
        <v/>
      </c>
      <c r="R456" s="48" t="str">
        <f t="shared" ca="1" si="19"/>
        <v/>
      </c>
      <c r="S456" s="32"/>
      <c r="T456" s="32"/>
      <c r="U456" s="32"/>
      <c r="V456" s="32"/>
      <c r="W456" s="47" t="str">
        <f>IF(X456="","",MAX($W$5:W455)+1)</f>
        <v/>
      </c>
      <c r="X456" s="50" t="str">
        <f>IF(Registro!M455="","",IF(COUNTIF($X$8:X455,Registro!M455)=0,Registro!M455,""))</f>
        <v/>
      </c>
      <c r="Y456" s="50" t="str">
        <f t="shared" si="20"/>
        <v/>
      </c>
    </row>
    <row r="457" spans="1:25">
      <c r="A457" s="45" t="str">
        <f>IF(AND(Registro!D456="Abierto",Registro!E456="Urgente"),Registro!B456,"")</f>
        <v/>
      </c>
      <c r="B457" s="45" t="str">
        <f ca="1">IF(AND(Registro!D456="Abierto",Registro!E456="Urgente"),TODAY()-Registro!R456,"")</f>
        <v/>
      </c>
      <c r="C457" s="45" t="str">
        <f>IF(AND(Registro!D456="Abierto",Registro!E456="Urgente"),RANK(B457,$B$9:$B$1000,0)+COUNTIF($B$9:B457,B457)-1,"")</f>
        <v/>
      </c>
      <c r="D457" s="45" t="str">
        <f>IF(AND(Registro!D456="Abierto",Registro!E456="Alta"),Registro!B456,"")</f>
        <v/>
      </c>
      <c r="E457" s="45" t="str">
        <f ca="1">IF(AND(Registro!D456="Abierto",Registro!E456="Alta"),TODAY()-Registro!R456,"")</f>
        <v/>
      </c>
      <c r="F457" s="45" t="str">
        <f>IF(AND(Registro!D456="Abierto",Registro!E456="Alta"),RANK(E457,$E$9:$E$1000,0)+COUNTIF($E$9:E457,E457)-1+MAX(C$5:C$1000),"")</f>
        <v/>
      </c>
      <c r="G457" s="45" t="str">
        <f>IF(AND(Registro!D456="Abierto",Registro!E456="Media"),Registro!B456,"")</f>
        <v/>
      </c>
      <c r="H457" s="45" t="str">
        <f ca="1">IF(AND(Registro!D456="Abierto",Registro!E456="Media"),TODAY()-Registro!R456,"")</f>
        <v/>
      </c>
      <c r="I457" s="45" t="str">
        <f>IF(AND(Registro!D456="Abierto",Registro!E456="Media"),RANK(H457,$H$9:$H$1000,0)+COUNTIF($H$9:H457,H457)-1+MAX(C$5:C$1000,F$5:F$1000),"")</f>
        <v/>
      </c>
      <c r="J457" s="45" t="str">
        <f>IF(AND(Registro!D456="Abierto",Registro!E456="Baja"),Registro!B456,"")</f>
        <v/>
      </c>
      <c r="K457" s="45" t="str">
        <f ca="1">IF(AND(Registro!D456="Abierto",Registro!E456="Baja"),TODAY()-Registro!R456,"")</f>
        <v/>
      </c>
      <c r="L457" s="45" t="str">
        <f>IF(AND(Registro!D456="Abierto",Registro!E456="Baja"),RANK(K457,$K$9:$K$1000,0)+COUNTIF($K$9:K457,K457)-1+MAX(C$5:C$1000,F$5:F$1000,I$5:I$1000),"")</f>
        <v/>
      </c>
      <c r="M457" s="46" t="str">
        <f>IF(OR(Registro!D456="Resuelto",Registro!D456=""),"",SUM(C457,F457,I457,L457))</f>
        <v/>
      </c>
      <c r="N457" s="46" t="str">
        <f>IF(OR(Registro!D456="Resuelto",Registro!D456=""),"",SUM(B457,E457,H457,K457))</f>
        <v/>
      </c>
      <c r="O457" s="46" t="str">
        <f>IF(OR(Registro!D456="Resuelto",Registro!D456=""),"",_xlfn.CONCAT(A457,D457,G457,J457))</f>
        <v/>
      </c>
      <c r="P457" s="47">
        <v>449</v>
      </c>
      <c r="Q457" s="47" t="str">
        <f t="shared" ref="Q457:Q520" ca="1" si="21">IF(ISNA(VLOOKUP(P457,$M$9:$O$1000,3,FALSE))=TRUE,"",VLOOKUP(P457,$M$9:$O$1000,3,FALSE))</f>
        <v/>
      </c>
      <c r="R457" s="48" t="str">
        <f t="shared" ref="R457:R520" ca="1" si="22">IF(ISNA(VLOOKUP(P457,$M$9:$O$1000,2,FALSE))=TRUE,"",VLOOKUP(P457,$M$9:$O$1000,2,FALSE))</f>
        <v/>
      </c>
      <c r="S457" s="32"/>
      <c r="T457" s="32"/>
      <c r="U457" s="32"/>
      <c r="V457" s="32"/>
      <c r="W457" s="47" t="str">
        <f>IF(X457="","",MAX($W$5:W456)+1)</f>
        <v/>
      </c>
      <c r="X457" s="50" t="str">
        <f>IF(Registro!M456="","",IF(COUNTIF($X$8:X456,Registro!M456)=0,Registro!M456,""))</f>
        <v/>
      </c>
      <c r="Y457" s="50" t="str">
        <f t="shared" ref="Y457:Y520" si="23">IF(ISNA(VLOOKUP(P457,$W$9:$X$1000,2,FALSE))=TRUE,"",VLOOKUP(P457,$W$9:$X$1000,2,FALSE))</f>
        <v/>
      </c>
    </row>
    <row r="458" spans="1:25">
      <c r="A458" s="45" t="str">
        <f>IF(AND(Registro!D457="Abierto",Registro!E457="Urgente"),Registro!B457,"")</f>
        <v/>
      </c>
      <c r="B458" s="45" t="str">
        <f ca="1">IF(AND(Registro!D457="Abierto",Registro!E457="Urgente"),TODAY()-Registro!R457,"")</f>
        <v/>
      </c>
      <c r="C458" s="45" t="str">
        <f>IF(AND(Registro!D457="Abierto",Registro!E457="Urgente"),RANK(B458,$B$9:$B$1000,0)+COUNTIF($B$9:B458,B458)-1,"")</f>
        <v/>
      </c>
      <c r="D458" s="45" t="str">
        <f>IF(AND(Registro!D457="Abierto",Registro!E457="Alta"),Registro!B457,"")</f>
        <v/>
      </c>
      <c r="E458" s="45" t="str">
        <f ca="1">IF(AND(Registro!D457="Abierto",Registro!E457="Alta"),TODAY()-Registro!R457,"")</f>
        <v/>
      </c>
      <c r="F458" s="45" t="str">
        <f>IF(AND(Registro!D457="Abierto",Registro!E457="Alta"),RANK(E458,$E$9:$E$1000,0)+COUNTIF($E$9:E458,E458)-1+MAX(C$5:C$1000),"")</f>
        <v/>
      </c>
      <c r="G458" s="45" t="str">
        <f>IF(AND(Registro!D457="Abierto",Registro!E457="Media"),Registro!B457,"")</f>
        <v/>
      </c>
      <c r="H458" s="45" t="str">
        <f ca="1">IF(AND(Registro!D457="Abierto",Registro!E457="Media"),TODAY()-Registro!R457,"")</f>
        <v/>
      </c>
      <c r="I458" s="45" t="str">
        <f>IF(AND(Registro!D457="Abierto",Registro!E457="Media"),RANK(H458,$H$9:$H$1000,0)+COUNTIF($H$9:H458,H458)-1+MAX(C$5:C$1000,F$5:F$1000),"")</f>
        <v/>
      </c>
      <c r="J458" s="45" t="str">
        <f>IF(AND(Registro!D457="Abierto",Registro!E457="Baja"),Registro!B457,"")</f>
        <v/>
      </c>
      <c r="K458" s="45" t="str">
        <f ca="1">IF(AND(Registro!D457="Abierto",Registro!E457="Baja"),TODAY()-Registro!R457,"")</f>
        <v/>
      </c>
      <c r="L458" s="45" t="str">
        <f>IF(AND(Registro!D457="Abierto",Registro!E457="Baja"),RANK(K458,$K$9:$K$1000,0)+COUNTIF($K$9:K458,K458)-1+MAX(C$5:C$1000,F$5:F$1000,I$5:I$1000),"")</f>
        <v/>
      </c>
      <c r="M458" s="46" t="str">
        <f>IF(OR(Registro!D457="Resuelto",Registro!D457=""),"",SUM(C458,F458,I458,L458))</f>
        <v/>
      </c>
      <c r="N458" s="46" t="str">
        <f>IF(OR(Registro!D457="Resuelto",Registro!D457=""),"",SUM(B458,E458,H458,K458))</f>
        <v/>
      </c>
      <c r="O458" s="46" t="str">
        <f>IF(OR(Registro!D457="Resuelto",Registro!D457=""),"",_xlfn.CONCAT(A458,D458,G458,J458))</f>
        <v/>
      </c>
      <c r="P458" s="47">
        <v>450</v>
      </c>
      <c r="Q458" s="47" t="str">
        <f t="shared" ca="1" si="21"/>
        <v/>
      </c>
      <c r="R458" s="48" t="str">
        <f t="shared" ca="1" si="22"/>
        <v/>
      </c>
      <c r="S458" s="32"/>
      <c r="T458" s="32"/>
      <c r="U458" s="32"/>
      <c r="V458" s="32"/>
      <c r="W458" s="47" t="str">
        <f>IF(X458="","",MAX($W$5:W457)+1)</f>
        <v/>
      </c>
      <c r="X458" s="50" t="str">
        <f>IF(Registro!M457="","",IF(COUNTIF($X$8:X457,Registro!M457)=0,Registro!M457,""))</f>
        <v/>
      </c>
      <c r="Y458" s="50" t="str">
        <f t="shared" si="23"/>
        <v/>
      </c>
    </row>
    <row r="459" spans="1:25">
      <c r="A459" s="45" t="str">
        <f>IF(AND(Registro!D458="Abierto",Registro!E458="Urgente"),Registro!B458,"")</f>
        <v/>
      </c>
      <c r="B459" s="45" t="str">
        <f ca="1">IF(AND(Registro!D458="Abierto",Registro!E458="Urgente"),TODAY()-Registro!R458,"")</f>
        <v/>
      </c>
      <c r="C459" s="45" t="str">
        <f>IF(AND(Registro!D458="Abierto",Registro!E458="Urgente"),RANK(B459,$B$9:$B$1000,0)+COUNTIF($B$9:B459,B459)-1,"")</f>
        <v/>
      </c>
      <c r="D459" s="45" t="str">
        <f>IF(AND(Registro!D458="Abierto",Registro!E458="Alta"),Registro!B458,"")</f>
        <v/>
      </c>
      <c r="E459" s="45" t="str">
        <f ca="1">IF(AND(Registro!D458="Abierto",Registro!E458="Alta"),TODAY()-Registro!R458,"")</f>
        <v/>
      </c>
      <c r="F459" s="45" t="str">
        <f>IF(AND(Registro!D458="Abierto",Registro!E458="Alta"),RANK(E459,$E$9:$E$1000,0)+COUNTIF($E$9:E459,E459)-1+MAX(C$5:C$1000),"")</f>
        <v/>
      </c>
      <c r="G459" s="45" t="str">
        <f>IF(AND(Registro!D458="Abierto",Registro!E458="Media"),Registro!B458,"")</f>
        <v/>
      </c>
      <c r="H459" s="45" t="str">
        <f ca="1">IF(AND(Registro!D458="Abierto",Registro!E458="Media"),TODAY()-Registro!R458,"")</f>
        <v/>
      </c>
      <c r="I459" s="45" t="str">
        <f>IF(AND(Registro!D458="Abierto",Registro!E458="Media"),RANK(H459,$H$9:$H$1000,0)+COUNTIF($H$9:H459,H459)-1+MAX(C$5:C$1000,F$5:F$1000),"")</f>
        <v/>
      </c>
      <c r="J459" s="45" t="str">
        <f>IF(AND(Registro!D458="Abierto",Registro!E458="Baja"),Registro!B458,"")</f>
        <v/>
      </c>
      <c r="K459" s="45" t="str">
        <f ca="1">IF(AND(Registro!D458="Abierto",Registro!E458="Baja"),TODAY()-Registro!R458,"")</f>
        <v/>
      </c>
      <c r="L459" s="45" t="str">
        <f>IF(AND(Registro!D458="Abierto",Registro!E458="Baja"),RANK(K459,$K$9:$K$1000,0)+COUNTIF($K$9:K459,K459)-1+MAX(C$5:C$1000,F$5:F$1000,I$5:I$1000),"")</f>
        <v/>
      </c>
      <c r="M459" s="46" t="str">
        <f>IF(OR(Registro!D458="Resuelto",Registro!D458=""),"",SUM(C459,F459,I459,L459))</f>
        <v/>
      </c>
      <c r="N459" s="46" t="str">
        <f>IF(OR(Registro!D458="Resuelto",Registro!D458=""),"",SUM(B459,E459,H459,K459))</f>
        <v/>
      </c>
      <c r="O459" s="46" t="str">
        <f>IF(OR(Registro!D458="Resuelto",Registro!D458=""),"",_xlfn.CONCAT(A459,D459,G459,J459))</f>
        <v/>
      </c>
      <c r="P459" s="47">
        <v>451</v>
      </c>
      <c r="Q459" s="47" t="str">
        <f t="shared" ca="1" si="21"/>
        <v/>
      </c>
      <c r="R459" s="48" t="str">
        <f t="shared" ca="1" si="22"/>
        <v/>
      </c>
      <c r="S459" s="32"/>
      <c r="T459" s="32"/>
      <c r="U459" s="32"/>
      <c r="V459" s="32"/>
      <c r="W459" s="47" t="str">
        <f>IF(X459="","",MAX($W$5:W458)+1)</f>
        <v/>
      </c>
      <c r="X459" s="50" t="str">
        <f>IF(Registro!M458="","",IF(COUNTIF($X$8:X458,Registro!M458)=0,Registro!M458,""))</f>
        <v/>
      </c>
      <c r="Y459" s="50" t="str">
        <f t="shared" si="23"/>
        <v/>
      </c>
    </row>
    <row r="460" spans="1:25">
      <c r="A460" s="45" t="str">
        <f>IF(AND(Registro!D459="Abierto",Registro!E459="Urgente"),Registro!B459,"")</f>
        <v/>
      </c>
      <c r="B460" s="45" t="str">
        <f ca="1">IF(AND(Registro!D459="Abierto",Registro!E459="Urgente"),TODAY()-Registro!R459,"")</f>
        <v/>
      </c>
      <c r="C460" s="45" t="str">
        <f>IF(AND(Registro!D459="Abierto",Registro!E459="Urgente"),RANK(B460,$B$9:$B$1000,0)+COUNTIF($B$9:B460,B460)-1,"")</f>
        <v/>
      </c>
      <c r="D460" s="45" t="str">
        <f>IF(AND(Registro!D459="Abierto",Registro!E459="Alta"),Registro!B459,"")</f>
        <v/>
      </c>
      <c r="E460" s="45" t="str">
        <f ca="1">IF(AND(Registro!D459="Abierto",Registro!E459="Alta"),TODAY()-Registro!R459,"")</f>
        <v/>
      </c>
      <c r="F460" s="45" t="str">
        <f>IF(AND(Registro!D459="Abierto",Registro!E459="Alta"),RANK(E460,$E$9:$E$1000,0)+COUNTIF($E$9:E460,E460)-1+MAX(C$5:C$1000),"")</f>
        <v/>
      </c>
      <c r="G460" s="45" t="str">
        <f>IF(AND(Registro!D459="Abierto",Registro!E459="Media"),Registro!B459,"")</f>
        <v/>
      </c>
      <c r="H460" s="45" t="str">
        <f ca="1">IF(AND(Registro!D459="Abierto",Registro!E459="Media"),TODAY()-Registro!R459,"")</f>
        <v/>
      </c>
      <c r="I460" s="45" t="str">
        <f>IF(AND(Registro!D459="Abierto",Registro!E459="Media"),RANK(H460,$H$9:$H$1000,0)+COUNTIF($H$9:H460,H460)-1+MAX(C$5:C$1000,F$5:F$1000),"")</f>
        <v/>
      </c>
      <c r="J460" s="45" t="str">
        <f>IF(AND(Registro!D459="Abierto",Registro!E459="Baja"),Registro!B459,"")</f>
        <v/>
      </c>
      <c r="K460" s="45" t="str">
        <f ca="1">IF(AND(Registro!D459="Abierto",Registro!E459="Baja"),TODAY()-Registro!R459,"")</f>
        <v/>
      </c>
      <c r="L460" s="45" t="str">
        <f>IF(AND(Registro!D459="Abierto",Registro!E459="Baja"),RANK(K460,$K$9:$K$1000,0)+COUNTIF($K$9:K460,K460)-1+MAX(C$5:C$1000,F$5:F$1000,I$5:I$1000),"")</f>
        <v/>
      </c>
      <c r="M460" s="46" t="str">
        <f>IF(OR(Registro!D459="Resuelto",Registro!D459=""),"",SUM(C460,F460,I460,L460))</f>
        <v/>
      </c>
      <c r="N460" s="46" t="str">
        <f>IF(OR(Registro!D459="Resuelto",Registro!D459=""),"",SUM(B460,E460,H460,K460))</f>
        <v/>
      </c>
      <c r="O460" s="46" t="str">
        <f>IF(OR(Registro!D459="Resuelto",Registro!D459=""),"",_xlfn.CONCAT(A460,D460,G460,J460))</f>
        <v/>
      </c>
      <c r="P460" s="47">
        <v>452</v>
      </c>
      <c r="Q460" s="47" t="str">
        <f t="shared" ca="1" si="21"/>
        <v/>
      </c>
      <c r="R460" s="48" t="str">
        <f t="shared" ca="1" si="22"/>
        <v/>
      </c>
      <c r="S460" s="32"/>
      <c r="T460" s="32"/>
      <c r="U460" s="32"/>
      <c r="V460" s="32"/>
      <c r="W460" s="47" t="str">
        <f>IF(X460="","",MAX($W$5:W459)+1)</f>
        <v/>
      </c>
      <c r="X460" s="50" t="str">
        <f>IF(Registro!M459="","",IF(COUNTIF($X$8:X459,Registro!M459)=0,Registro!M459,""))</f>
        <v/>
      </c>
      <c r="Y460" s="50" t="str">
        <f t="shared" si="23"/>
        <v/>
      </c>
    </row>
    <row r="461" spans="1:25">
      <c r="A461" s="45" t="str">
        <f>IF(AND(Registro!D460="Abierto",Registro!E460="Urgente"),Registro!B460,"")</f>
        <v/>
      </c>
      <c r="B461" s="45" t="str">
        <f ca="1">IF(AND(Registro!D460="Abierto",Registro!E460="Urgente"),TODAY()-Registro!R460,"")</f>
        <v/>
      </c>
      <c r="C461" s="45" t="str">
        <f>IF(AND(Registro!D460="Abierto",Registro!E460="Urgente"),RANK(B461,$B$9:$B$1000,0)+COUNTIF($B$9:B461,B461)-1,"")</f>
        <v/>
      </c>
      <c r="D461" s="45" t="str">
        <f>IF(AND(Registro!D460="Abierto",Registro!E460="Alta"),Registro!B460,"")</f>
        <v/>
      </c>
      <c r="E461" s="45" t="str">
        <f ca="1">IF(AND(Registro!D460="Abierto",Registro!E460="Alta"),TODAY()-Registro!R460,"")</f>
        <v/>
      </c>
      <c r="F461" s="45" t="str">
        <f>IF(AND(Registro!D460="Abierto",Registro!E460="Alta"),RANK(E461,$E$9:$E$1000,0)+COUNTIF($E$9:E461,E461)-1+MAX(C$5:C$1000),"")</f>
        <v/>
      </c>
      <c r="G461" s="45" t="str">
        <f>IF(AND(Registro!D460="Abierto",Registro!E460="Media"),Registro!B460,"")</f>
        <v/>
      </c>
      <c r="H461" s="45" t="str">
        <f ca="1">IF(AND(Registro!D460="Abierto",Registro!E460="Media"),TODAY()-Registro!R460,"")</f>
        <v/>
      </c>
      <c r="I461" s="45" t="str">
        <f>IF(AND(Registro!D460="Abierto",Registro!E460="Media"),RANK(H461,$H$9:$H$1000,0)+COUNTIF($H$9:H461,H461)-1+MAX(C$5:C$1000,F$5:F$1000),"")</f>
        <v/>
      </c>
      <c r="J461" s="45" t="str">
        <f>IF(AND(Registro!D460="Abierto",Registro!E460="Baja"),Registro!B460,"")</f>
        <v/>
      </c>
      <c r="K461" s="45" t="str">
        <f ca="1">IF(AND(Registro!D460="Abierto",Registro!E460="Baja"),TODAY()-Registro!R460,"")</f>
        <v/>
      </c>
      <c r="L461" s="45" t="str">
        <f>IF(AND(Registro!D460="Abierto",Registro!E460="Baja"),RANK(K461,$K$9:$K$1000,0)+COUNTIF($K$9:K461,K461)-1+MAX(C$5:C$1000,F$5:F$1000,I$5:I$1000),"")</f>
        <v/>
      </c>
      <c r="M461" s="46" t="str">
        <f>IF(OR(Registro!D460="Resuelto",Registro!D460=""),"",SUM(C461,F461,I461,L461))</f>
        <v/>
      </c>
      <c r="N461" s="46" t="str">
        <f>IF(OR(Registro!D460="Resuelto",Registro!D460=""),"",SUM(B461,E461,H461,K461))</f>
        <v/>
      </c>
      <c r="O461" s="46" t="str">
        <f>IF(OR(Registro!D460="Resuelto",Registro!D460=""),"",_xlfn.CONCAT(A461,D461,G461,J461))</f>
        <v/>
      </c>
      <c r="P461" s="47">
        <v>453</v>
      </c>
      <c r="Q461" s="47" t="str">
        <f t="shared" ca="1" si="21"/>
        <v/>
      </c>
      <c r="R461" s="48" t="str">
        <f t="shared" ca="1" si="22"/>
        <v/>
      </c>
      <c r="S461" s="32"/>
      <c r="T461" s="32"/>
      <c r="U461" s="32"/>
      <c r="V461" s="32"/>
      <c r="W461" s="47" t="str">
        <f>IF(X461="","",MAX($W$5:W460)+1)</f>
        <v/>
      </c>
      <c r="X461" s="50" t="str">
        <f>IF(Registro!M460="","",IF(COUNTIF($X$8:X460,Registro!M460)=0,Registro!M460,""))</f>
        <v/>
      </c>
      <c r="Y461" s="50" t="str">
        <f t="shared" si="23"/>
        <v/>
      </c>
    </row>
    <row r="462" spans="1:25">
      <c r="A462" s="45" t="str">
        <f>IF(AND(Registro!D461="Abierto",Registro!E461="Urgente"),Registro!B461,"")</f>
        <v/>
      </c>
      <c r="B462" s="45" t="str">
        <f ca="1">IF(AND(Registro!D461="Abierto",Registro!E461="Urgente"),TODAY()-Registro!R461,"")</f>
        <v/>
      </c>
      <c r="C462" s="45" t="str">
        <f>IF(AND(Registro!D461="Abierto",Registro!E461="Urgente"),RANK(B462,$B$9:$B$1000,0)+COUNTIF($B$9:B462,B462)-1,"")</f>
        <v/>
      </c>
      <c r="D462" s="45" t="str">
        <f>IF(AND(Registro!D461="Abierto",Registro!E461="Alta"),Registro!B461,"")</f>
        <v/>
      </c>
      <c r="E462" s="45" t="str">
        <f ca="1">IF(AND(Registro!D461="Abierto",Registro!E461="Alta"),TODAY()-Registro!R461,"")</f>
        <v/>
      </c>
      <c r="F462" s="45" t="str">
        <f>IF(AND(Registro!D461="Abierto",Registro!E461="Alta"),RANK(E462,$E$9:$E$1000,0)+COUNTIF($E$9:E462,E462)-1+MAX(C$5:C$1000),"")</f>
        <v/>
      </c>
      <c r="G462" s="45" t="str">
        <f>IF(AND(Registro!D461="Abierto",Registro!E461="Media"),Registro!B461,"")</f>
        <v/>
      </c>
      <c r="H462" s="45" t="str">
        <f ca="1">IF(AND(Registro!D461="Abierto",Registro!E461="Media"),TODAY()-Registro!R461,"")</f>
        <v/>
      </c>
      <c r="I462" s="45" t="str">
        <f>IF(AND(Registro!D461="Abierto",Registro!E461="Media"),RANK(H462,$H$9:$H$1000,0)+COUNTIF($H$9:H462,H462)-1+MAX(C$5:C$1000,F$5:F$1000),"")</f>
        <v/>
      </c>
      <c r="J462" s="45" t="str">
        <f>IF(AND(Registro!D461="Abierto",Registro!E461="Baja"),Registro!B461,"")</f>
        <v/>
      </c>
      <c r="K462" s="45" t="str">
        <f ca="1">IF(AND(Registro!D461="Abierto",Registro!E461="Baja"),TODAY()-Registro!R461,"")</f>
        <v/>
      </c>
      <c r="L462" s="45" t="str">
        <f>IF(AND(Registro!D461="Abierto",Registro!E461="Baja"),RANK(K462,$K$9:$K$1000,0)+COUNTIF($K$9:K462,K462)-1+MAX(C$5:C$1000,F$5:F$1000,I$5:I$1000),"")</f>
        <v/>
      </c>
      <c r="M462" s="46" t="str">
        <f>IF(OR(Registro!D461="Resuelto",Registro!D461=""),"",SUM(C462,F462,I462,L462))</f>
        <v/>
      </c>
      <c r="N462" s="46" t="str">
        <f>IF(OR(Registro!D461="Resuelto",Registro!D461=""),"",SUM(B462,E462,H462,K462))</f>
        <v/>
      </c>
      <c r="O462" s="46" t="str">
        <f>IF(OR(Registro!D461="Resuelto",Registro!D461=""),"",_xlfn.CONCAT(A462,D462,G462,J462))</f>
        <v/>
      </c>
      <c r="P462" s="47">
        <v>454</v>
      </c>
      <c r="Q462" s="47" t="str">
        <f t="shared" ca="1" si="21"/>
        <v/>
      </c>
      <c r="R462" s="48" t="str">
        <f t="shared" ca="1" si="22"/>
        <v/>
      </c>
      <c r="S462" s="32"/>
      <c r="T462" s="32"/>
      <c r="U462" s="32"/>
      <c r="V462" s="32"/>
      <c r="W462" s="47" t="str">
        <f>IF(X462="","",MAX($W$5:W461)+1)</f>
        <v/>
      </c>
      <c r="X462" s="50" t="str">
        <f>IF(Registro!M461="","",IF(COUNTIF($X$8:X461,Registro!M461)=0,Registro!M461,""))</f>
        <v/>
      </c>
      <c r="Y462" s="50" t="str">
        <f t="shared" si="23"/>
        <v/>
      </c>
    </row>
    <row r="463" spans="1:25">
      <c r="A463" s="45" t="str">
        <f>IF(AND(Registro!D462="Abierto",Registro!E462="Urgente"),Registro!B462,"")</f>
        <v/>
      </c>
      <c r="B463" s="45" t="str">
        <f ca="1">IF(AND(Registro!D462="Abierto",Registro!E462="Urgente"),TODAY()-Registro!R462,"")</f>
        <v/>
      </c>
      <c r="C463" s="45" t="str">
        <f>IF(AND(Registro!D462="Abierto",Registro!E462="Urgente"),RANK(B463,$B$9:$B$1000,0)+COUNTIF($B$9:B463,B463)-1,"")</f>
        <v/>
      </c>
      <c r="D463" s="45" t="str">
        <f>IF(AND(Registro!D462="Abierto",Registro!E462="Alta"),Registro!B462,"")</f>
        <v/>
      </c>
      <c r="E463" s="45" t="str">
        <f ca="1">IF(AND(Registro!D462="Abierto",Registro!E462="Alta"),TODAY()-Registro!R462,"")</f>
        <v/>
      </c>
      <c r="F463" s="45" t="str">
        <f>IF(AND(Registro!D462="Abierto",Registro!E462="Alta"),RANK(E463,$E$9:$E$1000,0)+COUNTIF($E$9:E463,E463)-1+MAX(C$5:C$1000),"")</f>
        <v/>
      </c>
      <c r="G463" s="45" t="str">
        <f>IF(AND(Registro!D462="Abierto",Registro!E462="Media"),Registro!B462,"")</f>
        <v/>
      </c>
      <c r="H463" s="45" t="str">
        <f ca="1">IF(AND(Registro!D462="Abierto",Registro!E462="Media"),TODAY()-Registro!R462,"")</f>
        <v/>
      </c>
      <c r="I463" s="45" t="str">
        <f>IF(AND(Registro!D462="Abierto",Registro!E462="Media"),RANK(H463,$H$9:$H$1000,0)+COUNTIF($H$9:H463,H463)-1+MAX(C$5:C$1000,F$5:F$1000),"")</f>
        <v/>
      </c>
      <c r="J463" s="45" t="str">
        <f>IF(AND(Registro!D462="Abierto",Registro!E462="Baja"),Registro!B462,"")</f>
        <v/>
      </c>
      <c r="K463" s="45" t="str">
        <f ca="1">IF(AND(Registro!D462="Abierto",Registro!E462="Baja"),TODAY()-Registro!R462,"")</f>
        <v/>
      </c>
      <c r="L463" s="45" t="str">
        <f>IF(AND(Registro!D462="Abierto",Registro!E462="Baja"),RANK(K463,$K$9:$K$1000,0)+COUNTIF($K$9:K463,K463)-1+MAX(C$5:C$1000,F$5:F$1000,I$5:I$1000),"")</f>
        <v/>
      </c>
      <c r="M463" s="46" t="str">
        <f>IF(OR(Registro!D462="Resuelto",Registro!D462=""),"",SUM(C463,F463,I463,L463))</f>
        <v/>
      </c>
      <c r="N463" s="46" t="str">
        <f>IF(OR(Registro!D462="Resuelto",Registro!D462=""),"",SUM(B463,E463,H463,K463))</f>
        <v/>
      </c>
      <c r="O463" s="46" t="str">
        <f>IF(OR(Registro!D462="Resuelto",Registro!D462=""),"",_xlfn.CONCAT(A463,D463,G463,J463))</f>
        <v/>
      </c>
      <c r="P463" s="47">
        <v>455</v>
      </c>
      <c r="Q463" s="47" t="str">
        <f t="shared" ca="1" si="21"/>
        <v/>
      </c>
      <c r="R463" s="48" t="str">
        <f t="shared" ca="1" si="22"/>
        <v/>
      </c>
      <c r="S463" s="32"/>
      <c r="T463" s="32"/>
      <c r="U463" s="32"/>
      <c r="V463" s="32"/>
      <c r="W463" s="47" t="str">
        <f>IF(X463="","",MAX($W$5:W462)+1)</f>
        <v/>
      </c>
      <c r="X463" s="50" t="str">
        <f>IF(Registro!M462="","",IF(COUNTIF($X$8:X462,Registro!M462)=0,Registro!M462,""))</f>
        <v/>
      </c>
      <c r="Y463" s="50" t="str">
        <f t="shared" si="23"/>
        <v/>
      </c>
    </row>
    <row r="464" spans="1:25">
      <c r="A464" s="45" t="str">
        <f>IF(AND(Registro!D463="Abierto",Registro!E463="Urgente"),Registro!B463,"")</f>
        <v/>
      </c>
      <c r="B464" s="45" t="str">
        <f ca="1">IF(AND(Registro!D463="Abierto",Registro!E463="Urgente"),TODAY()-Registro!R463,"")</f>
        <v/>
      </c>
      <c r="C464" s="45" t="str">
        <f>IF(AND(Registro!D463="Abierto",Registro!E463="Urgente"),RANK(B464,$B$9:$B$1000,0)+COUNTIF($B$9:B464,B464)-1,"")</f>
        <v/>
      </c>
      <c r="D464" s="45" t="str">
        <f>IF(AND(Registro!D463="Abierto",Registro!E463="Alta"),Registro!B463,"")</f>
        <v/>
      </c>
      <c r="E464" s="45" t="str">
        <f ca="1">IF(AND(Registro!D463="Abierto",Registro!E463="Alta"),TODAY()-Registro!R463,"")</f>
        <v/>
      </c>
      <c r="F464" s="45" t="str">
        <f>IF(AND(Registro!D463="Abierto",Registro!E463="Alta"),RANK(E464,$E$9:$E$1000,0)+COUNTIF($E$9:E464,E464)-1+MAX(C$5:C$1000),"")</f>
        <v/>
      </c>
      <c r="G464" s="45" t="str">
        <f>IF(AND(Registro!D463="Abierto",Registro!E463="Media"),Registro!B463,"")</f>
        <v/>
      </c>
      <c r="H464" s="45" t="str">
        <f ca="1">IF(AND(Registro!D463="Abierto",Registro!E463="Media"),TODAY()-Registro!R463,"")</f>
        <v/>
      </c>
      <c r="I464" s="45" t="str">
        <f>IF(AND(Registro!D463="Abierto",Registro!E463="Media"),RANK(H464,$H$9:$H$1000,0)+COUNTIF($H$9:H464,H464)-1+MAX(C$5:C$1000,F$5:F$1000),"")</f>
        <v/>
      </c>
      <c r="J464" s="45" t="str">
        <f>IF(AND(Registro!D463="Abierto",Registro!E463="Baja"),Registro!B463,"")</f>
        <v/>
      </c>
      <c r="K464" s="45" t="str">
        <f ca="1">IF(AND(Registro!D463="Abierto",Registro!E463="Baja"),TODAY()-Registro!R463,"")</f>
        <v/>
      </c>
      <c r="L464" s="45" t="str">
        <f>IF(AND(Registro!D463="Abierto",Registro!E463="Baja"),RANK(K464,$K$9:$K$1000,0)+COUNTIF($K$9:K464,K464)-1+MAX(C$5:C$1000,F$5:F$1000,I$5:I$1000),"")</f>
        <v/>
      </c>
      <c r="M464" s="46" t="str">
        <f>IF(OR(Registro!D463="Resuelto",Registro!D463=""),"",SUM(C464,F464,I464,L464))</f>
        <v/>
      </c>
      <c r="N464" s="46" t="str">
        <f>IF(OR(Registro!D463="Resuelto",Registro!D463=""),"",SUM(B464,E464,H464,K464))</f>
        <v/>
      </c>
      <c r="O464" s="46" t="str">
        <f>IF(OR(Registro!D463="Resuelto",Registro!D463=""),"",_xlfn.CONCAT(A464,D464,G464,J464))</f>
        <v/>
      </c>
      <c r="P464" s="47">
        <v>456</v>
      </c>
      <c r="Q464" s="47" t="str">
        <f t="shared" ca="1" si="21"/>
        <v/>
      </c>
      <c r="R464" s="48" t="str">
        <f t="shared" ca="1" si="22"/>
        <v/>
      </c>
      <c r="S464" s="32"/>
      <c r="T464" s="32"/>
      <c r="U464" s="32"/>
      <c r="V464" s="32"/>
      <c r="W464" s="47" t="str">
        <f>IF(X464="","",MAX($W$5:W463)+1)</f>
        <v/>
      </c>
      <c r="X464" s="50" t="str">
        <f>IF(Registro!M463="","",IF(COUNTIF($X$8:X463,Registro!M463)=0,Registro!M463,""))</f>
        <v/>
      </c>
      <c r="Y464" s="50" t="str">
        <f t="shared" si="23"/>
        <v/>
      </c>
    </row>
    <row r="465" spans="1:25">
      <c r="A465" s="45" t="str">
        <f>IF(AND(Registro!D464="Abierto",Registro!E464="Urgente"),Registro!B464,"")</f>
        <v/>
      </c>
      <c r="B465" s="45" t="str">
        <f ca="1">IF(AND(Registro!D464="Abierto",Registro!E464="Urgente"),TODAY()-Registro!R464,"")</f>
        <v/>
      </c>
      <c r="C465" s="45" t="str">
        <f>IF(AND(Registro!D464="Abierto",Registro!E464="Urgente"),RANK(B465,$B$9:$B$1000,0)+COUNTIF($B$9:B465,B465)-1,"")</f>
        <v/>
      </c>
      <c r="D465" s="45" t="str">
        <f>IF(AND(Registro!D464="Abierto",Registro!E464="Alta"),Registro!B464,"")</f>
        <v/>
      </c>
      <c r="E465" s="45" t="str">
        <f ca="1">IF(AND(Registro!D464="Abierto",Registro!E464="Alta"),TODAY()-Registro!R464,"")</f>
        <v/>
      </c>
      <c r="F465" s="45" t="str">
        <f>IF(AND(Registro!D464="Abierto",Registro!E464="Alta"),RANK(E465,$E$9:$E$1000,0)+COUNTIF($E$9:E465,E465)-1+MAX(C$5:C$1000),"")</f>
        <v/>
      </c>
      <c r="G465" s="45" t="str">
        <f>IF(AND(Registro!D464="Abierto",Registro!E464="Media"),Registro!B464,"")</f>
        <v/>
      </c>
      <c r="H465" s="45" t="str">
        <f ca="1">IF(AND(Registro!D464="Abierto",Registro!E464="Media"),TODAY()-Registro!R464,"")</f>
        <v/>
      </c>
      <c r="I465" s="45" t="str">
        <f>IF(AND(Registro!D464="Abierto",Registro!E464="Media"),RANK(H465,$H$9:$H$1000,0)+COUNTIF($H$9:H465,H465)-1+MAX(C$5:C$1000,F$5:F$1000),"")</f>
        <v/>
      </c>
      <c r="J465" s="45" t="str">
        <f>IF(AND(Registro!D464="Abierto",Registro!E464="Baja"),Registro!B464,"")</f>
        <v/>
      </c>
      <c r="K465" s="45" t="str">
        <f ca="1">IF(AND(Registro!D464="Abierto",Registro!E464="Baja"),TODAY()-Registro!R464,"")</f>
        <v/>
      </c>
      <c r="L465" s="45" t="str">
        <f>IF(AND(Registro!D464="Abierto",Registro!E464="Baja"),RANK(K465,$K$9:$K$1000,0)+COUNTIF($K$9:K465,K465)-1+MAX(C$5:C$1000,F$5:F$1000,I$5:I$1000),"")</f>
        <v/>
      </c>
      <c r="M465" s="46" t="str">
        <f>IF(OR(Registro!D464="Resuelto",Registro!D464=""),"",SUM(C465,F465,I465,L465))</f>
        <v/>
      </c>
      <c r="N465" s="46" t="str">
        <f>IF(OR(Registro!D464="Resuelto",Registro!D464=""),"",SUM(B465,E465,H465,K465))</f>
        <v/>
      </c>
      <c r="O465" s="46" t="str">
        <f>IF(OR(Registro!D464="Resuelto",Registro!D464=""),"",_xlfn.CONCAT(A465,D465,G465,J465))</f>
        <v/>
      </c>
      <c r="P465" s="47">
        <v>457</v>
      </c>
      <c r="Q465" s="47" t="str">
        <f t="shared" ca="1" si="21"/>
        <v/>
      </c>
      <c r="R465" s="48" t="str">
        <f t="shared" ca="1" si="22"/>
        <v/>
      </c>
      <c r="S465" s="32"/>
      <c r="T465" s="32"/>
      <c r="U465" s="32"/>
      <c r="V465" s="32"/>
      <c r="W465" s="47" t="str">
        <f>IF(X465="","",MAX($W$5:W464)+1)</f>
        <v/>
      </c>
      <c r="X465" s="50" t="str">
        <f>IF(Registro!M464="","",IF(COUNTIF($X$8:X464,Registro!M464)=0,Registro!M464,""))</f>
        <v/>
      </c>
      <c r="Y465" s="50" t="str">
        <f t="shared" si="23"/>
        <v/>
      </c>
    </row>
    <row r="466" spans="1:25">
      <c r="A466" s="45" t="str">
        <f>IF(AND(Registro!D465="Abierto",Registro!E465="Urgente"),Registro!B465,"")</f>
        <v/>
      </c>
      <c r="B466" s="45" t="str">
        <f ca="1">IF(AND(Registro!D465="Abierto",Registro!E465="Urgente"),TODAY()-Registro!R465,"")</f>
        <v/>
      </c>
      <c r="C466" s="45" t="str">
        <f>IF(AND(Registro!D465="Abierto",Registro!E465="Urgente"),RANK(B466,$B$9:$B$1000,0)+COUNTIF($B$9:B466,B466)-1,"")</f>
        <v/>
      </c>
      <c r="D466" s="45" t="str">
        <f>IF(AND(Registro!D465="Abierto",Registro!E465="Alta"),Registro!B465,"")</f>
        <v/>
      </c>
      <c r="E466" s="45" t="str">
        <f ca="1">IF(AND(Registro!D465="Abierto",Registro!E465="Alta"),TODAY()-Registro!R465,"")</f>
        <v/>
      </c>
      <c r="F466" s="45" t="str">
        <f>IF(AND(Registro!D465="Abierto",Registro!E465="Alta"),RANK(E466,$E$9:$E$1000,0)+COUNTIF($E$9:E466,E466)-1+MAX(C$5:C$1000),"")</f>
        <v/>
      </c>
      <c r="G466" s="45" t="str">
        <f>IF(AND(Registro!D465="Abierto",Registro!E465="Media"),Registro!B465,"")</f>
        <v/>
      </c>
      <c r="H466" s="45" t="str">
        <f ca="1">IF(AND(Registro!D465="Abierto",Registro!E465="Media"),TODAY()-Registro!R465,"")</f>
        <v/>
      </c>
      <c r="I466" s="45" t="str">
        <f>IF(AND(Registro!D465="Abierto",Registro!E465="Media"),RANK(H466,$H$9:$H$1000,0)+COUNTIF($H$9:H466,H466)-1+MAX(C$5:C$1000,F$5:F$1000),"")</f>
        <v/>
      </c>
      <c r="J466" s="45" t="str">
        <f>IF(AND(Registro!D465="Abierto",Registro!E465="Baja"),Registro!B465,"")</f>
        <v/>
      </c>
      <c r="K466" s="45" t="str">
        <f ca="1">IF(AND(Registro!D465="Abierto",Registro!E465="Baja"),TODAY()-Registro!R465,"")</f>
        <v/>
      </c>
      <c r="L466" s="45" t="str">
        <f>IF(AND(Registro!D465="Abierto",Registro!E465="Baja"),RANK(K466,$K$9:$K$1000,0)+COUNTIF($K$9:K466,K466)-1+MAX(C$5:C$1000,F$5:F$1000,I$5:I$1000),"")</f>
        <v/>
      </c>
      <c r="M466" s="46" t="str">
        <f>IF(OR(Registro!D465="Resuelto",Registro!D465=""),"",SUM(C466,F466,I466,L466))</f>
        <v/>
      </c>
      <c r="N466" s="46" t="str">
        <f>IF(OR(Registro!D465="Resuelto",Registro!D465=""),"",SUM(B466,E466,H466,K466))</f>
        <v/>
      </c>
      <c r="O466" s="46" t="str">
        <f>IF(OR(Registro!D465="Resuelto",Registro!D465=""),"",_xlfn.CONCAT(A466,D466,G466,J466))</f>
        <v/>
      </c>
      <c r="P466" s="47">
        <v>458</v>
      </c>
      <c r="Q466" s="47" t="str">
        <f t="shared" ca="1" si="21"/>
        <v/>
      </c>
      <c r="R466" s="48" t="str">
        <f t="shared" ca="1" si="22"/>
        <v/>
      </c>
      <c r="S466" s="32"/>
      <c r="T466" s="32"/>
      <c r="U466" s="32"/>
      <c r="V466" s="32"/>
      <c r="W466" s="47" t="str">
        <f>IF(X466="","",MAX($W$5:W465)+1)</f>
        <v/>
      </c>
      <c r="X466" s="50" t="str">
        <f>IF(Registro!M465="","",IF(COUNTIF($X$8:X465,Registro!M465)=0,Registro!M465,""))</f>
        <v/>
      </c>
      <c r="Y466" s="50" t="str">
        <f t="shared" si="23"/>
        <v/>
      </c>
    </row>
    <row r="467" spans="1:25">
      <c r="A467" s="45" t="str">
        <f>IF(AND(Registro!D466="Abierto",Registro!E466="Urgente"),Registro!B466,"")</f>
        <v/>
      </c>
      <c r="B467" s="45" t="str">
        <f ca="1">IF(AND(Registro!D466="Abierto",Registro!E466="Urgente"),TODAY()-Registro!R466,"")</f>
        <v/>
      </c>
      <c r="C467" s="45" t="str">
        <f>IF(AND(Registro!D466="Abierto",Registro!E466="Urgente"),RANK(B467,$B$9:$B$1000,0)+COUNTIF($B$9:B467,B467)-1,"")</f>
        <v/>
      </c>
      <c r="D467" s="45" t="str">
        <f>IF(AND(Registro!D466="Abierto",Registro!E466="Alta"),Registro!B466,"")</f>
        <v/>
      </c>
      <c r="E467" s="45" t="str">
        <f ca="1">IF(AND(Registro!D466="Abierto",Registro!E466="Alta"),TODAY()-Registro!R466,"")</f>
        <v/>
      </c>
      <c r="F467" s="45" t="str">
        <f>IF(AND(Registro!D466="Abierto",Registro!E466="Alta"),RANK(E467,$E$9:$E$1000,0)+COUNTIF($E$9:E467,E467)-1+MAX(C$5:C$1000),"")</f>
        <v/>
      </c>
      <c r="G467" s="45" t="str">
        <f>IF(AND(Registro!D466="Abierto",Registro!E466="Media"),Registro!B466,"")</f>
        <v/>
      </c>
      <c r="H467" s="45" t="str">
        <f ca="1">IF(AND(Registro!D466="Abierto",Registro!E466="Media"),TODAY()-Registro!R466,"")</f>
        <v/>
      </c>
      <c r="I467" s="45" t="str">
        <f>IF(AND(Registro!D466="Abierto",Registro!E466="Media"),RANK(H467,$H$9:$H$1000,0)+COUNTIF($H$9:H467,H467)-1+MAX(C$5:C$1000,F$5:F$1000),"")</f>
        <v/>
      </c>
      <c r="J467" s="45" t="str">
        <f>IF(AND(Registro!D466="Abierto",Registro!E466="Baja"),Registro!B466,"")</f>
        <v/>
      </c>
      <c r="K467" s="45" t="str">
        <f ca="1">IF(AND(Registro!D466="Abierto",Registro!E466="Baja"),TODAY()-Registro!R466,"")</f>
        <v/>
      </c>
      <c r="L467" s="45" t="str">
        <f>IF(AND(Registro!D466="Abierto",Registro!E466="Baja"),RANK(K467,$K$9:$K$1000,0)+COUNTIF($K$9:K467,K467)-1+MAX(C$5:C$1000,F$5:F$1000,I$5:I$1000),"")</f>
        <v/>
      </c>
      <c r="M467" s="46" t="str">
        <f>IF(OR(Registro!D466="Resuelto",Registro!D466=""),"",SUM(C467,F467,I467,L467))</f>
        <v/>
      </c>
      <c r="N467" s="46" t="str">
        <f>IF(OR(Registro!D466="Resuelto",Registro!D466=""),"",SUM(B467,E467,H467,K467))</f>
        <v/>
      </c>
      <c r="O467" s="46" t="str">
        <f>IF(OR(Registro!D466="Resuelto",Registro!D466=""),"",_xlfn.CONCAT(A467,D467,G467,J467))</f>
        <v/>
      </c>
      <c r="P467" s="47">
        <v>459</v>
      </c>
      <c r="Q467" s="47" t="str">
        <f t="shared" ca="1" si="21"/>
        <v/>
      </c>
      <c r="R467" s="48" t="str">
        <f t="shared" ca="1" si="22"/>
        <v/>
      </c>
      <c r="S467" s="32"/>
      <c r="T467" s="32"/>
      <c r="U467" s="32"/>
      <c r="V467" s="32"/>
      <c r="W467" s="47" t="str">
        <f>IF(X467="","",MAX($W$5:W466)+1)</f>
        <v/>
      </c>
      <c r="X467" s="50" t="str">
        <f>IF(Registro!M466="","",IF(COUNTIF($X$8:X466,Registro!M466)=0,Registro!M466,""))</f>
        <v/>
      </c>
      <c r="Y467" s="50" t="str">
        <f t="shared" si="23"/>
        <v/>
      </c>
    </row>
    <row r="468" spans="1:25">
      <c r="A468" s="45" t="str">
        <f>IF(AND(Registro!D467="Abierto",Registro!E467="Urgente"),Registro!B467,"")</f>
        <v/>
      </c>
      <c r="B468" s="45" t="str">
        <f ca="1">IF(AND(Registro!D467="Abierto",Registro!E467="Urgente"),TODAY()-Registro!R467,"")</f>
        <v/>
      </c>
      <c r="C468" s="45" t="str">
        <f>IF(AND(Registro!D467="Abierto",Registro!E467="Urgente"),RANK(B468,$B$9:$B$1000,0)+COUNTIF($B$9:B468,B468)-1,"")</f>
        <v/>
      </c>
      <c r="D468" s="45" t="str">
        <f>IF(AND(Registro!D467="Abierto",Registro!E467="Alta"),Registro!B467,"")</f>
        <v/>
      </c>
      <c r="E468" s="45" t="str">
        <f ca="1">IF(AND(Registro!D467="Abierto",Registro!E467="Alta"),TODAY()-Registro!R467,"")</f>
        <v/>
      </c>
      <c r="F468" s="45" t="str">
        <f>IF(AND(Registro!D467="Abierto",Registro!E467="Alta"),RANK(E468,$E$9:$E$1000,0)+COUNTIF($E$9:E468,E468)-1+MAX(C$5:C$1000),"")</f>
        <v/>
      </c>
      <c r="G468" s="45" t="str">
        <f>IF(AND(Registro!D467="Abierto",Registro!E467="Media"),Registro!B467,"")</f>
        <v/>
      </c>
      <c r="H468" s="45" t="str">
        <f ca="1">IF(AND(Registro!D467="Abierto",Registro!E467="Media"),TODAY()-Registro!R467,"")</f>
        <v/>
      </c>
      <c r="I468" s="45" t="str">
        <f>IF(AND(Registro!D467="Abierto",Registro!E467="Media"),RANK(H468,$H$9:$H$1000,0)+COUNTIF($H$9:H468,H468)-1+MAX(C$5:C$1000,F$5:F$1000),"")</f>
        <v/>
      </c>
      <c r="J468" s="45" t="str">
        <f>IF(AND(Registro!D467="Abierto",Registro!E467="Baja"),Registro!B467,"")</f>
        <v/>
      </c>
      <c r="K468" s="45" t="str">
        <f ca="1">IF(AND(Registro!D467="Abierto",Registro!E467="Baja"),TODAY()-Registro!R467,"")</f>
        <v/>
      </c>
      <c r="L468" s="45" t="str">
        <f>IF(AND(Registro!D467="Abierto",Registro!E467="Baja"),RANK(K468,$K$9:$K$1000,0)+COUNTIF($K$9:K468,K468)-1+MAX(C$5:C$1000,F$5:F$1000,I$5:I$1000),"")</f>
        <v/>
      </c>
      <c r="M468" s="46" t="str">
        <f>IF(OR(Registro!D467="Resuelto",Registro!D467=""),"",SUM(C468,F468,I468,L468))</f>
        <v/>
      </c>
      <c r="N468" s="46" t="str">
        <f>IF(OR(Registro!D467="Resuelto",Registro!D467=""),"",SUM(B468,E468,H468,K468))</f>
        <v/>
      </c>
      <c r="O468" s="46" t="str">
        <f>IF(OR(Registro!D467="Resuelto",Registro!D467=""),"",_xlfn.CONCAT(A468,D468,G468,J468))</f>
        <v/>
      </c>
      <c r="P468" s="47">
        <v>460</v>
      </c>
      <c r="Q468" s="47" t="str">
        <f t="shared" ca="1" si="21"/>
        <v/>
      </c>
      <c r="R468" s="48" t="str">
        <f t="shared" ca="1" si="22"/>
        <v/>
      </c>
      <c r="S468" s="32"/>
      <c r="T468" s="32"/>
      <c r="U468" s="32"/>
      <c r="V468" s="32"/>
      <c r="W468" s="47" t="str">
        <f>IF(X468="","",MAX($W$5:W467)+1)</f>
        <v/>
      </c>
      <c r="X468" s="50" t="str">
        <f>IF(Registro!M467="","",IF(COUNTIF($X$8:X467,Registro!M467)=0,Registro!M467,""))</f>
        <v/>
      </c>
      <c r="Y468" s="50" t="str">
        <f t="shared" si="23"/>
        <v/>
      </c>
    </row>
    <row r="469" spans="1:25">
      <c r="A469" s="45" t="str">
        <f>IF(AND(Registro!D468="Abierto",Registro!E468="Urgente"),Registro!B468,"")</f>
        <v/>
      </c>
      <c r="B469" s="45" t="str">
        <f ca="1">IF(AND(Registro!D468="Abierto",Registro!E468="Urgente"),TODAY()-Registro!R468,"")</f>
        <v/>
      </c>
      <c r="C469" s="45" t="str">
        <f>IF(AND(Registro!D468="Abierto",Registro!E468="Urgente"),RANK(B469,$B$9:$B$1000,0)+COUNTIF($B$9:B469,B469)-1,"")</f>
        <v/>
      </c>
      <c r="D469" s="45" t="str">
        <f>IF(AND(Registro!D468="Abierto",Registro!E468="Alta"),Registro!B468,"")</f>
        <v/>
      </c>
      <c r="E469" s="45" t="str">
        <f ca="1">IF(AND(Registro!D468="Abierto",Registro!E468="Alta"),TODAY()-Registro!R468,"")</f>
        <v/>
      </c>
      <c r="F469" s="45" t="str">
        <f>IF(AND(Registro!D468="Abierto",Registro!E468="Alta"),RANK(E469,$E$9:$E$1000,0)+COUNTIF($E$9:E469,E469)-1+MAX(C$5:C$1000),"")</f>
        <v/>
      </c>
      <c r="G469" s="45" t="str">
        <f>IF(AND(Registro!D468="Abierto",Registro!E468="Media"),Registro!B468,"")</f>
        <v/>
      </c>
      <c r="H469" s="45" t="str">
        <f ca="1">IF(AND(Registro!D468="Abierto",Registro!E468="Media"),TODAY()-Registro!R468,"")</f>
        <v/>
      </c>
      <c r="I469" s="45" t="str">
        <f>IF(AND(Registro!D468="Abierto",Registro!E468="Media"),RANK(H469,$H$9:$H$1000,0)+COUNTIF($H$9:H469,H469)-1+MAX(C$5:C$1000,F$5:F$1000),"")</f>
        <v/>
      </c>
      <c r="J469" s="45" t="str">
        <f>IF(AND(Registro!D468="Abierto",Registro!E468="Baja"),Registro!B468,"")</f>
        <v/>
      </c>
      <c r="K469" s="45" t="str">
        <f ca="1">IF(AND(Registro!D468="Abierto",Registro!E468="Baja"),TODAY()-Registro!R468,"")</f>
        <v/>
      </c>
      <c r="L469" s="45" t="str">
        <f>IF(AND(Registro!D468="Abierto",Registro!E468="Baja"),RANK(K469,$K$9:$K$1000,0)+COUNTIF($K$9:K469,K469)-1+MAX(C$5:C$1000,F$5:F$1000,I$5:I$1000),"")</f>
        <v/>
      </c>
      <c r="M469" s="46" t="str">
        <f>IF(OR(Registro!D468="Resuelto",Registro!D468=""),"",SUM(C469,F469,I469,L469))</f>
        <v/>
      </c>
      <c r="N469" s="46" t="str">
        <f>IF(OR(Registro!D468="Resuelto",Registro!D468=""),"",SUM(B469,E469,H469,K469))</f>
        <v/>
      </c>
      <c r="O469" s="46" t="str">
        <f>IF(OR(Registro!D468="Resuelto",Registro!D468=""),"",_xlfn.CONCAT(A469,D469,G469,J469))</f>
        <v/>
      </c>
      <c r="P469" s="47">
        <v>461</v>
      </c>
      <c r="Q469" s="47" t="str">
        <f t="shared" ca="1" si="21"/>
        <v/>
      </c>
      <c r="R469" s="48" t="str">
        <f t="shared" ca="1" si="22"/>
        <v/>
      </c>
      <c r="S469" s="32"/>
      <c r="T469" s="32"/>
      <c r="U469" s="32"/>
      <c r="V469" s="32"/>
      <c r="W469" s="47" t="str">
        <f>IF(X469="","",MAX($W$5:W468)+1)</f>
        <v/>
      </c>
      <c r="X469" s="50" t="str">
        <f>IF(Registro!M468="","",IF(COUNTIF($X$8:X468,Registro!M468)=0,Registro!M468,""))</f>
        <v/>
      </c>
      <c r="Y469" s="50" t="str">
        <f t="shared" si="23"/>
        <v/>
      </c>
    </row>
    <row r="470" spans="1:25">
      <c r="A470" s="45" t="str">
        <f>IF(AND(Registro!D469="Abierto",Registro!E469="Urgente"),Registro!B469,"")</f>
        <v/>
      </c>
      <c r="B470" s="45" t="str">
        <f ca="1">IF(AND(Registro!D469="Abierto",Registro!E469="Urgente"),TODAY()-Registro!R469,"")</f>
        <v/>
      </c>
      <c r="C470" s="45" t="str">
        <f>IF(AND(Registro!D469="Abierto",Registro!E469="Urgente"),RANK(B470,$B$9:$B$1000,0)+COUNTIF($B$9:B470,B470)-1,"")</f>
        <v/>
      </c>
      <c r="D470" s="45" t="str">
        <f>IF(AND(Registro!D469="Abierto",Registro!E469="Alta"),Registro!B469,"")</f>
        <v/>
      </c>
      <c r="E470" s="45" t="str">
        <f ca="1">IF(AND(Registro!D469="Abierto",Registro!E469="Alta"),TODAY()-Registro!R469,"")</f>
        <v/>
      </c>
      <c r="F470" s="45" t="str">
        <f>IF(AND(Registro!D469="Abierto",Registro!E469="Alta"),RANK(E470,$E$9:$E$1000,0)+COUNTIF($E$9:E470,E470)-1+MAX(C$5:C$1000),"")</f>
        <v/>
      </c>
      <c r="G470" s="45" t="str">
        <f>IF(AND(Registro!D469="Abierto",Registro!E469="Media"),Registro!B469,"")</f>
        <v/>
      </c>
      <c r="H470" s="45" t="str">
        <f ca="1">IF(AND(Registro!D469="Abierto",Registro!E469="Media"),TODAY()-Registro!R469,"")</f>
        <v/>
      </c>
      <c r="I470" s="45" t="str">
        <f>IF(AND(Registro!D469="Abierto",Registro!E469="Media"),RANK(H470,$H$9:$H$1000,0)+COUNTIF($H$9:H470,H470)-1+MAX(C$5:C$1000,F$5:F$1000),"")</f>
        <v/>
      </c>
      <c r="J470" s="45" t="str">
        <f>IF(AND(Registro!D469="Abierto",Registro!E469="Baja"),Registro!B469,"")</f>
        <v/>
      </c>
      <c r="K470" s="45" t="str">
        <f ca="1">IF(AND(Registro!D469="Abierto",Registro!E469="Baja"),TODAY()-Registro!R469,"")</f>
        <v/>
      </c>
      <c r="L470" s="45" t="str">
        <f>IF(AND(Registro!D469="Abierto",Registro!E469="Baja"),RANK(K470,$K$9:$K$1000,0)+COUNTIF($K$9:K470,K470)-1+MAX(C$5:C$1000,F$5:F$1000,I$5:I$1000),"")</f>
        <v/>
      </c>
      <c r="M470" s="46" t="str">
        <f>IF(OR(Registro!D469="Resuelto",Registro!D469=""),"",SUM(C470,F470,I470,L470))</f>
        <v/>
      </c>
      <c r="N470" s="46" t="str">
        <f>IF(OR(Registro!D469="Resuelto",Registro!D469=""),"",SUM(B470,E470,H470,K470))</f>
        <v/>
      </c>
      <c r="O470" s="46" t="str">
        <f>IF(OR(Registro!D469="Resuelto",Registro!D469=""),"",_xlfn.CONCAT(A470,D470,G470,J470))</f>
        <v/>
      </c>
      <c r="P470" s="47">
        <v>462</v>
      </c>
      <c r="Q470" s="47" t="str">
        <f t="shared" ca="1" si="21"/>
        <v/>
      </c>
      <c r="R470" s="48" t="str">
        <f t="shared" ca="1" si="22"/>
        <v/>
      </c>
      <c r="S470" s="32"/>
      <c r="T470" s="32"/>
      <c r="U470" s="32"/>
      <c r="V470" s="32"/>
      <c r="W470" s="47" t="str">
        <f>IF(X470="","",MAX($W$5:W469)+1)</f>
        <v/>
      </c>
      <c r="X470" s="50" t="str">
        <f>IF(Registro!M469="","",IF(COUNTIF($X$8:X469,Registro!M469)=0,Registro!M469,""))</f>
        <v/>
      </c>
      <c r="Y470" s="50" t="str">
        <f t="shared" si="23"/>
        <v/>
      </c>
    </row>
    <row r="471" spans="1:25">
      <c r="A471" s="45" t="str">
        <f>IF(AND(Registro!D470="Abierto",Registro!E470="Urgente"),Registro!B470,"")</f>
        <v/>
      </c>
      <c r="B471" s="45" t="str">
        <f ca="1">IF(AND(Registro!D470="Abierto",Registro!E470="Urgente"),TODAY()-Registro!R470,"")</f>
        <v/>
      </c>
      <c r="C471" s="45" t="str">
        <f>IF(AND(Registro!D470="Abierto",Registro!E470="Urgente"),RANK(B471,$B$9:$B$1000,0)+COUNTIF($B$9:B471,B471)-1,"")</f>
        <v/>
      </c>
      <c r="D471" s="45" t="str">
        <f>IF(AND(Registro!D470="Abierto",Registro!E470="Alta"),Registro!B470,"")</f>
        <v/>
      </c>
      <c r="E471" s="45" t="str">
        <f ca="1">IF(AND(Registro!D470="Abierto",Registro!E470="Alta"),TODAY()-Registro!R470,"")</f>
        <v/>
      </c>
      <c r="F471" s="45" t="str">
        <f>IF(AND(Registro!D470="Abierto",Registro!E470="Alta"),RANK(E471,$E$9:$E$1000,0)+COUNTIF($E$9:E471,E471)-1+MAX(C$5:C$1000),"")</f>
        <v/>
      </c>
      <c r="G471" s="45" t="str">
        <f>IF(AND(Registro!D470="Abierto",Registro!E470="Media"),Registro!B470,"")</f>
        <v/>
      </c>
      <c r="H471" s="45" t="str">
        <f ca="1">IF(AND(Registro!D470="Abierto",Registro!E470="Media"),TODAY()-Registro!R470,"")</f>
        <v/>
      </c>
      <c r="I471" s="45" t="str">
        <f>IF(AND(Registro!D470="Abierto",Registro!E470="Media"),RANK(H471,$H$9:$H$1000,0)+COUNTIF($H$9:H471,H471)-1+MAX(C$5:C$1000,F$5:F$1000),"")</f>
        <v/>
      </c>
      <c r="J471" s="45" t="str">
        <f>IF(AND(Registro!D470="Abierto",Registro!E470="Baja"),Registro!B470,"")</f>
        <v/>
      </c>
      <c r="K471" s="45" t="str">
        <f ca="1">IF(AND(Registro!D470="Abierto",Registro!E470="Baja"),TODAY()-Registro!R470,"")</f>
        <v/>
      </c>
      <c r="L471" s="45" t="str">
        <f>IF(AND(Registro!D470="Abierto",Registro!E470="Baja"),RANK(K471,$K$9:$K$1000,0)+COUNTIF($K$9:K471,K471)-1+MAX(C$5:C$1000,F$5:F$1000,I$5:I$1000),"")</f>
        <v/>
      </c>
      <c r="M471" s="46" t="str">
        <f>IF(OR(Registro!D470="Resuelto",Registro!D470=""),"",SUM(C471,F471,I471,L471))</f>
        <v/>
      </c>
      <c r="N471" s="46" t="str">
        <f>IF(OR(Registro!D470="Resuelto",Registro!D470=""),"",SUM(B471,E471,H471,K471))</f>
        <v/>
      </c>
      <c r="O471" s="46" t="str">
        <f>IF(OR(Registro!D470="Resuelto",Registro!D470=""),"",_xlfn.CONCAT(A471,D471,G471,J471))</f>
        <v/>
      </c>
      <c r="P471" s="47">
        <v>463</v>
      </c>
      <c r="Q471" s="47" t="str">
        <f t="shared" ca="1" si="21"/>
        <v/>
      </c>
      <c r="R471" s="48" t="str">
        <f t="shared" ca="1" si="22"/>
        <v/>
      </c>
      <c r="S471" s="32"/>
      <c r="T471" s="32"/>
      <c r="U471" s="32"/>
      <c r="V471" s="32"/>
      <c r="W471" s="47" t="str">
        <f>IF(X471="","",MAX($W$5:W470)+1)</f>
        <v/>
      </c>
      <c r="X471" s="50" t="str">
        <f>IF(Registro!M470="","",IF(COUNTIF($X$8:X470,Registro!M470)=0,Registro!M470,""))</f>
        <v/>
      </c>
      <c r="Y471" s="50" t="str">
        <f t="shared" si="23"/>
        <v/>
      </c>
    </row>
    <row r="472" spans="1:25">
      <c r="A472" s="45" t="str">
        <f>IF(AND(Registro!D471="Abierto",Registro!E471="Urgente"),Registro!B471,"")</f>
        <v/>
      </c>
      <c r="B472" s="45" t="str">
        <f ca="1">IF(AND(Registro!D471="Abierto",Registro!E471="Urgente"),TODAY()-Registro!R471,"")</f>
        <v/>
      </c>
      <c r="C472" s="45" t="str">
        <f>IF(AND(Registro!D471="Abierto",Registro!E471="Urgente"),RANK(B472,$B$9:$B$1000,0)+COUNTIF($B$9:B472,B472)-1,"")</f>
        <v/>
      </c>
      <c r="D472" s="45" t="str">
        <f>IF(AND(Registro!D471="Abierto",Registro!E471="Alta"),Registro!B471,"")</f>
        <v/>
      </c>
      <c r="E472" s="45" t="str">
        <f ca="1">IF(AND(Registro!D471="Abierto",Registro!E471="Alta"),TODAY()-Registro!R471,"")</f>
        <v/>
      </c>
      <c r="F472" s="45" t="str">
        <f>IF(AND(Registro!D471="Abierto",Registro!E471="Alta"),RANK(E472,$E$9:$E$1000,0)+COUNTIF($E$9:E472,E472)-1+MAX(C$5:C$1000),"")</f>
        <v/>
      </c>
      <c r="G472" s="45" t="str">
        <f>IF(AND(Registro!D471="Abierto",Registro!E471="Media"),Registro!B471,"")</f>
        <v/>
      </c>
      <c r="H472" s="45" t="str">
        <f ca="1">IF(AND(Registro!D471="Abierto",Registro!E471="Media"),TODAY()-Registro!R471,"")</f>
        <v/>
      </c>
      <c r="I472" s="45" t="str">
        <f>IF(AND(Registro!D471="Abierto",Registro!E471="Media"),RANK(H472,$H$9:$H$1000,0)+COUNTIF($H$9:H472,H472)-1+MAX(C$5:C$1000,F$5:F$1000),"")</f>
        <v/>
      </c>
      <c r="J472" s="45" t="str">
        <f>IF(AND(Registro!D471="Abierto",Registro!E471="Baja"),Registro!B471,"")</f>
        <v/>
      </c>
      <c r="K472" s="45" t="str">
        <f ca="1">IF(AND(Registro!D471="Abierto",Registro!E471="Baja"),TODAY()-Registro!R471,"")</f>
        <v/>
      </c>
      <c r="L472" s="45" t="str">
        <f>IF(AND(Registro!D471="Abierto",Registro!E471="Baja"),RANK(K472,$K$9:$K$1000,0)+COUNTIF($K$9:K472,K472)-1+MAX(C$5:C$1000,F$5:F$1000,I$5:I$1000),"")</f>
        <v/>
      </c>
      <c r="M472" s="46" t="str">
        <f>IF(OR(Registro!D471="Resuelto",Registro!D471=""),"",SUM(C472,F472,I472,L472))</f>
        <v/>
      </c>
      <c r="N472" s="46" t="str">
        <f>IF(OR(Registro!D471="Resuelto",Registro!D471=""),"",SUM(B472,E472,H472,K472))</f>
        <v/>
      </c>
      <c r="O472" s="46" t="str">
        <f>IF(OR(Registro!D471="Resuelto",Registro!D471=""),"",_xlfn.CONCAT(A472,D472,G472,J472))</f>
        <v/>
      </c>
      <c r="P472" s="47">
        <v>464</v>
      </c>
      <c r="Q472" s="47" t="str">
        <f t="shared" ca="1" si="21"/>
        <v/>
      </c>
      <c r="R472" s="48" t="str">
        <f t="shared" ca="1" si="22"/>
        <v/>
      </c>
      <c r="S472" s="32"/>
      <c r="T472" s="32"/>
      <c r="U472" s="32"/>
      <c r="V472" s="32"/>
      <c r="W472" s="47" t="str">
        <f>IF(X472="","",MAX($W$5:W471)+1)</f>
        <v/>
      </c>
      <c r="X472" s="50" t="str">
        <f>IF(Registro!M471="","",IF(COUNTIF($X$8:X471,Registro!M471)=0,Registro!M471,""))</f>
        <v/>
      </c>
      <c r="Y472" s="50" t="str">
        <f t="shared" si="23"/>
        <v/>
      </c>
    </row>
    <row r="473" spans="1:25">
      <c r="A473" s="45" t="str">
        <f>IF(AND(Registro!D472="Abierto",Registro!E472="Urgente"),Registro!B472,"")</f>
        <v/>
      </c>
      <c r="B473" s="45" t="str">
        <f ca="1">IF(AND(Registro!D472="Abierto",Registro!E472="Urgente"),TODAY()-Registro!R472,"")</f>
        <v/>
      </c>
      <c r="C473" s="45" t="str">
        <f>IF(AND(Registro!D472="Abierto",Registro!E472="Urgente"),RANK(B473,$B$9:$B$1000,0)+COUNTIF($B$9:B473,B473)-1,"")</f>
        <v/>
      </c>
      <c r="D473" s="45" t="str">
        <f>IF(AND(Registro!D472="Abierto",Registro!E472="Alta"),Registro!B472,"")</f>
        <v/>
      </c>
      <c r="E473" s="45" t="str">
        <f ca="1">IF(AND(Registro!D472="Abierto",Registro!E472="Alta"),TODAY()-Registro!R472,"")</f>
        <v/>
      </c>
      <c r="F473" s="45" t="str">
        <f>IF(AND(Registro!D472="Abierto",Registro!E472="Alta"),RANK(E473,$E$9:$E$1000,0)+COUNTIF($E$9:E473,E473)-1+MAX(C$5:C$1000),"")</f>
        <v/>
      </c>
      <c r="G473" s="45" t="str">
        <f>IF(AND(Registro!D472="Abierto",Registro!E472="Media"),Registro!B472,"")</f>
        <v/>
      </c>
      <c r="H473" s="45" t="str">
        <f ca="1">IF(AND(Registro!D472="Abierto",Registro!E472="Media"),TODAY()-Registro!R472,"")</f>
        <v/>
      </c>
      <c r="I473" s="45" t="str">
        <f>IF(AND(Registro!D472="Abierto",Registro!E472="Media"),RANK(H473,$H$9:$H$1000,0)+COUNTIF($H$9:H473,H473)-1+MAX(C$5:C$1000,F$5:F$1000),"")</f>
        <v/>
      </c>
      <c r="J473" s="45" t="str">
        <f>IF(AND(Registro!D472="Abierto",Registro!E472="Baja"),Registro!B472,"")</f>
        <v/>
      </c>
      <c r="K473" s="45" t="str">
        <f ca="1">IF(AND(Registro!D472="Abierto",Registro!E472="Baja"),TODAY()-Registro!R472,"")</f>
        <v/>
      </c>
      <c r="L473" s="45" t="str">
        <f>IF(AND(Registro!D472="Abierto",Registro!E472="Baja"),RANK(K473,$K$9:$K$1000,0)+COUNTIF($K$9:K473,K473)-1+MAX(C$5:C$1000,F$5:F$1000,I$5:I$1000),"")</f>
        <v/>
      </c>
      <c r="M473" s="46" t="str">
        <f>IF(OR(Registro!D472="Resuelto",Registro!D472=""),"",SUM(C473,F473,I473,L473))</f>
        <v/>
      </c>
      <c r="N473" s="46" t="str">
        <f>IF(OR(Registro!D472="Resuelto",Registro!D472=""),"",SUM(B473,E473,H473,K473))</f>
        <v/>
      </c>
      <c r="O473" s="46" t="str">
        <f>IF(OR(Registro!D472="Resuelto",Registro!D472=""),"",_xlfn.CONCAT(A473,D473,G473,J473))</f>
        <v/>
      </c>
      <c r="P473" s="47">
        <v>465</v>
      </c>
      <c r="Q473" s="47" t="str">
        <f t="shared" ca="1" si="21"/>
        <v/>
      </c>
      <c r="R473" s="48" t="str">
        <f t="shared" ca="1" si="22"/>
        <v/>
      </c>
      <c r="S473" s="32"/>
      <c r="T473" s="32"/>
      <c r="U473" s="32"/>
      <c r="V473" s="32"/>
      <c r="W473" s="47" t="str">
        <f>IF(X473="","",MAX($W$5:W472)+1)</f>
        <v/>
      </c>
      <c r="X473" s="50" t="str">
        <f>IF(Registro!M472="","",IF(COUNTIF($X$8:X472,Registro!M472)=0,Registro!M472,""))</f>
        <v/>
      </c>
      <c r="Y473" s="50" t="str">
        <f t="shared" si="23"/>
        <v/>
      </c>
    </row>
    <row r="474" spans="1:25">
      <c r="A474" s="45" t="str">
        <f>IF(AND(Registro!D473="Abierto",Registro!E473="Urgente"),Registro!B473,"")</f>
        <v/>
      </c>
      <c r="B474" s="45" t="str">
        <f ca="1">IF(AND(Registro!D473="Abierto",Registro!E473="Urgente"),TODAY()-Registro!R473,"")</f>
        <v/>
      </c>
      <c r="C474" s="45" t="str">
        <f>IF(AND(Registro!D473="Abierto",Registro!E473="Urgente"),RANK(B474,$B$9:$B$1000,0)+COUNTIF($B$9:B474,B474)-1,"")</f>
        <v/>
      </c>
      <c r="D474" s="45" t="str">
        <f>IF(AND(Registro!D473="Abierto",Registro!E473="Alta"),Registro!B473,"")</f>
        <v/>
      </c>
      <c r="E474" s="45" t="str">
        <f ca="1">IF(AND(Registro!D473="Abierto",Registro!E473="Alta"),TODAY()-Registro!R473,"")</f>
        <v/>
      </c>
      <c r="F474" s="45" t="str">
        <f>IF(AND(Registro!D473="Abierto",Registro!E473="Alta"),RANK(E474,$E$9:$E$1000,0)+COUNTIF($E$9:E474,E474)-1+MAX(C$5:C$1000),"")</f>
        <v/>
      </c>
      <c r="G474" s="45" t="str">
        <f>IF(AND(Registro!D473="Abierto",Registro!E473="Media"),Registro!B473,"")</f>
        <v/>
      </c>
      <c r="H474" s="45" t="str">
        <f ca="1">IF(AND(Registro!D473="Abierto",Registro!E473="Media"),TODAY()-Registro!R473,"")</f>
        <v/>
      </c>
      <c r="I474" s="45" t="str">
        <f>IF(AND(Registro!D473="Abierto",Registro!E473="Media"),RANK(H474,$H$9:$H$1000,0)+COUNTIF($H$9:H474,H474)-1+MAX(C$5:C$1000,F$5:F$1000),"")</f>
        <v/>
      </c>
      <c r="J474" s="45" t="str">
        <f>IF(AND(Registro!D473="Abierto",Registro!E473="Baja"),Registro!B473,"")</f>
        <v/>
      </c>
      <c r="K474" s="45" t="str">
        <f ca="1">IF(AND(Registro!D473="Abierto",Registro!E473="Baja"),TODAY()-Registro!R473,"")</f>
        <v/>
      </c>
      <c r="L474" s="45" t="str">
        <f>IF(AND(Registro!D473="Abierto",Registro!E473="Baja"),RANK(K474,$K$9:$K$1000,0)+COUNTIF($K$9:K474,K474)-1+MAX(C$5:C$1000,F$5:F$1000,I$5:I$1000),"")</f>
        <v/>
      </c>
      <c r="M474" s="46" t="str">
        <f>IF(OR(Registro!D473="Resuelto",Registro!D473=""),"",SUM(C474,F474,I474,L474))</f>
        <v/>
      </c>
      <c r="N474" s="46" t="str">
        <f>IF(OR(Registro!D473="Resuelto",Registro!D473=""),"",SUM(B474,E474,H474,K474))</f>
        <v/>
      </c>
      <c r="O474" s="46" t="str">
        <f>IF(OR(Registro!D473="Resuelto",Registro!D473=""),"",_xlfn.CONCAT(A474,D474,G474,J474))</f>
        <v/>
      </c>
      <c r="P474" s="47">
        <v>466</v>
      </c>
      <c r="Q474" s="47" t="str">
        <f t="shared" ca="1" si="21"/>
        <v/>
      </c>
      <c r="R474" s="48" t="str">
        <f t="shared" ca="1" si="22"/>
        <v/>
      </c>
      <c r="S474" s="32"/>
      <c r="T474" s="32"/>
      <c r="U474" s="32"/>
      <c r="V474" s="32"/>
      <c r="W474" s="47" t="str">
        <f>IF(X474="","",MAX($W$5:W473)+1)</f>
        <v/>
      </c>
      <c r="X474" s="50" t="str">
        <f>IF(Registro!M473="","",IF(COUNTIF($X$8:X473,Registro!M473)=0,Registro!M473,""))</f>
        <v/>
      </c>
      <c r="Y474" s="50" t="str">
        <f t="shared" si="23"/>
        <v/>
      </c>
    </row>
    <row r="475" spans="1:25">
      <c r="A475" s="45" t="str">
        <f>IF(AND(Registro!D474="Abierto",Registro!E474="Urgente"),Registro!B474,"")</f>
        <v/>
      </c>
      <c r="B475" s="45" t="str">
        <f ca="1">IF(AND(Registro!D474="Abierto",Registro!E474="Urgente"),TODAY()-Registro!R474,"")</f>
        <v/>
      </c>
      <c r="C475" s="45" t="str">
        <f>IF(AND(Registro!D474="Abierto",Registro!E474="Urgente"),RANK(B475,$B$9:$B$1000,0)+COUNTIF($B$9:B475,B475)-1,"")</f>
        <v/>
      </c>
      <c r="D475" s="45" t="str">
        <f>IF(AND(Registro!D474="Abierto",Registro!E474="Alta"),Registro!B474,"")</f>
        <v/>
      </c>
      <c r="E475" s="45" t="str">
        <f ca="1">IF(AND(Registro!D474="Abierto",Registro!E474="Alta"),TODAY()-Registro!R474,"")</f>
        <v/>
      </c>
      <c r="F475" s="45" t="str">
        <f>IF(AND(Registro!D474="Abierto",Registro!E474="Alta"),RANK(E475,$E$9:$E$1000,0)+COUNTIF($E$9:E475,E475)-1+MAX(C$5:C$1000),"")</f>
        <v/>
      </c>
      <c r="G475" s="45" t="str">
        <f>IF(AND(Registro!D474="Abierto",Registro!E474="Media"),Registro!B474,"")</f>
        <v/>
      </c>
      <c r="H475" s="45" t="str">
        <f ca="1">IF(AND(Registro!D474="Abierto",Registro!E474="Media"),TODAY()-Registro!R474,"")</f>
        <v/>
      </c>
      <c r="I475" s="45" t="str">
        <f>IF(AND(Registro!D474="Abierto",Registro!E474="Media"),RANK(H475,$H$9:$H$1000,0)+COUNTIF($H$9:H475,H475)-1+MAX(C$5:C$1000,F$5:F$1000),"")</f>
        <v/>
      </c>
      <c r="J475" s="45" t="str">
        <f>IF(AND(Registro!D474="Abierto",Registro!E474="Baja"),Registro!B474,"")</f>
        <v/>
      </c>
      <c r="K475" s="45" t="str">
        <f ca="1">IF(AND(Registro!D474="Abierto",Registro!E474="Baja"),TODAY()-Registro!R474,"")</f>
        <v/>
      </c>
      <c r="L475" s="45" t="str">
        <f>IF(AND(Registro!D474="Abierto",Registro!E474="Baja"),RANK(K475,$K$9:$K$1000,0)+COUNTIF($K$9:K475,K475)-1+MAX(C$5:C$1000,F$5:F$1000,I$5:I$1000),"")</f>
        <v/>
      </c>
      <c r="M475" s="46" t="str">
        <f>IF(OR(Registro!D474="Resuelto",Registro!D474=""),"",SUM(C475,F475,I475,L475))</f>
        <v/>
      </c>
      <c r="N475" s="46" t="str">
        <f>IF(OR(Registro!D474="Resuelto",Registro!D474=""),"",SUM(B475,E475,H475,K475))</f>
        <v/>
      </c>
      <c r="O475" s="46" t="str">
        <f>IF(OR(Registro!D474="Resuelto",Registro!D474=""),"",_xlfn.CONCAT(A475,D475,G475,J475))</f>
        <v/>
      </c>
      <c r="P475" s="47">
        <v>467</v>
      </c>
      <c r="Q475" s="47" t="str">
        <f t="shared" ca="1" si="21"/>
        <v/>
      </c>
      <c r="R475" s="48" t="str">
        <f t="shared" ca="1" si="22"/>
        <v/>
      </c>
      <c r="S475" s="32"/>
      <c r="T475" s="32"/>
      <c r="U475" s="32"/>
      <c r="V475" s="32"/>
      <c r="W475" s="47" t="str">
        <f>IF(X475="","",MAX($W$5:W474)+1)</f>
        <v/>
      </c>
      <c r="X475" s="50" t="str">
        <f>IF(Registro!M474="","",IF(COUNTIF($X$8:X474,Registro!M474)=0,Registro!M474,""))</f>
        <v/>
      </c>
      <c r="Y475" s="50" t="str">
        <f t="shared" si="23"/>
        <v/>
      </c>
    </row>
    <row r="476" spans="1:25">
      <c r="A476" s="45" t="str">
        <f>IF(AND(Registro!D475="Abierto",Registro!E475="Urgente"),Registro!B475,"")</f>
        <v/>
      </c>
      <c r="B476" s="45" t="str">
        <f ca="1">IF(AND(Registro!D475="Abierto",Registro!E475="Urgente"),TODAY()-Registro!R475,"")</f>
        <v/>
      </c>
      <c r="C476" s="45" t="str">
        <f>IF(AND(Registro!D475="Abierto",Registro!E475="Urgente"),RANK(B476,$B$9:$B$1000,0)+COUNTIF($B$9:B476,B476)-1,"")</f>
        <v/>
      </c>
      <c r="D476" s="45" t="str">
        <f>IF(AND(Registro!D475="Abierto",Registro!E475="Alta"),Registro!B475,"")</f>
        <v/>
      </c>
      <c r="E476" s="45" t="str">
        <f ca="1">IF(AND(Registro!D475="Abierto",Registro!E475="Alta"),TODAY()-Registro!R475,"")</f>
        <v/>
      </c>
      <c r="F476" s="45" t="str">
        <f>IF(AND(Registro!D475="Abierto",Registro!E475="Alta"),RANK(E476,$E$9:$E$1000,0)+COUNTIF($E$9:E476,E476)-1+MAX(C$5:C$1000),"")</f>
        <v/>
      </c>
      <c r="G476" s="45" t="str">
        <f>IF(AND(Registro!D475="Abierto",Registro!E475="Media"),Registro!B475,"")</f>
        <v/>
      </c>
      <c r="H476" s="45" t="str">
        <f ca="1">IF(AND(Registro!D475="Abierto",Registro!E475="Media"),TODAY()-Registro!R475,"")</f>
        <v/>
      </c>
      <c r="I476" s="45" t="str">
        <f>IF(AND(Registro!D475="Abierto",Registro!E475="Media"),RANK(H476,$H$9:$H$1000,0)+COUNTIF($H$9:H476,H476)-1+MAX(C$5:C$1000,F$5:F$1000),"")</f>
        <v/>
      </c>
      <c r="J476" s="45" t="str">
        <f>IF(AND(Registro!D475="Abierto",Registro!E475="Baja"),Registro!B475,"")</f>
        <v/>
      </c>
      <c r="K476" s="45" t="str">
        <f ca="1">IF(AND(Registro!D475="Abierto",Registro!E475="Baja"),TODAY()-Registro!R475,"")</f>
        <v/>
      </c>
      <c r="L476" s="45" t="str">
        <f>IF(AND(Registro!D475="Abierto",Registro!E475="Baja"),RANK(K476,$K$9:$K$1000,0)+COUNTIF($K$9:K476,K476)-1+MAX(C$5:C$1000,F$5:F$1000,I$5:I$1000),"")</f>
        <v/>
      </c>
      <c r="M476" s="46" t="str">
        <f>IF(OR(Registro!D475="Resuelto",Registro!D475=""),"",SUM(C476,F476,I476,L476))</f>
        <v/>
      </c>
      <c r="N476" s="46" t="str">
        <f>IF(OR(Registro!D475="Resuelto",Registro!D475=""),"",SUM(B476,E476,H476,K476))</f>
        <v/>
      </c>
      <c r="O476" s="46" t="str">
        <f>IF(OR(Registro!D475="Resuelto",Registro!D475=""),"",_xlfn.CONCAT(A476,D476,G476,J476))</f>
        <v/>
      </c>
      <c r="P476" s="47">
        <v>468</v>
      </c>
      <c r="Q476" s="47" t="str">
        <f t="shared" ca="1" si="21"/>
        <v/>
      </c>
      <c r="R476" s="48" t="str">
        <f t="shared" ca="1" si="22"/>
        <v/>
      </c>
      <c r="S476" s="32"/>
      <c r="T476" s="32"/>
      <c r="U476" s="32"/>
      <c r="V476" s="32"/>
      <c r="W476" s="47" t="str">
        <f>IF(X476="","",MAX($W$5:W475)+1)</f>
        <v/>
      </c>
      <c r="X476" s="50" t="str">
        <f>IF(Registro!M475="","",IF(COUNTIF($X$8:X475,Registro!M475)=0,Registro!M475,""))</f>
        <v/>
      </c>
      <c r="Y476" s="50" t="str">
        <f t="shared" si="23"/>
        <v/>
      </c>
    </row>
    <row r="477" spans="1:25">
      <c r="A477" s="45" t="str">
        <f>IF(AND(Registro!D476="Abierto",Registro!E476="Urgente"),Registro!B476,"")</f>
        <v/>
      </c>
      <c r="B477" s="45" t="str">
        <f ca="1">IF(AND(Registro!D476="Abierto",Registro!E476="Urgente"),TODAY()-Registro!R476,"")</f>
        <v/>
      </c>
      <c r="C477" s="45" t="str">
        <f>IF(AND(Registro!D476="Abierto",Registro!E476="Urgente"),RANK(B477,$B$9:$B$1000,0)+COUNTIF($B$9:B477,B477)-1,"")</f>
        <v/>
      </c>
      <c r="D477" s="45" t="str">
        <f>IF(AND(Registro!D476="Abierto",Registro!E476="Alta"),Registro!B476,"")</f>
        <v/>
      </c>
      <c r="E477" s="45" t="str">
        <f ca="1">IF(AND(Registro!D476="Abierto",Registro!E476="Alta"),TODAY()-Registro!R476,"")</f>
        <v/>
      </c>
      <c r="F477" s="45" t="str">
        <f>IF(AND(Registro!D476="Abierto",Registro!E476="Alta"),RANK(E477,$E$9:$E$1000,0)+COUNTIF($E$9:E477,E477)-1+MAX(C$5:C$1000),"")</f>
        <v/>
      </c>
      <c r="G477" s="45" t="str">
        <f>IF(AND(Registro!D476="Abierto",Registro!E476="Media"),Registro!B476,"")</f>
        <v/>
      </c>
      <c r="H477" s="45" t="str">
        <f ca="1">IF(AND(Registro!D476="Abierto",Registro!E476="Media"),TODAY()-Registro!R476,"")</f>
        <v/>
      </c>
      <c r="I477" s="45" t="str">
        <f>IF(AND(Registro!D476="Abierto",Registro!E476="Media"),RANK(H477,$H$9:$H$1000,0)+COUNTIF($H$9:H477,H477)-1+MAX(C$5:C$1000,F$5:F$1000),"")</f>
        <v/>
      </c>
      <c r="J477" s="45" t="str">
        <f>IF(AND(Registro!D476="Abierto",Registro!E476="Baja"),Registro!B476,"")</f>
        <v/>
      </c>
      <c r="K477" s="45" t="str">
        <f ca="1">IF(AND(Registro!D476="Abierto",Registro!E476="Baja"),TODAY()-Registro!R476,"")</f>
        <v/>
      </c>
      <c r="L477" s="45" t="str">
        <f>IF(AND(Registro!D476="Abierto",Registro!E476="Baja"),RANK(K477,$K$9:$K$1000,0)+COUNTIF($K$9:K477,K477)-1+MAX(C$5:C$1000,F$5:F$1000,I$5:I$1000),"")</f>
        <v/>
      </c>
      <c r="M477" s="46" t="str">
        <f>IF(OR(Registro!D476="Resuelto",Registro!D476=""),"",SUM(C477,F477,I477,L477))</f>
        <v/>
      </c>
      <c r="N477" s="46" t="str">
        <f>IF(OR(Registro!D476="Resuelto",Registro!D476=""),"",SUM(B477,E477,H477,K477))</f>
        <v/>
      </c>
      <c r="O477" s="46" t="str">
        <f>IF(OR(Registro!D476="Resuelto",Registro!D476=""),"",_xlfn.CONCAT(A477,D477,G477,J477))</f>
        <v/>
      </c>
      <c r="P477" s="47">
        <v>469</v>
      </c>
      <c r="Q477" s="47" t="str">
        <f t="shared" ca="1" si="21"/>
        <v/>
      </c>
      <c r="R477" s="48" t="str">
        <f t="shared" ca="1" si="22"/>
        <v/>
      </c>
      <c r="S477" s="32"/>
      <c r="T477" s="32"/>
      <c r="U477" s="32"/>
      <c r="V477" s="32"/>
      <c r="W477" s="47" t="str">
        <f>IF(X477="","",MAX($W$5:W476)+1)</f>
        <v/>
      </c>
      <c r="X477" s="50" t="str">
        <f>IF(Registro!M476="","",IF(COUNTIF($X$8:X476,Registro!M476)=0,Registro!M476,""))</f>
        <v/>
      </c>
      <c r="Y477" s="50" t="str">
        <f t="shared" si="23"/>
        <v/>
      </c>
    </row>
    <row r="478" spans="1:25">
      <c r="A478" s="45" t="str">
        <f>IF(AND(Registro!D477="Abierto",Registro!E477="Urgente"),Registro!B477,"")</f>
        <v/>
      </c>
      <c r="B478" s="45" t="str">
        <f ca="1">IF(AND(Registro!D477="Abierto",Registro!E477="Urgente"),TODAY()-Registro!R477,"")</f>
        <v/>
      </c>
      <c r="C478" s="45" t="str">
        <f>IF(AND(Registro!D477="Abierto",Registro!E477="Urgente"),RANK(B478,$B$9:$B$1000,0)+COUNTIF($B$9:B478,B478)-1,"")</f>
        <v/>
      </c>
      <c r="D478" s="45" t="str">
        <f>IF(AND(Registro!D477="Abierto",Registro!E477="Alta"),Registro!B477,"")</f>
        <v/>
      </c>
      <c r="E478" s="45" t="str">
        <f ca="1">IF(AND(Registro!D477="Abierto",Registro!E477="Alta"),TODAY()-Registro!R477,"")</f>
        <v/>
      </c>
      <c r="F478" s="45" t="str">
        <f>IF(AND(Registro!D477="Abierto",Registro!E477="Alta"),RANK(E478,$E$9:$E$1000,0)+COUNTIF($E$9:E478,E478)-1+MAX(C$5:C$1000),"")</f>
        <v/>
      </c>
      <c r="G478" s="45" t="str">
        <f>IF(AND(Registro!D477="Abierto",Registro!E477="Media"),Registro!B477,"")</f>
        <v/>
      </c>
      <c r="H478" s="45" t="str">
        <f ca="1">IF(AND(Registro!D477="Abierto",Registro!E477="Media"),TODAY()-Registro!R477,"")</f>
        <v/>
      </c>
      <c r="I478" s="45" t="str">
        <f>IF(AND(Registro!D477="Abierto",Registro!E477="Media"),RANK(H478,$H$9:$H$1000,0)+COUNTIF($H$9:H478,H478)-1+MAX(C$5:C$1000,F$5:F$1000),"")</f>
        <v/>
      </c>
      <c r="J478" s="45" t="str">
        <f>IF(AND(Registro!D477="Abierto",Registro!E477="Baja"),Registro!B477,"")</f>
        <v/>
      </c>
      <c r="K478" s="45" t="str">
        <f ca="1">IF(AND(Registro!D477="Abierto",Registro!E477="Baja"),TODAY()-Registro!R477,"")</f>
        <v/>
      </c>
      <c r="L478" s="45" t="str">
        <f>IF(AND(Registro!D477="Abierto",Registro!E477="Baja"),RANK(K478,$K$9:$K$1000,0)+COUNTIF($K$9:K478,K478)-1+MAX(C$5:C$1000,F$5:F$1000,I$5:I$1000),"")</f>
        <v/>
      </c>
      <c r="M478" s="46" t="str">
        <f>IF(OR(Registro!D477="Resuelto",Registro!D477=""),"",SUM(C478,F478,I478,L478))</f>
        <v/>
      </c>
      <c r="N478" s="46" t="str">
        <f>IF(OR(Registro!D477="Resuelto",Registro!D477=""),"",SUM(B478,E478,H478,K478))</f>
        <v/>
      </c>
      <c r="O478" s="46" t="str">
        <f>IF(OR(Registro!D477="Resuelto",Registro!D477=""),"",_xlfn.CONCAT(A478,D478,G478,J478))</f>
        <v/>
      </c>
      <c r="P478" s="47">
        <v>470</v>
      </c>
      <c r="Q478" s="47" t="str">
        <f t="shared" ca="1" si="21"/>
        <v/>
      </c>
      <c r="R478" s="48" t="str">
        <f t="shared" ca="1" si="22"/>
        <v/>
      </c>
      <c r="S478" s="32"/>
      <c r="T478" s="32"/>
      <c r="U478" s="32"/>
      <c r="V478" s="32"/>
      <c r="W478" s="47" t="str">
        <f>IF(X478="","",MAX($W$5:W477)+1)</f>
        <v/>
      </c>
      <c r="X478" s="50" t="str">
        <f>IF(Registro!M477="","",IF(COUNTIF($X$8:X477,Registro!M477)=0,Registro!M477,""))</f>
        <v/>
      </c>
      <c r="Y478" s="50" t="str">
        <f t="shared" si="23"/>
        <v/>
      </c>
    </row>
    <row r="479" spans="1:25">
      <c r="A479" s="45" t="str">
        <f>IF(AND(Registro!D478="Abierto",Registro!E478="Urgente"),Registro!B478,"")</f>
        <v/>
      </c>
      <c r="B479" s="45" t="str">
        <f ca="1">IF(AND(Registro!D478="Abierto",Registro!E478="Urgente"),TODAY()-Registro!R478,"")</f>
        <v/>
      </c>
      <c r="C479" s="45" t="str">
        <f>IF(AND(Registro!D478="Abierto",Registro!E478="Urgente"),RANK(B479,$B$9:$B$1000,0)+COUNTIF($B$9:B479,B479)-1,"")</f>
        <v/>
      </c>
      <c r="D479" s="45" t="str">
        <f>IF(AND(Registro!D478="Abierto",Registro!E478="Alta"),Registro!B478,"")</f>
        <v/>
      </c>
      <c r="E479" s="45" t="str">
        <f ca="1">IF(AND(Registro!D478="Abierto",Registro!E478="Alta"),TODAY()-Registro!R478,"")</f>
        <v/>
      </c>
      <c r="F479" s="45" t="str">
        <f>IF(AND(Registro!D478="Abierto",Registro!E478="Alta"),RANK(E479,$E$9:$E$1000,0)+COUNTIF($E$9:E479,E479)-1+MAX(C$5:C$1000),"")</f>
        <v/>
      </c>
      <c r="G479" s="45" t="str">
        <f>IF(AND(Registro!D478="Abierto",Registro!E478="Media"),Registro!B478,"")</f>
        <v/>
      </c>
      <c r="H479" s="45" t="str">
        <f ca="1">IF(AND(Registro!D478="Abierto",Registro!E478="Media"),TODAY()-Registro!R478,"")</f>
        <v/>
      </c>
      <c r="I479" s="45" t="str">
        <f>IF(AND(Registro!D478="Abierto",Registro!E478="Media"),RANK(H479,$H$9:$H$1000,0)+COUNTIF($H$9:H479,H479)-1+MAX(C$5:C$1000,F$5:F$1000),"")</f>
        <v/>
      </c>
      <c r="J479" s="45" t="str">
        <f>IF(AND(Registro!D478="Abierto",Registro!E478="Baja"),Registro!B478,"")</f>
        <v/>
      </c>
      <c r="K479" s="45" t="str">
        <f ca="1">IF(AND(Registro!D478="Abierto",Registro!E478="Baja"),TODAY()-Registro!R478,"")</f>
        <v/>
      </c>
      <c r="L479" s="45" t="str">
        <f>IF(AND(Registro!D478="Abierto",Registro!E478="Baja"),RANK(K479,$K$9:$K$1000,0)+COUNTIF($K$9:K479,K479)-1+MAX(C$5:C$1000,F$5:F$1000,I$5:I$1000),"")</f>
        <v/>
      </c>
      <c r="M479" s="46" t="str">
        <f>IF(OR(Registro!D478="Resuelto",Registro!D478=""),"",SUM(C479,F479,I479,L479))</f>
        <v/>
      </c>
      <c r="N479" s="46" t="str">
        <f>IF(OR(Registro!D478="Resuelto",Registro!D478=""),"",SUM(B479,E479,H479,K479))</f>
        <v/>
      </c>
      <c r="O479" s="46" t="str">
        <f>IF(OR(Registro!D478="Resuelto",Registro!D478=""),"",_xlfn.CONCAT(A479,D479,G479,J479))</f>
        <v/>
      </c>
      <c r="P479" s="47">
        <v>471</v>
      </c>
      <c r="Q479" s="47" t="str">
        <f t="shared" ca="1" si="21"/>
        <v/>
      </c>
      <c r="R479" s="48" t="str">
        <f t="shared" ca="1" si="22"/>
        <v/>
      </c>
      <c r="S479" s="32"/>
      <c r="T479" s="32"/>
      <c r="U479" s="32"/>
      <c r="V479" s="32"/>
      <c r="W479" s="47" t="str">
        <f>IF(X479="","",MAX($W$5:W478)+1)</f>
        <v/>
      </c>
      <c r="X479" s="50" t="str">
        <f>IF(Registro!M478="","",IF(COUNTIF($X$8:X478,Registro!M478)=0,Registro!M478,""))</f>
        <v/>
      </c>
      <c r="Y479" s="50" t="str">
        <f t="shared" si="23"/>
        <v/>
      </c>
    </row>
    <row r="480" spans="1:25">
      <c r="A480" s="45" t="str">
        <f>IF(AND(Registro!D479="Abierto",Registro!E479="Urgente"),Registro!B479,"")</f>
        <v/>
      </c>
      <c r="B480" s="45" t="str">
        <f ca="1">IF(AND(Registro!D479="Abierto",Registro!E479="Urgente"),TODAY()-Registro!R479,"")</f>
        <v/>
      </c>
      <c r="C480" s="45" t="str">
        <f>IF(AND(Registro!D479="Abierto",Registro!E479="Urgente"),RANK(B480,$B$9:$B$1000,0)+COUNTIF($B$9:B480,B480)-1,"")</f>
        <v/>
      </c>
      <c r="D480" s="45" t="str">
        <f>IF(AND(Registro!D479="Abierto",Registro!E479="Alta"),Registro!B479,"")</f>
        <v/>
      </c>
      <c r="E480" s="45" t="str">
        <f ca="1">IF(AND(Registro!D479="Abierto",Registro!E479="Alta"),TODAY()-Registro!R479,"")</f>
        <v/>
      </c>
      <c r="F480" s="45" t="str">
        <f>IF(AND(Registro!D479="Abierto",Registro!E479="Alta"),RANK(E480,$E$9:$E$1000,0)+COUNTIF($E$9:E480,E480)-1+MAX(C$5:C$1000),"")</f>
        <v/>
      </c>
      <c r="G480" s="45" t="str">
        <f>IF(AND(Registro!D479="Abierto",Registro!E479="Media"),Registro!B479,"")</f>
        <v/>
      </c>
      <c r="H480" s="45" t="str">
        <f ca="1">IF(AND(Registro!D479="Abierto",Registro!E479="Media"),TODAY()-Registro!R479,"")</f>
        <v/>
      </c>
      <c r="I480" s="45" t="str">
        <f>IF(AND(Registro!D479="Abierto",Registro!E479="Media"),RANK(H480,$H$9:$H$1000,0)+COUNTIF($H$9:H480,H480)-1+MAX(C$5:C$1000,F$5:F$1000),"")</f>
        <v/>
      </c>
      <c r="J480" s="45" t="str">
        <f>IF(AND(Registro!D479="Abierto",Registro!E479="Baja"),Registro!B479,"")</f>
        <v/>
      </c>
      <c r="K480" s="45" t="str">
        <f ca="1">IF(AND(Registro!D479="Abierto",Registro!E479="Baja"),TODAY()-Registro!R479,"")</f>
        <v/>
      </c>
      <c r="L480" s="45" t="str">
        <f>IF(AND(Registro!D479="Abierto",Registro!E479="Baja"),RANK(K480,$K$9:$K$1000,0)+COUNTIF($K$9:K480,K480)-1+MAX(C$5:C$1000,F$5:F$1000,I$5:I$1000),"")</f>
        <v/>
      </c>
      <c r="M480" s="46" t="str">
        <f>IF(OR(Registro!D479="Resuelto",Registro!D479=""),"",SUM(C480,F480,I480,L480))</f>
        <v/>
      </c>
      <c r="N480" s="46" t="str">
        <f>IF(OR(Registro!D479="Resuelto",Registro!D479=""),"",SUM(B480,E480,H480,K480))</f>
        <v/>
      </c>
      <c r="O480" s="46" t="str">
        <f>IF(OR(Registro!D479="Resuelto",Registro!D479=""),"",_xlfn.CONCAT(A480,D480,G480,J480))</f>
        <v/>
      </c>
      <c r="P480" s="47">
        <v>472</v>
      </c>
      <c r="Q480" s="47" t="str">
        <f t="shared" ca="1" si="21"/>
        <v/>
      </c>
      <c r="R480" s="48" t="str">
        <f t="shared" ca="1" si="22"/>
        <v/>
      </c>
      <c r="S480" s="32"/>
      <c r="T480" s="32"/>
      <c r="U480" s="32"/>
      <c r="V480" s="32"/>
      <c r="W480" s="47" t="str">
        <f>IF(X480="","",MAX($W$5:W479)+1)</f>
        <v/>
      </c>
      <c r="X480" s="50" t="str">
        <f>IF(Registro!M479="","",IF(COUNTIF($X$8:X479,Registro!M479)=0,Registro!M479,""))</f>
        <v/>
      </c>
      <c r="Y480" s="50" t="str">
        <f t="shared" si="23"/>
        <v/>
      </c>
    </row>
    <row r="481" spans="1:25">
      <c r="A481" s="45" t="str">
        <f>IF(AND(Registro!D480="Abierto",Registro!E480="Urgente"),Registro!B480,"")</f>
        <v/>
      </c>
      <c r="B481" s="45" t="str">
        <f ca="1">IF(AND(Registro!D480="Abierto",Registro!E480="Urgente"),TODAY()-Registro!R480,"")</f>
        <v/>
      </c>
      <c r="C481" s="45" t="str">
        <f>IF(AND(Registro!D480="Abierto",Registro!E480="Urgente"),RANK(B481,$B$9:$B$1000,0)+COUNTIF($B$9:B481,B481)-1,"")</f>
        <v/>
      </c>
      <c r="D481" s="45" t="str">
        <f>IF(AND(Registro!D480="Abierto",Registro!E480="Alta"),Registro!B480,"")</f>
        <v/>
      </c>
      <c r="E481" s="45" t="str">
        <f ca="1">IF(AND(Registro!D480="Abierto",Registro!E480="Alta"),TODAY()-Registro!R480,"")</f>
        <v/>
      </c>
      <c r="F481" s="45" t="str">
        <f>IF(AND(Registro!D480="Abierto",Registro!E480="Alta"),RANK(E481,$E$9:$E$1000,0)+COUNTIF($E$9:E481,E481)-1+MAX(C$5:C$1000),"")</f>
        <v/>
      </c>
      <c r="G481" s="45" t="str">
        <f>IF(AND(Registro!D480="Abierto",Registro!E480="Media"),Registro!B480,"")</f>
        <v/>
      </c>
      <c r="H481" s="45" t="str">
        <f ca="1">IF(AND(Registro!D480="Abierto",Registro!E480="Media"),TODAY()-Registro!R480,"")</f>
        <v/>
      </c>
      <c r="I481" s="45" t="str">
        <f>IF(AND(Registro!D480="Abierto",Registro!E480="Media"),RANK(H481,$H$9:$H$1000,0)+COUNTIF($H$9:H481,H481)-1+MAX(C$5:C$1000,F$5:F$1000),"")</f>
        <v/>
      </c>
      <c r="J481" s="45" t="str">
        <f>IF(AND(Registro!D480="Abierto",Registro!E480="Baja"),Registro!B480,"")</f>
        <v/>
      </c>
      <c r="K481" s="45" t="str">
        <f ca="1">IF(AND(Registro!D480="Abierto",Registro!E480="Baja"),TODAY()-Registro!R480,"")</f>
        <v/>
      </c>
      <c r="L481" s="45" t="str">
        <f>IF(AND(Registro!D480="Abierto",Registro!E480="Baja"),RANK(K481,$K$9:$K$1000,0)+COUNTIF($K$9:K481,K481)-1+MAX(C$5:C$1000,F$5:F$1000,I$5:I$1000),"")</f>
        <v/>
      </c>
      <c r="M481" s="46" t="str">
        <f>IF(OR(Registro!D480="Resuelto",Registro!D480=""),"",SUM(C481,F481,I481,L481))</f>
        <v/>
      </c>
      <c r="N481" s="46" t="str">
        <f>IF(OR(Registro!D480="Resuelto",Registro!D480=""),"",SUM(B481,E481,H481,K481))</f>
        <v/>
      </c>
      <c r="O481" s="46" t="str">
        <f>IF(OR(Registro!D480="Resuelto",Registro!D480=""),"",_xlfn.CONCAT(A481,D481,G481,J481))</f>
        <v/>
      </c>
      <c r="P481" s="47">
        <v>473</v>
      </c>
      <c r="Q481" s="47" t="str">
        <f t="shared" ca="1" si="21"/>
        <v/>
      </c>
      <c r="R481" s="48" t="str">
        <f t="shared" ca="1" si="22"/>
        <v/>
      </c>
      <c r="S481" s="32"/>
      <c r="T481" s="32"/>
      <c r="U481" s="32"/>
      <c r="V481" s="32"/>
      <c r="W481" s="47" t="str">
        <f>IF(X481="","",MAX($W$5:W480)+1)</f>
        <v/>
      </c>
      <c r="X481" s="50" t="str">
        <f>IF(Registro!M480="","",IF(COUNTIF($X$8:X480,Registro!M480)=0,Registro!M480,""))</f>
        <v/>
      </c>
      <c r="Y481" s="50" t="str">
        <f t="shared" si="23"/>
        <v/>
      </c>
    </row>
    <row r="482" spans="1:25">
      <c r="A482" s="45" t="str">
        <f>IF(AND(Registro!D481="Abierto",Registro!E481="Urgente"),Registro!B481,"")</f>
        <v/>
      </c>
      <c r="B482" s="45" t="str">
        <f ca="1">IF(AND(Registro!D481="Abierto",Registro!E481="Urgente"),TODAY()-Registro!R481,"")</f>
        <v/>
      </c>
      <c r="C482" s="45" t="str">
        <f>IF(AND(Registro!D481="Abierto",Registro!E481="Urgente"),RANK(B482,$B$9:$B$1000,0)+COUNTIF($B$9:B482,B482)-1,"")</f>
        <v/>
      </c>
      <c r="D482" s="45" t="str">
        <f>IF(AND(Registro!D481="Abierto",Registro!E481="Alta"),Registro!B481,"")</f>
        <v/>
      </c>
      <c r="E482" s="45" t="str">
        <f ca="1">IF(AND(Registro!D481="Abierto",Registro!E481="Alta"),TODAY()-Registro!R481,"")</f>
        <v/>
      </c>
      <c r="F482" s="45" t="str">
        <f>IF(AND(Registro!D481="Abierto",Registro!E481="Alta"),RANK(E482,$E$9:$E$1000,0)+COUNTIF($E$9:E482,E482)-1+MAX(C$5:C$1000),"")</f>
        <v/>
      </c>
      <c r="G482" s="45" t="str">
        <f>IF(AND(Registro!D481="Abierto",Registro!E481="Media"),Registro!B481,"")</f>
        <v/>
      </c>
      <c r="H482" s="45" t="str">
        <f ca="1">IF(AND(Registro!D481="Abierto",Registro!E481="Media"),TODAY()-Registro!R481,"")</f>
        <v/>
      </c>
      <c r="I482" s="45" t="str">
        <f>IF(AND(Registro!D481="Abierto",Registro!E481="Media"),RANK(H482,$H$9:$H$1000,0)+COUNTIF($H$9:H482,H482)-1+MAX(C$5:C$1000,F$5:F$1000),"")</f>
        <v/>
      </c>
      <c r="J482" s="45" t="str">
        <f>IF(AND(Registro!D481="Abierto",Registro!E481="Baja"),Registro!B481,"")</f>
        <v/>
      </c>
      <c r="K482" s="45" t="str">
        <f ca="1">IF(AND(Registro!D481="Abierto",Registro!E481="Baja"),TODAY()-Registro!R481,"")</f>
        <v/>
      </c>
      <c r="L482" s="45" t="str">
        <f>IF(AND(Registro!D481="Abierto",Registro!E481="Baja"),RANK(K482,$K$9:$K$1000,0)+COUNTIF($K$9:K482,K482)-1+MAX(C$5:C$1000,F$5:F$1000,I$5:I$1000),"")</f>
        <v/>
      </c>
      <c r="M482" s="46" t="str">
        <f>IF(OR(Registro!D481="Resuelto",Registro!D481=""),"",SUM(C482,F482,I482,L482))</f>
        <v/>
      </c>
      <c r="N482" s="46" t="str">
        <f>IF(OR(Registro!D481="Resuelto",Registro!D481=""),"",SUM(B482,E482,H482,K482))</f>
        <v/>
      </c>
      <c r="O482" s="46" t="str">
        <f>IF(OR(Registro!D481="Resuelto",Registro!D481=""),"",_xlfn.CONCAT(A482,D482,G482,J482))</f>
        <v/>
      </c>
      <c r="P482" s="47">
        <v>474</v>
      </c>
      <c r="Q482" s="47" t="str">
        <f t="shared" ca="1" si="21"/>
        <v/>
      </c>
      <c r="R482" s="48" t="str">
        <f t="shared" ca="1" si="22"/>
        <v/>
      </c>
      <c r="S482" s="32"/>
      <c r="T482" s="32"/>
      <c r="U482" s="32"/>
      <c r="V482" s="32"/>
      <c r="W482" s="47" t="str">
        <f>IF(X482="","",MAX($W$5:W481)+1)</f>
        <v/>
      </c>
      <c r="X482" s="50" t="str">
        <f>IF(Registro!M481="","",IF(COUNTIF($X$8:X481,Registro!M481)=0,Registro!M481,""))</f>
        <v/>
      </c>
      <c r="Y482" s="50" t="str">
        <f t="shared" si="23"/>
        <v/>
      </c>
    </row>
    <row r="483" spans="1:25">
      <c r="A483" s="45" t="str">
        <f>IF(AND(Registro!D482="Abierto",Registro!E482="Urgente"),Registro!B482,"")</f>
        <v/>
      </c>
      <c r="B483" s="45" t="str">
        <f ca="1">IF(AND(Registro!D482="Abierto",Registro!E482="Urgente"),TODAY()-Registro!R482,"")</f>
        <v/>
      </c>
      <c r="C483" s="45" t="str">
        <f>IF(AND(Registro!D482="Abierto",Registro!E482="Urgente"),RANK(B483,$B$9:$B$1000,0)+COUNTIF($B$9:B483,B483)-1,"")</f>
        <v/>
      </c>
      <c r="D483" s="45" t="str">
        <f>IF(AND(Registro!D482="Abierto",Registro!E482="Alta"),Registro!B482,"")</f>
        <v/>
      </c>
      <c r="E483" s="45" t="str">
        <f ca="1">IF(AND(Registro!D482="Abierto",Registro!E482="Alta"),TODAY()-Registro!R482,"")</f>
        <v/>
      </c>
      <c r="F483" s="45" t="str">
        <f>IF(AND(Registro!D482="Abierto",Registro!E482="Alta"),RANK(E483,$E$9:$E$1000,0)+COUNTIF($E$9:E483,E483)-1+MAX(C$5:C$1000),"")</f>
        <v/>
      </c>
      <c r="G483" s="45" t="str">
        <f>IF(AND(Registro!D482="Abierto",Registro!E482="Media"),Registro!B482,"")</f>
        <v/>
      </c>
      <c r="H483" s="45" t="str">
        <f ca="1">IF(AND(Registro!D482="Abierto",Registro!E482="Media"),TODAY()-Registro!R482,"")</f>
        <v/>
      </c>
      <c r="I483" s="45" t="str">
        <f>IF(AND(Registro!D482="Abierto",Registro!E482="Media"),RANK(H483,$H$9:$H$1000,0)+COUNTIF($H$9:H483,H483)-1+MAX(C$5:C$1000,F$5:F$1000),"")</f>
        <v/>
      </c>
      <c r="J483" s="45" t="str">
        <f>IF(AND(Registro!D482="Abierto",Registro!E482="Baja"),Registro!B482,"")</f>
        <v/>
      </c>
      <c r="K483" s="45" t="str">
        <f ca="1">IF(AND(Registro!D482="Abierto",Registro!E482="Baja"),TODAY()-Registro!R482,"")</f>
        <v/>
      </c>
      <c r="L483" s="45" t="str">
        <f>IF(AND(Registro!D482="Abierto",Registro!E482="Baja"),RANK(K483,$K$9:$K$1000,0)+COUNTIF($K$9:K483,K483)-1+MAX(C$5:C$1000,F$5:F$1000,I$5:I$1000),"")</f>
        <v/>
      </c>
      <c r="M483" s="46" t="str">
        <f>IF(OR(Registro!D482="Resuelto",Registro!D482=""),"",SUM(C483,F483,I483,L483))</f>
        <v/>
      </c>
      <c r="N483" s="46" t="str">
        <f>IF(OR(Registro!D482="Resuelto",Registro!D482=""),"",SUM(B483,E483,H483,K483))</f>
        <v/>
      </c>
      <c r="O483" s="46" t="str">
        <f>IF(OR(Registro!D482="Resuelto",Registro!D482=""),"",_xlfn.CONCAT(A483,D483,G483,J483))</f>
        <v/>
      </c>
      <c r="P483" s="47">
        <v>475</v>
      </c>
      <c r="Q483" s="47" t="str">
        <f t="shared" ca="1" si="21"/>
        <v/>
      </c>
      <c r="R483" s="48" t="str">
        <f t="shared" ca="1" si="22"/>
        <v/>
      </c>
      <c r="S483" s="32"/>
      <c r="T483" s="32"/>
      <c r="U483" s="32"/>
      <c r="V483" s="32"/>
      <c r="W483" s="47" t="str">
        <f>IF(X483="","",MAX($W$5:W482)+1)</f>
        <v/>
      </c>
      <c r="X483" s="50" t="str">
        <f>IF(Registro!M482="","",IF(COUNTIF($X$8:X482,Registro!M482)=0,Registro!M482,""))</f>
        <v/>
      </c>
      <c r="Y483" s="50" t="str">
        <f t="shared" si="23"/>
        <v/>
      </c>
    </row>
    <row r="484" spans="1:25">
      <c r="A484" s="45" t="str">
        <f>IF(AND(Registro!D483="Abierto",Registro!E483="Urgente"),Registro!B483,"")</f>
        <v/>
      </c>
      <c r="B484" s="45" t="str">
        <f ca="1">IF(AND(Registro!D483="Abierto",Registro!E483="Urgente"),TODAY()-Registro!R483,"")</f>
        <v/>
      </c>
      <c r="C484" s="45" t="str">
        <f>IF(AND(Registro!D483="Abierto",Registro!E483="Urgente"),RANK(B484,$B$9:$B$1000,0)+COUNTIF($B$9:B484,B484)-1,"")</f>
        <v/>
      </c>
      <c r="D484" s="45" t="str">
        <f>IF(AND(Registro!D483="Abierto",Registro!E483="Alta"),Registro!B483,"")</f>
        <v/>
      </c>
      <c r="E484" s="45" t="str">
        <f ca="1">IF(AND(Registro!D483="Abierto",Registro!E483="Alta"),TODAY()-Registro!R483,"")</f>
        <v/>
      </c>
      <c r="F484" s="45" t="str">
        <f>IF(AND(Registro!D483="Abierto",Registro!E483="Alta"),RANK(E484,$E$9:$E$1000,0)+COUNTIF($E$9:E484,E484)-1+MAX(C$5:C$1000),"")</f>
        <v/>
      </c>
      <c r="G484" s="45" t="str">
        <f>IF(AND(Registro!D483="Abierto",Registro!E483="Media"),Registro!B483,"")</f>
        <v/>
      </c>
      <c r="H484" s="45" t="str">
        <f ca="1">IF(AND(Registro!D483="Abierto",Registro!E483="Media"),TODAY()-Registro!R483,"")</f>
        <v/>
      </c>
      <c r="I484" s="45" t="str">
        <f>IF(AND(Registro!D483="Abierto",Registro!E483="Media"),RANK(H484,$H$9:$H$1000,0)+COUNTIF($H$9:H484,H484)-1+MAX(C$5:C$1000,F$5:F$1000),"")</f>
        <v/>
      </c>
      <c r="J484" s="45" t="str">
        <f>IF(AND(Registro!D483="Abierto",Registro!E483="Baja"),Registro!B483,"")</f>
        <v/>
      </c>
      <c r="K484" s="45" t="str">
        <f ca="1">IF(AND(Registro!D483="Abierto",Registro!E483="Baja"),TODAY()-Registro!R483,"")</f>
        <v/>
      </c>
      <c r="L484" s="45" t="str">
        <f>IF(AND(Registro!D483="Abierto",Registro!E483="Baja"),RANK(K484,$K$9:$K$1000,0)+COUNTIF($K$9:K484,K484)-1+MAX(C$5:C$1000,F$5:F$1000,I$5:I$1000),"")</f>
        <v/>
      </c>
      <c r="M484" s="46" t="str">
        <f>IF(OR(Registro!D483="Resuelto",Registro!D483=""),"",SUM(C484,F484,I484,L484))</f>
        <v/>
      </c>
      <c r="N484" s="46" t="str">
        <f>IF(OR(Registro!D483="Resuelto",Registro!D483=""),"",SUM(B484,E484,H484,K484))</f>
        <v/>
      </c>
      <c r="O484" s="46" t="str">
        <f>IF(OR(Registro!D483="Resuelto",Registro!D483=""),"",_xlfn.CONCAT(A484,D484,G484,J484))</f>
        <v/>
      </c>
      <c r="P484" s="47">
        <v>476</v>
      </c>
      <c r="Q484" s="47" t="str">
        <f t="shared" ca="1" si="21"/>
        <v/>
      </c>
      <c r="R484" s="48" t="str">
        <f t="shared" ca="1" si="22"/>
        <v/>
      </c>
      <c r="S484" s="32"/>
      <c r="T484" s="32"/>
      <c r="U484" s="32"/>
      <c r="V484" s="32"/>
      <c r="W484" s="47" t="str">
        <f>IF(X484="","",MAX($W$5:W483)+1)</f>
        <v/>
      </c>
      <c r="X484" s="50" t="str">
        <f>IF(Registro!M483="","",IF(COUNTIF($X$8:X483,Registro!M483)=0,Registro!M483,""))</f>
        <v/>
      </c>
      <c r="Y484" s="50" t="str">
        <f t="shared" si="23"/>
        <v/>
      </c>
    </row>
    <row r="485" spans="1:25">
      <c r="A485" s="45" t="str">
        <f>IF(AND(Registro!D484="Abierto",Registro!E484="Urgente"),Registro!B484,"")</f>
        <v/>
      </c>
      <c r="B485" s="45" t="str">
        <f ca="1">IF(AND(Registro!D484="Abierto",Registro!E484="Urgente"),TODAY()-Registro!R484,"")</f>
        <v/>
      </c>
      <c r="C485" s="45" t="str">
        <f>IF(AND(Registro!D484="Abierto",Registro!E484="Urgente"),RANK(B485,$B$9:$B$1000,0)+COUNTIF($B$9:B485,B485)-1,"")</f>
        <v/>
      </c>
      <c r="D485" s="45" t="str">
        <f>IF(AND(Registro!D484="Abierto",Registro!E484="Alta"),Registro!B484,"")</f>
        <v/>
      </c>
      <c r="E485" s="45" t="str">
        <f ca="1">IF(AND(Registro!D484="Abierto",Registro!E484="Alta"),TODAY()-Registro!R484,"")</f>
        <v/>
      </c>
      <c r="F485" s="45" t="str">
        <f>IF(AND(Registro!D484="Abierto",Registro!E484="Alta"),RANK(E485,$E$9:$E$1000,0)+COUNTIF($E$9:E485,E485)-1+MAX(C$5:C$1000),"")</f>
        <v/>
      </c>
      <c r="G485" s="45" t="str">
        <f>IF(AND(Registro!D484="Abierto",Registro!E484="Media"),Registro!B484,"")</f>
        <v/>
      </c>
      <c r="H485" s="45" t="str">
        <f ca="1">IF(AND(Registro!D484="Abierto",Registro!E484="Media"),TODAY()-Registro!R484,"")</f>
        <v/>
      </c>
      <c r="I485" s="45" t="str">
        <f>IF(AND(Registro!D484="Abierto",Registro!E484="Media"),RANK(H485,$H$9:$H$1000,0)+COUNTIF($H$9:H485,H485)-1+MAX(C$5:C$1000,F$5:F$1000),"")</f>
        <v/>
      </c>
      <c r="J485" s="45" t="str">
        <f>IF(AND(Registro!D484="Abierto",Registro!E484="Baja"),Registro!B484,"")</f>
        <v/>
      </c>
      <c r="K485" s="45" t="str">
        <f ca="1">IF(AND(Registro!D484="Abierto",Registro!E484="Baja"),TODAY()-Registro!R484,"")</f>
        <v/>
      </c>
      <c r="L485" s="45" t="str">
        <f>IF(AND(Registro!D484="Abierto",Registro!E484="Baja"),RANK(K485,$K$9:$K$1000,0)+COUNTIF($K$9:K485,K485)-1+MAX(C$5:C$1000,F$5:F$1000,I$5:I$1000),"")</f>
        <v/>
      </c>
      <c r="M485" s="46" t="str">
        <f>IF(OR(Registro!D484="Resuelto",Registro!D484=""),"",SUM(C485,F485,I485,L485))</f>
        <v/>
      </c>
      <c r="N485" s="46" t="str">
        <f>IF(OR(Registro!D484="Resuelto",Registro!D484=""),"",SUM(B485,E485,H485,K485))</f>
        <v/>
      </c>
      <c r="O485" s="46" t="str">
        <f>IF(OR(Registro!D484="Resuelto",Registro!D484=""),"",_xlfn.CONCAT(A485,D485,G485,J485))</f>
        <v/>
      </c>
      <c r="P485" s="47">
        <v>477</v>
      </c>
      <c r="Q485" s="47" t="str">
        <f t="shared" ca="1" si="21"/>
        <v/>
      </c>
      <c r="R485" s="48" t="str">
        <f t="shared" ca="1" si="22"/>
        <v/>
      </c>
      <c r="S485" s="32"/>
      <c r="T485" s="32"/>
      <c r="U485" s="32"/>
      <c r="V485" s="32"/>
      <c r="W485" s="47" t="str">
        <f>IF(X485="","",MAX($W$5:W484)+1)</f>
        <v/>
      </c>
      <c r="X485" s="50" t="str">
        <f>IF(Registro!M484="","",IF(COUNTIF($X$8:X484,Registro!M484)=0,Registro!M484,""))</f>
        <v/>
      </c>
      <c r="Y485" s="50" t="str">
        <f t="shared" si="23"/>
        <v/>
      </c>
    </row>
    <row r="486" spans="1:25">
      <c r="A486" s="45" t="str">
        <f>IF(AND(Registro!D485="Abierto",Registro!E485="Urgente"),Registro!B485,"")</f>
        <v/>
      </c>
      <c r="B486" s="45" t="str">
        <f ca="1">IF(AND(Registro!D485="Abierto",Registro!E485="Urgente"),TODAY()-Registro!R485,"")</f>
        <v/>
      </c>
      <c r="C486" s="45" t="str">
        <f>IF(AND(Registro!D485="Abierto",Registro!E485="Urgente"),RANK(B486,$B$9:$B$1000,0)+COUNTIF($B$9:B486,B486)-1,"")</f>
        <v/>
      </c>
      <c r="D486" s="45" t="str">
        <f>IF(AND(Registro!D485="Abierto",Registro!E485="Alta"),Registro!B485,"")</f>
        <v/>
      </c>
      <c r="E486" s="45" t="str">
        <f ca="1">IF(AND(Registro!D485="Abierto",Registro!E485="Alta"),TODAY()-Registro!R485,"")</f>
        <v/>
      </c>
      <c r="F486" s="45" t="str">
        <f>IF(AND(Registro!D485="Abierto",Registro!E485="Alta"),RANK(E486,$E$9:$E$1000,0)+COUNTIF($E$9:E486,E486)-1+MAX(C$5:C$1000),"")</f>
        <v/>
      </c>
      <c r="G486" s="45" t="str">
        <f>IF(AND(Registro!D485="Abierto",Registro!E485="Media"),Registro!B485,"")</f>
        <v/>
      </c>
      <c r="H486" s="45" t="str">
        <f ca="1">IF(AND(Registro!D485="Abierto",Registro!E485="Media"),TODAY()-Registro!R485,"")</f>
        <v/>
      </c>
      <c r="I486" s="45" t="str">
        <f>IF(AND(Registro!D485="Abierto",Registro!E485="Media"),RANK(H486,$H$9:$H$1000,0)+COUNTIF($H$9:H486,H486)-1+MAX(C$5:C$1000,F$5:F$1000),"")</f>
        <v/>
      </c>
      <c r="J486" s="45" t="str">
        <f>IF(AND(Registro!D485="Abierto",Registro!E485="Baja"),Registro!B485,"")</f>
        <v/>
      </c>
      <c r="K486" s="45" t="str">
        <f ca="1">IF(AND(Registro!D485="Abierto",Registro!E485="Baja"),TODAY()-Registro!R485,"")</f>
        <v/>
      </c>
      <c r="L486" s="45" t="str">
        <f>IF(AND(Registro!D485="Abierto",Registro!E485="Baja"),RANK(K486,$K$9:$K$1000,0)+COUNTIF($K$9:K486,K486)-1+MAX(C$5:C$1000,F$5:F$1000,I$5:I$1000),"")</f>
        <v/>
      </c>
      <c r="M486" s="46" t="str">
        <f>IF(OR(Registro!D485="Resuelto",Registro!D485=""),"",SUM(C486,F486,I486,L486))</f>
        <v/>
      </c>
      <c r="N486" s="46" t="str">
        <f>IF(OR(Registro!D485="Resuelto",Registro!D485=""),"",SUM(B486,E486,H486,K486))</f>
        <v/>
      </c>
      <c r="O486" s="46" t="str">
        <f>IF(OR(Registro!D485="Resuelto",Registro!D485=""),"",_xlfn.CONCAT(A486,D486,G486,J486))</f>
        <v/>
      </c>
      <c r="P486" s="47">
        <v>478</v>
      </c>
      <c r="Q486" s="47" t="str">
        <f t="shared" ca="1" si="21"/>
        <v/>
      </c>
      <c r="R486" s="48" t="str">
        <f t="shared" ca="1" si="22"/>
        <v/>
      </c>
      <c r="S486" s="32"/>
      <c r="T486" s="32"/>
      <c r="U486" s="32"/>
      <c r="V486" s="32"/>
      <c r="W486" s="47" t="str">
        <f>IF(X486="","",MAX($W$5:W485)+1)</f>
        <v/>
      </c>
      <c r="X486" s="50" t="str">
        <f>IF(Registro!M485="","",IF(COUNTIF($X$8:X485,Registro!M485)=0,Registro!M485,""))</f>
        <v/>
      </c>
      <c r="Y486" s="50" t="str">
        <f t="shared" si="23"/>
        <v/>
      </c>
    </row>
    <row r="487" spans="1:25">
      <c r="A487" s="45" t="str">
        <f>IF(AND(Registro!D486="Abierto",Registro!E486="Urgente"),Registro!B486,"")</f>
        <v/>
      </c>
      <c r="B487" s="45" t="str">
        <f ca="1">IF(AND(Registro!D486="Abierto",Registro!E486="Urgente"),TODAY()-Registro!R486,"")</f>
        <v/>
      </c>
      <c r="C487" s="45" t="str">
        <f>IF(AND(Registro!D486="Abierto",Registro!E486="Urgente"),RANK(B487,$B$9:$B$1000,0)+COUNTIF($B$9:B487,B487)-1,"")</f>
        <v/>
      </c>
      <c r="D487" s="45" t="str">
        <f>IF(AND(Registro!D486="Abierto",Registro!E486="Alta"),Registro!B486,"")</f>
        <v/>
      </c>
      <c r="E487" s="45" t="str">
        <f ca="1">IF(AND(Registro!D486="Abierto",Registro!E486="Alta"),TODAY()-Registro!R486,"")</f>
        <v/>
      </c>
      <c r="F487" s="45" t="str">
        <f>IF(AND(Registro!D486="Abierto",Registro!E486="Alta"),RANK(E487,$E$9:$E$1000,0)+COUNTIF($E$9:E487,E487)-1+MAX(C$5:C$1000),"")</f>
        <v/>
      </c>
      <c r="G487" s="45" t="str">
        <f>IF(AND(Registro!D486="Abierto",Registro!E486="Media"),Registro!B486,"")</f>
        <v/>
      </c>
      <c r="H487" s="45" t="str">
        <f ca="1">IF(AND(Registro!D486="Abierto",Registro!E486="Media"),TODAY()-Registro!R486,"")</f>
        <v/>
      </c>
      <c r="I487" s="45" t="str">
        <f>IF(AND(Registro!D486="Abierto",Registro!E486="Media"),RANK(H487,$H$9:$H$1000,0)+COUNTIF($H$9:H487,H487)-1+MAX(C$5:C$1000,F$5:F$1000),"")</f>
        <v/>
      </c>
      <c r="J487" s="45" t="str">
        <f>IF(AND(Registro!D486="Abierto",Registro!E486="Baja"),Registro!B486,"")</f>
        <v/>
      </c>
      <c r="K487" s="45" t="str">
        <f ca="1">IF(AND(Registro!D486="Abierto",Registro!E486="Baja"),TODAY()-Registro!R486,"")</f>
        <v/>
      </c>
      <c r="L487" s="45" t="str">
        <f>IF(AND(Registro!D486="Abierto",Registro!E486="Baja"),RANK(K487,$K$9:$K$1000,0)+COUNTIF($K$9:K487,K487)-1+MAX(C$5:C$1000,F$5:F$1000,I$5:I$1000),"")</f>
        <v/>
      </c>
      <c r="M487" s="46" t="str">
        <f>IF(OR(Registro!D486="Resuelto",Registro!D486=""),"",SUM(C487,F487,I487,L487))</f>
        <v/>
      </c>
      <c r="N487" s="46" t="str">
        <f>IF(OR(Registro!D486="Resuelto",Registro!D486=""),"",SUM(B487,E487,H487,K487))</f>
        <v/>
      </c>
      <c r="O487" s="46" t="str">
        <f>IF(OR(Registro!D486="Resuelto",Registro!D486=""),"",_xlfn.CONCAT(A487,D487,G487,J487))</f>
        <v/>
      </c>
      <c r="P487" s="47">
        <v>479</v>
      </c>
      <c r="Q487" s="47" t="str">
        <f t="shared" ca="1" si="21"/>
        <v/>
      </c>
      <c r="R487" s="48" t="str">
        <f t="shared" ca="1" si="22"/>
        <v/>
      </c>
      <c r="S487" s="32"/>
      <c r="T487" s="32"/>
      <c r="U487" s="32"/>
      <c r="V487" s="32"/>
      <c r="W487" s="47" t="str">
        <f>IF(X487="","",MAX($W$5:W486)+1)</f>
        <v/>
      </c>
      <c r="X487" s="50" t="str">
        <f>IF(Registro!M486="","",IF(COUNTIF($X$8:X486,Registro!M486)=0,Registro!M486,""))</f>
        <v/>
      </c>
      <c r="Y487" s="50" t="str">
        <f t="shared" si="23"/>
        <v/>
      </c>
    </row>
    <row r="488" spans="1:25">
      <c r="A488" s="45" t="str">
        <f>IF(AND(Registro!D487="Abierto",Registro!E487="Urgente"),Registro!B487,"")</f>
        <v/>
      </c>
      <c r="B488" s="45" t="str">
        <f ca="1">IF(AND(Registro!D487="Abierto",Registro!E487="Urgente"),TODAY()-Registro!R487,"")</f>
        <v/>
      </c>
      <c r="C488" s="45" t="str">
        <f>IF(AND(Registro!D487="Abierto",Registro!E487="Urgente"),RANK(B488,$B$9:$B$1000,0)+COUNTIF($B$9:B488,B488)-1,"")</f>
        <v/>
      </c>
      <c r="D488" s="45" t="str">
        <f>IF(AND(Registro!D487="Abierto",Registro!E487="Alta"),Registro!B487,"")</f>
        <v/>
      </c>
      <c r="E488" s="45" t="str">
        <f ca="1">IF(AND(Registro!D487="Abierto",Registro!E487="Alta"),TODAY()-Registro!R487,"")</f>
        <v/>
      </c>
      <c r="F488" s="45" t="str">
        <f>IF(AND(Registro!D487="Abierto",Registro!E487="Alta"),RANK(E488,$E$9:$E$1000,0)+COUNTIF($E$9:E488,E488)-1+MAX(C$5:C$1000),"")</f>
        <v/>
      </c>
      <c r="G488" s="45" t="str">
        <f>IF(AND(Registro!D487="Abierto",Registro!E487="Media"),Registro!B487,"")</f>
        <v/>
      </c>
      <c r="H488" s="45" t="str">
        <f ca="1">IF(AND(Registro!D487="Abierto",Registro!E487="Media"),TODAY()-Registro!R487,"")</f>
        <v/>
      </c>
      <c r="I488" s="45" t="str">
        <f>IF(AND(Registro!D487="Abierto",Registro!E487="Media"),RANK(H488,$H$9:$H$1000,0)+COUNTIF($H$9:H488,H488)-1+MAX(C$5:C$1000,F$5:F$1000),"")</f>
        <v/>
      </c>
      <c r="J488" s="45" t="str">
        <f>IF(AND(Registro!D487="Abierto",Registro!E487="Baja"),Registro!B487,"")</f>
        <v/>
      </c>
      <c r="K488" s="45" t="str">
        <f ca="1">IF(AND(Registro!D487="Abierto",Registro!E487="Baja"),TODAY()-Registro!R487,"")</f>
        <v/>
      </c>
      <c r="L488" s="45" t="str">
        <f>IF(AND(Registro!D487="Abierto",Registro!E487="Baja"),RANK(K488,$K$9:$K$1000,0)+COUNTIF($K$9:K488,K488)-1+MAX(C$5:C$1000,F$5:F$1000,I$5:I$1000),"")</f>
        <v/>
      </c>
      <c r="M488" s="46" t="str">
        <f>IF(OR(Registro!D487="Resuelto",Registro!D487=""),"",SUM(C488,F488,I488,L488))</f>
        <v/>
      </c>
      <c r="N488" s="46" t="str">
        <f>IF(OR(Registro!D487="Resuelto",Registro!D487=""),"",SUM(B488,E488,H488,K488))</f>
        <v/>
      </c>
      <c r="O488" s="46" t="str">
        <f>IF(OR(Registro!D487="Resuelto",Registro!D487=""),"",_xlfn.CONCAT(A488,D488,G488,J488))</f>
        <v/>
      </c>
      <c r="P488" s="47">
        <v>480</v>
      </c>
      <c r="Q488" s="47" t="str">
        <f t="shared" ca="1" si="21"/>
        <v/>
      </c>
      <c r="R488" s="48" t="str">
        <f t="shared" ca="1" si="22"/>
        <v/>
      </c>
      <c r="S488" s="32"/>
      <c r="T488" s="32"/>
      <c r="U488" s="32"/>
      <c r="V488" s="32"/>
      <c r="W488" s="47" t="str">
        <f>IF(X488="","",MAX($W$5:W487)+1)</f>
        <v/>
      </c>
      <c r="X488" s="50" t="str">
        <f>IF(Registro!M487="","",IF(COUNTIF($X$8:X487,Registro!M487)=0,Registro!M487,""))</f>
        <v/>
      </c>
      <c r="Y488" s="50" t="str">
        <f t="shared" si="23"/>
        <v/>
      </c>
    </row>
    <row r="489" spans="1:25">
      <c r="A489" s="45" t="str">
        <f>IF(AND(Registro!D488="Abierto",Registro!E488="Urgente"),Registro!B488,"")</f>
        <v/>
      </c>
      <c r="B489" s="45" t="str">
        <f ca="1">IF(AND(Registro!D488="Abierto",Registro!E488="Urgente"),TODAY()-Registro!R488,"")</f>
        <v/>
      </c>
      <c r="C489" s="45" t="str">
        <f>IF(AND(Registro!D488="Abierto",Registro!E488="Urgente"),RANK(B489,$B$9:$B$1000,0)+COUNTIF($B$9:B489,B489)-1,"")</f>
        <v/>
      </c>
      <c r="D489" s="45" t="str">
        <f>IF(AND(Registro!D488="Abierto",Registro!E488="Alta"),Registro!B488,"")</f>
        <v/>
      </c>
      <c r="E489" s="45" t="str">
        <f ca="1">IF(AND(Registro!D488="Abierto",Registro!E488="Alta"),TODAY()-Registro!R488,"")</f>
        <v/>
      </c>
      <c r="F489" s="45" t="str">
        <f>IF(AND(Registro!D488="Abierto",Registro!E488="Alta"),RANK(E489,$E$9:$E$1000,0)+COUNTIF($E$9:E489,E489)-1+MAX(C$5:C$1000),"")</f>
        <v/>
      </c>
      <c r="G489" s="45" t="str">
        <f>IF(AND(Registro!D488="Abierto",Registro!E488="Media"),Registro!B488,"")</f>
        <v/>
      </c>
      <c r="H489" s="45" t="str">
        <f ca="1">IF(AND(Registro!D488="Abierto",Registro!E488="Media"),TODAY()-Registro!R488,"")</f>
        <v/>
      </c>
      <c r="I489" s="45" t="str">
        <f>IF(AND(Registro!D488="Abierto",Registro!E488="Media"),RANK(H489,$H$9:$H$1000,0)+COUNTIF($H$9:H489,H489)-1+MAX(C$5:C$1000,F$5:F$1000),"")</f>
        <v/>
      </c>
      <c r="J489" s="45" t="str">
        <f>IF(AND(Registro!D488="Abierto",Registro!E488="Baja"),Registro!B488,"")</f>
        <v/>
      </c>
      <c r="K489" s="45" t="str">
        <f ca="1">IF(AND(Registro!D488="Abierto",Registro!E488="Baja"),TODAY()-Registro!R488,"")</f>
        <v/>
      </c>
      <c r="L489" s="45" t="str">
        <f>IF(AND(Registro!D488="Abierto",Registro!E488="Baja"),RANK(K489,$K$9:$K$1000,0)+COUNTIF($K$9:K489,K489)-1+MAX(C$5:C$1000,F$5:F$1000,I$5:I$1000),"")</f>
        <v/>
      </c>
      <c r="M489" s="46" t="str">
        <f>IF(OR(Registro!D488="Resuelto",Registro!D488=""),"",SUM(C489,F489,I489,L489))</f>
        <v/>
      </c>
      <c r="N489" s="46" t="str">
        <f>IF(OR(Registro!D488="Resuelto",Registro!D488=""),"",SUM(B489,E489,H489,K489))</f>
        <v/>
      </c>
      <c r="O489" s="46" t="str">
        <f>IF(OR(Registro!D488="Resuelto",Registro!D488=""),"",_xlfn.CONCAT(A489,D489,G489,J489))</f>
        <v/>
      </c>
      <c r="P489" s="47">
        <v>481</v>
      </c>
      <c r="Q489" s="47" t="str">
        <f t="shared" ca="1" si="21"/>
        <v/>
      </c>
      <c r="R489" s="48" t="str">
        <f t="shared" ca="1" si="22"/>
        <v/>
      </c>
      <c r="S489" s="32"/>
      <c r="T489" s="32"/>
      <c r="U489" s="32"/>
      <c r="V489" s="32"/>
      <c r="W489" s="47" t="str">
        <f>IF(X489="","",MAX($W$5:W488)+1)</f>
        <v/>
      </c>
      <c r="X489" s="50" t="str">
        <f>IF(Registro!M488="","",IF(COUNTIF($X$8:X488,Registro!M488)=0,Registro!M488,""))</f>
        <v/>
      </c>
      <c r="Y489" s="50" t="str">
        <f t="shared" si="23"/>
        <v/>
      </c>
    </row>
    <row r="490" spans="1:25">
      <c r="A490" s="45" t="str">
        <f>IF(AND(Registro!D489="Abierto",Registro!E489="Urgente"),Registro!B489,"")</f>
        <v/>
      </c>
      <c r="B490" s="45" t="str">
        <f ca="1">IF(AND(Registro!D489="Abierto",Registro!E489="Urgente"),TODAY()-Registro!R489,"")</f>
        <v/>
      </c>
      <c r="C490" s="45" t="str">
        <f>IF(AND(Registro!D489="Abierto",Registro!E489="Urgente"),RANK(B490,$B$9:$B$1000,0)+COUNTIF($B$9:B490,B490)-1,"")</f>
        <v/>
      </c>
      <c r="D490" s="45" t="str">
        <f>IF(AND(Registro!D489="Abierto",Registro!E489="Alta"),Registro!B489,"")</f>
        <v/>
      </c>
      <c r="E490" s="45" t="str">
        <f ca="1">IF(AND(Registro!D489="Abierto",Registro!E489="Alta"),TODAY()-Registro!R489,"")</f>
        <v/>
      </c>
      <c r="F490" s="45" t="str">
        <f>IF(AND(Registro!D489="Abierto",Registro!E489="Alta"),RANK(E490,$E$9:$E$1000,0)+COUNTIF($E$9:E490,E490)-1+MAX(C$5:C$1000),"")</f>
        <v/>
      </c>
      <c r="G490" s="45" t="str">
        <f>IF(AND(Registro!D489="Abierto",Registro!E489="Media"),Registro!B489,"")</f>
        <v/>
      </c>
      <c r="H490" s="45" t="str">
        <f ca="1">IF(AND(Registro!D489="Abierto",Registro!E489="Media"),TODAY()-Registro!R489,"")</f>
        <v/>
      </c>
      <c r="I490" s="45" t="str">
        <f>IF(AND(Registro!D489="Abierto",Registro!E489="Media"),RANK(H490,$H$9:$H$1000,0)+COUNTIF($H$9:H490,H490)-1+MAX(C$5:C$1000,F$5:F$1000),"")</f>
        <v/>
      </c>
      <c r="J490" s="45" t="str">
        <f>IF(AND(Registro!D489="Abierto",Registro!E489="Baja"),Registro!B489,"")</f>
        <v/>
      </c>
      <c r="K490" s="45" t="str">
        <f ca="1">IF(AND(Registro!D489="Abierto",Registro!E489="Baja"),TODAY()-Registro!R489,"")</f>
        <v/>
      </c>
      <c r="L490" s="45" t="str">
        <f>IF(AND(Registro!D489="Abierto",Registro!E489="Baja"),RANK(K490,$K$9:$K$1000,0)+COUNTIF($K$9:K490,K490)-1+MAX(C$5:C$1000,F$5:F$1000,I$5:I$1000),"")</f>
        <v/>
      </c>
      <c r="M490" s="46" t="str">
        <f>IF(OR(Registro!D489="Resuelto",Registro!D489=""),"",SUM(C490,F490,I490,L490))</f>
        <v/>
      </c>
      <c r="N490" s="46" t="str">
        <f>IF(OR(Registro!D489="Resuelto",Registro!D489=""),"",SUM(B490,E490,H490,K490))</f>
        <v/>
      </c>
      <c r="O490" s="46" t="str">
        <f>IF(OR(Registro!D489="Resuelto",Registro!D489=""),"",_xlfn.CONCAT(A490,D490,G490,J490))</f>
        <v/>
      </c>
      <c r="P490" s="47">
        <v>482</v>
      </c>
      <c r="Q490" s="47" t="str">
        <f t="shared" ca="1" si="21"/>
        <v/>
      </c>
      <c r="R490" s="48" t="str">
        <f t="shared" ca="1" si="22"/>
        <v/>
      </c>
      <c r="S490" s="32"/>
      <c r="T490" s="32"/>
      <c r="U490" s="32"/>
      <c r="V490" s="32"/>
      <c r="W490" s="47" t="str">
        <f>IF(X490="","",MAX($W$5:W489)+1)</f>
        <v/>
      </c>
      <c r="X490" s="50" t="str">
        <f>IF(Registro!M489="","",IF(COUNTIF($X$8:X489,Registro!M489)=0,Registro!M489,""))</f>
        <v/>
      </c>
      <c r="Y490" s="50" t="str">
        <f t="shared" si="23"/>
        <v/>
      </c>
    </row>
    <row r="491" spans="1:25">
      <c r="A491" s="45" t="str">
        <f>IF(AND(Registro!D490="Abierto",Registro!E490="Urgente"),Registro!B490,"")</f>
        <v/>
      </c>
      <c r="B491" s="45" t="str">
        <f ca="1">IF(AND(Registro!D490="Abierto",Registro!E490="Urgente"),TODAY()-Registro!R490,"")</f>
        <v/>
      </c>
      <c r="C491" s="45" t="str">
        <f>IF(AND(Registro!D490="Abierto",Registro!E490="Urgente"),RANK(B491,$B$9:$B$1000,0)+COUNTIF($B$9:B491,B491)-1,"")</f>
        <v/>
      </c>
      <c r="D491" s="45" t="str">
        <f>IF(AND(Registro!D490="Abierto",Registro!E490="Alta"),Registro!B490,"")</f>
        <v/>
      </c>
      <c r="E491" s="45" t="str">
        <f ca="1">IF(AND(Registro!D490="Abierto",Registro!E490="Alta"),TODAY()-Registro!R490,"")</f>
        <v/>
      </c>
      <c r="F491" s="45" t="str">
        <f>IF(AND(Registro!D490="Abierto",Registro!E490="Alta"),RANK(E491,$E$9:$E$1000,0)+COUNTIF($E$9:E491,E491)-1+MAX(C$5:C$1000),"")</f>
        <v/>
      </c>
      <c r="G491" s="45" t="str">
        <f>IF(AND(Registro!D490="Abierto",Registro!E490="Media"),Registro!B490,"")</f>
        <v/>
      </c>
      <c r="H491" s="45" t="str">
        <f ca="1">IF(AND(Registro!D490="Abierto",Registro!E490="Media"),TODAY()-Registro!R490,"")</f>
        <v/>
      </c>
      <c r="I491" s="45" t="str">
        <f>IF(AND(Registro!D490="Abierto",Registro!E490="Media"),RANK(H491,$H$9:$H$1000,0)+COUNTIF($H$9:H491,H491)-1+MAX(C$5:C$1000,F$5:F$1000),"")</f>
        <v/>
      </c>
      <c r="J491" s="45" t="str">
        <f>IF(AND(Registro!D490="Abierto",Registro!E490="Baja"),Registro!B490,"")</f>
        <v/>
      </c>
      <c r="K491" s="45" t="str">
        <f ca="1">IF(AND(Registro!D490="Abierto",Registro!E490="Baja"),TODAY()-Registro!R490,"")</f>
        <v/>
      </c>
      <c r="L491" s="45" t="str">
        <f>IF(AND(Registro!D490="Abierto",Registro!E490="Baja"),RANK(K491,$K$9:$K$1000,0)+COUNTIF($K$9:K491,K491)-1+MAX(C$5:C$1000,F$5:F$1000,I$5:I$1000),"")</f>
        <v/>
      </c>
      <c r="M491" s="46" t="str">
        <f>IF(OR(Registro!D490="Resuelto",Registro!D490=""),"",SUM(C491,F491,I491,L491))</f>
        <v/>
      </c>
      <c r="N491" s="46" t="str">
        <f>IF(OR(Registro!D490="Resuelto",Registro!D490=""),"",SUM(B491,E491,H491,K491))</f>
        <v/>
      </c>
      <c r="O491" s="46" t="str">
        <f>IF(OR(Registro!D490="Resuelto",Registro!D490=""),"",_xlfn.CONCAT(A491,D491,G491,J491))</f>
        <v/>
      </c>
      <c r="P491" s="47">
        <v>483</v>
      </c>
      <c r="Q491" s="47" t="str">
        <f t="shared" ca="1" si="21"/>
        <v/>
      </c>
      <c r="R491" s="48" t="str">
        <f t="shared" ca="1" si="22"/>
        <v/>
      </c>
      <c r="S491" s="32"/>
      <c r="T491" s="32"/>
      <c r="U491" s="32"/>
      <c r="V491" s="32"/>
      <c r="W491" s="47" t="str">
        <f>IF(X491="","",MAX($W$5:W490)+1)</f>
        <v/>
      </c>
      <c r="X491" s="50" t="str">
        <f>IF(Registro!M490="","",IF(COUNTIF($X$8:X490,Registro!M490)=0,Registro!M490,""))</f>
        <v/>
      </c>
      <c r="Y491" s="50" t="str">
        <f t="shared" si="23"/>
        <v/>
      </c>
    </row>
    <row r="492" spans="1:25">
      <c r="A492" s="45" t="str">
        <f>IF(AND(Registro!D491="Abierto",Registro!E491="Urgente"),Registro!B491,"")</f>
        <v/>
      </c>
      <c r="B492" s="45" t="str">
        <f ca="1">IF(AND(Registro!D491="Abierto",Registro!E491="Urgente"),TODAY()-Registro!R491,"")</f>
        <v/>
      </c>
      <c r="C492" s="45" t="str">
        <f>IF(AND(Registro!D491="Abierto",Registro!E491="Urgente"),RANK(B492,$B$9:$B$1000,0)+COUNTIF($B$9:B492,B492)-1,"")</f>
        <v/>
      </c>
      <c r="D492" s="45" t="str">
        <f>IF(AND(Registro!D491="Abierto",Registro!E491="Alta"),Registro!B491,"")</f>
        <v/>
      </c>
      <c r="E492" s="45" t="str">
        <f ca="1">IF(AND(Registro!D491="Abierto",Registro!E491="Alta"),TODAY()-Registro!R491,"")</f>
        <v/>
      </c>
      <c r="F492" s="45" t="str">
        <f>IF(AND(Registro!D491="Abierto",Registro!E491="Alta"),RANK(E492,$E$9:$E$1000,0)+COUNTIF($E$9:E492,E492)-1+MAX(C$5:C$1000),"")</f>
        <v/>
      </c>
      <c r="G492" s="45" t="str">
        <f>IF(AND(Registro!D491="Abierto",Registro!E491="Media"),Registro!B491,"")</f>
        <v/>
      </c>
      <c r="H492" s="45" t="str">
        <f ca="1">IF(AND(Registro!D491="Abierto",Registro!E491="Media"),TODAY()-Registro!R491,"")</f>
        <v/>
      </c>
      <c r="I492" s="45" t="str">
        <f>IF(AND(Registro!D491="Abierto",Registro!E491="Media"),RANK(H492,$H$9:$H$1000,0)+COUNTIF($H$9:H492,H492)-1+MAX(C$5:C$1000,F$5:F$1000),"")</f>
        <v/>
      </c>
      <c r="J492" s="45" t="str">
        <f>IF(AND(Registro!D491="Abierto",Registro!E491="Baja"),Registro!B491,"")</f>
        <v/>
      </c>
      <c r="K492" s="45" t="str">
        <f ca="1">IF(AND(Registro!D491="Abierto",Registro!E491="Baja"),TODAY()-Registro!R491,"")</f>
        <v/>
      </c>
      <c r="L492" s="45" t="str">
        <f>IF(AND(Registro!D491="Abierto",Registro!E491="Baja"),RANK(K492,$K$9:$K$1000,0)+COUNTIF($K$9:K492,K492)-1+MAX(C$5:C$1000,F$5:F$1000,I$5:I$1000),"")</f>
        <v/>
      </c>
      <c r="M492" s="46" t="str">
        <f>IF(OR(Registro!D491="Resuelto",Registro!D491=""),"",SUM(C492,F492,I492,L492))</f>
        <v/>
      </c>
      <c r="N492" s="46" t="str">
        <f>IF(OR(Registro!D491="Resuelto",Registro!D491=""),"",SUM(B492,E492,H492,K492))</f>
        <v/>
      </c>
      <c r="O492" s="46" t="str">
        <f>IF(OR(Registro!D491="Resuelto",Registro!D491=""),"",_xlfn.CONCAT(A492,D492,G492,J492))</f>
        <v/>
      </c>
      <c r="P492" s="47">
        <v>484</v>
      </c>
      <c r="Q492" s="47" t="str">
        <f t="shared" ca="1" si="21"/>
        <v/>
      </c>
      <c r="R492" s="48" t="str">
        <f t="shared" ca="1" si="22"/>
        <v/>
      </c>
      <c r="S492" s="32"/>
      <c r="T492" s="32"/>
      <c r="U492" s="32"/>
      <c r="V492" s="32"/>
      <c r="W492" s="47" t="str">
        <f>IF(X492="","",MAX($W$5:W491)+1)</f>
        <v/>
      </c>
      <c r="X492" s="50" t="str">
        <f>IF(Registro!M491="","",IF(COUNTIF($X$8:X491,Registro!M491)=0,Registro!M491,""))</f>
        <v/>
      </c>
      <c r="Y492" s="50" t="str">
        <f t="shared" si="23"/>
        <v/>
      </c>
    </row>
    <row r="493" spans="1:25">
      <c r="A493" s="45" t="str">
        <f>IF(AND(Registro!D492="Abierto",Registro!E492="Urgente"),Registro!B492,"")</f>
        <v/>
      </c>
      <c r="B493" s="45" t="str">
        <f ca="1">IF(AND(Registro!D492="Abierto",Registro!E492="Urgente"),TODAY()-Registro!R492,"")</f>
        <v/>
      </c>
      <c r="C493" s="45" t="str">
        <f>IF(AND(Registro!D492="Abierto",Registro!E492="Urgente"),RANK(B493,$B$9:$B$1000,0)+COUNTIF($B$9:B493,B493)-1,"")</f>
        <v/>
      </c>
      <c r="D493" s="45" t="str">
        <f>IF(AND(Registro!D492="Abierto",Registro!E492="Alta"),Registro!B492,"")</f>
        <v/>
      </c>
      <c r="E493" s="45" t="str">
        <f ca="1">IF(AND(Registro!D492="Abierto",Registro!E492="Alta"),TODAY()-Registro!R492,"")</f>
        <v/>
      </c>
      <c r="F493" s="45" t="str">
        <f>IF(AND(Registro!D492="Abierto",Registro!E492="Alta"),RANK(E493,$E$9:$E$1000,0)+COUNTIF($E$9:E493,E493)-1+MAX(C$5:C$1000),"")</f>
        <v/>
      </c>
      <c r="G493" s="45" t="str">
        <f>IF(AND(Registro!D492="Abierto",Registro!E492="Media"),Registro!B492,"")</f>
        <v/>
      </c>
      <c r="H493" s="45" t="str">
        <f ca="1">IF(AND(Registro!D492="Abierto",Registro!E492="Media"),TODAY()-Registro!R492,"")</f>
        <v/>
      </c>
      <c r="I493" s="45" t="str">
        <f>IF(AND(Registro!D492="Abierto",Registro!E492="Media"),RANK(H493,$H$9:$H$1000,0)+COUNTIF($H$9:H493,H493)-1+MAX(C$5:C$1000,F$5:F$1000),"")</f>
        <v/>
      </c>
      <c r="J493" s="45" t="str">
        <f>IF(AND(Registro!D492="Abierto",Registro!E492="Baja"),Registro!B492,"")</f>
        <v/>
      </c>
      <c r="K493" s="45" t="str">
        <f ca="1">IF(AND(Registro!D492="Abierto",Registro!E492="Baja"),TODAY()-Registro!R492,"")</f>
        <v/>
      </c>
      <c r="L493" s="45" t="str">
        <f>IF(AND(Registro!D492="Abierto",Registro!E492="Baja"),RANK(K493,$K$9:$K$1000,0)+COUNTIF($K$9:K493,K493)-1+MAX(C$5:C$1000,F$5:F$1000,I$5:I$1000),"")</f>
        <v/>
      </c>
      <c r="M493" s="46" t="str">
        <f>IF(OR(Registro!D492="Resuelto",Registro!D492=""),"",SUM(C493,F493,I493,L493))</f>
        <v/>
      </c>
      <c r="N493" s="46" t="str">
        <f>IF(OR(Registro!D492="Resuelto",Registro!D492=""),"",SUM(B493,E493,H493,K493))</f>
        <v/>
      </c>
      <c r="O493" s="46" t="str">
        <f>IF(OR(Registro!D492="Resuelto",Registro!D492=""),"",_xlfn.CONCAT(A493,D493,G493,J493))</f>
        <v/>
      </c>
      <c r="P493" s="47">
        <v>485</v>
      </c>
      <c r="Q493" s="47" t="str">
        <f t="shared" ca="1" si="21"/>
        <v/>
      </c>
      <c r="R493" s="48" t="str">
        <f t="shared" ca="1" si="22"/>
        <v/>
      </c>
      <c r="S493" s="32"/>
      <c r="T493" s="32"/>
      <c r="U493" s="32"/>
      <c r="V493" s="32"/>
      <c r="W493" s="47" t="str">
        <f>IF(X493="","",MAX($W$5:W492)+1)</f>
        <v/>
      </c>
      <c r="X493" s="50" t="str">
        <f>IF(Registro!M492="","",IF(COUNTIF($X$8:X492,Registro!M492)=0,Registro!M492,""))</f>
        <v/>
      </c>
      <c r="Y493" s="50" t="str">
        <f t="shared" si="23"/>
        <v/>
      </c>
    </row>
    <row r="494" spans="1:25">
      <c r="A494" s="45" t="str">
        <f>IF(AND(Registro!D493="Abierto",Registro!E493="Urgente"),Registro!B493,"")</f>
        <v/>
      </c>
      <c r="B494" s="45" t="str">
        <f ca="1">IF(AND(Registro!D493="Abierto",Registro!E493="Urgente"),TODAY()-Registro!R493,"")</f>
        <v/>
      </c>
      <c r="C494" s="45" t="str">
        <f>IF(AND(Registro!D493="Abierto",Registro!E493="Urgente"),RANK(B494,$B$9:$B$1000,0)+COUNTIF($B$9:B494,B494)-1,"")</f>
        <v/>
      </c>
      <c r="D494" s="45" t="str">
        <f>IF(AND(Registro!D493="Abierto",Registro!E493="Alta"),Registro!B493,"")</f>
        <v/>
      </c>
      <c r="E494" s="45" t="str">
        <f ca="1">IF(AND(Registro!D493="Abierto",Registro!E493="Alta"),TODAY()-Registro!R493,"")</f>
        <v/>
      </c>
      <c r="F494" s="45" t="str">
        <f>IF(AND(Registro!D493="Abierto",Registro!E493="Alta"),RANK(E494,$E$9:$E$1000,0)+COUNTIF($E$9:E494,E494)-1+MAX(C$5:C$1000),"")</f>
        <v/>
      </c>
      <c r="G494" s="45" t="str">
        <f>IF(AND(Registro!D493="Abierto",Registro!E493="Media"),Registro!B493,"")</f>
        <v/>
      </c>
      <c r="H494" s="45" t="str">
        <f ca="1">IF(AND(Registro!D493="Abierto",Registro!E493="Media"),TODAY()-Registro!R493,"")</f>
        <v/>
      </c>
      <c r="I494" s="45" t="str">
        <f>IF(AND(Registro!D493="Abierto",Registro!E493="Media"),RANK(H494,$H$9:$H$1000,0)+COUNTIF($H$9:H494,H494)-1+MAX(C$5:C$1000,F$5:F$1000),"")</f>
        <v/>
      </c>
      <c r="J494" s="45" t="str">
        <f>IF(AND(Registro!D493="Abierto",Registro!E493="Baja"),Registro!B493,"")</f>
        <v/>
      </c>
      <c r="K494" s="45" t="str">
        <f ca="1">IF(AND(Registro!D493="Abierto",Registro!E493="Baja"),TODAY()-Registro!R493,"")</f>
        <v/>
      </c>
      <c r="L494" s="45" t="str">
        <f>IF(AND(Registro!D493="Abierto",Registro!E493="Baja"),RANK(K494,$K$9:$K$1000,0)+COUNTIF($K$9:K494,K494)-1+MAX(C$5:C$1000,F$5:F$1000,I$5:I$1000),"")</f>
        <v/>
      </c>
      <c r="M494" s="46" t="str">
        <f>IF(OR(Registro!D493="Resuelto",Registro!D493=""),"",SUM(C494,F494,I494,L494))</f>
        <v/>
      </c>
      <c r="N494" s="46" t="str">
        <f>IF(OR(Registro!D493="Resuelto",Registro!D493=""),"",SUM(B494,E494,H494,K494))</f>
        <v/>
      </c>
      <c r="O494" s="46" t="str">
        <f>IF(OR(Registro!D493="Resuelto",Registro!D493=""),"",_xlfn.CONCAT(A494,D494,G494,J494))</f>
        <v/>
      </c>
      <c r="P494" s="47">
        <v>486</v>
      </c>
      <c r="Q494" s="47" t="str">
        <f t="shared" ca="1" si="21"/>
        <v/>
      </c>
      <c r="R494" s="48" t="str">
        <f t="shared" ca="1" si="22"/>
        <v/>
      </c>
      <c r="S494" s="32"/>
      <c r="T494" s="32"/>
      <c r="U494" s="32"/>
      <c r="V494" s="32"/>
      <c r="W494" s="47" t="str">
        <f>IF(X494="","",MAX($W$5:W493)+1)</f>
        <v/>
      </c>
      <c r="X494" s="50" t="str">
        <f>IF(Registro!M493="","",IF(COUNTIF($X$8:X493,Registro!M493)=0,Registro!M493,""))</f>
        <v/>
      </c>
      <c r="Y494" s="50" t="str">
        <f t="shared" si="23"/>
        <v/>
      </c>
    </row>
    <row r="495" spans="1:25">
      <c r="A495" s="45" t="str">
        <f>IF(AND(Registro!D494="Abierto",Registro!E494="Urgente"),Registro!B494,"")</f>
        <v/>
      </c>
      <c r="B495" s="45" t="str">
        <f ca="1">IF(AND(Registro!D494="Abierto",Registro!E494="Urgente"),TODAY()-Registro!R494,"")</f>
        <v/>
      </c>
      <c r="C495" s="45" t="str">
        <f>IF(AND(Registro!D494="Abierto",Registro!E494="Urgente"),RANK(B495,$B$9:$B$1000,0)+COUNTIF($B$9:B495,B495)-1,"")</f>
        <v/>
      </c>
      <c r="D495" s="45" t="str">
        <f>IF(AND(Registro!D494="Abierto",Registro!E494="Alta"),Registro!B494,"")</f>
        <v/>
      </c>
      <c r="E495" s="45" t="str">
        <f ca="1">IF(AND(Registro!D494="Abierto",Registro!E494="Alta"),TODAY()-Registro!R494,"")</f>
        <v/>
      </c>
      <c r="F495" s="45" t="str">
        <f>IF(AND(Registro!D494="Abierto",Registro!E494="Alta"),RANK(E495,$E$9:$E$1000,0)+COUNTIF($E$9:E495,E495)-1+MAX(C$5:C$1000),"")</f>
        <v/>
      </c>
      <c r="G495" s="45" t="str">
        <f>IF(AND(Registro!D494="Abierto",Registro!E494="Media"),Registro!B494,"")</f>
        <v/>
      </c>
      <c r="H495" s="45" t="str">
        <f ca="1">IF(AND(Registro!D494="Abierto",Registro!E494="Media"),TODAY()-Registro!R494,"")</f>
        <v/>
      </c>
      <c r="I495" s="45" t="str">
        <f>IF(AND(Registro!D494="Abierto",Registro!E494="Media"),RANK(H495,$H$9:$H$1000,0)+COUNTIF($H$9:H495,H495)-1+MAX(C$5:C$1000,F$5:F$1000),"")</f>
        <v/>
      </c>
      <c r="J495" s="45" t="str">
        <f>IF(AND(Registro!D494="Abierto",Registro!E494="Baja"),Registro!B494,"")</f>
        <v/>
      </c>
      <c r="K495" s="45" t="str">
        <f ca="1">IF(AND(Registro!D494="Abierto",Registro!E494="Baja"),TODAY()-Registro!R494,"")</f>
        <v/>
      </c>
      <c r="L495" s="45" t="str">
        <f>IF(AND(Registro!D494="Abierto",Registro!E494="Baja"),RANK(K495,$K$9:$K$1000,0)+COUNTIF($K$9:K495,K495)-1+MAX(C$5:C$1000,F$5:F$1000,I$5:I$1000),"")</f>
        <v/>
      </c>
      <c r="M495" s="46" t="str">
        <f>IF(OR(Registro!D494="Resuelto",Registro!D494=""),"",SUM(C495,F495,I495,L495))</f>
        <v/>
      </c>
      <c r="N495" s="46" t="str">
        <f>IF(OR(Registro!D494="Resuelto",Registro!D494=""),"",SUM(B495,E495,H495,K495))</f>
        <v/>
      </c>
      <c r="O495" s="46" t="str">
        <f>IF(OR(Registro!D494="Resuelto",Registro!D494=""),"",_xlfn.CONCAT(A495,D495,G495,J495))</f>
        <v/>
      </c>
      <c r="P495" s="47">
        <v>487</v>
      </c>
      <c r="Q495" s="47" t="str">
        <f t="shared" ca="1" si="21"/>
        <v/>
      </c>
      <c r="R495" s="48" t="str">
        <f t="shared" ca="1" si="22"/>
        <v/>
      </c>
      <c r="S495" s="32"/>
      <c r="T495" s="32"/>
      <c r="U495" s="32"/>
      <c r="V495" s="32"/>
      <c r="W495" s="47" t="str">
        <f>IF(X495="","",MAX($W$5:W494)+1)</f>
        <v/>
      </c>
      <c r="X495" s="50" t="str">
        <f>IF(Registro!M494="","",IF(COUNTIF($X$8:X494,Registro!M494)=0,Registro!M494,""))</f>
        <v/>
      </c>
      <c r="Y495" s="50" t="str">
        <f t="shared" si="23"/>
        <v/>
      </c>
    </row>
    <row r="496" spans="1:25">
      <c r="A496" s="45" t="str">
        <f>IF(AND(Registro!D495="Abierto",Registro!E495="Urgente"),Registro!B495,"")</f>
        <v/>
      </c>
      <c r="B496" s="45" t="str">
        <f ca="1">IF(AND(Registro!D495="Abierto",Registro!E495="Urgente"),TODAY()-Registro!R495,"")</f>
        <v/>
      </c>
      <c r="C496" s="45" t="str">
        <f>IF(AND(Registro!D495="Abierto",Registro!E495="Urgente"),RANK(B496,$B$9:$B$1000,0)+COUNTIF($B$9:B496,B496)-1,"")</f>
        <v/>
      </c>
      <c r="D496" s="45" t="str">
        <f>IF(AND(Registro!D495="Abierto",Registro!E495="Alta"),Registro!B495,"")</f>
        <v/>
      </c>
      <c r="E496" s="45" t="str">
        <f ca="1">IF(AND(Registro!D495="Abierto",Registro!E495="Alta"),TODAY()-Registro!R495,"")</f>
        <v/>
      </c>
      <c r="F496" s="45" t="str">
        <f>IF(AND(Registro!D495="Abierto",Registro!E495="Alta"),RANK(E496,$E$9:$E$1000,0)+COUNTIF($E$9:E496,E496)-1+MAX(C$5:C$1000),"")</f>
        <v/>
      </c>
      <c r="G496" s="45" t="str">
        <f>IF(AND(Registro!D495="Abierto",Registro!E495="Media"),Registro!B495,"")</f>
        <v/>
      </c>
      <c r="H496" s="45" t="str">
        <f ca="1">IF(AND(Registro!D495="Abierto",Registro!E495="Media"),TODAY()-Registro!R495,"")</f>
        <v/>
      </c>
      <c r="I496" s="45" t="str">
        <f>IF(AND(Registro!D495="Abierto",Registro!E495="Media"),RANK(H496,$H$9:$H$1000,0)+COUNTIF($H$9:H496,H496)-1+MAX(C$5:C$1000,F$5:F$1000),"")</f>
        <v/>
      </c>
      <c r="J496" s="45" t="str">
        <f>IF(AND(Registro!D495="Abierto",Registro!E495="Baja"),Registro!B495,"")</f>
        <v/>
      </c>
      <c r="K496" s="45" t="str">
        <f ca="1">IF(AND(Registro!D495="Abierto",Registro!E495="Baja"),TODAY()-Registro!R495,"")</f>
        <v/>
      </c>
      <c r="L496" s="45" t="str">
        <f>IF(AND(Registro!D495="Abierto",Registro!E495="Baja"),RANK(K496,$K$9:$K$1000,0)+COUNTIF($K$9:K496,K496)-1+MAX(C$5:C$1000,F$5:F$1000,I$5:I$1000),"")</f>
        <v/>
      </c>
      <c r="M496" s="46" t="str">
        <f>IF(OR(Registro!D495="Resuelto",Registro!D495=""),"",SUM(C496,F496,I496,L496))</f>
        <v/>
      </c>
      <c r="N496" s="46" t="str">
        <f>IF(OR(Registro!D495="Resuelto",Registro!D495=""),"",SUM(B496,E496,H496,K496))</f>
        <v/>
      </c>
      <c r="O496" s="46" t="str">
        <f>IF(OR(Registro!D495="Resuelto",Registro!D495=""),"",_xlfn.CONCAT(A496,D496,G496,J496))</f>
        <v/>
      </c>
      <c r="P496" s="47">
        <v>488</v>
      </c>
      <c r="Q496" s="47" t="str">
        <f t="shared" ca="1" si="21"/>
        <v/>
      </c>
      <c r="R496" s="48" t="str">
        <f t="shared" ca="1" si="22"/>
        <v/>
      </c>
      <c r="S496" s="32"/>
      <c r="T496" s="32"/>
      <c r="U496" s="32"/>
      <c r="V496" s="32"/>
      <c r="W496" s="47" t="str">
        <f>IF(X496="","",MAX($W$5:W495)+1)</f>
        <v/>
      </c>
      <c r="X496" s="50" t="str">
        <f>IF(Registro!M495="","",IF(COUNTIF($X$8:X495,Registro!M495)=0,Registro!M495,""))</f>
        <v/>
      </c>
      <c r="Y496" s="50" t="str">
        <f t="shared" si="23"/>
        <v/>
      </c>
    </row>
    <row r="497" spans="1:25">
      <c r="A497" s="45" t="str">
        <f>IF(AND(Registro!D496="Abierto",Registro!E496="Urgente"),Registro!B496,"")</f>
        <v/>
      </c>
      <c r="B497" s="45" t="str">
        <f ca="1">IF(AND(Registro!D496="Abierto",Registro!E496="Urgente"),TODAY()-Registro!R496,"")</f>
        <v/>
      </c>
      <c r="C497" s="45" t="str">
        <f>IF(AND(Registro!D496="Abierto",Registro!E496="Urgente"),RANK(B497,$B$9:$B$1000,0)+COUNTIF($B$9:B497,B497)-1,"")</f>
        <v/>
      </c>
      <c r="D497" s="45" t="str">
        <f>IF(AND(Registro!D496="Abierto",Registro!E496="Alta"),Registro!B496,"")</f>
        <v/>
      </c>
      <c r="E497" s="45" t="str">
        <f ca="1">IF(AND(Registro!D496="Abierto",Registro!E496="Alta"),TODAY()-Registro!R496,"")</f>
        <v/>
      </c>
      <c r="F497" s="45" t="str">
        <f>IF(AND(Registro!D496="Abierto",Registro!E496="Alta"),RANK(E497,$E$9:$E$1000,0)+COUNTIF($E$9:E497,E497)-1+MAX(C$5:C$1000),"")</f>
        <v/>
      </c>
      <c r="G497" s="45" t="str">
        <f>IF(AND(Registro!D496="Abierto",Registro!E496="Media"),Registro!B496,"")</f>
        <v/>
      </c>
      <c r="H497" s="45" t="str">
        <f ca="1">IF(AND(Registro!D496="Abierto",Registro!E496="Media"),TODAY()-Registro!R496,"")</f>
        <v/>
      </c>
      <c r="I497" s="45" t="str">
        <f>IF(AND(Registro!D496="Abierto",Registro!E496="Media"),RANK(H497,$H$9:$H$1000,0)+COUNTIF($H$9:H497,H497)-1+MAX(C$5:C$1000,F$5:F$1000),"")</f>
        <v/>
      </c>
      <c r="J497" s="45" t="str">
        <f>IF(AND(Registro!D496="Abierto",Registro!E496="Baja"),Registro!B496,"")</f>
        <v/>
      </c>
      <c r="K497" s="45" t="str">
        <f ca="1">IF(AND(Registro!D496="Abierto",Registro!E496="Baja"),TODAY()-Registro!R496,"")</f>
        <v/>
      </c>
      <c r="L497" s="45" t="str">
        <f>IF(AND(Registro!D496="Abierto",Registro!E496="Baja"),RANK(K497,$K$9:$K$1000,0)+COUNTIF($K$9:K497,K497)-1+MAX(C$5:C$1000,F$5:F$1000,I$5:I$1000),"")</f>
        <v/>
      </c>
      <c r="M497" s="46" t="str">
        <f>IF(OR(Registro!D496="Resuelto",Registro!D496=""),"",SUM(C497,F497,I497,L497))</f>
        <v/>
      </c>
      <c r="N497" s="46" t="str">
        <f>IF(OR(Registro!D496="Resuelto",Registro!D496=""),"",SUM(B497,E497,H497,K497))</f>
        <v/>
      </c>
      <c r="O497" s="46" t="str">
        <f>IF(OR(Registro!D496="Resuelto",Registro!D496=""),"",_xlfn.CONCAT(A497,D497,G497,J497))</f>
        <v/>
      </c>
      <c r="P497" s="47">
        <v>489</v>
      </c>
      <c r="Q497" s="47" t="str">
        <f t="shared" ca="1" si="21"/>
        <v/>
      </c>
      <c r="R497" s="48" t="str">
        <f t="shared" ca="1" si="22"/>
        <v/>
      </c>
      <c r="S497" s="32"/>
      <c r="T497" s="32"/>
      <c r="U497" s="32"/>
      <c r="V497" s="32"/>
      <c r="W497" s="47" t="str">
        <f>IF(X497="","",MAX($W$5:W496)+1)</f>
        <v/>
      </c>
      <c r="X497" s="50" t="str">
        <f>IF(Registro!M496="","",IF(COUNTIF($X$8:X496,Registro!M496)=0,Registro!M496,""))</f>
        <v/>
      </c>
      <c r="Y497" s="50" t="str">
        <f t="shared" si="23"/>
        <v/>
      </c>
    </row>
    <row r="498" spans="1:25">
      <c r="A498" s="45" t="str">
        <f>IF(AND(Registro!D497="Abierto",Registro!E497="Urgente"),Registro!B497,"")</f>
        <v/>
      </c>
      <c r="B498" s="45" t="str">
        <f ca="1">IF(AND(Registro!D497="Abierto",Registro!E497="Urgente"),TODAY()-Registro!R497,"")</f>
        <v/>
      </c>
      <c r="C498" s="45" t="str">
        <f>IF(AND(Registro!D497="Abierto",Registro!E497="Urgente"),RANK(B498,$B$9:$B$1000,0)+COUNTIF($B$9:B498,B498)-1,"")</f>
        <v/>
      </c>
      <c r="D498" s="45" t="str">
        <f>IF(AND(Registro!D497="Abierto",Registro!E497="Alta"),Registro!B497,"")</f>
        <v/>
      </c>
      <c r="E498" s="45" t="str">
        <f ca="1">IF(AND(Registro!D497="Abierto",Registro!E497="Alta"),TODAY()-Registro!R497,"")</f>
        <v/>
      </c>
      <c r="F498" s="45" t="str">
        <f>IF(AND(Registro!D497="Abierto",Registro!E497="Alta"),RANK(E498,$E$9:$E$1000,0)+COUNTIF($E$9:E498,E498)-1+MAX(C$5:C$1000),"")</f>
        <v/>
      </c>
      <c r="G498" s="45" t="str">
        <f>IF(AND(Registro!D497="Abierto",Registro!E497="Media"),Registro!B497,"")</f>
        <v/>
      </c>
      <c r="H498" s="45" t="str">
        <f ca="1">IF(AND(Registro!D497="Abierto",Registro!E497="Media"),TODAY()-Registro!R497,"")</f>
        <v/>
      </c>
      <c r="I498" s="45" t="str">
        <f>IF(AND(Registro!D497="Abierto",Registro!E497="Media"),RANK(H498,$H$9:$H$1000,0)+COUNTIF($H$9:H498,H498)-1+MAX(C$5:C$1000,F$5:F$1000),"")</f>
        <v/>
      </c>
      <c r="J498" s="45" t="str">
        <f>IF(AND(Registro!D497="Abierto",Registro!E497="Baja"),Registro!B497,"")</f>
        <v/>
      </c>
      <c r="K498" s="45" t="str">
        <f ca="1">IF(AND(Registro!D497="Abierto",Registro!E497="Baja"),TODAY()-Registro!R497,"")</f>
        <v/>
      </c>
      <c r="L498" s="45" t="str">
        <f>IF(AND(Registro!D497="Abierto",Registro!E497="Baja"),RANK(K498,$K$9:$K$1000,0)+COUNTIF($K$9:K498,K498)-1+MAX(C$5:C$1000,F$5:F$1000,I$5:I$1000),"")</f>
        <v/>
      </c>
      <c r="M498" s="46" t="str">
        <f>IF(OR(Registro!D497="Resuelto",Registro!D497=""),"",SUM(C498,F498,I498,L498))</f>
        <v/>
      </c>
      <c r="N498" s="46" t="str">
        <f>IF(OR(Registro!D497="Resuelto",Registro!D497=""),"",SUM(B498,E498,H498,K498))</f>
        <v/>
      </c>
      <c r="O498" s="46" t="str">
        <f>IF(OR(Registro!D497="Resuelto",Registro!D497=""),"",_xlfn.CONCAT(A498,D498,G498,J498))</f>
        <v/>
      </c>
      <c r="P498" s="47">
        <v>490</v>
      </c>
      <c r="Q498" s="47" t="str">
        <f t="shared" ca="1" si="21"/>
        <v/>
      </c>
      <c r="R498" s="48" t="str">
        <f t="shared" ca="1" si="22"/>
        <v/>
      </c>
      <c r="S498" s="32"/>
      <c r="T498" s="32"/>
      <c r="U498" s="32"/>
      <c r="V498" s="32"/>
      <c r="W498" s="47" t="str">
        <f>IF(X498="","",MAX($W$5:W497)+1)</f>
        <v/>
      </c>
      <c r="X498" s="50" t="str">
        <f>IF(Registro!M497="","",IF(COUNTIF($X$8:X497,Registro!M497)=0,Registro!M497,""))</f>
        <v/>
      </c>
      <c r="Y498" s="50" t="str">
        <f t="shared" si="23"/>
        <v/>
      </c>
    </row>
    <row r="499" spans="1:25">
      <c r="A499" s="45" t="str">
        <f>IF(AND(Registro!D498="Abierto",Registro!E498="Urgente"),Registro!B498,"")</f>
        <v/>
      </c>
      <c r="B499" s="45" t="str">
        <f ca="1">IF(AND(Registro!D498="Abierto",Registro!E498="Urgente"),TODAY()-Registro!R498,"")</f>
        <v/>
      </c>
      <c r="C499" s="45" t="str">
        <f>IF(AND(Registro!D498="Abierto",Registro!E498="Urgente"),RANK(B499,$B$9:$B$1000,0)+COUNTIF($B$9:B499,B499)-1,"")</f>
        <v/>
      </c>
      <c r="D499" s="45" t="str">
        <f>IF(AND(Registro!D498="Abierto",Registro!E498="Alta"),Registro!B498,"")</f>
        <v/>
      </c>
      <c r="E499" s="45" t="str">
        <f ca="1">IF(AND(Registro!D498="Abierto",Registro!E498="Alta"),TODAY()-Registro!R498,"")</f>
        <v/>
      </c>
      <c r="F499" s="45" t="str">
        <f>IF(AND(Registro!D498="Abierto",Registro!E498="Alta"),RANK(E499,$E$9:$E$1000,0)+COUNTIF($E$9:E499,E499)-1+MAX(C$5:C$1000),"")</f>
        <v/>
      </c>
      <c r="G499" s="45" t="str">
        <f>IF(AND(Registro!D498="Abierto",Registro!E498="Media"),Registro!B498,"")</f>
        <v/>
      </c>
      <c r="H499" s="45" t="str">
        <f ca="1">IF(AND(Registro!D498="Abierto",Registro!E498="Media"),TODAY()-Registro!R498,"")</f>
        <v/>
      </c>
      <c r="I499" s="45" t="str">
        <f>IF(AND(Registro!D498="Abierto",Registro!E498="Media"),RANK(H499,$H$9:$H$1000,0)+COUNTIF($H$9:H499,H499)-1+MAX(C$5:C$1000,F$5:F$1000),"")</f>
        <v/>
      </c>
      <c r="J499" s="45" t="str">
        <f>IF(AND(Registro!D498="Abierto",Registro!E498="Baja"),Registro!B498,"")</f>
        <v/>
      </c>
      <c r="K499" s="45" t="str">
        <f ca="1">IF(AND(Registro!D498="Abierto",Registro!E498="Baja"),TODAY()-Registro!R498,"")</f>
        <v/>
      </c>
      <c r="L499" s="45" t="str">
        <f>IF(AND(Registro!D498="Abierto",Registro!E498="Baja"),RANK(K499,$K$9:$K$1000,0)+COUNTIF($K$9:K499,K499)-1+MAX(C$5:C$1000,F$5:F$1000,I$5:I$1000),"")</f>
        <v/>
      </c>
      <c r="M499" s="46" t="str">
        <f>IF(OR(Registro!D498="Resuelto",Registro!D498=""),"",SUM(C499,F499,I499,L499))</f>
        <v/>
      </c>
      <c r="N499" s="46" t="str">
        <f>IF(OR(Registro!D498="Resuelto",Registro!D498=""),"",SUM(B499,E499,H499,K499))</f>
        <v/>
      </c>
      <c r="O499" s="46" t="str">
        <f>IF(OR(Registro!D498="Resuelto",Registro!D498=""),"",_xlfn.CONCAT(A499,D499,G499,J499))</f>
        <v/>
      </c>
      <c r="P499" s="47">
        <v>491</v>
      </c>
      <c r="Q499" s="47" t="str">
        <f t="shared" ca="1" si="21"/>
        <v/>
      </c>
      <c r="R499" s="48" t="str">
        <f t="shared" ca="1" si="22"/>
        <v/>
      </c>
      <c r="S499" s="32"/>
      <c r="T499" s="32"/>
      <c r="U499" s="32"/>
      <c r="V499" s="32"/>
      <c r="W499" s="47" t="str">
        <f>IF(X499="","",MAX($W$5:W498)+1)</f>
        <v/>
      </c>
      <c r="X499" s="50" t="str">
        <f>IF(Registro!M498="","",IF(COUNTIF($X$8:X498,Registro!M498)=0,Registro!M498,""))</f>
        <v/>
      </c>
      <c r="Y499" s="50" t="str">
        <f t="shared" si="23"/>
        <v/>
      </c>
    </row>
    <row r="500" spans="1:25">
      <c r="A500" s="45" t="str">
        <f>IF(AND(Registro!D499="Abierto",Registro!E499="Urgente"),Registro!B499,"")</f>
        <v/>
      </c>
      <c r="B500" s="45" t="str">
        <f ca="1">IF(AND(Registro!D499="Abierto",Registro!E499="Urgente"),TODAY()-Registro!R499,"")</f>
        <v/>
      </c>
      <c r="C500" s="45" t="str">
        <f>IF(AND(Registro!D499="Abierto",Registro!E499="Urgente"),RANK(B500,$B$9:$B$1000,0)+COUNTIF($B$9:B500,B500)-1,"")</f>
        <v/>
      </c>
      <c r="D500" s="45" t="str">
        <f>IF(AND(Registro!D499="Abierto",Registro!E499="Alta"),Registro!B499,"")</f>
        <v/>
      </c>
      <c r="E500" s="45" t="str">
        <f ca="1">IF(AND(Registro!D499="Abierto",Registro!E499="Alta"),TODAY()-Registro!R499,"")</f>
        <v/>
      </c>
      <c r="F500" s="45" t="str">
        <f>IF(AND(Registro!D499="Abierto",Registro!E499="Alta"),RANK(E500,$E$9:$E$1000,0)+COUNTIF($E$9:E500,E500)-1+MAX(C$5:C$1000),"")</f>
        <v/>
      </c>
      <c r="G500" s="45" t="str">
        <f>IF(AND(Registro!D499="Abierto",Registro!E499="Media"),Registro!B499,"")</f>
        <v/>
      </c>
      <c r="H500" s="45" t="str">
        <f ca="1">IF(AND(Registro!D499="Abierto",Registro!E499="Media"),TODAY()-Registro!R499,"")</f>
        <v/>
      </c>
      <c r="I500" s="45" t="str">
        <f>IF(AND(Registro!D499="Abierto",Registro!E499="Media"),RANK(H500,$H$9:$H$1000,0)+COUNTIF($H$9:H500,H500)-1+MAX(C$5:C$1000,F$5:F$1000),"")</f>
        <v/>
      </c>
      <c r="J500" s="45" t="str">
        <f>IF(AND(Registro!D499="Abierto",Registro!E499="Baja"),Registro!B499,"")</f>
        <v/>
      </c>
      <c r="K500" s="45" t="str">
        <f ca="1">IF(AND(Registro!D499="Abierto",Registro!E499="Baja"),TODAY()-Registro!R499,"")</f>
        <v/>
      </c>
      <c r="L500" s="45" t="str">
        <f>IF(AND(Registro!D499="Abierto",Registro!E499="Baja"),RANK(K500,$K$9:$K$1000,0)+COUNTIF($K$9:K500,K500)-1+MAX(C$5:C$1000,F$5:F$1000,I$5:I$1000),"")</f>
        <v/>
      </c>
      <c r="M500" s="46" t="str">
        <f>IF(OR(Registro!D499="Resuelto",Registro!D499=""),"",SUM(C500,F500,I500,L500))</f>
        <v/>
      </c>
      <c r="N500" s="46" t="str">
        <f>IF(OR(Registro!D499="Resuelto",Registro!D499=""),"",SUM(B500,E500,H500,K500))</f>
        <v/>
      </c>
      <c r="O500" s="46" t="str">
        <f>IF(OR(Registro!D499="Resuelto",Registro!D499=""),"",_xlfn.CONCAT(A500,D500,G500,J500))</f>
        <v/>
      </c>
      <c r="P500" s="47">
        <v>492</v>
      </c>
      <c r="Q500" s="47" t="str">
        <f t="shared" ca="1" si="21"/>
        <v/>
      </c>
      <c r="R500" s="48" t="str">
        <f t="shared" ca="1" si="22"/>
        <v/>
      </c>
      <c r="S500" s="32"/>
      <c r="T500" s="32"/>
      <c r="U500" s="32"/>
      <c r="V500" s="32"/>
      <c r="W500" s="47" t="str">
        <f>IF(X500="","",MAX($W$5:W499)+1)</f>
        <v/>
      </c>
      <c r="X500" s="50" t="str">
        <f>IF(Registro!M499="","",IF(COUNTIF($X$8:X499,Registro!M499)=0,Registro!M499,""))</f>
        <v/>
      </c>
      <c r="Y500" s="50" t="str">
        <f t="shared" si="23"/>
        <v/>
      </c>
    </row>
    <row r="501" spans="1:25">
      <c r="A501" s="45" t="str">
        <f>IF(AND(Registro!D500="Abierto",Registro!E500="Urgente"),Registro!B500,"")</f>
        <v/>
      </c>
      <c r="B501" s="45" t="str">
        <f ca="1">IF(AND(Registro!D500="Abierto",Registro!E500="Urgente"),TODAY()-Registro!R500,"")</f>
        <v/>
      </c>
      <c r="C501" s="45" t="str">
        <f>IF(AND(Registro!D500="Abierto",Registro!E500="Urgente"),RANK(B501,$B$9:$B$1000,0)+COUNTIF($B$9:B501,B501)-1,"")</f>
        <v/>
      </c>
      <c r="D501" s="45" t="str">
        <f>IF(AND(Registro!D500="Abierto",Registro!E500="Alta"),Registro!B500,"")</f>
        <v/>
      </c>
      <c r="E501" s="45" t="str">
        <f ca="1">IF(AND(Registro!D500="Abierto",Registro!E500="Alta"),TODAY()-Registro!R500,"")</f>
        <v/>
      </c>
      <c r="F501" s="45" t="str">
        <f>IF(AND(Registro!D500="Abierto",Registro!E500="Alta"),RANK(E501,$E$9:$E$1000,0)+COUNTIF($E$9:E501,E501)-1+MAX(C$5:C$1000),"")</f>
        <v/>
      </c>
      <c r="G501" s="45" t="str">
        <f>IF(AND(Registro!D500="Abierto",Registro!E500="Media"),Registro!B500,"")</f>
        <v/>
      </c>
      <c r="H501" s="45" t="str">
        <f ca="1">IF(AND(Registro!D500="Abierto",Registro!E500="Media"),TODAY()-Registro!R500,"")</f>
        <v/>
      </c>
      <c r="I501" s="45" t="str">
        <f>IF(AND(Registro!D500="Abierto",Registro!E500="Media"),RANK(H501,$H$9:$H$1000,0)+COUNTIF($H$9:H501,H501)-1+MAX(C$5:C$1000,F$5:F$1000),"")</f>
        <v/>
      </c>
      <c r="J501" s="45" t="str">
        <f>IF(AND(Registro!D500="Abierto",Registro!E500="Baja"),Registro!B500,"")</f>
        <v/>
      </c>
      <c r="K501" s="45" t="str">
        <f ca="1">IF(AND(Registro!D500="Abierto",Registro!E500="Baja"),TODAY()-Registro!R500,"")</f>
        <v/>
      </c>
      <c r="L501" s="45" t="str">
        <f>IF(AND(Registro!D500="Abierto",Registro!E500="Baja"),RANK(K501,$K$9:$K$1000,0)+COUNTIF($K$9:K501,K501)-1+MAX(C$5:C$1000,F$5:F$1000,I$5:I$1000),"")</f>
        <v/>
      </c>
      <c r="M501" s="46" t="str">
        <f>IF(OR(Registro!D500="Resuelto",Registro!D500=""),"",SUM(C501,F501,I501,L501))</f>
        <v/>
      </c>
      <c r="N501" s="46" t="str">
        <f>IF(OR(Registro!D500="Resuelto",Registro!D500=""),"",SUM(B501,E501,H501,K501))</f>
        <v/>
      </c>
      <c r="O501" s="46" t="str">
        <f>IF(OR(Registro!D500="Resuelto",Registro!D500=""),"",_xlfn.CONCAT(A501,D501,G501,J501))</f>
        <v/>
      </c>
      <c r="P501" s="47">
        <v>493</v>
      </c>
      <c r="Q501" s="47" t="str">
        <f t="shared" ca="1" si="21"/>
        <v/>
      </c>
      <c r="R501" s="48" t="str">
        <f t="shared" ca="1" si="22"/>
        <v/>
      </c>
      <c r="S501" s="32"/>
      <c r="T501" s="32"/>
      <c r="U501" s="32"/>
      <c r="V501" s="32"/>
      <c r="W501" s="47" t="str">
        <f>IF(X501="","",MAX($W$5:W500)+1)</f>
        <v/>
      </c>
      <c r="X501" s="50" t="str">
        <f>IF(Registro!M500="","",IF(COUNTIF($X$8:X500,Registro!M500)=0,Registro!M500,""))</f>
        <v/>
      </c>
      <c r="Y501" s="50" t="str">
        <f t="shared" si="23"/>
        <v/>
      </c>
    </row>
    <row r="502" spans="1:25">
      <c r="A502" s="45" t="str">
        <f>IF(AND(Registro!D501="Abierto",Registro!E501="Urgente"),Registro!B501,"")</f>
        <v/>
      </c>
      <c r="B502" s="45" t="str">
        <f ca="1">IF(AND(Registro!D501="Abierto",Registro!E501="Urgente"),TODAY()-Registro!R501,"")</f>
        <v/>
      </c>
      <c r="C502" s="45" t="str">
        <f>IF(AND(Registro!D501="Abierto",Registro!E501="Urgente"),RANK(B502,$B$9:$B$1000,0)+COUNTIF($B$9:B502,B502)-1,"")</f>
        <v/>
      </c>
      <c r="D502" s="45" t="str">
        <f>IF(AND(Registro!D501="Abierto",Registro!E501="Alta"),Registro!B501,"")</f>
        <v/>
      </c>
      <c r="E502" s="45" t="str">
        <f ca="1">IF(AND(Registro!D501="Abierto",Registro!E501="Alta"),TODAY()-Registro!R501,"")</f>
        <v/>
      </c>
      <c r="F502" s="45" t="str">
        <f>IF(AND(Registro!D501="Abierto",Registro!E501="Alta"),RANK(E502,$E$9:$E$1000,0)+COUNTIF($E$9:E502,E502)-1+MAX(C$5:C$1000),"")</f>
        <v/>
      </c>
      <c r="G502" s="45" t="str">
        <f>IF(AND(Registro!D501="Abierto",Registro!E501="Media"),Registro!B501,"")</f>
        <v/>
      </c>
      <c r="H502" s="45" t="str">
        <f ca="1">IF(AND(Registro!D501="Abierto",Registro!E501="Media"),TODAY()-Registro!R501,"")</f>
        <v/>
      </c>
      <c r="I502" s="45" t="str">
        <f>IF(AND(Registro!D501="Abierto",Registro!E501="Media"),RANK(H502,$H$9:$H$1000,0)+COUNTIF($H$9:H502,H502)-1+MAX(C$5:C$1000,F$5:F$1000),"")</f>
        <v/>
      </c>
      <c r="J502" s="45" t="str">
        <f>IF(AND(Registro!D501="Abierto",Registro!E501="Baja"),Registro!B501,"")</f>
        <v/>
      </c>
      <c r="K502" s="45" t="str">
        <f ca="1">IF(AND(Registro!D501="Abierto",Registro!E501="Baja"),TODAY()-Registro!R501,"")</f>
        <v/>
      </c>
      <c r="L502" s="45" t="str">
        <f>IF(AND(Registro!D501="Abierto",Registro!E501="Baja"),RANK(K502,$K$9:$K$1000,0)+COUNTIF($K$9:K502,K502)-1+MAX(C$5:C$1000,F$5:F$1000,I$5:I$1000),"")</f>
        <v/>
      </c>
      <c r="M502" s="46" t="str">
        <f>IF(OR(Registro!D501="Resuelto",Registro!D501=""),"",SUM(C502,F502,I502,L502))</f>
        <v/>
      </c>
      <c r="N502" s="46" t="str">
        <f>IF(OR(Registro!D501="Resuelto",Registro!D501=""),"",SUM(B502,E502,H502,K502))</f>
        <v/>
      </c>
      <c r="O502" s="46" t="str">
        <f>IF(OR(Registro!D501="Resuelto",Registro!D501=""),"",_xlfn.CONCAT(A502,D502,G502,J502))</f>
        <v/>
      </c>
      <c r="P502" s="47">
        <v>494</v>
      </c>
      <c r="Q502" s="47" t="str">
        <f t="shared" ca="1" si="21"/>
        <v/>
      </c>
      <c r="R502" s="48" t="str">
        <f t="shared" ca="1" si="22"/>
        <v/>
      </c>
      <c r="S502" s="32"/>
      <c r="T502" s="32"/>
      <c r="U502" s="32"/>
      <c r="V502" s="32"/>
      <c r="W502" s="47" t="str">
        <f>IF(X502="","",MAX($W$5:W501)+1)</f>
        <v/>
      </c>
      <c r="X502" s="50" t="str">
        <f>IF(Registro!M501="","",IF(COUNTIF($X$8:X501,Registro!M501)=0,Registro!M501,""))</f>
        <v/>
      </c>
      <c r="Y502" s="50" t="str">
        <f t="shared" si="23"/>
        <v/>
      </c>
    </row>
    <row r="503" spans="1:25">
      <c r="A503" s="45" t="str">
        <f>IF(AND(Registro!D502="Abierto",Registro!E502="Urgente"),Registro!B502,"")</f>
        <v/>
      </c>
      <c r="B503" s="45" t="str">
        <f ca="1">IF(AND(Registro!D502="Abierto",Registro!E502="Urgente"),TODAY()-Registro!R502,"")</f>
        <v/>
      </c>
      <c r="C503" s="45" t="str">
        <f>IF(AND(Registro!D502="Abierto",Registro!E502="Urgente"),RANK(B503,$B$9:$B$1000,0)+COUNTIF($B$9:B503,B503)-1,"")</f>
        <v/>
      </c>
      <c r="D503" s="45" t="str">
        <f>IF(AND(Registro!D502="Abierto",Registro!E502="Alta"),Registro!B502,"")</f>
        <v/>
      </c>
      <c r="E503" s="45" t="str">
        <f ca="1">IF(AND(Registro!D502="Abierto",Registro!E502="Alta"),TODAY()-Registro!R502,"")</f>
        <v/>
      </c>
      <c r="F503" s="45" t="str">
        <f>IF(AND(Registro!D502="Abierto",Registro!E502="Alta"),RANK(E503,$E$9:$E$1000,0)+COUNTIF($E$9:E503,E503)-1+MAX(C$5:C$1000),"")</f>
        <v/>
      </c>
      <c r="G503" s="45" t="str">
        <f>IF(AND(Registro!D502="Abierto",Registro!E502="Media"),Registro!B502,"")</f>
        <v/>
      </c>
      <c r="H503" s="45" t="str">
        <f ca="1">IF(AND(Registro!D502="Abierto",Registro!E502="Media"),TODAY()-Registro!R502,"")</f>
        <v/>
      </c>
      <c r="I503" s="45" t="str">
        <f>IF(AND(Registro!D502="Abierto",Registro!E502="Media"),RANK(H503,$H$9:$H$1000,0)+COUNTIF($H$9:H503,H503)-1+MAX(C$5:C$1000,F$5:F$1000),"")</f>
        <v/>
      </c>
      <c r="J503" s="45" t="str">
        <f>IF(AND(Registro!D502="Abierto",Registro!E502="Baja"),Registro!B502,"")</f>
        <v/>
      </c>
      <c r="K503" s="45" t="str">
        <f ca="1">IF(AND(Registro!D502="Abierto",Registro!E502="Baja"),TODAY()-Registro!R502,"")</f>
        <v/>
      </c>
      <c r="L503" s="45" t="str">
        <f>IF(AND(Registro!D502="Abierto",Registro!E502="Baja"),RANK(K503,$K$9:$K$1000,0)+COUNTIF($K$9:K503,K503)-1+MAX(C$5:C$1000,F$5:F$1000,I$5:I$1000),"")</f>
        <v/>
      </c>
      <c r="M503" s="46" t="str">
        <f>IF(OR(Registro!D502="Resuelto",Registro!D502=""),"",SUM(C503,F503,I503,L503))</f>
        <v/>
      </c>
      <c r="N503" s="46" t="str">
        <f>IF(OR(Registro!D502="Resuelto",Registro!D502=""),"",SUM(B503,E503,H503,K503))</f>
        <v/>
      </c>
      <c r="O503" s="46" t="str">
        <f>IF(OR(Registro!D502="Resuelto",Registro!D502=""),"",_xlfn.CONCAT(A503,D503,G503,J503))</f>
        <v/>
      </c>
      <c r="P503" s="47">
        <v>495</v>
      </c>
      <c r="Q503" s="47" t="str">
        <f t="shared" ca="1" si="21"/>
        <v/>
      </c>
      <c r="R503" s="48" t="str">
        <f t="shared" ca="1" si="22"/>
        <v/>
      </c>
      <c r="S503" s="32"/>
      <c r="T503" s="32"/>
      <c r="U503" s="32"/>
      <c r="V503" s="32"/>
      <c r="W503" s="47" t="str">
        <f>IF(X503="","",MAX($W$5:W502)+1)</f>
        <v/>
      </c>
      <c r="X503" s="50" t="str">
        <f>IF(Registro!M502="","",IF(COUNTIF($X$8:X502,Registro!M502)=0,Registro!M502,""))</f>
        <v/>
      </c>
      <c r="Y503" s="50" t="str">
        <f t="shared" si="23"/>
        <v/>
      </c>
    </row>
    <row r="504" spans="1:25">
      <c r="A504" s="45" t="str">
        <f>IF(AND(Registro!D503="Abierto",Registro!E503="Urgente"),Registro!B503,"")</f>
        <v/>
      </c>
      <c r="B504" s="45" t="str">
        <f ca="1">IF(AND(Registro!D503="Abierto",Registro!E503="Urgente"),TODAY()-Registro!R503,"")</f>
        <v/>
      </c>
      <c r="C504" s="45" t="str">
        <f>IF(AND(Registro!D503="Abierto",Registro!E503="Urgente"),RANK(B504,$B$9:$B$1000,0)+COUNTIF($B$9:B504,B504)-1,"")</f>
        <v/>
      </c>
      <c r="D504" s="45" t="str">
        <f>IF(AND(Registro!D503="Abierto",Registro!E503="Alta"),Registro!B503,"")</f>
        <v/>
      </c>
      <c r="E504" s="45" t="str">
        <f ca="1">IF(AND(Registro!D503="Abierto",Registro!E503="Alta"),TODAY()-Registro!R503,"")</f>
        <v/>
      </c>
      <c r="F504" s="45" t="str">
        <f>IF(AND(Registro!D503="Abierto",Registro!E503="Alta"),RANK(E504,$E$9:$E$1000,0)+COUNTIF($E$9:E504,E504)-1+MAX(C$5:C$1000),"")</f>
        <v/>
      </c>
      <c r="G504" s="45" t="str">
        <f>IF(AND(Registro!D503="Abierto",Registro!E503="Media"),Registro!B503,"")</f>
        <v/>
      </c>
      <c r="H504" s="45" t="str">
        <f ca="1">IF(AND(Registro!D503="Abierto",Registro!E503="Media"),TODAY()-Registro!R503,"")</f>
        <v/>
      </c>
      <c r="I504" s="45" t="str">
        <f>IF(AND(Registro!D503="Abierto",Registro!E503="Media"),RANK(H504,$H$9:$H$1000,0)+COUNTIF($H$9:H504,H504)-1+MAX(C$5:C$1000,F$5:F$1000),"")</f>
        <v/>
      </c>
      <c r="J504" s="45" t="str">
        <f>IF(AND(Registro!D503="Abierto",Registro!E503="Baja"),Registro!B503,"")</f>
        <v/>
      </c>
      <c r="K504" s="45" t="str">
        <f ca="1">IF(AND(Registro!D503="Abierto",Registro!E503="Baja"),TODAY()-Registro!R503,"")</f>
        <v/>
      </c>
      <c r="L504" s="45" t="str">
        <f>IF(AND(Registro!D503="Abierto",Registro!E503="Baja"),RANK(K504,$K$9:$K$1000,0)+COUNTIF($K$9:K504,K504)-1+MAX(C$5:C$1000,F$5:F$1000,I$5:I$1000),"")</f>
        <v/>
      </c>
      <c r="M504" s="46" t="str">
        <f>IF(OR(Registro!D503="Resuelto",Registro!D503=""),"",SUM(C504,F504,I504,L504))</f>
        <v/>
      </c>
      <c r="N504" s="46" t="str">
        <f>IF(OR(Registro!D503="Resuelto",Registro!D503=""),"",SUM(B504,E504,H504,K504))</f>
        <v/>
      </c>
      <c r="O504" s="46" t="str">
        <f>IF(OR(Registro!D503="Resuelto",Registro!D503=""),"",_xlfn.CONCAT(A504,D504,G504,J504))</f>
        <v/>
      </c>
      <c r="P504" s="47">
        <v>496</v>
      </c>
      <c r="Q504" s="47" t="str">
        <f t="shared" ca="1" si="21"/>
        <v/>
      </c>
      <c r="R504" s="48" t="str">
        <f t="shared" ca="1" si="22"/>
        <v/>
      </c>
      <c r="S504" s="32"/>
      <c r="T504" s="32"/>
      <c r="U504" s="32"/>
      <c r="V504" s="32"/>
      <c r="W504" s="47" t="str">
        <f>IF(X504="","",MAX($W$5:W503)+1)</f>
        <v/>
      </c>
      <c r="X504" s="50" t="str">
        <f>IF(Registro!M503="","",IF(COUNTIF($X$8:X503,Registro!M503)=0,Registro!M503,""))</f>
        <v/>
      </c>
      <c r="Y504" s="50" t="str">
        <f t="shared" si="23"/>
        <v/>
      </c>
    </row>
    <row r="505" spans="1:25">
      <c r="A505" s="45" t="str">
        <f>IF(AND(Registro!D504="Abierto",Registro!E504="Urgente"),Registro!B504,"")</f>
        <v/>
      </c>
      <c r="B505" s="45" t="str">
        <f ca="1">IF(AND(Registro!D504="Abierto",Registro!E504="Urgente"),TODAY()-Registro!R504,"")</f>
        <v/>
      </c>
      <c r="C505" s="45" t="str">
        <f>IF(AND(Registro!D504="Abierto",Registro!E504="Urgente"),RANK(B505,$B$9:$B$1000,0)+COUNTIF($B$9:B505,B505)-1,"")</f>
        <v/>
      </c>
      <c r="D505" s="45" t="str">
        <f>IF(AND(Registro!D504="Abierto",Registro!E504="Alta"),Registro!B504,"")</f>
        <v/>
      </c>
      <c r="E505" s="45" t="str">
        <f ca="1">IF(AND(Registro!D504="Abierto",Registro!E504="Alta"),TODAY()-Registro!R504,"")</f>
        <v/>
      </c>
      <c r="F505" s="45" t="str">
        <f>IF(AND(Registro!D504="Abierto",Registro!E504="Alta"),RANK(E505,$E$9:$E$1000,0)+COUNTIF($E$9:E505,E505)-1+MAX(C$5:C$1000),"")</f>
        <v/>
      </c>
      <c r="G505" s="45" t="str">
        <f>IF(AND(Registro!D504="Abierto",Registro!E504="Media"),Registro!B504,"")</f>
        <v/>
      </c>
      <c r="H505" s="45" t="str">
        <f ca="1">IF(AND(Registro!D504="Abierto",Registro!E504="Media"),TODAY()-Registro!R504,"")</f>
        <v/>
      </c>
      <c r="I505" s="45" t="str">
        <f>IF(AND(Registro!D504="Abierto",Registro!E504="Media"),RANK(H505,$H$9:$H$1000,0)+COUNTIF($H$9:H505,H505)-1+MAX(C$5:C$1000,F$5:F$1000),"")</f>
        <v/>
      </c>
      <c r="J505" s="45" t="str">
        <f>IF(AND(Registro!D504="Abierto",Registro!E504="Baja"),Registro!B504,"")</f>
        <v/>
      </c>
      <c r="K505" s="45" t="str">
        <f ca="1">IF(AND(Registro!D504="Abierto",Registro!E504="Baja"),TODAY()-Registro!R504,"")</f>
        <v/>
      </c>
      <c r="L505" s="45" t="str">
        <f>IF(AND(Registro!D504="Abierto",Registro!E504="Baja"),RANK(K505,$K$9:$K$1000,0)+COUNTIF($K$9:K505,K505)-1+MAX(C$5:C$1000,F$5:F$1000,I$5:I$1000),"")</f>
        <v/>
      </c>
      <c r="M505" s="46" t="str">
        <f>IF(OR(Registro!D504="Resuelto",Registro!D504=""),"",SUM(C505,F505,I505,L505))</f>
        <v/>
      </c>
      <c r="N505" s="46" t="str">
        <f>IF(OR(Registro!D504="Resuelto",Registro!D504=""),"",SUM(B505,E505,H505,K505))</f>
        <v/>
      </c>
      <c r="O505" s="46" t="str">
        <f>IF(OR(Registro!D504="Resuelto",Registro!D504=""),"",_xlfn.CONCAT(A505,D505,G505,J505))</f>
        <v/>
      </c>
      <c r="P505" s="47">
        <v>497</v>
      </c>
      <c r="Q505" s="47" t="str">
        <f t="shared" ca="1" si="21"/>
        <v/>
      </c>
      <c r="R505" s="48" t="str">
        <f t="shared" ca="1" si="22"/>
        <v/>
      </c>
      <c r="S505" s="32"/>
      <c r="T505" s="32"/>
      <c r="U505" s="32"/>
      <c r="V505" s="32"/>
      <c r="W505" s="47" t="str">
        <f>IF(X505="","",MAX($W$5:W504)+1)</f>
        <v/>
      </c>
      <c r="X505" s="50" t="str">
        <f>IF(Registro!M504="","",IF(COUNTIF($X$8:X504,Registro!M504)=0,Registro!M504,""))</f>
        <v/>
      </c>
      <c r="Y505" s="50" t="str">
        <f t="shared" si="23"/>
        <v/>
      </c>
    </row>
    <row r="506" spans="1:25">
      <c r="A506" s="45" t="str">
        <f>IF(AND(Registro!D505="Abierto",Registro!E505="Urgente"),Registro!B505,"")</f>
        <v/>
      </c>
      <c r="B506" s="45" t="str">
        <f ca="1">IF(AND(Registro!D505="Abierto",Registro!E505="Urgente"),TODAY()-Registro!R505,"")</f>
        <v/>
      </c>
      <c r="C506" s="45" t="str">
        <f>IF(AND(Registro!D505="Abierto",Registro!E505="Urgente"),RANK(B506,$B$9:$B$1000,0)+COUNTIF($B$9:B506,B506)-1,"")</f>
        <v/>
      </c>
      <c r="D506" s="45" t="str">
        <f>IF(AND(Registro!D505="Abierto",Registro!E505="Alta"),Registro!B505,"")</f>
        <v/>
      </c>
      <c r="E506" s="45" t="str">
        <f ca="1">IF(AND(Registro!D505="Abierto",Registro!E505="Alta"),TODAY()-Registro!R505,"")</f>
        <v/>
      </c>
      <c r="F506" s="45" t="str">
        <f>IF(AND(Registro!D505="Abierto",Registro!E505="Alta"),RANK(E506,$E$9:$E$1000,0)+COUNTIF($E$9:E506,E506)-1+MAX(C$5:C$1000),"")</f>
        <v/>
      </c>
      <c r="G506" s="45" t="str">
        <f>IF(AND(Registro!D505="Abierto",Registro!E505="Media"),Registro!B505,"")</f>
        <v/>
      </c>
      <c r="H506" s="45" t="str">
        <f ca="1">IF(AND(Registro!D505="Abierto",Registro!E505="Media"),TODAY()-Registro!R505,"")</f>
        <v/>
      </c>
      <c r="I506" s="45" t="str">
        <f>IF(AND(Registro!D505="Abierto",Registro!E505="Media"),RANK(H506,$H$9:$H$1000,0)+COUNTIF($H$9:H506,H506)-1+MAX(C$5:C$1000,F$5:F$1000),"")</f>
        <v/>
      </c>
      <c r="J506" s="45" t="str">
        <f>IF(AND(Registro!D505="Abierto",Registro!E505="Baja"),Registro!B505,"")</f>
        <v/>
      </c>
      <c r="K506" s="45" t="str">
        <f ca="1">IF(AND(Registro!D505="Abierto",Registro!E505="Baja"),TODAY()-Registro!R505,"")</f>
        <v/>
      </c>
      <c r="L506" s="45" t="str">
        <f>IF(AND(Registro!D505="Abierto",Registro!E505="Baja"),RANK(K506,$K$9:$K$1000,0)+COUNTIF($K$9:K506,K506)-1+MAX(C$5:C$1000,F$5:F$1000,I$5:I$1000),"")</f>
        <v/>
      </c>
      <c r="M506" s="46" t="str">
        <f>IF(OR(Registro!D505="Resuelto",Registro!D505=""),"",SUM(C506,F506,I506,L506))</f>
        <v/>
      </c>
      <c r="N506" s="46" t="str">
        <f>IF(OR(Registro!D505="Resuelto",Registro!D505=""),"",SUM(B506,E506,H506,K506))</f>
        <v/>
      </c>
      <c r="O506" s="46" t="str">
        <f>IF(OR(Registro!D505="Resuelto",Registro!D505=""),"",_xlfn.CONCAT(A506,D506,G506,J506))</f>
        <v/>
      </c>
      <c r="P506" s="47">
        <v>498</v>
      </c>
      <c r="Q506" s="47" t="str">
        <f t="shared" ca="1" si="21"/>
        <v/>
      </c>
      <c r="R506" s="48" t="str">
        <f t="shared" ca="1" si="22"/>
        <v/>
      </c>
      <c r="S506" s="32"/>
      <c r="T506" s="32"/>
      <c r="U506" s="32"/>
      <c r="V506" s="32"/>
      <c r="W506" s="47" t="str">
        <f>IF(X506="","",MAX($W$5:W505)+1)</f>
        <v/>
      </c>
      <c r="X506" s="50" t="str">
        <f>IF(Registro!M505="","",IF(COUNTIF($X$8:X505,Registro!M505)=0,Registro!M505,""))</f>
        <v/>
      </c>
      <c r="Y506" s="50" t="str">
        <f t="shared" si="23"/>
        <v/>
      </c>
    </row>
    <row r="507" spans="1:25">
      <c r="A507" s="45" t="str">
        <f>IF(AND(Registro!D506="Abierto",Registro!E506="Urgente"),Registro!B506,"")</f>
        <v/>
      </c>
      <c r="B507" s="45" t="str">
        <f ca="1">IF(AND(Registro!D506="Abierto",Registro!E506="Urgente"),TODAY()-Registro!R506,"")</f>
        <v/>
      </c>
      <c r="C507" s="45" t="str">
        <f>IF(AND(Registro!D506="Abierto",Registro!E506="Urgente"),RANK(B507,$B$9:$B$1000,0)+COUNTIF($B$9:B507,B507)-1,"")</f>
        <v/>
      </c>
      <c r="D507" s="45" t="str">
        <f>IF(AND(Registro!D506="Abierto",Registro!E506="Alta"),Registro!B506,"")</f>
        <v/>
      </c>
      <c r="E507" s="45" t="str">
        <f ca="1">IF(AND(Registro!D506="Abierto",Registro!E506="Alta"),TODAY()-Registro!R506,"")</f>
        <v/>
      </c>
      <c r="F507" s="45" t="str">
        <f>IF(AND(Registro!D506="Abierto",Registro!E506="Alta"),RANK(E507,$E$9:$E$1000,0)+COUNTIF($E$9:E507,E507)-1+MAX(C$5:C$1000),"")</f>
        <v/>
      </c>
      <c r="G507" s="45" t="str">
        <f>IF(AND(Registro!D506="Abierto",Registro!E506="Media"),Registro!B506,"")</f>
        <v/>
      </c>
      <c r="H507" s="45" t="str">
        <f ca="1">IF(AND(Registro!D506="Abierto",Registro!E506="Media"),TODAY()-Registro!R506,"")</f>
        <v/>
      </c>
      <c r="I507" s="45" t="str">
        <f>IF(AND(Registro!D506="Abierto",Registro!E506="Media"),RANK(H507,$H$9:$H$1000,0)+COUNTIF($H$9:H507,H507)-1+MAX(C$5:C$1000,F$5:F$1000),"")</f>
        <v/>
      </c>
      <c r="J507" s="45" t="str">
        <f>IF(AND(Registro!D506="Abierto",Registro!E506="Baja"),Registro!B506,"")</f>
        <v/>
      </c>
      <c r="K507" s="45" t="str">
        <f ca="1">IF(AND(Registro!D506="Abierto",Registro!E506="Baja"),TODAY()-Registro!R506,"")</f>
        <v/>
      </c>
      <c r="L507" s="45" t="str">
        <f>IF(AND(Registro!D506="Abierto",Registro!E506="Baja"),RANK(K507,$K$9:$K$1000,0)+COUNTIF($K$9:K507,K507)-1+MAX(C$5:C$1000,F$5:F$1000,I$5:I$1000),"")</f>
        <v/>
      </c>
      <c r="M507" s="46" t="str">
        <f>IF(OR(Registro!D506="Resuelto",Registro!D506=""),"",SUM(C507,F507,I507,L507))</f>
        <v/>
      </c>
      <c r="N507" s="46" t="str">
        <f>IF(OR(Registro!D506="Resuelto",Registro!D506=""),"",SUM(B507,E507,H507,K507))</f>
        <v/>
      </c>
      <c r="O507" s="46" t="str">
        <f>IF(OR(Registro!D506="Resuelto",Registro!D506=""),"",_xlfn.CONCAT(A507,D507,G507,J507))</f>
        <v/>
      </c>
      <c r="P507" s="47">
        <v>499</v>
      </c>
      <c r="Q507" s="47" t="str">
        <f t="shared" ca="1" si="21"/>
        <v/>
      </c>
      <c r="R507" s="48" t="str">
        <f t="shared" ca="1" si="22"/>
        <v/>
      </c>
      <c r="S507" s="32"/>
      <c r="T507" s="32"/>
      <c r="U507" s="32"/>
      <c r="V507" s="32"/>
      <c r="W507" s="47" t="str">
        <f>IF(X507="","",MAX($W$5:W506)+1)</f>
        <v/>
      </c>
      <c r="X507" s="50" t="str">
        <f>IF(Registro!M506="","",IF(COUNTIF($X$8:X506,Registro!M506)=0,Registro!M506,""))</f>
        <v/>
      </c>
      <c r="Y507" s="50" t="str">
        <f t="shared" si="23"/>
        <v/>
      </c>
    </row>
    <row r="508" spans="1:25">
      <c r="A508" s="45" t="str">
        <f>IF(AND(Registro!D507="Abierto",Registro!E507="Urgente"),Registro!B507,"")</f>
        <v/>
      </c>
      <c r="B508" s="45" t="str">
        <f ca="1">IF(AND(Registro!D507="Abierto",Registro!E507="Urgente"),TODAY()-Registro!R507,"")</f>
        <v/>
      </c>
      <c r="C508" s="45" t="str">
        <f>IF(AND(Registro!D507="Abierto",Registro!E507="Urgente"),RANK(B508,$B$9:$B$1000,0)+COUNTIF($B$9:B508,B508)-1,"")</f>
        <v/>
      </c>
      <c r="D508" s="45" t="str">
        <f>IF(AND(Registro!D507="Abierto",Registro!E507="Alta"),Registro!B507,"")</f>
        <v/>
      </c>
      <c r="E508" s="45" t="str">
        <f ca="1">IF(AND(Registro!D507="Abierto",Registro!E507="Alta"),TODAY()-Registro!R507,"")</f>
        <v/>
      </c>
      <c r="F508" s="45" t="str">
        <f>IF(AND(Registro!D507="Abierto",Registro!E507="Alta"),RANK(E508,$E$9:$E$1000,0)+COUNTIF($E$9:E508,E508)-1+MAX(C$5:C$1000),"")</f>
        <v/>
      </c>
      <c r="G508" s="45" t="str">
        <f>IF(AND(Registro!D507="Abierto",Registro!E507="Media"),Registro!B507,"")</f>
        <v/>
      </c>
      <c r="H508" s="45" t="str">
        <f ca="1">IF(AND(Registro!D507="Abierto",Registro!E507="Media"),TODAY()-Registro!R507,"")</f>
        <v/>
      </c>
      <c r="I508" s="45" t="str">
        <f>IF(AND(Registro!D507="Abierto",Registro!E507="Media"),RANK(H508,$H$9:$H$1000,0)+COUNTIF($H$9:H508,H508)-1+MAX(C$5:C$1000,F$5:F$1000),"")</f>
        <v/>
      </c>
      <c r="J508" s="45" t="str">
        <f>IF(AND(Registro!D507="Abierto",Registro!E507="Baja"),Registro!B507,"")</f>
        <v/>
      </c>
      <c r="K508" s="45" t="str">
        <f ca="1">IF(AND(Registro!D507="Abierto",Registro!E507="Baja"),TODAY()-Registro!R507,"")</f>
        <v/>
      </c>
      <c r="L508" s="45" t="str">
        <f>IF(AND(Registro!D507="Abierto",Registro!E507="Baja"),RANK(K508,$K$9:$K$1000,0)+COUNTIF($K$9:K508,K508)-1+MAX(C$5:C$1000,F$5:F$1000,I$5:I$1000),"")</f>
        <v/>
      </c>
      <c r="M508" s="46" t="str">
        <f>IF(OR(Registro!D507="Resuelto",Registro!D507=""),"",SUM(C508,F508,I508,L508))</f>
        <v/>
      </c>
      <c r="N508" s="46" t="str">
        <f>IF(OR(Registro!D507="Resuelto",Registro!D507=""),"",SUM(B508,E508,H508,K508))</f>
        <v/>
      </c>
      <c r="O508" s="46" t="str">
        <f>IF(OR(Registro!D507="Resuelto",Registro!D507=""),"",_xlfn.CONCAT(A508,D508,G508,J508))</f>
        <v/>
      </c>
      <c r="P508" s="47">
        <v>500</v>
      </c>
      <c r="Q508" s="47" t="str">
        <f t="shared" ca="1" si="21"/>
        <v/>
      </c>
      <c r="R508" s="48" t="str">
        <f t="shared" ca="1" si="22"/>
        <v/>
      </c>
      <c r="S508" s="32"/>
      <c r="T508" s="32"/>
      <c r="U508" s="32"/>
      <c r="V508" s="32"/>
      <c r="W508" s="47" t="str">
        <f>IF(X508="","",MAX($W$5:W507)+1)</f>
        <v/>
      </c>
      <c r="X508" s="50" t="str">
        <f>IF(Registro!M507="","",IF(COUNTIF($X$8:X507,Registro!M507)=0,Registro!M507,""))</f>
        <v/>
      </c>
      <c r="Y508" s="50" t="str">
        <f t="shared" si="23"/>
        <v/>
      </c>
    </row>
    <row r="509" spans="1:25">
      <c r="A509" s="45" t="str">
        <f>IF(AND(Registro!D508="Abierto",Registro!E508="Urgente"),Registro!B508,"")</f>
        <v/>
      </c>
      <c r="B509" s="45" t="str">
        <f ca="1">IF(AND(Registro!D508="Abierto",Registro!E508="Urgente"),TODAY()-Registro!R508,"")</f>
        <v/>
      </c>
      <c r="C509" s="45" t="str">
        <f>IF(AND(Registro!D508="Abierto",Registro!E508="Urgente"),RANK(B509,$B$9:$B$1000,0)+COUNTIF($B$9:B509,B509)-1,"")</f>
        <v/>
      </c>
      <c r="D509" s="45" t="str">
        <f>IF(AND(Registro!D508="Abierto",Registro!E508="Alta"),Registro!B508,"")</f>
        <v/>
      </c>
      <c r="E509" s="45" t="str">
        <f ca="1">IF(AND(Registro!D508="Abierto",Registro!E508="Alta"),TODAY()-Registro!R508,"")</f>
        <v/>
      </c>
      <c r="F509" s="45" t="str">
        <f>IF(AND(Registro!D508="Abierto",Registro!E508="Alta"),RANK(E509,$E$9:$E$1000,0)+COUNTIF($E$9:E509,E509)-1+MAX(C$5:C$1000),"")</f>
        <v/>
      </c>
      <c r="G509" s="45" t="str">
        <f>IF(AND(Registro!D508="Abierto",Registro!E508="Media"),Registro!B508,"")</f>
        <v/>
      </c>
      <c r="H509" s="45" t="str">
        <f ca="1">IF(AND(Registro!D508="Abierto",Registro!E508="Media"),TODAY()-Registro!R508,"")</f>
        <v/>
      </c>
      <c r="I509" s="45" t="str">
        <f>IF(AND(Registro!D508="Abierto",Registro!E508="Media"),RANK(H509,$H$9:$H$1000,0)+COUNTIF($H$9:H509,H509)-1+MAX(C$5:C$1000,F$5:F$1000),"")</f>
        <v/>
      </c>
      <c r="J509" s="45" t="str">
        <f>IF(AND(Registro!D508="Abierto",Registro!E508="Baja"),Registro!B508,"")</f>
        <v/>
      </c>
      <c r="K509" s="45" t="str">
        <f ca="1">IF(AND(Registro!D508="Abierto",Registro!E508="Baja"),TODAY()-Registro!R508,"")</f>
        <v/>
      </c>
      <c r="L509" s="45" t="str">
        <f>IF(AND(Registro!D508="Abierto",Registro!E508="Baja"),RANK(K509,$K$9:$K$1000,0)+COUNTIF($K$9:K509,K509)-1+MAX(C$5:C$1000,F$5:F$1000,I$5:I$1000),"")</f>
        <v/>
      </c>
      <c r="M509" s="46" t="str">
        <f>IF(OR(Registro!D508="Resuelto",Registro!D508=""),"",SUM(C509,F509,I509,L509))</f>
        <v/>
      </c>
      <c r="N509" s="46" t="str">
        <f>IF(OR(Registro!D508="Resuelto",Registro!D508=""),"",SUM(B509,E509,H509,K509))</f>
        <v/>
      </c>
      <c r="O509" s="46" t="str">
        <f>IF(OR(Registro!D508="Resuelto",Registro!D508=""),"",_xlfn.CONCAT(A509,D509,G509,J509))</f>
        <v/>
      </c>
      <c r="P509" s="47">
        <v>501</v>
      </c>
      <c r="Q509" s="47" t="str">
        <f t="shared" ca="1" si="21"/>
        <v/>
      </c>
      <c r="R509" s="48" t="str">
        <f t="shared" ca="1" si="22"/>
        <v/>
      </c>
      <c r="S509" s="32"/>
      <c r="T509" s="32"/>
      <c r="U509" s="32"/>
      <c r="V509" s="32"/>
      <c r="W509" s="47" t="str">
        <f>IF(X509="","",MAX($W$5:W508)+1)</f>
        <v/>
      </c>
      <c r="X509" s="50" t="str">
        <f>IF(Registro!M508="","",IF(COUNTIF($X$8:X508,Registro!M508)=0,Registro!M508,""))</f>
        <v/>
      </c>
      <c r="Y509" s="50" t="str">
        <f t="shared" si="23"/>
        <v/>
      </c>
    </row>
    <row r="510" spans="1:25">
      <c r="A510" s="45" t="str">
        <f>IF(AND(Registro!D509="Abierto",Registro!E509="Urgente"),Registro!B509,"")</f>
        <v/>
      </c>
      <c r="B510" s="45" t="str">
        <f ca="1">IF(AND(Registro!D509="Abierto",Registro!E509="Urgente"),TODAY()-Registro!R509,"")</f>
        <v/>
      </c>
      <c r="C510" s="45" t="str">
        <f>IF(AND(Registro!D509="Abierto",Registro!E509="Urgente"),RANK(B510,$B$9:$B$1000,0)+COUNTIF($B$9:B510,B510)-1,"")</f>
        <v/>
      </c>
      <c r="D510" s="45" t="str">
        <f>IF(AND(Registro!D509="Abierto",Registro!E509="Alta"),Registro!B509,"")</f>
        <v/>
      </c>
      <c r="E510" s="45" t="str">
        <f ca="1">IF(AND(Registro!D509="Abierto",Registro!E509="Alta"),TODAY()-Registro!R509,"")</f>
        <v/>
      </c>
      <c r="F510" s="45" t="str">
        <f>IF(AND(Registro!D509="Abierto",Registro!E509="Alta"),RANK(E510,$E$9:$E$1000,0)+COUNTIF($E$9:E510,E510)-1+MAX(C$5:C$1000),"")</f>
        <v/>
      </c>
      <c r="G510" s="45" t="str">
        <f>IF(AND(Registro!D509="Abierto",Registro!E509="Media"),Registro!B509,"")</f>
        <v/>
      </c>
      <c r="H510" s="45" t="str">
        <f ca="1">IF(AND(Registro!D509="Abierto",Registro!E509="Media"),TODAY()-Registro!R509,"")</f>
        <v/>
      </c>
      <c r="I510" s="45" t="str">
        <f>IF(AND(Registro!D509="Abierto",Registro!E509="Media"),RANK(H510,$H$9:$H$1000,0)+COUNTIF($H$9:H510,H510)-1+MAX(C$5:C$1000,F$5:F$1000),"")</f>
        <v/>
      </c>
      <c r="J510" s="45" t="str">
        <f>IF(AND(Registro!D509="Abierto",Registro!E509="Baja"),Registro!B509,"")</f>
        <v/>
      </c>
      <c r="K510" s="45" t="str">
        <f ca="1">IF(AND(Registro!D509="Abierto",Registro!E509="Baja"),TODAY()-Registro!R509,"")</f>
        <v/>
      </c>
      <c r="L510" s="45" t="str">
        <f>IF(AND(Registro!D509="Abierto",Registro!E509="Baja"),RANK(K510,$K$9:$K$1000,0)+COUNTIF($K$9:K510,K510)-1+MAX(C$5:C$1000,F$5:F$1000,I$5:I$1000),"")</f>
        <v/>
      </c>
      <c r="M510" s="46" t="str">
        <f>IF(OR(Registro!D509="Resuelto",Registro!D509=""),"",SUM(C510,F510,I510,L510))</f>
        <v/>
      </c>
      <c r="N510" s="46" t="str">
        <f>IF(OR(Registro!D509="Resuelto",Registro!D509=""),"",SUM(B510,E510,H510,K510))</f>
        <v/>
      </c>
      <c r="O510" s="46" t="str">
        <f>IF(OR(Registro!D509="Resuelto",Registro!D509=""),"",_xlfn.CONCAT(A510,D510,G510,J510))</f>
        <v/>
      </c>
      <c r="P510" s="47">
        <v>502</v>
      </c>
      <c r="Q510" s="47" t="str">
        <f t="shared" ca="1" si="21"/>
        <v/>
      </c>
      <c r="R510" s="48" t="str">
        <f t="shared" ca="1" si="22"/>
        <v/>
      </c>
      <c r="S510" s="32"/>
      <c r="T510" s="32"/>
      <c r="U510" s="32"/>
      <c r="V510" s="32"/>
      <c r="W510" s="47" t="str">
        <f>IF(X510="","",MAX($W$5:W509)+1)</f>
        <v/>
      </c>
      <c r="X510" s="50" t="str">
        <f>IF(Registro!M509="","",IF(COUNTIF($X$8:X509,Registro!M509)=0,Registro!M509,""))</f>
        <v/>
      </c>
      <c r="Y510" s="50" t="str">
        <f t="shared" si="23"/>
        <v/>
      </c>
    </row>
    <row r="511" spans="1:25">
      <c r="A511" s="45" t="str">
        <f>IF(AND(Registro!D510="Abierto",Registro!E510="Urgente"),Registro!B510,"")</f>
        <v/>
      </c>
      <c r="B511" s="45" t="str">
        <f ca="1">IF(AND(Registro!D510="Abierto",Registro!E510="Urgente"),TODAY()-Registro!R510,"")</f>
        <v/>
      </c>
      <c r="C511" s="45" t="str">
        <f>IF(AND(Registro!D510="Abierto",Registro!E510="Urgente"),RANK(B511,$B$9:$B$1000,0)+COUNTIF($B$9:B511,B511)-1,"")</f>
        <v/>
      </c>
      <c r="D511" s="45" t="str">
        <f>IF(AND(Registro!D510="Abierto",Registro!E510="Alta"),Registro!B510,"")</f>
        <v/>
      </c>
      <c r="E511" s="45" t="str">
        <f ca="1">IF(AND(Registro!D510="Abierto",Registro!E510="Alta"),TODAY()-Registro!R510,"")</f>
        <v/>
      </c>
      <c r="F511" s="45" t="str">
        <f>IF(AND(Registro!D510="Abierto",Registro!E510="Alta"),RANK(E511,$E$9:$E$1000,0)+COUNTIF($E$9:E511,E511)-1+MAX(C$5:C$1000),"")</f>
        <v/>
      </c>
      <c r="G511" s="45" t="str">
        <f>IF(AND(Registro!D510="Abierto",Registro!E510="Media"),Registro!B510,"")</f>
        <v/>
      </c>
      <c r="H511" s="45" t="str">
        <f ca="1">IF(AND(Registro!D510="Abierto",Registro!E510="Media"),TODAY()-Registro!R510,"")</f>
        <v/>
      </c>
      <c r="I511" s="45" t="str">
        <f>IF(AND(Registro!D510="Abierto",Registro!E510="Media"),RANK(H511,$H$9:$H$1000,0)+COUNTIF($H$9:H511,H511)-1+MAX(C$5:C$1000,F$5:F$1000),"")</f>
        <v/>
      </c>
      <c r="J511" s="45" t="str">
        <f>IF(AND(Registro!D510="Abierto",Registro!E510="Baja"),Registro!B510,"")</f>
        <v/>
      </c>
      <c r="K511" s="45" t="str">
        <f ca="1">IF(AND(Registro!D510="Abierto",Registro!E510="Baja"),TODAY()-Registro!R510,"")</f>
        <v/>
      </c>
      <c r="L511" s="45" t="str">
        <f>IF(AND(Registro!D510="Abierto",Registro!E510="Baja"),RANK(K511,$K$9:$K$1000,0)+COUNTIF($K$9:K511,K511)-1+MAX(C$5:C$1000,F$5:F$1000,I$5:I$1000),"")</f>
        <v/>
      </c>
      <c r="M511" s="46" t="str">
        <f>IF(OR(Registro!D510="Resuelto",Registro!D510=""),"",SUM(C511,F511,I511,L511))</f>
        <v/>
      </c>
      <c r="N511" s="46" t="str">
        <f>IF(OR(Registro!D510="Resuelto",Registro!D510=""),"",SUM(B511,E511,H511,K511))</f>
        <v/>
      </c>
      <c r="O511" s="46" t="str">
        <f>IF(OR(Registro!D510="Resuelto",Registro!D510=""),"",_xlfn.CONCAT(A511,D511,G511,J511))</f>
        <v/>
      </c>
      <c r="P511" s="47">
        <v>503</v>
      </c>
      <c r="Q511" s="47" t="str">
        <f t="shared" ca="1" si="21"/>
        <v/>
      </c>
      <c r="R511" s="48" t="str">
        <f t="shared" ca="1" si="22"/>
        <v/>
      </c>
      <c r="S511" s="32"/>
      <c r="T511" s="32"/>
      <c r="U511" s="32"/>
      <c r="V511" s="32"/>
      <c r="W511" s="47" t="str">
        <f>IF(X511="","",MAX($W$5:W510)+1)</f>
        <v/>
      </c>
      <c r="X511" s="50" t="str">
        <f>IF(Registro!M510="","",IF(COUNTIF($X$8:X510,Registro!M510)=0,Registro!M510,""))</f>
        <v/>
      </c>
      <c r="Y511" s="50" t="str">
        <f t="shared" si="23"/>
        <v/>
      </c>
    </row>
    <row r="512" spans="1:25">
      <c r="A512" s="45" t="str">
        <f>IF(AND(Registro!D511="Abierto",Registro!E511="Urgente"),Registro!B511,"")</f>
        <v/>
      </c>
      <c r="B512" s="45" t="str">
        <f ca="1">IF(AND(Registro!D511="Abierto",Registro!E511="Urgente"),TODAY()-Registro!R511,"")</f>
        <v/>
      </c>
      <c r="C512" s="45" t="str">
        <f>IF(AND(Registro!D511="Abierto",Registro!E511="Urgente"),RANK(B512,$B$9:$B$1000,0)+COUNTIF($B$9:B512,B512)-1,"")</f>
        <v/>
      </c>
      <c r="D512" s="45" t="str">
        <f>IF(AND(Registro!D511="Abierto",Registro!E511="Alta"),Registro!B511,"")</f>
        <v/>
      </c>
      <c r="E512" s="45" t="str">
        <f ca="1">IF(AND(Registro!D511="Abierto",Registro!E511="Alta"),TODAY()-Registro!R511,"")</f>
        <v/>
      </c>
      <c r="F512" s="45" t="str">
        <f>IF(AND(Registro!D511="Abierto",Registro!E511="Alta"),RANK(E512,$E$9:$E$1000,0)+COUNTIF($E$9:E512,E512)-1+MAX(C$5:C$1000),"")</f>
        <v/>
      </c>
      <c r="G512" s="45" t="str">
        <f>IF(AND(Registro!D511="Abierto",Registro!E511="Media"),Registro!B511,"")</f>
        <v/>
      </c>
      <c r="H512" s="45" t="str">
        <f ca="1">IF(AND(Registro!D511="Abierto",Registro!E511="Media"),TODAY()-Registro!R511,"")</f>
        <v/>
      </c>
      <c r="I512" s="45" t="str">
        <f>IF(AND(Registro!D511="Abierto",Registro!E511="Media"),RANK(H512,$H$9:$H$1000,0)+COUNTIF($H$9:H512,H512)-1+MAX(C$5:C$1000,F$5:F$1000),"")</f>
        <v/>
      </c>
      <c r="J512" s="45" t="str">
        <f>IF(AND(Registro!D511="Abierto",Registro!E511="Baja"),Registro!B511,"")</f>
        <v/>
      </c>
      <c r="K512" s="45" t="str">
        <f ca="1">IF(AND(Registro!D511="Abierto",Registro!E511="Baja"),TODAY()-Registro!R511,"")</f>
        <v/>
      </c>
      <c r="L512" s="45" t="str">
        <f>IF(AND(Registro!D511="Abierto",Registro!E511="Baja"),RANK(K512,$K$9:$K$1000,0)+COUNTIF($K$9:K512,K512)-1+MAX(C$5:C$1000,F$5:F$1000,I$5:I$1000),"")</f>
        <v/>
      </c>
      <c r="M512" s="46" t="str">
        <f>IF(OR(Registro!D511="Resuelto",Registro!D511=""),"",SUM(C512,F512,I512,L512))</f>
        <v/>
      </c>
      <c r="N512" s="46" t="str">
        <f>IF(OR(Registro!D511="Resuelto",Registro!D511=""),"",SUM(B512,E512,H512,K512))</f>
        <v/>
      </c>
      <c r="O512" s="46" t="str">
        <f>IF(OR(Registro!D511="Resuelto",Registro!D511=""),"",_xlfn.CONCAT(A512,D512,G512,J512))</f>
        <v/>
      </c>
      <c r="P512" s="47">
        <v>504</v>
      </c>
      <c r="Q512" s="47" t="str">
        <f t="shared" ca="1" si="21"/>
        <v/>
      </c>
      <c r="R512" s="48" t="str">
        <f t="shared" ca="1" si="22"/>
        <v/>
      </c>
      <c r="S512" s="32"/>
      <c r="T512" s="32"/>
      <c r="U512" s="32"/>
      <c r="V512" s="32"/>
      <c r="W512" s="47" t="str">
        <f>IF(X512="","",MAX($W$5:W511)+1)</f>
        <v/>
      </c>
      <c r="X512" s="50" t="str">
        <f>IF(Registro!M511="","",IF(COUNTIF($X$8:X511,Registro!M511)=0,Registro!M511,""))</f>
        <v/>
      </c>
      <c r="Y512" s="50" t="str">
        <f t="shared" si="23"/>
        <v/>
      </c>
    </row>
    <row r="513" spans="1:25">
      <c r="A513" s="45" t="str">
        <f>IF(AND(Registro!D512="Abierto",Registro!E512="Urgente"),Registro!B512,"")</f>
        <v/>
      </c>
      <c r="B513" s="45" t="str">
        <f ca="1">IF(AND(Registro!D512="Abierto",Registro!E512="Urgente"),TODAY()-Registro!R512,"")</f>
        <v/>
      </c>
      <c r="C513" s="45" t="str">
        <f>IF(AND(Registro!D512="Abierto",Registro!E512="Urgente"),RANK(B513,$B$9:$B$1000,0)+COUNTIF($B$9:B513,B513)-1,"")</f>
        <v/>
      </c>
      <c r="D513" s="45" t="str">
        <f>IF(AND(Registro!D512="Abierto",Registro!E512="Alta"),Registro!B512,"")</f>
        <v/>
      </c>
      <c r="E513" s="45" t="str">
        <f ca="1">IF(AND(Registro!D512="Abierto",Registro!E512="Alta"),TODAY()-Registro!R512,"")</f>
        <v/>
      </c>
      <c r="F513" s="45" t="str">
        <f>IF(AND(Registro!D512="Abierto",Registro!E512="Alta"),RANK(E513,$E$9:$E$1000,0)+COUNTIF($E$9:E513,E513)-1+MAX(C$5:C$1000),"")</f>
        <v/>
      </c>
      <c r="G513" s="45" t="str">
        <f>IF(AND(Registro!D512="Abierto",Registro!E512="Media"),Registro!B512,"")</f>
        <v/>
      </c>
      <c r="H513" s="45" t="str">
        <f ca="1">IF(AND(Registro!D512="Abierto",Registro!E512="Media"),TODAY()-Registro!R512,"")</f>
        <v/>
      </c>
      <c r="I513" s="45" t="str">
        <f>IF(AND(Registro!D512="Abierto",Registro!E512="Media"),RANK(H513,$H$9:$H$1000,0)+COUNTIF($H$9:H513,H513)-1+MAX(C$5:C$1000,F$5:F$1000),"")</f>
        <v/>
      </c>
      <c r="J513" s="45" t="str">
        <f>IF(AND(Registro!D512="Abierto",Registro!E512="Baja"),Registro!B512,"")</f>
        <v/>
      </c>
      <c r="K513" s="45" t="str">
        <f ca="1">IF(AND(Registro!D512="Abierto",Registro!E512="Baja"),TODAY()-Registro!R512,"")</f>
        <v/>
      </c>
      <c r="L513" s="45" t="str">
        <f>IF(AND(Registro!D512="Abierto",Registro!E512="Baja"),RANK(K513,$K$9:$K$1000,0)+COUNTIF($K$9:K513,K513)-1+MAX(C$5:C$1000,F$5:F$1000,I$5:I$1000),"")</f>
        <v/>
      </c>
      <c r="M513" s="46" t="str">
        <f>IF(OR(Registro!D512="Resuelto",Registro!D512=""),"",SUM(C513,F513,I513,L513))</f>
        <v/>
      </c>
      <c r="N513" s="46" t="str">
        <f>IF(OR(Registro!D512="Resuelto",Registro!D512=""),"",SUM(B513,E513,H513,K513))</f>
        <v/>
      </c>
      <c r="O513" s="46" t="str">
        <f>IF(OR(Registro!D512="Resuelto",Registro!D512=""),"",_xlfn.CONCAT(A513,D513,G513,J513))</f>
        <v/>
      </c>
      <c r="P513" s="47">
        <v>505</v>
      </c>
      <c r="Q513" s="47" t="str">
        <f t="shared" ca="1" si="21"/>
        <v/>
      </c>
      <c r="R513" s="48" t="str">
        <f t="shared" ca="1" si="22"/>
        <v/>
      </c>
      <c r="S513" s="32"/>
      <c r="T513" s="32"/>
      <c r="U513" s="32"/>
      <c r="V513" s="32"/>
      <c r="W513" s="47" t="str">
        <f>IF(X513="","",MAX($W$5:W512)+1)</f>
        <v/>
      </c>
      <c r="X513" s="50" t="str">
        <f>IF(Registro!M512="","",IF(COUNTIF($X$8:X512,Registro!M512)=0,Registro!M512,""))</f>
        <v/>
      </c>
      <c r="Y513" s="50" t="str">
        <f t="shared" si="23"/>
        <v/>
      </c>
    </row>
    <row r="514" spans="1:25">
      <c r="A514" s="45" t="str">
        <f>IF(AND(Registro!D513="Abierto",Registro!E513="Urgente"),Registro!B513,"")</f>
        <v/>
      </c>
      <c r="B514" s="45" t="str">
        <f ca="1">IF(AND(Registro!D513="Abierto",Registro!E513="Urgente"),TODAY()-Registro!R513,"")</f>
        <v/>
      </c>
      <c r="C514" s="45" t="str">
        <f>IF(AND(Registro!D513="Abierto",Registro!E513="Urgente"),RANK(B514,$B$9:$B$1000,0)+COUNTIF($B$9:B514,B514)-1,"")</f>
        <v/>
      </c>
      <c r="D514" s="45" t="str">
        <f>IF(AND(Registro!D513="Abierto",Registro!E513="Alta"),Registro!B513,"")</f>
        <v/>
      </c>
      <c r="E514" s="45" t="str">
        <f ca="1">IF(AND(Registro!D513="Abierto",Registro!E513="Alta"),TODAY()-Registro!R513,"")</f>
        <v/>
      </c>
      <c r="F514" s="45" t="str">
        <f>IF(AND(Registro!D513="Abierto",Registro!E513="Alta"),RANK(E514,$E$9:$E$1000,0)+COUNTIF($E$9:E514,E514)-1+MAX(C$5:C$1000),"")</f>
        <v/>
      </c>
      <c r="G514" s="45" t="str">
        <f>IF(AND(Registro!D513="Abierto",Registro!E513="Media"),Registro!B513,"")</f>
        <v/>
      </c>
      <c r="H514" s="45" t="str">
        <f ca="1">IF(AND(Registro!D513="Abierto",Registro!E513="Media"),TODAY()-Registro!R513,"")</f>
        <v/>
      </c>
      <c r="I514" s="45" t="str">
        <f>IF(AND(Registro!D513="Abierto",Registro!E513="Media"),RANK(H514,$H$9:$H$1000,0)+COUNTIF($H$9:H514,H514)-1+MAX(C$5:C$1000,F$5:F$1000),"")</f>
        <v/>
      </c>
      <c r="J514" s="45" t="str">
        <f>IF(AND(Registro!D513="Abierto",Registro!E513="Baja"),Registro!B513,"")</f>
        <v/>
      </c>
      <c r="K514" s="45" t="str">
        <f ca="1">IF(AND(Registro!D513="Abierto",Registro!E513="Baja"),TODAY()-Registro!R513,"")</f>
        <v/>
      </c>
      <c r="L514" s="45" t="str">
        <f>IF(AND(Registro!D513="Abierto",Registro!E513="Baja"),RANK(K514,$K$9:$K$1000,0)+COUNTIF($K$9:K514,K514)-1+MAX(C$5:C$1000,F$5:F$1000,I$5:I$1000),"")</f>
        <v/>
      </c>
      <c r="M514" s="46" t="str">
        <f>IF(OR(Registro!D513="Resuelto",Registro!D513=""),"",SUM(C514,F514,I514,L514))</f>
        <v/>
      </c>
      <c r="N514" s="46" t="str">
        <f>IF(OR(Registro!D513="Resuelto",Registro!D513=""),"",SUM(B514,E514,H514,K514))</f>
        <v/>
      </c>
      <c r="O514" s="46" t="str">
        <f>IF(OR(Registro!D513="Resuelto",Registro!D513=""),"",_xlfn.CONCAT(A514,D514,G514,J514))</f>
        <v/>
      </c>
      <c r="P514" s="47">
        <v>506</v>
      </c>
      <c r="Q514" s="47" t="str">
        <f t="shared" ca="1" si="21"/>
        <v/>
      </c>
      <c r="R514" s="48" t="str">
        <f t="shared" ca="1" si="22"/>
        <v/>
      </c>
      <c r="S514" s="32"/>
      <c r="T514" s="32"/>
      <c r="U514" s="32"/>
      <c r="V514" s="32"/>
      <c r="W514" s="47" t="str">
        <f>IF(X514="","",MAX($W$5:W513)+1)</f>
        <v/>
      </c>
      <c r="X514" s="50" t="str">
        <f>IF(Registro!M513="","",IF(COUNTIF($X$8:X513,Registro!M513)=0,Registro!M513,""))</f>
        <v/>
      </c>
      <c r="Y514" s="50" t="str">
        <f t="shared" si="23"/>
        <v/>
      </c>
    </row>
    <row r="515" spans="1:25">
      <c r="A515" s="45" t="str">
        <f>IF(AND(Registro!D514="Abierto",Registro!E514="Urgente"),Registro!B514,"")</f>
        <v/>
      </c>
      <c r="B515" s="45" t="str">
        <f ca="1">IF(AND(Registro!D514="Abierto",Registro!E514="Urgente"),TODAY()-Registro!R514,"")</f>
        <v/>
      </c>
      <c r="C515" s="45" t="str">
        <f>IF(AND(Registro!D514="Abierto",Registro!E514="Urgente"),RANK(B515,$B$9:$B$1000,0)+COUNTIF($B$9:B515,B515)-1,"")</f>
        <v/>
      </c>
      <c r="D515" s="45" t="str">
        <f>IF(AND(Registro!D514="Abierto",Registro!E514="Alta"),Registro!B514,"")</f>
        <v/>
      </c>
      <c r="E515" s="45" t="str">
        <f ca="1">IF(AND(Registro!D514="Abierto",Registro!E514="Alta"),TODAY()-Registro!R514,"")</f>
        <v/>
      </c>
      <c r="F515" s="45" t="str">
        <f>IF(AND(Registro!D514="Abierto",Registro!E514="Alta"),RANK(E515,$E$9:$E$1000,0)+COUNTIF($E$9:E515,E515)-1+MAX(C$5:C$1000),"")</f>
        <v/>
      </c>
      <c r="G515" s="45" t="str">
        <f>IF(AND(Registro!D514="Abierto",Registro!E514="Media"),Registro!B514,"")</f>
        <v/>
      </c>
      <c r="H515" s="45" t="str">
        <f ca="1">IF(AND(Registro!D514="Abierto",Registro!E514="Media"),TODAY()-Registro!R514,"")</f>
        <v/>
      </c>
      <c r="I515" s="45" t="str">
        <f>IF(AND(Registro!D514="Abierto",Registro!E514="Media"),RANK(H515,$H$9:$H$1000,0)+COUNTIF($H$9:H515,H515)-1+MAX(C$5:C$1000,F$5:F$1000),"")</f>
        <v/>
      </c>
      <c r="J515" s="45" t="str">
        <f>IF(AND(Registro!D514="Abierto",Registro!E514="Baja"),Registro!B514,"")</f>
        <v/>
      </c>
      <c r="K515" s="45" t="str">
        <f ca="1">IF(AND(Registro!D514="Abierto",Registro!E514="Baja"),TODAY()-Registro!R514,"")</f>
        <v/>
      </c>
      <c r="L515" s="45" t="str">
        <f>IF(AND(Registro!D514="Abierto",Registro!E514="Baja"),RANK(K515,$K$9:$K$1000,0)+COUNTIF($K$9:K515,K515)-1+MAX(C$5:C$1000,F$5:F$1000,I$5:I$1000),"")</f>
        <v/>
      </c>
      <c r="M515" s="46" t="str">
        <f>IF(OR(Registro!D514="Resuelto",Registro!D514=""),"",SUM(C515,F515,I515,L515))</f>
        <v/>
      </c>
      <c r="N515" s="46" t="str">
        <f>IF(OR(Registro!D514="Resuelto",Registro!D514=""),"",SUM(B515,E515,H515,K515))</f>
        <v/>
      </c>
      <c r="O515" s="46" t="str">
        <f>IF(OR(Registro!D514="Resuelto",Registro!D514=""),"",_xlfn.CONCAT(A515,D515,G515,J515))</f>
        <v/>
      </c>
      <c r="P515" s="47">
        <v>507</v>
      </c>
      <c r="Q515" s="47" t="str">
        <f t="shared" ca="1" si="21"/>
        <v/>
      </c>
      <c r="R515" s="48" t="str">
        <f t="shared" ca="1" si="22"/>
        <v/>
      </c>
      <c r="S515" s="32"/>
      <c r="T515" s="32"/>
      <c r="U515" s="32"/>
      <c r="V515" s="32"/>
      <c r="W515" s="47" t="str">
        <f>IF(X515="","",MAX($W$5:W514)+1)</f>
        <v/>
      </c>
      <c r="X515" s="50" t="str">
        <f>IF(Registro!M514="","",IF(COUNTIF($X$8:X514,Registro!M514)=0,Registro!M514,""))</f>
        <v/>
      </c>
      <c r="Y515" s="50" t="str">
        <f t="shared" si="23"/>
        <v/>
      </c>
    </row>
    <row r="516" spans="1:25">
      <c r="A516" s="45" t="str">
        <f>IF(AND(Registro!D515="Abierto",Registro!E515="Urgente"),Registro!B515,"")</f>
        <v/>
      </c>
      <c r="B516" s="45" t="str">
        <f ca="1">IF(AND(Registro!D515="Abierto",Registro!E515="Urgente"),TODAY()-Registro!R515,"")</f>
        <v/>
      </c>
      <c r="C516" s="45" t="str">
        <f>IF(AND(Registro!D515="Abierto",Registro!E515="Urgente"),RANK(B516,$B$9:$B$1000,0)+COUNTIF($B$9:B516,B516)-1,"")</f>
        <v/>
      </c>
      <c r="D516" s="45" t="str">
        <f>IF(AND(Registro!D515="Abierto",Registro!E515="Alta"),Registro!B515,"")</f>
        <v/>
      </c>
      <c r="E516" s="45" t="str">
        <f ca="1">IF(AND(Registro!D515="Abierto",Registro!E515="Alta"),TODAY()-Registro!R515,"")</f>
        <v/>
      </c>
      <c r="F516" s="45" t="str">
        <f>IF(AND(Registro!D515="Abierto",Registro!E515="Alta"),RANK(E516,$E$9:$E$1000,0)+COUNTIF($E$9:E516,E516)-1+MAX(C$5:C$1000),"")</f>
        <v/>
      </c>
      <c r="G516" s="45" t="str">
        <f>IF(AND(Registro!D515="Abierto",Registro!E515="Media"),Registro!B515,"")</f>
        <v/>
      </c>
      <c r="H516" s="45" t="str">
        <f ca="1">IF(AND(Registro!D515="Abierto",Registro!E515="Media"),TODAY()-Registro!R515,"")</f>
        <v/>
      </c>
      <c r="I516" s="45" t="str">
        <f>IF(AND(Registro!D515="Abierto",Registro!E515="Media"),RANK(H516,$H$9:$H$1000,0)+COUNTIF($H$9:H516,H516)-1+MAX(C$5:C$1000,F$5:F$1000),"")</f>
        <v/>
      </c>
      <c r="J516" s="45" t="str">
        <f>IF(AND(Registro!D515="Abierto",Registro!E515="Baja"),Registro!B515,"")</f>
        <v/>
      </c>
      <c r="K516" s="45" t="str">
        <f ca="1">IF(AND(Registro!D515="Abierto",Registro!E515="Baja"),TODAY()-Registro!R515,"")</f>
        <v/>
      </c>
      <c r="L516" s="45" t="str">
        <f>IF(AND(Registro!D515="Abierto",Registro!E515="Baja"),RANK(K516,$K$9:$K$1000,0)+COUNTIF($K$9:K516,K516)-1+MAX(C$5:C$1000,F$5:F$1000,I$5:I$1000),"")</f>
        <v/>
      </c>
      <c r="M516" s="46" t="str">
        <f>IF(OR(Registro!D515="Resuelto",Registro!D515=""),"",SUM(C516,F516,I516,L516))</f>
        <v/>
      </c>
      <c r="N516" s="46" t="str">
        <f>IF(OR(Registro!D515="Resuelto",Registro!D515=""),"",SUM(B516,E516,H516,K516))</f>
        <v/>
      </c>
      <c r="O516" s="46" t="str">
        <f>IF(OR(Registro!D515="Resuelto",Registro!D515=""),"",_xlfn.CONCAT(A516,D516,G516,J516))</f>
        <v/>
      </c>
      <c r="P516" s="47">
        <v>508</v>
      </c>
      <c r="Q516" s="47" t="str">
        <f t="shared" ca="1" si="21"/>
        <v/>
      </c>
      <c r="R516" s="48" t="str">
        <f t="shared" ca="1" si="22"/>
        <v/>
      </c>
      <c r="S516" s="32"/>
      <c r="T516" s="32"/>
      <c r="U516" s="32"/>
      <c r="V516" s="32"/>
      <c r="W516" s="47" t="str">
        <f>IF(X516="","",MAX($W$5:W515)+1)</f>
        <v/>
      </c>
      <c r="X516" s="50" t="str">
        <f>IF(Registro!M515="","",IF(COUNTIF($X$8:X515,Registro!M515)=0,Registro!M515,""))</f>
        <v/>
      </c>
      <c r="Y516" s="50" t="str">
        <f t="shared" si="23"/>
        <v/>
      </c>
    </row>
    <row r="517" spans="1:25">
      <c r="A517" s="45" t="str">
        <f>IF(AND(Registro!D516="Abierto",Registro!E516="Urgente"),Registro!B516,"")</f>
        <v/>
      </c>
      <c r="B517" s="45" t="str">
        <f ca="1">IF(AND(Registro!D516="Abierto",Registro!E516="Urgente"),TODAY()-Registro!R516,"")</f>
        <v/>
      </c>
      <c r="C517" s="45" t="str">
        <f>IF(AND(Registro!D516="Abierto",Registro!E516="Urgente"),RANK(B517,$B$9:$B$1000,0)+COUNTIF($B$9:B517,B517)-1,"")</f>
        <v/>
      </c>
      <c r="D517" s="45" t="str">
        <f>IF(AND(Registro!D516="Abierto",Registro!E516="Alta"),Registro!B516,"")</f>
        <v/>
      </c>
      <c r="E517" s="45" t="str">
        <f ca="1">IF(AND(Registro!D516="Abierto",Registro!E516="Alta"),TODAY()-Registro!R516,"")</f>
        <v/>
      </c>
      <c r="F517" s="45" t="str">
        <f>IF(AND(Registro!D516="Abierto",Registro!E516="Alta"),RANK(E517,$E$9:$E$1000,0)+COUNTIF($E$9:E517,E517)-1+MAX(C$5:C$1000),"")</f>
        <v/>
      </c>
      <c r="G517" s="45" t="str">
        <f>IF(AND(Registro!D516="Abierto",Registro!E516="Media"),Registro!B516,"")</f>
        <v/>
      </c>
      <c r="H517" s="45" t="str">
        <f ca="1">IF(AND(Registro!D516="Abierto",Registro!E516="Media"),TODAY()-Registro!R516,"")</f>
        <v/>
      </c>
      <c r="I517" s="45" t="str">
        <f>IF(AND(Registro!D516="Abierto",Registro!E516="Media"),RANK(H517,$H$9:$H$1000,0)+COUNTIF($H$9:H517,H517)-1+MAX(C$5:C$1000,F$5:F$1000),"")</f>
        <v/>
      </c>
      <c r="J517" s="45" t="str">
        <f>IF(AND(Registro!D516="Abierto",Registro!E516="Baja"),Registro!B516,"")</f>
        <v/>
      </c>
      <c r="K517" s="45" t="str">
        <f ca="1">IF(AND(Registro!D516="Abierto",Registro!E516="Baja"),TODAY()-Registro!R516,"")</f>
        <v/>
      </c>
      <c r="L517" s="45" t="str">
        <f>IF(AND(Registro!D516="Abierto",Registro!E516="Baja"),RANK(K517,$K$9:$K$1000,0)+COUNTIF($K$9:K517,K517)-1+MAX(C$5:C$1000,F$5:F$1000,I$5:I$1000),"")</f>
        <v/>
      </c>
      <c r="M517" s="46" t="str">
        <f>IF(OR(Registro!D516="Resuelto",Registro!D516=""),"",SUM(C517,F517,I517,L517))</f>
        <v/>
      </c>
      <c r="N517" s="46" t="str">
        <f>IF(OR(Registro!D516="Resuelto",Registro!D516=""),"",SUM(B517,E517,H517,K517))</f>
        <v/>
      </c>
      <c r="O517" s="46" t="str">
        <f>IF(OR(Registro!D516="Resuelto",Registro!D516=""),"",_xlfn.CONCAT(A517,D517,G517,J517))</f>
        <v/>
      </c>
      <c r="P517" s="47">
        <v>509</v>
      </c>
      <c r="Q517" s="47" t="str">
        <f t="shared" ca="1" si="21"/>
        <v/>
      </c>
      <c r="R517" s="48" t="str">
        <f t="shared" ca="1" si="22"/>
        <v/>
      </c>
      <c r="S517" s="32"/>
      <c r="T517" s="32"/>
      <c r="U517" s="32"/>
      <c r="V517" s="32"/>
      <c r="W517" s="47" t="str">
        <f>IF(X517="","",MAX($W$5:W516)+1)</f>
        <v/>
      </c>
      <c r="X517" s="50" t="str">
        <f>IF(Registro!M516="","",IF(COUNTIF($X$8:X516,Registro!M516)=0,Registro!M516,""))</f>
        <v/>
      </c>
      <c r="Y517" s="50" t="str">
        <f t="shared" si="23"/>
        <v/>
      </c>
    </row>
    <row r="518" spans="1:25">
      <c r="A518" s="45" t="str">
        <f>IF(AND(Registro!D517="Abierto",Registro!E517="Urgente"),Registro!B517,"")</f>
        <v/>
      </c>
      <c r="B518" s="45" t="str">
        <f ca="1">IF(AND(Registro!D517="Abierto",Registro!E517="Urgente"),TODAY()-Registro!R517,"")</f>
        <v/>
      </c>
      <c r="C518" s="45" t="str">
        <f>IF(AND(Registro!D517="Abierto",Registro!E517="Urgente"),RANK(B518,$B$9:$B$1000,0)+COUNTIF($B$9:B518,B518)-1,"")</f>
        <v/>
      </c>
      <c r="D518" s="45" t="str">
        <f>IF(AND(Registro!D517="Abierto",Registro!E517="Alta"),Registro!B517,"")</f>
        <v/>
      </c>
      <c r="E518" s="45" t="str">
        <f ca="1">IF(AND(Registro!D517="Abierto",Registro!E517="Alta"),TODAY()-Registro!R517,"")</f>
        <v/>
      </c>
      <c r="F518" s="45" t="str">
        <f>IF(AND(Registro!D517="Abierto",Registro!E517="Alta"),RANK(E518,$E$9:$E$1000,0)+COUNTIF($E$9:E518,E518)-1+MAX(C$5:C$1000),"")</f>
        <v/>
      </c>
      <c r="G518" s="45" t="str">
        <f>IF(AND(Registro!D517="Abierto",Registro!E517="Media"),Registro!B517,"")</f>
        <v/>
      </c>
      <c r="H518" s="45" t="str">
        <f ca="1">IF(AND(Registro!D517="Abierto",Registro!E517="Media"),TODAY()-Registro!R517,"")</f>
        <v/>
      </c>
      <c r="I518" s="45" t="str">
        <f>IF(AND(Registro!D517="Abierto",Registro!E517="Media"),RANK(H518,$H$9:$H$1000,0)+COUNTIF($H$9:H518,H518)-1+MAX(C$5:C$1000,F$5:F$1000),"")</f>
        <v/>
      </c>
      <c r="J518" s="45" t="str">
        <f>IF(AND(Registro!D517="Abierto",Registro!E517="Baja"),Registro!B517,"")</f>
        <v/>
      </c>
      <c r="K518" s="45" t="str">
        <f ca="1">IF(AND(Registro!D517="Abierto",Registro!E517="Baja"),TODAY()-Registro!R517,"")</f>
        <v/>
      </c>
      <c r="L518" s="45" t="str">
        <f>IF(AND(Registro!D517="Abierto",Registro!E517="Baja"),RANK(K518,$K$9:$K$1000,0)+COUNTIF($K$9:K518,K518)-1+MAX(C$5:C$1000,F$5:F$1000,I$5:I$1000),"")</f>
        <v/>
      </c>
      <c r="M518" s="46" t="str">
        <f>IF(OR(Registro!D517="Resuelto",Registro!D517=""),"",SUM(C518,F518,I518,L518))</f>
        <v/>
      </c>
      <c r="N518" s="46" t="str">
        <f>IF(OR(Registro!D517="Resuelto",Registro!D517=""),"",SUM(B518,E518,H518,K518))</f>
        <v/>
      </c>
      <c r="O518" s="46" t="str">
        <f>IF(OR(Registro!D517="Resuelto",Registro!D517=""),"",_xlfn.CONCAT(A518,D518,G518,J518))</f>
        <v/>
      </c>
      <c r="P518" s="47">
        <v>510</v>
      </c>
      <c r="Q518" s="47" t="str">
        <f t="shared" ca="1" si="21"/>
        <v/>
      </c>
      <c r="R518" s="48" t="str">
        <f t="shared" ca="1" si="22"/>
        <v/>
      </c>
      <c r="S518" s="32"/>
      <c r="T518" s="32"/>
      <c r="U518" s="32"/>
      <c r="V518" s="32"/>
      <c r="W518" s="47" t="str">
        <f>IF(X518="","",MAX($W$5:W517)+1)</f>
        <v/>
      </c>
      <c r="X518" s="50" t="str">
        <f>IF(Registro!M517="","",IF(COUNTIF($X$8:X517,Registro!M517)=0,Registro!M517,""))</f>
        <v/>
      </c>
      <c r="Y518" s="50" t="str">
        <f t="shared" si="23"/>
        <v/>
      </c>
    </row>
    <row r="519" spans="1:25">
      <c r="A519" s="45" t="str">
        <f>IF(AND(Registro!D518="Abierto",Registro!E518="Urgente"),Registro!B518,"")</f>
        <v/>
      </c>
      <c r="B519" s="45" t="str">
        <f ca="1">IF(AND(Registro!D518="Abierto",Registro!E518="Urgente"),TODAY()-Registro!R518,"")</f>
        <v/>
      </c>
      <c r="C519" s="45" t="str">
        <f>IF(AND(Registro!D518="Abierto",Registro!E518="Urgente"),RANK(B519,$B$9:$B$1000,0)+COUNTIF($B$9:B519,B519)-1,"")</f>
        <v/>
      </c>
      <c r="D519" s="45" t="str">
        <f>IF(AND(Registro!D518="Abierto",Registro!E518="Alta"),Registro!B518,"")</f>
        <v/>
      </c>
      <c r="E519" s="45" t="str">
        <f ca="1">IF(AND(Registro!D518="Abierto",Registro!E518="Alta"),TODAY()-Registro!R518,"")</f>
        <v/>
      </c>
      <c r="F519" s="45" t="str">
        <f>IF(AND(Registro!D518="Abierto",Registro!E518="Alta"),RANK(E519,$E$9:$E$1000,0)+COUNTIF($E$9:E519,E519)-1+MAX(C$5:C$1000),"")</f>
        <v/>
      </c>
      <c r="G519" s="45" t="str">
        <f>IF(AND(Registro!D518="Abierto",Registro!E518="Media"),Registro!B518,"")</f>
        <v/>
      </c>
      <c r="H519" s="45" t="str">
        <f ca="1">IF(AND(Registro!D518="Abierto",Registro!E518="Media"),TODAY()-Registro!R518,"")</f>
        <v/>
      </c>
      <c r="I519" s="45" t="str">
        <f>IF(AND(Registro!D518="Abierto",Registro!E518="Media"),RANK(H519,$H$9:$H$1000,0)+COUNTIF($H$9:H519,H519)-1+MAX(C$5:C$1000,F$5:F$1000),"")</f>
        <v/>
      </c>
      <c r="J519" s="45" t="str">
        <f>IF(AND(Registro!D518="Abierto",Registro!E518="Baja"),Registro!B518,"")</f>
        <v/>
      </c>
      <c r="K519" s="45" t="str">
        <f ca="1">IF(AND(Registro!D518="Abierto",Registro!E518="Baja"),TODAY()-Registro!R518,"")</f>
        <v/>
      </c>
      <c r="L519" s="45" t="str">
        <f>IF(AND(Registro!D518="Abierto",Registro!E518="Baja"),RANK(K519,$K$9:$K$1000,0)+COUNTIF($K$9:K519,K519)-1+MAX(C$5:C$1000,F$5:F$1000,I$5:I$1000),"")</f>
        <v/>
      </c>
      <c r="M519" s="46" t="str">
        <f>IF(OR(Registro!D518="Resuelto",Registro!D518=""),"",SUM(C519,F519,I519,L519))</f>
        <v/>
      </c>
      <c r="N519" s="46" t="str">
        <f>IF(OR(Registro!D518="Resuelto",Registro!D518=""),"",SUM(B519,E519,H519,K519))</f>
        <v/>
      </c>
      <c r="O519" s="46" t="str">
        <f>IF(OR(Registro!D518="Resuelto",Registro!D518=""),"",_xlfn.CONCAT(A519,D519,G519,J519))</f>
        <v/>
      </c>
      <c r="P519" s="47">
        <v>511</v>
      </c>
      <c r="Q519" s="47" t="str">
        <f t="shared" ca="1" si="21"/>
        <v/>
      </c>
      <c r="R519" s="48" t="str">
        <f t="shared" ca="1" si="22"/>
        <v/>
      </c>
      <c r="S519" s="32"/>
      <c r="T519" s="32"/>
      <c r="U519" s="32"/>
      <c r="V519" s="32"/>
      <c r="W519" s="47" t="str">
        <f>IF(X519="","",MAX($W$5:W518)+1)</f>
        <v/>
      </c>
      <c r="X519" s="50" t="str">
        <f>IF(Registro!M518="","",IF(COUNTIF($X$8:X518,Registro!M518)=0,Registro!M518,""))</f>
        <v/>
      </c>
      <c r="Y519" s="50" t="str">
        <f t="shared" si="23"/>
        <v/>
      </c>
    </row>
    <row r="520" spans="1:25">
      <c r="A520" s="45" t="str">
        <f>IF(AND(Registro!D519="Abierto",Registro!E519="Urgente"),Registro!B519,"")</f>
        <v/>
      </c>
      <c r="B520" s="45" t="str">
        <f ca="1">IF(AND(Registro!D519="Abierto",Registro!E519="Urgente"),TODAY()-Registro!R519,"")</f>
        <v/>
      </c>
      <c r="C520" s="45" t="str">
        <f>IF(AND(Registro!D519="Abierto",Registro!E519="Urgente"),RANK(B520,$B$9:$B$1000,0)+COUNTIF($B$9:B520,B520)-1,"")</f>
        <v/>
      </c>
      <c r="D520" s="45" t="str">
        <f>IF(AND(Registro!D519="Abierto",Registro!E519="Alta"),Registro!B519,"")</f>
        <v/>
      </c>
      <c r="E520" s="45" t="str">
        <f ca="1">IF(AND(Registro!D519="Abierto",Registro!E519="Alta"),TODAY()-Registro!R519,"")</f>
        <v/>
      </c>
      <c r="F520" s="45" t="str">
        <f>IF(AND(Registro!D519="Abierto",Registro!E519="Alta"),RANK(E520,$E$9:$E$1000,0)+COUNTIF($E$9:E520,E520)-1+MAX(C$5:C$1000),"")</f>
        <v/>
      </c>
      <c r="G520" s="45" t="str">
        <f>IF(AND(Registro!D519="Abierto",Registro!E519="Media"),Registro!B519,"")</f>
        <v/>
      </c>
      <c r="H520" s="45" t="str">
        <f ca="1">IF(AND(Registro!D519="Abierto",Registro!E519="Media"),TODAY()-Registro!R519,"")</f>
        <v/>
      </c>
      <c r="I520" s="45" t="str">
        <f>IF(AND(Registro!D519="Abierto",Registro!E519="Media"),RANK(H520,$H$9:$H$1000,0)+COUNTIF($H$9:H520,H520)-1+MAX(C$5:C$1000,F$5:F$1000),"")</f>
        <v/>
      </c>
      <c r="J520" s="45" t="str">
        <f>IF(AND(Registro!D519="Abierto",Registro!E519="Baja"),Registro!B519,"")</f>
        <v/>
      </c>
      <c r="K520" s="45" t="str">
        <f ca="1">IF(AND(Registro!D519="Abierto",Registro!E519="Baja"),TODAY()-Registro!R519,"")</f>
        <v/>
      </c>
      <c r="L520" s="45" t="str">
        <f>IF(AND(Registro!D519="Abierto",Registro!E519="Baja"),RANK(K520,$K$9:$K$1000,0)+COUNTIF($K$9:K520,K520)-1+MAX(C$5:C$1000,F$5:F$1000,I$5:I$1000),"")</f>
        <v/>
      </c>
      <c r="M520" s="46" t="str">
        <f>IF(OR(Registro!D519="Resuelto",Registro!D519=""),"",SUM(C520,F520,I520,L520))</f>
        <v/>
      </c>
      <c r="N520" s="46" t="str">
        <f>IF(OR(Registro!D519="Resuelto",Registro!D519=""),"",SUM(B520,E520,H520,K520))</f>
        <v/>
      </c>
      <c r="O520" s="46" t="str">
        <f>IF(OR(Registro!D519="Resuelto",Registro!D519=""),"",_xlfn.CONCAT(A520,D520,G520,J520))</f>
        <v/>
      </c>
      <c r="P520" s="47">
        <v>512</v>
      </c>
      <c r="Q520" s="47" t="str">
        <f t="shared" ca="1" si="21"/>
        <v/>
      </c>
      <c r="R520" s="48" t="str">
        <f t="shared" ca="1" si="22"/>
        <v/>
      </c>
      <c r="S520" s="32"/>
      <c r="T520" s="32"/>
      <c r="U520" s="32"/>
      <c r="V520" s="32"/>
      <c r="W520" s="47" t="str">
        <f>IF(X520="","",MAX($W$5:W519)+1)</f>
        <v/>
      </c>
      <c r="X520" s="50" t="str">
        <f>IF(Registro!M519="","",IF(COUNTIF($X$8:X519,Registro!M519)=0,Registro!M519,""))</f>
        <v/>
      </c>
      <c r="Y520" s="50" t="str">
        <f t="shared" si="23"/>
        <v/>
      </c>
    </row>
    <row r="521" spans="1:25">
      <c r="A521" s="45" t="str">
        <f>IF(AND(Registro!D520="Abierto",Registro!E520="Urgente"),Registro!B520,"")</f>
        <v/>
      </c>
      <c r="B521" s="45" t="str">
        <f ca="1">IF(AND(Registro!D520="Abierto",Registro!E520="Urgente"),TODAY()-Registro!R520,"")</f>
        <v/>
      </c>
      <c r="C521" s="45" t="str">
        <f>IF(AND(Registro!D520="Abierto",Registro!E520="Urgente"),RANK(B521,$B$9:$B$1000,0)+COUNTIF($B$9:B521,B521)-1,"")</f>
        <v/>
      </c>
      <c r="D521" s="45" t="str">
        <f>IF(AND(Registro!D520="Abierto",Registro!E520="Alta"),Registro!B520,"")</f>
        <v/>
      </c>
      <c r="E521" s="45" t="str">
        <f ca="1">IF(AND(Registro!D520="Abierto",Registro!E520="Alta"),TODAY()-Registro!R520,"")</f>
        <v/>
      </c>
      <c r="F521" s="45" t="str">
        <f>IF(AND(Registro!D520="Abierto",Registro!E520="Alta"),RANK(E521,$E$9:$E$1000,0)+COUNTIF($E$9:E521,E521)-1+MAX(C$5:C$1000),"")</f>
        <v/>
      </c>
      <c r="G521" s="45" t="str">
        <f>IF(AND(Registro!D520="Abierto",Registro!E520="Media"),Registro!B520,"")</f>
        <v/>
      </c>
      <c r="H521" s="45" t="str">
        <f ca="1">IF(AND(Registro!D520="Abierto",Registro!E520="Media"),TODAY()-Registro!R520,"")</f>
        <v/>
      </c>
      <c r="I521" s="45" t="str">
        <f>IF(AND(Registro!D520="Abierto",Registro!E520="Media"),RANK(H521,$H$9:$H$1000,0)+COUNTIF($H$9:H521,H521)-1+MAX(C$5:C$1000,F$5:F$1000),"")</f>
        <v/>
      </c>
      <c r="J521" s="45" t="str">
        <f>IF(AND(Registro!D520="Abierto",Registro!E520="Baja"),Registro!B520,"")</f>
        <v/>
      </c>
      <c r="K521" s="45" t="str">
        <f ca="1">IF(AND(Registro!D520="Abierto",Registro!E520="Baja"),TODAY()-Registro!R520,"")</f>
        <v/>
      </c>
      <c r="L521" s="45" t="str">
        <f>IF(AND(Registro!D520="Abierto",Registro!E520="Baja"),RANK(K521,$K$9:$K$1000,0)+COUNTIF($K$9:K521,K521)-1+MAX(C$5:C$1000,F$5:F$1000,I$5:I$1000),"")</f>
        <v/>
      </c>
      <c r="M521" s="46" t="str">
        <f>IF(OR(Registro!D520="Resuelto",Registro!D520=""),"",SUM(C521,F521,I521,L521))</f>
        <v/>
      </c>
      <c r="N521" s="46" t="str">
        <f>IF(OR(Registro!D520="Resuelto",Registro!D520=""),"",SUM(B521,E521,H521,K521))</f>
        <v/>
      </c>
      <c r="O521" s="46" t="str">
        <f>IF(OR(Registro!D520="Resuelto",Registro!D520=""),"",_xlfn.CONCAT(A521,D521,G521,J521))</f>
        <v/>
      </c>
      <c r="P521" s="47">
        <v>513</v>
      </c>
      <c r="Q521" s="47" t="str">
        <f t="shared" ref="Q521:Q584" ca="1" si="24">IF(ISNA(VLOOKUP(P521,$M$9:$O$1000,3,FALSE))=TRUE,"",VLOOKUP(P521,$M$9:$O$1000,3,FALSE))</f>
        <v/>
      </c>
      <c r="R521" s="48" t="str">
        <f t="shared" ref="R521:R584" ca="1" si="25">IF(ISNA(VLOOKUP(P521,$M$9:$O$1000,2,FALSE))=TRUE,"",VLOOKUP(P521,$M$9:$O$1000,2,FALSE))</f>
        <v/>
      </c>
      <c r="S521" s="32"/>
      <c r="T521" s="32"/>
      <c r="U521" s="32"/>
      <c r="V521" s="32"/>
      <c r="W521" s="47" t="str">
        <f>IF(X521="","",MAX($W$5:W520)+1)</f>
        <v/>
      </c>
      <c r="X521" s="50" t="str">
        <f>IF(Registro!M520="","",IF(COUNTIF($X$8:X520,Registro!M520)=0,Registro!M520,""))</f>
        <v/>
      </c>
      <c r="Y521" s="50" t="str">
        <f t="shared" ref="Y521:Y584" si="26">IF(ISNA(VLOOKUP(P521,$W$9:$X$1000,2,FALSE))=TRUE,"",VLOOKUP(P521,$W$9:$X$1000,2,FALSE))</f>
        <v/>
      </c>
    </row>
    <row r="522" spans="1:25">
      <c r="A522" s="45" t="str">
        <f>IF(AND(Registro!D521="Abierto",Registro!E521="Urgente"),Registro!B521,"")</f>
        <v/>
      </c>
      <c r="B522" s="45" t="str">
        <f ca="1">IF(AND(Registro!D521="Abierto",Registro!E521="Urgente"),TODAY()-Registro!R521,"")</f>
        <v/>
      </c>
      <c r="C522" s="45" t="str">
        <f>IF(AND(Registro!D521="Abierto",Registro!E521="Urgente"),RANK(B522,$B$9:$B$1000,0)+COUNTIF($B$9:B522,B522)-1,"")</f>
        <v/>
      </c>
      <c r="D522" s="45" t="str">
        <f>IF(AND(Registro!D521="Abierto",Registro!E521="Alta"),Registro!B521,"")</f>
        <v/>
      </c>
      <c r="E522" s="45" t="str">
        <f ca="1">IF(AND(Registro!D521="Abierto",Registro!E521="Alta"),TODAY()-Registro!R521,"")</f>
        <v/>
      </c>
      <c r="F522" s="45" t="str">
        <f>IF(AND(Registro!D521="Abierto",Registro!E521="Alta"),RANK(E522,$E$9:$E$1000,0)+COUNTIF($E$9:E522,E522)-1+MAX(C$5:C$1000),"")</f>
        <v/>
      </c>
      <c r="G522" s="45" t="str">
        <f>IF(AND(Registro!D521="Abierto",Registro!E521="Media"),Registro!B521,"")</f>
        <v/>
      </c>
      <c r="H522" s="45" t="str">
        <f ca="1">IF(AND(Registro!D521="Abierto",Registro!E521="Media"),TODAY()-Registro!R521,"")</f>
        <v/>
      </c>
      <c r="I522" s="45" t="str">
        <f>IF(AND(Registro!D521="Abierto",Registro!E521="Media"),RANK(H522,$H$9:$H$1000,0)+COUNTIF($H$9:H522,H522)-1+MAX(C$5:C$1000,F$5:F$1000),"")</f>
        <v/>
      </c>
      <c r="J522" s="45" t="str">
        <f>IF(AND(Registro!D521="Abierto",Registro!E521="Baja"),Registro!B521,"")</f>
        <v/>
      </c>
      <c r="K522" s="45" t="str">
        <f ca="1">IF(AND(Registro!D521="Abierto",Registro!E521="Baja"),TODAY()-Registro!R521,"")</f>
        <v/>
      </c>
      <c r="L522" s="45" t="str">
        <f>IF(AND(Registro!D521="Abierto",Registro!E521="Baja"),RANK(K522,$K$9:$K$1000,0)+COUNTIF($K$9:K522,K522)-1+MAX(C$5:C$1000,F$5:F$1000,I$5:I$1000),"")</f>
        <v/>
      </c>
      <c r="M522" s="46" t="str">
        <f>IF(OR(Registro!D521="Resuelto",Registro!D521=""),"",SUM(C522,F522,I522,L522))</f>
        <v/>
      </c>
      <c r="N522" s="46" t="str">
        <f>IF(OR(Registro!D521="Resuelto",Registro!D521=""),"",SUM(B522,E522,H522,K522))</f>
        <v/>
      </c>
      <c r="O522" s="46" t="str">
        <f>IF(OR(Registro!D521="Resuelto",Registro!D521=""),"",_xlfn.CONCAT(A522,D522,G522,J522))</f>
        <v/>
      </c>
      <c r="P522" s="47">
        <v>514</v>
      </c>
      <c r="Q522" s="47" t="str">
        <f t="shared" ca="1" si="24"/>
        <v/>
      </c>
      <c r="R522" s="48" t="str">
        <f t="shared" ca="1" si="25"/>
        <v/>
      </c>
      <c r="S522" s="32"/>
      <c r="T522" s="32"/>
      <c r="U522" s="32"/>
      <c r="V522" s="32"/>
      <c r="W522" s="47" t="str">
        <f>IF(X522="","",MAX($W$5:W521)+1)</f>
        <v/>
      </c>
      <c r="X522" s="50" t="str">
        <f>IF(Registro!M521="","",IF(COUNTIF($X$8:X521,Registro!M521)=0,Registro!M521,""))</f>
        <v/>
      </c>
      <c r="Y522" s="50" t="str">
        <f t="shared" si="26"/>
        <v/>
      </c>
    </row>
    <row r="523" spans="1:25">
      <c r="A523" s="45" t="str">
        <f>IF(AND(Registro!D522="Abierto",Registro!E522="Urgente"),Registro!B522,"")</f>
        <v/>
      </c>
      <c r="B523" s="45" t="str">
        <f ca="1">IF(AND(Registro!D522="Abierto",Registro!E522="Urgente"),TODAY()-Registro!R522,"")</f>
        <v/>
      </c>
      <c r="C523" s="45" t="str">
        <f>IF(AND(Registro!D522="Abierto",Registro!E522="Urgente"),RANK(B523,$B$9:$B$1000,0)+COUNTIF($B$9:B523,B523)-1,"")</f>
        <v/>
      </c>
      <c r="D523" s="45" t="str">
        <f>IF(AND(Registro!D522="Abierto",Registro!E522="Alta"),Registro!B522,"")</f>
        <v/>
      </c>
      <c r="E523" s="45" t="str">
        <f ca="1">IF(AND(Registro!D522="Abierto",Registro!E522="Alta"),TODAY()-Registro!R522,"")</f>
        <v/>
      </c>
      <c r="F523" s="45" t="str">
        <f>IF(AND(Registro!D522="Abierto",Registro!E522="Alta"),RANK(E523,$E$9:$E$1000,0)+COUNTIF($E$9:E523,E523)-1+MAX(C$5:C$1000),"")</f>
        <v/>
      </c>
      <c r="G523" s="45" t="str">
        <f>IF(AND(Registro!D522="Abierto",Registro!E522="Media"),Registro!B522,"")</f>
        <v/>
      </c>
      <c r="H523" s="45" t="str">
        <f ca="1">IF(AND(Registro!D522="Abierto",Registro!E522="Media"),TODAY()-Registro!R522,"")</f>
        <v/>
      </c>
      <c r="I523" s="45" t="str">
        <f>IF(AND(Registro!D522="Abierto",Registro!E522="Media"),RANK(H523,$H$9:$H$1000,0)+COUNTIF($H$9:H523,H523)-1+MAX(C$5:C$1000,F$5:F$1000),"")</f>
        <v/>
      </c>
      <c r="J523" s="45" t="str">
        <f>IF(AND(Registro!D522="Abierto",Registro!E522="Baja"),Registro!B522,"")</f>
        <v/>
      </c>
      <c r="K523" s="45" t="str">
        <f ca="1">IF(AND(Registro!D522="Abierto",Registro!E522="Baja"),TODAY()-Registro!R522,"")</f>
        <v/>
      </c>
      <c r="L523" s="45" t="str">
        <f>IF(AND(Registro!D522="Abierto",Registro!E522="Baja"),RANK(K523,$K$9:$K$1000,0)+COUNTIF($K$9:K523,K523)-1+MAX(C$5:C$1000,F$5:F$1000,I$5:I$1000),"")</f>
        <v/>
      </c>
      <c r="M523" s="46" t="str">
        <f>IF(OR(Registro!D522="Resuelto",Registro!D522=""),"",SUM(C523,F523,I523,L523))</f>
        <v/>
      </c>
      <c r="N523" s="46" t="str">
        <f>IF(OR(Registro!D522="Resuelto",Registro!D522=""),"",SUM(B523,E523,H523,K523))</f>
        <v/>
      </c>
      <c r="O523" s="46" t="str">
        <f>IF(OR(Registro!D522="Resuelto",Registro!D522=""),"",_xlfn.CONCAT(A523,D523,G523,J523))</f>
        <v/>
      </c>
      <c r="P523" s="47">
        <v>515</v>
      </c>
      <c r="Q523" s="47" t="str">
        <f t="shared" ca="1" si="24"/>
        <v/>
      </c>
      <c r="R523" s="48" t="str">
        <f t="shared" ca="1" si="25"/>
        <v/>
      </c>
      <c r="S523" s="32"/>
      <c r="T523" s="32"/>
      <c r="U523" s="32"/>
      <c r="V523" s="32"/>
      <c r="W523" s="47" t="str">
        <f>IF(X523="","",MAX($W$5:W522)+1)</f>
        <v/>
      </c>
      <c r="X523" s="50" t="str">
        <f>IF(Registro!M522="","",IF(COUNTIF($X$8:X522,Registro!M522)=0,Registro!M522,""))</f>
        <v/>
      </c>
      <c r="Y523" s="50" t="str">
        <f t="shared" si="26"/>
        <v/>
      </c>
    </row>
    <row r="524" spans="1:25">
      <c r="A524" s="45" t="str">
        <f>IF(AND(Registro!D523="Abierto",Registro!E523="Urgente"),Registro!B523,"")</f>
        <v/>
      </c>
      <c r="B524" s="45" t="str">
        <f ca="1">IF(AND(Registro!D523="Abierto",Registro!E523="Urgente"),TODAY()-Registro!R523,"")</f>
        <v/>
      </c>
      <c r="C524" s="45" t="str">
        <f>IF(AND(Registro!D523="Abierto",Registro!E523="Urgente"),RANK(B524,$B$9:$B$1000,0)+COUNTIF($B$9:B524,B524)-1,"")</f>
        <v/>
      </c>
      <c r="D524" s="45" t="str">
        <f>IF(AND(Registro!D523="Abierto",Registro!E523="Alta"),Registro!B523,"")</f>
        <v/>
      </c>
      <c r="E524" s="45" t="str">
        <f ca="1">IF(AND(Registro!D523="Abierto",Registro!E523="Alta"),TODAY()-Registro!R523,"")</f>
        <v/>
      </c>
      <c r="F524" s="45" t="str">
        <f>IF(AND(Registro!D523="Abierto",Registro!E523="Alta"),RANK(E524,$E$9:$E$1000,0)+COUNTIF($E$9:E524,E524)-1+MAX(C$5:C$1000),"")</f>
        <v/>
      </c>
      <c r="G524" s="45" t="str">
        <f>IF(AND(Registro!D523="Abierto",Registro!E523="Media"),Registro!B523,"")</f>
        <v/>
      </c>
      <c r="H524" s="45" t="str">
        <f ca="1">IF(AND(Registro!D523="Abierto",Registro!E523="Media"),TODAY()-Registro!R523,"")</f>
        <v/>
      </c>
      <c r="I524" s="45" t="str">
        <f>IF(AND(Registro!D523="Abierto",Registro!E523="Media"),RANK(H524,$H$9:$H$1000,0)+COUNTIF($H$9:H524,H524)-1+MAX(C$5:C$1000,F$5:F$1000),"")</f>
        <v/>
      </c>
      <c r="J524" s="45" t="str">
        <f>IF(AND(Registro!D523="Abierto",Registro!E523="Baja"),Registro!B523,"")</f>
        <v/>
      </c>
      <c r="K524" s="45" t="str">
        <f ca="1">IF(AND(Registro!D523="Abierto",Registro!E523="Baja"),TODAY()-Registro!R523,"")</f>
        <v/>
      </c>
      <c r="L524" s="45" t="str">
        <f>IF(AND(Registro!D523="Abierto",Registro!E523="Baja"),RANK(K524,$K$9:$K$1000,0)+COUNTIF($K$9:K524,K524)-1+MAX(C$5:C$1000,F$5:F$1000,I$5:I$1000),"")</f>
        <v/>
      </c>
      <c r="M524" s="46" t="str">
        <f>IF(OR(Registro!D523="Resuelto",Registro!D523=""),"",SUM(C524,F524,I524,L524))</f>
        <v/>
      </c>
      <c r="N524" s="46" t="str">
        <f>IF(OR(Registro!D523="Resuelto",Registro!D523=""),"",SUM(B524,E524,H524,K524))</f>
        <v/>
      </c>
      <c r="O524" s="46" t="str">
        <f>IF(OR(Registro!D523="Resuelto",Registro!D523=""),"",_xlfn.CONCAT(A524,D524,G524,J524))</f>
        <v/>
      </c>
      <c r="P524" s="47">
        <v>516</v>
      </c>
      <c r="Q524" s="47" t="str">
        <f t="shared" ca="1" si="24"/>
        <v/>
      </c>
      <c r="R524" s="48" t="str">
        <f t="shared" ca="1" si="25"/>
        <v/>
      </c>
      <c r="S524" s="32"/>
      <c r="T524" s="32"/>
      <c r="U524" s="32"/>
      <c r="V524" s="32"/>
      <c r="W524" s="47" t="str">
        <f>IF(X524="","",MAX($W$5:W523)+1)</f>
        <v/>
      </c>
      <c r="X524" s="50" t="str">
        <f>IF(Registro!M523="","",IF(COUNTIF($X$8:X523,Registro!M523)=0,Registro!M523,""))</f>
        <v/>
      </c>
      <c r="Y524" s="50" t="str">
        <f t="shared" si="26"/>
        <v/>
      </c>
    </row>
    <row r="525" spans="1:25">
      <c r="A525" s="45" t="str">
        <f>IF(AND(Registro!D524="Abierto",Registro!E524="Urgente"),Registro!B524,"")</f>
        <v/>
      </c>
      <c r="B525" s="45" t="str">
        <f ca="1">IF(AND(Registro!D524="Abierto",Registro!E524="Urgente"),TODAY()-Registro!R524,"")</f>
        <v/>
      </c>
      <c r="C525" s="45" t="str">
        <f>IF(AND(Registro!D524="Abierto",Registro!E524="Urgente"),RANK(B525,$B$9:$B$1000,0)+COUNTIF($B$9:B525,B525)-1,"")</f>
        <v/>
      </c>
      <c r="D525" s="45" t="str">
        <f>IF(AND(Registro!D524="Abierto",Registro!E524="Alta"),Registro!B524,"")</f>
        <v/>
      </c>
      <c r="E525" s="45" t="str">
        <f ca="1">IF(AND(Registro!D524="Abierto",Registro!E524="Alta"),TODAY()-Registro!R524,"")</f>
        <v/>
      </c>
      <c r="F525" s="45" t="str">
        <f>IF(AND(Registro!D524="Abierto",Registro!E524="Alta"),RANK(E525,$E$9:$E$1000,0)+COUNTIF($E$9:E525,E525)-1+MAX(C$5:C$1000),"")</f>
        <v/>
      </c>
      <c r="G525" s="45" t="str">
        <f>IF(AND(Registro!D524="Abierto",Registro!E524="Media"),Registro!B524,"")</f>
        <v/>
      </c>
      <c r="H525" s="45" t="str">
        <f ca="1">IF(AND(Registro!D524="Abierto",Registro!E524="Media"),TODAY()-Registro!R524,"")</f>
        <v/>
      </c>
      <c r="I525" s="45" t="str">
        <f>IF(AND(Registro!D524="Abierto",Registro!E524="Media"),RANK(H525,$H$9:$H$1000,0)+COUNTIF($H$9:H525,H525)-1+MAX(C$5:C$1000,F$5:F$1000),"")</f>
        <v/>
      </c>
      <c r="J525" s="45" t="str">
        <f>IF(AND(Registro!D524="Abierto",Registro!E524="Baja"),Registro!B524,"")</f>
        <v/>
      </c>
      <c r="K525" s="45" t="str">
        <f ca="1">IF(AND(Registro!D524="Abierto",Registro!E524="Baja"),TODAY()-Registro!R524,"")</f>
        <v/>
      </c>
      <c r="L525" s="45" t="str">
        <f>IF(AND(Registro!D524="Abierto",Registro!E524="Baja"),RANK(K525,$K$9:$K$1000,0)+COUNTIF($K$9:K525,K525)-1+MAX(C$5:C$1000,F$5:F$1000,I$5:I$1000),"")</f>
        <v/>
      </c>
      <c r="M525" s="46" t="str">
        <f>IF(OR(Registro!D524="Resuelto",Registro!D524=""),"",SUM(C525,F525,I525,L525))</f>
        <v/>
      </c>
      <c r="N525" s="46" t="str">
        <f>IF(OR(Registro!D524="Resuelto",Registro!D524=""),"",SUM(B525,E525,H525,K525))</f>
        <v/>
      </c>
      <c r="O525" s="46" t="str">
        <f>IF(OR(Registro!D524="Resuelto",Registro!D524=""),"",_xlfn.CONCAT(A525,D525,G525,J525))</f>
        <v/>
      </c>
      <c r="P525" s="47">
        <v>517</v>
      </c>
      <c r="Q525" s="47" t="str">
        <f t="shared" ca="1" si="24"/>
        <v/>
      </c>
      <c r="R525" s="48" t="str">
        <f t="shared" ca="1" si="25"/>
        <v/>
      </c>
      <c r="S525" s="32"/>
      <c r="T525" s="32"/>
      <c r="U525" s="32"/>
      <c r="V525" s="32"/>
      <c r="W525" s="47" t="str">
        <f>IF(X525="","",MAX($W$5:W524)+1)</f>
        <v/>
      </c>
      <c r="X525" s="50" t="str">
        <f>IF(Registro!M524="","",IF(COUNTIF($X$8:X524,Registro!M524)=0,Registro!M524,""))</f>
        <v/>
      </c>
      <c r="Y525" s="50" t="str">
        <f t="shared" si="26"/>
        <v/>
      </c>
    </row>
    <row r="526" spans="1:25">
      <c r="A526" s="45" t="str">
        <f>IF(AND(Registro!D525="Abierto",Registro!E525="Urgente"),Registro!B525,"")</f>
        <v/>
      </c>
      <c r="B526" s="45" t="str">
        <f ca="1">IF(AND(Registro!D525="Abierto",Registro!E525="Urgente"),TODAY()-Registro!R525,"")</f>
        <v/>
      </c>
      <c r="C526" s="45" t="str">
        <f>IF(AND(Registro!D525="Abierto",Registro!E525="Urgente"),RANK(B526,$B$9:$B$1000,0)+COUNTIF($B$9:B526,B526)-1,"")</f>
        <v/>
      </c>
      <c r="D526" s="45" t="str">
        <f>IF(AND(Registro!D525="Abierto",Registro!E525="Alta"),Registro!B525,"")</f>
        <v/>
      </c>
      <c r="E526" s="45" t="str">
        <f ca="1">IF(AND(Registro!D525="Abierto",Registro!E525="Alta"),TODAY()-Registro!R525,"")</f>
        <v/>
      </c>
      <c r="F526" s="45" t="str">
        <f>IF(AND(Registro!D525="Abierto",Registro!E525="Alta"),RANK(E526,$E$9:$E$1000,0)+COUNTIF($E$9:E526,E526)-1+MAX(C$5:C$1000),"")</f>
        <v/>
      </c>
      <c r="G526" s="45" t="str">
        <f>IF(AND(Registro!D525="Abierto",Registro!E525="Media"),Registro!B525,"")</f>
        <v/>
      </c>
      <c r="H526" s="45" t="str">
        <f ca="1">IF(AND(Registro!D525="Abierto",Registro!E525="Media"),TODAY()-Registro!R525,"")</f>
        <v/>
      </c>
      <c r="I526" s="45" t="str">
        <f>IF(AND(Registro!D525="Abierto",Registro!E525="Media"),RANK(H526,$H$9:$H$1000,0)+COUNTIF($H$9:H526,H526)-1+MAX(C$5:C$1000,F$5:F$1000),"")</f>
        <v/>
      </c>
      <c r="J526" s="45" t="str">
        <f>IF(AND(Registro!D525="Abierto",Registro!E525="Baja"),Registro!B525,"")</f>
        <v/>
      </c>
      <c r="K526" s="45" t="str">
        <f ca="1">IF(AND(Registro!D525="Abierto",Registro!E525="Baja"),TODAY()-Registro!R525,"")</f>
        <v/>
      </c>
      <c r="L526" s="45" t="str">
        <f>IF(AND(Registro!D525="Abierto",Registro!E525="Baja"),RANK(K526,$K$9:$K$1000,0)+COUNTIF($K$9:K526,K526)-1+MAX(C$5:C$1000,F$5:F$1000,I$5:I$1000),"")</f>
        <v/>
      </c>
      <c r="M526" s="46" t="str">
        <f>IF(OR(Registro!D525="Resuelto",Registro!D525=""),"",SUM(C526,F526,I526,L526))</f>
        <v/>
      </c>
      <c r="N526" s="46" t="str">
        <f>IF(OR(Registro!D525="Resuelto",Registro!D525=""),"",SUM(B526,E526,H526,K526))</f>
        <v/>
      </c>
      <c r="O526" s="46" t="str">
        <f>IF(OR(Registro!D525="Resuelto",Registro!D525=""),"",_xlfn.CONCAT(A526,D526,G526,J526))</f>
        <v/>
      </c>
      <c r="P526" s="47">
        <v>518</v>
      </c>
      <c r="Q526" s="47" t="str">
        <f t="shared" ca="1" si="24"/>
        <v/>
      </c>
      <c r="R526" s="48" t="str">
        <f t="shared" ca="1" si="25"/>
        <v/>
      </c>
      <c r="S526" s="32"/>
      <c r="T526" s="32"/>
      <c r="U526" s="32"/>
      <c r="V526" s="32"/>
      <c r="W526" s="47" t="str">
        <f>IF(X526="","",MAX($W$5:W525)+1)</f>
        <v/>
      </c>
      <c r="X526" s="50" t="str">
        <f>IF(Registro!M525="","",IF(COUNTIF($X$8:X525,Registro!M525)=0,Registro!M525,""))</f>
        <v/>
      </c>
      <c r="Y526" s="50" t="str">
        <f t="shared" si="26"/>
        <v/>
      </c>
    </row>
    <row r="527" spans="1:25">
      <c r="A527" s="45" t="str">
        <f>IF(AND(Registro!D526="Abierto",Registro!E526="Urgente"),Registro!B526,"")</f>
        <v/>
      </c>
      <c r="B527" s="45" t="str">
        <f ca="1">IF(AND(Registro!D526="Abierto",Registro!E526="Urgente"),TODAY()-Registro!R526,"")</f>
        <v/>
      </c>
      <c r="C527" s="45" t="str">
        <f>IF(AND(Registro!D526="Abierto",Registro!E526="Urgente"),RANK(B527,$B$9:$B$1000,0)+COUNTIF($B$9:B527,B527)-1,"")</f>
        <v/>
      </c>
      <c r="D527" s="45" t="str">
        <f>IF(AND(Registro!D526="Abierto",Registro!E526="Alta"),Registro!B526,"")</f>
        <v/>
      </c>
      <c r="E527" s="45" t="str">
        <f ca="1">IF(AND(Registro!D526="Abierto",Registro!E526="Alta"),TODAY()-Registro!R526,"")</f>
        <v/>
      </c>
      <c r="F527" s="45" t="str">
        <f>IF(AND(Registro!D526="Abierto",Registro!E526="Alta"),RANK(E527,$E$9:$E$1000,0)+COUNTIF($E$9:E527,E527)-1+MAX(C$5:C$1000),"")</f>
        <v/>
      </c>
      <c r="G527" s="45" t="str">
        <f>IF(AND(Registro!D526="Abierto",Registro!E526="Media"),Registro!B526,"")</f>
        <v/>
      </c>
      <c r="H527" s="45" t="str">
        <f ca="1">IF(AND(Registro!D526="Abierto",Registro!E526="Media"),TODAY()-Registro!R526,"")</f>
        <v/>
      </c>
      <c r="I527" s="45" t="str">
        <f>IF(AND(Registro!D526="Abierto",Registro!E526="Media"),RANK(H527,$H$9:$H$1000,0)+COUNTIF($H$9:H527,H527)-1+MAX(C$5:C$1000,F$5:F$1000),"")</f>
        <v/>
      </c>
      <c r="J527" s="45" t="str">
        <f>IF(AND(Registro!D526="Abierto",Registro!E526="Baja"),Registro!B526,"")</f>
        <v/>
      </c>
      <c r="K527" s="45" t="str">
        <f ca="1">IF(AND(Registro!D526="Abierto",Registro!E526="Baja"),TODAY()-Registro!R526,"")</f>
        <v/>
      </c>
      <c r="L527" s="45" t="str">
        <f>IF(AND(Registro!D526="Abierto",Registro!E526="Baja"),RANK(K527,$K$9:$K$1000,0)+COUNTIF($K$9:K527,K527)-1+MAX(C$5:C$1000,F$5:F$1000,I$5:I$1000),"")</f>
        <v/>
      </c>
      <c r="M527" s="46" t="str">
        <f>IF(OR(Registro!D526="Resuelto",Registro!D526=""),"",SUM(C527,F527,I527,L527))</f>
        <v/>
      </c>
      <c r="N527" s="46" t="str">
        <f>IF(OR(Registro!D526="Resuelto",Registro!D526=""),"",SUM(B527,E527,H527,K527))</f>
        <v/>
      </c>
      <c r="O527" s="46" t="str">
        <f>IF(OR(Registro!D526="Resuelto",Registro!D526=""),"",_xlfn.CONCAT(A527,D527,G527,J527))</f>
        <v/>
      </c>
      <c r="P527" s="47">
        <v>519</v>
      </c>
      <c r="Q527" s="47" t="str">
        <f t="shared" ca="1" si="24"/>
        <v/>
      </c>
      <c r="R527" s="48" t="str">
        <f t="shared" ca="1" si="25"/>
        <v/>
      </c>
      <c r="S527" s="32"/>
      <c r="T527" s="32"/>
      <c r="U527" s="32"/>
      <c r="V527" s="32"/>
      <c r="W527" s="47" t="str">
        <f>IF(X527="","",MAX($W$5:W526)+1)</f>
        <v/>
      </c>
      <c r="X527" s="50" t="str">
        <f>IF(Registro!M526="","",IF(COUNTIF($X$8:X526,Registro!M526)=0,Registro!M526,""))</f>
        <v/>
      </c>
      <c r="Y527" s="50" t="str">
        <f t="shared" si="26"/>
        <v/>
      </c>
    </row>
    <row r="528" spans="1:25">
      <c r="A528" s="45" t="str">
        <f>IF(AND(Registro!D527="Abierto",Registro!E527="Urgente"),Registro!B527,"")</f>
        <v/>
      </c>
      <c r="B528" s="45" t="str">
        <f ca="1">IF(AND(Registro!D527="Abierto",Registro!E527="Urgente"),TODAY()-Registro!R527,"")</f>
        <v/>
      </c>
      <c r="C528" s="45" t="str">
        <f>IF(AND(Registro!D527="Abierto",Registro!E527="Urgente"),RANK(B528,$B$9:$B$1000,0)+COUNTIF($B$9:B528,B528)-1,"")</f>
        <v/>
      </c>
      <c r="D528" s="45" t="str">
        <f>IF(AND(Registro!D527="Abierto",Registro!E527="Alta"),Registro!B527,"")</f>
        <v/>
      </c>
      <c r="E528" s="45" t="str">
        <f ca="1">IF(AND(Registro!D527="Abierto",Registro!E527="Alta"),TODAY()-Registro!R527,"")</f>
        <v/>
      </c>
      <c r="F528" s="45" t="str">
        <f>IF(AND(Registro!D527="Abierto",Registro!E527="Alta"),RANK(E528,$E$9:$E$1000,0)+COUNTIF($E$9:E528,E528)-1+MAX(C$5:C$1000),"")</f>
        <v/>
      </c>
      <c r="G528" s="45" t="str">
        <f>IF(AND(Registro!D527="Abierto",Registro!E527="Media"),Registro!B527,"")</f>
        <v/>
      </c>
      <c r="H528" s="45" t="str">
        <f ca="1">IF(AND(Registro!D527="Abierto",Registro!E527="Media"),TODAY()-Registro!R527,"")</f>
        <v/>
      </c>
      <c r="I528" s="45" t="str">
        <f>IF(AND(Registro!D527="Abierto",Registro!E527="Media"),RANK(H528,$H$9:$H$1000,0)+COUNTIF($H$9:H528,H528)-1+MAX(C$5:C$1000,F$5:F$1000),"")</f>
        <v/>
      </c>
      <c r="J528" s="45" t="str">
        <f>IF(AND(Registro!D527="Abierto",Registro!E527="Baja"),Registro!B527,"")</f>
        <v/>
      </c>
      <c r="K528" s="45" t="str">
        <f ca="1">IF(AND(Registro!D527="Abierto",Registro!E527="Baja"),TODAY()-Registro!R527,"")</f>
        <v/>
      </c>
      <c r="L528" s="45" t="str">
        <f>IF(AND(Registro!D527="Abierto",Registro!E527="Baja"),RANK(K528,$K$9:$K$1000,0)+COUNTIF($K$9:K528,K528)-1+MAX(C$5:C$1000,F$5:F$1000,I$5:I$1000),"")</f>
        <v/>
      </c>
      <c r="M528" s="46" t="str">
        <f>IF(OR(Registro!D527="Resuelto",Registro!D527=""),"",SUM(C528,F528,I528,L528))</f>
        <v/>
      </c>
      <c r="N528" s="46" t="str">
        <f>IF(OR(Registro!D527="Resuelto",Registro!D527=""),"",SUM(B528,E528,H528,K528))</f>
        <v/>
      </c>
      <c r="O528" s="46" t="str">
        <f>IF(OR(Registro!D527="Resuelto",Registro!D527=""),"",_xlfn.CONCAT(A528,D528,G528,J528))</f>
        <v/>
      </c>
      <c r="P528" s="47">
        <v>520</v>
      </c>
      <c r="Q528" s="47" t="str">
        <f t="shared" ca="1" si="24"/>
        <v/>
      </c>
      <c r="R528" s="48" t="str">
        <f t="shared" ca="1" si="25"/>
        <v/>
      </c>
      <c r="S528" s="32"/>
      <c r="T528" s="32"/>
      <c r="U528" s="32"/>
      <c r="V528" s="32"/>
      <c r="W528" s="47" t="str">
        <f>IF(X528="","",MAX($W$5:W527)+1)</f>
        <v/>
      </c>
      <c r="X528" s="50" t="str">
        <f>IF(Registro!M527="","",IF(COUNTIF($X$8:X527,Registro!M527)=0,Registro!M527,""))</f>
        <v/>
      </c>
      <c r="Y528" s="50" t="str">
        <f t="shared" si="26"/>
        <v/>
      </c>
    </row>
    <row r="529" spans="1:25">
      <c r="A529" s="45" t="str">
        <f>IF(AND(Registro!D528="Abierto",Registro!E528="Urgente"),Registro!B528,"")</f>
        <v/>
      </c>
      <c r="B529" s="45" t="str">
        <f ca="1">IF(AND(Registro!D528="Abierto",Registro!E528="Urgente"),TODAY()-Registro!R528,"")</f>
        <v/>
      </c>
      <c r="C529" s="45" t="str">
        <f>IF(AND(Registro!D528="Abierto",Registro!E528="Urgente"),RANK(B529,$B$9:$B$1000,0)+COUNTIF($B$9:B529,B529)-1,"")</f>
        <v/>
      </c>
      <c r="D529" s="45" t="str">
        <f>IF(AND(Registro!D528="Abierto",Registro!E528="Alta"),Registro!B528,"")</f>
        <v/>
      </c>
      <c r="E529" s="45" t="str">
        <f ca="1">IF(AND(Registro!D528="Abierto",Registro!E528="Alta"),TODAY()-Registro!R528,"")</f>
        <v/>
      </c>
      <c r="F529" s="45" t="str">
        <f>IF(AND(Registro!D528="Abierto",Registro!E528="Alta"),RANK(E529,$E$9:$E$1000,0)+COUNTIF($E$9:E529,E529)-1+MAX(C$5:C$1000),"")</f>
        <v/>
      </c>
      <c r="G529" s="45" t="str">
        <f>IF(AND(Registro!D528="Abierto",Registro!E528="Media"),Registro!B528,"")</f>
        <v/>
      </c>
      <c r="H529" s="45" t="str">
        <f ca="1">IF(AND(Registro!D528="Abierto",Registro!E528="Media"),TODAY()-Registro!R528,"")</f>
        <v/>
      </c>
      <c r="I529" s="45" t="str">
        <f>IF(AND(Registro!D528="Abierto",Registro!E528="Media"),RANK(H529,$H$9:$H$1000,0)+COUNTIF($H$9:H529,H529)-1+MAX(C$5:C$1000,F$5:F$1000),"")</f>
        <v/>
      </c>
      <c r="J529" s="45" t="str">
        <f>IF(AND(Registro!D528="Abierto",Registro!E528="Baja"),Registro!B528,"")</f>
        <v/>
      </c>
      <c r="K529" s="45" t="str">
        <f ca="1">IF(AND(Registro!D528="Abierto",Registro!E528="Baja"),TODAY()-Registro!R528,"")</f>
        <v/>
      </c>
      <c r="L529" s="45" t="str">
        <f>IF(AND(Registro!D528="Abierto",Registro!E528="Baja"),RANK(K529,$K$9:$K$1000,0)+COUNTIF($K$9:K529,K529)-1+MAX(C$5:C$1000,F$5:F$1000,I$5:I$1000),"")</f>
        <v/>
      </c>
      <c r="M529" s="46" t="str">
        <f>IF(OR(Registro!D528="Resuelto",Registro!D528=""),"",SUM(C529,F529,I529,L529))</f>
        <v/>
      </c>
      <c r="N529" s="46" t="str">
        <f>IF(OR(Registro!D528="Resuelto",Registro!D528=""),"",SUM(B529,E529,H529,K529))</f>
        <v/>
      </c>
      <c r="O529" s="46" t="str">
        <f>IF(OR(Registro!D528="Resuelto",Registro!D528=""),"",_xlfn.CONCAT(A529,D529,G529,J529))</f>
        <v/>
      </c>
      <c r="P529" s="47">
        <v>521</v>
      </c>
      <c r="Q529" s="47" t="str">
        <f t="shared" ca="1" si="24"/>
        <v/>
      </c>
      <c r="R529" s="48" t="str">
        <f t="shared" ca="1" si="25"/>
        <v/>
      </c>
      <c r="S529" s="32"/>
      <c r="T529" s="32"/>
      <c r="U529" s="32"/>
      <c r="V529" s="32"/>
      <c r="W529" s="47" t="str">
        <f>IF(X529="","",MAX($W$5:W528)+1)</f>
        <v/>
      </c>
      <c r="X529" s="50" t="str">
        <f>IF(Registro!M528="","",IF(COUNTIF($X$8:X528,Registro!M528)=0,Registro!M528,""))</f>
        <v/>
      </c>
      <c r="Y529" s="50" t="str">
        <f t="shared" si="26"/>
        <v/>
      </c>
    </row>
    <row r="530" spans="1:25">
      <c r="A530" s="45" t="str">
        <f>IF(AND(Registro!D529="Abierto",Registro!E529="Urgente"),Registro!B529,"")</f>
        <v/>
      </c>
      <c r="B530" s="45" t="str">
        <f ca="1">IF(AND(Registro!D529="Abierto",Registro!E529="Urgente"),TODAY()-Registro!R529,"")</f>
        <v/>
      </c>
      <c r="C530" s="45" t="str">
        <f>IF(AND(Registro!D529="Abierto",Registro!E529="Urgente"),RANK(B530,$B$9:$B$1000,0)+COUNTIF($B$9:B530,B530)-1,"")</f>
        <v/>
      </c>
      <c r="D530" s="45" t="str">
        <f>IF(AND(Registro!D529="Abierto",Registro!E529="Alta"),Registro!B529,"")</f>
        <v/>
      </c>
      <c r="E530" s="45" t="str">
        <f ca="1">IF(AND(Registro!D529="Abierto",Registro!E529="Alta"),TODAY()-Registro!R529,"")</f>
        <v/>
      </c>
      <c r="F530" s="45" t="str">
        <f>IF(AND(Registro!D529="Abierto",Registro!E529="Alta"),RANK(E530,$E$9:$E$1000,0)+COUNTIF($E$9:E530,E530)-1+MAX(C$5:C$1000),"")</f>
        <v/>
      </c>
      <c r="G530" s="45" t="str">
        <f>IF(AND(Registro!D529="Abierto",Registro!E529="Media"),Registro!B529,"")</f>
        <v/>
      </c>
      <c r="H530" s="45" t="str">
        <f ca="1">IF(AND(Registro!D529="Abierto",Registro!E529="Media"),TODAY()-Registro!R529,"")</f>
        <v/>
      </c>
      <c r="I530" s="45" t="str">
        <f>IF(AND(Registro!D529="Abierto",Registro!E529="Media"),RANK(H530,$H$9:$H$1000,0)+COUNTIF($H$9:H530,H530)-1+MAX(C$5:C$1000,F$5:F$1000),"")</f>
        <v/>
      </c>
      <c r="J530" s="45" t="str">
        <f>IF(AND(Registro!D529="Abierto",Registro!E529="Baja"),Registro!B529,"")</f>
        <v/>
      </c>
      <c r="K530" s="45" t="str">
        <f ca="1">IF(AND(Registro!D529="Abierto",Registro!E529="Baja"),TODAY()-Registro!R529,"")</f>
        <v/>
      </c>
      <c r="L530" s="45" t="str">
        <f>IF(AND(Registro!D529="Abierto",Registro!E529="Baja"),RANK(K530,$K$9:$K$1000,0)+COUNTIF($K$9:K530,K530)-1+MAX(C$5:C$1000,F$5:F$1000,I$5:I$1000),"")</f>
        <v/>
      </c>
      <c r="M530" s="46" t="str">
        <f>IF(OR(Registro!D529="Resuelto",Registro!D529=""),"",SUM(C530,F530,I530,L530))</f>
        <v/>
      </c>
      <c r="N530" s="46" t="str">
        <f>IF(OR(Registro!D529="Resuelto",Registro!D529=""),"",SUM(B530,E530,H530,K530))</f>
        <v/>
      </c>
      <c r="O530" s="46" t="str">
        <f>IF(OR(Registro!D529="Resuelto",Registro!D529=""),"",_xlfn.CONCAT(A530,D530,G530,J530))</f>
        <v/>
      </c>
      <c r="P530" s="47">
        <v>522</v>
      </c>
      <c r="Q530" s="47" t="str">
        <f t="shared" ca="1" si="24"/>
        <v/>
      </c>
      <c r="R530" s="48" t="str">
        <f t="shared" ca="1" si="25"/>
        <v/>
      </c>
      <c r="S530" s="32"/>
      <c r="T530" s="32"/>
      <c r="U530" s="32"/>
      <c r="V530" s="32"/>
      <c r="W530" s="47" t="str">
        <f>IF(X530="","",MAX($W$5:W529)+1)</f>
        <v/>
      </c>
      <c r="X530" s="50" t="str">
        <f>IF(Registro!M529="","",IF(COUNTIF($X$8:X529,Registro!M529)=0,Registro!M529,""))</f>
        <v/>
      </c>
      <c r="Y530" s="50" t="str">
        <f t="shared" si="26"/>
        <v/>
      </c>
    </row>
    <row r="531" spans="1:25">
      <c r="A531" s="45" t="str">
        <f>IF(AND(Registro!D530="Abierto",Registro!E530="Urgente"),Registro!B530,"")</f>
        <v/>
      </c>
      <c r="B531" s="45" t="str">
        <f ca="1">IF(AND(Registro!D530="Abierto",Registro!E530="Urgente"),TODAY()-Registro!R530,"")</f>
        <v/>
      </c>
      <c r="C531" s="45" t="str">
        <f>IF(AND(Registro!D530="Abierto",Registro!E530="Urgente"),RANK(B531,$B$9:$B$1000,0)+COUNTIF($B$9:B531,B531)-1,"")</f>
        <v/>
      </c>
      <c r="D531" s="45" t="str">
        <f>IF(AND(Registro!D530="Abierto",Registro!E530="Alta"),Registro!B530,"")</f>
        <v/>
      </c>
      <c r="E531" s="45" t="str">
        <f ca="1">IF(AND(Registro!D530="Abierto",Registro!E530="Alta"),TODAY()-Registro!R530,"")</f>
        <v/>
      </c>
      <c r="F531" s="45" t="str">
        <f>IF(AND(Registro!D530="Abierto",Registro!E530="Alta"),RANK(E531,$E$9:$E$1000,0)+COUNTIF($E$9:E531,E531)-1+MAX(C$5:C$1000),"")</f>
        <v/>
      </c>
      <c r="G531" s="45" t="str">
        <f>IF(AND(Registro!D530="Abierto",Registro!E530="Media"),Registro!B530,"")</f>
        <v/>
      </c>
      <c r="H531" s="45" t="str">
        <f ca="1">IF(AND(Registro!D530="Abierto",Registro!E530="Media"),TODAY()-Registro!R530,"")</f>
        <v/>
      </c>
      <c r="I531" s="45" t="str">
        <f>IF(AND(Registro!D530="Abierto",Registro!E530="Media"),RANK(H531,$H$9:$H$1000,0)+COUNTIF($H$9:H531,H531)-1+MAX(C$5:C$1000,F$5:F$1000),"")</f>
        <v/>
      </c>
      <c r="J531" s="45" t="str">
        <f>IF(AND(Registro!D530="Abierto",Registro!E530="Baja"),Registro!B530,"")</f>
        <v/>
      </c>
      <c r="K531" s="45" t="str">
        <f ca="1">IF(AND(Registro!D530="Abierto",Registro!E530="Baja"),TODAY()-Registro!R530,"")</f>
        <v/>
      </c>
      <c r="L531" s="45" t="str">
        <f>IF(AND(Registro!D530="Abierto",Registro!E530="Baja"),RANK(K531,$K$9:$K$1000,0)+COUNTIF($K$9:K531,K531)-1+MAX(C$5:C$1000,F$5:F$1000,I$5:I$1000),"")</f>
        <v/>
      </c>
      <c r="M531" s="46" t="str">
        <f>IF(OR(Registro!D530="Resuelto",Registro!D530=""),"",SUM(C531,F531,I531,L531))</f>
        <v/>
      </c>
      <c r="N531" s="46" t="str">
        <f>IF(OR(Registro!D530="Resuelto",Registro!D530=""),"",SUM(B531,E531,H531,K531))</f>
        <v/>
      </c>
      <c r="O531" s="46" t="str">
        <f>IF(OR(Registro!D530="Resuelto",Registro!D530=""),"",_xlfn.CONCAT(A531,D531,G531,J531))</f>
        <v/>
      </c>
      <c r="P531" s="47">
        <v>523</v>
      </c>
      <c r="Q531" s="47" t="str">
        <f t="shared" ca="1" si="24"/>
        <v/>
      </c>
      <c r="R531" s="48" t="str">
        <f t="shared" ca="1" si="25"/>
        <v/>
      </c>
      <c r="S531" s="32"/>
      <c r="T531" s="32"/>
      <c r="U531" s="32"/>
      <c r="V531" s="32"/>
      <c r="W531" s="47" t="str">
        <f>IF(X531="","",MAX($W$5:W530)+1)</f>
        <v/>
      </c>
      <c r="X531" s="50" t="str">
        <f>IF(Registro!M530="","",IF(COUNTIF($X$8:X530,Registro!M530)=0,Registro!M530,""))</f>
        <v/>
      </c>
      <c r="Y531" s="50" t="str">
        <f t="shared" si="26"/>
        <v/>
      </c>
    </row>
    <row r="532" spans="1:25">
      <c r="A532" s="45" t="str">
        <f>IF(AND(Registro!D531="Abierto",Registro!E531="Urgente"),Registro!B531,"")</f>
        <v/>
      </c>
      <c r="B532" s="45" t="str">
        <f ca="1">IF(AND(Registro!D531="Abierto",Registro!E531="Urgente"),TODAY()-Registro!R531,"")</f>
        <v/>
      </c>
      <c r="C532" s="45" t="str">
        <f>IF(AND(Registro!D531="Abierto",Registro!E531="Urgente"),RANK(B532,$B$9:$B$1000,0)+COUNTIF($B$9:B532,B532)-1,"")</f>
        <v/>
      </c>
      <c r="D532" s="45" t="str">
        <f>IF(AND(Registro!D531="Abierto",Registro!E531="Alta"),Registro!B531,"")</f>
        <v/>
      </c>
      <c r="E532" s="45" t="str">
        <f ca="1">IF(AND(Registro!D531="Abierto",Registro!E531="Alta"),TODAY()-Registro!R531,"")</f>
        <v/>
      </c>
      <c r="F532" s="45" t="str">
        <f>IF(AND(Registro!D531="Abierto",Registro!E531="Alta"),RANK(E532,$E$9:$E$1000,0)+COUNTIF($E$9:E532,E532)-1+MAX(C$5:C$1000),"")</f>
        <v/>
      </c>
      <c r="G532" s="45" t="str">
        <f>IF(AND(Registro!D531="Abierto",Registro!E531="Media"),Registro!B531,"")</f>
        <v/>
      </c>
      <c r="H532" s="45" t="str">
        <f ca="1">IF(AND(Registro!D531="Abierto",Registro!E531="Media"),TODAY()-Registro!R531,"")</f>
        <v/>
      </c>
      <c r="I532" s="45" t="str">
        <f>IF(AND(Registro!D531="Abierto",Registro!E531="Media"),RANK(H532,$H$9:$H$1000,0)+COUNTIF($H$9:H532,H532)-1+MAX(C$5:C$1000,F$5:F$1000),"")</f>
        <v/>
      </c>
      <c r="J532" s="45" t="str">
        <f>IF(AND(Registro!D531="Abierto",Registro!E531="Baja"),Registro!B531,"")</f>
        <v/>
      </c>
      <c r="K532" s="45" t="str">
        <f ca="1">IF(AND(Registro!D531="Abierto",Registro!E531="Baja"),TODAY()-Registro!R531,"")</f>
        <v/>
      </c>
      <c r="L532" s="45" t="str">
        <f>IF(AND(Registro!D531="Abierto",Registro!E531="Baja"),RANK(K532,$K$9:$K$1000,0)+COUNTIF($K$9:K532,K532)-1+MAX(C$5:C$1000,F$5:F$1000,I$5:I$1000),"")</f>
        <v/>
      </c>
      <c r="M532" s="46" t="str">
        <f>IF(OR(Registro!D531="Resuelto",Registro!D531=""),"",SUM(C532,F532,I532,L532))</f>
        <v/>
      </c>
      <c r="N532" s="46" t="str">
        <f>IF(OR(Registro!D531="Resuelto",Registro!D531=""),"",SUM(B532,E532,H532,K532))</f>
        <v/>
      </c>
      <c r="O532" s="46" t="str">
        <f>IF(OR(Registro!D531="Resuelto",Registro!D531=""),"",_xlfn.CONCAT(A532,D532,G532,J532))</f>
        <v/>
      </c>
      <c r="P532" s="47">
        <v>524</v>
      </c>
      <c r="Q532" s="47" t="str">
        <f t="shared" ca="1" si="24"/>
        <v/>
      </c>
      <c r="R532" s="48" t="str">
        <f t="shared" ca="1" si="25"/>
        <v/>
      </c>
      <c r="S532" s="32"/>
      <c r="T532" s="32"/>
      <c r="U532" s="32"/>
      <c r="V532" s="32"/>
      <c r="W532" s="47" t="str">
        <f>IF(X532="","",MAX($W$5:W531)+1)</f>
        <v/>
      </c>
      <c r="X532" s="50" t="str">
        <f>IF(Registro!M531="","",IF(COUNTIF($X$8:X531,Registro!M531)=0,Registro!M531,""))</f>
        <v/>
      </c>
      <c r="Y532" s="50" t="str">
        <f t="shared" si="26"/>
        <v/>
      </c>
    </row>
    <row r="533" spans="1:25">
      <c r="A533" s="45" t="str">
        <f>IF(AND(Registro!D532="Abierto",Registro!E532="Urgente"),Registro!B532,"")</f>
        <v/>
      </c>
      <c r="B533" s="45" t="str">
        <f ca="1">IF(AND(Registro!D532="Abierto",Registro!E532="Urgente"),TODAY()-Registro!R532,"")</f>
        <v/>
      </c>
      <c r="C533" s="45" t="str">
        <f>IF(AND(Registro!D532="Abierto",Registro!E532="Urgente"),RANK(B533,$B$9:$B$1000,0)+COUNTIF($B$9:B533,B533)-1,"")</f>
        <v/>
      </c>
      <c r="D533" s="45" t="str">
        <f>IF(AND(Registro!D532="Abierto",Registro!E532="Alta"),Registro!B532,"")</f>
        <v/>
      </c>
      <c r="E533" s="45" t="str">
        <f ca="1">IF(AND(Registro!D532="Abierto",Registro!E532="Alta"),TODAY()-Registro!R532,"")</f>
        <v/>
      </c>
      <c r="F533" s="45" t="str">
        <f>IF(AND(Registro!D532="Abierto",Registro!E532="Alta"),RANK(E533,$E$9:$E$1000,0)+COUNTIF($E$9:E533,E533)-1+MAX(C$5:C$1000),"")</f>
        <v/>
      </c>
      <c r="G533" s="45" t="str">
        <f>IF(AND(Registro!D532="Abierto",Registro!E532="Media"),Registro!B532,"")</f>
        <v/>
      </c>
      <c r="H533" s="45" t="str">
        <f ca="1">IF(AND(Registro!D532="Abierto",Registro!E532="Media"),TODAY()-Registro!R532,"")</f>
        <v/>
      </c>
      <c r="I533" s="45" t="str">
        <f>IF(AND(Registro!D532="Abierto",Registro!E532="Media"),RANK(H533,$H$9:$H$1000,0)+COUNTIF($H$9:H533,H533)-1+MAX(C$5:C$1000,F$5:F$1000),"")</f>
        <v/>
      </c>
      <c r="J533" s="45" t="str">
        <f>IF(AND(Registro!D532="Abierto",Registro!E532="Baja"),Registro!B532,"")</f>
        <v/>
      </c>
      <c r="K533" s="45" t="str">
        <f ca="1">IF(AND(Registro!D532="Abierto",Registro!E532="Baja"),TODAY()-Registro!R532,"")</f>
        <v/>
      </c>
      <c r="L533" s="45" t="str">
        <f>IF(AND(Registro!D532="Abierto",Registro!E532="Baja"),RANK(K533,$K$9:$K$1000,0)+COUNTIF($K$9:K533,K533)-1+MAX(C$5:C$1000,F$5:F$1000,I$5:I$1000),"")</f>
        <v/>
      </c>
      <c r="M533" s="46" t="str">
        <f>IF(OR(Registro!D532="Resuelto",Registro!D532=""),"",SUM(C533,F533,I533,L533))</f>
        <v/>
      </c>
      <c r="N533" s="46" t="str">
        <f>IF(OR(Registro!D532="Resuelto",Registro!D532=""),"",SUM(B533,E533,H533,K533))</f>
        <v/>
      </c>
      <c r="O533" s="46" t="str">
        <f>IF(OR(Registro!D532="Resuelto",Registro!D532=""),"",_xlfn.CONCAT(A533,D533,G533,J533))</f>
        <v/>
      </c>
      <c r="P533" s="47">
        <v>525</v>
      </c>
      <c r="Q533" s="47" t="str">
        <f t="shared" ca="1" si="24"/>
        <v/>
      </c>
      <c r="R533" s="48" t="str">
        <f t="shared" ca="1" si="25"/>
        <v/>
      </c>
      <c r="S533" s="32"/>
      <c r="T533" s="32"/>
      <c r="U533" s="32"/>
      <c r="V533" s="32"/>
      <c r="W533" s="47" t="str">
        <f>IF(X533="","",MAX($W$5:W532)+1)</f>
        <v/>
      </c>
      <c r="X533" s="50" t="str">
        <f>IF(Registro!M532="","",IF(COUNTIF($X$8:X532,Registro!M532)=0,Registro!M532,""))</f>
        <v/>
      </c>
      <c r="Y533" s="50" t="str">
        <f t="shared" si="26"/>
        <v/>
      </c>
    </row>
    <row r="534" spans="1:25">
      <c r="A534" s="45" t="str">
        <f>IF(AND(Registro!D533="Abierto",Registro!E533="Urgente"),Registro!B533,"")</f>
        <v/>
      </c>
      <c r="B534" s="45" t="str">
        <f ca="1">IF(AND(Registro!D533="Abierto",Registro!E533="Urgente"),TODAY()-Registro!R533,"")</f>
        <v/>
      </c>
      <c r="C534" s="45" t="str">
        <f>IF(AND(Registro!D533="Abierto",Registro!E533="Urgente"),RANK(B534,$B$9:$B$1000,0)+COUNTIF($B$9:B534,B534)-1,"")</f>
        <v/>
      </c>
      <c r="D534" s="45" t="str">
        <f>IF(AND(Registro!D533="Abierto",Registro!E533="Alta"),Registro!B533,"")</f>
        <v/>
      </c>
      <c r="E534" s="45" t="str">
        <f ca="1">IF(AND(Registro!D533="Abierto",Registro!E533="Alta"),TODAY()-Registro!R533,"")</f>
        <v/>
      </c>
      <c r="F534" s="45" t="str">
        <f>IF(AND(Registro!D533="Abierto",Registro!E533="Alta"),RANK(E534,$E$9:$E$1000,0)+COUNTIF($E$9:E534,E534)-1+MAX(C$5:C$1000),"")</f>
        <v/>
      </c>
      <c r="G534" s="45" t="str">
        <f>IF(AND(Registro!D533="Abierto",Registro!E533="Media"),Registro!B533,"")</f>
        <v/>
      </c>
      <c r="H534" s="45" t="str">
        <f ca="1">IF(AND(Registro!D533="Abierto",Registro!E533="Media"),TODAY()-Registro!R533,"")</f>
        <v/>
      </c>
      <c r="I534" s="45" t="str">
        <f>IF(AND(Registro!D533="Abierto",Registro!E533="Media"),RANK(H534,$H$9:$H$1000,0)+COUNTIF($H$9:H534,H534)-1+MAX(C$5:C$1000,F$5:F$1000),"")</f>
        <v/>
      </c>
      <c r="J534" s="45" t="str">
        <f>IF(AND(Registro!D533="Abierto",Registro!E533="Baja"),Registro!B533,"")</f>
        <v/>
      </c>
      <c r="K534" s="45" t="str">
        <f ca="1">IF(AND(Registro!D533="Abierto",Registro!E533="Baja"),TODAY()-Registro!R533,"")</f>
        <v/>
      </c>
      <c r="L534" s="45" t="str">
        <f>IF(AND(Registro!D533="Abierto",Registro!E533="Baja"),RANK(K534,$K$9:$K$1000,0)+COUNTIF($K$9:K534,K534)-1+MAX(C$5:C$1000,F$5:F$1000,I$5:I$1000),"")</f>
        <v/>
      </c>
      <c r="M534" s="46" t="str">
        <f>IF(OR(Registro!D533="Resuelto",Registro!D533=""),"",SUM(C534,F534,I534,L534))</f>
        <v/>
      </c>
      <c r="N534" s="46" t="str">
        <f>IF(OR(Registro!D533="Resuelto",Registro!D533=""),"",SUM(B534,E534,H534,K534))</f>
        <v/>
      </c>
      <c r="O534" s="46" t="str">
        <f>IF(OR(Registro!D533="Resuelto",Registro!D533=""),"",_xlfn.CONCAT(A534,D534,G534,J534))</f>
        <v/>
      </c>
      <c r="P534" s="47">
        <v>526</v>
      </c>
      <c r="Q534" s="47" t="str">
        <f t="shared" ca="1" si="24"/>
        <v/>
      </c>
      <c r="R534" s="48" t="str">
        <f t="shared" ca="1" si="25"/>
        <v/>
      </c>
      <c r="S534" s="32"/>
      <c r="T534" s="32"/>
      <c r="U534" s="32"/>
      <c r="V534" s="32"/>
      <c r="W534" s="47" t="str">
        <f>IF(X534="","",MAX($W$5:W533)+1)</f>
        <v/>
      </c>
      <c r="X534" s="50" t="str">
        <f>IF(Registro!M533="","",IF(COUNTIF($X$8:X533,Registro!M533)=0,Registro!M533,""))</f>
        <v/>
      </c>
      <c r="Y534" s="50" t="str">
        <f t="shared" si="26"/>
        <v/>
      </c>
    </row>
    <row r="535" spans="1:25">
      <c r="A535" s="45" t="str">
        <f>IF(AND(Registro!D534="Abierto",Registro!E534="Urgente"),Registro!B534,"")</f>
        <v/>
      </c>
      <c r="B535" s="45" t="str">
        <f ca="1">IF(AND(Registro!D534="Abierto",Registro!E534="Urgente"),TODAY()-Registro!R534,"")</f>
        <v/>
      </c>
      <c r="C535" s="45" t="str">
        <f>IF(AND(Registro!D534="Abierto",Registro!E534="Urgente"),RANK(B535,$B$9:$B$1000,0)+COUNTIF($B$9:B535,B535)-1,"")</f>
        <v/>
      </c>
      <c r="D535" s="45" t="str">
        <f>IF(AND(Registro!D534="Abierto",Registro!E534="Alta"),Registro!B534,"")</f>
        <v/>
      </c>
      <c r="E535" s="45" t="str">
        <f ca="1">IF(AND(Registro!D534="Abierto",Registro!E534="Alta"),TODAY()-Registro!R534,"")</f>
        <v/>
      </c>
      <c r="F535" s="45" t="str">
        <f>IF(AND(Registro!D534="Abierto",Registro!E534="Alta"),RANK(E535,$E$9:$E$1000,0)+COUNTIF($E$9:E535,E535)-1+MAX(C$5:C$1000),"")</f>
        <v/>
      </c>
      <c r="G535" s="45" t="str">
        <f>IF(AND(Registro!D534="Abierto",Registro!E534="Media"),Registro!B534,"")</f>
        <v/>
      </c>
      <c r="H535" s="45" t="str">
        <f ca="1">IF(AND(Registro!D534="Abierto",Registro!E534="Media"),TODAY()-Registro!R534,"")</f>
        <v/>
      </c>
      <c r="I535" s="45" t="str">
        <f>IF(AND(Registro!D534="Abierto",Registro!E534="Media"),RANK(H535,$H$9:$H$1000,0)+COUNTIF($H$9:H535,H535)-1+MAX(C$5:C$1000,F$5:F$1000),"")</f>
        <v/>
      </c>
      <c r="J535" s="45" t="str">
        <f>IF(AND(Registro!D534="Abierto",Registro!E534="Baja"),Registro!B534,"")</f>
        <v/>
      </c>
      <c r="K535" s="45" t="str">
        <f ca="1">IF(AND(Registro!D534="Abierto",Registro!E534="Baja"),TODAY()-Registro!R534,"")</f>
        <v/>
      </c>
      <c r="L535" s="45" t="str">
        <f>IF(AND(Registro!D534="Abierto",Registro!E534="Baja"),RANK(K535,$K$9:$K$1000,0)+COUNTIF($K$9:K535,K535)-1+MAX(C$5:C$1000,F$5:F$1000,I$5:I$1000),"")</f>
        <v/>
      </c>
      <c r="M535" s="46" t="str">
        <f>IF(OR(Registro!D534="Resuelto",Registro!D534=""),"",SUM(C535,F535,I535,L535))</f>
        <v/>
      </c>
      <c r="N535" s="46" t="str">
        <f>IF(OR(Registro!D534="Resuelto",Registro!D534=""),"",SUM(B535,E535,H535,K535))</f>
        <v/>
      </c>
      <c r="O535" s="46" t="str">
        <f>IF(OR(Registro!D534="Resuelto",Registro!D534=""),"",_xlfn.CONCAT(A535,D535,G535,J535))</f>
        <v/>
      </c>
      <c r="P535" s="47">
        <v>527</v>
      </c>
      <c r="Q535" s="47" t="str">
        <f t="shared" ca="1" si="24"/>
        <v/>
      </c>
      <c r="R535" s="48" t="str">
        <f t="shared" ca="1" si="25"/>
        <v/>
      </c>
      <c r="S535" s="32"/>
      <c r="T535" s="32"/>
      <c r="U535" s="32"/>
      <c r="V535" s="32"/>
      <c r="W535" s="47" t="str">
        <f>IF(X535="","",MAX($W$5:W534)+1)</f>
        <v/>
      </c>
      <c r="X535" s="50" t="str">
        <f>IF(Registro!M534="","",IF(COUNTIF($X$8:X534,Registro!M534)=0,Registro!M534,""))</f>
        <v/>
      </c>
      <c r="Y535" s="50" t="str">
        <f t="shared" si="26"/>
        <v/>
      </c>
    </row>
    <row r="536" spans="1:25">
      <c r="A536" s="45" t="str">
        <f>IF(AND(Registro!D535="Abierto",Registro!E535="Urgente"),Registro!B535,"")</f>
        <v/>
      </c>
      <c r="B536" s="45" t="str">
        <f ca="1">IF(AND(Registro!D535="Abierto",Registro!E535="Urgente"),TODAY()-Registro!R535,"")</f>
        <v/>
      </c>
      <c r="C536" s="45" t="str">
        <f>IF(AND(Registro!D535="Abierto",Registro!E535="Urgente"),RANK(B536,$B$9:$B$1000,0)+COUNTIF($B$9:B536,B536)-1,"")</f>
        <v/>
      </c>
      <c r="D536" s="45" t="str">
        <f>IF(AND(Registro!D535="Abierto",Registro!E535="Alta"),Registro!B535,"")</f>
        <v/>
      </c>
      <c r="E536" s="45" t="str">
        <f ca="1">IF(AND(Registro!D535="Abierto",Registro!E535="Alta"),TODAY()-Registro!R535,"")</f>
        <v/>
      </c>
      <c r="F536" s="45" t="str">
        <f>IF(AND(Registro!D535="Abierto",Registro!E535="Alta"),RANK(E536,$E$9:$E$1000,0)+COUNTIF($E$9:E536,E536)-1+MAX(C$5:C$1000),"")</f>
        <v/>
      </c>
      <c r="G536" s="45" t="str">
        <f>IF(AND(Registro!D535="Abierto",Registro!E535="Media"),Registro!B535,"")</f>
        <v/>
      </c>
      <c r="H536" s="45" t="str">
        <f ca="1">IF(AND(Registro!D535="Abierto",Registro!E535="Media"),TODAY()-Registro!R535,"")</f>
        <v/>
      </c>
      <c r="I536" s="45" t="str">
        <f>IF(AND(Registro!D535="Abierto",Registro!E535="Media"),RANK(H536,$H$9:$H$1000,0)+COUNTIF($H$9:H536,H536)-1+MAX(C$5:C$1000,F$5:F$1000),"")</f>
        <v/>
      </c>
      <c r="J536" s="45" t="str">
        <f>IF(AND(Registro!D535="Abierto",Registro!E535="Baja"),Registro!B535,"")</f>
        <v/>
      </c>
      <c r="K536" s="45" t="str">
        <f ca="1">IF(AND(Registro!D535="Abierto",Registro!E535="Baja"),TODAY()-Registro!R535,"")</f>
        <v/>
      </c>
      <c r="L536" s="45" t="str">
        <f>IF(AND(Registro!D535="Abierto",Registro!E535="Baja"),RANK(K536,$K$9:$K$1000,0)+COUNTIF($K$9:K536,K536)-1+MAX(C$5:C$1000,F$5:F$1000,I$5:I$1000),"")</f>
        <v/>
      </c>
      <c r="M536" s="46" t="str">
        <f>IF(OR(Registro!D535="Resuelto",Registro!D535=""),"",SUM(C536,F536,I536,L536))</f>
        <v/>
      </c>
      <c r="N536" s="46" t="str">
        <f>IF(OR(Registro!D535="Resuelto",Registro!D535=""),"",SUM(B536,E536,H536,K536))</f>
        <v/>
      </c>
      <c r="O536" s="46" t="str">
        <f>IF(OR(Registro!D535="Resuelto",Registro!D535=""),"",_xlfn.CONCAT(A536,D536,G536,J536))</f>
        <v/>
      </c>
      <c r="P536" s="47">
        <v>528</v>
      </c>
      <c r="Q536" s="47" t="str">
        <f t="shared" ca="1" si="24"/>
        <v/>
      </c>
      <c r="R536" s="48" t="str">
        <f t="shared" ca="1" si="25"/>
        <v/>
      </c>
      <c r="S536" s="32"/>
      <c r="T536" s="32"/>
      <c r="U536" s="32"/>
      <c r="V536" s="32"/>
      <c r="W536" s="47" t="str">
        <f>IF(X536="","",MAX($W$5:W535)+1)</f>
        <v/>
      </c>
      <c r="X536" s="50" t="str">
        <f>IF(Registro!M535="","",IF(COUNTIF($X$8:X535,Registro!M535)=0,Registro!M535,""))</f>
        <v/>
      </c>
      <c r="Y536" s="50" t="str">
        <f t="shared" si="26"/>
        <v/>
      </c>
    </row>
    <row r="537" spans="1:25">
      <c r="A537" s="45" t="str">
        <f>IF(AND(Registro!D536="Abierto",Registro!E536="Urgente"),Registro!B536,"")</f>
        <v/>
      </c>
      <c r="B537" s="45" t="str">
        <f ca="1">IF(AND(Registro!D536="Abierto",Registro!E536="Urgente"),TODAY()-Registro!R536,"")</f>
        <v/>
      </c>
      <c r="C537" s="45" t="str">
        <f>IF(AND(Registro!D536="Abierto",Registro!E536="Urgente"),RANK(B537,$B$9:$B$1000,0)+COUNTIF($B$9:B537,B537)-1,"")</f>
        <v/>
      </c>
      <c r="D537" s="45" t="str">
        <f>IF(AND(Registro!D536="Abierto",Registro!E536="Alta"),Registro!B536,"")</f>
        <v/>
      </c>
      <c r="E537" s="45" t="str">
        <f ca="1">IF(AND(Registro!D536="Abierto",Registro!E536="Alta"),TODAY()-Registro!R536,"")</f>
        <v/>
      </c>
      <c r="F537" s="45" t="str">
        <f>IF(AND(Registro!D536="Abierto",Registro!E536="Alta"),RANK(E537,$E$9:$E$1000,0)+COUNTIF($E$9:E537,E537)-1+MAX(C$5:C$1000),"")</f>
        <v/>
      </c>
      <c r="G537" s="45" t="str">
        <f>IF(AND(Registro!D536="Abierto",Registro!E536="Media"),Registro!B536,"")</f>
        <v/>
      </c>
      <c r="H537" s="45" t="str">
        <f ca="1">IF(AND(Registro!D536="Abierto",Registro!E536="Media"),TODAY()-Registro!R536,"")</f>
        <v/>
      </c>
      <c r="I537" s="45" t="str">
        <f>IF(AND(Registro!D536="Abierto",Registro!E536="Media"),RANK(H537,$H$9:$H$1000,0)+COUNTIF($H$9:H537,H537)-1+MAX(C$5:C$1000,F$5:F$1000),"")</f>
        <v/>
      </c>
      <c r="J537" s="45" t="str">
        <f>IF(AND(Registro!D536="Abierto",Registro!E536="Baja"),Registro!B536,"")</f>
        <v/>
      </c>
      <c r="K537" s="45" t="str">
        <f ca="1">IF(AND(Registro!D536="Abierto",Registro!E536="Baja"),TODAY()-Registro!R536,"")</f>
        <v/>
      </c>
      <c r="L537" s="45" t="str">
        <f>IF(AND(Registro!D536="Abierto",Registro!E536="Baja"),RANK(K537,$K$9:$K$1000,0)+COUNTIF($K$9:K537,K537)-1+MAX(C$5:C$1000,F$5:F$1000,I$5:I$1000),"")</f>
        <v/>
      </c>
      <c r="M537" s="46" t="str">
        <f>IF(OR(Registro!D536="Resuelto",Registro!D536=""),"",SUM(C537,F537,I537,L537))</f>
        <v/>
      </c>
      <c r="N537" s="46" t="str">
        <f>IF(OR(Registro!D536="Resuelto",Registro!D536=""),"",SUM(B537,E537,H537,K537))</f>
        <v/>
      </c>
      <c r="O537" s="46" t="str">
        <f>IF(OR(Registro!D536="Resuelto",Registro!D536=""),"",_xlfn.CONCAT(A537,D537,G537,J537))</f>
        <v/>
      </c>
      <c r="P537" s="47">
        <v>529</v>
      </c>
      <c r="Q537" s="47" t="str">
        <f t="shared" ca="1" si="24"/>
        <v/>
      </c>
      <c r="R537" s="48" t="str">
        <f t="shared" ca="1" si="25"/>
        <v/>
      </c>
      <c r="S537" s="32"/>
      <c r="T537" s="32"/>
      <c r="U537" s="32"/>
      <c r="V537" s="32"/>
      <c r="W537" s="47" t="str">
        <f>IF(X537="","",MAX($W$5:W536)+1)</f>
        <v/>
      </c>
      <c r="X537" s="50" t="str">
        <f>IF(Registro!M536="","",IF(COUNTIF($X$8:X536,Registro!M536)=0,Registro!M536,""))</f>
        <v/>
      </c>
      <c r="Y537" s="50" t="str">
        <f t="shared" si="26"/>
        <v/>
      </c>
    </row>
    <row r="538" spans="1:25">
      <c r="A538" s="45" t="str">
        <f>IF(AND(Registro!D537="Abierto",Registro!E537="Urgente"),Registro!B537,"")</f>
        <v/>
      </c>
      <c r="B538" s="45" t="str">
        <f ca="1">IF(AND(Registro!D537="Abierto",Registro!E537="Urgente"),TODAY()-Registro!R537,"")</f>
        <v/>
      </c>
      <c r="C538" s="45" t="str">
        <f>IF(AND(Registro!D537="Abierto",Registro!E537="Urgente"),RANK(B538,$B$9:$B$1000,0)+COUNTIF($B$9:B538,B538)-1,"")</f>
        <v/>
      </c>
      <c r="D538" s="45" t="str">
        <f>IF(AND(Registro!D537="Abierto",Registro!E537="Alta"),Registro!B537,"")</f>
        <v/>
      </c>
      <c r="E538" s="45" t="str">
        <f ca="1">IF(AND(Registro!D537="Abierto",Registro!E537="Alta"),TODAY()-Registro!R537,"")</f>
        <v/>
      </c>
      <c r="F538" s="45" t="str">
        <f>IF(AND(Registro!D537="Abierto",Registro!E537="Alta"),RANK(E538,$E$9:$E$1000,0)+COUNTIF($E$9:E538,E538)-1+MAX(C$5:C$1000),"")</f>
        <v/>
      </c>
      <c r="G538" s="45" t="str">
        <f>IF(AND(Registro!D537="Abierto",Registro!E537="Media"),Registro!B537,"")</f>
        <v/>
      </c>
      <c r="H538" s="45" t="str">
        <f ca="1">IF(AND(Registro!D537="Abierto",Registro!E537="Media"),TODAY()-Registro!R537,"")</f>
        <v/>
      </c>
      <c r="I538" s="45" t="str">
        <f>IF(AND(Registro!D537="Abierto",Registro!E537="Media"),RANK(H538,$H$9:$H$1000,0)+COUNTIF($H$9:H538,H538)-1+MAX(C$5:C$1000,F$5:F$1000),"")</f>
        <v/>
      </c>
      <c r="J538" s="45" t="str">
        <f>IF(AND(Registro!D537="Abierto",Registro!E537="Baja"),Registro!B537,"")</f>
        <v/>
      </c>
      <c r="K538" s="45" t="str">
        <f ca="1">IF(AND(Registro!D537="Abierto",Registro!E537="Baja"),TODAY()-Registro!R537,"")</f>
        <v/>
      </c>
      <c r="L538" s="45" t="str">
        <f>IF(AND(Registro!D537="Abierto",Registro!E537="Baja"),RANK(K538,$K$9:$K$1000,0)+COUNTIF($K$9:K538,K538)-1+MAX(C$5:C$1000,F$5:F$1000,I$5:I$1000),"")</f>
        <v/>
      </c>
      <c r="M538" s="46" t="str">
        <f>IF(OR(Registro!D537="Resuelto",Registro!D537=""),"",SUM(C538,F538,I538,L538))</f>
        <v/>
      </c>
      <c r="N538" s="46" t="str">
        <f>IF(OR(Registro!D537="Resuelto",Registro!D537=""),"",SUM(B538,E538,H538,K538))</f>
        <v/>
      </c>
      <c r="O538" s="46" t="str">
        <f>IF(OR(Registro!D537="Resuelto",Registro!D537=""),"",_xlfn.CONCAT(A538,D538,G538,J538))</f>
        <v/>
      </c>
      <c r="P538" s="47">
        <v>530</v>
      </c>
      <c r="Q538" s="47" t="str">
        <f t="shared" ca="1" si="24"/>
        <v/>
      </c>
      <c r="R538" s="48" t="str">
        <f t="shared" ca="1" si="25"/>
        <v/>
      </c>
      <c r="S538" s="32"/>
      <c r="T538" s="32"/>
      <c r="U538" s="32"/>
      <c r="V538" s="32"/>
      <c r="W538" s="47" t="str">
        <f>IF(X538="","",MAX($W$5:W537)+1)</f>
        <v/>
      </c>
      <c r="X538" s="50" t="str">
        <f>IF(Registro!M537="","",IF(COUNTIF($X$8:X537,Registro!M537)=0,Registro!M537,""))</f>
        <v/>
      </c>
      <c r="Y538" s="50" t="str">
        <f t="shared" si="26"/>
        <v/>
      </c>
    </row>
    <row r="539" spans="1:25">
      <c r="A539" s="45" t="str">
        <f>IF(AND(Registro!D538="Abierto",Registro!E538="Urgente"),Registro!B538,"")</f>
        <v/>
      </c>
      <c r="B539" s="45" t="str">
        <f ca="1">IF(AND(Registro!D538="Abierto",Registro!E538="Urgente"),TODAY()-Registro!R538,"")</f>
        <v/>
      </c>
      <c r="C539" s="45" t="str">
        <f>IF(AND(Registro!D538="Abierto",Registro!E538="Urgente"),RANK(B539,$B$9:$B$1000,0)+COUNTIF($B$9:B539,B539)-1,"")</f>
        <v/>
      </c>
      <c r="D539" s="45" t="str">
        <f>IF(AND(Registro!D538="Abierto",Registro!E538="Alta"),Registro!B538,"")</f>
        <v/>
      </c>
      <c r="E539" s="45" t="str">
        <f ca="1">IF(AND(Registro!D538="Abierto",Registro!E538="Alta"),TODAY()-Registro!R538,"")</f>
        <v/>
      </c>
      <c r="F539" s="45" t="str">
        <f>IF(AND(Registro!D538="Abierto",Registro!E538="Alta"),RANK(E539,$E$9:$E$1000,0)+COUNTIF($E$9:E539,E539)-1+MAX(C$5:C$1000),"")</f>
        <v/>
      </c>
      <c r="G539" s="45" t="str">
        <f>IF(AND(Registro!D538="Abierto",Registro!E538="Media"),Registro!B538,"")</f>
        <v/>
      </c>
      <c r="H539" s="45" t="str">
        <f ca="1">IF(AND(Registro!D538="Abierto",Registro!E538="Media"),TODAY()-Registro!R538,"")</f>
        <v/>
      </c>
      <c r="I539" s="45" t="str">
        <f>IF(AND(Registro!D538="Abierto",Registro!E538="Media"),RANK(H539,$H$9:$H$1000,0)+COUNTIF($H$9:H539,H539)-1+MAX(C$5:C$1000,F$5:F$1000),"")</f>
        <v/>
      </c>
      <c r="J539" s="45" t="str">
        <f>IF(AND(Registro!D538="Abierto",Registro!E538="Baja"),Registro!B538,"")</f>
        <v/>
      </c>
      <c r="K539" s="45" t="str">
        <f ca="1">IF(AND(Registro!D538="Abierto",Registro!E538="Baja"),TODAY()-Registro!R538,"")</f>
        <v/>
      </c>
      <c r="L539" s="45" t="str">
        <f>IF(AND(Registro!D538="Abierto",Registro!E538="Baja"),RANK(K539,$K$9:$K$1000,0)+COUNTIF($K$9:K539,K539)-1+MAX(C$5:C$1000,F$5:F$1000,I$5:I$1000),"")</f>
        <v/>
      </c>
      <c r="M539" s="46" t="str">
        <f>IF(OR(Registro!D538="Resuelto",Registro!D538=""),"",SUM(C539,F539,I539,L539))</f>
        <v/>
      </c>
      <c r="N539" s="46" t="str">
        <f>IF(OR(Registro!D538="Resuelto",Registro!D538=""),"",SUM(B539,E539,H539,K539))</f>
        <v/>
      </c>
      <c r="O539" s="46" t="str">
        <f>IF(OR(Registro!D538="Resuelto",Registro!D538=""),"",_xlfn.CONCAT(A539,D539,G539,J539))</f>
        <v/>
      </c>
      <c r="P539" s="47">
        <v>531</v>
      </c>
      <c r="Q539" s="47" t="str">
        <f t="shared" ca="1" si="24"/>
        <v/>
      </c>
      <c r="R539" s="48" t="str">
        <f t="shared" ca="1" si="25"/>
        <v/>
      </c>
      <c r="S539" s="32"/>
      <c r="T539" s="32"/>
      <c r="U539" s="32"/>
      <c r="V539" s="32"/>
      <c r="W539" s="47" t="str">
        <f>IF(X539="","",MAX($W$5:W538)+1)</f>
        <v/>
      </c>
      <c r="X539" s="50" t="str">
        <f>IF(Registro!M538="","",IF(COUNTIF($X$8:X538,Registro!M538)=0,Registro!M538,""))</f>
        <v/>
      </c>
      <c r="Y539" s="50" t="str">
        <f t="shared" si="26"/>
        <v/>
      </c>
    </row>
    <row r="540" spans="1:25">
      <c r="A540" s="45" t="str">
        <f>IF(AND(Registro!D539="Abierto",Registro!E539="Urgente"),Registro!B539,"")</f>
        <v/>
      </c>
      <c r="B540" s="45" t="str">
        <f ca="1">IF(AND(Registro!D539="Abierto",Registro!E539="Urgente"),TODAY()-Registro!R539,"")</f>
        <v/>
      </c>
      <c r="C540" s="45" t="str">
        <f>IF(AND(Registro!D539="Abierto",Registro!E539="Urgente"),RANK(B540,$B$9:$B$1000,0)+COUNTIF($B$9:B540,B540)-1,"")</f>
        <v/>
      </c>
      <c r="D540" s="45" t="str">
        <f>IF(AND(Registro!D539="Abierto",Registro!E539="Alta"),Registro!B539,"")</f>
        <v/>
      </c>
      <c r="E540" s="45" t="str">
        <f ca="1">IF(AND(Registro!D539="Abierto",Registro!E539="Alta"),TODAY()-Registro!R539,"")</f>
        <v/>
      </c>
      <c r="F540" s="45" t="str">
        <f>IF(AND(Registro!D539="Abierto",Registro!E539="Alta"),RANK(E540,$E$9:$E$1000,0)+COUNTIF($E$9:E540,E540)-1+MAX(C$5:C$1000),"")</f>
        <v/>
      </c>
      <c r="G540" s="45" t="str">
        <f>IF(AND(Registro!D539="Abierto",Registro!E539="Media"),Registro!B539,"")</f>
        <v/>
      </c>
      <c r="H540" s="45" t="str">
        <f ca="1">IF(AND(Registro!D539="Abierto",Registro!E539="Media"),TODAY()-Registro!R539,"")</f>
        <v/>
      </c>
      <c r="I540" s="45" t="str">
        <f>IF(AND(Registro!D539="Abierto",Registro!E539="Media"),RANK(H540,$H$9:$H$1000,0)+COUNTIF($H$9:H540,H540)-1+MAX(C$5:C$1000,F$5:F$1000),"")</f>
        <v/>
      </c>
      <c r="J540" s="45" t="str">
        <f>IF(AND(Registro!D539="Abierto",Registro!E539="Baja"),Registro!B539,"")</f>
        <v/>
      </c>
      <c r="K540" s="45" t="str">
        <f ca="1">IF(AND(Registro!D539="Abierto",Registro!E539="Baja"),TODAY()-Registro!R539,"")</f>
        <v/>
      </c>
      <c r="L540" s="45" t="str">
        <f>IF(AND(Registro!D539="Abierto",Registro!E539="Baja"),RANK(K540,$K$9:$K$1000,0)+COUNTIF($K$9:K540,K540)-1+MAX(C$5:C$1000,F$5:F$1000,I$5:I$1000),"")</f>
        <v/>
      </c>
      <c r="M540" s="46" t="str">
        <f>IF(OR(Registro!D539="Resuelto",Registro!D539=""),"",SUM(C540,F540,I540,L540))</f>
        <v/>
      </c>
      <c r="N540" s="46" t="str">
        <f>IF(OR(Registro!D539="Resuelto",Registro!D539=""),"",SUM(B540,E540,H540,K540))</f>
        <v/>
      </c>
      <c r="O540" s="46" t="str">
        <f>IF(OR(Registro!D539="Resuelto",Registro!D539=""),"",_xlfn.CONCAT(A540,D540,G540,J540))</f>
        <v/>
      </c>
      <c r="P540" s="47">
        <v>532</v>
      </c>
      <c r="Q540" s="47" t="str">
        <f t="shared" ca="1" si="24"/>
        <v/>
      </c>
      <c r="R540" s="48" t="str">
        <f t="shared" ca="1" si="25"/>
        <v/>
      </c>
      <c r="S540" s="32"/>
      <c r="T540" s="32"/>
      <c r="U540" s="32"/>
      <c r="V540" s="32"/>
      <c r="W540" s="47" t="str">
        <f>IF(X540="","",MAX($W$5:W539)+1)</f>
        <v/>
      </c>
      <c r="X540" s="50" t="str">
        <f>IF(Registro!M539="","",IF(COUNTIF($X$8:X539,Registro!M539)=0,Registro!M539,""))</f>
        <v/>
      </c>
      <c r="Y540" s="50" t="str">
        <f t="shared" si="26"/>
        <v/>
      </c>
    </row>
    <row r="541" spans="1:25">
      <c r="A541" s="45" t="str">
        <f>IF(AND(Registro!D540="Abierto",Registro!E540="Urgente"),Registro!B540,"")</f>
        <v/>
      </c>
      <c r="B541" s="45" t="str">
        <f ca="1">IF(AND(Registro!D540="Abierto",Registro!E540="Urgente"),TODAY()-Registro!R540,"")</f>
        <v/>
      </c>
      <c r="C541" s="45" t="str">
        <f>IF(AND(Registro!D540="Abierto",Registro!E540="Urgente"),RANK(B541,$B$9:$B$1000,0)+COUNTIF($B$9:B541,B541)-1,"")</f>
        <v/>
      </c>
      <c r="D541" s="45" t="str">
        <f>IF(AND(Registro!D540="Abierto",Registro!E540="Alta"),Registro!B540,"")</f>
        <v/>
      </c>
      <c r="E541" s="45" t="str">
        <f ca="1">IF(AND(Registro!D540="Abierto",Registro!E540="Alta"),TODAY()-Registro!R540,"")</f>
        <v/>
      </c>
      <c r="F541" s="45" t="str">
        <f>IF(AND(Registro!D540="Abierto",Registro!E540="Alta"),RANK(E541,$E$9:$E$1000,0)+COUNTIF($E$9:E541,E541)-1+MAX(C$5:C$1000),"")</f>
        <v/>
      </c>
      <c r="G541" s="45" t="str">
        <f>IF(AND(Registro!D540="Abierto",Registro!E540="Media"),Registro!B540,"")</f>
        <v/>
      </c>
      <c r="H541" s="45" t="str">
        <f ca="1">IF(AND(Registro!D540="Abierto",Registro!E540="Media"),TODAY()-Registro!R540,"")</f>
        <v/>
      </c>
      <c r="I541" s="45" t="str">
        <f>IF(AND(Registro!D540="Abierto",Registro!E540="Media"),RANK(H541,$H$9:$H$1000,0)+COUNTIF($H$9:H541,H541)-1+MAX(C$5:C$1000,F$5:F$1000),"")</f>
        <v/>
      </c>
      <c r="J541" s="45" t="str">
        <f>IF(AND(Registro!D540="Abierto",Registro!E540="Baja"),Registro!B540,"")</f>
        <v/>
      </c>
      <c r="K541" s="45" t="str">
        <f ca="1">IF(AND(Registro!D540="Abierto",Registro!E540="Baja"),TODAY()-Registro!R540,"")</f>
        <v/>
      </c>
      <c r="L541" s="45" t="str">
        <f>IF(AND(Registro!D540="Abierto",Registro!E540="Baja"),RANK(K541,$K$9:$K$1000,0)+COUNTIF($K$9:K541,K541)-1+MAX(C$5:C$1000,F$5:F$1000,I$5:I$1000),"")</f>
        <v/>
      </c>
      <c r="M541" s="46" t="str">
        <f>IF(OR(Registro!D540="Resuelto",Registro!D540=""),"",SUM(C541,F541,I541,L541))</f>
        <v/>
      </c>
      <c r="N541" s="46" t="str">
        <f>IF(OR(Registro!D540="Resuelto",Registro!D540=""),"",SUM(B541,E541,H541,K541))</f>
        <v/>
      </c>
      <c r="O541" s="46" t="str">
        <f>IF(OR(Registro!D540="Resuelto",Registro!D540=""),"",_xlfn.CONCAT(A541,D541,G541,J541))</f>
        <v/>
      </c>
      <c r="P541" s="47">
        <v>533</v>
      </c>
      <c r="Q541" s="47" t="str">
        <f t="shared" ca="1" si="24"/>
        <v/>
      </c>
      <c r="R541" s="48" t="str">
        <f t="shared" ca="1" si="25"/>
        <v/>
      </c>
      <c r="S541" s="32"/>
      <c r="T541" s="32"/>
      <c r="U541" s="32"/>
      <c r="V541" s="32"/>
      <c r="W541" s="47" t="str">
        <f>IF(X541="","",MAX($W$5:W540)+1)</f>
        <v/>
      </c>
      <c r="X541" s="50" t="str">
        <f>IF(Registro!M540="","",IF(COUNTIF($X$8:X540,Registro!M540)=0,Registro!M540,""))</f>
        <v/>
      </c>
      <c r="Y541" s="50" t="str">
        <f t="shared" si="26"/>
        <v/>
      </c>
    </row>
    <row r="542" spans="1:25">
      <c r="A542" s="45" t="str">
        <f>IF(AND(Registro!D541="Abierto",Registro!E541="Urgente"),Registro!B541,"")</f>
        <v/>
      </c>
      <c r="B542" s="45" t="str">
        <f ca="1">IF(AND(Registro!D541="Abierto",Registro!E541="Urgente"),TODAY()-Registro!R541,"")</f>
        <v/>
      </c>
      <c r="C542" s="45" t="str">
        <f>IF(AND(Registro!D541="Abierto",Registro!E541="Urgente"),RANK(B542,$B$9:$B$1000,0)+COUNTIF($B$9:B542,B542)-1,"")</f>
        <v/>
      </c>
      <c r="D542" s="45" t="str">
        <f>IF(AND(Registro!D541="Abierto",Registro!E541="Alta"),Registro!B541,"")</f>
        <v/>
      </c>
      <c r="E542" s="45" t="str">
        <f ca="1">IF(AND(Registro!D541="Abierto",Registro!E541="Alta"),TODAY()-Registro!R541,"")</f>
        <v/>
      </c>
      <c r="F542" s="45" t="str">
        <f>IF(AND(Registro!D541="Abierto",Registro!E541="Alta"),RANK(E542,$E$9:$E$1000,0)+COUNTIF($E$9:E542,E542)-1+MAX(C$5:C$1000),"")</f>
        <v/>
      </c>
      <c r="G542" s="45" t="str">
        <f>IF(AND(Registro!D541="Abierto",Registro!E541="Media"),Registro!B541,"")</f>
        <v/>
      </c>
      <c r="H542" s="45" t="str">
        <f ca="1">IF(AND(Registro!D541="Abierto",Registro!E541="Media"),TODAY()-Registro!R541,"")</f>
        <v/>
      </c>
      <c r="I542" s="45" t="str">
        <f>IF(AND(Registro!D541="Abierto",Registro!E541="Media"),RANK(H542,$H$9:$H$1000,0)+COUNTIF($H$9:H542,H542)-1+MAX(C$5:C$1000,F$5:F$1000),"")</f>
        <v/>
      </c>
      <c r="J542" s="45" t="str">
        <f>IF(AND(Registro!D541="Abierto",Registro!E541="Baja"),Registro!B541,"")</f>
        <v/>
      </c>
      <c r="K542" s="45" t="str">
        <f ca="1">IF(AND(Registro!D541="Abierto",Registro!E541="Baja"),TODAY()-Registro!R541,"")</f>
        <v/>
      </c>
      <c r="L542" s="45" t="str">
        <f>IF(AND(Registro!D541="Abierto",Registro!E541="Baja"),RANK(K542,$K$9:$K$1000,0)+COUNTIF($K$9:K542,K542)-1+MAX(C$5:C$1000,F$5:F$1000,I$5:I$1000),"")</f>
        <v/>
      </c>
      <c r="M542" s="46" t="str">
        <f>IF(OR(Registro!D541="Resuelto",Registro!D541=""),"",SUM(C542,F542,I542,L542))</f>
        <v/>
      </c>
      <c r="N542" s="46" t="str">
        <f>IF(OR(Registro!D541="Resuelto",Registro!D541=""),"",SUM(B542,E542,H542,K542))</f>
        <v/>
      </c>
      <c r="O542" s="46" t="str">
        <f>IF(OR(Registro!D541="Resuelto",Registro!D541=""),"",_xlfn.CONCAT(A542,D542,G542,J542))</f>
        <v/>
      </c>
      <c r="P542" s="47">
        <v>534</v>
      </c>
      <c r="Q542" s="47" t="str">
        <f t="shared" ca="1" si="24"/>
        <v/>
      </c>
      <c r="R542" s="48" t="str">
        <f t="shared" ca="1" si="25"/>
        <v/>
      </c>
      <c r="S542" s="32"/>
      <c r="T542" s="32"/>
      <c r="U542" s="32"/>
      <c r="V542" s="32"/>
      <c r="W542" s="47" t="str">
        <f>IF(X542="","",MAX($W$5:W541)+1)</f>
        <v/>
      </c>
      <c r="X542" s="50" t="str">
        <f>IF(Registro!M541="","",IF(COUNTIF($X$8:X541,Registro!M541)=0,Registro!M541,""))</f>
        <v/>
      </c>
      <c r="Y542" s="50" t="str">
        <f t="shared" si="26"/>
        <v/>
      </c>
    </row>
    <row r="543" spans="1:25">
      <c r="A543" s="45" t="str">
        <f>IF(AND(Registro!D542="Abierto",Registro!E542="Urgente"),Registro!B542,"")</f>
        <v/>
      </c>
      <c r="B543" s="45" t="str">
        <f ca="1">IF(AND(Registro!D542="Abierto",Registro!E542="Urgente"),TODAY()-Registro!R542,"")</f>
        <v/>
      </c>
      <c r="C543" s="45" t="str">
        <f>IF(AND(Registro!D542="Abierto",Registro!E542="Urgente"),RANK(B543,$B$9:$B$1000,0)+COUNTIF($B$9:B543,B543)-1,"")</f>
        <v/>
      </c>
      <c r="D543" s="45" t="str">
        <f>IF(AND(Registro!D542="Abierto",Registro!E542="Alta"),Registro!B542,"")</f>
        <v/>
      </c>
      <c r="E543" s="45" t="str">
        <f ca="1">IF(AND(Registro!D542="Abierto",Registro!E542="Alta"),TODAY()-Registro!R542,"")</f>
        <v/>
      </c>
      <c r="F543" s="45" t="str">
        <f>IF(AND(Registro!D542="Abierto",Registro!E542="Alta"),RANK(E543,$E$9:$E$1000,0)+COUNTIF($E$9:E543,E543)-1+MAX(C$5:C$1000),"")</f>
        <v/>
      </c>
      <c r="G543" s="45" t="str">
        <f>IF(AND(Registro!D542="Abierto",Registro!E542="Media"),Registro!B542,"")</f>
        <v/>
      </c>
      <c r="H543" s="45" t="str">
        <f ca="1">IF(AND(Registro!D542="Abierto",Registro!E542="Media"),TODAY()-Registro!R542,"")</f>
        <v/>
      </c>
      <c r="I543" s="45" t="str">
        <f>IF(AND(Registro!D542="Abierto",Registro!E542="Media"),RANK(H543,$H$9:$H$1000,0)+COUNTIF($H$9:H543,H543)-1+MAX(C$5:C$1000,F$5:F$1000),"")</f>
        <v/>
      </c>
      <c r="J543" s="45" t="str">
        <f>IF(AND(Registro!D542="Abierto",Registro!E542="Baja"),Registro!B542,"")</f>
        <v/>
      </c>
      <c r="K543" s="45" t="str">
        <f ca="1">IF(AND(Registro!D542="Abierto",Registro!E542="Baja"),TODAY()-Registro!R542,"")</f>
        <v/>
      </c>
      <c r="L543" s="45" t="str">
        <f>IF(AND(Registro!D542="Abierto",Registro!E542="Baja"),RANK(K543,$K$9:$K$1000,0)+COUNTIF($K$9:K543,K543)-1+MAX(C$5:C$1000,F$5:F$1000,I$5:I$1000),"")</f>
        <v/>
      </c>
      <c r="M543" s="46" t="str">
        <f>IF(OR(Registro!D542="Resuelto",Registro!D542=""),"",SUM(C543,F543,I543,L543))</f>
        <v/>
      </c>
      <c r="N543" s="46" t="str">
        <f>IF(OR(Registro!D542="Resuelto",Registro!D542=""),"",SUM(B543,E543,H543,K543))</f>
        <v/>
      </c>
      <c r="O543" s="46" t="str">
        <f>IF(OR(Registro!D542="Resuelto",Registro!D542=""),"",_xlfn.CONCAT(A543,D543,G543,J543))</f>
        <v/>
      </c>
      <c r="P543" s="47">
        <v>535</v>
      </c>
      <c r="Q543" s="47" t="str">
        <f t="shared" ca="1" si="24"/>
        <v/>
      </c>
      <c r="R543" s="48" t="str">
        <f t="shared" ca="1" si="25"/>
        <v/>
      </c>
      <c r="S543" s="32"/>
      <c r="T543" s="32"/>
      <c r="U543" s="32"/>
      <c r="V543" s="32"/>
      <c r="W543" s="47" t="str">
        <f>IF(X543="","",MAX($W$5:W542)+1)</f>
        <v/>
      </c>
      <c r="X543" s="50" t="str">
        <f>IF(Registro!M542="","",IF(COUNTIF($X$8:X542,Registro!M542)=0,Registro!M542,""))</f>
        <v/>
      </c>
      <c r="Y543" s="50" t="str">
        <f t="shared" si="26"/>
        <v/>
      </c>
    </row>
    <row r="544" spans="1:25">
      <c r="A544" s="45" t="str">
        <f>IF(AND(Registro!D543="Abierto",Registro!E543="Urgente"),Registro!B543,"")</f>
        <v/>
      </c>
      <c r="B544" s="45" t="str">
        <f ca="1">IF(AND(Registro!D543="Abierto",Registro!E543="Urgente"),TODAY()-Registro!R543,"")</f>
        <v/>
      </c>
      <c r="C544" s="45" t="str">
        <f>IF(AND(Registro!D543="Abierto",Registro!E543="Urgente"),RANK(B544,$B$9:$B$1000,0)+COUNTIF($B$9:B544,B544)-1,"")</f>
        <v/>
      </c>
      <c r="D544" s="45" t="str">
        <f>IF(AND(Registro!D543="Abierto",Registro!E543="Alta"),Registro!B543,"")</f>
        <v/>
      </c>
      <c r="E544" s="45" t="str">
        <f ca="1">IF(AND(Registro!D543="Abierto",Registro!E543="Alta"),TODAY()-Registro!R543,"")</f>
        <v/>
      </c>
      <c r="F544" s="45" t="str">
        <f>IF(AND(Registro!D543="Abierto",Registro!E543="Alta"),RANK(E544,$E$9:$E$1000,0)+COUNTIF($E$9:E544,E544)-1+MAX(C$5:C$1000),"")</f>
        <v/>
      </c>
      <c r="G544" s="45" t="str">
        <f>IF(AND(Registro!D543="Abierto",Registro!E543="Media"),Registro!B543,"")</f>
        <v/>
      </c>
      <c r="H544" s="45" t="str">
        <f ca="1">IF(AND(Registro!D543="Abierto",Registro!E543="Media"),TODAY()-Registro!R543,"")</f>
        <v/>
      </c>
      <c r="I544" s="45" t="str">
        <f>IF(AND(Registro!D543="Abierto",Registro!E543="Media"),RANK(H544,$H$9:$H$1000,0)+COUNTIF($H$9:H544,H544)-1+MAX(C$5:C$1000,F$5:F$1000),"")</f>
        <v/>
      </c>
      <c r="J544" s="45" t="str">
        <f>IF(AND(Registro!D543="Abierto",Registro!E543="Baja"),Registro!B543,"")</f>
        <v/>
      </c>
      <c r="K544" s="45" t="str">
        <f ca="1">IF(AND(Registro!D543="Abierto",Registro!E543="Baja"),TODAY()-Registro!R543,"")</f>
        <v/>
      </c>
      <c r="L544" s="45" t="str">
        <f>IF(AND(Registro!D543="Abierto",Registro!E543="Baja"),RANK(K544,$K$9:$K$1000,0)+COUNTIF($K$9:K544,K544)-1+MAX(C$5:C$1000,F$5:F$1000,I$5:I$1000),"")</f>
        <v/>
      </c>
      <c r="M544" s="46" t="str">
        <f>IF(OR(Registro!D543="Resuelto",Registro!D543=""),"",SUM(C544,F544,I544,L544))</f>
        <v/>
      </c>
      <c r="N544" s="46" t="str">
        <f>IF(OR(Registro!D543="Resuelto",Registro!D543=""),"",SUM(B544,E544,H544,K544))</f>
        <v/>
      </c>
      <c r="O544" s="46" t="str">
        <f>IF(OR(Registro!D543="Resuelto",Registro!D543=""),"",_xlfn.CONCAT(A544,D544,G544,J544))</f>
        <v/>
      </c>
      <c r="P544" s="47">
        <v>536</v>
      </c>
      <c r="Q544" s="47" t="str">
        <f t="shared" ca="1" si="24"/>
        <v/>
      </c>
      <c r="R544" s="48" t="str">
        <f t="shared" ca="1" si="25"/>
        <v/>
      </c>
      <c r="S544" s="32"/>
      <c r="T544" s="32"/>
      <c r="U544" s="32"/>
      <c r="V544" s="32"/>
      <c r="W544" s="47" t="str">
        <f>IF(X544="","",MAX($W$5:W543)+1)</f>
        <v/>
      </c>
      <c r="X544" s="50" t="str">
        <f>IF(Registro!M543="","",IF(COUNTIF($X$8:X543,Registro!M543)=0,Registro!M543,""))</f>
        <v/>
      </c>
      <c r="Y544" s="50" t="str">
        <f t="shared" si="26"/>
        <v/>
      </c>
    </row>
    <row r="545" spans="1:25">
      <c r="A545" s="45" t="str">
        <f>IF(AND(Registro!D544="Abierto",Registro!E544="Urgente"),Registro!B544,"")</f>
        <v/>
      </c>
      <c r="B545" s="45" t="str">
        <f ca="1">IF(AND(Registro!D544="Abierto",Registro!E544="Urgente"),TODAY()-Registro!R544,"")</f>
        <v/>
      </c>
      <c r="C545" s="45" t="str">
        <f>IF(AND(Registro!D544="Abierto",Registro!E544="Urgente"),RANK(B545,$B$9:$B$1000,0)+COUNTIF($B$9:B545,B545)-1,"")</f>
        <v/>
      </c>
      <c r="D545" s="45" t="str">
        <f>IF(AND(Registro!D544="Abierto",Registro!E544="Alta"),Registro!B544,"")</f>
        <v/>
      </c>
      <c r="E545" s="45" t="str">
        <f ca="1">IF(AND(Registro!D544="Abierto",Registro!E544="Alta"),TODAY()-Registro!R544,"")</f>
        <v/>
      </c>
      <c r="F545" s="45" t="str">
        <f>IF(AND(Registro!D544="Abierto",Registro!E544="Alta"),RANK(E545,$E$9:$E$1000,0)+COUNTIF($E$9:E545,E545)-1+MAX(C$5:C$1000),"")</f>
        <v/>
      </c>
      <c r="G545" s="45" t="str">
        <f>IF(AND(Registro!D544="Abierto",Registro!E544="Media"),Registro!B544,"")</f>
        <v/>
      </c>
      <c r="H545" s="45" t="str">
        <f ca="1">IF(AND(Registro!D544="Abierto",Registro!E544="Media"),TODAY()-Registro!R544,"")</f>
        <v/>
      </c>
      <c r="I545" s="45" t="str">
        <f>IF(AND(Registro!D544="Abierto",Registro!E544="Media"),RANK(H545,$H$9:$H$1000,0)+COUNTIF($H$9:H545,H545)-1+MAX(C$5:C$1000,F$5:F$1000),"")</f>
        <v/>
      </c>
      <c r="J545" s="45" t="str">
        <f>IF(AND(Registro!D544="Abierto",Registro!E544="Baja"),Registro!B544,"")</f>
        <v/>
      </c>
      <c r="K545" s="45" t="str">
        <f ca="1">IF(AND(Registro!D544="Abierto",Registro!E544="Baja"),TODAY()-Registro!R544,"")</f>
        <v/>
      </c>
      <c r="L545" s="45" t="str">
        <f>IF(AND(Registro!D544="Abierto",Registro!E544="Baja"),RANK(K545,$K$9:$K$1000,0)+COUNTIF($K$9:K545,K545)-1+MAX(C$5:C$1000,F$5:F$1000,I$5:I$1000),"")</f>
        <v/>
      </c>
      <c r="M545" s="46" t="str">
        <f>IF(OR(Registro!D544="Resuelto",Registro!D544=""),"",SUM(C545,F545,I545,L545))</f>
        <v/>
      </c>
      <c r="N545" s="46" t="str">
        <f>IF(OR(Registro!D544="Resuelto",Registro!D544=""),"",SUM(B545,E545,H545,K545))</f>
        <v/>
      </c>
      <c r="O545" s="46" t="str">
        <f>IF(OR(Registro!D544="Resuelto",Registro!D544=""),"",_xlfn.CONCAT(A545,D545,G545,J545))</f>
        <v/>
      </c>
      <c r="P545" s="47">
        <v>537</v>
      </c>
      <c r="Q545" s="47" t="str">
        <f t="shared" ca="1" si="24"/>
        <v/>
      </c>
      <c r="R545" s="48" t="str">
        <f t="shared" ca="1" si="25"/>
        <v/>
      </c>
      <c r="S545" s="32"/>
      <c r="T545" s="32"/>
      <c r="U545" s="32"/>
      <c r="V545" s="32"/>
      <c r="W545" s="47" t="str">
        <f>IF(X545="","",MAX($W$5:W544)+1)</f>
        <v/>
      </c>
      <c r="X545" s="50" t="str">
        <f>IF(Registro!M544="","",IF(COUNTIF($X$8:X544,Registro!M544)=0,Registro!M544,""))</f>
        <v/>
      </c>
      <c r="Y545" s="50" t="str">
        <f t="shared" si="26"/>
        <v/>
      </c>
    </row>
    <row r="546" spans="1:25">
      <c r="A546" s="45" t="str">
        <f>IF(AND(Registro!D545="Abierto",Registro!E545="Urgente"),Registro!B545,"")</f>
        <v/>
      </c>
      <c r="B546" s="45" t="str">
        <f ca="1">IF(AND(Registro!D545="Abierto",Registro!E545="Urgente"),TODAY()-Registro!R545,"")</f>
        <v/>
      </c>
      <c r="C546" s="45" t="str">
        <f>IF(AND(Registro!D545="Abierto",Registro!E545="Urgente"),RANK(B546,$B$9:$B$1000,0)+COUNTIF($B$9:B546,B546)-1,"")</f>
        <v/>
      </c>
      <c r="D546" s="45" t="str">
        <f>IF(AND(Registro!D545="Abierto",Registro!E545="Alta"),Registro!B545,"")</f>
        <v/>
      </c>
      <c r="E546" s="45" t="str">
        <f ca="1">IF(AND(Registro!D545="Abierto",Registro!E545="Alta"),TODAY()-Registro!R545,"")</f>
        <v/>
      </c>
      <c r="F546" s="45" t="str">
        <f>IF(AND(Registro!D545="Abierto",Registro!E545="Alta"),RANK(E546,$E$9:$E$1000,0)+COUNTIF($E$9:E546,E546)-1+MAX(C$5:C$1000),"")</f>
        <v/>
      </c>
      <c r="G546" s="45" t="str">
        <f>IF(AND(Registro!D545="Abierto",Registro!E545="Media"),Registro!B545,"")</f>
        <v/>
      </c>
      <c r="H546" s="45" t="str">
        <f ca="1">IF(AND(Registro!D545="Abierto",Registro!E545="Media"),TODAY()-Registro!R545,"")</f>
        <v/>
      </c>
      <c r="I546" s="45" t="str">
        <f>IF(AND(Registro!D545="Abierto",Registro!E545="Media"),RANK(H546,$H$9:$H$1000,0)+COUNTIF($H$9:H546,H546)-1+MAX(C$5:C$1000,F$5:F$1000),"")</f>
        <v/>
      </c>
      <c r="J546" s="45" t="str">
        <f>IF(AND(Registro!D545="Abierto",Registro!E545="Baja"),Registro!B545,"")</f>
        <v/>
      </c>
      <c r="K546" s="45" t="str">
        <f ca="1">IF(AND(Registro!D545="Abierto",Registro!E545="Baja"),TODAY()-Registro!R545,"")</f>
        <v/>
      </c>
      <c r="L546" s="45" t="str">
        <f>IF(AND(Registro!D545="Abierto",Registro!E545="Baja"),RANK(K546,$K$9:$K$1000,0)+COUNTIF($K$9:K546,K546)-1+MAX(C$5:C$1000,F$5:F$1000,I$5:I$1000),"")</f>
        <v/>
      </c>
      <c r="M546" s="46" t="str">
        <f>IF(OR(Registro!D545="Resuelto",Registro!D545=""),"",SUM(C546,F546,I546,L546))</f>
        <v/>
      </c>
      <c r="N546" s="46" t="str">
        <f>IF(OR(Registro!D545="Resuelto",Registro!D545=""),"",SUM(B546,E546,H546,K546))</f>
        <v/>
      </c>
      <c r="O546" s="46" t="str">
        <f>IF(OR(Registro!D545="Resuelto",Registro!D545=""),"",_xlfn.CONCAT(A546,D546,G546,J546))</f>
        <v/>
      </c>
      <c r="P546" s="47">
        <v>538</v>
      </c>
      <c r="Q546" s="47" t="str">
        <f t="shared" ca="1" si="24"/>
        <v/>
      </c>
      <c r="R546" s="48" t="str">
        <f t="shared" ca="1" si="25"/>
        <v/>
      </c>
      <c r="S546" s="32"/>
      <c r="T546" s="32"/>
      <c r="U546" s="32"/>
      <c r="V546" s="32"/>
      <c r="W546" s="47" t="str">
        <f>IF(X546="","",MAX($W$5:W545)+1)</f>
        <v/>
      </c>
      <c r="X546" s="50" t="str">
        <f>IF(Registro!M545="","",IF(COUNTIF($X$8:X545,Registro!M545)=0,Registro!M545,""))</f>
        <v/>
      </c>
      <c r="Y546" s="50" t="str">
        <f t="shared" si="26"/>
        <v/>
      </c>
    </row>
    <row r="547" spans="1:25">
      <c r="A547" s="45" t="str">
        <f>IF(AND(Registro!D546="Abierto",Registro!E546="Urgente"),Registro!B546,"")</f>
        <v/>
      </c>
      <c r="B547" s="45" t="str">
        <f ca="1">IF(AND(Registro!D546="Abierto",Registro!E546="Urgente"),TODAY()-Registro!R546,"")</f>
        <v/>
      </c>
      <c r="C547" s="45" t="str">
        <f>IF(AND(Registro!D546="Abierto",Registro!E546="Urgente"),RANK(B547,$B$9:$B$1000,0)+COUNTIF($B$9:B547,B547)-1,"")</f>
        <v/>
      </c>
      <c r="D547" s="45" t="str">
        <f>IF(AND(Registro!D546="Abierto",Registro!E546="Alta"),Registro!B546,"")</f>
        <v/>
      </c>
      <c r="E547" s="45" t="str">
        <f ca="1">IF(AND(Registro!D546="Abierto",Registro!E546="Alta"),TODAY()-Registro!R546,"")</f>
        <v/>
      </c>
      <c r="F547" s="45" t="str">
        <f>IF(AND(Registro!D546="Abierto",Registro!E546="Alta"),RANK(E547,$E$9:$E$1000,0)+COUNTIF($E$9:E547,E547)-1+MAX(C$5:C$1000),"")</f>
        <v/>
      </c>
      <c r="G547" s="45" t="str">
        <f>IF(AND(Registro!D546="Abierto",Registro!E546="Media"),Registro!B546,"")</f>
        <v/>
      </c>
      <c r="H547" s="45" t="str">
        <f ca="1">IF(AND(Registro!D546="Abierto",Registro!E546="Media"),TODAY()-Registro!R546,"")</f>
        <v/>
      </c>
      <c r="I547" s="45" t="str">
        <f>IF(AND(Registro!D546="Abierto",Registro!E546="Media"),RANK(H547,$H$9:$H$1000,0)+COUNTIF($H$9:H547,H547)-1+MAX(C$5:C$1000,F$5:F$1000),"")</f>
        <v/>
      </c>
      <c r="J547" s="45" t="str">
        <f>IF(AND(Registro!D546="Abierto",Registro!E546="Baja"),Registro!B546,"")</f>
        <v/>
      </c>
      <c r="K547" s="45" t="str">
        <f ca="1">IF(AND(Registro!D546="Abierto",Registro!E546="Baja"),TODAY()-Registro!R546,"")</f>
        <v/>
      </c>
      <c r="L547" s="45" t="str">
        <f>IF(AND(Registro!D546="Abierto",Registro!E546="Baja"),RANK(K547,$K$9:$K$1000,0)+COUNTIF($K$9:K547,K547)-1+MAX(C$5:C$1000,F$5:F$1000,I$5:I$1000),"")</f>
        <v/>
      </c>
      <c r="M547" s="46" t="str">
        <f>IF(OR(Registro!D546="Resuelto",Registro!D546=""),"",SUM(C547,F547,I547,L547))</f>
        <v/>
      </c>
      <c r="N547" s="46" t="str">
        <f>IF(OR(Registro!D546="Resuelto",Registro!D546=""),"",SUM(B547,E547,H547,K547))</f>
        <v/>
      </c>
      <c r="O547" s="46" t="str">
        <f>IF(OR(Registro!D546="Resuelto",Registro!D546=""),"",_xlfn.CONCAT(A547,D547,G547,J547))</f>
        <v/>
      </c>
      <c r="P547" s="47">
        <v>539</v>
      </c>
      <c r="Q547" s="47" t="str">
        <f t="shared" ca="1" si="24"/>
        <v/>
      </c>
      <c r="R547" s="48" t="str">
        <f t="shared" ca="1" si="25"/>
        <v/>
      </c>
      <c r="S547" s="32"/>
      <c r="T547" s="32"/>
      <c r="U547" s="32"/>
      <c r="V547" s="32"/>
      <c r="W547" s="47" t="str">
        <f>IF(X547="","",MAX($W$5:W546)+1)</f>
        <v/>
      </c>
      <c r="X547" s="50" t="str">
        <f>IF(Registro!M546="","",IF(COUNTIF($X$8:X546,Registro!M546)=0,Registro!M546,""))</f>
        <v/>
      </c>
      <c r="Y547" s="50" t="str">
        <f t="shared" si="26"/>
        <v/>
      </c>
    </row>
    <row r="548" spans="1:25">
      <c r="A548" s="45" t="str">
        <f>IF(AND(Registro!D547="Abierto",Registro!E547="Urgente"),Registro!B547,"")</f>
        <v/>
      </c>
      <c r="B548" s="45" t="str">
        <f ca="1">IF(AND(Registro!D547="Abierto",Registro!E547="Urgente"),TODAY()-Registro!R547,"")</f>
        <v/>
      </c>
      <c r="C548" s="45" t="str">
        <f>IF(AND(Registro!D547="Abierto",Registro!E547="Urgente"),RANK(B548,$B$9:$B$1000,0)+COUNTIF($B$9:B548,B548)-1,"")</f>
        <v/>
      </c>
      <c r="D548" s="45" t="str">
        <f>IF(AND(Registro!D547="Abierto",Registro!E547="Alta"),Registro!B547,"")</f>
        <v/>
      </c>
      <c r="E548" s="45" t="str">
        <f ca="1">IF(AND(Registro!D547="Abierto",Registro!E547="Alta"),TODAY()-Registro!R547,"")</f>
        <v/>
      </c>
      <c r="F548" s="45" t="str">
        <f>IF(AND(Registro!D547="Abierto",Registro!E547="Alta"),RANK(E548,$E$9:$E$1000,0)+COUNTIF($E$9:E548,E548)-1+MAX(C$5:C$1000),"")</f>
        <v/>
      </c>
      <c r="G548" s="45" t="str">
        <f>IF(AND(Registro!D547="Abierto",Registro!E547="Media"),Registro!B547,"")</f>
        <v/>
      </c>
      <c r="H548" s="45" t="str">
        <f ca="1">IF(AND(Registro!D547="Abierto",Registro!E547="Media"),TODAY()-Registro!R547,"")</f>
        <v/>
      </c>
      <c r="I548" s="45" t="str">
        <f>IF(AND(Registro!D547="Abierto",Registro!E547="Media"),RANK(H548,$H$9:$H$1000,0)+COUNTIF($H$9:H548,H548)-1+MAX(C$5:C$1000,F$5:F$1000),"")</f>
        <v/>
      </c>
      <c r="J548" s="45" t="str">
        <f>IF(AND(Registro!D547="Abierto",Registro!E547="Baja"),Registro!B547,"")</f>
        <v/>
      </c>
      <c r="K548" s="45" t="str">
        <f ca="1">IF(AND(Registro!D547="Abierto",Registro!E547="Baja"),TODAY()-Registro!R547,"")</f>
        <v/>
      </c>
      <c r="L548" s="45" t="str">
        <f>IF(AND(Registro!D547="Abierto",Registro!E547="Baja"),RANK(K548,$K$9:$K$1000,0)+COUNTIF($K$9:K548,K548)-1+MAX(C$5:C$1000,F$5:F$1000,I$5:I$1000),"")</f>
        <v/>
      </c>
      <c r="M548" s="46" t="str">
        <f>IF(OR(Registro!D547="Resuelto",Registro!D547=""),"",SUM(C548,F548,I548,L548))</f>
        <v/>
      </c>
      <c r="N548" s="46" t="str">
        <f>IF(OR(Registro!D547="Resuelto",Registro!D547=""),"",SUM(B548,E548,H548,K548))</f>
        <v/>
      </c>
      <c r="O548" s="46" t="str">
        <f>IF(OR(Registro!D547="Resuelto",Registro!D547=""),"",_xlfn.CONCAT(A548,D548,G548,J548))</f>
        <v/>
      </c>
      <c r="P548" s="47">
        <v>540</v>
      </c>
      <c r="Q548" s="47" t="str">
        <f t="shared" ca="1" si="24"/>
        <v/>
      </c>
      <c r="R548" s="48" t="str">
        <f t="shared" ca="1" si="25"/>
        <v/>
      </c>
      <c r="S548" s="32"/>
      <c r="T548" s="32"/>
      <c r="U548" s="32"/>
      <c r="V548" s="32"/>
      <c r="W548" s="47" t="str">
        <f>IF(X548="","",MAX($W$5:W547)+1)</f>
        <v/>
      </c>
      <c r="X548" s="50" t="str">
        <f>IF(Registro!M547="","",IF(COUNTIF($X$8:X547,Registro!M547)=0,Registro!M547,""))</f>
        <v/>
      </c>
      <c r="Y548" s="50" t="str">
        <f t="shared" si="26"/>
        <v/>
      </c>
    </row>
    <row r="549" spans="1:25">
      <c r="A549" s="45" t="str">
        <f>IF(AND(Registro!D548="Abierto",Registro!E548="Urgente"),Registro!B548,"")</f>
        <v/>
      </c>
      <c r="B549" s="45" t="str">
        <f ca="1">IF(AND(Registro!D548="Abierto",Registro!E548="Urgente"),TODAY()-Registro!R548,"")</f>
        <v/>
      </c>
      <c r="C549" s="45" t="str">
        <f>IF(AND(Registro!D548="Abierto",Registro!E548="Urgente"),RANK(B549,$B$9:$B$1000,0)+COUNTIF($B$9:B549,B549)-1,"")</f>
        <v/>
      </c>
      <c r="D549" s="45" t="str">
        <f>IF(AND(Registro!D548="Abierto",Registro!E548="Alta"),Registro!B548,"")</f>
        <v/>
      </c>
      <c r="E549" s="45" t="str">
        <f ca="1">IF(AND(Registro!D548="Abierto",Registro!E548="Alta"),TODAY()-Registro!R548,"")</f>
        <v/>
      </c>
      <c r="F549" s="45" t="str">
        <f>IF(AND(Registro!D548="Abierto",Registro!E548="Alta"),RANK(E549,$E$9:$E$1000,0)+COUNTIF($E$9:E549,E549)-1+MAX(C$5:C$1000),"")</f>
        <v/>
      </c>
      <c r="G549" s="45" t="str">
        <f>IF(AND(Registro!D548="Abierto",Registro!E548="Media"),Registro!B548,"")</f>
        <v/>
      </c>
      <c r="H549" s="45" t="str">
        <f ca="1">IF(AND(Registro!D548="Abierto",Registro!E548="Media"),TODAY()-Registro!R548,"")</f>
        <v/>
      </c>
      <c r="I549" s="45" t="str">
        <f>IF(AND(Registro!D548="Abierto",Registro!E548="Media"),RANK(H549,$H$9:$H$1000,0)+COUNTIF($H$9:H549,H549)-1+MAX(C$5:C$1000,F$5:F$1000),"")</f>
        <v/>
      </c>
      <c r="J549" s="45" t="str">
        <f>IF(AND(Registro!D548="Abierto",Registro!E548="Baja"),Registro!B548,"")</f>
        <v/>
      </c>
      <c r="K549" s="45" t="str">
        <f ca="1">IF(AND(Registro!D548="Abierto",Registro!E548="Baja"),TODAY()-Registro!R548,"")</f>
        <v/>
      </c>
      <c r="L549" s="45" t="str">
        <f>IF(AND(Registro!D548="Abierto",Registro!E548="Baja"),RANK(K549,$K$9:$K$1000,0)+COUNTIF($K$9:K549,K549)-1+MAX(C$5:C$1000,F$5:F$1000,I$5:I$1000),"")</f>
        <v/>
      </c>
      <c r="M549" s="46" t="str">
        <f>IF(OR(Registro!D548="Resuelto",Registro!D548=""),"",SUM(C549,F549,I549,L549))</f>
        <v/>
      </c>
      <c r="N549" s="46" t="str">
        <f>IF(OR(Registro!D548="Resuelto",Registro!D548=""),"",SUM(B549,E549,H549,K549))</f>
        <v/>
      </c>
      <c r="O549" s="46" t="str">
        <f>IF(OR(Registro!D548="Resuelto",Registro!D548=""),"",_xlfn.CONCAT(A549,D549,G549,J549))</f>
        <v/>
      </c>
      <c r="P549" s="47">
        <v>541</v>
      </c>
      <c r="Q549" s="47" t="str">
        <f t="shared" ca="1" si="24"/>
        <v/>
      </c>
      <c r="R549" s="48" t="str">
        <f t="shared" ca="1" si="25"/>
        <v/>
      </c>
      <c r="S549" s="32"/>
      <c r="T549" s="32"/>
      <c r="U549" s="32"/>
      <c r="V549" s="32"/>
      <c r="W549" s="47" t="str">
        <f>IF(X549="","",MAX($W$5:W548)+1)</f>
        <v/>
      </c>
      <c r="X549" s="50" t="str">
        <f>IF(Registro!M548="","",IF(COUNTIF($X$8:X548,Registro!M548)=0,Registro!M548,""))</f>
        <v/>
      </c>
      <c r="Y549" s="50" t="str">
        <f t="shared" si="26"/>
        <v/>
      </c>
    </row>
    <row r="550" spans="1:25">
      <c r="A550" s="45" t="str">
        <f>IF(AND(Registro!D549="Abierto",Registro!E549="Urgente"),Registro!B549,"")</f>
        <v/>
      </c>
      <c r="B550" s="45" t="str">
        <f ca="1">IF(AND(Registro!D549="Abierto",Registro!E549="Urgente"),TODAY()-Registro!R549,"")</f>
        <v/>
      </c>
      <c r="C550" s="45" t="str">
        <f>IF(AND(Registro!D549="Abierto",Registro!E549="Urgente"),RANK(B550,$B$9:$B$1000,0)+COUNTIF($B$9:B550,B550)-1,"")</f>
        <v/>
      </c>
      <c r="D550" s="45" t="str">
        <f>IF(AND(Registro!D549="Abierto",Registro!E549="Alta"),Registro!B549,"")</f>
        <v/>
      </c>
      <c r="E550" s="45" t="str">
        <f ca="1">IF(AND(Registro!D549="Abierto",Registro!E549="Alta"),TODAY()-Registro!R549,"")</f>
        <v/>
      </c>
      <c r="F550" s="45" t="str">
        <f>IF(AND(Registro!D549="Abierto",Registro!E549="Alta"),RANK(E550,$E$9:$E$1000,0)+COUNTIF($E$9:E550,E550)-1+MAX(C$5:C$1000),"")</f>
        <v/>
      </c>
      <c r="G550" s="45" t="str">
        <f>IF(AND(Registro!D549="Abierto",Registro!E549="Media"),Registro!B549,"")</f>
        <v/>
      </c>
      <c r="H550" s="45" t="str">
        <f ca="1">IF(AND(Registro!D549="Abierto",Registro!E549="Media"),TODAY()-Registro!R549,"")</f>
        <v/>
      </c>
      <c r="I550" s="45" t="str">
        <f>IF(AND(Registro!D549="Abierto",Registro!E549="Media"),RANK(H550,$H$9:$H$1000,0)+COUNTIF($H$9:H550,H550)-1+MAX(C$5:C$1000,F$5:F$1000),"")</f>
        <v/>
      </c>
      <c r="J550" s="45" t="str">
        <f>IF(AND(Registro!D549="Abierto",Registro!E549="Baja"),Registro!B549,"")</f>
        <v/>
      </c>
      <c r="K550" s="45" t="str">
        <f ca="1">IF(AND(Registro!D549="Abierto",Registro!E549="Baja"),TODAY()-Registro!R549,"")</f>
        <v/>
      </c>
      <c r="L550" s="45" t="str">
        <f>IF(AND(Registro!D549="Abierto",Registro!E549="Baja"),RANK(K550,$K$9:$K$1000,0)+COUNTIF($K$9:K550,K550)-1+MAX(C$5:C$1000,F$5:F$1000,I$5:I$1000),"")</f>
        <v/>
      </c>
      <c r="M550" s="46" t="str">
        <f>IF(OR(Registro!D549="Resuelto",Registro!D549=""),"",SUM(C550,F550,I550,L550))</f>
        <v/>
      </c>
      <c r="N550" s="46" t="str">
        <f>IF(OR(Registro!D549="Resuelto",Registro!D549=""),"",SUM(B550,E550,H550,K550))</f>
        <v/>
      </c>
      <c r="O550" s="46" t="str">
        <f>IF(OR(Registro!D549="Resuelto",Registro!D549=""),"",_xlfn.CONCAT(A550,D550,G550,J550))</f>
        <v/>
      </c>
      <c r="P550" s="47">
        <v>542</v>
      </c>
      <c r="Q550" s="47" t="str">
        <f t="shared" ca="1" si="24"/>
        <v/>
      </c>
      <c r="R550" s="48" t="str">
        <f t="shared" ca="1" si="25"/>
        <v/>
      </c>
      <c r="S550" s="32"/>
      <c r="T550" s="32"/>
      <c r="U550" s="32"/>
      <c r="V550" s="32"/>
      <c r="W550" s="47" t="str">
        <f>IF(X550="","",MAX($W$5:W549)+1)</f>
        <v/>
      </c>
      <c r="X550" s="50" t="str">
        <f>IF(Registro!M549="","",IF(COUNTIF($X$8:X549,Registro!M549)=0,Registro!M549,""))</f>
        <v/>
      </c>
      <c r="Y550" s="50" t="str">
        <f t="shared" si="26"/>
        <v/>
      </c>
    </row>
    <row r="551" spans="1:25">
      <c r="A551" s="45" t="str">
        <f>IF(AND(Registro!D550="Abierto",Registro!E550="Urgente"),Registro!B550,"")</f>
        <v/>
      </c>
      <c r="B551" s="45" t="str">
        <f ca="1">IF(AND(Registro!D550="Abierto",Registro!E550="Urgente"),TODAY()-Registro!R550,"")</f>
        <v/>
      </c>
      <c r="C551" s="45" t="str">
        <f>IF(AND(Registro!D550="Abierto",Registro!E550="Urgente"),RANK(B551,$B$9:$B$1000,0)+COUNTIF($B$9:B551,B551)-1,"")</f>
        <v/>
      </c>
      <c r="D551" s="45" t="str">
        <f>IF(AND(Registro!D550="Abierto",Registro!E550="Alta"),Registro!B550,"")</f>
        <v/>
      </c>
      <c r="E551" s="45" t="str">
        <f ca="1">IF(AND(Registro!D550="Abierto",Registro!E550="Alta"),TODAY()-Registro!R550,"")</f>
        <v/>
      </c>
      <c r="F551" s="45" t="str">
        <f>IF(AND(Registro!D550="Abierto",Registro!E550="Alta"),RANK(E551,$E$9:$E$1000,0)+COUNTIF($E$9:E551,E551)-1+MAX(C$5:C$1000),"")</f>
        <v/>
      </c>
      <c r="G551" s="45" t="str">
        <f>IF(AND(Registro!D550="Abierto",Registro!E550="Media"),Registro!B550,"")</f>
        <v/>
      </c>
      <c r="H551" s="45" t="str">
        <f ca="1">IF(AND(Registro!D550="Abierto",Registro!E550="Media"),TODAY()-Registro!R550,"")</f>
        <v/>
      </c>
      <c r="I551" s="45" t="str">
        <f>IF(AND(Registro!D550="Abierto",Registro!E550="Media"),RANK(H551,$H$9:$H$1000,0)+COUNTIF($H$9:H551,H551)-1+MAX(C$5:C$1000,F$5:F$1000),"")</f>
        <v/>
      </c>
      <c r="J551" s="45" t="str">
        <f>IF(AND(Registro!D550="Abierto",Registro!E550="Baja"),Registro!B550,"")</f>
        <v/>
      </c>
      <c r="K551" s="45" t="str">
        <f ca="1">IF(AND(Registro!D550="Abierto",Registro!E550="Baja"),TODAY()-Registro!R550,"")</f>
        <v/>
      </c>
      <c r="L551" s="45" t="str">
        <f>IF(AND(Registro!D550="Abierto",Registro!E550="Baja"),RANK(K551,$K$9:$K$1000,0)+COUNTIF($K$9:K551,K551)-1+MAX(C$5:C$1000,F$5:F$1000,I$5:I$1000),"")</f>
        <v/>
      </c>
      <c r="M551" s="46" t="str">
        <f>IF(OR(Registro!D550="Resuelto",Registro!D550=""),"",SUM(C551,F551,I551,L551))</f>
        <v/>
      </c>
      <c r="N551" s="46" t="str">
        <f>IF(OR(Registro!D550="Resuelto",Registro!D550=""),"",SUM(B551,E551,H551,K551))</f>
        <v/>
      </c>
      <c r="O551" s="46" t="str">
        <f>IF(OR(Registro!D550="Resuelto",Registro!D550=""),"",_xlfn.CONCAT(A551,D551,G551,J551))</f>
        <v/>
      </c>
      <c r="P551" s="47">
        <v>543</v>
      </c>
      <c r="Q551" s="47" t="str">
        <f t="shared" ca="1" si="24"/>
        <v/>
      </c>
      <c r="R551" s="48" t="str">
        <f t="shared" ca="1" si="25"/>
        <v/>
      </c>
      <c r="S551" s="32"/>
      <c r="T551" s="32"/>
      <c r="U551" s="32"/>
      <c r="V551" s="32"/>
      <c r="W551" s="47" t="str">
        <f>IF(X551="","",MAX($W$5:W550)+1)</f>
        <v/>
      </c>
      <c r="X551" s="50" t="str">
        <f>IF(Registro!M550="","",IF(COUNTIF($X$8:X550,Registro!M550)=0,Registro!M550,""))</f>
        <v/>
      </c>
      <c r="Y551" s="50" t="str">
        <f t="shared" si="26"/>
        <v/>
      </c>
    </row>
    <row r="552" spans="1:25">
      <c r="A552" s="45" t="str">
        <f>IF(AND(Registro!D551="Abierto",Registro!E551="Urgente"),Registro!B551,"")</f>
        <v/>
      </c>
      <c r="B552" s="45" t="str">
        <f ca="1">IF(AND(Registro!D551="Abierto",Registro!E551="Urgente"),TODAY()-Registro!R551,"")</f>
        <v/>
      </c>
      <c r="C552" s="45" t="str">
        <f>IF(AND(Registro!D551="Abierto",Registro!E551="Urgente"),RANK(B552,$B$9:$B$1000,0)+COUNTIF($B$9:B552,B552)-1,"")</f>
        <v/>
      </c>
      <c r="D552" s="45" t="str">
        <f>IF(AND(Registro!D551="Abierto",Registro!E551="Alta"),Registro!B551,"")</f>
        <v/>
      </c>
      <c r="E552" s="45" t="str">
        <f ca="1">IF(AND(Registro!D551="Abierto",Registro!E551="Alta"),TODAY()-Registro!R551,"")</f>
        <v/>
      </c>
      <c r="F552" s="45" t="str">
        <f>IF(AND(Registro!D551="Abierto",Registro!E551="Alta"),RANK(E552,$E$9:$E$1000,0)+COUNTIF($E$9:E552,E552)-1+MAX(C$5:C$1000),"")</f>
        <v/>
      </c>
      <c r="G552" s="45" t="str">
        <f>IF(AND(Registro!D551="Abierto",Registro!E551="Media"),Registro!B551,"")</f>
        <v/>
      </c>
      <c r="H552" s="45" t="str">
        <f ca="1">IF(AND(Registro!D551="Abierto",Registro!E551="Media"),TODAY()-Registro!R551,"")</f>
        <v/>
      </c>
      <c r="I552" s="45" t="str">
        <f>IF(AND(Registro!D551="Abierto",Registro!E551="Media"),RANK(H552,$H$9:$H$1000,0)+COUNTIF($H$9:H552,H552)-1+MAX(C$5:C$1000,F$5:F$1000),"")</f>
        <v/>
      </c>
      <c r="J552" s="45" t="str">
        <f>IF(AND(Registro!D551="Abierto",Registro!E551="Baja"),Registro!B551,"")</f>
        <v/>
      </c>
      <c r="K552" s="45" t="str">
        <f ca="1">IF(AND(Registro!D551="Abierto",Registro!E551="Baja"),TODAY()-Registro!R551,"")</f>
        <v/>
      </c>
      <c r="L552" s="45" t="str">
        <f>IF(AND(Registro!D551="Abierto",Registro!E551="Baja"),RANK(K552,$K$9:$K$1000,0)+COUNTIF($K$9:K552,K552)-1+MAX(C$5:C$1000,F$5:F$1000,I$5:I$1000),"")</f>
        <v/>
      </c>
      <c r="M552" s="46" t="str">
        <f>IF(OR(Registro!D551="Resuelto",Registro!D551=""),"",SUM(C552,F552,I552,L552))</f>
        <v/>
      </c>
      <c r="N552" s="46" t="str">
        <f>IF(OR(Registro!D551="Resuelto",Registro!D551=""),"",SUM(B552,E552,H552,K552))</f>
        <v/>
      </c>
      <c r="O552" s="46" t="str">
        <f>IF(OR(Registro!D551="Resuelto",Registro!D551=""),"",_xlfn.CONCAT(A552,D552,G552,J552))</f>
        <v/>
      </c>
      <c r="P552" s="47">
        <v>544</v>
      </c>
      <c r="Q552" s="47" t="str">
        <f t="shared" ca="1" si="24"/>
        <v/>
      </c>
      <c r="R552" s="48" t="str">
        <f t="shared" ca="1" si="25"/>
        <v/>
      </c>
      <c r="S552" s="32"/>
      <c r="T552" s="32"/>
      <c r="U552" s="32"/>
      <c r="V552" s="32"/>
      <c r="W552" s="47" t="str">
        <f>IF(X552="","",MAX($W$5:W551)+1)</f>
        <v/>
      </c>
      <c r="X552" s="50" t="str">
        <f>IF(Registro!M551="","",IF(COUNTIF($X$8:X551,Registro!M551)=0,Registro!M551,""))</f>
        <v/>
      </c>
      <c r="Y552" s="50" t="str">
        <f t="shared" si="26"/>
        <v/>
      </c>
    </row>
    <row r="553" spans="1:25">
      <c r="A553" s="45" t="str">
        <f>IF(AND(Registro!D552="Abierto",Registro!E552="Urgente"),Registro!B552,"")</f>
        <v/>
      </c>
      <c r="B553" s="45" t="str">
        <f ca="1">IF(AND(Registro!D552="Abierto",Registro!E552="Urgente"),TODAY()-Registro!R552,"")</f>
        <v/>
      </c>
      <c r="C553" s="45" t="str">
        <f>IF(AND(Registro!D552="Abierto",Registro!E552="Urgente"),RANK(B553,$B$9:$B$1000,0)+COUNTIF($B$9:B553,B553)-1,"")</f>
        <v/>
      </c>
      <c r="D553" s="45" t="str">
        <f>IF(AND(Registro!D552="Abierto",Registro!E552="Alta"),Registro!B552,"")</f>
        <v/>
      </c>
      <c r="E553" s="45" t="str">
        <f ca="1">IF(AND(Registro!D552="Abierto",Registro!E552="Alta"),TODAY()-Registro!R552,"")</f>
        <v/>
      </c>
      <c r="F553" s="45" t="str">
        <f>IF(AND(Registro!D552="Abierto",Registro!E552="Alta"),RANK(E553,$E$9:$E$1000,0)+COUNTIF($E$9:E553,E553)-1+MAX(C$5:C$1000),"")</f>
        <v/>
      </c>
      <c r="G553" s="45" t="str">
        <f>IF(AND(Registro!D552="Abierto",Registro!E552="Media"),Registro!B552,"")</f>
        <v/>
      </c>
      <c r="H553" s="45" t="str">
        <f ca="1">IF(AND(Registro!D552="Abierto",Registro!E552="Media"),TODAY()-Registro!R552,"")</f>
        <v/>
      </c>
      <c r="I553" s="45" t="str">
        <f>IF(AND(Registro!D552="Abierto",Registro!E552="Media"),RANK(H553,$H$9:$H$1000,0)+COUNTIF($H$9:H553,H553)-1+MAX(C$5:C$1000,F$5:F$1000),"")</f>
        <v/>
      </c>
      <c r="J553" s="45" t="str">
        <f>IF(AND(Registro!D552="Abierto",Registro!E552="Baja"),Registro!B552,"")</f>
        <v/>
      </c>
      <c r="K553" s="45" t="str">
        <f ca="1">IF(AND(Registro!D552="Abierto",Registro!E552="Baja"),TODAY()-Registro!R552,"")</f>
        <v/>
      </c>
      <c r="L553" s="45" t="str">
        <f>IF(AND(Registro!D552="Abierto",Registro!E552="Baja"),RANK(K553,$K$9:$K$1000,0)+COUNTIF($K$9:K553,K553)-1+MAX(C$5:C$1000,F$5:F$1000,I$5:I$1000),"")</f>
        <v/>
      </c>
      <c r="M553" s="46" t="str">
        <f>IF(OR(Registro!D552="Resuelto",Registro!D552=""),"",SUM(C553,F553,I553,L553))</f>
        <v/>
      </c>
      <c r="N553" s="46" t="str">
        <f>IF(OR(Registro!D552="Resuelto",Registro!D552=""),"",SUM(B553,E553,H553,K553))</f>
        <v/>
      </c>
      <c r="O553" s="46" t="str">
        <f>IF(OR(Registro!D552="Resuelto",Registro!D552=""),"",_xlfn.CONCAT(A553,D553,G553,J553))</f>
        <v/>
      </c>
      <c r="P553" s="47">
        <v>545</v>
      </c>
      <c r="Q553" s="47" t="str">
        <f t="shared" ca="1" si="24"/>
        <v/>
      </c>
      <c r="R553" s="48" t="str">
        <f t="shared" ca="1" si="25"/>
        <v/>
      </c>
      <c r="S553" s="32"/>
      <c r="T553" s="32"/>
      <c r="U553" s="32"/>
      <c r="V553" s="32"/>
      <c r="W553" s="47" t="str">
        <f>IF(X553="","",MAX($W$5:W552)+1)</f>
        <v/>
      </c>
      <c r="X553" s="50" t="str">
        <f>IF(Registro!M552="","",IF(COUNTIF($X$8:X552,Registro!M552)=0,Registro!M552,""))</f>
        <v/>
      </c>
      <c r="Y553" s="50" t="str">
        <f t="shared" si="26"/>
        <v/>
      </c>
    </row>
    <row r="554" spans="1:25">
      <c r="A554" s="45" t="str">
        <f>IF(AND(Registro!D553="Abierto",Registro!E553="Urgente"),Registro!B553,"")</f>
        <v/>
      </c>
      <c r="B554" s="45" t="str">
        <f ca="1">IF(AND(Registro!D553="Abierto",Registro!E553="Urgente"),TODAY()-Registro!R553,"")</f>
        <v/>
      </c>
      <c r="C554" s="45" t="str">
        <f>IF(AND(Registro!D553="Abierto",Registro!E553="Urgente"),RANK(B554,$B$9:$B$1000,0)+COUNTIF($B$9:B554,B554)-1,"")</f>
        <v/>
      </c>
      <c r="D554" s="45" t="str">
        <f>IF(AND(Registro!D553="Abierto",Registro!E553="Alta"),Registro!B553,"")</f>
        <v/>
      </c>
      <c r="E554" s="45" t="str">
        <f ca="1">IF(AND(Registro!D553="Abierto",Registro!E553="Alta"),TODAY()-Registro!R553,"")</f>
        <v/>
      </c>
      <c r="F554" s="45" t="str">
        <f>IF(AND(Registro!D553="Abierto",Registro!E553="Alta"),RANK(E554,$E$9:$E$1000,0)+COUNTIF($E$9:E554,E554)-1+MAX(C$5:C$1000),"")</f>
        <v/>
      </c>
      <c r="G554" s="45" t="str">
        <f>IF(AND(Registro!D553="Abierto",Registro!E553="Media"),Registro!B553,"")</f>
        <v/>
      </c>
      <c r="H554" s="45" t="str">
        <f ca="1">IF(AND(Registro!D553="Abierto",Registro!E553="Media"),TODAY()-Registro!R553,"")</f>
        <v/>
      </c>
      <c r="I554" s="45" t="str">
        <f>IF(AND(Registro!D553="Abierto",Registro!E553="Media"),RANK(H554,$H$9:$H$1000,0)+COUNTIF($H$9:H554,H554)-1+MAX(C$5:C$1000,F$5:F$1000),"")</f>
        <v/>
      </c>
      <c r="J554" s="45" t="str">
        <f>IF(AND(Registro!D553="Abierto",Registro!E553="Baja"),Registro!B553,"")</f>
        <v/>
      </c>
      <c r="K554" s="45" t="str">
        <f ca="1">IF(AND(Registro!D553="Abierto",Registro!E553="Baja"),TODAY()-Registro!R553,"")</f>
        <v/>
      </c>
      <c r="L554" s="45" t="str">
        <f>IF(AND(Registro!D553="Abierto",Registro!E553="Baja"),RANK(K554,$K$9:$K$1000,0)+COUNTIF($K$9:K554,K554)-1+MAX(C$5:C$1000,F$5:F$1000,I$5:I$1000),"")</f>
        <v/>
      </c>
      <c r="M554" s="46" t="str">
        <f>IF(OR(Registro!D553="Resuelto",Registro!D553=""),"",SUM(C554,F554,I554,L554))</f>
        <v/>
      </c>
      <c r="N554" s="46" t="str">
        <f>IF(OR(Registro!D553="Resuelto",Registro!D553=""),"",SUM(B554,E554,H554,K554))</f>
        <v/>
      </c>
      <c r="O554" s="46" t="str">
        <f>IF(OR(Registro!D553="Resuelto",Registro!D553=""),"",_xlfn.CONCAT(A554,D554,G554,J554))</f>
        <v/>
      </c>
      <c r="P554" s="47">
        <v>546</v>
      </c>
      <c r="Q554" s="47" t="str">
        <f t="shared" ca="1" si="24"/>
        <v/>
      </c>
      <c r="R554" s="48" t="str">
        <f t="shared" ca="1" si="25"/>
        <v/>
      </c>
      <c r="S554" s="32"/>
      <c r="T554" s="32"/>
      <c r="U554" s="32"/>
      <c r="V554" s="32"/>
      <c r="W554" s="47" t="str">
        <f>IF(X554="","",MAX($W$5:W553)+1)</f>
        <v/>
      </c>
      <c r="X554" s="50" t="str">
        <f>IF(Registro!M553="","",IF(COUNTIF($X$8:X553,Registro!M553)=0,Registro!M553,""))</f>
        <v/>
      </c>
      <c r="Y554" s="50" t="str">
        <f t="shared" si="26"/>
        <v/>
      </c>
    </row>
    <row r="555" spans="1:25">
      <c r="A555" s="45" t="str">
        <f>IF(AND(Registro!D554="Abierto",Registro!E554="Urgente"),Registro!B554,"")</f>
        <v/>
      </c>
      <c r="B555" s="45" t="str">
        <f ca="1">IF(AND(Registro!D554="Abierto",Registro!E554="Urgente"),TODAY()-Registro!R554,"")</f>
        <v/>
      </c>
      <c r="C555" s="45" t="str">
        <f>IF(AND(Registro!D554="Abierto",Registro!E554="Urgente"),RANK(B555,$B$9:$B$1000,0)+COUNTIF($B$9:B555,B555)-1,"")</f>
        <v/>
      </c>
      <c r="D555" s="45" t="str">
        <f>IF(AND(Registro!D554="Abierto",Registro!E554="Alta"),Registro!B554,"")</f>
        <v/>
      </c>
      <c r="E555" s="45" t="str">
        <f ca="1">IF(AND(Registro!D554="Abierto",Registro!E554="Alta"),TODAY()-Registro!R554,"")</f>
        <v/>
      </c>
      <c r="F555" s="45" t="str">
        <f>IF(AND(Registro!D554="Abierto",Registro!E554="Alta"),RANK(E555,$E$9:$E$1000,0)+COUNTIF($E$9:E555,E555)-1+MAX(C$5:C$1000),"")</f>
        <v/>
      </c>
      <c r="G555" s="45" t="str">
        <f>IF(AND(Registro!D554="Abierto",Registro!E554="Media"),Registro!B554,"")</f>
        <v/>
      </c>
      <c r="H555" s="45" t="str">
        <f ca="1">IF(AND(Registro!D554="Abierto",Registro!E554="Media"),TODAY()-Registro!R554,"")</f>
        <v/>
      </c>
      <c r="I555" s="45" t="str">
        <f>IF(AND(Registro!D554="Abierto",Registro!E554="Media"),RANK(H555,$H$9:$H$1000,0)+COUNTIF($H$9:H555,H555)-1+MAX(C$5:C$1000,F$5:F$1000),"")</f>
        <v/>
      </c>
      <c r="J555" s="45" t="str">
        <f>IF(AND(Registro!D554="Abierto",Registro!E554="Baja"),Registro!B554,"")</f>
        <v/>
      </c>
      <c r="K555" s="45" t="str">
        <f ca="1">IF(AND(Registro!D554="Abierto",Registro!E554="Baja"),TODAY()-Registro!R554,"")</f>
        <v/>
      </c>
      <c r="L555" s="45" t="str">
        <f>IF(AND(Registro!D554="Abierto",Registro!E554="Baja"),RANK(K555,$K$9:$K$1000,0)+COUNTIF($K$9:K555,K555)-1+MAX(C$5:C$1000,F$5:F$1000,I$5:I$1000),"")</f>
        <v/>
      </c>
      <c r="M555" s="46" t="str">
        <f>IF(OR(Registro!D554="Resuelto",Registro!D554=""),"",SUM(C555,F555,I555,L555))</f>
        <v/>
      </c>
      <c r="N555" s="46" t="str">
        <f>IF(OR(Registro!D554="Resuelto",Registro!D554=""),"",SUM(B555,E555,H555,K555))</f>
        <v/>
      </c>
      <c r="O555" s="46" t="str">
        <f>IF(OR(Registro!D554="Resuelto",Registro!D554=""),"",_xlfn.CONCAT(A555,D555,G555,J555))</f>
        <v/>
      </c>
      <c r="P555" s="47">
        <v>547</v>
      </c>
      <c r="Q555" s="47" t="str">
        <f t="shared" ca="1" si="24"/>
        <v/>
      </c>
      <c r="R555" s="48" t="str">
        <f t="shared" ca="1" si="25"/>
        <v/>
      </c>
      <c r="S555" s="32"/>
      <c r="T555" s="32"/>
      <c r="U555" s="32"/>
      <c r="V555" s="32"/>
      <c r="W555" s="47" t="str">
        <f>IF(X555="","",MAX($W$5:W554)+1)</f>
        <v/>
      </c>
      <c r="X555" s="50" t="str">
        <f>IF(Registro!M554="","",IF(COUNTIF($X$8:X554,Registro!M554)=0,Registro!M554,""))</f>
        <v/>
      </c>
      <c r="Y555" s="50" t="str">
        <f t="shared" si="26"/>
        <v/>
      </c>
    </row>
    <row r="556" spans="1:25">
      <c r="A556" s="45" t="str">
        <f>IF(AND(Registro!D555="Abierto",Registro!E555="Urgente"),Registro!B555,"")</f>
        <v/>
      </c>
      <c r="B556" s="45" t="str">
        <f ca="1">IF(AND(Registro!D555="Abierto",Registro!E555="Urgente"),TODAY()-Registro!R555,"")</f>
        <v/>
      </c>
      <c r="C556" s="45" t="str">
        <f>IF(AND(Registro!D555="Abierto",Registro!E555="Urgente"),RANK(B556,$B$9:$B$1000,0)+COUNTIF($B$9:B556,B556)-1,"")</f>
        <v/>
      </c>
      <c r="D556" s="45" t="str">
        <f>IF(AND(Registro!D555="Abierto",Registro!E555="Alta"),Registro!B555,"")</f>
        <v/>
      </c>
      <c r="E556" s="45" t="str">
        <f ca="1">IF(AND(Registro!D555="Abierto",Registro!E555="Alta"),TODAY()-Registro!R555,"")</f>
        <v/>
      </c>
      <c r="F556" s="45" t="str">
        <f>IF(AND(Registro!D555="Abierto",Registro!E555="Alta"),RANK(E556,$E$9:$E$1000,0)+COUNTIF($E$9:E556,E556)-1+MAX(C$5:C$1000),"")</f>
        <v/>
      </c>
      <c r="G556" s="45" t="str">
        <f>IF(AND(Registro!D555="Abierto",Registro!E555="Media"),Registro!B555,"")</f>
        <v/>
      </c>
      <c r="H556" s="45" t="str">
        <f ca="1">IF(AND(Registro!D555="Abierto",Registro!E555="Media"),TODAY()-Registro!R555,"")</f>
        <v/>
      </c>
      <c r="I556" s="45" t="str">
        <f>IF(AND(Registro!D555="Abierto",Registro!E555="Media"),RANK(H556,$H$9:$H$1000,0)+COUNTIF($H$9:H556,H556)-1+MAX(C$5:C$1000,F$5:F$1000),"")</f>
        <v/>
      </c>
      <c r="J556" s="45" t="str">
        <f>IF(AND(Registro!D555="Abierto",Registro!E555="Baja"),Registro!B555,"")</f>
        <v/>
      </c>
      <c r="K556" s="45" t="str">
        <f ca="1">IF(AND(Registro!D555="Abierto",Registro!E555="Baja"),TODAY()-Registro!R555,"")</f>
        <v/>
      </c>
      <c r="L556" s="45" t="str">
        <f>IF(AND(Registro!D555="Abierto",Registro!E555="Baja"),RANK(K556,$K$9:$K$1000,0)+COUNTIF($K$9:K556,K556)-1+MAX(C$5:C$1000,F$5:F$1000,I$5:I$1000),"")</f>
        <v/>
      </c>
      <c r="M556" s="46" t="str">
        <f>IF(OR(Registro!D555="Resuelto",Registro!D555=""),"",SUM(C556,F556,I556,L556))</f>
        <v/>
      </c>
      <c r="N556" s="46" t="str">
        <f>IF(OR(Registro!D555="Resuelto",Registro!D555=""),"",SUM(B556,E556,H556,K556))</f>
        <v/>
      </c>
      <c r="O556" s="46" t="str">
        <f>IF(OR(Registro!D555="Resuelto",Registro!D555=""),"",_xlfn.CONCAT(A556,D556,G556,J556))</f>
        <v/>
      </c>
      <c r="P556" s="47">
        <v>548</v>
      </c>
      <c r="Q556" s="47" t="str">
        <f t="shared" ca="1" si="24"/>
        <v/>
      </c>
      <c r="R556" s="48" t="str">
        <f t="shared" ca="1" si="25"/>
        <v/>
      </c>
      <c r="S556" s="32"/>
      <c r="T556" s="32"/>
      <c r="U556" s="32"/>
      <c r="V556" s="32"/>
      <c r="W556" s="47" t="str">
        <f>IF(X556="","",MAX($W$5:W555)+1)</f>
        <v/>
      </c>
      <c r="X556" s="50" t="str">
        <f>IF(Registro!M555="","",IF(COUNTIF($X$8:X555,Registro!M555)=0,Registro!M555,""))</f>
        <v/>
      </c>
      <c r="Y556" s="50" t="str">
        <f t="shared" si="26"/>
        <v/>
      </c>
    </row>
    <row r="557" spans="1:25">
      <c r="A557" s="45" t="str">
        <f>IF(AND(Registro!D556="Abierto",Registro!E556="Urgente"),Registro!B556,"")</f>
        <v/>
      </c>
      <c r="B557" s="45" t="str">
        <f ca="1">IF(AND(Registro!D556="Abierto",Registro!E556="Urgente"),TODAY()-Registro!R556,"")</f>
        <v/>
      </c>
      <c r="C557" s="45" t="str">
        <f>IF(AND(Registro!D556="Abierto",Registro!E556="Urgente"),RANK(B557,$B$9:$B$1000,0)+COUNTIF($B$9:B557,B557)-1,"")</f>
        <v/>
      </c>
      <c r="D557" s="45" t="str">
        <f>IF(AND(Registro!D556="Abierto",Registro!E556="Alta"),Registro!B556,"")</f>
        <v/>
      </c>
      <c r="E557" s="45" t="str">
        <f ca="1">IF(AND(Registro!D556="Abierto",Registro!E556="Alta"),TODAY()-Registro!R556,"")</f>
        <v/>
      </c>
      <c r="F557" s="45" t="str">
        <f>IF(AND(Registro!D556="Abierto",Registro!E556="Alta"),RANK(E557,$E$9:$E$1000,0)+COUNTIF($E$9:E557,E557)-1+MAX(C$5:C$1000),"")</f>
        <v/>
      </c>
      <c r="G557" s="45" t="str">
        <f>IF(AND(Registro!D556="Abierto",Registro!E556="Media"),Registro!B556,"")</f>
        <v/>
      </c>
      <c r="H557" s="45" t="str">
        <f ca="1">IF(AND(Registro!D556="Abierto",Registro!E556="Media"),TODAY()-Registro!R556,"")</f>
        <v/>
      </c>
      <c r="I557" s="45" t="str">
        <f>IF(AND(Registro!D556="Abierto",Registro!E556="Media"),RANK(H557,$H$9:$H$1000,0)+COUNTIF($H$9:H557,H557)-1+MAX(C$5:C$1000,F$5:F$1000),"")</f>
        <v/>
      </c>
      <c r="J557" s="45" t="str">
        <f>IF(AND(Registro!D556="Abierto",Registro!E556="Baja"),Registro!B556,"")</f>
        <v/>
      </c>
      <c r="K557" s="45" t="str">
        <f ca="1">IF(AND(Registro!D556="Abierto",Registro!E556="Baja"),TODAY()-Registro!R556,"")</f>
        <v/>
      </c>
      <c r="L557" s="45" t="str">
        <f>IF(AND(Registro!D556="Abierto",Registro!E556="Baja"),RANK(K557,$K$9:$K$1000,0)+COUNTIF($K$9:K557,K557)-1+MAX(C$5:C$1000,F$5:F$1000,I$5:I$1000),"")</f>
        <v/>
      </c>
      <c r="M557" s="46" t="str">
        <f>IF(OR(Registro!D556="Resuelto",Registro!D556=""),"",SUM(C557,F557,I557,L557))</f>
        <v/>
      </c>
      <c r="N557" s="46" t="str">
        <f>IF(OR(Registro!D556="Resuelto",Registro!D556=""),"",SUM(B557,E557,H557,K557))</f>
        <v/>
      </c>
      <c r="O557" s="46" t="str">
        <f>IF(OR(Registro!D556="Resuelto",Registro!D556=""),"",_xlfn.CONCAT(A557,D557,G557,J557))</f>
        <v/>
      </c>
      <c r="P557" s="47">
        <v>549</v>
      </c>
      <c r="Q557" s="47" t="str">
        <f t="shared" ca="1" si="24"/>
        <v/>
      </c>
      <c r="R557" s="48" t="str">
        <f t="shared" ca="1" si="25"/>
        <v/>
      </c>
      <c r="S557" s="32"/>
      <c r="T557" s="32"/>
      <c r="U557" s="32"/>
      <c r="V557" s="32"/>
      <c r="W557" s="47" t="str">
        <f>IF(X557="","",MAX($W$5:W556)+1)</f>
        <v/>
      </c>
      <c r="X557" s="50" t="str">
        <f>IF(Registro!M556="","",IF(COUNTIF($X$8:X556,Registro!M556)=0,Registro!M556,""))</f>
        <v/>
      </c>
      <c r="Y557" s="50" t="str">
        <f t="shared" si="26"/>
        <v/>
      </c>
    </row>
    <row r="558" spans="1:25">
      <c r="A558" s="45" t="str">
        <f>IF(AND(Registro!D557="Abierto",Registro!E557="Urgente"),Registro!B557,"")</f>
        <v/>
      </c>
      <c r="B558" s="45" t="str">
        <f ca="1">IF(AND(Registro!D557="Abierto",Registro!E557="Urgente"),TODAY()-Registro!R557,"")</f>
        <v/>
      </c>
      <c r="C558" s="45" t="str">
        <f>IF(AND(Registro!D557="Abierto",Registro!E557="Urgente"),RANK(B558,$B$9:$B$1000,0)+COUNTIF($B$9:B558,B558)-1,"")</f>
        <v/>
      </c>
      <c r="D558" s="45" t="str">
        <f>IF(AND(Registro!D557="Abierto",Registro!E557="Alta"),Registro!B557,"")</f>
        <v/>
      </c>
      <c r="E558" s="45" t="str">
        <f ca="1">IF(AND(Registro!D557="Abierto",Registro!E557="Alta"),TODAY()-Registro!R557,"")</f>
        <v/>
      </c>
      <c r="F558" s="45" t="str">
        <f>IF(AND(Registro!D557="Abierto",Registro!E557="Alta"),RANK(E558,$E$9:$E$1000,0)+COUNTIF($E$9:E558,E558)-1+MAX(C$5:C$1000),"")</f>
        <v/>
      </c>
      <c r="G558" s="45" t="str">
        <f>IF(AND(Registro!D557="Abierto",Registro!E557="Media"),Registro!B557,"")</f>
        <v/>
      </c>
      <c r="H558" s="45" t="str">
        <f ca="1">IF(AND(Registro!D557="Abierto",Registro!E557="Media"),TODAY()-Registro!R557,"")</f>
        <v/>
      </c>
      <c r="I558" s="45" t="str">
        <f>IF(AND(Registro!D557="Abierto",Registro!E557="Media"),RANK(H558,$H$9:$H$1000,0)+COUNTIF($H$9:H558,H558)-1+MAX(C$5:C$1000,F$5:F$1000),"")</f>
        <v/>
      </c>
      <c r="J558" s="45" t="str">
        <f>IF(AND(Registro!D557="Abierto",Registro!E557="Baja"),Registro!B557,"")</f>
        <v/>
      </c>
      <c r="K558" s="45" t="str">
        <f ca="1">IF(AND(Registro!D557="Abierto",Registro!E557="Baja"),TODAY()-Registro!R557,"")</f>
        <v/>
      </c>
      <c r="L558" s="45" t="str">
        <f>IF(AND(Registro!D557="Abierto",Registro!E557="Baja"),RANK(K558,$K$9:$K$1000,0)+COUNTIF($K$9:K558,K558)-1+MAX(C$5:C$1000,F$5:F$1000,I$5:I$1000),"")</f>
        <v/>
      </c>
      <c r="M558" s="46" t="str">
        <f>IF(OR(Registro!D557="Resuelto",Registro!D557=""),"",SUM(C558,F558,I558,L558))</f>
        <v/>
      </c>
      <c r="N558" s="46" t="str">
        <f>IF(OR(Registro!D557="Resuelto",Registro!D557=""),"",SUM(B558,E558,H558,K558))</f>
        <v/>
      </c>
      <c r="O558" s="46" t="str">
        <f>IF(OR(Registro!D557="Resuelto",Registro!D557=""),"",_xlfn.CONCAT(A558,D558,G558,J558))</f>
        <v/>
      </c>
      <c r="P558" s="47">
        <v>550</v>
      </c>
      <c r="Q558" s="47" t="str">
        <f t="shared" ca="1" si="24"/>
        <v/>
      </c>
      <c r="R558" s="48" t="str">
        <f t="shared" ca="1" si="25"/>
        <v/>
      </c>
      <c r="S558" s="32"/>
      <c r="T558" s="32"/>
      <c r="U558" s="32"/>
      <c r="V558" s="32"/>
      <c r="W558" s="47" t="str">
        <f>IF(X558="","",MAX($W$5:W557)+1)</f>
        <v/>
      </c>
      <c r="X558" s="50" t="str">
        <f>IF(Registro!M557="","",IF(COUNTIF($X$8:X557,Registro!M557)=0,Registro!M557,""))</f>
        <v/>
      </c>
      <c r="Y558" s="50" t="str">
        <f t="shared" si="26"/>
        <v/>
      </c>
    </row>
    <row r="559" spans="1:25">
      <c r="A559" s="45" t="str">
        <f>IF(AND(Registro!D558="Abierto",Registro!E558="Urgente"),Registro!B558,"")</f>
        <v/>
      </c>
      <c r="B559" s="45" t="str">
        <f ca="1">IF(AND(Registro!D558="Abierto",Registro!E558="Urgente"),TODAY()-Registro!R558,"")</f>
        <v/>
      </c>
      <c r="C559" s="45" t="str">
        <f>IF(AND(Registro!D558="Abierto",Registro!E558="Urgente"),RANK(B559,$B$9:$B$1000,0)+COUNTIF($B$9:B559,B559)-1,"")</f>
        <v/>
      </c>
      <c r="D559" s="45" t="str">
        <f>IF(AND(Registro!D558="Abierto",Registro!E558="Alta"),Registro!B558,"")</f>
        <v/>
      </c>
      <c r="E559" s="45" t="str">
        <f ca="1">IF(AND(Registro!D558="Abierto",Registro!E558="Alta"),TODAY()-Registro!R558,"")</f>
        <v/>
      </c>
      <c r="F559" s="45" t="str">
        <f>IF(AND(Registro!D558="Abierto",Registro!E558="Alta"),RANK(E559,$E$9:$E$1000,0)+COUNTIF($E$9:E559,E559)-1+MAX(C$5:C$1000),"")</f>
        <v/>
      </c>
      <c r="G559" s="45" t="str">
        <f>IF(AND(Registro!D558="Abierto",Registro!E558="Media"),Registro!B558,"")</f>
        <v/>
      </c>
      <c r="H559" s="45" t="str">
        <f ca="1">IF(AND(Registro!D558="Abierto",Registro!E558="Media"),TODAY()-Registro!R558,"")</f>
        <v/>
      </c>
      <c r="I559" s="45" t="str">
        <f>IF(AND(Registro!D558="Abierto",Registro!E558="Media"),RANK(H559,$H$9:$H$1000,0)+COUNTIF($H$9:H559,H559)-1+MAX(C$5:C$1000,F$5:F$1000),"")</f>
        <v/>
      </c>
      <c r="J559" s="45" t="str">
        <f>IF(AND(Registro!D558="Abierto",Registro!E558="Baja"),Registro!B558,"")</f>
        <v/>
      </c>
      <c r="K559" s="45" t="str">
        <f ca="1">IF(AND(Registro!D558="Abierto",Registro!E558="Baja"),TODAY()-Registro!R558,"")</f>
        <v/>
      </c>
      <c r="L559" s="45" t="str">
        <f>IF(AND(Registro!D558="Abierto",Registro!E558="Baja"),RANK(K559,$K$9:$K$1000,0)+COUNTIF($K$9:K559,K559)-1+MAX(C$5:C$1000,F$5:F$1000,I$5:I$1000),"")</f>
        <v/>
      </c>
      <c r="M559" s="46" t="str">
        <f>IF(OR(Registro!D558="Resuelto",Registro!D558=""),"",SUM(C559,F559,I559,L559))</f>
        <v/>
      </c>
      <c r="N559" s="46" t="str">
        <f>IF(OR(Registro!D558="Resuelto",Registro!D558=""),"",SUM(B559,E559,H559,K559))</f>
        <v/>
      </c>
      <c r="O559" s="46" t="str">
        <f>IF(OR(Registro!D558="Resuelto",Registro!D558=""),"",_xlfn.CONCAT(A559,D559,G559,J559))</f>
        <v/>
      </c>
      <c r="P559" s="47">
        <v>551</v>
      </c>
      <c r="Q559" s="47" t="str">
        <f t="shared" ca="1" si="24"/>
        <v/>
      </c>
      <c r="R559" s="48" t="str">
        <f t="shared" ca="1" si="25"/>
        <v/>
      </c>
      <c r="S559" s="32"/>
      <c r="T559" s="32"/>
      <c r="U559" s="32"/>
      <c r="V559" s="32"/>
      <c r="W559" s="47" t="str">
        <f>IF(X559="","",MAX($W$5:W558)+1)</f>
        <v/>
      </c>
      <c r="X559" s="50" t="str">
        <f>IF(Registro!M558="","",IF(COUNTIF($X$8:X558,Registro!M558)=0,Registro!M558,""))</f>
        <v/>
      </c>
      <c r="Y559" s="50" t="str">
        <f t="shared" si="26"/>
        <v/>
      </c>
    </row>
    <row r="560" spans="1:25">
      <c r="A560" s="45" t="str">
        <f>IF(AND(Registro!D559="Abierto",Registro!E559="Urgente"),Registro!B559,"")</f>
        <v/>
      </c>
      <c r="B560" s="45" t="str">
        <f ca="1">IF(AND(Registro!D559="Abierto",Registro!E559="Urgente"),TODAY()-Registro!R559,"")</f>
        <v/>
      </c>
      <c r="C560" s="45" t="str">
        <f>IF(AND(Registro!D559="Abierto",Registro!E559="Urgente"),RANK(B560,$B$9:$B$1000,0)+COUNTIF($B$9:B560,B560)-1,"")</f>
        <v/>
      </c>
      <c r="D560" s="45" t="str">
        <f>IF(AND(Registro!D559="Abierto",Registro!E559="Alta"),Registro!B559,"")</f>
        <v/>
      </c>
      <c r="E560" s="45" t="str">
        <f ca="1">IF(AND(Registro!D559="Abierto",Registro!E559="Alta"),TODAY()-Registro!R559,"")</f>
        <v/>
      </c>
      <c r="F560" s="45" t="str">
        <f>IF(AND(Registro!D559="Abierto",Registro!E559="Alta"),RANK(E560,$E$9:$E$1000,0)+COUNTIF($E$9:E560,E560)-1+MAX(C$5:C$1000),"")</f>
        <v/>
      </c>
      <c r="G560" s="45" t="str">
        <f>IF(AND(Registro!D559="Abierto",Registro!E559="Media"),Registro!B559,"")</f>
        <v/>
      </c>
      <c r="H560" s="45" t="str">
        <f ca="1">IF(AND(Registro!D559="Abierto",Registro!E559="Media"),TODAY()-Registro!R559,"")</f>
        <v/>
      </c>
      <c r="I560" s="45" t="str">
        <f>IF(AND(Registro!D559="Abierto",Registro!E559="Media"),RANK(H560,$H$9:$H$1000,0)+COUNTIF($H$9:H560,H560)-1+MAX(C$5:C$1000,F$5:F$1000),"")</f>
        <v/>
      </c>
      <c r="J560" s="45" t="str">
        <f>IF(AND(Registro!D559="Abierto",Registro!E559="Baja"),Registro!B559,"")</f>
        <v/>
      </c>
      <c r="K560" s="45" t="str">
        <f ca="1">IF(AND(Registro!D559="Abierto",Registro!E559="Baja"),TODAY()-Registro!R559,"")</f>
        <v/>
      </c>
      <c r="L560" s="45" t="str">
        <f>IF(AND(Registro!D559="Abierto",Registro!E559="Baja"),RANK(K560,$K$9:$K$1000,0)+COUNTIF($K$9:K560,K560)-1+MAX(C$5:C$1000,F$5:F$1000,I$5:I$1000),"")</f>
        <v/>
      </c>
      <c r="M560" s="46" t="str">
        <f>IF(OR(Registro!D559="Resuelto",Registro!D559=""),"",SUM(C560,F560,I560,L560))</f>
        <v/>
      </c>
      <c r="N560" s="46" t="str">
        <f>IF(OR(Registro!D559="Resuelto",Registro!D559=""),"",SUM(B560,E560,H560,K560))</f>
        <v/>
      </c>
      <c r="O560" s="46" t="str">
        <f>IF(OR(Registro!D559="Resuelto",Registro!D559=""),"",_xlfn.CONCAT(A560,D560,G560,J560))</f>
        <v/>
      </c>
      <c r="P560" s="47">
        <v>552</v>
      </c>
      <c r="Q560" s="47" t="str">
        <f t="shared" ca="1" si="24"/>
        <v/>
      </c>
      <c r="R560" s="48" t="str">
        <f t="shared" ca="1" si="25"/>
        <v/>
      </c>
      <c r="S560" s="32"/>
      <c r="T560" s="32"/>
      <c r="U560" s="32"/>
      <c r="V560" s="32"/>
      <c r="W560" s="47" t="str">
        <f>IF(X560="","",MAX($W$5:W559)+1)</f>
        <v/>
      </c>
      <c r="X560" s="50" t="str">
        <f>IF(Registro!M559="","",IF(COUNTIF($X$8:X559,Registro!M559)=0,Registro!M559,""))</f>
        <v/>
      </c>
      <c r="Y560" s="50" t="str">
        <f t="shared" si="26"/>
        <v/>
      </c>
    </row>
    <row r="561" spans="1:25">
      <c r="A561" s="45" t="str">
        <f>IF(AND(Registro!D560="Abierto",Registro!E560="Urgente"),Registro!B560,"")</f>
        <v/>
      </c>
      <c r="B561" s="45" t="str">
        <f ca="1">IF(AND(Registro!D560="Abierto",Registro!E560="Urgente"),TODAY()-Registro!R560,"")</f>
        <v/>
      </c>
      <c r="C561" s="45" t="str">
        <f>IF(AND(Registro!D560="Abierto",Registro!E560="Urgente"),RANK(B561,$B$9:$B$1000,0)+COUNTIF($B$9:B561,B561)-1,"")</f>
        <v/>
      </c>
      <c r="D561" s="45" t="str">
        <f>IF(AND(Registro!D560="Abierto",Registro!E560="Alta"),Registro!B560,"")</f>
        <v/>
      </c>
      <c r="E561" s="45" t="str">
        <f ca="1">IF(AND(Registro!D560="Abierto",Registro!E560="Alta"),TODAY()-Registro!R560,"")</f>
        <v/>
      </c>
      <c r="F561" s="45" t="str">
        <f>IF(AND(Registro!D560="Abierto",Registro!E560="Alta"),RANK(E561,$E$9:$E$1000,0)+COUNTIF($E$9:E561,E561)-1+MAX(C$5:C$1000),"")</f>
        <v/>
      </c>
      <c r="G561" s="45" t="str">
        <f>IF(AND(Registro!D560="Abierto",Registro!E560="Media"),Registro!B560,"")</f>
        <v/>
      </c>
      <c r="H561" s="45" t="str">
        <f ca="1">IF(AND(Registro!D560="Abierto",Registro!E560="Media"),TODAY()-Registro!R560,"")</f>
        <v/>
      </c>
      <c r="I561" s="45" t="str">
        <f>IF(AND(Registro!D560="Abierto",Registro!E560="Media"),RANK(H561,$H$9:$H$1000,0)+COUNTIF($H$9:H561,H561)-1+MAX(C$5:C$1000,F$5:F$1000),"")</f>
        <v/>
      </c>
      <c r="J561" s="45" t="str">
        <f>IF(AND(Registro!D560="Abierto",Registro!E560="Baja"),Registro!B560,"")</f>
        <v/>
      </c>
      <c r="K561" s="45" t="str">
        <f ca="1">IF(AND(Registro!D560="Abierto",Registro!E560="Baja"),TODAY()-Registro!R560,"")</f>
        <v/>
      </c>
      <c r="L561" s="45" t="str">
        <f>IF(AND(Registro!D560="Abierto",Registro!E560="Baja"),RANK(K561,$K$9:$K$1000,0)+COUNTIF($K$9:K561,K561)-1+MAX(C$5:C$1000,F$5:F$1000,I$5:I$1000),"")</f>
        <v/>
      </c>
      <c r="M561" s="46" t="str">
        <f>IF(OR(Registro!D560="Resuelto",Registro!D560=""),"",SUM(C561,F561,I561,L561))</f>
        <v/>
      </c>
      <c r="N561" s="46" t="str">
        <f>IF(OR(Registro!D560="Resuelto",Registro!D560=""),"",SUM(B561,E561,H561,K561))</f>
        <v/>
      </c>
      <c r="O561" s="46" t="str">
        <f>IF(OR(Registro!D560="Resuelto",Registro!D560=""),"",_xlfn.CONCAT(A561,D561,G561,J561))</f>
        <v/>
      </c>
      <c r="P561" s="47">
        <v>553</v>
      </c>
      <c r="Q561" s="47" t="str">
        <f t="shared" ca="1" si="24"/>
        <v/>
      </c>
      <c r="R561" s="48" t="str">
        <f t="shared" ca="1" si="25"/>
        <v/>
      </c>
      <c r="S561" s="32"/>
      <c r="T561" s="32"/>
      <c r="U561" s="32"/>
      <c r="V561" s="32"/>
      <c r="W561" s="47" t="str">
        <f>IF(X561="","",MAX($W$5:W560)+1)</f>
        <v/>
      </c>
      <c r="X561" s="50" t="str">
        <f>IF(Registro!M560="","",IF(COUNTIF($X$8:X560,Registro!M560)=0,Registro!M560,""))</f>
        <v/>
      </c>
      <c r="Y561" s="50" t="str">
        <f t="shared" si="26"/>
        <v/>
      </c>
    </row>
    <row r="562" spans="1:25">
      <c r="A562" s="45" t="str">
        <f>IF(AND(Registro!D561="Abierto",Registro!E561="Urgente"),Registro!B561,"")</f>
        <v/>
      </c>
      <c r="B562" s="45" t="str">
        <f ca="1">IF(AND(Registro!D561="Abierto",Registro!E561="Urgente"),TODAY()-Registro!R561,"")</f>
        <v/>
      </c>
      <c r="C562" s="45" t="str">
        <f>IF(AND(Registro!D561="Abierto",Registro!E561="Urgente"),RANK(B562,$B$9:$B$1000,0)+COUNTIF($B$9:B562,B562)-1,"")</f>
        <v/>
      </c>
      <c r="D562" s="45" t="str">
        <f>IF(AND(Registro!D561="Abierto",Registro!E561="Alta"),Registro!B561,"")</f>
        <v/>
      </c>
      <c r="E562" s="45" t="str">
        <f ca="1">IF(AND(Registro!D561="Abierto",Registro!E561="Alta"),TODAY()-Registro!R561,"")</f>
        <v/>
      </c>
      <c r="F562" s="45" t="str">
        <f>IF(AND(Registro!D561="Abierto",Registro!E561="Alta"),RANK(E562,$E$9:$E$1000,0)+COUNTIF($E$9:E562,E562)-1+MAX(C$5:C$1000),"")</f>
        <v/>
      </c>
      <c r="G562" s="45" t="str">
        <f>IF(AND(Registro!D561="Abierto",Registro!E561="Media"),Registro!B561,"")</f>
        <v/>
      </c>
      <c r="H562" s="45" t="str">
        <f ca="1">IF(AND(Registro!D561="Abierto",Registro!E561="Media"),TODAY()-Registro!R561,"")</f>
        <v/>
      </c>
      <c r="I562" s="45" t="str">
        <f>IF(AND(Registro!D561="Abierto",Registro!E561="Media"),RANK(H562,$H$9:$H$1000,0)+COUNTIF($H$9:H562,H562)-1+MAX(C$5:C$1000,F$5:F$1000),"")</f>
        <v/>
      </c>
      <c r="J562" s="45" t="str">
        <f>IF(AND(Registro!D561="Abierto",Registro!E561="Baja"),Registro!B561,"")</f>
        <v/>
      </c>
      <c r="K562" s="45" t="str">
        <f ca="1">IF(AND(Registro!D561="Abierto",Registro!E561="Baja"),TODAY()-Registro!R561,"")</f>
        <v/>
      </c>
      <c r="L562" s="45" t="str">
        <f>IF(AND(Registro!D561="Abierto",Registro!E561="Baja"),RANK(K562,$K$9:$K$1000,0)+COUNTIF($K$9:K562,K562)-1+MAX(C$5:C$1000,F$5:F$1000,I$5:I$1000),"")</f>
        <v/>
      </c>
      <c r="M562" s="46" t="str">
        <f>IF(OR(Registro!D561="Resuelto",Registro!D561=""),"",SUM(C562,F562,I562,L562))</f>
        <v/>
      </c>
      <c r="N562" s="46" t="str">
        <f>IF(OR(Registro!D561="Resuelto",Registro!D561=""),"",SUM(B562,E562,H562,K562))</f>
        <v/>
      </c>
      <c r="O562" s="46" t="str">
        <f>IF(OR(Registro!D561="Resuelto",Registro!D561=""),"",_xlfn.CONCAT(A562,D562,G562,J562))</f>
        <v/>
      </c>
      <c r="P562" s="47">
        <v>554</v>
      </c>
      <c r="Q562" s="47" t="str">
        <f t="shared" ca="1" si="24"/>
        <v/>
      </c>
      <c r="R562" s="48" t="str">
        <f t="shared" ca="1" si="25"/>
        <v/>
      </c>
      <c r="S562" s="32"/>
      <c r="T562" s="32"/>
      <c r="U562" s="32"/>
      <c r="V562" s="32"/>
      <c r="W562" s="47" t="str">
        <f>IF(X562="","",MAX($W$5:W561)+1)</f>
        <v/>
      </c>
      <c r="X562" s="50" t="str">
        <f>IF(Registro!M561="","",IF(COUNTIF($X$8:X561,Registro!M561)=0,Registro!M561,""))</f>
        <v/>
      </c>
      <c r="Y562" s="50" t="str">
        <f t="shared" si="26"/>
        <v/>
      </c>
    </row>
    <row r="563" spans="1:25">
      <c r="A563" s="45" t="str">
        <f>IF(AND(Registro!D562="Abierto",Registro!E562="Urgente"),Registro!B562,"")</f>
        <v/>
      </c>
      <c r="B563" s="45" t="str">
        <f ca="1">IF(AND(Registro!D562="Abierto",Registro!E562="Urgente"),TODAY()-Registro!R562,"")</f>
        <v/>
      </c>
      <c r="C563" s="45" t="str">
        <f>IF(AND(Registro!D562="Abierto",Registro!E562="Urgente"),RANK(B563,$B$9:$B$1000,0)+COUNTIF($B$9:B563,B563)-1,"")</f>
        <v/>
      </c>
      <c r="D563" s="45" t="str">
        <f>IF(AND(Registro!D562="Abierto",Registro!E562="Alta"),Registro!B562,"")</f>
        <v/>
      </c>
      <c r="E563" s="45" t="str">
        <f ca="1">IF(AND(Registro!D562="Abierto",Registro!E562="Alta"),TODAY()-Registro!R562,"")</f>
        <v/>
      </c>
      <c r="F563" s="45" t="str">
        <f>IF(AND(Registro!D562="Abierto",Registro!E562="Alta"),RANK(E563,$E$9:$E$1000,0)+COUNTIF($E$9:E563,E563)-1+MAX(C$5:C$1000),"")</f>
        <v/>
      </c>
      <c r="G563" s="45" t="str">
        <f>IF(AND(Registro!D562="Abierto",Registro!E562="Media"),Registro!B562,"")</f>
        <v/>
      </c>
      <c r="H563" s="45" t="str">
        <f ca="1">IF(AND(Registro!D562="Abierto",Registro!E562="Media"),TODAY()-Registro!R562,"")</f>
        <v/>
      </c>
      <c r="I563" s="45" t="str">
        <f>IF(AND(Registro!D562="Abierto",Registro!E562="Media"),RANK(H563,$H$9:$H$1000,0)+COUNTIF($H$9:H563,H563)-1+MAX(C$5:C$1000,F$5:F$1000),"")</f>
        <v/>
      </c>
      <c r="J563" s="45" t="str">
        <f>IF(AND(Registro!D562="Abierto",Registro!E562="Baja"),Registro!B562,"")</f>
        <v/>
      </c>
      <c r="K563" s="45" t="str">
        <f ca="1">IF(AND(Registro!D562="Abierto",Registro!E562="Baja"),TODAY()-Registro!R562,"")</f>
        <v/>
      </c>
      <c r="L563" s="45" t="str">
        <f>IF(AND(Registro!D562="Abierto",Registro!E562="Baja"),RANK(K563,$K$9:$K$1000,0)+COUNTIF($K$9:K563,K563)-1+MAX(C$5:C$1000,F$5:F$1000,I$5:I$1000),"")</f>
        <v/>
      </c>
      <c r="M563" s="46" t="str">
        <f>IF(OR(Registro!D562="Resuelto",Registro!D562=""),"",SUM(C563,F563,I563,L563))</f>
        <v/>
      </c>
      <c r="N563" s="46" t="str">
        <f>IF(OR(Registro!D562="Resuelto",Registro!D562=""),"",SUM(B563,E563,H563,K563))</f>
        <v/>
      </c>
      <c r="O563" s="46" t="str">
        <f>IF(OR(Registro!D562="Resuelto",Registro!D562=""),"",_xlfn.CONCAT(A563,D563,G563,J563))</f>
        <v/>
      </c>
      <c r="P563" s="47">
        <v>555</v>
      </c>
      <c r="Q563" s="47" t="str">
        <f t="shared" ca="1" si="24"/>
        <v/>
      </c>
      <c r="R563" s="48" t="str">
        <f t="shared" ca="1" si="25"/>
        <v/>
      </c>
      <c r="S563" s="32"/>
      <c r="T563" s="32"/>
      <c r="U563" s="32"/>
      <c r="V563" s="32"/>
      <c r="W563" s="47" t="str">
        <f>IF(X563="","",MAX($W$5:W562)+1)</f>
        <v/>
      </c>
      <c r="X563" s="50" t="str">
        <f>IF(Registro!M562="","",IF(COUNTIF($X$8:X562,Registro!M562)=0,Registro!M562,""))</f>
        <v/>
      </c>
      <c r="Y563" s="50" t="str">
        <f t="shared" si="26"/>
        <v/>
      </c>
    </row>
    <row r="564" spans="1:25">
      <c r="A564" s="45" t="str">
        <f>IF(AND(Registro!D563="Abierto",Registro!E563="Urgente"),Registro!B563,"")</f>
        <v/>
      </c>
      <c r="B564" s="45" t="str">
        <f ca="1">IF(AND(Registro!D563="Abierto",Registro!E563="Urgente"),TODAY()-Registro!R563,"")</f>
        <v/>
      </c>
      <c r="C564" s="45" t="str">
        <f>IF(AND(Registro!D563="Abierto",Registro!E563="Urgente"),RANK(B564,$B$9:$B$1000,0)+COUNTIF($B$9:B564,B564)-1,"")</f>
        <v/>
      </c>
      <c r="D564" s="45" t="str">
        <f>IF(AND(Registro!D563="Abierto",Registro!E563="Alta"),Registro!B563,"")</f>
        <v/>
      </c>
      <c r="E564" s="45" t="str">
        <f ca="1">IF(AND(Registro!D563="Abierto",Registro!E563="Alta"),TODAY()-Registro!R563,"")</f>
        <v/>
      </c>
      <c r="F564" s="45" t="str">
        <f>IF(AND(Registro!D563="Abierto",Registro!E563="Alta"),RANK(E564,$E$9:$E$1000,0)+COUNTIF($E$9:E564,E564)-1+MAX(C$5:C$1000),"")</f>
        <v/>
      </c>
      <c r="G564" s="45" t="str">
        <f>IF(AND(Registro!D563="Abierto",Registro!E563="Media"),Registro!B563,"")</f>
        <v/>
      </c>
      <c r="H564" s="45" t="str">
        <f ca="1">IF(AND(Registro!D563="Abierto",Registro!E563="Media"),TODAY()-Registro!R563,"")</f>
        <v/>
      </c>
      <c r="I564" s="45" t="str">
        <f>IF(AND(Registro!D563="Abierto",Registro!E563="Media"),RANK(H564,$H$9:$H$1000,0)+COUNTIF($H$9:H564,H564)-1+MAX(C$5:C$1000,F$5:F$1000),"")</f>
        <v/>
      </c>
      <c r="J564" s="45" t="str">
        <f>IF(AND(Registro!D563="Abierto",Registro!E563="Baja"),Registro!B563,"")</f>
        <v/>
      </c>
      <c r="K564" s="45" t="str">
        <f ca="1">IF(AND(Registro!D563="Abierto",Registro!E563="Baja"),TODAY()-Registro!R563,"")</f>
        <v/>
      </c>
      <c r="L564" s="45" t="str">
        <f>IF(AND(Registro!D563="Abierto",Registro!E563="Baja"),RANK(K564,$K$9:$K$1000,0)+COUNTIF($K$9:K564,K564)-1+MAX(C$5:C$1000,F$5:F$1000,I$5:I$1000),"")</f>
        <v/>
      </c>
      <c r="M564" s="46" t="str">
        <f>IF(OR(Registro!D563="Resuelto",Registro!D563=""),"",SUM(C564,F564,I564,L564))</f>
        <v/>
      </c>
      <c r="N564" s="46" t="str">
        <f>IF(OR(Registro!D563="Resuelto",Registro!D563=""),"",SUM(B564,E564,H564,K564))</f>
        <v/>
      </c>
      <c r="O564" s="46" t="str">
        <f>IF(OR(Registro!D563="Resuelto",Registro!D563=""),"",_xlfn.CONCAT(A564,D564,G564,J564))</f>
        <v/>
      </c>
      <c r="P564" s="47">
        <v>556</v>
      </c>
      <c r="Q564" s="47" t="str">
        <f t="shared" ca="1" si="24"/>
        <v/>
      </c>
      <c r="R564" s="48" t="str">
        <f t="shared" ca="1" si="25"/>
        <v/>
      </c>
      <c r="S564" s="32"/>
      <c r="T564" s="32"/>
      <c r="U564" s="32"/>
      <c r="V564" s="32"/>
      <c r="W564" s="47" t="str">
        <f>IF(X564="","",MAX($W$5:W563)+1)</f>
        <v/>
      </c>
      <c r="X564" s="50" t="str">
        <f>IF(Registro!M563="","",IF(COUNTIF($X$8:X563,Registro!M563)=0,Registro!M563,""))</f>
        <v/>
      </c>
      <c r="Y564" s="50" t="str">
        <f t="shared" si="26"/>
        <v/>
      </c>
    </row>
    <row r="565" spans="1:25">
      <c r="A565" s="45" t="str">
        <f>IF(AND(Registro!D564="Abierto",Registro!E564="Urgente"),Registro!B564,"")</f>
        <v/>
      </c>
      <c r="B565" s="45" t="str">
        <f ca="1">IF(AND(Registro!D564="Abierto",Registro!E564="Urgente"),TODAY()-Registro!R564,"")</f>
        <v/>
      </c>
      <c r="C565" s="45" t="str">
        <f>IF(AND(Registro!D564="Abierto",Registro!E564="Urgente"),RANK(B565,$B$9:$B$1000,0)+COUNTIF($B$9:B565,B565)-1,"")</f>
        <v/>
      </c>
      <c r="D565" s="45" t="str">
        <f>IF(AND(Registro!D564="Abierto",Registro!E564="Alta"),Registro!B564,"")</f>
        <v/>
      </c>
      <c r="E565" s="45" t="str">
        <f ca="1">IF(AND(Registro!D564="Abierto",Registro!E564="Alta"),TODAY()-Registro!R564,"")</f>
        <v/>
      </c>
      <c r="F565" s="45" t="str">
        <f>IF(AND(Registro!D564="Abierto",Registro!E564="Alta"),RANK(E565,$E$9:$E$1000,0)+COUNTIF($E$9:E565,E565)-1+MAX(C$5:C$1000),"")</f>
        <v/>
      </c>
      <c r="G565" s="45" t="str">
        <f>IF(AND(Registro!D564="Abierto",Registro!E564="Media"),Registro!B564,"")</f>
        <v/>
      </c>
      <c r="H565" s="45" t="str">
        <f ca="1">IF(AND(Registro!D564="Abierto",Registro!E564="Media"),TODAY()-Registro!R564,"")</f>
        <v/>
      </c>
      <c r="I565" s="45" t="str">
        <f>IF(AND(Registro!D564="Abierto",Registro!E564="Media"),RANK(H565,$H$9:$H$1000,0)+COUNTIF($H$9:H565,H565)-1+MAX(C$5:C$1000,F$5:F$1000),"")</f>
        <v/>
      </c>
      <c r="J565" s="45" t="str">
        <f>IF(AND(Registro!D564="Abierto",Registro!E564="Baja"),Registro!B564,"")</f>
        <v/>
      </c>
      <c r="K565" s="45" t="str">
        <f ca="1">IF(AND(Registro!D564="Abierto",Registro!E564="Baja"),TODAY()-Registro!R564,"")</f>
        <v/>
      </c>
      <c r="L565" s="45" t="str">
        <f>IF(AND(Registro!D564="Abierto",Registro!E564="Baja"),RANK(K565,$K$9:$K$1000,0)+COUNTIF($K$9:K565,K565)-1+MAX(C$5:C$1000,F$5:F$1000,I$5:I$1000),"")</f>
        <v/>
      </c>
      <c r="M565" s="46" t="str">
        <f>IF(OR(Registro!D564="Resuelto",Registro!D564=""),"",SUM(C565,F565,I565,L565))</f>
        <v/>
      </c>
      <c r="N565" s="46" t="str">
        <f>IF(OR(Registro!D564="Resuelto",Registro!D564=""),"",SUM(B565,E565,H565,K565))</f>
        <v/>
      </c>
      <c r="O565" s="46" t="str">
        <f>IF(OR(Registro!D564="Resuelto",Registro!D564=""),"",_xlfn.CONCAT(A565,D565,G565,J565))</f>
        <v/>
      </c>
      <c r="P565" s="47">
        <v>557</v>
      </c>
      <c r="Q565" s="47" t="str">
        <f t="shared" ca="1" si="24"/>
        <v/>
      </c>
      <c r="R565" s="48" t="str">
        <f t="shared" ca="1" si="25"/>
        <v/>
      </c>
      <c r="S565" s="32"/>
      <c r="T565" s="32"/>
      <c r="U565" s="32"/>
      <c r="V565" s="32"/>
      <c r="W565" s="47" t="str">
        <f>IF(X565="","",MAX($W$5:W564)+1)</f>
        <v/>
      </c>
      <c r="X565" s="50" t="str">
        <f>IF(Registro!M564="","",IF(COUNTIF($X$8:X564,Registro!M564)=0,Registro!M564,""))</f>
        <v/>
      </c>
      <c r="Y565" s="50" t="str">
        <f t="shared" si="26"/>
        <v/>
      </c>
    </row>
    <row r="566" spans="1:25">
      <c r="A566" s="45" t="str">
        <f>IF(AND(Registro!D565="Abierto",Registro!E565="Urgente"),Registro!B565,"")</f>
        <v/>
      </c>
      <c r="B566" s="45" t="str">
        <f ca="1">IF(AND(Registro!D565="Abierto",Registro!E565="Urgente"),TODAY()-Registro!R565,"")</f>
        <v/>
      </c>
      <c r="C566" s="45" t="str">
        <f>IF(AND(Registro!D565="Abierto",Registro!E565="Urgente"),RANK(B566,$B$9:$B$1000,0)+COUNTIF($B$9:B566,B566)-1,"")</f>
        <v/>
      </c>
      <c r="D566" s="45" t="str">
        <f>IF(AND(Registro!D565="Abierto",Registro!E565="Alta"),Registro!B565,"")</f>
        <v/>
      </c>
      <c r="E566" s="45" t="str">
        <f ca="1">IF(AND(Registro!D565="Abierto",Registro!E565="Alta"),TODAY()-Registro!R565,"")</f>
        <v/>
      </c>
      <c r="F566" s="45" t="str">
        <f>IF(AND(Registro!D565="Abierto",Registro!E565="Alta"),RANK(E566,$E$9:$E$1000,0)+COUNTIF($E$9:E566,E566)-1+MAX(C$5:C$1000),"")</f>
        <v/>
      </c>
      <c r="G566" s="45" t="str">
        <f>IF(AND(Registro!D565="Abierto",Registro!E565="Media"),Registro!B565,"")</f>
        <v/>
      </c>
      <c r="H566" s="45" t="str">
        <f ca="1">IF(AND(Registro!D565="Abierto",Registro!E565="Media"),TODAY()-Registro!R565,"")</f>
        <v/>
      </c>
      <c r="I566" s="45" t="str">
        <f>IF(AND(Registro!D565="Abierto",Registro!E565="Media"),RANK(H566,$H$9:$H$1000,0)+COUNTIF($H$9:H566,H566)-1+MAX(C$5:C$1000,F$5:F$1000),"")</f>
        <v/>
      </c>
      <c r="J566" s="45" t="str">
        <f>IF(AND(Registro!D565="Abierto",Registro!E565="Baja"),Registro!B565,"")</f>
        <v/>
      </c>
      <c r="K566" s="45" t="str">
        <f ca="1">IF(AND(Registro!D565="Abierto",Registro!E565="Baja"),TODAY()-Registro!R565,"")</f>
        <v/>
      </c>
      <c r="L566" s="45" t="str">
        <f>IF(AND(Registro!D565="Abierto",Registro!E565="Baja"),RANK(K566,$K$9:$K$1000,0)+COUNTIF($K$9:K566,K566)-1+MAX(C$5:C$1000,F$5:F$1000,I$5:I$1000),"")</f>
        <v/>
      </c>
      <c r="M566" s="46" t="str">
        <f>IF(OR(Registro!D565="Resuelto",Registro!D565=""),"",SUM(C566,F566,I566,L566))</f>
        <v/>
      </c>
      <c r="N566" s="46" t="str">
        <f>IF(OR(Registro!D565="Resuelto",Registro!D565=""),"",SUM(B566,E566,H566,K566))</f>
        <v/>
      </c>
      <c r="O566" s="46" t="str">
        <f>IF(OR(Registro!D565="Resuelto",Registro!D565=""),"",_xlfn.CONCAT(A566,D566,G566,J566))</f>
        <v/>
      </c>
      <c r="P566" s="47">
        <v>558</v>
      </c>
      <c r="Q566" s="47" t="str">
        <f t="shared" ca="1" si="24"/>
        <v/>
      </c>
      <c r="R566" s="48" t="str">
        <f t="shared" ca="1" si="25"/>
        <v/>
      </c>
      <c r="S566" s="32"/>
      <c r="T566" s="32"/>
      <c r="U566" s="32"/>
      <c r="V566" s="32"/>
      <c r="W566" s="47" t="str">
        <f>IF(X566="","",MAX($W$5:W565)+1)</f>
        <v/>
      </c>
      <c r="X566" s="50" t="str">
        <f>IF(Registro!M565="","",IF(COUNTIF($X$8:X565,Registro!M565)=0,Registro!M565,""))</f>
        <v/>
      </c>
      <c r="Y566" s="50" t="str">
        <f t="shared" si="26"/>
        <v/>
      </c>
    </row>
    <row r="567" spans="1:25">
      <c r="A567" s="45" t="str">
        <f>IF(AND(Registro!D566="Abierto",Registro!E566="Urgente"),Registro!B566,"")</f>
        <v/>
      </c>
      <c r="B567" s="45" t="str">
        <f ca="1">IF(AND(Registro!D566="Abierto",Registro!E566="Urgente"),TODAY()-Registro!R566,"")</f>
        <v/>
      </c>
      <c r="C567" s="45" t="str">
        <f>IF(AND(Registro!D566="Abierto",Registro!E566="Urgente"),RANK(B567,$B$9:$B$1000,0)+COUNTIF($B$9:B567,B567)-1,"")</f>
        <v/>
      </c>
      <c r="D567" s="45" t="str">
        <f>IF(AND(Registro!D566="Abierto",Registro!E566="Alta"),Registro!B566,"")</f>
        <v/>
      </c>
      <c r="E567" s="45" t="str">
        <f ca="1">IF(AND(Registro!D566="Abierto",Registro!E566="Alta"),TODAY()-Registro!R566,"")</f>
        <v/>
      </c>
      <c r="F567" s="45" t="str">
        <f>IF(AND(Registro!D566="Abierto",Registro!E566="Alta"),RANK(E567,$E$9:$E$1000,0)+COUNTIF($E$9:E567,E567)-1+MAX(C$5:C$1000),"")</f>
        <v/>
      </c>
      <c r="G567" s="45" t="str">
        <f>IF(AND(Registro!D566="Abierto",Registro!E566="Media"),Registro!B566,"")</f>
        <v/>
      </c>
      <c r="H567" s="45" t="str">
        <f ca="1">IF(AND(Registro!D566="Abierto",Registro!E566="Media"),TODAY()-Registro!R566,"")</f>
        <v/>
      </c>
      <c r="I567" s="45" t="str">
        <f>IF(AND(Registro!D566="Abierto",Registro!E566="Media"),RANK(H567,$H$9:$H$1000,0)+COUNTIF($H$9:H567,H567)-1+MAX(C$5:C$1000,F$5:F$1000),"")</f>
        <v/>
      </c>
      <c r="J567" s="45" t="str">
        <f>IF(AND(Registro!D566="Abierto",Registro!E566="Baja"),Registro!B566,"")</f>
        <v/>
      </c>
      <c r="K567" s="45" t="str">
        <f ca="1">IF(AND(Registro!D566="Abierto",Registro!E566="Baja"),TODAY()-Registro!R566,"")</f>
        <v/>
      </c>
      <c r="L567" s="45" t="str">
        <f>IF(AND(Registro!D566="Abierto",Registro!E566="Baja"),RANK(K567,$K$9:$K$1000,0)+COUNTIF($K$9:K567,K567)-1+MAX(C$5:C$1000,F$5:F$1000,I$5:I$1000),"")</f>
        <v/>
      </c>
      <c r="M567" s="46" t="str">
        <f>IF(OR(Registro!D566="Resuelto",Registro!D566=""),"",SUM(C567,F567,I567,L567))</f>
        <v/>
      </c>
      <c r="N567" s="46" t="str">
        <f>IF(OR(Registro!D566="Resuelto",Registro!D566=""),"",SUM(B567,E567,H567,K567))</f>
        <v/>
      </c>
      <c r="O567" s="46" t="str">
        <f>IF(OR(Registro!D566="Resuelto",Registro!D566=""),"",_xlfn.CONCAT(A567,D567,G567,J567))</f>
        <v/>
      </c>
      <c r="P567" s="47">
        <v>559</v>
      </c>
      <c r="Q567" s="47" t="str">
        <f t="shared" ca="1" si="24"/>
        <v/>
      </c>
      <c r="R567" s="48" t="str">
        <f t="shared" ca="1" si="25"/>
        <v/>
      </c>
      <c r="S567" s="32"/>
      <c r="T567" s="32"/>
      <c r="U567" s="32"/>
      <c r="V567" s="32"/>
      <c r="W567" s="47" t="str">
        <f>IF(X567="","",MAX($W$5:W566)+1)</f>
        <v/>
      </c>
      <c r="X567" s="50" t="str">
        <f>IF(Registro!M566="","",IF(COUNTIF($X$8:X566,Registro!M566)=0,Registro!M566,""))</f>
        <v/>
      </c>
      <c r="Y567" s="50" t="str">
        <f t="shared" si="26"/>
        <v/>
      </c>
    </row>
    <row r="568" spans="1:25">
      <c r="A568" s="45" t="str">
        <f>IF(AND(Registro!D567="Abierto",Registro!E567="Urgente"),Registro!B567,"")</f>
        <v/>
      </c>
      <c r="B568" s="45" t="str">
        <f ca="1">IF(AND(Registro!D567="Abierto",Registro!E567="Urgente"),TODAY()-Registro!R567,"")</f>
        <v/>
      </c>
      <c r="C568" s="45" t="str">
        <f>IF(AND(Registro!D567="Abierto",Registro!E567="Urgente"),RANK(B568,$B$9:$B$1000,0)+COUNTIF($B$9:B568,B568)-1,"")</f>
        <v/>
      </c>
      <c r="D568" s="45" t="str">
        <f>IF(AND(Registro!D567="Abierto",Registro!E567="Alta"),Registro!B567,"")</f>
        <v/>
      </c>
      <c r="E568" s="45" t="str">
        <f ca="1">IF(AND(Registro!D567="Abierto",Registro!E567="Alta"),TODAY()-Registro!R567,"")</f>
        <v/>
      </c>
      <c r="F568" s="45" t="str">
        <f>IF(AND(Registro!D567="Abierto",Registro!E567="Alta"),RANK(E568,$E$9:$E$1000,0)+COUNTIF($E$9:E568,E568)-1+MAX(C$5:C$1000),"")</f>
        <v/>
      </c>
      <c r="G568" s="45" t="str">
        <f>IF(AND(Registro!D567="Abierto",Registro!E567="Media"),Registro!B567,"")</f>
        <v/>
      </c>
      <c r="H568" s="45" t="str">
        <f ca="1">IF(AND(Registro!D567="Abierto",Registro!E567="Media"),TODAY()-Registro!R567,"")</f>
        <v/>
      </c>
      <c r="I568" s="45" t="str">
        <f>IF(AND(Registro!D567="Abierto",Registro!E567="Media"),RANK(H568,$H$9:$H$1000,0)+COUNTIF($H$9:H568,H568)-1+MAX(C$5:C$1000,F$5:F$1000),"")</f>
        <v/>
      </c>
      <c r="J568" s="45" t="str">
        <f>IF(AND(Registro!D567="Abierto",Registro!E567="Baja"),Registro!B567,"")</f>
        <v/>
      </c>
      <c r="K568" s="45" t="str">
        <f ca="1">IF(AND(Registro!D567="Abierto",Registro!E567="Baja"),TODAY()-Registro!R567,"")</f>
        <v/>
      </c>
      <c r="L568" s="45" t="str">
        <f>IF(AND(Registro!D567="Abierto",Registro!E567="Baja"),RANK(K568,$K$9:$K$1000,0)+COUNTIF($K$9:K568,K568)-1+MAX(C$5:C$1000,F$5:F$1000,I$5:I$1000),"")</f>
        <v/>
      </c>
      <c r="M568" s="46" t="str">
        <f>IF(OR(Registro!D567="Resuelto",Registro!D567=""),"",SUM(C568,F568,I568,L568))</f>
        <v/>
      </c>
      <c r="N568" s="46" t="str">
        <f>IF(OR(Registro!D567="Resuelto",Registro!D567=""),"",SUM(B568,E568,H568,K568))</f>
        <v/>
      </c>
      <c r="O568" s="46" t="str">
        <f>IF(OR(Registro!D567="Resuelto",Registro!D567=""),"",_xlfn.CONCAT(A568,D568,G568,J568))</f>
        <v/>
      </c>
      <c r="P568" s="47">
        <v>560</v>
      </c>
      <c r="Q568" s="47" t="str">
        <f t="shared" ca="1" si="24"/>
        <v/>
      </c>
      <c r="R568" s="48" t="str">
        <f t="shared" ca="1" si="25"/>
        <v/>
      </c>
      <c r="S568" s="32"/>
      <c r="T568" s="32"/>
      <c r="U568" s="32"/>
      <c r="V568" s="32"/>
      <c r="W568" s="47" t="str">
        <f>IF(X568="","",MAX($W$5:W567)+1)</f>
        <v/>
      </c>
      <c r="X568" s="50" t="str">
        <f>IF(Registro!M567="","",IF(COUNTIF($X$8:X567,Registro!M567)=0,Registro!M567,""))</f>
        <v/>
      </c>
      <c r="Y568" s="50" t="str">
        <f t="shared" si="26"/>
        <v/>
      </c>
    </row>
    <row r="569" spans="1:25">
      <c r="A569" s="45" t="str">
        <f>IF(AND(Registro!D568="Abierto",Registro!E568="Urgente"),Registro!B568,"")</f>
        <v/>
      </c>
      <c r="B569" s="45" t="str">
        <f ca="1">IF(AND(Registro!D568="Abierto",Registro!E568="Urgente"),TODAY()-Registro!R568,"")</f>
        <v/>
      </c>
      <c r="C569" s="45" t="str">
        <f>IF(AND(Registro!D568="Abierto",Registro!E568="Urgente"),RANK(B569,$B$9:$B$1000,0)+COUNTIF($B$9:B569,B569)-1,"")</f>
        <v/>
      </c>
      <c r="D569" s="45" t="str">
        <f>IF(AND(Registro!D568="Abierto",Registro!E568="Alta"),Registro!B568,"")</f>
        <v/>
      </c>
      <c r="E569" s="45" t="str">
        <f ca="1">IF(AND(Registro!D568="Abierto",Registro!E568="Alta"),TODAY()-Registro!R568,"")</f>
        <v/>
      </c>
      <c r="F569" s="45" t="str">
        <f>IF(AND(Registro!D568="Abierto",Registro!E568="Alta"),RANK(E569,$E$9:$E$1000,0)+COUNTIF($E$9:E569,E569)-1+MAX(C$5:C$1000),"")</f>
        <v/>
      </c>
      <c r="G569" s="45" t="str">
        <f>IF(AND(Registro!D568="Abierto",Registro!E568="Media"),Registro!B568,"")</f>
        <v/>
      </c>
      <c r="H569" s="45" t="str">
        <f ca="1">IF(AND(Registro!D568="Abierto",Registro!E568="Media"),TODAY()-Registro!R568,"")</f>
        <v/>
      </c>
      <c r="I569" s="45" t="str">
        <f>IF(AND(Registro!D568="Abierto",Registro!E568="Media"),RANK(H569,$H$9:$H$1000,0)+COUNTIF($H$9:H569,H569)-1+MAX(C$5:C$1000,F$5:F$1000),"")</f>
        <v/>
      </c>
      <c r="J569" s="45" t="str">
        <f>IF(AND(Registro!D568="Abierto",Registro!E568="Baja"),Registro!B568,"")</f>
        <v/>
      </c>
      <c r="K569" s="45" t="str">
        <f ca="1">IF(AND(Registro!D568="Abierto",Registro!E568="Baja"),TODAY()-Registro!R568,"")</f>
        <v/>
      </c>
      <c r="L569" s="45" t="str">
        <f>IF(AND(Registro!D568="Abierto",Registro!E568="Baja"),RANK(K569,$K$9:$K$1000,0)+COUNTIF($K$9:K569,K569)-1+MAX(C$5:C$1000,F$5:F$1000,I$5:I$1000),"")</f>
        <v/>
      </c>
      <c r="M569" s="46" t="str">
        <f>IF(OR(Registro!D568="Resuelto",Registro!D568=""),"",SUM(C569,F569,I569,L569))</f>
        <v/>
      </c>
      <c r="N569" s="46" t="str">
        <f>IF(OR(Registro!D568="Resuelto",Registro!D568=""),"",SUM(B569,E569,H569,K569))</f>
        <v/>
      </c>
      <c r="O569" s="46" t="str">
        <f>IF(OR(Registro!D568="Resuelto",Registro!D568=""),"",_xlfn.CONCAT(A569,D569,G569,J569))</f>
        <v/>
      </c>
      <c r="P569" s="47">
        <v>561</v>
      </c>
      <c r="Q569" s="47" t="str">
        <f t="shared" ca="1" si="24"/>
        <v/>
      </c>
      <c r="R569" s="48" t="str">
        <f t="shared" ca="1" si="25"/>
        <v/>
      </c>
      <c r="S569" s="32"/>
      <c r="T569" s="32"/>
      <c r="U569" s="32"/>
      <c r="V569" s="32"/>
      <c r="W569" s="47" t="str">
        <f>IF(X569="","",MAX($W$5:W568)+1)</f>
        <v/>
      </c>
      <c r="X569" s="50" t="str">
        <f>IF(Registro!M568="","",IF(COUNTIF($X$8:X568,Registro!M568)=0,Registro!M568,""))</f>
        <v/>
      </c>
      <c r="Y569" s="50" t="str">
        <f t="shared" si="26"/>
        <v/>
      </c>
    </row>
    <row r="570" spans="1:25">
      <c r="A570" s="45" t="str">
        <f>IF(AND(Registro!D569="Abierto",Registro!E569="Urgente"),Registro!B569,"")</f>
        <v/>
      </c>
      <c r="B570" s="45" t="str">
        <f ca="1">IF(AND(Registro!D569="Abierto",Registro!E569="Urgente"),TODAY()-Registro!R569,"")</f>
        <v/>
      </c>
      <c r="C570" s="45" t="str">
        <f>IF(AND(Registro!D569="Abierto",Registro!E569="Urgente"),RANK(B570,$B$9:$B$1000,0)+COUNTIF($B$9:B570,B570)-1,"")</f>
        <v/>
      </c>
      <c r="D570" s="45" t="str">
        <f>IF(AND(Registro!D569="Abierto",Registro!E569="Alta"),Registro!B569,"")</f>
        <v/>
      </c>
      <c r="E570" s="45" t="str">
        <f ca="1">IF(AND(Registro!D569="Abierto",Registro!E569="Alta"),TODAY()-Registro!R569,"")</f>
        <v/>
      </c>
      <c r="F570" s="45" t="str">
        <f>IF(AND(Registro!D569="Abierto",Registro!E569="Alta"),RANK(E570,$E$9:$E$1000,0)+COUNTIF($E$9:E570,E570)-1+MAX(C$5:C$1000),"")</f>
        <v/>
      </c>
      <c r="G570" s="45" t="str">
        <f>IF(AND(Registro!D569="Abierto",Registro!E569="Media"),Registro!B569,"")</f>
        <v/>
      </c>
      <c r="H570" s="45" t="str">
        <f ca="1">IF(AND(Registro!D569="Abierto",Registro!E569="Media"),TODAY()-Registro!R569,"")</f>
        <v/>
      </c>
      <c r="I570" s="45" t="str">
        <f>IF(AND(Registro!D569="Abierto",Registro!E569="Media"),RANK(H570,$H$9:$H$1000,0)+COUNTIF($H$9:H570,H570)-1+MAX(C$5:C$1000,F$5:F$1000),"")</f>
        <v/>
      </c>
      <c r="J570" s="45" t="str">
        <f>IF(AND(Registro!D569="Abierto",Registro!E569="Baja"),Registro!B569,"")</f>
        <v/>
      </c>
      <c r="K570" s="45" t="str">
        <f ca="1">IF(AND(Registro!D569="Abierto",Registro!E569="Baja"),TODAY()-Registro!R569,"")</f>
        <v/>
      </c>
      <c r="L570" s="45" t="str">
        <f>IF(AND(Registro!D569="Abierto",Registro!E569="Baja"),RANK(K570,$K$9:$K$1000,0)+COUNTIF($K$9:K570,K570)-1+MAX(C$5:C$1000,F$5:F$1000,I$5:I$1000),"")</f>
        <v/>
      </c>
      <c r="M570" s="46" t="str">
        <f>IF(OR(Registro!D569="Resuelto",Registro!D569=""),"",SUM(C570,F570,I570,L570))</f>
        <v/>
      </c>
      <c r="N570" s="46" t="str">
        <f>IF(OR(Registro!D569="Resuelto",Registro!D569=""),"",SUM(B570,E570,H570,K570))</f>
        <v/>
      </c>
      <c r="O570" s="46" t="str">
        <f>IF(OR(Registro!D569="Resuelto",Registro!D569=""),"",_xlfn.CONCAT(A570,D570,G570,J570))</f>
        <v/>
      </c>
      <c r="P570" s="47">
        <v>562</v>
      </c>
      <c r="Q570" s="47" t="str">
        <f t="shared" ca="1" si="24"/>
        <v/>
      </c>
      <c r="R570" s="48" t="str">
        <f t="shared" ca="1" si="25"/>
        <v/>
      </c>
      <c r="S570" s="32"/>
      <c r="T570" s="32"/>
      <c r="U570" s="32"/>
      <c r="V570" s="32"/>
      <c r="W570" s="47" t="str">
        <f>IF(X570="","",MAX($W$5:W569)+1)</f>
        <v/>
      </c>
      <c r="X570" s="50" t="str">
        <f>IF(Registro!M569="","",IF(COUNTIF($X$8:X569,Registro!M569)=0,Registro!M569,""))</f>
        <v/>
      </c>
      <c r="Y570" s="50" t="str">
        <f t="shared" si="26"/>
        <v/>
      </c>
    </row>
    <row r="571" spans="1:25">
      <c r="A571" s="45" t="str">
        <f>IF(AND(Registro!D570="Abierto",Registro!E570="Urgente"),Registro!B570,"")</f>
        <v/>
      </c>
      <c r="B571" s="45" t="str">
        <f ca="1">IF(AND(Registro!D570="Abierto",Registro!E570="Urgente"),TODAY()-Registro!R570,"")</f>
        <v/>
      </c>
      <c r="C571" s="45" t="str">
        <f>IF(AND(Registro!D570="Abierto",Registro!E570="Urgente"),RANK(B571,$B$9:$B$1000,0)+COUNTIF($B$9:B571,B571)-1,"")</f>
        <v/>
      </c>
      <c r="D571" s="45" t="str">
        <f>IF(AND(Registro!D570="Abierto",Registro!E570="Alta"),Registro!B570,"")</f>
        <v/>
      </c>
      <c r="E571" s="45" t="str">
        <f ca="1">IF(AND(Registro!D570="Abierto",Registro!E570="Alta"),TODAY()-Registro!R570,"")</f>
        <v/>
      </c>
      <c r="F571" s="45" t="str">
        <f>IF(AND(Registro!D570="Abierto",Registro!E570="Alta"),RANK(E571,$E$9:$E$1000,0)+COUNTIF($E$9:E571,E571)-1+MAX(C$5:C$1000),"")</f>
        <v/>
      </c>
      <c r="G571" s="45" t="str">
        <f>IF(AND(Registro!D570="Abierto",Registro!E570="Media"),Registro!B570,"")</f>
        <v/>
      </c>
      <c r="H571" s="45" t="str">
        <f ca="1">IF(AND(Registro!D570="Abierto",Registro!E570="Media"),TODAY()-Registro!R570,"")</f>
        <v/>
      </c>
      <c r="I571" s="45" t="str">
        <f>IF(AND(Registro!D570="Abierto",Registro!E570="Media"),RANK(H571,$H$9:$H$1000,0)+COUNTIF($H$9:H571,H571)-1+MAX(C$5:C$1000,F$5:F$1000),"")</f>
        <v/>
      </c>
      <c r="J571" s="45" t="str">
        <f>IF(AND(Registro!D570="Abierto",Registro!E570="Baja"),Registro!B570,"")</f>
        <v/>
      </c>
      <c r="K571" s="45" t="str">
        <f ca="1">IF(AND(Registro!D570="Abierto",Registro!E570="Baja"),TODAY()-Registro!R570,"")</f>
        <v/>
      </c>
      <c r="L571" s="45" t="str">
        <f>IF(AND(Registro!D570="Abierto",Registro!E570="Baja"),RANK(K571,$K$9:$K$1000,0)+COUNTIF($K$9:K571,K571)-1+MAX(C$5:C$1000,F$5:F$1000,I$5:I$1000),"")</f>
        <v/>
      </c>
      <c r="M571" s="46" t="str">
        <f>IF(OR(Registro!D570="Resuelto",Registro!D570=""),"",SUM(C571,F571,I571,L571))</f>
        <v/>
      </c>
      <c r="N571" s="46" t="str">
        <f>IF(OR(Registro!D570="Resuelto",Registro!D570=""),"",SUM(B571,E571,H571,K571))</f>
        <v/>
      </c>
      <c r="O571" s="46" t="str">
        <f>IF(OR(Registro!D570="Resuelto",Registro!D570=""),"",_xlfn.CONCAT(A571,D571,G571,J571))</f>
        <v/>
      </c>
      <c r="P571" s="47">
        <v>563</v>
      </c>
      <c r="Q571" s="47" t="str">
        <f t="shared" ca="1" si="24"/>
        <v/>
      </c>
      <c r="R571" s="48" t="str">
        <f t="shared" ca="1" si="25"/>
        <v/>
      </c>
      <c r="S571" s="32"/>
      <c r="T571" s="32"/>
      <c r="U571" s="32"/>
      <c r="V571" s="32"/>
      <c r="W571" s="47" t="str">
        <f>IF(X571="","",MAX($W$5:W570)+1)</f>
        <v/>
      </c>
      <c r="X571" s="50" t="str">
        <f>IF(Registro!M570="","",IF(COUNTIF($X$8:X570,Registro!M570)=0,Registro!M570,""))</f>
        <v/>
      </c>
      <c r="Y571" s="50" t="str">
        <f t="shared" si="26"/>
        <v/>
      </c>
    </row>
    <row r="572" spans="1:25">
      <c r="A572" s="45" t="str">
        <f>IF(AND(Registro!D571="Abierto",Registro!E571="Urgente"),Registro!B571,"")</f>
        <v/>
      </c>
      <c r="B572" s="45" t="str">
        <f ca="1">IF(AND(Registro!D571="Abierto",Registro!E571="Urgente"),TODAY()-Registro!R571,"")</f>
        <v/>
      </c>
      <c r="C572" s="45" t="str">
        <f>IF(AND(Registro!D571="Abierto",Registro!E571="Urgente"),RANK(B572,$B$9:$B$1000,0)+COUNTIF($B$9:B572,B572)-1,"")</f>
        <v/>
      </c>
      <c r="D572" s="45" t="str">
        <f>IF(AND(Registro!D571="Abierto",Registro!E571="Alta"),Registro!B571,"")</f>
        <v/>
      </c>
      <c r="E572" s="45" t="str">
        <f ca="1">IF(AND(Registro!D571="Abierto",Registro!E571="Alta"),TODAY()-Registro!R571,"")</f>
        <v/>
      </c>
      <c r="F572" s="45" t="str">
        <f>IF(AND(Registro!D571="Abierto",Registro!E571="Alta"),RANK(E572,$E$9:$E$1000,0)+COUNTIF($E$9:E572,E572)-1+MAX(C$5:C$1000),"")</f>
        <v/>
      </c>
      <c r="G572" s="45" t="str">
        <f>IF(AND(Registro!D571="Abierto",Registro!E571="Media"),Registro!B571,"")</f>
        <v/>
      </c>
      <c r="H572" s="45" t="str">
        <f ca="1">IF(AND(Registro!D571="Abierto",Registro!E571="Media"),TODAY()-Registro!R571,"")</f>
        <v/>
      </c>
      <c r="I572" s="45" t="str">
        <f>IF(AND(Registro!D571="Abierto",Registro!E571="Media"),RANK(H572,$H$9:$H$1000,0)+COUNTIF($H$9:H572,H572)-1+MAX(C$5:C$1000,F$5:F$1000),"")</f>
        <v/>
      </c>
      <c r="J572" s="45" t="str">
        <f>IF(AND(Registro!D571="Abierto",Registro!E571="Baja"),Registro!B571,"")</f>
        <v/>
      </c>
      <c r="K572" s="45" t="str">
        <f ca="1">IF(AND(Registro!D571="Abierto",Registro!E571="Baja"),TODAY()-Registro!R571,"")</f>
        <v/>
      </c>
      <c r="L572" s="45" t="str">
        <f>IF(AND(Registro!D571="Abierto",Registro!E571="Baja"),RANK(K572,$K$9:$K$1000,0)+COUNTIF($K$9:K572,K572)-1+MAX(C$5:C$1000,F$5:F$1000,I$5:I$1000),"")</f>
        <v/>
      </c>
      <c r="M572" s="46" t="str">
        <f>IF(OR(Registro!D571="Resuelto",Registro!D571=""),"",SUM(C572,F572,I572,L572))</f>
        <v/>
      </c>
      <c r="N572" s="46" t="str">
        <f>IF(OR(Registro!D571="Resuelto",Registro!D571=""),"",SUM(B572,E572,H572,K572))</f>
        <v/>
      </c>
      <c r="O572" s="46" t="str">
        <f>IF(OR(Registro!D571="Resuelto",Registro!D571=""),"",_xlfn.CONCAT(A572,D572,G572,J572))</f>
        <v/>
      </c>
      <c r="P572" s="47">
        <v>564</v>
      </c>
      <c r="Q572" s="47" t="str">
        <f t="shared" ca="1" si="24"/>
        <v/>
      </c>
      <c r="R572" s="48" t="str">
        <f t="shared" ca="1" si="25"/>
        <v/>
      </c>
      <c r="S572" s="32"/>
      <c r="T572" s="32"/>
      <c r="U572" s="32"/>
      <c r="V572" s="32"/>
      <c r="W572" s="47" t="str">
        <f>IF(X572="","",MAX($W$5:W571)+1)</f>
        <v/>
      </c>
      <c r="X572" s="50" t="str">
        <f>IF(Registro!M571="","",IF(COUNTIF($X$8:X571,Registro!M571)=0,Registro!M571,""))</f>
        <v/>
      </c>
      <c r="Y572" s="50" t="str">
        <f t="shared" si="26"/>
        <v/>
      </c>
    </row>
    <row r="573" spans="1:25">
      <c r="A573" s="45" t="str">
        <f>IF(AND(Registro!D572="Abierto",Registro!E572="Urgente"),Registro!B572,"")</f>
        <v/>
      </c>
      <c r="B573" s="45" t="str">
        <f ca="1">IF(AND(Registro!D572="Abierto",Registro!E572="Urgente"),TODAY()-Registro!R572,"")</f>
        <v/>
      </c>
      <c r="C573" s="45" t="str">
        <f>IF(AND(Registro!D572="Abierto",Registro!E572="Urgente"),RANK(B573,$B$9:$B$1000,0)+COUNTIF($B$9:B573,B573)-1,"")</f>
        <v/>
      </c>
      <c r="D573" s="45" t="str">
        <f>IF(AND(Registro!D572="Abierto",Registro!E572="Alta"),Registro!B572,"")</f>
        <v/>
      </c>
      <c r="E573" s="45" t="str">
        <f ca="1">IF(AND(Registro!D572="Abierto",Registro!E572="Alta"),TODAY()-Registro!R572,"")</f>
        <v/>
      </c>
      <c r="F573" s="45" t="str">
        <f>IF(AND(Registro!D572="Abierto",Registro!E572="Alta"),RANK(E573,$E$9:$E$1000,0)+COUNTIF($E$9:E573,E573)-1+MAX(C$5:C$1000),"")</f>
        <v/>
      </c>
      <c r="G573" s="45" t="str">
        <f>IF(AND(Registro!D572="Abierto",Registro!E572="Media"),Registro!B572,"")</f>
        <v/>
      </c>
      <c r="H573" s="45" t="str">
        <f ca="1">IF(AND(Registro!D572="Abierto",Registro!E572="Media"),TODAY()-Registro!R572,"")</f>
        <v/>
      </c>
      <c r="I573" s="45" t="str">
        <f>IF(AND(Registro!D572="Abierto",Registro!E572="Media"),RANK(H573,$H$9:$H$1000,0)+COUNTIF($H$9:H573,H573)-1+MAX(C$5:C$1000,F$5:F$1000),"")</f>
        <v/>
      </c>
      <c r="J573" s="45" t="str">
        <f>IF(AND(Registro!D572="Abierto",Registro!E572="Baja"),Registro!B572,"")</f>
        <v/>
      </c>
      <c r="K573" s="45" t="str">
        <f ca="1">IF(AND(Registro!D572="Abierto",Registro!E572="Baja"),TODAY()-Registro!R572,"")</f>
        <v/>
      </c>
      <c r="L573" s="45" t="str">
        <f>IF(AND(Registro!D572="Abierto",Registro!E572="Baja"),RANK(K573,$K$9:$K$1000,0)+COUNTIF($K$9:K573,K573)-1+MAX(C$5:C$1000,F$5:F$1000,I$5:I$1000),"")</f>
        <v/>
      </c>
      <c r="M573" s="46" t="str">
        <f>IF(OR(Registro!D572="Resuelto",Registro!D572=""),"",SUM(C573,F573,I573,L573))</f>
        <v/>
      </c>
      <c r="N573" s="46" t="str">
        <f>IF(OR(Registro!D572="Resuelto",Registro!D572=""),"",SUM(B573,E573,H573,K573))</f>
        <v/>
      </c>
      <c r="O573" s="46" t="str">
        <f>IF(OR(Registro!D572="Resuelto",Registro!D572=""),"",_xlfn.CONCAT(A573,D573,G573,J573))</f>
        <v/>
      </c>
      <c r="P573" s="47">
        <v>565</v>
      </c>
      <c r="Q573" s="47" t="str">
        <f t="shared" ca="1" si="24"/>
        <v/>
      </c>
      <c r="R573" s="48" t="str">
        <f t="shared" ca="1" si="25"/>
        <v/>
      </c>
      <c r="S573" s="32"/>
      <c r="T573" s="32"/>
      <c r="U573" s="32"/>
      <c r="V573" s="32"/>
      <c r="W573" s="47" t="str">
        <f>IF(X573="","",MAX($W$5:W572)+1)</f>
        <v/>
      </c>
      <c r="X573" s="50" t="str">
        <f>IF(Registro!M572="","",IF(COUNTIF($X$8:X572,Registro!M572)=0,Registro!M572,""))</f>
        <v/>
      </c>
      <c r="Y573" s="50" t="str">
        <f t="shared" si="26"/>
        <v/>
      </c>
    </row>
    <row r="574" spans="1:25">
      <c r="A574" s="45" t="str">
        <f>IF(AND(Registro!D573="Abierto",Registro!E573="Urgente"),Registro!B573,"")</f>
        <v/>
      </c>
      <c r="B574" s="45" t="str">
        <f ca="1">IF(AND(Registro!D573="Abierto",Registro!E573="Urgente"),TODAY()-Registro!R573,"")</f>
        <v/>
      </c>
      <c r="C574" s="45" t="str">
        <f>IF(AND(Registro!D573="Abierto",Registro!E573="Urgente"),RANK(B574,$B$9:$B$1000,0)+COUNTIF($B$9:B574,B574)-1,"")</f>
        <v/>
      </c>
      <c r="D574" s="45" t="str">
        <f>IF(AND(Registro!D573="Abierto",Registro!E573="Alta"),Registro!B573,"")</f>
        <v/>
      </c>
      <c r="E574" s="45" t="str">
        <f ca="1">IF(AND(Registro!D573="Abierto",Registro!E573="Alta"),TODAY()-Registro!R573,"")</f>
        <v/>
      </c>
      <c r="F574" s="45" t="str">
        <f>IF(AND(Registro!D573="Abierto",Registro!E573="Alta"),RANK(E574,$E$9:$E$1000,0)+COUNTIF($E$9:E574,E574)-1+MAX(C$5:C$1000),"")</f>
        <v/>
      </c>
      <c r="G574" s="45" t="str">
        <f>IF(AND(Registro!D573="Abierto",Registro!E573="Media"),Registro!B573,"")</f>
        <v/>
      </c>
      <c r="H574" s="45" t="str">
        <f ca="1">IF(AND(Registro!D573="Abierto",Registro!E573="Media"),TODAY()-Registro!R573,"")</f>
        <v/>
      </c>
      <c r="I574" s="45" t="str">
        <f>IF(AND(Registro!D573="Abierto",Registro!E573="Media"),RANK(H574,$H$9:$H$1000,0)+COUNTIF($H$9:H574,H574)-1+MAX(C$5:C$1000,F$5:F$1000),"")</f>
        <v/>
      </c>
      <c r="J574" s="45" t="str">
        <f>IF(AND(Registro!D573="Abierto",Registro!E573="Baja"),Registro!B573,"")</f>
        <v/>
      </c>
      <c r="K574" s="45" t="str">
        <f ca="1">IF(AND(Registro!D573="Abierto",Registro!E573="Baja"),TODAY()-Registro!R573,"")</f>
        <v/>
      </c>
      <c r="L574" s="45" t="str">
        <f>IF(AND(Registro!D573="Abierto",Registro!E573="Baja"),RANK(K574,$K$9:$K$1000,0)+COUNTIF($K$9:K574,K574)-1+MAX(C$5:C$1000,F$5:F$1000,I$5:I$1000),"")</f>
        <v/>
      </c>
      <c r="M574" s="46" t="str">
        <f>IF(OR(Registro!D573="Resuelto",Registro!D573=""),"",SUM(C574,F574,I574,L574))</f>
        <v/>
      </c>
      <c r="N574" s="46" t="str">
        <f>IF(OR(Registro!D573="Resuelto",Registro!D573=""),"",SUM(B574,E574,H574,K574))</f>
        <v/>
      </c>
      <c r="O574" s="46" t="str">
        <f>IF(OR(Registro!D573="Resuelto",Registro!D573=""),"",_xlfn.CONCAT(A574,D574,G574,J574))</f>
        <v/>
      </c>
      <c r="P574" s="47">
        <v>566</v>
      </c>
      <c r="Q574" s="47" t="str">
        <f t="shared" ca="1" si="24"/>
        <v/>
      </c>
      <c r="R574" s="48" t="str">
        <f t="shared" ca="1" si="25"/>
        <v/>
      </c>
      <c r="S574" s="32"/>
      <c r="T574" s="32"/>
      <c r="U574" s="32"/>
      <c r="V574" s="32"/>
      <c r="W574" s="47" t="str">
        <f>IF(X574="","",MAX($W$5:W573)+1)</f>
        <v/>
      </c>
      <c r="X574" s="50" t="str">
        <f>IF(Registro!M573="","",IF(COUNTIF($X$8:X573,Registro!M573)=0,Registro!M573,""))</f>
        <v/>
      </c>
      <c r="Y574" s="50" t="str">
        <f t="shared" si="26"/>
        <v/>
      </c>
    </row>
    <row r="575" spans="1:25">
      <c r="A575" s="45" t="str">
        <f>IF(AND(Registro!D574="Abierto",Registro!E574="Urgente"),Registro!B574,"")</f>
        <v/>
      </c>
      <c r="B575" s="45" t="str">
        <f ca="1">IF(AND(Registro!D574="Abierto",Registro!E574="Urgente"),TODAY()-Registro!R574,"")</f>
        <v/>
      </c>
      <c r="C575" s="45" t="str">
        <f>IF(AND(Registro!D574="Abierto",Registro!E574="Urgente"),RANK(B575,$B$9:$B$1000,0)+COUNTIF($B$9:B575,B575)-1,"")</f>
        <v/>
      </c>
      <c r="D575" s="45" t="str">
        <f>IF(AND(Registro!D574="Abierto",Registro!E574="Alta"),Registro!B574,"")</f>
        <v/>
      </c>
      <c r="E575" s="45" t="str">
        <f ca="1">IF(AND(Registro!D574="Abierto",Registro!E574="Alta"),TODAY()-Registro!R574,"")</f>
        <v/>
      </c>
      <c r="F575" s="45" t="str">
        <f>IF(AND(Registro!D574="Abierto",Registro!E574="Alta"),RANK(E575,$E$9:$E$1000,0)+COUNTIF($E$9:E575,E575)-1+MAX(C$5:C$1000),"")</f>
        <v/>
      </c>
      <c r="G575" s="45" t="str">
        <f>IF(AND(Registro!D574="Abierto",Registro!E574="Media"),Registro!B574,"")</f>
        <v/>
      </c>
      <c r="H575" s="45" t="str">
        <f ca="1">IF(AND(Registro!D574="Abierto",Registro!E574="Media"),TODAY()-Registro!R574,"")</f>
        <v/>
      </c>
      <c r="I575" s="45" t="str">
        <f>IF(AND(Registro!D574="Abierto",Registro!E574="Media"),RANK(H575,$H$9:$H$1000,0)+COUNTIF($H$9:H575,H575)-1+MAX(C$5:C$1000,F$5:F$1000),"")</f>
        <v/>
      </c>
      <c r="J575" s="45" t="str">
        <f>IF(AND(Registro!D574="Abierto",Registro!E574="Baja"),Registro!B574,"")</f>
        <v/>
      </c>
      <c r="K575" s="45" t="str">
        <f ca="1">IF(AND(Registro!D574="Abierto",Registro!E574="Baja"),TODAY()-Registro!R574,"")</f>
        <v/>
      </c>
      <c r="L575" s="45" t="str">
        <f>IF(AND(Registro!D574="Abierto",Registro!E574="Baja"),RANK(K575,$K$9:$K$1000,0)+COUNTIF($K$9:K575,K575)-1+MAX(C$5:C$1000,F$5:F$1000,I$5:I$1000),"")</f>
        <v/>
      </c>
      <c r="M575" s="46" t="str">
        <f>IF(OR(Registro!D574="Resuelto",Registro!D574=""),"",SUM(C575,F575,I575,L575))</f>
        <v/>
      </c>
      <c r="N575" s="46" t="str">
        <f>IF(OR(Registro!D574="Resuelto",Registro!D574=""),"",SUM(B575,E575,H575,K575))</f>
        <v/>
      </c>
      <c r="O575" s="46" t="str">
        <f>IF(OR(Registro!D574="Resuelto",Registro!D574=""),"",_xlfn.CONCAT(A575,D575,G575,J575))</f>
        <v/>
      </c>
      <c r="P575" s="47">
        <v>567</v>
      </c>
      <c r="Q575" s="47" t="str">
        <f t="shared" ca="1" si="24"/>
        <v/>
      </c>
      <c r="R575" s="48" t="str">
        <f t="shared" ca="1" si="25"/>
        <v/>
      </c>
      <c r="S575" s="32"/>
      <c r="T575" s="32"/>
      <c r="U575" s="32"/>
      <c r="V575" s="32"/>
      <c r="W575" s="47" t="str">
        <f>IF(X575="","",MAX($W$5:W574)+1)</f>
        <v/>
      </c>
      <c r="X575" s="50" t="str">
        <f>IF(Registro!M574="","",IF(COUNTIF($X$8:X574,Registro!M574)=0,Registro!M574,""))</f>
        <v/>
      </c>
      <c r="Y575" s="50" t="str">
        <f t="shared" si="26"/>
        <v/>
      </c>
    </row>
    <row r="576" spans="1:25">
      <c r="A576" s="45" t="str">
        <f>IF(AND(Registro!D575="Abierto",Registro!E575="Urgente"),Registro!B575,"")</f>
        <v/>
      </c>
      <c r="B576" s="45" t="str">
        <f ca="1">IF(AND(Registro!D575="Abierto",Registro!E575="Urgente"),TODAY()-Registro!R575,"")</f>
        <v/>
      </c>
      <c r="C576" s="45" t="str">
        <f>IF(AND(Registro!D575="Abierto",Registro!E575="Urgente"),RANK(B576,$B$9:$B$1000,0)+COUNTIF($B$9:B576,B576)-1,"")</f>
        <v/>
      </c>
      <c r="D576" s="45" t="str">
        <f>IF(AND(Registro!D575="Abierto",Registro!E575="Alta"),Registro!B575,"")</f>
        <v/>
      </c>
      <c r="E576" s="45" t="str">
        <f ca="1">IF(AND(Registro!D575="Abierto",Registro!E575="Alta"),TODAY()-Registro!R575,"")</f>
        <v/>
      </c>
      <c r="F576" s="45" t="str">
        <f>IF(AND(Registro!D575="Abierto",Registro!E575="Alta"),RANK(E576,$E$9:$E$1000,0)+COUNTIF($E$9:E576,E576)-1+MAX(C$5:C$1000),"")</f>
        <v/>
      </c>
      <c r="G576" s="45" t="str">
        <f>IF(AND(Registro!D575="Abierto",Registro!E575="Media"),Registro!B575,"")</f>
        <v/>
      </c>
      <c r="H576" s="45" t="str">
        <f ca="1">IF(AND(Registro!D575="Abierto",Registro!E575="Media"),TODAY()-Registro!R575,"")</f>
        <v/>
      </c>
      <c r="I576" s="45" t="str">
        <f>IF(AND(Registro!D575="Abierto",Registro!E575="Media"),RANK(H576,$H$9:$H$1000,0)+COUNTIF($H$9:H576,H576)-1+MAX(C$5:C$1000,F$5:F$1000),"")</f>
        <v/>
      </c>
      <c r="J576" s="45" t="str">
        <f>IF(AND(Registro!D575="Abierto",Registro!E575="Baja"),Registro!B575,"")</f>
        <v/>
      </c>
      <c r="K576" s="45" t="str">
        <f ca="1">IF(AND(Registro!D575="Abierto",Registro!E575="Baja"),TODAY()-Registro!R575,"")</f>
        <v/>
      </c>
      <c r="L576" s="45" t="str">
        <f>IF(AND(Registro!D575="Abierto",Registro!E575="Baja"),RANK(K576,$K$9:$K$1000,0)+COUNTIF($K$9:K576,K576)-1+MAX(C$5:C$1000,F$5:F$1000,I$5:I$1000),"")</f>
        <v/>
      </c>
      <c r="M576" s="46" t="str">
        <f>IF(OR(Registro!D575="Resuelto",Registro!D575=""),"",SUM(C576,F576,I576,L576))</f>
        <v/>
      </c>
      <c r="N576" s="46" t="str">
        <f>IF(OR(Registro!D575="Resuelto",Registro!D575=""),"",SUM(B576,E576,H576,K576))</f>
        <v/>
      </c>
      <c r="O576" s="46" t="str">
        <f>IF(OR(Registro!D575="Resuelto",Registro!D575=""),"",_xlfn.CONCAT(A576,D576,G576,J576))</f>
        <v/>
      </c>
      <c r="P576" s="47">
        <v>568</v>
      </c>
      <c r="Q576" s="47" t="str">
        <f t="shared" ca="1" si="24"/>
        <v/>
      </c>
      <c r="R576" s="48" t="str">
        <f t="shared" ca="1" si="25"/>
        <v/>
      </c>
      <c r="S576" s="32"/>
      <c r="T576" s="32"/>
      <c r="U576" s="32"/>
      <c r="V576" s="32"/>
      <c r="W576" s="47" t="str">
        <f>IF(X576="","",MAX($W$5:W575)+1)</f>
        <v/>
      </c>
      <c r="X576" s="50" t="str">
        <f>IF(Registro!M575="","",IF(COUNTIF($X$8:X575,Registro!M575)=0,Registro!M575,""))</f>
        <v/>
      </c>
      <c r="Y576" s="50" t="str">
        <f t="shared" si="26"/>
        <v/>
      </c>
    </row>
    <row r="577" spans="1:25">
      <c r="A577" s="45" t="str">
        <f>IF(AND(Registro!D576="Abierto",Registro!E576="Urgente"),Registro!B576,"")</f>
        <v/>
      </c>
      <c r="B577" s="45" t="str">
        <f ca="1">IF(AND(Registro!D576="Abierto",Registro!E576="Urgente"),TODAY()-Registro!R576,"")</f>
        <v/>
      </c>
      <c r="C577" s="45" t="str">
        <f>IF(AND(Registro!D576="Abierto",Registro!E576="Urgente"),RANK(B577,$B$9:$B$1000,0)+COUNTIF($B$9:B577,B577)-1,"")</f>
        <v/>
      </c>
      <c r="D577" s="45" t="str">
        <f>IF(AND(Registro!D576="Abierto",Registro!E576="Alta"),Registro!B576,"")</f>
        <v/>
      </c>
      <c r="E577" s="45" t="str">
        <f ca="1">IF(AND(Registro!D576="Abierto",Registro!E576="Alta"),TODAY()-Registro!R576,"")</f>
        <v/>
      </c>
      <c r="F577" s="45" t="str">
        <f>IF(AND(Registro!D576="Abierto",Registro!E576="Alta"),RANK(E577,$E$9:$E$1000,0)+COUNTIF($E$9:E577,E577)-1+MAX(C$5:C$1000),"")</f>
        <v/>
      </c>
      <c r="G577" s="45" t="str">
        <f>IF(AND(Registro!D576="Abierto",Registro!E576="Media"),Registro!B576,"")</f>
        <v/>
      </c>
      <c r="H577" s="45" t="str">
        <f ca="1">IF(AND(Registro!D576="Abierto",Registro!E576="Media"),TODAY()-Registro!R576,"")</f>
        <v/>
      </c>
      <c r="I577" s="45" t="str">
        <f>IF(AND(Registro!D576="Abierto",Registro!E576="Media"),RANK(H577,$H$9:$H$1000,0)+COUNTIF($H$9:H577,H577)-1+MAX(C$5:C$1000,F$5:F$1000),"")</f>
        <v/>
      </c>
      <c r="J577" s="45" t="str">
        <f>IF(AND(Registro!D576="Abierto",Registro!E576="Baja"),Registro!B576,"")</f>
        <v/>
      </c>
      <c r="K577" s="45" t="str">
        <f ca="1">IF(AND(Registro!D576="Abierto",Registro!E576="Baja"),TODAY()-Registro!R576,"")</f>
        <v/>
      </c>
      <c r="L577" s="45" t="str">
        <f>IF(AND(Registro!D576="Abierto",Registro!E576="Baja"),RANK(K577,$K$9:$K$1000,0)+COUNTIF($K$9:K577,K577)-1+MAX(C$5:C$1000,F$5:F$1000,I$5:I$1000),"")</f>
        <v/>
      </c>
      <c r="M577" s="46" t="str">
        <f>IF(OR(Registro!D576="Resuelto",Registro!D576=""),"",SUM(C577,F577,I577,L577))</f>
        <v/>
      </c>
      <c r="N577" s="46" t="str">
        <f>IF(OR(Registro!D576="Resuelto",Registro!D576=""),"",SUM(B577,E577,H577,K577))</f>
        <v/>
      </c>
      <c r="O577" s="46" t="str">
        <f>IF(OR(Registro!D576="Resuelto",Registro!D576=""),"",_xlfn.CONCAT(A577,D577,G577,J577))</f>
        <v/>
      </c>
      <c r="P577" s="47">
        <v>569</v>
      </c>
      <c r="Q577" s="47" t="str">
        <f t="shared" ca="1" si="24"/>
        <v/>
      </c>
      <c r="R577" s="48" t="str">
        <f t="shared" ca="1" si="25"/>
        <v/>
      </c>
      <c r="S577" s="32"/>
      <c r="T577" s="32"/>
      <c r="U577" s="32"/>
      <c r="V577" s="32"/>
      <c r="W577" s="47" t="str">
        <f>IF(X577="","",MAX($W$5:W576)+1)</f>
        <v/>
      </c>
      <c r="X577" s="50" t="str">
        <f>IF(Registro!M576="","",IF(COUNTIF($X$8:X576,Registro!M576)=0,Registro!M576,""))</f>
        <v/>
      </c>
      <c r="Y577" s="50" t="str">
        <f t="shared" si="26"/>
        <v/>
      </c>
    </row>
    <row r="578" spans="1:25">
      <c r="A578" s="45" t="str">
        <f>IF(AND(Registro!D577="Abierto",Registro!E577="Urgente"),Registro!B577,"")</f>
        <v/>
      </c>
      <c r="B578" s="45" t="str">
        <f ca="1">IF(AND(Registro!D577="Abierto",Registro!E577="Urgente"),TODAY()-Registro!R577,"")</f>
        <v/>
      </c>
      <c r="C578" s="45" t="str">
        <f>IF(AND(Registro!D577="Abierto",Registro!E577="Urgente"),RANK(B578,$B$9:$B$1000,0)+COUNTIF($B$9:B578,B578)-1,"")</f>
        <v/>
      </c>
      <c r="D578" s="45" t="str">
        <f>IF(AND(Registro!D577="Abierto",Registro!E577="Alta"),Registro!B577,"")</f>
        <v/>
      </c>
      <c r="E578" s="45" t="str">
        <f ca="1">IF(AND(Registro!D577="Abierto",Registro!E577="Alta"),TODAY()-Registro!R577,"")</f>
        <v/>
      </c>
      <c r="F578" s="45" t="str">
        <f>IF(AND(Registro!D577="Abierto",Registro!E577="Alta"),RANK(E578,$E$9:$E$1000,0)+COUNTIF($E$9:E578,E578)-1+MAX(C$5:C$1000),"")</f>
        <v/>
      </c>
      <c r="G578" s="45" t="str">
        <f>IF(AND(Registro!D577="Abierto",Registro!E577="Media"),Registro!B577,"")</f>
        <v/>
      </c>
      <c r="H578" s="45" t="str">
        <f ca="1">IF(AND(Registro!D577="Abierto",Registro!E577="Media"),TODAY()-Registro!R577,"")</f>
        <v/>
      </c>
      <c r="I578" s="45" t="str">
        <f>IF(AND(Registro!D577="Abierto",Registro!E577="Media"),RANK(H578,$H$9:$H$1000,0)+COUNTIF($H$9:H578,H578)-1+MAX(C$5:C$1000,F$5:F$1000),"")</f>
        <v/>
      </c>
      <c r="J578" s="45" t="str">
        <f>IF(AND(Registro!D577="Abierto",Registro!E577="Baja"),Registro!B577,"")</f>
        <v/>
      </c>
      <c r="K578" s="45" t="str">
        <f ca="1">IF(AND(Registro!D577="Abierto",Registro!E577="Baja"),TODAY()-Registro!R577,"")</f>
        <v/>
      </c>
      <c r="L578" s="45" t="str">
        <f>IF(AND(Registro!D577="Abierto",Registro!E577="Baja"),RANK(K578,$K$9:$K$1000,0)+COUNTIF($K$9:K578,K578)-1+MAX(C$5:C$1000,F$5:F$1000,I$5:I$1000),"")</f>
        <v/>
      </c>
      <c r="M578" s="46" t="str">
        <f>IF(OR(Registro!D577="Resuelto",Registro!D577=""),"",SUM(C578,F578,I578,L578))</f>
        <v/>
      </c>
      <c r="N578" s="46" t="str">
        <f>IF(OR(Registro!D577="Resuelto",Registro!D577=""),"",SUM(B578,E578,H578,K578))</f>
        <v/>
      </c>
      <c r="O578" s="46" t="str">
        <f>IF(OR(Registro!D577="Resuelto",Registro!D577=""),"",_xlfn.CONCAT(A578,D578,G578,J578))</f>
        <v/>
      </c>
      <c r="P578" s="47">
        <v>570</v>
      </c>
      <c r="Q578" s="47" t="str">
        <f t="shared" ca="1" si="24"/>
        <v/>
      </c>
      <c r="R578" s="48" t="str">
        <f t="shared" ca="1" si="25"/>
        <v/>
      </c>
      <c r="S578" s="32"/>
      <c r="T578" s="32"/>
      <c r="U578" s="32"/>
      <c r="V578" s="32"/>
      <c r="W578" s="47" t="str">
        <f>IF(X578="","",MAX($W$5:W577)+1)</f>
        <v/>
      </c>
      <c r="X578" s="50" t="str">
        <f>IF(Registro!M577="","",IF(COUNTIF($X$8:X577,Registro!M577)=0,Registro!M577,""))</f>
        <v/>
      </c>
      <c r="Y578" s="50" t="str">
        <f t="shared" si="26"/>
        <v/>
      </c>
    </row>
    <row r="579" spans="1:25">
      <c r="A579" s="45" t="str">
        <f>IF(AND(Registro!D578="Abierto",Registro!E578="Urgente"),Registro!B578,"")</f>
        <v/>
      </c>
      <c r="B579" s="45" t="str">
        <f ca="1">IF(AND(Registro!D578="Abierto",Registro!E578="Urgente"),TODAY()-Registro!R578,"")</f>
        <v/>
      </c>
      <c r="C579" s="45" t="str">
        <f>IF(AND(Registro!D578="Abierto",Registro!E578="Urgente"),RANK(B579,$B$9:$B$1000,0)+COUNTIF($B$9:B579,B579)-1,"")</f>
        <v/>
      </c>
      <c r="D579" s="45" t="str">
        <f>IF(AND(Registro!D578="Abierto",Registro!E578="Alta"),Registro!B578,"")</f>
        <v/>
      </c>
      <c r="E579" s="45" t="str">
        <f ca="1">IF(AND(Registro!D578="Abierto",Registro!E578="Alta"),TODAY()-Registro!R578,"")</f>
        <v/>
      </c>
      <c r="F579" s="45" t="str">
        <f>IF(AND(Registro!D578="Abierto",Registro!E578="Alta"),RANK(E579,$E$9:$E$1000,0)+COUNTIF($E$9:E579,E579)-1+MAX(C$5:C$1000),"")</f>
        <v/>
      </c>
      <c r="G579" s="45" t="str">
        <f>IF(AND(Registro!D578="Abierto",Registro!E578="Media"),Registro!B578,"")</f>
        <v/>
      </c>
      <c r="H579" s="45" t="str">
        <f ca="1">IF(AND(Registro!D578="Abierto",Registro!E578="Media"),TODAY()-Registro!R578,"")</f>
        <v/>
      </c>
      <c r="I579" s="45" t="str">
        <f>IF(AND(Registro!D578="Abierto",Registro!E578="Media"),RANK(H579,$H$9:$H$1000,0)+COUNTIF($H$9:H579,H579)-1+MAX(C$5:C$1000,F$5:F$1000),"")</f>
        <v/>
      </c>
      <c r="J579" s="45" t="str">
        <f>IF(AND(Registro!D578="Abierto",Registro!E578="Baja"),Registro!B578,"")</f>
        <v/>
      </c>
      <c r="K579" s="45" t="str">
        <f ca="1">IF(AND(Registro!D578="Abierto",Registro!E578="Baja"),TODAY()-Registro!R578,"")</f>
        <v/>
      </c>
      <c r="L579" s="45" t="str">
        <f>IF(AND(Registro!D578="Abierto",Registro!E578="Baja"),RANK(K579,$K$9:$K$1000,0)+COUNTIF($K$9:K579,K579)-1+MAX(C$5:C$1000,F$5:F$1000,I$5:I$1000),"")</f>
        <v/>
      </c>
      <c r="M579" s="46" t="str">
        <f>IF(OR(Registro!D578="Resuelto",Registro!D578=""),"",SUM(C579,F579,I579,L579))</f>
        <v/>
      </c>
      <c r="N579" s="46" t="str">
        <f>IF(OR(Registro!D578="Resuelto",Registro!D578=""),"",SUM(B579,E579,H579,K579))</f>
        <v/>
      </c>
      <c r="O579" s="46" t="str">
        <f>IF(OR(Registro!D578="Resuelto",Registro!D578=""),"",_xlfn.CONCAT(A579,D579,G579,J579))</f>
        <v/>
      </c>
      <c r="P579" s="47">
        <v>571</v>
      </c>
      <c r="Q579" s="47" t="str">
        <f t="shared" ca="1" si="24"/>
        <v/>
      </c>
      <c r="R579" s="48" t="str">
        <f t="shared" ca="1" si="25"/>
        <v/>
      </c>
      <c r="S579" s="32"/>
      <c r="T579" s="32"/>
      <c r="U579" s="32"/>
      <c r="V579" s="32"/>
      <c r="W579" s="47" t="str">
        <f>IF(X579="","",MAX($W$5:W578)+1)</f>
        <v/>
      </c>
      <c r="X579" s="50" t="str">
        <f>IF(Registro!M578="","",IF(COUNTIF($X$8:X578,Registro!M578)=0,Registro!M578,""))</f>
        <v/>
      </c>
      <c r="Y579" s="50" t="str">
        <f t="shared" si="26"/>
        <v/>
      </c>
    </row>
    <row r="580" spans="1:25">
      <c r="A580" s="45" t="str">
        <f>IF(AND(Registro!D579="Abierto",Registro!E579="Urgente"),Registro!B579,"")</f>
        <v/>
      </c>
      <c r="B580" s="45" t="str">
        <f ca="1">IF(AND(Registro!D579="Abierto",Registro!E579="Urgente"),TODAY()-Registro!R579,"")</f>
        <v/>
      </c>
      <c r="C580" s="45" t="str">
        <f>IF(AND(Registro!D579="Abierto",Registro!E579="Urgente"),RANK(B580,$B$9:$B$1000,0)+COUNTIF($B$9:B580,B580)-1,"")</f>
        <v/>
      </c>
      <c r="D580" s="45" t="str">
        <f>IF(AND(Registro!D579="Abierto",Registro!E579="Alta"),Registro!B579,"")</f>
        <v/>
      </c>
      <c r="E580" s="45" t="str">
        <f ca="1">IF(AND(Registro!D579="Abierto",Registro!E579="Alta"),TODAY()-Registro!R579,"")</f>
        <v/>
      </c>
      <c r="F580" s="45" t="str">
        <f>IF(AND(Registro!D579="Abierto",Registro!E579="Alta"),RANK(E580,$E$9:$E$1000,0)+COUNTIF($E$9:E580,E580)-1+MAX(C$5:C$1000),"")</f>
        <v/>
      </c>
      <c r="G580" s="45" t="str">
        <f>IF(AND(Registro!D579="Abierto",Registro!E579="Media"),Registro!B579,"")</f>
        <v/>
      </c>
      <c r="H580" s="45" t="str">
        <f ca="1">IF(AND(Registro!D579="Abierto",Registro!E579="Media"),TODAY()-Registro!R579,"")</f>
        <v/>
      </c>
      <c r="I580" s="45" t="str">
        <f>IF(AND(Registro!D579="Abierto",Registro!E579="Media"),RANK(H580,$H$9:$H$1000,0)+COUNTIF($H$9:H580,H580)-1+MAX(C$5:C$1000,F$5:F$1000),"")</f>
        <v/>
      </c>
      <c r="J580" s="45" t="str">
        <f>IF(AND(Registro!D579="Abierto",Registro!E579="Baja"),Registro!B579,"")</f>
        <v/>
      </c>
      <c r="K580" s="45" t="str">
        <f ca="1">IF(AND(Registro!D579="Abierto",Registro!E579="Baja"),TODAY()-Registro!R579,"")</f>
        <v/>
      </c>
      <c r="L580" s="45" t="str">
        <f>IF(AND(Registro!D579="Abierto",Registro!E579="Baja"),RANK(K580,$K$9:$K$1000,0)+COUNTIF($K$9:K580,K580)-1+MAX(C$5:C$1000,F$5:F$1000,I$5:I$1000),"")</f>
        <v/>
      </c>
      <c r="M580" s="46" t="str">
        <f>IF(OR(Registro!D579="Resuelto",Registro!D579=""),"",SUM(C580,F580,I580,L580))</f>
        <v/>
      </c>
      <c r="N580" s="46" t="str">
        <f>IF(OR(Registro!D579="Resuelto",Registro!D579=""),"",SUM(B580,E580,H580,K580))</f>
        <v/>
      </c>
      <c r="O580" s="46" t="str">
        <f>IF(OR(Registro!D579="Resuelto",Registro!D579=""),"",_xlfn.CONCAT(A580,D580,G580,J580))</f>
        <v/>
      </c>
      <c r="P580" s="47">
        <v>572</v>
      </c>
      <c r="Q580" s="47" t="str">
        <f t="shared" ca="1" si="24"/>
        <v/>
      </c>
      <c r="R580" s="48" t="str">
        <f t="shared" ca="1" si="25"/>
        <v/>
      </c>
      <c r="S580" s="32"/>
      <c r="T580" s="32"/>
      <c r="U580" s="32"/>
      <c r="V580" s="32"/>
      <c r="W580" s="47" t="str">
        <f>IF(X580="","",MAX($W$5:W579)+1)</f>
        <v/>
      </c>
      <c r="X580" s="50" t="str">
        <f>IF(Registro!M579="","",IF(COUNTIF($X$8:X579,Registro!M579)=0,Registro!M579,""))</f>
        <v/>
      </c>
      <c r="Y580" s="50" t="str">
        <f t="shared" si="26"/>
        <v/>
      </c>
    </row>
    <row r="581" spans="1:25">
      <c r="A581" s="45" t="str">
        <f>IF(AND(Registro!D580="Abierto",Registro!E580="Urgente"),Registro!B580,"")</f>
        <v/>
      </c>
      <c r="B581" s="45" t="str">
        <f ca="1">IF(AND(Registro!D580="Abierto",Registro!E580="Urgente"),TODAY()-Registro!R580,"")</f>
        <v/>
      </c>
      <c r="C581" s="45" t="str">
        <f>IF(AND(Registro!D580="Abierto",Registro!E580="Urgente"),RANK(B581,$B$9:$B$1000,0)+COUNTIF($B$9:B581,B581)-1,"")</f>
        <v/>
      </c>
      <c r="D581" s="45" t="str">
        <f>IF(AND(Registro!D580="Abierto",Registro!E580="Alta"),Registro!B580,"")</f>
        <v/>
      </c>
      <c r="E581" s="45" t="str">
        <f ca="1">IF(AND(Registro!D580="Abierto",Registro!E580="Alta"),TODAY()-Registro!R580,"")</f>
        <v/>
      </c>
      <c r="F581" s="45" t="str">
        <f>IF(AND(Registro!D580="Abierto",Registro!E580="Alta"),RANK(E581,$E$9:$E$1000,0)+COUNTIF($E$9:E581,E581)-1+MAX(C$5:C$1000),"")</f>
        <v/>
      </c>
      <c r="G581" s="45" t="str">
        <f>IF(AND(Registro!D580="Abierto",Registro!E580="Media"),Registro!B580,"")</f>
        <v/>
      </c>
      <c r="H581" s="45" t="str">
        <f ca="1">IF(AND(Registro!D580="Abierto",Registro!E580="Media"),TODAY()-Registro!R580,"")</f>
        <v/>
      </c>
      <c r="I581" s="45" t="str">
        <f>IF(AND(Registro!D580="Abierto",Registro!E580="Media"),RANK(H581,$H$9:$H$1000,0)+COUNTIF($H$9:H581,H581)-1+MAX(C$5:C$1000,F$5:F$1000),"")</f>
        <v/>
      </c>
      <c r="J581" s="45" t="str">
        <f>IF(AND(Registro!D580="Abierto",Registro!E580="Baja"),Registro!B580,"")</f>
        <v/>
      </c>
      <c r="K581" s="45" t="str">
        <f ca="1">IF(AND(Registro!D580="Abierto",Registro!E580="Baja"),TODAY()-Registro!R580,"")</f>
        <v/>
      </c>
      <c r="L581" s="45" t="str">
        <f>IF(AND(Registro!D580="Abierto",Registro!E580="Baja"),RANK(K581,$K$9:$K$1000,0)+COUNTIF($K$9:K581,K581)-1+MAX(C$5:C$1000,F$5:F$1000,I$5:I$1000),"")</f>
        <v/>
      </c>
      <c r="M581" s="46" t="str">
        <f>IF(OR(Registro!D580="Resuelto",Registro!D580=""),"",SUM(C581,F581,I581,L581))</f>
        <v/>
      </c>
      <c r="N581" s="46" t="str">
        <f>IF(OR(Registro!D580="Resuelto",Registro!D580=""),"",SUM(B581,E581,H581,K581))</f>
        <v/>
      </c>
      <c r="O581" s="46" t="str">
        <f>IF(OR(Registro!D580="Resuelto",Registro!D580=""),"",_xlfn.CONCAT(A581,D581,G581,J581))</f>
        <v/>
      </c>
      <c r="P581" s="47">
        <v>573</v>
      </c>
      <c r="Q581" s="47" t="str">
        <f t="shared" ca="1" si="24"/>
        <v/>
      </c>
      <c r="R581" s="48" t="str">
        <f t="shared" ca="1" si="25"/>
        <v/>
      </c>
      <c r="S581" s="32"/>
      <c r="T581" s="32"/>
      <c r="U581" s="32"/>
      <c r="V581" s="32"/>
      <c r="W581" s="47" t="str">
        <f>IF(X581="","",MAX($W$5:W580)+1)</f>
        <v/>
      </c>
      <c r="X581" s="50" t="str">
        <f>IF(Registro!M580="","",IF(COUNTIF($X$8:X580,Registro!M580)=0,Registro!M580,""))</f>
        <v/>
      </c>
      <c r="Y581" s="50" t="str">
        <f t="shared" si="26"/>
        <v/>
      </c>
    </row>
    <row r="582" spans="1:25">
      <c r="A582" s="45" t="str">
        <f>IF(AND(Registro!D581="Abierto",Registro!E581="Urgente"),Registro!B581,"")</f>
        <v/>
      </c>
      <c r="B582" s="45" t="str">
        <f ca="1">IF(AND(Registro!D581="Abierto",Registro!E581="Urgente"),TODAY()-Registro!R581,"")</f>
        <v/>
      </c>
      <c r="C582" s="45" t="str">
        <f>IF(AND(Registro!D581="Abierto",Registro!E581="Urgente"),RANK(B582,$B$9:$B$1000,0)+COUNTIF($B$9:B582,B582)-1,"")</f>
        <v/>
      </c>
      <c r="D582" s="45" t="str">
        <f>IF(AND(Registro!D581="Abierto",Registro!E581="Alta"),Registro!B581,"")</f>
        <v/>
      </c>
      <c r="E582" s="45" t="str">
        <f ca="1">IF(AND(Registro!D581="Abierto",Registro!E581="Alta"),TODAY()-Registro!R581,"")</f>
        <v/>
      </c>
      <c r="F582" s="45" t="str">
        <f>IF(AND(Registro!D581="Abierto",Registro!E581="Alta"),RANK(E582,$E$9:$E$1000,0)+COUNTIF($E$9:E582,E582)-1+MAX(C$5:C$1000),"")</f>
        <v/>
      </c>
      <c r="G582" s="45" t="str">
        <f>IF(AND(Registro!D581="Abierto",Registro!E581="Media"),Registro!B581,"")</f>
        <v/>
      </c>
      <c r="H582" s="45" t="str">
        <f ca="1">IF(AND(Registro!D581="Abierto",Registro!E581="Media"),TODAY()-Registro!R581,"")</f>
        <v/>
      </c>
      <c r="I582" s="45" t="str">
        <f>IF(AND(Registro!D581="Abierto",Registro!E581="Media"),RANK(H582,$H$9:$H$1000,0)+COUNTIF($H$9:H582,H582)-1+MAX(C$5:C$1000,F$5:F$1000),"")</f>
        <v/>
      </c>
      <c r="J582" s="45" t="str">
        <f>IF(AND(Registro!D581="Abierto",Registro!E581="Baja"),Registro!B581,"")</f>
        <v/>
      </c>
      <c r="K582" s="45" t="str">
        <f ca="1">IF(AND(Registro!D581="Abierto",Registro!E581="Baja"),TODAY()-Registro!R581,"")</f>
        <v/>
      </c>
      <c r="L582" s="45" t="str">
        <f>IF(AND(Registro!D581="Abierto",Registro!E581="Baja"),RANK(K582,$K$9:$K$1000,0)+COUNTIF($K$9:K582,K582)-1+MAX(C$5:C$1000,F$5:F$1000,I$5:I$1000),"")</f>
        <v/>
      </c>
      <c r="M582" s="46" t="str">
        <f>IF(OR(Registro!D581="Resuelto",Registro!D581=""),"",SUM(C582,F582,I582,L582))</f>
        <v/>
      </c>
      <c r="N582" s="46" t="str">
        <f>IF(OR(Registro!D581="Resuelto",Registro!D581=""),"",SUM(B582,E582,H582,K582))</f>
        <v/>
      </c>
      <c r="O582" s="46" t="str">
        <f>IF(OR(Registro!D581="Resuelto",Registro!D581=""),"",_xlfn.CONCAT(A582,D582,G582,J582))</f>
        <v/>
      </c>
      <c r="P582" s="47">
        <v>574</v>
      </c>
      <c r="Q582" s="47" t="str">
        <f t="shared" ca="1" si="24"/>
        <v/>
      </c>
      <c r="R582" s="48" t="str">
        <f t="shared" ca="1" si="25"/>
        <v/>
      </c>
      <c r="S582" s="32"/>
      <c r="T582" s="32"/>
      <c r="U582" s="32"/>
      <c r="V582" s="32"/>
      <c r="W582" s="47" t="str">
        <f>IF(X582="","",MAX($W$5:W581)+1)</f>
        <v/>
      </c>
      <c r="X582" s="50" t="str">
        <f>IF(Registro!M581="","",IF(COUNTIF($X$8:X581,Registro!M581)=0,Registro!M581,""))</f>
        <v/>
      </c>
      <c r="Y582" s="50" t="str">
        <f t="shared" si="26"/>
        <v/>
      </c>
    </row>
    <row r="583" spans="1:25">
      <c r="A583" s="45" t="str">
        <f>IF(AND(Registro!D582="Abierto",Registro!E582="Urgente"),Registro!B582,"")</f>
        <v/>
      </c>
      <c r="B583" s="45" t="str">
        <f ca="1">IF(AND(Registro!D582="Abierto",Registro!E582="Urgente"),TODAY()-Registro!R582,"")</f>
        <v/>
      </c>
      <c r="C583" s="45" t="str">
        <f>IF(AND(Registro!D582="Abierto",Registro!E582="Urgente"),RANK(B583,$B$9:$B$1000,0)+COUNTIF($B$9:B583,B583)-1,"")</f>
        <v/>
      </c>
      <c r="D583" s="45" t="str">
        <f>IF(AND(Registro!D582="Abierto",Registro!E582="Alta"),Registro!B582,"")</f>
        <v/>
      </c>
      <c r="E583" s="45" t="str">
        <f ca="1">IF(AND(Registro!D582="Abierto",Registro!E582="Alta"),TODAY()-Registro!R582,"")</f>
        <v/>
      </c>
      <c r="F583" s="45" t="str">
        <f>IF(AND(Registro!D582="Abierto",Registro!E582="Alta"),RANK(E583,$E$9:$E$1000,0)+COUNTIF($E$9:E583,E583)-1+MAX(C$5:C$1000),"")</f>
        <v/>
      </c>
      <c r="G583" s="45" t="str">
        <f>IF(AND(Registro!D582="Abierto",Registro!E582="Media"),Registro!B582,"")</f>
        <v/>
      </c>
      <c r="H583" s="45" t="str">
        <f ca="1">IF(AND(Registro!D582="Abierto",Registro!E582="Media"),TODAY()-Registro!R582,"")</f>
        <v/>
      </c>
      <c r="I583" s="45" t="str">
        <f>IF(AND(Registro!D582="Abierto",Registro!E582="Media"),RANK(H583,$H$9:$H$1000,0)+COUNTIF($H$9:H583,H583)-1+MAX(C$5:C$1000,F$5:F$1000),"")</f>
        <v/>
      </c>
      <c r="J583" s="45" t="str">
        <f>IF(AND(Registro!D582="Abierto",Registro!E582="Baja"),Registro!B582,"")</f>
        <v/>
      </c>
      <c r="K583" s="45" t="str">
        <f ca="1">IF(AND(Registro!D582="Abierto",Registro!E582="Baja"),TODAY()-Registro!R582,"")</f>
        <v/>
      </c>
      <c r="L583" s="45" t="str">
        <f>IF(AND(Registro!D582="Abierto",Registro!E582="Baja"),RANK(K583,$K$9:$K$1000,0)+COUNTIF($K$9:K583,K583)-1+MAX(C$5:C$1000,F$5:F$1000,I$5:I$1000),"")</f>
        <v/>
      </c>
      <c r="M583" s="46" t="str">
        <f>IF(OR(Registro!D582="Resuelto",Registro!D582=""),"",SUM(C583,F583,I583,L583))</f>
        <v/>
      </c>
      <c r="N583" s="46" t="str">
        <f>IF(OR(Registro!D582="Resuelto",Registro!D582=""),"",SUM(B583,E583,H583,K583))</f>
        <v/>
      </c>
      <c r="O583" s="46" t="str">
        <f>IF(OR(Registro!D582="Resuelto",Registro!D582=""),"",_xlfn.CONCAT(A583,D583,G583,J583))</f>
        <v/>
      </c>
      <c r="P583" s="47">
        <v>575</v>
      </c>
      <c r="Q583" s="47" t="str">
        <f t="shared" ca="1" si="24"/>
        <v/>
      </c>
      <c r="R583" s="48" t="str">
        <f t="shared" ca="1" si="25"/>
        <v/>
      </c>
      <c r="S583" s="32"/>
      <c r="T583" s="32"/>
      <c r="U583" s="32"/>
      <c r="V583" s="32"/>
      <c r="W583" s="47" t="str">
        <f>IF(X583="","",MAX($W$5:W582)+1)</f>
        <v/>
      </c>
      <c r="X583" s="50" t="str">
        <f>IF(Registro!M582="","",IF(COUNTIF($X$8:X582,Registro!M582)=0,Registro!M582,""))</f>
        <v/>
      </c>
      <c r="Y583" s="50" t="str">
        <f t="shared" si="26"/>
        <v/>
      </c>
    </row>
    <row r="584" spans="1:25">
      <c r="A584" s="45" t="str">
        <f>IF(AND(Registro!D583="Abierto",Registro!E583="Urgente"),Registro!B583,"")</f>
        <v/>
      </c>
      <c r="B584" s="45" t="str">
        <f ca="1">IF(AND(Registro!D583="Abierto",Registro!E583="Urgente"),TODAY()-Registro!R583,"")</f>
        <v/>
      </c>
      <c r="C584" s="45" t="str">
        <f>IF(AND(Registro!D583="Abierto",Registro!E583="Urgente"),RANK(B584,$B$9:$B$1000,0)+COUNTIF($B$9:B584,B584)-1,"")</f>
        <v/>
      </c>
      <c r="D584" s="45" t="str">
        <f>IF(AND(Registro!D583="Abierto",Registro!E583="Alta"),Registro!B583,"")</f>
        <v/>
      </c>
      <c r="E584" s="45" t="str">
        <f ca="1">IF(AND(Registro!D583="Abierto",Registro!E583="Alta"),TODAY()-Registro!R583,"")</f>
        <v/>
      </c>
      <c r="F584" s="45" t="str">
        <f>IF(AND(Registro!D583="Abierto",Registro!E583="Alta"),RANK(E584,$E$9:$E$1000,0)+COUNTIF($E$9:E584,E584)-1+MAX(C$5:C$1000),"")</f>
        <v/>
      </c>
      <c r="G584" s="45" t="str">
        <f>IF(AND(Registro!D583="Abierto",Registro!E583="Media"),Registro!B583,"")</f>
        <v/>
      </c>
      <c r="H584" s="45" t="str">
        <f ca="1">IF(AND(Registro!D583="Abierto",Registro!E583="Media"),TODAY()-Registro!R583,"")</f>
        <v/>
      </c>
      <c r="I584" s="45" t="str">
        <f>IF(AND(Registro!D583="Abierto",Registro!E583="Media"),RANK(H584,$H$9:$H$1000,0)+COUNTIF($H$9:H584,H584)-1+MAX(C$5:C$1000,F$5:F$1000),"")</f>
        <v/>
      </c>
      <c r="J584" s="45" t="str">
        <f>IF(AND(Registro!D583="Abierto",Registro!E583="Baja"),Registro!B583,"")</f>
        <v/>
      </c>
      <c r="K584" s="45" t="str">
        <f ca="1">IF(AND(Registro!D583="Abierto",Registro!E583="Baja"),TODAY()-Registro!R583,"")</f>
        <v/>
      </c>
      <c r="L584" s="45" t="str">
        <f>IF(AND(Registro!D583="Abierto",Registro!E583="Baja"),RANK(K584,$K$9:$K$1000,0)+COUNTIF($K$9:K584,K584)-1+MAX(C$5:C$1000,F$5:F$1000,I$5:I$1000),"")</f>
        <v/>
      </c>
      <c r="M584" s="46" t="str">
        <f>IF(OR(Registro!D583="Resuelto",Registro!D583=""),"",SUM(C584,F584,I584,L584))</f>
        <v/>
      </c>
      <c r="N584" s="46" t="str">
        <f>IF(OR(Registro!D583="Resuelto",Registro!D583=""),"",SUM(B584,E584,H584,K584))</f>
        <v/>
      </c>
      <c r="O584" s="46" t="str">
        <f>IF(OR(Registro!D583="Resuelto",Registro!D583=""),"",_xlfn.CONCAT(A584,D584,G584,J584))</f>
        <v/>
      </c>
      <c r="P584" s="47">
        <v>576</v>
      </c>
      <c r="Q584" s="47" t="str">
        <f t="shared" ca="1" si="24"/>
        <v/>
      </c>
      <c r="R584" s="48" t="str">
        <f t="shared" ca="1" si="25"/>
        <v/>
      </c>
      <c r="S584" s="32"/>
      <c r="T584" s="32"/>
      <c r="U584" s="32"/>
      <c r="V584" s="32"/>
      <c r="W584" s="47" t="str">
        <f>IF(X584="","",MAX($W$5:W583)+1)</f>
        <v/>
      </c>
      <c r="X584" s="50" t="str">
        <f>IF(Registro!M583="","",IF(COUNTIF($X$8:X583,Registro!M583)=0,Registro!M583,""))</f>
        <v/>
      </c>
      <c r="Y584" s="50" t="str">
        <f t="shared" si="26"/>
        <v/>
      </c>
    </row>
    <row r="585" spans="1:25">
      <c r="A585" s="45" t="str">
        <f>IF(AND(Registro!D584="Abierto",Registro!E584="Urgente"),Registro!B584,"")</f>
        <v/>
      </c>
      <c r="B585" s="45" t="str">
        <f ca="1">IF(AND(Registro!D584="Abierto",Registro!E584="Urgente"),TODAY()-Registro!R584,"")</f>
        <v/>
      </c>
      <c r="C585" s="45" t="str">
        <f>IF(AND(Registro!D584="Abierto",Registro!E584="Urgente"),RANK(B585,$B$9:$B$1000,0)+COUNTIF($B$9:B585,B585)-1,"")</f>
        <v/>
      </c>
      <c r="D585" s="45" t="str">
        <f>IF(AND(Registro!D584="Abierto",Registro!E584="Alta"),Registro!B584,"")</f>
        <v/>
      </c>
      <c r="E585" s="45" t="str">
        <f ca="1">IF(AND(Registro!D584="Abierto",Registro!E584="Alta"),TODAY()-Registro!R584,"")</f>
        <v/>
      </c>
      <c r="F585" s="45" t="str">
        <f>IF(AND(Registro!D584="Abierto",Registro!E584="Alta"),RANK(E585,$E$9:$E$1000,0)+COUNTIF($E$9:E585,E585)-1+MAX(C$5:C$1000),"")</f>
        <v/>
      </c>
      <c r="G585" s="45" t="str">
        <f>IF(AND(Registro!D584="Abierto",Registro!E584="Media"),Registro!B584,"")</f>
        <v/>
      </c>
      <c r="H585" s="45" t="str">
        <f ca="1">IF(AND(Registro!D584="Abierto",Registro!E584="Media"),TODAY()-Registro!R584,"")</f>
        <v/>
      </c>
      <c r="I585" s="45" t="str">
        <f>IF(AND(Registro!D584="Abierto",Registro!E584="Media"),RANK(H585,$H$9:$H$1000,0)+COUNTIF($H$9:H585,H585)-1+MAX(C$5:C$1000,F$5:F$1000),"")</f>
        <v/>
      </c>
      <c r="J585" s="45" t="str">
        <f>IF(AND(Registro!D584="Abierto",Registro!E584="Baja"),Registro!B584,"")</f>
        <v/>
      </c>
      <c r="K585" s="45" t="str">
        <f ca="1">IF(AND(Registro!D584="Abierto",Registro!E584="Baja"),TODAY()-Registro!R584,"")</f>
        <v/>
      </c>
      <c r="L585" s="45" t="str">
        <f>IF(AND(Registro!D584="Abierto",Registro!E584="Baja"),RANK(K585,$K$9:$K$1000,0)+COUNTIF($K$9:K585,K585)-1+MAX(C$5:C$1000,F$5:F$1000,I$5:I$1000),"")</f>
        <v/>
      </c>
      <c r="M585" s="46" t="str">
        <f>IF(OR(Registro!D584="Resuelto",Registro!D584=""),"",SUM(C585,F585,I585,L585))</f>
        <v/>
      </c>
      <c r="N585" s="46" t="str">
        <f>IF(OR(Registro!D584="Resuelto",Registro!D584=""),"",SUM(B585,E585,H585,K585))</f>
        <v/>
      </c>
      <c r="O585" s="46" t="str">
        <f>IF(OR(Registro!D584="Resuelto",Registro!D584=""),"",_xlfn.CONCAT(A585,D585,G585,J585))</f>
        <v/>
      </c>
      <c r="P585" s="47">
        <v>577</v>
      </c>
      <c r="Q585" s="47" t="str">
        <f t="shared" ref="Q585:Q648" ca="1" si="27">IF(ISNA(VLOOKUP(P585,$M$9:$O$1000,3,FALSE))=TRUE,"",VLOOKUP(P585,$M$9:$O$1000,3,FALSE))</f>
        <v/>
      </c>
      <c r="R585" s="48" t="str">
        <f t="shared" ref="R585:R648" ca="1" si="28">IF(ISNA(VLOOKUP(P585,$M$9:$O$1000,2,FALSE))=TRUE,"",VLOOKUP(P585,$M$9:$O$1000,2,FALSE))</f>
        <v/>
      </c>
      <c r="S585" s="32"/>
      <c r="T585" s="32"/>
      <c r="U585" s="32"/>
      <c r="V585" s="32"/>
      <c r="W585" s="47" t="str">
        <f>IF(X585="","",MAX($W$5:W584)+1)</f>
        <v/>
      </c>
      <c r="X585" s="50" t="str">
        <f>IF(Registro!M584="","",IF(COUNTIF($X$8:X584,Registro!M584)=0,Registro!M584,""))</f>
        <v/>
      </c>
      <c r="Y585" s="50" t="str">
        <f t="shared" ref="Y585:Y648" si="29">IF(ISNA(VLOOKUP(P585,$W$9:$X$1000,2,FALSE))=TRUE,"",VLOOKUP(P585,$W$9:$X$1000,2,FALSE))</f>
        <v/>
      </c>
    </row>
    <row r="586" spans="1:25">
      <c r="A586" s="45" t="str">
        <f>IF(AND(Registro!D585="Abierto",Registro!E585="Urgente"),Registro!B585,"")</f>
        <v/>
      </c>
      <c r="B586" s="45" t="str">
        <f ca="1">IF(AND(Registro!D585="Abierto",Registro!E585="Urgente"),TODAY()-Registro!R585,"")</f>
        <v/>
      </c>
      <c r="C586" s="45" t="str">
        <f>IF(AND(Registro!D585="Abierto",Registro!E585="Urgente"),RANK(B586,$B$9:$B$1000,0)+COUNTIF($B$9:B586,B586)-1,"")</f>
        <v/>
      </c>
      <c r="D586" s="45" t="str">
        <f>IF(AND(Registro!D585="Abierto",Registro!E585="Alta"),Registro!B585,"")</f>
        <v/>
      </c>
      <c r="E586" s="45" t="str">
        <f ca="1">IF(AND(Registro!D585="Abierto",Registro!E585="Alta"),TODAY()-Registro!R585,"")</f>
        <v/>
      </c>
      <c r="F586" s="45" t="str">
        <f>IF(AND(Registro!D585="Abierto",Registro!E585="Alta"),RANK(E586,$E$9:$E$1000,0)+COUNTIF($E$9:E586,E586)-1+MAX(C$5:C$1000),"")</f>
        <v/>
      </c>
      <c r="G586" s="45" t="str">
        <f>IF(AND(Registro!D585="Abierto",Registro!E585="Media"),Registro!B585,"")</f>
        <v/>
      </c>
      <c r="H586" s="45" t="str">
        <f ca="1">IF(AND(Registro!D585="Abierto",Registro!E585="Media"),TODAY()-Registro!R585,"")</f>
        <v/>
      </c>
      <c r="I586" s="45" t="str">
        <f>IF(AND(Registro!D585="Abierto",Registro!E585="Media"),RANK(H586,$H$9:$H$1000,0)+COUNTIF($H$9:H586,H586)-1+MAX(C$5:C$1000,F$5:F$1000),"")</f>
        <v/>
      </c>
      <c r="J586" s="45" t="str">
        <f>IF(AND(Registro!D585="Abierto",Registro!E585="Baja"),Registro!B585,"")</f>
        <v/>
      </c>
      <c r="K586" s="45" t="str">
        <f ca="1">IF(AND(Registro!D585="Abierto",Registro!E585="Baja"),TODAY()-Registro!R585,"")</f>
        <v/>
      </c>
      <c r="L586" s="45" t="str">
        <f>IF(AND(Registro!D585="Abierto",Registro!E585="Baja"),RANK(K586,$K$9:$K$1000,0)+COUNTIF($K$9:K586,K586)-1+MAX(C$5:C$1000,F$5:F$1000,I$5:I$1000),"")</f>
        <v/>
      </c>
      <c r="M586" s="46" t="str">
        <f>IF(OR(Registro!D585="Resuelto",Registro!D585=""),"",SUM(C586,F586,I586,L586))</f>
        <v/>
      </c>
      <c r="N586" s="46" t="str">
        <f>IF(OR(Registro!D585="Resuelto",Registro!D585=""),"",SUM(B586,E586,H586,K586))</f>
        <v/>
      </c>
      <c r="O586" s="46" t="str">
        <f>IF(OR(Registro!D585="Resuelto",Registro!D585=""),"",_xlfn.CONCAT(A586,D586,G586,J586))</f>
        <v/>
      </c>
      <c r="P586" s="47">
        <v>578</v>
      </c>
      <c r="Q586" s="47" t="str">
        <f t="shared" ca="1" si="27"/>
        <v/>
      </c>
      <c r="R586" s="48" t="str">
        <f t="shared" ca="1" si="28"/>
        <v/>
      </c>
      <c r="S586" s="32"/>
      <c r="T586" s="32"/>
      <c r="U586" s="32"/>
      <c r="V586" s="32"/>
      <c r="W586" s="47" t="str">
        <f>IF(X586="","",MAX($W$5:W585)+1)</f>
        <v/>
      </c>
      <c r="X586" s="50" t="str">
        <f>IF(Registro!M585="","",IF(COUNTIF($X$8:X585,Registro!M585)=0,Registro!M585,""))</f>
        <v/>
      </c>
      <c r="Y586" s="50" t="str">
        <f t="shared" si="29"/>
        <v/>
      </c>
    </row>
    <row r="587" spans="1:25">
      <c r="A587" s="45" t="str">
        <f>IF(AND(Registro!D586="Abierto",Registro!E586="Urgente"),Registro!B586,"")</f>
        <v/>
      </c>
      <c r="B587" s="45" t="str">
        <f ca="1">IF(AND(Registro!D586="Abierto",Registro!E586="Urgente"),TODAY()-Registro!R586,"")</f>
        <v/>
      </c>
      <c r="C587" s="45" t="str">
        <f>IF(AND(Registro!D586="Abierto",Registro!E586="Urgente"),RANK(B587,$B$9:$B$1000,0)+COUNTIF($B$9:B587,B587)-1,"")</f>
        <v/>
      </c>
      <c r="D587" s="45" t="str">
        <f>IF(AND(Registro!D586="Abierto",Registro!E586="Alta"),Registro!B586,"")</f>
        <v/>
      </c>
      <c r="E587" s="45" t="str">
        <f ca="1">IF(AND(Registro!D586="Abierto",Registro!E586="Alta"),TODAY()-Registro!R586,"")</f>
        <v/>
      </c>
      <c r="F587" s="45" t="str">
        <f>IF(AND(Registro!D586="Abierto",Registro!E586="Alta"),RANK(E587,$E$9:$E$1000,0)+COUNTIF($E$9:E587,E587)-1+MAX(C$5:C$1000),"")</f>
        <v/>
      </c>
      <c r="G587" s="45" t="str">
        <f>IF(AND(Registro!D586="Abierto",Registro!E586="Media"),Registro!B586,"")</f>
        <v/>
      </c>
      <c r="H587" s="45" t="str">
        <f ca="1">IF(AND(Registro!D586="Abierto",Registro!E586="Media"),TODAY()-Registro!R586,"")</f>
        <v/>
      </c>
      <c r="I587" s="45" t="str">
        <f>IF(AND(Registro!D586="Abierto",Registro!E586="Media"),RANK(H587,$H$9:$H$1000,0)+COUNTIF($H$9:H587,H587)-1+MAX(C$5:C$1000,F$5:F$1000),"")</f>
        <v/>
      </c>
      <c r="J587" s="45" t="str">
        <f>IF(AND(Registro!D586="Abierto",Registro!E586="Baja"),Registro!B586,"")</f>
        <v/>
      </c>
      <c r="K587" s="45" t="str">
        <f ca="1">IF(AND(Registro!D586="Abierto",Registro!E586="Baja"),TODAY()-Registro!R586,"")</f>
        <v/>
      </c>
      <c r="L587" s="45" t="str">
        <f>IF(AND(Registro!D586="Abierto",Registro!E586="Baja"),RANK(K587,$K$9:$K$1000,0)+COUNTIF($K$9:K587,K587)-1+MAX(C$5:C$1000,F$5:F$1000,I$5:I$1000),"")</f>
        <v/>
      </c>
      <c r="M587" s="46" t="str">
        <f>IF(OR(Registro!D586="Resuelto",Registro!D586=""),"",SUM(C587,F587,I587,L587))</f>
        <v/>
      </c>
      <c r="N587" s="46" t="str">
        <f>IF(OR(Registro!D586="Resuelto",Registro!D586=""),"",SUM(B587,E587,H587,K587))</f>
        <v/>
      </c>
      <c r="O587" s="46" t="str">
        <f>IF(OR(Registro!D586="Resuelto",Registro!D586=""),"",_xlfn.CONCAT(A587,D587,G587,J587))</f>
        <v/>
      </c>
      <c r="P587" s="47">
        <v>579</v>
      </c>
      <c r="Q587" s="47" t="str">
        <f t="shared" ca="1" si="27"/>
        <v/>
      </c>
      <c r="R587" s="48" t="str">
        <f t="shared" ca="1" si="28"/>
        <v/>
      </c>
      <c r="S587" s="32"/>
      <c r="T587" s="32"/>
      <c r="U587" s="32"/>
      <c r="V587" s="32"/>
      <c r="W587" s="47" t="str">
        <f>IF(X587="","",MAX($W$5:W586)+1)</f>
        <v/>
      </c>
      <c r="X587" s="50" t="str">
        <f>IF(Registro!M586="","",IF(COUNTIF($X$8:X586,Registro!M586)=0,Registro!M586,""))</f>
        <v/>
      </c>
      <c r="Y587" s="50" t="str">
        <f t="shared" si="29"/>
        <v/>
      </c>
    </row>
    <row r="588" spans="1:25">
      <c r="A588" s="45" t="str">
        <f>IF(AND(Registro!D587="Abierto",Registro!E587="Urgente"),Registro!B587,"")</f>
        <v/>
      </c>
      <c r="B588" s="45" t="str">
        <f ca="1">IF(AND(Registro!D587="Abierto",Registro!E587="Urgente"),TODAY()-Registro!R587,"")</f>
        <v/>
      </c>
      <c r="C588" s="45" t="str">
        <f>IF(AND(Registro!D587="Abierto",Registro!E587="Urgente"),RANK(B588,$B$9:$B$1000,0)+COUNTIF($B$9:B588,B588)-1,"")</f>
        <v/>
      </c>
      <c r="D588" s="45" t="str">
        <f>IF(AND(Registro!D587="Abierto",Registro!E587="Alta"),Registro!B587,"")</f>
        <v/>
      </c>
      <c r="E588" s="45" t="str">
        <f ca="1">IF(AND(Registro!D587="Abierto",Registro!E587="Alta"),TODAY()-Registro!R587,"")</f>
        <v/>
      </c>
      <c r="F588" s="45" t="str">
        <f>IF(AND(Registro!D587="Abierto",Registro!E587="Alta"),RANK(E588,$E$9:$E$1000,0)+COUNTIF($E$9:E588,E588)-1+MAX(C$5:C$1000),"")</f>
        <v/>
      </c>
      <c r="G588" s="45" t="str">
        <f>IF(AND(Registro!D587="Abierto",Registro!E587="Media"),Registro!B587,"")</f>
        <v/>
      </c>
      <c r="H588" s="45" t="str">
        <f ca="1">IF(AND(Registro!D587="Abierto",Registro!E587="Media"),TODAY()-Registro!R587,"")</f>
        <v/>
      </c>
      <c r="I588" s="45" t="str">
        <f>IF(AND(Registro!D587="Abierto",Registro!E587="Media"),RANK(H588,$H$9:$H$1000,0)+COUNTIF($H$9:H588,H588)-1+MAX(C$5:C$1000,F$5:F$1000),"")</f>
        <v/>
      </c>
      <c r="J588" s="45" t="str">
        <f>IF(AND(Registro!D587="Abierto",Registro!E587="Baja"),Registro!B587,"")</f>
        <v/>
      </c>
      <c r="K588" s="45" t="str">
        <f ca="1">IF(AND(Registro!D587="Abierto",Registro!E587="Baja"),TODAY()-Registro!R587,"")</f>
        <v/>
      </c>
      <c r="L588" s="45" t="str">
        <f>IF(AND(Registro!D587="Abierto",Registro!E587="Baja"),RANK(K588,$K$9:$K$1000,0)+COUNTIF($K$9:K588,K588)-1+MAX(C$5:C$1000,F$5:F$1000,I$5:I$1000),"")</f>
        <v/>
      </c>
      <c r="M588" s="46" t="str">
        <f>IF(OR(Registro!D587="Resuelto",Registro!D587=""),"",SUM(C588,F588,I588,L588))</f>
        <v/>
      </c>
      <c r="N588" s="46" t="str">
        <f>IF(OR(Registro!D587="Resuelto",Registro!D587=""),"",SUM(B588,E588,H588,K588))</f>
        <v/>
      </c>
      <c r="O588" s="46" t="str">
        <f>IF(OR(Registro!D587="Resuelto",Registro!D587=""),"",_xlfn.CONCAT(A588,D588,G588,J588))</f>
        <v/>
      </c>
      <c r="P588" s="47">
        <v>580</v>
      </c>
      <c r="Q588" s="47" t="str">
        <f t="shared" ca="1" si="27"/>
        <v/>
      </c>
      <c r="R588" s="48" t="str">
        <f t="shared" ca="1" si="28"/>
        <v/>
      </c>
      <c r="S588" s="32"/>
      <c r="T588" s="32"/>
      <c r="U588" s="32"/>
      <c r="V588" s="32"/>
      <c r="W588" s="47" t="str">
        <f>IF(X588="","",MAX($W$5:W587)+1)</f>
        <v/>
      </c>
      <c r="X588" s="50" t="str">
        <f>IF(Registro!M587="","",IF(COUNTIF($X$8:X587,Registro!M587)=0,Registro!M587,""))</f>
        <v/>
      </c>
      <c r="Y588" s="50" t="str">
        <f t="shared" si="29"/>
        <v/>
      </c>
    </row>
    <row r="589" spans="1:25">
      <c r="A589" s="45" t="str">
        <f>IF(AND(Registro!D588="Abierto",Registro!E588="Urgente"),Registro!B588,"")</f>
        <v/>
      </c>
      <c r="B589" s="45" t="str">
        <f ca="1">IF(AND(Registro!D588="Abierto",Registro!E588="Urgente"),TODAY()-Registro!R588,"")</f>
        <v/>
      </c>
      <c r="C589" s="45" t="str">
        <f>IF(AND(Registro!D588="Abierto",Registro!E588="Urgente"),RANK(B589,$B$9:$B$1000,0)+COUNTIF($B$9:B589,B589)-1,"")</f>
        <v/>
      </c>
      <c r="D589" s="45" t="str">
        <f>IF(AND(Registro!D588="Abierto",Registro!E588="Alta"),Registro!B588,"")</f>
        <v/>
      </c>
      <c r="E589" s="45" t="str">
        <f ca="1">IF(AND(Registro!D588="Abierto",Registro!E588="Alta"),TODAY()-Registro!R588,"")</f>
        <v/>
      </c>
      <c r="F589" s="45" t="str">
        <f>IF(AND(Registro!D588="Abierto",Registro!E588="Alta"),RANK(E589,$E$9:$E$1000,0)+COUNTIF($E$9:E589,E589)-1+MAX(C$5:C$1000),"")</f>
        <v/>
      </c>
      <c r="G589" s="45" t="str">
        <f>IF(AND(Registro!D588="Abierto",Registro!E588="Media"),Registro!B588,"")</f>
        <v/>
      </c>
      <c r="H589" s="45" t="str">
        <f ca="1">IF(AND(Registro!D588="Abierto",Registro!E588="Media"),TODAY()-Registro!R588,"")</f>
        <v/>
      </c>
      <c r="I589" s="45" t="str">
        <f>IF(AND(Registro!D588="Abierto",Registro!E588="Media"),RANK(H589,$H$9:$H$1000,0)+COUNTIF($H$9:H589,H589)-1+MAX(C$5:C$1000,F$5:F$1000),"")</f>
        <v/>
      </c>
      <c r="J589" s="45" t="str">
        <f>IF(AND(Registro!D588="Abierto",Registro!E588="Baja"),Registro!B588,"")</f>
        <v/>
      </c>
      <c r="K589" s="45" t="str">
        <f ca="1">IF(AND(Registro!D588="Abierto",Registro!E588="Baja"),TODAY()-Registro!R588,"")</f>
        <v/>
      </c>
      <c r="L589" s="45" t="str">
        <f>IF(AND(Registro!D588="Abierto",Registro!E588="Baja"),RANK(K589,$K$9:$K$1000,0)+COUNTIF($K$9:K589,K589)-1+MAX(C$5:C$1000,F$5:F$1000,I$5:I$1000),"")</f>
        <v/>
      </c>
      <c r="M589" s="46" t="str">
        <f>IF(OR(Registro!D588="Resuelto",Registro!D588=""),"",SUM(C589,F589,I589,L589))</f>
        <v/>
      </c>
      <c r="N589" s="46" t="str">
        <f>IF(OR(Registro!D588="Resuelto",Registro!D588=""),"",SUM(B589,E589,H589,K589))</f>
        <v/>
      </c>
      <c r="O589" s="46" t="str">
        <f>IF(OR(Registro!D588="Resuelto",Registro!D588=""),"",_xlfn.CONCAT(A589,D589,G589,J589))</f>
        <v/>
      </c>
      <c r="P589" s="47">
        <v>581</v>
      </c>
      <c r="Q589" s="47" t="str">
        <f t="shared" ca="1" si="27"/>
        <v/>
      </c>
      <c r="R589" s="48" t="str">
        <f t="shared" ca="1" si="28"/>
        <v/>
      </c>
      <c r="S589" s="32"/>
      <c r="T589" s="32"/>
      <c r="U589" s="32"/>
      <c r="V589" s="32"/>
      <c r="W589" s="47" t="str">
        <f>IF(X589="","",MAX($W$5:W588)+1)</f>
        <v/>
      </c>
      <c r="X589" s="50" t="str">
        <f>IF(Registro!M588="","",IF(COUNTIF($X$8:X588,Registro!M588)=0,Registro!M588,""))</f>
        <v/>
      </c>
      <c r="Y589" s="50" t="str">
        <f t="shared" si="29"/>
        <v/>
      </c>
    </row>
    <row r="590" spans="1:25">
      <c r="A590" s="45" t="str">
        <f>IF(AND(Registro!D589="Abierto",Registro!E589="Urgente"),Registro!B589,"")</f>
        <v/>
      </c>
      <c r="B590" s="45" t="str">
        <f ca="1">IF(AND(Registro!D589="Abierto",Registro!E589="Urgente"),TODAY()-Registro!R589,"")</f>
        <v/>
      </c>
      <c r="C590" s="45" t="str">
        <f>IF(AND(Registro!D589="Abierto",Registro!E589="Urgente"),RANK(B590,$B$9:$B$1000,0)+COUNTIF($B$9:B590,B590)-1,"")</f>
        <v/>
      </c>
      <c r="D590" s="45" t="str">
        <f>IF(AND(Registro!D589="Abierto",Registro!E589="Alta"),Registro!B589,"")</f>
        <v/>
      </c>
      <c r="E590" s="45" t="str">
        <f ca="1">IF(AND(Registro!D589="Abierto",Registro!E589="Alta"),TODAY()-Registro!R589,"")</f>
        <v/>
      </c>
      <c r="F590" s="45" t="str">
        <f>IF(AND(Registro!D589="Abierto",Registro!E589="Alta"),RANK(E590,$E$9:$E$1000,0)+COUNTIF($E$9:E590,E590)-1+MAX(C$5:C$1000),"")</f>
        <v/>
      </c>
      <c r="G590" s="45" t="str">
        <f>IF(AND(Registro!D589="Abierto",Registro!E589="Media"),Registro!B589,"")</f>
        <v/>
      </c>
      <c r="H590" s="45" t="str">
        <f ca="1">IF(AND(Registro!D589="Abierto",Registro!E589="Media"),TODAY()-Registro!R589,"")</f>
        <v/>
      </c>
      <c r="I590" s="45" t="str">
        <f>IF(AND(Registro!D589="Abierto",Registro!E589="Media"),RANK(H590,$H$9:$H$1000,0)+COUNTIF($H$9:H590,H590)-1+MAX(C$5:C$1000,F$5:F$1000),"")</f>
        <v/>
      </c>
      <c r="J590" s="45" t="str">
        <f>IF(AND(Registro!D589="Abierto",Registro!E589="Baja"),Registro!B589,"")</f>
        <v/>
      </c>
      <c r="K590" s="45" t="str">
        <f ca="1">IF(AND(Registro!D589="Abierto",Registro!E589="Baja"),TODAY()-Registro!R589,"")</f>
        <v/>
      </c>
      <c r="L590" s="45" t="str">
        <f>IF(AND(Registro!D589="Abierto",Registro!E589="Baja"),RANK(K590,$K$9:$K$1000,0)+COUNTIF($K$9:K590,K590)-1+MAX(C$5:C$1000,F$5:F$1000,I$5:I$1000),"")</f>
        <v/>
      </c>
      <c r="M590" s="46" t="str">
        <f>IF(OR(Registro!D589="Resuelto",Registro!D589=""),"",SUM(C590,F590,I590,L590))</f>
        <v/>
      </c>
      <c r="N590" s="46" t="str">
        <f>IF(OR(Registro!D589="Resuelto",Registro!D589=""),"",SUM(B590,E590,H590,K590))</f>
        <v/>
      </c>
      <c r="O590" s="46" t="str">
        <f>IF(OR(Registro!D589="Resuelto",Registro!D589=""),"",_xlfn.CONCAT(A590,D590,G590,J590))</f>
        <v/>
      </c>
      <c r="P590" s="47">
        <v>582</v>
      </c>
      <c r="Q590" s="47" t="str">
        <f t="shared" ca="1" si="27"/>
        <v/>
      </c>
      <c r="R590" s="48" t="str">
        <f t="shared" ca="1" si="28"/>
        <v/>
      </c>
      <c r="S590" s="32"/>
      <c r="T590" s="32"/>
      <c r="U590" s="32"/>
      <c r="V590" s="32"/>
      <c r="W590" s="47" t="str">
        <f>IF(X590="","",MAX($W$5:W589)+1)</f>
        <v/>
      </c>
      <c r="X590" s="50" t="str">
        <f>IF(Registro!M589="","",IF(COUNTIF($X$8:X589,Registro!M589)=0,Registro!M589,""))</f>
        <v/>
      </c>
      <c r="Y590" s="50" t="str">
        <f t="shared" si="29"/>
        <v/>
      </c>
    </row>
    <row r="591" spans="1:25">
      <c r="A591" s="45" t="str">
        <f>IF(AND(Registro!D590="Abierto",Registro!E590="Urgente"),Registro!B590,"")</f>
        <v/>
      </c>
      <c r="B591" s="45" t="str">
        <f ca="1">IF(AND(Registro!D590="Abierto",Registro!E590="Urgente"),TODAY()-Registro!R590,"")</f>
        <v/>
      </c>
      <c r="C591" s="45" t="str">
        <f>IF(AND(Registro!D590="Abierto",Registro!E590="Urgente"),RANK(B591,$B$9:$B$1000,0)+COUNTIF($B$9:B591,B591)-1,"")</f>
        <v/>
      </c>
      <c r="D591" s="45" t="str">
        <f>IF(AND(Registro!D590="Abierto",Registro!E590="Alta"),Registro!B590,"")</f>
        <v/>
      </c>
      <c r="E591" s="45" t="str">
        <f ca="1">IF(AND(Registro!D590="Abierto",Registro!E590="Alta"),TODAY()-Registro!R590,"")</f>
        <v/>
      </c>
      <c r="F591" s="45" t="str">
        <f>IF(AND(Registro!D590="Abierto",Registro!E590="Alta"),RANK(E591,$E$9:$E$1000,0)+COUNTIF($E$9:E591,E591)-1+MAX(C$5:C$1000),"")</f>
        <v/>
      </c>
      <c r="G591" s="45" t="str">
        <f>IF(AND(Registro!D590="Abierto",Registro!E590="Media"),Registro!B590,"")</f>
        <v/>
      </c>
      <c r="H591" s="45" t="str">
        <f ca="1">IF(AND(Registro!D590="Abierto",Registro!E590="Media"),TODAY()-Registro!R590,"")</f>
        <v/>
      </c>
      <c r="I591" s="45" t="str">
        <f>IF(AND(Registro!D590="Abierto",Registro!E590="Media"),RANK(H591,$H$9:$H$1000,0)+COUNTIF($H$9:H591,H591)-1+MAX(C$5:C$1000,F$5:F$1000),"")</f>
        <v/>
      </c>
      <c r="J591" s="45" t="str">
        <f>IF(AND(Registro!D590="Abierto",Registro!E590="Baja"),Registro!B590,"")</f>
        <v/>
      </c>
      <c r="K591" s="45" t="str">
        <f ca="1">IF(AND(Registro!D590="Abierto",Registro!E590="Baja"),TODAY()-Registro!R590,"")</f>
        <v/>
      </c>
      <c r="L591" s="45" t="str">
        <f>IF(AND(Registro!D590="Abierto",Registro!E590="Baja"),RANK(K591,$K$9:$K$1000,0)+COUNTIF($K$9:K591,K591)-1+MAX(C$5:C$1000,F$5:F$1000,I$5:I$1000),"")</f>
        <v/>
      </c>
      <c r="M591" s="46" t="str">
        <f>IF(OR(Registro!D590="Resuelto",Registro!D590=""),"",SUM(C591,F591,I591,L591))</f>
        <v/>
      </c>
      <c r="N591" s="46" t="str">
        <f>IF(OR(Registro!D590="Resuelto",Registro!D590=""),"",SUM(B591,E591,H591,K591))</f>
        <v/>
      </c>
      <c r="O591" s="46" t="str">
        <f>IF(OR(Registro!D590="Resuelto",Registro!D590=""),"",_xlfn.CONCAT(A591,D591,G591,J591))</f>
        <v/>
      </c>
      <c r="P591" s="47">
        <v>583</v>
      </c>
      <c r="Q591" s="47" t="str">
        <f t="shared" ca="1" si="27"/>
        <v/>
      </c>
      <c r="R591" s="48" t="str">
        <f t="shared" ca="1" si="28"/>
        <v/>
      </c>
      <c r="S591" s="32"/>
      <c r="T591" s="32"/>
      <c r="U591" s="32"/>
      <c r="V591" s="32"/>
      <c r="W591" s="47" t="str">
        <f>IF(X591="","",MAX($W$5:W590)+1)</f>
        <v/>
      </c>
      <c r="X591" s="50" t="str">
        <f>IF(Registro!M590="","",IF(COUNTIF($X$8:X590,Registro!M590)=0,Registro!M590,""))</f>
        <v/>
      </c>
      <c r="Y591" s="50" t="str">
        <f t="shared" si="29"/>
        <v/>
      </c>
    </row>
    <row r="592" spans="1:25">
      <c r="A592" s="45" t="str">
        <f>IF(AND(Registro!D591="Abierto",Registro!E591="Urgente"),Registro!B591,"")</f>
        <v/>
      </c>
      <c r="B592" s="45" t="str">
        <f ca="1">IF(AND(Registro!D591="Abierto",Registro!E591="Urgente"),TODAY()-Registro!R591,"")</f>
        <v/>
      </c>
      <c r="C592" s="45" t="str">
        <f>IF(AND(Registro!D591="Abierto",Registro!E591="Urgente"),RANK(B592,$B$9:$B$1000,0)+COUNTIF($B$9:B592,B592)-1,"")</f>
        <v/>
      </c>
      <c r="D592" s="45" t="str">
        <f>IF(AND(Registro!D591="Abierto",Registro!E591="Alta"),Registro!B591,"")</f>
        <v/>
      </c>
      <c r="E592" s="45" t="str">
        <f ca="1">IF(AND(Registro!D591="Abierto",Registro!E591="Alta"),TODAY()-Registro!R591,"")</f>
        <v/>
      </c>
      <c r="F592" s="45" t="str">
        <f>IF(AND(Registro!D591="Abierto",Registro!E591="Alta"),RANK(E592,$E$9:$E$1000,0)+COUNTIF($E$9:E592,E592)-1+MAX(C$5:C$1000),"")</f>
        <v/>
      </c>
      <c r="G592" s="45" t="str">
        <f>IF(AND(Registro!D591="Abierto",Registro!E591="Media"),Registro!B591,"")</f>
        <v/>
      </c>
      <c r="H592" s="45" t="str">
        <f ca="1">IF(AND(Registro!D591="Abierto",Registro!E591="Media"),TODAY()-Registro!R591,"")</f>
        <v/>
      </c>
      <c r="I592" s="45" t="str">
        <f>IF(AND(Registro!D591="Abierto",Registro!E591="Media"),RANK(H592,$H$9:$H$1000,0)+COUNTIF($H$9:H592,H592)-1+MAX(C$5:C$1000,F$5:F$1000),"")</f>
        <v/>
      </c>
      <c r="J592" s="45" t="str">
        <f>IF(AND(Registro!D591="Abierto",Registro!E591="Baja"),Registro!B591,"")</f>
        <v/>
      </c>
      <c r="K592" s="45" t="str">
        <f ca="1">IF(AND(Registro!D591="Abierto",Registro!E591="Baja"),TODAY()-Registro!R591,"")</f>
        <v/>
      </c>
      <c r="L592" s="45" t="str">
        <f>IF(AND(Registro!D591="Abierto",Registro!E591="Baja"),RANK(K592,$K$9:$K$1000,0)+COUNTIF($K$9:K592,K592)-1+MAX(C$5:C$1000,F$5:F$1000,I$5:I$1000),"")</f>
        <v/>
      </c>
      <c r="M592" s="46" t="str">
        <f>IF(OR(Registro!D591="Resuelto",Registro!D591=""),"",SUM(C592,F592,I592,L592))</f>
        <v/>
      </c>
      <c r="N592" s="46" t="str">
        <f>IF(OR(Registro!D591="Resuelto",Registro!D591=""),"",SUM(B592,E592,H592,K592))</f>
        <v/>
      </c>
      <c r="O592" s="46" t="str">
        <f>IF(OR(Registro!D591="Resuelto",Registro!D591=""),"",_xlfn.CONCAT(A592,D592,G592,J592))</f>
        <v/>
      </c>
      <c r="P592" s="47">
        <v>584</v>
      </c>
      <c r="Q592" s="47" t="str">
        <f t="shared" ca="1" si="27"/>
        <v/>
      </c>
      <c r="R592" s="48" t="str">
        <f t="shared" ca="1" si="28"/>
        <v/>
      </c>
      <c r="S592" s="32"/>
      <c r="T592" s="32"/>
      <c r="U592" s="32"/>
      <c r="V592" s="32"/>
      <c r="W592" s="47" t="str">
        <f>IF(X592="","",MAX($W$5:W591)+1)</f>
        <v/>
      </c>
      <c r="X592" s="50" t="str">
        <f>IF(Registro!M591="","",IF(COUNTIF($X$8:X591,Registro!M591)=0,Registro!M591,""))</f>
        <v/>
      </c>
      <c r="Y592" s="50" t="str">
        <f t="shared" si="29"/>
        <v/>
      </c>
    </row>
    <row r="593" spans="1:25">
      <c r="A593" s="45" t="str">
        <f>IF(AND(Registro!D592="Abierto",Registro!E592="Urgente"),Registro!B592,"")</f>
        <v/>
      </c>
      <c r="B593" s="45" t="str">
        <f ca="1">IF(AND(Registro!D592="Abierto",Registro!E592="Urgente"),TODAY()-Registro!R592,"")</f>
        <v/>
      </c>
      <c r="C593" s="45" t="str">
        <f>IF(AND(Registro!D592="Abierto",Registro!E592="Urgente"),RANK(B593,$B$9:$B$1000,0)+COUNTIF($B$9:B593,B593)-1,"")</f>
        <v/>
      </c>
      <c r="D593" s="45" t="str">
        <f>IF(AND(Registro!D592="Abierto",Registro!E592="Alta"),Registro!B592,"")</f>
        <v/>
      </c>
      <c r="E593" s="45" t="str">
        <f ca="1">IF(AND(Registro!D592="Abierto",Registro!E592="Alta"),TODAY()-Registro!R592,"")</f>
        <v/>
      </c>
      <c r="F593" s="45" t="str">
        <f>IF(AND(Registro!D592="Abierto",Registro!E592="Alta"),RANK(E593,$E$9:$E$1000,0)+COUNTIF($E$9:E593,E593)-1+MAX(C$5:C$1000),"")</f>
        <v/>
      </c>
      <c r="G593" s="45" t="str">
        <f>IF(AND(Registro!D592="Abierto",Registro!E592="Media"),Registro!B592,"")</f>
        <v/>
      </c>
      <c r="H593" s="45" t="str">
        <f ca="1">IF(AND(Registro!D592="Abierto",Registro!E592="Media"),TODAY()-Registro!R592,"")</f>
        <v/>
      </c>
      <c r="I593" s="45" t="str">
        <f>IF(AND(Registro!D592="Abierto",Registro!E592="Media"),RANK(H593,$H$9:$H$1000,0)+COUNTIF($H$9:H593,H593)-1+MAX(C$5:C$1000,F$5:F$1000),"")</f>
        <v/>
      </c>
      <c r="J593" s="45" t="str">
        <f>IF(AND(Registro!D592="Abierto",Registro!E592="Baja"),Registro!B592,"")</f>
        <v/>
      </c>
      <c r="K593" s="45" t="str">
        <f ca="1">IF(AND(Registro!D592="Abierto",Registro!E592="Baja"),TODAY()-Registro!R592,"")</f>
        <v/>
      </c>
      <c r="L593" s="45" t="str">
        <f>IF(AND(Registro!D592="Abierto",Registro!E592="Baja"),RANK(K593,$K$9:$K$1000,0)+COUNTIF($K$9:K593,K593)-1+MAX(C$5:C$1000,F$5:F$1000,I$5:I$1000),"")</f>
        <v/>
      </c>
      <c r="M593" s="46" t="str">
        <f>IF(OR(Registro!D592="Resuelto",Registro!D592=""),"",SUM(C593,F593,I593,L593))</f>
        <v/>
      </c>
      <c r="N593" s="46" t="str">
        <f>IF(OR(Registro!D592="Resuelto",Registro!D592=""),"",SUM(B593,E593,H593,K593))</f>
        <v/>
      </c>
      <c r="O593" s="46" t="str">
        <f>IF(OR(Registro!D592="Resuelto",Registro!D592=""),"",_xlfn.CONCAT(A593,D593,G593,J593))</f>
        <v/>
      </c>
      <c r="P593" s="47">
        <v>585</v>
      </c>
      <c r="Q593" s="47" t="str">
        <f t="shared" ca="1" si="27"/>
        <v/>
      </c>
      <c r="R593" s="48" t="str">
        <f t="shared" ca="1" si="28"/>
        <v/>
      </c>
      <c r="S593" s="32"/>
      <c r="T593" s="32"/>
      <c r="U593" s="32"/>
      <c r="V593" s="32"/>
      <c r="W593" s="47" t="str">
        <f>IF(X593="","",MAX($W$5:W592)+1)</f>
        <v/>
      </c>
      <c r="X593" s="50" t="str">
        <f>IF(Registro!M592="","",IF(COUNTIF($X$8:X592,Registro!M592)=0,Registro!M592,""))</f>
        <v/>
      </c>
      <c r="Y593" s="50" t="str">
        <f t="shared" si="29"/>
        <v/>
      </c>
    </row>
    <row r="594" spans="1:25">
      <c r="A594" s="45" t="str">
        <f>IF(AND(Registro!D593="Abierto",Registro!E593="Urgente"),Registro!B593,"")</f>
        <v/>
      </c>
      <c r="B594" s="45" t="str">
        <f ca="1">IF(AND(Registro!D593="Abierto",Registro!E593="Urgente"),TODAY()-Registro!R593,"")</f>
        <v/>
      </c>
      <c r="C594" s="45" t="str">
        <f>IF(AND(Registro!D593="Abierto",Registro!E593="Urgente"),RANK(B594,$B$9:$B$1000,0)+COUNTIF($B$9:B594,B594)-1,"")</f>
        <v/>
      </c>
      <c r="D594" s="45" t="str">
        <f>IF(AND(Registro!D593="Abierto",Registro!E593="Alta"),Registro!B593,"")</f>
        <v/>
      </c>
      <c r="E594" s="45" t="str">
        <f ca="1">IF(AND(Registro!D593="Abierto",Registro!E593="Alta"),TODAY()-Registro!R593,"")</f>
        <v/>
      </c>
      <c r="F594" s="45" t="str">
        <f>IF(AND(Registro!D593="Abierto",Registro!E593="Alta"),RANK(E594,$E$9:$E$1000,0)+COUNTIF($E$9:E594,E594)-1+MAX(C$5:C$1000),"")</f>
        <v/>
      </c>
      <c r="G594" s="45" t="str">
        <f>IF(AND(Registro!D593="Abierto",Registro!E593="Media"),Registro!B593,"")</f>
        <v/>
      </c>
      <c r="H594" s="45" t="str">
        <f ca="1">IF(AND(Registro!D593="Abierto",Registro!E593="Media"),TODAY()-Registro!R593,"")</f>
        <v/>
      </c>
      <c r="I594" s="45" t="str">
        <f>IF(AND(Registro!D593="Abierto",Registro!E593="Media"),RANK(H594,$H$9:$H$1000,0)+COUNTIF($H$9:H594,H594)-1+MAX(C$5:C$1000,F$5:F$1000),"")</f>
        <v/>
      </c>
      <c r="J594" s="45" t="str">
        <f>IF(AND(Registro!D593="Abierto",Registro!E593="Baja"),Registro!B593,"")</f>
        <v/>
      </c>
      <c r="K594" s="45" t="str">
        <f ca="1">IF(AND(Registro!D593="Abierto",Registro!E593="Baja"),TODAY()-Registro!R593,"")</f>
        <v/>
      </c>
      <c r="L594" s="45" t="str">
        <f>IF(AND(Registro!D593="Abierto",Registro!E593="Baja"),RANK(K594,$K$9:$K$1000,0)+COUNTIF($K$9:K594,K594)-1+MAX(C$5:C$1000,F$5:F$1000,I$5:I$1000),"")</f>
        <v/>
      </c>
      <c r="M594" s="46" t="str">
        <f>IF(OR(Registro!D593="Resuelto",Registro!D593=""),"",SUM(C594,F594,I594,L594))</f>
        <v/>
      </c>
      <c r="N594" s="46" t="str">
        <f>IF(OR(Registro!D593="Resuelto",Registro!D593=""),"",SUM(B594,E594,H594,K594))</f>
        <v/>
      </c>
      <c r="O594" s="46" t="str">
        <f>IF(OR(Registro!D593="Resuelto",Registro!D593=""),"",_xlfn.CONCAT(A594,D594,G594,J594))</f>
        <v/>
      </c>
      <c r="P594" s="47">
        <v>586</v>
      </c>
      <c r="Q594" s="47" t="str">
        <f t="shared" ca="1" si="27"/>
        <v/>
      </c>
      <c r="R594" s="48" t="str">
        <f t="shared" ca="1" si="28"/>
        <v/>
      </c>
      <c r="S594" s="32"/>
      <c r="T594" s="32"/>
      <c r="U594" s="32"/>
      <c r="V594" s="32"/>
      <c r="W594" s="47" t="str">
        <f>IF(X594="","",MAX($W$5:W593)+1)</f>
        <v/>
      </c>
      <c r="X594" s="50" t="str">
        <f>IF(Registro!M593="","",IF(COUNTIF($X$8:X593,Registro!M593)=0,Registro!M593,""))</f>
        <v/>
      </c>
      <c r="Y594" s="50" t="str">
        <f t="shared" si="29"/>
        <v/>
      </c>
    </row>
    <row r="595" spans="1:25">
      <c r="A595" s="45" t="str">
        <f>IF(AND(Registro!D594="Abierto",Registro!E594="Urgente"),Registro!B594,"")</f>
        <v/>
      </c>
      <c r="B595" s="45" t="str">
        <f ca="1">IF(AND(Registro!D594="Abierto",Registro!E594="Urgente"),TODAY()-Registro!R594,"")</f>
        <v/>
      </c>
      <c r="C595" s="45" t="str">
        <f>IF(AND(Registro!D594="Abierto",Registro!E594="Urgente"),RANK(B595,$B$9:$B$1000,0)+COUNTIF($B$9:B595,B595)-1,"")</f>
        <v/>
      </c>
      <c r="D595" s="45" t="str">
        <f>IF(AND(Registro!D594="Abierto",Registro!E594="Alta"),Registro!B594,"")</f>
        <v/>
      </c>
      <c r="E595" s="45" t="str">
        <f ca="1">IF(AND(Registro!D594="Abierto",Registro!E594="Alta"),TODAY()-Registro!R594,"")</f>
        <v/>
      </c>
      <c r="F595" s="45" t="str">
        <f>IF(AND(Registro!D594="Abierto",Registro!E594="Alta"),RANK(E595,$E$9:$E$1000,0)+COUNTIF($E$9:E595,E595)-1+MAX(C$5:C$1000),"")</f>
        <v/>
      </c>
      <c r="G595" s="45" t="str">
        <f>IF(AND(Registro!D594="Abierto",Registro!E594="Media"),Registro!B594,"")</f>
        <v/>
      </c>
      <c r="H595" s="45" t="str">
        <f ca="1">IF(AND(Registro!D594="Abierto",Registro!E594="Media"),TODAY()-Registro!R594,"")</f>
        <v/>
      </c>
      <c r="I595" s="45" t="str">
        <f>IF(AND(Registro!D594="Abierto",Registro!E594="Media"),RANK(H595,$H$9:$H$1000,0)+COUNTIF($H$9:H595,H595)-1+MAX(C$5:C$1000,F$5:F$1000),"")</f>
        <v/>
      </c>
      <c r="J595" s="45" t="str">
        <f>IF(AND(Registro!D594="Abierto",Registro!E594="Baja"),Registro!B594,"")</f>
        <v/>
      </c>
      <c r="K595" s="45" t="str">
        <f ca="1">IF(AND(Registro!D594="Abierto",Registro!E594="Baja"),TODAY()-Registro!R594,"")</f>
        <v/>
      </c>
      <c r="L595" s="45" t="str">
        <f>IF(AND(Registro!D594="Abierto",Registro!E594="Baja"),RANK(K595,$K$9:$K$1000,0)+COUNTIF($K$9:K595,K595)-1+MAX(C$5:C$1000,F$5:F$1000,I$5:I$1000),"")</f>
        <v/>
      </c>
      <c r="M595" s="46" t="str">
        <f>IF(OR(Registro!D594="Resuelto",Registro!D594=""),"",SUM(C595,F595,I595,L595))</f>
        <v/>
      </c>
      <c r="N595" s="46" t="str">
        <f>IF(OR(Registro!D594="Resuelto",Registro!D594=""),"",SUM(B595,E595,H595,K595))</f>
        <v/>
      </c>
      <c r="O595" s="46" t="str">
        <f>IF(OR(Registro!D594="Resuelto",Registro!D594=""),"",_xlfn.CONCAT(A595,D595,G595,J595))</f>
        <v/>
      </c>
      <c r="P595" s="47">
        <v>587</v>
      </c>
      <c r="Q595" s="47" t="str">
        <f t="shared" ca="1" si="27"/>
        <v/>
      </c>
      <c r="R595" s="48" t="str">
        <f t="shared" ca="1" si="28"/>
        <v/>
      </c>
      <c r="S595" s="32"/>
      <c r="T595" s="32"/>
      <c r="U595" s="32"/>
      <c r="V595" s="32"/>
      <c r="W595" s="47" t="str">
        <f>IF(X595="","",MAX($W$5:W594)+1)</f>
        <v/>
      </c>
      <c r="X595" s="50" t="str">
        <f>IF(Registro!M594="","",IF(COUNTIF($X$8:X594,Registro!M594)=0,Registro!M594,""))</f>
        <v/>
      </c>
      <c r="Y595" s="50" t="str">
        <f t="shared" si="29"/>
        <v/>
      </c>
    </row>
    <row r="596" spans="1:25">
      <c r="A596" s="45" t="str">
        <f>IF(AND(Registro!D595="Abierto",Registro!E595="Urgente"),Registro!B595,"")</f>
        <v/>
      </c>
      <c r="B596" s="45" t="str">
        <f ca="1">IF(AND(Registro!D595="Abierto",Registro!E595="Urgente"),TODAY()-Registro!R595,"")</f>
        <v/>
      </c>
      <c r="C596" s="45" t="str">
        <f>IF(AND(Registro!D595="Abierto",Registro!E595="Urgente"),RANK(B596,$B$9:$B$1000,0)+COUNTIF($B$9:B596,B596)-1,"")</f>
        <v/>
      </c>
      <c r="D596" s="45" t="str">
        <f>IF(AND(Registro!D595="Abierto",Registro!E595="Alta"),Registro!B595,"")</f>
        <v/>
      </c>
      <c r="E596" s="45" t="str">
        <f ca="1">IF(AND(Registro!D595="Abierto",Registro!E595="Alta"),TODAY()-Registro!R595,"")</f>
        <v/>
      </c>
      <c r="F596" s="45" t="str">
        <f>IF(AND(Registro!D595="Abierto",Registro!E595="Alta"),RANK(E596,$E$9:$E$1000,0)+COUNTIF($E$9:E596,E596)-1+MAX(C$5:C$1000),"")</f>
        <v/>
      </c>
      <c r="G596" s="45" t="str">
        <f>IF(AND(Registro!D595="Abierto",Registro!E595="Media"),Registro!B595,"")</f>
        <v/>
      </c>
      <c r="H596" s="45" t="str">
        <f ca="1">IF(AND(Registro!D595="Abierto",Registro!E595="Media"),TODAY()-Registro!R595,"")</f>
        <v/>
      </c>
      <c r="I596" s="45" t="str">
        <f>IF(AND(Registro!D595="Abierto",Registro!E595="Media"),RANK(H596,$H$9:$H$1000,0)+COUNTIF($H$9:H596,H596)-1+MAX(C$5:C$1000,F$5:F$1000),"")</f>
        <v/>
      </c>
      <c r="J596" s="45" t="str">
        <f>IF(AND(Registro!D595="Abierto",Registro!E595="Baja"),Registro!B595,"")</f>
        <v/>
      </c>
      <c r="K596" s="45" t="str">
        <f ca="1">IF(AND(Registro!D595="Abierto",Registro!E595="Baja"),TODAY()-Registro!R595,"")</f>
        <v/>
      </c>
      <c r="L596" s="45" t="str">
        <f>IF(AND(Registro!D595="Abierto",Registro!E595="Baja"),RANK(K596,$K$9:$K$1000,0)+COUNTIF($K$9:K596,K596)-1+MAX(C$5:C$1000,F$5:F$1000,I$5:I$1000),"")</f>
        <v/>
      </c>
      <c r="M596" s="46" t="str">
        <f>IF(OR(Registro!D595="Resuelto",Registro!D595=""),"",SUM(C596,F596,I596,L596))</f>
        <v/>
      </c>
      <c r="N596" s="46" t="str">
        <f>IF(OR(Registro!D595="Resuelto",Registro!D595=""),"",SUM(B596,E596,H596,K596))</f>
        <v/>
      </c>
      <c r="O596" s="46" t="str">
        <f>IF(OR(Registro!D595="Resuelto",Registro!D595=""),"",_xlfn.CONCAT(A596,D596,G596,J596))</f>
        <v/>
      </c>
      <c r="P596" s="47">
        <v>588</v>
      </c>
      <c r="Q596" s="47" t="str">
        <f t="shared" ca="1" si="27"/>
        <v/>
      </c>
      <c r="R596" s="48" t="str">
        <f t="shared" ca="1" si="28"/>
        <v/>
      </c>
      <c r="S596" s="32"/>
      <c r="T596" s="32"/>
      <c r="U596" s="32"/>
      <c r="V596" s="32"/>
      <c r="W596" s="47" t="str">
        <f>IF(X596="","",MAX($W$5:W595)+1)</f>
        <v/>
      </c>
      <c r="X596" s="50" t="str">
        <f>IF(Registro!M595="","",IF(COUNTIF($X$8:X595,Registro!M595)=0,Registro!M595,""))</f>
        <v/>
      </c>
      <c r="Y596" s="50" t="str">
        <f t="shared" si="29"/>
        <v/>
      </c>
    </row>
    <row r="597" spans="1:25">
      <c r="A597" s="45" t="str">
        <f>IF(AND(Registro!D596="Abierto",Registro!E596="Urgente"),Registro!B596,"")</f>
        <v/>
      </c>
      <c r="B597" s="45" t="str">
        <f ca="1">IF(AND(Registro!D596="Abierto",Registro!E596="Urgente"),TODAY()-Registro!R596,"")</f>
        <v/>
      </c>
      <c r="C597" s="45" t="str">
        <f>IF(AND(Registro!D596="Abierto",Registro!E596="Urgente"),RANK(B597,$B$9:$B$1000,0)+COUNTIF($B$9:B597,B597)-1,"")</f>
        <v/>
      </c>
      <c r="D597" s="45" t="str">
        <f>IF(AND(Registro!D596="Abierto",Registro!E596="Alta"),Registro!B596,"")</f>
        <v/>
      </c>
      <c r="E597" s="45" t="str">
        <f ca="1">IF(AND(Registro!D596="Abierto",Registro!E596="Alta"),TODAY()-Registro!R596,"")</f>
        <v/>
      </c>
      <c r="F597" s="45" t="str">
        <f>IF(AND(Registro!D596="Abierto",Registro!E596="Alta"),RANK(E597,$E$9:$E$1000,0)+COUNTIF($E$9:E597,E597)-1+MAX(C$5:C$1000),"")</f>
        <v/>
      </c>
      <c r="G597" s="45" t="str">
        <f>IF(AND(Registro!D596="Abierto",Registro!E596="Media"),Registro!B596,"")</f>
        <v/>
      </c>
      <c r="H597" s="45" t="str">
        <f ca="1">IF(AND(Registro!D596="Abierto",Registro!E596="Media"),TODAY()-Registro!R596,"")</f>
        <v/>
      </c>
      <c r="I597" s="45" t="str">
        <f>IF(AND(Registro!D596="Abierto",Registro!E596="Media"),RANK(H597,$H$9:$H$1000,0)+COUNTIF($H$9:H597,H597)-1+MAX(C$5:C$1000,F$5:F$1000),"")</f>
        <v/>
      </c>
      <c r="J597" s="45" t="str">
        <f>IF(AND(Registro!D596="Abierto",Registro!E596="Baja"),Registro!B596,"")</f>
        <v/>
      </c>
      <c r="K597" s="45" t="str">
        <f ca="1">IF(AND(Registro!D596="Abierto",Registro!E596="Baja"),TODAY()-Registro!R596,"")</f>
        <v/>
      </c>
      <c r="L597" s="45" t="str">
        <f>IF(AND(Registro!D596="Abierto",Registro!E596="Baja"),RANK(K597,$K$9:$K$1000,0)+COUNTIF($K$9:K597,K597)-1+MAX(C$5:C$1000,F$5:F$1000,I$5:I$1000),"")</f>
        <v/>
      </c>
      <c r="M597" s="46" t="str">
        <f>IF(OR(Registro!D596="Resuelto",Registro!D596=""),"",SUM(C597,F597,I597,L597))</f>
        <v/>
      </c>
      <c r="N597" s="46" t="str">
        <f>IF(OR(Registro!D596="Resuelto",Registro!D596=""),"",SUM(B597,E597,H597,K597))</f>
        <v/>
      </c>
      <c r="O597" s="46" t="str">
        <f>IF(OR(Registro!D596="Resuelto",Registro!D596=""),"",_xlfn.CONCAT(A597,D597,G597,J597))</f>
        <v/>
      </c>
      <c r="P597" s="47">
        <v>589</v>
      </c>
      <c r="Q597" s="47" t="str">
        <f t="shared" ca="1" si="27"/>
        <v/>
      </c>
      <c r="R597" s="48" t="str">
        <f t="shared" ca="1" si="28"/>
        <v/>
      </c>
      <c r="S597" s="32"/>
      <c r="T597" s="32"/>
      <c r="U597" s="32"/>
      <c r="V597" s="32"/>
      <c r="W597" s="47" t="str">
        <f>IF(X597="","",MAX($W$5:W596)+1)</f>
        <v/>
      </c>
      <c r="X597" s="50" t="str">
        <f>IF(Registro!M596="","",IF(COUNTIF($X$8:X596,Registro!M596)=0,Registro!M596,""))</f>
        <v/>
      </c>
      <c r="Y597" s="50" t="str">
        <f t="shared" si="29"/>
        <v/>
      </c>
    </row>
    <row r="598" spans="1:25">
      <c r="A598" s="45" t="str">
        <f>IF(AND(Registro!D597="Abierto",Registro!E597="Urgente"),Registro!B597,"")</f>
        <v/>
      </c>
      <c r="B598" s="45" t="str">
        <f ca="1">IF(AND(Registro!D597="Abierto",Registro!E597="Urgente"),TODAY()-Registro!R597,"")</f>
        <v/>
      </c>
      <c r="C598" s="45" t="str">
        <f>IF(AND(Registro!D597="Abierto",Registro!E597="Urgente"),RANK(B598,$B$9:$B$1000,0)+COUNTIF($B$9:B598,B598)-1,"")</f>
        <v/>
      </c>
      <c r="D598" s="45" t="str">
        <f>IF(AND(Registro!D597="Abierto",Registro!E597="Alta"),Registro!B597,"")</f>
        <v/>
      </c>
      <c r="E598" s="45" t="str">
        <f ca="1">IF(AND(Registro!D597="Abierto",Registro!E597="Alta"),TODAY()-Registro!R597,"")</f>
        <v/>
      </c>
      <c r="F598" s="45" t="str">
        <f>IF(AND(Registro!D597="Abierto",Registro!E597="Alta"),RANK(E598,$E$9:$E$1000,0)+COUNTIF($E$9:E598,E598)-1+MAX(C$5:C$1000),"")</f>
        <v/>
      </c>
      <c r="G598" s="45" t="str">
        <f>IF(AND(Registro!D597="Abierto",Registro!E597="Media"),Registro!B597,"")</f>
        <v/>
      </c>
      <c r="H598" s="45" t="str">
        <f ca="1">IF(AND(Registro!D597="Abierto",Registro!E597="Media"),TODAY()-Registro!R597,"")</f>
        <v/>
      </c>
      <c r="I598" s="45" t="str">
        <f>IF(AND(Registro!D597="Abierto",Registro!E597="Media"),RANK(H598,$H$9:$H$1000,0)+COUNTIF($H$9:H598,H598)-1+MAX(C$5:C$1000,F$5:F$1000),"")</f>
        <v/>
      </c>
      <c r="J598" s="45" t="str">
        <f>IF(AND(Registro!D597="Abierto",Registro!E597="Baja"),Registro!B597,"")</f>
        <v/>
      </c>
      <c r="K598" s="45" t="str">
        <f ca="1">IF(AND(Registro!D597="Abierto",Registro!E597="Baja"),TODAY()-Registro!R597,"")</f>
        <v/>
      </c>
      <c r="L598" s="45" t="str">
        <f>IF(AND(Registro!D597="Abierto",Registro!E597="Baja"),RANK(K598,$K$9:$K$1000,0)+COUNTIF($K$9:K598,K598)-1+MAX(C$5:C$1000,F$5:F$1000,I$5:I$1000),"")</f>
        <v/>
      </c>
      <c r="M598" s="46" t="str">
        <f>IF(OR(Registro!D597="Resuelto",Registro!D597=""),"",SUM(C598,F598,I598,L598))</f>
        <v/>
      </c>
      <c r="N598" s="46" t="str">
        <f>IF(OR(Registro!D597="Resuelto",Registro!D597=""),"",SUM(B598,E598,H598,K598))</f>
        <v/>
      </c>
      <c r="O598" s="46" t="str">
        <f>IF(OR(Registro!D597="Resuelto",Registro!D597=""),"",_xlfn.CONCAT(A598,D598,G598,J598))</f>
        <v/>
      </c>
      <c r="P598" s="47">
        <v>590</v>
      </c>
      <c r="Q598" s="47" t="str">
        <f t="shared" ca="1" si="27"/>
        <v/>
      </c>
      <c r="R598" s="48" t="str">
        <f t="shared" ca="1" si="28"/>
        <v/>
      </c>
      <c r="S598" s="32"/>
      <c r="T598" s="32"/>
      <c r="U598" s="32"/>
      <c r="V598" s="32"/>
      <c r="W598" s="47" t="str">
        <f>IF(X598="","",MAX($W$5:W597)+1)</f>
        <v/>
      </c>
      <c r="X598" s="50" t="str">
        <f>IF(Registro!M597="","",IF(COUNTIF($X$8:X597,Registro!M597)=0,Registro!M597,""))</f>
        <v/>
      </c>
      <c r="Y598" s="50" t="str">
        <f t="shared" si="29"/>
        <v/>
      </c>
    </row>
    <row r="599" spans="1:25">
      <c r="A599" s="45" t="str">
        <f>IF(AND(Registro!D598="Abierto",Registro!E598="Urgente"),Registro!B598,"")</f>
        <v/>
      </c>
      <c r="B599" s="45" t="str">
        <f ca="1">IF(AND(Registro!D598="Abierto",Registro!E598="Urgente"),TODAY()-Registro!R598,"")</f>
        <v/>
      </c>
      <c r="C599" s="45" t="str">
        <f>IF(AND(Registro!D598="Abierto",Registro!E598="Urgente"),RANK(B599,$B$9:$B$1000,0)+COUNTIF($B$9:B599,B599)-1,"")</f>
        <v/>
      </c>
      <c r="D599" s="45" t="str">
        <f>IF(AND(Registro!D598="Abierto",Registro!E598="Alta"),Registro!B598,"")</f>
        <v/>
      </c>
      <c r="E599" s="45" t="str">
        <f ca="1">IF(AND(Registro!D598="Abierto",Registro!E598="Alta"),TODAY()-Registro!R598,"")</f>
        <v/>
      </c>
      <c r="F599" s="45" t="str">
        <f>IF(AND(Registro!D598="Abierto",Registro!E598="Alta"),RANK(E599,$E$9:$E$1000,0)+COUNTIF($E$9:E599,E599)-1+MAX(C$5:C$1000),"")</f>
        <v/>
      </c>
      <c r="G599" s="45" t="str">
        <f>IF(AND(Registro!D598="Abierto",Registro!E598="Media"),Registro!B598,"")</f>
        <v/>
      </c>
      <c r="H599" s="45" t="str">
        <f ca="1">IF(AND(Registro!D598="Abierto",Registro!E598="Media"),TODAY()-Registro!R598,"")</f>
        <v/>
      </c>
      <c r="I599" s="45" t="str">
        <f>IF(AND(Registro!D598="Abierto",Registro!E598="Media"),RANK(H599,$H$9:$H$1000,0)+COUNTIF($H$9:H599,H599)-1+MAX(C$5:C$1000,F$5:F$1000),"")</f>
        <v/>
      </c>
      <c r="J599" s="45" t="str">
        <f>IF(AND(Registro!D598="Abierto",Registro!E598="Baja"),Registro!B598,"")</f>
        <v/>
      </c>
      <c r="K599" s="45" t="str">
        <f ca="1">IF(AND(Registro!D598="Abierto",Registro!E598="Baja"),TODAY()-Registro!R598,"")</f>
        <v/>
      </c>
      <c r="L599" s="45" t="str">
        <f>IF(AND(Registro!D598="Abierto",Registro!E598="Baja"),RANK(K599,$K$9:$K$1000,0)+COUNTIF($K$9:K599,K599)-1+MAX(C$5:C$1000,F$5:F$1000,I$5:I$1000),"")</f>
        <v/>
      </c>
      <c r="M599" s="46" t="str">
        <f>IF(OR(Registro!D598="Resuelto",Registro!D598=""),"",SUM(C599,F599,I599,L599))</f>
        <v/>
      </c>
      <c r="N599" s="46" t="str">
        <f>IF(OR(Registro!D598="Resuelto",Registro!D598=""),"",SUM(B599,E599,H599,K599))</f>
        <v/>
      </c>
      <c r="O599" s="46" t="str">
        <f>IF(OR(Registro!D598="Resuelto",Registro!D598=""),"",_xlfn.CONCAT(A599,D599,G599,J599))</f>
        <v/>
      </c>
      <c r="P599" s="47">
        <v>591</v>
      </c>
      <c r="Q599" s="47" t="str">
        <f t="shared" ca="1" si="27"/>
        <v/>
      </c>
      <c r="R599" s="48" t="str">
        <f t="shared" ca="1" si="28"/>
        <v/>
      </c>
      <c r="S599" s="32"/>
      <c r="T599" s="32"/>
      <c r="U599" s="32"/>
      <c r="V599" s="32"/>
      <c r="W599" s="47" t="str">
        <f>IF(X599="","",MAX($W$5:W598)+1)</f>
        <v/>
      </c>
      <c r="X599" s="50" t="str">
        <f>IF(Registro!M598="","",IF(COUNTIF($X$8:X598,Registro!M598)=0,Registro!M598,""))</f>
        <v/>
      </c>
      <c r="Y599" s="50" t="str">
        <f t="shared" si="29"/>
        <v/>
      </c>
    </row>
    <row r="600" spans="1:25">
      <c r="A600" s="45" t="str">
        <f>IF(AND(Registro!D599="Abierto",Registro!E599="Urgente"),Registro!B599,"")</f>
        <v/>
      </c>
      <c r="B600" s="45" t="str">
        <f ca="1">IF(AND(Registro!D599="Abierto",Registro!E599="Urgente"),TODAY()-Registro!R599,"")</f>
        <v/>
      </c>
      <c r="C600" s="45" t="str">
        <f>IF(AND(Registro!D599="Abierto",Registro!E599="Urgente"),RANK(B600,$B$9:$B$1000,0)+COUNTIF($B$9:B600,B600)-1,"")</f>
        <v/>
      </c>
      <c r="D600" s="45" t="str">
        <f>IF(AND(Registro!D599="Abierto",Registro!E599="Alta"),Registro!B599,"")</f>
        <v/>
      </c>
      <c r="E600" s="45" t="str">
        <f ca="1">IF(AND(Registro!D599="Abierto",Registro!E599="Alta"),TODAY()-Registro!R599,"")</f>
        <v/>
      </c>
      <c r="F600" s="45" t="str">
        <f>IF(AND(Registro!D599="Abierto",Registro!E599="Alta"),RANK(E600,$E$9:$E$1000,0)+COUNTIF($E$9:E600,E600)-1+MAX(C$5:C$1000),"")</f>
        <v/>
      </c>
      <c r="G600" s="45" t="str">
        <f>IF(AND(Registro!D599="Abierto",Registro!E599="Media"),Registro!B599,"")</f>
        <v/>
      </c>
      <c r="H600" s="45" t="str">
        <f ca="1">IF(AND(Registro!D599="Abierto",Registro!E599="Media"),TODAY()-Registro!R599,"")</f>
        <v/>
      </c>
      <c r="I600" s="45" t="str">
        <f>IF(AND(Registro!D599="Abierto",Registro!E599="Media"),RANK(H600,$H$9:$H$1000,0)+COUNTIF($H$9:H600,H600)-1+MAX(C$5:C$1000,F$5:F$1000),"")</f>
        <v/>
      </c>
      <c r="J600" s="45" t="str">
        <f>IF(AND(Registro!D599="Abierto",Registro!E599="Baja"),Registro!B599,"")</f>
        <v/>
      </c>
      <c r="K600" s="45" t="str">
        <f ca="1">IF(AND(Registro!D599="Abierto",Registro!E599="Baja"),TODAY()-Registro!R599,"")</f>
        <v/>
      </c>
      <c r="L600" s="45" t="str">
        <f>IF(AND(Registro!D599="Abierto",Registro!E599="Baja"),RANK(K600,$K$9:$K$1000,0)+COUNTIF($K$9:K600,K600)-1+MAX(C$5:C$1000,F$5:F$1000,I$5:I$1000),"")</f>
        <v/>
      </c>
      <c r="M600" s="46" t="str">
        <f>IF(OR(Registro!D599="Resuelto",Registro!D599=""),"",SUM(C600,F600,I600,L600))</f>
        <v/>
      </c>
      <c r="N600" s="46" t="str">
        <f>IF(OR(Registro!D599="Resuelto",Registro!D599=""),"",SUM(B600,E600,H600,K600))</f>
        <v/>
      </c>
      <c r="O600" s="46" t="str">
        <f>IF(OR(Registro!D599="Resuelto",Registro!D599=""),"",_xlfn.CONCAT(A600,D600,G600,J600))</f>
        <v/>
      </c>
      <c r="P600" s="47">
        <v>592</v>
      </c>
      <c r="Q600" s="47" t="str">
        <f t="shared" ca="1" si="27"/>
        <v/>
      </c>
      <c r="R600" s="48" t="str">
        <f t="shared" ca="1" si="28"/>
        <v/>
      </c>
      <c r="S600" s="32"/>
      <c r="T600" s="32"/>
      <c r="U600" s="32"/>
      <c r="V600" s="32"/>
      <c r="W600" s="47" t="str">
        <f>IF(X600="","",MAX($W$5:W599)+1)</f>
        <v/>
      </c>
      <c r="X600" s="50" t="str">
        <f>IF(Registro!M599="","",IF(COUNTIF($X$8:X599,Registro!M599)=0,Registro!M599,""))</f>
        <v/>
      </c>
      <c r="Y600" s="50" t="str">
        <f t="shared" si="29"/>
        <v/>
      </c>
    </row>
    <row r="601" spans="1:25">
      <c r="A601" s="45" t="str">
        <f>IF(AND(Registro!D600="Abierto",Registro!E600="Urgente"),Registro!B600,"")</f>
        <v/>
      </c>
      <c r="B601" s="45" t="str">
        <f ca="1">IF(AND(Registro!D600="Abierto",Registro!E600="Urgente"),TODAY()-Registro!R600,"")</f>
        <v/>
      </c>
      <c r="C601" s="45" t="str">
        <f>IF(AND(Registro!D600="Abierto",Registro!E600="Urgente"),RANK(B601,$B$9:$B$1000,0)+COUNTIF($B$9:B601,B601)-1,"")</f>
        <v/>
      </c>
      <c r="D601" s="45" t="str">
        <f>IF(AND(Registro!D600="Abierto",Registro!E600="Alta"),Registro!B600,"")</f>
        <v/>
      </c>
      <c r="E601" s="45" t="str">
        <f ca="1">IF(AND(Registro!D600="Abierto",Registro!E600="Alta"),TODAY()-Registro!R600,"")</f>
        <v/>
      </c>
      <c r="F601" s="45" t="str">
        <f>IF(AND(Registro!D600="Abierto",Registro!E600="Alta"),RANK(E601,$E$9:$E$1000,0)+COUNTIF($E$9:E601,E601)-1+MAX(C$5:C$1000),"")</f>
        <v/>
      </c>
      <c r="G601" s="45" t="str">
        <f>IF(AND(Registro!D600="Abierto",Registro!E600="Media"),Registro!B600,"")</f>
        <v/>
      </c>
      <c r="H601" s="45" t="str">
        <f ca="1">IF(AND(Registro!D600="Abierto",Registro!E600="Media"),TODAY()-Registro!R600,"")</f>
        <v/>
      </c>
      <c r="I601" s="45" t="str">
        <f>IF(AND(Registro!D600="Abierto",Registro!E600="Media"),RANK(H601,$H$9:$H$1000,0)+COUNTIF($H$9:H601,H601)-1+MAX(C$5:C$1000,F$5:F$1000),"")</f>
        <v/>
      </c>
      <c r="J601" s="45" t="str">
        <f>IF(AND(Registro!D600="Abierto",Registro!E600="Baja"),Registro!B600,"")</f>
        <v/>
      </c>
      <c r="K601" s="45" t="str">
        <f ca="1">IF(AND(Registro!D600="Abierto",Registro!E600="Baja"),TODAY()-Registro!R600,"")</f>
        <v/>
      </c>
      <c r="L601" s="45" t="str">
        <f>IF(AND(Registro!D600="Abierto",Registro!E600="Baja"),RANK(K601,$K$9:$K$1000,0)+COUNTIF($K$9:K601,K601)-1+MAX(C$5:C$1000,F$5:F$1000,I$5:I$1000),"")</f>
        <v/>
      </c>
      <c r="M601" s="46" t="str">
        <f>IF(OR(Registro!D600="Resuelto",Registro!D600=""),"",SUM(C601,F601,I601,L601))</f>
        <v/>
      </c>
      <c r="N601" s="46" t="str">
        <f>IF(OR(Registro!D600="Resuelto",Registro!D600=""),"",SUM(B601,E601,H601,K601))</f>
        <v/>
      </c>
      <c r="O601" s="46" t="str">
        <f>IF(OR(Registro!D600="Resuelto",Registro!D600=""),"",_xlfn.CONCAT(A601,D601,G601,J601))</f>
        <v/>
      </c>
      <c r="P601" s="47">
        <v>593</v>
      </c>
      <c r="Q601" s="47" t="str">
        <f t="shared" ca="1" si="27"/>
        <v/>
      </c>
      <c r="R601" s="48" t="str">
        <f t="shared" ca="1" si="28"/>
        <v/>
      </c>
      <c r="S601" s="32"/>
      <c r="T601" s="32"/>
      <c r="U601" s="32"/>
      <c r="V601" s="32"/>
      <c r="W601" s="47" t="str">
        <f>IF(X601="","",MAX($W$5:W600)+1)</f>
        <v/>
      </c>
      <c r="X601" s="50" t="str">
        <f>IF(Registro!M600="","",IF(COUNTIF($X$8:X600,Registro!M600)=0,Registro!M600,""))</f>
        <v/>
      </c>
      <c r="Y601" s="50" t="str">
        <f t="shared" si="29"/>
        <v/>
      </c>
    </row>
    <row r="602" spans="1:25">
      <c r="A602" s="45" t="str">
        <f>IF(AND(Registro!D601="Abierto",Registro!E601="Urgente"),Registro!B601,"")</f>
        <v/>
      </c>
      <c r="B602" s="45" t="str">
        <f ca="1">IF(AND(Registro!D601="Abierto",Registro!E601="Urgente"),TODAY()-Registro!R601,"")</f>
        <v/>
      </c>
      <c r="C602" s="45" t="str">
        <f>IF(AND(Registro!D601="Abierto",Registro!E601="Urgente"),RANK(B602,$B$9:$B$1000,0)+COUNTIF($B$9:B602,B602)-1,"")</f>
        <v/>
      </c>
      <c r="D602" s="45" t="str">
        <f>IF(AND(Registro!D601="Abierto",Registro!E601="Alta"),Registro!B601,"")</f>
        <v/>
      </c>
      <c r="E602" s="45" t="str">
        <f ca="1">IF(AND(Registro!D601="Abierto",Registro!E601="Alta"),TODAY()-Registro!R601,"")</f>
        <v/>
      </c>
      <c r="F602" s="45" t="str">
        <f>IF(AND(Registro!D601="Abierto",Registro!E601="Alta"),RANK(E602,$E$9:$E$1000,0)+COUNTIF($E$9:E602,E602)-1+MAX(C$5:C$1000),"")</f>
        <v/>
      </c>
      <c r="G602" s="45" t="str">
        <f>IF(AND(Registro!D601="Abierto",Registro!E601="Media"),Registro!B601,"")</f>
        <v/>
      </c>
      <c r="H602" s="45" t="str">
        <f ca="1">IF(AND(Registro!D601="Abierto",Registro!E601="Media"),TODAY()-Registro!R601,"")</f>
        <v/>
      </c>
      <c r="I602" s="45" t="str">
        <f>IF(AND(Registro!D601="Abierto",Registro!E601="Media"),RANK(H602,$H$9:$H$1000,0)+COUNTIF($H$9:H602,H602)-1+MAX(C$5:C$1000,F$5:F$1000),"")</f>
        <v/>
      </c>
      <c r="J602" s="45" t="str">
        <f>IF(AND(Registro!D601="Abierto",Registro!E601="Baja"),Registro!B601,"")</f>
        <v/>
      </c>
      <c r="K602" s="45" t="str">
        <f ca="1">IF(AND(Registro!D601="Abierto",Registro!E601="Baja"),TODAY()-Registro!R601,"")</f>
        <v/>
      </c>
      <c r="L602" s="45" t="str">
        <f>IF(AND(Registro!D601="Abierto",Registro!E601="Baja"),RANK(K602,$K$9:$K$1000,0)+COUNTIF($K$9:K602,K602)-1+MAX(C$5:C$1000,F$5:F$1000,I$5:I$1000),"")</f>
        <v/>
      </c>
      <c r="M602" s="46" t="str">
        <f>IF(OR(Registro!D601="Resuelto",Registro!D601=""),"",SUM(C602,F602,I602,L602))</f>
        <v/>
      </c>
      <c r="N602" s="46" t="str">
        <f>IF(OR(Registro!D601="Resuelto",Registro!D601=""),"",SUM(B602,E602,H602,K602))</f>
        <v/>
      </c>
      <c r="O602" s="46" t="str">
        <f>IF(OR(Registro!D601="Resuelto",Registro!D601=""),"",_xlfn.CONCAT(A602,D602,G602,J602))</f>
        <v/>
      </c>
      <c r="P602" s="47">
        <v>594</v>
      </c>
      <c r="Q602" s="47" t="str">
        <f t="shared" ca="1" si="27"/>
        <v/>
      </c>
      <c r="R602" s="48" t="str">
        <f t="shared" ca="1" si="28"/>
        <v/>
      </c>
      <c r="S602" s="32"/>
      <c r="T602" s="32"/>
      <c r="U602" s="32"/>
      <c r="V602" s="32"/>
      <c r="W602" s="47" t="str">
        <f>IF(X602="","",MAX($W$5:W601)+1)</f>
        <v/>
      </c>
      <c r="X602" s="50" t="str">
        <f>IF(Registro!M601="","",IF(COUNTIF($X$8:X601,Registro!M601)=0,Registro!M601,""))</f>
        <v/>
      </c>
      <c r="Y602" s="50" t="str">
        <f t="shared" si="29"/>
        <v/>
      </c>
    </row>
    <row r="603" spans="1:25">
      <c r="A603" s="45" t="str">
        <f>IF(AND(Registro!D602="Abierto",Registro!E602="Urgente"),Registro!B602,"")</f>
        <v/>
      </c>
      <c r="B603" s="45" t="str">
        <f ca="1">IF(AND(Registro!D602="Abierto",Registro!E602="Urgente"),TODAY()-Registro!R602,"")</f>
        <v/>
      </c>
      <c r="C603" s="45" t="str">
        <f>IF(AND(Registro!D602="Abierto",Registro!E602="Urgente"),RANK(B603,$B$9:$B$1000,0)+COUNTIF($B$9:B603,B603)-1,"")</f>
        <v/>
      </c>
      <c r="D603" s="45" t="str">
        <f>IF(AND(Registro!D602="Abierto",Registro!E602="Alta"),Registro!B602,"")</f>
        <v/>
      </c>
      <c r="E603" s="45" t="str">
        <f ca="1">IF(AND(Registro!D602="Abierto",Registro!E602="Alta"),TODAY()-Registro!R602,"")</f>
        <v/>
      </c>
      <c r="F603" s="45" t="str">
        <f>IF(AND(Registro!D602="Abierto",Registro!E602="Alta"),RANK(E603,$E$9:$E$1000,0)+COUNTIF($E$9:E603,E603)-1+MAX(C$5:C$1000),"")</f>
        <v/>
      </c>
      <c r="G603" s="45" t="str">
        <f>IF(AND(Registro!D602="Abierto",Registro!E602="Media"),Registro!B602,"")</f>
        <v/>
      </c>
      <c r="H603" s="45" t="str">
        <f ca="1">IF(AND(Registro!D602="Abierto",Registro!E602="Media"),TODAY()-Registro!R602,"")</f>
        <v/>
      </c>
      <c r="I603" s="45" t="str">
        <f>IF(AND(Registro!D602="Abierto",Registro!E602="Media"),RANK(H603,$H$9:$H$1000,0)+COUNTIF($H$9:H603,H603)-1+MAX(C$5:C$1000,F$5:F$1000),"")</f>
        <v/>
      </c>
      <c r="J603" s="45" t="str">
        <f>IF(AND(Registro!D602="Abierto",Registro!E602="Baja"),Registro!B602,"")</f>
        <v/>
      </c>
      <c r="K603" s="45" t="str">
        <f ca="1">IF(AND(Registro!D602="Abierto",Registro!E602="Baja"),TODAY()-Registro!R602,"")</f>
        <v/>
      </c>
      <c r="L603" s="45" t="str">
        <f>IF(AND(Registro!D602="Abierto",Registro!E602="Baja"),RANK(K603,$K$9:$K$1000,0)+COUNTIF($K$9:K603,K603)-1+MAX(C$5:C$1000,F$5:F$1000,I$5:I$1000),"")</f>
        <v/>
      </c>
      <c r="M603" s="46" t="str">
        <f>IF(OR(Registro!D602="Resuelto",Registro!D602=""),"",SUM(C603,F603,I603,L603))</f>
        <v/>
      </c>
      <c r="N603" s="46" t="str">
        <f>IF(OR(Registro!D602="Resuelto",Registro!D602=""),"",SUM(B603,E603,H603,K603))</f>
        <v/>
      </c>
      <c r="O603" s="46" t="str">
        <f>IF(OR(Registro!D602="Resuelto",Registro!D602=""),"",_xlfn.CONCAT(A603,D603,G603,J603))</f>
        <v/>
      </c>
      <c r="P603" s="47">
        <v>595</v>
      </c>
      <c r="Q603" s="47" t="str">
        <f t="shared" ca="1" si="27"/>
        <v/>
      </c>
      <c r="R603" s="48" t="str">
        <f t="shared" ca="1" si="28"/>
        <v/>
      </c>
      <c r="S603" s="32"/>
      <c r="T603" s="32"/>
      <c r="U603" s="32"/>
      <c r="V603" s="32"/>
      <c r="W603" s="47" t="str">
        <f>IF(X603="","",MAX($W$5:W602)+1)</f>
        <v/>
      </c>
      <c r="X603" s="50" t="str">
        <f>IF(Registro!M602="","",IF(COUNTIF($X$8:X602,Registro!M602)=0,Registro!M602,""))</f>
        <v/>
      </c>
      <c r="Y603" s="50" t="str">
        <f t="shared" si="29"/>
        <v/>
      </c>
    </row>
    <row r="604" spans="1:25">
      <c r="A604" s="45" t="str">
        <f>IF(AND(Registro!D603="Abierto",Registro!E603="Urgente"),Registro!B603,"")</f>
        <v/>
      </c>
      <c r="B604" s="45" t="str">
        <f ca="1">IF(AND(Registro!D603="Abierto",Registro!E603="Urgente"),TODAY()-Registro!R603,"")</f>
        <v/>
      </c>
      <c r="C604" s="45" t="str">
        <f>IF(AND(Registro!D603="Abierto",Registro!E603="Urgente"),RANK(B604,$B$9:$B$1000,0)+COUNTIF($B$9:B604,B604)-1,"")</f>
        <v/>
      </c>
      <c r="D604" s="45" t="str">
        <f>IF(AND(Registro!D603="Abierto",Registro!E603="Alta"),Registro!B603,"")</f>
        <v/>
      </c>
      <c r="E604" s="45" t="str">
        <f ca="1">IF(AND(Registro!D603="Abierto",Registro!E603="Alta"),TODAY()-Registro!R603,"")</f>
        <v/>
      </c>
      <c r="F604" s="45" t="str">
        <f>IF(AND(Registro!D603="Abierto",Registro!E603="Alta"),RANK(E604,$E$9:$E$1000,0)+COUNTIF($E$9:E604,E604)-1+MAX(C$5:C$1000),"")</f>
        <v/>
      </c>
      <c r="G604" s="45" t="str">
        <f>IF(AND(Registro!D603="Abierto",Registro!E603="Media"),Registro!B603,"")</f>
        <v/>
      </c>
      <c r="H604" s="45" t="str">
        <f ca="1">IF(AND(Registro!D603="Abierto",Registro!E603="Media"),TODAY()-Registro!R603,"")</f>
        <v/>
      </c>
      <c r="I604" s="45" t="str">
        <f>IF(AND(Registro!D603="Abierto",Registro!E603="Media"),RANK(H604,$H$9:$H$1000,0)+COUNTIF($H$9:H604,H604)-1+MAX(C$5:C$1000,F$5:F$1000),"")</f>
        <v/>
      </c>
      <c r="J604" s="45" t="str">
        <f>IF(AND(Registro!D603="Abierto",Registro!E603="Baja"),Registro!B603,"")</f>
        <v/>
      </c>
      <c r="K604" s="45" t="str">
        <f ca="1">IF(AND(Registro!D603="Abierto",Registro!E603="Baja"),TODAY()-Registro!R603,"")</f>
        <v/>
      </c>
      <c r="L604" s="45" t="str">
        <f>IF(AND(Registro!D603="Abierto",Registro!E603="Baja"),RANK(K604,$K$9:$K$1000,0)+COUNTIF($K$9:K604,K604)-1+MAX(C$5:C$1000,F$5:F$1000,I$5:I$1000),"")</f>
        <v/>
      </c>
      <c r="M604" s="46" t="str">
        <f>IF(OR(Registro!D603="Resuelto",Registro!D603=""),"",SUM(C604,F604,I604,L604))</f>
        <v/>
      </c>
      <c r="N604" s="46" t="str">
        <f>IF(OR(Registro!D603="Resuelto",Registro!D603=""),"",SUM(B604,E604,H604,K604))</f>
        <v/>
      </c>
      <c r="O604" s="46" t="str">
        <f>IF(OR(Registro!D603="Resuelto",Registro!D603=""),"",_xlfn.CONCAT(A604,D604,G604,J604))</f>
        <v/>
      </c>
      <c r="P604" s="47">
        <v>596</v>
      </c>
      <c r="Q604" s="47" t="str">
        <f t="shared" ca="1" si="27"/>
        <v/>
      </c>
      <c r="R604" s="48" t="str">
        <f t="shared" ca="1" si="28"/>
        <v/>
      </c>
      <c r="S604" s="32"/>
      <c r="T604" s="32"/>
      <c r="U604" s="32"/>
      <c r="V604" s="32"/>
      <c r="W604" s="47" t="str">
        <f>IF(X604="","",MAX($W$5:W603)+1)</f>
        <v/>
      </c>
      <c r="X604" s="50" t="str">
        <f>IF(Registro!M603="","",IF(COUNTIF($X$8:X603,Registro!M603)=0,Registro!M603,""))</f>
        <v/>
      </c>
      <c r="Y604" s="50" t="str">
        <f t="shared" si="29"/>
        <v/>
      </c>
    </row>
    <row r="605" spans="1:25">
      <c r="A605" s="45" t="str">
        <f>IF(AND(Registro!D604="Abierto",Registro!E604="Urgente"),Registro!B604,"")</f>
        <v/>
      </c>
      <c r="B605" s="45" t="str">
        <f ca="1">IF(AND(Registro!D604="Abierto",Registro!E604="Urgente"),TODAY()-Registro!R604,"")</f>
        <v/>
      </c>
      <c r="C605" s="45" t="str">
        <f>IF(AND(Registro!D604="Abierto",Registro!E604="Urgente"),RANK(B605,$B$9:$B$1000,0)+COUNTIF($B$9:B605,B605)-1,"")</f>
        <v/>
      </c>
      <c r="D605" s="45" t="str">
        <f>IF(AND(Registro!D604="Abierto",Registro!E604="Alta"),Registro!B604,"")</f>
        <v/>
      </c>
      <c r="E605" s="45" t="str">
        <f ca="1">IF(AND(Registro!D604="Abierto",Registro!E604="Alta"),TODAY()-Registro!R604,"")</f>
        <v/>
      </c>
      <c r="F605" s="45" t="str">
        <f>IF(AND(Registro!D604="Abierto",Registro!E604="Alta"),RANK(E605,$E$9:$E$1000,0)+COUNTIF($E$9:E605,E605)-1+MAX(C$5:C$1000),"")</f>
        <v/>
      </c>
      <c r="G605" s="45" t="str">
        <f>IF(AND(Registro!D604="Abierto",Registro!E604="Media"),Registro!B604,"")</f>
        <v/>
      </c>
      <c r="H605" s="45" t="str">
        <f ca="1">IF(AND(Registro!D604="Abierto",Registro!E604="Media"),TODAY()-Registro!R604,"")</f>
        <v/>
      </c>
      <c r="I605" s="45" t="str">
        <f>IF(AND(Registro!D604="Abierto",Registro!E604="Media"),RANK(H605,$H$9:$H$1000,0)+COUNTIF($H$9:H605,H605)-1+MAX(C$5:C$1000,F$5:F$1000),"")</f>
        <v/>
      </c>
      <c r="J605" s="45" t="str">
        <f>IF(AND(Registro!D604="Abierto",Registro!E604="Baja"),Registro!B604,"")</f>
        <v/>
      </c>
      <c r="K605" s="45" t="str">
        <f ca="1">IF(AND(Registro!D604="Abierto",Registro!E604="Baja"),TODAY()-Registro!R604,"")</f>
        <v/>
      </c>
      <c r="L605" s="45" t="str">
        <f>IF(AND(Registro!D604="Abierto",Registro!E604="Baja"),RANK(K605,$K$9:$K$1000,0)+COUNTIF($K$9:K605,K605)-1+MAX(C$5:C$1000,F$5:F$1000,I$5:I$1000),"")</f>
        <v/>
      </c>
      <c r="M605" s="46" t="str">
        <f>IF(OR(Registro!D604="Resuelto",Registro!D604=""),"",SUM(C605,F605,I605,L605))</f>
        <v/>
      </c>
      <c r="N605" s="46" t="str">
        <f>IF(OR(Registro!D604="Resuelto",Registro!D604=""),"",SUM(B605,E605,H605,K605))</f>
        <v/>
      </c>
      <c r="O605" s="46" t="str">
        <f>IF(OR(Registro!D604="Resuelto",Registro!D604=""),"",_xlfn.CONCAT(A605,D605,G605,J605))</f>
        <v/>
      </c>
      <c r="P605" s="47">
        <v>597</v>
      </c>
      <c r="Q605" s="47" t="str">
        <f t="shared" ca="1" si="27"/>
        <v/>
      </c>
      <c r="R605" s="48" t="str">
        <f t="shared" ca="1" si="28"/>
        <v/>
      </c>
      <c r="S605" s="32"/>
      <c r="T605" s="32"/>
      <c r="U605" s="32"/>
      <c r="V605" s="32"/>
      <c r="W605" s="47" t="str">
        <f>IF(X605="","",MAX($W$5:W604)+1)</f>
        <v/>
      </c>
      <c r="X605" s="50" t="str">
        <f>IF(Registro!M604="","",IF(COUNTIF($X$8:X604,Registro!M604)=0,Registro!M604,""))</f>
        <v/>
      </c>
      <c r="Y605" s="50" t="str">
        <f t="shared" si="29"/>
        <v/>
      </c>
    </row>
    <row r="606" spans="1:25">
      <c r="A606" s="45" t="str">
        <f>IF(AND(Registro!D605="Abierto",Registro!E605="Urgente"),Registro!B605,"")</f>
        <v/>
      </c>
      <c r="B606" s="45" t="str">
        <f ca="1">IF(AND(Registro!D605="Abierto",Registro!E605="Urgente"),TODAY()-Registro!R605,"")</f>
        <v/>
      </c>
      <c r="C606" s="45" t="str">
        <f>IF(AND(Registro!D605="Abierto",Registro!E605="Urgente"),RANK(B606,$B$9:$B$1000,0)+COUNTIF($B$9:B606,B606)-1,"")</f>
        <v/>
      </c>
      <c r="D606" s="45" t="str">
        <f>IF(AND(Registro!D605="Abierto",Registro!E605="Alta"),Registro!B605,"")</f>
        <v/>
      </c>
      <c r="E606" s="45" t="str">
        <f ca="1">IF(AND(Registro!D605="Abierto",Registro!E605="Alta"),TODAY()-Registro!R605,"")</f>
        <v/>
      </c>
      <c r="F606" s="45" t="str">
        <f>IF(AND(Registro!D605="Abierto",Registro!E605="Alta"),RANK(E606,$E$9:$E$1000,0)+COUNTIF($E$9:E606,E606)-1+MAX(C$5:C$1000),"")</f>
        <v/>
      </c>
      <c r="G606" s="45" t="str">
        <f>IF(AND(Registro!D605="Abierto",Registro!E605="Media"),Registro!B605,"")</f>
        <v/>
      </c>
      <c r="H606" s="45" t="str">
        <f ca="1">IF(AND(Registro!D605="Abierto",Registro!E605="Media"),TODAY()-Registro!R605,"")</f>
        <v/>
      </c>
      <c r="I606" s="45" t="str">
        <f>IF(AND(Registro!D605="Abierto",Registro!E605="Media"),RANK(H606,$H$9:$H$1000,0)+COUNTIF($H$9:H606,H606)-1+MAX(C$5:C$1000,F$5:F$1000),"")</f>
        <v/>
      </c>
      <c r="J606" s="45" t="str">
        <f>IF(AND(Registro!D605="Abierto",Registro!E605="Baja"),Registro!B605,"")</f>
        <v/>
      </c>
      <c r="K606" s="45" t="str">
        <f ca="1">IF(AND(Registro!D605="Abierto",Registro!E605="Baja"),TODAY()-Registro!R605,"")</f>
        <v/>
      </c>
      <c r="L606" s="45" t="str">
        <f>IF(AND(Registro!D605="Abierto",Registro!E605="Baja"),RANK(K606,$K$9:$K$1000,0)+COUNTIF($K$9:K606,K606)-1+MAX(C$5:C$1000,F$5:F$1000,I$5:I$1000),"")</f>
        <v/>
      </c>
      <c r="M606" s="46" t="str">
        <f>IF(OR(Registro!D605="Resuelto",Registro!D605=""),"",SUM(C606,F606,I606,L606))</f>
        <v/>
      </c>
      <c r="N606" s="46" t="str">
        <f>IF(OR(Registro!D605="Resuelto",Registro!D605=""),"",SUM(B606,E606,H606,K606))</f>
        <v/>
      </c>
      <c r="O606" s="46" t="str">
        <f>IF(OR(Registro!D605="Resuelto",Registro!D605=""),"",_xlfn.CONCAT(A606,D606,G606,J606))</f>
        <v/>
      </c>
      <c r="P606" s="47">
        <v>598</v>
      </c>
      <c r="Q606" s="47" t="str">
        <f t="shared" ca="1" si="27"/>
        <v/>
      </c>
      <c r="R606" s="48" t="str">
        <f t="shared" ca="1" si="28"/>
        <v/>
      </c>
      <c r="S606" s="32"/>
      <c r="T606" s="32"/>
      <c r="U606" s="32"/>
      <c r="V606" s="32"/>
      <c r="W606" s="47" t="str">
        <f>IF(X606="","",MAX($W$5:W605)+1)</f>
        <v/>
      </c>
      <c r="X606" s="50" t="str">
        <f>IF(Registro!M605="","",IF(COUNTIF($X$8:X605,Registro!M605)=0,Registro!M605,""))</f>
        <v/>
      </c>
      <c r="Y606" s="50" t="str">
        <f t="shared" si="29"/>
        <v/>
      </c>
    </row>
    <row r="607" spans="1:25">
      <c r="A607" s="45" t="str">
        <f>IF(AND(Registro!D606="Abierto",Registro!E606="Urgente"),Registro!B606,"")</f>
        <v/>
      </c>
      <c r="B607" s="45" t="str">
        <f ca="1">IF(AND(Registro!D606="Abierto",Registro!E606="Urgente"),TODAY()-Registro!R606,"")</f>
        <v/>
      </c>
      <c r="C607" s="45" t="str">
        <f>IF(AND(Registro!D606="Abierto",Registro!E606="Urgente"),RANK(B607,$B$9:$B$1000,0)+COUNTIF($B$9:B607,B607)-1,"")</f>
        <v/>
      </c>
      <c r="D607" s="45" t="str">
        <f>IF(AND(Registro!D606="Abierto",Registro!E606="Alta"),Registro!B606,"")</f>
        <v/>
      </c>
      <c r="E607" s="45" t="str">
        <f ca="1">IF(AND(Registro!D606="Abierto",Registro!E606="Alta"),TODAY()-Registro!R606,"")</f>
        <v/>
      </c>
      <c r="F607" s="45" t="str">
        <f>IF(AND(Registro!D606="Abierto",Registro!E606="Alta"),RANK(E607,$E$9:$E$1000,0)+COUNTIF($E$9:E607,E607)-1+MAX(C$5:C$1000),"")</f>
        <v/>
      </c>
      <c r="G607" s="45" t="str">
        <f>IF(AND(Registro!D606="Abierto",Registro!E606="Media"),Registro!B606,"")</f>
        <v/>
      </c>
      <c r="H607" s="45" t="str">
        <f ca="1">IF(AND(Registro!D606="Abierto",Registro!E606="Media"),TODAY()-Registro!R606,"")</f>
        <v/>
      </c>
      <c r="I607" s="45" t="str">
        <f>IF(AND(Registro!D606="Abierto",Registro!E606="Media"),RANK(H607,$H$9:$H$1000,0)+COUNTIF($H$9:H607,H607)-1+MAX(C$5:C$1000,F$5:F$1000),"")</f>
        <v/>
      </c>
      <c r="J607" s="45" t="str">
        <f>IF(AND(Registro!D606="Abierto",Registro!E606="Baja"),Registro!B606,"")</f>
        <v/>
      </c>
      <c r="K607" s="45" t="str">
        <f ca="1">IF(AND(Registro!D606="Abierto",Registro!E606="Baja"),TODAY()-Registro!R606,"")</f>
        <v/>
      </c>
      <c r="L607" s="45" t="str">
        <f>IF(AND(Registro!D606="Abierto",Registro!E606="Baja"),RANK(K607,$K$9:$K$1000,0)+COUNTIF($K$9:K607,K607)-1+MAX(C$5:C$1000,F$5:F$1000,I$5:I$1000),"")</f>
        <v/>
      </c>
      <c r="M607" s="46" t="str">
        <f>IF(OR(Registro!D606="Resuelto",Registro!D606=""),"",SUM(C607,F607,I607,L607))</f>
        <v/>
      </c>
      <c r="N607" s="46" t="str">
        <f>IF(OR(Registro!D606="Resuelto",Registro!D606=""),"",SUM(B607,E607,H607,K607))</f>
        <v/>
      </c>
      <c r="O607" s="46" t="str">
        <f>IF(OR(Registro!D606="Resuelto",Registro!D606=""),"",_xlfn.CONCAT(A607,D607,G607,J607))</f>
        <v/>
      </c>
      <c r="P607" s="47">
        <v>599</v>
      </c>
      <c r="Q607" s="47" t="str">
        <f t="shared" ca="1" si="27"/>
        <v/>
      </c>
      <c r="R607" s="48" t="str">
        <f t="shared" ca="1" si="28"/>
        <v/>
      </c>
      <c r="S607" s="32"/>
      <c r="T607" s="32"/>
      <c r="U607" s="32"/>
      <c r="V607" s="32"/>
      <c r="W607" s="47" t="str">
        <f>IF(X607="","",MAX($W$5:W606)+1)</f>
        <v/>
      </c>
      <c r="X607" s="50" t="str">
        <f>IF(Registro!M606="","",IF(COUNTIF($X$8:X606,Registro!M606)=0,Registro!M606,""))</f>
        <v/>
      </c>
      <c r="Y607" s="50" t="str">
        <f t="shared" si="29"/>
        <v/>
      </c>
    </row>
    <row r="608" spans="1:25">
      <c r="A608" s="45" t="str">
        <f>IF(AND(Registro!D607="Abierto",Registro!E607="Urgente"),Registro!B607,"")</f>
        <v/>
      </c>
      <c r="B608" s="45" t="str">
        <f ca="1">IF(AND(Registro!D607="Abierto",Registro!E607="Urgente"),TODAY()-Registro!R607,"")</f>
        <v/>
      </c>
      <c r="C608" s="45" t="str">
        <f>IF(AND(Registro!D607="Abierto",Registro!E607="Urgente"),RANK(B608,$B$9:$B$1000,0)+COUNTIF($B$9:B608,B608)-1,"")</f>
        <v/>
      </c>
      <c r="D608" s="45" t="str">
        <f>IF(AND(Registro!D607="Abierto",Registro!E607="Alta"),Registro!B607,"")</f>
        <v/>
      </c>
      <c r="E608" s="45" t="str">
        <f ca="1">IF(AND(Registro!D607="Abierto",Registro!E607="Alta"),TODAY()-Registro!R607,"")</f>
        <v/>
      </c>
      <c r="F608" s="45" t="str">
        <f>IF(AND(Registro!D607="Abierto",Registro!E607="Alta"),RANK(E608,$E$9:$E$1000,0)+COUNTIF($E$9:E608,E608)-1+MAX(C$5:C$1000),"")</f>
        <v/>
      </c>
      <c r="G608" s="45" t="str">
        <f>IF(AND(Registro!D607="Abierto",Registro!E607="Media"),Registro!B607,"")</f>
        <v/>
      </c>
      <c r="H608" s="45" t="str">
        <f ca="1">IF(AND(Registro!D607="Abierto",Registro!E607="Media"),TODAY()-Registro!R607,"")</f>
        <v/>
      </c>
      <c r="I608" s="45" t="str">
        <f>IF(AND(Registro!D607="Abierto",Registro!E607="Media"),RANK(H608,$H$9:$H$1000,0)+COUNTIF($H$9:H608,H608)-1+MAX(C$5:C$1000,F$5:F$1000),"")</f>
        <v/>
      </c>
      <c r="J608" s="45" t="str">
        <f>IF(AND(Registro!D607="Abierto",Registro!E607="Baja"),Registro!B607,"")</f>
        <v/>
      </c>
      <c r="K608" s="45" t="str">
        <f ca="1">IF(AND(Registro!D607="Abierto",Registro!E607="Baja"),TODAY()-Registro!R607,"")</f>
        <v/>
      </c>
      <c r="L608" s="45" t="str">
        <f>IF(AND(Registro!D607="Abierto",Registro!E607="Baja"),RANK(K608,$K$9:$K$1000,0)+COUNTIF($K$9:K608,K608)-1+MAX(C$5:C$1000,F$5:F$1000,I$5:I$1000),"")</f>
        <v/>
      </c>
      <c r="M608" s="46" t="str">
        <f>IF(OR(Registro!D607="Resuelto",Registro!D607=""),"",SUM(C608,F608,I608,L608))</f>
        <v/>
      </c>
      <c r="N608" s="46" t="str">
        <f>IF(OR(Registro!D607="Resuelto",Registro!D607=""),"",SUM(B608,E608,H608,K608))</f>
        <v/>
      </c>
      <c r="O608" s="46" t="str">
        <f>IF(OR(Registro!D607="Resuelto",Registro!D607=""),"",_xlfn.CONCAT(A608,D608,G608,J608))</f>
        <v/>
      </c>
      <c r="P608" s="47">
        <v>600</v>
      </c>
      <c r="Q608" s="47" t="str">
        <f t="shared" ca="1" si="27"/>
        <v/>
      </c>
      <c r="R608" s="48" t="str">
        <f t="shared" ca="1" si="28"/>
        <v/>
      </c>
      <c r="S608" s="32"/>
      <c r="T608" s="32"/>
      <c r="U608" s="32"/>
      <c r="V608" s="32"/>
      <c r="W608" s="47" t="str">
        <f>IF(X608="","",MAX($W$5:W607)+1)</f>
        <v/>
      </c>
      <c r="X608" s="50" t="str">
        <f>IF(Registro!M607="","",IF(COUNTIF($X$8:X607,Registro!M607)=0,Registro!M607,""))</f>
        <v/>
      </c>
      <c r="Y608" s="50" t="str">
        <f t="shared" si="29"/>
        <v/>
      </c>
    </row>
    <row r="609" spans="1:25">
      <c r="A609" s="45" t="str">
        <f>IF(AND(Registro!D608="Abierto",Registro!E608="Urgente"),Registro!B608,"")</f>
        <v/>
      </c>
      <c r="B609" s="45" t="str">
        <f ca="1">IF(AND(Registro!D608="Abierto",Registro!E608="Urgente"),TODAY()-Registro!R608,"")</f>
        <v/>
      </c>
      <c r="C609" s="45" t="str">
        <f>IF(AND(Registro!D608="Abierto",Registro!E608="Urgente"),RANK(B609,$B$9:$B$1000,0)+COUNTIF($B$9:B609,B609)-1,"")</f>
        <v/>
      </c>
      <c r="D609" s="45" t="str">
        <f>IF(AND(Registro!D608="Abierto",Registro!E608="Alta"),Registro!B608,"")</f>
        <v/>
      </c>
      <c r="E609" s="45" t="str">
        <f ca="1">IF(AND(Registro!D608="Abierto",Registro!E608="Alta"),TODAY()-Registro!R608,"")</f>
        <v/>
      </c>
      <c r="F609" s="45" t="str">
        <f>IF(AND(Registro!D608="Abierto",Registro!E608="Alta"),RANK(E609,$E$9:$E$1000,0)+COUNTIF($E$9:E609,E609)-1+MAX(C$5:C$1000),"")</f>
        <v/>
      </c>
      <c r="G609" s="45" t="str">
        <f>IF(AND(Registro!D608="Abierto",Registro!E608="Media"),Registro!B608,"")</f>
        <v/>
      </c>
      <c r="H609" s="45" t="str">
        <f ca="1">IF(AND(Registro!D608="Abierto",Registro!E608="Media"),TODAY()-Registro!R608,"")</f>
        <v/>
      </c>
      <c r="I609" s="45" t="str">
        <f>IF(AND(Registro!D608="Abierto",Registro!E608="Media"),RANK(H609,$H$9:$H$1000,0)+COUNTIF($H$9:H609,H609)-1+MAX(C$5:C$1000,F$5:F$1000),"")</f>
        <v/>
      </c>
      <c r="J609" s="45" t="str">
        <f>IF(AND(Registro!D608="Abierto",Registro!E608="Baja"),Registro!B608,"")</f>
        <v/>
      </c>
      <c r="K609" s="45" t="str">
        <f ca="1">IF(AND(Registro!D608="Abierto",Registro!E608="Baja"),TODAY()-Registro!R608,"")</f>
        <v/>
      </c>
      <c r="L609" s="45" t="str">
        <f>IF(AND(Registro!D608="Abierto",Registro!E608="Baja"),RANK(K609,$K$9:$K$1000,0)+COUNTIF($K$9:K609,K609)-1+MAX(C$5:C$1000,F$5:F$1000,I$5:I$1000),"")</f>
        <v/>
      </c>
      <c r="M609" s="46" t="str">
        <f>IF(OR(Registro!D608="Resuelto",Registro!D608=""),"",SUM(C609,F609,I609,L609))</f>
        <v/>
      </c>
      <c r="N609" s="46" t="str">
        <f>IF(OR(Registro!D608="Resuelto",Registro!D608=""),"",SUM(B609,E609,H609,K609))</f>
        <v/>
      </c>
      <c r="O609" s="46" t="str">
        <f>IF(OR(Registro!D608="Resuelto",Registro!D608=""),"",_xlfn.CONCAT(A609,D609,G609,J609))</f>
        <v/>
      </c>
      <c r="P609" s="47">
        <v>601</v>
      </c>
      <c r="Q609" s="47" t="str">
        <f t="shared" ca="1" si="27"/>
        <v/>
      </c>
      <c r="R609" s="48" t="str">
        <f t="shared" ca="1" si="28"/>
        <v/>
      </c>
      <c r="S609" s="32"/>
      <c r="T609" s="32"/>
      <c r="U609" s="32"/>
      <c r="V609" s="32"/>
      <c r="W609" s="47" t="str">
        <f>IF(X609="","",MAX($W$5:W608)+1)</f>
        <v/>
      </c>
      <c r="X609" s="50" t="str">
        <f>IF(Registro!M608="","",IF(COUNTIF($X$8:X608,Registro!M608)=0,Registro!M608,""))</f>
        <v/>
      </c>
      <c r="Y609" s="50" t="str">
        <f t="shared" si="29"/>
        <v/>
      </c>
    </row>
    <row r="610" spans="1:25">
      <c r="A610" s="45" t="str">
        <f>IF(AND(Registro!D609="Abierto",Registro!E609="Urgente"),Registro!B609,"")</f>
        <v/>
      </c>
      <c r="B610" s="45" t="str">
        <f ca="1">IF(AND(Registro!D609="Abierto",Registro!E609="Urgente"),TODAY()-Registro!R609,"")</f>
        <v/>
      </c>
      <c r="C610" s="45" t="str">
        <f>IF(AND(Registro!D609="Abierto",Registro!E609="Urgente"),RANK(B610,$B$9:$B$1000,0)+COUNTIF($B$9:B610,B610)-1,"")</f>
        <v/>
      </c>
      <c r="D610" s="45" t="str">
        <f>IF(AND(Registro!D609="Abierto",Registro!E609="Alta"),Registro!B609,"")</f>
        <v/>
      </c>
      <c r="E610" s="45" t="str">
        <f ca="1">IF(AND(Registro!D609="Abierto",Registro!E609="Alta"),TODAY()-Registro!R609,"")</f>
        <v/>
      </c>
      <c r="F610" s="45" t="str">
        <f>IF(AND(Registro!D609="Abierto",Registro!E609="Alta"),RANK(E610,$E$9:$E$1000,0)+COUNTIF($E$9:E610,E610)-1+MAX(C$5:C$1000),"")</f>
        <v/>
      </c>
      <c r="G610" s="45" t="str">
        <f>IF(AND(Registro!D609="Abierto",Registro!E609="Media"),Registro!B609,"")</f>
        <v/>
      </c>
      <c r="H610" s="45" t="str">
        <f ca="1">IF(AND(Registro!D609="Abierto",Registro!E609="Media"),TODAY()-Registro!R609,"")</f>
        <v/>
      </c>
      <c r="I610" s="45" t="str">
        <f>IF(AND(Registro!D609="Abierto",Registro!E609="Media"),RANK(H610,$H$9:$H$1000,0)+COUNTIF($H$9:H610,H610)-1+MAX(C$5:C$1000,F$5:F$1000),"")</f>
        <v/>
      </c>
      <c r="J610" s="45" t="str">
        <f>IF(AND(Registro!D609="Abierto",Registro!E609="Baja"),Registro!B609,"")</f>
        <v/>
      </c>
      <c r="K610" s="45" t="str">
        <f ca="1">IF(AND(Registro!D609="Abierto",Registro!E609="Baja"),TODAY()-Registro!R609,"")</f>
        <v/>
      </c>
      <c r="L610" s="45" t="str">
        <f>IF(AND(Registro!D609="Abierto",Registro!E609="Baja"),RANK(K610,$K$9:$K$1000,0)+COUNTIF($K$9:K610,K610)-1+MAX(C$5:C$1000,F$5:F$1000,I$5:I$1000),"")</f>
        <v/>
      </c>
      <c r="M610" s="46" t="str">
        <f>IF(OR(Registro!D609="Resuelto",Registro!D609=""),"",SUM(C610,F610,I610,L610))</f>
        <v/>
      </c>
      <c r="N610" s="46" t="str">
        <f>IF(OR(Registro!D609="Resuelto",Registro!D609=""),"",SUM(B610,E610,H610,K610))</f>
        <v/>
      </c>
      <c r="O610" s="46" t="str">
        <f>IF(OR(Registro!D609="Resuelto",Registro!D609=""),"",_xlfn.CONCAT(A610,D610,G610,J610))</f>
        <v/>
      </c>
      <c r="P610" s="47">
        <v>602</v>
      </c>
      <c r="Q610" s="47" t="str">
        <f t="shared" ca="1" si="27"/>
        <v/>
      </c>
      <c r="R610" s="48" t="str">
        <f t="shared" ca="1" si="28"/>
        <v/>
      </c>
      <c r="S610" s="32"/>
      <c r="T610" s="32"/>
      <c r="U610" s="32"/>
      <c r="V610" s="32"/>
      <c r="W610" s="47" t="str">
        <f>IF(X610="","",MAX($W$5:W609)+1)</f>
        <v/>
      </c>
      <c r="X610" s="50" t="str">
        <f>IF(Registro!M609="","",IF(COUNTIF($X$8:X609,Registro!M609)=0,Registro!M609,""))</f>
        <v/>
      </c>
      <c r="Y610" s="50" t="str">
        <f t="shared" si="29"/>
        <v/>
      </c>
    </row>
    <row r="611" spans="1:25">
      <c r="A611" s="45" t="str">
        <f>IF(AND(Registro!D610="Abierto",Registro!E610="Urgente"),Registro!B610,"")</f>
        <v/>
      </c>
      <c r="B611" s="45" t="str">
        <f ca="1">IF(AND(Registro!D610="Abierto",Registro!E610="Urgente"),TODAY()-Registro!R610,"")</f>
        <v/>
      </c>
      <c r="C611" s="45" t="str">
        <f>IF(AND(Registro!D610="Abierto",Registro!E610="Urgente"),RANK(B611,$B$9:$B$1000,0)+COUNTIF($B$9:B611,B611)-1,"")</f>
        <v/>
      </c>
      <c r="D611" s="45" t="str">
        <f>IF(AND(Registro!D610="Abierto",Registro!E610="Alta"),Registro!B610,"")</f>
        <v/>
      </c>
      <c r="E611" s="45" t="str">
        <f ca="1">IF(AND(Registro!D610="Abierto",Registro!E610="Alta"),TODAY()-Registro!R610,"")</f>
        <v/>
      </c>
      <c r="F611" s="45" t="str">
        <f>IF(AND(Registro!D610="Abierto",Registro!E610="Alta"),RANK(E611,$E$9:$E$1000,0)+COUNTIF($E$9:E611,E611)-1+MAX(C$5:C$1000),"")</f>
        <v/>
      </c>
      <c r="G611" s="45" t="str">
        <f>IF(AND(Registro!D610="Abierto",Registro!E610="Media"),Registro!B610,"")</f>
        <v/>
      </c>
      <c r="H611" s="45" t="str">
        <f ca="1">IF(AND(Registro!D610="Abierto",Registro!E610="Media"),TODAY()-Registro!R610,"")</f>
        <v/>
      </c>
      <c r="I611" s="45" t="str">
        <f>IF(AND(Registro!D610="Abierto",Registro!E610="Media"),RANK(H611,$H$9:$H$1000,0)+COUNTIF($H$9:H611,H611)-1+MAX(C$5:C$1000,F$5:F$1000),"")</f>
        <v/>
      </c>
      <c r="J611" s="45" t="str">
        <f>IF(AND(Registro!D610="Abierto",Registro!E610="Baja"),Registro!B610,"")</f>
        <v/>
      </c>
      <c r="K611" s="45" t="str">
        <f ca="1">IF(AND(Registro!D610="Abierto",Registro!E610="Baja"),TODAY()-Registro!R610,"")</f>
        <v/>
      </c>
      <c r="L611" s="45" t="str">
        <f>IF(AND(Registro!D610="Abierto",Registro!E610="Baja"),RANK(K611,$K$9:$K$1000,0)+COUNTIF($K$9:K611,K611)-1+MAX(C$5:C$1000,F$5:F$1000,I$5:I$1000),"")</f>
        <v/>
      </c>
      <c r="M611" s="46" t="str">
        <f>IF(OR(Registro!D610="Resuelto",Registro!D610=""),"",SUM(C611,F611,I611,L611))</f>
        <v/>
      </c>
      <c r="N611" s="46" t="str">
        <f>IF(OR(Registro!D610="Resuelto",Registro!D610=""),"",SUM(B611,E611,H611,K611))</f>
        <v/>
      </c>
      <c r="O611" s="46" t="str">
        <f>IF(OR(Registro!D610="Resuelto",Registro!D610=""),"",_xlfn.CONCAT(A611,D611,G611,J611))</f>
        <v/>
      </c>
      <c r="P611" s="47">
        <v>603</v>
      </c>
      <c r="Q611" s="47" t="str">
        <f t="shared" ca="1" si="27"/>
        <v/>
      </c>
      <c r="R611" s="48" t="str">
        <f t="shared" ca="1" si="28"/>
        <v/>
      </c>
      <c r="S611" s="32"/>
      <c r="T611" s="32"/>
      <c r="U611" s="32"/>
      <c r="V611" s="32"/>
      <c r="W611" s="47" t="str">
        <f>IF(X611="","",MAX($W$5:W610)+1)</f>
        <v/>
      </c>
      <c r="X611" s="50" t="str">
        <f>IF(Registro!M610="","",IF(COUNTIF($X$8:X610,Registro!M610)=0,Registro!M610,""))</f>
        <v/>
      </c>
      <c r="Y611" s="50" t="str">
        <f t="shared" si="29"/>
        <v/>
      </c>
    </row>
    <row r="612" spans="1:25">
      <c r="A612" s="45" t="str">
        <f>IF(AND(Registro!D611="Abierto",Registro!E611="Urgente"),Registro!B611,"")</f>
        <v/>
      </c>
      <c r="B612" s="45" t="str">
        <f ca="1">IF(AND(Registro!D611="Abierto",Registro!E611="Urgente"),TODAY()-Registro!R611,"")</f>
        <v/>
      </c>
      <c r="C612" s="45" t="str">
        <f>IF(AND(Registro!D611="Abierto",Registro!E611="Urgente"),RANK(B612,$B$9:$B$1000,0)+COUNTIF($B$9:B612,B612)-1,"")</f>
        <v/>
      </c>
      <c r="D612" s="45" t="str">
        <f>IF(AND(Registro!D611="Abierto",Registro!E611="Alta"),Registro!B611,"")</f>
        <v/>
      </c>
      <c r="E612" s="45" t="str">
        <f ca="1">IF(AND(Registro!D611="Abierto",Registro!E611="Alta"),TODAY()-Registro!R611,"")</f>
        <v/>
      </c>
      <c r="F612" s="45" t="str">
        <f>IF(AND(Registro!D611="Abierto",Registro!E611="Alta"),RANK(E612,$E$9:$E$1000,0)+COUNTIF($E$9:E612,E612)-1+MAX(C$5:C$1000),"")</f>
        <v/>
      </c>
      <c r="G612" s="45" t="str">
        <f>IF(AND(Registro!D611="Abierto",Registro!E611="Media"),Registro!B611,"")</f>
        <v/>
      </c>
      <c r="H612" s="45" t="str">
        <f ca="1">IF(AND(Registro!D611="Abierto",Registro!E611="Media"),TODAY()-Registro!R611,"")</f>
        <v/>
      </c>
      <c r="I612" s="45" t="str">
        <f>IF(AND(Registro!D611="Abierto",Registro!E611="Media"),RANK(H612,$H$9:$H$1000,0)+COUNTIF($H$9:H612,H612)-1+MAX(C$5:C$1000,F$5:F$1000),"")</f>
        <v/>
      </c>
      <c r="J612" s="45" t="str">
        <f>IF(AND(Registro!D611="Abierto",Registro!E611="Baja"),Registro!B611,"")</f>
        <v/>
      </c>
      <c r="K612" s="45" t="str">
        <f ca="1">IF(AND(Registro!D611="Abierto",Registro!E611="Baja"),TODAY()-Registro!R611,"")</f>
        <v/>
      </c>
      <c r="L612" s="45" t="str">
        <f>IF(AND(Registro!D611="Abierto",Registro!E611="Baja"),RANK(K612,$K$9:$K$1000,0)+COUNTIF($K$9:K612,K612)-1+MAX(C$5:C$1000,F$5:F$1000,I$5:I$1000),"")</f>
        <v/>
      </c>
      <c r="M612" s="46" t="str">
        <f>IF(OR(Registro!D611="Resuelto",Registro!D611=""),"",SUM(C612,F612,I612,L612))</f>
        <v/>
      </c>
      <c r="N612" s="46" t="str">
        <f>IF(OR(Registro!D611="Resuelto",Registro!D611=""),"",SUM(B612,E612,H612,K612))</f>
        <v/>
      </c>
      <c r="O612" s="46" t="str">
        <f>IF(OR(Registro!D611="Resuelto",Registro!D611=""),"",_xlfn.CONCAT(A612,D612,G612,J612))</f>
        <v/>
      </c>
      <c r="P612" s="47">
        <v>604</v>
      </c>
      <c r="Q612" s="47" t="str">
        <f t="shared" ca="1" si="27"/>
        <v/>
      </c>
      <c r="R612" s="48" t="str">
        <f t="shared" ca="1" si="28"/>
        <v/>
      </c>
      <c r="S612" s="32"/>
      <c r="T612" s="32"/>
      <c r="U612" s="32"/>
      <c r="V612" s="32"/>
      <c r="W612" s="47" t="str">
        <f>IF(X612="","",MAX($W$5:W611)+1)</f>
        <v/>
      </c>
      <c r="X612" s="50" t="str">
        <f>IF(Registro!M611="","",IF(COUNTIF($X$8:X611,Registro!M611)=0,Registro!M611,""))</f>
        <v/>
      </c>
      <c r="Y612" s="50" t="str">
        <f t="shared" si="29"/>
        <v/>
      </c>
    </row>
    <row r="613" spans="1:25">
      <c r="A613" s="45" t="str">
        <f>IF(AND(Registro!D612="Abierto",Registro!E612="Urgente"),Registro!B612,"")</f>
        <v/>
      </c>
      <c r="B613" s="45" t="str">
        <f ca="1">IF(AND(Registro!D612="Abierto",Registro!E612="Urgente"),TODAY()-Registro!R612,"")</f>
        <v/>
      </c>
      <c r="C613" s="45" t="str">
        <f>IF(AND(Registro!D612="Abierto",Registro!E612="Urgente"),RANK(B613,$B$9:$B$1000,0)+COUNTIF($B$9:B613,B613)-1,"")</f>
        <v/>
      </c>
      <c r="D613" s="45" t="str">
        <f>IF(AND(Registro!D612="Abierto",Registro!E612="Alta"),Registro!B612,"")</f>
        <v/>
      </c>
      <c r="E613" s="45" t="str">
        <f ca="1">IF(AND(Registro!D612="Abierto",Registro!E612="Alta"),TODAY()-Registro!R612,"")</f>
        <v/>
      </c>
      <c r="F613" s="45" t="str">
        <f>IF(AND(Registro!D612="Abierto",Registro!E612="Alta"),RANK(E613,$E$9:$E$1000,0)+COUNTIF($E$9:E613,E613)-1+MAX(C$5:C$1000),"")</f>
        <v/>
      </c>
      <c r="G613" s="45" t="str">
        <f>IF(AND(Registro!D612="Abierto",Registro!E612="Media"),Registro!B612,"")</f>
        <v/>
      </c>
      <c r="H613" s="45" t="str">
        <f ca="1">IF(AND(Registro!D612="Abierto",Registro!E612="Media"),TODAY()-Registro!R612,"")</f>
        <v/>
      </c>
      <c r="I613" s="45" t="str">
        <f>IF(AND(Registro!D612="Abierto",Registro!E612="Media"),RANK(H613,$H$9:$H$1000,0)+COUNTIF($H$9:H613,H613)-1+MAX(C$5:C$1000,F$5:F$1000),"")</f>
        <v/>
      </c>
      <c r="J613" s="45" t="str">
        <f>IF(AND(Registro!D612="Abierto",Registro!E612="Baja"),Registro!B612,"")</f>
        <v/>
      </c>
      <c r="K613" s="45" t="str">
        <f ca="1">IF(AND(Registro!D612="Abierto",Registro!E612="Baja"),TODAY()-Registro!R612,"")</f>
        <v/>
      </c>
      <c r="L613" s="45" t="str">
        <f>IF(AND(Registro!D612="Abierto",Registro!E612="Baja"),RANK(K613,$K$9:$K$1000,0)+COUNTIF($K$9:K613,K613)-1+MAX(C$5:C$1000,F$5:F$1000,I$5:I$1000),"")</f>
        <v/>
      </c>
      <c r="M613" s="46" t="str">
        <f>IF(OR(Registro!D612="Resuelto",Registro!D612=""),"",SUM(C613,F613,I613,L613))</f>
        <v/>
      </c>
      <c r="N613" s="46" t="str">
        <f>IF(OR(Registro!D612="Resuelto",Registro!D612=""),"",SUM(B613,E613,H613,K613))</f>
        <v/>
      </c>
      <c r="O613" s="46" t="str">
        <f>IF(OR(Registro!D612="Resuelto",Registro!D612=""),"",_xlfn.CONCAT(A613,D613,G613,J613))</f>
        <v/>
      </c>
      <c r="P613" s="47">
        <v>605</v>
      </c>
      <c r="Q613" s="47" t="str">
        <f t="shared" ca="1" si="27"/>
        <v/>
      </c>
      <c r="R613" s="48" t="str">
        <f t="shared" ca="1" si="28"/>
        <v/>
      </c>
      <c r="S613" s="32"/>
      <c r="T613" s="32"/>
      <c r="U613" s="32"/>
      <c r="V613" s="32"/>
      <c r="W613" s="47" t="str">
        <f>IF(X613="","",MAX($W$5:W612)+1)</f>
        <v/>
      </c>
      <c r="X613" s="50" t="str">
        <f>IF(Registro!M612="","",IF(COUNTIF($X$8:X612,Registro!M612)=0,Registro!M612,""))</f>
        <v/>
      </c>
      <c r="Y613" s="50" t="str">
        <f t="shared" si="29"/>
        <v/>
      </c>
    </row>
    <row r="614" spans="1:25">
      <c r="A614" s="45" t="str">
        <f>IF(AND(Registro!D613="Abierto",Registro!E613="Urgente"),Registro!B613,"")</f>
        <v/>
      </c>
      <c r="B614" s="45" t="str">
        <f ca="1">IF(AND(Registro!D613="Abierto",Registro!E613="Urgente"),TODAY()-Registro!R613,"")</f>
        <v/>
      </c>
      <c r="C614" s="45" t="str">
        <f>IF(AND(Registro!D613="Abierto",Registro!E613="Urgente"),RANK(B614,$B$9:$B$1000,0)+COUNTIF($B$9:B614,B614)-1,"")</f>
        <v/>
      </c>
      <c r="D614" s="45" t="str">
        <f>IF(AND(Registro!D613="Abierto",Registro!E613="Alta"),Registro!B613,"")</f>
        <v/>
      </c>
      <c r="E614" s="45" t="str">
        <f ca="1">IF(AND(Registro!D613="Abierto",Registro!E613="Alta"),TODAY()-Registro!R613,"")</f>
        <v/>
      </c>
      <c r="F614" s="45" t="str">
        <f>IF(AND(Registro!D613="Abierto",Registro!E613="Alta"),RANK(E614,$E$9:$E$1000,0)+COUNTIF($E$9:E614,E614)-1+MAX(C$5:C$1000),"")</f>
        <v/>
      </c>
      <c r="G614" s="45" t="str">
        <f>IF(AND(Registro!D613="Abierto",Registro!E613="Media"),Registro!B613,"")</f>
        <v/>
      </c>
      <c r="H614" s="45" t="str">
        <f ca="1">IF(AND(Registro!D613="Abierto",Registro!E613="Media"),TODAY()-Registro!R613,"")</f>
        <v/>
      </c>
      <c r="I614" s="45" t="str">
        <f>IF(AND(Registro!D613="Abierto",Registro!E613="Media"),RANK(H614,$H$9:$H$1000,0)+COUNTIF($H$9:H614,H614)-1+MAX(C$5:C$1000,F$5:F$1000),"")</f>
        <v/>
      </c>
      <c r="J614" s="45" t="str">
        <f>IF(AND(Registro!D613="Abierto",Registro!E613="Baja"),Registro!B613,"")</f>
        <v/>
      </c>
      <c r="K614" s="45" t="str">
        <f ca="1">IF(AND(Registro!D613="Abierto",Registro!E613="Baja"),TODAY()-Registro!R613,"")</f>
        <v/>
      </c>
      <c r="L614" s="45" t="str">
        <f>IF(AND(Registro!D613="Abierto",Registro!E613="Baja"),RANK(K614,$K$9:$K$1000,0)+COUNTIF($K$9:K614,K614)-1+MAX(C$5:C$1000,F$5:F$1000,I$5:I$1000),"")</f>
        <v/>
      </c>
      <c r="M614" s="46" t="str">
        <f>IF(OR(Registro!D613="Resuelto",Registro!D613=""),"",SUM(C614,F614,I614,L614))</f>
        <v/>
      </c>
      <c r="N614" s="46" t="str">
        <f>IF(OR(Registro!D613="Resuelto",Registro!D613=""),"",SUM(B614,E614,H614,K614))</f>
        <v/>
      </c>
      <c r="O614" s="46" t="str">
        <f>IF(OR(Registro!D613="Resuelto",Registro!D613=""),"",_xlfn.CONCAT(A614,D614,G614,J614))</f>
        <v/>
      </c>
      <c r="P614" s="47">
        <v>606</v>
      </c>
      <c r="Q614" s="47" t="str">
        <f t="shared" ca="1" si="27"/>
        <v/>
      </c>
      <c r="R614" s="48" t="str">
        <f t="shared" ca="1" si="28"/>
        <v/>
      </c>
      <c r="S614" s="32"/>
      <c r="T614" s="32"/>
      <c r="U614" s="32"/>
      <c r="V614" s="32"/>
      <c r="W614" s="47" t="str">
        <f>IF(X614="","",MAX($W$5:W613)+1)</f>
        <v/>
      </c>
      <c r="X614" s="50" t="str">
        <f>IF(Registro!M613="","",IF(COUNTIF($X$8:X613,Registro!M613)=0,Registro!M613,""))</f>
        <v/>
      </c>
      <c r="Y614" s="50" t="str">
        <f t="shared" si="29"/>
        <v/>
      </c>
    </row>
    <row r="615" spans="1:25">
      <c r="A615" s="45" t="str">
        <f>IF(AND(Registro!D614="Abierto",Registro!E614="Urgente"),Registro!B614,"")</f>
        <v/>
      </c>
      <c r="B615" s="45" t="str">
        <f ca="1">IF(AND(Registro!D614="Abierto",Registro!E614="Urgente"),TODAY()-Registro!R614,"")</f>
        <v/>
      </c>
      <c r="C615" s="45" t="str">
        <f>IF(AND(Registro!D614="Abierto",Registro!E614="Urgente"),RANK(B615,$B$9:$B$1000,0)+COUNTIF($B$9:B615,B615)-1,"")</f>
        <v/>
      </c>
      <c r="D615" s="45" t="str">
        <f>IF(AND(Registro!D614="Abierto",Registro!E614="Alta"),Registro!B614,"")</f>
        <v/>
      </c>
      <c r="E615" s="45" t="str">
        <f ca="1">IF(AND(Registro!D614="Abierto",Registro!E614="Alta"),TODAY()-Registro!R614,"")</f>
        <v/>
      </c>
      <c r="F615" s="45" t="str">
        <f>IF(AND(Registro!D614="Abierto",Registro!E614="Alta"),RANK(E615,$E$9:$E$1000,0)+COUNTIF($E$9:E615,E615)-1+MAX(C$5:C$1000),"")</f>
        <v/>
      </c>
      <c r="G615" s="45" t="str">
        <f>IF(AND(Registro!D614="Abierto",Registro!E614="Media"),Registro!B614,"")</f>
        <v/>
      </c>
      <c r="H615" s="45" t="str">
        <f ca="1">IF(AND(Registro!D614="Abierto",Registro!E614="Media"),TODAY()-Registro!R614,"")</f>
        <v/>
      </c>
      <c r="I615" s="45" t="str">
        <f>IF(AND(Registro!D614="Abierto",Registro!E614="Media"),RANK(H615,$H$9:$H$1000,0)+COUNTIF($H$9:H615,H615)-1+MAX(C$5:C$1000,F$5:F$1000),"")</f>
        <v/>
      </c>
      <c r="J615" s="45" t="str">
        <f>IF(AND(Registro!D614="Abierto",Registro!E614="Baja"),Registro!B614,"")</f>
        <v/>
      </c>
      <c r="K615" s="45" t="str">
        <f ca="1">IF(AND(Registro!D614="Abierto",Registro!E614="Baja"),TODAY()-Registro!R614,"")</f>
        <v/>
      </c>
      <c r="L615" s="45" t="str">
        <f>IF(AND(Registro!D614="Abierto",Registro!E614="Baja"),RANK(K615,$K$9:$K$1000,0)+COUNTIF($K$9:K615,K615)-1+MAX(C$5:C$1000,F$5:F$1000,I$5:I$1000),"")</f>
        <v/>
      </c>
      <c r="M615" s="46" t="str">
        <f>IF(OR(Registro!D614="Resuelto",Registro!D614=""),"",SUM(C615,F615,I615,L615))</f>
        <v/>
      </c>
      <c r="N615" s="46" t="str">
        <f>IF(OR(Registro!D614="Resuelto",Registro!D614=""),"",SUM(B615,E615,H615,K615))</f>
        <v/>
      </c>
      <c r="O615" s="46" t="str">
        <f>IF(OR(Registro!D614="Resuelto",Registro!D614=""),"",_xlfn.CONCAT(A615,D615,G615,J615))</f>
        <v/>
      </c>
      <c r="P615" s="47">
        <v>607</v>
      </c>
      <c r="Q615" s="47" t="str">
        <f t="shared" ca="1" si="27"/>
        <v/>
      </c>
      <c r="R615" s="48" t="str">
        <f t="shared" ca="1" si="28"/>
        <v/>
      </c>
      <c r="S615" s="32"/>
      <c r="T615" s="32"/>
      <c r="U615" s="32"/>
      <c r="V615" s="32"/>
      <c r="W615" s="47" t="str">
        <f>IF(X615="","",MAX($W$5:W614)+1)</f>
        <v/>
      </c>
      <c r="X615" s="50" t="str">
        <f>IF(Registro!M614="","",IF(COUNTIF($X$8:X614,Registro!M614)=0,Registro!M614,""))</f>
        <v/>
      </c>
      <c r="Y615" s="50" t="str">
        <f t="shared" si="29"/>
        <v/>
      </c>
    </row>
    <row r="616" spans="1:25">
      <c r="A616" s="45" t="str">
        <f>IF(AND(Registro!D615="Abierto",Registro!E615="Urgente"),Registro!B615,"")</f>
        <v/>
      </c>
      <c r="B616" s="45" t="str">
        <f ca="1">IF(AND(Registro!D615="Abierto",Registro!E615="Urgente"),TODAY()-Registro!R615,"")</f>
        <v/>
      </c>
      <c r="C616" s="45" t="str">
        <f>IF(AND(Registro!D615="Abierto",Registro!E615="Urgente"),RANK(B616,$B$9:$B$1000,0)+COUNTIF($B$9:B616,B616)-1,"")</f>
        <v/>
      </c>
      <c r="D616" s="45" t="str">
        <f>IF(AND(Registro!D615="Abierto",Registro!E615="Alta"),Registro!B615,"")</f>
        <v/>
      </c>
      <c r="E616" s="45" t="str">
        <f ca="1">IF(AND(Registro!D615="Abierto",Registro!E615="Alta"),TODAY()-Registro!R615,"")</f>
        <v/>
      </c>
      <c r="F616" s="45" t="str">
        <f>IF(AND(Registro!D615="Abierto",Registro!E615="Alta"),RANK(E616,$E$9:$E$1000,0)+COUNTIF($E$9:E616,E616)-1+MAX(C$5:C$1000),"")</f>
        <v/>
      </c>
      <c r="G616" s="45" t="str">
        <f>IF(AND(Registro!D615="Abierto",Registro!E615="Media"),Registro!B615,"")</f>
        <v/>
      </c>
      <c r="H616" s="45" t="str">
        <f ca="1">IF(AND(Registro!D615="Abierto",Registro!E615="Media"),TODAY()-Registro!R615,"")</f>
        <v/>
      </c>
      <c r="I616" s="45" t="str">
        <f>IF(AND(Registro!D615="Abierto",Registro!E615="Media"),RANK(H616,$H$9:$H$1000,0)+COUNTIF($H$9:H616,H616)-1+MAX(C$5:C$1000,F$5:F$1000),"")</f>
        <v/>
      </c>
      <c r="J616" s="45" t="str">
        <f>IF(AND(Registro!D615="Abierto",Registro!E615="Baja"),Registro!B615,"")</f>
        <v/>
      </c>
      <c r="K616" s="45" t="str">
        <f ca="1">IF(AND(Registro!D615="Abierto",Registro!E615="Baja"),TODAY()-Registro!R615,"")</f>
        <v/>
      </c>
      <c r="L616" s="45" t="str">
        <f>IF(AND(Registro!D615="Abierto",Registro!E615="Baja"),RANK(K616,$K$9:$K$1000,0)+COUNTIF($K$9:K616,K616)-1+MAX(C$5:C$1000,F$5:F$1000,I$5:I$1000),"")</f>
        <v/>
      </c>
      <c r="M616" s="46" t="str">
        <f>IF(OR(Registro!D615="Resuelto",Registro!D615=""),"",SUM(C616,F616,I616,L616))</f>
        <v/>
      </c>
      <c r="N616" s="46" t="str">
        <f>IF(OR(Registro!D615="Resuelto",Registro!D615=""),"",SUM(B616,E616,H616,K616))</f>
        <v/>
      </c>
      <c r="O616" s="46" t="str">
        <f>IF(OR(Registro!D615="Resuelto",Registro!D615=""),"",_xlfn.CONCAT(A616,D616,G616,J616))</f>
        <v/>
      </c>
      <c r="P616" s="47">
        <v>608</v>
      </c>
      <c r="Q616" s="47" t="str">
        <f t="shared" ca="1" si="27"/>
        <v/>
      </c>
      <c r="R616" s="48" t="str">
        <f t="shared" ca="1" si="28"/>
        <v/>
      </c>
      <c r="S616" s="32"/>
      <c r="T616" s="32"/>
      <c r="U616" s="32"/>
      <c r="V616" s="32"/>
      <c r="W616" s="47" t="str">
        <f>IF(X616="","",MAX($W$5:W615)+1)</f>
        <v/>
      </c>
      <c r="X616" s="50" t="str">
        <f>IF(Registro!M615="","",IF(COUNTIF($X$8:X615,Registro!M615)=0,Registro!M615,""))</f>
        <v/>
      </c>
      <c r="Y616" s="50" t="str">
        <f t="shared" si="29"/>
        <v/>
      </c>
    </row>
    <row r="617" spans="1:25">
      <c r="A617" s="45" t="str">
        <f>IF(AND(Registro!D616="Abierto",Registro!E616="Urgente"),Registro!B616,"")</f>
        <v/>
      </c>
      <c r="B617" s="45" t="str">
        <f ca="1">IF(AND(Registro!D616="Abierto",Registro!E616="Urgente"),TODAY()-Registro!R616,"")</f>
        <v/>
      </c>
      <c r="C617" s="45" t="str">
        <f>IF(AND(Registro!D616="Abierto",Registro!E616="Urgente"),RANK(B617,$B$9:$B$1000,0)+COUNTIF($B$9:B617,B617)-1,"")</f>
        <v/>
      </c>
      <c r="D617" s="45" t="str">
        <f>IF(AND(Registro!D616="Abierto",Registro!E616="Alta"),Registro!B616,"")</f>
        <v/>
      </c>
      <c r="E617" s="45" t="str">
        <f ca="1">IF(AND(Registro!D616="Abierto",Registro!E616="Alta"),TODAY()-Registro!R616,"")</f>
        <v/>
      </c>
      <c r="F617" s="45" t="str">
        <f>IF(AND(Registro!D616="Abierto",Registro!E616="Alta"),RANK(E617,$E$9:$E$1000,0)+COUNTIF($E$9:E617,E617)-1+MAX(C$5:C$1000),"")</f>
        <v/>
      </c>
      <c r="G617" s="45" t="str">
        <f>IF(AND(Registro!D616="Abierto",Registro!E616="Media"),Registro!B616,"")</f>
        <v/>
      </c>
      <c r="H617" s="45" t="str">
        <f ca="1">IF(AND(Registro!D616="Abierto",Registro!E616="Media"),TODAY()-Registro!R616,"")</f>
        <v/>
      </c>
      <c r="I617" s="45" t="str">
        <f>IF(AND(Registro!D616="Abierto",Registro!E616="Media"),RANK(H617,$H$9:$H$1000,0)+COUNTIF($H$9:H617,H617)-1+MAX(C$5:C$1000,F$5:F$1000),"")</f>
        <v/>
      </c>
      <c r="J617" s="45" t="str">
        <f>IF(AND(Registro!D616="Abierto",Registro!E616="Baja"),Registro!B616,"")</f>
        <v/>
      </c>
      <c r="K617" s="45" t="str">
        <f ca="1">IF(AND(Registro!D616="Abierto",Registro!E616="Baja"),TODAY()-Registro!R616,"")</f>
        <v/>
      </c>
      <c r="L617" s="45" t="str">
        <f>IF(AND(Registro!D616="Abierto",Registro!E616="Baja"),RANK(K617,$K$9:$K$1000,0)+COUNTIF($K$9:K617,K617)-1+MAX(C$5:C$1000,F$5:F$1000,I$5:I$1000),"")</f>
        <v/>
      </c>
      <c r="M617" s="46" t="str">
        <f>IF(OR(Registro!D616="Resuelto",Registro!D616=""),"",SUM(C617,F617,I617,L617))</f>
        <v/>
      </c>
      <c r="N617" s="46" t="str">
        <f>IF(OR(Registro!D616="Resuelto",Registro!D616=""),"",SUM(B617,E617,H617,K617))</f>
        <v/>
      </c>
      <c r="O617" s="46" t="str">
        <f>IF(OR(Registro!D616="Resuelto",Registro!D616=""),"",_xlfn.CONCAT(A617,D617,G617,J617))</f>
        <v/>
      </c>
      <c r="P617" s="47">
        <v>609</v>
      </c>
      <c r="Q617" s="47" t="str">
        <f t="shared" ca="1" si="27"/>
        <v/>
      </c>
      <c r="R617" s="48" t="str">
        <f t="shared" ca="1" si="28"/>
        <v/>
      </c>
      <c r="S617" s="32"/>
      <c r="T617" s="32"/>
      <c r="U617" s="32"/>
      <c r="V617" s="32"/>
      <c r="W617" s="47" t="str">
        <f>IF(X617="","",MAX($W$5:W616)+1)</f>
        <v/>
      </c>
      <c r="X617" s="50" t="str">
        <f>IF(Registro!M616="","",IF(COUNTIF($X$8:X616,Registro!M616)=0,Registro!M616,""))</f>
        <v/>
      </c>
      <c r="Y617" s="50" t="str">
        <f t="shared" si="29"/>
        <v/>
      </c>
    </row>
    <row r="618" spans="1:25">
      <c r="A618" s="45" t="str">
        <f>IF(AND(Registro!D617="Abierto",Registro!E617="Urgente"),Registro!B617,"")</f>
        <v/>
      </c>
      <c r="B618" s="45" t="str">
        <f ca="1">IF(AND(Registro!D617="Abierto",Registro!E617="Urgente"),TODAY()-Registro!R617,"")</f>
        <v/>
      </c>
      <c r="C618" s="45" t="str">
        <f>IF(AND(Registro!D617="Abierto",Registro!E617="Urgente"),RANK(B618,$B$9:$B$1000,0)+COUNTIF($B$9:B618,B618)-1,"")</f>
        <v/>
      </c>
      <c r="D618" s="45" t="str">
        <f>IF(AND(Registro!D617="Abierto",Registro!E617="Alta"),Registro!B617,"")</f>
        <v/>
      </c>
      <c r="E618" s="45" t="str">
        <f ca="1">IF(AND(Registro!D617="Abierto",Registro!E617="Alta"),TODAY()-Registro!R617,"")</f>
        <v/>
      </c>
      <c r="F618" s="45" t="str">
        <f>IF(AND(Registro!D617="Abierto",Registro!E617="Alta"),RANK(E618,$E$9:$E$1000,0)+COUNTIF($E$9:E618,E618)-1+MAX(C$5:C$1000),"")</f>
        <v/>
      </c>
      <c r="G618" s="45" t="str">
        <f>IF(AND(Registro!D617="Abierto",Registro!E617="Media"),Registro!B617,"")</f>
        <v/>
      </c>
      <c r="H618" s="45" t="str">
        <f ca="1">IF(AND(Registro!D617="Abierto",Registro!E617="Media"),TODAY()-Registro!R617,"")</f>
        <v/>
      </c>
      <c r="I618" s="45" t="str">
        <f>IF(AND(Registro!D617="Abierto",Registro!E617="Media"),RANK(H618,$H$9:$H$1000,0)+COUNTIF($H$9:H618,H618)-1+MAX(C$5:C$1000,F$5:F$1000),"")</f>
        <v/>
      </c>
      <c r="J618" s="45" t="str">
        <f>IF(AND(Registro!D617="Abierto",Registro!E617="Baja"),Registro!B617,"")</f>
        <v/>
      </c>
      <c r="K618" s="45" t="str">
        <f ca="1">IF(AND(Registro!D617="Abierto",Registro!E617="Baja"),TODAY()-Registro!R617,"")</f>
        <v/>
      </c>
      <c r="L618" s="45" t="str">
        <f>IF(AND(Registro!D617="Abierto",Registro!E617="Baja"),RANK(K618,$K$9:$K$1000,0)+COUNTIF($K$9:K618,K618)-1+MAX(C$5:C$1000,F$5:F$1000,I$5:I$1000),"")</f>
        <v/>
      </c>
      <c r="M618" s="46" t="str">
        <f>IF(OR(Registro!D617="Resuelto",Registro!D617=""),"",SUM(C618,F618,I618,L618))</f>
        <v/>
      </c>
      <c r="N618" s="46" t="str">
        <f>IF(OR(Registro!D617="Resuelto",Registro!D617=""),"",SUM(B618,E618,H618,K618))</f>
        <v/>
      </c>
      <c r="O618" s="46" t="str">
        <f>IF(OR(Registro!D617="Resuelto",Registro!D617=""),"",_xlfn.CONCAT(A618,D618,G618,J618))</f>
        <v/>
      </c>
      <c r="P618" s="47">
        <v>610</v>
      </c>
      <c r="Q618" s="47" t="str">
        <f t="shared" ca="1" si="27"/>
        <v/>
      </c>
      <c r="R618" s="48" t="str">
        <f t="shared" ca="1" si="28"/>
        <v/>
      </c>
      <c r="S618" s="32"/>
      <c r="T618" s="32"/>
      <c r="U618" s="32"/>
      <c r="V618" s="32"/>
      <c r="W618" s="47" t="str">
        <f>IF(X618="","",MAX($W$5:W617)+1)</f>
        <v/>
      </c>
      <c r="X618" s="50" t="str">
        <f>IF(Registro!M617="","",IF(COUNTIF($X$8:X617,Registro!M617)=0,Registro!M617,""))</f>
        <v/>
      </c>
      <c r="Y618" s="50" t="str">
        <f t="shared" si="29"/>
        <v/>
      </c>
    </row>
    <row r="619" spans="1:25">
      <c r="A619" s="45" t="str">
        <f>IF(AND(Registro!D618="Abierto",Registro!E618="Urgente"),Registro!B618,"")</f>
        <v/>
      </c>
      <c r="B619" s="45" t="str">
        <f ca="1">IF(AND(Registro!D618="Abierto",Registro!E618="Urgente"),TODAY()-Registro!R618,"")</f>
        <v/>
      </c>
      <c r="C619" s="45" t="str">
        <f>IF(AND(Registro!D618="Abierto",Registro!E618="Urgente"),RANK(B619,$B$9:$B$1000,0)+COUNTIF($B$9:B619,B619)-1,"")</f>
        <v/>
      </c>
      <c r="D619" s="45" t="str">
        <f>IF(AND(Registro!D618="Abierto",Registro!E618="Alta"),Registro!B618,"")</f>
        <v/>
      </c>
      <c r="E619" s="45" t="str">
        <f ca="1">IF(AND(Registro!D618="Abierto",Registro!E618="Alta"),TODAY()-Registro!R618,"")</f>
        <v/>
      </c>
      <c r="F619" s="45" t="str">
        <f>IF(AND(Registro!D618="Abierto",Registro!E618="Alta"),RANK(E619,$E$9:$E$1000,0)+COUNTIF($E$9:E619,E619)-1+MAX(C$5:C$1000),"")</f>
        <v/>
      </c>
      <c r="G619" s="45" t="str">
        <f>IF(AND(Registro!D618="Abierto",Registro!E618="Media"),Registro!B618,"")</f>
        <v/>
      </c>
      <c r="H619" s="45" t="str">
        <f ca="1">IF(AND(Registro!D618="Abierto",Registro!E618="Media"),TODAY()-Registro!R618,"")</f>
        <v/>
      </c>
      <c r="I619" s="45" t="str">
        <f>IF(AND(Registro!D618="Abierto",Registro!E618="Media"),RANK(H619,$H$9:$H$1000,0)+COUNTIF($H$9:H619,H619)-1+MAX(C$5:C$1000,F$5:F$1000),"")</f>
        <v/>
      </c>
      <c r="J619" s="45" t="str">
        <f>IF(AND(Registro!D618="Abierto",Registro!E618="Baja"),Registro!B618,"")</f>
        <v/>
      </c>
      <c r="K619" s="45" t="str">
        <f ca="1">IF(AND(Registro!D618="Abierto",Registro!E618="Baja"),TODAY()-Registro!R618,"")</f>
        <v/>
      </c>
      <c r="L619" s="45" t="str">
        <f>IF(AND(Registro!D618="Abierto",Registro!E618="Baja"),RANK(K619,$K$9:$K$1000,0)+COUNTIF($K$9:K619,K619)-1+MAX(C$5:C$1000,F$5:F$1000,I$5:I$1000),"")</f>
        <v/>
      </c>
      <c r="M619" s="46" t="str">
        <f>IF(OR(Registro!D618="Resuelto",Registro!D618=""),"",SUM(C619,F619,I619,L619))</f>
        <v/>
      </c>
      <c r="N619" s="46" t="str">
        <f>IF(OR(Registro!D618="Resuelto",Registro!D618=""),"",SUM(B619,E619,H619,K619))</f>
        <v/>
      </c>
      <c r="O619" s="46" t="str">
        <f>IF(OR(Registro!D618="Resuelto",Registro!D618=""),"",_xlfn.CONCAT(A619,D619,G619,J619))</f>
        <v/>
      </c>
      <c r="P619" s="47">
        <v>611</v>
      </c>
      <c r="Q619" s="47" t="str">
        <f t="shared" ca="1" si="27"/>
        <v/>
      </c>
      <c r="R619" s="48" t="str">
        <f t="shared" ca="1" si="28"/>
        <v/>
      </c>
      <c r="S619" s="32"/>
      <c r="T619" s="32"/>
      <c r="U619" s="32"/>
      <c r="V619" s="32"/>
      <c r="W619" s="47" t="str">
        <f>IF(X619="","",MAX($W$5:W618)+1)</f>
        <v/>
      </c>
      <c r="X619" s="50" t="str">
        <f>IF(Registro!M618="","",IF(COUNTIF($X$8:X618,Registro!M618)=0,Registro!M618,""))</f>
        <v/>
      </c>
      <c r="Y619" s="50" t="str">
        <f t="shared" si="29"/>
        <v/>
      </c>
    </row>
    <row r="620" spans="1:25">
      <c r="A620" s="45" t="str">
        <f>IF(AND(Registro!D619="Abierto",Registro!E619="Urgente"),Registro!B619,"")</f>
        <v/>
      </c>
      <c r="B620" s="45" t="str">
        <f ca="1">IF(AND(Registro!D619="Abierto",Registro!E619="Urgente"),TODAY()-Registro!R619,"")</f>
        <v/>
      </c>
      <c r="C620" s="45" t="str">
        <f>IF(AND(Registro!D619="Abierto",Registro!E619="Urgente"),RANK(B620,$B$9:$B$1000,0)+COUNTIF($B$9:B620,B620)-1,"")</f>
        <v/>
      </c>
      <c r="D620" s="45" t="str">
        <f>IF(AND(Registro!D619="Abierto",Registro!E619="Alta"),Registro!B619,"")</f>
        <v/>
      </c>
      <c r="E620" s="45" t="str">
        <f ca="1">IF(AND(Registro!D619="Abierto",Registro!E619="Alta"),TODAY()-Registro!R619,"")</f>
        <v/>
      </c>
      <c r="F620" s="45" t="str">
        <f>IF(AND(Registro!D619="Abierto",Registro!E619="Alta"),RANK(E620,$E$9:$E$1000,0)+COUNTIF($E$9:E620,E620)-1+MAX(C$5:C$1000),"")</f>
        <v/>
      </c>
      <c r="G620" s="45" t="str">
        <f>IF(AND(Registro!D619="Abierto",Registro!E619="Media"),Registro!B619,"")</f>
        <v/>
      </c>
      <c r="H620" s="45" t="str">
        <f ca="1">IF(AND(Registro!D619="Abierto",Registro!E619="Media"),TODAY()-Registro!R619,"")</f>
        <v/>
      </c>
      <c r="I620" s="45" t="str">
        <f>IF(AND(Registro!D619="Abierto",Registro!E619="Media"),RANK(H620,$H$9:$H$1000,0)+COUNTIF($H$9:H620,H620)-1+MAX(C$5:C$1000,F$5:F$1000),"")</f>
        <v/>
      </c>
      <c r="J620" s="45" t="str">
        <f>IF(AND(Registro!D619="Abierto",Registro!E619="Baja"),Registro!B619,"")</f>
        <v/>
      </c>
      <c r="K620" s="45" t="str">
        <f ca="1">IF(AND(Registro!D619="Abierto",Registro!E619="Baja"),TODAY()-Registro!R619,"")</f>
        <v/>
      </c>
      <c r="L620" s="45" t="str">
        <f>IF(AND(Registro!D619="Abierto",Registro!E619="Baja"),RANK(K620,$K$9:$K$1000,0)+COUNTIF($K$9:K620,K620)-1+MAX(C$5:C$1000,F$5:F$1000,I$5:I$1000),"")</f>
        <v/>
      </c>
      <c r="M620" s="46" t="str">
        <f>IF(OR(Registro!D619="Resuelto",Registro!D619=""),"",SUM(C620,F620,I620,L620))</f>
        <v/>
      </c>
      <c r="N620" s="46" t="str">
        <f>IF(OR(Registro!D619="Resuelto",Registro!D619=""),"",SUM(B620,E620,H620,K620))</f>
        <v/>
      </c>
      <c r="O620" s="46" t="str">
        <f>IF(OR(Registro!D619="Resuelto",Registro!D619=""),"",_xlfn.CONCAT(A620,D620,G620,J620))</f>
        <v/>
      </c>
      <c r="P620" s="47">
        <v>612</v>
      </c>
      <c r="Q620" s="47" t="str">
        <f t="shared" ca="1" si="27"/>
        <v/>
      </c>
      <c r="R620" s="48" t="str">
        <f t="shared" ca="1" si="28"/>
        <v/>
      </c>
      <c r="S620" s="32"/>
      <c r="T620" s="32"/>
      <c r="U620" s="32"/>
      <c r="V620" s="32"/>
      <c r="W620" s="47" t="str">
        <f>IF(X620="","",MAX($W$5:W619)+1)</f>
        <v/>
      </c>
      <c r="X620" s="50" t="str">
        <f>IF(Registro!M619="","",IF(COUNTIF($X$8:X619,Registro!M619)=0,Registro!M619,""))</f>
        <v/>
      </c>
      <c r="Y620" s="50" t="str">
        <f t="shared" si="29"/>
        <v/>
      </c>
    </row>
    <row r="621" spans="1:25">
      <c r="A621" s="45" t="str">
        <f>IF(AND(Registro!D620="Abierto",Registro!E620="Urgente"),Registro!B620,"")</f>
        <v/>
      </c>
      <c r="B621" s="45" t="str">
        <f ca="1">IF(AND(Registro!D620="Abierto",Registro!E620="Urgente"),TODAY()-Registro!R620,"")</f>
        <v/>
      </c>
      <c r="C621" s="45" t="str">
        <f>IF(AND(Registro!D620="Abierto",Registro!E620="Urgente"),RANK(B621,$B$9:$B$1000,0)+COUNTIF($B$9:B621,B621)-1,"")</f>
        <v/>
      </c>
      <c r="D621" s="45" t="str">
        <f>IF(AND(Registro!D620="Abierto",Registro!E620="Alta"),Registro!B620,"")</f>
        <v/>
      </c>
      <c r="E621" s="45" t="str">
        <f ca="1">IF(AND(Registro!D620="Abierto",Registro!E620="Alta"),TODAY()-Registro!R620,"")</f>
        <v/>
      </c>
      <c r="F621" s="45" t="str">
        <f>IF(AND(Registro!D620="Abierto",Registro!E620="Alta"),RANK(E621,$E$9:$E$1000,0)+COUNTIF($E$9:E621,E621)-1+MAX(C$5:C$1000),"")</f>
        <v/>
      </c>
      <c r="G621" s="45" t="str">
        <f>IF(AND(Registro!D620="Abierto",Registro!E620="Media"),Registro!B620,"")</f>
        <v/>
      </c>
      <c r="H621" s="45" t="str">
        <f ca="1">IF(AND(Registro!D620="Abierto",Registro!E620="Media"),TODAY()-Registro!R620,"")</f>
        <v/>
      </c>
      <c r="I621" s="45" t="str">
        <f>IF(AND(Registro!D620="Abierto",Registro!E620="Media"),RANK(H621,$H$9:$H$1000,0)+COUNTIF($H$9:H621,H621)-1+MAX(C$5:C$1000,F$5:F$1000),"")</f>
        <v/>
      </c>
      <c r="J621" s="45" t="str">
        <f>IF(AND(Registro!D620="Abierto",Registro!E620="Baja"),Registro!B620,"")</f>
        <v/>
      </c>
      <c r="K621" s="45" t="str">
        <f ca="1">IF(AND(Registro!D620="Abierto",Registro!E620="Baja"),TODAY()-Registro!R620,"")</f>
        <v/>
      </c>
      <c r="L621" s="45" t="str">
        <f>IF(AND(Registro!D620="Abierto",Registro!E620="Baja"),RANK(K621,$K$9:$K$1000,0)+COUNTIF($K$9:K621,K621)-1+MAX(C$5:C$1000,F$5:F$1000,I$5:I$1000),"")</f>
        <v/>
      </c>
      <c r="M621" s="46" t="str">
        <f>IF(OR(Registro!D620="Resuelto",Registro!D620=""),"",SUM(C621,F621,I621,L621))</f>
        <v/>
      </c>
      <c r="N621" s="46" t="str">
        <f>IF(OR(Registro!D620="Resuelto",Registro!D620=""),"",SUM(B621,E621,H621,K621))</f>
        <v/>
      </c>
      <c r="O621" s="46" t="str">
        <f>IF(OR(Registro!D620="Resuelto",Registro!D620=""),"",_xlfn.CONCAT(A621,D621,G621,J621))</f>
        <v/>
      </c>
      <c r="P621" s="47">
        <v>613</v>
      </c>
      <c r="Q621" s="47" t="str">
        <f t="shared" ca="1" si="27"/>
        <v/>
      </c>
      <c r="R621" s="48" t="str">
        <f t="shared" ca="1" si="28"/>
        <v/>
      </c>
      <c r="S621" s="32"/>
      <c r="T621" s="32"/>
      <c r="U621" s="32"/>
      <c r="V621" s="32"/>
      <c r="W621" s="47" t="str">
        <f>IF(X621="","",MAX($W$5:W620)+1)</f>
        <v/>
      </c>
      <c r="X621" s="50" t="str">
        <f>IF(Registro!M620="","",IF(COUNTIF($X$8:X620,Registro!M620)=0,Registro!M620,""))</f>
        <v/>
      </c>
      <c r="Y621" s="50" t="str">
        <f t="shared" si="29"/>
        <v/>
      </c>
    </row>
    <row r="622" spans="1:25">
      <c r="A622" s="45" t="str">
        <f>IF(AND(Registro!D621="Abierto",Registro!E621="Urgente"),Registro!B621,"")</f>
        <v/>
      </c>
      <c r="B622" s="45" t="str">
        <f ca="1">IF(AND(Registro!D621="Abierto",Registro!E621="Urgente"),TODAY()-Registro!R621,"")</f>
        <v/>
      </c>
      <c r="C622" s="45" t="str">
        <f>IF(AND(Registro!D621="Abierto",Registro!E621="Urgente"),RANK(B622,$B$9:$B$1000,0)+COUNTIF($B$9:B622,B622)-1,"")</f>
        <v/>
      </c>
      <c r="D622" s="45" t="str">
        <f>IF(AND(Registro!D621="Abierto",Registro!E621="Alta"),Registro!B621,"")</f>
        <v/>
      </c>
      <c r="E622" s="45" t="str">
        <f ca="1">IF(AND(Registro!D621="Abierto",Registro!E621="Alta"),TODAY()-Registro!R621,"")</f>
        <v/>
      </c>
      <c r="F622" s="45" t="str">
        <f>IF(AND(Registro!D621="Abierto",Registro!E621="Alta"),RANK(E622,$E$9:$E$1000,0)+COUNTIF($E$9:E622,E622)-1+MAX(C$5:C$1000),"")</f>
        <v/>
      </c>
      <c r="G622" s="45" t="str">
        <f>IF(AND(Registro!D621="Abierto",Registro!E621="Media"),Registro!B621,"")</f>
        <v/>
      </c>
      <c r="H622" s="45" t="str">
        <f ca="1">IF(AND(Registro!D621="Abierto",Registro!E621="Media"),TODAY()-Registro!R621,"")</f>
        <v/>
      </c>
      <c r="I622" s="45" t="str">
        <f>IF(AND(Registro!D621="Abierto",Registro!E621="Media"),RANK(H622,$H$9:$H$1000,0)+COUNTIF($H$9:H622,H622)-1+MAX(C$5:C$1000,F$5:F$1000),"")</f>
        <v/>
      </c>
      <c r="J622" s="45" t="str">
        <f>IF(AND(Registro!D621="Abierto",Registro!E621="Baja"),Registro!B621,"")</f>
        <v/>
      </c>
      <c r="K622" s="45" t="str">
        <f ca="1">IF(AND(Registro!D621="Abierto",Registro!E621="Baja"),TODAY()-Registro!R621,"")</f>
        <v/>
      </c>
      <c r="L622" s="45" t="str">
        <f>IF(AND(Registro!D621="Abierto",Registro!E621="Baja"),RANK(K622,$K$9:$K$1000,0)+COUNTIF($K$9:K622,K622)-1+MAX(C$5:C$1000,F$5:F$1000,I$5:I$1000),"")</f>
        <v/>
      </c>
      <c r="M622" s="46" t="str">
        <f>IF(OR(Registro!D621="Resuelto",Registro!D621=""),"",SUM(C622,F622,I622,L622))</f>
        <v/>
      </c>
      <c r="N622" s="46" t="str">
        <f>IF(OR(Registro!D621="Resuelto",Registro!D621=""),"",SUM(B622,E622,H622,K622))</f>
        <v/>
      </c>
      <c r="O622" s="46" t="str">
        <f>IF(OR(Registro!D621="Resuelto",Registro!D621=""),"",_xlfn.CONCAT(A622,D622,G622,J622))</f>
        <v/>
      </c>
      <c r="P622" s="47">
        <v>614</v>
      </c>
      <c r="Q622" s="47" t="str">
        <f t="shared" ca="1" si="27"/>
        <v/>
      </c>
      <c r="R622" s="48" t="str">
        <f t="shared" ca="1" si="28"/>
        <v/>
      </c>
      <c r="S622" s="32"/>
      <c r="T622" s="32"/>
      <c r="U622" s="32"/>
      <c r="V622" s="32"/>
      <c r="W622" s="47" t="str">
        <f>IF(X622="","",MAX($W$5:W621)+1)</f>
        <v/>
      </c>
      <c r="X622" s="50" t="str">
        <f>IF(Registro!M621="","",IF(COUNTIF($X$8:X621,Registro!M621)=0,Registro!M621,""))</f>
        <v/>
      </c>
      <c r="Y622" s="50" t="str">
        <f t="shared" si="29"/>
        <v/>
      </c>
    </row>
    <row r="623" spans="1:25">
      <c r="A623" s="45" t="str">
        <f>IF(AND(Registro!D622="Abierto",Registro!E622="Urgente"),Registro!B622,"")</f>
        <v/>
      </c>
      <c r="B623" s="45" t="str">
        <f ca="1">IF(AND(Registro!D622="Abierto",Registro!E622="Urgente"),TODAY()-Registro!R622,"")</f>
        <v/>
      </c>
      <c r="C623" s="45" t="str">
        <f>IF(AND(Registro!D622="Abierto",Registro!E622="Urgente"),RANK(B623,$B$9:$B$1000,0)+COUNTIF($B$9:B623,B623)-1,"")</f>
        <v/>
      </c>
      <c r="D623" s="45" t="str">
        <f>IF(AND(Registro!D622="Abierto",Registro!E622="Alta"),Registro!B622,"")</f>
        <v/>
      </c>
      <c r="E623" s="45" t="str">
        <f ca="1">IF(AND(Registro!D622="Abierto",Registro!E622="Alta"),TODAY()-Registro!R622,"")</f>
        <v/>
      </c>
      <c r="F623" s="45" t="str">
        <f>IF(AND(Registro!D622="Abierto",Registro!E622="Alta"),RANK(E623,$E$9:$E$1000,0)+COUNTIF($E$9:E623,E623)-1+MAX(C$5:C$1000),"")</f>
        <v/>
      </c>
      <c r="G623" s="45" t="str">
        <f>IF(AND(Registro!D622="Abierto",Registro!E622="Media"),Registro!B622,"")</f>
        <v/>
      </c>
      <c r="H623" s="45" t="str">
        <f ca="1">IF(AND(Registro!D622="Abierto",Registro!E622="Media"),TODAY()-Registro!R622,"")</f>
        <v/>
      </c>
      <c r="I623" s="45" t="str">
        <f>IF(AND(Registro!D622="Abierto",Registro!E622="Media"),RANK(H623,$H$9:$H$1000,0)+COUNTIF($H$9:H623,H623)-1+MAX(C$5:C$1000,F$5:F$1000),"")</f>
        <v/>
      </c>
      <c r="J623" s="45" t="str">
        <f>IF(AND(Registro!D622="Abierto",Registro!E622="Baja"),Registro!B622,"")</f>
        <v/>
      </c>
      <c r="K623" s="45" t="str">
        <f ca="1">IF(AND(Registro!D622="Abierto",Registro!E622="Baja"),TODAY()-Registro!R622,"")</f>
        <v/>
      </c>
      <c r="L623" s="45" t="str">
        <f>IF(AND(Registro!D622="Abierto",Registro!E622="Baja"),RANK(K623,$K$9:$K$1000,0)+COUNTIF($K$9:K623,K623)-1+MAX(C$5:C$1000,F$5:F$1000,I$5:I$1000),"")</f>
        <v/>
      </c>
      <c r="M623" s="46" t="str">
        <f>IF(OR(Registro!D622="Resuelto",Registro!D622=""),"",SUM(C623,F623,I623,L623))</f>
        <v/>
      </c>
      <c r="N623" s="46" t="str">
        <f>IF(OR(Registro!D622="Resuelto",Registro!D622=""),"",SUM(B623,E623,H623,K623))</f>
        <v/>
      </c>
      <c r="O623" s="46" t="str">
        <f>IF(OR(Registro!D622="Resuelto",Registro!D622=""),"",_xlfn.CONCAT(A623,D623,G623,J623))</f>
        <v/>
      </c>
      <c r="P623" s="47">
        <v>615</v>
      </c>
      <c r="Q623" s="47" t="str">
        <f t="shared" ca="1" si="27"/>
        <v/>
      </c>
      <c r="R623" s="48" t="str">
        <f t="shared" ca="1" si="28"/>
        <v/>
      </c>
      <c r="S623" s="32"/>
      <c r="T623" s="32"/>
      <c r="U623" s="32"/>
      <c r="V623" s="32"/>
      <c r="W623" s="47" t="str">
        <f>IF(X623="","",MAX($W$5:W622)+1)</f>
        <v/>
      </c>
      <c r="X623" s="50" t="str">
        <f>IF(Registro!M622="","",IF(COUNTIF($X$8:X622,Registro!M622)=0,Registro!M622,""))</f>
        <v/>
      </c>
      <c r="Y623" s="50" t="str">
        <f t="shared" si="29"/>
        <v/>
      </c>
    </row>
    <row r="624" spans="1:25">
      <c r="A624" s="45" t="str">
        <f>IF(AND(Registro!D623="Abierto",Registro!E623="Urgente"),Registro!B623,"")</f>
        <v/>
      </c>
      <c r="B624" s="45" t="str">
        <f ca="1">IF(AND(Registro!D623="Abierto",Registro!E623="Urgente"),TODAY()-Registro!R623,"")</f>
        <v/>
      </c>
      <c r="C624" s="45" t="str">
        <f>IF(AND(Registro!D623="Abierto",Registro!E623="Urgente"),RANK(B624,$B$9:$B$1000,0)+COUNTIF($B$9:B624,B624)-1,"")</f>
        <v/>
      </c>
      <c r="D624" s="45" t="str">
        <f>IF(AND(Registro!D623="Abierto",Registro!E623="Alta"),Registro!B623,"")</f>
        <v/>
      </c>
      <c r="E624" s="45" t="str">
        <f ca="1">IF(AND(Registro!D623="Abierto",Registro!E623="Alta"),TODAY()-Registro!R623,"")</f>
        <v/>
      </c>
      <c r="F624" s="45" t="str">
        <f>IF(AND(Registro!D623="Abierto",Registro!E623="Alta"),RANK(E624,$E$9:$E$1000,0)+COUNTIF($E$9:E624,E624)-1+MAX(C$5:C$1000),"")</f>
        <v/>
      </c>
      <c r="G624" s="45" t="str">
        <f>IF(AND(Registro!D623="Abierto",Registro!E623="Media"),Registro!B623,"")</f>
        <v/>
      </c>
      <c r="H624" s="45" t="str">
        <f ca="1">IF(AND(Registro!D623="Abierto",Registro!E623="Media"),TODAY()-Registro!R623,"")</f>
        <v/>
      </c>
      <c r="I624" s="45" t="str">
        <f>IF(AND(Registro!D623="Abierto",Registro!E623="Media"),RANK(H624,$H$9:$H$1000,0)+COUNTIF($H$9:H624,H624)-1+MAX(C$5:C$1000,F$5:F$1000),"")</f>
        <v/>
      </c>
      <c r="J624" s="45" t="str">
        <f>IF(AND(Registro!D623="Abierto",Registro!E623="Baja"),Registro!B623,"")</f>
        <v/>
      </c>
      <c r="K624" s="45" t="str">
        <f ca="1">IF(AND(Registro!D623="Abierto",Registro!E623="Baja"),TODAY()-Registro!R623,"")</f>
        <v/>
      </c>
      <c r="L624" s="45" t="str">
        <f>IF(AND(Registro!D623="Abierto",Registro!E623="Baja"),RANK(K624,$K$9:$K$1000,0)+COUNTIF($K$9:K624,K624)-1+MAX(C$5:C$1000,F$5:F$1000,I$5:I$1000),"")</f>
        <v/>
      </c>
      <c r="M624" s="46" t="str">
        <f>IF(OR(Registro!D623="Resuelto",Registro!D623=""),"",SUM(C624,F624,I624,L624))</f>
        <v/>
      </c>
      <c r="N624" s="46" t="str">
        <f>IF(OR(Registro!D623="Resuelto",Registro!D623=""),"",SUM(B624,E624,H624,K624))</f>
        <v/>
      </c>
      <c r="O624" s="46" t="str">
        <f>IF(OR(Registro!D623="Resuelto",Registro!D623=""),"",_xlfn.CONCAT(A624,D624,G624,J624))</f>
        <v/>
      </c>
      <c r="P624" s="47">
        <v>616</v>
      </c>
      <c r="Q624" s="47" t="str">
        <f t="shared" ca="1" si="27"/>
        <v/>
      </c>
      <c r="R624" s="48" t="str">
        <f t="shared" ca="1" si="28"/>
        <v/>
      </c>
      <c r="S624" s="32"/>
      <c r="T624" s="32"/>
      <c r="U624" s="32"/>
      <c r="V624" s="32"/>
      <c r="W624" s="47" t="str">
        <f>IF(X624="","",MAX($W$5:W623)+1)</f>
        <v/>
      </c>
      <c r="X624" s="50" t="str">
        <f>IF(Registro!M623="","",IF(COUNTIF($X$8:X623,Registro!M623)=0,Registro!M623,""))</f>
        <v/>
      </c>
      <c r="Y624" s="50" t="str">
        <f t="shared" si="29"/>
        <v/>
      </c>
    </row>
    <row r="625" spans="1:25">
      <c r="A625" s="45" t="str">
        <f>IF(AND(Registro!D624="Abierto",Registro!E624="Urgente"),Registro!B624,"")</f>
        <v/>
      </c>
      <c r="B625" s="45" t="str">
        <f ca="1">IF(AND(Registro!D624="Abierto",Registro!E624="Urgente"),TODAY()-Registro!R624,"")</f>
        <v/>
      </c>
      <c r="C625" s="45" t="str">
        <f>IF(AND(Registro!D624="Abierto",Registro!E624="Urgente"),RANK(B625,$B$9:$B$1000,0)+COUNTIF($B$9:B625,B625)-1,"")</f>
        <v/>
      </c>
      <c r="D625" s="45" t="str">
        <f>IF(AND(Registro!D624="Abierto",Registro!E624="Alta"),Registro!B624,"")</f>
        <v/>
      </c>
      <c r="E625" s="45" t="str">
        <f ca="1">IF(AND(Registro!D624="Abierto",Registro!E624="Alta"),TODAY()-Registro!R624,"")</f>
        <v/>
      </c>
      <c r="F625" s="45" t="str">
        <f>IF(AND(Registro!D624="Abierto",Registro!E624="Alta"),RANK(E625,$E$9:$E$1000,0)+COUNTIF($E$9:E625,E625)-1+MAX(C$5:C$1000),"")</f>
        <v/>
      </c>
      <c r="G625" s="45" t="str">
        <f>IF(AND(Registro!D624="Abierto",Registro!E624="Media"),Registro!B624,"")</f>
        <v/>
      </c>
      <c r="H625" s="45" t="str">
        <f ca="1">IF(AND(Registro!D624="Abierto",Registro!E624="Media"),TODAY()-Registro!R624,"")</f>
        <v/>
      </c>
      <c r="I625" s="45" t="str">
        <f>IF(AND(Registro!D624="Abierto",Registro!E624="Media"),RANK(H625,$H$9:$H$1000,0)+COUNTIF($H$9:H625,H625)-1+MAX(C$5:C$1000,F$5:F$1000),"")</f>
        <v/>
      </c>
      <c r="J625" s="45" t="str">
        <f>IF(AND(Registro!D624="Abierto",Registro!E624="Baja"),Registro!B624,"")</f>
        <v/>
      </c>
      <c r="K625" s="45" t="str">
        <f ca="1">IF(AND(Registro!D624="Abierto",Registro!E624="Baja"),TODAY()-Registro!R624,"")</f>
        <v/>
      </c>
      <c r="L625" s="45" t="str">
        <f>IF(AND(Registro!D624="Abierto",Registro!E624="Baja"),RANK(K625,$K$9:$K$1000,0)+COUNTIF($K$9:K625,K625)-1+MAX(C$5:C$1000,F$5:F$1000,I$5:I$1000),"")</f>
        <v/>
      </c>
      <c r="M625" s="46" t="str">
        <f>IF(OR(Registro!D624="Resuelto",Registro!D624=""),"",SUM(C625,F625,I625,L625))</f>
        <v/>
      </c>
      <c r="N625" s="46" t="str">
        <f>IF(OR(Registro!D624="Resuelto",Registro!D624=""),"",SUM(B625,E625,H625,K625))</f>
        <v/>
      </c>
      <c r="O625" s="46" t="str">
        <f>IF(OR(Registro!D624="Resuelto",Registro!D624=""),"",_xlfn.CONCAT(A625,D625,G625,J625))</f>
        <v/>
      </c>
      <c r="P625" s="47">
        <v>617</v>
      </c>
      <c r="Q625" s="47" t="str">
        <f t="shared" ca="1" si="27"/>
        <v/>
      </c>
      <c r="R625" s="48" t="str">
        <f t="shared" ca="1" si="28"/>
        <v/>
      </c>
      <c r="S625" s="32"/>
      <c r="T625" s="32"/>
      <c r="U625" s="32"/>
      <c r="V625" s="32"/>
      <c r="W625" s="47" t="str">
        <f>IF(X625="","",MAX($W$5:W624)+1)</f>
        <v/>
      </c>
      <c r="X625" s="50" t="str">
        <f>IF(Registro!M624="","",IF(COUNTIF($X$8:X624,Registro!M624)=0,Registro!M624,""))</f>
        <v/>
      </c>
      <c r="Y625" s="50" t="str">
        <f t="shared" si="29"/>
        <v/>
      </c>
    </row>
    <row r="626" spans="1:25">
      <c r="A626" s="45" t="str">
        <f>IF(AND(Registro!D625="Abierto",Registro!E625="Urgente"),Registro!B625,"")</f>
        <v/>
      </c>
      <c r="B626" s="45" t="str">
        <f ca="1">IF(AND(Registro!D625="Abierto",Registro!E625="Urgente"),TODAY()-Registro!R625,"")</f>
        <v/>
      </c>
      <c r="C626" s="45" t="str">
        <f>IF(AND(Registro!D625="Abierto",Registro!E625="Urgente"),RANK(B626,$B$9:$B$1000,0)+COUNTIF($B$9:B626,B626)-1,"")</f>
        <v/>
      </c>
      <c r="D626" s="45" t="str">
        <f>IF(AND(Registro!D625="Abierto",Registro!E625="Alta"),Registro!B625,"")</f>
        <v/>
      </c>
      <c r="E626" s="45" t="str">
        <f ca="1">IF(AND(Registro!D625="Abierto",Registro!E625="Alta"),TODAY()-Registro!R625,"")</f>
        <v/>
      </c>
      <c r="F626" s="45" t="str">
        <f>IF(AND(Registro!D625="Abierto",Registro!E625="Alta"),RANK(E626,$E$9:$E$1000,0)+COUNTIF($E$9:E626,E626)-1+MAX(C$5:C$1000),"")</f>
        <v/>
      </c>
      <c r="G626" s="45" t="str">
        <f>IF(AND(Registro!D625="Abierto",Registro!E625="Media"),Registro!B625,"")</f>
        <v/>
      </c>
      <c r="H626" s="45" t="str">
        <f ca="1">IF(AND(Registro!D625="Abierto",Registro!E625="Media"),TODAY()-Registro!R625,"")</f>
        <v/>
      </c>
      <c r="I626" s="45" t="str">
        <f>IF(AND(Registro!D625="Abierto",Registro!E625="Media"),RANK(H626,$H$9:$H$1000,0)+COUNTIF($H$9:H626,H626)-1+MAX(C$5:C$1000,F$5:F$1000),"")</f>
        <v/>
      </c>
      <c r="J626" s="45" t="str">
        <f>IF(AND(Registro!D625="Abierto",Registro!E625="Baja"),Registro!B625,"")</f>
        <v/>
      </c>
      <c r="K626" s="45" t="str">
        <f ca="1">IF(AND(Registro!D625="Abierto",Registro!E625="Baja"),TODAY()-Registro!R625,"")</f>
        <v/>
      </c>
      <c r="L626" s="45" t="str">
        <f>IF(AND(Registro!D625="Abierto",Registro!E625="Baja"),RANK(K626,$K$9:$K$1000,0)+COUNTIF($K$9:K626,K626)-1+MAX(C$5:C$1000,F$5:F$1000,I$5:I$1000),"")</f>
        <v/>
      </c>
      <c r="M626" s="46" t="str">
        <f>IF(OR(Registro!D625="Resuelto",Registro!D625=""),"",SUM(C626,F626,I626,L626))</f>
        <v/>
      </c>
      <c r="N626" s="46" t="str">
        <f>IF(OR(Registro!D625="Resuelto",Registro!D625=""),"",SUM(B626,E626,H626,K626))</f>
        <v/>
      </c>
      <c r="O626" s="46" t="str">
        <f>IF(OR(Registro!D625="Resuelto",Registro!D625=""),"",_xlfn.CONCAT(A626,D626,G626,J626))</f>
        <v/>
      </c>
      <c r="P626" s="47">
        <v>618</v>
      </c>
      <c r="Q626" s="47" t="str">
        <f t="shared" ca="1" si="27"/>
        <v/>
      </c>
      <c r="R626" s="48" t="str">
        <f t="shared" ca="1" si="28"/>
        <v/>
      </c>
      <c r="S626" s="32"/>
      <c r="T626" s="32"/>
      <c r="U626" s="32"/>
      <c r="V626" s="32"/>
      <c r="W626" s="47" t="str">
        <f>IF(X626="","",MAX($W$5:W625)+1)</f>
        <v/>
      </c>
      <c r="X626" s="50" t="str">
        <f>IF(Registro!M625="","",IF(COUNTIF($X$8:X625,Registro!M625)=0,Registro!M625,""))</f>
        <v/>
      </c>
      <c r="Y626" s="50" t="str">
        <f t="shared" si="29"/>
        <v/>
      </c>
    </row>
    <row r="627" spans="1:25">
      <c r="A627" s="45" t="str">
        <f>IF(AND(Registro!D626="Abierto",Registro!E626="Urgente"),Registro!B626,"")</f>
        <v/>
      </c>
      <c r="B627" s="45" t="str">
        <f ca="1">IF(AND(Registro!D626="Abierto",Registro!E626="Urgente"),TODAY()-Registro!R626,"")</f>
        <v/>
      </c>
      <c r="C627" s="45" t="str">
        <f>IF(AND(Registro!D626="Abierto",Registro!E626="Urgente"),RANK(B627,$B$9:$B$1000,0)+COUNTIF($B$9:B627,B627)-1,"")</f>
        <v/>
      </c>
      <c r="D627" s="45" t="str">
        <f>IF(AND(Registro!D626="Abierto",Registro!E626="Alta"),Registro!B626,"")</f>
        <v/>
      </c>
      <c r="E627" s="45" t="str">
        <f ca="1">IF(AND(Registro!D626="Abierto",Registro!E626="Alta"),TODAY()-Registro!R626,"")</f>
        <v/>
      </c>
      <c r="F627" s="45" t="str">
        <f>IF(AND(Registro!D626="Abierto",Registro!E626="Alta"),RANK(E627,$E$9:$E$1000,0)+COUNTIF($E$9:E627,E627)-1+MAX(C$5:C$1000),"")</f>
        <v/>
      </c>
      <c r="G627" s="45" t="str">
        <f>IF(AND(Registro!D626="Abierto",Registro!E626="Media"),Registro!B626,"")</f>
        <v/>
      </c>
      <c r="H627" s="45" t="str">
        <f ca="1">IF(AND(Registro!D626="Abierto",Registro!E626="Media"),TODAY()-Registro!R626,"")</f>
        <v/>
      </c>
      <c r="I627" s="45" t="str">
        <f>IF(AND(Registro!D626="Abierto",Registro!E626="Media"),RANK(H627,$H$9:$H$1000,0)+COUNTIF($H$9:H627,H627)-1+MAX(C$5:C$1000,F$5:F$1000),"")</f>
        <v/>
      </c>
      <c r="J627" s="45" t="str">
        <f>IF(AND(Registro!D626="Abierto",Registro!E626="Baja"),Registro!B626,"")</f>
        <v/>
      </c>
      <c r="K627" s="45" t="str">
        <f ca="1">IF(AND(Registro!D626="Abierto",Registro!E626="Baja"),TODAY()-Registro!R626,"")</f>
        <v/>
      </c>
      <c r="L627" s="45" t="str">
        <f>IF(AND(Registro!D626="Abierto",Registro!E626="Baja"),RANK(K627,$K$9:$K$1000,0)+COUNTIF($K$9:K627,K627)-1+MAX(C$5:C$1000,F$5:F$1000,I$5:I$1000),"")</f>
        <v/>
      </c>
      <c r="M627" s="46" t="str">
        <f>IF(OR(Registro!D626="Resuelto",Registro!D626=""),"",SUM(C627,F627,I627,L627))</f>
        <v/>
      </c>
      <c r="N627" s="46" t="str">
        <f>IF(OR(Registro!D626="Resuelto",Registro!D626=""),"",SUM(B627,E627,H627,K627))</f>
        <v/>
      </c>
      <c r="O627" s="46" t="str">
        <f>IF(OR(Registro!D626="Resuelto",Registro!D626=""),"",_xlfn.CONCAT(A627,D627,G627,J627))</f>
        <v/>
      </c>
      <c r="P627" s="47">
        <v>619</v>
      </c>
      <c r="Q627" s="47" t="str">
        <f t="shared" ca="1" si="27"/>
        <v/>
      </c>
      <c r="R627" s="48" t="str">
        <f t="shared" ca="1" si="28"/>
        <v/>
      </c>
      <c r="S627" s="32"/>
      <c r="T627" s="32"/>
      <c r="U627" s="32"/>
      <c r="V627" s="32"/>
      <c r="W627" s="47" t="str">
        <f>IF(X627="","",MAX($W$5:W626)+1)</f>
        <v/>
      </c>
      <c r="X627" s="50" t="str">
        <f>IF(Registro!M626="","",IF(COUNTIF($X$8:X626,Registro!M626)=0,Registro!M626,""))</f>
        <v/>
      </c>
      <c r="Y627" s="50" t="str">
        <f t="shared" si="29"/>
        <v/>
      </c>
    </row>
    <row r="628" spans="1:25">
      <c r="A628" s="45" t="str">
        <f>IF(AND(Registro!D627="Abierto",Registro!E627="Urgente"),Registro!B627,"")</f>
        <v/>
      </c>
      <c r="B628" s="45" t="str">
        <f ca="1">IF(AND(Registro!D627="Abierto",Registro!E627="Urgente"),TODAY()-Registro!R627,"")</f>
        <v/>
      </c>
      <c r="C628" s="45" t="str">
        <f>IF(AND(Registro!D627="Abierto",Registro!E627="Urgente"),RANK(B628,$B$9:$B$1000,0)+COUNTIF($B$9:B628,B628)-1,"")</f>
        <v/>
      </c>
      <c r="D628" s="45" t="str">
        <f>IF(AND(Registro!D627="Abierto",Registro!E627="Alta"),Registro!B627,"")</f>
        <v/>
      </c>
      <c r="E628" s="45" t="str">
        <f ca="1">IF(AND(Registro!D627="Abierto",Registro!E627="Alta"),TODAY()-Registro!R627,"")</f>
        <v/>
      </c>
      <c r="F628" s="45" t="str">
        <f>IF(AND(Registro!D627="Abierto",Registro!E627="Alta"),RANK(E628,$E$9:$E$1000,0)+COUNTIF($E$9:E628,E628)-1+MAX(C$5:C$1000),"")</f>
        <v/>
      </c>
      <c r="G628" s="45" t="str">
        <f>IF(AND(Registro!D627="Abierto",Registro!E627="Media"),Registro!B627,"")</f>
        <v/>
      </c>
      <c r="H628" s="45" t="str">
        <f ca="1">IF(AND(Registro!D627="Abierto",Registro!E627="Media"),TODAY()-Registro!R627,"")</f>
        <v/>
      </c>
      <c r="I628" s="45" t="str">
        <f>IF(AND(Registro!D627="Abierto",Registro!E627="Media"),RANK(H628,$H$9:$H$1000,0)+COUNTIF($H$9:H628,H628)-1+MAX(C$5:C$1000,F$5:F$1000),"")</f>
        <v/>
      </c>
      <c r="J628" s="45" t="str">
        <f>IF(AND(Registro!D627="Abierto",Registro!E627="Baja"),Registro!B627,"")</f>
        <v/>
      </c>
      <c r="K628" s="45" t="str">
        <f ca="1">IF(AND(Registro!D627="Abierto",Registro!E627="Baja"),TODAY()-Registro!R627,"")</f>
        <v/>
      </c>
      <c r="L628" s="45" t="str">
        <f>IF(AND(Registro!D627="Abierto",Registro!E627="Baja"),RANK(K628,$K$9:$K$1000,0)+COUNTIF($K$9:K628,K628)-1+MAX(C$5:C$1000,F$5:F$1000,I$5:I$1000),"")</f>
        <v/>
      </c>
      <c r="M628" s="46" t="str">
        <f>IF(OR(Registro!D627="Resuelto",Registro!D627=""),"",SUM(C628,F628,I628,L628))</f>
        <v/>
      </c>
      <c r="N628" s="46" t="str">
        <f>IF(OR(Registro!D627="Resuelto",Registro!D627=""),"",SUM(B628,E628,H628,K628))</f>
        <v/>
      </c>
      <c r="O628" s="46" t="str">
        <f>IF(OR(Registro!D627="Resuelto",Registro!D627=""),"",_xlfn.CONCAT(A628,D628,G628,J628))</f>
        <v/>
      </c>
      <c r="P628" s="47">
        <v>620</v>
      </c>
      <c r="Q628" s="47" t="str">
        <f t="shared" ca="1" si="27"/>
        <v/>
      </c>
      <c r="R628" s="48" t="str">
        <f t="shared" ca="1" si="28"/>
        <v/>
      </c>
      <c r="S628" s="32"/>
      <c r="T628" s="32"/>
      <c r="U628" s="32"/>
      <c r="V628" s="32"/>
      <c r="W628" s="47" t="str">
        <f>IF(X628="","",MAX($W$5:W627)+1)</f>
        <v/>
      </c>
      <c r="X628" s="50" t="str">
        <f>IF(Registro!M627="","",IF(COUNTIF($X$8:X627,Registro!M627)=0,Registro!M627,""))</f>
        <v/>
      </c>
      <c r="Y628" s="50" t="str">
        <f t="shared" si="29"/>
        <v/>
      </c>
    </row>
    <row r="629" spans="1:25">
      <c r="A629" s="45" t="str">
        <f>IF(AND(Registro!D628="Abierto",Registro!E628="Urgente"),Registro!B628,"")</f>
        <v/>
      </c>
      <c r="B629" s="45" t="str">
        <f ca="1">IF(AND(Registro!D628="Abierto",Registro!E628="Urgente"),TODAY()-Registro!R628,"")</f>
        <v/>
      </c>
      <c r="C629" s="45" t="str">
        <f>IF(AND(Registro!D628="Abierto",Registro!E628="Urgente"),RANK(B629,$B$9:$B$1000,0)+COUNTIF($B$9:B629,B629)-1,"")</f>
        <v/>
      </c>
      <c r="D629" s="45" t="str">
        <f>IF(AND(Registro!D628="Abierto",Registro!E628="Alta"),Registro!B628,"")</f>
        <v/>
      </c>
      <c r="E629" s="45" t="str">
        <f ca="1">IF(AND(Registro!D628="Abierto",Registro!E628="Alta"),TODAY()-Registro!R628,"")</f>
        <v/>
      </c>
      <c r="F629" s="45" t="str">
        <f>IF(AND(Registro!D628="Abierto",Registro!E628="Alta"),RANK(E629,$E$9:$E$1000,0)+COUNTIF($E$9:E629,E629)-1+MAX(C$5:C$1000),"")</f>
        <v/>
      </c>
      <c r="G629" s="45" t="str">
        <f>IF(AND(Registro!D628="Abierto",Registro!E628="Media"),Registro!B628,"")</f>
        <v/>
      </c>
      <c r="H629" s="45" t="str">
        <f ca="1">IF(AND(Registro!D628="Abierto",Registro!E628="Media"),TODAY()-Registro!R628,"")</f>
        <v/>
      </c>
      <c r="I629" s="45" t="str">
        <f>IF(AND(Registro!D628="Abierto",Registro!E628="Media"),RANK(H629,$H$9:$H$1000,0)+COUNTIF($H$9:H629,H629)-1+MAX(C$5:C$1000,F$5:F$1000),"")</f>
        <v/>
      </c>
      <c r="J629" s="45" t="str">
        <f>IF(AND(Registro!D628="Abierto",Registro!E628="Baja"),Registro!B628,"")</f>
        <v/>
      </c>
      <c r="K629" s="45" t="str">
        <f ca="1">IF(AND(Registro!D628="Abierto",Registro!E628="Baja"),TODAY()-Registro!R628,"")</f>
        <v/>
      </c>
      <c r="L629" s="45" t="str">
        <f>IF(AND(Registro!D628="Abierto",Registro!E628="Baja"),RANK(K629,$K$9:$K$1000,0)+COUNTIF($K$9:K629,K629)-1+MAX(C$5:C$1000,F$5:F$1000,I$5:I$1000),"")</f>
        <v/>
      </c>
      <c r="M629" s="46" t="str">
        <f>IF(OR(Registro!D628="Resuelto",Registro!D628=""),"",SUM(C629,F629,I629,L629))</f>
        <v/>
      </c>
      <c r="N629" s="46" t="str">
        <f>IF(OR(Registro!D628="Resuelto",Registro!D628=""),"",SUM(B629,E629,H629,K629))</f>
        <v/>
      </c>
      <c r="O629" s="46" t="str">
        <f>IF(OR(Registro!D628="Resuelto",Registro!D628=""),"",_xlfn.CONCAT(A629,D629,G629,J629))</f>
        <v/>
      </c>
      <c r="P629" s="47">
        <v>621</v>
      </c>
      <c r="Q629" s="47" t="str">
        <f t="shared" ca="1" si="27"/>
        <v/>
      </c>
      <c r="R629" s="48" t="str">
        <f t="shared" ca="1" si="28"/>
        <v/>
      </c>
      <c r="S629" s="32"/>
      <c r="T629" s="32"/>
      <c r="U629" s="32"/>
      <c r="V629" s="32"/>
      <c r="W629" s="47" t="str">
        <f>IF(X629="","",MAX($W$5:W628)+1)</f>
        <v/>
      </c>
      <c r="X629" s="50" t="str">
        <f>IF(Registro!M628="","",IF(COUNTIF($X$8:X628,Registro!M628)=0,Registro!M628,""))</f>
        <v/>
      </c>
      <c r="Y629" s="50" t="str">
        <f t="shared" si="29"/>
        <v/>
      </c>
    </row>
    <row r="630" spans="1:25">
      <c r="A630" s="45" t="str">
        <f>IF(AND(Registro!D629="Abierto",Registro!E629="Urgente"),Registro!B629,"")</f>
        <v/>
      </c>
      <c r="B630" s="45" t="str">
        <f ca="1">IF(AND(Registro!D629="Abierto",Registro!E629="Urgente"),TODAY()-Registro!R629,"")</f>
        <v/>
      </c>
      <c r="C630" s="45" t="str">
        <f>IF(AND(Registro!D629="Abierto",Registro!E629="Urgente"),RANK(B630,$B$9:$B$1000,0)+COUNTIF($B$9:B630,B630)-1,"")</f>
        <v/>
      </c>
      <c r="D630" s="45" t="str">
        <f>IF(AND(Registro!D629="Abierto",Registro!E629="Alta"),Registro!B629,"")</f>
        <v/>
      </c>
      <c r="E630" s="45" t="str">
        <f ca="1">IF(AND(Registro!D629="Abierto",Registro!E629="Alta"),TODAY()-Registro!R629,"")</f>
        <v/>
      </c>
      <c r="F630" s="45" t="str">
        <f>IF(AND(Registro!D629="Abierto",Registro!E629="Alta"),RANK(E630,$E$9:$E$1000,0)+COUNTIF($E$9:E630,E630)-1+MAX(C$5:C$1000),"")</f>
        <v/>
      </c>
      <c r="G630" s="45" t="str">
        <f>IF(AND(Registro!D629="Abierto",Registro!E629="Media"),Registro!B629,"")</f>
        <v/>
      </c>
      <c r="H630" s="45" t="str">
        <f ca="1">IF(AND(Registro!D629="Abierto",Registro!E629="Media"),TODAY()-Registro!R629,"")</f>
        <v/>
      </c>
      <c r="I630" s="45" t="str">
        <f>IF(AND(Registro!D629="Abierto",Registro!E629="Media"),RANK(H630,$H$9:$H$1000,0)+COUNTIF($H$9:H630,H630)-1+MAX(C$5:C$1000,F$5:F$1000),"")</f>
        <v/>
      </c>
      <c r="J630" s="45" t="str">
        <f>IF(AND(Registro!D629="Abierto",Registro!E629="Baja"),Registro!B629,"")</f>
        <v/>
      </c>
      <c r="K630" s="45" t="str">
        <f ca="1">IF(AND(Registro!D629="Abierto",Registro!E629="Baja"),TODAY()-Registro!R629,"")</f>
        <v/>
      </c>
      <c r="L630" s="45" t="str">
        <f>IF(AND(Registro!D629="Abierto",Registro!E629="Baja"),RANK(K630,$K$9:$K$1000,0)+COUNTIF($K$9:K630,K630)-1+MAX(C$5:C$1000,F$5:F$1000,I$5:I$1000),"")</f>
        <v/>
      </c>
      <c r="M630" s="46" t="str">
        <f>IF(OR(Registro!D629="Resuelto",Registro!D629=""),"",SUM(C630,F630,I630,L630))</f>
        <v/>
      </c>
      <c r="N630" s="46" t="str">
        <f>IF(OR(Registro!D629="Resuelto",Registro!D629=""),"",SUM(B630,E630,H630,K630))</f>
        <v/>
      </c>
      <c r="O630" s="46" t="str">
        <f>IF(OR(Registro!D629="Resuelto",Registro!D629=""),"",_xlfn.CONCAT(A630,D630,G630,J630))</f>
        <v/>
      </c>
      <c r="P630" s="47">
        <v>622</v>
      </c>
      <c r="Q630" s="47" t="str">
        <f t="shared" ca="1" si="27"/>
        <v/>
      </c>
      <c r="R630" s="48" t="str">
        <f t="shared" ca="1" si="28"/>
        <v/>
      </c>
      <c r="S630" s="32"/>
      <c r="T630" s="32"/>
      <c r="U630" s="32"/>
      <c r="V630" s="32"/>
      <c r="W630" s="47" t="str">
        <f>IF(X630="","",MAX($W$5:W629)+1)</f>
        <v/>
      </c>
      <c r="X630" s="50" t="str">
        <f>IF(Registro!M629="","",IF(COUNTIF($X$8:X629,Registro!M629)=0,Registro!M629,""))</f>
        <v/>
      </c>
      <c r="Y630" s="50" t="str">
        <f t="shared" si="29"/>
        <v/>
      </c>
    </row>
    <row r="631" spans="1:25">
      <c r="A631" s="45" t="str">
        <f>IF(AND(Registro!D630="Abierto",Registro!E630="Urgente"),Registro!B630,"")</f>
        <v/>
      </c>
      <c r="B631" s="45" t="str">
        <f ca="1">IF(AND(Registro!D630="Abierto",Registro!E630="Urgente"),TODAY()-Registro!R630,"")</f>
        <v/>
      </c>
      <c r="C631" s="45" t="str">
        <f>IF(AND(Registro!D630="Abierto",Registro!E630="Urgente"),RANK(B631,$B$9:$B$1000,0)+COUNTIF($B$9:B631,B631)-1,"")</f>
        <v/>
      </c>
      <c r="D631" s="45" t="str">
        <f>IF(AND(Registro!D630="Abierto",Registro!E630="Alta"),Registro!B630,"")</f>
        <v/>
      </c>
      <c r="E631" s="45" t="str">
        <f ca="1">IF(AND(Registro!D630="Abierto",Registro!E630="Alta"),TODAY()-Registro!R630,"")</f>
        <v/>
      </c>
      <c r="F631" s="45" t="str">
        <f>IF(AND(Registro!D630="Abierto",Registro!E630="Alta"),RANK(E631,$E$9:$E$1000,0)+COUNTIF($E$9:E631,E631)-1+MAX(C$5:C$1000),"")</f>
        <v/>
      </c>
      <c r="G631" s="45" t="str">
        <f>IF(AND(Registro!D630="Abierto",Registro!E630="Media"),Registro!B630,"")</f>
        <v/>
      </c>
      <c r="H631" s="45" t="str">
        <f ca="1">IF(AND(Registro!D630="Abierto",Registro!E630="Media"),TODAY()-Registro!R630,"")</f>
        <v/>
      </c>
      <c r="I631" s="45" t="str">
        <f>IF(AND(Registro!D630="Abierto",Registro!E630="Media"),RANK(H631,$H$9:$H$1000,0)+COUNTIF($H$9:H631,H631)-1+MAX(C$5:C$1000,F$5:F$1000),"")</f>
        <v/>
      </c>
      <c r="J631" s="45" t="str">
        <f>IF(AND(Registro!D630="Abierto",Registro!E630="Baja"),Registro!B630,"")</f>
        <v/>
      </c>
      <c r="K631" s="45" t="str">
        <f ca="1">IF(AND(Registro!D630="Abierto",Registro!E630="Baja"),TODAY()-Registro!R630,"")</f>
        <v/>
      </c>
      <c r="L631" s="45" t="str">
        <f>IF(AND(Registro!D630="Abierto",Registro!E630="Baja"),RANK(K631,$K$9:$K$1000,0)+COUNTIF($K$9:K631,K631)-1+MAX(C$5:C$1000,F$5:F$1000,I$5:I$1000),"")</f>
        <v/>
      </c>
      <c r="M631" s="46" t="str">
        <f>IF(OR(Registro!D630="Resuelto",Registro!D630=""),"",SUM(C631,F631,I631,L631))</f>
        <v/>
      </c>
      <c r="N631" s="46" t="str">
        <f>IF(OR(Registro!D630="Resuelto",Registro!D630=""),"",SUM(B631,E631,H631,K631))</f>
        <v/>
      </c>
      <c r="O631" s="46" t="str">
        <f>IF(OR(Registro!D630="Resuelto",Registro!D630=""),"",_xlfn.CONCAT(A631,D631,G631,J631))</f>
        <v/>
      </c>
      <c r="P631" s="47">
        <v>623</v>
      </c>
      <c r="Q631" s="47" t="str">
        <f t="shared" ca="1" si="27"/>
        <v/>
      </c>
      <c r="R631" s="48" t="str">
        <f t="shared" ca="1" si="28"/>
        <v/>
      </c>
      <c r="S631" s="32"/>
      <c r="T631" s="32"/>
      <c r="U631" s="32"/>
      <c r="V631" s="32"/>
      <c r="W631" s="47" t="str">
        <f>IF(X631="","",MAX($W$5:W630)+1)</f>
        <v/>
      </c>
      <c r="X631" s="50" t="str">
        <f>IF(Registro!M630="","",IF(COUNTIF($X$8:X630,Registro!M630)=0,Registro!M630,""))</f>
        <v/>
      </c>
      <c r="Y631" s="50" t="str">
        <f t="shared" si="29"/>
        <v/>
      </c>
    </row>
    <row r="632" spans="1:25">
      <c r="A632" s="45" t="str">
        <f>IF(AND(Registro!D631="Abierto",Registro!E631="Urgente"),Registro!B631,"")</f>
        <v/>
      </c>
      <c r="B632" s="45" t="str">
        <f ca="1">IF(AND(Registro!D631="Abierto",Registro!E631="Urgente"),TODAY()-Registro!R631,"")</f>
        <v/>
      </c>
      <c r="C632" s="45" t="str">
        <f>IF(AND(Registro!D631="Abierto",Registro!E631="Urgente"),RANK(B632,$B$9:$B$1000,0)+COUNTIF($B$9:B632,B632)-1,"")</f>
        <v/>
      </c>
      <c r="D632" s="45" t="str">
        <f>IF(AND(Registro!D631="Abierto",Registro!E631="Alta"),Registro!B631,"")</f>
        <v/>
      </c>
      <c r="E632" s="45" t="str">
        <f ca="1">IF(AND(Registro!D631="Abierto",Registro!E631="Alta"),TODAY()-Registro!R631,"")</f>
        <v/>
      </c>
      <c r="F632" s="45" t="str">
        <f>IF(AND(Registro!D631="Abierto",Registro!E631="Alta"),RANK(E632,$E$9:$E$1000,0)+COUNTIF($E$9:E632,E632)-1+MAX(C$5:C$1000),"")</f>
        <v/>
      </c>
      <c r="G632" s="45" t="str">
        <f>IF(AND(Registro!D631="Abierto",Registro!E631="Media"),Registro!B631,"")</f>
        <v/>
      </c>
      <c r="H632" s="45" t="str">
        <f ca="1">IF(AND(Registro!D631="Abierto",Registro!E631="Media"),TODAY()-Registro!R631,"")</f>
        <v/>
      </c>
      <c r="I632" s="45" t="str">
        <f>IF(AND(Registro!D631="Abierto",Registro!E631="Media"),RANK(H632,$H$9:$H$1000,0)+COUNTIF($H$9:H632,H632)-1+MAX(C$5:C$1000,F$5:F$1000),"")</f>
        <v/>
      </c>
      <c r="J632" s="45" t="str">
        <f>IF(AND(Registro!D631="Abierto",Registro!E631="Baja"),Registro!B631,"")</f>
        <v/>
      </c>
      <c r="K632" s="45" t="str">
        <f ca="1">IF(AND(Registro!D631="Abierto",Registro!E631="Baja"),TODAY()-Registro!R631,"")</f>
        <v/>
      </c>
      <c r="L632" s="45" t="str">
        <f>IF(AND(Registro!D631="Abierto",Registro!E631="Baja"),RANK(K632,$K$9:$K$1000,0)+COUNTIF($K$9:K632,K632)-1+MAX(C$5:C$1000,F$5:F$1000,I$5:I$1000),"")</f>
        <v/>
      </c>
      <c r="M632" s="46" t="str">
        <f>IF(OR(Registro!D631="Resuelto",Registro!D631=""),"",SUM(C632,F632,I632,L632))</f>
        <v/>
      </c>
      <c r="N632" s="46" t="str">
        <f>IF(OR(Registro!D631="Resuelto",Registro!D631=""),"",SUM(B632,E632,H632,K632))</f>
        <v/>
      </c>
      <c r="O632" s="46" t="str">
        <f>IF(OR(Registro!D631="Resuelto",Registro!D631=""),"",_xlfn.CONCAT(A632,D632,G632,J632))</f>
        <v/>
      </c>
      <c r="P632" s="47">
        <v>624</v>
      </c>
      <c r="Q632" s="47" t="str">
        <f t="shared" ca="1" si="27"/>
        <v/>
      </c>
      <c r="R632" s="48" t="str">
        <f t="shared" ca="1" si="28"/>
        <v/>
      </c>
      <c r="S632" s="32"/>
      <c r="T632" s="32"/>
      <c r="U632" s="32"/>
      <c r="V632" s="32"/>
      <c r="W632" s="47" t="str">
        <f>IF(X632="","",MAX($W$5:W631)+1)</f>
        <v/>
      </c>
      <c r="X632" s="50" t="str">
        <f>IF(Registro!M631="","",IF(COUNTIF($X$8:X631,Registro!M631)=0,Registro!M631,""))</f>
        <v/>
      </c>
      <c r="Y632" s="50" t="str">
        <f t="shared" si="29"/>
        <v/>
      </c>
    </row>
    <row r="633" spans="1:25">
      <c r="A633" s="45" t="str">
        <f>IF(AND(Registro!D632="Abierto",Registro!E632="Urgente"),Registro!B632,"")</f>
        <v/>
      </c>
      <c r="B633" s="45" t="str">
        <f ca="1">IF(AND(Registro!D632="Abierto",Registro!E632="Urgente"),TODAY()-Registro!R632,"")</f>
        <v/>
      </c>
      <c r="C633" s="45" t="str">
        <f>IF(AND(Registro!D632="Abierto",Registro!E632="Urgente"),RANK(B633,$B$9:$B$1000,0)+COUNTIF($B$9:B633,B633)-1,"")</f>
        <v/>
      </c>
      <c r="D633" s="45" t="str">
        <f>IF(AND(Registro!D632="Abierto",Registro!E632="Alta"),Registro!B632,"")</f>
        <v/>
      </c>
      <c r="E633" s="45" t="str">
        <f ca="1">IF(AND(Registro!D632="Abierto",Registro!E632="Alta"),TODAY()-Registro!R632,"")</f>
        <v/>
      </c>
      <c r="F633" s="45" t="str">
        <f>IF(AND(Registro!D632="Abierto",Registro!E632="Alta"),RANK(E633,$E$9:$E$1000,0)+COUNTIF($E$9:E633,E633)-1+MAX(C$5:C$1000),"")</f>
        <v/>
      </c>
      <c r="G633" s="45" t="str">
        <f>IF(AND(Registro!D632="Abierto",Registro!E632="Media"),Registro!B632,"")</f>
        <v/>
      </c>
      <c r="H633" s="45" t="str">
        <f ca="1">IF(AND(Registro!D632="Abierto",Registro!E632="Media"),TODAY()-Registro!R632,"")</f>
        <v/>
      </c>
      <c r="I633" s="45" t="str">
        <f>IF(AND(Registro!D632="Abierto",Registro!E632="Media"),RANK(H633,$H$9:$H$1000,0)+COUNTIF($H$9:H633,H633)-1+MAX(C$5:C$1000,F$5:F$1000),"")</f>
        <v/>
      </c>
      <c r="J633" s="45" t="str">
        <f>IF(AND(Registro!D632="Abierto",Registro!E632="Baja"),Registro!B632,"")</f>
        <v/>
      </c>
      <c r="K633" s="45" t="str">
        <f ca="1">IF(AND(Registro!D632="Abierto",Registro!E632="Baja"),TODAY()-Registro!R632,"")</f>
        <v/>
      </c>
      <c r="L633" s="45" t="str">
        <f>IF(AND(Registro!D632="Abierto",Registro!E632="Baja"),RANK(K633,$K$9:$K$1000,0)+COUNTIF($K$9:K633,K633)-1+MAX(C$5:C$1000,F$5:F$1000,I$5:I$1000),"")</f>
        <v/>
      </c>
      <c r="M633" s="46" t="str">
        <f>IF(OR(Registro!D632="Resuelto",Registro!D632=""),"",SUM(C633,F633,I633,L633))</f>
        <v/>
      </c>
      <c r="N633" s="46" t="str">
        <f>IF(OR(Registro!D632="Resuelto",Registro!D632=""),"",SUM(B633,E633,H633,K633))</f>
        <v/>
      </c>
      <c r="O633" s="46" t="str">
        <f>IF(OR(Registro!D632="Resuelto",Registro!D632=""),"",_xlfn.CONCAT(A633,D633,G633,J633))</f>
        <v/>
      </c>
      <c r="P633" s="47">
        <v>625</v>
      </c>
      <c r="Q633" s="47" t="str">
        <f t="shared" ca="1" si="27"/>
        <v/>
      </c>
      <c r="R633" s="48" t="str">
        <f t="shared" ca="1" si="28"/>
        <v/>
      </c>
      <c r="S633" s="32"/>
      <c r="T633" s="32"/>
      <c r="U633" s="32"/>
      <c r="V633" s="32"/>
      <c r="W633" s="47" t="str">
        <f>IF(X633="","",MAX($W$5:W632)+1)</f>
        <v/>
      </c>
      <c r="X633" s="50" t="str">
        <f>IF(Registro!M632="","",IF(COUNTIF($X$8:X632,Registro!M632)=0,Registro!M632,""))</f>
        <v/>
      </c>
      <c r="Y633" s="50" t="str">
        <f t="shared" si="29"/>
        <v/>
      </c>
    </row>
    <row r="634" spans="1:25">
      <c r="A634" s="45" t="str">
        <f>IF(AND(Registro!D633="Abierto",Registro!E633="Urgente"),Registro!B633,"")</f>
        <v/>
      </c>
      <c r="B634" s="45" t="str">
        <f ca="1">IF(AND(Registro!D633="Abierto",Registro!E633="Urgente"),TODAY()-Registro!R633,"")</f>
        <v/>
      </c>
      <c r="C634" s="45" t="str">
        <f>IF(AND(Registro!D633="Abierto",Registro!E633="Urgente"),RANK(B634,$B$9:$B$1000,0)+COUNTIF($B$9:B634,B634)-1,"")</f>
        <v/>
      </c>
      <c r="D634" s="45" t="str">
        <f>IF(AND(Registro!D633="Abierto",Registro!E633="Alta"),Registro!B633,"")</f>
        <v/>
      </c>
      <c r="E634" s="45" t="str">
        <f ca="1">IF(AND(Registro!D633="Abierto",Registro!E633="Alta"),TODAY()-Registro!R633,"")</f>
        <v/>
      </c>
      <c r="F634" s="45" t="str">
        <f>IF(AND(Registro!D633="Abierto",Registro!E633="Alta"),RANK(E634,$E$9:$E$1000,0)+COUNTIF($E$9:E634,E634)-1+MAX(C$5:C$1000),"")</f>
        <v/>
      </c>
      <c r="G634" s="45" t="str">
        <f>IF(AND(Registro!D633="Abierto",Registro!E633="Media"),Registro!B633,"")</f>
        <v/>
      </c>
      <c r="H634" s="45" t="str">
        <f ca="1">IF(AND(Registro!D633="Abierto",Registro!E633="Media"),TODAY()-Registro!R633,"")</f>
        <v/>
      </c>
      <c r="I634" s="45" t="str">
        <f>IF(AND(Registro!D633="Abierto",Registro!E633="Media"),RANK(H634,$H$9:$H$1000,0)+COUNTIF($H$9:H634,H634)-1+MAX(C$5:C$1000,F$5:F$1000),"")</f>
        <v/>
      </c>
      <c r="J634" s="45" t="str">
        <f>IF(AND(Registro!D633="Abierto",Registro!E633="Baja"),Registro!B633,"")</f>
        <v/>
      </c>
      <c r="K634" s="45" t="str">
        <f ca="1">IF(AND(Registro!D633="Abierto",Registro!E633="Baja"),TODAY()-Registro!R633,"")</f>
        <v/>
      </c>
      <c r="L634" s="45" t="str">
        <f>IF(AND(Registro!D633="Abierto",Registro!E633="Baja"),RANK(K634,$K$9:$K$1000,0)+COUNTIF($K$9:K634,K634)-1+MAX(C$5:C$1000,F$5:F$1000,I$5:I$1000),"")</f>
        <v/>
      </c>
      <c r="M634" s="46" t="str">
        <f>IF(OR(Registro!D633="Resuelto",Registro!D633=""),"",SUM(C634,F634,I634,L634))</f>
        <v/>
      </c>
      <c r="N634" s="46" t="str">
        <f>IF(OR(Registro!D633="Resuelto",Registro!D633=""),"",SUM(B634,E634,H634,K634))</f>
        <v/>
      </c>
      <c r="O634" s="46" t="str">
        <f>IF(OR(Registro!D633="Resuelto",Registro!D633=""),"",_xlfn.CONCAT(A634,D634,G634,J634))</f>
        <v/>
      </c>
      <c r="P634" s="47">
        <v>626</v>
      </c>
      <c r="Q634" s="47" t="str">
        <f t="shared" ca="1" si="27"/>
        <v/>
      </c>
      <c r="R634" s="48" t="str">
        <f t="shared" ca="1" si="28"/>
        <v/>
      </c>
      <c r="S634" s="32"/>
      <c r="T634" s="32"/>
      <c r="U634" s="32"/>
      <c r="V634" s="32"/>
      <c r="W634" s="47" t="str">
        <f>IF(X634="","",MAX($W$5:W633)+1)</f>
        <v/>
      </c>
      <c r="X634" s="50" t="str">
        <f>IF(Registro!M633="","",IF(COUNTIF($X$8:X633,Registro!M633)=0,Registro!M633,""))</f>
        <v/>
      </c>
      <c r="Y634" s="50" t="str">
        <f t="shared" si="29"/>
        <v/>
      </c>
    </row>
    <row r="635" spans="1:25">
      <c r="A635" s="45" t="str">
        <f>IF(AND(Registro!D634="Abierto",Registro!E634="Urgente"),Registro!B634,"")</f>
        <v/>
      </c>
      <c r="B635" s="45" t="str">
        <f ca="1">IF(AND(Registro!D634="Abierto",Registro!E634="Urgente"),TODAY()-Registro!R634,"")</f>
        <v/>
      </c>
      <c r="C635" s="45" t="str">
        <f>IF(AND(Registro!D634="Abierto",Registro!E634="Urgente"),RANK(B635,$B$9:$B$1000,0)+COUNTIF($B$9:B635,B635)-1,"")</f>
        <v/>
      </c>
      <c r="D635" s="45" t="str">
        <f>IF(AND(Registro!D634="Abierto",Registro!E634="Alta"),Registro!B634,"")</f>
        <v/>
      </c>
      <c r="E635" s="45" t="str">
        <f ca="1">IF(AND(Registro!D634="Abierto",Registro!E634="Alta"),TODAY()-Registro!R634,"")</f>
        <v/>
      </c>
      <c r="F635" s="45" t="str">
        <f>IF(AND(Registro!D634="Abierto",Registro!E634="Alta"),RANK(E635,$E$9:$E$1000,0)+COUNTIF($E$9:E635,E635)-1+MAX(C$5:C$1000),"")</f>
        <v/>
      </c>
      <c r="G635" s="45" t="str">
        <f>IF(AND(Registro!D634="Abierto",Registro!E634="Media"),Registro!B634,"")</f>
        <v/>
      </c>
      <c r="H635" s="45" t="str">
        <f ca="1">IF(AND(Registro!D634="Abierto",Registro!E634="Media"),TODAY()-Registro!R634,"")</f>
        <v/>
      </c>
      <c r="I635" s="45" t="str">
        <f>IF(AND(Registro!D634="Abierto",Registro!E634="Media"),RANK(H635,$H$9:$H$1000,0)+COUNTIF($H$9:H635,H635)-1+MAX(C$5:C$1000,F$5:F$1000),"")</f>
        <v/>
      </c>
      <c r="J635" s="45" t="str">
        <f>IF(AND(Registro!D634="Abierto",Registro!E634="Baja"),Registro!B634,"")</f>
        <v/>
      </c>
      <c r="K635" s="45" t="str">
        <f ca="1">IF(AND(Registro!D634="Abierto",Registro!E634="Baja"),TODAY()-Registro!R634,"")</f>
        <v/>
      </c>
      <c r="L635" s="45" t="str">
        <f>IF(AND(Registro!D634="Abierto",Registro!E634="Baja"),RANK(K635,$K$9:$K$1000,0)+COUNTIF($K$9:K635,K635)-1+MAX(C$5:C$1000,F$5:F$1000,I$5:I$1000),"")</f>
        <v/>
      </c>
      <c r="M635" s="46" t="str">
        <f>IF(OR(Registro!D634="Resuelto",Registro!D634=""),"",SUM(C635,F635,I635,L635))</f>
        <v/>
      </c>
      <c r="N635" s="46" t="str">
        <f>IF(OR(Registro!D634="Resuelto",Registro!D634=""),"",SUM(B635,E635,H635,K635))</f>
        <v/>
      </c>
      <c r="O635" s="46" t="str">
        <f>IF(OR(Registro!D634="Resuelto",Registro!D634=""),"",_xlfn.CONCAT(A635,D635,G635,J635))</f>
        <v/>
      </c>
      <c r="P635" s="47">
        <v>627</v>
      </c>
      <c r="Q635" s="47" t="str">
        <f t="shared" ca="1" si="27"/>
        <v/>
      </c>
      <c r="R635" s="48" t="str">
        <f t="shared" ca="1" si="28"/>
        <v/>
      </c>
      <c r="S635" s="32"/>
      <c r="T635" s="32"/>
      <c r="U635" s="32"/>
      <c r="V635" s="32"/>
      <c r="W635" s="47" t="str">
        <f>IF(X635="","",MAX($W$5:W634)+1)</f>
        <v/>
      </c>
      <c r="X635" s="50" t="str">
        <f>IF(Registro!M634="","",IF(COUNTIF($X$8:X634,Registro!M634)=0,Registro!M634,""))</f>
        <v/>
      </c>
      <c r="Y635" s="50" t="str">
        <f t="shared" si="29"/>
        <v/>
      </c>
    </row>
    <row r="636" spans="1:25">
      <c r="A636" s="45" t="str">
        <f>IF(AND(Registro!D635="Abierto",Registro!E635="Urgente"),Registro!B635,"")</f>
        <v/>
      </c>
      <c r="B636" s="45" t="str">
        <f ca="1">IF(AND(Registro!D635="Abierto",Registro!E635="Urgente"),TODAY()-Registro!R635,"")</f>
        <v/>
      </c>
      <c r="C636" s="45" t="str">
        <f>IF(AND(Registro!D635="Abierto",Registro!E635="Urgente"),RANK(B636,$B$9:$B$1000,0)+COUNTIF($B$9:B636,B636)-1,"")</f>
        <v/>
      </c>
      <c r="D636" s="45" t="str">
        <f>IF(AND(Registro!D635="Abierto",Registro!E635="Alta"),Registro!B635,"")</f>
        <v/>
      </c>
      <c r="E636" s="45" t="str">
        <f ca="1">IF(AND(Registro!D635="Abierto",Registro!E635="Alta"),TODAY()-Registro!R635,"")</f>
        <v/>
      </c>
      <c r="F636" s="45" t="str">
        <f>IF(AND(Registro!D635="Abierto",Registro!E635="Alta"),RANK(E636,$E$9:$E$1000,0)+COUNTIF($E$9:E636,E636)-1+MAX(C$5:C$1000),"")</f>
        <v/>
      </c>
      <c r="G636" s="45" t="str">
        <f>IF(AND(Registro!D635="Abierto",Registro!E635="Media"),Registro!B635,"")</f>
        <v/>
      </c>
      <c r="H636" s="45" t="str">
        <f ca="1">IF(AND(Registro!D635="Abierto",Registro!E635="Media"),TODAY()-Registro!R635,"")</f>
        <v/>
      </c>
      <c r="I636" s="45" t="str">
        <f>IF(AND(Registro!D635="Abierto",Registro!E635="Media"),RANK(H636,$H$9:$H$1000,0)+COUNTIF($H$9:H636,H636)-1+MAX(C$5:C$1000,F$5:F$1000),"")</f>
        <v/>
      </c>
      <c r="J636" s="45" t="str">
        <f>IF(AND(Registro!D635="Abierto",Registro!E635="Baja"),Registro!B635,"")</f>
        <v/>
      </c>
      <c r="K636" s="45" t="str">
        <f ca="1">IF(AND(Registro!D635="Abierto",Registro!E635="Baja"),TODAY()-Registro!R635,"")</f>
        <v/>
      </c>
      <c r="L636" s="45" t="str">
        <f>IF(AND(Registro!D635="Abierto",Registro!E635="Baja"),RANK(K636,$K$9:$K$1000,0)+COUNTIF($K$9:K636,K636)-1+MAX(C$5:C$1000,F$5:F$1000,I$5:I$1000),"")</f>
        <v/>
      </c>
      <c r="M636" s="46" t="str">
        <f>IF(OR(Registro!D635="Resuelto",Registro!D635=""),"",SUM(C636,F636,I636,L636))</f>
        <v/>
      </c>
      <c r="N636" s="46" t="str">
        <f>IF(OR(Registro!D635="Resuelto",Registro!D635=""),"",SUM(B636,E636,H636,K636))</f>
        <v/>
      </c>
      <c r="O636" s="46" t="str">
        <f>IF(OR(Registro!D635="Resuelto",Registro!D635=""),"",_xlfn.CONCAT(A636,D636,G636,J636))</f>
        <v/>
      </c>
      <c r="P636" s="47">
        <v>628</v>
      </c>
      <c r="Q636" s="47" t="str">
        <f t="shared" ca="1" si="27"/>
        <v/>
      </c>
      <c r="R636" s="48" t="str">
        <f t="shared" ca="1" si="28"/>
        <v/>
      </c>
      <c r="S636" s="32"/>
      <c r="T636" s="32"/>
      <c r="U636" s="32"/>
      <c r="V636" s="32"/>
      <c r="W636" s="47" t="str">
        <f>IF(X636="","",MAX($W$5:W635)+1)</f>
        <v/>
      </c>
      <c r="X636" s="50" t="str">
        <f>IF(Registro!M635="","",IF(COUNTIF($X$8:X635,Registro!M635)=0,Registro!M635,""))</f>
        <v/>
      </c>
      <c r="Y636" s="50" t="str">
        <f t="shared" si="29"/>
        <v/>
      </c>
    </row>
    <row r="637" spans="1:25">
      <c r="A637" s="45" t="str">
        <f>IF(AND(Registro!D636="Abierto",Registro!E636="Urgente"),Registro!B636,"")</f>
        <v/>
      </c>
      <c r="B637" s="45" t="str">
        <f ca="1">IF(AND(Registro!D636="Abierto",Registro!E636="Urgente"),TODAY()-Registro!R636,"")</f>
        <v/>
      </c>
      <c r="C637" s="45" t="str">
        <f>IF(AND(Registro!D636="Abierto",Registro!E636="Urgente"),RANK(B637,$B$9:$B$1000,0)+COUNTIF($B$9:B637,B637)-1,"")</f>
        <v/>
      </c>
      <c r="D637" s="45" t="str">
        <f>IF(AND(Registro!D636="Abierto",Registro!E636="Alta"),Registro!B636,"")</f>
        <v/>
      </c>
      <c r="E637" s="45" t="str">
        <f ca="1">IF(AND(Registro!D636="Abierto",Registro!E636="Alta"),TODAY()-Registro!R636,"")</f>
        <v/>
      </c>
      <c r="F637" s="45" t="str">
        <f>IF(AND(Registro!D636="Abierto",Registro!E636="Alta"),RANK(E637,$E$9:$E$1000,0)+COUNTIF($E$9:E637,E637)-1+MAX(C$5:C$1000),"")</f>
        <v/>
      </c>
      <c r="G637" s="45" t="str">
        <f>IF(AND(Registro!D636="Abierto",Registro!E636="Media"),Registro!B636,"")</f>
        <v/>
      </c>
      <c r="H637" s="45" t="str">
        <f ca="1">IF(AND(Registro!D636="Abierto",Registro!E636="Media"),TODAY()-Registro!R636,"")</f>
        <v/>
      </c>
      <c r="I637" s="45" t="str">
        <f>IF(AND(Registro!D636="Abierto",Registro!E636="Media"),RANK(H637,$H$9:$H$1000,0)+COUNTIF($H$9:H637,H637)-1+MAX(C$5:C$1000,F$5:F$1000),"")</f>
        <v/>
      </c>
      <c r="J637" s="45" t="str">
        <f>IF(AND(Registro!D636="Abierto",Registro!E636="Baja"),Registro!B636,"")</f>
        <v/>
      </c>
      <c r="K637" s="45" t="str">
        <f ca="1">IF(AND(Registro!D636="Abierto",Registro!E636="Baja"),TODAY()-Registro!R636,"")</f>
        <v/>
      </c>
      <c r="L637" s="45" t="str">
        <f>IF(AND(Registro!D636="Abierto",Registro!E636="Baja"),RANK(K637,$K$9:$K$1000,0)+COUNTIF($K$9:K637,K637)-1+MAX(C$5:C$1000,F$5:F$1000,I$5:I$1000),"")</f>
        <v/>
      </c>
      <c r="M637" s="46" t="str">
        <f>IF(OR(Registro!D636="Resuelto",Registro!D636=""),"",SUM(C637,F637,I637,L637))</f>
        <v/>
      </c>
      <c r="N637" s="46" t="str">
        <f>IF(OR(Registro!D636="Resuelto",Registro!D636=""),"",SUM(B637,E637,H637,K637))</f>
        <v/>
      </c>
      <c r="O637" s="46" t="str">
        <f>IF(OR(Registro!D636="Resuelto",Registro!D636=""),"",_xlfn.CONCAT(A637,D637,G637,J637))</f>
        <v/>
      </c>
      <c r="P637" s="47">
        <v>629</v>
      </c>
      <c r="Q637" s="47" t="str">
        <f t="shared" ca="1" si="27"/>
        <v/>
      </c>
      <c r="R637" s="48" t="str">
        <f t="shared" ca="1" si="28"/>
        <v/>
      </c>
      <c r="S637" s="32"/>
      <c r="T637" s="32"/>
      <c r="U637" s="32"/>
      <c r="V637" s="32"/>
      <c r="W637" s="47" t="str">
        <f>IF(X637="","",MAX($W$5:W636)+1)</f>
        <v/>
      </c>
      <c r="X637" s="50" t="str">
        <f>IF(Registro!M636="","",IF(COUNTIF($X$8:X636,Registro!M636)=0,Registro!M636,""))</f>
        <v/>
      </c>
      <c r="Y637" s="50" t="str">
        <f t="shared" si="29"/>
        <v/>
      </c>
    </row>
    <row r="638" spans="1:25">
      <c r="A638" s="45" t="str">
        <f>IF(AND(Registro!D637="Abierto",Registro!E637="Urgente"),Registro!B637,"")</f>
        <v/>
      </c>
      <c r="B638" s="45" t="str">
        <f ca="1">IF(AND(Registro!D637="Abierto",Registro!E637="Urgente"),TODAY()-Registro!R637,"")</f>
        <v/>
      </c>
      <c r="C638" s="45" t="str">
        <f>IF(AND(Registro!D637="Abierto",Registro!E637="Urgente"),RANK(B638,$B$9:$B$1000,0)+COUNTIF($B$9:B638,B638)-1,"")</f>
        <v/>
      </c>
      <c r="D638" s="45" t="str">
        <f>IF(AND(Registro!D637="Abierto",Registro!E637="Alta"),Registro!B637,"")</f>
        <v/>
      </c>
      <c r="E638" s="45" t="str">
        <f ca="1">IF(AND(Registro!D637="Abierto",Registro!E637="Alta"),TODAY()-Registro!R637,"")</f>
        <v/>
      </c>
      <c r="F638" s="45" t="str">
        <f>IF(AND(Registro!D637="Abierto",Registro!E637="Alta"),RANK(E638,$E$9:$E$1000,0)+COUNTIF($E$9:E638,E638)-1+MAX(C$5:C$1000),"")</f>
        <v/>
      </c>
      <c r="G638" s="45" t="str">
        <f>IF(AND(Registro!D637="Abierto",Registro!E637="Media"),Registro!B637,"")</f>
        <v/>
      </c>
      <c r="H638" s="45" t="str">
        <f ca="1">IF(AND(Registro!D637="Abierto",Registro!E637="Media"),TODAY()-Registro!R637,"")</f>
        <v/>
      </c>
      <c r="I638" s="45" t="str">
        <f>IF(AND(Registro!D637="Abierto",Registro!E637="Media"),RANK(H638,$H$9:$H$1000,0)+COUNTIF($H$9:H638,H638)-1+MAX(C$5:C$1000,F$5:F$1000),"")</f>
        <v/>
      </c>
      <c r="J638" s="45" t="str">
        <f>IF(AND(Registro!D637="Abierto",Registro!E637="Baja"),Registro!B637,"")</f>
        <v/>
      </c>
      <c r="K638" s="45" t="str">
        <f ca="1">IF(AND(Registro!D637="Abierto",Registro!E637="Baja"),TODAY()-Registro!R637,"")</f>
        <v/>
      </c>
      <c r="L638" s="45" t="str">
        <f>IF(AND(Registro!D637="Abierto",Registro!E637="Baja"),RANK(K638,$K$9:$K$1000,0)+COUNTIF($K$9:K638,K638)-1+MAX(C$5:C$1000,F$5:F$1000,I$5:I$1000),"")</f>
        <v/>
      </c>
      <c r="M638" s="46" t="str">
        <f>IF(OR(Registro!D637="Resuelto",Registro!D637=""),"",SUM(C638,F638,I638,L638))</f>
        <v/>
      </c>
      <c r="N638" s="46" t="str">
        <f>IF(OR(Registro!D637="Resuelto",Registro!D637=""),"",SUM(B638,E638,H638,K638))</f>
        <v/>
      </c>
      <c r="O638" s="46" t="str">
        <f>IF(OR(Registro!D637="Resuelto",Registro!D637=""),"",_xlfn.CONCAT(A638,D638,G638,J638))</f>
        <v/>
      </c>
      <c r="P638" s="47">
        <v>630</v>
      </c>
      <c r="Q638" s="47" t="str">
        <f t="shared" ca="1" si="27"/>
        <v/>
      </c>
      <c r="R638" s="48" t="str">
        <f t="shared" ca="1" si="28"/>
        <v/>
      </c>
      <c r="S638" s="32"/>
      <c r="T638" s="32"/>
      <c r="U638" s="32"/>
      <c r="V638" s="32"/>
      <c r="W638" s="47" t="str">
        <f>IF(X638="","",MAX($W$5:W637)+1)</f>
        <v/>
      </c>
      <c r="X638" s="50" t="str">
        <f>IF(Registro!M637="","",IF(COUNTIF($X$8:X637,Registro!M637)=0,Registro!M637,""))</f>
        <v/>
      </c>
      <c r="Y638" s="50" t="str">
        <f t="shared" si="29"/>
        <v/>
      </c>
    </row>
    <row r="639" spans="1:25">
      <c r="A639" s="45" t="str">
        <f>IF(AND(Registro!D638="Abierto",Registro!E638="Urgente"),Registro!B638,"")</f>
        <v/>
      </c>
      <c r="B639" s="45" t="str">
        <f ca="1">IF(AND(Registro!D638="Abierto",Registro!E638="Urgente"),TODAY()-Registro!R638,"")</f>
        <v/>
      </c>
      <c r="C639" s="45" t="str">
        <f>IF(AND(Registro!D638="Abierto",Registro!E638="Urgente"),RANK(B639,$B$9:$B$1000,0)+COUNTIF($B$9:B639,B639)-1,"")</f>
        <v/>
      </c>
      <c r="D639" s="45" t="str">
        <f>IF(AND(Registro!D638="Abierto",Registro!E638="Alta"),Registro!B638,"")</f>
        <v/>
      </c>
      <c r="E639" s="45" t="str">
        <f ca="1">IF(AND(Registro!D638="Abierto",Registro!E638="Alta"),TODAY()-Registro!R638,"")</f>
        <v/>
      </c>
      <c r="F639" s="45" t="str">
        <f>IF(AND(Registro!D638="Abierto",Registro!E638="Alta"),RANK(E639,$E$9:$E$1000,0)+COUNTIF($E$9:E639,E639)-1+MAX(C$5:C$1000),"")</f>
        <v/>
      </c>
      <c r="G639" s="45" t="str">
        <f>IF(AND(Registro!D638="Abierto",Registro!E638="Media"),Registro!B638,"")</f>
        <v/>
      </c>
      <c r="H639" s="45" t="str">
        <f ca="1">IF(AND(Registro!D638="Abierto",Registro!E638="Media"),TODAY()-Registro!R638,"")</f>
        <v/>
      </c>
      <c r="I639" s="45" t="str">
        <f>IF(AND(Registro!D638="Abierto",Registro!E638="Media"),RANK(H639,$H$9:$H$1000,0)+COUNTIF($H$9:H639,H639)-1+MAX(C$5:C$1000,F$5:F$1000),"")</f>
        <v/>
      </c>
      <c r="J639" s="45" t="str">
        <f>IF(AND(Registro!D638="Abierto",Registro!E638="Baja"),Registro!B638,"")</f>
        <v/>
      </c>
      <c r="K639" s="45" t="str">
        <f ca="1">IF(AND(Registro!D638="Abierto",Registro!E638="Baja"),TODAY()-Registro!R638,"")</f>
        <v/>
      </c>
      <c r="L639" s="45" t="str">
        <f>IF(AND(Registro!D638="Abierto",Registro!E638="Baja"),RANK(K639,$K$9:$K$1000,0)+COUNTIF($K$9:K639,K639)-1+MAX(C$5:C$1000,F$5:F$1000,I$5:I$1000),"")</f>
        <v/>
      </c>
      <c r="M639" s="46" t="str">
        <f>IF(OR(Registro!D638="Resuelto",Registro!D638=""),"",SUM(C639,F639,I639,L639))</f>
        <v/>
      </c>
      <c r="N639" s="46" t="str">
        <f>IF(OR(Registro!D638="Resuelto",Registro!D638=""),"",SUM(B639,E639,H639,K639))</f>
        <v/>
      </c>
      <c r="O639" s="46" t="str">
        <f>IF(OR(Registro!D638="Resuelto",Registro!D638=""),"",_xlfn.CONCAT(A639,D639,G639,J639))</f>
        <v/>
      </c>
      <c r="P639" s="47">
        <v>631</v>
      </c>
      <c r="Q639" s="47" t="str">
        <f t="shared" ca="1" si="27"/>
        <v/>
      </c>
      <c r="R639" s="48" t="str">
        <f t="shared" ca="1" si="28"/>
        <v/>
      </c>
      <c r="S639" s="32"/>
      <c r="T639" s="32"/>
      <c r="U639" s="32"/>
      <c r="V639" s="32"/>
      <c r="W639" s="47" t="str">
        <f>IF(X639="","",MAX($W$5:W638)+1)</f>
        <v/>
      </c>
      <c r="X639" s="50" t="str">
        <f>IF(Registro!M638="","",IF(COUNTIF($X$8:X638,Registro!M638)=0,Registro!M638,""))</f>
        <v/>
      </c>
      <c r="Y639" s="50" t="str">
        <f t="shared" si="29"/>
        <v/>
      </c>
    </row>
    <row r="640" spans="1:25">
      <c r="A640" s="45" t="str">
        <f>IF(AND(Registro!D639="Abierto",Registro!E639="Urgente"),Registro!B639,"")</f>
        <v/>
      </c>
      <c r="B640" s="45" t="str">
        <f ca="1">IF(AND(Registro!D639="Abierto",Registro!E639="Urgente"),TODAY()-Registro!R639,"")</f>
        <v/>
      </c>
      <c r="C640" s="45" t="str">
        <f>IF(AND(Registro!D639="Abierto",Registro!E639="Urgente"),RANK(B640,$B$9:$B$1000,0)+COUNTIF($B$9:B640,B640)-1,"")</f>
        <v/>
      </c>
      <c r="D640" s="45" t="str">
        <f>IF(AND(Registro!D639="Abierto",Registro!E639="Alta"),Registro!B639,"")</f>
        <v/>
      </c>
      <c r="E640" s="45" t="str">
        <f ca="1">IF(AND(Registro!D639="Abierto",Registro!E639="Alta"),TODAY()-Registro!R639,"")</f>
        <v/>
      </c>
      <c r="F640" s="45" t="str">
        <f>IF(AND(Registro!D639="Abierto",Registro!E639="Alta"),RANK(E640,$E$9:$E$1000,0)+COUNTIF($E$9:E640,E640)-1+MAX(C$5:C$1000),"")</f>
        <v/>
      </c>
      <c r="G640" s="45" t="str">
        <f>IF(AND(Registro!D639="Abierto",Registro!E639="Media"),Registro!B639,"")</f>
        <v/>
      </c>
      <c r="H640" s="45" t="str">
        <f ca="1">IF(AND(Registro!D639="Abierto",Registro!E639="Media"),TODAY()-Registro!R639,"")</f>
        <v/>
      </c>
      <c r="I640" s="45" t="str">
        <f>IF(AND(Registro!D639="Abierto",Registro!E639="Media"),RANK(H640,$H$9:$H$1000,0)+COUNTIF($H$9:H640,H640)-1+MAX(C$5:C$1000,F$5:F$1000),"")</f>
        <v/>
      </c>
      <c r="J640" s="45" t="str">
        <f>IF(AND(Registro!D639="Abierto",Registro!E639="Baja"),Registro!B639,"")</f>
        <v/>
      </c>
      <c r="K640" s="45" t="str">
        <f ca="1">IF(AND(Registro!D639="Abierto",Registro!E639="Baja"),TODAY()-Registro!R639,"")</f>
        <v/>
      </c>
      <c r="L640" s="45" t="str">
        <f>IF(AND(Registro!D639="Abierto",Registro!E639="Baja"),RANK(K640,$K$9:$K$1000,0)+COUNTIF($K$9:K640,K640)-1+MAX(C$5:C$1000,F$5:F$1000,I$5:I$1000),"")</f>
        <v/>
      </c>
      <c r="M640" s="46" t="str">
        <f>IF(OR(Registro!D639="Resuelto",Registro!D639=""),"",SUM(C640,F640,I640,L640))</f>
        <v/>
      </c>
      <c r="N640" s="46" t="str">
        <f>IF(OR(Registro!D639="Resuelto",Registro!D639=""),"",SUM(B640,E640,H640,K640))</f>
        <v/>
      </c>
      <c r="O640" s="46" t="str">
        <f>IF(OR(Registro!D639="Resuelto",Registro!D639=""),"",_xlfn.CONCAT(A640,D640,G640,J640))</f>
        <v/>
      </c>
      <c r="P640" s="47">
        <v>632</v>
      </c>
      <c r="Q640" s="47" t="str">
        <f t="shared" ca="1" si="27"/>
        <v/>
      </c>
      <c r="R640" s="48" t="str">
        <f t="shared" ca="1" si="28"/>
        <v/>
      </c>
      <c r="S640" s="32"/>
      <c r="T640" s="32"/>
      <c r="U640" s="32"/>
      <c r="V640" s="32"/>
      <c r="W640" s="47" t="str">
        <f>IF(X640="","",MAX($W$5:W639)+1)</f>
        <v/>
      </c>
      <c r="X640" s="50" t="str">
        <f>IF(Registro!M639="","",IF(COUNTIF($X$8:X639,Registro!M639)=0,Registro!M639,""))</f>
        <v/>
      </c>
      <c r="Y640" s="50" t="str">
        <f t="shared" si="29"/>
        <v/>
      </c>
    </row>
    <row r="641" spans="1:25">
      <c r="A641" s="45" t="str">
        <f>IF(AND(Registro!D640="Abierto",Registro!E640="Urgente"),Registro!B640,"")</f>
        <v/>
      </c>
      <c r="B641" s="45" t="str">
        <f ca="1">IF(AND(Registro!D640="Abierto",Registro!E640="Urgente"),TODAY()-Registro!R640,"")</f>
        <v/>
      </c>
      <c r="C641" s="45" t="str">
        <f>IF(AND(Registro!D640="Abierto",Registro!E640="Urgente"),RANK(B641,$B$9:$B$1000,0)+COUNTIF($B$9:B641,B641)-1,"")</f>
        <v/>
      </c>
      <c r="D641" s="45" t="str">
        <f>IF(AND(Registro!D640="Abierto",Registro!E640="Alta"),Registro!B640,"")</f>
        <v/>
      </c>
      <c r="E641" s="45" t="str">
        <f ca="1">IF(AND(Registro!D640="Abierto",Registro!E640="Alta"),TODAY()-Registro!R640,"")</f>
        <v/>
      </c>
      <c r="F641" s="45" t="str">
        <f>IF(AND(Registro!D640="Abierto",Registro!E640="Alta"),RANK(E641,$E$9:$E$1000,0)+COUNTIF($E$9:E641,E641)-1+MAX(C$5:C$1000),"")</f>
        <v/>
      </c>
      <c r="G641" s="45" t="str">
        <f>IF(AND(Registro!D640="Abierto",Registro!E640="Media"),Registro!B640,"")</f>
        <v/>
      </c>
      <c r="H641" s="45" t="str">
        <f ca="1">IF(AND(Registro!D640="Abierto",Registro!E640="Media"),TODAY()-Registro!R640,"")</f>
        <v/>
      </c>
      <c r="I641" s="45" t="str">
        <f>IF(AND(Registro!D640="Abierto",Registro!E640="Media"),RANK(H641,$H$9:$H$1000,0)+COUNTIF($H$9:H641,H641)-1+MAX(C$5:C$1000,F$5:F$1000),"")</f>
        <v/>
      </c>
      <c r="J641" s="45" t="str">
        <f>IF(AND(Registro!D640="Abierto",Registro!E640="Baja"),Registro!B640,"")</f>
        <v/>
      </c>
      <c r="K641" s="45" t="str">
        <f ca="1">IF(AND(Registro!D640="Abierto",Registro!E640="Baja"),TODAY()-Registro!R640,"")</f>
        <v/>
      </c>
      <c r="L641" s="45" t="str">
        <f>IF(AND(Registro!D640="Abierto",Registro!E640="Baja"),RANK(K641,$K$9:$K$1000,0)+COUNTIF($K$9:K641,K641)-1+MAX(C$5:C$1000,F$5:F$1000,I$5:I$1000),"")</f>
        <v/>
      </c>
      <c r="M641" s="46" t="str">
        <f>IF(OR(Registro!D640="Resuelto",Registro!D640=""),"",SUM(C641,F641,I641,L641))</f>
        <v/>
      </c>
      <c r="N641" s="46" t="str">
        <f>IF(OR(Registro!D640="Resuelto",Registro!D640=""),"",SUM(B641,E641,H641,K641))</f>
        <v/>
      </c>
      <c r="O641" s="46" t="str">
        <f>IF(OR(Registro!D640="Resuelto",Registro!D640=""),"",_xlfn.CONCAT(A641,D641,G641,J641))</f>
        <v/>
      </c>
      <c r="P641" s="47">
        <v>633</v>
      </c>
      <c r="Q641" s="47" t="str">
        <f t="shared" ca="1" si="27"/>
        <v/>
      </c>
      <c r="R641" s="48" t="str">
        <f t="shared" ca="1" si="28"/>
        <v/>
      </c>
      <c r="S641" s="32"/>
      <c r="T641" s="32"/>
      <c r="U641" s="32"/>
      <c r="V641" s="32"/>
      <c r="W641" s="47" t="str">
        <f>IF(X641="","",MAX($W$5:W640)+1)</f>
        <v/>
      </c>
      <c r="X641" s="50" t="str">
        <f>IF(Registro!M640="","",IF(COUNTIF($X$8:X640,Registro!M640)=0,Registro!M640,""))</f>
        <v/>
      </c>
      <c r="Y641" s="50" t="str">
        <f t="shared" si="29"/>
        <v/>
      </c>
    </row>
    <row r="642" spans="1:25">
      <c r="A642" s="45" t="str">
        <f>IF(AND(Registro!D641="Abierto",Registro!E641="Urgente"),Registro!B641,"")</f>
        <v/>
      </c>
      <c r="B642" s="45" t="str">
        <f ca="1">IF(AND(Registro!D641="Abierto",Registro!E641="Urgente"),TODAY()-Registro!R641,"")</f>
        <v/>
      </c>
      <c r="C642" s="45" t="str">
        <f>IF(AND(Registro!D641="Abierto",Registro!E641="Urgente"),RANK(B642,$B$9:$B$1000,0)+COUNTIF($B$9:B642,B642)-1,"")</f>
        <v/>
      </c>
      <c r="D642" s="45" t="str">
        <f>IF(AND(Registro!D641="Abierto",Registro!E641="Alta"),Registro!B641,"")</f>
        <v/>
      </c>
      <c r="E642" s="45" t="str">
        <f ca="1">IF(AND(Registro!D641="Abierto",Registro!E641="Alta"),TODAY()-Registro!R641,"")</f>
        <v/>
      </c>
      <c r="F642" s="45" t="str">
        <f>IF(AND(Registro!D641="Abierto",Registro!E641="Alta"),RANK(E642,$E$9:$E$1000,0)+COUNTIF($E$9:E642,E642)-1+MAX(C$5:C$1000),"")</f>
        <v/>
      </c>
      <c r="G642" s="45" t="str">
        <f>IF(AND(Registro!D641="Abierto",Registro!E641="Media"),Registro!B641,"")</f>
        <v/>
      </c>
      <c r="H642" s="45" t="str">
        <f ca="1">IF(AND(Registro!D641="Abierto",Registro!E641="Media"),TODAY()-Registro!R641,"")</f>
        <v/>
      </c>
      <c r="I642" s="45" t="str">
        <f>IF(AND(Registro!D641="Abierto",Registro!E641="Media"),RANK(H642,$H$9:$H$1000,0)+COUNTIF($H$9:H642,H642)-1+MAX(C$5:C$1000,F$5:F$1000),"")</f>
        <v/>
      </c>
      <c r="J642" s="45" t="str">
        <f>IF(AND(Registro!D641="Abierto",Registro!E641="Baja"),Registro!B641,"")</f>
        <v/>
      </c>
      <c r="K642" s="45" t="str">
        <f ca="1">IF(AND(Registro!D641="Abierto",Registro!E641="Baja"),TODAY()-Registro!R641,"")</f>
        <v/>
      </c>
      <c r="L642" s="45" t="str">
        <f>IF(AND(Registro!D641="Abierto",Registro!E641="Baja"),RANK(K642,$K$9:$K$1000,0)+COUNTIF($K$9:K642,K642)-1+MAX(C$5:C$1000,F$5:F$1000,I$5:I$1000),"")</f>
        <v/>
      </c>
      <c r="M642" s="46" t="str">
        <f>IF(OR(Registro!D641="Resuelto",Registro!D641=""),"",SUM(C642,F642,I642,L642))</f>
        <v/>
      </c>
      <c r="N642" s="46" t="str">
        <f>IF(OR(Registro!D641="Resuelto",Registro!D641=""),"",SUM(B642,E642,H642,K642))</f>
        <v/>
      </c>
      <c r="O642" s="46" t="str">
        <f>IF(OR(Registro!D641="Resuelto",Registro!D641=""),"",_xlfn.CONCAT(A642,D642,G642,J642))</f>
        <v/>
      </c>
      <c r="P642" s="47">
        <v>634</v>
      </c>
      <c r="Q642" s="47" t="str">
        <f t="shared" ca="1" si="27"/>
        <v/>
      </c>
      <c r="R642" s="48" t="str">
        <f t="shared" ca="1" si="28"/>
        <v/>
      </c>
      <c r="S642" s="32"/>
      <c r="T642" s="32"/>
      <c r="U642" s="32"/>
      <c r="V642" s="32"/>
      <c r="W642" s="47" t="str">
        <f>IF(X642="","",MAX($W$5:W641)+1)</f>
        <v/>
      </c>
      <c r="X642" s="50" t="str">
        <f>IF(Registro!M641="","",IF(COUNTIF($X$8:X641,Registro!M641)=0,Registro!M641,""))</f>
        <v/>
      </c>
      <c r="Y642" s="50" t="str">
        <f t="shared" si="29"/>
        <v/>
      </c>
    </row>
    <row r="643" spans="1:25">
      <c r="A643" s="45" t="str">
        <f>IF(AND(Registro!D642="Abierto",Registro!E642="Urgente"),Registro!B642,"")</f>
        <v/>
      </c>
      <c r="B643" s="45" t="str">
        <f ca="1">IF(AND(Registro!D642="Abierto",Registro!E642="Urgente"),TODAY()-Registro!R642,"")</f>
        <v/>
      </c>
      <c r="C643" s="45" t="str">
        <f>IF(AND(Registro!D642="Abierto",Registro!E642="Urgente"),RANK(B643,$B$9:$B$1000,0)+COUNTIF($B$9:B643,B643)-1,"")</f>
        <v/>
      </c>
      <c r="D643" s="45" t="str">
        <f>IF(AND(Registro!D642="Abierto",Registro!E642="Alta"),Registro!B642,"")</f>
        <v/>
      </c>
      <c r="E643" s="45" t="str">
        <f ca="1">IF(AND(Registro!D642="Abierto",Registro!E642="Alta"),TODAY()-Registro!R642,"")</f>
        <v/>
      </c>
      <c r="F643" s="45" t="str">
        <f>IF(AND(Registro!D642="Abierto",Registro!E642="Alta"),RANK(E643,$E$9:$E$1000,0)+COUNTIF($E$9:E643,E643)-1+MAX(C$5:C$1000),"")</f>
        <v/>
      </c>
      <c r="G643" s="45" t="str">
        <f>IF(AND(Registro!D642="Abierto",Registro!E642="Media"),Registro!B642,"")</f>
        <v/>
      </c>
      <c r="H643" s="45" t="str">
        <f ca="1">IF(AND(Registro!D642="Abierto",Registro!E642="Media"),TODAY()-Registro!R642,"")</f>
        <v/>
      </c>
      <c r="I643" s="45" t="str">
        <f>IF(AND(Registro!D642="Abierto",Registro!E642="Media"),RANK(H643,$H$9:$H$1000,0)+COUNTIF($H$9:H643,H643)-1+MAX(C$5:C$1000,F$5:F$1000),"")</f>
        <v/>
      </c>
      <c r="J643" s="45" t="str">
        <f>IF(AND(Registro!D642="Abierto",Registro!E642="Baja"),Registro!B642,"")</f>
        <v/>
      </c>
      <c r="K643" s="45" t="str">
        <f ca="1">IF(AND(Registro!D642="Abierto",Registro!E642="Baja"),TODAY()-Registro!R642,"")</f>
        <v/>
      </c>
      <c r="L643" s="45" t="str">
        <f>IF(AND(Registro!D642="Abierto",Registro!E642="Baja"),RANK(K643,$K$9:$K$1000,0)+COUNTIF($K$9:K643,K643)-1+MAX(C$5:C$1000,F$5:F$1000,I$5:I$1000),"")</f>
        <v/>
      </c>
      <c r="M643" s="46" t="str">
        <f>IF(OR(Registro!D642="Resuelto",Registro!D642=""),"",SUM(C643,F643,I643,L643))</f>
        <v/>
      </c>
      <c r="N643" s="46" t="str">
        <f>IF(OR(Registro!D642="Resuelto",Registro!D642=""),"",SUM(B643,E643,H643,K643))</f>
        <v/>
      </c>
      <c r="O643" s="46" t="str">
        <f>IF(OR(Registro!D642="Resuelto",Registro!D642=""),"",_xlfn.CONCAT(A643,D643,G643,J643))</f>
        <v/>
      </c>
      <c r="P643" s="47">
        <v>635</v>
      </c>
      <c r="Q643" s="47" t="str">
        <f t="shared" ca="1" si="27"/>
        <v/>
      </c>
      <c r="R643" s="48" t="str">
        <f t="shared" ca="1" si="28"/>
        <v/>
      </c>
      <c r="S643" s="32"/>
      <c r="T643" s="32"/>
      <c r="U643" s="32"/>
      <c r="V643" s="32"/>
      <c r="W643" s="47" t="str">
        <f>IF(X643="","",MAX($W$5:W642)+1)</f>
        <v/>
      </c>
      <c r="X643" s="50" t="str">
        <f>IF(Registro!M642="","",IF(COUNTIF($X$8:X642,Registro!M642)=0,Registro!M642,""))</f>
        <v/>
      </c>
      <c r="Y643" s="50" t="str">
        <f t="shared" si="29"/>
        <v/>
      </c>
    </row>
    <row r="644" spans="1:25">
      <c r="A644" s="45" t="str">
        <f>IF(AND(Registro!D643="Abierto",Registro!E643="Urgente"),Registro!B643,"")</f>
        <v/>
      </c>
      <c r="B644" s="45" t="str">
        <f ca="1">IF(AND(Registro!D643="Abierto",Registro!E643="Urgente"),TODAY()-Registro!R643,"")</f>
        <v/>
      </c>
      <c r="C644" s="45" t="str">
        <f>IF(AND(Registro!D643="Abierto",Registro!E643="Urgente"),RANK(B644,$B$9:$B$1000,0)+COUNTIF($B$9:B644,B644)-1,"")</f>
        <v/>
      </c>
      <c r="D644" s="45" t="str">
        <f>IF(AND(Registro!D643="Abierto",Registro!E643="Alta"),Registro!B643,"")</f>
        <v/>
      </c>
      <c r="E644" s="45" t="str">
        <f ca="1">IF(AND(Registro!D643="Abierto",Registro!E643="Alta"),TODAY()-Registro!R643,"")</f>
        <v/>
      </c>
      <c r="F644" s="45" t="str">
        <f>IF(AND(Registro!D643="Abierto",Registro!E643="Alta"),RANK(E644,$E$9:$E$1000,0)+COUNTIF($E$9:E644,E644)-1+MAX(C$5:C$1000),"")</f>
        <v/>
      </c>
      <c r="G644" s="45" t="str">
        <f>IF(AND(Registro!D643="Abierto",Registro!E643="Media"),Registro!B643,"")</f>
        <v/>
      </c>
      <c r="H644" s="45" t="str">
        <f ca="1">IF(AND(Registro!D643="Abierto",Registro!E643="Media"),TODAY()-Registro!R643,"")</f>
        <v/>
      </c>
      <c r="I644" s="45" t="str">
        <f>IF(AND(Registro!D643="Abierto",Registro!E643="Media"),RANK(H644,$H$9:$H$1000,0)+COUNTIF($H$9:H644,H644)-1+MAX(C$5:C$1000,F$5:F$1000),"")</f>
        <v/>
      </c>
      <c r="J644" s="45" t="str">
        <f>IF(AND(Registro!D643="Abierto",Registro!E643="Baja"),Registro!B643,"")</f>
        <v/>
      </c>
      <c r="K644" s="45" t="str">
        <f ca="1">IF(AND(Registro!D643="Abierto",Registro!E643="Baja"),TODAY()-Registro!R643,"")</f>
        <v/>
      </c>
      <c r="L644" s="45" t="str">
        <f>IF(AND(Registro!D643="Abierto",Registro!E643="Baja"),RANK(K644,$K$9:$K$1000,0)+COUNTIF($K$9:K644,K644)-1+MAX(C$5:C$1000,F$5:F$1000,I$5:I$1000),"")</f>
        <v/>
      </c>
      <c r="M644" s="46" t="str">
        <f>IF(OR(Registro!D643="Resuelto",Registro!D643=""),"",SUM(C644,F644,I644,L644))</f>
        <v/>
      </c>
      <c r="N644" s="46" t="str">
        <f>IF(OR(Registro!D643="Resuelto",Registro!D643=""),"",SUM(B644,E644,H644,K644))</f>
        <v/>
      </c>
      <c r="O644" s="46" t="str">
        <f>IF(OR(Registro!D643="Resuelto",Registro!D643=""),"",_xlfn.CONCAT(A644,D644,G644,J644))</f>
        <v/>
      </c>
      <c r="P644" s="47">
        <v>636</v>
      </c>
      <c r="Q644" s="47" t="str">
        <f t="shared" ca="1" si="27"/>
        <v/>
      </c>
      <c r="R644" s="48" t="str">
        <f t="shared" ca="1" si="28"/>
        <v/>
      </c>
      <c r="S644" s="32"/>
      <c r="T644" s="32"/>
      <c r="U644" s="32"/>
      <c r="V644" s="32"/>
      <c r="W644" s="47" t="str">
        <f>IF(X644="","",MAX($W$5:W643)+1)</f>
        <v/>
      </c>
      <c r="X644" s="50" t="str">
        <f>IF(Registro!M643="","",IF(COUNTIF($X$8:X643,Registro!M643)=0,Registro!M643,""))</f>
        <v/>
      </c>
      <c r="Y644" s="50" t="str">
        <f t="shared" si="29"/>
        <v/>
      </c>
    </row>
    <row r="645" spans="1:25">
      <c r="A645" s="45" t="str">
        <f>IF(AND(Registro!D644="Abierto",Registro!E644="Urgente"),Registro!B644,"")</f>
        <v/>
      </c>
      <c r="B645" s="45" t="str">
        <f ca="1">IF(AND(Registro!D644="Abierto",Registro!E644="Urgente"),TODAY()-Registro!R644,"")</f>
        <v/>
      </c>
      <c r="C645" s="45" t="str">
        <f>IF(AND(Registro!D644="Abierto",Registro!E644="Urgente"),RANK(B645,$B$9:$B$1000,0)+COUNTIF($B$9:B645,B645)-1,"")</f>
        <v/>
      </c>
      <c r="D645" s="45" t="str">
        <f>IF(AND(Registro!D644="Abierto",Registro!E644="Alta"),Registro!B644,"")</f>
        <v/>
      </c>
      <c r="E645" s="45" t="str">
        <f ca="1">IF(AND(Registro!D644="Abierto",Registro!E644="Alta"),TODAY()-Registro!R644,"")</f>
        <v/>
      </c>
      <c r="F645" s="45" t="str">
        <f>IF(AND(Registro!D644="Abierto",Registro!E644="Alta"),RANK(E645,$E$9:$E$1000,0)+COUNTIF($E$9:E645,E645)-1+MAX(C$5:C$1000),"")</f>
        <v/>
      </c>
      <c r="G645" s="45" t="str">
        <f>IF(AND(Registro!D644="Abierto",Registro!E644="Media"),Registro!B644,"")</f>
        <v/>
      </c>
      <c r="H645" s="45" t="str">
        <f ca="1">IF(AND(Registro!D644="Abierto",Registro!E644="Media"),TODAY()-Registro!R644,"")</f>
        <v/>
      </c>
      <c r="I645" s="45" t="str">
        <f>IF(AND(Registro!D644="Abierto",Registro!E644="Media"),RANK(H645,$H$9:$H$1000,0)+COUNTIF($H$9:H645,H645)-1+MAX(C$5:C$1000,F$5:F$1000),"")</f>
        <v/>
      </c>
      <c r="J645" s="45" t="str">
        <f>IF(AND(Registro!D644="Abierto",Registro!E644="Baja"),Registro!B644,"")</f>
        <v/>
      </c>
      <c r="K645" s="45" t="str">
        <f ca="1">IF(AND(Registro!D644="Abierto",Registro!E644="Baja"),TODAY()-Registro!R644,"")</f>
        <v/>
      </c>
      <c r="L645" s="45" t="str">
        <f>IF(AND(Registro!D644="Abierto",Registro!E644="Baja"),RANK(K645,$K$9:$K$1000,0)+COUNTIF($K$9:K645,K645)-1+MAX(C$5:C$1000,F$5:F$1000,I$5:I$1000),"")</f>
        <v/>
      </c>
      <c r="M645" s="46" t="str">
        <f>IF(OR(Registro!D644="Resuelto",Registro!D644=""),"",SUM(C645,F645,I645,L645))</f>
        <v/>
      </c>
      <c r="N645" s="46" t="str">
        <f>IF(OR(Registro!D644="Resuelto",Registro!D644=""),"",SUM(B645,E645,H645,K645))</f>
        <v/>
      </c>
      <c r="O645" s="46" t="str">
        <f>IF(OR(Registro!D644="Resuelto",Registro!D644=""),"",_xlfn.CONCAT(A645,D645,G645,J645))</f>
        <v/>
      </c>
      <c r="P645" s="47">
        <v>637</v>
      </c>
      <c r="Q645" s="47" t="str">
        <f t="shared" ca="1" si="27"/>
        <v/>
      </c>
      <c r="R645" s="48" t="str">
        <f t="shared" ca="1" si="28"/>
        <v/>
      </c>
      <c r="S645" s="32"/>
      <c r="T645" s="32"/>
      <c r="U645" s="32"/>
      <c r="V645" s="32"/>
      <c r="W645" s="47" t="str">
        <f>IF(X645="","",MAX($W$5:W644)+1)</f>
        <v/>
      </c>
      <c r="X645" s="50" t="str">
        <f>IF(Registro!M644="","",IF(COUNTIF($X$8:X644,Registro!M644)=0,Registro!M644,""))</f>
        <v/>
      </c>
      <c r="Y645" s="50" t="str">
        <f t="shared" si="29"/>
        <v/>
      </c>
    </row>
    <row r="646" spans="1:25">
      <c r="A646" s="45" t="str">
        <f>IF(AND(Registro!D645="Abierto",Registro!E645="Urgente"),Registro!B645,"")</f>
        <v/>
      </c>
      <c r="B646" s="45" t="str">
        <f ca="1">IF(AND(Registro!D645="Abierto",Registro!E645="Urgente"),TODAY()-Registro!R645,"")</f>
        <v/>
      </c>
      <c r="C646" s="45" t="str">
        <f>IF(AND(Registro!D645="Abierto",Registro!E645="Urgente"),RANK(B646,$B$9:$B$1000,0)+COUNTIF($B$9:B646,B646)-1,"")</f>
        <v/>
      </c>
      <c r="D646" s="45" t="str">
        <f>IF(AND(Registro!D645="Abierto",Registro!E645="Alta"),Registro!B645,"")</f>
        <v/>
      </c>
      <c r="E646" s="45" t="str">
        <f ca="1">IF(AND(Registro!D645="Abierto",Registro!E645="Alta"),TODAY()-Registro!R645,"")</f>
        <v/>
      </c>
      <c r="F646" s="45" t="str">
        <f>IF(AND(Registro!D645="Abierto",Registro!E645="Alta"),RANK(E646,$E$9:$E$1000,0)+COUNTIF($E$9:E646,E646)-1+MAX(C$5:C$1000),"")</f>
        <v/>
      </c>
      <c r="G646" s="45" t="str">
        <f>IF(AND(Registro!D645="Abierto",Registro!E645="Media"),Registro!B645,"")</f>
        <v/>
      </c>
      <c r="H646" s="45" t="str">
        <f ca="1">IF(AND(Registro!D645="Abierto",Registro!E645="Media"),TODAY()-Registro!R645,"")</f>
        <v/>
      </c>
      <c r="I646" s="45" t="str">
        <f>IF(AND(Registro!D645="Abierto",Registro!E645="Media"),RANK(H646,$H$9:$H$1000,0)+COUNTIF($H$9:H646,H646)-1+MAX(C$5:C$1000,F$5:F$1000),"")</f>
        <v/>
      </c>
      <c r="J646" s="45" t="str">
        <f>IF(AND(Registro!D645="Abierto",Registro!E645="Baja"),Registro!B645,"")</f>
        <v/>
      </c>
      <c r="K646" s="45" t="str">
        <f ca="1">IF(AND(Registro!D645="Abierto",Registro!E645="Baja"),TODAY()-Registro!R645,"")</f>
        <v/>
      </c>
      <c r="L646" s="45" t="str">
        <f>IF(AND(Registro!D645="Abierto",Registro!E645="Baja"),RANK(K646,$K$9:$K$1000,0)+COUNTIF($K$9:K646,K646)-1+MAX(C$5:C$1000,F$5:F$1000,I$5:I$1000),"")</f>
        <v/>
      </c>
      <c r="M646" s="46" t="str">
        <f>IF(OR(Registro!D645="Resuelto",Registro!D645=""),"",SUM(C646,F646,I646,L646))</f>
        <v/>
      </c>
      <c r="N646" s="46" t="str">
        <f>IF(OR(Registro!D645="Resuelto",Registro!D645=""),"",SUM(B646,E646,H646,K646))</f>
        <v/>
      </c>
      <c r="O646" s="46" t="str">
        <f>IF(OR(Registro!D645="Resuelto",Registro!D645=""),"",_xlfn.CONCAT(A646,D646,G646,J646))</f>
        <v/>
      </c>
      <c r="P646" s="47">
        <v>638</v>
      </c>
      <c r="Q646" s="47" t="str">
        <f t="shared" ca="1" si="27"/>
        <v/>
      </c>
      <c r="R646" s="48" t="str">
        <f t="shared" ca="1" si="28"/>
        <v/>
      </c>
      <c r="S646" s="32"/>
      <c r="T646" s="32"/>
      <c r="U646" s="32"/>
      <c r="V646" s="32"/>
      <c r="W646" s="47" t="str">
        <f>IF(X646="","",MAX($W$5:W645)+1)</f>
        <v/>
      </c>
      <c r="X646" s="50" t="str">
        <f>IF(Registro!M645="","",IF(COUNTIF($X$8:X645,Registro!M645)=0,Registro!M645,""))</f>
        <v/>
      </c>
      <c r="Y646" s="50" t="str">
        <f t="shared" si="29"/>
        <v/>
      </c>
    </row>
    <row r="647" spans="1:25">
      <c r="A647" s="45" t="str">
        <f>IF(AND(Registro!D646="Abierto",Registro!E646="Urgente"),Registro!B646,"")</f>
        <v/>
      </c>
      <c r="B647" s="45" t="str">
        <f ca="1">IF(AND(Registro!D646="Abierto",Registro!E646="Urgente"),TODAY()-Registro!R646,"")</f>
        <v/>
      </c>
      <c r="C647" s="45" t="str">
        <f>IF(AND(Registro!D646="Abierto",Registro!E646="Urgente"),RANK(B647,$B$9:$B$1000,0)+COUNTIF($B$9:B647,B647)-1,"")</f>
        <v/>
      </c>
      <c r="D647" s="45" t="str">
        <f>IF(AND(Registro!D646="Abierto",Registro!E646="Alta"),Registro!B646,"")</f>
        <v/>
      </c>
      <c r="E647" s="45" t="str">
        <f ca="1">IF(AND(Registro!D646="Abierto",Registro!E646="Alta"),TODAY()-Registro!R646,"")</f>
        <v/>
      </c>
      <c r="F647" s="45" t="str">
        <f>IF(AND(Registro!D646="Abierto",Registro!E646="Alta"),RANK(E647,$E$9:$E$1000,0)+COUNTIF($E$9:E647,E647)-1+MAX(C$5:C$1000),"")</f>
        <v/>
      </c>
      <c r="G647" s="45" t="str">
        <f>IF(AND(Registro!D646="Abierto",Registro!E646="Media"),Registro!B646,"")</f>
        <v/>
      </c>
      <c r="H647" s="45" t="str">
        <f ca="1">IF(AND(Registro!D646="Abierto",Registro!E646="Media"),TODAY()-Registro!R646,"")</f>
        <v/>
      </c>
      <c r="I647" s="45" t="str">
        <f>IF(AND(Registro!D646="Abierto",Registro!E646="Media"),RANK(H647,$H$9:$H$1000,0)+COUNTIF($H$9:H647,H647)-1+MAX(C$5:C$1000,F$5:F$1000),"")</f>
        <v/>
      </c>
      <c r="J647" s="45" t="str">
        <f>IF(AND(Registro!D646="Abierto",Registro!E646="Baja"),Registro!B646,"")</f>
        <v/>
      </c>
      <c r="K647" s="45" t="str">
        <f ca="1">IF(AND(Registro!D646="Abierto",Registro!E646="Baja"),TODAY()-Registro!R646,"")</f>
        <v/>
      </c>
      <c r="L647" s="45" t="str">
        <f>IF(AND(Registro!D646="Abierto",Registro!E646="Baja"),RANK(K647,$K$9:$K$1000,0)+COUNTIF($K$9:K647,K647)-1+MAX(C$5:C$1000,F$5:F$1000,I$5:I$1000),"")</f>
        <v/>
      </c>
      <c r="M647" s="46" t="str">
        <f>IF(OR(Registro!D646="Resuelto",Registro!D646=""),"",SUM(C647,F647,I647,L647))</f>
        <v/>
      </c>
      <c r="N647" s="46" t="str">
        <f>IF(OR(Registro!D646="Resuelto",Registro!D646=""),"",SUM(B647,E647,H647,K647))</f>
        <v/>
      </c>
      <c r="O647" s="46" t="str">
        <f>IF(OR(Registro!D646="Resuelto",Registro!D646=""),"",_xlfn.CONCAT(A647,D647,G647,J647))</f>
        <v/>
      </c>
      <c r="P647" s="47">
        <v>639</v>
      </c>
      <c r="Q647" s="47" t="str">
        <f t="shared" ca="1" si="27"/>
        <v/>
      </c>
      <c r="R647" s="48" t="str">
        <f t="shared" ca="1" si="28"/>
        <v/>
      </c>
      <c r="S647" s="32"/>
      <c r="T647" s="32"/>
      <c r="U647" s="32"/>
      <c r="V647" s="32"/>
      <c r="W647" s="47" t="str">
        <f>IF(X647="","",MAX($W$5:W646)+1)</f>
        <v/>
      </c>
      <c r="X647" s="50" t="str">
        <f>IF(Registro!M646="","",IF(COUNTIF($X$8:X646,Registro!M646)=0,Registro!M646,""))</f>
        <v/>
      </c>
      <c r="Y647" s="50" t="str">
        <f t="shared" si="29"/>
        <v/>
      </c>
    </row>
    <row r="648" spans="1:25">
      <c r="A648" s="45" t="str">
        <f>IF(AND(Registro!D647="Abierto",Registro!E647="Urgente"),Registro!B647,"")</f>
        <v/>
      </c>
      <c r="B648" s="45" t="str">
        <f ca="1">IF(AND(Registro!D647="Abierto",Registro!E647="Urgente"),TODAY()-Registro!R647,"")</f>
        <v/>
      </c>
      <c r="C648" s="45" t="str">
        <f>IF(AND(Registro!D647="Abierto",Registro!E647="Urgente"),RANK(B648,$B$9:$B$1000,0)+COUNTIF($B$9:B648,B648)-1,"")</f>
        <v/>
      </c>
      <c r="D648" s="45" t="str">
        <f>IF(AND(Registro!D647="Abierto",Registro!E647="Alta"),Registro!B647,"")</f>
        <v/>
      </c>
      <c r="E648" s="45" t="str">
        <f ca="1">IF(AND(Registro!D647="Abierto",Registro!E647="Alta"),TODAY()-Registro!R647,"")</f>
        <v/>
      </c>
      <c r="F648" s="45" t="str">
        <f>IF(AND(Registro!D647="Abierto",Registro!E647="Alta"),RANK(E648,$E$9:$E$1000,0)+COUNTIF($E$9:E648,E648)-1+MAX(C$5:C$1000),"")</f>
        <v/>
      </c>
      <c r="G648" s="45" t="str">
        <f>IF(AND(Registro!D647="Abierto",Registro!E647="Media"),Registro!B647,"")</f>
        <v/>
      </c>
      <c r="H648" s="45" t="str">
        <f ca="1">IF(AND(Registro!D647="Abierto",Registro!E647="Media"),TODAY()-Registro!R647,"")</f>
        <v/>
      </c>
      <c r="I648" s="45" t="str">
        <f>IF(AND(Registro!D647="Abierto",Registro!E647="Media"),RANK(H648,$H$9:$H$1000,0)+COUNTIF($H$9:H648,H648)-1+MAX(C$5:C$1000,F$5:F$1000),"")</f>
        <v/>
      </c>
      <c r="J648" s="45" t="str">
        <f>IF(AND(Registro!D647="Abierto",Registro!E647="Baja"),Registro!B647,"")</f>
        <v/>
      </c>
      <c r="K648" s="45" t="str">
        <f ca="1">IF(AND(Registro!D647="Abierto",Registro!E647="Baja"),TODAY()-Registro!R647,"")</f>
        <v/>
      </c>
      <c r="L648" s="45" t="str">
        <f>IF(AND(Registro!D647="Abierto",Registro!E647="Baja"),RANK(K648,$K$9:$K$1000,0)+COUNTIF($K$9:K648,K648)-1+MAX(C$5:C$1000,F$5:F$1000,I$5:I$1000),"")</f>
        <v/>
      </c>
      <c r="M648" s="46" t="str">
        <f>IF(OR(Registro!D647="Resuelto",Registro!D647=""),"",SUM(C648,F648,I648,L648))</f>
        <v/>
      </c>
      <c r="N648" s="46" t="str">
        <f>IF(OR(Registro!D647="Resuelto",Registro!D647=""),"",SUM(B648,E648,H648,K648))</f>
        <v/>
      </c>
      <c r="O648" s="46" t="str">
        <f>IF(OR(Registro!D647="Resuelto",Registro!D647=""),"",_xlfn.CONCAT(A648,D648,G648,J648))</f>
        <v/>
      </c>
      <c r="P648" s="47">
        <v>640</v>
      </c>
      <c r="Q648" s="47" t="str">
        <f t="shared" ca="1" si="27"/>
        <v/>
      </c>
      <c r="R648" s="48" t="str">
        <f t="shared" ca="1" si="28"/>
        <v/>
      </c>
      <c r="S648" s="32"/>
      <c r="T648" s="32"/>
      <c r="U648" s="32"/>
      <c r="V648" s="32"/>
      <c r="W648" s="47" t="str">
        <f>IF(X648="","",MAX($W$5:W647)+1)</f>
        <v/>
      </c>
      <c r="X648" s="50" t="str">
        <f>IF(Registro!M647="","",IF(COUNTIF($X$8:X647,Registro!M647)=0,Registro!M647,""))</f>
        <v/>
      </c>
      <c r="Y648" s="50" t="str">
        <f t="shared" si="29"/>
        <v/>
      </c>
    </row>
    <row r="649" spans="1:25">
      <c r="A649" s="45" t="str">
        <f>IF(AND(Registro!D648="Abierto",Registro!E648="Urgente"),Registro!B648,"")</f>
        <v/>
      </c>
      <c r="B649" s="45" t="str">
        <f ca="1">IF(AND(Registro!D648="Abierto",Registro!E648="Urgente"),TODAY()-Registro!R648,"")</f>
        <v/>
      </c>
      <c r="C649" s="45" t="str">
        <f>IF(AND(Registro!D648="Abierto",Registro!E648="Urgente"),RANK(B649,$B$9:$B$1000,0)+COUNTIF($B$9:B649,B649)-1,"")</f>
        <v/>
      </c>
      <c r="D649" s="45" t="str">
        <f>IF(AND(Registro!D648="Abierto",Registro!E648="Alta"),Registro!B648,"")</f>
        <v/>
      </c>
      <c r="E649" s="45" t="str">
        <f ca="1">IF(AND(Registro!D648="Abierto",Registro!E648="Alta"),TODAY()-Registro!R648,"")</f>
        <v/>
      </c>
      <c r="F649" s="45" t="str">
        <f>IF(AND(Registro!D648="Abierto",Registro!E648="Alta"),RANK(E649,$E$9:$E$1000,0)+COUNTIF($E$9:E649,E649)-1+MAX(C$5:C$1000),"")</f>
        <v/>
      </c>
      <c r="G649" s="45" t="str">
        <f>IF(AND(Registro!D648="Abierto",Registro!E648="Media"),Registro!B648,"")</f>
        <v/>
      </c>
      <c r="H649" s="45" t="str">
        <f ca="1">IF(AND(Registro!D648="Abierto",Registro!E648="Media"),TODAY()-Registro!R648,"")</f>
        <v/>
      </c>
      <c r="I649" s="45" t="str">
        <f>IF(AND(Registro!D648="Abierto",Registro!E648="Media"),RANK(H649,$H$9:$H$1000,0)+COUNTIF($H$9:H649,H649)-1+MAX(C$5:C$1000,F$5:F$1000),"")</f>
        <v/>
      </c>
      <c r="J649" s="45" t="str">
        <f>IF(AND(Registro!D648="Abierto",Registro!E648="Baja"),Registro!B648,"")</f>
        <v/>
      </c>
      <c r="K649" s="45" t="str">
        <f ca="1">IF(AND(Registro!D648="Abierto",Registro!E648="Baja"),TODAY()-Registro!R648,"")</f>
        <v/>
      </c>
      <c r="L649" s="45" t="str">
        <f>IF(AND(Registro!D648="Abierto",Registro!E648="Baja"),RANK(K649,$K$9:$K$1000,0)+COUNTIF($K$9:K649,K649)-1+MAX(C$5:C$1000,F$5:F$1000,I$5:I$1000),"")</f>
        <v/>
      </c>
      <c r="M649" s="46" t="str">
        <f>IF(OR(Registro!D648="Resuelto",Registro!D648=""),"",SUM(C649,F649,I649,L649))</f>
        <v/>
      </c>
      <c r="N649" s="46" t="str">
        <f>IF(OR(Registro!D648="Resuelto",Registro!D648=""),"",SUM(B649,E649,H649,K649))</f>
        <v/>
      </c>
      <c r="O649" s="46" t="str">
        <f>IF(OR(Registro!D648="Resuelto",Registro!D648=""),"",_xlfn.CONCAT(A649,D649,G649,J649))</f>
        <v/>
      </c>
      <c r="P649" s="47">
        <v>641</v>
      </c>
      <c r="Q649" s="47" t="str">
        <f t="shared" ref="Q649:Q712" ca="1" si="30">IF(ISNA(VLOOKUP(P649,$M$9:$O$1000,3,FALSE))=TRUE,"",VLOOKUP(P649,$M$9:$O$1000,3,FALSE))</f>
        <v/>
      </c>
      <c r="R649" s="48" t="str">
        <f t="shared" ref="R649:R712" ca="1" si="31">IF(ISNA(VLOOKUP(P649,$M$9:$O$1000,2,FALSE))=TRUE,"",VLOOKUP(P649,$M$9:$O$1000,2,FALSE))</f>
        <v/>
      </c>
      <c r="S649" s="32"/>
      <c r="T649" s="32"/>
      <c r="U649" s="32"/>
      <c r="V649" s="32"/>
      <c r="W649" s="47" t="str">
        <f>IF(X649="","",MAX($W$5:W648)+1)</f>
        <v/>
      </c>
      <c r="X649" s="50" t="str">
        <f>IF(Registro!M648="","",IF(COUNTIF($X$8:X648,Registro!M648)=0,Registro!M648,""))</f>
        <v/>
      </c>
      <c r="Y649" s="50" t="str">
        <f t="shared" ref="Y649:Y712" si="32">IF(ISNA(VLOOKUP(P649,$W$9:$X$1000,2,FALSE))=TRUE,"",VLOOKUP(P649,$W$9:$X$1000,2,FALSE))</f>
        <v/>
      </c>
    </row>
    <row r="650" spans="1:25">
      <c r="A650" s="45" t="str">
        <f>IF(AND(Registro!D649="Abierto",Registro!E649="Urgente"),Registro!B649,"")</f>
        <v/>
      </c>
      <c r="B650" s="45" t="str">
        <f ca="1">IF(AND(Registro!D649="Abierto",Registro!E649="Urgente"),TODAY()-Registro!R649,"")</f>
        <v/>
      </c>
      <c r="C650" s="45" t="str">
        <f>IF(AND(Registro!D649="Abierto",Registro!E649="Urgente"),RANK(B650,$B$9:$B$1000,0)+COUNTIF($B$9:B650,B650)-1,"")</f>
        <v/>
      </c>
      <c r="D650" s="45" t="str">
        <f>IF(AND(Registro!D649="Abierto",Registro!E649="Alta"),Registro!B649,"")</f>
        <v/>
      </c>
      <c r="E650" s="45" t="str">
        <f ca="1">IF(AND(Registro!D649="Abierto",Registro!E649="Alta"),TODAY()-Registro!R649,"")</f>
        <v/>
      </c>
      <c r="F650" s="45" t="str">
        <f>IF(AND(Registro!D649="Abierto",Registro!E649="Alta"),RANK(E650,$E$9:$E$1000,0)+COUNTIF($E$9:E650,E650)-1+MAX(C$5:C$1000),"")</f>
        <v/>
      </c>
      <c r="G650" s="45" t="str">
        <f>IF(AND(Registro!D649="Abierto",Registro!E649="Media"),Registro!B649,"")</f>
        <v/>
      </c>
      <c r="H650" s="45" t="str">
        <f ca="1">IF(AND(Registro!D649="Abierto",Registro!E649="Media"),TODAY()-Registro!R649,"")</f>
        <v/>
      </c>
      <c r="I650" s="45" t="str">
        <f>IF(AND(Registro!D649="Abierto",Registro!E649="Media"),RANK(H650,$H$9:$H$1000,0)+COUNTIF($H$9:H650,H650)-1+MAX(C$5:C$1000,F$5:F$1000),"")</f>
        <v/>
      </c>
      <c r="J650" s="45" t="str">
        <f>IF(AND(Registro!D649="Abierto",Registro!E649="Baja"),Registro!B649,"")</f>
        <v/>
      </c>
      <c r="K650" s="45" t="str">
        <f ca="1">IF(AND(Registro!D649="Abierto",Registro!E649="Baja"),TODAY()-Registro!R649,"")</f>
        <v/>
      </c>
      <c r="L650" s="45" t="str">
        <f>IF(AND(Registro!D649="Abierto",Registro!E649="Baja"),RANK(K650,$K$9:$K$1000,0)+COUNTIF($K$9:K650,K650)-1+MAX(C$5:C$1000,F$5:F$1000,I$5:I$1000),"")</f>
        <v/>
      </c>
      <c r="M650" s="46" t="str">
        <f>IF(OR(Registro!D649="Resuelto",Registro!D649=""),"",SUM(C650,F650,I650,L650))</f>
        <v/>
      </c>
      <c r="N650" s="46" t="str">
        <f>IF(OR(Registro!D649="Resuelto",Registro!D649=""),"",SUM(B650,E650,H650,K650))</f>
        <v/>
      </c>
      <c r="O650" s="46" t="str">
        <f>IF(OR(Registro!D649="Resuelto",Registro!D649=""),"",_xlfn.CONCAT(A650,D650,G650,J650))</f>
        <v/>
      </c>
      <c r="P650" s="47">
        <v>642</v>
      </c>
      <c r="Q650" s="47" t="str">
        <f t="shared" ca="1" si="30"/>
        <v/>
      </c>
      <c r="R650" s="48" t="str">
        <f t="shared" ca="1" si="31"/>
        <v/>
      </c>
      <c r="S650" s="32"/>
      <c r="T650" s="32"/>
      <c r="U650" s="32"/>
      <c r="V650" s="32"/>
      <c r="W650" s="47" t="str">
        <f>IF(X650="","",MAX($W$5:W649)+1)</f>
        <v/>
      </c>
      <c r="X650" s="50" t="str">
        <f>IF(Registro!M649="","",IF(COUNTIF($X$8:X649,Registro!M649)=0,Registro!M649,""))</f>
        <v/>
      </c>
      <c r="Y650" s="50" t="str">
        <f t="shared" si="32"/>
        <v/>
      </c>
    </row>
    <row r="651" spans="1:25">
      <c r="A651" s="45" t="str">
        <f>IF(AND(Registro!D650="Abierto",Registro!E650="Urgente"),Registro!B650,"")</f>
        <v/>
      </c>
      <c r="B651" s="45" t="str">
        <f ca="1">IF(AND(Registro!D650="Abierto",Registro!E650="Urgente"),TODAY()-Registro!R650,"")</f>
        <v/>
      </c>
      <c r="C651" s="45" t="str">
        <f>IF(AND(Registro!D650="Abierto",Registro!E650="Urgente"),RANK(B651,$B$9:$B$1000,0)+COUNTIF($B$9:B651,B651)-1,"")</f>
        <v/>
      </c>
      <c r="D651" s="45" t="str">
        <f>IF(AND(Registro!D650="Abierto",Registro!E650="Alta"),Registro!B650,"")</f>
        <v/>
      </c>
      <c r="E651" s="45" t="str">
        <f ca="1">IF(AND(Registro!D650="Abierto",Registro!E650="Alta"),TODAY()-Registro!R650,"")</f>
        <v/>
      </c>
      <c r="F651" s="45" t="str">
        <f>IF(AND(Registro!D650="Abierto",Registro!E650="Alta"),RANK(E651,$E$9:$E$1000,0)+COUNTIF($E$9:E651,E651)-1+MAX(C$5:C$1000),"")</f>
        <v/>
      </c>
      <c r="G651" s="45" t="str">
        <f>IF(AND(Registro!D650="Abierto",Registro!E650="Media"),Registro!B650,"")</f>
        <v/>
      </c>
      <c r="H651" s="45" t="str">
        <f ca="1">IF(AND(Registro!D650="Abierto",Registro!E650="Media"),TODAY()-Registro!R650,"")</f>
        <v/>
      </c>
      <c r="I651" s="45" t="str">
        <f>IF(AND(Registro!D650="Abierto",Registro!E650="Media"),RANK(H651,$H$9:$H$1000,0)+COUNTIF($H$9:H651,H651)-1+MAX(C$5:C$1000,F$5:F$1000),"")</f>
        <v/>
      </c>
      <c r="J651" s="45" t="str">
        <f>IF(AND(Registro!D650="Abierto",Registro!E650="Baja"),Registro!B650,"")</f>
        <v/>
      </c>
      <c r="K651" s="45" t="str">
        <f ca="1">IF(AND(Registro!D650="Abierto",Registro!E650="Baja"),TODAY()-Registro!R650,"")</f>
        <v/>
      </c>
      <c r="L651" s="45" t="str">
        <f>IF(AND(Registro!D650="Abierto",Registro!E650="Baja"),RANK(K651,$K$9:$K$1000,0)+COUNTIF($K$9:K651,K651)-1+MAX(C$5:C$1000,F$5:F$1000,I$5:I$1000),"")</f>
        <v/>
      </c>
      <c r="M651" s="46" t="str">
        <f>IF(OR(Registro!D650="Resuelto",Registro!D650=""),"",SUM(C651,F651,I651,L651))</f>
        <v/>
      </c>
      <c r="N651" s="46" t="str">
        <f>IF(OR(Registro!D650="Resuelto",Registro!D650=""),"",SUM(B651,E651,H651,K651))</f>
        <v/>
      </c>
      <c r="O651" s="46" t="str">
        <f>IF(OR(Registro!D650="Resuelto",Registro!D650=""),"",_xlfn.CONCAT(A651,D651,G651,J651))</f>
        <v/>
      </c>
      <c r="P651" s="47">
        <v>643</v>
      </c>
      <c r="Q651" s="47" t="str">
        <f t="shared" ca="1" si="30"/>
        <v/>
      </c>
      <c r="R651" s="48" t="str">
        <f t="shared" ca="1" si="31"/>
        <v/>
      </c>
      <c r="S651" s="32"/>
      <c r="T651" s="32"/>
      <c r="U651" s="32"/>
      <c r="V651" s="32"/>
      <c r="W651" s="47" t="str">
        <f>IF(X651="","",MAX($W$5:W650)+1)</f>
        <v/>
      </c>
      <c r="X651" s="50" t="str">
        <f>IF(Registro!M650="","",IF(COUNTIF($X$8:X650,Registro!M650)=0,Registro!M650,""))</f>
        <v/>
      </c>
      <c r="Y651" s="50" t="str">
        <f t="shared" si="32"/>
        <v/>
      </c>
    </row>
    <row r="652" spans="1:25">
      <c r="A652" s="45" t="str">
        <f>IF(AND(Registro!D651="Abierto",Registro!E651="Urgente"),Registro!B651,"")</f>
        <v/>
      </c>
      <c r="B652" s="45" t="str">
        <f ca="1">IF(AND(Registro!D651="Abierto",Registro!E651="Urgente"),TODAY()-Registro!R651,"")</f>
        <v/>
      </c>
      <c r="C652" s="45" t="str">
        <f>IF(AND(Registro!D651="Abierto",Registro!E651="Urgente"),RANK(B652,$B$9:$B$1000,0)+COUNTIF($B$9:B652,B652)-1,"")</f>
        <v/>
      </c>
      <c r="D652" s="45" t="str">
        <f>IF(AND(Registro!D651="Abierto",Registro!E651="Alta"),Registro!B651,"")</f>
        <v/>
      </c>
      <c r="E652" s="45" t="str">
        <f ca="1">IF(AND(Registro!D651="Abierto",Registro!E651="Alta"),TODAY()-Registro!R651,"")</f>
        <v/>
      </c>
      <c r="F652" s="45" t="str">
        <f>IF(AND(Registro!D651="Abierto",Registro!E651="Alta"),RANK(E652,$E$9:$E$1000,0)+COUNTIF($E$9:E652,E652)-1+MAX(C$5:C$1000),"")</f>
        <v/>
      </c>
      <c r="G652" s="45" t="str">
        <f>IF(AND(Registro!D651="Abierto",Registro!E651="Media"),Registro!B651,"")</f>
        <v/>
      </c>
      <c r="H652" s="45" t="str">
        <f ca="1">IF(AND(Registro!D651="Abierto",Registro!E651="Media"),TODAY()-Registro!R651,"")</f>
        <v/>
      </c>
      <c r="I652" s="45" t="str">
        <f>IF(AND(Registro!D651="Abierto",Registro!E651="Media"),RANK(H652,$H$9:$H$1000,0)+COUNTIF($H$9:H652,H652)-1+MAX(C$5:C$1000,F$5:F$1000),"")</f>
        <v/>
      </c>
      <c r="J652" s="45" t="str">
        <f>IF(AND(Registro!D651="Abierto",Registro!E651="Baja"),Registro!B651,"")</f>
        <v/>
      </c>
      <c r="K652" s="45" t="str">
        <f ca="1">IF(AND(Registro!D651="Abierto",Registro!E651="Baja"),TODAY()-Registro!R651,"")</f>
        <v/>
      </c>
      <c r="L652" s="45" t="str">
        <f>IF(AND(Registro!D651="Abierto",Registro!E651="Baja"),RANK(K652,$K$9:$K$1000,0)+COUNTIF($K$9:K652,K652)-1+MAX(C$5:C$1000,F$5:F$1000,I$5:I$1000),"")</f>
        <v/>
      </c>
      <c r="M652" s="46" t="str">
        <f>IF(OR(Registro!D651="Resuelto",Registro!D651=""),"",SUM(C652,F652,I652,L652))</f>
        <v/>
      </c>
      <c r="N652" s="46" t="str">
        <f>IF(OR(Registro!D651="Resuelto",Registro!D651=""),"",SUM(B652,E652,H652,K652))</f>
        <v/>
      </c>
      <c r="O652" s="46" t="str">
        <f>IF(OR(Registro!D651="Resuelto",Registro!D651=""),"",_xlfn.CONCAT(A652,D652,G652,J652))</f>
        <v/>
      </c>
      <c r="P652" s="47">
        <v>644</v>
      </c>
      <c r="Q652" s="47" t="str">
        <f t="shared" ca="1" si="30"/>
        <v/>
      </c>
      <c r="R652" s="48" t="str">
        <f t="shared" ca="1" si="31"/>
        <v/>
      </c>
      <c r="S652" s="32"/>
      <c r="T652" s="32"/>
      <c r="U652" s="32"/>
      <c r="V652" s="32"/>
      <c r="W652" s="47" t="str">
        <f>IF(X652="","",MAX($W$5:W651)+1)</f>
        <v/>
      </c>
      <c r="X652" s="50" t="str">
        <f>IF(Registro!M651="","",IF(COUNTIF($X$8:X651,Registro!M651)=0,Registro!M651,""))</f>
        <v/>
      </c>
      <c r="Y652" s="50" t="str">
        <f t="shared" si="32"/>
        <v/>
      </c>
    </row>
    <row r="653" spans="1:25">
      <c r="A653" s="45" t="str">
        <f>IF(AND(Registro!D652="Abierto",Registro!E652="Urgente"),Registro!B652,"")</f>
        <v/>
      </c>
      <c r="B653" s="45" t="str">
        <f ca="1">IF(AND(Registro!D652="Abierto",Registro!E652="Urgente"),TODAY()-Registro!R652,"")</f>
        <v/>
      </c>
      <c r="C653" s="45" t="str">
        <f>IF(AND(Registro!D652="Abierto",Registro!E652="Urgente"),RANK(B653,$B$9:$B$1000,0)+COUNTIF($B$9:B653,B653)-1,"")</f>
        <v/>
      </c>
      <c r="D653" s="45" t="str">
        <f>IF(AND(Registro!D652="Abierto",Registro!E652="Alta"),Registro!B652,"")</f>
        <v/>
      </c>
      <c r="E653" s="45" t="str">
        <f ca="1">IF(AND(Registro!D652="Abierto",Registro!E652="Alta"),TODAY()-Registro!R652,"")</f>
        <v/>
      </c>
      <c r="F653" s="45" t="str">
        <f>IF(AND(Registro!D652="Abierto",Registro!E652="Alta"),RANK(E653,$E$9:$E$1000,0)+COUNTIF($E$9:E653,E653)-1+MAX(C$5:C$1000),"")</f>
        <v/>
      </c>
      <c r="G653" s="45" t="str">
        <f>IF(AND(Registro!D652="Abierto",Registro!E652="Media"),Registro!B652,"")</f>
        <v/>
      </c>
      <c r="H653" s="45" t="str">
        <f ca="1">IF(AND(Registro!D652="Abierto",Registro!E652="Media"),TODAY()-Registro!R652,"")</f>
        <v/>
      </c>
      <c r="I653" s="45" t="str">
        <f>IF(AND(Registro!D652="Abierto",Registro!E652="Media"),RANK(H653,$H$9:$H$1000,0)+COUNTIF($H$9:H653,H653)-1+MAX(C$5:C$1000,F$5:F$1000),"")</f>
        <v/>
      </c>
      <c r="J653" s="45" t="str">
        <f>IF(AND(Registro!D652="Abierto",Registro!E652="Baja"),Registro!B652,"")</f>
        <v/>
      </c>
      <c r="K653" s="45" t="str">
        <f ca="1">IF(AND(Registro!D652="Abierto",Registro!E652="Baja"),TODAY()-Registro!R652,"")</f>
        <v/>
      </c>
      <c r="L653" s="45" t="str">
        <f>IF(AND(Registro!D652="Abierto",Registro!E652="Baja"),RANK(K653,$K$9:$K$1000,0)+COUNTIF($K$9:K653,K653)-1+MAX(C$5:C$1000,F$5:F$1000,I$5:I$1000),"")</f>
        <v/>
      </c>
      <c r="M653" s="46" t="str">
        <f>IF(OR(Registro!D652="Resuelto",Registro!D652=""),"",SUM(C653,F653,I653,L653))</f>
        <v/>
      </c>
      <c r="N653" s="46" t="str">
        <f>IF(OR(Registro!D652="Resuelto",Registro!D652=""),"",SUM(B653,E653,H653,K653))</f>
        <v/>
      </c>
      <c r="O653" s="46" t="str">
        <f>IF(OR(Registro!D652="Resuelto",Registro!D652=""),"",_xlfn.CONCAT(A653,D653,G653,J653))</f>
        <v/>
      </c>
      <c r="P653" s="47">
        <v>645</v>
      </c>
      <c r="Q653" s="47" t="str">
        <f t="shared" ca="1" si="30"/>
        <v/>
      </c>
      <c r="R653" s="48" t="str">
        <f t="shared" ca="1" si="31"/>
        <v/>
      </c>
      <c r="S653" s="32"/>
      <c r="T653" s="32"/>
      <c r="U653" s="32"/>
      <c r="V653" s="32"/>
      <c r="W653" s="47" t="str">
        <f>IF(X653="","",MAX($W$5:W652)+1)</f>
        <v/>
      </c>
      <c r="X653" s="50" t="str">
        <f>IF(Registro!M652="","",IF(COUNTIF($X$8:X652,Registro!M652)=0,Registro!M652,""))</f>
        <v/>
      </c>
      <c r="Y653" s="50" t="str">
        <f t="shared" si="32"/>
        <v/>
      </c>
    </row>
    <row r="654" spans="1:25">
      <c r="A654" s="45" t="str">
        <f>IF(AND(Registro!D653="Abierto",Registro!E653="Urgente"),Registro!B653,"")</f>
        <v/>
      </c>
      <c r="B654" s="45" t="str">
        <f ca="1">IF(AND(Registro!D653="Abierto",Registro!E653="Urgente"),TODAY()-Registro!R653,"")</f>
        <v/>
      </c>
      <c r="C654" s="45" t="str">
        <f>IF(AND(Registro!D653="Abierto",Registro!E653="Urgente"),RANK(B654,$B$9:$B$1000,0)+COUNTIF($B$9:B654,B654)-1,"")</f>
        <v/>
      </c>
      <c r="D654" s="45" t="str">
        <f>IF(AND(Registro!D653="Abierto",Registro!E653="Alta"),Registro!B653,"")</f>
        <v/>
      </c>
      <c r="E654" s="45" t="str">
        <f ca="1">IF(AND(Registro!D653="Abierto",Registro!E653="Alta"),TODAY()-Registro!R653,"")</f>
        <v/>
      </c>
      <c r="F654" s="45" t="str">
        <f>IF(AND(Registro!D653="Abierto",Registro!E653="Alta"),RANK(E654,$E$9:$E$1000,0)+COUNTIF($E$9:E654,E654)-1+MAX(C$5:C$1000),"")</f>
        <v/>
      </c>
      <c r="G654" s="45" t="str">
        <f>IF(AND(Registro!D653="Abierto",Registro!E653="Media"),Registro!B653,"")</f>
        <v/>
      </c>
      <c r="H654" s="45" t="str">
        <f ca="1">IF(AND(Registro!D653="Abierto",Registro!E653="Media"),TODAY()-Registro!R653,"")</f>
        <v/>
      </c>
      <c r="I654" s="45" t="str">
        <f>IF(AND(Registro!D653="Abierto",Registro!E653="Media"),RANK(H654,$H$9:$H$1000,0)+COUNTIF($H$9:H654,H654)-1+MAX(C$5:C$1000,F$5:F$1000),"")</f>
        <v/>
      </c>
      <c r="J654" s="45" t="str">
        <f>IF(AND(Registro!D653="Abierto",Registro!E653="Baja"),Registro!B653,"")</f>
        <v/>
      </c>
      <c r="K654" s="45" t="str">
        <f ca="1">IF(AND(Registro!D653="Abierto",Registro!E653="Baja"),TODAY()-Registro!R653,"")</f>
        <v/>
      </c>
      <c r="L654" s="45" t="str">
        <f>IF(AND(Registro!D653="Abierto",Registro!E653="Baja"),RANK(K654,$K$9:$K$1000,0)+COUNTIF($K$9:K654,K654)-1+MAX(C$5:C$1000,F$5:F$1000,I$5:I$1000),"")</f>
        <v/>
      </c>
      <c r="M654" s="46" t="str">
        <f>IF(OR(Registro!D653="Resuelto",Registro!D653=""),"",SUM(C654,F654,I654,L654))</f>
        <v/>
      </c>
      <c r="N654" s="46" t="str">
        <f>IF(OR(Registro!D653="Resuelto",Registro!D653=""),"",SUM(B654,E654,H654,K654))</f>
        <v/>
      </c>
      <c r="O654" s="46" t="str">
        <f>IF(OR(Registro!D653="Resuelto",Registro!D653=""),"",_xlfn.CONCAT(A654,D654,G654,J654))</f>
        <v/>
      </c>
      <c r="P654" s="47">
        <v>646</v>
      </c>
      <c r="Q654" s="47" t="str">
        <f t="shared" ca="1" si="30"/>
        <v/>
      </c>
      <c r="R654" s="48" t="str">
        <f t="shared" ca="1" si="31"/>
        <v/>
      </c>
      <c r="S654" s="32"/>
      <c r="T654" s="32"/>
      <c r="U654" s="32"/>
      <c r="V654" s="32"/>
      <c r="W654" s="47" t="str">
        <f>IF(X654="","",MAX($W$5:W653)+1)</f>
        <v/>
      </c>
      <c r="X654" s="50" t="str">
        <f>IF(Registro!M653="","",IF(COUNTIF($X$8:X653,Registro!M653)=0,Registro!M653,""))</f>
        <v/>
      </c>
      <c r="Y654" s="50" t="str">
        <f t="shared" si="32"/>
        <v/>
      </c>
    </row>
    <row r="655" spans="1:25">
      <c r="A655" s="45" t="str">
        <f>IF(AND(Registro!D654="Abierto",Registro!E654="Urgente"),Registro!B654,"")</f>
        <v/>
      </c>
      <c r="B655" s="45" t="str">
        <f ca="1">IF(AND(Registro!D654="Abierto",Registro!E654="Urgente"),TODAY()-Registro!R654,"")</f>
        <v/>
      </c>
      <c r="C655" s="45" t="str">
        <f>IF(AND(Registro!D654="Abierto",Registro!E654="Urgente"),RANK(B655,$B$9:$B$1000,0)+COUNTIF($B$9:B655,B655)-1,"")</f>
        <v/>
      </c>
      <c r="D655" s="45" t="str">
        <f>IF(AND(Registro!D654="Abierto",Registro!E654="Alta"),Registro!B654,"")</f>
        <v/>
      </c>
      <c r="E655" s="45" t="str">
        <f ca="1">IF(AND(Registro!D654="Abierto",Registro!E654="Alta"),TODAY()-Registro!R654,"")</f>
        <v/>
      </c>
      <c r="F655" s="45" t="str">
        <f>IF(AND(Registro!D654="Abierto",Registro!E654="Alta"),RANK(E655,$E$9:$E$1000,0)+COUNTIF($E$9:E655,E655)-1+MAX(C$5:C$1000),"")</f>
        <v/>
      </c>
      <c r="G655" s="45" t="str">
        <f>IF(AND(Registro!D654="Abierto",Registro!E654="Media"),Registro!B654,"")</f>
        <v/>
      </c>
      <c r="H655" s="45" t="str">
        <f ca="1">IF(AND(Registro!D654="Abierto",Registro!E654="Media"),TODAY()-Registro!R654,"")</f>
        <v/>
      </c>
      <c r="I655" s="45" t="str">
        <f>IF(AND(Registro!D654="Abierto",Registro!E654="Media"),RANK(H655,$H$9:$H$1000,0)+COUNTIF($H$9:H655,H655)-1+MAX(C$5:C$1000,F$5:F$1000),"")</f>
        <v/>
      </c>
      <c r="J655" s="45" t="str">
        <f>IF(AND(Registro!D654="Abierto",Registro!E654="Baja"),Registro!B654,"")</f>
        <v/>
      </c>
      <c r="K655" s="45" t="str">
        <f ca="1">IF(AND(Registro!D654="Abierto",Registro!E654="Baja"),TODAY()-Registro!R654,"")</f>
        <v/>
      </c>
      <c r="L655" s="45" t="str">
        <f>IF(AND(Registro!D654="Abierto",Registro!E654="Baja"),RANK(K655,$K$9:$K$1000,0)+COUNTIF($K$9:K655,K655)-1+MAX(C$5:C$1000,F$5:F$1000,I$5:I$1000),"")</f>
        <v/>
      </c>
      <c r="M655" s="46" t="str">
        <f>IF(OR(Registro!D654="Resuelto",Registro!D654=""),"",SUM(C655,F655,I655,L655))</f>
        <v/>
      </c>
      <c r="N655" s="46" t="str">
        <f>IF(OR(Registro!D654="Resuelto",Registro!D654=""),"",SUM(B655,E655,H655,K655))</f>
        <v/>
      </c>
      <c r="O655" s="46" t="str">
        <f>IF(OR(Registro!D654="Resuelto",Registro!D654=""),"",_xlfn.CONCAT(A655,D655,G655,J655))</f>
        <v/>
      </c>
      <c r="P655" s="47">
        <v>647</v>
      </c>
      <c r="Q655" s="47" t="str">
        <f t="shared" ca="1" si="30"/>
        <v/>
      </c>
      <c r="R655" s="48" t="str">
        <f t="shared" ca="1" si="31"/>
        <v/>
      </c>
      <c r="S655" s="32"/>
      <c r="T655" s="32"/>
      <c r="U655" s="32"/>
      <c r="V655" s="32"/>
      <c r="W655" s="47" t="str">
        <f>IF(X655="","",MAX($W$5:W654)+1)</f>
        <v/>
      </c>
      <c r="X655" s="50" t="str">
        <f>IF(Registro!M654="","",IF(COUNTIF($X$8:X654,Registro!M654)=0,Registro!M654,""))</f>
        <v/>
      </c>
      <c r="Y655" s="50" t="str">
        <f t="shared" si="32"/>
        <v/>
      </c>
    </row>
    <row r="656" spans="1:25">
      <c r="A656" s="45" t="str">
        <f>IF(AND(Registro!D655="Abierto",Registro!E655="Urgente"),Registro!B655,"")</f>
        <v/>
      </c>
      <c r="B656" s="45" t="str">
        <f ca="1">IF(AND(Registro!D655="Abierto",Registro!E655="Urgente"),TODAY()-Registro!R655,"")</f>
        <v/>
      </c>
      <c r="C656" s="45" t="str">
        <f>IF(AND(Registro!D655="Abierto",Registro!E655="Urgente"),RANK(B656,$B$9:$B$1000,0)+COUNTIF($B$9:B656,B656)-1,"")</f>
        <v/>
      </c>
      <c r="D656" s="45" t="str">
        <f>IF(AND(Registro!D655="Abierto",Registro!E655="Alta"),Registro!B655,"")</f>
        <v/>
      </c>
      <c r="E656" s="45" t="str">
        <f ca="1">IF(AND(Registro!D655="Abierto",Registro!E655="Alta"),TODAY()-Registro!R655,"")</f>
        <v/>
      </c>
      <c r="F656" s="45" t="str">
        <f>IF(AND(Registro!D655="Abierto",Registro!E655="Alta"),RANK(E656,$E$9:$E$1000,0)+COUNTIF($E$9:E656,E656)-1+MAX(C$5:C$1000),"")</f>
        <v/>
      </c>
      <c r="G656" s="45" t="str">
        <f>IF(AND(Registro!D655="Abierto",Registro!E655="Media"),Registro!B655,"")</f>
        <v/>
      </c>
      <c r="H656" s="45" t="str">
        <f ca="1">IF(AND(Registro!D655="Abierto",Registro!E655="Media"),TODAY()-Registro!R655,"")</f>
        <v/>
      </c>
      <c r="I656" s="45" t="str">
        <f>IF(AND(Registro!D655="Abierto",Registro!E655="Media"),RANK(H656,$H$9:$H$1000,0)+COUNTIF($H$9:H656,H656)-1+MAX(C$5:C$1000,F$5:F$1000),"")</f>
        <v/>
      </c>
      <c r="J656" s="45" t="str">
        <f>IF(AND(Registro!D655="Abierto",Registro!E655="Baja"),Registro!B655,"")</f>
        <v/>
      </c>
      <c r="K656" s="45" t="str">
        <f ca="1">IF(AND(Registro!D655="Abierto",Registro!E655="Baja"),TODAY()-Registro!R655,"")</f>
        <v/>
      </c>
      <c r="L656" s="45" t="str">
        <f>IF(AND(Registro!D655="Abierto",Registro!E655="Baja"),RANK(K656,$K$9:$K$1000,0)+COUNTIF($K$9:K656,K656)-1+MAX(C$5:C$1000,F$5:F$1000,I$5:I$1000),"")</f>
        <v/>
      </c>
      <c r="M656" s="46" t="str">
        <f>IF(OR(Registro!D655="Resuelto",Registro!D655=""),"",SUM(C656,F656,I656,L656))</f>
        <v/>
      </c>
      <c r="N656" s="46" t="str">
        <f>IF(OR(Registro!D655="Resuelto",Registro!D655=""),"",SUM(B656,E656,H656,K656))</f>
        <v/>
      </c>
      <c r="O656" s="46" t="str">
        <f>IF(OR(Registro!D655="Resuelto",Registro!D655=""),"",_xlfn.CONCAT(A656,D656,G656,J656))</f>
        <v/>
      </c>
      <c r="P656" s="47">
        <v>648</v>
      </c>
      <c r="Q656" s="47" t="str">
        <f t="shared" ca="1" si="30"/>
        <v/>
      </c>
      <c r="R656" s="48" t="str">
        <f t="shared" ca="1" si="31"/>
        <v/>
      </c>
      <c r="S656" s="32"/>
      <c r="T656" s="32"/>
      <c r="U656" s="32"/>
      <c r="V656" s="32"/>
      <c r="W656" s="47" t="str">
        <f>IF(X656="","",MAX($W$5:W655)+1)</f>
        <v/>
      </c>
      <c r="X656" s="50" t="str">
        <f>IF(Registro!M655="","",IF(COUNTIF($X$8:X655,Registro!M655)=0,Registro!M655,""))</f>
        <v/>
      </c>
      <c r="Y656" s="50" t="str">
        <f t="shared" si="32"/>
        <v/>
      </c>
    </row>
    <row r="657" spans="1:25">
      <c r="A657" s="45" t="str">
        <f>IF(AND(Registro!D656="Abierto",Registro!E656="Urgente"),Registro!B656,"")</f>
        <v/>
      </c>
      <c r="B657" s="45" t="str">
        <f ca="1">IF(AND(Registro!D656="Abierto",Registro!E656="Urgente"),TODAY()-Registro!R656,"")</f>
        <v/>
      </c>
      <c r="C657" s="45" t="str">
        <f>IF(AND(Registro!D656="Abierto",Registro!E656="Urgente"),RANK(B657,$B$9:$B$1000,0)+COUNTIF($B$9:B657,B657)-1,"")</f>
        <v/>
      </c>
      <c r="D657" s="45" t="str">
        <f>IF(AND(Registro!D656="Abierto",Registro!E656="Alta"),Registro!B656,"")</f>
        <v/>
      </c>
      <c r="E657" s="45" t="str">
        <f ca="1">IF(AND(Registro!D656="Abierto",Registro!E656="Alta"),TODAY()-Registro!R656,"")</f>
        <v/>
      </c>
      <c r="F657" s="45" t="str">
        <f>IF(AND(Registro!D656="Abierto",Registro!E656="Alta"),RANK(E657,$E$9:$E$1000,0)+COUNTIF($E$9:E657,E657)-1+MAX(C$5:C$1000),"")</f>
        <v/>
      </c>
      <c r="G657" s="45" t="str">
        <f>IF(AND(Registro!D656="Abierto",Registro!E656="Media"),Registro!B656,"")</f>
        <v/>
      </c>
      <c r="H657" s="45" t="str">
        <f ca="1">IF(AND(Registro!D656="Abierto",Registro!E656="Media"),TODAY()-Registro!R656,"")</f>
        <v/>
      </c>
      <c r="I657" s="45" t="str">
        <f>IF(AND(Registro!D656="Abierto",Registro!E656="Media"),RANK(H657,$H$9:$H$1000,0)+COUNTIF($H$9:H657,H657)-1+MAX(C$5:C$1000,F$5:F$1000),"")</f>
        <v/>
      </c>
      <c r="J657" s="45" t="str">
        <f>IF(AND(Registro!D656="Abierto",Registro!E656="Baja"),Registro!B656,"")</f>
        <v/>
      </c>
      <c r="K657" s="45" t="str">
        <f ca="1">IF(AND(Registro!D656="Abierto",Registro!E656="Baja"),TODAY()-Registro!R656,"")</f>
        <v/>
      </c>
      <c r="L657" s="45" t="str">
        <f>IF(AND(Registro!D656="Abierto",Registro!E656="Baja"),RANK(K657,$K$9:$K$1000,0)+COUNTIF($K$9:K657,K657)-1+MAX(C$5:C$1000,F$5:F$1000,I$5:I$1000),"")</f>
        <v/>
      </c>
      <c r="M657" s="46" t="str">
        <f>IF(OR(Registro!D656="Resuelto",Registro!D656=""),"",SUM(C657,F657,I657,L657))</f>
        <v/>
      </c>
      <c r="N657" s="46" t="str">
        <f>IF(OR(Registro!D656="Resuelto",Registro!D656=""),"",SUM(B657,E657,H657,K657))</f>
        <v/>
      </c>
      <c r="O657" s="46" t="str">
        <f>IF(OR(Registro!D656="Resuelto",Registro!D656=""),"",_xlfn.CONCAT(A657,D657,G657,J657))</f>
        <v/>
      </c>
      <c r="P657" s="47">
        <v>649</v>
      </c>
      <c r="Q657" s="47" t="str">
        <f t="shared" ca="1" si="30"/>
        <v/>
      </c>
      <c r="R657" s="48" t="str">
        <f t="shared" ca="1" si="31"/>
        <v/>
      </c>
      <c r="S657" s="32"/>
      <c r="T657" s="32"/>
      <c r="U657" s="32"/>
      <c r="V657" s="32"/>
      <c r="W657" s="47" t="str">
        <f>IF(X657="","",MAX($W$5:W656)+1)</f>
        <v/>
      </c>
      <c r="X657" s="50" t="str">
        <f>IF(Registro!M656="","",IF(COUNTIF($X$8:X656,Registro!M656)=0,Registro!M656,""))</f>
        <v/>
      </c>
      <c r="Y657" s="50" t="str">
        <f t="shared" si="32"/>
        <v/>
      </c>
    </row>
    <row r="658" spans="1:25">
      <c r="A658" s="45" t="str">
        <f>IF(AND(Registro!D657="Abierto",Registro!E657="Urgente"),Registro!B657,"")</f>
        <v/>
      </c>
      <c r="B658" s="45" t="str">
        <f ca="1">IF(AND(Registro!D657="Abierto",Registro!E657="Urgente"),TODAY()-Registro!R657,"")</f>
        <v/>
      </c>
      <c r="C658" s="45" t="str">
        <f>IF(AND(Registro!D657="Abierto",Registro!E657="Urgente"),RANK(B658,$B$9:$B$1000,0)+COUNTIF($B$9:B658,B658)-1,"")</f>
        <v/>
      </c>
      <c r="D658" s="45" t="str">
        <f>IF(AND(Registro!D657="Abierto",Registro!E657="Alta"),Registro!B657,"")</f>
        <v/>
      </c>
      <c r="E658" s="45" t="str">
        <f ca="1">IF(AND(Registro!D657="Abierto",Registro!E657="Alta"),TODAY()-Registro!R657,"")</f>
        <v/>
      </c>
      <c r="F658" s="45" t="str">
        <f>IF(AND(Registro!D657="Abierto",Registro!E657="Alta"),RANK(E658,$E$9:$E$1000,0)+COUNTIF($E$9:E658,E658)-1+MAX(C$5:C$1000),"")</f>
        <v/>
      </c>
      <c r="G658" s="45" t="str">
        <f>IF(AND(Registro!D657="Abierto",Registro!E657="Media"),Registro!B657,"")</f>
        <v/>
      </c>
      <c r="H658" s="45" t="str">
        <f ca="1">IF(AND(Registro!D657="Abierto",Registro!E657="Media"),TODAY()-Registro!R657,"")</f>
        <v/>
      </c>
      <c r="I658" s="45" t="str">
        <f>IF(AND(Registro!D657="Abierto",Registro!E657="Media"),RANK(H658,$H$9:$H$1000,0)+COUNTIF($H$9:H658,H658)-1+MAX(C$5:C$1000,F$5:F$1000),"")</f>
        <v/>
      </c>
      <c r="J658" s="45" t="str">
        <f>IF(AND(Registro!D657="Abierto",Registro!E657="Baja"),Registro!B657,"")</f>
        <v/>
      </c>
      <c r="K658" s="45" t="str">
        <f ca="1">IF(AND(Registro!D657="Abierto",Registro!E657="Baja"),TODAY()-Registro!R657,"")</f>
        <v/>
      </c>
      <c r="L658" s="45" t="str">
        <f>IF(AND(Registro!D657="Abierto",Registro!E657="Baja"),RANK(K658,$K$9:$K$1000,0)+COUNTIF($K$9:K658,K658)-1+MAX(C$5:C$1000,F$5:F$1000,I$5:I$1000),"")</f>
        <v/>
      </c>
      <c r="M658" s="46" t="str">
        <f>IF(OR(Registro!D657="Resuelto",Registro!D657=""),"",SUM(C658,F658,I658,L658))</f>
        <v/>
      </c>
      <c r="N658" s="46" t="str">
        <f>IF(OR(Registro!D657="Resuelto",Registro!D657=""),"",SUM(B658,E658,H658,K658))</f>
        <v/>
      </c>
      <c r="O658" s="46" t="str">
        <f>IF(OR(Registro!D657="Resuelto",Registro!D657=""),"",_xlfn.CONCAT(A658,D658,G658,J658))</f>
        <v/>
      </c>
      <c r="P658" s="47">
        <v>650</v>
      </c>
      <c r="Q658" s="47" t="str">
        <f t="shared" ca="1" si="30"/>
        <v/>
      </c>
      <c r="R658" s="48" t="str">
        <f t="shared" ca="1" si="31"/>
        <v/>
      </c>
      <c r="S658" s="32"/>
      <c r="T658" s="32"/>
      <c r="U658" s="32"/>
      <c r="V658" s="32"/>
      <c r="W658" s="47" t="str">
        <f>IF(X658="","",MAX($W$5:W657)+1)</f>
        <v/>
      </c>
      <c r="X658" s="50" t="str">
        <f>IF(Registro!M657="","",IF(COUNTIF($X$8:X657,Registro!M657)=0,Registro!M657,""))</f>
        <v/>
      </c>
      <c r="Y658" s="50" t="str">
        <f t="shared" si="32"/>
        <v/>
      </c>
    </row>
    <row r="659" spans="1:25">
      <c r="A659" s="45" t="str">
        <f>IF(AND(Registro!D658="Abierto",Registro!E658="Urgente"),Registro!B658,"")</f>
        <v/>
      </c>
      <c r="B659" s="45" t="str">
        <f ca="1">IF(AND(Registro!D658="Abierto",Registro!E658="Urgente"),TODAY()-Registro!R658,"")</f>
        <v/>
      </c>
      <c r="C659" s="45" t="str">
        <f>IF(AND(Registro!D658="Abierto",Registro!E658="Urgente"),RANK(B659,$B$9:$B$1000,0)+COUNTIF($B$9:B659,B659)-1,"")</f>
        <v/>
      </c>
      <c r="D659" s="45" t="str">
        <f>IF(AND(Registro!D658="Abierto",Registro!E658="Alta"),Registro!B658,"")</f>
        <v/>
      </c>
      <c r="E659" s="45" t="str">
        <f ca="1">IF(AND(Registro!D658="Abierto",Registro!E658="Alta"),TODAY()-Registro!R658,"")</f>
        <v/>
      </c>
      <c r="F659" s="45" t="str">
        <f>IF(AND(Registro!D658="Abierto",Registro!E658="Alta"),RANK(E659,$E$9:$E$1000,0)+COUNTIF($E$9:E659,E659)-1+MAX(C$5:C$1000),"")</f>
        <v/>
      </c>
      <c r="G659" s="45" t="str">
        <f>IF(AND(Registro!D658="Abierto",Registro!E658="Media"),Registro!B658,"")</f>
        <v/>
      </c>
      <c r="H659" s="45" t="str">
        <f ca="1">IF(AND(Registro!D658="Abierto",Registro!E658="Media"),TODAY()-Registro!R658,"")</f>
        <v/>
      </c>
      <c r="I659" s="45" t="str">
        <f>IF(AND(Registro!D658="Abierto",Registro!E658="Media"),RANK(H659,$H$9:$H$1000,0)+COUNTIF($H$9:H659,H659)-1+MAX(C$5:C$1000,F$5:F$1000),"")</f>
        <v/>
      </c>
      <c r="J659" s="45" t="str">
        <f>IF(AND(Registro!D658="Abierto",Registro!E658="Baja"),Registro!B658,"")</f>
        <v/>
      </c>
      <c r="K659" s="45" t="str">
        <f ca="1">IF(AND(Registro!D658="Abierto",Registro!E658="Baja"),TODAY()-Registro!R658,"")</f>
        <v/>
      </c>
      <c r="L659" s="45" t="str">
        <f>IF(AND(Registro!D658="Abierto",Registro!E658="Baja"),RANK(K659,$K$9:$K$1000,0)+COUNTIF($K$9:K659,K659)-1+MAX(C$5:C$1000,F$5:F$1000,I$5:I$1000),"")</f>
        <v/>
      </c>
      <c r="M659" s="46" t="str">
        <f>IF(OR(Registro!D658="Resuelto",Registro!D658=""),"",SUM(C659,F659,I659,L659))</f>
        <v/>
      </c>
      <c r="N659" s="46" t="str">
        <f>IF(OR(Registro!D658="Resuelto",Registro!D658=""),"",SUM(B659,E659,H659,K659))</f>
        <v/>
      </c>
      <c r="O659" s="46" t="str">
        <f>IF(OR(Registro!D658="Resuelto",Registro!D658=""),"",_xlfn.CONCAT(A659,D659,G659,J659))</f>
        <v/>
      </c>
      <c r="P659" s="47">
        <v>651</v>
      </c>
      <c r="Q659" s="47" t="str">
        <f t="shared" ca="1" si="30"/>
        <v/>
      </c>
      <c r="R659" s="48" t="str">
        <f t="shared" ca="1" si="31"/>
        <v/>
      </c>
      <c r="S659" s="32"/>
      <c r="T659" s="32"/>
      <c r="U659" s="32"/>
      <c r="V659" s="32"/>
      <c r="W659" s="47" t="str">
        <f>IF(X659="","",MAX($W$5:W658)+1)</f>
        <v/>
      </c>
      <c r="X659" s="50" t="str">
        <f>IF(Registro!M658="","",IF(COUNTIF($X$8:X658,Registro!M658)=0,Registro!M658,""))</f>
        <v/>
      </c>
      <c r="Y659" s="50" t="str">
        <f t="shared" si="32"/>
        <v/>
      </c>
    </row>
    <row r="660" spans="1:25">
      <c r="A660" s="45" t="str">
        <f>IF(AND(Registro!D659="Abierto",Registro!E659="Urgente"),Registro!B659,"")</f>
        <v/>
      </c>
      <c r="B660" s="45" t="str">
        <f ca="1">IF(AND(Registro!D659="Abierto",Registro!E659="Urgente"),TODAY()-Registro!R659,"")</f>
        <v/>
      </c>
      <c r="C660" s="45" t="str">
        <f>IF(AND(Registro!D659="Abierto",Registro!E659="Urgente"),RANK(B660,$B$9:$B$1000,0)+COUNTIF($B$9:B660,B660)-1,"")</f>
        <v/>
      </c>
      <c r="D660" s="45" t="str">
        <f>IF(AND(Registro!D659="Abierto",Registro!E659="Alta"),Registro!B659,"")</f>
        <v/>
      </c>
      <c r="E660" s="45" t="str">
        <f ca="1">IF(AND(Registro!D659="Abierto",Registro!E659="Alta"),TODAY()-Registro!R659,"")</f>
        <v/>
      </c>
      <c r="F660" s="45" t="str">
        <f>IF(AND(Registro!D659="Abierto",Registro!E659="Alta"),RANK(E660,$E$9:$E$1000,0)+COUNTIF($E$9:E660,E660)-1+MAX(C$5:C$1000),"")</f>
        <v/>
      </c>
      <c r="G660" s="45" t="str">
        <f>IF(AND(Registro!D659="Abierto",Registro!E659="Media"),Registro!B659,"")</f>
        <v/>
      </c>
      <c r="H660" s="45" t="str">
        <f ca="1">IF(AND(Registro!D659="Abierto",Registro!E659="Media"),TODAY()-Registro!R659,"")</f>
        <v/>
      </c>
      <c r="I660" s="45" t="str">
        <f>IF(AND(Registro!D659="Abierto",Registro!E659="Media"),RANK(H660,$H$9:$H$1000,0)+COUNTIF($H$9:H660,H660)-1+MAX(C$5:C$1000,F$5:F$1000),"")</f>
        <v/>
      </c>
      <c r="J660" s="45" t="str">
        <f>IF(AND(Registro!D659="Abierto",Registro!E659="Baja"),Registro!B659,"")</f>
        <v/>
      </c>
      <c r="K660" s="45" t="str">
        <f ca="1">IF(AND(Registro!D659="Abierto",Registro!E659="Baja"),TODAY()-Registro!R659,"")</f>
        <v/>
      </c>
      <c r="L660" s="45" t="str">
        <f>IF(AND(Registro!D659="Abierto",Registro!E659="Baja"),RANK(K660,$K$9:$K$1000,0)+COUNTIF($K$9:K660,K660)-1+MAX(C$5:C$1000,F$5:F$1000,I$5:I$1000),"")</f>
        <v/>
      </c>
      <c r="M660" s="46" t="str">
        <f>IF(OR(Registro!D659="Resuelto",Registro!D659=""),"",SUM(C660,F660,I660,L660))</f>
        <v/>
      </c>
      <c r="N660" s="46" t="str">
        <f>IF(OR(Registro!D659="Resuelto",Registro!D659=""),"",SUM(B660,E660,H660,K660))</f>
        <v/>
      </c>
      <c r="O660" s="46" t="str">
        <f>IF(OR(Registro!D659="Resuelto",Registro!D659=""),"",_xlfn.CONCAT(A660,D660,G660,J660))</f>
        <v/>
      </c>
      <c r="P660" s="47">
        <v>652</v>
      </c>
      <c r="Q660" s="47" t="str">
        <f t="shared" ca="1" si="30"/>
        <v/>
      </c>
      <c r="R660" s="48" t="str">
        <f t="shared" ca="1" si="31"/>
        <v/>
      </c>
      <c r="S660" s="32"/>
      <c r="T660" s="32"/>
      <c r="U660" s="32"/>
      <c r="V660" s="32"/>
      <c r="W660" s="47" t="str">
        <f>IF(X660="","",MAX($W$5:W659)+1)</f>
        <v/>
      </c>
      <c r="X660" s="50" t="str">
        <f>IF(Registro!M659="","",IF(COUNTIF($X$8:X659,Registro!M659)=0,Registro!M659,""))</f>
        <v/>
      </c>
      <c r="Y660" s="50" t="str">
        <f t="shared" si="32"/>
        <v/>
      </c>
    </row>
    <row r="661" spans="1:25">
      <c r="A661" s="45" t="str">
        <f>IF(AND(Registro!D660="Abierto",Registro!E660="Urgente"),Registro!B660,"")</f>
        <v/>
      </c>
      <c r="B661" s="45" t="str">
        <f ca="1">IF(AND(Registro!D660="Abierto",Registro!E660="Urgente"),TODAY()-Registro!R660,"")</f>
        <v/>
      </c>
      <c r="C661" s="45" t="str">
        <f>IF(AND(Registro!D660="Abierto",Registro!E660="Urgente"),RANK(B661,$B$9:$B$1000,0)+COUNTIF($B$9:B661,B661)-1,"")</f>
        <v/>
      </c>
      <c r="D661" s="45" t="str">
        <f>IF(AND(Registro!D660="Abierto",Registro!E660="Alta"),Registro!B660,"")</f>
        <v/>
      </c>
      <c r="E661" s="45" t="str">
        <f ca="1">IF(AND(Registro!D660="Abierto",Registro!E660="Alta"),TODAY()-Registro!R660,"")</f>
        <v/>
      </c>
      <c r="F661" s="45" t="str">
        <f>IF(AND(Registro!D660="Abierto",Registro!E660="Alta"),RANK(E661,$E$9:$E$1000,0)+COUNTIF($E$9:E661,E661)-1+MAX(C$5:C$1000),"")</f>
        <v/>
      </c>
      <c r="G661" s="45" t="str">
        <f>IF(AND(Registro!D660="Abierto",Registro!E660="Media"),Registro!B660,"")</f>
        <v/>
      </c>
      <c r="H661" s="45" t="str">
        <f ca="1">IF(AND(Registro!D660="Abierto",Registro!E660="Media"),TODAY()-Registro!R660,"")</f>
        <v/>
      </c>
      <c r="I661" s="45" t="str">
        <f>IF(AND(Registro!D660="Abierto",Registro!E660="Media"),RANK(H661,$H$9:$H$1000,0)+COUNTIF($H$9:H661,H661)-1+MAX(C$5:C$1000,F$5:F$1000),"")</f>
        <v/>
      </c>
      <c r="J661" s="45" t="str">
        <f>IF(AND(Registro!D660="Abierto",Registro!E660="Baja"),Registro!B660,"")</f>
        <v/>
      </c>
      <c r="K661" s="45" t="str">
        <f ca="1">IF(AND(Registro!D660="Abierto",Registro!E660="Baja"),TODAY()-Registro!R660,"")</f>
        <v/>
      </c>
      <c r="L661" s="45" t="str">
        <f>IF(AND(Registro!D660="Abierto",Registro!E660="Baja"),RANK(K661,$K$9:$K$1000,0)+COUNTIF($K$9:K661,K661)-1+MAX(C$5:C$1000,F$5:F$1000,I$5:I$1000),"")</f>
        <v/>
      </c>
      <c r="M661" s="46" t="str">
        <f>IF(OR(Registro!D660="Resuelto",Registro!D660=""),"",SUM(C661,F661,I661,L661))</f>
        <v/>
      </c>
      <c r="N661" s="46" t="str">
        <f>IF(OR(Registro!D660="Resuelto",Registro!D660=""),"",SUM(B661,E661,H661,K661))</f>
        <v/>
      </c>
      <c r="O661" s="46" t="str">
        <f>IF(OR(Registro!D660="Resuelto",Registro!D660=""),"",_xlfn.CONCAT(A661,D661,G661,J661))</f>
        <v/>
      </c>
      <c r="P661" s="47">
        <v>653</v>
      </c>
      <c r="Q661" s="47" t="str">
        <f t="shared" ca="1" si="30"/>
        <v/>
      </c>
      <c r="R661" s="48" t="str">
        <f t="shared" ca="1" si="31"/>
        <v/>
      </c>
      <c r="S661" s="32"/>
      <c r="T661" s="32"/>
      <c r="U661" s="32"/>
      <c r="V661" s="32"/>
      <c r="W661" s="47" t="str">
        <f>IF(X661="","",MAX($W$5:W660)+1)</f>
        <v/>
      </c>
      <c r="X661" s="50" t="str">
        <f>IF(Registro!M660="","",IF(COUNTIF($X$8:X660,Registro!M660)=0,Registro!M660,""))</f>
        <v/>
      </c>
      <c r="Y661" s="50" t="str">
        <f t="shared" si="32"/>
        <v/>
      </c>
    </row>
    <row r="662" spans="1:25">
      <c r="A662" s="45" t="str">
        <f>IF(AND(Registro!D661="Abierto",Registro!E661="Urgente"),Registro!B661,"")</f>
        <v/>
      </c>
      <c r="B662" s="45" t="str">
        <f ca="1">IF(AND(Registro!D661="Abierto",Registro!E661="Urgente"),TODAY()-Registro!R661,"")</f>
        <v/>
      </c>
      <c r="C662" s="45" t="str">
        <f>IF(AND(Registro!D661="Abierto",Registro!E661="Urgente"),RANK(B662,$B$9:$B$1000,0)+COUNTIF($B$9:B662,B662)-1,"")</f>
        <v/>
      </c>
      <c r="D662" s="45" t="str">
        <f>IF(AND(Registro!D661="Abierto",Registro!E661="Alta"),Registro!B661,"")</f>
        <v/>
      </c>
      <c r="E662" s="45" t="str">
        <f ca="1">IF(AND(Registro!D661="Abierto",Registro!E661="Alta"),TODAY()-Registro!R661,"")</f>
        <v/>
      </c>
      <c r="F662" s="45" t="str">
        <f>IF(AND(Registro!D661="Abierto",Registro!E661="Alta"),RANK(E662,$E$9:$E$1000,0)+COUNTIF($E$9:E662,E662)-1+MAX(C$5:C$1000),"")</f>
        <v/>
      </c>
      <c r="G662" s="45" t="str">
        <f>IF(AND(Registro!D661="Abierto",Registro!E661="Media"),Registro!B661,"")</f>
        <v/>
      </c>
      <c r="H662" s="45" t="str">
        <f ca="1">IF(AND(Registro!D661="Abierto",Registro!E661="Media"),TODAY()-Registro!R661,"")</f>
        <v/>
      </c>
      <c r="I662" s="45" t="str">
        <f>IF(AND(Registro!D661="Abierto",Registro!E661="Media"),RANK(H662,$H$9:$H$1000,0)+COUNTIF($H$9:H662,H662)-1+MAX(C$5:C$1000,F$5:F$1000),"")</f>
        <v/>
      </c>
      <c r="J662" s="45" t="str">
        <f>IF(AND(Registro!D661="Abierto",Registro!E661="Baja"),Registro!B661,"")</f>
        <v/>
      </c>
      <c r="K662" s="45" t="str">
        <f ca="1">IF(AND(Registro!D661="Abierto",Registro!E661="Baja"),TODAY()-Registro!R661,"")</f>
        <v/>
      </c>
      <c r="L662" s="45" t="str">
        <f>IF(AND(Registro!D661="Abierto",Registro!E661="Baja"),RANK(K662,$K$9:$K$1000,0)+COUNTIF($K$9:K662,K662)-1+MAX(C$5:C$1000,F$5:F$1000,I$5:I$1000),"")</f>
        <v/>
      </c>
      <c r="M662" s="46" t="str">
        <f>IF(OR(Registro!D661="Resuelto",Registro!D661=""),"",SUM(C662,F662,I662,L662))</f>
        <v/>
      </c>
      <c r="N662" s="46" t="str">
        <f>IF(OR(Registro!D661="Resuelto",Registro!D661=""),"",SUM(B662,E662,H662,K662))</f>
        <v/>
      </c>
      <c r="O662" s="46" t="str">
        <f>IF(OR(Registro!D661="Resuelto",Registro!D661=""),"",_xlfn.CONCAT(A662,D662,G662,J662))</f>
        <v/>
      </c>
      <c r="P662" s="47">
        <v>654</v>
      </c>
      <c r="Q662" s="47" t="str">
        <f t="shared" ca="1" si="30"/>
        <v/>
      </c>
      <c r="R662" s="48" t="str">
        <f t="shared" ca="1" si="31"/>
        <v/>
      </c>
      <c r="S662" s="32"/>
      <c r="T662" s="32"/>
      <c r="U662" s="32"/>
      <c r="V662" s="32"/>
      <c r="W662" s="47" t="str">
        <f>IF(X662="","",MAX($W$5:W661)+1)</f>
        <v/>
      </c>
      <c r="X662" s="50" t="str">
        <f>IF(Registro!M661="","",IF(COUNTIF($X$8:X661,Registro!M661)=0,Registro!M661,""))</f>
        <v/>
      </c>
      <c r="Y662" s="50" t="str">
        <f t="shared" si="32"/>
        <v/>
      </c>
    </row>
    <row r="663" spans="1:25">
      <c r="A663" s="45" t="str">
        <f>IF(AND(Registro!D662="Abierto",Registro!E662="Urgente"),Registro!B662,"")</f>
        <v/>
      </c>
      <c r="B663" s="45" t="str">
        <f ca="1">IF(AND(Registro!D662="Abierto",Registro!E662="Urgente"),TODAY()-Registro!R662,"")</f>
        <v/>
      </c>
      <c r="C663" s="45" t="str">
        <f>IF(AND(Registro!D662="Abierto",Registro!E662="Urgente"),RANK(B663,$B$9:$B$1000,0)+COUNTIF($B$9:B663,B663)-1,"")</f>
        <v/>
      </c>
      <c r="D663" s="45" t="str">
        <f>IF(AND(Registro!D662="Abierto",Registro!E662="Alta"),Registro!B662,"")</f>
        <v/>
      </c>
      <c r="E663" s="45" t="str">
        <f ca="1">IF(AND(Registro!D662="Abierto",Registro!E662="Alta"),TODAY()-Registro!R662,"")</f>
        <v/>
      </c>
      <c r="F663" s="45" t="str">
        <f>IF(AND(Registro!D662="Abierto",Registro!E662="Alta"),RANK(E663,$E$9:$E$1000,0)+COUNTIF($E$9:E663,E663)-1+MAX(C$5:C$1000),"")</f>
        <v/>
      </c>
      <c r="G663" s="45" t="str">
        <f>IF(AND(Registro!D662="Abierto",Registro!E662="Media"),Registro!B662,"")</f>
        <v/>
      </c>
      <c r="H663" s="45" t="str">
        <f ca="1">IF(AND(Registro!D662="Abierto",Registro!E662="Media"),TODAY()-Registro!R662,"")</f>
        <v/>
      </c>
      <c r="I663" s="45" t="str">
        <f>IF(AND(Registro!D662="Abierto",Registro!E662="Media"),RANK(H663,$H$9:$H$1000,0)+COUNTIF($H$9:H663,H663)-1+MAX(C$5:C$1000,F$5:F$1000),"")</f>
        <v/>
      </c>
      <c r="J663" s="45" t="str">
        <f>IF(AND(Registro!D662="Abierto",Registro!E662="Baja"),Registro!B662,"")</f>
        <v/>
      </c>
      <c r="K663" s="45" t="str">
        <f ca="1">IF(AND(Registro!D662="Abierto",Registro!E662="Baja"),TODAY()-Registro!R662,"")</f>
        <v/>
      </c>
      <c r="L663" s="45" t="str">
        <f>IF(AND(Registro!D662="Abierto",Registro!E662="Baja"),RANK(K663,$K$9:$K$1000,0)+COUNTIF($K$9:K663,K663)-1+MAX(C$5:C$1000,F$5:F$1000,I$5:I$1000),"")</f>
        <v/>
      </c>
      <c r="M663" s="46" t="str">
        <f>IF(OR(Registro!D662="Resuelto",Registro!D662=""),"",SUM(C663,F663,I663,L663))</f>
        <v/>
      </c>
      <c r="N663" s="46" t="str">
        <f>IF(OR(Registro!D662="Resuelto",Registro!D662=""),"",SUM(B663,E663,H663,K663))</f>
        <v/>
      </c>
      <c r="O663" s="46" t="str">
        <f>IF(OR(Registro!D662="Resuelto",Registro!D662=""),"",_xlfn.CONCAT(A663,D663,G663,J663))</f>
        <v/>
      </c>
      <c r="P663" s="47">
        <v>655</v>
      </c>
      <c r="Q663" s="47" t="str">
        <f t="shared" ca="1" si="30"/>
        <v/>
      </c>
      <c r="R663" s="48" t="str">
        <f t="shared" ca="1" si="31"/>
        <v/>
      </c>
      <c r="S663" s="32"/>
      <c r="T663" s="32"/>
      <c r="U663" s="32"/>
      <c r="V663" s="32"/>
      <c r="W663" s="47" t="str">
        <f>IF(X663="","",MAX($W$5:W662)+1)</f>
        <v/>
      </c>
      <c r="X663" s="50" t="str">
        <f>IF(Registro!M662="","",IF(COUNTIF($X$8:X662,Registro!M662)=0,Registro!M662,""))</f>
        <v/>
      </c>
      <c r="Y663" s="50" t="str">
        <f t="shared" si="32"/>
        <v/>
      </c>
    </row>
    <row r="664" spans="1:25">
      <c r="A664" s="45" t="str">
        <f>IF(AND(Registro!D663="Abierto",Registro!E663="Urgente"),Registro!B663,"")</f>
        <v/>
      </c>
      <c r="B664" s="45" t="str">
        <f ca="1">IF(AND(Registro!D663="Abierto",Registro!E663="Urgente"),TODAY()-Registro!R663,"")</f>
        <v/>
      </c>
      <c r="C664" s="45" t="str">
        <f>IF(AND(Registro!D663="Abierto",Registro!E663="Urgente"),RANK(B664,$B$9:$B$1000,0)+COUNTIF($B$9:B664,B664)-1,"")</f>
        <v/>
      </c>
      <c r="D664" s="45" t="str">
        <f>IF(AND(Registro!D663="Abierto",Registro!E663="Alta"),Registro!B663,"")</f>
        <v/>
      </c>
      <c r="E664" s="45" t="str">
        <f ca="1">IF(AND(Registro!D663="Abierto",Registro!E663="Alta"),TODAY()-Registro!R663,"")</f>
        <v/>
      </c>
      <c r="F664" s="45" t="str">
        <f>IF(AND(Registro!D663="Abierto",Registro!E663="Alta"),RANK(E664,$E$9:$E$1000,0)+COUNTIF($E$9:E664,E664)-1+MAX(C$5:C$1000),"")</f>
        <v/>
      </c>
      <c r="G664" s="45" t="str">
        <f>IF(AND(Registro!D663="Abierto",Registro!E663="Media"),Registro!B663,"")</f>
        <v/>
      </c>
      <c r="H664" s="45" t="str">
        <f ca="1">IF(AND(Registro!D663="Abierto",Registro!E663="Media"),TODAY()-Registro!R663,"")</f>
        <v/>
      </c>
      <c r="I664" s="45" t="str">
        <f>IF(AND(Registro!D663="Abierto",Registro!E663="Media"),RANK(H664,$H$9:$H$1000,0)+COUNTIF($H$9:H664,H664)-1+MAX(C$5:C$1000,F$5:F$1000),"")</f>
        <v/>
      </c>
      <c r="J664" s="45" t="str">
        <f>IF(AND(Registro!D663="Abierto",Registro!E663="Baja"),Registro!B663,"")</f>
        <v/>
      </c>
      <c r="K664" s="45" t="str">
        <f ca="1">IF(AND(Registro!D663="Abierto",Registro!E663="Baja"),TODAY()-Registro!R663,"")</f>
        <v/>
      </c>
      <c r="L664" s="45" t="str">
        <f>IF(AND(Registro!D663="Abierto",Registro!E663="Baja"),RANK(K664,$K$9:$K$1000,0)+COUNTIF($K$9:K664,K664)-1+MAX(C$5:C$1000,F$5:F$1000,I$5:I$1000),"")</f>
        <v/>
      </c>
      <c r="M664" s="46" t="str">
        <f>IF(OR(Registro!D663="Resuelto",Registro!D663=""),"",SUM(C664,F664,I664,L664))</f>
        <v/>
      </c>
      <c r="N664" s="46" t="str">
        <f>IF(OR(Registro!D663="Resuelto",Registro!D663=""),"",SUM(B664,E664,H664,K664))</f>
        <v/>
      </c>
      <c r="O664" s="46" t="str">
        <f>IF(OR(Registro!D663="Resuelto",Registro!D663=""),"",_xlfn.CONCAT(A664,D664,G664,J664))</f>
        <v/>
      </c>
      <c r="P664" s="47">
        <v>656</v>
      </c>
      <c r="Q664" s="47" t="str">
        <f t="shared" ca="1" si="30"/>
        <v/>
      </c>
      <c r="R664" s="48" t="str">
        <f t="shared" ca="1" si="31"/>
        <v/>
      </c>
      <c r="S664" s="32"/>
      <c r="T664" s="32"/>
      <c r="U664" s="32"/>
      <c r="V664" s="32"/>
      <c r="W664" s="47" t="str">
        <f>IF(X664="","",MAX($W$5:W663)+1)</f>
        <v/>
      </c>
      <c r="X664" s="50" t="str">
        <f>IF(Registro!M663="","",IF(COUNTIF($X$8:X663,Registro!M663)=0,Registro!M663,""))</f>
        <v/>
      </c>
      <c r="Y664" s="50" t="str">
        <f t="shared" si="32"/>
        <v/>
      </c>
    </row>
    <row r="665" spans="1:25">
      <c r="A665" s="45" t="str">
        <f>IF(AND(Registro!D664="Abierto",Registro!E664="Urgente"),Registro!B664,"")</f>
        <v/>
      </c>
      <c r="B665" s="45" t="str">
        <f ca="1">IF(AND(Registro!D664="Abierto",Registro!E664="Urgente"),TODAY()-Registro!R664,"")</f>
        <v/>
      </c>
      <c r="C665" s="45" t="str">
        <f>IF(AND(Registro!D664="Abierto",Registro!E664="Urgente"),RANK(B665,$B$9:$B$1000,0)+COUNTIF($B$9:B665,B665)-1,"")</f>
        <v/>
      </c>
      <c r="D665" s="45" t="str">
        <f>IF(AND(Registro!D664="Abierto",Registro!E664="Alta"),Registro!B664,"")</f>
        <v/>
      </c>
      <c r="E665" s="45" t="str">
        <f ca="1">IF(AND(Registro!D664="Abierto",Registro!E664="Alta"),TODAY()-Registro!R664,"")</f>
        <v/>
      </c>
      <c r="F665" s="45" t="str">
        <f>IF(AND(Registro!D664="Abierto",Registro!E664="Alta"),RANK(E665,$E$9:$E$1000,0)+COUNTIF($E$9:E665,E665)-1+MAX(C$5:C$1000),"")</f>
        <v/>
      </c>
      <c r="G665" s="45" t="str">
        <f>IF(AND(Registro!D664="Abierto",Registro!E664="Media"),Registro!B664,"")</f>
        <v/>
      </c>
      <c r="H665" s="45" t="str">
        <f ca="1">IF(AND(Registro!D664="Abierto",Registro!E664="Media"),TODAY()-Registro!R664,"")</f>
        <v/>
      </c>
      <c r="I665" s="45" t="str">
        <f>IF(AND(Registro!D664="Abierto",Registro!E664="Media"),RANK(H665,$H$9:$H$1000,0)+COUNTIF($H$9:H665,H665)-1+MAX(C$5:C$1000,F$5:F$1000),"")</f>
        <v/>
      </c>
      <c r="J665" s="45" t="str">
        <f>IF(AND(Registro!D664="Abierto",Registro!E664="Baja"),Registro!B664,"")</f>
        <v/>
      </c>
      <c r="K665" s="45" t="str">
        <f ca="1">IF(AND(Registro!D664="Abierto",Registro!E664="Baja"),TODAY()-Registro!R664,"")</f>
        <v/>
      </c>
      <c r="L665" s="45" t="str">
        <f>IF(AND(Registro!D664="Abierto",Registro!E664="Baja"),RANK(K665,$K$9:$K$1000,0)+COUNTIF($K$9:K665,K665)-1+MAX(C$5:C$1000,F$5:F$1000,I$5:I$1000),"")</f>
        <v/>
      </c>
      <c r="M665" s="46" t="str">
        <f>IF(OR(Registro!D664="Resuelto",Registro!D664=""),"",SUM(C665,F665,I665,L665))</f>
        <v/>
      </c>
      <c r="N665" s="46" t="str">
        <f>IF(OR(Registro!D664="Resuelto",Registro!D664=""),"",SUM(B665,E665,H665,K665))</f>
        <v/>
      </c>
      <c r="O665" s="46" t="str">
        <f>IF(OR(Registro!D664="Resuelto",Registro!D664=""),"",_xlfn.CONCAT(A665,D665,G665,J665))</f>
        <v/>
      </c>
      <c r="P665" s="47">
        <v>657</v>
      </c>
      <c r="Q665" s="47" t="str">
        <f t="shared" ca="1" si="30"/>
        <v/>
      </c>
      <c r="R665" s="48" t="str">
        <f t="shared" ca="1" si="31"/>
        <v/>
      </c>
      <c r="S665" s="32"/>
      <c r="T665" s="32"/>
      <c r="U665" s="32"/>
      <c r="V665" s="32"/>
      <c r="W665" s="47" t="str">
        <f>IF(X665="","",MAX($W$5:W664)+1)</f>
        <v/>
      </c>
      <c r="X665" s="50" t="str">
        <f>IF(Registro!M664="","",IF(COUNTIF($X$8:X664,Registro!M664)=0,Registro!M664,""))</f>
        <v/>
      </c>
      <c r="Y665" s="50" t="str">
        <f t="shared" si="32"/>
        <v/>
      </c>
    </row>
    <row r="666" spans="1:25">
      <c r="A666" s="45" t="str">
        <f>IF(AND(Registro!D665="Abierto",Registro!E665="Urgente"),Registro!B665,"")</f>
        <v/>
      </c>
      <c r="B666" s="45" t="str">
        <f ca="1">IF(AND(Registro!D665="Abierto",Registro!E665="Urgente"),TODAY()-Registro!R665,"")</f>
        <v/>
      </c>
      <c r="C666" s="45" t="str">
        <f>IF(AND(Registro!D665="Abierto",Registro!E665="Urgente"),RANK(B666,$B$9:$B$1000,0)+COUNTIF($B$9:B666,B666)-1,"")</f>
        <v/>
      </c>
      <c r="D666" s="45" t="str">
        <f>IF(AND(Registro!D665="Abierto",Registro!E665="Alta"),Registro!B665,"")</f>
        <v/>
      </c>
      <c r="E666" s="45" t="str">
        <f ca="1">IF(AND(Registro!D665="Abierto",Registro!E665="Alta"),TODAY()-Registro!R665,"")</f>
        <v/>
      </c>
      <c r="F666" s="45" t="str">
        <f>IF(AND(Registro!D665="Abierto",Registro!E665="Alta"),RANK(E666,$E$9:$E$1000,0)+COUNTIF($E$9:E666,E666)-1+MAX(C$5:C$1000),"")</f>
        <v/>
      </c>
      <c r="G666" s="45" t="str">
        <f>IF(AND(Registro!D665="Abierto",Registro!E665="Media"),Registro!B665,"")</f>
        <v/>
      </c>
      <c r="H666" s="45" t="str">
        <f ca="1">IF(AND(Registro!D665="Abierto",Registro!E665="Media"),TODAY()-Registro!R665,"")</f>
        <v/>
      </c>
      <c r="I666" s="45" t="str">
        <f>IF(AND(Registro!D665="Abierto",Registro!E665="Media"),RANK(H666,$H$9:$H$1000,0)+COUNTIF($H$9:H666,H666)-1+MAX(C$5:C$1000,F$5:F$1000),"")</f>
        <v/>
      </c>
      <c r="J666" s="45" t="str">
        <f>IF(AND(Registro!D665="Abierto",Registro!E665="Baja"),Registro!B665,"")</f>
        <v/>
      </c>
      <c r="K666" s="45" t="str">
        <f ca="1">IF(AND(Registro!D665="Abierto",Registro!E665="Baja"),TODAY()-Registro!R665,"")</f>
        <v/>
      </c>
      <c r="L666" s="45" t="str">
        <f>IF(AND(Registro!D665="Abierto",Registro!E665="Baja"),RANK(K666,$K$9:$K$1000,0)+COUNTIF($K$9:K666,K666)-1+MAX(C$5:C$1000,F$5:F$1000,I$5:I$1000),"")</f>
        <v/>
      </c>
      <c r="M666" s="46" t="str">
        <f>IF(OR(Registro!D665="Resuelto",Registro!D665=""),"",SUM(C666,F666,I666,L666))</f>
        <v/>
      </c>
      <c r="N666" s="46" t="str">
        <f>IF(OR(Registro!D665="Resuelto",Registro!D665=""),"",SUM(B666,E666,H666,K666))</f>
        <v/>
      </c>
      <c r="O666" s="46" t="str">
        <f>IF(OR(Registro!D665="Resuelto",Registro!D665=""),"",_xlfn.CONCAT(A666,D666,G666,J666))</f>
        <v/>
      </c>
      <c r="P666" s="47">
        <v>658</v>
      </c>
      <c r="Q666" s="47" t="str">
        <f t="shared" ca="1" si="30"/>
        <v/>
      </c>
      <c r="R666" s="48" t="str">
        <f t="shared" ca="1" si="31"/>
        <v/>
      </c>
      <c r="S666" s="32"/>
      <c r="T666" s="32"/>
      <c r="U666" s="32"/>
      <c r="V666" s="32"/>
      <c r="W666" s="47" t="str">
        <f>IF(X666="","",MAX($W$5:W665)+1)</f>
        <v/>
      </c>
      <c r="X666" s="50" t="str">
        <f>IF(Registro!M665="","",IF(COUNTIF($X$8:X665,Registro!M665)=0,Registro!M665,""))</f>
        <v/>
      </c>
      <c r="Y666" s="50" t="str">
        <f t="shared" si="32"/>
        <v/>
      </c>
    </row>
    <row r="667" spans="1:25">
      <c r="A667" s="45" t="str">
        <f>IF(AND(Registro!D666="Abierto",Registro!E666="Urgente"),Registro!B666,"")</f>
        <v/>
      </c>
      <c r="B667" s="45" t="str">
        <f ca="1">IF(AND(Registro!D666="Abierto",Registro!E666="Urgente"),TODAY()-Registro!R666,"")</f>
        <v/>
      </c>
      <c r="C667" s="45" t="str">
        <f>IF(AND(Registro!D666="Abierto",Registro!E666="Urgente"),RANK(B667,$B$9:$B$1000,0)+COUNTIF($B$9:B667,B667)-1,"")</f>
        <v/>
      </c>
      <c r="D667" s="45" t="str">
        <f>IF(AND(Registro!D666="Abierto",Registro!E666="Alta"),Registro!B666,"")</f>
        <v/>
      </c>
      <c r="E667" s="45" t="str">
        <f ca="1">IF(AND(Registro!D666="Abierto",Registro!E666="Alta"),TODAY()-Registro!R666,"")</f>
        <v/>
      </c>
      <c r="F667" s="45" t="str">
        <f>IF(AND(Registro!D666="Abierto",Registro!E666="Alta"),RANK(E667,$E$9:$E$1000,0)+COUNTIF($E$9:E667,E667)-1+MAX(C$5:C$1000),"")</f>
        <v/>
      </c>
      <c r="G667" s="45" t="str">
        <f>IF(AND(Registro!D666="Abierto",Registro!E666="Media"),Registro!B666,"")</f>
        <v/>
      </c>
      <c r="H667" s="45" t="str">
        <f ca="1">IF(AND(Registro!D666="Abierto",Registro!E666="Media"),TODAY()-Registro!R666,"")</f>
        <v/>
      </c>
      <c r="I667" s="45" t="str">
        <f>IF(AND(Registro!D666="Abierto",Registro!E666="Media"),RANK(H667,$H$9:$H$1000,0)+COUNTIF($H$9:H667,H667)-1+MAX(C$5:C$1000,F$5:F$1000),"")</f>
        <v/>
      </c>
      <c r="J667" s="45" t="str">
        <f>IF(AND(Registro!D666="Abierto",Registro!E666="Baja"),Registro!B666,"")</f>
        <v/>
      </c>
      <c r="K667" s="45" t="str">
        <f ca="1">IF(AND(Registro!D666="Abierto",Registro!E666="Baja"),TODAY()-Registro!R666,"")</f>
        <v/>
      </c>
      <c r="L667" s="45" t="str">
        <f>IF(AND(Registro!D666="Abierto",Registro!E666="Baja"),RANK(K667,$K$9:$K$1000,0)+COUNTIF($K$9:K667,K667)-1+MAX(C$5:C$1000,F$5:F$1000,I$5:I$1000),"")</f>
        <v/>
      </c>
      <c r="M667" s="46" t="str">
        <f>IF(OR(Registro!D666="Resuelto",Registro!D666=""),"",SUM(C667,F667,I667,L667))</f>
        <v/>
      </c>
      <c r="N667" s="46" t="str">
        <f>IF(OR(Registro!D666="Resuelto",Registro!D666=""),"",SUM(B667,E667,H667,K667))</f>
        <v/>
      </c>
      <c r="O667" s="46" t="str">
        <f>IF(OR(Registro!D666="Resuelto",Registro!D666=""),"",_xlfn.CONCAT(A667,D667,G667,J667))</f>
        <v/>
      </c>
      <c r="P667" s="47">
        <v>659</v>
      </c>
      <c r="Q667" s="47" t="str">
        <f t="shared" ca="1" si="30"/>
        <v/>
      </c>
      <c r="R667" s="48" t="str">
        <f t="shared" ca="1" si="31"/>
        <v/>
      </c>
      <c r="S667" s="32"/>
      <c r="T667" s="32"/>
      <c r="U667" s="32"/>
      <c r="V667" s="32"/>
      <c r="W667" s="47" t="str">
        <f>IF(X667="","",MAX($W$5:W666)+1)</f>
        <v/>
      </c>
      <c r="X667" s="50" t="str">
        <f>IF(Registro!M666="","",IF(COUNTIF($X$8:X666,Registro!M666)=0,Registro!M666,""))</f>
        <v/>
      </c>
      <c r="Y667" s="50" t="str">
        <f t="shared" si="32"/>
        <v/>
      </c>
    </row>
    <row r="668" spans="1:25">
      <c r="A668" s="45" t="str">
        <f>IF(AND(Registro!D667="Abierto",Registro!E667="Urgente"),Registro!B667,"")</f>
        <v/>
      </c>
      <c r="B668" s="45" t="str">
        <f ca="1">IF(AND(Registro!D667="Abierto",Registro!E667="Urgente"),TODAY()-Registro!R667,"")</f>
        <v/>
      </c>
      <c r="C668" s="45" t="str">
        <f>IF(AND(Registro!D667="Abierto",Registro!E667="Urgente"),RANK(B668,$B$9:$B$1000,0)+COUNTIF($B$9:B668,B668)-1,"")</f>
        <v/>
      </c>
      <c r="D668" s="45" t="str">
        <f>IF(AND(Registro!D667="Abierto",Registro!E667="Alta"),Registro!B667,"")</f>
        <v/>
      </c>
      <c r="E668" s="45" t="str">
        <f ca="1">IF(AND(Registro!D667="Abierto",Registro!E667="Alta"),TODAY()-Registro!R667,"")</f>
        <v/>
      </c>
      <c r="F668" s="45" t="str">
        <f>IF(AND(Registro!D667="Abierto",Registro!E667="Alta"),RANK(E668,$E$9:$E$1000,0)+COUNTIF($E$9:E668,E668)-1+MAX(C$5:C$1000),"")</f>
        <v/>
      </c>
      <c r="G668" s="45" t="str">
        <f>IF(AND(Registro!D667="Abierto",Registro!E667="Media"),Registro!B667,"")</f>
        <v/>
      </c>
      <c r="H668" s="45" t="str">
        <f ca="1">IF(AND(Registro!D667="Abierto",Registro!E667="Media"),TODAY()-Registro!R667,"")</f>
        <v/>
      </c>
      <c r="I668" s="45" t="str">
        <f>IF(AND(Registro!D667="Abierto",Registro!E667="Media"),RANK(H668,$H$9:$H$1000,0)+COUNTIF($H$9:H668,H668)-1+MAX(C$5:C$1000,F$5:F$1000),"")</f>
        <v/>
      </c>
      <c r="J668" s="45" t="str">
        <f>IF(AND(Registro!D667="Abierto",Registro!E667="Baja"),Registro!B667,"")</f>
        <v/>
      </c>
      <c r="K668" s="45" t="str">
        <f ca="1">IF(AND(Registro!D667="Abierto",Registro!E667="Baja"),TODAY()-Registro!R667,"")</f>
        <v/>
      </c>
      <c r="L668" s="45" t="str">
        <f>IF(AND(Registro!D667="Abierto",Registro!E667="Baja"),RANK(K668,$K$9:$K$1000,0)+COUNTIF($K$9:K668,K668)-1+MAX(C$5:C$1000,F$5:F$1000,I$5:I$1000),"")</f>
        <v/>
      </c>
      <c r="M668" s="46" t="str">
        <f>IF(OR(Registro!D667="Resuelto",Registro!D667=""),"",SUM(C668,F668,I668,L668))</f>
        <v/>
      </c>
      <c r="N668" s="46" t="str">
        <f>IF(OR(Registro!D667="Resuelto",Registro!D667=""),"",SUM(B668,E668,H668,K668))</f>
        <v/>
      </c>
      <c r="O668" s="46" t="str">
        <f>IF(OR(Registro!D667="Resuelto",Registro!D667=""),"",_xlfn.CONCAT(A668,D668,G668,J668))</f>
        <v/>
      </c>
      <c r="P668" s="47">
        <v>660</v>
      </c>
      <c r="Q668" s="47" t="str">
        <f t="shared" ca="1" si="30"/>
        <v/>
      </c>
      <c r="R668" s="48" t="str">
        <f t="shared" ca="1" si="31"/>
        <v/>
      </c>
      <c r="S668" s="32"/>
      <c r="T668" s="32"/>
      <c r="U668" s="32"/>
      <c r="V668" s="32"/>
      <c r="W668" s="47" t="str">
        <f>IF(X668="","",MAX($W$5:W667)+1)</f>
        <v/>
      </c>
      <c r="X668" s="50" t="str">
        <f>IF(Registro!M667="","",IF(COUNTIF($X$8:X667,Registro!M667)=0,Registro!M667,""))</f>
        <v/>
      </c>
      <c r="Y668" s="50" t="str">
        <f t="shared" si="32"/>
        <v/>
      </c>
    </row>
    <row r="669" spans="1:25">
      <c r="A669" s="45" t="str">
        <f>IF(AND(Registro!D668="Abierto",Registro!E668="Urgente"),Registro!B668,"")</f>
        <v/>
      </c>
      <c r="B669" s="45" t="str">
        <f ca="1">IF(AND(Registro!D668="Abierto",Registro!E668="Urgente"),TODAY()-Registro!R668,"")</f>
        <v/>
      </c>
      <c r="C669" s="45" t="str">
        <f>IF(AND(Registro!D668="Abierto",Registro!E668="Urgente"),RANK(B669,$B$9:$B$1000,0)+COUNTIF($B$9:B669,B669)-1,"")</f>
        <v/>
      </c>
      <c r="D669" s="45" t="str">
        <f>IF(AND(Registro!D668="Abierto",Registro!E668="Alta"),Registro!B668,"")</f>
        <v/>
      </c>
      <c r="E669" s="45" t="str">
        <f ca="1">IF(AND(Registro!D668="Abierto",Registro!E668="Alta"),TODAY()-Registro!R668,"")</f>
        <v/>
      </c>
      <c r="F669" s="45" t="str">
        <f>IF(AND(Registro!D668="Abierto",Registro!E668="Alta"),RANK(E669,$E$9:$E$1000,0)+COUNTIF($E$9:E669,E669)-1+MAX(C$5:C$1000),"")</f>
        <v/>
      </c>
      <c r="G669" s="45" t="str">
        <f>IF(AND(Registro!D668="Abierto",Registro!E668="Media"),Registro!B668,"")</f>
        <v/>
      </c>
      <c r="H669" s="45" t="str">
        <f ca="1">IF(AND(Registro!D668="Abierto",Registro!E668="Media"),TODAY()-Registro!R668,"")</f>
        <v/>
      </c>
      <c r="I669" s="45" t="str">
        <f>IF(AND(Registro!D668="Abierto",Registro!E668="Media"),RANK(H669,$H$9:$H$1000,0)+COUNTIF($H$9:H669,H669)-1+MAX(C$5:C$1000,F$5:F$1000),"")</f>
        <v/>
      </c>
      <c r="J669" s="45" t="str">
        <f>IF(AND(Registro!D668="Abierto",Registro!E668="Baja"),Registro!B668,"")</f>
        <v/>
      </c>
      <c r="K669" s="45" t="str">
        <f ca="1">IF(AND(Registro!D668="Abierto",Registro!E668="Baja"),TODAY()-Registro!R668,"")</f>
        <v/>
      </c>
      <c r="L669" s="45" t="str">
        <f>IF(AND(Registro!D668="Abierto",Registro!E668="Baja"),RANK(K669,$K$9:$K$1000,0)+COUNTIF($K$9:K669,K669)-1+MAX(C$5:C$1000,F$5:F$1000,I$5:I$1000),"")</f>
        <v/>
      </c>
      <c r="M669" s="46" t="str">
        <f>IF(OR(Registro!D668="Resuelto",Registro!D668=""),"",SUM(C669,F669,I669,L669))</f>
        <v/>
      </c>
      <c r="N669" s="46" t="str">
        <f>IF(OR(Registro!D668="Resuelto",Registro!D668=""),"",SUM(B669,E669,H669,K669))</f>
        <v/>
      </c>
      <c r="O669" s="46" t="str">
        <f>IF(OR(Registro!D668="Resuelto",Registro!D668=""),"",_xlfn.CONCAT(A669,D669,G669,J669))</f>
        <v/>
      </c>
      <c r="P669" s="47">
        <v>661</v>
      </c>
      <c r="Q669" s="47" t="str">
        <f t="shared" ca="1" si="30"/>
        <v/>
      </c>
      <c r="R669" s="48" t="str">
        <f t="shared" ca="1" si="31"/>
        <v/>
      </c>
      <c r="S669" s="32"/>
      <c r="T669" s="32"/>
      <c r="U669" s="32"/>
      <c r="V669" s="32"/>
      <c r="W669" s="47" t="str">
        <f>IF(X669="","",MAX($W$5:W668)+1)</f>
        <v/>
      </c>
      <c r="X669" s="50" t="str">
        <f>IF(Registro!M668="","",IF(COUNTIF($X$8:X668,Registro!M668)=0,Registro!M668,""))</f>
        <v/>
      </c>
      <c r="Y669" s="50" t="str">
        <f t="shared" si="32"/>
        <v/>
      </c>
    </row>
    <row r="670" spans="1:25">
      <c r="A670" s="45" t="str">
        <f>IF(AND(Registro!D669="Abierto",Registro!E669="Urgente"),Registro!B669,"")</f>
        <v/>
      </c>
      <c r="B670" s="45" t="str">
        <f ca="1">IF(AND(Registro!D669="Abierto",Registro!E669="Urgente"),TODAY()-Registro!R669,"")</f>
        <v/>
      </c>
      <c r="C670" s="45" t="str">
        <f>IF(AND(Registro!D669="Abierto",Registro!E669="Urgente"),RANK(B670,$B$9:$B$1000,0)+COUNTIF($B$9:B670,B670)-1,"")</f>
        <v/>
      </c>
      <c r="D670" s="45" t="str">
        <f>IF(AND(Registro!D669="Abierto",Registro!E669="Alta"),Registro!B669,"")</f>
        <v/>
      </c>
      <c r="E670" s="45" t="str">
        <f ca="1">IF(AND(Registro!D669="Abierto",Registro!E669="Alta"),TODAY()-Registro!R669,"")</f>
        <v/>
      </c>
      <c r="F670" s="45" t="str">
        <f>IF(AND(Registro!D669="Abierto",Registro!E669="Alta"),RANK(E670,$E$9:$E$1000,0)+COUNTIF($E$9:E670,E670)-1+MAX(C$5:C$1000),"")</f>
        <v/>
      </c>
      <c r="G670" s="45" t="str">
        <f>IF(AND(Registro!D669="Abierto",Registro!E669="Media"),Registro!B669,"")</f>
        <v/>
      </c>
      <c r="H670" s="45" t="str">
        <f ca="1">IF(AND(Registro!D669="Abierto",Registro!E669="Media"),TODAY()-Registro!R669,"")</f>
        <v/>
      </c>
      <c r="I670" s="45" t="str">
        <f>IF(AND(Registro!D669="Abierto",Registro!E669="Media"),RANK(H670,$H$9:$H$1000,0)+COUNTIF($H$9:H670,H670)-1+MAX(C$5:C$1000,F$5:F$1000),"")</f>
        <v/>
      </c>
      <c r="J670" s="45" t="str">
        <f>IF(AND(Registro!D669="Abierto",Registro!E669="Baja"),Registro!B669,"")</f>
        <v/>
      </c>
      <c r="K670" s="45" t="str">
        <f ca="1">IF(AND(Registro!D669="Abierto",Registro!E669="Baja"),TODAY()-Registro!R669,"")</f>
        <v/>
      </c>
      <c r="L670" s="45" t="str">
        <f>IF(AND(Registro!D669="Abierto",Registro!E669="Baja"),RANK(K670,$K$9:$K$1000,0)+COUNTIF($K$9:K670,K670)-1+MAX(C$5:C$1000,F$5:F$1000,I$5:I$1000),"")</f>
        <v/>
      </c>
      <c r="M670" s="46" t="str">
        <f>IF(OR(Registro!D669="Resuelto",Registro!D669=""),"",SUM(C670,F670,I670,L670))</f>
        <v/>
      </c>
      <c r="N670" s="46" t="str">
        <f>IF(OR(Registro!D669="Resuelto",Registro!D669=""),"",SUM(B670,E670,H670,K670))</f>
        <v/>
      </c>
      <c r="O670" s="46" t="str">
        <f>IF(OR(Registro!D669="Resuelto",Registro!D669=""),"",_xlfn.CONCAT(A670,D670,G670,J670))</f>
        <v/>
      </c>
      <c r="P670" s="47">
        <v>662</v>
      </c>
      <c r="Q670" s="47" t="str">
        <f t="shared" ca="1" si="30"/>
        <v/>
      </c>
      <c r="R670" s="48" t="str">
        <f t="shared" ca="1" si="31"/>
        <v/>
      </c>
      <c r="S670" s="32"/>
      <c r="T670" s="32"/>
      <c r="U670" s="32"/>
      <c r="V670" s="32"/>
      <c r="W670" s="47" t="str">
        <f>IF(X670="","",MAX($W$5:W669)+1)</f>
        <v/>
      </c>
      <c r="X670" s="50" t="str">
        <f>IF(Registro!M669="","",IF(COUNTIF($X$8:X669,Registro!M669)=0,Registro!M669,""))</f>
        <v/>
      </c>
      <c r="Y670" s="50" t="str">
        <f t="shared" si="32"/>
        <v/>
      </c>
    </row>
    <row r="671" spans="1:25">
      <c r="A671" s="45" t="str">
        <f>IF(AND(Registro!D670="Abierto",Registro!E670="Urgente"),Registro!B670,"")</f>
        <v/>
      </c>
      <c r="B671" s="45" t="str">
        <f ca="1">IF(AND(Registro!D670="Abierto",Registro!E670="Urgente"),TODAY()-Registro!R670,"")</f>
        <v/>
      </c>
      <c r="C671" s="45" t="str">
        <f>IF(AND(Registro!D670="Abierto",Registro!E670="Urgente"),RANK(B671,$B$9:$B$1000,0)+COUNTIF($B$9:B671,B671)-1,"")</f>
        <v/>
      </c>
      <c r="D671" s="45" t="str">
        <f>IF(AND(Registro!D670="Abierto",Registro!E670="Alta"),Registro!B670,"")</f>
        <v/>
      </c>
      <c r="E671" s="45" t="str">
        <f ca="1">IF(AND(Registro!D670="Abierto",Registro!E670="Alta"),TODAY()-Registro!R670,"")</f>
        <v/>
      </c>
      <c r="F671" s="45" t="str">
        <f>IF(AND(Registro!D670="Abierto",Registro!E670="Alta"),RANK(E671,$E$9:$E$1000,0)+COUNTIF($E$9:E671,E671)-1+MAX(C$5:C$1000),"")</f>
        <v/>
      </c>
      <c r="G671" s="45" t="str">
        <f>IF(AND(Registro!D670="Abierto",Registro!E670="Media"),Registro!B670,"")</f>
        <v/>
      </c>
      <c r="H671" s="45" t="str">
        <f ca="1">IF(AND(Registro!D670="Abierto",Registro!E670="Media"),TODAY()-Registro!R670,"")</f>
        <v/>
      </c>
      <c r="I671" s="45" t="str">
        <f>IF(AND(Registro!D670="Abierto",Registro!E670="Media"),RANK(H671,$H$9:$H$1000,0)+COUNTIF($H$9:H671,H671)-1+MAX(C$5:C$1000,F$5:F$1000),"")</f>
        <v/>
      </c>
      <c r="J671" s="45" t="str">
        <f>IF(AND(Registro!D670="Abierto",Registro!E670="Baja"),Registro!B670,"")</f>
        <v/>
      </c>
      <c r="K671" s="45" t="str">
        <f ca="1">IF(AND(Registro!D670="Abierto",Registro!E670="Baja"),TODAY()-Registro!R670,"")</f>
        <v/>
      </c>
      <c r="L671" s="45" t="str">
        <f>IF(AND(Registro!D670="Abierto",Registro!E670="Baja"),RANK(K671,$K$9:$K$1000,0)+COUNTIF($K$9:K671,K671)-1+MAX(C$5:C$1000,F$5:F$1000,I$5:I$1000),"")</f>
        <v/>
      </c>
      <c r="M671" s="46" t="str">
        <f>IF(OR(Registro!D670="Resuelto",Registro!D670=""),"",SUM(C671,F671,I671,L671))</f>
        <v/>
      </c>
      <c r="N671" s="46" t="str">
        <f>IF(OR(Registro!D670="Resuelto",Registro!D670=""),"",SUM(B671,E671,H671,K671))</f>
        <v/>
      </c>
      <c r="O671" s="46" t="str">
        <f>IF(OR(Registro!D670="Resuelto",Registro!D670=""),"",_xlfn.CONCAT(A671,D671,G671,J671))</f>
        <v/>
      </c>
      <c r="P671" s="47">
        <v>663</v>
      </c>
      <c r="Q671" s="47" t="str">
        <f t="shared" ca="1" si="30"/>
        <v/>
      </c>
      <c r="R671" s="48" t="str">
        <f t="shared" ca="1" si="31"/>
        <v/>
      </c>
      <c r="S671" s="32"/>
      <c r="T671" s="32"/>
      <c r="U671" s="32"/>
      <c r="V671" s="32"/>
      <c r="W671" s="47" t="str">
        <f>IF(X671="","",MAX($W$5:W670)+1)</f>
        <v/>
      </c>
      <c r="X671" s="50" t="str">
        <f>IF(Registro!M670="","",IF(COUNTIF($X$8:X670,Registro!M670)=0,Registro!M670,""))</f>
        <v/>
      </c>
      <c r="Y671" s="50" t="str">
        <f t="shared" si="32"/>
        <v/>
      </c>
    </row>
    <row r="672" spans="1:25">
      <c r="A672" s="45" t="str">
        <f>IF(AND(Registro!D671="Abierto",Registro!E671="Urgente"),Registro!B671,"")</f>
        <v/>
      </c>
      <c r="B672" s="45" t="str">
        <f ca="1">IF(AND(Registro!D671="Abierto",Registro!E671="Urgente"),TODAY()-Registro!R671,"")</f>
        <v/>
      </c>
      <c r="C672" s="45" t="str">
        <f>IF(AND(Registro!D671="Abierto",Registro!E671="Urgente"),RANK(B672,$B$9:$B$1000,0)+COUNTIF($B$9:B672,B672)-1,"")</f>
        <v/>
      </c>
      <c r="D672" s="45" t="str">
        <f>IF(AND(Registro!D671="Abierto",Registro!E671="Alta"),Registro!B671,"")</f>
        <v/>
      </c>
      <c r="E672" s="45" t="str">
        <f ca="1">IF(AND(Registro!D671="Abierto",Registro!E671="Alta"),TODAY()-Registro!R671,"")</f>
        <v/>
      </c>
      <c r="F672" s="45" t="str">
        <f>IF(AND(Registro!D671="Abierto",Registro!E671="Alta"),RANK(E672,$E$9:$E$1000,0)+COUNTIF($E$9:E672,E672)-1+MAX(C$5:C$1000),"")</f>
        <v/>
      </c>
      <c r="G672" s="45" t="str">
        <f>IF(AND(Registro!D671="Abierto",Registro!E671="Media"),Registro!B671,"")</f>
        <v/>
      </c>
      <c r="H672" s="45" t="str">
        <f ca="1">IF(AND(Registro!D671="Abierto",Registro!E671="Media"),TODAY()-Registro!R671,"")</f>
        <v/>
      </c>
      <c r="I672" s="45" t="str">
        <f>IF(AND(Registro!D671="Abierto",Registro!E671="Media"),RANK(H672,$H$9:$H$1000,0)+COUNTIF($H$9:H672,H672)-1+MAX(C$5:C$1000,F$5:F$1000),"")</f>
        <v/>
      </c>
      <c r="J672" s="45" t="str">
        <f>IF(AND(Registro!D671="Abierto",Registro!E671="Baja"),Registro!B671,"")</f>
        <v/>
      </c>
      <c r="K672" s="45" t="str">
        <f ca="1">IF(AND(Registro!D671="Abierto",Registro!E671="Baja"),TODAY()-Registro!R671,"")</f>
        <v/>
      </c>
      <c r="L672" s="45" t="str">
        <f>IF(AND(Registro!D671="Abierto",Registro!E671="Baja"),RANK(K672,$K$9:$K$1000,0)+COUNTIF($K$9:K672,K672)-1+MAX(C$5:C$1000,F$5:F$1000,I$5:I$1000),"")</f>
        <v/>
      </c>
      <c r="M672" s="46" t="str">
        <f>IF(OR(Registro!D671="Resuelto",Registro!D671=""),"",SUM(C672,F672,I672,L672))</f>
        <v/>
      </c>
      <c r="N672" s="46" t="str">
        <f>IF(OR(Registro!D671="Resuelto",Registro!D671=""),"",SUM(B672,E672,H672,K672))</f>
        <v/>
      </c>
      <c r="O672" s="46" t="str">
        <f>IF(OR(Registro!D671="Resuelto",Registro!D671=""),"",_xlfn.CONCAT(A672,D672,G672,J672))</f>
        <v/>
      </c>
      <c r="P672" s="47">
        <v>664</v>
      </c>
      <c r="Q672" s="47" t="str">
        <f t="shared" ca="1" si="30"/>
        <v/>
      </c>
      <c r="R672" s="48" t="str">
        <f t="shared" ca="1" si="31"/>
        <v/>
      </c>
      <c r="S672" s="32"/>
      <c r="T672" s="32"/>
      <c r="U672" s="32"/>
      <c r="V672" s="32"/>
      <c r="W672" s="47" t="str">
        <f>IF(X672="","",MAX($W$5:W671)+1)</f>
        <v/>
      </c>
      <c r="X672" s="50" t="str">
        <f>IF(Registro!M671="","",IF(COUNTIF($X$8:X671,Registro!M671)=0,Registro!M671,""))</f>
        <v/>
      </c>
      <c r="Y672" s="50" t="str">
        <f t="shared" si="32"/>
        <v/>
      </c>
    </row>
    <row r="673" spans="1:25">
      <c r="A673" s="45" t="str">
        <f>IF(AND(Registro!D672="Abierto",Registro!E672="Urgente"),Registro!B672,"")</f>
        <v/>
      </c>
      <c r="B673" s="45" t="str">
        <f ca="1">IF(AND(Registro!D672="Abierto",Registro!E672="Urgente"),TODAY()-Registro!R672,"")</f>
        <v/>
      </c>
      <c r="C673" s="45" t="str">
        <f>IF(AND(Registro!D672="Abierto",Registro!E672="Urgente"),RANK(B673,$B$9:$B$1000,0)+COUNTIF($B$9:B673,B673)-1,"")</f>
        <v/>
      </c>
      <c r="D673" s="45" t="str">
        <f>IF(AND(Registro!D672="Abierto",Registro!E672="Alta"),Registro!B672,"")</f>
        <v/>
      </c>
      <c r="E673" s="45" t="str">
        <f ca="1">IF(AND(Registro!D672="Abierto",Registro!E672="Alta"),TODAY()-Registro!R672,"")</f>
        <v/>
      </c>
      <c r="F673" s="45" t="str">
        <f>IF(AND(Registro!D672="Abierto",Registro!E672="Alta"),RANK(E673,$E$9:$E$1000,0)+COUNTIF($E$9:E673,E673)-1+MAX(C$5:C$1000),"")</f>
        <v/>
      </c>
      <c r="G673" s="45" t="str">
        <f>IF(AND(Registro!D672="Abierto",Registro!E672="Media"),Registro!B672,"")</f>
        <v/>
      </c>
      <c r="H673" s="45" t="str">
        <f ca="1">IF(AND(Registro!D672="Abierto",Registro!E672="Media"),TODAY()-Registro!R672,"")</f>
        <v/>
      </c>
      <c r="I673" s="45" t="str">
        <f>IF(AND(Registro!D672="Abierto",Registro!E672="Media"),RANK(H673,$H$9:$H$1000,0)+COUNTIF($H$9:H673,H673)-1+MAX(C$5:C$1000,F$5:F$1000),"")</f>
        <v/>
      </c>
      <c r="J673" s="45" t="str">
        <f>IF(AND(Registro!D672="Abierto",Registro!E672="Baja"),Registro!B672,"")</f>
        <v/>
      </c>
      <c r="K673" s="45" t="str">
        <f ca="1">IF(AND(Registro!D672="Abierto",Registro!E672="Baja"),TODAY()-Registro!R672,"")</f>
        <v/>
      </c>
      <c r="L673" s="45" t="str">
        <f>IF(AND(Registro!D672="Abierto",Registro!E672="Baja"),RANK(K673,$K$9:$K$1000,0)+COUNTIF($K$9:K673,K673)-1+MAX(C$5:C$1000,F$5:F$1000,I$5:I$1000),"")</f>
        <v/>
      </c>
      <c r="M673" s="46" t="str">
        <f>IF(OR(Registro!D672="Resuelto",Registro!D672=""),"",SUM(C673,F673,I673,L673))</f>
        <v/>
      </c>
      <c r="N673" s="46" t="str">
        <f>IF(OR(Registro!D672="Resuelto",Registro!D672=""),"",SUM(B673,E673,H673,K673))</f>
        <v/>
      </c>
      <c r="O673" s="46" t="str">
        <f>IF(OR(Registro!D672="Resuelto",Registro!D672=""),"",_xlfn.CONCAT(A673,D673,G673,J673))</f>
        <v/>
      </c>
      <c r="P673" s="47">
        <v>665</v>
      </c>
      <c r="Q673" s="47" t="str">
        <f t="shared" ca="1" si="30"/>
        <v/>
      </c>
      <c r="R673" s="48" t="str">
        <f t="shared" ca="1" si="31"/>
        <v/>
      </c>
      <c r="S673" s="32"/>
      <c r="T673" s="32"/>
      <c r="U673" s="32"/>
      <c r="V673" s="32"/>
      <c r="W673" s="47" t="str">
        <f>IF(X673="","",MAX($W$5:W672)+1)</f>
        <v/>
      </c>
      <c r="X673" s="50" t="str">
        <f>IF(Registro!M672="","",IF(COUNTIF($X$8:X672,Registro!M672)=0,Registro!M672,""))</f>
        <v/>
      </c>
      <c r="Y673" s="50" t="str">
        <f t="shared" si="32"/>
        <v/>
      </c>
    </row>
    <row r="674" spans="1:25">
      <c r="A674" s="45" t="str">
        <f>IF(AND(Registro!D673="Abierto",Registro!E673="Urgente"),Registro!B673,"")</f>
        <v/>
      </c>
      <c r="B674" s="45" t="str">
        <f ca="1">IF(AND(Registro!D673="Abierto",Registro!E673="Urgente"),TODAY()-Registro!R673,"")</f>
        <v/>
      </c>
      <c r="C674" s="45" t="str">
        <f>IF(AND(Registro!D673="Abierto",Registro!E673="Urgente"),RANK(B674,$B$9:$B$1000,0)+COUNTIF($B$9:B674,B674)-1,"")</f>
        <v/>
      </c>
      <c r="D674" s="45" t="str">
        <f>IF(AND(Registro!D673="Abierto",Registro!E673="Alta"),Registro!B673,"")</f>
        <v/>
      </c>
      <c r="E674" s="45" t="str">
        <f ca="1">IF(AND(Registro!D673="Abierto",Registro!E673="Alta"),TODAY()-Registro!R673,"")</f>
        <v/>
      </c>
      <c r="F674" s="45" t="str">
        <f>IF(AND(Registro!D673="Abierto",Registro!E673="Alta"),RANK(E674,$E$9:$E$1000,0)+COUNTIF($E$9:E674,E674)-1+MAX(C$5:C$1000),"")</f>
        <v/>
      </c>
      <c r="G674" s="45" t="str">
        <f>IF(AND(Registro!D673="Abierto",Registro!E673="Media"),Registro!B673,"")</f>
        <v/>
      </c>
      <c r="H674" s="45" t="str">
        <f ca="1">IF(AND(Registro!D673="Abierto",Registro!E673="Media"),TODAY()-Registro!R673,"")</f>
        <v/>
      </c>
      <c r="I674" s="45" t="str">
        <f>IF(AND(Registro!D673="Abierto",Registro!E673="Media"),RANK(H674,$H$9:$H$1000,0)+COUNTIF($H$9:H674,H674)-1+MAX(C$5:C$1000,F$5:F$1000),"")</f>
        <v/>
      </c>
      <c r="J674" s="45" t="str">
        <f>IF(AND(Registro!D673="Abierto",Registro!E673="Baja"),Registro!B673,"")</f>
        <v/>
      </c>
      <c r="K674" s="45" t="str">
        <f ca="1">IF(AND(Registro!D673="Abierto",Registro!E673="Baja"),TODAY()-Registro!R673,"")</f>
        <v/>
      </c>
      <c r="L674" s="45" t="str">
        <f>IF(AND(Registro!D673="Abierto",Registro!E673="Baja"),RANK(K674,$K$9:$K$1000,0)+COUNTIF($K$9:K674,K674)-1+MAX(C$5:C$1000,F$5:F$1000,I$5:I$1000),"")</f>
        <v/>
      </c>
      <c r="M674" s="46" t="str">
        <f>IF(OR(Registro!D673="Resuelto",Registro!D673=""),"",SUM(C674,F674,I674,L674))</f>
        <v/>
      </c>
      <c r="N674" s="46" t="str">
        <f>IF(OR(Registro!D673="Resuelto",Registro!D673=""),"",SUM(B674,E674,H674,K674))</f>
        <v/>
      </c>
      <c r="O674" s="46" t="str">
        <f>IF(OR(Registro!D673="Resuelto",Registro!D673=""),"",_xlfn.CONCAT(A674,D674,G674,J674))</f>
        <v/>
      </c>
      <c r="P674" s="47">
        <v>666</v>
      </c>
      <c r="Q674" s="47" t="str">
        <f t="shared" ca="1" si="30"/>
        <v/>
      </c>
      <c r="R674" s="48" t="str">
        <f t="shared" ca="1" si="31"/>
        <v/>
      </c>
      <c r="S674" s="32"/>
      <c r="T674" s="32"/>
      <c r="U674" s="32"/>
      <c r="V674" s="32"/>
      <c r="W674" s="47" t="str">
        <f>IF(X674="","",MAX($W$5:W673)+1)</f>
        <v/>
      </c>
      <c r="X674" s="50" t="str">
        <f>IF(Registro!M673="","",IF(COUNTIF($X$8:X673,Registro!M673)=0,Registro!M673,""))</f>
        <v/>
      </c>
      <c r="Y674" s="50" t="str">
        <f t="shared" si="32"/>
        <v/>
      </c>
    </row>
    <row r="675" spans="1:25">
      <c r="A675" s="45" t="str">
        <f>IF(AND(Registro!D674="Abierto",Registro!E674="Urgente"),Registro!B674,"")</f>
        <v/>
      </c>
      <c r="B675" s="45" t="str">
        <f ca="1">IF(AND(Registro!D674="Abierto",Registro!E674="Urgente"),TODAY()-Registro!R674,"")</f>
        <v/>
      </c>
      <c r="C675" s="45" t="str">
        <f>IF(AND(Registro!D674="Abierto",Registro!E674="Urgente"),RANK(B675,$B$9:$B$1000,0)+COUNTIF($B$9:B675,B675)-1,"")</f>
        <v/>
      </c>
      <c r="D675" s="45" t="str">
        <f>IF(AND(Registro!D674="Abierto",Registro!E674="Alta"),Registro!B674,"")</f>
        <v/>
      </c>
      <c r="E675" s="45" t="str">
        <f ca="1">IF(AND(Registro!D674="Abierto",Registro!E674="Alta"),TODAY()-Registro!R674,"")</f>
        <v/>
      </c>
      <c r="F675" s="45" t="str">
        <f>IF(AND(Registro!D674="Abierto",Registro!E674="Alta"),RANK(E675,$E$9:$E$1000,0)+COUNTIF($E$9:E675,E675)-1+MAX(C$5:C$1000),"")</f>
        <v/>
      </c>
      <c r="G675" s="45" t="str">
        <f>IF(AND(Registro!D674="Abierto",Registro!E674="Media"),Registro!B674,"")</f>
        <v/>
      </c>
      <c r="H675" s="45" t="str">
        <f ca="1">IF(AND(Registro!D674="Abierto",Registro!E674="Media"),TODAY()-Registro!R674,"")</f>
        <v/>
      </c>
      <c r="I675" s="45" t="str">
        <f>IF(AND(Registro!D674="Abierto",Registro!E674="Media"),RANK(H675,$H$9:$H$1000,0)+COUNTIF($H$9:H675,H675)-1+MAX(C$5:C$1000,F$5:F$1000),"")</f>
        <v/>
      </c>
      <c r="J675" s="45" t="str">
        <f>IF(AND(Registro!D674="Abierto",Registro!E674="Baja"),Registro!B674,"")</f>
        <v/>
      </c>
      <c r="K675" s="45" t="str">
        <f ca="1">IF(AND(Registro!D674="Abierto",Registro!E674="Baja"),TODAY()-Registro!R674,"")</f>
        <v/>
      </c>
      <c r="L675" s="45" t="str">
        <f>IF(AND(Registro!D674="Abierto",Registro!E674="Baja"),RANK(K675,$K$9:$K$1000,0)+COUNTIF($K$9:K675,K675)-1+MAX(C$5:C$1000,F$5:F$1000,I$5:I$1000),"")</f>
        <v/>
      </c>
      <c r="M675" s="46" t="str">
        <f>IF(OR(Registro!D674="Resuelto",Registro!D674=""),"",SUM(C675,F675,I675,L675))</f>
        <v/>
      </c>
      <c r="N675" s="46" t="str">
        <f>IF(OR(Registro!D674="Resuelto",Registro!D674=""),"",SUM(B675,E675,H675,K675))</f>
        <v/>
      </c>
      <c r="O675" s="46" t="str">
        <f>IF(OR(Registro!D674="Resuelto",Registro!D674=""),"",_xlfn.CONCAT(A675,D675,G675,J675))</f>
        <v/>
      </c>
      <c r="P675" s="47">
        <v>667</v>
      </c>
      <c r="Q675" s="47" t="str">
        <f t="shared" ca="1" si="30"/>
        <v/>
      </c>
      <c r="R675" s="48" t="str">
        <f t="shared" ca="1" si="31"/>
        <v/>
      </c>
      <c r="S675" s="32"/>
      <c r="T675" s="32"/>
      <c r="U675" s="32"/>
      <c r="V675" s="32"/>
      <c r="W675" s="47" t="str">
        <f>IF(X675="","",MAX($W$5:W674)+1)</f>
        <v/>
      </c>
      <c r="X675" s="50" t="str">
        <f>IF(Registro!M674="","",IF(COUNTIF($X$8:X674,Registro!M674)=0,Registro!M674,""))</f>
        <v/>
      </c>
      <c r="Y675" s="50" t="str">
        <f t="shared" si="32"/>
        <v/>
      </c>
    </row>
    <row r="676" spans="1:25">
      <c r="A676" s="45" t="str">
        <f>IF(AND(Registro!D675="Abierto",Registro!E675="Urgente"),Registro!B675,"")</f>
        <v/>
      </c>
      <c r="B676" s="45" t="str">
        <f ca="1">IF(AND(Registro!D675="Abierto",Registro!E675="Urgente"),TODAY()-Registro!R675,"")</f>
        <v/>
      </c>
      <c r="C676" s="45" t="str">
        <f>IF(AND(Registro!D675="Abierto",Registro!E675="Urgente"),RANK(B676,$B$9:$B$1000,0)+COUNTIF($B$9:B676,B676)-1,"")</f>
        <v/>
      </c>
      <c r="D676" s="45" t="str">
        <f>IF(AND(Registro!D675="Abierto",Registro!E675="Alta"),Registro!B675,"")</f>
        <v/>
      </c>
      <c r="E676" s="45" t="str">
        <f ca="1">IF(AND(Registro!D675="Abierto",Registro!E675="Alta"),TODAY()-Registro!R675,"")</f>
        <v/>
      </c>
      <c r="F676" s="45" t="str">
        <f>IF(AND(Registro!D675="Abierto",Registro!E675="Alta"),RANK(E676,$E$9:$E$1000,0)+COUNTIF($E$9:E676,E676)-1+MAX(C$5:C$1000),"")</f>
        <v/>
      </c>
      <c r="G676" s="45" t="str">
        <f>IF(AND(Registro!D675="Abierto",Registro!E675="Media"),Registro!B675,"")</f>
        <v/>
      </c>
      <c r="H676" s="45" t="str">
        <f ca="1">IF(AND(Registro!D675="Abierto",Registro!E675="Media"),TODAY()-Registro!R675,"")</f>
        <v/>
      </c>
      <c r="I676" s="45" t="str">
        <f>IF(AND(Registro!D675="Abierto",Registro!E675="Media"),RANK(H676,$H$9:$H$1000,0)+COUNTIF($H$9:H676,H676)-1+MAX(C$5:C$1000,F$5:F$1000),"")</f>
        <v/>
      </c>
      <c r="J676" s="45" t="str">
        <f>IF(AND(Registro!D675="Abierto",Registro!E675="Baja"),Registro!B675,"")</f>
        <v/>
      </c>
      <c r="K676" s="45" t="str">
        <f ca="1">IF(AND(Registro!D675="Abierto",Registro!E675="Baja"),TODAY()-Registro!R675,"")</f>
        <v/>
      </c>
      <c r="L676" s="45" t="str">
        <f>IF(AND(Registro!D675="Abierto",Registro!E675="Baja"),RANK(K676,$K$9:$K$1000,0)+COUNTIF($K$9:K676,K676)-1+MAX(C$5:C$1000,F$5:F$1000,I$5:I$1000),"")</f>
        <v/>
      </c>
      <c r="M676" s="46" t="str">
        <f>IF(OR(Registro!D675="Resuelto",Registro!D675=""),"",SUM(C676,F676,I676,L676))</f>
        <v/>
      </c>
      <c r="N676" s="46" t="str">
        <f>IF(OR(Registro!D675="Resuelto",Registro!D675=""),"",SUM(B676,E676,H676,K676))</f>
        <v/>
      </c>
      <c r="O676" s="46" t="str">
        <f>IF(OR(Registro!D675="Resuelto",Registro!D675=""),"",_xlfn.CONCAT(A676,D676,G676,J676))</f>
        <v/>
      </c>
      <c r="P676" s="47">
        <v>668</v>
      </c>
      <c r="Q676" s="47" t="str">
        <f t="shared" ca="1" si="30"/>
        <v/>
      </c>
      <c r="R676" s="48" t="str">
        <f t="shared" ca="1" si="31"/>
        <v/>
      </c>
      <c r="S676" s="32"/>
      <c r="T676" s="32"/>
      <c r="U676" s="32"/>
      <c r="V676" s="32"/>
      <c r="W676" s="47" t="str">
        <f>IF(X676="","",MAX($W$5:W675)+1)</f>
        <v/>
      </c>
      <c r="X676" s="50" t="str">
        <f>IF(Registro!M675="","",IF(COUNTIF($X$8:X675,Registro!M675)=0,Registro!M675,""))</f>
        <v/>
      </c>
      <c r="Y676" s="50" t="str">
        <f t="shared" si="32"/>
        <v/>
      </c>
    </row>
    <row r="677" spans="1:25">
      <c r="A677" s="45" t="str">
        <f>IF(AND(Registro!D676="Abierto",Registro!E676="Urgente"),Registro!B676,"")</f>
        <v/>
      </c>
      <c r="B677" s="45" t="str">
        <f ca="1">IF(AND(Registro!D676="Abierto",Registro!E676="Urgente"),TODAY()-Registro!R676,"")</f>
        <v/>
      </c>
      <c r="C677" s="45" t="str">
        <f>IF(AND(Registro!D676="Abierto",Registro!E676="Urgente"),RANK(B677,$B$9:$B$1000,0)+COUNTIF($B$9:B677,B677)-1,"")</f>
        <v/>
      </c>
      <c r="D677" s="45" t="str">
        <f>IF(AND(Registro!D676="Abierto",Registro!E676="Alta"),Registro!B676,"")</f>
        <v/>
      </c>
      <c r="E677" s="45" t="str">
        <f ca="1">IF(AND(Registro!D676="Abierto",Registro!E676="Alta"),TODAY()-Registro!R676,"")</f>
        <v/>
      </c>
      <c r="F677" s="45" t="str">
        <f>IF(AND(Registro!D676="Abierto",Registro!E676="Alta"),RANK(E677,$E$9:$E$1000,0)+COUNTIF($E$9:E677,E677)-1+MAX(C$5:C$1000),"")</f>
        <v/>
      </c>
      <c r="G677" s="45" t="str">
        <f>IF(AND(Registro!D676="Abierto",Registro!E676="Media"),Registro!B676,"")</f>
        <v/>
      </c>
      <c r="H677" s="45" t="str">
        <f ca="1">IF(AND(Registro!D676="Abierto",Registro!E676="Media"),TODAY()-Registro!R676,"")</f>
        <v/>
      </c>
      <c r="I677" s="45" t="str">
        <f>IF(AND(Registro!D676="Abierto",Registro!E676="Media"),RANK(H677,$H$9:$H$1000,0)+COUNTIF($H$9:H677,H677)-1+MAX(C$5:C$1000,F$5:F$1000),"")</f>
        <v/>
      </c>
      <c r="J677" s="45" t="str">
        <f>IF(AND(Registro!D676="Abierto",Registro!E676="Baja"),Registro!B676,"")</f>
        <v/>
      </c>
      <c r="K677" s="45" t="str">
        <f ca="1">IF(AND(Registro!D676="Abierto",Registro!E676="Baja"),TODAY()-Registro!R676,"")</f>
        <v/>
      </c>
      <c r="L677" s="45" t="str">
        <f>IF(AND(Registro!D676="Abierto",Registro!E676="Baja"),RANK(K677,$K$9:$K$1000,0)+COUNTIF($K$9:K677,K677)-1+MAX(C$5:C$1000,F$5:F$1000,I$5:I$1000),"")</f>
        <v/>
      </c>
      <c r="M677" s="46" t="str">
        <f>IF(OR(Registro!D676="Resuelto",Registro!D676=""),"",SUM(C677,F677,I677,L677))</f>
        <v/>
      </c>
      <c r="N677" s="46" t="str">
        <f>IF(OR(Registro!D676="Resuelto",Registro!D676=""),"",SUM(B677,E677,H677,K677))</f>
        <v/>
      </c>
      <c r="O677" s="46" t="str">
        <f>IF(OR(Registro!D676="Resuelto",Registro!D676=""),"",_xlfn.CONCAT(A677,D677,G677,J677))</f>
        <v/>
      </c>
      <c r="P677" s="47">
        <v>669</v>
      </c>
      <c r="Q677" s="47" t="str">
        <f t="shared" ca="1" si="30"/>
        <v/>
      </c>
      <c r="R677" s="48" t="str">
        <f t="shared" ca="1" si="31"/>
        <v/>
      </c>
      <c r="S677" s="32"/>
      <c r="T677" s="32"/>
      <c r="U677" s="32"/>
      <c r="V677" s="32"/>
      <c r="W677" s="47" t="str">
        <f>IF(X677="","",MAX($W$5:W676)+1)</f>
        <v/>
      </c>
      <c r="X677" s="50" t="str">
        <f>IF(Registro!M676="","",IF(COUNTIF($X$8:X676,Registro!M676)=0,Registro!M676,""))</f>
        <v/>
      </c>
      <c r="Y677" s="50" t="str">
        <f t="shared" si="32"/>
        <v/>
      </c>
    </row>
    <row r="678" spans="1:25">
      <c r="A678" s="45" t="str">
        <f>IF(AND(Registro!D677="Abierto",Registro!E677="Urgente"),Registro!B677,"")</f>
        <v/>
      </c>
      <c r="B678" s="45" t="str">
        <f ca="1">IF(AND(Registro!D677="Abierto",Registro!E677="Urgente"),TODAY()-Registro!R677,"")</f>
        <v/>
      </c>
      <c r="C678" s="45" t="str">
        <f>IF(AND(Registro!D677="Abierto",Registro!E677="Urgente"),RANK(B678,$B$9:$B$1000,0)+COUNTIF($B$9:B678,B678)-1,"")</f>
        <v/>
      </c>
      <c r="D678" s="45" t="str">
        <f>IF(AND(Registro!D677="Abierto",Registro!E677="Alta"),Registro!B677,"")</f>
        <v/>
      </c>
      <c r="E678" s="45" t="str">
        <f ca="1">IF(AND(Registro!D677="Abierto",Registro!E677="Alta"),TODAY()-Registro!R677,"")</f>
        <v/>
      </c>
      <c r="F678" s="45" t="str">
        <f>IF(AND(Registro!D677="Abierto",Registro!E677="Alta"),RANK(E678,$E$9:$E$1000,0)+COUNTIF($E$9:E678,E678)-1+MAX(C$5:C$1000),"")</f>
        <v/>
      </c>
      <c r="G678" s="45" t="str">
        <f>IF(AND(Registro!D677="Abierto",Registro!E677="Media"),Registro!B677,"")</f>
        <v/>
      </c>
      <c r="H678" s="45" t="str">
        <f ca="1">IF(AND(Registro!D677="Abierto",Registro!E677="Media"),TODAY()-Registro!R677,"")</f>
        <v/>
      </c>
      <c r="I678" s="45" t="str">
        <f>IF(AND(Registro!D677="Abierto",Registro!E677="Media"),RANK(H678,$H$9:$H$1000,0)+COUNTIF($H$9:H678,H678)-1+MAX(C$5:C$1000,F$5:F$1000),"")</f>
        <v/>
      </c>
      <c r="J678" s="45" t="str">
        <f>IF(AND(Registro!D677="Abierto",Registro!E677="Baja"),Registro!B677,"")</f>
        <v/>
      </c>
      <c r="K678" s="45" t="str">
        <f ca="1">IF(AND(Registro!D677="Abierto",Registro!E677="Baja"),TODAY()-Registro!R677,"")</f>
        <v/>
      </c>
      <c r="L678" s="45" t="str">
        <f>IF(AND(Registro!D677="Abierto",Registro!E677="Baja"),RANK(K678,$K$9:$K$1000,0)+COUNTIF($K$9:K678,K678)-1+MAX(C$5:C$1000,F$5:F$1000,I$5:I$1000),"")</f>
        <v/>
      </c>
      <c r="M678" s="46" t="str">
        <f>IF(OR(Registro!D677="Resuelto",Registro!D677=""),"",SUM(C678,F678,I678,L678))</f>
        <v/>
      </c>
      <c r="N678" s="46" t="str">
        <f>IF(OR(Registro!D677="Resuelto",Registro!D677=""),"",SUM(B678,E678,H678,K678))</f>
        <v/>
      </c>
      <c r="O678" s="46" t="str">
        <f>IF(OR(Registro!D677="Resuelto",Registro!D677=""),"",_xlfn.CONCAT(A678,D678,G678,J678))</f>
        <v/>
      </c>
      <c r="P678" s="47">
        <v>670</v>
      </c>
      <c r="Q678" s="47" t="str">
        <f t="shared" ca="1" si="30"/>
        <v/>
      </c>
      <c r="R678" s="48" t="str">
        <f t="shared" ca="1" si="31"/>
        <v/>
      </c>
      <c r="S678" s="32"/>
      <c r="T678" s="32"/>
      <c r="U678" s="32"/>
      <c r="V678" s="32"/>
      <c r="W678" s="47" t="str">
        <f>IF(X678="","",MAX($W$5:W677)+1)</f>
        <v/>
      </c>
      <c r="X678" s="50" t="str">
        <f>IF(Registro!M677="","",IF(COUNTIF($X$8:X677,Registro!M677)=0,Registro!M677,""))</f>
        <v/>
      </c>
      <c r="Y678" s="50" t="str">
        <f t="shared" si="32"/>
        <v/>
      </c>
    </row>
    <row r="679" spans="1:25">
      <c r="A679" s="45" t="str">
        <f>IF(AND(Registro!D678="Abierto",Registro!E678="Urgente"),Registro!B678,"")</f>
        <v/>
      </c>
      <c r="B679" s="45" t="str">
        <f ca="1">IF(AND(Registro!D678="Abierto",Registro!E678="Urgente"),TODAY()-Registro!R678,"")</f>
        <v/>
      </c>
      <c r="C679" s="45" t="str">
        <f>IF(AND(Registro!D678="Abierto",Registro!E678="Urgente"),RANK(B679,$B$9:$B$1000,0)+COUNTIF($B$9:B679,B679)-1,"")</f>
        <v/>
      </c>
      <c r="D679" s="45" t="str">
        <f>IF(AND(Registro!D678="Abierto",Registro!E678="Alta"),Registro!B678,"")</f>
        <v/>
      </c>
      <c r="E679" s="45" t="str">
        <f ca="1">IF(AND(Registro!D678="Abierto",Registro!E678="Alta"),TODAY()-Registro!R678,"")</f>
        <v/>
      </c>
      <c r="F679" s="45" t="str">
        <f>IF(AND(Registro!D678="Abierto",Registro!E678="Alta"),RANK(E679,$E$9:$E$1000,0)+COUNTIF($E$9:E679,E679)-1+MAX(C$5:C$1000),"")</f>
        <v/>
      </c>
      <c r="G679" s="45" t="str">
        <f>IF(AND(Registro!D678="Abierto",Registro!E678="Media"),Registro!B678,"")</f>
        <v/>
      </c>
      <c r="H679" s="45" t="str">
        <f ca="1">IF(AND(Registro!D678="Abierto",Registro!E678="Media"),TODAY()-Registro!R678,"")</f>
        <v/>
      </c>
      <c r="I679" s="45" t="str">
        <f>IF(AND(Registro!D678="Abierto",Registro!E678="Media"),RANK(H679,$H$9:$H$1000,0)+COUNTIF($H$9:H679,H679)-1+MAX(C$5:C$1000,F$5:F$1000),"")</f>
        <v/>
      </c>
      <c r="J679" s="45" t="str">
        <f>IF(AND(Registro!D678="Abierto",Registro!E678="Baja"),Registro!B678,"")</f>
        <v/>
      </c>
      <c r="K679" s="45" t="str">
        <f ca="1">IF(AND(Registro!D678="Abierto",Registro!E678="Baja"),TODAY()-Registro!R678,"")</f>
        <v/>
      </c>
      <c r="L679" s="45" t="str">
        <f>IF(AND(Registro!D678="Abierto",Registro!E678="Baja"),RANK(K679,$K$9:$K$1000,0)+COUNTIF($K$9:K679,K679)-1+MAX(C$5:C$1000,F$5:F$1000,I$5:I$1000),"")</f>
        <v/>
      </c>
      <c r="M679" s="46" t="str">
        <f>IF(OR(Registro!D678="Resuelto",Registro!D678=""),"",SUM(C679,F679,I679,L679))</f>
        <v/>
      </c>
      <c r="N679" s="46" t="str">
        <f>IF(OR(Registro!D678="Resuelto",Registro!D678=""),"",SUM(B679,E679,H679,K679))</f>
        <v/>
      </c>
      <c r="O679" s="46" t="str">
        <f>IF(OR(Registro!D678="Resuelto",Registro!D678=""),"",_xlfn.CONCAT(A679,D679,G679,J679))</f>
        <v/>
      </c>
      <c r="P679" s="47">
        <v>671</v>
      </c>
      <c r="Q679" s="47" t="str">
        <f t="shared" ca="1" si="30"/>
        <v/>
      </c>
      <c r="R679" s="48" t="str">
        <f t="shared" ca="1" si="31"/>
        <v/>
      </c>
      <c r="S679" s="32"/>
      <c r="T679" s="32"/>
      <c r="U679" s="32"/>
      <c r="V679" s="32"/>
      <c r="W679" s="47" t="str">
        <f>IF(X679="","",MAX($W$5:W678)+1)</f>
        <v/>
      </c>
      <c r="X679" s="50" t="str">
        <f>IF(Registro!M678="","",IF(COUNTIF($X$8:X678,Registro!M678)=0,Registro!M678,""))</f>
        <v/>
      </c>
      <c r="Y679" s="50" t="str">
        <f t="shared" si="32"/>
        <v/>
      </c>
    </row>
    <row r="680" spans="1:25">
      <c r="A680" s="45" t="str">
        <f>IF(AND(Registro!D679="Abierto",Registro!E679="Urgente"),Registro!B679,"")</f>
        <v/>
      </c>
      <c r="B680" s="45" t="str">
        <f ca="1">IF(AND(Registro!D679="Abierto",Registro!E679="Urgente"),TODAY()-Registro!R679,"")</f>
        <v/>
      </c>
      <c r="C680" s="45" t="str">
        <f>IF(AND(Registro!D679="Abierto",Registro!E679="Urgente"),RANK(B680,$B$9:$B$1000,0)+COUNTIF($B$9:B680,B680)-1,"")</f>
        <v/>
      </c>
      <c r="D680" s="45" t="str">
        <f>IF(AND(Registro!D679="Abierto",Registro!E679="Alta"),Registro!B679,"")</f>
        <v/>
      </c>
      <c r="E680" s="45" t="str">
        <f ca="1">IF(AND(Registro!D679="Abierto",Registro!E679="Alta"),TODAY()-Registro!R679,"")</f>
        <v/>
      </c>
      <c r="F680" s="45" t="str">
        <f>IF(AND(Registro!D679="Abierto",Registro!E679="Alta"),RANK(E680,$E$9:$E$1000,0)+COUNTIF($E$9:E680,E680)-1+MAX(C$5:C$1000),"")</f>
        <v/>
      </c>
      <c r="G680" s="45" t="str">
        <f>IF(AND(Registro!D679="Abierto",Registro!E679="Media"),Registro!B679,"")</f>
        <v/>
      </c>
      <c r="H680" s="45" t="str">
        <f ca="1">IF(AND(Registro!D679="Abierto",Registro!E679="Media"),TODAY()-Registro!R679,"")</f>
        <v/>
      </c>
      <c r="I680" s="45" t="str">
        <f>IF(AND(Registro!D679="Abierto",Registro!E679="Media"),RANK(H680,$H$9:$H$1000,0)+COUNTIF($H$9:H680,H680)-1+MAX(C$5:C$1000,F$5:F$1000),"")</f>
        <v/>
      </c>
      <c r="J680" s="45" t="str">
        <f>IF(AND(Registro!D679="Abierto",Registro!E679="Baja"),Registro!B679,"")</f>
        <v/>
      </c>
      <c r="K680" s="45" t="str">
        <f ca="1">IF(AND(Registro!D679="Abierto",Registro!E679="Baja"),TODAY()-Registro!R679,"")</f>
        <v/>
      </c>
      <c r="L680" s="45" t="str">
        <f>IF(AND(Registro!D679="Abierto",Registro!E679="Baja"),RANK(K680,$K$9:$K$1000,0)+COUNTIF($K$9:K680,K680)-1+MAX(C$5:C$1000,F$5:F$1000,I$5:I$1000),"")</f>
        <v/>
      </c>
      <c r="M680" s="46" t="str">
        <f>IF(OR(Registro!D679="Resuelto",Registro!D679=""),"",SUM(C680,F680,I680,L680))</f>
        <v/>
      </c>
      <c r="N680" s="46" t="str">
        <f>IF(OR(Registro!D679="Resuelto",Registro!D679=""),"",SUM(B680,E680,H680,K680))</f>
        <v/>
      </c>
      <c r="O680" s="46" t="str">
        <f>IF(OR(Registro!D679="Resuelto",Registro!D679=""),"",_xlfn.CONCAT(A680,D680,G680,J680))</f>
        <v/>
      </c>
      <c r="P680" s="47">
        <v>672</v>
      </c>
      <c r="Q680" s="47" t="str">
        <f t="shared" ca="1" si="30"/>
        <v/>
      </c>
      <c r="R680" s="48" t="str">
        <f t="shared" ca="1" si="31"/>
        <v/>
      </c>
      <c r="S680" s="32"/>
      <c r="T680" s="32"/>
      <c r="U680" s="32"/>
      <c r="V680" s="32"/>
      <c r="W680" s="47" t="str">
        <f>IF(X680="","",MAX($W$5:W679)+1)</f>
        <v/>
      </c>
      <c r="X680" s="50" t="str">
        <f>IF(Registro!M679="","",IF(COUNTIF($X$8:X679,Registro!M679)=0,Registro!M679,""))</f>
        <v/>
      </c>
      <c r="Y680" s="50" t="str">
        <f t="shared" si="32"/>
        <v/>
      </c>
    </row>
    <row r="681" spans="1:25">
      <c r="A681" s="45" t="str">
        <f>IF(AND(Registro!D680="Abierto",Registro!E680="Urgente"),Registro!B680,"")</f>
        <v/>
      </c>
      <c r="B681" s="45" t="str">
        <f ca="1">IF(AND(Registro!D680="Abierto",Registro!E680="Urgente"),TODAY()-Registro!R680,"")</f>
        <v/>
      </c>
      <c r="C681" s="45" t="str">
        <f>IF(AND(Registro!D680="Abierto",Registro!E680="Urgente"),RANK(B681,$B$9:$B$1000,0)+COUNTIF($B$9:B681,B681)-1,"")</f>
        <v/>
      </c>
      <c r="D681" s="45" t="str">
        <f>IF(AND(Registro!D680="Abierto",Registro!E680="Alta"),Registro!B680,"")</f>
        <v/>
      </c>
      <c r="E681" s="45" t="str">
        <f ca="1">IF(AND(Registro!D680="Abierto",Registro!E680="Alta"),TODAY()-Registro!R680,"")</f>
        <v/>
      </c>
      <c r="F681" s="45" t="str">
        <f>IF(AND(Registro!D680="Abierto",Registro!E680="Alta"),RANK(E681,$E$9:$E$1000,0)+COUNTIF($E$9:E681,E681)-1+MAX(C$5:C$1000),"")</f>
        <v/>
      </c>
      <c r="G681" s="45" t="str">
        <f>IF(AND(Registro!D680="Abierto",Registro!E680="Media"),Registro!B680,"")</f>
        <v/>
      </c>
      <c r="H681" s="45" t="str">
        <f ca="1">IF(AND(Registro!D680="Abierto",Registro!E680="Media"),TODAY()-Registro!R680,"")</f>
        <v/>
      </c>
      <c r="I681" s="45" t="str">
        <f>IF(AND(Registro!D680="Abierto",Registro!E680="Media"),RANK(H681,$H$9:$H$1000,0)+COUNTIF($H$9:H681,H681)-1+MAX(C$5:C$1000,F$5:F$1000),"")</f>
        <v/>
      </c>
      <c r="J681" s="45" t="str">
        <f>IF(AND(Registro!D680="Abierto",Registro!E680="Baja"),Registro!B680,"")</f>
        <v/>
      </c>
      <c r="K681" s="45" t="str">
        <f ca="1">IF(AND(Registro!D680="Abierto",Registro!E680="Baja"),TODAY()-Registro!R680,"")</f>
        <v/>
      </c>
      <c r="L681" s="45" t="str">
        <f>IF(AND(Registro!D680="Abierto",Registro!E680="Baja"),RANK(K681,$K$9:$K$1000,0)+COUNTIF($K$9:K681,K681)-1+MAX(C$5:C$1000,F$5:F$1000,I$5:I$1000),"")</f>
        <v/>
      </c>
      <c r="M681" s="46" t="str">
        <f>IF(OR(Registro!D680="Resuelto",Registro!D680=""),"",SUM(C681,F681,I681,L681))</f>
        <v/>
      </c>
      <c r="N681" s="46" t="str">
        <f>IF(OR(Registro!D680="Resuelto",Registro!D680=""),"",SUM(B681,E681,H681,K681))</f>
        <v/>
      </c>
      <c r="O681" s="46" t="str">
        <f>IF(OR(Registro!D680="Resuelto",Registro!D680=""),"",_xlfn.CONCAT(A681,D681,G681,J681))</f>
        <v/>
      </c>
      <c r="P681" s="47">
        <v>673</v>
      </c>
      <c r="Q681" s="47" t="str">
        <f t="shared" ca="1" si="30"/>
        <v/>
      </c>
      <c r="R681" s="48" t="str">
        <f t="shared" ca="1" si="31"/>
        <v/>
      </c>
      <c r="S681" s="32"/>
      <c r="T681" s="32"/>
      <c r="U681" s="32"/>
      <c r="V681" s="32"/>
      <c r="W681" s="47" t="str">
        <f>IF(X681="","",MAX($W$5:W680)+1)</f>
        <v/>
      </c>
      <c r="X681" s="50" t="str">
        <f>IF(Registro!M680="","",IF(COUNTIF($X$8:X680,Registro!M680)=0,Registro!M680,""))</f>
        <v/>
      </c>
      <c r="Y681" s="50" t="str">
        <f t="shared" si="32"/>
        <v/>
      </c>
    </row>
    <row r="682" spans="1:25">
      <c r="A682" s="45" t="str">
        <f>IF(AND(Registro!D681="Abierto",Registro!E681="Urgente"),Registro!B681,"")</f>
        <v/>
      </c>
      <c r="B682" s="45" t="str">
        <f ca="1">IF(AND(Registro!D681="Abierto",Registro!E681="Urgente"),TODAY()-Registro!R681,"")</f>
        <v/>
      </c>
      <c r="C682" s="45" t="str">
        <f>IF(AND(Registro!D681="Abierto",Registro!E681="Urgente"),RANK(B682,$B$9:$B$1000,0)+COUNTIF($B$9:B682,B682)-1,"")</f>
        <v/>
      </c>
      <c r="D682" s="45" t="str">
        <f>IF(AND(Registro!D681="Abierto",Registro!E681="Alta"),Registro!B681,"")</f>
        <v/>
      </c>
      <c r="E682" s="45" t="str">
        <f ca="1">IF(AND(Registro!D681="Abierto",Registro!E681="Alta"),TODAY()-Registro!R681,"")</f>
        <v/>
      </c>
      <c r="F682" s="45" t="str">
        <f>IF(AND(Registro!D681="Abierto",Registro!E681="Alta"),RANK(E682,$E$9:$E$1000,0)+COUNTIF($E$9:E682,E682)-1+MAX(C$5:C$1000),"")</f>
        <v/>
      </c>
      <c r="G682" s="45" t="str">
        <f>IF(AND(Registro!D681="Abierto",Registro!E681="Media"),Registro!B681,"")</f>
        <v/>
      </c>
      <c r="H682" s="45" t="str">
        <f ca="1">IF(AND(Registro!D681="Abierto",Registro!E681="Media"),TODAY()-Registro!R681,"")</f>
        <v/>
      </c>
      <c r="I682" s="45" t="str">
        <f>IF(AND(Registro!D681="Abierto",Registro!E681="Media"),RANK(H682,$H$9:$H$1000,0)+COUNTIF($H$9:H682,H682)-1+MAX(C$5:C$1000,F$5:F$1000),"")</f>
        <v/>
      </c>
      <c r="J682" s="45" t="str">
        <f>IF(AND(Registro!D681="Abierto",Registro!E681="Baja"),Registro!B681,"")</f>
        <v/>
      </c>
      <c r="K682" s="45" t="str">
        <f ca="1">IF(AND(Registro!D681="Abierto",Registro!E681="Baja"),TODAY()-Registro!R681,"")</f>
        <v/>
      </c>
      <c r="L682" s="45" t="str">
        <f>IF(AND(Registro!D681="Abierto",Registro!E681="Baja"),RANK(K682,$K$9:$K$1000,0)+COUNTIF($K$9:K682,K682)-1+MAX(C$5:C$1000,F$5:F$1000,I$5:I$1000),"")</f>
        <v/>
      </c>
      <c r="M682" s="46" t="str">
        <f>IF(OR(Registro!D681="Resuelto",Registro!D681=""),"",SUM(C682,F682,I682,L682))</f>
        <v/>
      </c>
      <c r="N682" s="46" t="str">
        <f>IF(OR(Registro!D681="Resuelto",Registro!D681=""),"",SUM(B682,E682,H682,K682))</f>
        <v/>
      </c>
      <c r="O682" s="46" t="str">
        <f>IF(OR(Registro!D681="Resuelto",Registro!D681=""),"",_xlfn.CONCAT(A682,D682,G682,J682))</f>
        <v/>
      </c>
      <c r="P682" s="47">
        <v>674</v>
      </c>
      <c r="Q682" s="47" t="str">
        <f t="shared" ca="1" si="30"/>
        <v/>
      </c>
      <c r="R682" s="48" t="str">
        <f t="shared" ca="1" si="31"/>
        <v/>
      </c>
      <c r="S682" s="32"/>
      <c r="T682" s="32"/>
      <c r="U682" s="32"/>
      <c r="V682" s="32"/>
      <c r="W682" s="47" t="str">
        <f>IF(X682="","",MAX($W$5:W681)+1)</f>
        <v/>
      </c>
      <c r="X682" s="50" t="str">
        <f>IF(Registro!M681="","",IF(COUNTIF($X$8:X681,Registro!M681)=0,Registro!M681,""))</f>
        <v/>
      </c>
      <c r="Y682" s="50" t="str">
        <f t="shared" si="32"/>
        <v/>
      </c>
    </row>
    <row r="683" spans="1:25">
      <c r="A683" s="45" t="str">
        <f>IF(AND(Registro!D682="Abierto",Registro!E682="Urgente"),Registro!B682,"")</f>
        <v/>
      </c>
      <c r="B683" s="45" t="str">
        <f ca="1">IF(AND(Registro!D682="Abierto",Registro!E682="Urgente"),TODAY()-Registro!R682,"")</f>
        <v/>
      </c>
      <c r="C683" s="45" t="str">
        <f>IF(AND(Registro!D682="Abierto",Registro!E682="Urgente"),RANK(B683,$B$9:$B$1000,0)+COUNTIF($B$9:B683,B683)-1,"")</f>
        <v/>
      </c>
      <c r="D683" s="45" t="str">
        <f>IF(AND(Registro!D682="Abierto",Registro!E682="Alta"),Registro!B682,"")</f>
        <v/>
      </c>
      <c r="E683" s="45" t="str">
        <f ca="1">IF(AND(Registro!D682="Abierto",Registro!E682="Alta"),TODAY()-Registro!R682,"")</f>
        <v/>
      </c>
      <c r="F683" s="45" t="str">
        <f>IF(AND(Registro!D682="Abierto",Registro!E682="Alta"),RANK(E683,$E$9:$E$1000,0)+COUNTIF($E$9:E683,E683)-1+MAX(C$5:C$1000),"")</f>
        <v/>
      </c>
      <c r="G683" s="45" t="str">
        <f>IF(AND(Registro!D682="Abierto",Registro!E682="Media"),Registro!B682,"")</f>
        <v/>
      </c>
      <c r="H683" s="45" t="str">
        <f ca="1">IF(AND(Registro!D682="Abierto",Registro!E682="Media"),TODAY()-Registro!R682,"")</f>
        <v/>
      </c>
      <c r="I683" s="45" t="str">
        <f>IF(AND(Registro!D682="Abierto",Registro!E682="Media"),RANK(H683,$H$9:$H$1000,0)+COUNTIF($H$9:H683,H683)-1+MAX(C$5:C$1000,F$5:F$1000),"")</f>
        <v/>
      </c>
      <c r="J683" s="45" t="str">
        <f>IF(AND(Registro!D682="Abierto",Registro!E682="Baja"),Registro!B682,"")</f>
        <v/>
      </c>
      <c r="K683" s="45" t="str">
        <f ca="1">IF(AND(Registro!D682="Abierto",Registro!E682="Baja"),TODAY()-Registro!R682,"")</f>
        <v/>
      </c>
      <c r="L683" s="45" t="str">
        <f>IF(AND(Registro!D682="Abierto",Registro!E682="Baja"),RANK(K683,$K$9:$K$1000,0)+COUNTIF($K$9:K683,K683)-1+MAX(C$5:C$1000,F$5:F$1000,I$5:I$1000),"")</f>
        <v/>
      </c>
      <c r="M683" s="46" t="str">
        <f>IF(OR(Registro!D682="Resuelto",Registro!D682=""),"",SUM(C683,F683,I683,L683))</f>
        <v/>
      </c>
      <c r="N683" s="46" t="str">
        <f>IF(OR(Registro!D682="Resuelto",Registro!D682=""),"",SUM(B683,E683,H683,K683))</f>
        <v/>
      </c>
      <c r="O683" s="46" t="str">
        <f>IF(OR(Registro!D682="Resuelto",Registro!D682=""),"",_xlfn.CONCAT(A683,D683,G683,J683))</f>
        <v/>
      </c>
      <c r="P683" s="47">
        <v>675</v>
      </c>
      <c r="Q683" s="47" t="str">
        <f t="shared" ca="1" si="30"/>
        <v/>
      </c>
      <c r="R683" s="48" t="str">
        <f t="shared" ca="1" si="31"/>
        <v/>
      </c>
      <c r="S683" s="32"/>
      <c r="T683" s="32"/>
      <c r="U683" s="32"/>
      <c r="V683" s="32"/>
      <c r="W683" s="47" t="str">
        <f>IF(X683="","",MAX($W$5:W682)+1)</f>
        <v/>
      </c>
      <c r="X683" s="50" t="str">
        <f>IF(Registro!M682="","",IF(COUNTIF($X$8:X682,Registro!M682)=0,Registro!M682,""))</f>
        <v/>
      </c>
      <c r="Y683" s="50" t="str">
        <f t="shared" si="32"/>
        <v/>
      </c>
    </row>
    <row r="684" spans="1:25">
      <c r="A684" s="45" t="str">
        <f>IF(AND(Registro!D683="Abierto",Registro!E683="Urgente"),Registro!B683,"")</f>
        <v/>
      </c>
      <c r="B684" s="45" t="str">
        <f ca="1">IF(AND(Registro!D683="Abierto",Registro!E683="Urgente"),TODAY()-Registro!R683,"")</f>
        <v/>
      </c>
      <c r="C684" s="45" t="str">
        <f>IF(AND(Registro!D683="Abierto",Registro!E683="Urgente"),RANK(B684,$B$9:$B$1000,0)+COUNTIF($B$9:B684,B684)-1,"")</f>
        <v/>
      </c>
      <c r="D684" s="45" t="str">
        <f>IF(AND(Registro!D683="Abierto",Registro!E683="Alta"),Registro!B683,"")</f>
        <v/>
      </c>
      <c r="E684" s="45" t="str">
        <f ca="1">IF(AND(Registro!D683="Abierto",Registro!E683="Alta"),TODAY()-Registro!R683,"")</f>
        <v/>
      </c>
      <c r="F684" s="45" t="str">
        <f>IF(AND(Registro!D683="Abierto",Registro!E683="Alta"),RANK(E684,$E$9:$E$1000,0)+COUNTIF($E$9:E684,E684)-1+MAX(C$5:C$1000),"")</f>
        <v/>
      </c>
      <c r="G684" s="45" t="str">
        <f>IF(AND(Registro!D683="Abierto",Registro!E683="Media"),Registro!B683,"")</f>
        <v/>
      </c>
      <c r="H684" s="45" t="str">
        <f ca="1">IF(AND(Registro!D683="Abierto",Registro!E683="Media"),TODAY()-Registro!R683,"")</f>
        <v/>
      </c>
      <c r="I684" s="45" t="str">
        <f>IF(AND(Registro!D683="Abierto",Registro!E683="Media"),RANK(H684,$H$9:$H$1000,0)+COUNTIF($H$9:H684,H684)-1+MAX(C$5:C$1000,F$5:F$1000),"")</f>
        <v/>
      </c>
      <c r="J684" s="45" t="str">
        <f>IF(AND(Registro!D683="Abierto",Registro!E683="Baja"),Registro!B683,"")</f>
        <v/>
      </c>
      <c r="K684" s="45" t="str">
        <f ca="1">IF(AND(Registro!D683="Abierto",Registro!E683="Baja"),TODAY()-Registro!R683,"")</f>
        <v/>
      </c>
      <c r="L684" s="45" t="str">
        <f>IF(AND(Registro!D683="Abierto",Registro!E683="Baja"),RANK(K684,$K$9:$K$1000,0)+COUNTIF($K$9:K684,K684)-1+MAX(C$5:C$1000,F$5:F$1000,I$5:I$1000),"")</f>
        <v/>
      </c>
      <c r="M684" s="46" t="str">
        <f>IF(OR(Registro!D683="Resuelto",Registro!D683=""),"",SUM(C684,F684,I684,L684))</f>
        <v/>
      </c>
      <c r="N684" s="46" t="str">
        <f>IF(OR(Registro!D683="Resuelto",Registro!D683=""),"",SUM(B684,E684,H684,K684))</f>
        <v/>
      </c>
      <c r="O684" s="46" t="str">
        <f>IF(OR(Registro!D683="Resuelto",Registro!D683=""),"",_xlfn.CONCAT(A684,D684,G684,J684))</f>
        <v/>
      </c>
      <c r="P684" s="47">
        <v>676</v>
      </c>
      <c r="Q684" s="47" t="str">
        <f t="shared" ca="1" si="30"/>
        <v/>
      </c>
      <c r="R684" s="48" t="str">
        <f t="shared" ca="1" si="31"/>
        <v/>
      </c>
      <c r="S684" s="32"/>
      <c r="T684" s="32"/>
      <c r="U684" s="32"/>
      <c r="V684" s="32"/>
      <c r="W684" s="47" t="str">
        <f>IF(X684="","",MAX($W$5:W683)+1)</f>
        <v/>
      </c>
      <c r="X684" s="50" t="str">
        <f>IF(Registro!M683="","",IF(COUNTIF($X$8:X683,Registro!M683)=0,Registro!M683,""))</f>
        <v/>
      </c>
      <c r="Y684" s="50" t="str">
        <f t="shared" si="32"/>
        <v/>
      </c>
    </row>
    <row r="685" spans="1:25">
      <c r="A685" s="45" t="str">
        <f>IF(AND(Registro!D684="Abierto",Registro!E684="Urgente"),Registro!B684,"")</f>
        <v/>
      </c>
      <c r="B685" s="45" t="str">
        <f ca="1">IF(AND(Registro!D684="Abierto",Registro!E684="Urgente"),TODAY()-Registro!R684,"")</f>
        <v/>
      </c>
      <c r="C685" s="45" t="str">
        <f>IF(AND(Registro!D684="Abierto",Registro!E684="Urgente"),RANK(B685,$B$9:$B$1000,0)+COUNTIF($B$9:B685,B685)-1,"")</f>
        <v/>
      </c>
      <c r="D685" s="45" t="str">
        <f>IF(AND(Registro!D684="Abierto",Registro!E684="Alta"),Registro!B684,"")</f>
        <v/>
      </c>
      <c r="E685" s="45" t="str">
        <f ca="1">IF(AND(Registro!D684="Abierto",Registro!E684="Alta"),TODAY()-Registro!R684,"")</f>
        <v/>
      </c>
      <c r="F685" s="45" t="str">
        <f>IF(AND(Registro!D684="Abierto",Registro!E684="Alta"),RANK(E685,$E$9:$E$1000,0)+COUNTIF($E$9:E685,E685)-1+MAX(C$5:C$1000),"")</f>
        <v/>
      </c>
      <c r="G685" s="45" t="str">
        <f>IF(AND(Registro!D684="Abierto",Registro!E684="Media"),Registro!B684,"")</f>
        <v/>
      </c>
      <c r="H685" s="45" t="str">
        <f ca="1">IF(AND(Registro!D684="Abierto",Registro!E684="Media"),TODAY()-Registro!R684,"")</f>
        <v/>
      </c>
      <c r="I685" s="45" t="str">
        <f>IF(AND(Registro!D684="Abierto",Registro!E684="Media"),RANK(H685,$H$9:$H$1000,0)+COUNTIF($H$9:H685,H685)-1+MAX(C$5:C$1000,F$5:F$1000),"")</f>
        <v/>
      </c>
      <c r="J685" s="45" t="str">
        <f>IF(AND(Registro!D684="Abierto",Registro!E684="Baja"),Registro!B684,"")</f>
        <v/>
      </c>
      <c r="K685" s="45" t="str">
        <f ca="1">IF(AND(Registro!D684="Abierto",Registro!E684="Baja"),TODAY()-Registro!R684,"")</f>
        <v/>
      </c>
      <c r="L685" s="45" t="str">
        <f>IF(AND(Registro!D684="Abierto",Registro!E684="Baja"),RANK(K685,$K$9:$K$1000,0)+COUNTIF($K$9:K685,K685)-1+MAX(C$5:C$1000,F$5:F$1000,I$5:I$1000),"")</f>
        <v/>
      </c>
      <c r="M685" s="46" t="str">
        <f>IF(OR(Registro!D684="Resuelto",Registro!D684=""),"",SUM(C685,F685,I685,L685))</f>
        <v/>
      </c>
      <c r="N685" s="46" t="str">
        <f>IF(OR(Registro!D684="Resuelto",Registro!D684=""),"",SUM(B685,E685,H685,K685))</f>
        <v/>
      </c>
      <c r="O685" s="46" t="str">
        <f>IF(OR(Registro!D684="Resuelto",Registro!D684=""),"",_xlfn.CONCAT(A685,D685,G685,J685))</f>
        <v/>
      </c>
      <c r="P685" s="47">
        <v>677</v>
      </c>
      <c r="Q685" s="47" t="str">
        <f t="shared" ca="1" si="30"/>
        <v/>
      </c>
      <c r="R685" s="48" t="str">
        <f t="shared" ca="1" si="31"/>
        <v/>
      </c>
      <c r="S685" s="32"/>
      <c r="T685" s="32"/>
      <c r="U685" s="32"/>
      <c r="V685" s="32"/>
      <c r="W685" s="47" t="str">
        <f>IF(X685="","",MAX($W$5:W684)+1)</f>
        <v/>
      </c>
      <c r="X685" s="50" t="str">
        <f>IF(Registro!M684="","",IF(COUNTIF($X$8:X684,Registro!M684)=0,Registro!M684,""))</f>
        <v/>
      </c>
      <c r="Y685" s="50" t="str">
        <f t="shared" si="32"/>
        <v/>
      </c>
    </row>
    <row r="686" spans="1:25">
      <c r="A686" s="45" t="str">
        <f>IF(AND(Registro!D685="Abierto",Registro!E685="Urgente"),Registro!B685,"")</f>
        <v/>
      </c>
      <c r="B686" s="45" t="str">
        <f ca="1">IF(AND(Registro!D685="Abierto",Registro!E685="Urgente"),TODAY()-Registro!R685,"")</f>
        <v/>
      </c>
      <c r="C686" s="45" t="str">
        <f>IF(AND(Registro!D685="Abierto",Registro!E685="Urgente"),RANK(B686,$B$9:$B$1000,0)+COUNTIF($B$9:B686,B686)-1,"")</f>
        <v/>
      </c>
      <c r="D686" s="45" t="str">
        <f>IF(AND(Registro!D685="Abierto",Registro!E685="Alta"),Registro!B685,"")</f>
        <v/>
      </c>
      <c r="E686" s="45" t="str">
        <f ca="1">IF(AND(Registro!D685="Abierto",Registro!E685="Alta"),TODAY()-Registro!R685,"")</f>
        <v/>
      </c>
      <c r="F686" s="45" t="str">
        <f>IF(AND(Registro!D685="Abierto",Registro!E685="Alta"),RANK(E686,$E$9:$E$1000,0)+COUNTIF($E$9:E686,E686)-1+MAX(C$5:C$1000),"")</f>
        <v/>
      </c>
      <c r="G686" s="45" t="str">
        <f>IF(AND(Registro!D685="Abierto",Registro!E685="Media"),Registro!B685,"")</f>
        <v/>
      </c>
      <c r="H686" s="45" t="str">
        <f ca="1">IF(AND(Registro!D685="Abierto",Registro!E685="Media"),TODAY()-Registro!R685,"")</f>
        <v/>
      </c>
      <c r="I686" s="45" t="str">
        <f>IF(AND(Registro!D685="Abierto",Registro!E685="Media"),RANK(H686,$H$9:$H$1000,0)+COUNTIF($H$9:H686,H686)-1+MAX(C$5:C$1000,F$5:F$1000),"")</f>
        <v/>
      </c>
      <c r="J686" s="45" t="str">
        <f>IF(AND(Registro!D685="Abierto",Registro!E685="Baja"),Registro!B685,"")</f>
        <v/>
      </c>
      <c r="K686" s="45" t="str">
        <f ca="1">IF(AND(Registro!D685="Abierto",Registro!E685="Baja"),TODAY()-Registro!R685,"")</f>
        <v/>
      </c>
      <c r="L686" s="45" t="str">
        <f>IF(AND(Registro!D685="Abierto",Registro!E685="Baja"),RANK(K686,$K$9:$K$1000,0)+COUNTIF($K$9:K686,K686)-1+MAX(C$5:C$1000,F$5:F$1000,I$5:I$1000),"")</f>
        <v/>
      </c>
      <c r="M686" s="46" t="str">
        <f>IF(OR(Registro!D685="Resuelto",Registro!D685=""),"",SUM(C686,F686,I686,L686))</f>
        <v/>
      </c>
      <c r="N686" s="46" t="str">
        <f>IF(OR(Registro!D685="Resuelto",Registro!D685=""),"",SUM(B686,E686,H686,K686))</f>
        <v/>
      </c>
      <c r="O686" s="46" t="str">
        <f>IF(OR(Registro!D685="Resuelto",Registro!D685=""),"",_xlfn.CONCAT(A686,D686,G686,J686))</f>
        <v/>
      </c>
      <c r="P686" s="47">
        <v>678</v>
      </c>
      <c r="Q686" s="47" t="str">
        <f t="shared" ca="1" si="30"/>
        <v/>
      </c>
      <c r="R686" s="48" t="str">
        <f t="shared" ca="1" si="31"/>
        <v/>
      </c>
      <c r="S686" s="32"/>
      <c r="T686" s="32"/>
      <c r="U686" s="32"/>
      <c r="V686" s="32"/>
      <c r="W686" s="47" t="str">
        <f>IF(X686="","",MAX($W$5:W685)+1)</f>
        <v/>
      </c>
      <c r="X686" s="50" t="str">
        <f>IF(Registro!M685="","",IF(COUNTIF($X$8:X685,Registro!M685)=0,Registro!M685,""))</f>
        <v/>
      </c>
      <c r="Y686" s="50" t="str">
        <f t="shared" si="32"/>
        <v/>
      </c>
    </row>
    <row r="687" spans="1:25">
      <c r="A687" s="45" t="str">
        <f>IF(AND(Registro!D686="Abierto",Registro!E686="Urgente"),Registro!B686,"")</f>
        <v/>
      </c>
      <c r="B687" s="45" t="str">
        <f ca="1">IF(AND(Registro!D686="Abierto",Registro!E686="Urgente"),TODAY()-Registro!R686,"")</f>
        <v/>
      </c>
      <c r="C687" s="45" t="str">
        <f>IF(AND(Registro!D686="Abierto",Registro!E686="Urgente"),RANK(B687,$B$9:$B$1000,0)+COUNTIF($B$9:B687,B687)-1,"")</f>
        <v/>
      </c>
      <c r="D687" s="45" t="str">
        <f>IF(AND(Registro!D686="Abierto",Registro!E686="Alta"),Registro!B686,"")</f>
        <v/>
      </c>
      <c r="E687" s="45" t="str">
        <f ca="1">IF(AND(Registro!D686="Abierto",Registro!E686="Alta"),TODAY()-Registro!R686,"")</f>
        <v/>
      </c>
      <c r="F687" s="45" t="str">
        <f>IF(AND(Registro!D686="Abierto",Registro!E686="Alta"),RANK(E687,$E$9:$E$1000,0)+COUNTIF($E$9:E687,E687)-1+MAX(C$5:C$1000),"")</f>
        <v/>
      </c>
      <c r="G687" s="45" t="str">
        <f>IF(AND(Registro!D686="Abierto",Registro!E686="Media"),Registro!B686,"")</f>
        <v/>
      </c>
      <c r="H687" s="45" t="str">
        <f ca="1">IF(AND(Registro!D686="Abierto",Registro!E686="Media"),TODAY()-Registro!R686,"")</f>
        <v/>
      </c>
      <c r="I687" s="45" t="str">
        <f>IF(AND(Registro!D686="Abierto",Registro!E686="Media"),RANK(H687,$H$9:$H$1000,0)+COUNTIF($H$9:H687,H687)-1+MAX(C$5:C$1000,F$5:F$1000),"")</f>
        <v/>
      </c>
      <c r="J687" s="45" t="str">
        <f>IF(AND(Registro!D686="Abierto",Registro!E686="Baja"),Registro!B686,"")</f>
        <v/>
      </c>
      <c r="K687" s="45" t="str">
        <f ca="1">IF(AND(Registro!D686="Abierto",Registro!E686="Baja"),TODAY()-Registro!R686,"")</f>
        <v/>
      </c>
      <c r="L687" s="45" t="str">
        <f>IF(AND(Registro!D686="Abierto",Registro!E686="Baja"),RANK(K687,$K$9:$K$1000,0)+COUNTIF($K$9:K687,K687)-1+MAX(C$5:C$1000,F$5:F$1000,I$5:I$1000),"")</f>
        <v/>
      </c>
      <c r="M687" s="46" t="str">
        <f>IF(OR(Registro!D686="Resuelto",Registro!D686=""),"",SUM(C687,F687,I687,L687))</f>
        <v/>
      </c>
      <c r="N687" s="46" t="str">
        <f>IF(OR(Registro!D686="Resuelto",Registro!D686=""),"",SUM(B687,E687,H687,K687))</f>
        <v/>
      </c>
      <c r="O687" s="46" t="str">
        <f>IF(OR(Registro!D686="Resuelto",Registro!D686=""),"",_xlfn.CONCAT(A687,D687,G687,J687))</f>
        <v/>
      </c>
      <c r="P687" s="47">
        <v>679</v>
      </c>
      <c r="Q687" s="47" t="str">
        <f t="shared" ca="1" si="30"/>
        <v/>
      </c>
      <c r="R687" s="48" t="str">
        <f t="shared" ca="1" si="31"/>
        <v/>
      </c>
      <c r="S687" s="32"/>
      <c r="T687" s="32"/>
      <c r="U687" s="32"/>
      <c r="V687" s="32"/>
      <c r="W687" s="47" t="str">
        <f>IF(X687="","",MAX($W$5:W686)+1)</f>
        <v/>
      </c>
      <c r="X687" s="50" t="str">
        <f>IF(Registro!M686="","",IF(COUNTIF($X$8:X686,Registro!M686)=0,Registro!M686,""))</f>
        <v/>
      </c>
      <c r="Y687" s="50" t="str">
        <f t="shared" si="32"/>
        <v/>
      </c>
    </row>
    <row r="688" spans="1:25">
      <c r="A688" s="45" t="str">
        <f>IF(AND(Registro!D687="Abierto",Registro!E687="Urgente"),Registro!B687,"")</f>
        <v/>
      </c>
      <c r="B688" s="45" t="str">
        <f ca="1">IF(AND(Registro!D687="Abierto",Registro!E687="Urgente"),TODAY()-Registro!R687,"")</f>
        <v/>
      </c>
      <c r="C688" s="45" t="str">
        <f>IF(AND(Registro!D687="Abierto",Registro!E687="Urgente"),RANK(B688,$B$9:$B$1000,0)+COUNTIF($B$9:B688,B688)-1,"")</f>
        <v/>
      </c>
      <c r="D688" s="45" t="str">
        <f>IF(AND(Registro!D687="Abierto",Registro!E687="Alta"),Registro!B687,"")</f>
        <v/>
      </c>
      <c r="E688" s="45" t="str">
        <f ca="1">IF(AND(Registro!D687="Abierto",Registro!E687="Alta"),TODAY()-Registro!R687,"")</f>
        <v/>
      </c>
      <c r="F688" s="45" t="str">
        <f>IF(AND(Registro!D687="Abierto",Registro!E687="Alta"),RANK(E688,$E$9:$E$1000,0)+COUNTIF($E$9:E688,E688)-1+MAX(C$5:C$1000),"")</f>
        <v/>
      </c>
      <c r="G688" s="45" t="str">
        <f>IF(AND(Registro!D687="Abierto",Registro!E687="Media"),Registro!B687,"")</f>
        <v/>
      </c>
      <c r="H688" s="45" t="str">
        <f ca="1">IF(AND(Registro!D687="Abierto",Registro!E687="Media"),TODAY()-Registro!R687,"")</f>
        <v/>
      </c>
      <c r="I688" s="45" t="str">
        <f>IF(AND(Registro!D687="Abierto",Registro!E687="Media"),RANK(H688,$H$9:$H$1000,0)+COUNTIF($H$9:H688,H688)-1+MAX(C$5:C$1000,F$5:F$1000),"")</f>
        <v/>
      </c>
      <c r="J688" s="45" t="str">
        <f>IF(AND(Registro!D687="Abierto",Registro!E687="Baja"),Registro!B687,"")</f>
        <v/>
      </c>
      <c r="K688" s="45" t="str">
        <f ca="1">IF(AND(Registro!D687="Abierto",Registro!E687="Baja"),TODAY()-Registro!R687,"")</f>
        <v/>
      </c>
      <c r="L688" s="45" t="str">
        <f>IF(AND(Registro!D687="Abierto",Registro!E687="Baja"),RANK(K688,$K$9:$K$1000,0)+COUNTIF($K$9:K688,K688)-1+MAX(C$5:C$1000,F$5:F$1000,I$5:I$1000),"")</f>
        <v/>
      </c>
      <c r="M688" s="46" t="str">
        <f>IF(OR(Registro!D687="Resuelto",Registro!D687=""),"",SUM(C688,F688,I688,L688))</f>
        <v/>
      </c>
      <c r="N688" s="46" t="str">
        <f>IF(OR(Registro!D687="Resuelto",Registro!D687=""),"",SUM(B688,E688,H688,K688))</f>
        <v/>
      </c>
      <c r="O688" s="46" t="str">
        <f>IF(OR(Registro!D687="Resuelto",Registro!D687=""),"",_xlfn.CONCAT(A688,D688,G688,J688))</f>
        <v/>
      </c>
      <c r="P688" s="47">
        <v>680</v>
      </c>
      <c r="Q688" s="47" t="str">
        <f t="shared" ca="1" si="30"/>
        <v/>
      </c>
      <c r="R688" s="48" t="str">
        <f t="shared" ca="1" si="31"/>
        <v/>
      </c>
      <c r="S688" s="32"/>
      <c r="T688" s="32"/>
      <c r="U688" s="32"/>
      <c r="V688" s="32"/>
      <c r="W688" s="47" t="str">
        <f>IF(X688="","",MAX($W$5:W687)+1)</f>
        <v/>
      </c>
      <c r="X688" s="50" t="str">
        <f>IF(Registro!M687="","",IF(COUNTIF($X$8:X687,Registro!M687)=0,Registro!M687,""))</f>
        <v/>
      </c>
      <c r="Y688" s="50" t="str">
        <f t="shared" si="32"/>
        <v/>
      </c>
    </row>
    <row r="689" spans="1:25">
      <c r="A689" s="45" t="str">
        <f>IF(AND(Registro!D688="Abierto",Registro!E688="Urgente"),Registro!B688,"")</f>
        <v/>
      </c>
      <c r="B689" s="45" t="str">
        <f ca="1">IF(AND(Registro!D688="Abierto",Registro!E688="Urgente"),TODAY()-Registro!R688,"")</f>
        <v/>
      </c>
      <c r="C689" s="45" t="str">
        <f>IF(AND(Registro!D688="Abierto",Registro!E688="Urgente"),RANK(B689,$B$9:$B$1000,0)+COUNTIF($B$9:B689,B689)-1,"")</f>
        <v/>
      </c>
      <c r="D689" s="45" t="str">
        <f>IF(AND(Registro!D688="Abierto",Registro!E688="Alta"),Registro!B688,"")</f>
        <v/>
      </c>
      <c r="E689" s="45" t="str">
        <f ca="1">IF(AND(Registro!D688="Abierto",Registro!E688="Alta"),TODAY()-Registro!R688,"")</f>
        <v/>
      </c>
      <c r="F689" s="45" t="str">
        <f>IF(AND(Registro!D688="Abierto",Registro!E688="Alta"),RANK(E689,$E$9:$E$1000,0)+COUNTIF($E$9:E689,E689)-1+MAX(C$5:C$1000),"")</f>
        <v/>
      </c>
      <c r="G689" s="45" t="str">
        <f>IF(AND(Registro!D688="Abierto",Registro!E688="Media"),Registro!B688,"")</f>
        <v/>
      </c>
      <c r="H689" s="45" t="str">
        <f ca="1">IF(AND(Registro!D688="Abierto",Registro!E688="Media"),TODAY()-Registro!R688,"")</f>
        <v/>
      </c>
      <c r="I689" s="45" t="str">
        <f>IF(AND(Registro!D688="Abierto",Registro!E688="Media"),RANK(H689,$H$9:$H$1000,0)+COUNTIF($H$9:H689,H689)-1+MAX(C$5:C$1000,F$5:F$1000),"")</f>
        <v/>
      </c>
      <c r="J689" s="45" t="str">
        <f>IF(AND(Registro!D688="Abierto",Registro!E688="Baja"),Registro!B688,"")</f>
        <v/>
      </c>
      <c r="K689" s="45" t="str">
        <f ca="1">IF(AND(Registro!D688="Abierto",Registro!E688="Baja"),TODAY()-Registro!R688,"")</f>
        <v/>
      </c>
      <c r="L689" s="45" t="str">
        <f>IF(AND(Registro!D688="Abierto",Registro!E688="Baja"),RANK(K689,$K$9:$K$1000,0)+COUNTIF($K$9:K689,K689)-1+MAX(C$5:C$1000,F$5:F$1000,I$5:I$1000),"")</f>
        <v/>
      </c>
      <c r="M689" s="46" t="str">
        <f>IF(OR(Registro!D688="Resuelto",Registro!D688=""),"",SUM(C689,F689,I689,L689))</f>
        <v/>
      </c>
      <c r="N689" s="46" t="str">
        <f>IF(OR(Registro!D688="Resuelto",Registro!D688=""),"",SUM(B689,E689,H689,K689))</f>
        <v/>
      </c>
      <c r="O689" s="46" t="str">
        <f>IF(OR(Registro!D688="Resuelto",Registro!D688=""),"",_xlfn.CONCAT(A689,D689,G689,J689))</f>
        <v/>
      </c>
      <c r="P689" s="47">
        <v>681</v>
      </c>
      <c r="Q689" s="47" t="str">
        <f t="shared" ca="1" si="30"/>
        <v/>
      </c>
      <c r="R689" s="48" t="str">
        <f t="shared" ca="1" si="31"/>
        <v/>
      </c>
      <c r="S689" s="32"/>
      <c r="T689" s="32"/>
      <c r="U689" s="32"/>
      <c r="V689" s="32"/>
      <c r="W689" s="47" t="str">
        <f>IF(X689="","",MAX($W$5:W688)+1)</f>
        <v/>
      </c>
      <c r="X689" s="50" t="str">
        <f>IF(Registro!M688="","",IF(COUNTIF($X$8:X688,Registro!M688)=0,Registro!M688,""))</f>
        <v/>
      </c>
      <c r="Y689" s="50" t="str">
        <f t="shared" si="32"/>
        <v/>
      </c>
    </row>
    <row r="690" spans="1:25">
      <c r="A690" s="45" t="str">
        <f>IF(AND(Registro!D689="Abierto",Registro!E689="Urgente"),Registro!B689,"")</f>
        <v/>
      </c>
      <c r="B690" s="45" t="str">
        <f ca="1">IF(AND(Registro!D689="Abierto",Registro!E689="Urgente"),TODAY()-Registro!R689,"")</f>
        <v/>
      </c>
      <c r="C690" s="45" t="str">
        <f>IF(AND(Registro!D689="Abierto",Registro!E689="Urgente"),RANK(B690,$B$9:$B$1000,0)+COUNTIF($B$9:B690,B690)-1,"")</f>
        <v/>
      </c>
      <c r="D690" s="45" t="str">
        <f>IF(AND(Registro!D689="Abierto",Registro!E689="Alta"),Registro!B689,"")</f>
        <v/>
      </c>
      <c r="E690" s="45" t="str">
        <f ca="1">IF(AND(Registro!D689="Abierto",Registro!E689="Alta"),TODAY()-Registro!R689,"")</f>
        <v/>
      </c>
      <c r="F690" s="45" t="str">
        <f>IF(AND(Registro!D689="Abierto",Registro!E689="Alta"),RANK(E690,$E$9:$E$1000,0)+COUNTIF($E$9:E690,E690)-1+MAX(C$5:C$1000),"")</f>
        <v/>
      </c>
      <c r="G690" s="45" t="str">
        <f>IF(AND(Registro!D689="Abierto",Registro!E689="Media"),Registro!B689,"")</f>
        <v/>
      </c>
      <c r="H690" s="45" t="str">
        <f ca="1">IF(AND(Registro!D689="Abierto",Registro!E689="Media"),TODAY()-Registro!R689,"")</f>
        <v/>
      </c>
      <c r="I690" s="45" t="str">
        <f>IF(AND(Registro!D689="Abierto",Registro!E689="Media"),RANK(H690,$H$9:$H$1000,0)+COUNTIF($H$9:H690,H690)-1+MAX(C$5:C$1000,F$5:F$1000),"")</f>
        <v/>
      </c>
      <c r="J690" s="45" t="str">
        <f>IF(AND(Registro!D689="Abierto",Registro!E689="Baja"),Registro!B689,"")</f>
        <v/>
      </c>
      <c r="K690" s="45" t="str">
        <f ca="1">IF(AND(Registro!D689="Abierto",Registro!E689="Baja"),TODAY()-Registro!R689,"")</f>
        <v/>
      </c>
      <c r="L690" s="45" t="str">
        <f>IF(AND(Registro!D689="Abierto",Registro!E689="Baja"),RANK(K690,$K$9:$K$1000,0)+COUNTIF($K$9:K690,K690)-1+MAX(C$5:C$1000,F$5:F$1000,I$5:I$1000),"")</f>
        <v/>
      </c>
      <c r="M690" s="46" t="str">
        <f>IF(OR(Registro!D689="Resuelto",Registro!D689=""),"",SUM(C690,F690,I690,L690))</f>
        <v/>
      </c>
      <c r="N690" s="46" t="str">
        <f>IF(OR(Registro!D689="Resuelto",Registro!D689=""),"",SUM(B690,E690,H690,K690))</f>
        <v/>
      </c>
      <c r="O690" s="46" t="str">
        <f>IF(OR(Registro!D689="Resuelto",Registro!D689=""),"",_xlfn.CONCAT(A690,D690,G690,J690))</f>
        <v/>
      </c>
      <c r="P690" s="47">
        <v>682</v>
      </c>
      <c r="Q690" s="47" t="str">
        <f t="shared" ca="1" si="30"/>
        <v/>
      </c>
      <c r="R690" s="48" t="str">
        <f t="shared" ca="1" si="31"/>
        <v/>
      </c>
      <c r="S690" s="32"/>
      <c r="T690" s="32"/>
      <c r="U690" s="32"/>
      <c r="V690" s="32"/>
      <c r="W690" s="47" t="str">
        <f>IF(X690="","",MAX($W$5:W689)+1)</f>
        <v/>
      </c>
      <c r="X690" s="50" t="str">
        <f>IF(Registro!M689="","",IF(COUNTIF($X$8:X689,Registro!M689)=0,Registro!M689,""))</f>
        <v/>
      </c>
      <c r="Y690" s="50" t="str">
        <f t="shared" si="32"/>
        <v/>
      </c>
    </row>
    <row r="691" spans="1:25">
      <c r="A691" s="45" t="str">
        <f>IF(AND(Registro!D690="Abierto",Registro!E690="Urgente"),Registro!B690,"")</f>
        <v/>
      </c>
      <c r="B691" s="45" t="str">
        <f ca="1">IF(AND(Registro!D690="Abierto",Registro!E690="Urgente"),TODAY()-Registro!R690,"")</f>
        <v/>
      </c>
      <c r="C691" s="45" t="str">
        <f>IF(AND(Registro!D690="Abierto",Registro!E690="Urgente"),RANK(B691,$B$9:$B$1000,0)+COUNTIF($B$9:B691,B691)-1,"")</f>
        <v/>
      </c>
      <c r="D691" s="45" t="str">
        <f>IF(AND(Registro!D690="Abierto",Registro!E690="Alta"),Registro!B690,"")</f>
        <v/>
      </c>
      <c r="E691" s="45" t="str">
        <f ca="1">IF(AND(Registro!D690="Abierto",Registro!E690="Alta"),TODAY()-Registro!R690,"")</f>
        <v/>
      </c>
      <c r="F691" s="45" t="str">
        <f>IF(AND(Registro!D690="Abierto",Registro!E690="Alta"),RANK(E691,$E$9:$E$1000,0)+COUNTIF($E$9:E691,E691)-1+MAX(C$5:C$1000),"")</f>
        <v/>
      </c>
      <c r="G691" s="45" t="str">
        <f>IF(AND(Registro!D690="Abierto",Registro!E690="Media"),Registro!B690,"")</f>
        <v/>
      </c>
      <c r="H691" s="45" t="str">
        <f ca="1">IF(AND(Registro!D690="Abierto",Registro!E690="Media"),TODAY()-Registro!R690,"")</f>
        <v/>
      </c>
      <c r="I691" s="45" t="str">
        <f>IF(AND(Registro!D690="Abierto",Registro!E690="Media"),RANK(H691,$H$9:$H$1000,0)+COUNTIF($H$9:H691,H691)-1+MAX(C$5:C$1000,F$5:F$1000),"")</f>
        <v/>
      </c>
      <c r="J691" s="45" t="str">
        <f>IF(AND(Registro!D690="Abierto",Registro!E690="Baja"),Registro!B690,"")</f>
        <v/>
      </c>
      <c r="K691" s="45" t="str">
        <f ca="1">IF(AND(Registro!D690="Abierto",Registro!E690="Baja"),TODAY()-Registro!R690,"")</f>
        <v/>
      </c>
      <c r="L691" s="45" t="str">
        <f>IF(AND(Registro!D690="Abierto",Registro!E690="Baja"),RANK(K691,$K$9:$K$1000,0)+COUNTIF($K$9:K691,K691)-1+MAX(C$5:C$1000,F$5:F$1000,I$5:I$1000),"")</f>
        <v/>
      </c>
      <c r="M691" s="46" t="str">
        <f>IF(OR(Registro!D690="Resuelto",Registro!D690=""),"",SUM(C691,F691,I691,L691))</f>
        <v/>
      </c>
      <c r="N691" s="46" t="str">
        <f>IF(OR(Registro!D690="Resuelto",Registro!D690=""),"",SUM(B691,E691,H691,K691))</f>
        <v/>
      </c>
      <c r="O691" s="46" t="str">
        <f>IF(OR(Registro!D690="Resuelto",Registro!D690=""),"",_xlfn.CONCAT(A691,D691,G691,J691))</f>
        <v/>
      </c>
      <c r="P691" s="47">
        <v>683</v>
      </c>
      <c r="Q691" s="47" t="str">
        <f t="shared" ca="1" si="30"/>
        <v/>
      </c>
      <c r="R691" s="48" t="str">
        <f t="shared" ca="1" si="31"/>
        <v/>
      </c>
      <c r="S691" s="32"/>
      <c r="T691" s="32"/>
      <c r="U691" s="32"/>
      <c r="V691" s="32"/>
      <c r="W691" s="47" t="str">
        <f>IF(X691="","",MAX($W$5:W690)+1)</f>
        <v/>
      </c>
      <c r="X691" s="50" t="str">
        <f>IF(Registro!M690="","",IF(COUNTIF($X$8:X690,Registro!M690)=0,Registro!M690,""))</f>
        <v/>
      </c>
      <c r="Y691" s="50" t="str">
        <f t="shared" si="32"/>
        <v/>
      </c>
    </row>
    <row r="692" spans="1:25">
      <c r="A692" s="45" t="str">
        <f>IF(AND(Registro!D691="Abierto",Registro!E691="Urgente"),Registro!B691,"")</f>
        <v/>
      </c>
      <c r="B692" s="45" t="str">
        <f ca="1">IF(AND(Registro!D691="Abierto",Registro!E691="Urgente"),TODAY()-Registro!R691,"")</f>
        <v/>
      </c>
      <c r="C692" s="45" t="str">
        <f>IF(AND(Registro!D691="Abierto",Registro!E691="Urgente"),RANK(B692,$B$9:$B$1000,0)+COUNTIF($B$9:B692,B692)-1,"")</f>
        <v/>
      </c>
      <c r="D692" s="45" t="str">
        <f>IF(AND(Registro!D691="Abierto",Registro!E691="Alta"),Registro!B691,"")</f>
        <v/>
      </c>
      <c r="E692" s="45" t="str">
        <f ca="1">IF(AND(Registro!D691="Abierto",Registro!E691="Alta"),TODAY()-Registro!R691,"")</f>
        <v/>
      </c>
      <c r="F692" s="45" t="str">
        <f>IF(AND(Registro!D691="Abierto",Registro!E691="Alta"),RANK(E692,$E$9:$E$1000,0)+COUNTIF($E$9:E692,E692)-1+MAX(C$5:C$1000),"")</f>
        <v/>
      </c>
      <c r="G692" s="45" t="str">
        <f>IF(AND(Registro!D691="Abierto",Registro!E691="Media"),Registro!B691,"")</f>
        <v/>
      </c>
      <c r="H692" s="45" t="str">
        <f ca="1">IF(AND(Registro!D691="Abierto",Registro!E691="Media"),TODAY()-Registro!R691,"")</f>
        <v/>
      </c>
      <c r="I692" s="45" t="str">
        <f>IF(AND(Registro!D691="Abierto",Registro!E691="Media"),RANK(H692,$H$9:$H$1000,0)+COUNTIF($H$9:H692,H692)-1+MAX(C$5:C$1000,F$5:F$1000),"")</f>
        <v/>
      </c>
      <c r="J692" s="45" t="str">
        <f>IF(AND(Registro!D691="Abierto",Registro!E691="Baja"),Registro!B691,"")</f>
        <v/>
      </c>
      <c r="K692" s="45" t="str">
        <f ca="1">IF(AND(Registro!D691="Abierto",Registro!E691="Baja"),TODAY()-Registro!R691,"")</f>
        <v/>
      </c>
      <c r="L692" s="45" t="str">
        <f>IF(AND(Registro!D691="Abierto",Registro!E691="Baja"),RANK(K692,$K$9:$K$1000,0)+COUNTIF($K$9:K692,K692)-1+MAX(C$5:C$1000,F$5:F$1000,I$5:I$1000),"")</f>
        <v/>
      </c>
      <c r="M692" s="46" t="str">
        <f>IF(OR(Registro!D691="Resuelto",Registro!D691=""),"",SUM(C692,F692,I692,L692))</f>
        <v/>
      </c>
      <c r="N692" s="46" t="str">
        <f>IF(OR(Registro!D691="Resuelto",Registro!D691=""),"",SUM(B692,E692,H692,K692))</f>
        <v/>
      </c>
      <c r="O692" s="46" t="str">
        <f>IF(OR(Registro!D691="Resuelto",Registro!D691=""),"",_xlfn.CONCAT(A692,D692,G692,J692))</f>
        <v/>
      </c>
      <c r="P692" s="47">
        <v>684</v>
      </c>
      <c r="Q692" s="47" t="str">
        <f t="shared" ca="1" si="30"/>
        <v/>
      </c>
      <c r="R692" s="48" t="str">
        <f t="shared" ca="1" si="31"/>
        <v/>
      </c>
      <c r="S692" s="32"/>
      <c r="T692" s="32"/>
      <c r="U692" s="32"/>
      <c r="V692" s="32"/>
      <c r="W692" s="47" t="str">
        <f>IF(X692="","",MAX($W$5:W691)+1)</f>
        <v/>
      </c>
      <c r="X692" s="50" t="str">
        <f>IF(Registro!M691="","",IF(COUNTIF($X$8:X691,Registro!M691)=0,Registro!M691,""))</f>
        <v/>
      </c>
      <c r="Y692" s="50" t="str">
        <f t="shared" si="32"/>
        <v/>
      </c>
    </row>
    <row r="693" spans="1:25">
      <c r="A693" s="45" t="str">
        <f>IF(AND(Registro!D692="Abierto",Registro!E692="Urgente"),Registro!B692,"")</f>
        <v/>
      </c>
      <c r="B693" s="45" t="str">
        <f ca="1">IF(AND(Registro!D692="Abierto",Registro!E692="Urgente"),TODAY()-Registro!R692,"")</f>
        <v/>
      </c>
      <c r="C693" s="45" t="str">
        <f>IF(AND(Registro!D692="Abierto",Registro!E692="Urgente"),RANK(B693,$B$9:$B$1000,0)+COUNTIF($B$9:B693,B693)-1,"")</f>
        <v/>
      </c>
      <c r="D693" s="45" t="str">
        <f>IF(AND(Registro!D692="Abierto",Registro!E692="Alta"),Registro!B692,"")</f>
        <v/>
      </c>
      <c r="E693" s="45" t="str">
        <f ca="1">IF(AND(Registro!D692="Abierto",Registro!E692="Alta"),TODAY()-Registro!R692,"")</f>
        <v/>
      </c>
      <c r="F693" s="45" t="str">
        <f>IF(AND(Registro!D692="Abierto",Registro!E692="Alta"),RANK(E693,$E$9:$E$1000,0)+COUNTIF($E$9:E693,E693)-1+MAX(C$5:C$1000),"")</f>
        <v/>
      </c>
      <c r="G693" s="45" t="str">
        <f>IF(AND(Registro!D692="Abierto",Registro!E692="Media"),Registro!B692,"")</f>
        <v/>
      </c>
      <c r="H693" s="45" t="str">
        <f ca="1">IF(AND(Registro!D692="Abierto",Registro!E692="Media"),TODAY()-Registro!R692,"")</f>
        <v/>
      </c>
      <c r="I693" s="45" t="str">
        <f>IF(AND(Registro!D692="Abierto",Registro!E692="Media"),RANK(H693,$H$9:$H$1000,0)+COUNTIF($H$9:H693,H693)-1+MAX(C$5:C$1000,F$5:F$1000),"")</f>
        <v/>
      </c>
      <c r="J693" s="45" t="str">
        <f>IF(AND(Registro!D692="Abierto",Registro!E692="Baja"),Registro!B692,"")</f>
        <v/>
      </c>
      <c r="K693" s="45" t="str">
        <f ca="1">IF(AND(Registro!D692="Abierto",Registro!E692="Baja"),TODAY()-Registro!R692,"")</f>
        <v/>
      </c>
      <c r="L693" s="45" t="str">
        <f>IF(AND(Registro!D692="Abierto",Registro!E692="Baja"),RANK(K693,$K$9:$K$1000,0)+COUNTIF($K$9:K693,K693)-1+MAX(C$5:C$1000,F$5:F$1000,I$5:I$1000),"")</f>
        <v/>
      </c>
      <c r="M693" s="46" t="str">
        <f>IF(OR(Registro!D692="Resuelto",Registro!D692=""),"",SUM(C693,F693,I693,L693))</f>
        <v/>
      </c>
      <c r="N693" s="46" t="str">
        <f>IF(OR(Registro!D692="Resuelto",Registro!D692=""),"",SUM(B693,E693,H693,K693))</f>
        <v/>
      </c>
      <c r="O693" s="46" t="str">
        <f>IF(OR(Registro!D692="Resuelto",Registro!D692=""),"",_xlfn.CONCAT(A693,D693,G693,J693))</f>
        <v/>
      </c>
      <c r="P693" s="47">
        <v>685</v>
      </c>
      <c r="Q693" s="47" t="str">
        <f t="shared" ca="1" si="30"/>
        <v/>
      </c>
      <c r="R693" s="48" t="str">
        <f t="shared" ca="1" si="31"/>
        <v/>
      </c>
      <c r="S693" s="32"/>
      <c r="T693" s="32"/>
      <c r="U693" s="32"/>
      <c r="V693" s="32"/>
      <c r="W693" s="47" t="str">
        <f>IF(X693="","",MAX($W$5:W692)+1)</f>
        <v/>
      </c>
      <c r="X693" s="50" t="str">
        <f>IF(Registro!M692="","",IF(COUNTIF($X$8:X692,Registro!M692)=0,Registro!M692,""))</f>
        <v/>
      </c>
      <c r="Y693" s="50" t="str">
        <f t="shared" si="32"/>
        <v/>
      </c>
    </row>
    <row r="694" spans="1:25">
      <c r="A694" s="45" t="str">
        <f>IF(AND(Registro!D693="Abierto",Registro!E693="Urgente"),Registro!B693,"")</f>
        <v/>
      </c>
      <c r="B694" s="45" t="str">
        <f ca="1">IF(AND(Registro!D693="Abierto",Registro!E693="Urgente"),TODAY()-Registro!R693,"")</f>
        <v/>
      </c>
      <c r="C694" s="45" t="str">
        <f>IF(AND(Registro!D693="Abierto",Registro!E693="Urgente"),RANK(B694,$B$9:$B$1000,0)+COUNTIF($B$9:B694,B694)-1,"")</f>
        <v/>
      </c>
      <c r="D694" s="45" t="str">
        <f>IF(AND(Registro!D693="Abierto",Registro!E693="Alta"),Registro!B693,"")</f>
        <v/>
      </c>
      <c r="E694" s="45" t="str">
        <f ca="1">IF(AND(Registro!D693="Abierto",Registro!E693="Alta"),TODAY()-Registro!R693,"")</f>
        <v/>
      </c>
      <c r="F694" s="45" t="str">
        <f>IF(AND(Registro!D693="Abierto",Registro!E693="Alta"),RANK(E694,$E$9:$E$1000,0)+COUNTIF($E$9:E694,E694)-1+MAX(C$5:C$1000),"")</f>
        <v/>
      </c>
      <c r="G694" s="45" t="str">
        <f>IF(AND(Registro!D693="Abierto",Registro!E693="Media"),Registro!B693,"")</f>
        <v/>
      </c>
      <c r="H694" s="45" t="str">
        <f ca="1">IF(AND(Registro!D693="Abierto",Registro!E693="Media"),TODAY()-Registro!R693,"")</f>
        <v/>
      </c>
      <c r="I694" s="45" t="str">
        <f>IF(AND(Registro!D693="Abierto",Registro!E693="Media"),RANK(H694,$H$9:$H$1000,0)+COUNTIF($H$9:H694,H694)-1+MAX(C$5:C$1000,F$5:F$1000),"")</f>
        <v/>
      </c>
      <c r="J694" s="45" t="str">
        <f>IF(AND(Registro!D693="Abierto",Registro!E693="Baja"),Registro!B693,"")</f>
        <v/>
      </c>
      <c r="K694" s="45" t="str">
        <f ca="1">IF(AND(Registro!D693="Abierto",Registro!E693="Baja"),TODAY()-Registro!R693,"")</f>
        <v/>
      </c>
      <c r="L694" s="45" t="str">
        <f>IF(AND(Registro!D693="Abierto",Registro!E693="Baja"),RANK(K694,$K$9:$K$1000,0)+COUNTIF($K$9:K694,K694)-1+MAX(C$5:C$1000,F$5:F$1000,I$5:I$1000),"")</f>
        <v/>
      </c>
      <c r="M694" s="46" t="str">
        <f>IF(OR(Registro!D693="Resuelto",Registro!D693=""),"",SUM(C694,F694,I694,L694))</f>
        <v/>
      </c>
      <c r="N694" s="46" t="str">
        <f>IF(OR(Registro!D693="Resuelto",Registro!D693=""),"",SUM(B694,E694,H694,K694))</f>
        <v/>
      </c>
      <c r="O694" s="46" t="str">
        <f>IF(OR(Registro!D693="Resuelto",Registro!D693=""),"",_xlfn.CONCAT(A694,D694,G694,J694))</f>
        <v/>
      </c>
      <c r="P694" s="47">
        <v>686</v>
      </c>
      <c r="Q694" s="47" t="str">
        <f t="shared" ca="1" si="30"/>
        <v/>
      </c>
      <c r="R694" s="48" t="str">
        <f t="shared" ca="1" si="31"/>
        <v/>
      </c>
      <c r="S694" s="32"/>
      <c r="T694" s="32"/>
      <c r="U694" s="32"/>
      <c r="V694" s="32"/>
      <c r="W694" s="47" t="str">
        <f>IF(X694="","",MAX($W$5:W693)+1)</f>
        <v/>
      </c>
      <c r="X694" s="50" t="str">
        <f>IF(Registro!M693="","",IF(COUNTIF($X$8:X693,Registro!M693)=0,Registro!M693,""))</f>
        <v/>
      </c>
      <c r="Y694" s="50" t="str">
        <f t="shared" si="32"/>
        <v/>
      </c>
    </row>
    <row r="695" spans="1:25">
      <c r="A695" s="45" t="str">
        <f>IF(AND(Registro!D694="Abierto",Registro!E694="Urgente"),Registro!B694,"")</f>
        <v/>
      </c>
      <c r="B695" s="45" t="str">
        <f ca="1">IF(AND(Registro!D694="Abierto",Registro!E694="Urgente"),TODAY()-Registro!R694,"")</f>
        <v/>
      </c>
      <c r="C695" s="45" t="str">
        <f>IF(AND(Registro!D694="Abierto",Registro!E694="Urgente"),RANK(B695,$B$9:$B$1000,0)+COUNTIF($B$9:B695,B695)-1,"")</f>
        <v/>
      </c>
      <c r="D695" s="45" t="str">
        <f>IF(AND(Registro!D694="Abierto",Registro!E694="Alta"),Registro!B694,"")</f>
        <v/>
      </c>
      <c r="E695" s="45" t="str">
        <f ca="1">IF(AND(Registro!D694="Abierto",Registro!E694="Alta"),TODAY()-Registro!R694,"")</f>
        <v/>
      </c>
      <c r="F695" s="45" t="str">
        <f>IF(AND(Registro!D694="Abierto",Registro!E694="Alta"),RANK(E695,$E$9:$E$1000,0)+COUNTIF($E$9:E695,E695)-1+MAX(C$5:C$1000),"")</f>
        <v/>
      </c>
      <c r="G695" s="45" t="str">
        <f>IF(AND(Registro!D694="Abierto",Registro!E694="Media"),Registro!B694,"")</f>
        <v/>
      </c>
      <c r="H695" s="45" t="str">
        <f ca="1">IF(AND(Registro!D694="Abierto",Registro!E694="Media"),TODAY()-Registro!R694,"")</f>
        <v/>
      </c>
      <c r="I695" s="45" t="str">
        <f>IF(AND(Registro!D694="Abierto",Registro!E694="Media"),RANK(H695,$H$9:$H$1000,0)+COUNTIF($H$9:H695,H695)-1+MAX(C$5:C$1000,F$5:F$1000),"")</f>
        <v/>
      </c>
      <c r="J695" s="45" t="str">
        <f>IF(AND(Registro!D694="Abierto",Registro!E694="Baja"),Registro!B694,"")</f>
        <v/>
      </c>
      <c r="K695" s="45" t="str">
        <f ca="1">IF(AND(Registro!D694="Abierto",Registro!E694="Baja"),TODAY()-Registro!R694,"")</f>
        <v/>
      </c>
      <c r="L695" s="45" t="str">
        <f>IF(AND(Registro!D694="Abierto",Registro!E694="Baja"),RANK(K695,$K$9:$K$1000,0)+COUNTIF($K$9:K695,K695)-1+MAX(C$5:C$1000,F$5:F$1000,I$5:I$1000),"")</f>
        <v/>
      </c>
      <c r="M695" s="46" t="str">
        <f>IF(OR(Registro!D694="Resuelto",Registro!D694=""),"",SUM(C695,F695,I695,L695))</f>
        <v/>
      </c>
      <c r="N695" s="46" t="str">
        <f>IF(OR(Registro!D694="Resuelto",Registro!D694=""),"",SUM(B695,E695,H695,K695))</f>
        <v/>
      </c>
      <c r="O695" s="46" t="str">
        <f>IF(OR(Registro!D694="Resuelto",Registro!D694=""),"",_xlfn.CONCAT(A695,D695,G695,J695))</f>
        <v/>
      </c>
      <c r="P695" s="47">
        <v>687</v>
      </c>
      <c r="Q695" s="47" t="str">
        <f t="shared" ca="1" si="30"/>
        <v/>
      </c>
      <c r="R695" s="48" t="str">
        <f t="shared" ca="1" si="31"/>
        <v/>
      </c>
      <c r="S695" s="32"/>
      <c r="T695" s="32"/>
      <c r="U695" s="32"/>
      <c r="V695" s="32"/>
      <c r="W695" s="47" t="str">
        <f>IF(X695="","",MAX($W$5:W694)+1)</f>
        <v/>
      </c>
      <c r="X695" s="50" t="str">
        <f>IF(Registro!M694="","",IF(COUNTIF($X$8:X694,Registro!M694)=0,Registro!M694,""))</f>
        <v/>
      </c>
      <c r="Y695" s="50" t="str">
        <f t="shared" si="32"/>
        <v/>
      </c>
    </row>
    <row r="696" spans="1:25">
      <c r="A696" s="45" t="str">
        <f>IF(AND(Registro!D695="Abierto",Registro!E695="Urgente"),Registro!B695,"")</f>
        <v/>
      </c>
      <c r="B696" s="45" t="str">
        <f ca="1">IF(AND(Registro!D695="Abierto",Registro!E695="Urgente"),TODAY()-Registro!R695,"")</f>
        <v/>
      </c>
      <c r="C696" s="45" t="str">
        <f>IF(AND(Registro!D695="Abierto",Registro!E695="Urgente"),RANK(B696,$B$9:$B$1000,0)+COUNTIF($B$9:B696,B696)-1,"")</f>
        <v/>
      </c>
      <c r="D696" s="45" t="str">
        <f>IF(AND(Registro!D695="Abierto",Registro!E695="Alta"),Registro!B695,"")</f>
        <v/>
      </c>
      <c r="E696" s="45" t="str">
        <f ca="1">IF(AND(Registro!D695="Abierto",Registro!E695="Alta"),TODAY()-Registro!R695,"")</f>
        <v/>
      </c>
      <c r="F696" s="45" t="str">
        <f>IF(AND(Registro!D695="Abierto",Registro!E695="Alta"),RANK(E696,$E$9:$E$1000,0)+COUNTIF($E$9:E696,E696)-1+MAX(C$5:C$1000),"")</f>
        <v/>
      </c>
      <c r="G696" s="45" t="str">
        <f>IF(AND(Registro!D695="Abierto",Registro!E695="Media"),Registro!B695,"")</f>
        <v/>
      </c>
      <c r="H696" s="45" t="str">
        <f ca="1">IF(AND(Registro!D695="Abierto",Registro!E695="Media"),TODAY()-Registro!R695,"")</f>
        <v/>
      </c>
      <c r="I696" s="45" t="str">
        <f>IF(AND(Registro!D695="Abierto",Registro!E695="Media"),RANK(H696,$H$9:$H$1000,0)+COUNTIF($H$9:H696,H696)-1+MAX(C$5:C$1000,F$5:F$1000),"")</f>
        <v/>
      </c>
      <c r="J696" s="45" t="str">
        <f>IF(AND(Registro!D695="Abierto",Registro!E695="Baja"),Registro!B695,"")</f>
        <v/>
      </c>
      <c r="K696" s="45" t="str">
        <f ca="1">IF(AND(Registro!D695="Abierto",Registro!E695="Baja"),TODAY()-Registro!R695,"")</f>
        <v/>
      </c>
      <c r="L696" s="45" t="str">
        <f>IF(AND(Registro!D695="Abierto",Registro!E695="Baja"),RANK(K696,$K$9:$K$1000,0)+COUNTIF($K$9:K696,K696)-1+MAX(C$5:C$1000,F$5:F$1000,I$5:I$1000),"")</f>
        <v/>
      </c>
      <c r="M696" s="46" t="str">
        <f>IF(OR(Registro!D695="Resuelto",Registro!D695=""),"",SUM(C696,F696,I696,L696))</f>
        <v/>
      </c>
      <c r="N696" s="46" t="str">
        <f>IF(OR(Registro!D695="Resuelto",Registro!D695=""),"",SUM(B696,E696,H696,K696))</f>
        <v/>
      </c>
      <c r="O696" s="46" t="str">
        <f>IF(OR(Registro!D695="Resuelto",Registro!D695=""),"",_xlfn.CONCAT(A696,D696,G696,J696))</f>
        <v/>
      </c>
      <c r="P696" s="47">
        <v>688</v>
      </c>
      <c r="Q696" s="47" t="str">
        <f t="shared" ca="1" si="30"/>
        <v/>
      </c>
      <c r="R696" s="48" t="str">
        <f t="shared" ca="1" si="31"/>
        <v/>
      </c>
      <c r="S696" s="32"/>
      <c r="T696" s="32"/>
      <c r="U696" s="32"/>
      <c r="V696" s="32"/>
      <c r="W696" s="47" t="str">
        <f>IF(X696="","",MAX($W$5:W695)+1)</f>
        <v/>
      </c>
      <c r="X696" s="50" t="str">
        <f>IF(Registro!M695="","",IF(COUNTIF($X$8:X695,Registro!M695)=0,Registro!M695,""))</f>
        <v/>
      </c>
      <c r="Y696" s="50" t="str">
        <f t="shared" si="32"/>
        <v/>
      </c>
    </row>
    <row r="697" spans="1:25">
      <c r="A697" s="45" t="str">
        <f>IF(AND(Registro!D696="Abierto",Registro!E696="Urgente"),Registro!B696,"")</f>
        <v/>
      </c>
      <c r="B697" s="45" t="str">
        <f ca="1">IF(AND(Registro!D696="Abierto",Registro!E696="Urgente"),TODAY()-Registro!R696,"")</f>
        <v/>
      </c>
      <c r="C697" s="45" t="str">
        <f>IF(AND(Registro!D696="Abierto",Registro!E696="Urgente"),RANK(B697,$B$9:$B$1000,0)+COUNTIF($B$9:B697,B697)-1,"")</f>
        <v/>
      </c>
      <c r="D697" s="45" t="str">
        <f>IF(AND(Registro!D696="Abierto",Registro!E696="Alta"),Registro!B696,"")</f>
        <v/>
      </c>
      <c r="E697" s="45" t="str">
        <f ca="1">IF(AND(Registro!D696="Abierto",Registro!E696="Alta"),TODAY()-Registro!R696,"")</f>
        <v/>
      </c>
      <c r="F697" s="45" t="str">
        <f>IF(AND(Registro!D696="Abierto",Registro!E696="Alta"),RANK(E697,$E$9:$E$1000,0)+COUNTIF($E$9:E697,E697)-1+MAX(C$5:C$1000),"")</f>
        <v/>
      </c>
      <c r="G697" s="45" t="str">
        <f>IF(AND(Registro!D696="Abierto",Registro!E696="Media"),Registro!B696,"")</f>
        <v/>
      </c>
      <c r="H697" s="45" t="str">
        <f ca="1">IF(AND(Registro!D696="Abierto",Registro!E696="Media"),TODAY()-Registro!R696,"")</f>
        <v/>
      </c>
      <c r="I697" s="45" t="str">
        <f>IF(AND(Registro!D696="Abierto",Registro!E696="Media"),RANK(H697,$H$9:$H$1000,0)+COUNTIF($H$9:H697,H697)-1+MAX(C$5:C$1000,F$5:F$1000),"")</f>
        <v/>
      </c>
      <c r="J697" s="45" t="str">
        <f>IF(AND(Registro!D696="Abierto",Registro!E696="Baja"),Registro!B696,"")</f>
        <v/>
      </c>
      <c r="K697" s="45" t="str">
        <f ca="1">IF(AND(Registro!D696="Abierto",Registro!E696="Baja"),TODAY()-Registro!R696,"")</f>
        <v/>
      </c>
      <c r="L697" s="45" t="str">
        <f>IF(AND(Registro!D696="Abierto",Registro!E696="Baja"),RANK(K697,$K$9:$K$1000,0)+COUNTIF($K$9:K697,K697)-1+MAX(C$5:C$1000,F$5:F$1000,I$5:I$1000),"")</f>
        <v/>
      </c>
      <c r="M697" s="46" t="str">
        <f>IF(OR(Registro!D696="Resuelto",Registro!D696=""),"",SUM(C697,F697,I697,L697))</f>
        <v/>
      </c>
      <c r="N697" s="46" t="str">
        <f>IF(OR(Registro!D696="Resuelto",Registro!D696=""),"",SUM(B697,E697,H697,K697))</f>
        <v/>
      </c>
      <c r="O697" s="46" t="str">
        <f>IF(OR(Registro!D696="Resuelto",Registro!D696=""),"",_xlfn.CONCAT(A697,D697,G697,J697))</f>
        <v/>
      </c>
      <c r="P697" s="47">
        <v>689</v>
      </c>
      <c r="Q697" s="47" t="str">
        <f t="shared" ca="1" si="30"/>
        <v/>
      </c>
      <c r="R697" s="48" t="str">
        <f t="shared" ca="1" si="31"/>
        <v/>
      </c>
      <c r="S697" s="32"/>
      <c r="T697" s="32"/>
      <c r="U697" s="32"/>
      <c r="V697" s="32"/>
      <c r="W697" s="47" t="str">
        <f>IF(X697="","",MAX($W$5:W696)+1)</f>
        <v/>
      </c>
      <c r="X697" s="50" t="str">
        <f>IF(Registro!M696="","",IF(COUNTIF($X$8:X696,Registro!M696)=0,Registro!M696,""))</f>
        <v/>
      </c>
      <c r="Y697" s="50" t="str">
        <f t="shared" si="32"/>
        <v/>
      </c>
    </row>
    <row r="698" spans="1:25">
      <c r="A698" s="45" t="str">
        <f>IF(AND(Registro!D697="Abierto",Registro!E697="Urgente"),Registro!B697,"")</f>
        <v/>
      </c>
      <c r="B698" s="45" t="str">
        <f ca="1">IF(AND(Registro!D697="Abierto",Registro!E697="Urgente"),TODAY()-Registro!R697,"")</f>
        <v/>
      </c>
      <c r="C698" s="45" t="str">
        <f>IF(AND(Registro!D697="Abierto",Registro!E697="Urgente"),RANK(B698,$B$9:$B$1000,0)+COUNTIF($B$9:B698,B698)-1,"")</f>
        <v/>
      </c>
      <c r="D698" s="45" t="str">
        <f>IF(AND(Registro!D697="Abierto",Registro!E697="Alta"),Registro!B697,"")</f>
        <v/>
      </c>
      <c r="E698" s="45" t="str">
        <f ca="1">IF(AND(Registro!D697="Abierto",Registro!E697="Alta"),TODAY()-Registro!R697,"")</f>
        <v/>
      </c>
      <c r="F698" s="45" t="str">
        <f>IF(AND(Registro!D697="Abierto",Registro!E697="Alta"),RANK(E698,$E$9:$E$1000,0)+COUNTIF($E$9:E698,E698)-1+MAX(C$5:C$1000),"")</f>
        <v/>
      </c>
      <c r="G698" s="45" t="str">
        <f>IF(AND(Registro!D697="Abierto",Registro!E697="Media"),Registro!B697,"")</f>
        <v/>
      </c>
      <c r="H698" s="45" t="str">
        <f ca="1">IF(AND(Registro!D697="Abierto",Registro!E697="Media"),TODAY()-Registro!R697,"")</f>
        <v/>
      </c>
      <c r="I698" s="45" t="str">
        <f>IF(AND(Registro!D697="Abierto",Registro!E697="Media"),RANK(H698,$H$9:$H$1000,0)+COUNTIF($H$9:H698,H698)-1+MAX(C$5:C$1000,F$5:F$1000),"")</f>
        <v/>
      </c>
      <c r="J698" s="45" t="str">
        <f>IF(AND(Registro!D697="Abierto",Registro!E697="Baja"),Registro!B697,"")</f>
        <v/>
      </c>
      <c r="K698" s="45" t="str">
        <f ca="1">IF(AND(Registro!D697="Abierto",Registro!E697="Baja"),TODAY()-Registro!R697,"")</f>
        <v/>
      </c>
      <c r="L698" s="45" t="str">
        <f>IF(AND(Registro!D697="Abierto",Registro!E697="Baja"),RANK(K698,$K$9:$K$1000,0)+COUNTIF($K$9:K698,K698)-1+MAX(C$5:C$1000,F$5:F$1000,I$5:I$1000),"")</f>
        <v/>
      </c>
      <c r="M698" s="46" t="str">
        <f>IF(OR(Registro!D697="Resuelto",Registro!D697=""),"",SUM(C698,F698,I698,L698))</f>
        <v/>
      </c>
      <c r="N698" s="46" t="str">
        <f>IF(OR(Registro!D697="Resuelto",Registro!D697=""),"",SUM(B698,E698,H698,K698))</f>
        <v/>
      </c>
      <c r="O698" s="46" t="str">
        <f>IF(OR(Registro!D697="Resuelto",Registro!D697=""),"",_xlfn.CONCAT(A698,D698,G698,J698))</f>
        <v/>
      </c>
      <c r="P698" s="47">
        <v>690</v>
      </c>
      <c r="Q698" s="47" t="str">
        <f t="shared" ca="1" si="30"/>
        <v/>
      </c>
      <c r="R698" s="48" t="str">
        <f t="shared" ca="1" si="31"/>
        <v/>
      </c>
      <c r="S698" s="32"/>
      <c r="T698" s="32"/>
      <c r="U698" s="32"/>
      <c r="V698" s="32"/>
      <c r="W698" s="47" t="str">
        <f>IF(X698="","",MAX($W$5:W697)+1)</f>
        <v/>
      </c>
      <c r="X698" s="50" t="str">
        <f>IF(Registro!M697="","",IF(COUNTIF($X$8:X697,Registro!M697)=0,Registro!M697,""))</f>
        <v/>
      </c>
      <c r="Y698" s="50" t="str">
        <f t="shared" si="32"/>
        <v/>
      </c>
    </row>
    <row r="699" spans="1:25">
      <c r="A699" s="45" t="str">
        <f>IF(AND(Registro!D698="Abierto",Registro!E698="Urgente"),Registro!B698,"")</f>
        <v/>
      </c>
      <c r="B699" s="45" t="str">
        <f ca="1">IF(AND(Registro!D698="Abierto",Registro!E698="Urgente"),TODAY()-Registro!R698,"")</f>
        <v/>
      </c>
      <c r="C699" s="45" t="str">
        <f>IF(AND(Registro!D698="Abierto",Registro!E698="Urgente"),RANK(B699,$B$9:$B$1000,0)+COUNTIF($B$9:B699,B699)-1,"")</f>
        <v/>
      </c>
      <c r="D699" s="45" t="str">
        <f>IF(AND(Registro!D698="Abierto",Registro!E698="Alta"),Registro!B698,"")</f>
        <v/>
      </c>
      <c r="E699" s="45" t="str">
        <f ca="1">IF(AND(Registro!D698="Abierto",Registro!E698="Alta"),TODAY()-Registro!R698,"")</f>
        <v/>
      </c>
      <c r="F699" s="45" t="str">
        <f>IF(AND(Registro!D698="Abierto",Registro!E698="Alta"),RANK(E699,$E$9:$E$1000,0)+COUNTIF($E$9:E699,E699)-1+MAX(C$5:C$1000),"")</f>
        <v/>
      </c>
      <c r="G699" s="45" t="str">
        <f>IF(AND(Registro!D698="Abierto",Registro!E698="Media"),Registro!B698,"")</f>
        <v/>
      </c>
      <c r="H699" s="45" t="str">
        <f ca="1">IF(AND(Registro!D698="Abierto",Registro!E698="Media"),TODAY()-Registro!R698,"")</f>
        <v/>
      </c>
      <c r="I699" s="45" t="str">
        <f>IF(AND(Registro!D698="Abierto",Registro!E698="Media"),RANK(H699,$H$9:$H$1000,0)+COUNTIF($H$9:H699,H699)-1+MAX(C$5:C$1000,F$5:F$1000),"")</f>
        <v/>
      </c>
      <c r="J699" s="45" t="str">
        <f>IF(AND(Registro!D698="Abierto",Registro!E698="Baja"),Registro!B698,"")</f>
        <v/>
      </c>
      <c r="K699" s="45" t="str">
        <f ca="1">IF(AND(Registro!D698="Abierto",Registro!E698="Baja"),TODAY()-Registro!R698,"")</f>
        <v/>
      </c>
      <c r="L699" s="45" t="str">
        <f>IF(AND(Registro!D698="Abierto",Registro!E698="Baja"),RANK(K699,$K$9:$K$1000,0)+COUNTIF($K$9:K699,K699)-1+MAX(C$5:C$1000,F$5:F$1000,I$5:I$1000),"")</f>
        <v/>
      </c>
      <c r="M699" s="46" t="str">
        <f>IF(OR(Registro!D698="Resuelto",Registro!D698=""),"",SUM(C699,F699,I699,L699))</f>
        <v/>
      </c>
      <c r="N699" s="46" t="str">
        <f>IF(OR(Registro!D698="Resuelto",Registro!D698=""),"",SUM(B699,E699,H699,K699))</f>
        <v/>
      </c>
      <c r="O699" s="46" t="str">
        <f>IF(OR(Registro!D698="Resuelto",Registro!D698=""),"",_xlfn.CONCAT(A699,D699,G699,J699))</f>
        <v/>
      </c>
      <c r="P699" s="47">
        <v>691</v>
      </c>
      <c r="Q699" s="47" t="str">
        <f t="shared" ca="1" si="30"/>
        <v/>
      </c>
      <c r="R699" s="48" t="str">
        <f t="shared" ca="1" si="31"/>
        <v/>
      </c>
      <c r="S699" s="32"/>
      <c r="T699" s="32"/>
      <c r="U699" s="32"/>
      <c r="V699" s="32"/>
      <c r="W699" s="47" t="str">
        <f>IF(X699="","",MAX($W$5:W698)+1)</f>
        <v/>
      </c>
      <c r="X699" s="50" t="str">
        <f>IF(Registro!M698="","",IF(COUNTIF($X$8:X698,Registro!M698)=0,Registro!M698,""))</f>
        <v/>
      </c>
      <c r="Y699" s="50" t="str">
        <f t="shared" si="32"/>
        <v/>
      </c>
    </row>
    <row r="700" spans="1:25">
      <c r="A700" s="45" t="str">
        <f>IF(AND(Registro!D699="Abierto",Registro!E699="Urgente"),Registro!B699,"")</f>
        <v/>
      </c>
      <c r="B700" s="45" t="str">
        <f ca="1">IF(AND(Registro!D699="Abierto",Registro!E699="Urgente"),TODAY()-Registro!R699,"")</f>
        <v/>
      </c>
      <c r="C700" s="45" t="str">
        <f>IF(AND(Registro!D699="Abierto",Registro!E699="Urgente"),RANK(B700,$B$9:$B$1000,0)+COUNTIF($B$9:B700,B700)-1,"")</f>
        <v/>
      </c>
      <c r="D700" s="45" t="str">
        <f>IF(AND(Registro!D699="Abierto",Registro!E699="Alta"),Registro!B699,"")</f>
        <v/>
      </c>
      <c r="E700" s="45" t="str">
        <f ca="1">IF(AND(Registro!D699="Abierto",Registro!E699="Alta"),TODAY()-Registro!R699,"")</f>
        <v/>
      </c>
      <c r="F700" s="45" t="str">
        <f>IF(AND(Registro!D699="Abierto",Registro!E699="Alta"),RANK(E700,$E$9:$E$1000,0)+COUNTIF($E$9:E700,E700)-1+MAX(C$5:C$1000),"")</f>
        <v/>
      </c>
      <c r="G700" s="45" t="str">
        <f>IF(AND(Registro!D699="Abierto",Registro!E699="Media"),Registro!B699,"")</f>
        <v/>
      </c>
      <c r="H700" s="45" t="str">
        <f ca="1">IF(AND(Registro!D699="Abierto",Registro!E699="Media"),TODAY()-Registro!R699,"")</f>
        <v/>
      </c>
      <c r="I700" s="45" t="str">
        <f>IF(AND(Registro!D699="Abierto",Registro!E699="Media"),RANK(H700,$H$9:$H$1000,0)+COUNTIF($H$9:H700,H700)-1+MAX(C$5:C$1000,F$5:F$1000),"")</f>
        <v/>
      </c>
      <c r="J700" s="45" t="str">
        <f>IF(AND(Registro!D699="Abierto",Registro!E699="Baja"),Registro!B699,"")</f>
        <v/>
      </c>
      <c r="K700" s="45" t="str">
        <f ca="1">IF(AND(Registro!D699="Abierto",Registro!E699="Baja"),TODAY()-Registro!R699,"")</f>
        <v/>
      </c>
      <c r="L700" s="45" t="str">
        <f>IF(AND(Registro!D699="Abierto",Registro!E699="Baja"),RANK(K700,$K$9:$K$1000,0)+COUNTIF($K$9:K700,K700)-1+MAX(C$5:C$1000,F$5:F$1000,I$5:I$1000),"")</f>
        <v/>
      </c>
      <c r="M700" s="46" t="str">
        <f>IF(OR(Registro!D699="Resuelto",Registro!D699=""),"",SUM(C700,F700,I700,L700))</f>
        <v/>
      </c>
      <c r="N700" s="46" t="str">
        <f>IF(OR(Registro!D699="Resuelto",Registro!D699=""),"",SUM(B700,E700,H700,K700))</f>
        <v/>
      </c>
      <c r="O700" s="46" t="str">
        <f>IF(OR(Registro!D699="Resuelto",Registro!D699=""),"",_xlfn.CONCAT(A700,D700,G700,J700))</f>
        <v/>
      </c>
      <c r="P700" s="47">
        <v>692</v>
      </c>
      <c r="Q700" s="47" t="str">
        <f t="shared" ca="1" si="30"/>
        <v/>
      </c>
      <c r="R700" s="48" t="str">
        <f t="shared" ca="1" si="31"/>
        <v/>
      </c>
      <c r="S700" s="32"/>
      <c r="T700" s="32"/>
      <c r="U700" s="32"/>
      <c r="V700" s="32"/>
      <c r="W700" s="47" t="str">
        <f>IF(X700="","",MAX($W$5:W699)+1)</f>
        <v/>
      </c>
      <c r="X700" s="50" t="str">
        <f>IF(Registro!M699="","",IF(COUNTIF($X$8:X699,Registro!M699)=0,Registro!M699,""))</f>
        <v/>
      </c>
      <c r="Y700" s="50" t="str">
        <f t="shared" si="32"/>
        <v/>
      </c>
    </row>
    <row r="701" spans="1:25">
      <c r="A701" s="45" t="str">
        <f>IF(AND(Registro!D700="Abierto",Registro!E700="Urgente"),Registro!B700,"")</f>
        <v/>
      </c>
      <c r="B701" s="45" t="str">
        <f ca="1">IF(AND(Registro!D700="Abierto",Registro!E700="Urgente"),TODAY()-Registro!R700,"")</f>
        <v/>
      </c>
      <c r="C701" s="45" t="str">
        <f>IF(AND(Registro!D700="Abierto",Registro!E700="Urgente"),RANK(B701,$B$9:$B$1000,0)+COUNTIF($B$9:B701,B701)-1,"")</f>
        <v/>
      </c>
      <c r="D701" s="45" t="str">
        <f>IF(AND(Registro!D700="Abierto",Registro!E700="Alta"),Registro!B700,"")</f>
        <v/>
      </c>
      <c r="E701" s="45" t="str">
        <f ca="1">IF(AND(Registro!D700="Abierto",Registro!E700="Alta"),TODAY()-Registro!R700,"")</f>
        <v/>
      </c>
      <c r="F701" s="45" t="str">
        <f>IF(AND(Registro!D700="Abierto",Registro!E700="Alta"),RANK(E701,$E$9:$E$1000,0)+COUNTIF($E$9:E701,E701)-1+MAX(C$5:C$1000),"")</f>
        <v/>
      </c>
      <c r="G701" s="45" t="str">
        <f>IF(AND(Registro!D700="Abierto",Registro!E700="Media"),Registro!B700,"")</f>
        <v/>
      </c>
      <c r="H701" s="45" t="str">
        <f ca="1">IF(AND(Registro!D700="Abierto",Registro!E700="Media"),TODAY()-Registro!R700,"")</f>
        <v/>
      </c>
      <c r="I701" s="45" t="str">
        <f>IF(AND(Registro!D700="Abierto",Registro!E700="Media"),RANK(H701,$H$9:$H$1000,0)+COUNTIF($H$9:H701,H701)-1+MAX(C$5:C$1000,F$5:F$1000),"")</f>
        <v/>
      </c>
      <c r="J701" s="45" t="str">
        <f>IF(AND(Registro!D700="Abierto",Registro!E700="Baja"),Registro!B700,"")</f>
        <v/>
      </c>
      <c r="K701" s="45" t="str">
        <f ca="1">IF(AND(Registro!D700="Abierto",Registro!E700="Baja"),TODAY()-Registro!R700,"")</f>
        <v/>
      </c>
      <c r="L701" s="45" t="str">
        <f>IF(AND(Registro!D700="Abierto",Registro!E700="Baja"),RANK(K701,$K$9:$K$1000,0)+COUNTIF($K$9:K701,K701)-1+MAX(C$5:C$1000,F$5:F$1000,I$5:I$1000),"")</f>
        <v/>
      </c>
      <c r="M701" s="46" t="str">
        <f>IF(OR(Registro!D700="Resuelto",Registro!D700=""),"",SUM(C701,F701,I701,L701))</f>
        <v/>
      </c>
      <c r="N701" s="46" t="str">
        <f>IF(OR(Registro!D700="Resuelto",Registro!D700=""),"",SUM(B701,E701,H701,K701))</f>
        <v/>
      </c>
      <c r="O701" s="46" t="str">
        <f>IF(OR(Registro!D700="Resuelto",Registro!D700=""),"",_xlfn.CONCAT(A701,D701,G701,J701))</f>
        <v/>
      </c>
      <c r="P701" s="47">
        <v>693</v>
      </c>
      <c r="Q701" s="47" t="str">
        <f t="shared" ca="1" si="30"/>
        <v/>
      </c>
      <c r="R701" s="48" t="str">
        <f t="shared" ca="1" si="31"/>
        <v/>
      </c>
      <c r="S701" s="32"/>
      <c r="T701" s="32"/>
      <c r="U701" s="32"/>
      <c r="V701" s="32"/>
      <c r="W701" s="47" t="str">
        <f>IF(X701="","",MAX($W$5:W700)+1)</f>
        <v/>
      </c>
      <c r="X701" s="50" t="str">
        <f>IF(Registro!M700="","",IF(COUNTIF($X$8:X700,Registro!M700)=0,Registro!M700,""))</f>
        <v/>
      </c>
      <c r="Y701" s="50" t="str">
        <f t="shared" si="32"/>
        <v/>
      </c>
    </row>
    <row r="702" spans="1:25">
      <c r="A702" s="45" t="str">
        <f>IF(AND(Registro!D701="Abierto",Registro!E701="Urgente"),Registro!B701,"")</f>
        <v/>
      </c>
      <c r="B702" s="45" t="str">
        <f ca="1">IF(AND(Registro!D701="Abierto",Registro!E701="Urgente"),TODAY()-Registro!R701,"")</f>
        <v/>
      </c>
      <c r="C702" s="45" t="str">
        <f>IF(AND(Registro!D701="Abierto",Registro!E701="Urgente"),RANK(B702,$B$9:$B$1000,0)+COUNTIF($B$9:B702,B702)-1,"")</f>
        <v/>
      </c>
      <c r="D702" s="45" t="str">
        <f>IF(AND(Registro!D701="Abierto",Registro!E701="Alta"),Registro!B701,"")</f>
        <v/>
      </c>
      <c r="E702" s="45" t="str">
        <f ca="1">IF(AND(Registro!D701="Abierto",Registro!E701="Alta"),TODAY()-Registro!R701,"")</f>
        <v/>
      </c>
      <c r="F702" s="45" t="str">
        <f>IF(AND(Registro!D701="Abierto",Registro!E701="Alta"),RANK(E702,$E$9:$E$1000,0)+COUNTIF($E$9:E702,E702)-1+MAX(C$5:C$1000),"")</f>
        <v/>
      </c>
      <c r="G702" s="45" t="str">
        <f>IF(AND(Registro!D701="Abierto",Registro!E701="Media"),Registro!B701,"")</f>
        <v/>
      </c>
      <c r="H702" s="45" t="str">
        <f ca="1">IF(AND(Registro!D701="Abierto",Registro!E701="Media"),TODAY()-Registro!R701,"")</f>
        <v/>
      </c>
      <c r="I702" s="45" t="str">
        <f>IF(AND(Registro!D701="Abierto",Registro!E701="Media"),RANK(H702,$H$9:$H$1000,0)+COUNTIF($H$9:H702,H702)-1+MAX(C$5:C$1000,F$5:F$1000),"")</f>
        <v/>
      </c>
      <c r="J702" s="45" t="str">
        <f>IF(AND(Registro!D701="Abierto",Registro!E701="Baja"),Registro!B701,"")</f>
        <v/>
      </c>
      <c r="K702" s="45" t="str">
        <f ca="1">IF(AND(Registro!D701="Abierto",Registro!E701="Baja"),TODAY()-Registro!R701,"")</f>
        <v/>
      </c>
      <c r="L702" s="45" t="str">
        <f>IF(AND(Registro!D701="Abierto",Registro!E701="Baja"),RANK(K702,$K$9:$K$1000,0)+COUNTIF($K$9:K702,K702)-1+MAX(C$5:C$1000,F$5:F$1000,I$5:I$1000),"")</f>
        <v/>
      </c>
      <c r="M702" s="46" t="str">
        <f>IF(OR(Registro!D701="Resuelto",Registro!D701=""),"",SUM(C702,F702,I702,L702))</f>
        <v/>
      </c>
      <c r="N702" s="46" t="str">
        <f>IF(OR(Registro!D701="Resuelto",Registro!D701=""),"",SUM(B702,E702,H702,K702))</f>
        <v/>
      </c>
      <c r="O702" s="46" t="str">
        <f>IF(OR(Registro!D701="Resuelto",Registro!D701=""),"",_xlfn.CONCAT(A702,D702,G702,J702))</f>
        <v/>
      </c>
      <c r="P702" s="47">
        <v>694</v>
      </c>
      <c r="Q702" s="47" t="str">
        <f t="shared" ca="1" si="30"/>
        <v/>
      </c>
      <c r="R702" s="48" t="str">
        <f t="shared" ca="1" si="31"/>
        <v/>
      </c>
      <c r="S702" s="32"/>
      <c r="T702" s="32"/>
      <c r="U702" s="32"/>
      <c r="V702" s="32"/>
      <c r="W702" s="47" t="str">
        <f>IF(X702="","",MAX($W$5:W701)+1)</f>
        <v/>
      </c>
      <c r="X702" s="50" t="str">
        <f>IF(Registro!M701="","",IF(COUNTIF($X$8:X701,Registro!M701)=0,Registro!M701,""))</f>
        <v/>
      </c>
      <c r="Y702" s="50" t="str">
        <f t="shared" si="32"/>
        <v/>
      </c>
    </row>
    <row r="703" spans="1:25">
      <c r="A703" s="45" t="str">
        <f>IF(AND(Registro!D702="Abierto",Registro!E702="Urgente"),Registro!B702,"")</f>
        <v/>
      </c>
      <c r="B703" s="45" t="str">
        <f ca="1">IF(AND(Registro!D702="Abierto",Registro!E702="Urgente"),TODAY()-Registro!R702,"")</f>
        <v/>
      </c>
      <c r="C703" s="45" t="str">
        <f>IF(AND(Registro!D702="Abierto",Registro!E702="Urgente"),RANK(B703,$B$9:$B$1000,0)+COUNTIF($B$9:B703,B703)-1,"")</f>
        <v/>
      </c>
      <c r="D703" s="45" t="str">
        <f>IF(AND(Registro!D702="Abierto",Registro!E702="Alta"),Registro!B702,"")</f>
        <v/>
      </c>
      <c r="E703" s="45" t="str">
        <f ca="1">IF(AND(Registro!D702="Abierto",Registro!E702="Alta"),TODAY()-Registro!R702,"")</f>
        <v/>
      </c>
      <c r="F703" s="45" t="str">
        <f>IF(AND(Registro!D702="Abierto",Registro!E702="Alta"),RANK(E703,$E$9:$E$1000,0)+COUNTIF($E$9:E703,E703)-1+MAX(C$5:C$1000),"")</f>
        <v/>
      </c>
      <c r="G703" s="45" t="str">
        <f>IF(AND(Registro!D702="Abierto",Registro!E702="Media"),Registro!B702,"")</f>
        <v/>
      </c>
      <c r="H703" s="45" t="str">
        <f ca="1">IF(AND(Registro!D702="Abierto",Registro!E702="Media"),TODAY()-Registro!R702,"")</f>
        <v/>
      </c>
      <c r="I703" s="45" t="str">
        <f>IF(AND(Registro!D702="Abierto",Registro!E702="Media"),RANK(H703,$H$9:$H$1000,0)+COUNTIF($H$9:H703,H703)-1+MAX(C$5:C$1000,F$5:F$1000),"")</f>
        <v/>
      </c>
      <c r="J703" s="45" t="str">
        <f>IF(AND(Registro!D702="Abierto",Registro!E702="Baja"),Registro!B702,"")</f>
        <v/>
      </c>
      <c r="K703" s="45" t="str">
        <f ca="1">IF(AND(Registro!D702="Abierto",Registro!E702="Baja"),TODAY()-Registro!R702,"")</f>
        <v/>
      </c>
      <c r="L703" s="45" t="str">
        <f>IF(AND(Registro!D702="Abierto",Registro!E702="Baja"),RANK(K703,$K$9:$K$1000,0)+COUNTIF($K$9:K703,K703)-1+MAX(C$5:C$1000,F$5:F$1000,I$5:I$1000),"")</f>
        <v/>
      </c>
      <c r="M703" s="46" t="str">
        <f>IF(OR(Registro!D702="Resuelto",Registro!D702=""),"",SUM(C703,F703,I703,L703))</f>
        <v/>
      </c>
      <c r="N703" s="46" t="str">
        <f>IF(OR(Registro!D702="Resuelto",Registro!D702=""),"",SUM(B703,E703,H703,K703))</f>
        <v/>
      </c>
      <c r="O703" s="46" t="str">
        <f>IF(OR(Registro!D702="Resuelto",Registro!D702=""),"",_xlfn.CONCAT(A703,D703,G703,J703))</f>
        <v/>
      </c>
      <c r="P703" s="47">
        <v>695</v>
      </c>
      <c r="Q703" s="47" t="str">
        <f t="shared" ca="1" si="30"/>
        <v/>
      </c>
      <c r="R703" s="48" t="str">
        <f t="shared" ca="1" si="31"/>
        <v/>
      </c>
      <c r="S703" s="32"/>
      <c r="T703" s="32"/>
      <c r="U703" s="32"/>
      <c r="V703" s="32"/>
      <c r="W703" s="47" t="str">
        <f>IF(X703="","",MAX($W$5:W702)+1)</f>
        <v/>
      </c>
      <c r="X703" s="50" t="str">
        <f>IF(Registro!M702="","",IF(COUNTIF($X$8:X702,Registro!M702)=0,Registro!M702,""))</f>
        <v/>
      </c>
      <c r="Y703" s="50" t="str">
        <f t="shared" si="32"/>
        <v/>
      </c>
    </row>
    <row r="704" spans="1:25">
      <c r="A704" s="45" t="str">
        <f>IF(AND(Registro!D703="Abierto",Registro!E703="Urgente"),Registro!B703,"")</f>
        <v/>
      </c>
      <c r="B704" s="45" t="str">
        <f ca="1">IF(AND(Registro!D703="Abierto",Registro!E703="Urgente"),TODAY()-Registro!R703,"")</f>
        <v/>
      </c>
      <c r="C704" s="45" t="str">
        <f>IF(AND(Registro!D703="Abierto",Registro!E703="Urgente"),RANK(B704,$B$9:$B$1000,0)+COUNTIF($B$9:B704,B704)-1,"")</f>
        <v/>
      </c>
      <c r="D704" s="45" t="str">
        <f>IF(AND(Registro!D703="Abierto",Registro!E703="Alta"),Registro!B703,"")</f>
        <v/>
      </c>
      <c r="E704" s="45" t="str">
        <f ca="1">IF(AND(Registro!D703="Abierto",Registro!E703="Alta"),TODAY()-Registro!R703,"")</f>
        <v/>
      </c>
      <c r="F704" s="45" t="str">
        <f>IF(AND(Registro!D703="Abierto",Registro!E703="Alta"),RANK(E704,$E$9:$E$1000,0)+COUNTIF($E$9:E704,E704)-1+MAX(C$5:C$1000),"")</f>
        <v/>
      </c>
      <c r="G704" s="45" t="str">
        <f>IF(AND(Registro!D703="Abierto",Registro!E703="Media"),Registro!B703,"")</f>
        <v/>
      </c>
      <c r="H704" s="45" t="str">
        <f ca="1">IF(AND(Registro!D703="Abierto",Registro!E703="Media"),TODAY()-Registro!R703,"")</f>
        <v/>
      </c>
      <c r="I704" s="45" t="str">
        <f>IF(AND(Registro!D703="Abierto",Registro!E703="Media"),RANK(H704,$H$9:$H$1000,0)+COUNTIF($H$9:H704,H704)-1+MAX(C$5:C$1000,F$5:F$1000),"")</f>
        <v/>
      </c>
      <c r="J704" s="45" t="str">
        <f>IF(AND(Registro!D703="Abierto",Registro!E703="Baja"),Registro!B703,"")</f>
        <v/>
      </c>
      <c r="K704" s="45" t="str">
        <f ca="1">IF(AND(Registro!D703="Abierto",Registro!E703="Baja"),TODAY()-Registro!R703,"")</f>
        <v/>
      </c>
      <c r="L704" s="45" t="str">
        <f>IF(AND(Registro!D703="Abierto",Registro!E703="Baja"),RANK(K704,$K$9:$K$1000,0)+COUNTIF($K$9:K704,K704)-1+MAX(C$5:C$1000,F$5:F$1000,I$5:I$1000),"")</f>
        <v/>
      </c>
      <c r="M704" s="46" t="str">
        <f>IF(OR(Registro!D703="Resuelto",Registro!D703=""),"",SUM(C704,F704,I704,L704))</f>
        <v/>
      </c>
      <c r="N704" s="46" t="str">
        <f>IF(OR(Registro!D703="Resuelto",Registro!D703=""),"",SUM(B704,E704,H704,K704))</f>
        <v/>
      </c>
      <c r="O704" s="46" t="str">
        <f>IF(OR(Registro!D703="Resuelto",Registro!D703=""),"",_xlfn.CONCAT(A704,D704,G704,J704))</f>
        <v/>
      </c>
      <c r="P704" s="47">
        <v>696</v>
      </c>
      <c r="Q704" s="47" t="str">
        <f t="shared" ca="1" si="30"/>
        <v/>
      </c>
      <c r="R704" s="48" t="str">
        <f t="shared" ca="1" si="31"/>
        <v/>
      </c>
      <c r="S704" s="32"/>
      <c r="T704" s="32"/>
      <c r="U704" s="32"/>
      <c r="V704" s="32"/>
      <c r="W704" s="47" t="str">
        <f>IF(X704="","",MAX($W$5:W703)+1)</f>
        <v/>
      </c>
      <c r="X704" s="50" t="str">
        <f>IF(Registro!M703="","",IF(COUNTIF($X$8:X703,Registro!M703)=0,Registro!M703,""))</f>
        <v/>
      </c>
      <c r="Y704" s="50" t="str">
        <f t="shared" si="32"/>
        <v/>
      </c>
    </row>
    <row r="705" spans="1:25">
      <c r="A705" s="45" t="str">
        <f>IF(AND(Registro!D704="Abierto",Registro!E704="Urgente"),Registro!B704,"")</f>
        <v/>
      </c>
      <c r="B705" s="45" t="str">
        <f ca="1">IF(AND(Registro!D704="Abierto",Registro!E704="Urgente"),TODAY()-Registro!R704,"")</f>
        <v/>
      </c>
      <c r="C705" s="45" t="str">
        <f>IF(AND(Registro!D704="Abierto",Registro!E704="Urgente"),RANK(B705,$B$9:$B$1000,0)+COUNTIF($B$9:B705,B705)-1,"")</f>
        <v/>
      </c>
      <c r="D705" s="45" t="str">
        <f>IF(AND(Registro!D704="Abierto",Registro!E704="Alta"),Registro!B704,"")</f>
        <v/>
      </c>
      <c r="E705" s="45" t="str">
        <f ca="1">IF(AND(Registro!D704="Abierto",Registro!E704="Alta"),TODAY()-Registro!R704,"")</f>
        <v/>
      </c>
      <c r="F705" s="45" t="str">
        <f>IF(AND(Registro!D704="Abierto",Registro!E704="Alta"),RANK(E705,$E$9:$E$1000,0)+COUNTIF($E$9:E705,E705)-1+MAX(C$5:C$1000),"")</f>
        <v/>
      </c>
      <c r="G705" s="45" t="str">
        <f>IF(AND(Registro!D704="Abierto",Registro!E704="Media"),Registro!B704,"")</f>
        <v/>
      </c>
      <c r="H705" s="45" t="str">
        <f ca="1">IF(AND(Registro!D704="Abierto",Registro!E704="Media"),TODAY()-Registro!R704,"")</f>
        <v/>
      </c>
      <c r="I705" s="45" t="str">
        <f>IF(AND(Registro!D704="Abierto",Registro!E704="Media"),RANK(H705,$H$9:$H$1000,0)+COUNTIF($H$9:H705,H705)-1+MAX(C$5:C$1000,F$5:F$1000),"")</f>
        <v/>
      </c>
      <c r="J705" s="45" t="str">
        <f>IF(AND(Registro!D704="Abierto",Registro!E704="Baja"),Registro!B704,"")</f>
        <v/>
      </c>
      <c r="K705" s="45" t="str">
        <f ca="1">IF(AND(Registro!D704="Abierto",Registro!E704="Baja"),TODAY()-Registro!R704,"")</f>
        <v/>
      </c>
      <c r="L705" s="45" t="str">
        <f>IF(AND(Registro!D704="Abierto",Registro!E704="Baja"),RANK(K705,$K$9:$K$1000,0)+COUNTIF($K$9:K705,K705)-1+MAX(C$5:C$1000,F$5:F$1000,I$5:I$1000),"")</f>
        <v/>
      </c>
      <c r="M705" s="46" t="str">
        <f>IF(OR(Registro!D704="Resuelto",Registro!D704=""),"",SUM(C705,F705,I705,L705))</f>
        <v/>
      </c>
      <c r="N705" s="46" t="str">
        <f>IF(OR(Registro!D704="Resuelto",Registro!D704=""),"",SUM(B705,E705,H705,K705))</f>
        <v/>
      </c>
      <c r="O705" s="46" t="str">
        <f>IF(OR(Registro!D704="Resuelto",Registro!D704=""),"",_xlfn.CONCAT(A705,D705,G705,J705))</f>
        <v/>
      </c>
      <c r="P705" s="47">
        <v>697</v>
      </c>
      <c r="Q705" s="47" t="str">
        <f t="shared" ca="1" si="30"/>
        <v/>
      </c>
      <c r="R705" s="48" t="str">
        <f t="shared" ca="1" si="31"/>
        <v/>
      </c>
      <c r="S705" s="32"/>
      <c r="T705" s="32"/>
      <c r="U705" s="32"/>
      <c r="V705" s="32"/>
      <c r="W705" s="47" t="str">
        <f>IF(X705="","",MAX($W$5:W704)+1)</f>
        <v/>
      </c>
      <c r="X705" s="50" t="str">
        <f>IF(Registro!M704="","",IF(COUNTIF($X$8:X704,Registro!M704)=0,Registro!M704,""))</f>
        <v/>
      </c>
      <c r="Y705" s="50" t="str">
        <f t="shared" si="32"/>
        <v/>
      </c>
    </row>
    <row r="706" spans="1:25">
      <c r="A706" s="45" t="str">
        <f>IF(AND(Registro!D705="Abierto",Registro!E705="Urgente"),Registro!B705,"")</f>
        <v/>
      </c>
      <c r="B706" s="45" t="str">
        <f ca="1">IF(AND(Registro!D705="Abierto",Registro!E705="Urgente"),TODAY()-Registro!R705,"")</f>
        <v/>
      </c>
      <c r="C706" s="45" t="str">
        <f>IF(AND(Registro!D705="Abierto",Registro!E705="Urgente"),RANK(B706,$B$9:$B$1000,0)+COUNTIF($B$9:B706,B706)-1,"")</f>
        <v/>
      </c>
      <c r="D706" s="45" t="str">
        <f>IF(AND(Registro!D705="Abierto",Registro!E705="Alta"),Registro!B705,"")</f>
        <v/>
      </c>
      <c r="E706" s="45" t="str">
        <f ca="1">IF(AND(Registro!D705="Abierto",Registro!E705="Alta"),TODAY()-Registro!R705,"")</f>
        <v/>
      </c>
      <c r="F706" s="45" t="str">
        <f>IF(AND(Registro!D705="Abierto",Registro!E705="Alta"),RANK(E706,$E$9:$E$1000,0)+COUNTIF($E$9:E706,E706)-1+MAX(C$5:C$1000),"")</f>
        <v/>
      </c>
      <c r="G706" s="45" t="str">
        <f>IF(AND(Registro!D705="Abierto",Registro!E705="Media"),Registro!B705,"")</f>
        <v/>
      </c>
      <c r="H706" s="45" t="str">
        <f ca="1">IF(AND(Registro!D705="Abierto",Registro!E705="Media"),TODAY()-Registro!R705,"")</f>
        <v/>
      </c>
      <c r="I706" s="45" t="str">
        <f>IF(AND(Registro!D705="Abierto",Registro!E705="Media"),RANK(H706,$H$9:$H$1000,0)+COUNTIF($H$9:H706,H706)-1+MAX(C$5:C$1000,F$5:F$1000),"")</f>
        <v/>
      </c>
      <c r="J706" s="45" t="str">
        <f>IF(AND(Registro!D705="Abierto",Registro!E705="Baja"),Registro!B705,"")</f>
        <v/>
      </c>
      <c r="K706" s="45" t="str">
        <f ca="1">IF(AND(Registro!D705="Abierto",Registro!E705="Baja"),TODAY()-Registro!R705,"")</f>
        <v/>
      </c>
      <c r="L706" s="45" t="str">
        <f>IF(AND(Registro!D705="Abierto",Registro!E705="Baja"),RANK(K706,$K$9:$K$1000,0)+COUNTIF($K$9:K706,K706)-1+MAX(C$5:C$1000,F$5:F$1000,I$5:I$1000),"")</f>
        <v/>
      </c>
      <c r="M706" s="46" t="str">
        <f>IF(OR(Registro!D705="Resuelto",Registro!D705=""),"",SUM(C706,F706,I706,L706))</f>
        <v/>
      </c>
      <c r="N706" s="46" t="str">
        <f>IF(OR(Registro!D705="Resuelto",Registro!D705=""),"",SUM(B706,E706,H706,K706))</f>
        <v/>
      </c>
      <c r="O706" s="46" t="str">
        <f>IF(OR(Registro!D705="Resuelto",Registro!D705=""),"",_xlfn.CONCAT(A706,D706,G706,J706))</f>
        <v/>
      </c>
      <c r="P706" s="47">
        <v>698</v>
      </c>
      <c r="Q706" s="47" t="str">
        <f t="shared" ca="1" si="30"/>
        <v/>
      </c>
      <c r="R706" s="48" t="str">
        <f t="shared" ca="1" si="31"/>
        <v/>
      </c>
      <c r="S706" s="32"/>
      <c r="T706" s="32"/>
      <c r="U706" s="32"/>
      <c r="V706" s="32"/>
      <c r="W706" s="47" t="str">
        <f>IF(X706="","",MAX($W$5:W705)+1)</f>
        <v/>
      </c>
      <c r="X706" s="50" t="str">
        <f>IF(Registro!M705="","",IF(COUNTIF($X$8:X705,Registro!M705)=0,Registro!M705,""))</f>
        <v/>
      </c>
      <c r="Y706" s="50" t="str">
        <f t="shared" si="32"/>
        <v/>
      </c>
    </row>
    <row r="707" spans="1:25">
      <c r="A707" s="45" t="str">
        <f>IF(AND(Registro!D706="Abierto",Registro!E706="Urgente"),Registro!B706,"")</f>
        <v/>
      </c>
      <c r="B707" s="45" t="str">
        <f ca="1">IF(AND(Registro!D706="Abierto",Registro!E706="Urgente"),TODAY()-Registro!R706,"")</f>
        <v/>
      </c>
      <c r="C707" s="45" t="str">
        <f>IF(AND(Registro!D706="Abierto",Registro!E706="Urgente"),RANK(B707,$B$9:$B$1000,0)+COUNTIF($B$9:B707,B707)-1,"")</f>
        <v/>
      </c>
      <c r="D707" s="45" t="str">
        <f>IF(AND(Registro!D706="Abierto",Registro!E706="Alta"),Registro!B706,"")</f>
        <v/>
      </c>
      <c r="E707" s="45" t="str">
        <f ca="1">IF(AND(Registro!D706="Abierto",Registro!E706="Alta"),TODAY()-Registro!R706,"")</f>
        <v/>
      </c>
      <c r="F707" s="45" t="str">
        <f>IF(AND(Registro!D706="Abierto",Registro!E706="Alta"),RANK(E707,$E$9:$E$1000,0)+COUNTIF($E$9:E707,E707)-1+MAX(C$5:C$1000),"")</f>
        <v/>
      </c>
      <c r="G707" s="45" t="str">
        <f>IF(AND(Registro!D706="Abierto",Registro!E706="Media"),Registro!B706,"")</f>
        <v/>
      </c>
      <c r="H707" s="45" t="str">
        <f ca="1">IF(AND(Registro!D706="Abierto",Registro!E706="Media"),TODAY()-Registro!R706,"")</f>
        <v/>
      </c>
      <c r="I707" s="45" t="str">
        <f>IF(AND(Registro!D706="Abierto",Registro!E706="Media"),RANK(H707,$H$9:$H$1000,0)+COUNTIF($H$9:H707,H707)-1+MAX(C$5:C$1000,F$5:F$1000),"")</f>
        <v/>
      </c>
      <c r="J707" s="45" t="str">
        <f>IF(AND(Registro!D706="Abierto",Registro!E706="Baja"),Registro!B706,"")</f>
        <v/>
      </c>
      <c r="K707" s="45" t="str">
        <f ca="1">IF(AND(Registro!D706="Abierto",Registro!E706="Baja"),TODAY()-Registro!R706,"")</f>
        <v/>
      </c>
      <c r="L707" s="45" t="str">
        <f>IF(AND(Registro!D706="Abierto",Registro!E706="Baja"),RANK(K707,$K$9:$K$1000,0)+COUNTIF($K$9:K707,K707)-1+MAX(C$5:C$1000,F$5:F$1000,I$5:I$1000),"")</f>
        <v/>
      </c>
      <c r="M707" s="46" t="str">
        <f>IF(OR(Registro!D706="Resuelto",Registro!D706=""),"",SUM(C707,F707,I707,L707))</f>
        <v/>
      </c>
      <c r="N707" s="46" t="str">
        <f>IF(OR(Registro!D706="Resuelto",Registro!D706=""),"",SUM(B707,E707,H707,K707))</f>
        <v/>
      </c>
      <c r="O707" s="46" t="str">
        <f>IF(OR(Registro!D706="Resuelto",Registro!D706=""),"",_xlfn.CONCAT(A707,D707,G707,J707))</f>
        <v/>
      </c>
      <c r="P707" s="47">
        <v>699</v>
      </c>
      <c r="Q707" s="47" t="str">
        <f t="shared" ca="1" si="30"/>
        <v/>
      </c>
      <c r="R707" s="48" t="str">
        <f t="shared" ca="1" si="31"/>
        <v/>
      </c>
      <c r="S707" s="32"/>
      <c r="T707" s="32"/>
      <c r="U707" s="32"/>
      <c r="V707" s="32"/>
      <c r="W707" s="47" t="str">
        <f>IF(X707="","",MAX($W$5:W706)+1)</f>
        <v/>
      </c>
      <c r="X707" s="50" t="str">
        <f>IF(Registro!M706="","",IF(COUNTIF($X$8:X706,Registro!M706)=0,Registro!M706,""))</f>
        <v/>
      </c>
      <c r="Y707" s="50" t="str">
        <f t="shared" si="32"/>
        <v/>
      </c>
    </row>
    <row r="708" spans="1:25">
      <c r="A708" s="45" t="str">
        <f>IF(AND(Registro!D707="Abierto",Registro!E707="Urgente"),Registro!B707,"")</f>
        <v/>
      </c>
      <c r="B708" s="45" t="str">
        <f ca="1">IF(AND(Registro!D707="Abierto",Registro!E707="Urgente"),TODAY()-Registro!R707,"")</f>
        <v/>
      </c>
      <c r="C708" s="45" t="str">
        <f>IF(AND(Registro!D707="Abierto",Registro!E707="Urgente"),RANK(B708,$B$9:$B$1000,0)+COUNTIF($B$9:B708,B708)-1,"")</f>
        <v/>
      </c>
      <c r="D708" s="45" t="str">
        <f>IF(AND(Registro!D707="Abierto",Registro!E707="Alta"),Registro!B707,"")</f>
        <v/>
      </c>
      <c r="E708" s="45" t="str">
        <f ca="1">IF(AND(Registro!D707="Abierto",Registro!E707="Alta"),TODAY()-Registro!R707,"")</f>
        <v/>
      </c>
      <c r="F708" s="45" t="str">
        <f>IF(AND(Registro!D707="Abierto",Registro!E707="Alta"),RANK(E708,$E$9:$E$1000,0)+COUNTIF($E$9:E708,E708)-1+MAX(C$5:C$1000),"")</f>
        <v/>
      </c>
      <c r="G708" s="45" t="str">
        <f>IF(AND(Registro!D707="Abierto",Registro!E707="Media"),Registro!B707,"")</f>
        <v/>
      </c>
      <c r="H708" s="45" t="str">
        <f ca="1">IF(AND(Registro!D707="Abierto",Registro!E707="Media"),TODAY()-Registro!R707,"")</f>
        <v/>
      </c>
      <c r="I708" s="45" t="str">
        <f>IF(AND(Registro!D707="Abierto",Registro!E707="Media"),RANK(H708,$H$9:$H$1000,0)+COUNTIF($H$9:H708,H708)-1+MAX(C$5:C$1000,F$5:F$1000),"")</f>
        <v/>
      </c>
      <c r="J708" s="45" t="str">
        <f>IF(AND(Registro!D707="Abierto",Registro!E707="Baja"),Registro!B707,"")</f>
        <v/>
      </c>
      <c r="K708" s="45" t="str">
        <f ca="1">IF(AND(Registro!D707="Abierto",Registro!E707="Baja"),TODAY()-Registro!R707,"")</f>
        <v/>
      </c>
      <c r="L708" s="45" t="str">
        <f>IF(AND(Registro!D707="Abierto",Registro!E707="Baja"),RANK(K708,$K$9:$K$1000,0)+COUNTIF($K$9:K708,K708)-1+MAX(C$5:C$1000,F$5:F$1000,I$5:I$1000),"")</f>
        <v/>
      </c>
      <c r="M708" s="46" t="str">
        <f>IF(OR(Registro!D707="Resuelto",Registro!D707=""),"",SUM(C708,F708,I708,L708))</f>
        <v/>
      </c>
      <c r="N708" s="46" t="str">
        <f>IF(OR(Registro!D707="Resuelto",Registro!D707=""),"",SUM(B708,E708,H708,K708))</f>
        <v/>
      </c>
      <c r="O708" s="46" t="str">
        <f>IF(OR(Registro!D707="Resuelto",Registro!D707=""),"",_xlfn.CONCAT(A708,D708,G708,J708))</f>
        <v/>
      </c>
      <c r="P708" s="47">
        <v>700</v>
      </c>
      <c r="Q708" s="47" t="str">
        <f t="shared" ca="1" si="30"/>
        <v/>
      </c>
      <c r="R708" s="48" t="str">
        <f t="shared" ca="1" si="31"/>
        <v/>
      </c>
      <c r="S708" s="32"/>
      <c r="T708" s="32"/>
      <c r="U708" s="32"/>
      <c r="V708" s="32"/>
      <c r="W708" s="47" t="str">
        <f>IF(X708="","",MAX($W$5:W707)+1)</f>
        <v/>
      </c>
      <c r="X708" s="50" t="str">
        <f>IF(Registro!M707="","",IF(COUNTIF($X$8:X707,Registro!M707)=0,Registro!M707,""))</f>
        <v/>
      </c>
      <c r="Y708" s="50" t="str">
        <f t="shared" si="32"/>
        <v/>
      </c>
    </row>
    <row r="709" spans="1:25">
      <c r="A709" s="45" t="str">
        <f>IF(AND(Registro!D708="Abierto",Registro!E708="Urgente"),Registro!B708,"")</f>
        <v/>
      </c>
      <c r="B709" s="45" t="str">
        <f ca="1">IF(AND(Registro!D708="Abierto",Registro!E708="Urgente"),TODAY()-Registro!R708,"")</f>
        <v/>
      </c>
      <c r="C709" s="45" t="str">
        <f>IF(AND(Registro!D708="Abierto",Registro!E708="Urgente"),RANK(B709,$B$9:$B$1000,0)+COUNTIF($B$9:B709,B709)-1,"")</f>
        <v/>
      </c>
      <c r="D709" s="45" t="str">
        <f>IF(AND(Registro!D708="Abierto",Registro!E708="Alta"),Registro!B708,"")</f>
        <v/>
      </c>
      <c r="E709" s="45" t="str">
        <f ca="1">IF(AND(Registro!D708="Abierto",Registro!E708="Alta"),TODAY()-Registro!R708,"")</f>
        <v/>
      </c>
      <c r="F709" s="45" t="str">
        <f>IF(AND(Registro!D708="Abierto",Registro!E708="Alta"),RANK(E709,$E$9:$E$1000,0)+COUNTIF($E$9:E709,E709)-1+MAX(C$5:C$1000),"")</f>
        <v/>
      </c>
      <c r="G709" s="45" t="str">
        <f>IF(AND(Registro!D708="Abierto",Registro!E708="Media"),Registro!B708,"")</f>
        <v/>
      </c>
      <c r="H709" s="45" t="str">
        <f ca="1">IF(AND(Registro!D708="Abierto",Registro!E708="Media"),TODAY()-Registro!R708,"")</f>
        <v/>
      </c>
      <c r="I709" s="45" t="str">
        <f>IF(AND(Registro!D708="Abierto",Registro!E708="Media"),RANK(H709,$H$9:$H$1000,0)+COUNTIF($H$9:H709,H709)-1+MAX(C$5:C$1000,F$5:F$1000),"")</f>
        <v/>
      </c>
      <c r="J709" s="45" t="str">
        <f>IF(AND(Registro!D708="Abierto",Registro!E708="Baja"),Registro!B708,"")</f>
        <v/>
      </c>
      <c r="K709" s="45" t="str">
        <f ca="1">IF(AND(Registro!D708="Abierto",Registro!E708="Baja"),TODAY()-Registro!R708,"")</f>
        <v/>
      </c>
      <c r="L709" s="45" t="str">
        <f>IF(AND(Registro!D708="Abierto",Registro!E708="Baja"),RANK(K709,$K$9:$K$1000,0)+COUNTIF($K$9:K709,K709)-1+MAX(C$5:C$1000,F$5:F$1000,I$5:I$1000),"")</f>
        <v/>
      </c>
      <c r="M709" s="46" t="str">
        <f>IF(OR(Registro!D708="Resuelto",Registro!D708=""),"",SUM(C709,F709,I709,L709))</f>
        <v/>
      </c>
      <c r="N709" s="46" t="str">
        <f>IF(OR(Registro!D708="Resuelto",Registro!D708=""),"",SUM(B709,E709,H709,K709))</f>
        <v/>
      </c>
      <c r="O709" s="46" t="str">
        <f>IF(OR(Registro!D708="Resuelto",Registro!D708=""),"",_xlfn.CONCAT(A709,D709,G709,J709))</f>
        <v/>
      </c>
      <c r="P709" s="47">
        <v>701</v>
      </c>
      <c r="Q709" s="47" t="str">
        <f t="shared" ca="1" si="30"/>
        <v/>
      </c>
      <c r="R709" s="48" t="str">
        <f t="shared" ca="1" si="31"/>
        <v/>
      </c>
      <c r="S709" s="32"/>
      <c r="T709" s="32"/>
      <c r="U709" s="32"/>
      <c r="V709" s="32"/>
      <c r="W709" s="47" t="str">
        <f>IF(X709="","",MAX($W$5:W708)+1)</f>
        <v/>
      </c>
      <c r="X709" s="50" t="str">
        <f>IF(Registro!M708="","",IF(COUNTIF($X$8:X708,Registro!M708)=0,Registro!M708,""))</f>
        <v/>
      </c>
      <c r="Y709" s="50" t="str">
        <f t="shared" si="32"/>
        <v/>
      </c>
    </row>
    <row r="710" spans="1:25">
      <c r="A710" s="45" t="str">
        <f>IF(AND(Registro!D709="Abierto",Registro!E709="Urgente"),Registro!B709,"")</f>
        <v/>
      </c>
      <c r="B710" s="45" t="str">
        <f ca="1">IF(AND(Registro!D709="Abierto",Registro!E709="Urgente"),TODAY()-Registro!R709,"")</f>
        <v/>
      </c>
      <c r="C710" s="45" t="str">
        <f>IF(AND(Registro!D709="Abierto",Registro!E709="Urgente"),RANK(B710,$B$9:$B$1000,0)+COUNTIF($B$9:B710,B710)-1,"")</f>
        <v/>
      </c>
      <c r="D710" s="45" t="str">
        <f>IF(AND(Registro!D709="Abierto",Registro!E709="Alta"),Registro!B709,"")</f>
        <v/>
      </c>
      <c r="E710" s="45" t="str">
        <f ca="1">IF(AND(Registro!D709="Abierto",Registro!E709="Alta"),TODAY()-Registro!R709,"")</f>
        <v/>
      </c>
      <c r="F710" s="45" t="str">
        <f>IF(AND(Registro!D709="Abierto",Registro!E709="Alta"),RANK(E710,$E$9:$E$1000,0)+COUNTIF($E$9:E710,E710)-1+MAX(C$5:C$1000),"")</f>
        <v/>
      </c>
      <c r="G710" s="45" t="str">
        <f>IF(AND(Registro!D709="Abierto",Registro!E709="Media"),Registro!B709,"")</f>
        <v/>
      </c>
      <c r="H710" s="45" t="str">
        <f ca="1">IF(AND(Registro!D709="Abierto",Registro!E709="Media"),TODAY()-Registro!R709,"")</f>
        <v/>
      </c>
      <c r="I710" s="45" t="str">
        <f>IF(AND(Registro!D709="Abierto",Registro!E709="Media"),RANK(H710,$H$9:$H$1000,0)+COUNTIF($H$9:H710,H710)-1+MAX(C$5:C$1000,F$5:F$1000),"")</f>
        <v/>
      </c>
      <c r="J710" s="45" t="str">
        <f>IF(AND(Registro!D709="Abierto",Registro!E709="Baja"),Registro!B709,"")</f>
        <v/>
      </c>
      <c r="K710" s="45" t="str">
        <f ca="1">IF(AND(Registro!D709="Abierto",Registro!E709="Baja"),TODAY()-Registro!R709,"")</f>
        <v/>
      </c>
      <c r="L710" s="45" t="str">
        <f>IF(AND(Registro!D709="Abierto",Registro!E709="Baja"),RANK(K710,$K$9:$K$1000,0)+COUNTIF($K$9:K710,K710)-1+MAX(C$5:C$1000,F$5:F$1000,I$5:I$1000),"")</f>
        <v/>
      </c>
      <c r="M710" s="46" t="str">
        <f>IF(OR(Registro!D709="Resuelto",Registro!D709=""),"",SUM(C710,F710,I710,L710))</f>
        <v/>
      </c>
      <c r="N710" s="46" t="str">
        <f>IF(OR(Registro!D709="Resuelto",Registro!D709=""),"",SUM(B710,E710,H710,K710))</f>
        <v/>
      </c>
      <c r="O710" s="46" t="str">
        <f>IF(OR(Registro!D709="Resuelto",Registro!D709=""),"",_xlfn.CONCAT(A710,D710,G710,J710))</f>
        <v/>
      </c>
      <c r="P710" s="47">
        <v>702</v>
      </c>
      <c r="Q710" s="47" t="str">
        <f t="shared" ca="1" si="30"/>
        <v/>
      </c>
      <c r="R710" s="48" t="str">
        <f t="shared" ca="1" si="31"/>
        <v/>
      </c>
      <c r="S710" s="32"/>
      <c r="T710" s="32"/>
      <c r="U710" s="32"/>
      <c r="V710" s="32"/>
      <c r="W710" s="47" t="str">
        <f>IF(X710="","",MAX($W$5:W709)+1)</f>
        <v/>
      </c>
      <c r="X710" s="50" t="str">
        <f>IF(Registro!M709="","",IF(COUNTIF($X$8:X709,Registro!M709)=0,Registro!M709,""))</f>
        <v/>
      </c>
      <c r="Y710" s="50" t="str">
        <f t="shared" si="32"/>
        <v/>
      </c>
    </row>
    <row r="711" spans="1:25">
      <c r="A711" s="45" t="str">
        <f>IF(AND(Registro!D710="Abierto",Registro!E710="Urgente"),Registro!B710,"")</f>
        <v/>
      </c>
      <c r="B711" s="45" t="str">
        <f ca="1">IF(AND(Registro!D710="Abierto",Registro!E710="Urgente"),TODAY()-Registro!R710,"")</f>
        <v/>
      </c>
      <c r="C711" s="45" t="str">
        <f>IF(AND(Registro!D710="Abierto",Registro!E710="Urgente"),RANK(B711,$B$9:$B$1000,0)+COUNTIF($B$9:B711,B711)-1,"")</f>
        <v/>
      </c>
      <c r="D711" s="45" t="str">
        <f>IF(AND(Registro!D710="Abierto",Registro!E710="Alta"),Registro!B710,"")</f>
        <v/>
      </c>
      <c r="E711" s="45" t="str">
        <f ca="1">IF(AND(Registro!D710="Abierto",Registro!E710="Alta"),TODAY()-Registro!R710,"")</f>
        <v/>
      </c>
      <c r="F711" s="45" t="str">
        <f>IF(AND(Registro!D710="Abierto",Registro!E710="Alta"),RANK(E711,$E$9:$E$1000,0)+COUNTIF($E$9:E711,E711)-1+MAX(C$5:C$1000),"")</f>
        <v/>
      </c>
      <c r="G711" s="45" t="str">
        <f>IF(AND(Registro!D710="Abierto",Registro!E710="Media"),Registro!B710,"")</f>
        <v/>
      </c>
      <c r="H711" s="45" t="str">
        <f ca="1">IF(AND(Registro!D710="Abierto",Registro!E710="Media"),TODAY()-Registro!R710,"")</f>
        <v/>
      </c>
      <c r="I711" s="45" t="str">
        <f>IF(AND(Registro!D710="Abierto",Registro!E710="Media"),RANK(H711,$H$9:$H$1000,0)+COUNTIF($H$9:H711,H711)-1+MAX(C$5:C$1000,F$5:F$1000),"")</f>
        <v/>
      </c>
      <c r="J711" s="45" t="str">
        <f>IF(AND(Registro!D710="Abierto",Registro!E710="Baja"),Registro!B710,"")</f>
        <v/>
      </c>
      <c r="K711" s="45" t="str">
        <f ca="1">IF(AND(Registro!D710="Abierto",Registro!E710="Baja"),TODAY()-Registro!R710,"")</f>
        <v/>
      </c>
      <c r="L711" s="45" t="str">
        <f>IF(AND(Registro!D710="Abierto",Registro!E710="Baja"),RANK(K711,$K$9:$K$1000,0)+COUNTIF($K$9:K711,K711)-1+MAX(C$5:C$1000,F$5:F$1000,I$5:I$1000),"")</f>
        <v/>
      </c>
      <c r="M711" s="46" t="str">
        <f>IF(OR(Registro!D710="Resuelto",Registro!D710=""),"",SUM(C711,F711,I711,L711))</f>
        <v/>
      </c>
      <c r="N711" s="46" t="str">
        <f>IF(OR(Registro!D710="Resuelto",Registro!D710=""),"",SUM(B711,E711,H711,K711))</f>
        <v/>
      </c>
      <c r="O711" s="46" t="str">
        <f>IF(OR(Registro!D710="Resuelto",Registro!D710=""),"",_xlfn.CONCAT(A711,D711,G711,J711))</f>
        <v/>
      </c>
      <c r="P711" s="47">
        <v>703</v>
      </c>
      <c r="Q711" s="47" t="str">
        <f t="shared" ca="1" si="30"/>
        <v/>
      </c>
      <c r="R711" s="48" t="str">
        <f t="shared" ca="1" si="31"/>
        <v/>
      </c>
      <c r="S711" s="32"/>
      <c r="T711" s="32"/>
      <c r="U711" s="32"/>
      <c r="V711" s="32"/>
      <c r="W711" s="47" t="str">
        <f>IF(X711="","",MAX($W$5:W710)+1)</f>
        <v/>
      </c>
      <c r="X711" s="50" t="str">
        <f>IF(Registro!M710="","",IF(COUNTIF($X$8:X710,Registro!M710)=0,Registro!M710,""))</f>
        <v/>
      </c>
      <c r="Y711" s="50" t="str">
        <f t="shared" si="32"/>
        <v/>
      </c>
    </row>
    <row r="712" spans="1:25">
      <c r="A712" s="45" t="str">
        <f>IF(AND(Registro!D711="Abierto",Registro!E711="Urgente"),Registro!B711,"")</f>
        <v/>
      </c>
      <c r="B712" s="45" t="str">
        <f ca="1">IF(AND(Registro!D711="Abierto",Registro!E711="Urgente"),TODAY()-Registro!R711,"")</f>
        <v/>
      </c>
      <c r="C712" s="45" t="str">
        <f>IF(AND(Registro!D711="Abierto",Registro!E711="Urgente"),RANK(B712,$B$9:$B$1000,0)+COUNTIF($B$9:B712,B712)-1,"")</f>
        <v/>
      </c>
      <c r="D712" s="45" t="str">
        <f>IF(AND(Registro!D711="Abierto",Registro!E711="Alta"),Registro!B711,"")</f>
        <v/>
      </c>
      <c r="E712" s="45" t="str">
        <f ca="1">IF(AND(Registro!D711="Abierto",Registro!E711="Alta"),TODAY()-Registro!R711,"")</f>
        <v/>
      </c>
      <c r="F712" s="45" t="str">
        <f>IF(AND(Registro!D711="Abierto",Registro!E711="Alta"),RANK(E712,$E$9:$E$1000,0)+COUNTIF($E$9:E712,E712)-1+MAX(C$5:C$1000),"")</f>
        <v/>
      </c>
      <c r="G712" s="45" t="str">
        <f>IF(AND(Registro!D711="Abierto",Registro!E711="Media"),Registro!B711,"")</f>
        <v/>
      </c>
      <c r="H712" s="45" t="str">
        <f ca="1">IF(AND(Registro!D711="Abierto",Registro!E711="Media"),TODAY()-Registro!R711,"")</f>
        <v/>
      </c>
      <c r="I712" s="45" t="str">
        <f>IF(AND(Registro!D711="Abierto",Registro!E711="Media"),RANK(H712,$H$9:$H$1000,0)+COUNTIF($H$9:H712,H712)-1+MAX(C$5:C$1000,F$5:F$1000),"")</f>
        <v/>
      </c>
      <c r="J712" s="45" t="str">
        <f>IF(AND(Registro!D711="Abierto",Registro!E711="Baja"),Registro!B711,"")</f>
        <v/>
      </c>
      <c r="K712" s="45" t="str">
        <f ca="1">IF(AND(Registro!D711="Abierto",Registro!E711="Baja"),TODAY()-Registro!R711,"")</f>
        <v/>
      </c>
      <c r="L712" s="45" t="str">
        <f>IF(AND(Registro!D711="Abierto",Registro!E711="Baja"),RANK(K712,$K$9:$K$1000,0)+COUNTIF($K$9:K712,K712)-1+MAX(C$5:C$1000,F$5:F$1000,I$5:I$1000),"")</f>
        <v/>
      </c>
      <c r="M712" s="46" t="str">
        <f>IF(OR(Registro!D711="Resuelto",Registro!D711=""),"",SUM(C712,F712,I712,L712))</f>
        <v/>
      </c>
      <c r="N712" s="46" t="str">
        <f>IF(OR(Registro!D711="Resuelto",Registro!D711=""),"",SUM(B712,E712,H712,K712))</f>
        <v/>
      </c>
      <c r="O712" s="46" t="str">
        <f>IF(OR(Registro!D711="Resuelto",Registro!D711=""),"",_xlfn.CONCAT(A712,D712,G712,J712))</f>
        <v/>
      </c>
      <c r="P712" s="47">
        <v>704</v>
      </c>
      <c r="Q712" s="47" t="str">
        <f t="shared" ca="1" si="30"/>
        <v/>
      </c>
      <c r="R712" s="48" t="str">
        <f t="shared" ca="1" si="31"/>
        <v/>
      </c>
      <c r="S712" s="32"/>
      <c r="T712" s="32"/>
      <c r="U712" s="32"/>
      <c r="V712" s="32"/>
      <c r="W712" s="47" t="str">
        <f>IF(X712="","",MAX($W$5:W711)+1)</f>
        <v/>
      </c>
      <c r="X712" s="50" t="str">
        <f>IF(Registro!M711="","",IF(COUNTIF($X$8:X711,Registro!M711)=0,Registro!M711,""))</f>
        <v/>
      </c>
      <c r="Y712" s="50" t="str">
        <f t="shared" si="32"/>
        <v/>
      </c>
    </row>
    <row r="713" spans="1:25">
      <c r="A713" s="45" t="str">
        <f>IF(AND(Registro!D712="Abierto",Registro!E712="Urgente"),Registro!B712,"")</f>
        <v/>
      </c>
      <c r="B713" s="45" t="str">
        <f ca="1">IF(AND(Registro!D712="Abierto",Registro!E712="Urgente"),TODAY()-Registro!R712,"")</f>
        <v/>
      </c>
      <c r="C713" s="45" t="str">
        <f>IF(AND(Registro!D712="Abierto",Registro!E712="Urgente"),RANK(B713,$B$9:$B$1000,0)+COUNTIF($B$9:B713,B713)-1,"")</f>
        <v/>
      </c>
      <c r="D713" s="45" t="str">
        <f>IF(AND(Registro!D712="Abierto",Registro!E712="Alta"),Registro!B712,"")</f>
        <v/>
      </c>
      <c r="E713" s="45" t="str">
        <f ca="1">IF(AND(Registro!D712="Abierto",Registro!E712="Alta"),TODAY()-Registro!R712,"")</f>
        <v/>
      </c>
      <c r="F713" s="45" t="str">
        <f>IF(AND(Registro!D712="Abierto",Registro!E712="Alta"),RANK(E713,$E$9:$E$1000,0)+COUNTIF($E$9:E713,E713)-1+MAX(C$5:C$1000),"")</f>
        <v/>
      </c>
      <c r="G713" s="45" t="str">
        <f>IF(AND(Registro!D712="Abierto",Registro!E712="Media"),Registro!B712,"")</f>
        <v/>
      </c>
      <c r="H713" s="45" t="str">
        <f ca="1">IF(AND(Registro!D712="Abierto",Registro!E712="Media"),TODAY()-Registro!R712,"")</f>
        <v/>
      </c>
      <c r="I713" s="45" t="str">
        <f>IF(AND(Registro!D712="Abierto",Registro!E712="Media"),RANK(H713,$H$9:$H$1000,0)+COUNTIF($H$9:H713,H713)-1+MAX(C$5:C$1000,F$5:F$1000),"")</f>
        <v/>
      </c>
      <c r="J713" s="45" t="str">
        <f>IF(AND(Registro!D712="Abierto",Registro!E712="Baja"),Registro!B712,"")</f>
        <v/>
      </c>
      <c r="K713" s="45" t="str">
        <f ca="1">IF(AND(Registro!D712="Abierto",Registro!E712="Baja"),TODAY()-Registro!R712,"")</f>
        <v/>
      </c>
      <c r="L713" s="45" t="str">
        <f>IF(AND(Registro!D712="Abierto",Registro!E712="Baja"),RANK(K713,$K$9:$K$1000,0)+COUNTIF($K$9:K713,K713)-1+MAX(C$5:C$1000,F$5:F$1000,I$5:I$1000),"")</f>
        <v/>
      </c>
      <c r="M713" s="46" t="str">
        <f>IF(OR(Registro!D712="Resuelto",Registro!D712=""),"",SUM(C713,F713,I713,L713))</f>
        <v/>
      </c>
      <c r="N713" s="46" t="str">
        <f>IF(OR(Registro!D712="Resuelto",Registro!D712=""),"",SUM(B713,E713,H713,K713))</f>
        <v/>
      </c>
      <c r="O713" s="46" t="str">
        <f>IF(OR(Registro!D712="Resuelto",Registro!D712=""),"",_xlfn.CONCAT(A713,D713,G713,J713))</f>
        <v/>
      </c>
      <c r="P713" s="47">
        <v>705</v>
      </c>
      <c r="Q713" s="47" t="str">
        <f t="shared" ref="Q713:Q776" ca="1" si="33">IF(ISNA(VLOOKUP(P713,$M$9:$O$1000,3,FALSE))=TRUE,"",VLOOKUP(P713,$M$9:$O$1000,3,FALSE))</f>
        <v/>
      </c>
      <c r="R713" s="48" t="str">
        <f t="shared" ref="R713:R776" ca="1" si="34">IF(ISNA(VLOOKUP(P713,$M$9:$O$1000,2,FALSE))=TRUE,"",VLOOKUP(P713,$M$9:$O$1000,2,FALSE))</f>
        <v/>
      </c>
      <c r="S713" s="32"/>
      <c r="T713" s="32"/>
      <c r="U713" s="32"/>
      <c r="V713" s="32"/>
      <c r="W713" s="47" t="str">
        <f>IF(X713="","",MAX($W$5:W712)+1)</f>
        <v/>
      </c>
      <c r="X713" s="50" t="str">
        <f>IF(Registro!M712="","",IF(COUNTIF($X$8:X712,Registro!M712)=0,Registro!M712,""))</f>
        <v/>
      </c>
      <c r="Y713" s="50" t="str">
        <f t="shared" ref="Y713:Y776" si="35">IF(ISNA(VLOOKUP(P713,$W$9:$X$1000,2,FALSE))=TRUE,"",VLOOKUP(P713,$W$9:$X$1000,2,FALSE))</f>
        <v/>
      </c>
    </row>
    <row r="714" spans="1:25">
      <c r="A714" s="45" t="str">
        <f>IF(AND(Registro!D713="Abierto",Registro!E713="Urgente"),Registro!B713,"")</f>
        <v/>
      </c>
      <c r="B714" s="45" t="str">
        <f ca="1">IF(AND(Registro!D713="Abierto",Registro!E713="Urgente"),TODAY()-Registro!R713,"")</f>
        <v/>
      </c>
      <c r="C714" s="45" t="str">
        <f>IF(AND(Registro!D713="Abierto",Registro!E713="Urgente"),RANK(B714,$B$9:$B$1000,0)+COUNTIF($B$9:B714,B714)-1,"")</f>
        <v/>
      </c>
      <c r="D714" s="45" t="str">
        <f>IF(AND(Registro!D713="Abierto",Registro!E713="Alta"),Registro!B713,"")</f>
        <v/>
      </c>
      <c r="E714" s="45" t="str">
        <f ca="1">IF(AND(Registro!D713="Abierto",Registro!E713="Alta"),TODAY()-Registro!R713,"")</f>
        <v/>
      </c>
      <c r="F714" s="45" t="str">
        <f>IF(AND(Registro!D713="Abierto",Registro!E713="Alta"),RANK(E714,$E$9:$E$1000,0)+COUNTIF($E$9:E714,E714)-1+MAX(C$5:C$1000),"")</f>
        <v/>
      </c>
      <c r="G714" s="45" t="str">
        <f>IF(AND(Registro!D713="Abierto",Registro!E713="Media"),Registro!B713,"")</f>
        <v/>
      </c>
      <c r="H714" s="45" t="str">
        <f ca="1">IF(AND(Registro!D713="Abierto",Registro!E713="Media"),TODAY()-Registro!R713,"")</f>
        <v/>
      </c>
      <c r="I714" s="45" t="str">
        <f>IF(AND(Registro!D713="Abierto",Registro!E713="Media"),RANK(H714,$H$9:$H$1000,0)+COUNTIF($H$9:H714,H714)-1+MAX(C$5:C$1000,F$5:F$1000),"")</f>
        <v/>
      </c>
      <c r="J714" s="45" t="str">
        <f>IF(AND(Registro!D713="Abierto",Registro!E713="Baja"),Registro!B713,"")</f>
        <v/>
      </c>
      <c r="K714" s="45" t="str">
        <f ca="1">IF(AND(Registro!D713="Abierto",Registro!E713="Baja"),TODAY()-Registro!R713,"")</f>
        <v/>
      </c>
      <c r="L714" s="45" t="str">
        <f>IF(AND(Registro!D713="Abierto",Registro!E713="Baja"),RANK(K714,$K$9:$K$1000,0)+COUNTIF($K$9:K714,K714)-1+MAX(C$5:C$1000,F$5:F$1000,I$5:I$1000),"")</f>
        <v/>
      </c>
      <c r="M714" s="46" t="str">
        <f>IF(OR(Registro!D713="Resuelto",Registro!D713=""),"",SUM(C714,F714,I714,L714))</f>
        <v/>
      </c>
      <c r="N714" s="46" t="str">
        <f>IF(OR(Registro!D713="Resuelto",Registro!D713=""),"",SUM(B714,E714,H714,K714))</f>
        <v/>
      </c>
      <c r="O714" s="46" t="str">
        <f>IF(OR(Registro!D713="Resuelto",Registro!D713=""),"",_xlfn.CONCAT(A714,D714,G714,J714))</f>
        <v/>
      </c>
      <c r="P714" s="47">
        <v>706</v>
      </c>
      <c r="Q714" s="47" t="str">
        <f t="shared" ca="1" si="33"/>
        <v/>
      </c>
      <c r="R714" s="48" t="str">
        <f t="shared" ca="1" si="34"/>
        <v/>
      </c>
      <c r="S714" s="32"/>
      <c r="T714" s="32"/>
      <c r="U714" s="32"/>
      <c r="V714" s="32"/>
      <c r="W714" s="47" t="str">
        <f>IF(X714="","",MAX($W$5:W713)+1)</f>
        <v/>
      </c>
      <c r="X714" s="50" t="str">
        <f>IF(Registro!M713="","",IF(COUNTIF($X$8:X713,Registro!M713)=0,Registro!M713,""))</f>
        <v/>
      </c>
      <c r="Y714" s="50" t="str">
        <f t="shared" si="35"/>
        <v/>
      </c>
    </row>
    <row r="715" spans="1:25">
      <c r="A715" s="45" t="str">
        <f>IF(AND(Registro!D714="Abierto",Registro!E714="Urgente"),Registro!B714,"")</f>
        <v/>
      </c>
      <c r="B715" s="45" t="str">
        <f ca="1">IF(AND(Registro!D714="Abierto",Registro!E714="Urgente"),TODAY()-Registro!R714,"")</f>
        <v/>
      </c>
      <c r="C715" s="45" t="str">
        <f>IF(AND(Registro!D714="Abierto",Registro!E714="Urgente"),RANK(B715,$B$9:$B$1000,0)+COUNTIF($B$9:B715,B715)-1,"")</f>
        <v/>
      </c>
      <c r="D715" s="45" t="str">
        <f>IF(AND(Registro!D714="Abierto",Registro!E714="Alta"),Registro!B714,"")</f>
        <v/>
      </c>
      <c r="E715" s="45" t="str">
        <f ca="1">IF(AND(Registro!D714="Abierto",Registro!E714="Alta"),TODAY()-Registro!R714,"")</f>
        <v/>
      </c>
      <c r="F715" s="45" t="str">
        <f>IF(AND(Registro!D714="Abierto",Registro!E714="Alta"),RANK(E715,$E$9:$E$1000,0)+COUNTIF($E$9:E715,E715)-1+MAX(C$5:C$1000),"")</f>
        <v/>
      </c>
      <c r="G715" s="45" t="str">
        <f>IF(AND(Registro!D714="Abierto",Registro!E714="Media"),Registro!B714,"")</f>
        <v/>
      </c>
      <c r="H715" s="45" t="str">
        <f ca="1">IF(AND(Registro!D714="Abierto",Registro!E714="Media"),TODAY()-Registro!R714,"")</f>
        <v/>
      </c>
      <c r="I715" s="45" t="str">
        <f>IF(AND(Registro!D714="Abierto",Registro!E714="Media"),RANK(H715,$H$9:$H$1000,0)+COUNTIF($H$9:H715,H715)-1+MAX(C$5:C$1000,F$5:F$1000),"")</f>
        <v/>
      </c>
      <c r="J715" s="45" t="str">
        <f>IF(AND(Registro!D714="Abierto",Registro!E714="Baja"),Registro!B714,"")</f>
        <v/>
      </c>
      <c r="K715" s="45" t="str">
        <f ca="1">IF(AND(Registro!D714="Abierto",Registro!E714="Baja"),TODAY()-Registro!R714,"")</f>
        <v/>
      </c>
      <c r="L715" s="45" t="str">
        <f>IF(AND(Registro!D714="Abierto",Registro!E714="Baja"),RANK(K715,$K$9:$K$1000,0)+COUNTIF($K$9:K715,K715)-1+MAX(C$5:C$1000,F$5:F$1000,I$5:I$1000),"")</f>
        <v/>
      </c>
      <c r="M715" s="46" t="str">
        <f>IF(OR(Registro!D714="Resuelto",Registro!D714=""),"",SUM(C715,F715,I715,L715))</f>
        <v/>
      </c>
      <c r="N715" s="46" t="str">
        <f>IF(OR(Registro!D714="Resuelto",Registro!D714=""),"",SUM(B715,E715,H715,K715))</f>
        <v/>
      </c>
      <c r="O715" s="46" t="str">
        <f>IF(OR(Registro!D714="Resuelto",Registro!D714=""),"",_xlfn.CONCAT(A715,D715,G715,J715))</f>
        <v/>
      </c>
      <c r="P715" s="47">
        <v>707</v>
      </c>
      <c r="Q715" s="47" t="str">
        <f t="shared" ca="1" si="33"/>
        <v/>
      </c>
      <c r="R715" s="48" t="str">
        <f t="shared" ca="1" si="34"/>
        <v/>
      </c>
      <c r="S715" s="32"/>
      <c r="T715" s="32"/>
      <c r="U715" s="32"/>
      <c r="V715" s="32"/>
      <c r="W715" s="47" t="str">
        <f>IF(X715="","",MAX($W$5:W714)+1)</f>
        <v/>
      </c>
      <c r="X715" s="50" t="str">
        <f>IF(Registro!M714="","",IF(COUNTIF($X$8:X714,Registro!M714)=0,Registro!M714,""))</f>
        <v/>
      </c>
      <c r="Y715" s="50" t="str">
        <f t="shared" si="35"/>
        <v/>
      </c>
    </row>
    <row r="716" spans="1:25">
      <c r="A716" s="45" t="str">
        <f>IF(AND(Registro!D715="Abierto",Registro!E715="Urgente"),Registro!B715,"")</f>
        <v/>
      </c>
      <c r="B716" s="45" t="str">
        <f ca="1">IF(AND(Registro!D715="Abierto",Registro!E715="Urgente"),TODAY()-Registro!R715,"")</f>
        <v/>
      </c>
      <c r="C716" s="45" t="str">
        <f>IF(AND(Registro!D715="Abierto",Registro!E715="Urgente"),RANK(B716,$B$9:$B$1000,0)+COUNTIF($B$9:B716,B716)-1,"")</f>
        <v/>
      </c>
      <c r="D716" s="45" t="str">
        <f>IF(AND(Registro!D715="Abierto",Registro!E715="Alta"),Registro!B715,"")</f>
        <v/>
      </c>
      <c r="E716" s="45" t="str">
        <f ca="1">IF(AND(Registro!D715="Abierto",Registro!E715="Alta"),TODAY()-Registro!R715,"")</f>
        <v/>
      </c>
      <c r="F716" s="45" t="str">
        <f>IF(AND(Registro!D715="Abierto",Registro!E715="Alta"),RANK(E716,$E$9:$E$1000,0)+COUNTIF($E$9:E716,E716)-1+MAX(C$5:C$1000),"")</f>
        <v/>
      </c>
      <c r="G716" s="45" t="str">
        <f>IF(AND(Registro!D715="Abierto",Registro!E715="Media"),Registro!B715,"")</f>
        <v/>
      </c>
      <c r="H716" s="45" t="str">
        <f ca="1">IF(AND(Registro!D715="Abierto",Registro!E715="Media"),TODAY()-Registro!R715,"")</f>
        <v/>
      </c>
      <c r="I716" s="45" t="str">
        <f>IF(AND(Registro!D715="Abierto",Registro!E715="Media"),RANK(H716,$H$9:$H$1000,0)+COUNTIF($H$9:H716,H716)-1+MAX(C$5:C$1000,F$5:F$1000),"")</f>
        <v/>
      </c>
      <c r="J716" s="45" t="str">
        <f>IF(AND(Registro!D715="Abierto",Registro!E715="Baja"),Registro!B715,"")</f>
        <v/>
      </c>
      <c r="K716" s="45" t="str">
        <f ca="1">IF(AND(Registro!D715="Abierto",Registro!E715="Baja"),TODAY()-Registro!R715,"")</f>
        <v/>
      </c>
      <c r="L716" s="45" t="str">
        <f>IF(AND(Registro!D715="Abierto",Registro!E715="Baja"),RANK(K716,$K$9:$K$1000,0)+COUNTIF($K$9:K716,K716)-1+MAX(C$5:C$1000,F$5:F$1000,I$5:I$1000),"")</f>
        <v/>
      </c>
      <c r="M716" s="46" t="str">
        <f>IF(OR(Registro!D715="Resuelto",Registro!D715=""),"",SUM(C716,F716,I716,L716))</f>
        <v/>
      </c>
      <c r="N716" s="46" t="str">
        <f>IF(OR(Registro!D715="Resuelto",Registro!D715=""),"",SUM(B716,E716,H716,K716))</f>
        <v/>
      </c>
      <c r="O716" s="46" t="str">
        <f>IF(OR(Registro!D715="Resuelto",Registro!D715=""),"",_xlfn.CONCAT(A716,D716,G716,J716))</f>
        <v/>
      </c>
      <c r="P716" s="47">
        <v>708</v>
      </c>
      <c r="Q716" s="47" t="str">
        <f t="shared" ca="1" si="33"/>
        <v/>
      </c>
      <c r="R716" s="48" t="str">
        <f t="shared" ca="1" si="34"/>
        <v/>
      </c>
      <c r="S716" s="32"/>
      <c r="T716" s="32"/>
      <c r="U716" s="32"/>
      <c r="V716" s="32"/>
      <c r="W716" s="47" t="str">
        <f>IF(X716="","",MAX($W$5:W715)+1)</f>
        <v/>
      </c>
      <c r="X716" s="50" t="str">
        <f>IF(Registro!M715="","",IF(COUNTIF($X$8:X715,Registro!M715)=0,Registro!M715,""))</f>
        <v/>
      </c>
      <c r="Y716" s="50" t="str">
        <f t="shared" si="35"/>
        <v/>
      </c>
    </row>
    <row r="717" spans="1:25">
      <c r="A717" s="45" t="str">
        <f>IF(AND(Registro!D716="Abierto",Registro!E716="Urgente"),Registro!B716,"")</f>
        <v/>
      </c>
      <c r="B717" s="45" t="str">
        <f ca="1">IF(AND(Registro!D716="Abierto",Registro!E716="Urgente"),TODAY()-Registro!R716,"")</f>
        <v/>
      </c>
      <c r="C717" s="45" t="str">
        <f>IF(AND(Registro!D716="Abierto",Registro!E716="Urgente"),RANK(B717,$B$9:$B$1000,0)+COUNTIF($B$9:B717,B717)-1,"")</f>
        <v/>
      </c>
      <c r="D717" s="45" t="str">
        <f>IF(AND(Registro!D716="Abierto",Registro!E716="Alta"),Registro!B716,"")</f>
        <v/>
      </c>
      <c r="E717" s="45" t="str">
        <f ca="1">IF(AND(Registro!D716="Abierto",Registro!E716="Alta"),TODAY()-Registro!R716,"")</f>
        <v/>
      </c>
      <c r="F717" s="45" t="str">
        <f>IF(AND(Registro!D716="Abierto",Registro!E716="Alta"),RANK(E717,$E$9:$E$1000,0)+COUNTIF($E$9:E717,E717)-1+MAX(C$5:C$1000),"")</f>
        <v/>
      </c>
      <c r="G717" s="45" t="str">
        <f>IF(AND(Registro!D716="Abierto",Registro!E716="Media"),Registro!B716,"")</f>
        <v/>
      </c>
      <c r="H717" s="45" t="str">
        <f ca="1">IF(AND(Registro!D716="Abierto",Registro!E716="Media"),TODAY()-Registro!R716,"")</f>
        <v/>
      </c>
      <c r="I717" s="45" t="str">
        <f>IF(AND(Registro!D716="Abierto",Registro!E716="Media"),RANK(H717,$H$9:$H$1000,0)+COUNTIF($H$9:H717,H717)-1+MAX(C$5:C$1000,F$5:F$1000),"")</f>
        <v/>
      </c>
      <c r="J717" s="45" t="str">
        <f>IF(AND(Registro!D716="Abierto",Registro!E716="Baja"),Registro!B716,"")</f>
        <v/>
      </c>
      <c r="K717" s="45" t="str">
        <f ca="1">IF(AND(Registro!D716="Abierto",Registro!E716="Baja"),TODAY()-Registro!R716,"")</f>
        <v/>
      </c>
      <c r="L717" s="45" t="str">
        <f>IF(AND(Registro!D716="Abierto",Registro!E716="Baja"),RANK(K717,$K$9:$K$1000,0)+COUNTIF($K$9:K717,K717)-1+MAX(C$5:C$1000,F$5:F$1000,I$5:I$1000),"")</f>
        <v/>
      </c>
      <c r="M717" s="46" t="str">
        <f>IF(OR(Registro!D716="Resuelto",Registro!D716=""),"",SUM(C717,F717,I717,L717))</f>
        <v/>
      </c>
      <c r="N717" s="46" t="str">
        <f>IF(OR(Registro!D716="Resuelto",Registro!D716=""),"",SUM(B717,E717,H717,K717))</f>
        <v/>
      </c>
      <c r="O717" s="46" t="str">
        <f>IF(OR(Registro!D716="Resuelto",Registro!D716=""),"",_xlfn.CONCAT(A717,D717,G717,J717))</f>
        <v/>
      </c>
      <c r="P717" s="47">
        <v>709</v>
      </c>
      <c r="Q717" s="47" t="str">
        <f t="shared" ca="1" si="33"/>
        <v/>
      </c>
      <c r="R717" s="48" t="str">
        <f t="shared" ca="1" si="34"/>
        <v/>
      </c>
      <c r="S717" s="32"/>
      <c r="T717" s="32"/>
      <c r="U717" s="32"/>
      <c r="V717" s="32"/>
      <c r="W717" s="47" t="str">
        <f>IF(X717="","",MAX($W$5:W716)+1)</f>
        <v/>
      </c>
      <c r="X717" s="50" t="str">
        <f>IF(Registro!M716="","",IF(COUNTIF($X$8:X716,Registro!M716)=0,Registro!M716,""))</f>
        <v/>
      </c>
      <c r="Y717" s="50" t="str">
        <f t="shared" si="35"/>
        <v/>
      </c>
    </row>
    <row r="718" spans="1:25">
      <c r="A718" s="45" t="str">
        <f>IF(AND(Registro!D717="Abierto",Registro!E717="Urgente"),Registro!B717,"")</f>
        <v/>
      </c>
      <c r="B718" s="45" t="str">
        <f ca="1">IF(AND(Registro!D717="Abierto",Registro!E717="Urgente"),TODAY()-Registro!R717,"")</f>
        <v/>
      </c>
      <c r="C718" s="45" t="str">
        <f>IF(AND(Registro!D717="Abierto",Registro!E717="Urgente"),RANK(B718,$B$9:$B$1000,0)+COUNTIF($B$9:B718,B718)-1,"")</f>
        <v/>
      </c>
      <c r="D718" s="45" t="str">
        <f>IF(AND(Registro!D717="Abierto",Registro!E717="Alta"),Registro!B717,"")</f>
        <v/>
      </c>
      <c r="E718" s="45" t="str">
        <f ca="1">IF(AND(Registro!D717="Abierto",Registro!E717="Alta"),TODAY()-Registro!R717,"")</f>
        <v/>
      </c>
      <c r="F718" s="45" t="str">
        <f>IF(AND(Registro!D717="Abierto",Registro!E717="Alta"),RANK(E718,$E$9:$E$1000,0)+COUNTIF($E$9:E718,E718)-1+MAX(C$5:C$1000),"")</f>
        <v/>
      </c>
      <c r="G718" s="45" t="str">
        <f>IF(AND(Registro!D717="Abierto",Registro!E717="Media"),Registro!B717,"")</f>
        <v/>
      </c>
      <c r="H718" s="45" t="str">
        <f ca="1">IF(AND(Registro!D717="Abierto",Registro!E717="Media"),TODAY()-Registro!R717,"")</f>
        <v/>
      </c>
      <c r="I718" s="45" t="str">
        <f>IF(AND(Registro!D717="Abierto",Registro!E717="Media"),RANK(H718,$H$9:$H$1000,0)+COUNTIF($H$9:H718,H718)-1+MAX(C$5:C$1000,F$5:F$1000),"")</f>
        <v/>
      </c>
      <c r="J718" s="45" t="str">
        <f>IF(AND(Registro!D717="Abierto",Registro!E717="Baja"),Registro!B717,"")</f>
        <v/>
      </c>
      <c r="K718" s="45" t="str">
        <f ca="1">IF(AND(Registro!D717="Abierto",Registro!E717="Baja"),TODAY()-Registro!R717,"")</f>
        <v/>
      </c>
      <c r="L718" s="45" t="str">
        <f>IF(AND(Registro!D717="Abierto",Registro!E717="Baja"),RANK(K718,$K$9:$K$1000,0)+COUNTIF($K$9:K718,K718)-1+MAX(C$5:C$1000,F$5:F$1000,I$5:I$1000),"")</f>
        <v/>
      </c>
      <c r="M718" s="46" t="str">
        <f>IF(OR(Registro!D717="Resuelto",Registro!D717=""),"",SUM(C718,F718,I718,L718))</f>
        <v/>
      </c>
      <c r="N718" s="46" t="str">
        <f>IF(OR(Registro!D717="Resuelto",Registro!D717=""),"",SUM(B718,E718,H718,K718))</f>
        <v/>
      </c>
      <c r="O718" s="46" t="str">
        <f>IF(OR(Registro!D717="Resuelto",Registro!D717=""),"",_xlfn.CONCAT(A718,D718,G718,J718))</f>
        <v/>
      </c>
      <c r="P718" s="47">
        <v>710</v>
      </c>
      <c r="Q718" s="47" t="str">
        <f t="shared" ca="1" si="33"/>
        <v/>
      </c>
      <c r="R718" s="48" t="str">
        <f t="shared" ca="1" si="34"/>
        <v/>
      </c>
      <c r="S718" s="32"/>
      <c r="T718" s="32"/>
      <c r="U718" s="32"/>
      <c r="V718" s="32"/>
      <c r="W718" s="47" t="str">
        <f>IF(X718="","",MAX($W$5:W717)+1)</f>
        <v/>
      </c>
      <c r="X718" s="50" t="str">
        <f>IF(Registro!M717="","",IF(COUNTIF($X$8:X717,Registro!M717)=0,Registro!M717,""))</f>
        <v/>
      </c>
      <c r="Y718" s="50" t="str">
        <f t="shared" si="35"/>
        <v/>
      </c>
    </row>
    <row r="719" spans="1:25">
      <c r="A719" s="45" t="str">
        <f>IF(AND(Registro!D718="Abierto",Registro!E718="Urgente"),Registro!B718,"")</f>
        <v/>
      </c>
      <c r="B719" s="45" t="str">
        <f ca="1">IF(AND(Registro!D718="Abierto",Registro!E718="Urgente"),TODAY()-Registro!R718,"")</f>
        <v/>
      </c>
      <c r="C719" s="45" t="str">
        <f>IF(AND(Registro!D718="Abierto",Registro!E718="Urgente"),RANK(B719,$B$9:$B$1000,0)+COUNTIF($B$9:B719,B719)-1,"")</f>
        <v/>
      </c>
      <c r="D719" s="45" t="str">
        <f>IF(AND(Registro!D718="Abierto",Registro!E718="Alta"),Registro!B718,"")</f>
        <v/>
      </c>
      <c r="E719" s="45" t="str">
        <f ca="1">IF(AND(Registro!D718="Abierto",Registro!E718="Alta"),TODAY()-Registro!R718,"")</f>
        <v/>
      </c>
      <c r="F719" s="45" t="str">
        <f>IF(AND(Registro!D718="Abierto",Registro!E718="Alta"),RANK(E719,$E$9:$E$1000,0)+COUNTIF($E$9:E719,E719)-1+MAX(C$5:C$1000),"")</f>
        <v/>
      </c>
      <c r="G719" s="45" t="str">
        <f>IF(AND(Registro!D718="Abierto",Registro!E718="Media"),Registro!B718,"")</f>
        <v/>
      </c>
      <c r="H719" s="45" t="str">
        <f ca="1">IF(AND(Registro!D718="Abierto",Registro!E718="Media"),TODAY()-Registro!R718,"")</f>
        <v/>
      </c>
      <c r="I719" s="45" t="str">
        <f>IF(AND(Registro!D718="Abierto",Registro!E718="Media"),RANK(H719,$H$9:$H$1000,0)+COUNTIF($H$9:H719,H719)-1+MAX(C$5:C$1000,F$5:F$1000),"")</f>
        <v/>
      </c>
      <c r="J719" s="45" t="str">
        <f>IF(AND(Registro!D718="Abierto",Registro!E718="Baja"),Registro!B718,"")</f>
        <v/>
      </c>
      <c r="K719" s="45" t="str">
        <f ca="1">IF(AND(Registro!D718="Abierto",Registro!E718="Baja"),TODAY()-Registro!R718,"")</f>
        <v/>
      </c>
      <c r="L719" s="45" t="str">
        <f>IF(AND(Registro!D718="Abierto",Registro!E718="Baja"),RANK(K719,$K$9:$K$1000,0)+COUNTIF($K$9:K719,K719)-1+MAX(C$5:C$1000,F$5:F$1000,I$5:I$1000),"")</f>
        <v/>
      </c>
      <c r="M719" s="46" t="str">
        <f>IF(OR(Registro!D718="Resuelto",Registro!D718=""),"",SUM(C719,F719,I719,L719))</f>
        <v/>
      </c>
      <c r="N719" s="46" t="str">
        <f>IF(OR(Registro!D718="Resuelto",Registro!D718=""),"",SUM(B719,E719,H719,K719))</f>
        <v/>
      </c>
      <c r="O719" s="46" t="str">
        <f>IF(OR(Registro!D718="Resuelto",Registro!D718=""),"",_xlfn.CONCAT(A719,D719,G719,J719))</f>
        <v/>
      </c>
      <c r="P719" s="47">
        <v>711</v>
      </c>
      <c r="Q719" s="47" t="str">
        <f t="shared" ca="1" si="33"/>
        <v/>
      </c>
      <c r="R719" s="48" t="str">
        <f t="shared" ca="1" si="34"/>
        <v/>
      </c>
      <c r="S719" s="32"/>
      <c r="T719" s="32"/>
      <c r="U719" s="32"/>
      <c r="V719" s="32"/>
      <c r="W719" s="47" t="str">
        <f>IF(X719="","",MAX($W$5:W718)+1)</f>
        <v/>
      </c>
      <c r="X719" s="50" t="str">
        <f>IF(Registro!M718="","",IF(COUNTIF($X$8:X718,Registro!M718)=0,Registro!M718,""))</f>
        <v/>
      </c>
      <c r="Y719" s="50" t="str">
        <f t="shared" si="35"/>
        <v/>
      </c>
    </row>
    <row r="720" spans="1:25">
      <c r="A720" s="45" t="str">
        <f>IF(AND(Registro!D719="Abierto",Registro!E719="Urgente"),Registro!B719,"")</f>
        <v/>
      </c>
      <c r="B720" s="45" t="str">
        <f ca="1">IF(AND(Registro!D719="Abierto",Registro!E719="Urgente"),TODAY()-Registro!R719,"")</f>
        <v/>
      </c>
      <c r="C720" s="45" t="str">
        <f>IF(AND(Registro!D719="Abierto",Registro!E719="Urgente"),RANK(B720,$B$9:$B$1000,0)+COUNTIF($B$9:B720,B720)-1,"")</f>
        <v/>
      </c>
      <c r="D720" s="45" t="str">
        <f>IF(AND(Registro!D719="Abierto",Registro!E719="Alta"),Registro!B719,"")</f>
        <v/>
      </c>
      <c r="E720" s="45" t="str">
        <f ca="1">IF(AND(Registro!D719="Abierto",Registro!E719="Alta"),TODAY()-Registro!R719,"")</f>
        <v/>
      </c>
      <c r="F720" s="45" t="str">
        <f>IF(AND(Registro!D719="Abierto",Registro!E719="Alta"),RANK(E720,$E$9:$E$1000,0)+COUNTIF($E$9:E720,E720)-1+MAX(C$5:C$1000),"")</f>
        <v/>
      </c>
      <c r="G720" s="45" t="str">
        <f>IF(AND(Registro!D719="Abierto",Registro!E719="Media"),Registro!B719,"")</f>
        <v/>
      </c>
      <c r="H720" s="45" t="str">
        <f ca="1">IF(AND(Registro!D719="Abierto",Registro!E719="Media"),TODAY()-Registro!R719,"")</f>
        <v/>
      </c>
      <c r="I720" s="45" t="str">
        <f>IF(AND(Registro!D719="Abierto",Registro!E719="Media"),RANK(H720,$H$9:$H$1000,0)+COUNTIF($H$9:H720,H720)-1+MAX(C$5:C$1000,F$5:F$1000),"")</f>
        <v/>
      </c>
      <c r="J720" s="45" t="str">
        <f>IF(AND(Registro!D719="Abierto",Registro!E719="Baja"),Registro!B719,"")</f>
        <v/>
      </c>
      <c r="K720" s="45" t="str">
        <f ca="1">IF(AND(Registro!D719="Abierto",Registro!E719="Baja"),TODAY()-Registro!R719,"")</f>
        <v/>
      </c>
      <c r="L720" s="45" t="str">
        <f>IF(AND(Registro!D719="Abierto",Registro!E719="Baja"),RANK(K720,$K$9:$K$1000,0)+COUNTIF($K$9:K720,K720)-1+MAX(C$5:C$1000,F$5:F$1000,I$5:I$1000),"")</f>
        <v/>
      </c>
      <c r="M720" s="46" t="str">
        <f>IF(OR(Registro!D719="Resuelto",Registro!D719=""),"",SUM(C720,F720,I720,L720))</f>
        <v/>
      </c>
      <c r="N720" s="46" t="str">
        <f>IF(OR(Registro!D719="Resuelto",Registro!D719=""),"",SUM(B720,E720,H720,K720))</f>
        <v/>
      </c>
      <c r="O720" s="46" t="str">
        <f>IF(OR(Registro!D719="Resuelto",Registro!D719=""),"",_xlfn.CONCAT(A720,D720,G720,J720))</f>
        <v/>
      </c>
      <c r="P720" s="47">
        <v>712</v>
      </c>
      <c r="Q720" s="47" t="str">
        <f t="shared" ca="1" si="33"/>
        <v/>
      </c>
      <c r="R720" s="48" t="str">
        <f t="shared" ca="1" si="34"/>
        <v/>
      </c>
      <c r="S720" s="32"/>
      <c r="T720" s="32"/>
      <c r="U720" s="32"/>
      <c r="V720" s="32"/>
      <c r="W720" s="47" t="str">
        <f>IF(X720="","",MAX($W$5:W719)+1)</f>
        <v/>
      </c>
      <c r="X720" s="50" t="str">
        <f>IF(Registro!M719="","",IF(COUNTIF($X$8:X719,Registro!M719)=0,Registro!M719,""))</f>
        <v/>
      </c>
      <c r="Y720" s="50" t="str">
        <f t="shared" si="35"/>
        <v/>
      </c>
    </row>
    <row r="721" spans="1:25">
      <c r="A721" s="45" t="str">
        <f>IF(AND(Registro!D720="Abierto",Registro!E720="Urgente"),Registro!B720,"")</f>
        <v/>
      </c>
      <c r="B721" s="45" t="str">
        <f ca="1">IF(AND(Registro!D720="Abierto",Registro!E720="Urgente"),TODAY()-Registro!R720,"")</f>
        <v/>
      </c>
      <c r="C721" s="45" t="str">
        <f>IF(AND(Registro!D720="Abierto",Registro!E720="Urgente"),RANK(B721,$B$9:$B$1000,0)+COUNTIF($B$9:B721,B721)-1,"")</f>
        <v/>
      </c>
      <c r="D721" s="45" t="str">
        <f>IF(AND(Registro!D720="Abierto",Registro!E720="Alta"),Registro!B720,"")</f>
        <v/>
      </c>
      <c r="E721" s="45" t="str">
        <f ca="1">IF(AND(Registro!D720="Abierto",Registro!E720="Alta"),TODAY()-Registro!R720,"")</f>
        <v/>
      </c>
      <c r="F721" s="45" t="str">
        <f>IF(AND(Registro!D720="Abierto",Registro!E720="Alta"),RANK(E721,$E$9:$E$1000,0)+COUNTIF($E$9:E721,E721)-1+MAX(C$5:C$1000),"")</f>
        <v/>
      </c>
      <c r="G721" s="45" t="str">
        <f>IF(AND(Registro!D720="Abierto",Registro!E720="Media"),Registro!B720,"")</f>
        <v/>
      </c>
      <c r="H721" s="45" t="str">
        <f ca="1">IF(AND(Registro!D720="Abierto",Registro!E720="Media"),TODAY()-Registro!R720,"")</f>
        <v/>
      </c>
      <c r="I721" s="45" t="str">
        <f>IF(AND(Registro!D720="Abierto",Registro!E720="Media"),RANK(H721,$H$9:$H$1000,0)+COUNTIF($H$9:H721,H721)-1+MAX(C$5:C$1000,F$5:F$1000),"")</f>
        <v/>
      </c>
      <c r="J721" s="45" t="str">
        <f>IF(AND(Registro!D720="Abierto",Registro!E720="Baja"),Registro!B720,"")</f>
        <v/>
      </c>
      <c r="K721" s="45" t="str">
        <f ca="1">IF(AND(Registro!D720="Abierto",Registro!E720="Baja"),TODAY()-Registro!R720,"")</f>
        <v/>
      </c>
      <c r="L721" s="45" t="str">
        <f>IF(AND(Registro!D720="Abierto",Registro!E720="Baja"),RANK(K721,$K$9:$K$1000,0)+COUNTIF($K$9:K721,K721)-1+MAX(C$5:C$1000,F$5:F$1000,I$5:I$1000),"")</f>
        <v/>
      </c>
      <c r="M721" s="46" t="str">
        <f>IF(OR(Registro!D720="Resuelto",Registro!D720=""),"",SUM(C721,F721,I721,L721))</f>
        <v/>
      </c>
      <c r="N721" s="46" t="str">
        <f>IF(OR(Registro!D720="Resuelto",Registro!D720=""),"",SUM(B721,E721,H721,K721))</f>
        <v/>
      </c>
      <c r="O721" s="46" t="str">
        <f>IF(OR(Registro!D720="Resuelto",Registro!D720=""),"",_xlfn.CONCAT(A721,D721,G721,J721))</f>
        <v/>
      </c>
      <c r="P721" s="47">
        <v>713</v>
      </c>
      <c r="Q721" s="47" t="str">
        <f t="shared" ca="1" si="33"/>
        <v/>
      </c>
      <c r="R721" s="48" t="str">
        <f t="shared" ca="1" si="34"/>
        <v/>
      </c>
      <c r="S721" s="32"/>
      <c r="T721" s="32"/>
      <c r="U721" s="32"/>
      <c r="V721" s="32"/>
      <c r="W721" s="47" t="str">
        <f>IF(X721="","",MAX($W$5:W720)+1)</f>
        <v/>
      </c>
      <c r="X721" s="50" t="str">
        <f>IF(Registro!M720="","",IF(COUNTIF($X$8:X720,Registro!M720)=0,Registro!M720,""))</f>
        <v/>
      </c>
      <c r="Y721" s="50" t="str">
        <f t="shared" si="35"/>
        <v/>
      </c>
    </row>
    <row r="722" spans="1:25">
      <c r="A722" s="45" t="str">
        <f>IF(AND(Registro!D721="Abierto",Registro!E721="Urgente"),Registro!B721,"")</f>
        <v/>
      </c>
      <c r="B722" s="45" t="str">
        <f ca="1">IF(AND(Registro!D721="Abierto",Registro!E721="Urgente"),TODAY()-Registro!R721,"")</f>
        <v/>
      </c>
      <c r="C722" s="45" t="str">
        <f>IF(AND(Registro!D721="Abierto",Registro!E721="Urgente"),RANK(B722,$B$9:$B$1000,0)+COUNTIF($B$9:B722,B722)-1,"")</f>
        <v/>
      </c>
      <c r="D722" s="45" t="str">
        <f>IF(AND(Registro!D721="Abierto",Registro!E721="Alta"),Registro!B721,"")</f>
        <v/>
      </c>
      <c r="E722" s="45" t="str">
        <f ca="1">IF(AND(Registro!D721="Abierto",Registro!E721="Alta"),TODAY()-Registro!R721,"")</f>
        <v/>
      </c>
      <c r="F722" s="45" t="str">
        <f>IF(AND(Registro!D721="Abierto",Registro!E721="Alta"),RANK(E722,$E$9:$E$1000,0)+COUNTIF($E$9:E722,E722)-1+MAX(C$5:C$1000),"")</f>
        <v/>
      </c>
      <c r="G722" s="45" t="str">
        <f>IF(AND(Registro!D721="Abierto",Registro!E721="Media"),Registro!B721,"")</f>
        <v/>
      </c>
      <c r="H722" s="45" t="str">
        <f ca="1">IF(AND(Registro!D721="Abierto",Registro!E721="Media"),TODAY()-Registro!R721,"")</f>
        <v/>
      </c>
      <c r="I722" s="45" t="str">
        <f>IF(AND(Registro!D721="Abierto",Registro!E721="Media"),RANK(H722,$H$9:$H$1000,0)+COUNTIF($H$9:H722,H722)-1+MAX(C$5:C$1000,F$5:F$1000),"")</f>
        <v/>
      </c>
      <c r="J722" s="45" t="str">
        <f>IF(AND(Registro!D721="Abierto",Registro!E721="Baja"),Registro!B721,"")</f>
        <v/>
      </c>
      <c r="K722" s="45" t="str">
        <f ca="1">IF(AND(Registro!D721="Abierto",Registro!E721="Baja"),TODAY()-Registro!R721,"")</f>
        <v/>
      </c>
      <c r="L722" s="45" t="str">
        <f>IF(AND(Registro!D721="Abierto",Registro!E721="Baja"),RANK(K722,$K$9:$K$1000,0)+COUNTIF($K$9:K722,K722)-1+MAX(C$5:C$1000,F$5:F$1000,I$5:I$1000),"")</f>
        <v/>
      </c>
      <c r="M722" s="46" t="str">
        <f>IF(OR(Registro!D721="Resuelto",Registro!D721=""),"",SUM(C722,F722,I722,L722))</f>
        <v/>
      </c>
      <c r="N722" s="46" t="str">
        <f>IF(OR(Registro!D721="Resuelto",Registro!D721=""),"",SUM(B722,E722,H722,K722))</f>
        <v/>
      </c>
      <c r="O722" s="46" t="str">
        <f>IF(OR(Registro!D721="Resuelto",Registro!D721=""),"",_xlfn.CONCAT(A722,D722,G722,J722))</f>
        <v/>
      </c>
      <c r="P722" s="47">
        <v>714</v>
      </c>
      <c r="Q722" s="47" t="str">
        <f t="shared" ca="1" si="33"/>
        <v/>
      </c>
      <c r="R722" s="48" t="str">
        <f t="shared" ca="1" si="34"/>
        <v/>
      </c>
      <c r="S722" s="32"/>
      <c r="T722" s="32"/>
      <c r="U722" s="32"/>
      <c r="V722" s="32"/>
      <c r="W722" s="47" t="str">
        <f>IF(X722="","",MAX($W$5:W721)+1)</f>
        <v/>
      </c>
      <c r="X722" s="50" t="str">
        <f>IF(Registro!M721="","",IF(COUNTIF($X$8:X721,Registro!M721)=0,Registro!M721,""))</f>
        <v/>
      </c>
      <c r="Y722" s="50" t="str">
        <f t="shared" si="35"/>
        <v/>
      </c>
    </row>
    <row r="723" spans="1:25">
      <c r="A723" s="45" t="str">
        <f>IF(AND(Registro!D722="Abierto",Registro!E722="Urgente"),Registro!B722,"")</f>
        <v/>
      </c>
      <c r="B723" s="45" t="str">
        <f ca="1">IF(AND(Registro!D722="Abierto",Registro!E722="Urgente"),TODAY()-Registro!R722,"")</f>
        <v/>
      </c>
      <c r="C723" s="45" t="str">
        <f>IF(AND(Registro!D722="Abierto",Registro!E722="Urgente"),RANK(B723,$B$9:$B$1000,0)+COUNTIF($B$9:B723,B723)-1,"")</f>
        <v/>
      </c>
      <c r="D723" s="45" t="str">
        <f>IF(AND(Registro!D722="Abierto",Registro!E722="Alta"),Registro!B722,"")</f>
        <v/>
      </c>
      <c r="E723" s="45" t="str">
        <f ca="1">IF(AND(Registro!D722="Abierto",Registro!E722="Alta"),TODAY()-Registro!R722,"")</f>
        <v/>
      </c>
      <c r="F723" s="45" t="str">
        <f>IF(AND(Registro!D722="Abierto",Registro!E722="Alta"),RANK(E723,$E$9:$E$1000,0)+COUNTIF($E$9:E723,E723)-1+MAX(C$5:C$1000),"")</f>
        <v/>
      </c>
      <c r="G723" s="45" t="str">
        <f>IF(AND(Registro!D722="Abierto",Registro!E722="Media"),Registro!B722,"")</f>
        <v/>
      </c>
      <c r="H723" s="45" t="str">
        <f ca="1">IF(AND(Registro!D722="Abierto",Registro!E722="Media"),TODAY()-Registro!R722,"")</f>
        <v/>
      </c>
      <c r="I723" s="45" t="str">
        <f>IF(AND(Registro!D722="Abierto",Registro!E722="Media"),RANK(H723,$H$9:$H$1000,0)+COUNTIF($H$9:H723,H723)-1+MAX(C$5:C$1000,F$5:F$1000),"")</f>
        <v/>
      </c>
      <c r="J723" s="45" t="str">
        <f>IF(AND(Registro!D722="Abierto",Registro!E722="Baja"),Registro!B722,"")</f>
        <v/>
      </c>
      <c r="K723" s="45" t="str">
        <f ca="1">IF(AND(Registro!D722="Abierto",Registro!E722="Baja"),TODAY()-Registro!R722,"")</f>
        <v/>
      </c>
      <c r="L723" s="45" t="str">
        <f>IF(AND(Registro!D722="Abierto",Registro!E722="Baja"),RANK(K723,$K$9:$K$1000,0)+COUNTIF($K$9:K723,K723)-1+MAX(C$5:C$1000,F$5:F$1000,I$5:I$1000),"")</f>
        <v/>
      </c>
      <c r="M723" s="46" t="str">
        <f>IF(OR(Registro!D722="Resuelto",Registro!D722=""),"",SUM(C723,F723,I723,L723))</f>
        <v/>
      </c>
      <c r="N723" s="46" t="str">
        <f>IF(OR(Registro!D722="Resuelto",Registro!D722=""),"",SUM(B723,E723,H723,K723))</f>
        <v/>
      </c>
      <c r="O723" s="46" t="str">
        <f>IF(OR(Registro!D722="Resuelto",Registro!D722=""),"",_xlfn.CONCAT(A723,D723,G723,J723))</f>
        <v/>
      </c>
      <c r="P723" s="47">
        <v>715</v>
      </c>
      <c r="Q723" s="47" t="str">
        <f t="shared" ca="1" si="33"/>
        <v/>
      </c>
      <c r="R723" s="48" t="str">
        <f t="shared" ca="1" si="34"/>
        <v/>
      </c>
      <c r="S723" s="32"/>
      <c r="T723" s="32"/>
      <c r="U723" s="32"/>
      <c r="V723" s="32"/>
      <c r="W723" s="47" t="str">
        <f>IF(X723="","",MAX($W$5:W722)+1)</f>
        <v/>
      </c>
      <c r="X723" s="50" t="str">
        <f>IF(Registro!M722="","",IF(COUNTIF($X$8:X722,Registro!M722)=0,Registro!M722,""))</f>
        <v/>
      </c>
      <c r="Y723" s="50" t="str">
        <f t="shared" si="35"/>
        <v/>
      </c>
    </row>
    <row r="724" spans="1:25">
      <c r="A724" s="45" t="str">
        <f>IF(AND(Registro!D723="Abierto",Registro!E723="Urgente"),Registro!B723,"")</f>
        <v/>
      </c>
      <c r="B724" s="45" t="str">
        <f ca="1">IF(AND(Registro!D723="Abierto",Registro!E723="Urgente"),TODAY()-Registro!R723,"")</f>
        <v/>
      </c>
      <c r="C724" s="45" t="str">
        <f>IF(AND(Registro!D723="Abierto",Registro!E723="Urgente"),RANK(B724,$B$9:$B$1000,0)+COUNTIF($B$9:B724,B724)-1,"")</f>
        <v/>
      </c>
      <c r="D724" s="45" t="str">
        <f>IF(AND(Registro!D723="Abierto",Registro!E723="Alta"),Registro!B723,"")</f>
        <v/>
      </c>
      <c r="E724" s="45" t="str">
        <f ca="1">IF(AND(Registro!D723="Abierto",Registro!E723="Alta"),TODAY()-Registro!R723,"")</f>
        <v/>
      </c>
      <c r="F724" s="45" t="str">
        <f>IF(AND(Registro!D723="Abierto",Registro!E723="Alta"),RANK(E724,$E$9:$E$1000,0)+COUNTIF($E$9:E724,E724)-1+MAX(C$5:C$1000),"")</f>
        <v/>
      </c>
      <c r="G724" s="45" t="str">
        <f>IF(AND(Registro!D723="Abierto",Registro!E723="Media"),Registro!B723,"")</f>
        <v/>
      </c>
      <c r="H724" s="45" t="str">
        <f ca="1">IF(AND(Registro!D723="Abierto",Registro!E723="Media"),TODAY()-Registro!R723,"")</f>
        <v/>
      </c>
      <c r="I724" s="45" t="str">
        <f>IF(AND(Registro!D723="Abierto",Registro!E723="Media"),RANK(H724,$H$9:$H$1000,0)+COUNTIF($H$9:H724,H724)-1+MAX(C$5:C$1000,F$5:F$1000),"")</f>
        <v/>
      </c>
      <c r="J724" s="45" t="str">
        <f>IF(AND(Registro!D723="Abierto",Registro!E723="Baja"),Registro!B723,"")</f>
        <v/>
      </c>
      <c r="K724" s="45" t="str">
        <f ca="1">IF(AND(Registro!D723="Abierto",Registro!E723="Baja"),TODAY()-Registro!R723,"")</f>
        <v/>
      </c>
      <c r="L724" s="45" t="str">
        <f>IF(AND(Registro!D723="Abierto",Registro!E723="Baja"),RANK(K724,$K$9:$K$1000,0)+COUNTIF($K$9:K724,K724)-1+MAX(C$5:C$1000,F$5:F$1000,I$5:I$1000),"")</f>
        <v/>
      </c>
      <c r="M724" s="46" t="str">
        <f>IF(OR(Registro!D723="Resuelto",Registro!D723=""),"",SUM(C724,F724,I724,L724))</f>
        <v/>
      </c>
      <c r="N724" s="46" t="str">
        <f>IF(OR(Registro!D723="Resuelto",Registro!D723=""),"",SUM(B724,E724,H724,K724))</f>
        <v/>
      </c>
      <c r="O724" s="46" t="str">
        <f>IF(OR(Registro!D723="Resuelto",Registro!D723=""),"",_xlfn.CONCAT(A724,D724,G724,J724))</f>
        <v/>
      </c>
      <c r="P724" s="47">
        <v>716</v>
      </c>
      <c r="Q724" s="47" t="str">
        <f t="shared" ca="1" si="33"/>
        <v/>
      </c>
      <c r="R724" s="48" t="str">
        <f t="shared" ca="1" si="34"/>
        <v/>
      </c>
      <c r="S724" s="32"/>
      <c r="T724" s="32"/>
      <c r="U724" s="32"/>
      <c r="V724" s="32"/>
      <c r="W724" s="47" t="str">
        <f>IF(X724="","",MAX($W$5:W723)+1)</f>
        <v/>
      </c>
      <c r="X724" s="50" t="str">
        <f>IF(Registro!M723="","",IF(COUNTIF($X$8:X723,Registro!M723)=0,Registro!M723,""))</f>
        <v/>
      </c>
      <c r="Y724" s="50" t="str">
        <f t="shared" si="35"/>
        <v/>
      </c>
    </row>
    <row r="725" spans="1:25">
      <c r="A725" s="45" t="str">
        <f>IF(AND(Registro!D724="Abierto",Registro!E724="Urgente"),Registro!B724,"")</f>
        <v/>
      </c>
      <c r="B725" s="45" t="str">
        <f ca="1">IF(AND(Registro!D724="Abierto",Registro!E724="Urgente"),TODAY()-Registro!R724,"")</f>
        <v/>
      </c>
      <c r="C725" s="45" t="str">
        <f>IF(AND(Registro!D724="Abierto",Registro!E724="Urgente"),RANK(B725,$B$9:$B$1000,0)+COUNTIF($B$9:B725,B725)-1,"")</f>
        <v/>
      </c>
      <c r="D725" s="45" t="str">
        <f>IF(AND(Registro!D724="Abierto",Registro!E724="Alta"),Registro!B724,"")</f>
        <v/>
      </c>
      <c r="E725" s="45" t="str">
        <f ca="1">IF(AND(Registro!D724="Abierto",Registro!E724="Alta"),TODAY()-Registro!R724,"")</f>
        <v/>
      </c>
      <c r="F725" s="45" t="str">
        <f>IF(AND(Registro!D724="Abierto",Registro!E724="Alta"),RANK(E725,$E$9:$E$1000,0)+COUNTIF($E$9:E725,E725)-1+MAX(C$5:C$1000),"")</f>
        <v/>
      </c>
      <c r="G725" s="45" t="str">
        <f>IF(AND(Registro!D724="Abierto",Registro!E724="Media"),Registro!B724,"")</f>
        <v/>
      </c>
      <c r="H725" s="45" t="str">
        <f ca="1">IF(AND(Registro!D724="Abierto",Registro!E724="Media"),TODAY()-Registro!R724,"")</f>
        <v/>
      </c>
      <c r="I725" s="45" t="str">
        <f>IF(AND(Registro!D724="Abierto",Registro!E724="Media"),RANK(H725,$H$9:$H$1000,0)+COUNTIF($H$9:H725,H725)-1+MAX(C$5:C$1000,F$5:F$1000),"")</f>
        <v/>
      </c>
      <c r="J725" s="45" t="str">
        <f>IF(AND(Registro!D724="Abierto",Registro!E724="Baja"),Registro!B724,"")</f>
        <v/>
      </c>
      <c r="K725" s="45" t="str">
        <f ca="1">IF(AND(Registro!D724="Abierto",Registro!E724="Baja"),TODAY()-Registro!R724,"")</f>
        <v/>
      </c>
      <c r="L725" s="45" t="str">
        <f>IF(AND(Registro!D724="Abierto",Registro!E724="Baja"),RANK(K725,$K$9:$K$1000,0)+COUNTIF($K$9:K725,K725)-1+MAX(C$5:C$1000,F$5:F$1000,I$5:I$1000),"")</f>
        <v/>
      </c>
      <c r="M725" s="46" t="str">
        <f>IF(OR(Registro!D724="Resuelto",Registro!D724=""),"",SUM(C725,F725,I725,L725))</f>
        <v/>
      </c>
      <c r="N725" s="46" t="str">
        <f>IF(OR(Registro!D724="Resuelto",Registro!D724=""),"",SUM(B725,E725,H725,K725))</f>
        <v/>
      </c>
      <c r="O725" s="46" t="str">
        <f>IF(OR(Registro!D724="Resuelto",Registro!D724=""),"",_xlfn.CONCAT(A725,D725,G725,J725))</f>
        <v/>
      </c>
      <c r="P725" s="47">
        <v>717</v>
      </c>
      <c r="Q725" s="47" t="str">
        <f t="shared" ca="1" si="33"/>
        <v/>
      </c>
      <c r="R725" s="48" t="str">
        <f t="shared" ca="1" si="34"/>
        <v/>
      </c>
      <c r="S725" s="32"/>
      <c r="T725" s="32"/>
      <c r="U725" s="32"/>
      <c r="V725" s="32"/>
      <c r="W725" s="47" t="str">
        <f>IF(X725="","",MAX($W$5:W724)+1)</f>
        <v/>
      </c>
      <c r="X725" s="50" t="str">
        <f>IF(Registro!M724="","",IF(COUNTIF($X$8:X724,Registro!M724)=0,Registro!M724,""))</f>
        <v/>
      </c>
      <c r="Y725" s="50" t="str">
        <f t="shared" si="35"/>
        <v/>
      </c>
    </row>
    <row r="726" spans="1:25">
      <c r="A726" s="45" t="str">
        <f>IF(AND(Registro!D725="Abierto",Registro!E725="Urgente"),Registro!B725,"")</f>
        <v/>
      </c>
      <c r="B726" s="45" t="str">
        <f ca="1">IF(AND(Registro!D725="Abierto",Registro!E725="Urgente"),TODAY()-Registro!R725,"")</f>
        <v/>
      </c>
      <c r="C726" s="45" t="str">
        <f>IF(AND(Registro!D725="Abierto",Registro!E725="Urgente"),RANK(B726,$B$9:$B$1000,0)+COUNTIF($B$9:B726,B726)-1,"")</f>
        <v/>
      </c>
      <c r="D726" s="45" t="str">
        <f>IF(AND(Registro!D725="Abierto",Registro!E725="Alta"),Registro!B725,"")</f>
        <v/>
      </c>
      <c r="E726" s="45" t="str">
        <f ca="1">IF(AND(Registro!D725="Abierto",Registro!E725="Alta"),TODAY()-Registro!R725,"")</f>
        <v/>
      </c>
      <c r="F726" s="45" t="str">
        <f>IF(AND(Registro!D725="Abierto",Registro!E725="Alta"),RANK(E726,$E$9:$E$1000,0)+COUNTIF($E$9:E726,E726)-1+MAX(C$5:C$1000),"")</f>
        <v/>
      </c>
      <c r="G726" s="45" t="str">
        <f>IF(AND(Registro!D725="Abierto",Registro!E725="Media"),Registro!B725,"")</f>
        <v/>
      </c>
      <c r="H726" s="45" t="str">
        <f ca="1">IF(AND(Registro!D725="Abierto",Registro!E725="Media"),TODAY()-Registro!R725,"")</f>
        <v/>
      </c>
      <c r="I726" s="45" t="str">
        <f>IF(AND(Registro!D725="Abierto",Registro!E725="Media"),RANK(H726,$H$9:$H$1000,0)+COUNTIF($H$9:H726,H726)-1+MAX(C$5:C$1000,F$5:F$1000),"")</f>
        <v/>
      </c>
      <c r="J726" s="45" t="str">
        <f>IF(AND(Registro!D725="Abierto",Registro!E725="Baja"),Registro!B725,"")</f>
        <v/>
      </c>
      <c r="K726" s="45" t="str">
        <f ca="1">IF(AND(Registro!D725="Abierto",Registro!E725="Baja"),TODAY()-Registro!R725,"")</f>
        <v/>
      </c>
      <c r="L726" s="45" t="str">
        <f>IF(AND(Registro!D725="Abierto",Registro!E725="Baja"),RANK(K726,$K$9:$K$1000,0)+COUNTIF($K$9:K726,K726)-1+MAX(C$5:C$1000,F$5:F$1000,I$5:I$1000),"")</f>
        <v/>
      </c>
      <c r="M726" s="46" t="str">
        <f>IF(OR(Registro!D725="Resuelto",Registro!D725=""),"",SUM(C726,F726,I726,L726))</f>
        <v/>
      </c>
      <c r="N726" s="46" t="str">
        <f>IF(OR(Registro!D725="Resuelto",Registro!D725=""),"",SUM(B726,E726,H726,K726))</f>
        <v/>
      </c>
      <c r="O726" s="46" t="str">
        <f>IF(OR(Registro!D725="Resuelto",Registro!D725=""),"",_xlfn.CONCAT(A726,D726,G726,J726))</f>
        <v/>
      </c>
      <c r="P726" s="47">
        <v>718</v>
      </c>
      <c r="Q726" s="47" t="str">
        <f t="shared" ca="1" si="33"/>
        <v/>
      </c>
      <c r="R726" s="48" t="str">
        <f t="shared" ca="1" si="34"/>
        <v/>
      </c>
      <c r="S726" s="32"/>
      <c r="T726" s="32"/>
      <c r="U726" s="32"/>
      <c r="V726" s="32"/>
      <c r="W726" s="47" t="str">
        <f>IF(X726="","",MAX($W$5:W725)+1)</f>
        <v/>
      </c>
      <c r="X726" s="50" t="str">
        <f>IF(Registro!M725="","",IF(COUNTIF($X$8:X725,Registro!M725)=0,Registro!M725,""))</f>
        <v/>
      </c>
      <c r="Y726" s="50" t="str">
        <f t="shared" si="35"/>
        <v/>
      </c>
    </row>
    <row r="727" spans="1:25">
      <c r="A727" s="45" t="str">
        <f>IF(AND(Registro!D726="Abierto",Registro!E726="Urgente"),Registro!B726,"")</f>
        <v/>
      </c>
      <c r="B727" s="45" t="str">
        <f ca="1">IF(AND(Registro!D726="Abierto",Registro!E726="Urgente"),TODAY()-Registro!R726,"")</f>
        <v/>
      </c>
      <c r="C727" s="45" t="str">
        <f>IF(AND(Registro!D726="Abierto",Registro!E726="Urgente"),RANK(B727,$B$9:$B$1000,0)+COUNTIF($B$9:B727,B727)-1,"")</f>
        <v/>
      </c>
      <c r="D727" s="45" t="str">
        <f>IF(AND(Registro!D726="Abierto",Registro!E726="Alta"),Registro!B726,"")</f>
        <v/>
      </c>
      <c r="E727" s="45" t="str">
        <f ca="1">IF(AND(Registro!D726="Abierto",Registro!E726="Alta"),TODAY()-Registro!R726,"")</f>
        <v/>
      </c>
      <c r="F727" s="45" t="str">
        <f>IF(AND(Registro!D726="Abierto",Registro!E726="Alta"),RANK(E727,$E$9:$E$1000,0)+COUNTIF($E$9:E727,E727)-1+MAX(C$5:C$1000),"")</f>
        <v/>
      </c>
      <c r="G727" s="45" t="str">
        <f>IF(AND(Registro!D726="Abierto",Registro!E726="Media"),Registro!B726,"")</f>
        <v/>
      </c>
      <c r="H727" s="45" t="str">
        <f ca="1">IF(AND(Registro!D726="Abierto",Registro!E726="Media"),TODAY()-Registro!R726,"")</f>
        <v/>
      </c>
      <c r="I727" s="45" t="str">
        <f>IF(AND(Registro!D726="Abierto",Registro!E726="Media"),RANK(H727,$H$9:$H$1000,0)+COUNTIF($H$9:H727,H727)-1+MAX(C$5:C$1000,F$5:F$1000),"")</f>
        <v/>
      </c>
      <c r="J727" s="45" t="str">
        <f>IF(AND(Registro!D726="Abierto",Registro!E726="Baja"),Registro!B726,"")</f>
        <v/>
      </c>
      <c r="K727" s="45" t="str">
        <f ca="1">IF(AND(Registro!D726="Abierto",Registro!E726="Baja"),TODAY()-Registro!R726,"")</f>
        <v/>
      </c>
      <c r="L727" s="45" t="str">
        <f>IF(AND(Registro!D726="Abierto",Registro!E726="Baja"),RANK(K727,$K$9:$K$1000,0)+COUNTIF($K$9:K727,K727)-1+MAX(C$5:C$1000,F$5:F$1000,I$5:I$1000),"")</f>
        <v/>
      </c>
      <c r="M727" s="46" t="str">
        <f>IF(OR(Registro!D726="Resuelto",Registro!D726=""),"",SUM(C727,F727,I727,L727))</f>
        <v/>
      </c>
      <c r="N727" s="46" t="str">
        <f>IF(OR(Registro!D726="Resuelto",Registro!D726=""),"",SUM(B727,E727,H727,K727))</f>
        <v/>
      </c>
      <c r="O727" s="46" t="str">
        <f>IF(OR(Registro!D726="Resuelto",Registro!D726=""),"",_xlfn.CONCAT(A727,D727,G727,J727))</f>
        <v/>
      </c>
      <c r="P727" s="47">
        <v>719</v>
      </c>
      <c r="Q727" s="47" t="str">
        <f t="shared" ca="1" si="33"/>
        <v/>
      </c>
      <c r="R727" s="48" t="str">
        <f t="shared" ca="1" si="34"/>
        <v/>
      </c>
      <c r="S727" s="32"/>
      <c r="T727" s="32"/>
      <c r="U727" s="32"/>
      <c r="V727" s="32"/>
      <c r="W727" s="47" t="str">
        <f>IF(X727="","",MAX($W$5:W726)+1)</f>
        <v/>
      </c>
      <c r="X727" s="50" t="str">
        <f>IF(Registro!M726="","",IF(COUNTIF($X$8:X726,Registro!M726)=0,Registro!M726,""))</f>
        <v/>
      </c>
      <c r="Y727" s="50" t="str">
        <f t="shared" si="35"/>
        <v/>
      </c>
    </row>
    <row r="728" spans="1:25">
      <c r="A728" s="45" t="str">
        <f>IF(AND(Registro!D727="Abierto",Registro!E727="Urgente"),Registro!B727,"")</f>
        <v/>
      </c>
      <c r="B728" s="45" t="str">
        <f ca="1">IF(AND(Registro!D727="Abierto",Registro!E727="Urgente"),TODAY()-Registro!R727,"")</f>
        <v/>
      </c>
      <c r="C728" s="45" t="str">
        <f>IF(AND(Registro!D727="Abierto",Registro!E727="Urgente"),RANK(B728,$B$9:$B$1000,0)+COUNTIF($B$9:B728,B728)-1,"")</f>
        <v/>
      </c>
      <c r="D728" s="45" t="str">
        <f>IF(AND(Registro!D727="Abierto",Registro!E727="Alta"),Registro!B727,"")</f>
        <v/>
      </c>
      <c r="E728" s="45" t="str">
        <f ca="1">IF(AND(Registro!D727="Abierto",Registro!E727="Alta"),TODAY()-Registro!R727,"")</f>
        <v/>
      </c>
      <c r="F728" s="45" t="str">
        <f>IF(AND(Registro!D727="Abierto",Registro!E727="Alta"),RANK(E728,$E$9:$E$1000,0)+COUNTIF($E$9:E728,E728)-1+MAX(C$5:C$1000),"")</f>
        <v/>
      </c>
      <c r="G728" s="45" t="str">
        <f>IF(AND(Registro!D727="Abierto",Registro!E727="Media"),Registro!B727,"")</f>
        <v/>
      </c>
      <c r="H728" s="45" t="str">
        <f ca="1">IF(AND(Registro!D727="Abierto",Registro!E727="Media"),TODAY()-Registro!R727,"")</f>
        <v/>
      </c>
      <c r="I728" s="45" t="str">
        <f>IF(AND(Registro!D727="Abierto",Registro!E727="Media"),RANK(H728,$H$9:$H$1000,0)+COUNTIF($H$9:H728,H728)-1+MAX(C$5:C$1000,F$5:F$1000),"")</f>
        <v/>
      </c>
      <c r="J728" s="45" t="str">
        <f>IF(AND(Registro!D727="Abierto",Registro!E727="Baja"),Registro!B727,"")</f>
        <v/>
      </c>
      <c r="K728" s="45" t="str">
        <f ca="1">IF(AND(Registro!D727="Abierto",Registro!E727="Baja"),TODAY()-Registro!R727,"")</f>
        <v/>
      </c>
      <c r="L728" s="45" t="str">
        <f>IF(AND(Registro!D727="Abierto",Registro!E727="Baja"),RANK(K728,$K$9:$K$1000,0)+COUNTIF($K$9:K728,K728)-1+MAX(C$5:C$1000,F$5:F$1000,I$5:I$1000),"")</f>
        <v/>
      </c>
      <c r="M728" s="46" t="str">
        <f>IF(OR(Registro!D727="Resuelto",Registro!D727=""),"",SUM(C728,F728,I728,L728))</f>
        <v/>
      </c>
      <c r="N728" s="46" t="str">
        <f>IF(OR(Registro!D727="Resuelto",Registro!D727=""),"",SUM(B728,E728,H728,K728))</f>
        <v/>
      </c>
      <c r="O728" s="46" t="str">
        <f>IF(OR(Registro!D727="Resuelto",Registro!D727=""),"",_xlfn.CONCAT(A728,D728,G728,J728))</f>
        <v/>
      </c>
      <c r="P728" s="47">
        <v>720</v>
      </c>
      <c r="Q728" s="47" t="str">
        <f t="shared" ca="1" si="33"/>
        <v/>
      </c>
      <c r="R728" s="48" t="str">
        <f t="shared" ca="1" si="34"/>
        <v/>
      </c>
      <c r="S728" s="32"/>
      <c r="T728" s="32"/>
      <c r="U728" s="32"/>
      <c r="V728" s="32"/>
      <c r="W728" s="47" t="str">
        <f>IF(X728="","",MAX($W$5:W727)+1)</f>
        <v/>
      </c>
      <c r="X728" s="50" t="str">
        <f>IF(Registro!M727="","",IF(COUNTIF($X$8:X727,Registro!M727)=0,Registro!M727,""))</f>
        <v/>
      </c>
      <c r="Y728" s="50" t="str">
        <f t="shared" si="35"/>
        <v/>
      </c>
    </row>
    <row r="729" spans="1:25">
      <c r="A729" s="45" t="str">
        <f>IF(AND(Registro!D728="Abierto",Registro!E728="Urgente"),Registro!B728,"")</f>
        <v/>
      </c>
      <c r="B729" s="45" t="str">
        <f ca="1">IF(AND(Registro!D728="Abierto",Registro!E728="Urgente"),TODAY()-Registro!R728,"")</f>
        <v/>
      </c>
      <c r="C729" s="45" t="str">
        <f>IF(AND(Registro!D728="Abierto",Registro!E728="Urgente"),RANK(B729,$B$9:$B$1000,0)+COUNTIF($B$9:B729,B729)-1,"")</f>
        <v/>
      </c>
      <c r="D729" s="45" t="str">
        <f>IF(AND(Registro!D728="Abierto",Registro!E728="Alta"),Registro!B728,"")</f>
        <v/>
      </c>
      <c r="E729" s="45" t="str">
        <f ca="1">IF(AND(Registro!D728="Abierto",Registro!E728="Alta"),TODAY()-Registro!R728,"")</f>
        <v/>
      </c>
      <c r="F729" s="45" t="str">
        <f>IF(AND(Registro!D728="Abierto",Registro!E728="Alta"),RANK(E729,$E$9:$E$1000,0)+COUNTIF($E$9:E729,E729)-1+MAX(C$5:C$1000),"")</f>
        <v/>
      </c>
      <c r="G729" s="45" t="str">
        <f>IF(AND(Registro!D728="Abierto",Registro!E728="Media"),Registro!B728,"")</f>
        <v/>
      </c>
      <c r="H729" s="45" t="str">
        <f ca="1">IF(AND(Registro!D728="Abierto",Registro!E728="Media"),TODAY()-Registro!R728,"")</f>
        <v/>
      </c>
      <c r="I729" s="45" t="str">
        <f>IF(AND(Registro!D728="Abierto",Registro!E728="Media"),RANK(H729,$H$9:$H$1000,0)+COUNTIF($H$9:H729,H729)-1+MAX(C$5:C$1000,F$5:F$1000),"")</f>
        <v/>
      </c>
      <c r="J729" s="45" t="str">
        <f>IF(AND(Registro!D728="Abierto",Registro!E728="Baja"),Registro!B728,"")</f>
        <v/>
      </c>
      <c r="K729" s="45" t="str">
        <f ca="1">IF(AND(Registro!D728="Abierto",Registro!E728="Baja"),TODAY()-Registro!R728,"")</f>
        <v/>
      </c>
      <c r="L729" s="45" t="str">
        <f>IF(AND(Registro!D728="Abierto",Registro!E728="Baja"),RANK(K729,$K$9:$K$1000,0)+COUNTIF($K$9:K729,K729)-1+MAX(C$5:C$1000,F$5:F$1000,I$5:I$1000),"")</f>
        <v/>
      </c>
      <c r="M729" s="46" t="str">
        <f>IF(OR(Registro!D728="Resuelto",Registro!D728=""),"",SUM(C729,F729,I729,L729))</f>
        <v/>
      </c>
      <c r="N729" s="46" t="str">
        <f>IF(OR(Registro!D728="Resuelto",Registro!D728=""),"",SUM(B729,E729,H729,K729))</f>
        <v/>
      </c>
      <c r="O729" s="46" t="str">
        <f>IF(OR(Registro!D728="Resuelto",Registro!D728=""),"",_xlfn.CONCAT(A729,D729,G729,J729))</f>
        <v/>
      </c>
      <c r="P729" s="47">
        <v>721</v>
      </c>
      <c r="Q729" s="47" t="str">
        <f t="shared" ca="1" si="33"/>
        <v/>
      </c>
      <c r="R729" s="48" t="str">
        <f t="shared" ca="1" si="34"/>
        <v/>
      </c>
      <c r="S729" s="32"/>
      <c r="T729" s="32"/>
      <c r="U729" s="32"/>
      <c r="V729" s="32"/>
      <c r="W729" s="47" t="str">
        <f>IF(X729="","",MAX($W$5:W728)+1)</f>
        <v/>
      </c>
      <c r="X729" s="50" t="str">
        <f>IF(Registro!M728="","",IF(COUNTIF($X$8:X728,Registro!M728)=0,Registro!M728,""))</f>
        <v/>
      </c>
      <c r="Y729" s="50" t="str">
        <f t="shared" si="35"/>
        <v/>
      </c>
    </row>
    <row r="730" spans="1:25">
      <c r="A730" s="45" t="str">
        <f>IF(AND(Registro!D729="Abierto",Registro!E729="Urgente"),Registro!B729,"")</f>
        <v/>
      </c>
      <c r="B730" s="45" t="str">
        <f ca="1">IF(AND(Registro!D729="Abierto",Registro!E729="Urgente"),TODAY()-Registro!R729,"")</f>
        <v/>
      </c>
      <c r="C730" s="45" t="str">
        <f>IF(AND(Registro!D729="Abierto",Registro!E729="Urgente"),RANK(B730,$B$9:$B$1000,0)+COUNTIF($B$9:B730,B730)-1,"")</f>
        <v/>
      </c>
      <c r="D730" s="45" t="str">
        <f>IF(AND(Registro!D729="Abierto",Registro!E729="Alta"),Registro!B729,"")</f>
        <v/>
      </c>
      <c r="E730" s="45" t="str">
        <f ca="1">IF(AND(Registro!D729="Abierto",Registro!E729="Alta"),TODAY()-Registro!R729,"")</f>
        <v/>
      </c>
      <c r="F730" s="45" t="str">
        <f>IF(AND(Registro!D729="Abierto",Registro!E729="Alta"),RANK(E730,$E$9:$E$1000,0)+COUNTIF($E$9:E730,E730)-1+MAX(C$5:C$1000),"")</f>
        <v/>
      </c>
      <c r="G730" s="45" t="str">
        <f>IF(AND(Registro!D729="Abierto",Registro!E729="Media"),Registro!B729,"")</f>
        <v/>
      </c>
      <c r="H730" s="45" t="str">
        <f ca="1">IF(AND(Registro!D729="Abierto",Registro!E729="Media"),TODAY()-Registro!R729,"")</f>
        <v/>
      </c>
      <c r="I730" s="45" t="str">
        <f>IF(AND(Registro!D729="Abierto",Registro!E729="Media"),RANK(H730,$H$9:$H$1000,0)+COUNTIF($H$9:H730,H730)-1+MAX(C$5:C$1000,F$5:F$1000),"")</f>
        <v/>
      </c>
      <c r="J730" s="45" t="str">
        <f>IF(AND(Registro!D729="Abierto",Registro!E729="Baja"),Registro!B729,"")</f>
        <v/>
      </c>
      <c r="K730" s="45" t="str">
        <f ca="1">IF(AND(Registro!D729="Abierto",Registro!E729="Baja"),TODAY()-Registro!R729,"")</f>
        <v/>
      </c>
      <c r="L730" s="45" t="str">
        <f>IF(AND(Registro!D729="Abierto",Registro!E729="Baja"),RANK(K730,$K$9:$K$1000,0)+COUNTIF($K$9:K730,K730)-1+MAX(C$5:C$1000,F$5:F$1000,I$5:I$1000),"")</f>
        <v/>
      </c>
      <c r="M730" s="46" t="str">
        <f>IF(OR(Registro!D729="Resuelto",Registro!D729=""),"",SUM(C730,F730,I730,L730))</f>
        <v/>
      </c>
      <c r="N730" s="46" t="str">
        <f>IF(OR(Registro!D729="Resuelto",Registro!D729=""),"",SUM(B730,E730,H730,K730))</f>
        <v/>
      </c>
      <c r="O730" s="46" t="str">
        <f>IF(OR(Registro!D729="Resuelto",Registro!D729=""),"",_xlfn.CONCAT(A730,D730,G730,J730))</f>
        <v/>
      </c>
      <c r="P730" s="47">
        <v>722</v>
      </c>
      <c r="Q730" s="47" t="str">
        <f t="shared" ca="1" si="33"/>
        <v/>
      </c>
      <c r="R730" s="48" t="str">
        <f t="shared" ca="1" si="34"/>
        <v/>
      </c>
      <c r="S730" s="32"/>
      <c r="T730" s="32"/>
      <c r="U730" s="32"/>
      <c r="V730" s="32"/>
      <c r="W730" s="47" t="str">
        <f>IF(X730="","",MAX($W$5:W729)+1)</f>
        <v/>
      </c>
      <c r="X730" s="50" t="str">
        <f>IF(Registro!M729="","",IF(COUNTIF($X$8:X729,Registro!M729)=0,Registro!M729,""))</f>
        <v/>
      </c>
      <c r="Y730" s="50" t="str">
        <f t="shared" si="35"/>
        <v/>
      </c>
    </row>
    <row r="731" spans="1:25">
      <c r="A731" s="45" t="str">
        <f>IF(AND(Registro!D730="Abierto",Registro!E730="Urgente"),Registro!B730,"")</f>
        <v/>
      </c>
      <c r="B731" s="45" t="str">
        <f ca="1">IF(AND(Registro!D730="Abierto",Registro!E730="Urgente"),TODAY()-Registro!R730,"")</f>
        <v/>
      </c>
      <c r="C731" s="45" t="str">
        <f>IF(AND(Registro!D730="Abierto",Registro!E730="Urgente"),RANK(B731,$B$9:$B$1000,0)+COUNTIF($B$9:B731,B731)-1,"")</f>
        <v/>
      </c>
      <c r="D731" s="45" t="str">
        <f>IF(AND(Registro!D730="Abierto",Registro!E730="Alta"),Registro!B730,"")</f>
        <v/>
      </c>
      <c r="E731" s="45" t="str">
        <f ca="1">IF(AND(Registro!D730="Abierto",Registro!E730="Alta"),TODAY()-Registro!R730,"")</f>
        <v/>
      </c>
      <c r="F731" s="45" t="str">
        <f>IF(AND(Registro!D730="Abierto",Registro!E730="Alta"),RANK(E731,$E$9:$E$1000,0)+COUNTIF($E$9:E731,E731)-1+MAX(C$5:C$1000),"")</f>
        <v/>
      </c>
      <c r="G731" s="45" t="str">
        <f>IF(AND(Registro!D730="Abierto",Registro!E730="Media"),Registro!B730,"")</f>
        <v/>
      </c>
      <c r="H731" s="45" t="str">
        <f ca="1">IF(AND(Registro!D730="Abierto",Registro!E730="Media"),TODAY()-Registro!R730,"")</f>
        <v/>
      </c>
      <c r="I731" s="45" t="str">
        <f>IF(AND(Registro!D730="Abierto",Registro!E730="Media"),RANK(H731,$H$9:$H$1000,0)+COUNTIF($H$9:H731,H731)-1+MAX(C$5:C$1000,F$5:F$1000),"")</f>
        <v/>
      </c>
      <c r="J731" s="45" t="str">
        <f>IF(AND(Registro!D730="Abierto",Registro!E730="Baja"),Registro!B730,"")</f>
        <v/>
      </c>
      <c r="K731" s="45" t="str">
        <f ca="1">IF(AND(Registro!D730="Abierto",Registro!E730="Baja"),TODAY()-Registro!R730,"")</f>
        <v/>
      </c>
      <c r="L731" s="45" t="str">
        <f>IF(AND(Registro!D730="Abierto",Registro!E730="Baja"),RANK(K731,$K$9:$K$1000,0)+COUNTIF($K$9:K731,K731)-1+MAX(C$5:C$1000,F$5:F$1000,I$5:I$1000),"")</f>
        <v/>
      </c>
      <c r="M731" s="46" t="str">
        <f>IF(OR(Registro!D730="Resuelto",Registro!D730=""),"",SUM(C731,F731,I731,L731))</f>
        <v/>
      </c>
      <c r="N731" s="46" t="str">
        <f>IF(OR(Registro!D730="Resuelto",Registro!D730=""),"",SUM(B731,E731,H731,K731))</f>
        <v/>
      </c>
      <c r="O731" s="46" t="str">
        <f>IF(OR(Registro!D730="Resuelto",Registro!D730=""),"",_xlfn.CONCAT(A731,D731,G731,J731))</f>
        <v/>
      </c>
      <c r="P731" s="47">
        <v>723</v>
      </c>
      <c r="Q731" s="47" t="str">
        <f t="shared" ca="1" si="33"/>
        <v/>
      </c>
      <c r="R731" s="48" t="str">
        <f t="shared" ca="1" si="34"/>
        <v/>
      </c>
      <c r="S731" s="32"/>
      <c r="T731" s="32"/>
      <c r="U731" s="32"/>
      <c r="V731" s="32"/>
      <c r="W731" s="47" t="str">
        <f>IF(X731="","",MAX($W$5:W730)+1)</f>
        <v/>
      </c>
      <c r="X731" s="50" t="str">
        <f>IF(Registro!M730="","",IF(COUNTIF($X$8:X730,Registro!M730)=0,Registro!M730,""))</f>
        <v/>
      </c>
      <c r="Y731" s="50" t="str">
        <f t="shared" si="35"/>
        <v/>
      </c>
    </row>
    <row r="732" spans="1:25">
      <c r="A732" s="45" t="str">
        <f>IF(AND(Registro!D731="Abierto",Registro!E731="Urgente"),Registro!B731,"")</f>
        <v/>
      </c>
      <c r="B732" s="45" t="str">
        <f ca="1">IF(AND(Registro!D731="Abierto",Registro!E731="Urgente"),TODAY()-Registro!R731,"")</f>
        <v/>
      </c>
      <c r="C732" s="45" t="str">
        <f>IF(AND(Registro!D731="Abierto",Registro!E731="Urgente"),RANK(B732,$B$9:$B$1000,0)+COUNTIF($B$9:B732,B732)-1,"")</f>
        <v/>
      </c>
      <c r="D732" s="45" t="str">
        <f>IF(AND(Registro!D731="Abierto",Registro!E731="Alta"),Registro!B731,"")</f>
        <v/>
      </c>
      <c r="E732" s="45" t="str">
        <f ca="1">IF(AND(Registro!D731="Abierto",Registro!E731="Alta"),TODAY()-Registro!R731,"")</f>
        <v/>
      </c>
      <c r="F732" s="45" t="str">
        <f>IF(AND(Registro!D731="Abierto",Registro!E731="Alta"),RANK(E732,$E$9:$E$1000,0)+COUNTIF($E$9:E732,E732)-1+MAX(C$5:C$1000),"")</f>
        <v/>
      </c>
      <c r="G732" s="45" t="str">
        <f>IF(AND(Registro!D731="Abierto",Registro!E731="Media"),Registro!B731,"")</f>
        <v/>
      </c>
      <c r="H732" s="45" t="str">
        <f ca="1">IF(AND(Registro!D731="Abierto",Registro!E731="Media"),TODAY()-Registro!R731,"")</f>
        <v/>
      </c>
      <c r="I732" s="45" t="str">
        <f>IF(AND(Registro!D731="Abierto",Registro!E731="Media"),RANK(H732,$H$9:$H$1000,0)+COUNTIF($H$9:H732,H732)-1+MAX(C$5:C$1000,F$5:F$1000),"")</f>
        <v/>
      </c>
      <c r="J732" s="45" t="str">
        <f>IF(AND(Registro!D731="Abierto",Registro!E731="Baja"),Registro!B731,"")</f>
        <v/>
      </c>
      <c r="K732" s="45" t="str">
        <f ca="1">IF(AND(Registro!D731="Abierto",Registro!E731="Baja"),TODAY()-Registro!R731,"")</f>
        <v/>
      </c>
      <c r="L732" s="45" t="str">
        <f>IF(AND(Registro!D731="Abierto",Registro!E731="Baja"),RANK(K732,$K$9:$K$1000,0)+COUNTIF($K$9:K732,K732)-1+MAX(C$5:C$1000,F$5:F$1000,I$5:I$1000),"")</f>
        <v/>
      </c>
      <c r="M732" s="46" t="str">
        <f>IF(OR(Registro!D731="Resuelto",Registro!D731=""),"",SUM(C732,F732,I732,L732))</f>
        <v/>
      </c>
      <c r="N732" s="46" t="str">
        <f>IF(OR(Registro!D731="Resuelto",Registro!D731=""),"",SUM(B732,E732,H732,K732))</f>
        <v/>
      </c>
      <c r="O732" s="46" t="str">
        <f>IF(OR(Registro!D731="Resuelto",Registro!D731=""),"",_xlfn.CONCAT(A732,D732,G732,J732))</f>
        <v/>
      </c>
      <c r="P732" s="47">
        <v>724</v>
      </c>
      <c r="Q732" s="47" t="str">
        <f t="shared" ca="1" si="33"/>
        <v/>
      </c>
      <c r="R732" s="48" t="str">
        <f t="shared" ca="1" si="34"/>
        <v/>
      </c>
      <c r="S732" s="32"/>
      <c r="T732" s="32"/>
      <c r="U732" s="32"/>
      <c r="V732" s="32"/>
      <c r="W732" s="47" t="str">
        <f>IF(X732="","",MAX($W$5:W731)+1)</f>
        <v/>
      </c>
      <c r="X732" s="50" t="str">
        <f>IF(Registro!M731="","",IF(COUNTIF($X$8:X731,Registro!M731)=0,Registro!M731,""))</f>
        <v/>
      </c>
      <c r="Y732" s="50" t="str">
        <f t="shared" si="35"/>
        <v/>
      </c>
    </row>
    <row r="733" spans="1:25">
      <c r="A733" s="45" t="str">
        <f>IF(AND(Registro!D732="Abierto",Registro!E732="Urgente"),Registro!B732,"")</f>
        <v/>
      </c>
      <c r="B733" s="45" t="str">
        <f ca="1">IF(AND(Registro!D732="Abierto",Registro!E732="Urgente"),TODAY()-Registro!R732,"")</f>
        <v/>
      </c>
      <c r="C733" s="45" t="str">
        <f>IF(AND(Registro!D732="Abierto",Registro!E732="Urgente"),RANK(B733,$B$9:$B$1000,0)+COUNTIF($B$9:B733,B733)-1,"")</f>
        <v/>
      </c>
      <c r="D733" s="45" t="str">
        <f>IF(AND(Registro!D732="Abierto",Registro!E732="Alta"),Registro!B732,"")</f>
        <v/>
      </c>
      <c r="E733" s="45" t="str">
        <f ca="1">IF(AND(Registro!D732="Abierto",Registro!E732="Alta"),TODAY()-Registro!R732,"")</f>
        <v/>
      </c>
      <c r="F733" s="45" t="str">
        <f>IF(AND(Registro!D732="Abierto",Registro!E732="Alta"),RANK(E733,$E$9:$E$1000,0)+COUNTIF($E$9:E733,E733)-1+MAX(C$5:C$1000),"")</f>
        <v/>
      </c>
      <c r="G733" s="45" t="str">
        <f>IF(AND(Registro!D732="Abierto",Registro!E732="Media"),Registro!B732,"")</f>
        <v/>
      </c>
      <c r="H733" s="45" t="str">
        <f ca="1">IF(AND(Registro!D732="Abierto",Registro!E732="Media"),TODAY()-Registro!R732,"")</f>
        <v/>
      </c>
      <c r="I733" s="45" t="str">
        <f>IF(AND(Registro!D732="Abierto",Registro!E732="Media"),RANK(H733,$H$9:$H$1000,0)+COUNTIF($H$9:H733,H733)-1+MAX(C$5:C$1000,F$5:F$1000),"")</f>
        <v/>
      </c>
      <c r="J733" s="45" t="str">
        <f>IF(AND(Registro!D732="Abierto",Registro!E732="Baja"),Registro!B732,"")</f>
        <v/>
      </c>
      <c r="K733" s="45" t="str">
        <f ca="1">IF(AND(Registro!D732="Abierto",Registro!E732="Baja"),TODAY()-Registro!R732,"")</f>
        <v/>
      </c>
      <c r="L733" s="45" t="str">
        <f>IF(AND(Registro!D732="Abierto",Registro!E732="Baja"),RANK(K733,$K$9:$K$1000,0)+COUNTIF($K$9:K733,K733)-1+MAX(C$5:C$1000,F$5:F$1000,I$5:I$1000),"")</f>
        <v/>
      </c>
      <c r="M733" s="46" t="str">
        <f>IF(OR(Registro!D732="Resuelto",Registro!D732=""),"",SUM(C733,F733,I733,L733))</f>
        <v/>
      </c>
      <c r="N733" s="46" t="str">
        <f>IF(OR(Registro!D732="Resuelto",Registro!D732=""),"",SUM(B733,E733,H733,K733))</f>
        <v/>
      </c>
      <c r="O733" s="46" t="str">
        <f>IF(OR(Registro!D732="Resuelto",Registro!D732=""),"",_xlfn.CONCAT(A733,D733,G733,J733))</f>
        <v/>
      </c>
      <c r="P733" s="47">
        <v>725</v>
      </c>
      <c r="Q733" s="47" t="str">
        <f t="shared" ca="1" si="33"/>
        <v/>
      </c>
      <c r="R733" s="48" t="str">
        <f t="shared" ca="1" si="34"/>
        <v/>
      </c>
      <c r="S733" s="32"/>
      <c r="T733" s="32"/>
      <c r="U733" s="32"/>
      <c r="V733" s="32"/>
      <c r="W733" s="47" t="str">
        <f>IF(X733="","",MAX($W$5:W732)+1)</f>
        <v/>
      </c>
      <c r="X733" s="50" t="str">
        <f>IF(Registro!M732="","",IF(COUNTIF($X$8:X732,Registro!M732)=0,Registro!M732,""))</f>
        <v/>
      </c>
      <c r="Y733" s="50" t="str">
        <f t="shared" si="35"/>
        <v/>
      </c>
    </row>
    <row r="734" spans="1:25">
      <c r="A734" s="45" t="str">
        <f>IF(AND(Registro!D733="Abierto",Registro!E733="Urgente"),Registro!B733,"")</f>
        <v/>
      </c>
      <c r="B734" s="45" t="str">
        <f ca="1">IF(AND(Registro!D733="Abierto",Registro!E733="Urgente"),TODAY()-Registro!R733,"")</f>
        <v/>
      </c>
      <c r="C734" s="45" t="str">
        <f>IF(AND(Registro!D733="Abierto",Registro!E733="Urgente"),RANK(B734,$B$9:$B$1000,0)+COUNTIF($B$9:B734,B734)-1,"")</f>
        <v/>
      </c>
      <c r="D734" s="45" t="str">
        <f>IF(AND(Registro!D733="Abierto",Registro!E733="Alta"),Registro!B733,"")</f>
        <v/>
      </c>
      <c r="E734" s="45" t="str">
        <f ca="1">IF(AND(Registro!D733="Abierto",Registro!E733="Alta"),TODAY()-Registro!R733,"")</f>
        <v/>
      </c>
      <c r="F734" s="45" t="str">
        <f>IF(AND(Registro!D733="Abierto",Registro!E733="Alta"),RANK(E734,$E$9:$E$1000,0)+COUNTIF($E$9:E734,E734)-1+MAX(C$5:C$1000),"")</f>
        <v/>
      </c>
      <c r="G734" s="45" t="str">
        <f>IF(AND(Registro!D733="Abierto",Registro!E733="Media"),Registro!B733,"")</f>
        <v/>
      </c>
      <c r="H734" s="45" t="str">
        <f ca="1">IF(AND(Registro!D733="Abierto",Registro!E733="Media"),TODAY()-Registro!R733,"")</f>
        <v/>
      </c>
      <c r="I734" s="45" t="str">
        <f>IF(AND(Registro!D733="Abierto",Registro!E733="Media"),RANK(H734,$H$9:$H$1000,0)+COUNTIF($H$9:H734,H734)-1+MAX(C$5:C$1000,F$5:F$1000),"")</f>
        <v/>
      </c>
      <c r="J734" s="45" t="str">
        <f>IF(AND(Registro!D733="Abierto",Registro!E733="Baja"),Registro!B733,"")</f>
        <v/>
      </c>
      <c r="K734" s="45" t="str">
        <f ca="1">IF(AND(Registro!D733="Abierto",Registro!E733="Baja"),TODAY()-Registro!R733,"")</f>
        <v/>
      </c>
      <c r="L734" s="45" t="str">
        <f>IF(AND(Registro!D733="Abierto",Registro!E733="Baja"),RANK(K734,$K$9:$K$1000,0)+COUNTIF($K$9:K734,K734)-1+MAX(C$5:C$1000,F$5:F$1000,I$5:I$1000),"")</f>
        <v/>
      </c>
      <c r="M734" s="46" t="str">
        <f>IF(OR(Registro!D733="Resuelto",Registro!D733=""),"",SUM(C734,F734,I734,L734))</f>
        <v/>
      </c>
      <c r="N734" s="46" t="str">
        <f>IF(OR(Registro!D733="Resuelto",Registro!D733=""),"",SUM(B734,E734,H734,K734))</f>
        <v/>
      </c>
      <c r="O734" s="46" t="str">
        <f>IF(OR(Registro!D733="Resuelto",Registro!D733=""),"",_xlfn.CONCAT(A734,D734,G734,J734))</f>
        <v/>
      </c>
      <c r="P734" s="47">
        <v>726</v>
      </c>
      <c r="Q734" s="47" t="str">
        <f t="shared" ca="1" si="33"/>
        <v/>
      </c>
      <c r="R734" s="48" t="str">
        <f t="shared" ca="1" si="34"/>
        <v/>
      </c>
      <c r="S734" s="32"/>
      <c r="T734" s="32"/>
      <c r="U734" s="32"/>
      <c r="V734" s="32"/>
      <c r="W734" s="47" t="str">
        <f>IF(X734="","",MAX($W$5:W733)+1)</f>
        <v/>
      </c>
      <c r="X734" s="50" t="str">
        <f>IF(Registro!M733="","",IF(COUNTIF($X$8:X733,Registro!M733)=0,Registro!M733,""))</f>
        <v/>
      </c>
      <c r="Y734" s="50" t="str">
        <f t="shared" si="35"/>
        <v/>
      </c>
    </row>
    <row r="735" spans="1:25">
      <c r="A735" s="45" t="str">
        <f>IF(AND(Registro!D734="Abierto",Registro!E734="Urgente"),Registro!B734,"")</f>
        <v/>
      </c>
      <c r="B735" s="45" t="str">
        <f ca="1">IF(AND(Registro!D734="Abierto",Registro!E734="Urgente"),TODAY()-Registro!R734,"")</f>
        <v/>
      </c>
      <c r="C735" s="45" t="str">
        <f>IF(AND(Registro!D734="Abierto",Registro!E734="Urgente"),RANK(B735,$B$9:$B$1000,0)+COUNTIF($B$9:B735,B735)-1,"")</f>
        <v/>
      </c>
      <c r="D735" s="45" t="str">
        <f>IF(AND(Registro!D734="Abierto",Registro!E734="Alta"),Registro!B734,"")</f>
        <v/>
      </c>
      <c r="E735" s="45" t="str">
        <f ca="1">IF(AND(Registro!D734="Abierto",Registro!E734="Alta"),TODAY()-Registro!R734,"")</f>
        <v/>
      </c>
      <c r="F735" s="45" t="str">
        <f>IF(AND(Registro!D734="Abierto",Registro!E734="Alta"),RANK(E735,$E$9:$E$1000,0)+COUNTIF($E$9:E735,E735)-1+MAX(C$5:C$1000),"")</f>
        <v/>
      </c>
      <c r="G735" s="45" t="str">
        <f>IF(AND(Registro!D734="Abierto",Registro!E734="Media"),Registro!B734,"")</f>
        <v/>
      </c>
      <c r="H735" s="45" t="str">
        <f ca="1">IF(AND(Registro!D734="Abierto",Registro!E734="Media"),TODAY()-Registro!R734,"")</f>
        <v/>
      </c>
      <c r="I735" s="45" t="str">
        <f>IF(AND(Registro!D734="Abierto",Registro!E734="Media"),RANK(H735,$H$9:$H$1000,0)+COUNTIF($H$9:H735,H735)-1+MAX(C$5:C$1000,F$5:F$1000),"")</f>
        <v/>
      </c>
      <c r="J735" s="45" t="str">
        <f>IF(AND(Registro!D734="Abierto",Registro!E734="Baja"),Registro!B734,"")</f>
        <v/>
      </c>
      <c r="K735" s="45" t="str">
        <f ca="1">IF(AND(Registro!D734="Abierto",Registro!E734="Baja"),TODAY()-Registro!R734,"")</f>
        <v/>
      </c>
      <c r="L735" s="45" t="str">
        <f>IF(AND(Registro!D734="Abierto",Registro!E734="Baja"),RANK(K735,$K$9:$K$1000,0)+COUNTIF($K$9:K735,K735)-1+MAX(C$5:C$1000,F$5:F$1000,I$5:I$1000),"")</f>
        <v/>
      </c>
      <c r="M735" s="46" t="str">
        <f>IF(OR(Registro!D734="Resuelto",Registro!D734=""),"",SUM(C735,F735,I735,L735))</f>
        <v/>
      </c>
      <c r="N735" s="46" t="str">
        <f>IF(OR(Registro!D734="Resuelto",Registro!D734=""),"",SUM(B735,E735,H735,K735))</f>
        <v/>
      </c>
      <c r="O735" s="46" t="str">
        <f>IF(OR(Registro!D734="Resuelto",Registro!D734=""),"",_xlfn.CONCAT(A735,D735,G735,J735))</f>
        <v/>
      </c>
      <c r="P735" s="47">
        <v>727</v>
      </c>
      <c r="Q735" s="47" t="str">
        <f t="shared" ca="1" si="33"/>
        <v/>
      </c>
      <c r="R735" s="48" t="str">
        <f t="shared" ca="1" si="34"/>
        <v/>
      </c>
      <c r="S735" s="32"/>
      <c r="T735" s="32"/>
      <c r="U735" s="32"/>
      <c r="V735" s="32"/>
      <c r="W735" s="47" t="str">
        <f>IF(X735="","",MAX($W$5:W734)+1)</f>
        <v/>
      </c>
      <c r="X735" s="50" t="str">
        <f>IF(Registro!M734="","",IF(COUNTIF($X$8:X734,Registro!M734)=0,Registro!M734,""))</f>
        <v/>
      </c>
      <c r="Y735" s="50" t="str">
        <f t="shared" si="35"/>
        <v/>
      </c>
    </row>
    <row r="736" spans="1:25">
      <c r="A736" s="45" t="str">
        <f>IF(AND(Registro!D735="Abierto",Registro!E735="Urgente"),Registro!B735,"")</f>
        <v/>
      </c>
      <c r="B736" s="45" t="str">
        <f ca="1">IF(AND(Registro!D735="Abierto",Registro!E735="Urgente"),TODAY()-Registro!R735,"")</f>
        <v/>
      </c>
      <c r="C736" s="45" t="str">
        <f>IF(AND(Registro!D735="Abierto",Registro!E735="Urgente"),RANK(B736,$B$9:$B$1000,0)+COUNTIF($B$9:B736,B736)-1,"")</f>
        <v/>
      </c>
      <c r="D736" s="45" t="str">
        <f>IF(AND(Registro!D735="Abierto",Registro!E735="Alta"),Registro!B735,"")</f>
        <v/>
      </c>
      <c r="E736" s="45" t="str">
        <f ca="1">IF(AND(Registro!D735="Abierto",Registro!E735="Alta"),TODAY()-Registro!R735,"")</f>
        <v/>
      </c>
      <c r="F736" s="45" t="str">
        <f>IF(AND(Registro!D735="Abierto",Registro!E735="Alta"),RANK(E736,$E$9:$E$1000,0)+COUNTIF($E$9:E736,E736)-1+MAX(C$5:C$1000),"")</f>
        <v/>
      </c>
      <c r="G736" s="45" t="str">
        <f>IF(AND(Registro!D735="Abierto",Registro!E735="Media"),Registro!B735,"")</f>
        <v/>
      </c>
      <c r="H736" s="45" t="str">
        <f ca="1">IF(AND(Registro!D735="Abierto",Registro!E735="Media"),TODAY()-Registro!R735,"")</f>
        <v/>
      </c>
      <c r="I736" s="45" t="str">
        <f>IF(AND(Registro!D735="Abierto",Registro!E735="Media"),RANK(H736,$H$9:$H$1000,0)+COUNTIF($H$9:H736,H736)-1+MAX(C$5:C$1000,F$5:F$1000),"")</f>
        <v/>
      </c>
      <c r="J736" s="45" t="str">
        <f>IF(AND(Registro!D735="Abierto",Registro!E735="Baja"),Registro!B735,"")</f>
        <v/>
      </c>
      <c r="K736" s="45" t="str">
        <f ca="1">IF(AND(Registro!D735="Abierto",Registro!E735="Baja"),TODAY()-Registro!R735,"")</f>
        <v/>
      </c>
      <c r="L736" s="45" t="str">
        <f>IF(AND(Registro!D735="Abierto",Registro!E735="Baja"),RANK(K736,$K$9:$K$1000,0)+COUNTIF($K$9:K736,K736)-1+MAX(C$5:C$1000,F$5:F$1000,I$5:I$1000),"")</f>
        <v/>
      </c>
      <c r="M736" s="46" t="str">
        <f>IF(OR(Registro!D735="Resuelto",Registro!D735=""),"",SUM(C736,F736,I736,L736))</f>
        <v/>
      </c>
      <c r="N736" s="46" t="str">
        <f>IF(OR(Registro!D735="Resuelto",Registro!D735=""),"",SUM(B736,E736,H736,K736))</f>
        <v/>
      </c>
      <c r="O736" s="46" t="str">
        <f>IF(OR(Registro!D735="Resuelto",Registro!D735=""),"",_xlfn.CONCAT(A736,D736,G736,J736))</f>
        <v/>
      </c>
      <c r="P736" s="47">
        <v>728</v>
      </c>
      <c r="Q736" s="47" t="str">
        <f t="shared" ca="1" si="33"/>
        <v/>
      </c>
      <c r="R736" s="48" t="str">
        <f t="shared" ca="1" si="34"/>
        <v/>
      </c>
      <c r="S736" s="32"/>
      <c r="T736" s="32"/>
      <c r="U736" s="32"/>
      <c r="V736" s="32"/>
      <c r="W736" s="47" t="str">
        <f>IF(X736="","",MAX($W$5:W735)+1)</f>
        <v/>
      </c>
      <c r="X736" s="50" t="str">
        <f>IF(Registro!M735="","",IF(COUNTIF($X$8:X735,Registro!M735)=0,Registro!M735,""))</f>
        <v/>
      </c>
      <c r="Y736" s="50" t="str">
        <f t="shared" si="35"/>
        <v/>
      </c>
    </row>
    <row r="737" spans="1:25">
      <c r="A737" s="45" t="str">
        <f>IF(AND(Registro!D736="Abierto",Registro!E736="Urgente"),Registro!B736,"")</f>
        <v/>
      </c>
      <c r="B737" s="45" t="str">
        <f ca="1">IF(AND(Registro!D736="Abierto",Registro!E736="Urgente"),TODAY()-Registro!R736,"")</f>
        <v/>
      </c>
      <c r="C737" s="45" t="str">
        <f>IF(AND(Registro!D736="Abierto",Registro!E736="Urgente"),RANK(B737,$B$9:$B$1000,0)+COUNTIF($B$9:B737,B737)-1,"")</f>
        <v/>
      </c>
      <c r="D737" s="45" t="str">
        <f>IF(AND(Registro!D736="Abierto",Registro!E736="Alta"),Registro!B736,"")</f>
        <v/>
      </c>
      <c r="E737" s="45" t="str">
        <f ca="1">IF(AND(Registro!D736="Abierto",Registro!E736="Alta"),TODAY()-Registro!R736,"")</f>
        <v/>
      </c>
      <c r="F737" s="45" t="str">
        <f>IF(AND(Registro!D736="Abierto",Registro!E736="Alta"),RANK(E737,$E$9:$E$1000,0)+COUNTIF($E$9:E737,E737)-1+MAX(C$5:C$1000),"")</f>
        <v/>
      </c>
      <c r="G737" s="45" t="str">
        <f>IF(AND(Registro!D736="Abierto",Registro!E736="Media"),Registro!B736,"")</f>
        <v/>
      </c>
      <c r="H737" s="45" t="str">
        <f ca="1">IF(AND(Registro!D736="Abierto",Registro!E736="Media"),TODAY()-Registro!R736,"")</f>
        <v/>
      </c>
      <c r="I737" s="45" t="str">
        <f>IF(AND(Registro!D736="Abierto",Registro!E736="Media"),RANK(H737,$H$9:$H$1000,0)+COUNTIF($H$9:H737,H737)-1+MAX(C$5:C$1000,F$5:F$1000),"")</f>
        <v/>
      </c>
      <c r="J737" s="45" t="str">
        <f>IF(AND(Registro!D736="Abierto",Registro!E736="Baja"),Registro!B736,"")</f>
        <v/>
      </c>
      <c r="K737" s="45" t="str">
        <f ca="1">IF(AND(Registro!D736="Abierto",Registro!E736="Baja"),TODAY()-Registro!R736,"")</f>
        <v/>
      </c>
      <c r="L737" s="45" t="str">
        <f>IF(AND(Registro!D736="Abierto",Registro!E736="Baja"),RANK(K737,$K$9:$K$1000,0)+COUNTIF($K$9:K737,K737)-1+MAX(C$5:C$1000,F$5:F$1000,I$5:I$1000),"")</f>
        <v/>
      </c>
      <c r="M737" s="46" t="str">
        <f>IF(OR(Registro!D736="Resuelto",Registro!D736=""),"",SUM(C737,F737,I737,L737))</f>
        <v/>
      </c>
      <c r="N737" s="46" t="str">
        <f>IF(OR(Registro!D736="Resuelto",Registro!D736=""),"",SUM(B737,E737,H737,K737))</f>
        <v/>
      </c>
      <c r="O737" s="46" t="str">
        <f>IF(OR(Registro!D736="Resuelto",Registro!D736=""),"",_xlfn.CONCAT(A737,D737,G737,J737))</f>
        <v/>
      </c>
      <c r="P737" s="47">
        <v>729</v>
      </c>
      <c r="Q737" s="47" t="str">
        <f t="shared" ca="1" si="33"/>
        <v/>
      </c>
      <c r="R737" s="48" t="str">
        <f t="shared" ca="1" si="34"/>
        <v/>
      </c>
      <c r="S737" s="32"/>
      <c r="T737" s="32"/>
      <c r="U737" s="32"/>
      <c r="V737" s="32"/>
      <c r="W737" s="47" t="str">
        <f>IF(X737="","",MAX($W$5:W736)+1)</f>
        <v/>
      </c>
      <c r="X737" s="50" t="str">
        <f>IF(Registro!M736="","",IF(COUNTIF($X$8:X736,Registro!M736)=0,Registro!M736,""))</f>
        <v/>
      </c>
      <c r="Y737" s="50" t="str">
        <f t="shared" si="35"/>
        <v/>
      </c>
    </row>
    <row r="738" spans="1:25">
      <c r="A738" s="45" t="str">
        <f>IF(AND(Registro!D737="Abierto",Registro!E737="Urgente"),Registro!B737,"")</f>
        <v/>
      </c>
      <c r="B738" s="45" t="str">
        <f ca="1">IF(AND(Registro!D737="Abierto",Registro!E737="Urgente"),TODAY()-Registro!R737,"")</f>
        <v/>
      </c>
      <c r="C738" s="45" t="str">
        <f>IF(AND(Registro!D737="Abierto",Registro!E737="Urgente"),RANK(B738,$B$9:$B$1000,0)+COUNTIF($B$9:B738,B738)-1,"")</f>
        <v/>
      </c>
      <c r="D738" s="45" t="str">
        <f>IF(AND(Registro!D737="Abierto",Registro!E737="Alta"),Registro!B737,"")</f>
        <v/>
      </c>
      <c r="E738" s="45" t="str">
        <f ca="1">IF(AND(Registro!D737="Abierto",Registro!E737="Alta"),TODAY()-Registro!R737,"")</f>
        <v/>
      </c>
      <c r="F738" s="45" t="str">
        <f>IF(AND(Registro!D737="Abierto",Registro!E737="Alta"),RANK(E738,$E$9:$E$1000,0)+COUNTIF($E$9:E738,E738)-1+MAX(C$5:C$1000),"")</f>
        <v/>
      </c>
      <c r="G738" s="45" t="str">
        <f>IF(AND(Registro!D737="Abierto",Registro!E737="Media"),Registro!B737,"")</f>
        <v/>
      </c>
      <c r="H738" s="45" t="str">
        <f ca="1">IF(AND(Registro!D737="Abierto",Registro!E737="Media"),TODAY()-Registro!R737,"")</f>
        <v/>
      </c>
      <c r="I738" s="45" t="str">
        <f>IF(AND(Registro!D737="Abierto",Registro!E737="Media"),RANK(H738,$H$9:$H$1000,0)+COUNTIF($H$9:H738,H738)-1+MAX(C$5:C$1000,F$5:F$1000),"")</f>
        <v/>
      </c>
      <c r="J738" s="45" t="str">
        <f>IF(AND(Registro!D737="Abierto",Registro!E737="Baja"),Registro!B737,"")</f>
        <v/>
      </c>
      <c r="K738" s="45" t="str">
        <f ca="1">IF(AND(Registro!D737="Abierto",Registro!E737="Baja"),TODAY()-Registro!R737,"")</f>
        <v/>
      </c>
      <c r="L738" s="45" t="str">
        <f>IF(AND(Registro!D737="Abierto",Registro!E737="Baja"),RANK(K738,$K$9:$K$1000,0)+COUNTIF($K$9:K738,K738)-1+MAX(C$5:C$1000,F$5:F$1000,I$5:I$1000),"")</f>
        <v/>
      </c>
      <c r="M738" s="46" t="str">
        <f>IF(OR(Registro!D737="Resuelto",Registro!D737=""),"",SUM(C738,F738,I738,L738))</f>
        <v/>
      </c>
      <c r="N738" s="46" t="str">
        <f>IF(OR(Registro!D737="Resuelto",Registro!D737=""),"",SUM(B738,E738,H738,K738))</f>
        <v/>
      </c>
      <c r="O738" s="46" t="str">
        <f>IF(OR(Registro!D737="Resuelto",Registro!D737=""),"",_xlfn.CONCAT(A738,D738,G738,J738))</f>
        <v/>
      </c>
      <c r="P738" s="47">
        <v>730</v>
      </c>
      <c r="Q738" s="47" t="str">
        <f t="shared" ca="1" si="33"/>
        <v/>
      </c>
      <c r="R738" s="48" t="str">
        <f t="shared" ca="1" si="34"/>
        <v/>
      </c>
      <c r="S738" s="32"/>
      <c r="T738" s="32"/>
      <c r="U738" s="32"/>
      <c r="V738" s="32"/>
      <c r="W738" s="47" t="str">
        <f>IF(X738="","",MAX($W$5:W737)+1)</f>
        <v/>
      </c>
      <c r="X738" s="50" t="str">
        <f>IF(Registro!M737="","",IF(COUNTIF($X$8:X737,Registro!M737)=0,Registro!M737,""))</f>
        <v/>
      </c>
      <c r="Y738" s="50" t="str">
        <f t="shared" si="35"/>
        <v/>
      </c>
    </row>
    <row r="739" spans="1:25">
      <c r="A739" s="45" t="str">
        <f>IF(AND(Registro!D738="Abierto",Registro!E738="Urgente"),Registro!B738,"")</f>
        <v/>
      </c>
      <c r="B739" s="45" t="str">
        <f ca="1">IF(AND(Registro!D738="Abierto",Registro!E738="Urgente"),TODAY()-Registro!R738,"")</f>
        <v/>
      </c>
      <c r="C739" s="45" t="str">
        <f>IF(AND(Registro!D738="Abierto",Registro!E738="Urgente"),RANK(B739,$B$9:$B$1000,0)+COUNTIF($B$9:B739,B739)-1,"")</f>
        <v/>
      </c>
      <c r="D739" s="45" t="str">
        <f>IF(AND(Registro!D738="Abierto",Registro!E738="Alta"),Registro!B738,"")</f>
        <v/>
      </c>
      <c r="E739" s="45" t="str">
        <f ca="1">IF(AND(Registro!D738="Abierto",Registro!E738="Alta"),TODAY()-Registro!R738,"")</f>
        <v/>
      </c>
      <c r="F739" s="45" t="str">
        <f>IF(AND(Registro!D738="Abierto",Registro!E738="Alta"),RANK(E739,$E$9:$E$1000,0)+COUNTIF($E$9:E739,E739)-1+MAX(C$5:C$1000),"")</f>
        <v/>
      </c>
      <c r="G739" s="45" t="str">
        <f>IF(AND(Registro!D738="Abierto",Registro!E738="Media"),Registro!B738,"")</f>
        <v/>
      </c>
      <c r="H739" s="45" t="str">
        <f ca="1">IF(AND(Registro!D738="Abierto",Registro!E738="Media"),TODAY()-Registro!R738,"")</f>
        <v/>
      </c>
      <c r="I739" s="45" t="str">
        <f>IF(AND(Registro!D738="Abierto",Registro!E738="Media"),RANK(H739,$H$9:$H$1000,0)+COUNTIF($H$9:H739,H739)-1+MAX(C$5:C$1000,F$5:F$1000),"")</f>
        <v/>
      </c>
      <c r="J739" s="45" t="str">
        <f>IF(AND(Registro!D738="Abierto",Registro!E738="Baja"),Registro!B738,"")</f>
        <v/>
      </c>
      <c r="K739" s="45" t="str">
        <f ca="1">IF(AND(Registro!D738="Abierto",Registro!E738="Baja"),TODAY()-Registro!R738,"")</f>
        <v/>
      </c>
      <c r="L739" s="45" t="str">
        <f>IF(AND(Registro!D738="Abierto",Registro!E738="Baja"),RANK(K739,$K$9:$K$1000,0)+COUNTIF($K$9:K739,K739)-1+MAX(C$5:C$1000,F$5:F$1000,I$5:I$1000),"")</f>
        <v/>
      </c>
      <c r="M739" s="46" t="str">
        <f>IF(OR(Registro!D738="Resuelto",Registro!D738=""),"",SUM(C739,F739,I739,L739))</f>
        <v/>
      </c>
      <c r="N739" s="46" t="str">
        <f>IF(OR(Registro!D738="Resuelto",Registro!D738=""),"",SUM(B739,E739,H739,K739))</f>
        <v/>
      </c>
      <c r="O739" s="46" t="str">
        <f>IF(OR(Registro!D738="Resuelto",Registro!D738=""),"",_xlfn.CONCAT(A739,D739,G739,J739))</f>
        <v/>
      </c>
      <c r="P739" s="47">
        <v>731</v>
      </c>
      <c r="Q739" s="47" t="str">
        <f t="shared" ca="1" si="33"/>
        <v/>
      </c>
      <c r="R739" s="48" t="str">
        <f t="shared" ca="1" si="34"/>
        <v/>
      </c>
      <c r="S739" s="32"/>
      <c r="T739" s="32"/>
      <c r="U739" s="32"/>
      <c r="V739" s="32"/>
      <c r="W739" s="47" t="str">
        <f>IF(X739="","",MAX($W$5:W738)+1)</f>
        <v/>
      </c>
      <c r="X739" s="50" t="str">
        <f>IF(Registro!M738="","",IF(COUNTIF($X$8:X738,Registro!M738)=0,Registro!M738,""))</f>
        <v/>
      </c>
      <c r="Y739" s="50" t="str">
        <f t="shared" si="35"/>
        <v/>
      </c>
    </row>
    <row r="740" spans="1:25">
      <c r="A740" s="45" t="str">
        <f>IF(AND(Registro!D739="Abierto",Registro!E739="Urgente"),Registro!B739,"")</f>
        <v/>
      </c>
      <c r="B740" s="45" t="str">
        <f ca="1">IF(AND(Registro!D739="Abierto",Registro!E739="Urgente"),TODAY()-Registro!R739,"")</f>
        <v/>
      </c>
      <c r="C740" s="45" t="str">
        <f>IF(AND(Registro!D739="Abierto",Registro!E739="Urgente"),RANK(B740,$B$9:$B$1000,0)+COUNTIF($B$9:B740,B740)-1,"")</f>
        <v/>
      </c>
      <c r="D740" s="45" t="str">
        <f>IF(AND(Registro!D739="Abierto",Registro!E739="Alta"),Registro!B739,"")</f>
        <v/>
      </c>
      <c r="E740" s="45" t="str">
        <f ca="1">IF(AND(Registro!D739="Abierto",Registro!E739="Alta"),TODAY()-Registro!R739,"")</f>
        <v/>
      </c>
      <c r="F740" s="45" t="str">
        <f>IF(AND(Registro!D739="Abierto",Registro!E739="Alta"),RANK(E740,$E$9:$E$1000,0)+COUNTIF($E$9:E740,E740)-1+MAX(C$5:C$1000),"")</f>
        <v/>
      </c>
      <c r="G740" s="45" t="str">
        <f>IF(AND(Registro!D739="Abierto",Registro!E739="Media"),Registro!B739,"")</f>
        <v/>
      </c>
      <c r="H740" s="45" t="str">
        <f ca="1">IF(AND(Registro!D739="Abierto",Registro!E739="Media"),TODAY()-Registro!R739,"")</f>
        <v/>
      </c>
      <c r="I740" s="45" t="str">
        <f>IF(AND(Registro!D739="Abierto",Registro!E739="Media"),RANK(H740,$H$9:$H$1000,0)+COUNTIF($H$9:H740,H740)-1+MAX(C$5:C$1000,F$5:F$1000),"")</f>
        <v/>
      </c>
      <c r="J740" s="45" t="str">
        <f>IF(AND(Registro!D739="Abierto",Registro!E739="Baja"),Registro!B739,"")</f>
        <v/>
      </c>
      <c r="K740" s="45" t="str">
        <f ca="1">IF(AND(Registro!D739="Abierto",Registro!E739="Baja"),TODAY()-Registro!R739,"")</f>
        <v/>
      </c>
      <c r="L740" s="45" t="str">
        <f>IF(AND(Registro!D739="Abierto",Registro!E739="Baja"),RANK(K740,$K$9:$K$1000,0)+COUNTIF($K$9:K740,K740)-1+MAX(C$5:C$1000,F$5:F$1000,I$5:I$1000),"")</f>
        <v/>
      </c>
      <c r="M740" s="46" t="str">
        <f>IF(OR(Registro!D739="Resuelto",Registro!D739=""),"",SUM(C740,F740,I740,L740))</f>
        <v/>
      </c>
      <c r="N740" s="46" t="str">
        <f>IF(OR(Registro!D739="Resuelto",Registro!D739=""),"",SUM(B740,E740,H740,K740))</f>
        <v/>
      </c>
      <c r="O740" s="46" t="str">
        <f>IF(OR(Registro!D739="Resuelto",Registro!D739=""),"",_xlfn.CONCAT(A740,D740,G740,J740))</f>
        <v/>
      </c>
      <c r="P740" s="47">
        <v>732</v>
      </c>
      <c r="Q740" s="47" t="str">
        <f t="shared" ca="1" si="33"/>
        <v/>
      </c>
      <c r="R740" s="48" t="str">
        <f t="shared" ca="1" si="34"/>
        <v/>
      </c>
      <c r="S740" s="32"/>
      <c r="T740" s="32"/>
      <c r="U740" s="32"/>
      <c r="V740" s="32"/>
      <c r="W740" s="47" t="str">
        <f>IF(X740="","",MAX($W$5:W739)+1)</f>
        <v/>
      </c>
      <c r="X740" s="50" t="str">
        <f>IF(Registro!M739="","",IF(COUNTIF($X$8:X739,Registro!M739)=0,Registro!M739,""))</f>
        <v/>
      </c>
      <c r="Y740" s="50" t="str">
        <f t="shared" si="35"/>
        <v/>
      </c>
    </row>
    <row r="741" spans="1:25">
      <c r="A741" s="45" t="str">
        <f>IF(AND(Registro!D740="Abierto",Registro!E740="Urgente"),Registro!B740,"")</f>
        <v/>
      </c>
      <c r="B741" s="45" t="str">
        <f ca="1">IF(AND(Registro!D740="Abierto",Registro!E740="Urgente"),TODAY()-Registro!R740,"")</f>
        <v/>
      </c>
      <c r="C741" s="45" t="str">
        <f>IF(AND(Registro!D740="Abierto",Registro!E740="Urgente"),RANK(B741,$B$9:$B$1000,0)+COUNTIF($B$9:B741,B741)-1,"")</f>
        <v/>
      </c>
      <c r="D741" s="45" t="str">
        <f>IF(AND(Registro!D740="Abierto",Registro!E740="Alta"),Registro!B740,"")</f>
        <v/>
      </c>
      <c r="E741" s="45" t="str">
        <f ca="1">IF(AND(Registro!D740="Abierto",Registro!E740="Alta"),TODAY()-Registro!R740,"")</f>
        <v/>
      </c>
      <c r="F741" s="45" t="str">
        <f>IF(AND(Registro!D740="Abierto",Registro!E740="Alta"),RANK(E741,$E$9:$E$1000,0)+COUNTIF($E$9:E741,E741)-1+MAX(C$5:C$1000),"")</f>
        <v/>
      </c>
      <c r="G741" s="45" t="str">
        <f>IF(AND(Registro!D740="Abierto",Registro!E740="Media"),Registro!B740,"")</f>
        <v/>
      </c>
      <c r="H741" s="45" t="str">
        <f ca="1">IF(AND(Registro!D740="Abierto",Registro!E740="Media"),TODAY()-Registro!R740,"")</f>
        <v/>
      </c>
      <c r="I741" s="45" t="str">
        <f>IF(AND(Registro!D740="Abierto",Registro!E740="Media"),RANK(H741,$H$9:$H$1000,0)+COUNTIF($H$9:H741,H741)-1+MAX(C$5:C$1000,F$5:F$1000),"")</f>
        <v/>
      </c>
      <c r="J741" s="45" t="str">
        <f>IF(AND(Registro!D740="Abierto",Registro!E740="Baja"),Registro!B740,"")</f>
        <v/>
      </c>
      <c r="K741" s="45" t="str">
        <f ca="1">IF(AND(Registro!D740="Abierto",Registro!E740="Baja"),TODAY()-Registro!R740,"")</f>
        <v/>
      </c>
      <c r="L741" s="45" t="str">
        <f>IF(AND(Registro!D740="Abierto",Registro!E740="Baja"),RANK(K741,$K$9:$K$1000,0)+COUNTIF($K$9:K741,K741)-1+MAX(C$5:C$1000,F$5:F$1000,I$5:I$1000),"")</f>
        <v/>
      </c>
      <c r="M741" s="46" t="str">
        <f>IF(OR(Registro!D740="Resuelto",Registro!D740=""),"",SUM(C741,F741,I741,L741))</f>
        <v/>
      </c>
      <c r="N741" s="46" t="str">
        <f>IF(OR(Registro!D740="Resuelto",Registro!D740=""),"",SUM(B741,E741,H741,K741))</f>
        <v/>
      </c>
      <c r="O741" s="46" t="str">
        <f>IF(OR(Registro!D740="Resuelto",Registro!D740=""),"",_xlfn.CONCAT(A741,D741,G741,J741))</f>
        <v/>
      </c>
      <c r="P741" s="47">
        <v>733</v>
      </c>
      <c r="Q741" s="47" t="str">
        <f t="shared" ca="1" si="33"/>
        <v/>
      </c>
      <c r="R741" s="48" t="str">
        <f t="shared" ca="1" si="34"/>
        <v/>
      </c>
      <c r="S741" s="32"/>
      <c r="T741" s="32"/>
      <c r="U741" s="32"/>
      <c r="V741" s="32"/>
      <c r="W741" s="47" t="str">
        <f>IF(X741="","",MAX($W$5:W740)+1)</f>
        <v/>
      </c>
      <c r="X741" s="50" t="str">
        <f>IF(Registro!M740="","",IF(COUNTIF($X$8:X740,Registro!M740)=0,Registro!M740,""))</f>
        <v/>
      </c>
      <c r="Y741" s="50" t="str">
        <f t="shared" si="35"/>
        <v/>
      </c>
    </row>
    <row r="742" spans="1:25">
      <c r="A742" s="45" t="str">
        <f>IF(AND(Registro!D741="Abierto",Registro!E741="Urgente"),Registro!B741,"")</f>
        <v/>
      </c>
      <c r="B742" s="45" t="str">
        <f ca="1">IF(AND(Registro!D741="Abierto",Registro!E741="Urgente"),TODAY()-Registro!R741,"")</f>
        <v/>
      </c>
      <c r="C742" s="45" t="str">
        <f>IF(AND(Registro!D741="Abierto",Registro!E741="Urgente"),RANK(B742,$B$9:$B$1000,0)+COUNTIF($B$9:B742,B742)-1,"")</f>
        <v/>
      </c>
      <c r="D742" s="45" t="str">
        <f>IF(AND(Registro!D741="Abierto",Registro!E741="Alta"),Registro!B741,"")</f>
        <v/>
      </c>
      <c r="E742" s="45" t="str">
        <f ca="1">IF(AND(Registro!D741="Abierto",Registro!E741="Alta"),TODAY()-Registro!R741,"")</f>
        <v/>
      </c>
      <c r="F742" s="45" t="str">
        <f>IF(AND(Registro!D741="Abierto",Registro!E741="Alta"),RANK(E742,$E$9:$E$1000,0)+COUNTIF($E$9:E742,E742)-1+MAX(C$5:C$1000),"")</f>
        <v/>
      </c>
      <c r="G742" s="45" t="str">
        <f>IF(AND(Registro!D741="Abierto",Registro!E741="Media"),Registro!B741,"")</f>
        <v/>
      </c>
      <c r="H742" s="45" t="str">
        <f ca="1">IF(AND(Registro!D741="Abierto",Registro!E741="Media"),TODAY()-Registro!R741,"")</f>
        <v/>
      </c>
      <c r="I742" s="45" t="str">
        <f>IF(AND(Registro!D741="Abierto",Registro!E741="Media"),RANK(H742,$H$9:$H$1000,0)+COUNTIF($H$9:H742,H742)-1+MAX(C$5:C$1000,F$5:F$1000),"")</f>
        <v/>
      </c>
      <c r="J742" s="45" t="str">
        <f>IF(AND(Registro!D741="Abierto",Registro!E741="Baja"),Registro!B741,"")</f>
        <v/>
      </c>
      <c r="K742" s="45" t="str">
        <f ca="1">IF(AND(Registro!D741="Abierto",Registro!E741="Baja"),TODAY()-Registro!R741,"")</f>
        <v/>
      </c>
      <c r="L742" s="45" t="str">
        <f>IF(AND(Registro!D741="Abierto",Registro!E741="Baja"),RANK(K742,$K$9:$K$1000,0)+COUNTIF($K$9:K742,K742)-1+MAX(C$5:C$1000,F$5:F$1000,I$5:I$1000),"")</f>
        <v/>
      </c>
      <c r="M742" s="46" t="str">
        <f>IF(OR(Registro!D741="Resuelto",Registro!D741=""),"",SUM(C742,F742,I742,L742))</f>
        <v/>
      </c>
      <c r="N742" s="46" t="str">
        <f>IF(OR(Registro!D741="Resuelto",Registro!D741=""),"",SUM(B742,E742,H742,K742))</f>
        <v/>
      </c>
      <c r="O742" s="46" t="str">
        <f>IF(OR(Registro!D741="Resuelto",Registro!D741=""),"",_xlfn.CONCAT(A742,D742,G742,J742))</f>
        <v/>
      </c>
      <c r="P742" s="47">
        <v>734</v>
      </c>
      <c r="Q742" s="47" t="str">
        <f t="shared" ca="1" si="33"/>
        <v/>
      </c>
      <c r="R742" s="48" t="str">
        <f t="shared" ca="1" si="34"/>
        <v/>
      </c>
      <c r="S742" s="32"/>
      <c r="T742" s="32"/>
      <c r="U742" s="32"/>
      <c r="V742" s="32"/>
      <c r="W742" s="47" t="str">
        <f>IF(X742="","",MAX($W$5:W741)+1)</f>
        <v/>
      </c>
      <c r="X742" s="50" t="str">
        <f>IF(Registro!M741="","",IF(COUNTIF($X$8:X741,Registro!M741)=0,Registro!M741,""))</f>
        <v/>
      </c>
      <c r="Y742" s="50" t="str">
        <f t="shared" si="35"/>
        <v/>
      </c>
    </row>
    <row r="743" spans="1:25">
      <c r="A743" s="45" t="str">
        <f>IF(AND(Registro!D742="Abierto",Registro!E742="Urgente"),Registro!B742,"")</f>
        <v/>
      </c>
      <c r="B743" s="45" t="str">
        <f ca="1">IF(AND(Registro!D742="Abierto",Registro!E742="Urgente"),TODAY()-Registro!R742,"")</f>
        <v/>
      </c>
      <c r="C743" s="45" t="str">
        <f>IF(AND(Registro!D742="Abierto",Registro!E742="Urgente"),RANK(B743,$B$9:$B$1000,0)+COUNTIF($B$9:B743,B743)-1,"")</f>
        <v/>
      </c>
      <c r="D743" s="45" t="str">
        <f>IF(AND(Registro!D742="Abierto",Registro!E742="Alta"),Registro!B742,"")</f>
        <v/>
      </c>
      <c r="E743" s="45" t="str">
        <f ca="1">IF(AND(Registro!D742="Abierto",Registro!E742="Alta"),TODAY()-Registro!R742,"")</f>
        <v/>
      </c>
      <c r="F743" s="45" t="str">
        <f>IF(AND(Registro!D742="Abierto",Registro!E742="Alta"),RANK(E743,$E$9:$E$1000,0)+COUNTIF($E$9:E743,E743)-1+MAX(C$5:C$1000),"")</f>
        <v/>
      </c>
      <c r="G743" s="45" t="str">
        <f>IF(AND(Registro!D742="Abierto",Registro!E742="Media"),Registro!B742,"")</f>
        <v/>
      </c>
      <c r="H743" s="45" t="str">
        <f ca="1">IF(AND(Registro!D742="Abierto",Registro!E742="Media"),TODAY()-Registro!R742,"")</f>
        <v/>
      </c>
      <c r="I743" s="45" t="str">
        <f>IF(AND(Registro!D742="Abierto",Registro!E742="Media"),RANK(H743,$H$9:$H$1000,0)+COUNTIF($H$9:H743,H743)-1+MAX(C$5:C$1000,F$5:F$1000),"")</f>
        <v/>
      </c>
      <c r="J743" s="45" t="str">
        <f>IF(AND(Registro!D742="Abierto",Registro!E742="Baja"),Registro!B742,"")</f>
        <v/>
      </c>
      <c r="K743" s="45" t="str">
        <f ca="1">IF(AND(Registro!D742="Abierto",Registro!E742="Baja"),TODAY()-Registro!R742,"")</f>
        <v/>
      </c>
      <c r="L743" s="45" t="str">
        <f>IF(AND(Registro!D742="Abierto",Registro!E742="Baja"),RANK(K743,$K$9:$K$1000,0)+COUNTIF($K$9:K743,K743)-1+MAX(C$5:C$1000,F$5:F$1000,I$5:I$1000),"")</f>
        <v/>
      </c>
      <c r="M743" s="46" t="str">
        <f>IF(OR(Registro!D742="Resuelto",Registro!D742=""),"",SUM(C743,F743,I743,L743))</f>
        <v/>
      </c>
      <c r="N743" s="46" t="str">
        <f>IF(OR(Registro!D742="Resuelto",Registro!D742=""),"",SUM(B743,E743,H743,K743))</f>
        <v/>
      </c>
      <c r="O743" s="46" t="str">
        <f>IF(OR(Registro!D742="Resuelto",Registro!D742=""),"",_xlfn.CONCAT(A743,D743,G743,J743))</f>
        <v/>
      </c>
      <c r="P743" s="47">
        <v>735</v>
      </c>
      <c r="Q743" s="47" t="str">
        <f t="shared" ca="1" si="33"/>
        <v/>
      </c>
      <c r="R743" s="48" t="str">
        <f t="shared" ca="1" si="34"/>
        <v/>
      </c>
      <c r="S743" s="32"/>
      <c r="T743" s="32"/>
      <c r="U743" s="32"/>
      <c r="V743" s="32"/>
      <c r="W743" s="47" t="str">
        <f>IF(X743="","",MAX($W$5:W742)+1)</f>
        <v/>
      </c>
      <c r="X743" s="50" t="str">
        <f>IF(Registro!M742="","",IF(COUNTIF($X$8:X742,Registro!M742)=0,Registro!M742,""))</f>
        <v/>
      </c>
      <c r="Y743" s="50" t="str">
        <f t="shared" si="35"/>
        <v/>
      </c>
    </row>
    <row r="744" spans="1:25">
      <c r="A744" s="45" t="str">
        <f>IF(AND(Registro!D743="Abierto",Registro!E743="Urgente"),Registro!B743,"")</f>
        <v/>
      </c>
      <c r="B744" s="45" t="str">
        <f ca="1">IF(AND(Registro!D743="Abierto",Registro!E743="Urgente"),TODAY()-Registro!R743,"")</f>
        <v/>
      </c>
      <c r="C744" s="45" t="str">
        <f>IF(AND(Registro!D743="Abierto",Registro!E743="Urgente"),RANK(B744,$B$9:$B$1000,0)+COUNTIF($B$9:B744,B744)-1,"")</f>
        <v/>
      </c>
      <c r="D744" s="45" t="str">
        <f>IF(AND(Registro!D743="Abierto",Registro!E743="Alta"),Registro!B743,"")</f>
        <v/>
      </c>
      <c r="E744" s="45" t="str">
        <f ca="1">IF(AND(Registro!D743="Abierto",Registro!E743="Alta"),TODAY()-Registro!R743,"")</f>
        <v/>
      </c>
      <c r="F744" s="45" t="str">
        <f>IF(AND(Registro!D743="Abierto",Registro!E743="Alta"),RANK(E744,$E$9:$E$1000,0)+COUNTIF($E$9:E744,E744)-1+MAX(C$5:C$1000),"")</f>
        <v/>
      </c>
      <c r="G744" s="45" t="str">
        <f>IF(AND(Registro!D743="Abierto",Registro!E743="Media"),Registro!B743,"")</f>
        <v/>
      </c>
      <c r="H744" s="45" t="str">
        <f ca="1">IF(AND(Registro!D743="Abierto",Registro!E743="Media"),TODAY()-Registro!R743,"")</f>
        <v/>
      </c>
      <c r="I744" s="45" t="str">
        <f>IF(AND(Registro!D743="Abierto",Registro!E743="Media"),RANK(H744,$H$9:$H$1000,0)+COUNTIF($H$9:H744,H744)-1+MAX(C$5:C$1000,F$5:F$1000),"")</f>
        <v/>
      </c>
      <c r="J744" s="45" t="str">
        <f>IF(AND(Registro!D743="Abierto",Registro!E743="Baja"),Registro!B743,"")</f>
        <v/>
      </c>
      <c r="K744" s="45" t="str">
        <f ca="1">IF(AND(Registro!D743="Abierto",Registro!E743="Baja"),TODAY()-Registro!R743,"")</f>
        <v/>
      </c>
      <c r="L744" s="45" t="str">
        <f>IF(AND(Registro!D743="Abierto",Registro!E743="Baja"),RANK(K744,$K$9:$K$1000,0)+COUNTIF($K$9:K744,K744)-1+MAX(C$5:C$1000,F$5:F$1000,I$5:I$1000),"")</f>
        <v/>
      </c>
      <c r="M744" s="46" t="str">
        <f>IF(OR(Registro!D743="Resuelto",Registro!D743=""),"",SUM(C744,F744,I744,L744))</f>
        <v/>
      </c>
      <c r="N744" s="46" t="str">
        <f>IF(OR(Registro!D743="Resuelto",Registro!D743=""),"",SUM(B744,E744,H744,K744))</f>
        <v/>
      </c>
      <c r="O744" s="46" t="str">
        <f>IF(OR(Registro!D743="Resuelto",Registro!D743=""),"",_xlfn.CONCAT(A744,D744,G744,J744))</f>
        <v/>
      </c>
      <c r="P744" s="47">
        <v>736</v>
      </c>
      <c r="Q744" s="47" t="str">
        <f t="shared" ca="1" si="33"/>
        <v/>
      </c>
      <c r="R744" s="48" t="str">
        <f t="shared" ca="1" si="34"/>
        <v/>
      </c>
      <c r="S744" s="32"/>
      <c r="T744" s="32"/>
      <c r="U744" s="32"/>
      <c r="V744" s="32"/>
      <c r="W744" s="47" t="str">
        <f>IF(X744="","",MAX($W$5:W743)+1)</f>
        <v/>
      </c>
      <c r="X744" s="50" t="str">
        <f>IF(Registro!M743="","",IF(COUNTIF($X$8:X743,Registro!M743)=0,Registro!M743,""))</f>
        <v/>
      </c>
      <c r="Y744" s="50" t="str">
        <f t="shared" si="35"/>
        <v/>
      </c>
    </row>
    <row r="745" spans="1:25">
      <c r="A745" s="45" t="str">
        <f>IF(AND(Registro!D744="Abierto",Registro!E744="Urgente"),Registro!B744,"")</f>
        <v/>
      </c>
      <c r="B745" s="45" t="str">
        <f ca="1">IF(AND(Registro!D744="Abierto",Registro!E744="Urgente"),TODAY()-Registro!R744,"")</f>
        <v/>
      </c>
      <c r="C745" s="45" t="str">
        <f>IF(AND(Registro!D744="Abierto",Registro!E744="Urgente"),RANK(B745,$B$9:$B$1000,0)+COUNTIF($B$9:B745,B745)-1,"")</f>
        <v/>
      </c>
      <c r="D745" s="45" t="str">
        <f>IF(AND(Registro!D744="Abierto",Registro!E744="Alta"),Registro!B744,"")</f>
        <v/>
      </c>
      <c r="E745" s="45" t="str">
        <f ca="1">IF(AND(Registro!D744="Abierto",Registro!E744="Alta"),TODAY()-Registro!R744,"")</f>
        <v/>
      </c>
      <c r="F745" s="45" t="str">
        <f>IF(AND(Registro!D744="Abierto",Registro!E744="Alta"),RANK(E745,$E$9:$E$1000,0)+COUNTIF($E$9:E745,E745)-1+MAX(C$5:C$1000),"")</f>
        <v/>
      </c>
      <c r="G745" s="45" t="str">
        <f>IF(AND(Registro!D744="Abierto",Registro!E744="Media"),Registro!B744,"")</f>
        <v/>
      </c>
      <c r="H745" s="45" t="str">
        <f ca="1">IF(AND(Registro!D744="Abierto",Registro!E744="Media"),TODAY()-Registro!R744,"")</f>
        <v/>
      </c>
      <c r="I745" s="45" t="str">
        <f>IF(AND(Registro!D744="Abierto",Registro!E744="Media"),RANK(H745,$H$9:$H$1000,0)+COUNTIF($H$9:H745,H745)-1+MAX(C$5:C$1000,F$5:F$1000),"")</f>
        <v/>
      </c>
      <c r="J745" s="45" t="str">
        <f>IF(AND(Registro!D744="Abierto",Registro!E744="Baja"),Registro!B744,"")</f>
        <v/>
      </c>
      <c r="K745" s="45" t="str">
        <f ca="1">IF(AND(Registro!D744="Abierto",Registro!E744="Baja"),TODAY()-Registro!R744,"")</f>
        <v/>
      </c>
      <c r="L745" s="45" t="str">
        <f>IF(AND(Registro!D744="Abierto",Registro!E744="Baja"),RANK(K745,$K$9:$K$1000,0)+COUNTIF($K$9:K745,K745)-1+MAX(C$5:C$1000,F$5:F$1000,I$5:I$1000),"")</f>
        <v/>
      </c>
      <c r="M745" s="46" t="str">
        <f>IF(OR(Registro!D744="Resuelto",Registro!D744=""),"",SUM(C745,F745,I745,L745))</f>
        <v/>
      </c>
      <c r="N745" s="46" t="str">
        <f>IF(OR(Registro!D744="Resuelto",Registro!D744=""),"",SUM(B745,E745,H745,K745))</f>
        <v/>
      </c>
      <c r="O745" s="46" t="str">
        <f>IF(OR(Registro!D744="Resuelto",Registro!D744=""),"",_xlfn.CONCAT(A745,D745,G745,J745))</f>
        <v/>
      </c>
      <c r="P745" s="47">
        <v>737</v>
      </c>
      <c r="Q745" s="47" t="str">
        <f t="shared" ca="1" si="33"/>
        <v/>
      </c>
      <c r="R745" s="48" t="str">
        <f t="shared" ca="1" si="34"/>
        <v/>
      </c>
      <c r="S745" s="32"/>
      <c r="T745" s="32"/>
      <c r="U745" s="32"/>
      <c r="V745" s="32"/>
      <c r="W745" s="47" t="str">
        <f>IF(X745="","",MAX($W$5:W744)+1)</f>
        <v/>
      </c>
      <c r="X745" s="50" t="str">
        <f>IF(Registro!M744="","",IF(COUNTIF($X$8:X744,Registro!M744)=0,Registro!M744,""))</f>
        <v/>
      </c>
      <c r="Y745" s="50" t="str">
        <f t="shared" si="35"/>
        <v/>
      </c>
    </row>
    <row r="746" spans="1:25">
      <c r="A746" s="45" t="str">
        <f>IF(AND(Registro!D745="Abierto",Registro!E745="Urgente"),Registro!B745,"")</f>
        <v/>
      </c>
      <c r="B746" s="45" t="str">
        <f ca="1">IF(AND(Registro!D745="Abierto",Registro!E745="Urgente"),TODAY()-Registro!R745,"")</f>
        <v/>
      </c>
      <c r="C746" s="45" t="str">
        <f>IF(AND(Registro!D745="Abierto",Registro!E745="Urgente"),RANK(B746,$B$9:$B$1000,0)+COUNTIF($B$9:B746,B746)-1,"")</f>
        <v/>
      </c>
      <c r="D746" s="45" t="str">
        <f>IF(AND(Registro!D745="Abierto",Registro!E745="Alta"),Registro!B745,"")</f>
        <v/>
      </c>
      <c r="E746" s="45" t="str">
        <f ca="1">IF(AND(Registro!D745="Abierto",Registro!E745="Alta"),TODAY()-Registro!R745,"")</f>
        <v/>
      </c>
      <c r="F746" s="45" t="str">
        <f>IF(AND(Registro!D745="Abierto",Registro!E745="Alta"),RANK(E746,$E$9:$E$1000,0)+COUNTIF($E$9:E746,E746)-1+MAX(C$5:C$1000),"")</f>
        <v/>
      </c>
      <c r="G746" s="45" t="str">
        <f>IF(AND(Registro!D745="Abierto",Registro!E745="Media"),Registro!B745,"")</f>
        <v/>
      </c>
      <c r="H746" s="45" t="str">
        <f ca="1">IF(AND(Registro!D745="Abierto",Registro!E745="Media"),TODAY()-Registro!R745,"")</f>
        <v/>
      </c>
      <c r="I746" s="45" t="str">
        <f>IF(AND(Registro!D745="Abierto",Registro!E745="Media"),RANK(H746,$H$9:$H$1000,0)+COUNTIF($H$9:H746,H746)-1+MAX(C$5:C$1000,F$5:F$1000),"")</f>
        <v/>
      </c>
      <c r="J746" s="45" t="str">
        <f>IF(AND(Registro!D745="Abierto",Registro!E745="Baja"),Registro!B745,"")</f>
        <v/>
      </c>
      <c r="K746" s="45" t="str">
        <f ca="1">IF(AND(Registro!D745="Abierto",Registro!E745="Baja"),TODAY()-Registro!R745,"")</f>
        <v/>
      </c>
      <c r="L746" s="45" t="str">
        <f>IF(AND(Registro!D745="Abierto",Registro!E745="Baja"),RANK(K746,$K$9:$K$1000,0)+COUNTIF($K$9:K746,K746)-1+MAX(C$5:C$1000,F$5:F$1000,I$5:I$1000),"")</f>
        <v/>
      </c>
      <c r="M746" s="46" t="str">
        <f>IF(OR(Registro!D745="Resuelto",Registro!D745=""),"",SUM(C746,F746,I746,L746))</f>
        <v/>
      </c>
      <c r="N746" s="46" t="str">
        <f>IF(OR(Registro!D745="Resuelto",Registro!D745=""),"",SUM(B746,E746,H746,K746))</f>
        <v/>
      </c>
      <c r="O746" s="46" t="str">
        <f>IF(OR(Registro!D745="Resuelto",Registro!D745=""),"",_xlfn.CONCAT(A746,D746,G746,J746))</f>
        <v/>
      </c>
      <c r="P746" s="47">
        <v>738</v>
      </c>
      <c r="Q746" s="47" t="str">
        <f t="shared" ca="1" si="33"/>
        <v/>
      </c>
      <c r="R746" s="48" t="str">
        <f t="shared" ca="1" si="34"/>
        <v/>
      </c>
      <c r="S746" s="32"/>
      <c r="T746" s="32"/>
      <c r="U746" s="32"/>
      <c r="V746" s="32"/>
      <c r="W746" s="47" t="str">
        <f>IF(X746="","",MAX($W$5:W745)+1)</f>
        <v/>
      </c>
      <c r="X746" s="50" t="str">
        <f>IF(Registro!M745="","",IF(COUNTIF($X$8:X745,Registro!M745)=0,Registro!M745,""))</f>
        <v/>
      </c>
      <c r="Y746" s="50" t="str">
        <f t="shared" si="35"/>
        <v/>
      </c>
    </row>
    <row r="747" spans="1:25">
      <c r="A747" s="45" t="str">
        <f>IF(AND(Registro!D746="Abierto",Registro!E746="Urgente"),Registro!B746,"")</f>
        <v/>
      </c>
      <c r="B747" s="45" t="str">
        <f ca="1">IF(AND(Registro!D746="Abierto",Registro!E746="Urgente"),TODAY()-Registro!R746,"")</f>
        <v/>
      </c>
      <c r="C747" s="45" t="str">
        <f>IF(AND(Registro!D746="Abierto",Registro!E746="Urgente"),RANK(B747,$B$9:$B$1000,0)+COUNTIF($B$9:B747,B747)-1,"")</f>
        <v/>
      </c>
      <c r="D747" s="45" t="str">
        <f>IF(AND(Registro!D746="Abierto",Registro!E746="Alta"),Registro!B746,"")</f>
        <v/>
      </c>
      <c r="E747" s="45" t="str">
        <f ca="1">IF(AND(Registro!D746="Abierto",Registro!E746="Alta"),TODAY()-Registro!R746,"")</f>
        <v/>
      </c>
      <c r="F747" s="45" t="str">
        <f>IF(AND(Registro!D746="Abierto",Registro!E746="Alta"),RANK(E747,$E$9:$E$1000,0)+COUNTIF($E$9:E747,E747)-1+MAX(C$5:C$1000),"")</f>
        <v/>
      </c>
      <c r="G747" s="45" t="str">
        <f>IF(AND(Registro!D746="Abierto",Registro!E746="Media"),Registro!B746,"")</f>
        <v/>
      </c>
      <c r="H747" s="45" t="str">
        <f ca="1">IF(AND(Registro!D746="Abierto",Registro!E746="Media"),TODAY()-Registro!R746,"")</f>
        <v/>
      </c>
      <c r="I747" s="45" t="str">
        <f>IF(AND(Registro!D746="Abierto",Registro!E746="Media"),RANK(H747,$H$9:$H$1000,0)+COUNTIF($H$9:H747,H747)-1+MAX(C$5:C$1000,F$5:F$1000),"")</f>
        <v/>
      </c>
      <c r="J747" s="45" t="str">
        <f>IF(AND(Registro!D746="Abierto",Registro!E746="Baja"),Registro!B746,"")</f>
        <v/>
      </c>
      <c r="K747" s="45" t="str">
        <f ca="1">IF(AND(Registro!D746="Abierto",Registro!E746="Baja"),TODAY()-Registro!R746,"")</f>
        <v/>
      </c>
      <c r="L747" s="45" t="str">
        <f>IF(AND(Registro!D746="Abierto",Registro!E746="Baja"),RANK(K747,$K$9:$K$1000,0)+COUNTIF($K$9:K747,K747)-1+MAX(C$5:C$1000,F$5:F$1000,I$5:I$1000),"")</f>
        <v/>
      </c>
      <c r="M747" s="46" t="str">
        <f>IF(OR(Registro!D746="Resuelto",Registro!D746=""),"",SUM(C747,F747,I747,L747))</f>
        <v/>
      </c>
      <c r="N747" s="46" t="str">
        <f>IF(OR(Registro!D746="Resuelto",Registro!D746=""),"",SUM(B747,E747,H747,K747))</f>
        <v/>
      </c>
      <c r="O747" s="46" t="str">
        <f>IF(OR(Registro!D746="Resuelto",Registro!D746=""),"",_xlfn.CONCAT(A747,D747,G747,J747))</f>
        <v/>
      </c>
      <c r="P747" s="47">
        <v>739</v>
      </c>
      <c r="Q747" s="47" t="str">
        <f t="shared" ca="1" si="33"/>
        <v/>
      </c>
      <c r="R747" s="48" t="str">
        <f t="shared" ca="1" si="34"/>
        <v/>
      </c>
      <c r="S747" s="32"/>
      <c r="T747" s="32"/>
      <c r="U747" s="32"/>
      <c r="V747" s="32"/>
      <c r="W747" s="47" t="str">
        <f>IF(X747="","",MAX($W$5:W746)+1)</f>
        <v/>
      </c>
      <c r="X747" s="50" t="str">
        <f>IF(Registro!M746="","",IF(COUNTIF($X$8:X746,Registro!M746)=0,Registro!M746,""))</f>
        <v/>
      </c>
      <c r="Y747" s="50" t="str">
        <f t="shared" si="35"/>
        <v/>
      </c>
    </row>
    <row r="748" spans="1:25">
      <c r="A748" s="45" t="str">
        <f>IF(AND(Registro!D747="Abierto",Registro!E747="Urgente"),Registro!B747,"")</f>
        <v/>
      </c>
      <c r="B748" s="45" t="str">
        <f ca="1">IF(AND(Registro!D747="Abierto",Registro!E747="Urgente"),TODAY()-Registro!R747,"")</f>
        <v/>
      </c>
      <c r="C748" s="45" t="str">
        <f>IF(AND(Registro!D747="Abierto",Registro!E747="Urgente"),RANK(B748,$B$9:$B$1000,0)+COUNTIF($B$9:B748,B748)-1,"")</f>
        <v/>
      </c>
      <c r="D748" s="45" t="str">
        <f>IF(AND(Registro!D747="Abierto",Registro!E747="Alta"),Registro!B747,"")</f>
        <v/>
      </c>
      <c r="E748" s="45" t="str">
        <f ca="1">IF(AND(Registro!D747="Abierto",Registro!E747="Alta"),TODAY()-Registro!R747,"")</f>
        <v/>
      </c>
      <c r="F748" s="45" t="str">
        <f>IF(AND(Registro!D747="Abierto",Registro!E747="Alta"),RANK(E748,$E$9:$E$1000,0)+COUNTIF($E$9:E748,E748)-1+MAX(C$5:C$1000),"")</f>
        <v/>
      </c>
      <c r="G748" s="45" t="str">
        <f>IF(AND(Registro!D747="Abierto",Registro!E747="Media"),Registro!B747,"")</f>
        <v/>
      </c>
      <c r="H748" s="45" t="str">
        <f ca="1">IF(AND(Registro!D747="Abierto",Registro!E747="Media"),TODAY()-Registro!R747,"")</f>
        <v/>
      </c>
      <c r="I748" s="45" t="str">
        <f>IF(AND(Registro!D747="Abierto",Registro!E747="Media"),RANK(H748,$H$9:$H$1000,0)+COUNTIF($H$9:H748,H748)-1+MAX(C$5:C$1000,F$5:F$1000),"")</f>
        <v/>
      </c>
      <c r="J748" s="45" t="str">
        <f>IF(AND(Registro!D747="Abierto",Registro!E747="Baja"),Registro!B747,"")</f>
        <v/>
      </c>
      <c r="K748" s="45" t="str">
        <f ca="1">IF(AND(Registro!D747="Abierto",Registro!E747="Baja"),TODAY()-Registro!R747,"")</f>
        <v/>
      </c>
      <c r="L748" s="45" t="str">
        <f>IF(AND(Registro!D747="Abierto",Registro!E747="Baja"),RANK(K748,$K$9:$K$1000,0)+COUNTIF($K$9:K748,K748)-1+MAX(C$5:C$1000,F$5:F$1000,I$5:I$1000),"")</f>
        <v/>
      </c>
      <c r="M748" s="46" t="str">
        <f>IF(OR(Registro!D747="Resuelto",Registro!D747=""),"",SUM(C748,F748,I748,L748))</f>
        <v/>
      </c>
      <c r="N748" s="46" t="str">
        <f>IF(OR(Registro!D747="Resuelto",Registro!D747=""),"",SUM(B748,E748,H748,K748))</f>
        <v/>
      </c>
      <c r="O748" s="46" t="str">
        <f>IF(OR(Registro!D747="Resuelto",Registro!D747=""),"",_xlfn.CONCAT(A748,D748,G748,J748))</f>
        <v/>
      </c>
      <c r="P748" s="47">
        <v>740</v>
      </c>
      <c r="Q748" s="47" t="str">
        <f t="shared" ca="1" si="33"/>
        <v/>
      </c>
      <c r="R748" s="48" t="str">
        <f t="shared" ca="1" si="34"/>
        <v/>
      </c>
      <c r="S748" s="32"/>
      <c r="T748" s="32"/>
      <c r="U748" s="32"/>
      <c r="V748" s="32"/>
      <c r="W748" s="47" t="str">
        <f>IF(X748="","",MAX($W$5:W747)+1)</f>
        <v/>
      </c>
      <c r="X748" s="50" t="str">
        <f>IF(Registro!M747="","",IF(COUNTIF($X$8:X747,Registro!M747)=0,Registro!M747,""))</f>
        <v/>
      </c>
      <c r="Y748" s="50" t="str">
        <f t="shared" si="35"/>
        <v/>
      </c>
    </row>
    <row r="749" spans="1:25">
      <c r="A749" s="45" t="str">
        <f>IF(AND(Registro!D748="Abierto",Registro!E748="Urgente"),Registro!B748,"")</f>
        <v/>
      </c>
      <c r="B749" s="45" t="str">
        <f ca="1">IF(AND(Registro!D748="Abierto",Registro!E748="Urgente"),TODAY()-Registro!R748,"")</f>
        <v/>
      </c>
      <c r="C749" s="45" t="str">
        <f>IF(AND(Registro!D748="Abierto",Registro!E748="Urgente"),RANK(B749,$B$9:$B$1000,0)+COUNTIF($B$9:B749,B749)-1,"")</f>
        <v/>
      </c>
      <c r="D749" s="45" t="str">
        <f>IF(AND(Registro!D748="Abierto",Registro!E748="Alta"),Registro!B748,"")</f>
        <v/>
      </c>
      <c r="E749" s="45" t="str">
        <f ca="1">IF(AND(Registro!D748="Abierto",Registro!E748="Alta"),TODAY()-Registro!R748,"")</f>
        <v/>
      </c>
      <c r="F749" s="45" t="str">
        <f>IF(AND(Registro!D748="Abierto",Registro!E748="Alta"),RANK(E749,$E$9:$E$1000,0)+COUNTIF($E$9:E749,E749)-1+MAX(C$5:C$1000),"")</f>
        <v/>
      </c>
      <c r="G749" s="45" t="str">
        <f>IF(AND(Registro!D748="Abierto",Registro!E748="Media"),Registro!B748,"")</f>
        <v/>
      </c>
      <c r="H749" s="45" t="str">
        <f ca="1">IF(AND(Registro!D748="Abierto",Registro!E748="Media"),TODAY()-Registro!R748,"")</f>
        <v/>
      </c>
      <c r="I749" s="45" t="str">
        <f>IF(AND(Registro!D748="Abierto",Registro!E748="Media"),RANK(H749,$H$9:$H$1000,0)+COUNTIF($H$9:H749,H749)-1+MAX(C$5:C$1000,F$5:F$1000),"")</f>
        <v/>
      </c>
      <c r="J749" s="45" t="str">
        <f>IF(AND(Registro!D748="Abierto",Registro!E748="Baja"),Registro!B748,"")</f>
        <v/>
      </c>
      <c r="K749" s="45" t="str">
        <f ca="1">IF(AND(Registro!D748="Abierto",Registro!E748="Baja"),TODAY()-Registro!R748,"")</f>
        <v/>
      </c>
      <c r="L749" s="45" t="str">
        <f>IF(AND(Registro!D748="Abierto",Registro!E748="Baja"),RANK(K749,$K$9:$K$1000,0)+COUNTIF($K$9:K749,K749)-1+MAX(C$5:C$1000,F$5:F$1000,I$5:I$1000),"")</f>
        <v/>
      </c>
      <c r="M749" s="46" t="str">
        <f>IF(OR(Registro!D748="Resuelto",Registro!D748=""),"",SUM(C749,F749,I749,L749))</f>
        <v/>
      </c>
      <c r="N749" s="46" t="str">
        <f>IF(OR(Registro!D748="Resuelto",Registro!D748=""),"",SUM(B749,E749,H749,K749))</f>
        <v/>
      </c>
      <c r="O749" s="46" t="str">
        <f>IF(OR(Registro!D748="Resuelto",Registro!D748=""),"",_xlfn.CONCAT(A749,D749,G749,J749))</f>
        <v/>
      </c>
      <c r="P749" s="47">
        <v>741</v>
      </c>
      <c r="Q749" s="47" t="str">
        <f t="shared" ca="1" si="33"/>
        <v/>
      </c>
      <c r="R749" s="48" t="str">
        <f t="shared" ca="1" si="34"/>
        <v/>
      </c>
      <c r="S749" s="32"/>
      <c r="T749" s="32"/>
      <c r="U749" s="32"/>
      <c r="V749" s="32"/>
      <c r="W749" s="47" t="str">
        <f>IF(X749="","",MAX($W$5:W748)+1)</f>
        <v/>
      </c>
      <c r="X749" s="50" t="str">
        <f>IF(Registro!M748="","",IF(COUNTIF($X$8:X748,Registro!M748)=0,Registro!M748,""))</f>
        <v/>
      </c>
      <c r="Y749" s="50" t="str">
        <f t="shared" si="35"/>
        <v/>
      </c>
    </row>
    <row r="750" spans="1:25">
      <c r="A750" s="45" t="str">
        <f>IF(AND(Registro!D749="Abierto",Registro!E749="Urgente"),Registro!B749,"")</f>
        <v/>
      </c>
      <c r="B750" s="45" t="str">
        <f ca="1">IF(AND(Registro!D749="Abierto",Registro!E749="Urgente"),TODAY()-Registro!R749,"")</f>
        <v/>
      </c>
      <c r="C750" s="45" t="str">
        <f>IF(AND(Registro!D749="Abierto",Registro!E749="Urgente"),RANK(B750,$B$9:$B$1000,0)+COUNTIF($B$9:B750,B750)-1,"")</f>
        <v/>
      </c>
      <c r="D750" s="45" t="str">
        <f>IF(AND(Registro!D749="Abierto",Registro!E749="Alta"),Registro!B749,"")</f>
        <v/>
      </c>
      <c r="E750" s="45" t="str">
        <f ca="1">IF(AND(Registro!D749="Abierto",Registro!E749="Alta"),TODAY()-Registro!R749,"")</f>
        <v/>
      </c>
      <c r="F750" s="45" t="str">
        <f>IF(AND(Registro!D749="Abierto",Registro!E749="Alta"),RANK(E750,$E$9:$E$1000,0)+COUNTIF($E$9:E750,E750)-1+MAX(C$5:C$1000),"")</f>
        <v/>
      </c>
      <c r="G750" s="45" t="str">
        <f>IF(AND(Registro!D749="Abierto",Registro!E749="Media"),Registro!B749,"")</f>
        <v/>
      </c>
      <c r="H750" s="45" t="str">
        <f ca="1">IF(AND(Registro!D749="Abierto",Registro!E749="Media"),TODAY()-Registro!R749,"")</f>
        <v/>
      </c>
      <c r="I750" s="45" t="str">
        <f>IF(AND(Registro!D749="Abierto",Registro!E749="Media"),RANK(H750,$H$9:$H$1000,0)+COUNTIF($H$9:H750,H750)-1+MAX(C$5:C$1000,F$5:F$1000),"")</f>
        <v/>
      </c>
      <c r="J750" s="45" t="str">
        <f>IF(AND(Registro!D749="Abierto",Registro!E749="Baja"),Registro!B749,"")</f>
        <v/>
      </c>
      <c r="K750" s="45" t="str">
        <f ca="1">IF(AND(Registro!D749="Abierto",Registro!E749="Baja"),TODAY()-Registro!R749,"")</f>
        <v/>
      </c>
      <c r="L750" s="45" t="str">
        <f>IF(AND(Registro!D749="Abierto",Registro!E749="Baja"),RANK(K750,$K$9:$K$1000,0)+COUNTIF($K$9:K750,K750)-1+MAX(C$5:C$1000,F$5:F$1000,I$5:I$1000),"")</f>
        <v/>
      </c>
      <c r="M750" s="46" t="str">
        <f>IF(OR(Registro!D749="Resuelto",Registro!D749=""),"",SUM(C750,F750,I750,L750))</f>
        <v/>
      </c>
      <c r="N750" s="46" t="str">
        <f>IF(OR(Registro!D749="Resuelto",Registro!D749=""),"",SUM(B750,E750,H750,K750))</f>
        <v/>
      </c>
      <c r="O750" s="46" t="str">
        <f>IF(OR(Registro!D749="Resuelto",Registro!D749=""),"",_xlfn.CONCAT(A750,D750,G750,J750))</f>
        <v/>
      </c>
      <c r="P750" s="47">
        <v>742</v>
      </c>
      <c r="Q750" s="47" t="str">
        <f t="shared" ca="1" si="33"/>
        <v/>
      </c>
      <c r="R750" s="48" t="str">
        <f t="shared" ca="1" si="34"/>
        <v/>
      </c>
      <c r="S750" s="32"/>
      <c r="T750" s="32"/>
      <c r="U750" s="32"/>
      <c r="V750" s="32"/>
      <c r="W750" s="47" t="str">
        <f>IF(X750="","",MAX($W$5:W749)+1)</f>
        <v/>
      </c>
      <c r="X750" s="50" t="str">
        <f>IF(Registro!M749="","",IF(COUNTIF($X$8:X749,Registro!M749)=0,Registro!M749,""))</f>
        <v/>
      </c>
      <c r="Y750" s="50" t="str">
        <f t="shared" si="35"/>
        <v/>
      </c>
    </row>
    <row r="751" spans="1:25">
      <c r="A751" s="45" t="str">
        <f>IF(AND(Registro!D750="Abierto",Registro!E750="Urgente"),Registro!B750,"")</f>
        <v/>
      </c>
      <c r="B751" s="45" t="str">
        <f ca="1">IF(AND(Registro!D750="Abierto",Registro!E750="Urgente"),TODAY()-Registro!R750,"")</f>
        <v/>
      </c>
      <c r="C751" s="45" t="str">
        <f>IF(AND(Registro!D750="Abierto",Registro!E750="Urgente"),RANK(B751,$B$9:$B$1000,0)+COUNTIF($B$9:B751,B751)-1,"")</f>
        <v/>
      </c>
      <c r="D751" s="45" t="str">
        <f>IF(AND(Registro!D750="Abierto",Registro!E750="Alta"),Registro!B750,"")</f>
        <v/>
      </c>
      <c r="E751" s="45" t="str">
        <f ca="1">IF(AND(Registro!D750="Abierto",Registro!E750="Alta"),TODAY()-Registro!R750,"")</f>
        <v/>
      </c>
      <c r="F751" s="45" t="str">
        <f>IF(AND(Registro!D750="Abierto",Registro!E750="Alta"),RANK(E751,$E$9:$E$1000,0)+COUNTIF($E$9:E751,E751)-1+MAX(C$5:C$1000),"")</f>
        <v/>
      </c>
      <c r="G751" s="45" t="str">
        <f>IF(AND(Registro!D750="Abierto",Registro!E750="Media"),Registro!B750,"")</f>
        <v/>
      </c>
      <c r="H751" s="45" t="str">
        <f ca="1">IF(AND(Registro!D750="Abierto",Registro!E750="Media"),TODAY()-Registro!R750,"")</f>
        <v/>
      </c>
      <c r="I751" s="45" t="str">
        <f>IF(AND(Registro!D750="Abierto",Registro!E750="Media"),RANK(H751,$H$9:$H$1000,0)+COUNTIF($H$9:H751,H751)-1+MAX(C$5:C$1000,F$5:F$1000),"")</f>
        <v/>
      </c>
      <c r="J751" s="45" t="str">
        <f>IF(AND(Registro!D750="Abierto",Registro!E750="Baja"),Registro!B750,"")</f>
        <v/>
      </c>
      <c r="K751" s="45" t="str">
        <f ca="1">IF(AND(Registro!D750="Abierto",Registro!E750="Baja"),TODAY()-Registro!R750,"")</f>
        <v/>
      </c>
      <c r="L751" s="45" t="str">
        <f>IF(AND(Registro!D750="Abierto",Registro!E750="Baja"),RANK(K751,$K$9:$K$1000,0)+COUNTIF($K$9:K751,K751)-1+MAX(C$5:C$1000,F$5:F$1000,I$5:I$1000),"")</f>
        <v/>
      </c>
      <c r="M751" s="46" t="str">
        <f>IF(OR(Registro!D750="Resuelto",Registro!D750=""),"",SUM(C751,F751,I751,L751))</f>
        <v/>
      </c>
      <c r="N751" s="46" t="str">
        <f>IF(OR(Registro!D750="Resuelto",Registro!D750=""),"",SUM(B751,E751,H751,K751))</f>
        <v/>
      </c>
      <c r="O751" s="46" t="str">
        <f>IF(OR(Registro!D750="Resuelto",Registro!D750=""),"",_xlfn.CONCAT(A751,D751,G751,J751))</f>
        <v/>
      </c>
      <c r="P751" s="47">
        <v>743</v>
      </c>
      <c r="Q751" s="47" t="str">
        <f t="shared" ca="1" si="33"/>
        <v/>
      </c>
      <c r="R751" s="48" t="str">
        <f t="shared" ca="1" si="34"/>
        <v/>
      </c>
      <c r="S751" s="32"/>
      <c r="T751" s="32"/>
      <c r="U751" s="32"/>
      <c r="V751" s="32"/>
      <c r="W751" s="47" t="str">
        <f>IF(X751="","",MAX($W$5:W750)+1)</f>
        <v/>
      </c>
      <c r="X751" s="50" t="str">
        <f>IF(Registro!M750="","",IF(COUNTIF($X$8:X750,Registro!M750)=0,Registro!M750,""))</f>
        <v/>
      </c>
      <c r="Y751" s="50" t="str">
        <f t="shared" si="35"/>
        <v/>
      </c>
    </row>
    <row r="752" spans="1:25">
      <c r="A752" s="45" t="str">
        <f>IF(AND(Registro!D751="Abierto",Registro!E751="Urgente"),Registro!B751,"")</f>
        <v/>
      </c>
      <c r="B752" s="45" t="str">
        <f ca="1">IF(AND(Registro!D751="Abierto",Registro!E751="Urgente"),TODAY()-Registro!R751,"")</f>
        <v/>
      </c>
      <c r="C752" s="45" t="str">
        <f>IF(AND(Registro!D751="Abierto",Registro!E751="Urgente"),RANK(B752,$B$9:$B$1000,0)+COUNTIF($B$9:B752,B752)-1,"")</f>
        <v/>
      </c>
      <c r="D752" s="45" t="str">
        <f>IF(AND(Registro!D751="Abierto",Registro!E751="Alta"),Registro!B751,"")</f>
        <v/>
      </c>
      <c r="E752" s="45" t="str">
        <f ca="1">IF(AND(Registro!D751="Abierto",Registro!E751="Alta"),TODAY()-Registro!R751,"")</f>
        <v/>
      </c>
      <c r="F752" s="45" t="str">
        <f>IF(AND(Registro!D751="Abierto",Registro!E751="Alta"),RANK(E752,$E$9:$E$1000,0)+COUNTIF($E$9:E752,E752)-1+MAX(C$5:C$1000),"")</f>
        <v/>
      </c>
      <c r="G752" s="45" t="str">
        <f>IF(AND(Registro!D751="Abierto",Registro!E751="Media"),Registro!B751,"")</f>
        <v/>
      </c>
      <c r="H752" s="45" t="str">
        <f ca="1">IF(AND(Registro!D751="Abierto",Registro!E751="Media"),TODAY()-Registro!R751,"")</f>
        <v/>
      </c>
      <c r="I752" s="45" t="str">
        <f>IF(AND(Registro!D751="Abierto",Registro!E751="Media"),RANK(H752,$H$9:$H$1000,0)+COUNTIF($H$9:H752,H752)-1+MAX(C$5:C$1000,F$5:F$1000),"")</f>
        <v/>
      </c>
      <c r="J752" s="45" t="str">
        <f>IF(AND(Registro!D751="Abierto",Registro!E751="Baja"),Registro!B751,"")</f>
        <v/>
      </c>
      <c r="K752" s="45" t="str">
        <f ca="1">IF(AND(Registro!D751="Abierto",Registro!E751="Baja"),TODAY()-Registro!R751,"")</f>
        <v/>
      </c>
      <c r="L752" s="45" t="str">
        <f>IF(AND(Registro!D751="Abierto",Registro!E751="Baja"),RANK(K752,$K$9:$K$1000,0)+COUNTIF($K$9:K752,K752)-1+MAX(C$5:C$1000,F$5:F$1000,I$5:I$1000),"")</f>
        <v/>
      </c>
      <c r="M752" s="46" t="str">
        <f>IF(OR(Registro!D751="Resuelto",Registro!D751=""),"",SUM(C752,F752,I752,L752))</f>
        <v/>
      </c>
      <c r="N752" s="46" t="str">
        <f>IF(OR(Registro!D751="Resuelto",Registro!D751=""),"",SUM(B752,E752,H752,K752))</f>
        <v/>
      </c>
      <c r="O752" s="46" t="str">
        <f>IF(OR(Registro!D751="Resuelto",Registro!D751=""),"",_xlfn.CONCAT(A752,D752,G752,J752))</f>
        <v/>
      </c>
      <c r="P752" s="47">
        <v>744</v>
      </c>
      <c r="Q752" s="47" t="str">
        <f t="shared" ca="1" si="33"/>
        <v/>
      </c>
      <c r="R752" s="48" t="str">
        <f t="shared" ca="1" si="34"/>
        <v/>
      </c>
      <c r="S752" s="32"/>
      <c r="T752" s="32"/>
      <c r="U752" s="32"/>
      <c r="V752" s="32"/>
      <c r="W752" s="47" t="str">
        <f>IF(X752="","",MAX($W$5:W751)+1)</f>
        <v/>
      </c>
      <c r="X752" s="50" t="str">
        <f>IF(Registro!M751="","",IF(COUNTIF($X$8:X751,Registro!M751)=0,Registro!M751,""))</f>
        <v/>
      </c>
      <c r="Y752" s="50" t="str">
        <f t="shared" si="35"/>
        <v/>
      </c>
    </row>
    <row r="753" spans="1:25">
      <c r="A753" s="45" t="str">
        <f>IF(AND(Registro!D752="Abierto",Registro!E752="Urgente"),Registro!B752,"")</f>
        <v/>
      </c>
      <c r="B753" s="45" t="str">
        <f ca="1">IF(AND(Registro!D752="Abierto",Registro!E752="Urgente"),TODAY()-Registro!R752,"")</f>
        <v/>
      </c>
      <c r="C753" s="45" t="str">
        <f>IF(AND(Registro!D752="Abierto",Registro!E752="Urgente"),RANK(B753,$B$9:$B$1000,0)+COUNTIF($B$9:B753,B753)-1,"")</f>
        <v/>
      </c>
      <c r="D753" s="45" t="str">
        <f>IF(AND(Registro!D752="Abierto",Registro!E752="Alta"),Registro!B752,"")</f>
        <v/>
      </c>
      <c r="E753" s="45" t="str">
        <f ca="1">IF(AND(Registro!D752="Abierto",Registro!E752="Alta"),TODAY()-Registro!R752,"")</f>
        <v/>
      </c>
      <c r="F753" s="45" t="str">
        <f>IF(AND(Registro!D752="Abierto",Registro!E752="Alta"),RANK(E753,$E$9:$E$1000,0)+COUNTIF($E$9:E753,E753)-1+MAX(C$5:C$1000),"")</f>
        <v/>
      </c>
      <c r="G753" s="45" t="str">
        <f>IF(AND(Registro!D752="Abierto",Registro!E752="Media"),Registro!B752,"")</f>
        <v/>
      </c>
      <c r="H753" s="45" t="str">
        <f ca="1">IF(AND(Registro!D752="Abierto",Registro!E752="Media"),TODAY()-Registro!R752,"")</f>
        <v/>
      </c>
      <c r="I753" s="45" t="str">
        <f>IF(AND(Registro!D752="Abierto",Registro!E752="Media"),RANK(H753,$H$9:$H$1000,0)+COUNTIF($H$9:H753,H753)-1+MAX(C$5:C$1000,F$5:F$1000),"")</f>
        <v/>
      </c>
      <c r="J753" s="45" t="str">
        <f>IF(AND(Registro!D752="Abierto",Registro!E752="Baja"),Registro!B752,"")</f>
        <v/>
      </c>
      <c r="K753" s="45" t="str">
        <f ca="1">IF(AND(Registro!D752="Abierto",Registro!E752="Baja"),TODAY()-Registro!R752,"")</f>
        <v/>
      </c>
      <c r="L753" s="45" t="str">
        <f>IF(AND(Registro!D752="Abierto",Registro!E752="Baja"),RANK(K753,$K$9:$K$1000,0)+COUNTIF($K$9:K753,K753)-1+MAX(C$5:C$1000,F$5:F$1000,I$5:I$1000),"")</f>
        <v/>
      </c>
      <c r="M753" s="46" t="str">
        <f>IF(OR(Registro!D752="Resuelto",Registro!D752=""),"",SUM(C753,F753,I753,L753))</f>
        <v/>
      </c>
      <c r="N753" s="46" t="str">
        <f>IF(OR(Registro!D752="Resuelto",Registro!D752=""),"",SUM(B753,E753,H753,K753))</f>
        <v/>
      </c>
      <c r="O753" s="46" t="str">
        <f>IF(OR(Registro!D752="Resuelto",Registro!D752=""),"",_xlfn.CONCAT(A753,D753,G753,J753))</f>
        <v/>
      </c>
      <c r="P753" s="47">
        <v>745</v>
      </c>
      <c r="Q753" s="47" t="str">
        <f t="shared" ca="1" si="33"/>
        <v/>
      </c>
      <c r="R753" s="48" t="str">
        <f t="shared" ca="1" si="34"/>
        <v/>
      </c>
      <c r="S753" s="32"/>
      <c r="T753" s="32"/>
      <c r="U753" s="32"/>
      <c r="V753" s="32"/>
      <c r="W753" s="47" t="str">
        <f>IF(X753="","",MAX($W$5:W752)+1)</f>
        <v/>
      </c>
      <c r="X753" s="50" t="str">
        <f>IF(Registro!M752="","",IF(COUNTIF($X$8:X752,Registro!M752)=0,Registro!M752,""))</f>
        <v/>
      </c>
      <c r="Y753" s="50" t="str">
        <f t="shared" si="35"/>
        <v/>
      </c>
    </row>
    <row r="754" spans="1:25">
      <c r="A754" s="45" t="str">
        <f>IF(AND(Registro!D753="Abierto",Registro!E753="Urgente"),Registro!B753,"")</f>
        <v/>
      </c>
      <c r="B754" s="45" t="str">
        <f ca="1">IF(AND(Registro!D753="Abierto",Registro!E753="Urgente"),TODAY()-Registro!R753,"")</f>
        <v/>
      </c>
      <c r="C754" s="45" t="str">
        <f>IF(AND(Registro!D753="Abierto",Registro!E753="Urgente"),RANK(B754,$B$9:$B$1000,0)+COUNTIF($B$9:B754,B754)-1,"")</f>
        <v/>
      </c>
      <c r="D754" s="45" t="str">
        <f>IF(AND(Registro!D753="Abierto",Registro!E753="Alta"),Registro!B753,"")</f>
        <v/>
      </c>
      <c r="E754" s="45" t="str">
        <f ca="1">IF(AND(Registro!D753="Abierto",Registro!E753="Alta"),TODAY()-Registro!R753,"")</f>
        <v/>
      </c>
      <c r="F754" s="45" t="str">
        <f>IF(AND(Registro!D753="Abierto",Registro!E753="Alta"),RANK(E754,$E$9:$E$1000,0)+COUNTIF($E$9:E754,E754)-1+MAX(C$5:C$1000),"")</f>
        <v/>
      </c>
      <c r="G754" s="45" t="str">
        <f>IF(AND(Registro!D753="Abierto",Registro!E753="Media"),Registro!B753,"")</f>
        <v/>
      </c>
      <c r="H754" s="45" t="str">
        <f ca="1">IF(AND(Registro!D753="Abierto",Registro!E753="Media"),TODAY()-Registro!R753,"")</f>
        <v/>
      </c>
      <c r="I754" s="45" t="str">
        <f>IF(AND(Registro!D753="Abierto",Registro!E753="Media"),RANK(H754,$H$9:$H$1000,0)+COUNTIF($H$9:H754,H754)-1+MAX(C$5:C$1000,F$5:F$1000),"")</f>
        <v/>
      </c>
      <c r="J754" s="45" t="str">
        <f>IF(AND(Registro!D753="Abierto",Registro!E753="Baja"),Registro!B753,"")</f>
        <v/>
      </c>
      <c r="K754" s="45" t="str">
        <f ca="1">IF(AND(Registro!D753="Abierto",Registro!E753="Baja"),TODAY()-Registro!R753,"")</f>
        <v/>
      </c>
      <c r="L754" s="45" t="str">
        <f>IF(AND(Registro!D753="Abierto",Registro!E753="Baja"),RANK(K754,$K$9:$K$1000,0)+COUNTIF($K$9:K754,K754)-1+MAX(C$5:C$1000,F$5:F$1000,I$5:I$1000),"")</f>
        <v/>
      </c>
      <c r="M754" s="46" t="str">
        <f>IF(OR(Registro!D753="Resuelto",Registro!D753=""),"",SUM(C754,F754,I754,L754))</f>
        <v/>
      </c>
      <c r="N754" s="46" t="str">
        <f>IF(OR(Registro!D753="Resuelto",Registro!D753=""),"",SUM(B754,E754,H754,K754))</f>
        <v/>
      </c>
      <c r="O754" s="46" t="str">
        <f>IF(OR(Registro!D753="Resuelto",Registro!D753=""),"",_xlfn.CONCAT(A754,D754,G754,J754))</f>
        <v/>
      </c>
      <c r="P754" s="47">
        <v>746</v>
      </c>
      <c r="Q754" s="47" t="str">
        <f t="shared" ca="1" si="33"/>
        <v/>
      </c>
      <c r="R754" s="48" t="str">
        <f t="shared" ca="1" si="34"/>
        <v/>
      </c>
      <c r="S754" s="32"/>
      <c r="T754" s="32"/>
      <c r="U754" s="32"/>
      <c r="V754" s="32"/>
      <c r="W754" s="47" t="str">
        <f>IF(X754="","",MAX($W$5:W753)+1)</f>
        <v/>
      </c>
      <c r="X754" s="50" t="str">
        <f>IF(Registro!M753="","",IF(COUNTIF($X$8:X753,Registro!M753)=0,Registro!M753,""))</f>
        <v/>
      </c>
      <c r="Y754" s="50" t="str">
        <f t="shared" si="35"/>
        <v/>
      </c>
    </row>
    <row r="755" spans="1:25">
      <c r="A755" s="45" t="str">
        <f>IF(AND(Registro!D754="Abierto",Registro!E754="Urgente"),Registro!B754,"")</f>
        <v/>
      </c>
      <c r="B755" s="45" t="str">
        <f ca="1">IF(AND(Registro!D754="Abierto",Registro!E754="Urgente"),TODAY()-Registro!R754,"")</f>
        <v/>
      </c>
      <c r="C755" s="45" t="str">
        <f>IF(AND(Registro!D754="Abierto",Registro!E754="Urgente"),RANK(B755,$B$9:$B$1000,0)+COUNTIF($B$9:B755,B755)-1,"")</f>
        <v/>
      </c>
      <c r="D755" s="45" t="str">
        <f>IF(AND(Registro!D754="Abierto",Registro!E754="Alta"),Registro!B754,"")</f>
        <v/>
      </c>
      <c r="E755" s="45" t="str">
        <f ca="1">IF(AND(Registro!D754="Abierto",Registro!E754="Alta"),TODAY()-Registro!R754,"")</f>
        <v/>
      </c>
      <c r="F755" s="45" t="str">
        <f>IF(AND(Registro!D754="Abierto",Registro!E754="Alta"),RANK(E755,$E$9:$E$1000,0)+COUNTIF($E$9:E755,E755)-1+MAX(C$5:C$1000),"")</f>
        <v/>
      </c>
      <c r="G755" s="45" t="str">
        <f>IF(AND(Registro!D754="Abierto",Registro!E754="Media"),Registro!B754,"")</f>
        <v/>
      </c>
      <c r="H755" s="45" t="str">
        <f ca="1">IF(AND(Registro!D754="Abierto",Registro!E754="Media"),TODAY()-Registro!R754,"")</f>
        <v/>
      </c>
      <c r="I755" s="45" t="str">
        <f>IF(AND(Registro!D754="Abierto",Registro!E754="Media"),RANK(H755,$H$9:$H$1000,0)+COUNTIF($H$9:H755,H755)-1+MAX(C$5:C$1000,F$5:F$1000),"")</f>
        <v/>
      </c>
      <c r="J755" s="45" t="str">
        <f>IF(AND(Registro!D754="Abierto",Registro!E754="Baja"),Registro!B754,"")</f>
        <v/>
      </c>
      <c r="K755" s="45" t="str">
        <f ca="1">IF(AND(Registro!D754="Abierto",Registro!E754="Baja"),TODAY()-Registro!R754,"")</f>
        <v/>
      </c>
      <c r="L755" s="45" t="str">
        <f>IF(AND(Registro!D754="Abierto",Registro!E754="Baja"),RANK(K755,$K$9:$K$1000,0)+COUNTIF($K$9:K755,K755)-1+MAX(C$5:C$1000,F$5:F$1000,I$5:I$1000),"")</f>
        <v/>
      </c>
      <c r="M755" s="46" t="str">
        <f>IF(OR(Registro!D754="Resuelto",Registro!D754=""),"",SUM(C755,F755,I755,L755))</f>
        <v/>
      </c>
      <c r="N755" s="46" t="str">
        <f>IF(OR(Registro!D754="Resuelto",Registro!D754=""),"",SUM(B755,E755,H755,K755))</f>
        <v/>
      </c>
      <c r="O755" s="46" t="str">
        <f>IF(OR(Registro!D754="Resuelto",Registro!D754=""),"",_xlfn.CONCAT(A755,D755,G755,J755))</f>
        <v/>
      </c>
      <c r="P755" s="47">
        <v>747</v>
      </c>
      <c r="Q755" s="47" t="str">
        <f t="shared" ca="1" si="33"/>
        <v/>
      </c>
      <c r="R755" s="48" t="str">
        <f t="shared" ca="1" si="34"/>
        <v/>
      </c>
      <c r="S755" s="32"/>
      <c r="T755" s="32"/>
      <c r="U755" s="32"/>
      <c r="V755" s="32"/>
      <c r="W755" s="47" t="str">
        <f>IF(X755="","",MAX($W$5:W754)+1)</f>
        <v/>
      </c>
      <c r="X755" s="50" t="str">
        <f>IF(Registro!M754="","",IF(COUNTIF($X$8:X754,Registro!M754)=0,Registro!M754,""))</f>
        <v/>
      </c>
      <c r="Y755" s="50" t="str">
        <f t="shared" si="35"/>
        <v/>
      </c>
    </row>
    <row r="756" spans="1:25">
      <c r="A756" s="45" t="str">
        <f>IF(AND(Registro!D755="Abierto",Registro!E755="Urgente"),Registro!B755,"")</f>
        <v/>
      </c>
      <c r="B756" s="45" t="str">
        <f ca="1">IF(AND(Registro!D755="Abierto",Registro!E755="Urgente"),TODAY()-Registro!R755,"")</f>
        <v/>
      </c>
      <c r="C756" s="45" t="str">
        <f>IF(AND(Registro!D755="Abierto",Registro!E755="Urgente"),RANK(B756,$B$9:$B$1000,0)+COUNTIF($B$9:B756,B756)-1,"")</f>
        <v/>
      </c>
      <c r="D756" s="45" t="str">
        <f>IF(AND(Registro!D755="Abierto",Registro!E755="Alta"),Registro!B755,"")</f>
        <v/>
      </c>
      <c r="E756" s="45" t="str">
        <f ca="1">IF(AND(Registro!D755="Abierto",Registro!E755="Alta"),TODAY()-Registro!R755,"")</f>
        <v/>
      </c>
      <c r="F756" s="45" t="str">
        <f>IF(AND(Registro!D755="Abierto",Registro!E755="Alta"),RANK(E756,$E$9:$E$1000,0)+COUNTIF($E$9:E756,E756)-1+MAX(C$5:C$1000),"")</f>
        <v/>
      </c>
      <c r="G756" s="45" t="str">
        <f>IF(AND(Registro!D755="Abierto",Registro!E755="Media"),Registro!B755,"")</f>
        <v/>
      </c>
      <c r="H756" s="45" t="str">
        <f ca="1">IF(AND(Registro!D755="Abierto",Registro!E755="Media"),TODAY()-Registro!R755,"")</f>
        <v/>
      </c>
      <c r="I756" s="45" t="str">
        <f>IF(AND(Registro!D755="Abierto",Registro!E755="Media"),RANK(H756,$H$9:$H$1000,0)+COUNTIF($H$9:H756,H756)-1+MAX(C$5:C$1000,F$5:F$1000),"")</f>
        <v/>
      </c>
      <c r="J756" s="45" t="str">
        <f>IF(AND(Registro!D755="Abierto",Registro!E755="Baja"),Registro!B755,"")</f>
        <v/>
      </c>
      <c r="K756" s="45" t="str">
        <f ca="1">IF(AND(Registro!D755="Abierto",Registro!E755="Baja"),TODAY()-Registro!R755,"")</f>
        <v/>
      </c>
      <c r="L756" s="45" t="str">
        <f>IF(AND(Registro!D755="Abierto",Registro!E755="Baja"),RANK(K756,$K$9:$K$1000,0)+COUNTIF($K$9:K756,K756)-1+MAX(C$5:C$1000,F$5:F$1000,I$5:I$1000),"")</f>
        <v/>
      </c>
      <c r="M756" s="46" t="str">
        <f>IF(OR(Registro!D755="Resuelto",Registro!D755=""),"",SUM(C756,F756,I756,L756))</f>
        <v/>
      </c>
      <c r="N756" s="46" t="str">
        <f>IF(OR(Registro!D755="Resuelto",Registro!D755=""),"",SUM(B756,E756,H756,K756))</f>
        <v/>
      </c>
      <c r="O756" s="46" t="str">
        <f>IF(OR(Registro!D755="Resuelto",Registro!D755=""),"",_xlfn.CONCAT(A756,D756,G756,J756))</f>
        <v/>
      </c>
      <c r="P756" s="47">
        <v>748</v>
      </c>
      <c r="Q756" s="47" t="str">
        <f t="shared" ca="1" si="33"/>
        <v/>
      </c>
      <c r="R756" s="48" t="str">
        <f t="shared" ca="1" si="34"/>
        <v/>
      </c>
      <c r="S756" s="32"/>
      <c r="T756" s="32"/>
      <c r="U756" s="32"/>
      <c r="V756" s="32"/>
      <c r="W756" s="47" t="str">
        <f>IF(X756="","",MAX($W$5:W755)+1)</f>
        <v/>
      </c>
      <c r="X756" s="50" t="str">
        <f>IF(Registro!M755="","",IF(COUNTIF($X$8:X755,Registro!M755)=0,Registro!M755,""))</f>
        <v/>
      </c>
      <c r="Y756" s="50" t="str">
        <f t="shared" si="35"/>
        <v/>
      </c>
    </row>
    <row r="757" spans="1:25">
      <c r="A757" s="45" t="str">
        <f>IF(AND(Registro!D756="Abierto",Registro!E756="Urgente"),Registro!B756,"")</f>
        <v/>
      </c>
      <c r="B757" s="45" t="str">
        <f ca="1">IF(AND(Registro!D756="Abierto",Registro!E756="Urgente"),TODAY()-Registro!R756,"")</f>
        <v/>
      </c>
      <c r="C757" s="45" t="str">
        <f>IF(AND(Registro!D756="Abierto",Registro!E756="Urgente"),RANK(B757,$B$9:$B$1000,0)+COUNTIF($B$9:B757,B757)-1,"")</f>
        <v/>
      </c>
      <c r="D757" s="45" t="str">
        <f>IF(AND(Registro!D756="Abierto",Registro!E756="Alta"),Registro!B756,"")</f>
        <v/>
      </c>
      <c r="E757" s="45" t="str">
        <f ca="1">IF(AND(Registro!D756="Abierto",Registro!E756="Alta"),TODAY()-Registro!R756,"")</f>
        <v/>
      </c>
      <c r="F757" s="45" t="str">
        <f>IF(AND(Registro!D756="Abierto",Registro!E756="Alta"),RANK(E757,$E$9:$E$1000,0)+COUNTIF($E$9:E757,E757)-1+MAX(C$5:C$1000),"")</f>
        <v/>
      </c>
      <c r="G757" s="45" t="str">
        <f>IF(AND(Registro!D756="Abierto",Registro!E756="Media"),Registro!B756,"")</f>
        <v/>
      </c>
      <c r="H757" s="45" t="str">
        <f ca="1">IF(AND(Registro!D756="Abierto",Registro!E756="Media"),TODAY()-Registro!R756,"")</f>
        <v/>
      </c>
      <c r="I757" s="45" t="str">
        <f>IF(AND(Registro!D756="Abierto",Registro!E756="Media"),RANK(H757,$H$9:$H$1000,0)+COUNTIF($H$9:H757,H757)-1+MAX(C$5:C$1000,F$5:F$1000),"")</f>
        <v/>
      </c>
      <c r="J757" s="45" t="str">
        <f>IF(AND(Registro!D756="Abierto",Registro!E756="Baja"),Registro!B756,"")</f>
        <v/>
      </c>
      <c r="K757" s="45" t="str">
        <f ca="1">IF(AND(Registro!D756="Abierto",Registro!E756="Baja"),TODAY()-Registro!R756,"")</f>
        <v/>
      </c>
      <c r="L757" s="45" t="str">
        <f>IF(AND(Registro!D756="Abierto",Registro!E756="Baja"),RANK(K757,$K$9:$K$1000,0)+COUNTIF($K$9:K757,K757)-1+MAX(C$5:C$1000,F$5:F$1000,I$5:I$1000),"")</f>
        <v/>
      </c>
      <c r="M757" s="46" t="str">
        <f>IF(OR(Registro!D756="Resuelto",Registro!D756=""),"",SUM(C757,F757,I757,L757))</f>
        <v/>
      </c>
      <c r="N757" s="46" t="str">
        <f>IF(OR(Registro!D756="Resuelto",Registro!D756=""),"",SUM(B757,E757,H757,K757))</f>
        <v/>
      </c>
      <c r="O757" s="46" t="str">
        <f>IF(OR(Registro!D756="Resuelto",Registro!D756=""),"",_xlfn.CONCAT(A757,D757,G757,J757))</f>
        <v/>
      </c>
      <c r="P757" s="47">
        <v>749</v>
      </c>
      <c r="Q757" s="47" t="str">
        <f t="shared" ca="1" si="33"/>
        <v/>
      </c>
      <c r="R757" s="48" t="str">
        <f t="shared" ca="1" si="34"/>
        <v/>
      </c>
      <c r="S757" s="32"/>
      <c r="T757" s="32"/>
      <c r="U757" s="32"/>
      <c r="V757" s="32"/>
      <c r="W757" s="47" t="str">
        <f>IF(X757="","",MAX($W$5:W756)+1)</f>
        <v/>
      </c>
      <c r="X757" s="50" t="str">
        <f>IF(Registro!M756="","",IF(COUNTIF($X$8:X756,Registro!M756)=0,Registro!M756,""))</f>
        <v/>
      </c>
      <c r="Y757" s="50" t="str">
        <f t="shared" si="35"/>
        <v/>
      </c>
    </row>
    <row r="758" spans="1:25">
      <c r="A758" s="45" t="str">
        <f>IF(AND(Registro!D757="Abierto",Registro!E757="Urgente"),Registro!B757,"")</f>
        <v/>
      </c>
      <c r="B758" s="45" t="str">
        <f ca="1">IF(AND(Registro!D757="Abierto",Registro!E757="Urgente"),TODAY()-Registro!R757,"")</f>
        <v/>
      </c>
      <c r="C758" s="45" t="str">
        <f>IF(AND(Registro!D757="Abierto",Registro!E757="Urgente"),RANK(B758,$B$9:$B$1000,0)+COUNTIF($B$9:B758,B758)-1,"")</f>
        <v/>
      </c>
      <c r="D758" s="45" t="str">
        <f>IF(AND(Registro!D757="Abierto",Registro!E757="Alta"),Registro!B757,"")</f>
        <v/>
      </c>
      <c r="E758" s="45" t="str">
        <f ca="1">IF(AND(Registro!D757="Abierto",Registro!E757="Alta"),TODAY()-Registro!R757,"")</f>
        <v/>
      </c>
      <c r="F758" s="45" t="str">
        <f>IF(AND(Registro!D757="Abierto",Registro!E757="Alta"),RANK(E758,$E$9:$E$1000,0)+COUNTIF($E$9:E758,E758)-1+MAX(C$5:C$1000),"")</f>
        <v/>
      </c>
      <c r="G758" s="45" t="str">
        <f>IF(AND(Registro!D757="Abierto",Registro!E757="Media"),Registro!B757,"")</f>
        <v/>
      </c>
      <c r="H758" s="45" t="str">
        <f ca="1">IF(AND(Registro!D757="Abierto",Registro!E757="Media"),TODAY()-Registro!R757,"")</f>
        <v/>
      </c>
      <c r="I758" s="45" t="str">
        <f>IF(AND(Registro!D757="Abierto",Registro!E757="Media"),RANK(H758,$H$9:$H$1000,0)+COUNTIF($H$9:H758,H758)-1+MAX(C$5:C$1000,F$5:F$1000),"")</f>
        <v/>
      </c>
      <c r="J758" s="45" t="str">
        <f>IF(AND(Registro!D757="Abierto",Registro!E757="Baja"),Registro!B757,"")</f>
        <v/>
      </c>
      <c r="K758" s="45" t="str">
        <f ca="1">IF(AND(Registro!D757="Abierto",Registro!E757="Baja"),TODAY()-Registro!R757,"")</f>
        <v/>
      </c>
      <c r="L758" s="45" t="str">
        <f>IF(AND(Registro!D757="Abierto",Registro!E757="Baja"),RANK(K758,$K$9:$K$1000,0)+COUNTIF($K$9:K758,K758)-1+MAX(C$5:C$1000,F$5:F$1000,I$5:I$1000),"")</f>
        <v/>
      </c>
      <c r="M758" s="46" t="str">
        <f>IF(OR(Registro!D757="Resuelto",Registro!D757=""),"",SUM(C758,F758,I758,L758))</f>
        <v/>
      </c>
      <c r="N758" s="46" t="str">
        <f>IF(OR(Registro!D757="Resuelto",Registro!D757=""),"",SUM(B758,E758,H758,K758))</f>
        <v/>
      </c>
      <c r="O758" s="46" t="str">
        <f>IF(OR(Registro!D757="Resuelto",Registro!D757=""),"",_xlfn.CONCAT(A758,D758,G758,J758))</f>
        <v/>
      </c>
      <c r="P758" s="47">
        <v>750</v>
      </c>
      <c r="Q758" s="47" t="str">
        <f t="shared" ca="1" si="33"/>
        <v/>
      </c>
      <c r="R758" s="48" t="str">
        <f t="shared" ca="1" si="34"/>
        <v/>
      </c>
      <c r="S758" s="32"/>
      <c r="T758" s="32"/>
      <c r="U758" s="32"/>
      <c r="V758" s="32"/>
      <c r="W758" s="47" t="str">
        <f>IF(X758="","",MAX($W$5:W757)+1)</f>
        <v/>
      </c>
      <c r="X758" s="50" t="str">
        <f>IF(Registro!M757="","",IF(COUNTIF($X$8:X757,Registro!M757)=0,Registro!M757,""))</f>
        <v/>
      </c>
      <c r="Y758" s="50" t="str">
        <f t="shared" si="35"/>
        <v/>
      </c>
    </row>
    <row r="759" spans="1:25">
      <c r="A759" s="45" t="str">
        <f>IF(AND(Registro!D758="Abierto",Registro!E758="Urgente"),Registro!B758,"")</f>
        <v/>
      </c>
      <c r="B759" s="45" t="str">
        <f ca="1">IF(AND(Registro!D758="Abierto",Registro!E758="Urgente"),TODAY()-Registro!R758,"")</f>
        <v/>
      </c>
      <c r="C759" s="45" t="str">
        <f>IF(AND(Registro!D758="Abierto",Registro!E758="Urgente"),RANK(B759,$B$9:$B$1000,0)+COUNTIF($B$9:B759,B759)-1,"")</f>
        <v/>
      </c>
      <c r="D759" s="45" t="str">
        <f>IF(AND(Registro!D758="Abierto",Registro!E758="Alta"),Registro!B758,"")</f>
        <v/>
      </c>
      <c r="E759" s="45" t="str">
        <f ca="1">IF(AND(Registro!D758="Abierto",Registro!E758="Alta"),TODAY()-Registro!R758,"")</f>
        <v/>
      </c>
      <c r="F759" s="45" t="str">
        <f>IF(AND(Registro!D758="Abierto",Registro!E758="Alta"),RANK(E759,$E$9:$E$1000,0)+COUNTIF($E$9:E759,E759)-1+MAX(C$5:C$1000),"")</f>
        <v/>
      </c>
      <c r="G759" s="45" t="str">
        <f>IF(AND(Registro!D758="Abierto",Registro!E758="Media"),Registro!B758,"")</f>
        <v/>
      </c>
      <c r="H759" s="45" t="str">
        <f ca="1">IF(AND(Registro!D758="Abierto",Registro!E758="Media"),TODAY()-Registro!R758,"")</f>
        <v/>
      </c>
      <c r="I759" s="45" t="str">
        <f>IF(AND(Registro!D758="Abierto",Registro!E758="Media"),RANK(H759,$H$9:$H$1000,0)+COUNTIF($H$9:H759,H759)-1+MAX(C$5:C$1000,F$5:F$1000),"")</f>
        <v/>
      </c>
      <c r="J759" s="45" t="str">
        <f>IF(AND(Registro!D758="Abierto",Registro!E758="Baja"),Registro!B758,"")</f>
        <v/>
      </c>
      <c r="K759" s="45" t="str">
        <f ca="1">IF(AND(Registro!D758="Abierto",Registro!E758="Baja"),TODAY()-Registro!R758,"")</f>
        <v/>
      </c>
      <c r="L759" s="45" t="str">
        <f>IF(AND(Registro!D758="Abierto",Registro!E758="Baja"),RANK(K759,$K$9:$K$1000,0)+COUNTIF($K$9:K759,K759)-1+MAX(C$5:C$1000,F$5:F$1000,I$5:I$1000),"")</f>
        <v/>
      </c>
      <c r="M759" s="46" t="str">
        <f>IF(OR(Registro!D758="Resuelto",Registro!D758=""),"",SUM(C759,F759,I759,L759))</f>
        <v/>
      </c>
      <c r="N759" s="46" t="str">
        <f>IF(OR(Registro!D758="Resuelto",Registro!D758=""),"",SUM(B759,E759,H759,K759))</f>
        <v/>
      </c>
      <c r="O759" s="46" t="str">
        <f>IF(OR(Registro!D758="Resuelto",Registro!D758=""),"",_xlfn.CONCAT(A759,D759,G759,J759))</f>
        <v/>
      </c>
      <c r="P759" s="47">
        <v>751</v>
      </c>
      <c r="Q759" s="47" t="str">
        <f t="shared" ca="1" si="33"/>
        <v/>
      </c>
      <c r="R759" s="48" t="str">
        <f t="shared" ca="1" si="34"/>
        <v/>
      </c>
      <c r="S759" s="32"/>
      <c r="T759" s="32"/>
      <c r="U759" s="32"/>
      <c r="V759" s="32"/>
      <c r="W759" s="47" t="str">
        <f>IF(X759="","",MAX($W$5:W758)+1)</f>
        <v/>
      </c>
      <c r="X759" s="50" t="str">
        <f>IF(Registro!M758="","",IF(COUNTIF($X$8:X758,Registro!M758)=0,Registro!M758,""))</f>
        <v/>
      </c>
      <c r="Y759" s="50" t="str">
        <f t="shared" si="35"/>
        <v/>
      </c>
    </row>
    <row r="760" spans="1:25">
      <c r="A760" s="45" t="str">
        <f>IF(AND(Registro!D759="Abierto",Registro!E759="Urgente"),Registro!B759,"")</f>
        <v/>
      </c>
      <c r="B760" s="45" t="str">
        <f ca="1">IF(AND(Registro!D759="Abierto",Registro!E759="Urgente"),TODAY()-Registro!R759,"")</f>
        <v/>
      </c>
      <c r="C760" s="45" t="str">
        <f>IF(AND(Registro!D759="Abierto",Registro!E759="Urgente"),RANK(B760,$B$9:$B$1000,0)+COUNTIF($B$9:B760,B760)-1,"")</f>
        <v/>
      </c>
      <c r="D760" s="45" t="str">
        <f>IF(AND(Registro!D759="Abierto",Registro!E759="Alta"),Registro!B759,"")</f>
        <v/>
      </c>
      <c r="E760" s="45" t="str">
        <f ca="1">IF(AND(Registro!D759="Abierto",Registro!E759="Alta"),TODAY()-Registro!R759,"")</f>
        <v/>
      </c>
      <c r="F760" s="45" t="str">
        <f>IF(AND(Registro!D759="Abierto",Registro!E759="Alta"),RANK(E760,$E$9:$E$1000,0)+COUNTIF($E$9:E760,E760)-1+MAX(C$5:C$1000),"")</f>
        <v/>
      </c>
      <c r="G760" s="45" t="str">
        <f>IF(AND(Registro!D759="Abierto",Registro!E759="Media"),Registro!B759,"")</f>
        <v/>
      </c>
      <c r="H760" s="45" t="str">
        <f ca="1">IF(AND(Registro!D759="Abierto",Registro!E759="Media"),TODAY()-Registro!R759,"")</f>
        <v/>
      </c>
      <c r="I760" s="45" t="str">
        <f>IF(AND(Registro!D759="Abierto",Registro!E759="Media"),RANK(H760,$H$9:$H$1000,0)+COUNTIF($H$9:H760,H760)-1+MAX(C$5:C$1000,F$5:F$1000),"")</f>
        <v/>
      </c>
      <c r="J760" s="45" t="str">
        <f>IF(AND(Registro!D759="Abierto",Registro!E759="Baja"),Registro!B759,"")</f>
        <v/>
      </c>
      <c r="K760" s="45" t="str">
        <f ca="1">IF(AND(Registro!D759="Abierto",Registro!E759="Baja"),TODAY()-Registro!R759,"")</f>
        <v/>
      </c>
      <c r="L760" s="45" t="str">
        <f>IF(AND(Registro!D759="Abierto",Registro!E759="Baja"),RANK(K760,$K$9:$K$1000,0)+COUNTIF($K$9:K760,K760)-1+MAX(C$5:C$1000,F$5:F$1000,I$5:I$1000),"")</f>
        <v/>
      </c>
      <c r="M760" s="46" t="str">
        <f>IF(OR(Registro!D759="Resuelto",Registro!D759=""),"",SUM(C760,F760,I760,L760))</f>
        <v/>
      </c>
      <c r="N760" s="46" t="str">
        <f>IF(OR(Registro!D759="Resuelto",Registro!D759=""),"",SUM(B760,E760,H760,K760))</f>
        <v/>
      </c>
      <c r="O760" s="46" t="str">
        <f>IF(OR(Registro!D759="Resuelto",Registro!D759=""),"",_xlfn.CONCAT(A760,D760,G760,J760))</f>
        <v/>
      </c>
      <c r="P760" s="47">
        <v>752</v>
      </c>
      <c r="Q760" s="47" t="str">
        <f t="shared" ca="1" si="33"/>
        <v/>
      </c>
      <c r="R760" s="48" t="str">
        <f t="shared" ca="1" si="34"/>
        <v/>
      </c>
      <c r="S760" s="32"/>
      <c r="T760" s="32"/>
      <c r="U760" s="32"/>
      <c r="V760" s="32"/>
      <c r="W760" s="47" t="str">
        <f>IF(X760="","",MAX($W$5:W759)+1)</f>
        <v/>
      </c>
      <c r="X760" s="50" t="str">
        <f>IF(Registro!M759="","",IF(COUNTIF($X$8:X759,Registro!M759)=0,Registro!M759,""))</f>
        <v/>
      </c>
      <c r="Y760" s="50" t="str">
        <f t="shared" si="35"/>
        <v/>
      </c>
    </row>
    <row r="761" spans="1:25">
      <c r="A761" s="45" t="str">
        <f>IF(AND(Registro!D760="Abierto",Registro!E760="Urgente"),Registro!B760,"")</f>
        <v/>
      </c>
      <c r="B761" s="45" t="str">
        <f ca="1">IF(AND(Registro!D760="Abierto",Registro!E760="Urgente"),TODAY()-Registro!R760,"")</f>
        <v/>
      </c>
      <c r="C761" s="45" t="str">
        <f>IF(AND(Registro!D760="Abierto",Registro!E760="Urgente"),RANK(B761,$B$9:$B$1000,0)+COUNTIF($B$9:B761,B761)-1,"")</f>
        <v/>
      </c>
      <c r="D761" s="45" t="str">
        <f>IF(AND(Registro!D760="Abierto",Registro!E760="Alta"),Registro!B760,"")</f>
        <v/>
      </c>
      <c r="E761" s="45" t="str">
        <f ca="1">IF(AND(Registro!D760="Abierto",Registro!E760="Alta"),TODAY()-Registro!R760,"")</f>
        <v/>
      </c>
      <c r="F761" s="45" t="str">
        <f>IF(AND(Registro!D760="Abierto",Registro!E760="Alta"),RANK(E761,$E$9:$E$1000,0)+COUNTIF($E$9:E761,E761)-1+MAX(C$5:C$1000),"")</f>
        <v/>
      </c>
      <c r="G761" s="45" t="str">
        <f>IF(AND(Registro!D760="Abierto",Registro!E760="Media"),Registro!B760,"")</f>
        <v/>
      </c>
      <c r="H761" s="45" t="str">
        <f ca="1">IF(AND(Registro!D760="Abierto",Registro!E760="Media"),TODAY()-Registro!R760,"")</f>
        <v/>
      </c>
      <c r="I761" s="45" t="str">
        <f>IF(AND(Registro!D760="Abierto",Registro!E760="Media"),RANK(H761,$H$9:$H$1000,0)+COUNTIF($H$9:H761,H761)-1+MAX(C$5:C$1000,F$5:F$1000),"")</f>
        <v/>
      </c>
      <c r="J761" s="45" t="str">
        <f>IF(AND(Registro!D760="Abierto",Registro!E760="Baja"),Registro!B760,"")</f>
        <v/>
      </c>
      <c r="K761" s="45" t="str">
        <f ca="1">IF(AND(Registro!D760="Abierto",Registro!E760="Baja"),TODAY()-Registro!R760,"")</f>
        <v/>
      </c>
      <c r="L761" s="45" t="str">
        <f>IF(AND(Registro!D760="Abierto",Registro!E760="Baja"),RANK(K761,$K$9:$K$1000,0)+COUNTIF($K$9:K761,K761)-1+MAX(C$5:C$1000,F$5:F$1000,I$5:I$1000),"")</f>
        <v/>
      </c>
      <c r="M761" s="46" t="str">
        <f>IF(OR(Registro!D760="Resuelto",Registro!D760=""),"",SUM(C761,F761,I761,L761))</f>
        <v/>
      </c>
      <c r="N761" s="46" t="str">
        <f>IF(OR(Registro!D760="Resuelto",Registro!D760=""),"",SUM(B761,E761,H761,K761))</f>
        <v/>
      </c>
      <c r="O761" s="46" t="str">
        <f>IF(OR(Registro!D760="Resuelto",Registro!D760=""),"",_xlfn.CONCAT(A761,D761,G761,J761))</f>
        <v/>
      </c>
      <c r="P761" s="47">
        <v>753</v>
      </c>
      <c r="Q761" s="47" t="str">
        <f t="shared" ca="1" si="33"/>
        <v/>
      </c>
      <c r="R761" s="48" t="str">
        <f t="shared" ca="1" si="34"/>
        <v/>
      </c>
      <c r="S761" s="32"/>
      <c r="T761" s="32"/>
      <c r="U761" s="32"/>
      <c r="V761" s="32"/>
      <c r="W761" s="47" t="str">
        <f>IF(X761="","",MAX($W$5:W760)+1)</f>
        <v/>
      </c>
      <c r="X761" s="50" t="str">
        <f>IF(Registro!M760="","",IF(COUNTIF($X$8:X760,Registro!M760)=0,Registro!M760,""))</f>
        <v/>
      </c>
      <c r="Y761" s="50" t="str">
        <f t="shared" si="35"/>
        <v/>
      </c>
    </row>
    <row r="762" spans="1:25">
      <c r="A762" s="45" t="str">
        <f>IF(AND(Registro!D761="Abierto",Registro!E761="Urgente"),Registro!B761,"")</f>
        <v/>
      </c>
      <c r="B762" s="45" t="str">
        <f ca="1">IF(AND(Registro!D761="Abierto",Registro!E761="Urgente"),TODAY()-Registro!R761,"")</f>
        <v/>
      </c>
      <c r="C762" s="45" t="str">
        <f>IF(AND(Registro!D761="Abierto",Registro!E761="Urgente"),RANK(B762,$B$9:$B$1000,0)+COUNTIF($B$9:B762,B762)-1,"")</f>
        <v/>
      </c>
      <c r="D762" s="45" t="str">
        <f>IF(AND(Registro!D761="Abierto",Registro!E761="Alta"),Registro!B761,"")</f>
        <v/>
      </c>
      <c r="E762" s="45" t="str">
        <f ca="1">IF(AND(Registro!D761="Abierto",Registro!E761="Alta"),TODAY()-Registro!R761,"")</f>
        <v/>
      </c>
      <c r="F762" s="45" t="str">
        <f>IF(AND(Registro!D761="Abierto",Registro!E761="Alta"),RANK(E762,$E$9:$E$1000,0)+COUNTIF($E$9:E762,E762)-1+MAX(C$5:C$1000),"")</f>
        <v/>
      </c>
      <c r="G762" s="45" t="str">
        <f>IF(AND(Registro!D761="Abierto",Registro!E761="Media"),Registro!B761,"")</f>
        <v/>
      </c>
      <c r="H762" s="45" t="str">
        <f ca="1">IF(AND(Registro!D761="Abierto",Registro!E761="Media"),TODAY()-Registro!R761,"")</f>
        <v/>
      </c>
      <c r="I762" s="45" t="str">
        <f>IF(AND(Registro!D761="Abierto",Registro!E761="Media"),RANK(H762,$H$9:$H$1000,0)+COUNTIF($H$9:H762,H762)-1+MAX(C$5:C$1000,F$5:F$1000),"")</f>
        <v/>
      </c>
      <c r="J762" s="45" t="str">
        <f>IF(AND(Registro!D761="Abierto",Registro!E761="Baja"),Registro!B761,"")</f>
        <v/>
      </c>
      <c r="K762" s="45" t="str">
        <f ca="1">IF(AND(Registro!D761="Abierto",Registro!E761="Baja"),TODAY()-Registro!R761,"")</f>
        <v/>
      </c>
      <c r="L762" s="45" t="str">
        <f>IF(AND(Registro!D761="Abierto",Registro!E761="Baja"),RANK(K762,$K$9:$K$1000,0)+COUNTIF($K$9:K762,K762)-1+MAX(C$5:C$1000,F$5:F$1000,I$5:I$1000),"")</f>
        <v/>
      </c>
      <c r="M762" s="46" t="str">
        <f>IF(OR(Registro!D761="Resuelto",Registro!D761=""),"",SUM(C762,F762,I762,L762))</f>
        <v/>
      </c>
      <c r="N762" s="46" t="str">
        <f>IF(OR(Registro!D761="Resuelto",Registro!D761=""),"",SUM(B762,E762,H762,K762))</f>
        <v/>
      </c>
      <c r="O762" s="46" t="str">
        <f>IF(OR(Registro!D761="Resuelto",Registro!D761=""),"",_xlfn.CONCAT(A762,D762,G762,J762))</f>
        <v/>
      </c>
      <c r="P762" s="47">
        <v>754</v>
      </c>
      <c r="Q762" s="47" t="str">
        <f t="shared" ca="1" si="33"/>
        <v/>
      </c>
      <c r="R762" s="48" t="str">
        <f t="shared" ca="1" si="34"/>
        <v/>
      </c>
      <c r="S762" s="32"/>
      <c r="T762" s="32"/>
      <c r="U762" s="32"/>
      <c r="V762" s="32"/>
      <c r="W762" s="47" t="str">
        <f>IF(X762="","",MAX($W$5:W761)+1)</f>
        <v/>
      </c>
      <c r="X762" s="50" t="str">
        <f>IF(Registro!M761="","",IF(COUNTIF($X$8:X761,Registro!M761)=0,Registro!M761,""))</f>
        <v/>
      </c>
      <c r="Y762" s="50" t="str">
        <f t="shared" si="35"/>
        <v/>
      </c>
    </row>
    <row r="763" spans="1:25">
      <c r="A763" s="45" t="str">
        <f>IF(AND(Registro!D762="Abierto",Registro!E762="Urgente"),Registro!B762,"")</f>
        <v/>
      </c>
      <c r="B763" s="45" t="str">
        <f ca="1">IF(AND(Registro!D762="Abierto",Registro!E762="Urgente"),TODAY()-Registro!R762,"")</f>
        <v/>
      </c>
      <c r="C763" s="45" t="str">
        <f>IF(AND(Registro!D762="Abierto",Registro!E762="Urgente"),RANK(B763,$B$9:$B$1000,0)+COUNTIF($B$9:B763,B763)-1,"")</f>
        <v/>
      </c>
      <c r="D763" s="45" t="str">
        <f>IF(AND(Registro!D762="Abierto",Registro!E762="Alta"),Registro!B762,"")</f>
        <v/>
      </c>
      <c r="E763" s="45" t="str">
        <f ca="1">IF(AND(Registro!D762="Abierto",Registro!E762="Alta"),TODAY()-Registro!R762,"")</f>
        <v/>
      </c>
      <c r="F763" s="45" t="str">
        <f>IF(AND(Registro!D762="Abierto",Registro!E762="Alta"),RANK(E763,$E$9:$E$1000,0)+COUNTIF($E$9:E763,E763)-1+MAX(C$5:C$1000),"")</f>
        <v/>
      </c>
      <c r="G763" s="45" t="str">
        <f>IF(AND(Registro!D762="Abierto",Registro!E762="Media"),Registro!B762,"")</f>
        <v/>
      </c>
      <c r="H763" s="45" t="str">
        <f ca="1">IF(AND(Registro!D762="Abierto",Registro!E762="Media"),TODAY()-Registro!R762,"")</f>
        <v/>
      </c>
      <c r="I763" s="45" t="str">
        <f>IF(AND(Registro!D762="Abierto",Registro!E762="Media"),RANK(H763,$H$9:$H$1000,0)+COUNTIF($H$9:H763,H763)-1+MAX(C$5:C$1000,F$5:F$1000),"")</f>
        <v/>
      </c>
      <c r="J763" s="45" t="str">
        <f>IF(AND(Registro!D762="Abierto",Registro!E762="Baja"),Registro!B762,"")</f>
        <v/>
      </c>
      <c r="K763" s="45" t="str">
        <f ca="1">IF(AND(Registro!D762="Abierto",Registro!E762="Baja"),TODAY()-Registro!R762,"")</f>
        <v/>
      </c>
      <c r="L763" s="45" t="str">
        <f>IF(AND(Registro!D762="Abierto",Registro!E762="Baja"),RANK(K763,$K$9:$K$1000,0)+COUNTIF($K$9:K763,K763)-1+MAX(C$5:C$1000,F$5:F$1000,I$5:I$1000),"")</f>
        <v/>
      </c>
      <c r="M763" s="46" t="str">
        <f>IF(OR(Registro!D762="Resuelto",Registro!D762=""),"",SUM(C763,F763,I763,L763))</f>
        <v/>
      </c>
      <c r="N763" s="46" t="str">
        <f>IF(OR(Registro!D762="Resuelto",Registro!D762=""),"",SUM(B763,E763,H763,K763))</f>
        <v/>
      </c>
      <c r="O763" s="46" t="str">
        <f>IF(OR(Registro!D762="Resuelto",Registro!D762=""),"",_xlfn.CONCAT(A763,D763,G763,J763))</f>
        <v/>
      </c>
      <c r="P763" s="47">
        <v>755</v>
      </c>
      <c r="Q763" s="47" t="str">
        <f t="shared" ca="1" si="33"/>
        <v/>
      </c>
      <c r="R763" s="48" t="str">
        <f t="shared" ca="1" si="34"/>
        <v/>
      </c>
      <c r="S763" s="32"/>
      <c r="T763" s="32"/>
      <c r="U763" s="32"/>
      <c r="V763" s="32"/>
      <c r="W763" s="47" t="str">
        <f>IF(X763="","",MAX($W$5:W762)+1)</f>
        <v/>
      </c>
      <c r="X763" s="50" t="str">
        <f>IF(Registro!M762="","",IF(COUNTIF($X$8:X762,Registro!M762)=0,Registro!M762,""))</f>
        <v/>
      </c>
      <c r="Y763" s="50" t="str">
        <f t="shared" si="35"/>
        <v/>
      </c>
    </row>
    <row r="764" spans="1:25">
      <c r="A764" s="45" t="str">
        <f>IF(AND(Registro!D763="Abierto",Registro!E763="Urgente"),Registro!B763,"")</f>
        <v/>
      </c>
      <c r="B764" s="45" t="str">
        <f ca="1">IF(AND(Registro!D763="Abierto",Registro!E763="Urgente"),TODAY()-Registro!R763,"")</f>
        <v/>
      </c>
      <c r="C764" s="45" t="str">
        <f>IF(AND(Registro!D763="Abierto",Registro!E763="Urgente"),RANK(B764,$B$9:$B$1000,0)+COUNTIF($B$9:B764,B764)-1,"")</f>
        <v/>
      </c>
      <c r="D764" s="45" t="str">
        <f>IF(AND(Registro!D763="Abierto",Registro!E763="Alta"),Registro!B763,"")</f>
        <v/>
      </c>
      <c r="E764" s="45" t="str">
        <f ca="1">IF(AND(Registro!D763="Abierto",Registro!E763="Alta"),TODAY()-Registro!R763,"")</f>
        <v/>
      </c>
      <c r="F764" s="45" t="str">
        <f>IF(AND(Registro!D763="Abierto",Registro!E763="Alta"),RANK(E764,$E$9:$E$1000,0)+COUNTIF($E$9:E764,E764)-1+MAX(C$5:C$1000),"")</f>
        <v/>
      </c>
      <c r="G764" s="45" t="str">
        <f>IF(AND(Registro!D763="Abierto",Registro!E763="Media"),Registro!B763,"")</f>
        <v/>
      </c>
      <c r="H764" s="45" t="str">
        <f ca="1">IF(AND(Registro!D763="Abierto",Registro!E763="Media"),TODAY()-Registro!R763,"")</f>
        <v/>
      </c>
      <c r="I764" s="45" t="str">
        <f>IF(AND(Registro!D763="Abierto",Registro!E763="Media"),RANK(H764,$H$9:$H$1000,0)+COUNTIF($H$9:H764,H764)-1+MAX(C$5:C$1000,F$5:F$1000),"")</f>
        <v/>
      </c>
      <c r="J764" s="45" t="str">
        <f>IF(AND(Registro!D763="Abierto",Registro!E763="Baja"),Registro!B763,"")</f>
        <v/>
      </c>
      <c r="K764" s="45" t="str">
        <f ca="1">IF(AND(Registro!D763="Abierto",Registro!E763="Baja"),TODAY()-Registro!R763,"")</f>
        <v/>
      </c>
      <c r="L764" s="45" t="str">
        <f>IF(AND(Registro!D763="Abierto",Registro!E763="Baja"),RANK(K764,$K$9:$K$1000,0)+COUNTIF($K$9:K764,K764)-1+MAX(C$5:C$1000,F$5:F$1000,I$5:I$1000),"")</f>
        <v/>
      </c>
      <c r="M764" s="46" t="str">
        <f>IF(OR(Registro!D763="Resuelto",Registro!D763=""),"",SUM(C764,F764,I764,L764))</f>
        <v/>
      </c>
      <c r="N764" s="46" t="str">
        <f>IF(OR(Registro!D763="Resuelto",Registro!D763=""),"",SUM(B764,E764,H764,K764))</f>
        <v/>
      </c>
      <c r="O764" s="46" t="str">
        <f>IF(OR(Registro!D763="Resuelto",Registro!D763=""),"",_xlfn.CONCAT(A764,D764,G764,J764))</f>
        <v/>
      </c>
      <c r="P764" s="47">
        <v>756</v>
      </c>
      <c r="Q764" s="47" t="str">
        <f t="shared" ca="1" si="33"/>
        <v/>
      </c>
      <c r="R764" s="48" t="str">
        <f t="shared" ca="1" si="34"/>
        <v/>
      </c>
      <c r="S764" s="32"/>
      <c r="T764" s="32"/>
      <c r="U764" s="32"/>
      <c r="V764" s="32"/>
      <c r="W764" s="47" t="str">
        <f>IF(X764="","",MAX($W$5:W763)+1)</f>
        <v/>
      </c>
      <c r="X764" s="50" t="str">
        <f>IF(Registro!M763="","",IF(COUNTIF($X$8:X763,Registro!M763)=0,Registro!M763,""))</f>
        <v/>
      </c>
      <c r="Y764" s="50" t="str">
        <f t="shared" si="35"/>
        <v/>
      </c>
    </row>
    <row r="765" spans="1:25">
      <c r="A765" s="45" t="str">
        <f>IF(AND(Registro!D764="Abierto",Registro!E764="Urgente"),Registro!B764,"")</f>
        <v/>
      </c>
      <c r="B765" s="45" t="str">
        <f ca="1">IF(AND(Registro!D764="Abierto",Registro!E764="Urgente"),TODAY()-Registro!R764,"")</f>
        <v/>
      </c>
      <c r="C765" s="45" t="str">
        <f>IF(AND(Registro!D764="Abierto",Registro!E764="Urgente"),RANK(B765,$B$9:$B$1000,0)+COUNTIF($B$9:B765,B765)-1,"")</f>
        <v/>
      </c>
      <c r="D765" s="45" t="str">
        <f>IF(AND(Registro!D764="Abierto",Registro!E764="Alta"),Registro!B764,"")</f>
        <v/>
      </c>
      <c r="E765" s="45" t="str">
        <f ca="1">IF(AND(Registro!D764="Abierto",Registro!E764="Alta"),TODAY()-Registro!R764,"")</f>
        <v/>
      </c>
      <c r="F765" s="45" t="str">
        <f>IF(AND(Registro!D764="Abierto",Registro!E764="Alta"),RANK(E765,$E$9:$E$1000,0)+COUNTIF($E$9:E765,E765)-1+MAX(C$5:C$1000),"")</f>
        <v/>
      </c>
      <c r="G765" s="45" t="str">
        <f>IF(AND(Registro!D764="Abierto",Registro!E764="Media"),Registro!B764,"")</f>
        <v/>
      </c>
      <c r="H765" s="45" t="str">
        <f ca="1">IF(AND(Registro!D764="Abierto",Registro!E764="Media"),TODAY()-Registro!R764,"")</f>
        <v/>
      </c>
      <c r="I765" s="45" t="str">
        <f>IF(AND(Registro!D764="Abierto",Registro!E764="Media"),RANK(H765,$H$9:$H$1000,0)+COUNTIF($H$9:H765,H765)-1+MAX(C$5:C$1000,F$5:F$1000),"")</f>
        <v/>
      </c>
      <c r="J765" s="45" t="str">
        <f>IF(AND(Registro!D764="Abierto",Registro!E764="Baja"),Registro!B764,"")</f>
        <v/>
      </c>
      <c r="K765" s="45" t="str">
        <f ca="1">IF(AND(Registro!D764="Abierto",Registro!E764="Baja"),TODAY()-Registro!R764,"")</f>
        <v/>
      </c>
      <c r="L765" s="45" t="str">
        <f>IF(AND(Registro!D764="Abierto",Registro!E764="Baja"),RANK(K765,$K$9:$K$1000,0)+COUNTIF($K$9:K765,K765)-1+MAX(C$5:C$1000,F$5:F$1000,I$5:I$1000),"")</f>
        <v/>
      </c>
      <c r="M765" s="46" t="str">
        <f>IF(OR(Registro!D764="Resuelto",Registro!D764=""),"",SUM(C765,F765,I765,L765))</f>
        <v/>
      </c>
      <c r="N765" s="46" t="str">
        <f>IF(OR(Registro!D764="Resuelto",Registro!D764=""),"",SUM(B765,E765,H765,K765))</f>
        <v/>
      </c>
      <c r="O765" s="46" t="str">
        <f>IF(OR(Registro!D764="Resuelto",Registro!D764=""),"",_xlfn.CONCAT(A765,D765,G765,J765))</f>
        <v/>
      </c>
      <c r="P765" s="47">
        <v>757</v>
      </c>
      <c r="Q765" s="47" t="str">
        <f t="shared" ca="1" si="33"/>
        <v/>
      </c>
      <c r="R765" s="48" t="str">
        <f t="shared" ca="1" si="34"/>
        <v/>
      </c>
      <c r="S765" s="32"/>
      <c r="T765" s="32"/>
      <c r="U765" s="32"/>
      <c r="V765" s="32"/>
      <c r="W765" s="47" t="str">
        <f>IF(X765="","",MAX($W$5:W764)+1)</f>
        <v/>
      </c>
      <c r="X765" s="50" t="str">
        <f>IF(Registro!M764="","",IF(COUNTIF($X$8:X764,Registro!M764)=0,Registro!M764,""))</f>
        <v/>
      </c>
      <c r="Y765" s="50" t="str">
        <f t="shared" si="35"/>
        <v/>
      </c>
    </row>
    <row r="766" spans="1:25">
      <c r="A766" s="45" t="str">
        <f>IF(AND(Registro!D765="Abierto",Registro!E765="Urgente"),Registro!B765,"")</f>
        <v/>
      </c>
      <c r="B766" s="45" t="str">
        <f ca="1">IF(AND(Registro!D765="Abierto",Registro!E765="Urgente"),TODAY()-Registro!R765,"")</f>
        <v/>
      </c>
      <c r="C766" s="45" t="str">
        <f>IF(AND(Registro!D765="Abierto",Registro!E765="Urgente"),RANK(B766,$B$9:$B$1000,0)+COUNTIF($B$9:B766,B766)-1,"")</f>
        <v/>
      </c>
      <c r="D766" s="45" t="str">
        <f>IF(AND(Registro!D765="Abierto",Registro!E765="Alta"),Registro!B765,"")</f>
        <v/>
      </c>
      <c r="E766" s="45" t="str">
        <f ca="1">IF(AND(Registro!D765="Abierto",Registro!E765="Alta"),TODAY()-Registro!R765,"")</f>
        <v/>
      </c>
      <c r="F766" s="45" t="str">
        <f>IF(AND(Registro!D765="Abierto",Registro!E765="Alta"),RANK(E766,$E$9:$E$1000,0)+COUNTIF($E$9:E766,E766)-1+MAX(C$5:C$1000),"")</f>
        <v/>
      </c>
      <c r="G766" s="45" t="str">
        <f>IF(AND(Registro!D765="Abierto",Registro!E765="Media"),Registro!B765,"")</f>
        <v/>
      </c>
      <c r="H766" s="45" t="str">
        <f ca="1">IF(AND(Registro!D765="Abierto",Registro!E765="Media"),TODAY()-Registro!R765,"")</f>
        <v/>
      </c>
      <c r="I766" s="45" t="str">
        <f>IF(AND(Registro!D765="Abierto",Registro!E765="Media"),RANK(H766,$H$9:$H$1000,0)+COUNTIF($H$9:H766,H766)-1+MAX(C$5:C$1000,F$5:F$1000),"")</f>
        <v/>
      </c>
      <c r="J766" s="45" t="str">
        <f>IF(AND(Registro!D765="Abierto",Registro!E765="Baja"),Registro!B765,"")</f>
        <v/>
      </c>
      <c r="K766" s="45" t="str">
        <f ca="1">IF(AND(Registro!D765="Abierto",Registro!E765="Baja"),TODAY()-Registro!R765,"")</f>
        <v/>
      </c>
      <c r="L766" s="45" t="str">
        <f>IF(AND(Registro!D765="Abierto",Registro!E765="Baja"),RANK(K766,$K$9:$K$1000,0)+COUNTIF($K$9:K766,K766)-1+MAX(C$5:C$1000,F$5:F$1000,I$5:I$1000),"")</f>
        <v/>
      </c>
      <c r="M766" s="46" t="str">
        <f>IF(OR(Registro!D765="Resuelto",Registro!D765=""),"",SUM(C766,F766,I766,L766))</f>
        <v/>
      </c>
      <c r="N766" s="46" t="str">
        <f>IF(OR(Registro!D765="Resuelto",Registro!D765=""),"",SUM(B766,E766,H766,K766))</f>
        <v/>
      </c>
      <c r="O766" s="46" t="str">
        <f>IF(OR(Registro!D765="Resuelto",Registro!D765=""),"",_xlfn.CONCAT(A766,D766,G766,J766))</f>
        <v/>
      </c>
      <c r="P766" s="47">
        <v>758</v>
      </c>
      <c r="Q766" s="47" t="str">
        <f t="shared" ca="1" si="33"/>
        <v/>
      </c>
      <c r="R766" s="48" t="str">
        <f t="shared" ca="1" si="34"/>
        <v/>
      </c>
      <c r="S766" s="32"/>
      <c r="T766" s="32"/>
      <c r="U766" s="32"/>
      <c r="V766" s="32"/>
      <c r="W766" s="47" t="str">
        <f>IF(X766="","",MAX($W$5:W765)+1)</f>
        <v/>
      </c>
      <c r="X766" s="50" t="str">
        <f>IF(Registro!M765="","",IF(COUNTIF($X$8:X765,Registro!M765)=0,Registro!M765,""))</f>
        <v/>
      </c>
      <c r="Y766" s="50" t="str">
        <f t="shared" si="35"/>
        <v/>
      </c>
    </row>
    <row r="767" spans="1:25">
      <c r="A767" s="45" t="str">
        <f>IF(AND(Registro!D766="Abierto",Registro!E766="Urgente"),Registro!B766,"")</f>
        <v/>
      </c>
      <c r="B767" s="45" t="str">
        <f ca="1">IF(AND(Registro!D766="Abierto",Registro!E766="Urgente"),TODAY()-Registro!R766,"")</f>
        <v/>
      </c>
      <c r="C767" s="45" t="str">
        <f>IF(AND(Registro!D766="Abierto",Registro!E766="Urgente"),RANK(B767,$B$9:$B$1000,0)+COUNTIF($B$9:B767,B767)-1,"")</f>
        <v/>
      </c>
      <c r="D767" s="45" t="str">
        <f>IF(AND(Registro!D766="Abierto",Registro!E766="Alta"),Registro!B766,"")</f>
        <v/>
      </c>
      <c r="E767" s="45" t="str">
        <f ca="1">IF(AND(Registro!D766="Abierto",Registro!E766="Alta"),TODAY()-Registro!R766,"")</f>
        <v/>
      </c>
      <c r="F767" s="45" t="str">
        <f>IF(AND(Registro!D766="Abierto",Registro!E766="Alta"),RANK(E767,$E$9:$E$1000,0)+COUNTIF($E$9:E767,E767)-1+MAX(C$5:C$1000),"")</f>
        <v/>
      </c>
      <c r="G767" s="45" t="str">
        <f>IF(AND(Registro!D766="Abierto",Registro!E766="Media"),Registro!B766,"")</f>
        <v/>
      </c>
      <c r="H767" s="45" t="str">
        <f ca="1">IF(AND(Registro!D766="Abierto",Registro!E766="Media"),TODAY()-Registro!R766,"")</f>
        <v/>
      </c>
      <c r="I767" s="45" t="str">
        <f>IF(AND(Registro!D766="Abierto",Registro!E766="Media"),RANK(H767,$H$9:$H$1000,0)+COUNTIF($H$9:H767,H767)-1+MAX(C$5:C$1000,F$5:F$1000),"")</f>
        <v/>
      </c>
      <c r="J767" s="45" t="str">
        <f>IF(AND(Registro!D766="Abierto",Registro!E766="Baja"),Registro!B766,"")</f>
        <v/>
      </c>
      <c r="K767" s="45" t="str">
        <f ca="1">IF(AND(Registro!D766="Abierto",Registro!E766="Baja"),TODAY()-Registro!R766,"")</f>
        <v/>
      </c>
      <c r="L767" s="45" t="str">
        <f>IF(AND(Registro!D766="Abierto",Registro!E766="Baja"),RANK(K767,$K$9:$K$1000,0)+COUNTIF($K$9:K767,K767)-1+MAX(C$5:C$1000,F$5:F$1000,I$5:I$1000),"")</f>
        <v/>
      </c>
      <c r="M767" s="46" t="str">
        <f>IF(OR(Registro!D766="Resuelto",Registro!D766=""),"",SUM(C767,F767,I767,L767))</f>
        <v/>
      </c>
      <c r="N767" s="46" t="str">
        <f>IF(OR(Registro!D766="Resuelto",Registro!D766=""),"",SUM(B767,E767,H767,K767))</f>
        <v/>
      </c>
      <c r="O767" s="46" t="str">
        <f>IF(OR(Registro!D766="Resuelto",Registro!D766=""),"",_xlfn.CONCAT(A767,D767,G767,J767))</f>
        <v/>
      </c>
      <c r="P767" s="47">
        <v>759</v>
      </c>
      <c r="Q767" s="47" t="str">
        <f t="shared" ca="1" si="33"/>
        <v/>
      </c>
      <c r="R767" s="48" t="str">
        <f t="shared" ca="1" si="34"/>
        <v/>
      </c>
      <c r="S767" s="32"/>
      <c r="T767" s="32"/>
      <c r="U767" s="32"/>
      <c r="V767" s="32"/>
      <c r="W767" s="47" t="str">
        <f>IF(X767="","",MAX($W$5:W766)+1)</f>
        <v/>
      </c>
      <c r="X767" s="50" t="str">
        <f>IF(Registro!M766="","",IF(COUNTIF($X$8:X766,Registro!M766)=0,Registro!M766,""))</f>
        <v/>
      </c>
      <c r="Y767" s="50" t="str">
        <f t="shared" si="35"/>
        <v/>
      </c>
    </row>
    <row r="768" spans="1:25">
      <c r="A768" s="45" t="str">
        <f>IF(AND(Registro!D767="Abierto",Registro!E767="Urgente"),Registro!B767,"")</f>
        <v/>
      </c>
      <c r="B768" s="45" t="str">
        <f ca="1">IF(AND(Registro!D767="Abierto",Registro!E767="Urgente"),TODAY()-Registro!R767,"")</f>
        <v/>
      </c>
      <c r="C768" s="45" t="str">
        <f>IF(AND(Registro!D767="Abierto",Registro!E767="Urgente"),RANK(B768,$B$9:$B$1000,0)+COUNTIF($B$9:B768,B768)-1,"")</f>
        <v/>
      </c>
      <c r="D768" s="45" t="str">
        <f>IF(AND(Registro!D767="Abierto",Registro!E767="Alta"),Registro!B767,"")</f>
        <v/>
      </c>
      <c r="E768" s="45" t="str">
        <f ca="1">IF(AND(Registro!D767="Abierto",Registro!E767="Alta"),TODAY()-Registro!R767,"")</f>
        <v/>
      </c>
      <c r="F768" s="45" t="str">
        <f>IF(AND(Registro!D767="Abierto",Registro!E767="Alta"),RANK(E768,$E$9:$E$1000,0)+COUNTIF($E$9:E768,E768)-1+MAX(C$5:C$1000),"")</f>
        <v/>
      </c>
      <c r="G768" s="45" t="str">
        <f>IF(AND(Registro!D767="Abierto",Registro!E767="Media"),Registro!B767,"")</f>
        <v/>
      </c>
      <c r="H768" s="45" t="str">
        <f ca="1">IF(AND(Registro!D767="Abierto",Registro!E767="Media"),TODAY()-Registro!R767,"")</f>
        <v/>
      </c>
      <c r="I768" s="45" t="str">
        <f>IF(AND(Registro!D767="Abierto",Registro!E767="Media"),RANK(H768,$H$9:$H$1000,0)+COUNTIF($H$9:H768,H768)-1+MAX(C$5:C$1000,F$5:F$1000),"")</f>
        <v/>
      </c>
      <c r="J768" s="45" t="str">
        <f>IF(AND(Registro!D767="Abierto",Registro!E767="Baja"),Registro!B767,"")</f>
        <v/>
      </c>
      <c r="K768" s="45" t="str">
        <f ca="1">IF(AND(Registro!D767="Abierto",Registro!E767="Baja"),TODAY()-Registro!R767,"")</f>
        <v/>
      </c>
      <c r="L768" s="45" t="str">
        <f>IF(AND(Registro!D767="Abierto",Registro!E767="Baja"),RANK(K768,$K$9:$K$1000,0)+COUNTIF($K$9:K768,K768)-1+MAX(C$5:C$1000,F$5:F$1000,I$5:I$1000),"")</f>
        <v/>
      </c>
      <c r="M768" s="46" t="str">
        <f>IF(OR(Registro!D767="Resuelto",Registro!D767=""),"",SUM(C768,F768,I768,L768))</f>
        <v/>
      </c>
      <c r="N768" s="46" t="str">
        <f>IF(OR(Registro!D767="Resuelto",Registro!D767=""),"",SUM(B768,E768,H768,K768))</f>
        <v/>
      </c>
      <c r="O768" s="46" t="str">
        <f>IF(OR(Registro!D767="Resuelto",Registro!D767=""),"",_xlfn.CONCAT(A768,D768,G768,J768))</f>
        <v/>
      </c>
      <c r="P768" s="47">
        <v>760</v>
      </c>
      <c r="Q768" s="47" t="str">
        <f t="shared" ca="1" si="33"/>
        <v/>
      </c>
      <c r="R768" s="48" t="str">
        <f t="shared" ca="1" si="34"/>
        <v/>
      </c>
      <c r="S768" s="32"/>
      <c r="T768" s="32"/>
      <c r="U768" s="32"/>
      <c r="V768" s="32"/>
      <c r="W768" s="47" t="str">
        <f>IF(X768="","",MAX($W$5:W767)+1)</f>
        <v/>
      </c>
      <c r="X768" s="50" t="str">
        <f>IF(Registro!M767="","",IF(COUNTIF($X$8:X767,Registro!M767)=0,Registro!M767,""))</f>
        <v/>
      </c>
      <c r="Y768" s="50" t="str">
        <f t="shared" si="35"/>
        <v/>
      </c>
    </row>
    <row r="769" spans="1:25">
      <c r="A769" s="45" t="str">
        <f>IF(AND(Registro!D768="Abierto",Registro!E768="Urgente"),Registro!B768,"")</f>
        <v/>
      </c>
      <c r="B769" s="45" t="str">
        <f ca="1">IF(AND(Registro!D768="Abierto",Registro!E768="Urgente"),TODAY()-Registro!R768,"")</f>
        <v/>
      </c>
      <c r="C769" s="45" t="str">
        <f>IF(AND(Registro!D768="Abierto",Registro!E768="Urgente"),RANK(B769,$B$9:$B$1000,0)+COUNTIF($B$9:B769,B769)-1,"")</f>
        <v/>
      </c>
      <c r="D769" s="45" t="str">
        <f>IF(AND(Registro!D768="Abierto",Registro!E768="Alta"),Registro!B768,"")</f>
        <v/>
      </c>
      <c r="E769" s="45" t="str">
        <f ca="1">IF(AND(Registro!D768="Abierto",Registro!E768="Alta"),TODAY()-Registro!R768,"")</f>
        <v/>
      </c>
      <c r="F769" s="45" t="str">
        <f>IF(AND(Registro!D768="Abierto",Registro!E768="Alta"),RANK(E769,$E$9:$E$1000,0)+COUNTIF($E$9:E769,E769)-1+MAX(C$5:C$1000),"")</f>
        <v/>
      </c>
      <c r="G769" s="45" t="str">
        <f>IF(AND(Registro!D768="Abierto",Registro!E768="Media"),Registro!B768,"")</f>
        <v/>
      </c>
      <c r="H769" s="45" t="str">
        <f ca="1">IF(AND(Registro!D768="Abierto",Registro!E768="Media"),TODAY()-Registro!R768,"")</f>
        <v/>
      </c>
      <c r="I769" s="45" t="str">
        <f>IF(AND(Registro!D768="Abierto",Registro!E768="Media"),RANK(H769,$H$9:$H$1000,0)+COUNTIF($H$9:H769,H769)-1+MAX(C$5:C$1000,F$5:F$1000),"")</f>
        <v/>
      </c>
      <c r="J769" s="45" t="str">
        <f>IF(AND(Registro!D768="Abierto",Registro!E768="Baja"),Registro!B768,"")</f>
        <v/>
      </c>
      <c r="K769" s="45" t="str">
        <f ca="1">IF(AND(Registro!D768="Abierto",Registro!E768="Baja"),TODAY()-Registro!R768,"")</f>
        <v/>
      </c>
      <c r="L769" s="45" t="str">
        <f>IF(AND(Registro!D768="Abierto",Registro!E768="Baja"),RANK(K769,$K$9:$K$1000,0)+COUNTIF($K$9:K769,K769)-1+MAX(C$5:C$1000,F$5:F$1000,I$5:I$1000),"")</f>
        <v/>
      </c>
      <c r="M769" s="46" t="str">
        <f>IF(OR(Registro!D768="Resuelto",Registro!D768=""),"",SUM(C769,F769,I769,L769))</f>
        <v/>
      </c>
      <c r="N769" s="46" t="str">
        <f>IF(OR(Registro!D768="Resuelto",Registro!D768=""),"",SUM(B769,E769,H769,K769))</f>
        <v/>
      </c>
      <c r="O769" s="46" t="str">
        <f>IF(OR(Registro!D768="Resuelto",Registro!D768=""),"",_xlfn.CONCAT(A769,D769,G769,J769))</f>
        <v/>
      </c>
      <c r="P769" s="47">
        <v>761</v>
      </c>
      <c r="Q769" s="47" t="str">
        <f t="shared" ca="1" si="33"/>
        <v/>
      </c>
      <c r="R769" s="48" t="str">
        <f t="shared" ca="1" si="34"/>
        <v/>
      </c>
      <c r="S769" s="32"/>
      <c r="T769" s="32"/>
      <c r="U769" s="32"/>
      <c r="V769" s="32"/>
      <c r="W769" s="47" t="str">
        <f>IF(X769="","",MAX($W$5:W768)+1)</f>
        <v/>
      </c>
      <c r="X769" s="50" t="str">
        <f>IF(Registro!M768="","",IF(COUNTIF($X$8:X768,Registro!M768)=0,Registro!M768,""))</f>
        <v/>
      </c>
      <c r="Y769" s="50" t="str">
        <f t="shared" si="35"/>
        <v/>
      </c>
    </row>
    <row r="770" spans="1:25">
      <c r="A770" s="45" t="str">
        <f>IF(AND(Registro!D769="Abierto",Registro!E769="Urgente"),Registro!B769,"")</f>
        <v/>
      </c>
      <c r="B770" s="45" t="str">
        <f ca="1">IF(AND(Registro!D769="Abierto",Registro!E769="Urgente"),TODAY()-Registro!R769,"")</f>
        <v/>
      </c>
      <c r="C770" s="45" t="str">
        <f>IF(AND(Registro!D769="Abierto",Registro!E769="Urgente"),RANK(B770,$B$9:$B$1000,0)+COUNTIF($B$9:B770,B770)-1,"")</f>
        <v/>
      </c>
      <c r="D770" s="45" t="str">
        <f>IF(AND(Registro!D769="Abierto",Registro!E769="Alta"),Registro!B769,"")</f>
        <v/>
      </c>
      <c r="E770" s="45" t="str">
        <f ca="1">IF(AND(Registro!D769="Abierto",Registro!E769="Alta"),TODAY()-Registro!R769,"")</f>
        <v/>
      </c>
      <c r="F770" s="45" t="str">
        <f>IF(AND(Registro!D769="Abierto",Registro!E769="Alta"),RANK(E770,$E$9:$E$1000,0)+COUNTIF($E$9:E770,E770)-1+MAX(C$5:C$1000),"")</f>
        <v/>
      </c>
      <c r="G770" s="45" t="str">
        <f>IF(AND(Registro!D769="Abierto",Registro!E769="Media"),Registro!B769,"")</f>
        <v/>
      </c>
      <c r="H770" s="45" t="str">
        <f ca="1">IF(AND(Registro!D769="Abierto",Registro!E769="Media"),TODAY()-Registro!R769,"")</f>
        <v/>
      </c>
      <c r="I770" s="45" t="str">
        <f>IF(AND(Registro!D769="Abierto",Registro!E769="Media"),RANK(H770,$H$9:$H$1000,0)+COUNTIF($H$9:H770,H770)-1+MAX(C$5:C$1000,F$5:F$1000),"")</f>
        <v/>
      </c>
      <c r="J770" s="45" t="str">
        <f>IF(AND(Registro!D769="Abierto",Registro!E769="Baja"),Registro!B769,"")</f>
        <v/>
      </c>
      <c r="K770" s="45" t="str">
        <f ca="1">IF(AND(Registro!D769="Abierto",Registro!E769="Baja"),TODAY()-Registro!R769,"")</f>
        <v/>
      </c>
      <c r="L770" s="45" t="str">
        <f>IF(AND(Registro!D769="Abierto",Registro!E769="Baja"),RANK(K770,$K$9:$K$1000,0)+COUNTIF($K$9:K770,K770)-1+MAX(C$5:C$1000,F$5:F$1000,I$5:I$1000),"")</f>
        <v/>
      </c>
      <c r="M770" s="46" t="str">
        <f>IF(OR(Registro!D769="Resuelto",Registro!D769=""),"",SUM(C770,F770,I770,L770))</f>
        <v/>
      </c>
      <c r="N770" s="46" t="str">
        <f>IF(OR(Registro!D769="Resuelto",Registro!D769=""),"",SUM(B770,E770,H770,K770))</f>
        <v/>
      </c>
      <c r="O770" s="46" t="str">
        <f>IF(OR(Registro!D769="Resuelto",Registro!D769=""),"",_xlfn.CONCAT(A770,D770,G770,J770))</f>
        <v/>
      </c>
      <c r="P770" s="47">
        <v>762</v>
      </c>
      <c r="Q770" s="47" t="str">
        <f t="shared" ca="1" si="33"/>
        <v/>
      </c>
      <c r="R770" s="48" t="str">
        <f t="shared" ca="1" si="34"/>
        <v/>
      </c>
      <c r="S770" s="32"/>
      <c r="T770" s="32"/>
      <c r="U770" s="32"/>
      <c r="V770" s="32"/>
      <c r="W770" s="47" t="str">
        <f>IF(X770="","",MAX($W$5:W769)+1)</f>
        <v/>
      </c>
      <c r="X770" s="50" t="str">
        <f>IF(Registro!M769="","",IF(COUNTIF($X$8:X769,Registro!M769)=0,Registro!M769,""))</f>
        <v/>
      </c>
      <c r="Y770" s="50" t="str">
        <f t="shared" si="35"/>
        <v/>
      </c>
    </row>
    <row r="771" spans="1:25">
      <c r="A771" s="45" t="str">
        <f>IF(AND(Registro!D770="Abierto",Registro!E770="Urgente"),Registro!B770,"")</f>
        <v/>
      </c>
      <c r="B771" s="45" t="str">
        <f ca="1">IF(AND(Registro!D770="Abierto",Registro!E770="Urgente"),TODAY()-Registro!R770,"")</f>
        <v/>
      </c>
      <c r="C771" s="45" t="str">
        <f>IF(AND(Registro!D770="Abierto",Registro!E770="Urgente"),RANK(B771,$B$9:$B$1000,0)+COUNTIF($B$9:B771,B771)-1,"")</f>
        <v/>
      </c>
      <c r="D771" s="45" t="str">
        <f>IF(AND(Registro!D770="Abierto",Registro!E770="Alta"),Registro!B770,"")</f>
        <v/>
      </c>
      <c r="E771" s="45" t="str">
        <f ca="1">IF(AND(Registro!D770="Abierto",Registro!E770="Alta"),TODAY()-Registro!R770,"")</f>
        <v/>
      </c>
      <c r="F771" s="45" t="str">
        <f>IF(AND(Registro!D770="Abierto",Registro!E770="Alta"),RANK(E771,$E$9:$E$1000,0)+COUNTIF($E$9:E771,E771)-1+MAX(C$5:C$1000),"")</f>
        <v/>
      </c>
      <c r="G771" s="45" t="str">
        <f>IF(AND(Registro!D770="Abierto",Registro!E770="Media"),Registro!B770,"")</f>
        <v/>
      </c>
      <c r="H771" s="45" t="str">
        <f ca="1">IF(AND(Registro!D770="Abierto",Registro!E770="Media"),TODAY()-Registro!R770,"")</f>
        <v/>
      </c>
      <c r="I771" s="45" t="str">
        <f>IF(AND(Registro!D770="Abierto",Registro!E770="Media"),RANK(H771,$H$9:$H$1000,0)+COUNTIF($H$9:H771,H771)-1+MAX(C$5:C$1000,F$5:F$1000),"")</f>
        <v/>
      </c>
      <c r="J771" s="45" t="str">
        <f>IF(AND(Registro!D770="Abierto",Registro!E770="Baja"),Registro!B770,"")</f>
        <v/>
      </c>
      <c r="K771" s="45" t="str">
        <f ca="1">IF(AND(Registro!D770="Abierto",Registro!E770="Baja"),TODAY()-Registro!R770,"")</f>
        <v/>
      </c>
      <c r="L771" s="45" t="str">
        <f>IF(AND(Registro!D770="Abierto",Registro!E770="Baja"),RANK(K771,$K$9:$K$1000,0)+COUNTIF($K$9:K771,K771)-1+MAX(C$5:C$1000,F$5:F$1000,I$5:I$1000),"")</f>
        <v/>
      </c>
      <c r="M771" s="46" t="str">
        <f>IF(OR(Registro!D770="Resuelto",Registro!D770=""),"",SUM(C771,F771,I771,L771))</f>
        <v/>
      </c>
      <c r="N771" s="46" t="str">
        <f>IF(OR(Registro!D770="Resuelto",Registro!D770=""),"",SUM(B771,E771,H771,K771))</f>
        <v/>
      </c>
      <c r="O771" s="46" t="str">
        <f>IF(OR(Registro!D770="Resuelto",Registro!D770=""),"",_xlfn.CONCAT(A771,D771,G771,J771))</f>
        <v/>
      </c>
      <c r="P771" s="47">
        <v>763</v>
      </c>
      <c r="Q771" s="47" t="str">
        <f t="shared" ca="1" si="33"/>
        <v/>
      </c>
      <c r="R771" s="48" t="str">
        <f t="shared" ca="1" si="34"/>
        <v/>
      </c>
      <c r="S771" s="32"/>
      <c r="T771" s="32"/>
      <c r="U771" s="32"/>
      <c r="V771" s="32"/>
      <c r="W771" s="47" t="str">
        <f>IF(X771="","",MAX($W$5:W770)+1)</f>
        <v/>
      </c>
      <c r="X771" s="50" t="str">
        <f>IF(Registro!M770="","",IF(COUNTIF($X$8:X770,Registro!M770)=0,Registro!M770,""))</f>
        <v/>
      </c>
      <c r="Y771" s="50" t="str">
        <f t="shared" si="35"/>
        <v/>
      </c>
    </row>
    <row r="772" spans="1:25">
      <c r="A772" s="45" t="str">
        <f>IF(AND(Registro!D771="Abierto",Registro!E771="Urgente"),Registro!B771,"")</f>
        <v/>
      </c>
      <c r="B772" s="45" t="str">
        <f ca="1">IF(AND(Registro!D771="Abierto",Registro!E771="Urgente"),TODAY()-Registro!R771,"")</f>
        <v/>
      </c>
      <c r="C772" s="45" t="str">
        <f>IF(AND(Registro!D771="Abierto",Registro!E771="Urgente"),RANK(B772,$B$9:$B$1000,0)+COUNTIF($B$9:B772,B772)-1,"")</f>
        <v/>
      </c>
      <c r="D772" s="45" t="str">
        <f>IF(AND(Registro!D771="Abierto",Registro!E771="Alta"),Registro!B771,"")</f>
        <v/>
      </c>
      <c r="E772" s="45" t="str">
        <f ca="1">IF(AND(Registro!D771="Abierto",Registro!E771="Alta"),TODAY()-Registro!R771,"")</f>
        <v/>
      </c>
      <c r="F772" s="45" t="str">
        <f>IF(AND(Registro!D771="Abierto",Registro!E771="Alta"),RANK(E772,$E$9:$E$1000,0)+COUNTIF($E$9:E772,E772)-1+MAX(C$5:C$1000),"")</f>
        <v/>
      </c>
      <c r="G772" s="45" t="str">
        <f>IF(AND(Registro!D771="Abierto",Registro!E771="Media"),Registro!B771,"")</f>
        <v/>
      </c>
      <c r="H772" s="45" t="str">
        <f ca="1">IF(AND(Registro!D771="Abierto",Registro!E771="Media"),TODAY()-Registro!R771,"")</f>
        <v/>
      </c>
      <c r="I772" s="45" t="str">
        <f>IF(AND(Registro!D771="Abierto",Registro!E771="Media"),RANK(H772,$H$9:$H$1000,0)+COUNTIF($H$9:H772,H772)-1+MAX(C$5:C$1000,F$5:F$1000),"")</f>
        <v/>
      </c>
      <c r="J772" s="45" t="str">
        <f>IF(AND(Registro!D771="Abierto",Registro!E771="Baja"),Registro!B771,"")</f>
        <v/>
      </c>
      <c r="K772" s="45" t="str">
        <f ca="1">IF(AND(Registro!D771="Abierto",Registro!E771="Baja"),TODAY()-Registro!R771,"")</f>
        <v/>
      </c>
      <c r="L772" s="45" t="str">
        <f>IF(AND(Registro!D771="Abierto",Registro!E771="Baja"),RANK(K772,$K$9:$K$1000,0)+COUNTIF($K$9:K772,K772)-1+MAX(C$5:C$1000,F$5:F$1000,I$5:I$1000),"")</f>
        <v/>
      </c>
      <c r="M772" s="46" t="str">
        <f>IF(OR(Registro!D771="Resuelto",Registro!D771=""),"",SUM(C772,F772,I772,L772))</f>
        <v/>
      </c>
      <c r="N772" s="46" t="str">
        <f>IF(OR(Registro!D771="Resuelto",Registro!D771=""),"",SUM(B772,E772,H772,K772))</f>
        <v/>
      </c>
      <c r="O772" s="46" t="str">
        <f>IF(OR(Registro!D771="Resuelto",Registro!D771=""),"",_xlfn.CONCAT(A772,D772,G772,J772))</f>
        <v/>
      </c>
      <c r="P772" s="47">
        <v>764</v>
      </c>
      <c r="Q772" s="47" t="str">
        <f t="shared" ca="1" si="33"/>
        <v/>
      </c>
      <c r="R772" s="48" t="str">
        <f t="shared" ca="1" si="34"/>
        <v/>
      </c>
      <c r="S772" s="32"/>
      <c r="T772" s="32"/>
      <c r="U772" s="32"/>
      <c r="V772" s="32"/>
      <c r="W772" s="47" t="str">
        <f>IF(X772="","",MAX($W$5:W771)+1)</f>
        <v/>
      </c>
      <c r="X772" s="50" t="str">
        <f>IF(Registro!M771="","",IF(COUNTIF($X$8:X771,Registro!M771)=0,Registro!M771,""))</f>
        <v/>
      </c>
      <c r="Y772" s="50" t="str">
        <f t="shared" si="35"/>
        <v/>
      </c>
    </row>
    <row r="773" spans="1:25">
      <c r="A773" s="45" t="str">
        <f>IF(AND(Registro!D772="Abierto",Registro!E772="Urgente"),Registro!B772,"")</f>
        <v/>
      </c>
      <c r="B773" s="45" t="str">
        <f ca="1">IF(AND(Registro!D772="Abierto",Registro!E772="Urgente"),TODAY()-Registro!R772,"")</f>
        <v/>
      </c>
      <c r="C773" s="45" t="str">
        <f>IF(AND(Registro!D772="Abierto",Registro!E772="Urgente"),RANK(B773,$B$9:$B$1000,0)+COUNTIF($B$9:B773,B773)-1,"")</f>
        <v/>
      </c>
      <c r="D773" s="45" t="str">
        <f>IF(AND(Registro!D772="Abierto",Registro!E772="Alta"),Registro!B772,"")</f>
        <v/>
      </c>
      <c r="E773" s="45" t="str">
        <f ca="1">IF(AND(Registro!D772="Abierto",Registro!E772="Alta"),TODAY()-Registro!R772,"")</f>
        <v/>
      </c>
      <c r="F773" s="45" t="str">
        <f>IF(AND(Registro!D772="Abierto",Registro!E772="Alta"),RANK(E773,$E$9:$E$1000,0)+COUNTIF($E$9:E773,E773)-1+MAX(C$5:C$1000),"")</f>
        <v/>
      </c>
      <c r="G773" s="45" t="str">
        <f>IF(AND(Registro!D772="Abierto",Registro!E772="Media"),Registro!B772,"")</f>
        <v/>
      </c>
      <c r="H773" s="45" t="str">
        <f ca="1">IF(AND(Registro!D772="Abierto",Registro!E772="Media"),TODAY()-Registro!R772,"")</f>
        <v/>
      </c>
      <c r="I773" s="45" t="str">
        <f>IF(AND(Registro!D772="Abierto",Registro!E772="Media"),RANK(H773,$H$9:$H$1000,0)+COUNTIF($H$9:H773,H773)-1+MAX(C$5:C$1000,F$5:F$1000),"")</f>
        <v/>
      </c>
      <c r="J773" s="45" t="str">
        <f>IF(AND(Registro!D772="Abierto",Registro!E772="Baja"),Registro!B772,"")</f>
        <v/>
      </c>
      <c r="K773" s="45" t="str">
        <f ca="1">IF(AND(Registro!D772="Abierto",Registro!E772="Baja"),TODAY()-Registro!R772,"")</f>
        <v/>
      </c>
      <c r="L773" s="45" t="str">
        <f>IF(AND(Registro!D772="Abierto",Registro!E772="Baja"),RANK(K773,$K$9:$K$1000,0)+COUNTIF($K$9:K773,K773)-1+MAX(C$5:C$1000,F$5:F$1000,I$5:I$1000),"")</f>
        <v/>
      </c>
      <c r="M773" s="46" t="str">
        <f>IF(OR(Registro!D772="Resuelto",Registro!D772=""),"",SUM(C773,F773,I773,L773))</f>
        <v/>
      </c>
      <c r="N773" s="46" t="str">
        <f>IF(OR(Registro!D772="Resuelto",Registro!D772=""),"",SUM(B773,E773,H773,K773))</f>
        <v/>
      </c>
      <c r="O773" s="46" t="str">
        <f>IF(OR(Registro!D772="Resuelto",Registro!D772=""),"",_xlfn.CONCAT(A773,D773,G773,J773))</f>
        <v/>
      </c>
      <c r="P773" s="47">
        <v>765</v>
      </c>
      <c r="Q773" s="47" t="str">
        <f t="shared" ca="1" si="33"/>
        <v/>
      </c>
      <c r="R773" s="48" t="str">
        <f t="shared" ca="1" si="34"/>
        <v/>
      </c>
      <c r="S773" s="32"/>
      <c r="T773" s="32"/>
      <c r="U773" s="32"/>
      <c r="V773" s="32"/>
      <c r="W773" s="47" t="str">
        <f>IF(X773="","",MAX($W$5:W772)+1)</f>
        <v/>
      </c>
      <c r="X773" s="50" t="str">
        <f>IF(Registro!M772="","",IF(COUNTIF($X$8:X772,Registro!M772)=0,Registro!M772,""))</f>
        <v/>
      </c>
      <c r="Y773" s="50" t="str">
        <f t="shared" si="35"/>
        <v/>
      </c>
    </row>
    <row r="774" spans="1:25">
      <c r="A774" s="45" t="str">
        <f>IF(AND(Registro!D773="Abierto",Registro!E773="Urgente"),Registro!B773,"")</f>
        <v/>
      </c>
      <c r="B774" s="45" t="str">
        <f ca="1">IF(AND(Registro!D773="Abierto",Registro!E773="Urgente"),TODAY()-Registro!R773,"")</f>
        <v/>
      </c>
      <c r="C774" s="45" t="str">
        <f>IF(AND(Registro!D773="Abierto",Registro!E773="Urgente"),RANK(B774,$B$9:$B$1000,0)+COUNTIF($B$9:B774,B774)-1,"")</f>
        <v/>
      </c>
      <c r="D774" s="45" t="str">
        <f>IF(AND(Registro!D773="Abierto",Registro!E773="Alta"),Registro!B773,"")</f>
        <v/>
      </c>
      <c r="E774" s="45" t="str">
        <f ca="1">IF(AND(Registro!D773="Abierto",Registro!E773="Alta"),TODAY()-Registro!R773,"")</f>
        <v/>
      </c>
      <c r="F774" s="45" t="str">
        <f>IF(AND(Registro!D773="Abierto",Registro!E773="Alta"),RANK(E774,$E$9:$E$1000,0)+COUNTIF($E$9:E774,E774)-1+MAX(C$5:C$1000),"")</f>
        <v/>
      </c>
      <c r="G774" s="45" t="str">
        <f>IF(AND(Registro!D773="Abierto",Registro!E773="Media"),Registro!B773,"")</f>
        <v/>
      </c>
      <c r="H774" s="45" t="str">
        <f ca="1">IF(AND(Registro!D773="Abierto",Registro!E773="Media"),TODAY()-Registro!R773,"")</f>
        <v/>
      </c>
      <c r="I774" s="45" t="str">
        <f>IF(AND(Registro!D773="Abierto",Registro!E773="Media"),RANK(H774,$H$9:$H$1000,0)+COUNTIF($H$9:H774,H774)-1+MAX(C$5:C$1000,F$5:F$1000),"")</f>
        <v/>
      </c>
      <c r="J774" s="45" t="str">
        <f>IF(AND(Registro!D773="Abierto",Registro!E773="Baja"),Registro!B773,"")</f>
        <v/>
      </c>
      <c r="K774" s="45" t="str">
        <f ca="1">IF(AND(Registro!D773="Abierto",Registro!E773="Baja"),TODAY()-Registro!R773,"")</f>
        <v/>
      </c>
      <c r="L774" s="45" t="str">
        <f>IF(AND(Registro!D773="Abierto",Registro!E773="Baja"),RANK(K774,$K$9:$K$1000,0)+COUNTIF($K$9:K774,K774)-1+MAX(C$5:C$1000,F$5:F$1000,I$5:I$1000),"")</f>
        <v/>
      </c>
      <c r="M774" s="46" t="str">
        <f>IF(OR(Registro!D773="Resuelto",Registro!D773=""),"",SUM(C774,F774,I774,L774))</f>
        <v/>
      </c>
      <c r="N774" s="46" t="str">
        <f>IF(OR(Registro!D773="Resuelto",Registro!D773=""),"",SUM(B774,E774,H774,K774))</f>
        <v/>
      </c>
      <c r="O774" s="46" t="str">
        <f>IF(OR(Registro!D773="Resuelto",Registro!D773=""),"",_xlfn.CONCAT(A774,D774,G774,J774))</f>
        <v/>
      </c>
      <c r="P774" s="47">
        <v>766</v>
      </c>
      <c r="Q774" s="47" t="str">
        <f t="shared" ca="1" si="33"/>
        <v/>
      </c>
      <c r="R774" s="48" t="str">
        <f t="shared" ca="1" si="34"/>
        <v/>
      </c>
      <c r="S774" s="32"/>
      <c r="T774" s="32"/>
      <c r="U774" s="32"/>
      <c r="V774" s="32"/>
      <c r="W774" s="47" t="str">
        <f>IF(X774="","",MAX($W$5:W773)+1)</f>
        <v/>
      </c>
      <c r="X774" s="50" t="str">
        <f>IF(Registro!M773="","",IF(COUNTIF($X$8:X773,Registro!M773)=0,Registro!M773,""))</f>
        <v/>
      </c>
      <c r="Y774" s="50" t="str">
        <f t="shared" si="35"/>
        <v/>
      </c>
    </row>
    <row r="775" spans="1:25">
      <c r="A775" s="45" t="str">
        <f>IF(AND(Registro!D774="Abierto",Registro!E774="Urgente"),Registro!B774,"")</f>
        <v/>
      </c>
      <c r="B775" s="45" t="str">
        <f ca="1">IF(AND(Registro!D774="Abierto",Registro!E774="Urgente"),TODAY()-Registro!R774,"")</f>
        <v/>
      </c>
      <c r="C775" s="45" t="str">
        <f>IF(AND(Registro!D774="Abierto",Registro!E774="Urgente"),RANK(B775,$B$9:$B$1000,0)+COUNTIF($B$9:B775,B775)-1,"")</f>
        <v/>
      </c>
      <c r="D775" s="45" t="str">
        <f>IF(AND(Registro!D774="Abierto",Registro!E774="Alta"),Registro!B774,"")</f>
        <v/>
      </c>
      <c r="E775" s="45" t="str">
        <f ca="1">IF(AND(Registro!D774="Abierto",Registro!E774="Alta"),TODAY()-Registro!R774,"")</f>
        <v/>
      </c>
      <c r="F775" s="45" t="str">
        <f>IF(AND(Registro!D774="Abierto",Registro!E774="Alta"),RANK(E775,$E$9:$E$1000,0)+COUNTIF($E$9:E775,E775)-1+MAX(C$5:C$1000),"")</f>
        <v/>
      </c>
      <c r="G775" s="45" t="str">
        <f>IF(AND(Registro!D774="Abierto",Registro!E774="Media"),Registro!B774,"")</f>
        <v/>
      </c>
      <c r="H775" s="45" t="str">
        <f ca="1">IF(AND(Registro!D774="Abierto",Registro!E774="Media"),TODAY()-Registro!R774,"")</f>
        <v/>
      </c>
      <c r="I775" s="45" t="str">
        <f>IF(AND(Registro!D774="Abierto",Registro!E774="Media"),RANK(H775,$H$9:$H$1000,0)+COUNTIF($H$9:H775,H775)-1+MAX(C$5:C$1000,F$5:F$1000),"")</f>
        <v/>
      </c>
      <c r="J775" s="45" t="str">
        <f>IF(AND(Registro!D774="Abierto",Registro!E774="Baja"),Registro!B774,"")</f>
        <v/>
      </c>
      <c r="K775" s="45" t="str">
        <f ca="1">IF(AND(Registro!D774="Abierto",Registro!E774="Baja"),TODAY()-Registro!R774,"")</f>
        <v/>
      </c>
      <c r="L775" s="45" t="str">
        <f>IF(AND(Registro!D774="Abierto",Registro!E774="Baja"),RANK(K775,$K$9:$K$1000,0)+COUNTIF($K$9:K775,K775)-1+MAX(C$5:C$1000,F$5:F$1000,I$5:I$1000),"")</f>
        <v/>
      </c>
      <c r="M775" s="46" t="str">
        <f>IF(OR(Registro!D774="Resuelto",Registro!D774=""),"",SUM(C775,F775,I775,L775))</f>
        <v/>
      </c>
      <c r="N775" s="46" t="str">
        <f>IF(OR(Registro!D774="Resuelto",Registro!D774=""),"",SUM(B775,E775,H775,K775))</f>
        <v/>
      </c>
      <c r="O775" s="46" t="str">
        <f>IF(OR(Registro!D774="Resuelto",Registro!D774=""),"",_xlfn.CONCAT(A775,D775,G775,J775))</f>
        <v/>
      </c>
      <c r="P775" s="47">
        <v>767</v>
      </c>
      <c r="Q775" s="47" t="str">
        <f t="shared" ca="1" si="33"/>
        <v/>
      </c>
      <c r="R775" s="48" t="str">
        <f t="shared" ca="1" si="34"/>
        <v/>
      </c>
      <c r="S775" s="32"/>
      <c r="T775" s="32"/>
      <c r="U775" s="32"/>
      <c r="V775" s="32"/>
      <c r="W775" s="47" t="str">
        <f>IF(X775="","",MAX($W$5:W774)+1)</f>
        <v/>
      </c>
      <c r="X775" s="50" t="str">
        <f>IF(Registro!M774="","",IF(COUNTIF($X$8:X774,Registro!M774)=0,Registro!M774,""))</f>
        <v/>
      </c>
      <c r="Y775" s="50" t="str">
        <f t="shared" si="35"/>
        <v/>
      </c>
    </row>
    <row r="776" spans="1:25">
      <c r="A776" s="45" t="str">
        <f>IF(AND(Registro!D775="Abierto",Registro!E775="Urgente"),Registro!B775,"")</f>
        <v/>
      </c>
      <c r="B776" s="45" t="str">
        <f ca="1">IF(AND(Registro!D775="Abierto",Registro!E775="Urgente"),TODAY()-Registro!R775,"")</f>
        <v/>
      </c>
      <c r="C776" s="45" t="str">
        <f>IF(AND(Registro!D775="Abierto",Registro!E775="Urgente"),RANK(B776,$B$9:$B$1000,0)+COUNTIF($B$9:B776,B776)-1,"")</f>
        <v/>
      </c>
      <c r="D776" s="45" t="str">
        <f>IF(AND(Registro!D775="Abierto",Registro!E775="Alta"),Registro!B775,"")</f>
        <v/>
      </c>
      <c r="E776" s="45" t="str">
        <f ca="1">IF(AND(Registro!D775="Abierto",Registro!E775="Alta"),TODAY()-Registro!R775,"")</f>
        <v/>
      </c>
      <c r="F776" s="45" t="str">
        <f>IF(AND(Registro!D775="Abierto",Registro!E775="Alta"),RANK(E776,$E$9:$E$1000,0)+COUNTIF($E$9:E776,E776)-1+MAX(C$5:C$1000),"")</f>
        <v/>
      </c>
      <c r="G776" s="45" t="str">
        <f>IF(AND(Registro!D775="Abierto",Registro!E775="Media"),Registro!B775,"")</f>
        <v/>
      </c>
      <c r="H776" s="45" t="str">
        <f ca="1">IF(AND(Registro!D775="Abierto",Registro!E775="Media"),TODAY()-Registro!R775,"")</f>
        <v/>
      </c>
      <c r="I776" s="45" t="str">
        <f>IF(AND(Registro!D775="Abierto",Registro!E775="Media"),RANK(H776,$H$9:$H$1000,0)+COUNTIF($H$9:H776,H776)-1+MAX(C$5:C$1000,F$5:F$1000),"")</f>
        <v/>
      </c>
      <c r="J776" s="45" t="str">
        <f>IF(AND(Registro!D775="Abierto",Registro!E775="Baja"),Registro!B775,"")</f>
        <v/>
      </c>
      <c r="K776" s="45" t="str">
        <f ca="1">IF(AND(Registro!D775="Abierto",Registro!E775="Baja"),TODAY()-Registro!R775,"")</f>
        <v/>
      </c>
      <c r="L776" s="45" t="str">
        <f>IF(AND(Registro!D775="Abierto",Registro!E775="Baja"),RANK(K776,$K$9:$K$1000,0)+COUNTIF($K$9:K776,K776)-1+MAX(C$5:C$1000,F$5:F$1000,I$5:I$1000),"")</f>
        <v/>
      </c>
      <c r="M776" s="46" t="str">
        <f>IF(OR(Registro!D775="Resuelto",Registro!D775=""),"",SUM(C776,F776,I776,L776))</f>
        <v/>
      </c>
      <c r="N776" s="46" t="str">
        <f>IF(OR(Registro!D775="Resuelto",Registro!D775=""),"",SUM(B776,E776,H776,K776))</f>
        <v/>
      </c>
      <c r="O776" s="46" t="str">
        <f>IF(OR(Registro!D775="Resuelto",Registro!D775=""),"",_xlfn.CONCAT(A776,D776,G776,J776))</f>
        <v/>
      </c>
      <c r="P776" s="47">
        <v>768</v>
      </c>
      <c r="Q776" s="47" t="str">
        <f t="shared" ca="1" si="33"/>
        <v/>
      </c>
      <c r="R776" s="48" t="str">
        <f t="shared" ca="1" si="34"/>
        <v/>
      </c>
      <c r="S776" s="32"/>
      <c r="T776" s="32"/>
      <c r="U776" s="32"/>
      <c r="V776" s="32"/>
      <c r="W776" s="47" t="str">
        <f>IF(X776="","",MAX($W$5:W775)+1)</f>
        <v/>
      </c>
      <c r="X776" s="50" t="str">
        <f>IF(Registro!M775="","",IF(COUNTIF($X$8:X775,Registro!M775)=0,Registro!M775,""))</f>
        <v/>
      </c>
      <c r="Y776" s="50" t="str">
        <f t="shared" si="35"/>
        <v/>
      </c>
    </row>
    <row r="777" spans="1:25">
      <c r="A777" s="45" t="str">
        <f>IF(AND(Registro!D776="Abierto",Registro!E776="Urgente"),Registro!B776,"")</f>
        <v/>
      </c>
      <c r="B777" s="45" t="str">
        <f ca="1">IF(AND(Registro!D776="Abierto",Registro!E776="Urgente"),TODAY()-Registro!R776,"")</f>
        <v/>
      </c>
      <c r="C777" s="45" t="str">
        <f>IF(AND(Registro!D776="Abierto",Registro!E776="Urgente"),RANK(B777,$B$9:$B$1000,0)+COUNTIF($B$9:B777,B777)-1,"")</f>
        <v/>
      </c>
      <c r="D777" s="45" t="str">
        <f>IF(AND(Registro!D776="Abierto",Registro!E776="Alta"),Registro!B776,"")</f>
        <v/>
      </c>
      <c r="E777" s="45" t="str">
        <f ca="1">IF(AND(Registro!D776="Abierto",Registro!E776="Alta"),TODAY()-Registro!R776,"")</f>
        <v/>
      </c>
      <c r="F777" s="45" t="str">
        <f>IF(AND(Registro!D776="Abierto",Registro!E776="Alta"),RANK(E777,$E$9:$E$1000,0)+COUNTIF($E$9:E777,E777)-1+MAX(C$5:C$1000),"")</f>
        <v/>
      </c>
      <c r="G777" s="45" t="str">
        <f>IF(AND(Registro!D776="Abierto",Registro!E776="Media"),Registro!B776,"")</f>
        <v/>
      </c>
      <c r="H777" s="45" t="str">
        <f ca="1">IF(AND(Registro!D776="Abierto",Registro!E776="Media"),TODAY()-Registro!R776,"")</f>
        <v/>
      </c>
      <c r="I777" s="45" t="str">
        <f>IF(AND(Registro!D776="Abierto",Registro!E776="Media"),RANK(H777,$H$9:$H$1000,0)+COUNTIF($H$9:H777,H777)-1+MAX(C$5:C$1000,F$5:F$1000),"")</f>
        <v/>
      </c>
      <c r="J777" s="45" t="str">
        <f>IF(AND(Registro!D776="Abierto",Registro!E776="Baja"),Registro!B776,"")</f>
        <v/>
      </c>
      <c r="K777" s="45" t="str">
        <f ca="1">IF(AND(Registro!D776="Abierto",Registro!E776="Baja"),TODAY()-Registro!R776,"")</f>
        <v/>
      </c>
      <c r="L777" s="45" t="str">
        <f>IF(AND(Registro!D776="Abierto",Registro!E776="Baja"),RANK(K777,$K$9:$K$1000,0)+COUNTIF($K$9:K777,K777)-1+MAX(C$5:C$1000,F$5:F$1000,I$5:I$1000),"")</f>
        <v/>
      </c>
      <c r="M777" s="46" t="str">
        <f>IF(OR(Registro!D776="Resuelto",Registro!D776=""),"",SUM(C777,F777,I777,L777))</f>
        <v/>
      </c>
      <c r="N777" s="46" t="str">
        <f>IF(OR(Registro!D776="Resuelto",Registro!D776=""),"",SUM(B777,E777,H777,K777))</f>
        <v/>
      </c>
      <c r="O777" s="46" t="str">
        <f>IF(OR(Registro!D776="Resuelto",Registro!D776=""),"",_xlfn.CONCAT(A777,D777,G777,J777))</f>
        <v/>
      </c>
      <c r="P777" s="47">
        <v>769</v>
      </c>
      <c r="Q777" s="47" t="str">
        <f t="shared" ref="Q777:Q840" ca="1" si="36">IF(ISNA(VLOOKUP(P777,$M$9:$O$1000,3,FALSE))=TRUE,"",VLOOKUP(P777,$M$9:$O$1000,3,FALSE))</f>
        <v/>
      </c>
      <c r="R777" s="48" t="str">
        <f t="shared" ref="R777:R840" ca="1" si="37">IF(ISNA(VLOOKUP(P777,$M$9:$O$1000,2,FALSE))=TRUE,"",VLOOKUP(P777,$M$9:$O$1000,2,FALSE))</f>
        <v/>
      </c>
      <c r="S777" s="32"/>
      <c r="T777" s="32"/>
      <c r="U777" s="32"/>
      <c r="V777" s="32"/>
      <c r="W777" s="47" t="str">
        <f>IF(X777="","",MAX($W$5:W776)+1)</f>
        <v/>
      </c>
      <c r="X777" s="50" t="str">
        <f>IF(Registro!M776="","",IF(COUNTIF($X$8:X776,Registro!M776)=0,Registro!M776,""))</f>
        <v/>
      </c>
      <c r="Y777" s="50" t="str">
        <f t="shared" ref="Y777:Y840" si="38">IF(ISNA(VLOOKUP(P777,$W$9:$X$1000,2,FALSE))=TRUE,"",VLOOKUP(P777,$W$9:$X$1000,2,FALSE))</f>
        <v/>
      </c>
    </row>
    <row r="778" spans="1:25">
      <c r="A778" s="45" t="str">
        <f>IF(AND(Registro!D777="Abierto",Registro!E777="Urgente"),Registro!B777,"")</f>
        <v/>
      </c>
      <c r="B778" s="45" t="str">
        <f ca="1">IF(AND(Registro!D777="Abierto",Registro!E777="Urgente"),TODAY()-Registro!R777,"")</f>
        <v/>
      </c>
      <c r="C778" s="45" t="str">
        <f>IF(AND(Registro!D777="Abierto",Registro!E777="Urgente"),RANK(B778,$B$9:$B$1000,0)+COUNTIF($B$9:B778,B778)-1,"")</f>
        <v/>
      </c>
      <c r="D778" s="45" t="str">
        <f>IF(AND(Registro!D777="Abierto",Registro!E777="Alta"),Registro!B777,"")</f>
        <v/>
      </c>
      <c r="E778" s="45" t="str">
        <f ca="1">IF(AND(Registro!D777="Abierto",Registro!E777="Alta"),TODAY()-Registro!R777,"")</f>
        <v/>
      </c>
      <c r="F778" s="45" t="str">
        <f>IF(AND(Registro!D777="Abierto",Registro!E777="Alta"),RANK(E778,$E$9:$E$1000,0)+COUNTIF($E$9:E778,E778)-1+MAX(C$5:C$1000),"")</f>
        <v/>
      </c>
      <c r="G778" s="45" t="str">
        <f>IF(AND(Registro!D777="Abierto",Registro!E777="Media"),Registro!B777,"")</f>
        <v/>
      </c>
      <c r="H778" s="45" t="str">
        <f ca="1">IF(AND(Registro!D777="Abierto",Registro!E777="Media"),TODAY()-Registro!R777,"")</f>
        <v/>
      </c>
      <c r="I778" s="45" t="str">
        <f>IF(AND(Registro!D777="Abierto",Registro!E777="Media"),RANK(H778,$H$9:$H$1000,0)+COUNTIF($H$9:H778,H778)-1+MAX(C$5:C$1000,F$5:F$1000),"")</f>
        <v/>
      </c>
      <c r="J778" s="45" t="str">
        <f>IF(AND(Registro!D777="Abierto",Registro!E777="Baja"),Registro!B777,"")</f>
        <v/>
      </c>
      <c r="K778" s="45" t="str">
        <f ca="1">IF(AND(Registro!D777="Abierto",Registro!E777="Baja"),TODAY()-Registro!R777,"")</f>
        <v/>
      </c>
      <c r="L778" s="45" t="str">
        <f>IF(AND(Registro!D777="Abierto",Registro!E777="Baja"),RANK(K778,$K$9:$K$1000,0)+COUNTIF($K$9:K778,K778)-1+MAX(C$5:C$1000,F$5:F$1000,I$5:I$1000),"")</f>
        <v/>
      </c>
      <c r="M778" s="46" t="str">
        <f>IF(OR(Registro!D777="Resuelto",Registro!D777=""),"",SUM(C778,F778,I778,L778))</f>
        <v/>
      </c>
      <c r="N778" s="46" t="str">
        <f>IF(OR(Registro!D777="Resuelto",Registro!D777=""),"",SUM(B778,E778,H778,K778))</f>
        <v/>
      </c>
      <c r="O778" s="46" t="str">
        <f>IF(OR(Registro!D777="Resuelto",Registro!D777=""),"",_xlfn.CONCAT(A778,D778,G778,J778))</f>
        <v/>
      </c>
      <c r="P778" s="47">
        <v>770</v>
      </c>
      <c r="Q778" s="47" t="str">
        <f t="shared" ca="1" si="36"/>
        <v/>
      </c>
      <c r="R778" s="48" t="str">
        <f t="shared" ca="1" si="37"/>
        <v/>
      </c>
      <c r="S778" s="32"/>
      <c r="T778" s="32"/>
      <c r="U778" s="32"/>
      <c r="V778" s="32"/>
      <c r="W778" s="47" t="str">
        <f>IF(X778="","",MAX($W$5:W777)+1)</f>
        <v/>
      </c>
      <c r="X778" s="50" t="str">
        <f>IF(Registro!M777="","",IF(COUNTIF($X$8:X777,Registro!M777)=0,Registro!M777,""))</f>
        <v/>
      </c>
      <c r="Y778" s="50" t="str">
        <f t="shared" si="38"/>
        <v/>
      </c>
    </row>
    <row r="779" spans="1:25">
      <c r="A779" s="45" t="str">
        <f>IF(AND(Registro!D778="Abierto",Registro!E778="Urgente"),Registro!B778,"")</f>
        <v/>
      </c>
      <c r="B779" s="45" t="str">
        <f ca="1">IF(AND(Registro!D778="Abierto",Registro!E778="Urgente"),TODAY()-Registro!R778,"")</f>
        <v/>
      </c>
      <c r="C779" s="45" t="str">
        <f>IF(AND(Registro!D778="Abierto",Registro!E778="Urgente"),RANK(B779,$B$9:$B$1000,0)+COUNTIF($B$9:B779,B779)-1,"")</f>
        <v/>
      </c>
      <c r="D779" s="45" t="str">
        <f>IF(AND(Registro!D778="Abierto",Registro!E778="Alta"),Registro!B778,"")</f>
        <v/>
      </c>
      <c r="E779" s="45" t="str">
        <f ca="1">IF(AND(Registro!D778="Abierto",Registro!E778="Alta"),TODAY()-Registro!R778,"")</f>
        <v/>
      </c>
      <c r="F779" s="45" t="str">
        <f>IF(AND(Registro!D778="Abierto",Registro!E778="Alta"),RANK(E779,$E$9:$E$1000,0)+COUNTIF($E$9:E779,E779)-1+MAX(C$5:C$1000),"")</f>
        <v/>
      </c>
      <c r="G779" s="45" t="str">
        <f>IF(AND(Registro!D778="Abierto",Registro!E778="Media"),Registro!B778,"")</f>
        <v/>
      </c>
      <c r="H779" s="45" t="str">
        <f ca="1">IF(AND(Registro!D778="Abierto",Registro!E778="Media"),TODAY()-Registro!R778,"")</f>
        <v/>
      </c>
      <c r="I779" s="45" t="str">
        <f>IF(AND(Registro!D778="Abierto",Registro!E778="Media"),RANK(H779,$H$9:$H$1000,0)+COUNTIF($H$9:H779,H779)-1+MAX(C$5:C$1000,F$5:F$1000),"")</f>
        <v/>
      </c>
      <c r="J779" s="45" t="str">
        <f>IF(AND(Registro!D778="Abierto",Registro!E778="Baja"),Registro!B778,"")</f>
        <v/>
      </c>
      <c r="K779" s="45" t="str">
        <f ca="1">IF(AND(Registro!D778="Abierto",Registro!E778="Baja"),TODAY()-Registro!R778,"")</f>
        <v/>
      </c>
      <c r="L779" s="45" t="str">
        <f>IF(AND(Registro!D778="Abierto",Registro!E778="Baja"),RANK(K779,$K$9:$K$1000,0)+COUNTIF($K$9:K779,K779)-1+MAX(C$5:C$1000,F$5:F$1000,I$5:I$1000),"")</f>
        <v/>
      </c>
      <c r="M779" s="46" t="str">
        <f>IF(OR(Registro!D778="Resuelto",Registro!D778=""),"",SUM(C779,F779,I779,L779))</f>
        <v/>
      </c>
      <c r="N779" s="46" t="str">
        <f>IF(OR(Registro!D778="Resuelto",Registro!D778=""),"",SUM(B779,E779,H779,K779))</f>
        <v/>
      </c>
      <c r="O779" s="46" t="str">
        <f>IF(OR(Registro!D778="Resuelto",Registro!D778=""),"",_xlfn.CONCAT(A779,D779,G779,J779))</f>
        <v/>
      </c>
      <c r="P779" s="47">
        <v>771</v>
      </c>
      <c r="Q779" s="47" t="str">
        <f t="shared" ca="1" si="36"/>
        <v/>
      </c>
      <c r="R779" s="48" t="str">
        <f t="shared" ca="1" si="37"/>
        <v/>
      </c>
      <c r="S779" s="32"/>
      <c r="T779" s="32"/>
      <c r="U779" s="32"/>
      <c r="V779" s="32"/>
      <c r="W779" s="47" t="str">
        <f>IF(X779="","",MAX($W$5:W778)+1)</f>
        <v/>
      </c>
      <c r="X779" s="50" t="str">
        <f>IF(Registro!M778="","",IF(COUNTIF($X$8:X778,Registro!M778)=0,Registro!M778,""))</f>
        <v/>
      </c>
      <c r="Y779" s="50" t="str">
        <f t="shared" si="38"/>
        <v/>
      </c>
    </row>
    <row r="780" spans="1:25">
      <c r="A780" s="45" t="str">
        <f>IF(AND(Registro!D779="Abierto",Registro!E779="Urgente"),Registro!B779,"")</f>
        <v/>
      </c>
      <c r="B780" s="45" t="str">
        <f ca="1">IF(AND(Registro!D779="Abierto",Registro!E779="Urgente"),TODAY()-Registro!R779,"")</f>
        <v/>
      </c>
      <c r="C780" s="45" t="str">
        <f>IF(AND(Registro!D779="Abierto",Registro!E779="Urgente"),RANK(B780,$B$9:$B$1000,0)+COUNTIF($B$9:B780,B780)-1,"")</f>
        <v/>
      </c>
      <c r="D780" s="45" t="str">
        <f>IF(AND(Registro!D779="Abierto",Registro!E779="Alta"),Registro!B779,"")</f>
        <v/>
      </c>
      <c r="E780" s="45" t="str">
        <f ca="1">IF(AND(Registro!D779="Abierto",Registro!E779="Alta"),TODAY()-Registro!R779,"")</f>
        <v/>
      </c>
      <c r="F780" s="45" t="str">
        <f>IF(AND(Registro!D779="Abierto",Registro!E779="Alta"),RANK(E780,$E$9:$E$1000,0)+COUNTIF($E$9:E780,E780)-1+MAX(C$5:C$1000),"")</f>
        <v/>
      </c>
      <c r="G780" s="45" t="str">
        <f>IF(AND(Registro!D779="Abierto",Registro!E779="Media"),Registro!B779,"")</f>
        <v/>
      </c>
      <c r="H780" s="45" t="str">
        <f ca="1">IF(AND(Registro!D779="Abierto",Registro!E779="Media"),TODAY()-Registro!R779,"")</f>
        <v/>
      </c>
      <c r="I780" s="45" t="str">
        <f>IF(AND(Registro!D779="Abierto",Registro!E779="Media"),RANK(H780,$H$9:$H$1000,0)+COUNTIF($H$9:H780,H780)-1+MAX(C$5:C$1000,F$5:F$1000),"")</f>
        <v/>
      </c>
      <c r="J780" s="45" t="str">
        <f>IF(AND(Registro!D779="Abierto",Registro!E779="Baja"),Registro!B779,"")</f>
        <v/>
      </c>
      <c r="K780" s="45" t="str">
        <f ca="1">IF(AND(Registro!D779="Abierto",Registro!E779="Baja"),TODAY()-Registro!R779,"")</f>
        <v/>
      </c>
      <c r="L780" s="45" t="str">
        <f>IF(AND(Registro!D779="Abierto",Registro!E779="Baja"),RANK(K780,$K$9:$K$1000,0)+COUNTIF($K$9:K780,K780)-1+MAX(C$5:C$1000,F$5:F$1000,I$5:I$1000),"")</f>
        <v/>
      </c>
      <c r="M780" s="46" t="str">
        <f>IF(OR(Registro!D779="Resuelto",Registro!D779=""),"",SUM(C780,F780,I780,L780))</f>
        <v/>
      </c>
      <c r="N780" s="46" t="str">
        <f>IF(OR(Registro!D779="Resuelto",Registro!D779=""),"",SUM(B780,E780,H780,K780))</f>
        <v/>
      </c>
      <c r="O780" s="46" t="str">
        <f>IF(OR(Registro!D779="Resuelto",Registro!D779=""),"",_xlfn.CONCAT(A780,D780,G780,J780))</f>
        <v/>
      </c>
      <c r="P780" s="47">
        <v>772</v>
      </c>
      <c r="Q780" s="47" t="str">
        <f t="shared" ca="1" si="36"/>
        <v/>
      </c>
      <c r="R780" s="48" t="str">
        <f t="shared" ca="1" si="37"/>
        <v/>
      </c>
      <c r="S780" s="32"/>
      <c r="T780" s="32"/>
      <c r="U780" s="32"/>
      <c r="V780" s="32"/>
      <c r="W780" s="47" t="str">
        <f>IF(X780="","",MAX($W$5:W779)+1)</f>
        <v/>
      </c>
      <c r="X780" s="50" t="str">
        <f>IF(Registro!M779="","",IF(COUNTIF($X$8:X779,Registro!M779)=0,Registro!M779,""))</f>
        <v/>
      </c>
      <c r="Y780" s="50" t="str">
        <f t="shared" si="38"/>
        <v/>
      </c>
    </row>
    <row r="781" spans="1:25">
      <c r="A781" s="45" t="str">
        <f>IF(AND(Registro!D780="Abierto",Registro!E780="Urgente"),Registro!B780,"")</f>
        <v/>
      </c>
      <c r="B781" s="45" t="str">
        <f ca="1">IF(AND(Registro!D780="Abierto",Registro!E780="Urgente"),TODAY()-Registro!R780,"")</f>
        <v/>
      </c>
      <c r="C781" s="45" t="str">
        <f>IF(AND(Registro!D780="Abierto",Registro!E780="Urgente"),RANK(B781,$B$9:$B$1000,0)+COUNTIF($B$9:B781,B781)-1,"")</f>
        <v/>
      </c>
      <c r="D781" s="45" t="str">
        <f>IF(AND(Registro!D780="Abierto",Registro!E780="Alta"),Registro!B780,"")</f>
        <v/>
      </c>
      <c r="E781" s="45" t="str">
        <f ca="1">IF(AND(Registro!D780="Abierto",Registro!E780="Alta"),TODAY()-Registro!R780,"")</f>
        <v/>
      </c>
      <c r="F781" s="45" t="str">
        <f>IF(AND(Registro!D780="Abierto",Registro!E780="Alta"),RANK(E781,$E$9:$E$1000,0)+COUNTIF($E$9:E781,E781)-1+MAX(C$5:C$1000),"")</f>
        <v/>
      </c>
      <c r="G781" s="45" t="str">
        <f>IF(AND(Registro!D780="Abierto",Registro!E780="Media"),Registro!B780,"")</f>
        <v/>
      </c>
      <c r="H781" s="45" t="str">
        <f ca="1">IF(AND(Registro!D780="Abierto",Registro!E780="Media"),TODAY()-Registro!R780,"")</f>
        <v/>
      </c>
      <c r="I781" s="45" t="str">
        <f>IF(AND(Registro!D780="Abierto",Registro!E780="Media"),RANK(H781,$H$9:$H$1000,0)+COUNTIF($H$9:H781,H781)-1+MAX(C$5:C$1000,F$5:F$1000),"")</f>
        <v/>
      </c>
      <c r="J781" s="45" t="str">
        <f>IF(AND(Registro!D780="Abierto",Registro!E780="Baja"),Registro!B780,"")</f>
        <v/>
      </c>
      <c r="K781" s="45" t="str">
        <f ca="1">IF(AND(Registro!D780="Abierto",Registro!E780="Baja"),TODAY()-Registro!R780,"")</f>
        <v/>
      </c>
      <c r="L781" s="45" t="str">
        <f>IF(AND(Registro!D780="Abierto",Registro!E780="Baja"),RANK(K781,$K$9:$K$1000,0)+COUNTIF($K$9:K781,K781)-1+MAX(C$5:C$1000,F$5:F$1000,I$5:I$1000),"")</f>
        <v/>
      </c>
      <c r="M781" s="46" t="str">
        <f>IF(OR(Registro!D780="Resuelto",Registro!D780=""),"",SUM(C781,F781,I781,L781))</f>
        <v/>
      </c>
      <c r="N781" s="46" t="str">
        <f>IF(OR(Registro!D780="Resuelto",Registro!D780=""),"",SUM(B781,E781,H781,K781))</f>
        <v/>
      </c>
      <c r="O781" s="46" t="str">
        <f>IF(OR(Registro!D780="Resuelto",Registro!D780=""),"",_xlfn.CONCAT(A781,D781,G781,J781))</f>
        <v/>
      </c>
      <c r="P781" s="47">
        <v>773</v>
      </c>
      <c r="Q781" s="47" t="str">
        <f t="shared" ca="1" si="36"/>
        <v/>
      </c>
      <c r="R781" s="48" t="str">
        <f t="shared" ca="1" si="37"/>
        <v/>
      </c>
      <c r="S781" s="32"/>
      <c r="T781" s="32"/>
      <c r="U781" s="32"/>
      <c r="V781" s="32"/>
      <c r="W781" s="47" t="str">
        <f>IF(X781="","",MAX($W$5:W780)+1)</f>
        <v/>
      </c>
      <c r="X781" s="50" t="str">
        <f>IF(Registro!M780="","",IF(COUNTIF($X$8:X780,Registro!M780)=0,Registro!M780,""))</f>
        <v/>
      </c>
      <c r="Y781" s="50" t="str">
        <f t="shared" si="38"/>
        <v/>
      </c>
    </row>
    <row r="782" spans="1:25">
      <c r="A782" s="45" t="str">
        <f>IF(AND(Registro!D781="Abierto",Registro!E781="Urgente"),Registro!B781,"")</f>
        <v/>
      </c>
      <c r="B782" s="45" t="str">
        <f ca="1">IF(AND(Registro!D781="Abierto",Registro!E781="Urgente"),TODAY()-Registro!R781,"")</f>
        <v/>
      </c>
      <c r="C782" s="45" t="str">
        <f>IF(AND(Registro!D781="Abierto",Registro!E781="Urgente"),RANK(B782,$B$9:$B$1000,0)+COUNTIF($B$9:B782,B782)-1,"")</f>
        <v/>
      </c>
      <c r="D782" s="45" t="str">
        <f>IF(AND(Registro!D781="Abierto",Registro!E781="Alta"),Registro!B781,"")</f>
        <v/>
      </c>
      <c r="E782" s="45" t="str">
        <f ca="1">IF(AND(Registro!D781="Abierto",Registro!E781="Alta"),TODAY()-Registro!R781,"")</f>
        <v/>
      </c>
      <c r="F782" s="45" t="str">
        <f>IF(AND(Registro!D781="Abierto",Registro!E781="Alta"),RANK(E782,$E$9:$E$1000,0)+COUNTIF($E$9:E782,E782)-1+MAX(C$5:C$1000),"")</f>
        <v/>
      </c>
      <c r="G782" s="45" t="str">
        <f>IF(AND(Registro!D781="Abierto",Registro!E781="Media"),Registro!B781,"")</f>
        <v/>
      </c>
      <c r="H782" s="45" t="str">
        <f ca="1">IF(AND(Registro!D781="Abierto",Registro!E781="Media"),TODAY()-Registro!R781,"")</f>
        <v/>
      </c>
      <c r="I782" s="45" t="str">
        <f>IF(AND(Registro!D781="Abierto",Registro!E781="Media"),RANK(H782,$H$9:$H$1000,0)+COUNTIF($H$9:H782,H782)-1+MAX(C$5:C$1000,F$5:F$1000),"")</f>
        <v/>
      </c>
      <c r="J782" s="45" t="str">
        <f>IF(AND(Registro!D781="Abierto",Registro!E781="Baja"),Registro!B781,"")</f>
        <v/>
      </c>
      <c r="K782" s="45" t="str">
        <f ca="1">IF(AND(Registro!D781="Abierto",Registro!E781="Baja"),TODAY()-Registro!R781,"")</f>
        <v/>
      </c>
      <c r="L782" s="45" t="str">
        <f>IF(AND(Registro!D781="Abierto",Registro!E781="Baja"),RANK(K782,$K$9:$K$1000,0)+COUNTIF($K$9:K782,K782)-1+MAX(C$5:C$1000,F$5:F$1000,I$5:I$1000),"")</f>
        <v/>
      </c>
      <c r="M782" s="46" t="str">
        <f>IF(OR(Registro!D781="Resuelto",Registro!D781=""),"",SUM(C782,F782,I782,L782))</f>
        <v/>
      </c>
      <c r="N782" s="46" t="str">
        <f>IF(OR(Registro!D781="Resuelto",Registro!D781=""),"",SUM(B782,E782,H782,K782))</f>
        <v/>
      </c>
      <c r="O782" s="46" t="str">
        <f>IF(OR(Registro!D781="Resuelto",Registro!D781=""),"",_xlfn.CONCAT(A782,D782,G782,J782))</f>
        <v/>
      </c>
      <c r="P782" s="47">
        <v>774</v>
      </c>
      <c r="Q782" s="47" t="str">
        <f t="shared" ca="1" si="36"/>
        <v/>
      </c>
      <c r="R782" s="48" t="str">
        <f t="shared" ca="1" si="37"/>
        <v/>
      </c>
      <c r="S782" s="32"/>
      <c r="T782" s="32"/>
      <c r="U782" s="32"/>
      <c r="V782" s="32"/>
      <c r="W782" s="47" t="str">
        <f>IF(X782="","",MAX($W$5:W781)+1)</f>
        <v/>
      </c>
      <c r="X782" s="50" t="str">
        <f>IF(Registro!M781="","",IF(COUNTIF($X$8:X781,Registro!M781)=0,Registro!M781,""))</f>
        <v/>
      </c>
      <c r="Y782" s="50" t="str">
        <f t="shared" si="38"/>
        <v/>
      </c>
    </row>
    <row r="783" spans="1:25">
      <c r="A783" s="45" t="str">
        <f>IF(AND(Registro!D782="Abierto",Registro!E782="Urgente"),Registro!B782,"")</f>
        <v/>
      </c>
      <c r="B783" s="45" t="str">
        <f ca="1">IF(AND(Registro!D782="Abierto",Registro!E782="Urgente"),TODAY()-Registro!R782,"")</f>
        <v/>
      </c>
      <c r="C783" s="45" t="str">
        <f>IF(AND(Registro!D782="Abierto",Registro!E782="Urgente"),RANK(B783,$B$9:$B$1000,0)+COUNTIF($B$9:B783,B783)-1,"")</f>
        <v/>
      </c>
      <c r="D783" s="45" t="str">
        <f>IF(AND(Registro!D782="Abierto",Registro!E782="Alta"),Registro!B782,"")</f>
        <v/>
      </c>
      <c r="E783" s="45" t="str">
        <f ca="1">IF(AND(Registro!D782="Abierto",Registro!E782="Alta"),TODAY()-Registro!R782,"")</f>
        <v/>
      </c>
      <c r="F783" s="45" t="str">
        <f>IF(AND(Registro!D782="Abierto",Registro!E782="Alta"),RANK(E783,$E$9:$E$1000,0)+COUNTIF($E$9:E783,E783)-1+MAX(C$5:C$1000),"")</f>
        <v/>
      </c>
      <c r="G783" s="45" t="str">
        <f>IF(AND(Registro!D782="Abierto",Registro!E782="Media"),Registro!B782,"")</f>
        <v/>
      </c>
      <c r="H783" s="45" t="str">
        <f ca="1">IF(AND(Registro!D782="Abierto",Registro!E782="Media"),TODAY()-Registro!R782,"")</f>
        <v/>
      </c>
      <c r="I783" s="45" t="str">
        <f>IF(AND(Registro!D782="Abierto",Registro!E782="Media"),RANK(H783,$H$9:$H$1000,0)+COUNTIF($H$9:H783,H783)-1+MAX(C$5:C$1000,F$5:F$1000),"")</f>
        <v/>
      </c>
      <c r="J783" s="45" t="str">
        <f>IF(AND(Registro!D782="Abierto",Registro!E782="Baja"),Registro!B782,"")</f>
        <v/>
      </c>
      <c r="K783" s="45" t="str">
        <f ca="1">IF(AND(Registro!D782="Abierto",Registro!E782="Baja"),TODAY()-Registro!R782,"")</f>
        <v/>
      </c>
      <c r="L783" s="45" t="str">
        <f>IF(AND(Registro!D782="Abierto",Registro!E782="Baja"),RANK(K783,$K$9:$K$1000,0)+COUNTIF($K$9:K783,K783)-1+MAX(C$5:C$1000,F$5:F$1000,I$5:I$1000),"")</f>
        <v/>
      </c>
      <c r="M783" s="46" t="str">
        <f>IF(OR(Registro!D782="Resuelto",Registro!D782=""),"",SUM(C783,F783,I783,L783))</f>
        <v/>
      </c>
      <c r="N783" s="46" t="str">
        <f>IF(OR(Registro!D782="Resuelto",Registro!D782=""),"",SUM(B783,E783,H783,K783))</f>
        <v/>
      </c>
      <c r="O783" s="46" t="str">
        <f>IF(OR(Registro!D782="Resuelto",Registro!D782=""),"",_xlfn.CONCAT(A783,D783,G783,J783))</f>
        <v/>
      </c>
      <c r="P783" s="47">
        <v>775</v>
      </c>
      <c r="Q783" s="47" t="str">
        <f t="shared" ca="1" si="36"/>
        <v/>
      </c>
      <c r="R783" s="48" t="str">
        <f t="shared" ca="1" si="37"/>
        <v/>
      </c>
      <c r="S783" s="32"/>
      <c r="T783" s="32"/>
      <c r="U783" s="32"/>
      <c r="V783" s="32"/>
      <c r="W783" s="47" t="str">
        <f>IF(X783="","",MAX($W$5:W782)+1)</f>
        <v/>
      </c>
      <c r="X783" s="50" t="str">
        <f>IF(Registro!M782="","",IF(COUNTIF($X$8:X782,Registro!M782)=0,Registro!M782,""))</f>
        <v/>
      </c>
      <c r="Y783" s="50" t="str">
        <f t="shared" si="38"/>
        <v/>
      </c>
    </row>
    <row r="784" spans="1:25">
      <c r="A784" s="45" t="str">
        <f>IF(AND(Registro!D783="Abierto",Registro!E783="Urgente"),Registro!B783,"")</f>
        <v/>
      </c>
      <c r="B784" s="45" t="str">
        <f ca="1">IF(AND(Registro!D783="Abierto",Registro!E783="Urgente"),TODAY()-Registro!R783,"")</f>
        <v/>
      </c>
      <c r="C784" s="45" t="str">
        <f>IF(AND(Registro!D783="Abierto",Registro!E783="Urgente"),RANK(B784,$B$9:$B$1000,0)+COUNTIF($B$9:B784,B784)-1,"")</f>
        <v/>
      </c>
      <c r="D784" s="45" t="str">
        <f>IF(AND(Registro!D783="Abierto",Registro!E783="Alta"),Registro!B783,"")</f>
        <v/>
      </c>
      <c r="E784" s="45" t="str">
        <f ca="1">IF(AND(Registro!D783="Abierto",Registro!E783="Alta"),TODAY()-Registro!R783,"")</f>
        <v/>
      </c>
      <c r="F784" s="45" t="str">
        <f>IF(AND(Registro!D783="Abierto",Registro!E783="Alta"),RANK(E784,$E$9:$E$1000,0)+COUNTIF($E$9:E784,E784)-1+MAX(C$5:C$1000),"")</f>
        <v/>
      </c>
      <c r="G784" s="45" t="str">
        <f>IF(AND(Registro!D783="Abierto",Registro!E783="Media"),Registro!B783,"")</f>
        <v/>
      </c>
      <c r="H784" s="45" t="str">
        <f ca="1">IF(AND(Registro!D783="Abierto",Registro!E783="Media"),TODAY()-Registro!R783,"")</f>
        <v/>
      </c>
      <c r="I784" s="45" t="str">
        <f>IF(AND(Registro!D783="Abierto",Registro!E783="Media"),RANK(H784,$H$9:$H$1000,0)+COUNTIF($H$9:H784,H784)-1+MAX(C$5:C$1000,F$5:F$1000),"")</f>
        <v/>
      </c>
      <c r="J784" s="45" t="str">
        <f>IF(AND(Registro!D783="Abierto",Registro!E783="Baja"),Registro!B783,"")</f>
        <v/>
      </c>
      <c r="K784" s="45" t="str">
        <f ca="1">IF(AND(Registro!D783="Abierto",Registro!E783="Baja"),TODAY()-Registro!R783,"")</f>
        <v/>
      </c>
      <c r="L784" s="45" t="str">
        <f>IF(AND(Registro!D783="Abierto",Registro!E783="Baja"),RANK(K784,$K$9:$K$1000,0)+COUNTIF($K$9:K784,K784)-1+MAX(C$5:C$1000,F$5:F$1000,I$5:I$1000),"")</f>
        <v/>
      </c>
      <c r="M784" s="46" t="str">
        <f>IF(OR(Registro!D783="Resuelto",Registro!D783=""),"",SUM(C784,F784,I784,L784))</f>
        <v/>
      </c>
      <c r="N784" s="46" t="str">
        <f>IF(OR(Registro!D783="Resuelto",Registro!D783=""),"",SUM(B784,E784,H784,K784))</f>
        <v/>
      </c>
      <c r="O784" s="46" t="str">
        <f>IF(OR(Registro!D783="Resuelto",Registro!D783=""),"",_xlfn.CONCAT(A784,D784,G784,J784))</f>
        <v/>
      </c>
      <c r="P784" s="47">
        <v>776</v>
      </c>
      <c r="Q784" s="47" t="str">
        <f t="shared" ca="1" si="36"/>
        <v/>
      </c>
      <c r="R784" s="48" t="str">
        <f t="shared" ca="1" si="37"/>
        <v/>
      </c>
      <c r="S784" s="32"/>
      <c r="T784" s="32"/>
      <c r="U784" s="32"/>
      <c r="V784" s="32"/>
      <c r="W784" s="47" t="str">
        <f>IF(X784="","",MAX($W$5:W783)+1)</f>
        <v/>
      </c>
      <c r="X784" s="50" t="str">
        <f>IF(Registro!M783="","",IF(COUNTIF($X$8:X783,Registro!M783)=0,Registro!M783,""))</f>
        <v/>
      </c>
      <c r="Y784" s="50" t="str">
        <f t="shared" si="38"/>
        <v/>
      </c>
    </row>
    <row r="785" spans="1:25">
      <c r="A785" s="45" t="str">
        <f>IF(AND(Registro!D784="Abierto",Registro!E784="Urgente"),Registro!B784,"")</f>
        <v/>
      </c>
      <c r="B785" s="45" t="str">
        <f ca="1">IF(AND(Registro!D784="Abierto",Registro!E784="Urgente"),TODAY()-Registro!R784,"")</f>
        <v/>
      </c>
      <c r="C785" s="45" t="str">
        <f>IF(AND(Registro!D784="Abierto",Registro!E784="Urgente"),RANK(B785,$B$9:$B$1000,0)+COUNTIF($B$9:B785,B785)-1,"")</f>
        <v/>
      </c>
      <c r="D785" s="45" t="str">
        <f>IF(AND(Registro!D784="Abierto",Registro!E784="Alta"),Registro!B784,"")</f>
        <v/>
      </c>
      <c r="E785" s="45" t="str">
        <f ca="1">IF(AND(Registro!D784="Abierto",Registro!E784="Alta"),TODAY()-Registro!R784,"")</f>
        <v/>
      </c>
      <c r="F785" s="45" t="str">
        <f>IF(AND(Registro!D784="Abierto",Registro!E784="Alta"),RANK(E785,$E$9:$E$1000,0)+COUNTIF($E$9:E785,E785)-1+MAX(C$5:C$1000),"")</f>
        <v/>
      </c>
      <c r="G785" s="45" t="str">
        <f>IF(AND(Registro!D784="Abierto",Registro!E784="Media"),Registro!B784,"")</f>
        <v/>
      </c>
      <c r="H785" s="45" t="str">
        <f ca="1">IF(AND(Registro!D784="Abierto",Registro!E784="Media"),TODAY()-Registro!R784,"")</f>
        <v/>
      </c>
      <c r="I785" s="45" t="str">
        <f>IF(AND(Registro!D784="Abierto",Registro!E784="Media"),RANK(H785,$H$9:$H$1000,0)+COUNTIF($H$9:H785,H785)-1+MAX(C$5:C$1000,F$5:F$1000),"")</f>
        <v/>
      </c>
      <c r="J785" s="45" t="str">
        <f>IF(AND(Registro!D784="Abierto",Registro!E784="Baja"),Registro!B784,"")</f>
        <v/>
      </c>
      <c r="K785" s="45" t="str">
        <f ca="1">IF(AND(Registro!D784="Abierto",Registro!E784="Baja"),TODAY()-Registro!R784,"")</f>
        <v/>
      </c>
      <c r="L785" s="45" t="str">
        <f>IF(AND(Registro!D784="Abierto",Registro!E784="Baja"),RANK(K785,$K$9:$K$1000,0)+COUNTIF($K$9:K785,K785)-1+MAX(C$5:C$1000,F$5:F$1000,I$5:I$1000),"")</f>
        <v/>
      </c>
      <c r="M785" s="46" t="str">
        <f>IF(OR(Registro!D784="Resuelto",Registro!D784=""),"",SUM(C785,F785,I785,L785))</f>
        <v/>
      </c>
      <c r="N785" s="46" t="str">
        <f>IF(OR(Registro!D784="Resuelto",Registro!D784=""),"",SUM(B785,E785,H785,K785))</f>
        <v/>
      </c>
      <c r="O785" s="46" t="str">
        <f>IF(OR(Registro!D784="Resuelto",Registro!D784=""),"",_xlfn.CONCAT(A785,D785,G785,J785))</f>
        <v/>
      </c>
      <c r="P785" s="47">
        <v>777</v>
      </c>
      <c r="Q785" s="47" t="str">
        <f t="shared" ca="1" si="36"/>
        <v/>
      </c>
      <c r="R785" s="48" t="str">
        <f t="shared" ca="1" si="37"/>
        <v/>
      </c>
      <c r="S785" s="32"/>
      <c r="T785" s="32"/>
      <c r="U785" s="32"/>
      <c r="V785" s="32"/>
      <c r="W785" s="47" t="str">
        <f>IF(X785="","",MAX($W$5:W784)+1)</f>
        <v/>
      </c>
      <c r="X785" s="50" t="str">
        <f>IF(Registro!M784="","",IF(COUNTIF($X$8:X784,Registro!M784)=0,Registro!M784,""))</f>
        <v/>
      </c>
      <c r="Y785" s="50" t="str">
        <f t="shared" si="38"/>
        <v/>
      </c>
    </row>
    <row r="786" spans="1:25">
      <c r="A786" s="45" t="str">
        <f>IF(AND(Registro!D785="Abierto",Registro!E785="Urgente"),Registro!B785,"")</f>
        <v/>
      </c>
      <c r="B786" s="45" t="str">
        <f ca="1">IF(AND(Registro!D785="Abierto",Registro!E785="Urgente"),TODAY()-Registro!R785,"")</f>
        <v/>
      </c>
      <c r="C786" s="45" t="str">
        <f>IF(AND(Registro!D785="Abierto",Registro!E785="Urgente"),RANK(B786,$B$9:$B$1000,0)+COUNTIF($B$9:B786,B786)-1,"")</f>
        <v/>
      </c>
      <c r="D786" s="45" t="str">
        <f>IF(AND(Registro!D785="Abierto",Registro!E785="Alta"),Registro!B785,"")</f>
        <v/>
      </c>
      <c r="E786" s="45" t="str">
        <f ca="1">IF(AND(Registro!D785="Abierto",Registro!E785="Alta"),TODAY()-Registro!R785,"")</f>
        <v/>
      </c>
      <c r="F786" s="45" t="str">
        <f>IF(AND(Registro!D785="Abierto",Registro!E785="Alta"),RANK(E786,$E$9:$E$1000,0)+COUNTIF($E$9:E786,E786)-1+MAX(C$5:C$1000),"")</f>
        <v/>
      </c>
      <c r="G786" s="45" t="str">
        <f>IF(AND(Registro!D785="Abierto",Registro!E785="Media"),Registro!B785,"")</f>
        <v/>
      </c>
      <c r="H786" s="45" t="str">
        <f ca="1">IF(AND(Registro!D785="Abierto",Registro!E785="Media"),TODAY()-Registro!R785,"")</f>
        <v/>
      </c>
      <c r="I786" s="45" t="str">
        <f>IF(AND(Registro!D785="Abierto",Registro!E785="Media"),RANK(H786,$H$9:$H$1000,0)+COUNTIF($H$9:H786,H786)-1+MAX(C$5:C$1000,F$5:F$1000),"")</f>
        <v/>
      </c>
      <c r="J786" s="45" t="str">
        <f>IF(AND(Registro!D785="Abierto",Registro!E785="Baja"),Registro!B785,"")</f>
        <v/>
      </c>
      <c r="K786" s="45" t="str">
        <f ca="1">IF(AND(Registro!D785="Abierto",Registro!E785="Baja"),TODAY()-Registro!R785,"")</f>
        <v/>
      </c>
      <c r="L786" s="45" t="str">
        <f>IF(AND(Registro!D785="Abierto",Registro!E785="Baja"),RANK(K786,$K$9:$K$1000,0)+COUNTIF($K$9:K786,K786)-1+MAX(C$5:C$1000,F$5:F$1000,I$5:I$1000),"")</f>
        <v/>
      </c>
      <c r="M786" s="46" t="str">
        <f>IF(OR(Registro!D785="Resuelto",Registro!D785=""),"",SUM(C786,F786,I786,L786))</f>
        <v/>
      </c>
      <c r="N786" s="46" t="str">
        <f>IF(OR(Registro!D785="Resuelto",Registro!D785=""),"",SUM(B786,E786,H786,K786))</f>
        <v/>
      </c>
      <c r="O786" s="46" t="str">
        <f>IF(OR(Registro!D785="Resuelto",Registro!D785=""),"",_xlfn.CONCAT(A786,D786,G786,J786))</f>
        <v/>
      </c>
      <c r="P786" s="47">
        <v>778</v>
      </c>
      <c r="Q786" s="47" t="str">
        <f t="shared" ca="1" si="36"/>
        <v/>
      </c>
      <c r="R786" s="48" t="str">
        <f t="shared" ca="1" si="37"/>
        <v/>
      </c>
      <c r="S786" s="32"/>
      <c r="T786" s="32"/>
      <c r="U786" s="32"/>
      <c r="V786" s="32"/>
      <c r="W786" s="47" t="str">
        <f>IF(X786="","",MAX($W$5:W785)+1)</f>
        <v/>
      </c>
      <c r="X786" s="50" t="str">
        <f>IF(Registro!M785="","",IF(COUNTIF($X$8:X785,Registro!M785)=0,Registro!M785,""))</f>
        <v/>
      </c>
      <c r="Y786" s="50" t="str">
        <f t="shared" si="38"/>
        <v/>
      </c>
    </row>
    <row r="787" spans="1:25">
      <c r="A787" s="45" t="str">
        <f>IF(AND(Registro!D786="Abierto",Registro!E786="Urgente"),Registro!B786,"")</f>
        <v/>
      </c>
      <c r="B787" s="45" t="str">
        <f ca="1">IF(AND(Registro!D786="Abierto",Registro!E786="Urgente"),TODAY()-Registro!R786,"")</f>
        <v/>
      </c>
      <c r="C787" s="45" t="str">
        <f>IF(AND(Registro!D786="Abierto",Registro!E786="Urgente"),RANK(B787,$B$9:$B$1000,0)+COUNTIF($B$9:B787,B787)-1,"")</f>
        <v/>
      </c>
      <c r="D787" s="45" t="str">
        <f>IF(AND(Registro!D786="Abierto",Registro!E786="Alta"),Registro!B786,"")</f>
        <v/>
      </c>
      <c r="E787" s="45" t="str">
        <f ca="1">IF(AND(Registro!D786="Abierto",Registro!E786="Alta"),TODAY()-Registro!R786,"")</f>
        <v/>
      </c>
      <c r="F787" s="45" t="str">
        <f>IF(AND(Registro!D786="Abierto",Registro!E786="Alta"),RANK(E787,$E$9:$E$1000,0)+COUNTIF($E$9:E787,E787)-1+MAX(C$5:C$1000),"")</f>
        <v/>
      </c>
      <c r="G787" s="45" t="str">
        <f>IF(AND(Registro!D786="Abierto",Registro!E786="Media"),Registro!B786,"")</f>
        <v/>
      </c>
      <c r="H787" s="45" t="str">
        <f ca="1">IF(AND(Registro!D786="Abierto",Registro!E786="Media"),TODAY()-Registro!R786,"")</f>
        <v/>
      </c>
      <c r="I787" s="45" t="str">
        <f>IF(AND(Registro!D786="Abierto",Registro!E786="Media"),RANK(H787,$H$9:$H$1000,0)+COUNTIF($H$9:H787,H787)-1+MAX(C$5:C$1000,F$5:F$1000),"")</f>
        <v/>
      </c>
      <c r="J787" s="45" t="str">
        <f>IF(AND(Registro!D786="Abierto",Registro!E786="Baja"),Registro!B786,"")</f>
        <v/>
      </c>
      <c r="K787" s="45" t="str">
        <f ca="1">IF(AND(Registro!D786="Abierto",Registro!E786="Baja"),TODAY()-Registro!R786,"")</f>
        <v/>
      </c>
      <c r="L787" s="45" t="str">
        <f>IF(AND(Registro!D786="Abierto",Registro!E786="Baja"),RANK(K787,$K$9:$K$1000,0)+COUNTIF($K$9:K787,K787)-1+MAX(C$5:C$1000,F$5:F$1000,I$5:I$1000),"")</f>
        <v/>
      </c>
      <c r="M787" s="46" t="str">
        <f>IF(OR(Registro!D786="Resuelto",Registro!D786=""),"",SUM(C787,F787,I787,L787))</f>
        <v/>
      </c>
      <c r="N787" s="46" t="str">
        <f>IF(OR(Registro!D786="Resuelto",Registro!D786=""),"",SUM(B787,E787,H787,K787))</f>
        <v/>
      </c>
      <c r="O787" s="46" t="str">
        <f>IF(OR(Registro!D786="Resuelto",Registro!D786=""),"",_xlfn.CONCAT(A787,D787,G787,J787))</f>
        <v/>
      </c>
      <c r="P787" s="47">
        <v>779</v>
      </c>
      <c r="Q787" s="47" t="str">
        <f t="shared" ca="1" si="36"/>
        <v/>
      </c>
      <c r="R787" s="48" t="str">
        <f t="shared" ca="1" si="37"/>
        <v/>
      </c>
      <c r="S787" s="32"/>
      <c r="T787" s="32"/>
      <c r="U787" s="32"/>
      <c r="V787" s="32"/>
      <c r="W787" s="47" t="str">
        <f>IF(X787="","",MAX($W$5:W786)+1)</f>
        <v/>
      </c>
      <c r="X787" s="50" t="str">
        <f>IF(Registro!M786="","",IF(COUNTIF($X$8:X786,Registro!M786)=0,Registro!M786,""))</f>
        <v/>
      </c>
      <c r="Y787" s="50" t="str">
        <f t="shared" si="38"/>
        <v/>
      </c>
    </row>
    <row r="788" spans="1:25">
      <c r="A788" s="45" t="str">
        <f>IF(AND(Registro!D787="Abierto",Registro!E787="Urgente"),Registro!B787,"")</f>
        <v/>
      </c>
      <c r="B788" s="45" t="str">
        <f ca="1">IF(AND(Registro!D787="Abierto",Registro!E787="Urgente"),TODAY()-Registro!R787,"")</f>
        <v/>
      </c>
      <c r="C788" s="45" t="str">
        <f>IF(AND(Registro!D787="Abierto",Registro!E787="Urgente"),RANK(B788,$B$9:$B$1000,0)+COUNTIF($B$9:B788,B788)-1,"")</f>
        <v/>
      </c>
      <c r="D788" s="45" t="str">
        <f>IF(AND(Registro!D787="Abierto",Registro!E787="Alta"),Registro!B787,"")</f>
        <v/>
      </c>
      <c r="E788" s="45" t="str">
        <f ca="1">IF(AND(Registro!D787="Abierto",Registro!E787="Alta"),TODAY()-Registro!R787,"")</f>
        <v/>
      </c>
      <c r="F788" s="45" t="str">
        <f>IF(AND(Registro!D787="Abierto",Registro!E787="Alta"),RANK(E788,$E$9:$E$1000,0)+COUNTIF($E$9:E788,E788)-1+MAX(C$5:C$1000),"")</f>
        <v/>
      </c>
      <c r="G788" s="45" t="str">
        <f>IF(AND(Registro!D787="Abierto",Registro!E787="Media"),Registro!B787,"")</f>
        <v/>
      </c>
      <c r="H788" s="45" t="str">
        <f ca="1">IF(AND(Registro!D787="Abierto",Registro!E787="Media"),TODAY()-Registro!R787,"")</f>
        <v/>
      </c>
      <c r="I788" s="45" t="str">
        <f>IF(AND(Registro!D787="Abierto",Registro!E787="Media"),RANK(H788,$H$9:$H$1000,0)+COUNTIF($H$9:H788,H788)-1+MAX(C$5:C$1000,F$5:F$1000),"")</f>
        <v/>
      </c>
      <c r="J788" s="45" t="str">
        <f>IF(AND(Registro!D787="Abierto",Registro!E787="Baja"),Registro!B787,"")</f>
        <v/>
      </c>
      <c r="K788" s="45" t="str">
        <f ca="1">IF(AND(Registro!D787="Abierto",Registro!E787="Baja"),TODAY()-Registro!R787,"")</f>
        <v/>
      </c>
      <c r="L788" s="45" t="str">
        <f>IF(AND(Registro!D787="Abierto",Registro!E787="Baja"),RANK(K788,$K$9:$K$1000,0)+COUNTIF($K$9:K788,K788)-1+MAX(C$5:C$1000,F$5:F$1000,I$5:I$1000),"")</f>
        <v/>
      </c>
      <c r="M788" s="46" t="str">
        <f>IF(OR(Registro!D787="Resuelto",Registro!D787=""),"",SUM(C788,F788,I788,L788))</f>
        <v/>
      </c>
      <c r="N788" s="46" t="str">
        <f>IF(OR(Registro!D787="Resuelto",Registro!D787=""),"",SUM(B788,E788,H788,K788))</f>
        <v/>
      </c>
      <c r="O788" s="46" t="str">
        <f>IF(OR(Registro!D787="Resuelto",Registro!D787=""),"",_xlfn.CONCAT(A788,D788,G788,J788))</f>
        <v/>
      </c>
      <c r="P788" s="47">
        <v>780</v>
      </c>
      <c r="Q788" s="47" t="str">
        <f t="shared" ca="1" si="36"/>
        <v/>
      </c>
      <c r="R788" s="48" t="str">
        <f t="shared" ca="1" si="37"/>
        <v/>
      </c>
      <c r="S788" s="32"/>
      <c r="T788" s="32"/>
      <c r="U788" s="32"/>
      <c r="V788" s="32"/>
      <c r="W788" s="47" t="str">
        <f>IF(X788="","",MAX($W$5:W787)+1)</f>
        <v/>
      </c>
      <c r="X788" s="50" t="str">
        <f>IF(Registro!M787="","",IF(COUNTIF($X$8:X787,Registro!M787)=0,Registro!M787,""))</f>
        <v/>
      </c>
      <c r="Y788" s="50" t="str">
        <f t="shared" si="38"/>
        <v/>
      </c>
    </row>
    <row r="789" spans="1:25">
      <c r="A789" s="45" t="str">
        <f>IF(AND(Registro!D788="Abierto",Registro!E788="Urgente"),Registro!B788,"")</f>
        <v/>
      </c>
      <c r="B789" s="45" t="str">
        <f ca="1">IF(AND(Registro!D788="Abierto",Registro!E788="Urgente"),TODAY()-Registro!R788,"")</f>
        <v/>
      </c>
      <c r="C789" s="45" t="str">
        <f>IF(AND(Registro!D788="Abierto",Registro!E788="Urgente"),RANK(B789,$B$9:$B$1000,0)+COUNTIF($B$9:B789,B789)-1,"")</f>
        <v/>
      </c>
      <c r="D789" s="45" t="str">
        <f>IF(AND(Registro!D788="Abierto",Registro!E788="Alta"),Registro!B788,"")</f>
        <v/>
      </c>
      <c r="E789" s="45" t="str">
        <f ca="1">IF(AND(Registro!D788="Abierto",Registro!E788="Alta"),TODAY()-Registro!R788,"")</f>
        <v/>
      </c>
      <c r="F789" s="45" t="str">
        <f>IF(AND(Registro!D788="Abierto",Registro!E788="Alta"),RANK(E789,$E$9:$E$1000,0)+COUNTIF($E$9:E789,E789)-1+MAX(C$5:C$1000),"")</f>
        <v/>
      </c>
      <c r="G789" s="45" t="str">
        <f>IF(AND(Registro!D788="Abierto",Registro!E788="Media"),Registro!B788,"")</f>
        <v/>
      </c>
      <c r="H789" s="45" t="str">
        <f ca="1">IF(AND(Registro!D788="Abierto",Registro!E788="Media"),TODAY()-Registro!R788,"")</f>
        <v/>
      </c>
      <c r="I789" s="45" t="str">
        <f>IF(AND(Registro!D788="Abierto",Registro!E788="Media"),RANK(H789,$H$9:$H$1000,0)+COUNTIF($H$9:H789,H789)-1+MAX(C$5:C$1000,F$5:F$1000),"")</f>
        <v/>
      </c>
      <c r="J789" s="45" t="str">
        <f>IF(AND(Registro!D788="Abierto",Registro!E788="Baja"),Registro!B788,"")</f>
        <v/>
      </c>
      <c r="K789" s="45" t="str">
        <f ca="1">IF(AND(Registro!D788="Abierto",Registro!E788="Baja"),TODAY()-Registro!R788,"")</f>
        <v/>
      </c>
      <c r="L789" s="45" t="str">
        <f>IF(AND(Registro!D788="Abierto",Registro!E788="Baja"),RANK(K789,$K$9:$K$1000,0)+COUNTIF($K$9:K789,K789)-1+MAX(C$5:C$1000,F$5:F$1000,I$5:I$1000),"")</f>
        <v/>
      </c>
      <c r="M789" s="46" t="str">
        <f>IF(OR(Registro!D788="Resuelto",Registro!D788=""),"",SUM(C789,F789,I789,L789))</f>
        <v/>
      </c>
      <c r="N789" s="46" t="str">
        <f>IF(OR(Registro!D788="Resuelto",Registro!D788=""),"",SUM(B789,E789,H789,K789))</f>
        <v/>
      </c>
      <c r="O789" s="46" t="str">
        <f>IF(OR(Registro!D788="Resuelto",Registro!D788=""),"",_xlfn.CONCAT(A789,D789,G789,J789))</f>
        <v/>
      </c>
      <c r="P789" s="47">
        <v>781</v>
      </c>
      <c r="Q789" s="47" t="str">
        <f t="shared" ca="1" si="36"/>
        <v/>
      </c>
      <c r="R789" s="48" t="str">
        <f t="shared" ca="1" si="37"/>
        <v/>
      </c>
      <c r="S789" s="32"/>
      <c r="T789" s="32"/>
      <c r="U789" s="32"/>
      <c r="V789" s="32"/>
      <c r="W789" s="47" t="str">
        <f>IF(X789="","",MAX($W$5:W788)+1)</f>
        <v/>
      </c>
      <c r="X789" s="50" t="str">
        <f>IF(Registro!M788="","",IF(COUNTIF($X$8:X788,Registro!M788)=0,Registro!M788,""))</f>
        <v/>
      </c>
      <c r="Y789" s="50" t="str">
        <f t="shared" si="38"/>
        <v/>
      </c>
    </row>
    <row r="790" spans="1:25">
      <c r="A790" s="45" t="str">
        <f>IF(AND(Registro!D789="Abierto",Registro!E789="Urgente"),Registro!B789,"")</f>
        <v/>
      </c>
      <c r="B790" s="45" t="str">
        <f ca="1">IF(AND(Registro!D789="Abierto",Registro!E789="Urgente"),TODAY()-Registro!R789,"")</f>
        <v/>
      </c>
      <c r="C790" s="45" t="str">
        <f>IF(AND(Registro!D789="Abierto",Registro!E789="Urgente"),RANK(B790,$B$9:$B$1000,0)+COUNTIF($B$9:B790,B790)-1,"")</f>
        <v/>
      </c>
      <c r="D790" s="45" t="str">
        <f>IF(AND(Registro!D789="Abierto",Registro!E789="Alta"),Registro!B789,"")</f>
        <v/>
      </c>
      <c r="E790" s="45" t="str">
        <f ca="1">IF(AND(Registro!D789="Abierto",Registro!E789="Alta"),TODAY()-Registro!R789,"")</f>
        <v/>
      </c>
      <c r="F790" s="45" t="str">
        <f>IF(AND(Registro!D789="Abierto",Registro!E789="Alta"),RANK(E790,$E$9:$E$1000,0)+COUNTIF($E$9:E790,E790)-1+MAX(C$5:C$1000),"")</f>
        <v/>
      </c>
      <c r="G790" s="45" t="str">
        <f>IF(AND(Registro!D789="Abierto",Registro!E789="Media"),Registro!B789,"")</f>
        <v/>
      </c>
      <c r="H790" s="45" t="str">
        <f ca="1">IF(AND(Registro!D789="Abierto",Registro!E789="Media"),TODAY()-Registro!R789,"")</f>
        <v/>
      </c>
      <c r="I790" s="45" t="str">
        <f>IF(AND(Registro!D789="Abierto",Registro!E789="Media"),RANK(H790,$H$9:$H$1000,0)+COUNTIF($H$9:H790,H790)-1+MAX(C$5:C$1000,F$5:F$1000),"")</f>
        <v/>
      </c>
      <c r="J790" s="45" t="str">
        <f>IF(AND(Registro!D789="Abierto",Registro!E789="Baja"),Registro!B789,"")</f>
        <v/>
      </c>
      <c r="K790" s="45" t="str">
        <f ca="1">IF(AND(Registro!D789="Abierto",Registro!E789="Baja"),TODAY()-Registro!R789,"")</f>
        <v/>
      </c>
      <c r="L790" s="45" t="str">
        <f>IF(AND(Registro!D789="Abierto",Registro!E789="Baja"),RANK(K790,$K$9:$K$1000,0)+COUNTIF($K$9:K790,K790)-1+MAX(C$5:C$1000,F$5:F$1000,I$5:I$1000),"")</f>
        <v/>
      </c>
      <c r="M790" s="46" t="str">
        <f>IF(OR(Registro!D789="Resuelto",Registro!D789=""),"",SUM(C790,F790,I790,L790))</f>
        <v/>
      </c>
      <c r="N790" s="46" t="str">
        <f>IF(OR(Registro!D789="Resuelto",Registro!D789=""),"",SUM(B790,E790,H790,K790))</f>
        <v/>
      </c>
      <c r="O790" s="46" t="str">
        <f>IF(OR(Registro!D789="Resuelto",Registro!D789=""),"",_xlfn.CONCAT(A790,D790,G790,J790))</f>
        <v/>
      </c>
      <c r="P790" s="47">
        <v>782</v>
      </c>
      <c r="Q790" s="47" t="str">
        <f t="shared" ca="1" si="36"/>
        <v/>
      </c>
      <c r="R790" s="48" t="str">
        <f t="shared" ca="1" si="37"/>
        <v/>
      </c>
      <c r="S790" s="32"/>
      <c r="T790" s="32"/>
      <c r="U790" s="32"/>
      <c r="V790" s="32"/>
      <c r="W790" s="47" t="str">
        <f>IF(X790="","",MAX($W$5:W789)+1)</f>
        <v/>
      </c>
      <c r="X790" s="50" t="str">
        <f>IF(Registro!M789="","",IF(COUNTIF($X$8:X789,Registro!M789)=0,Registro!M789,""))</f>
        <v/>
      </c>
      <c r="Y790" s="50" t="str">
        <f t="shared" si="38"/>
        <v/>
      </c>
    </row>
    <row r="791" spans="1:25">
      <c r="A791" s="45" t="str">
        <f>IF(AND(Registro!D790="Abierto",Registro!E790="Urgente"),Registro!B790,"")</f>
        <v/>
      </c>
      <c r="B791" s="45" t="str">
        <f ca="1">IF(AND(Registro!D790="Abierto",Registro!E790="Urgente"),TODAY()-Registro!R790,"")</f>
        <v/>
      </c>
      <c r="C791" s="45" t="str">
        <f>IF(AND(Registro!D790="Abierto",Registro!E790="Urgente"),RANK(B791,$B$9:$B$1000,0)+COUNTIF($B$9:B791,B791)-1,"")</f>
        <v/>
      </c>
      <c r="D791" s="45" t="str">
        <f>IF(AND(Registro!D790="Abierto",Registro!E790="Alta"),Registro!B790,"")</f>
        <v/>
      </c>
      <c r="E791" s="45" t="str">
        <f ca="1">IF(AND(Registro!D790="Abierto",Registro!E790="Alta"),TODAY()-Registro!R790,"")</f>
        <v/>
      </c>
      <c r="F791" s="45" t="str">
        <f>IF(AND(Registro!D790="Abierto",Registro!E790="Alta"),RANK(E791,$E$9:$E$1000,0)+COUNTIF($E$9:E791,E791)-1+MAX(C$5:C$1000),"")</f>
        <v/>
      </c>
      <c r="G791" s="45" t="str">
        <f>IF(AND(Registro!D790="Abierto",Registro!E790="Media"),Registro!B790,"")</f>
        <v/>
      </c>
      <c r="H791" s="45" t="str">
        <f ca="1">IF(AND(Registro!D790="Abierto",Registro!E790="Media"),TODAY()-Registro!R790,"")</f>
        <v/>
      </c>
      <c r="I791" s="45" t="str">
        <f>IF(AND(Registro!D790="Abierto",Registro!E790="Media"),RANK(H791,$H$9:$H$1000,0)+COUNTIF($H$9:H791,H791)-1+MAX(C$5:C$1000,F$5:F$1000),"")</f>
        <v/>
      </c>
      <c r="J791" s="45" t="str">
        <f>IF(AND(Registro!D790="Abierto",Registro!E790="Baja"),Registro!B790,"")</f>
        <v/>
      </c>
      <c r="K791" s="45" t="str">
        <f ca="1">IF(AND(Registro!D790="Abierto",Registro!E790="Baja"),TODAY()-Registro!R790,"")</f>
        <v/>
      </c>
      <c r="L791" s="45" t="str">
        <f>IF(AND(Registro!D790="Abierto",Registro!E790="Baja"),RANK(K791,$K$9:$K$1000,0)+COUNTIF($K$9:K791,K791)-1+MAX(C$5:C$1000,F$5:F$1000,I$5:I$1000),"")</f>
        <v/>
      </c>
      <c r="M791" s="46" t="str">
        <f>IF(OR(Registro!D790="Resuelto",Registro!D790=""),"",SUM(C791,F791,I791,L791))</f>
        <v/>
      </c>
      <c r="N791" s="46" t="str">
        <f>IF(OR(Registro!D790="Resuelto",Registro!D790=""),"",SUM(B791,E791,H791,K791))</f>
        <v/>
      </c>
      <c r="O791" s="46" t="str">
        <f>IF(OR(Registro!D790="Resuelto",Registro!D790=""),"",_xlfn.CONCAT(A791,D791,G791,J791))</f>
        <v/>
      </c>
      <c r="P791" s="47">
        <v>783</v>
      </c>
      <c r="Q791" s="47" t="str">
        <f t="shared" ca="1" si="36"/>
        <v/>
      </c>
      <c r="R791" s="48" t="str">
        <f t="shared" ca="1" si="37"/>
        <v/>
      </c>
      <c r="S791" s="32"/>
      <c r="T791" s="32"/>
      <c r="U791" s="32"/>
      <c r="V791" s="32"/>
      <c r="W791" s="47" t="str">
        <f>IF(X791="","",MAX($W$5:W790)+1)</f>
        <v/>
      </c>
      <c r="X791" s="50" t="str">
        <f>IF(Registro!M790="","",IF(COUNTIF($X$8:X790,Registro!M790)=0,Registro!M790,""))</f>
        <v/>
      </c>
      <c r="Y791" s="50" t="str">
        <f t="shared" si="38"/>
        <v/>
      </c>
    </row>
    <row r="792" spans="1:25">
      <c r="A792" s="45" t="str">
        <f>IF(AND(Registro!D791="Abierto",Registro!E791="Urgente"),Registro!B791,"")</f>
        <v/>
      </c>
      <c r="B792" s="45" t="str">
        <f ca="1">IF(AND(Registro!D791="Abierto",Registro!E791="Urgente"),TODAY()-Registro!R791,"")</f>
        <v/>
      </c>
      <c r="C792" s="45" t="str">
        <f>IF(AND(Registro!D791="Abierto",Registro!E791="Urgente"),RANK(B792,$B$9:$B$1000,0)+COUNTIF($B$9:B792,B792)-1,"")</f>
        <v/>
      </c>
      <c r="D792" s="45" t="str">
        <f>IF(AND(Registro!D791="Abierto",Registro!E791="Alta"),Registro!B791,"")</f>
        <v/>
      </c>
      <c r="E792" s="45" t="str">
        <f ca="1">IF(AND(Registro!D791="Abierto",Registro!E791="Alta"),TODAY()-Registro!R791,"")</f>
        <v/>
      </c>
      <c r="F792" s="45" t="str">
        <f>IF(AND(Registro!D791="Abierto",Registro!E791="Alta"),RANK(E792,$E$9:$E$1000,0)+COUNTIF($E$9:E792,E792)-1+MAX(C$5:C$1000),"")</f>
        <v/>
      </c>
      <c r="G792" s="45" t="str">
        <f>IF(AND(Registro!D791="Abierto",Registro!E791="Media"),Registro!B791,"")</f>
        <v/>
      </c>
      <c r="H792" s="45" t="str">
        <f ca="1">IF(AND(Registro!D791="Abierto",Registro!E791="Media"),TODAY()-Registro!R791,"")</f>
        <v/>
      </c>
      <c r="I792" s="45" t="str">
        <f>IF(AND(Registro!D791="Abierto",Registro!E791="Media"),RANK(H792,$H$9:$H$1000,0)+COUNTIF($H$9:H792,H792)-1+MAX(C$5:C$1000,F$5:F$1000),"")</f>
        <v/>
      </c>
      <c r="J792" s="45" t="str">
        <f>IF(AND(Registro!D791="Abierto",Registro!E791="Baja"),Registro!B791,"")</f>
        <v/>
      </c>
      <c r="K792" s="45" t="str">
        <f ca="1">IF(AND(Registro!D791="Abierto",Registro!E791="Baja"),TODAY()-Registro!R791,"")</f>
        <v/>
      </c>
      <c r="L792" s="45" t="str">
        <f>IF(AND(Registro!D791="Abierto",Registro!E791="Baja"),RANK(K792,$K$9:$K$1000,0)+COUNTIF($K$9:K792,K792)-1+MAX(C$5:C$1000,F$5:F$1000,I$5:I$1000),"")</f>
        <v/>
      </c>
      <c r="M792" s="46" t="str">
        <f>IF(OR(Registro!D791="Resuelto",Registro!D791=""),"",SUM(C792,F792,I792,L792))</f>
        <v/>
      </c>
      <c r="N792" s="46" t="str">
        <f>IF(OR(Registro!D791="Resuelto",Registro!D791=""),"",SUM(B792,E792,H792,K792))</f>
        <v/>
      </c>
      <c r="O792" s="46" t="str">
        <f>IF(OR(Registro!D791="Resuelto",Registro!D791=""),"",_xlfn.CONCAT(A792,D792,G792,J792))</f>
        <v/>
      </c>
      <c r="P792" s="47">
        <v>784</v>
      </c>
      <c r="Q792" s="47" t="str">
        <f t="shared" ca="1" si="36"/>
        <v/>
      </c>
      <c r="R792" s="48" t="str">
        <f t="shared" ca="1" si="37"/>
        <v/>
      </c>
      <c r="S792" s="32"/>
      <c r="T792" s="32"/>
      <c r="U792" s="32"/>
      <c r="V792" s="32"/>
      <c r="W792" s="47" t="str">
        <f>IF(X792="","",MAX($W$5:W791)+1)</f>
        <v/>
      </c>
      <c r="X792" s="50" t="str">
        <f>IF(Registro!M791="","",IF(COUNTIF($X$8:X791,Registro!M791)=0,Registro!M791,""))</f>
        <v/>
      </c>
      <c r="Y792" s="50" t="str">
        <f t="shared" si="38"/>
        <v/>
      </c>
    </row>
    <row r="793" spans="1:25">
      <c r="A793" s="45" t="str">
        <f>IF(AND(Registro!D792="Abierto",Registro!E792="Urgente"),Registro!B792,"")</f>
        <v/>
      </c>
      <c r="B793" s="45" t="str">
        <f ca="1">IF(AND(Registro!D792="Abierto",Registro!E792="Urgente"),TODAY()-Registro!R792,"")</f>
        <v/>
      </c>
      <c r="C793" s="45" t="str">
        <f>IF(AND(Registro!D792="Abierto",Registro!E792="Urgente"),RANK(B793,$B$9:$B$1000,0)+COUNTIF($B$9:B793,B793)-1,"")</f>
        <v/>
      </c>
      <c r="D793" s="45" t="str">
        <f>IF(AND(Registro!D792="Abierto",Registro!E792="Alta"),Registro!B792,"")</f>
        <v/>
      </c>
      <c r="E793" s="45" t="str">
        <f ca="1">IF(AND(Registro!D792="Abierto",Registro!E792="Alta"),TODAY()-Registro!R792,"")</f>
        <v/>
      </c>
      <c r="F793" s="45" t="str">
        <f>IF(AND(Registro!D792="Abierto",Registro!E792="Alta"),RANK(E793,$E$9:$E$1000,0)+COUNTIF($E$9:E793,E793)-1+MAX(C$5:C$1000),"")</f>
        <v/>
      </c>
      <c r="G793" s="45" t="str">
        <f>IF(AND(Registro!D792="Abierto",Registro!E792="Media"),Registro!B792,"")</f>
        <v/>
      </c>
      <c r="H793" s="45" t="str">
        <f ca="1">IF(AND(Registro!D792="Abierto",Registro!E792="Media"),TODAY()-Registro!R792,"")</f>
        <v/>
      </c>
      <c r="I793" s="45" t="str">
        <f>IF(AND(Registro!D792="Abierto",Registro!E792="Media"),RANK(H793,$H$9:$H$1000,0)+COUNTIF($H$9:H793,H793)-1+MAX(C$5:C$1000,F$5:F$1000),"")</f>
        <v/>
      </c>
      <c r="J793" s="45" t="str">
        <f>IF(AND(Registro!D792="Abierto",Registro!E792="Baja"),Registro!B792,"")</f>
        <v/>
      </c>
      <c r="K793" s="45" t="str">
        <f ca="1">IF(AND(Registro!D792="Abierto",Registro!E792="Baja"),TODAY()-Registro!R792,"")</f>
        <v/>
      </c>
      <c r="L793" s="45" t="str">
        <f>IF(AND(Registro!D792="Abierto",Registro!E792="Baja"),RANK(K793,$K$9:$K$1000,0)+COUNTIF($K$9:K793,K793)-1+MAX(C$5:C$1000,F$5:F$1000,I$5:I$1000),"")</f>
        <v/>
      </c>
      <c r="M793" s="46" t="str">
        <f>IF(OR(Registro!D792="Resuelto",Registro!D792=""),"",SUM(C793,F793,I793,L793))</f>
        <v/>
      </c>
      <c r="N793" s="46" t="str">
        <f>IF(OR(Registro!D792="Resuelto",Registro!D792=""),"",SUM(B793,E793,H793,K793))</f>
        <v/>
      </c>
      <c r="O793" s="46" t="str">
        <f>IF(OR(Registro!D792="Resuelto",Registro!D792=""),"",_xlfn.CONCAT(A793,D793,G793,J793))</f>
        <v/>
      </c>
      <c r="P793" s="47">
        <v>785</v>
      </c>
      <c r="Q793" s="47" t="str">
        <f t="shared" ca="1" si="36"/>
        <v/>
      </c>
      <c r="R793" s="48" t="str">
        <f t="shared" ca="1" si="37"/>
        <v/>
      </c>
      <c r="S793" s="32"/>
      <c r="T793" s="32"/>
      <c r="U793" s="32"/>
      <c r="V793" s="32"/>
      <c r="W793" s="47" t="str">
        <f>IF(X793="","",MAX($W$5:W792)+1)</f>
        <v/>
      </c>
      <c r="X793" s="50" t="str">
        <f>IF(Registro!M792="","",IF(COUNTIF($X$8:X792,Registro!M792)=0,Registro!M792,""))</f>
        <v/>
      </c>
      <c r="Y793" s="50" t="str">
        <f t="shared" si="38"/>
        <v/>
      </c>
    </row>
    <row r="794" spans="1:25">
      <c r="A794" s="45" t="str">
        <f>IF(AND(Registro!D793="Abierto",Registro!E793="Urgente"),Registro!B793,"")</f>
        <v/>
      </c>
      <c r="B794" s="45" t="str">
        <f ca="1">IF(AND(Registro!D793="Abierto",Registro!E793="Urgente"),TODAY()-Registro!R793,"")</f>
        <v/>
      </c>
      <c r="C794" s="45" t="str">
        <f>IF(AND(Registro!D793="Abierto",Registro!E793="Urgente"),RANK(B794,$B$9:$B$1000,0)+COUNTIF($B$9:B794,B794)-1,"")</f>
        <v/>
      </c>
      <c r="D794" s="45" t="str">
        <f>IF(AND(Registro!D793="Abierto",Registro!E793="Alta"),Registro!B793,"")</f>
        <v/>
      </c>
      <c r="E794" s="45" t="str">
        <f ca="1">IF(AND(Registro!D793="Abierto",Registro!E793="Alta"),TODAY()-Registro!R793,"")</f>
        <v/>
      </c>
      <c r="F794" s="45" t="str">
        <f>IF(AND(Registro!D793="Abierto",Registro!E793="Alta"),RANK(E794,$E$9:$E$1000,0)+COUNTIF($E$9:E794,E794)-1+MAX(C$5:C$1000),"")</f>
        <v/>
      </c>
      <c r="G794" s="45" t="str">
        <f>IF(AND(Registro!D793="Abierto",Registro!E793="Media"),Registro!B793,"")</f>
        <v/>
      </c>
      <c r="H794" s="45" t="str">
        <f ca="1">IF(AND(Registro!D793="Abierto",Registro!E793="Media"),TODAY()-Registro!R793,"")</f>
        <v/>
      </c>
      <c r="I794" s="45" t="str">
        <f>IF(AND(Registro!D793="Abierto",Registro!E793="Media"),RANK(H794,$H$9:$H$1000,0)+COUNTIF($H$9:H794,H794)-1+MAX(C$5:C$1000,F$5:F$1000),"")</f>
        <v/>
      </c>
      <c r="J794" s="45" t="str">
        <f>IF(AND(Registro!D793="Abierto",Registro!E793="Baja"),Registro!B793,"")</f>
        <v/>
      </c>
      <c r="K794" s="45" t="str">
        <f ca="1">IF(AND(Registro!D793="Abierto",Registro!E793="Baja"),TODAY()-Registro!R793,"")</f>
        <v/>
      </c>
      <c r="L794" s="45" t="str">
        <f>IF(AND(Registro!D793="Abierto",Registro!E793="Baja"),RANK(K794,$K$9:$K$1000,0)+COUNTIF($K$9:K794,K794)-1+MAX(C$5:C$1000,F$5:F$1000,I$5:I$1000),"")</f>
        <v/>
      </c>
      <c r="M794" s="46" t="str">
        <f>IF(OR(Registro!D793="Resuelto",Registro!D793=""),"",SUM(C794,F794,I794,L794))</f>
        <v/>
      </c>
      <c r="N794" s="46" t="str">
        <f>IF(OR(Registro!D793="Resuelto",Registro!D793=""),"",SUM(B794,E794,H794,K794))</f>
        <v/>
      </c>
      <c r="O794" s="46" t="str">
        <f>IF(OR(Registro!D793="Resuelto",Registro!D793=""),"",_xlfn.CONCAT(A794,D794,G794,J794))</f>
        <v/>
      </c>
      <c r="P794" s="47">
        <v>786</v>
      </c>
      <c r="Q794" s="47" t="str">
        <f t="shared" ca="1" si="36"/>
        <v/>
      </c>
      <c r="R794" s="48" t="str">
        <f t="shared" ca="1" si="37"/>
        <v/>
      </c>
      <c r="S794" s="32"/>
      <c r="T794" s="32"/>
      <c r="U794" s="32"/>
      <c r="V794" s="32"/>
      <c r="W794" s="47" t="str">
        <f>IF(X794="","",MAX($W$5:W793)+1)</f>
        <v/>
      </c>
      <c r="X794" s="50" t="str">
        <f>IF(Registro!M793="","",IF(COUNTIF($X$8:X793,Registro!M793)=0,Registro!M793,""))</f>
        <v/>
      </c>
      <c r="Y794" s="50" t="str">
        <f t="shared" si="38"/>
        <v/>
      </c>
    </row>
    <row r="795" spans="1:25">
      <c r="A795" s="45" t="str">
        <f>IF(AND(Registro!D794="Abierto",Registro!E794="Urgente"),Registro!B794,"")</f>
        <v/>
      </c>
      <c r="B795" s="45" t="str">
        <f ca="1">IF(AND(Registro!D794="Abierto",Registro!E794="Urgente"),TODAY()-Registro!R794,"")</f>
        <v/>
      </c>
      <c r="C795" s="45" t="str">
        <f>IF(AND(Registro!D794="Abierto",Registro!E794="Urgente"),RANK(B795,$B$9:$B$1000,0)+COUNTIF($B$9:B795,B795)-1,"")</f>
        <v/>
      </c>
      <c r="D795" s="45" t="str">
        <f>IF(AND(Registro!D794="Abierto",Registro!E794="Alta"),Registro!B794,"")</f>
        <v/>
      </c>
      <c r="E795" s="45" t="str">
        <f ca="1">IF(AND(Registro!D794="Abierto",Registro!E794="Alta"),TODAY()-Registro!R794,"")</f>
        <v/>
      </c>
      <c r="F795" s="45" t="str">
        <f>IF(AND(Registro!D794="Abierto",Registro!E794="Alta"),RANK(E795,$E$9:$E$1000,0)+COUNTIF($E$9:E795,E795)-1+MAX(C$5:C$1000),"")</f>
        <v/>
      </c>
      <c r="G795" s="45" t="str">
        <f>IF(AND(Registro!D794="Abierto",Registro!E794="Media"),Registro!B794,"")</f>
        <v/>
      </c>
      <c r="H795" s="45" t="str">
        <f ca="1">IF(AND(Registro!D794="Abierto",Registro!E794="Media"),TODAY()-Registro!R794,"")</f>
        <v/>
      </c>
      <c r="I795" s="45" t="str">
        <f>IF(AND(Registro!D794="Abierto",Registro!E794="Media"),RANK(H795,$H$9:$H$1000,0)+COUNTIF($H$9:H795,H795)-1+MAX(C$5:C$1000,F$5:F$1000),"")</f>
        <v/>
      </c>
      <c r="J795" s="45" t="str">
        <f>IF(AND(Registro!D794="Abierto",Registro!E794="Baja"),Registro!B794,"")</f>
        <v/>
      </c>
      <c r="K795" s="45" t="str">
        <f ca="1">IF(AND(Registro!D794="Abierto",Registro!E794="Baja"),TODAY()-Registro!R794,"")</f>
        <v/>
      </c>
      <c r="L795" s="45" t="str">
        <f>IF(AND(Registro!D794="Abierto",Registro!E794="Baja"),RANK(K795,$K$9:$K$1000,0)+COUNTIF($K$9:K795,K795)-1+MAX(C$5:C$1000,F$5:F$1000,I$5:I$1000),"")</f>
        <v/>
      </c>
      <c r="M795" s="46" t="str">
        <f>IF(OR(Registro!D794="Resuelto",Registro!D794=""),"",SUM(C795,F795,I795,L795))</f>
        <v/>
      </c>
      <c r="N795" s="46" t="str">
        <f>IF(OR(Registro!D794="Resuelto",Registro!D794=""),"",SUM(B795,E795,H795,K795))</f>
        <v/>
      </c>
      <c r="O795" s="46" t="str">
        <f>IF(OR(Registro!D794="Resuelto",Registro!D794=""),"",_xlfn.CONCAT(A795,D795,G795,J795))</f>
        <v/>
      </c>
      <c r="P795" s="47">
        <v>787</v>
      </c>
      <c r="Q795" s="47" t="str">
        <f t="shared" ca="1" si="36"/>
        <v/>
      </c>
      <c r="R795" s="48" t="str">
        <f t="shared" ca="1" si="37"/>
        <v/>
      </c>
      <c r="S795" s="32"/>
      <c r="T795" s="32"/>
      <c r="U795" s="32"/>
      <c r="V795" s="32"/>
      <c r="W795" s="47" t="str">
        <f>IF(X795="","",MAX($W$5:W794)+1)</f>
        <v/>
      </c>
      <c r="X795" s="50" t="str">
        <f>IF(Registro!M794="","",IF(COUNTIF($X$8:X794,Registro!M794)=0,Registro!M794,""))</f>
        <v/>
      </c>
      <c r="Y795" s="50" t="str">
        <f t="shared" si="38"/>
        <v/>
      </c>
    </row>
    <row r="796" spans="1:25">
      <c r="A796" s="45" t="str">
        <f>IF(AND(Registro!D795="Abierto",Registro!E795="Urgente"),Registro!B795,"")</f>
        <v/>
      </c>
      <c r="B796" s="45" t="str">
        <f ca="1">IF(AND(Registro!D795="Abierto",Registro!E795="Urgente"),TODAY()-Registro!R795,"")</f>
        <v/>
      </c>
      <c r="C796" s="45" t="str">
        <f>IF(AND(Registro!D795="Abierto",Registro!E795="Urgente"),RANK(B796,$B$9:$B$1000,0)+COUNTIF($B$9:B796,B796)-1,"")</f>
        <v/>
      </c>
      <c r="D796" s="45" t="str">
        <f>IF(AND(Registro!D795="Abierto",Registro!E795="Alta"),Registro!B795,"")</f>
        <v/>
      </c>
      <c r="E796" s="45" t="str">
        <f ca="1">IF(AND(Registro!D795="Abierto",Registro!E795="Alta"),TODAY()-Registro!R795,"")</f>
        <v/>
      </c>
      <c r="F796" s="45" t="str">
        <f>IF(AND(Registro!D795="Abierto",Registro!E795="Alta"),RANK(E796,$E$9:$E$1000,0)+COUNTIF($E$9:E796,E796)-1+MAX(C$5:C$1000),"")</f>
        <v/>
      </c>
      <c r="G796" s="45" t="str">
        <f>IF(AND(Registro!D795="Abierto",Registro!E795="Media"),Registro!B795,"")</f>
        <v/>
      </c>
      <c r="H796" s="45" t="str">
        <f ca="1">IF(AND(Registro!D795="Abierto",Registro!E795="Media"),TODAY()-Registro!R795,"")</f>
        <v/>
      </c>
      <c r="I796" s="45" t="str">
        <f>IF(AND(Registro!D795="Abierto",Registro!E795="Media"),RANK(H796,$H$9:$H$1000,0)+COUNTIF($H$9:H796,H796)-1+MAX(C$5:C$1000,F$5:F$1000),"")</f>
        <v/>
      </c>
      <c r="J796" s="45" t="str">
        <f>IF(AND(Registro!D795="Abierto",Registro!E795="Baja"),Registro!B795,"")</f>
        <v/>
      </c>
      <c r="K796" s="45" t="str">
        <f ca="1">IF(AND(Registro!D795="Abierto",Registro!E795="Baja"),TODAY()-Registro!R795,"")</f>
        <v/>
      </c>
      <c r="L796" s="45" t="str">
        <f>IF(AND(Registro!D795="Abierto",Registro!E795="Baja"),RANK(K796,$K$9:$K$1000,0)+COUNTIF($K$9:K796,K796)-1+MAX(C$5:C$1000,F$5:F$1000,I$5:I$1000),"")</f>
        <v/>
      </c>
      <c r="M796" s="46" t="str">
        <f>IF(OR(Registro!D795="Resuelto",Registro!D795=""),"",SUM(C796,F796,I796,L796))</f>
        <v/>
      </c>
      <c r="N796" s="46" t="str">
        <f>IF(OR(Registro!D795="Resuelto",Registro!D795=""),"",SUM(B796,E796,H796,K796))</f>
        <v/>
      </c>
      <c r="O796" s="46" t="str">
        <f>IF(OR(Registro!D795="Resuelto",Registro!D795=""),"",_xlfn.CONCAT(A796,D796,G796,J796))</f>
        <v/>
      </c>
      <c r="P796" s="47">
        <v>788</v>
      </c>
      <c r="Q796" s="47" t="str">
        <f t="shared" ca="1" si="36"/>
        <v/>
      </c>
      <c r="R796" s="48" t="str">
        <f t="shared" ca="1" si="37"/>
        <v/>
      </c>
      <c r="S796" s="32"/>
      <c r="T796" s="32"/>
      <c r="U796" s="32"/>
      <c r="V796" s="32"/>
      <c r="W796" s="47" t="str">
        <f>IF(X796="","",MAX($W$5:W795)+1)</f>
        <v/>
      </c>
      <c r="X796" s="50" t="str">
        <f>IF(Registro!M795="","",IF(COUNTIF($X$8:X795,Registro!M795)=0,Registro!M795,""))</f>
        <v/>
      </c>
      <c r="Y796" s="50" t="str">
        <f t="shared" si="38"/>
        <v/>
      </c>
    </row>
    <row r="797" spans="1:25">
      <c r="A797" s="45" t="str">
        <f>IF(AND(Registro!D796="Abierto",Registro!E796="Urgente"),Registro!B796,"")</f>
        <v/>
      </c>
      <c r="B797" s="45" t="str">
        <f ca="1">IF(AND(Registro!D796="Abierto",Registro!E796="Urgente"),TODAY()-Registro!R796,"")</f>
        <v/>
      </c>
      <c r="C797" s="45" t="str">
        <f>IF(AND(Registro!D796="Abierto",Registro!E796="Urgente"),RANK(B797,$B$9:$B$1000,0)+COUNTIF($B$9:B797,B797)-1,"")</f>
        <v/>
      </c>
      <c r="D797" s="45" t="str">
        <f>IF(AND(Registro!D796="Abierto",Registro!E796="Alta"),Registro!B796,"")</f>
        <v/>
      </c>
      <c r="E797" s="45" t="str">
        <f ca="1">IF(AND(Registro!D796="Abierto",Registro!E796="Alta"),TODAY()-Registro!R796,"")</f>
        <v/>
      </c>
      <c r="F797" s="45" t="str">
        <f>IF(AND(Registro!D796="Abierto",Registro!E796="Alta"),RANK(E797,$E$9:$E$1000,0)+COUNTIF($E$9:E797,E797)-1+MAX(C$5:C$1000),"")</f>
        <v/>
      </c>
      <c r="G797" s="45" t="str">
        <f>IF(AND(Registro!D796="Abierto",Registro!E796="Media"),Registro!B796,"")</f>
        <v/>
      </c>
      <c r="H797" s="45" t="str">
        <f ca="1">IF(AND(Registro!D796="Abierto",Registro!E796="Media"),TODAY()-Registro!R796,"")</f>
        <v/>
      </c>
      <c r="I797" s="45" t="str">
        <f>IF(AND(Registro!D796="Abierto",Registro!E796="Media"),RANK(H797,$H$9:$H$1000,0)+COUNTIF($H$9:H797,H797)-1+MAX(C$5:C$1000,F$5:F$1000),"")</f>
        <v/>
      </c>
      <c r="J797" s="45" t="str">
        <f>IF(AND(Registro!D796="Abierto",Registro!E796="Baja"),Registro!B796,"")</f>
        <v/>
      </c>
      <c r="K797" s="45" t="str">
        <f ca="1">IF(AND(Registro!D796="Abierto",Registro!E796="Baja"),TODAY()-Registro!R796,"")</f>
        <v/>
      </c>
      <c r="L797" s="45" t="str">
        <f>IF(AND(Registro!D796="Abierto",Registro!E796="Baja"),RANK(K797,$K$9:$K$1000,0)+COUNTIF($K$9:K797,K797)-1+MAX(C$5:C$1000,F$5:F$1000,I$5:I$1000),"")</f>
        <v/>
      </c>
      <c r="M797" s="46" t="str">
        <f>IF(OR(Registro!D796="Resuelto",Registro!D796=""),"",SUM(C797,F797,I797,L797))</f>
        <v/>
      </c>
      <c r="N797" s="46" t="str">
        <f>IF(OR(Registro!D796="Resuelto",Registro!D796=""),"",SUM(B797,E797,H797,K797))</f>
        <v/>
      </c>
      <c r="O797" s="46" t="str">
        <f>IF(OR(Registro!D796="Resuelto",Registro!D796=""),"",_xlfn.CONCAT(A797,D797,G797,J797))</f>
        <v/>
      </c>
      <c r="P797" s="47">
        <v>789</v>
      </c>
      <c r="Q797" s="47" t="str">
        <f t="shared" ca="1" si="36"/>
        <v/>
      </c>
      <c r="R797" s="48" t="str">
        <f t="shared" ca="1" si="37"/>
        <v/>
      </c>
      <c r="S797" s="32"/>
      <c r="T797" s="32"/>
      <c r="U797" s="32"/>
      <c r="V797" s="32"/>
      <c r="W797" s="47" t="str">
        <f>IF(X797="","",MAX($W$5:W796)+1)</f>
        <v/>
      </c>
      <c r="X797" s="50" t="str">
        <f>IF(Registro!M796="","",IF(COUNTIF($X$8:X796,Registro!M796)=0,Registro!M796,""))</f>
        <v/>
      </c>
      <c r="Y797" s="50" t="str">
        <f t="shared" si="38"/>
        <v/>
      </c>
    </row>
    <row r="798" spans="1:25">
      <c r="A798" s="45" t="str">
        <f>IF(AND(Registro!D797="Abierto",Registro!E797="Urgente"),Registro!B797,"")</f>
        <v/>
      </c>
      <c r="B798" s="45" t="str">
        <f ca="1">IF(AND(Registro!D797="Abierto",Registro!E797="Urgente"),TODAY()-Registro!R797,"")</f>
        <v/>
      </c>
      <c r="C798" s="45" t="str">
        <f>IF(AND(Registro!D797="Abierto",Registro!E797="Urgente"),RANK(B798,$B$9:$B$1000,0)+COUNTIF($B$9:B798,B798)-1,"")</f>
        <v/>
      </c>
      <c r="D798" s="45" t="str">
        <f>IF(AND(Registro!D797="Abierto",Registro!E797="Alta"),Registro!B797,"")</f>
        <v/>
      </c>
      <c r="E798" s="45" t="str">
        <f ca="1">IF(AND(Registro!D797="Abierto",Registro!E797="Alta"),TODAY()-Registro!R797,"")</f>
        <v/>
      </c>
      <c r="F798" s="45" t="str">
        <f>IF(AND(Registro!D797="Abierto",Registro!E797="Alta"),RANK(E798,$E$9:$E$1000,0)+COUNTIF($E$9:E798,E798)-1+MAX(C$5:C$1000),"")</f>
        <v/>
      </c>
      <c r="G798" s="45" t="str">
        <f>IF(AND(Registro!D797="Abierto",Registro!E797="Media"),Registro!B797,"")</f>
        <v/>
      </c>
      <c r="H798" s="45" t="str">
        <f ca="1">IF(AND(Registro!D797="Abierto",Registro!E797="Media"),TODAY()-Registro!R797,"")</f>
        <v/>
      </c>
      <c r="I798" s="45" t="str">
        <f>IF(AND(Registro!D797="Abierto",Registro!E797="Media"),RANK(H798,$H$9:$H$1000,0)+COUNTIF($H$9:H798,H798)-1+MAX(C$5:C$1000,F$5:F$1000),"")</f>
        <v/>
      </c>
      <c r="J798" s="45" t="str">
        <f>IF(AND(Registro!D797="Abierto",Registro!E797="Baja"),Registro!B797,"")</f>
        <v/>
      </c>
      <c r="K798" s="45" t="str">
        <f ca="1">IF(AND(Registro!D797="Abierto",Registro!E797="Baja"),TODAY()-Registro!R797,"")</f>
        <v/>
      </c>
      <c r="L798" s="45" t="str">
        <f>IF(AND(Registro!D797="Abierto",Registro!E797="Baja"),RANK(K798,$K$9:$K$1000,0)+COUNTIF($K$9:K798,K798)-1+MAX(C$5:C$1000,F$5:F$1000,I$5:I$1000),"")</f>
        <v/>
      </c>
      <c r="M798" s="46" t="str">
        <f>IF(OR(Registro!D797="Resuelto",Registro!D797=""),"",SUM(C798,F798,I798,L798))</f>
        <v/>
      </c>
      <c r="N798" s="46" t="str">
        <f>IF(OR(Registro!D797="Resuelto",Registro!D797=""),"",SUM(B798,E798,H798,K798))</f>
        <v/>
      </c>
      <c r="O798" s="46" t="str">
        <f>IF(OR(Registro!D797="Resuelto",Registro!D797=""),"",_xlfn.CONCAT(A798,D798,G798,J798))</f>
        <v/>
      </c>
      <c r="P798" s="47">
        <v>790</v>
      </c>
      <c r="Q798" s="47" t="str">
        <f t="shared" ca="1" si="36"/>
        <v/>
      </c>
      <c r="R798" s="48" t="str">
        <f t="shared" ca="1" si="37"/>
        <v/>
      </c>
      <c r="S798" s="32"/>
      <c r="T798" s="32"/>
      <c r="U798" s="32"/>
      <c r="V798" s="32"/>
      <c r="W798" s="47" t="str">
        <f>IF(X798="","",MAX($W$5:W797)+1)</f>
        <v/>
      </c>
      <c r="X798" s="50" t="str">
        <f>IF(Registro!M797="","",IF(COUNTIF($X$8:X797,Registro!M797)=0,Registro!M797,""))</f>
        <v/>
      </c>
      <c r="Y798" s="50" t="str">
        <f t="shared" si="38"/>
        <v/>
      </c>
    </row>
    <row r="799" spans="1:25">
      <c r="A799" s="45" t="str">
        <f>IF(AND(Registro!D798="Abierto",Registro!E798="Urgente"),Registro!B798,"")</f>
        <v/>
      </c>
      <c r="B799" s="45" t="str">
        <f ca="1">IF(AND(Registro!D798="Abierto",Registro!E798="Urgente"),TODAY()-Registro!R798,"")</f>
        <v/>
      </c>
      <c r="C799" s="45" t="str">
        <f>IF(AND(Registro!D798="Abierto",Registro!E798="Urgente"),RANK(B799,$B$9:$B$1000,0)+COUNTIF($B$9:B799,B799)-1,"")</f>
        <v/>
      </c>
      <c r="D799" s="45" t="str">
        <f>IF(AND(Registro!D798="Abierto",Registro!E798="Alta"),Registro!B798,"")</f>
        <v/>
      </c>
      <c r="E799" s="45" t="str">
        <f ca="1">IF(AND(Registro!D798="Abierto",Registro!E798="Alta"),TODAY()-Registro!R798,"")</f>
        <v/>
      </c>
      <c r="F799" s="45" t="str">
        <f>IF(AND(Registro!D798="Abierto",Registro!E798="Alta"),RANK(E799,$E$9:$E$1000,0)+COUNTIF($E$9:E799,E799)-1+MAX(C$5:C$1000),"")</f>
        <v/>
      </c>
      <c r="G799" s="45" t="str">
        <f>IF(AND(Registro!D798="Abierto",Registro!E798="Media"),Registro!B798,"")</f>
        <v/>
      </c>
      <c r="H799" s="45" t="str">
        <f ca="1">IF(AND(Registro!D798="Abierto",Registro!E798="Media"),TODAY()-Registro!R798,"")</f>
        <v/>
      </c>
      <c r="I799" s="45" t="str">
        <f>IF(AND(Registro!D798="Abierto",Registro!E798="Media"),RANK(H799,$H$9:$H$1000,0)+COUNTIF($H$9:H799,H799)-1+MAX(C$5:C$1000,F$5:F$1000),"")</f>
        <v/>
      </c>
      <c r="J799" s="45" t="str">
        <f>IF(AND(Registro!D798="Abierto",Registro!E798="Baja"),Registro!B798,"")</f>
        <v/>
      </c>
      <c r="K799" s="45" t="str">
        <f ca="1">IF(AND(Registro!D798="Abierto",Registro!E798="Baja"),TODAY()-Registro!R798,"")</f>
        <v/>
      </c>
      <c r="L799" s="45" t="str">
        <f>IF(AND(Registro!D798="Abierto",Registro!E798="Baja"),RANK(K799,$K$9:$K$1000,0)+COUNTIF($K$9:K799,K799)-1+MAX(C$5:C$1000,F$5:F$1000,I$5:I$1000),"")</f>
        <v/>
      </c>
      <c r="M799" s="46" t="str">
        <f>IF(OR(Registro!D798="Resuelto",Registro!D798=""),"",SUM(C799,F799,I799,L799))</f>
        <v/>
      </c>
      <c r="N799" s="46" t="str">
        <f>IF(OR(Registro!D798="Resuelto",Registro!D798=""),"",SUM(B799,E799,H799,K799))</f>
        <v/>
      </c>
      <c r="O799" s="46" t="str">
        <f>IF(OR(Registro!D798="Resuelto",Registro!D798=""),"",_xlfn.CONCAT(A799,D799,G799,J799))</f>
        <v/>
      </c>
      <c r="P799" s="47">
        <v>791</v>
      </c>
      <c r="Q799" s="47" t="str">
        <f t="shared" ca="1" si="36"/>
        <v/>
      </c>
      <c r="R799" s="48" t="str">
        <f t="shared" ca="1" si="37"/>
        <v/>
      </c>
      <c r="S799" s="32"/>
      <c r="T799" s="32"/>
      <c r="U799" s="32"/>
      <c r="V799" s="32"/>
      <c r="W799" s="47" t="str">
        <f>IF(X799="","",MAX($W$5:W798)+1)</f>
        <v/>
      </c>
      <c r="X799" s="50" t="str">
        <f>IF(Registro!M798="","",IF(COUNTIF($X$8:X798,Registro!M798)=0,Registro!M798,""))</f>
        <v/>
      </c>
      <c r="Y799" s="50" t="str">
        <f t="shared" si="38"/>
        <v/>
      </c>
    </row>
    <row r="800" spans="1:25">
      <c r="A800" s="45" t="str">
        <f>IF(AND(Registro!D799="Abierto",Registro!E799="Urgente"),Registro!B799,"")</f>
        <v/>
      </c>
      <c r="B800" s="45" t="str">
        <f ca="1">IF(AND(Registro!D799="Abierto",Registro!E799="Urgente"),TODAY()-Registro!R799,"")</f>
        <v/>
      </c>
      <c r="C800" s="45" t="str">
        <f>IF(AND(Registro!D799="Abierto",Registro!E799="Urgente"),RANK(B800,$B$9:$B$1000,0)+COUNTIF($B$9:B800,B800)-1,"")</f>
        <v/>
      </c>
      <c r="D800" s="45" t="str">
        <f>IF(AND(Registro!D799="Abierto",Registro!E799="Alta"),Registro!B799,"")</f>
        <v/>
      </c>
      <c r="E800" s="45" t="str">
        <f ca="1">IF(AND(Registro!D799="Abierto",Registro!E799="Alta"),TODAY()-Registro!R799,"")</f>
        <v/>
      </c>
      <c r="F800" s="45" t="str">
        <f>IF(AND(Registro!D799="Abierto",Registro!E799="Alta"),RANK(E800,$E$9:$E$1000,0)+COUNTIF($E$9:E800,E800)-1+MAX(C$5:C$1000),"")</f>
        <v/>
      </c>
      <c r="G800" s="45" t="str">
        <f>IF(AND(Registro!D799="Abierto",Registro!E799="Media"),Registro!B799,"")</f>
        <v/>
      </c>
      <c r="H800" s="45" t="str">
        <f ca="1">IF(AND(Registro!D799="Abierto",Registro!E799="Media"),TODAY()-Registro!R799,"")</f>
        <v/>
      </c>
      <c r="I800" s="45" t="str">
        <f>IF(AND(Registro!D799="Abierto",Registro!E799="Media"),RANK(H800,$H$9:$H$1000,0)+COUNTIF($H$9:H800,H800)-1+MAX(C$5:C$1000,F$5:F$1000),"")</f>
        <v/>
      </c>
      <c r="J800" s="45" t="str">
        <f>IF(AND(Registro!D799="Abierto",Registro!E799="Baja"),Registro!B799,"")</f>
        <v/>
      </c>
      <c r="K800" s="45" t="str">
        <f ca="1">IF(AND(Registro!D799="Abierto",Registro!E799="Baja"),TODAY()-Registro!R799,"")</f>
        <v/>
      </c>
      <c r="L800" s="45" t="str">
        <f>IF(AND(Registro!D799="Abierto",Registro!E799="Baja"),RANK(K800,$K$9:$K$1000,0)+COUNTIF($K$9:K800,K800)-1+MAX(C$5:C$1000,F$5:F$1000,I$5:I$1000),"")</f>
        <v/>
      </c>
      <c r="M800" s="46" t="str">
        <f>IF(OR(Registro!D799="Resuelto",Registro!D799=""),"",SUM(C800,F800,I800,L800))</f>
        <v/>
      </c>
      <c r="N800" s="46" t="str">
        <f>IF(OR(Registro!D799="Resuelto",Registro!D799=""),"",SUM(B800,E800,H800,K800))</f>
        <v/>
      </c>
      <c r="O800" s="46" t="str">
        <f>IF(OR(Registro!D799="Resuelto",Registro!D799=""),"",_xlfn.CONCAT(A800,D800,G800,J800))</f>
        <v/>
      </c>
      <c r="P800" s="47">
        <v>792</v>
      </c>
      <c r="Q800" s="47" t="str">
        <f t="shared" ca="1" si="36"/>
        <v/>
      </c>
      <c r="R800" s="48" t="str">
        <f t="shared" ca="1" si="37"/>
        <v/>
      </c>
      <c r="S800" s="32"/>
      <c r="T800" s="32"/>
      <c r="U800" s="32"/>
      <c r="V800" s="32"/>
      <c r="W800" s="47" t="str">
        <f>IF(X800="","",MAX($W$5:W799)+1)</f>
        <v/>
      </c>
      <c r="X800" s="50" t="str">
        <f>IF(Registro!M799="","",IF(COUNTIF($X$8:X799,Registro!M799)=0,Registro!M799,""))</f>
        <v/>
      </c>
      <c r="Y800" s="50" t="str">
        <f t="shared" si="38"/>
        <v/>
      </c>
    </row>
    <row r="801" spans="1:25">
      <c r="A801" s="45" t="str">
        <f>IF(AND(Registro!D800="Abierto",Registro!E800="Urgente"),Registro!B800,"")</f>
        <v/>
      </c>
      <c r="B801" s="45" t="str">
        <f ca="1">IF(AND(Registro!D800="Abierto",Registro!E800="Urgente"),TODAY()-Registro!R800,"")</f>
        <v/>
      </c>
      <c r="C801" s="45" t="str">
        <f>IF(AND(Registro!D800="Abierto",Registro!E800="Urgente"),RANK(B801,$B$9:$B$1000,0)+COUNTIF($B$9:B801,B801)-1,"")</f>
        <v/>
      </c>
      <c r="D801" s="45" t="str">
        <f>IF(AND(Registro!D800="Abierto",Registro!E800="Alta"),Registro!B800,"")</f>
        <v/>
      </c>
      <c r="E801" s="45" t="str">
        <f ca="1">IF(AND(Registro!D800="Abierto",Registro!E800="Alta"),TODAY()-Registro!R800,"")</f>
        <v/>
      </c>
      <c r="F801" s="45" t="str">
        <f>IF(AND(Registro!D800="Abierto",Registro!E800="Alta"),RANK(E801,$E$9:$E$1000,0)+COUNTIF($E$9:E801,E801)-1+MAX(C$5:C$1000),"")</f>
        <v/>
      </c>
      <c r="G801" s="45" t="str">
        <f>IF(AND(Registro!D800="Abierto",Registro!E800="Media"),Registro!B800,"")</f>
        <v/>
      </c>
      <c r="H801" s="45" t="str">
        <f ca="1">IF(AND(Registro!D800="Abierto",Registro!E800="Media"),TODAY()-Registro!R800,"")</f>
        <v/>
      </c>
      <c r="I801" s="45" t="str">
        <f>IF(AND(Registro!D800="Abierto",Registro!E800="Media"),RANK(H801,$H$9:$H$1000,0)+COUNTIF($H$9:H801,H801)-1+MAX(C$5:C$1000,F$5:F$1000),"")</f>
        <v/>
      </c>
      <c r="J801" s="45" t="str">
        <f>IF(AND(Registro!D800="Abierto",Registro!E800="Baja"),Registro!B800,"")</f>
        <v/>
      </c>
      <c r="K801" s="45" t="str">
        <f ca="1">IF(AND(Registro!D800="Abierto",Registro!E800="Baja"),TODAY()-Registro!R800,"")</f>
        <v/>
      </c>
      <c r="L801" s="45" t="str">
        <f>IF(AND(Registro!D800="Abierto",Registro!E800="Baja"),RANK(K801,$K$9:$K$1000,0)+COUNTIF($K$9:K801,K801)-1+MAX(C$5:C$1000,F$5:F$1000,I$5:I$1000),"")</f>
        <v/>
      </c>
      <c r="M801" s="46" t="str">
        <f>IF(OR(Registro!D800="Resuelto",Registro!D800=""),"",SUM(C801,F801,I801,L801))</f>
        <v/>
      </c>
      <c r="N801" s="46" t="str">
        <f>IF(OR(Registro!D800="Resuelto",Registro!D800=""),"",SUM(B801,E801,H801,K801))</f>
        <v/>
      </c>
      <c r="O801" s="46" t="str">
        <f>IF(OR(Registro!D800="Resuelto",Registro!D800=""),"",_xlfn.CONCAT(A801,D801,G801,J801))</f>
        <v/>
      </c>
      <c r="P801" s="47">
        <v>793</v>
      </c>
      <c r="Q801" s="47" t="str">
        <f t="shared" ca="1" si="36"/>
        <v/>
      </c>
      <c r="R801" s="48" t="str">
        <f t="shared" ca="1" si="37"/>
        <v/>
      </c>
      <c r="S801" s="32"/>
      <c r="T801" s="32"/>
      <c r="U801" s="32"/>
      <c r="V801" s="32"/>
      <c r="W801" s="47" t="str">
        <f>IF(X801="","",MAX($W$5:W800)+1)</f>
        <v/>
      </c>
      <c r="X801" s="50" t="str">
        <f>IF(Registro!M800="","",IF(COUNTIF($X$8:X800,Registro!M800)=0,Registro!M800,""))</f>
        <v/>
      </c>
      <c r="Y801" s="50" t="str">
        <f t="shared" si="38"/>
        <v/>
      </c>
    </row>
    <row r="802" spans="1:25">
      <c r="A802" s="45" t="str">
        <f>IF(AND(Registro!D801="Abierto",Registro!E801="Urgente"),Registro!B801,"")</f>
        <v/>
      </c>
      <c r="B802" s="45" t="str">
        <f ca="1">IF(AND(Registro!D801="Abierto",Registro!E801="Urgente"),TODAY()-Registro!R801,"")</f>
        <v/>
      </c>
      <c r="C802" s="45" t="str">
        <f>IF(AND(Registro!D801="Abierto",Registro!E801="Urgente"),RANK(B802,$B$9:$B$1000,0)+COUNTIF($B$9:B802,B802)-1,"")</f>
        <v/>
      </c>
      <c r="D802" s="45" t="str">
        <f>IF(AND(Registro!D801="Abierto",Registro!E801="Alta"),Registro!B801,"")</f>
        <v/>
      </c>
      <c r="E802" s="45" t="str">
        <f ca="1">IF(AND(Registro!D801="Abierto",Registro!E801="Alta"),TODAY()-Registro!R801,"")</f>
        <v/>
      </c>
      <c r="F802" s="45" t="str">
        <f>IF(AND(Registro!D801="Abierto",Registro!E801="Alta"),RANK(E802,$E$9:$E$1000,0)+COUNTIF($E$9:E802,E802)-1+MAX(C$5:C$1000),"")</f>
        <v/>
      </c>
      <c r="G802" s="45" t="str">
        <f>IF(AND(Registro!D801="Abierto",Registro!E801="Media"),Registro!B801,"")</f>
        <v/>
      </c>
      <c r="H802" s="45" t="str">
        <f ca="1">IF(AND(Registro!D801="Abierto",Registro!E801="Media"),TODAY()-Registro!R801,"")</f>
        <v/>
      </c>
      <c r="I802" s="45" t="str">
        <f>IF(AND(Registro!D801="Abierto",Registro!E801="Media"),RANK(H802,$H$9:$H$1000,0)+COUNTIF($H$9:H802,H802)-1+MAX(C$5:C$1000,F$5:F$1000),"")</f>
        <v/>
      </c>
      <c r="J802" s="45" t="str">
        <f>IF(AND(Registro!D801="Abierto",Registro!E801="Baja"),Registro!B801,"")</f>
        <v/>
      </c>
      <c r="K802" s="45" t="str">
        <f ca="1">IF(AND(Registro!D801="Abierto",Registro!E801="Baja"),TODAY()-Registro!R801,"")</f>
        <v/>
      </c>
      <c r="L802" s="45" t="str">
        <f>IF(AND(Registro!D801="Abierto",Registro!E801="Baja"),RANK(K802,$K$9:$K$1000,0)+COUNTIF($K$9:K802,K802)-1+MAX(C$5:C$1000,F$5:F$1000,I$5:I$1000),"")</f>
        <v/>
      </c>
      <c r="M802" s="46" t="str">
        <f>IF(OR(Registro!D801="Resuelto",Registro!D801=""),"",SUM(C802,F802,I802,L802))</f>
        <v/>
      </c>
      <c r="N802" s="46" t="str">
        <f>IF(OR(Registro!D801="Resuelto",Registro!D801=""),"",SUM(B802,E802,H802,K802))</f>
        <v/>
      </c>
      <c r="O802" s="46" t="str">
        <f>IF(OR(Registro!D801="Resuelto",Registro!D801=""),"",_xlfn.CONCAT(A802,D802,G802,J802))</f>
        <v/>
      </c>
      <c r="P802" s="47">
        <v>794</v>
      </c>
      <c r="Q802" s="47" t="str">
        <f t="shared" ca="1" si="36"/>
        <v/>
      </c>
      <c r="R802" s="48" t="str">
        <f t="shared" ca="1" si="37"/>
        <v/>
      </c>
      <c r="S802" s="32"/>
      <c r="T802" s="32"/>
      <c r="U802" s="32"/>
      <c r="V802" s="32"/>
      <c r="W802" s="47" t="str">
        <f>IF(X802="","",MAX($W$5:W801)+1)</f>
        <v/>
      </c>
      <c r="X802" s="50" t="str">
        <f>IF(Registro!M801="","",IF(COUNTIF($X$8:X801,Registro!M801)=0,Registro!M801,""))</f>
        <v/>
      </c>
      <c r="Y802" s="50" t="str">
        <f t="shared" si="38"/>
        <v/>
      </c>
    </row>
    <row r="803" spans="1:25">
      <c r="A803" s="45" t="str">
        <f>IF(AND(Registro!D802="Abierto",Registro!E802="Urgente"),Registro!B802,"")</f>
        <v/>
      </c>
      <c r="B803" s="45" t="str">
        <f ca="1">IF(AND(Registro!D802="Abierto",Registro!E802="Urgente"),TODAY()-Registro!R802,"")</f>
        <v/>
      </c>
      <c r="C803" s="45" t="str">
        <f>IF(AND(Registro!D802="Abierto",Registro!E802="Urgente"),RANK(B803,$B$9:$B$1000,0)+COUNTIF($B$9:B803,B803)-1,"")</f>
        <v/>
      </c>
      <c r="D803" s="45" t="str">
        <f>IF(AND(Registro!D802="Abierto",Registro!E802="Alta"),Registro!B802,"")</f>
        <v/>
      </c>
      <c r="E803" s="45" t="str">
        <f ca="1">IF(AND(Registro!D802="Abierto",Registro!E802="Alta"),TODAY()-Registro!R802,"")</f>
        <v/>
      </c>
      <c r="F803" s="45" t="str">
        <f>IF(AND(Registro!D802="Abierto",Registro!E802="Alta"),RANK(E803,$E$9:$E$1000,0)+COUNTIF($E$9:E803,E803)-1+MAX(C$5:C$1000),"")</f>
        <v/>
      </c>
      <c r="G803" s="45" t="str">
        <f>IF(AND(Registro!D802="Abierto",Registro!E802="Media"),Registro!B802,"")</f>
        <v/>
      </c>
      <c r="H803" s="45" t="str">
        <f ca="1">IF(AND(Registro!D802="Abierto",Registro!E802="Media"),TODAY()-Registro!R802,"")</f>
        <v/>
      </c>
      <c r="I803" s="45" t="str">
        <f>IF(AND(Registro!D802="Abierto",Registro!E802="Media"),RANK(H803,$H$9:$H$1000,0)+COUNTIF($H$9:H803,H803)-1+MAX(C$5:C$1000,F$5:F$1000),"")</f>
        <v/>
      </c>
      <c r="J803" s="45" t="str">
        <f>IF(AND(Registro!D802="Abierto",Registro!E802="Baja"),Registro!B802,"")</f>
        <v/>
      </c>
      <c r="K803" s="45" t="str">
        <f ca="1">IF(AND(Registro!D802="Abierto",Registro!E802="Baja"),TODAY()-Registro!R802,"")</f>
        <v/>
      </c>
      <c r="L803" s="45" t="str">
        <f>IF(AND(Registro!D802="Abierto",Registro!E802="Baja"),RANK(K803,$K$9:$K$1000,0)+COUNTIF($K$9:K803,K803)-1+MAX(C$5:C$1000,F$5:F$1000,I$5:I$1000),"")</f>
        <v/>
      </c>
      <c r="M803" s="46" t="str">
        <f>IF(OR(Registro!D802="Resuelto",Registro!D802=""),"",SUM(C803,F803,I803,L803))</f>
        <v/>
      </c>
      <c r="N803" s="46" t="str">
        <f>IF(OR(Registro!D802="Resuelto",Registro!D802=""),"",SUM(B803,E803,H803,K803))</f>
        <v/>
      </c>
      <c r="O803" s="46" t="str">
        <f>IF(OR(Registro!D802="Resuelto",Registro!D802=""),"",_xlfn.CONCAT(A803,D803,G803,J803))</f>
        <v/>
      </c>
      <c r="P803" s="47">
        <v>795</v>
      </c>
      <c r="Q803" s="47" t="str">
        <f t="shared" ca="1" si="36"/>
        <v/>
      </c>
      <c r="R803" s="48" t="str">
        <f t="shared" ca="1" si="37"/>
        <v/>
      </c>
      <c r="S803" s="32"/>
      <c r="T803" s="32"/>
      <c r="U803" s="32"/>
      <c r="V803" s="32"/>
      <c r="W803" s="47" t="str">
        <f>IF(X803="","",MAX($W$5:W802)+1)</f>
        <v/>
      </c>
      <c r="X803" s="50" t="str">
        <f>IF(Registro!M802="","",IF(COUNTIF($X$8:X802,Registro!M802)=0,Registro!M802,""))</f>
        <v/>
      </c>
      <c r="Y803" s="50" t="str">
        <f t="shared" si="38"/>
        <v/>
      </c>
    </row>
    <row r="804" spans="1:25">
      <c r="A804" s="45" t="str">
        <f>IF(AND(Registro!D803="Abierto",Registro!E803="Urgente"),Registro!B803,"")</f>
        <v/>
      </c>
      <c r="B804" s="45" t="str">
        <f ca="1">IF(AND(Registro!D803="Abierto",Registro!E803="Urgente"),TODAY()-Registro!R803,"")</f>
        <v/>
      </c>
      <c r="C804" s="45" t="str">
        <f>IF(AND(Registro!D803="Abierto",Registro!E803="Urgente"),RANK(B804,$B$9:$B$1000,0)+COUNTIF($B$9:B804,B804)-1,"")</f>
        <v/>
      </c>
      <c r="D804" s="45" t="str">
        <f>IF(AND(Registro!D803="Abierto",Registro!E803="Alta"),Registro!B803,"")</f>
        <v/>
      </c>
      <c r="E804" s="45" t="str">
        <f ca="1">IF(AND(Registro!D803="Abierto",Registro!E803="Alta"),TODAY()-Registro!R803,"")</f>
        <v/>
      </c>
      <c r="F804" s="45" t="str">
        <f>IF(AND(Registro!D803="Abierto",Registro!E803="Alta"),RANK(E804,$E$9:$E$1000,0)+COUNTIF($E$9:E804,E804)-1+MAX(C$5:C$1000),"")</f>
        <v/>
      </c>
      <c r="G804" s="45" t="str">
        <f>IF(AND(Registro!D803="Abierto",Registro!E803="Media"),Registro!B803,"")</f>
        <v/>
      </c>
      <c r="H804" s="45" t="str">
        <f ca="1">IF(AND(Registro!D803="Abierto",Registro!E803="Media"),TODAY()-Registro!R803,"")</f>
        <v/>
      </c>
      <c r="I804" s="45" t="str">
        <f>IF(AND(Registro!D803="Abierto",Registro!E803="Media"),RANK(H804,$H$9:$H$1000,0)+COUNTIF($H$9:H804,H804)-1+MAX(C$5:C$1000,F$5:F$1000),"")</f>
        <v/>
      </c>
      <c r="J804" s="45" t="str">
        <f>IF(AND(Registro!D803="Abierto",Registro!E803="Baja"),Registro!B803,"")</f>
        <v/>
      </c>
      <c r="K804" s="45" t="str">
        <f ca="1">IF(AND(Registro!D803="Abierto",Registro!E803="Baja"),TODAY()-Registro!R803,"")</f>
        <v/>
      </c>
      <c r="L804" s="45" t="str">
        <f>IF(AND(Registro!D803="Abierto",Registro!E803="Baja"),RANK(K804,$K$9:$K$1000,0)+COUNTIF($K$9:K804,K804)-1+MAX(C$5:C$1000,F$5:F$1000,I$5:I$1000),"")</f>
        <v/>
      </c>
      <c r="M804" s="46" t="str">
        <f>IF(OR(Registro!D803="Resuelto",Registro!D803=""),"",SUM(C804,F804,I804,L804))</f>
        <v/>
      </c>
      <c r="N804" s="46" t="str">
        <f>IF(OR(Registro!D803="Resuelto",Registro!D803=""),"",SUM(B804,E804,H804,K804))</f>
        <v/>
      </c>
      <c r="O804" s="46" t="str">
        <f>IF(OR(Registro!D803="Resuelto",Registro!D803=""),"",_xlfn.CONCAT(A804,D804,G804,J804))</f>
        <v/>
      </c>
      <c r="P804" s="47">
        <v>796</v>
      </c>
      <c r="Q804" s="47" t="str">
        <f t="shared" ca="1" si="36"/>
        <v/>
      </c>
      <c r="R804" s="48" t="str">
        <f t="shared" ca="1" si="37"/>
        <v/>
      </c>
      <c r="S804" s="32"/>
      <c r="T804" s="32"/>
      <c r="U804" s="32"/>
      <c r="V804" s="32"/>
      <c r="W804" s="47" t="str">
        <f>IF(X804="","",MAX($W$5:W803)+1)</f>
        <v/>
      </c>
      <c r="X804" s="50" t="str">
        <f>IF(Registro!M803="","",IF(COUNTIF($X$8:X803,Registro!M803)=0,Registro!M803,""))</f>
        <v/>
      </c>
      <c r="Y804" s="50" t="str">
        <f t="shared" si="38"/>
        <v/>
      </c>
    </row>
    <row r="805" spans="1:25">
      <c r="A805" s="45" t="str">
        <f>IF(AND(Registro!D804="Abierto",Registro!E804="Urgente"),Registro!B804,"")</f>
        <v/>
      </c>
      <c r="B805" s="45" t="str">
        <f ca="1">IF(AND(Registro!D804="Abierto",Registro!E804="Urgente"),TODAY()-Registro!R804,"")</f>
        <v/>
      </c>
      <c r="C805" s="45" t="str">
        <f>IF(AND(Registro!D804="Abierto",Registro!E804="Urgente"),RANK(B805,$B$9:$B$1000,0)+COUNTIF($B$9:B805,B805)-1,"")</f>
        <v/>
      </c>
      <c r="D805" s="45" t="str">
        <f>IF(AND(Registro!D804="Abierto",Registro!E804="Alta"),Registro!B804,"")</f>
        <v/>
      </c>
      <c r="E805" s="45" t="str">
        <f ca="1">IF(AND(Registro!D804="Abierto",Registro!E804="Alta"),TODAY()-Registro!R804,"")</f>
        <v/>
      </c>
      <c r="F805" s="45" t="str">
        <f>IF(AND(Registro!D804="Abierto",Registro!E804="Alta"),RANK(E805,$E$9:$E$1000,0)+COUNTIF($E$9:E805,E805)-1+MAX(C$5:C$1000),"")</f>
        <v/>
      </c>
      <c r="G805" s="45" t="str">
        <f>IF(AND(Registro!D804="Abierto",Registro!E804="Media"),Registro!B804,"")</f>
        <v/>
      </c>
      <c r="H805" s="45" t="str">
        <f ca="1">IF(AND(Registro!D804="Abierto",Registro!E804="Media"),TODAY()-Registro!R804,"")</f>
        <v/>
      </c>
      <c r="I805" s="45" t="str">
        <f>IF(AND(Registro!D804="Abierto",Registro!E804="Media"),RANK(H805,$H$9:$H$1000,0)+COUNTIF($H$9:H805,H805)-1+MAX(C$5:C$1000,F$5:F$1000),"")</f>
        <v/>
      </c>
      <c r="J805" s="45" t="str">
        <f>IF(AND(Registro!D804="Abierto",Registro!E804="Baja"),Registro!B804,"")</f>
        <v/>
      </c>
      <c r="K805" s="45" t="str">
        <f ca="1">IF(AND(Registro!D804="Abierto",Registro!E804="Baja"),TODAY()-Registro!R804,"")</f>
        <v/>
      </c>
      <c r="L805" s="45" t="str">
        <f>IF(AND(Registro!D804="Abierto",Registro!E804="Baja"),RANK(K805,$K$9:$K$1000,0)+COUNTIF($K$9:K805,K805)-1+MAX(C$5:C$1000,F$5:F$1000,I$5:I$1000),"")</f>
        <v/>
      </c>
      <c r="M805" s="46" t="str">
        <f>IF(OR(Registro!D804="Resuelto",Registro!D804=""),"",SUM(C805,F805,I805,L805))</f>
        <v/>
      </c>
      <c r="N805" s="46" t="str">
        <f>IF(OR(Registro!D804="Resuelto",Registro!D804=""),"",SUM(B805,E805,H805,K805))</f>
        <v/>
      </c>
      <c r="O805" s="46" t="str">
        <f>IF(OR(Registro!D804="Resuelto",Registro!D804=""),"",_xlfn.CONCAT(A805,D805,G805,J805))</f>
        <v/>
      </c>
      <c r="P805" s="47">
        <v>797</v>
      </c>
      <c r="Q805" s="47" t="str">
        <f t="shared" ca="1" si="36"/>
        <v/>
      </c>
      <c r="R805" s="48" t="str">
        <f t="shared" ca="1" si="37"/>
        <v/>
      </c>
      <c r="S805" s="32"/>
      <c r="T805" s="32"/>
      <c r="U805" s="32"/>
      <c r="V805" s="32"/>
      <c r="W805" s="47" t="str">
        <f>IF(X805="","",MAX($W$5:W804)+1)</f>
        <v/>
      </c>
      <c r="X805" s="50" t="str">
        <f>IF(Registro!M804="","",IF(COUNTIF($X$8:X804,Registro!M804)=0,Registro!M804,""))</f>
        <v/>
      </c>
      <c r="Y805" s="50" t="str">
        <f t="shared" si="38"/>
        <v/>
      </c>
    </row>
    <row r="806" spans="1:25">
      <c r="A806" s="45" t="str">
        <f>IF(AND(Registro!D805="Abierto",Registro!E805="Urgente"),Registro!B805,"")</f>
        <v/>
      </c>
      <c r="B806" s="45" t="str">
        <f ca="1">IF(AND(Registro!D805="Abierto",Registro!E805="Urgente"),TODAY()-Registro!R805,"")</f>
        <v/>
      </c>
      <c r="C806" s="45" t="str">
        <f>IF(AND(Registro!D805="Abierto",Registro!E805="Urgente"),RANK(B806,$B$9:$B$1000,0)+COUNTIF($B$9:B806,B806)-1,"")</f>
        <v/>
      </c>
      <c r="D806" s="45" t="str">
        <f>IF(AND(Registro!D805="Abierto",Registro!E805="Alta"),Registro!B805,"")</f>
        <v/>
      </c>
      <c r="E806" s="45" t="str">
        <f ca="1">IF(AND(Registro!D805="Abierto",Registro!E805="Alta"),TODAY()-Registro!R805,"")</f>
        <v/>
      </c>
      <c r="F806" s="45" t="str">
        <f>IF(AND(Registro!D805="Abierto",Registro!E805="Alta"),RANK(E806,$E$9:$E$1000,0)+COUNTIF($E$9:E806,E806)-1+MAX(C$5:C$1000),"")</f>
        <v/>
      </c>
      <c r="G806" s="45" t="str">
        <f>IF(AND(Registro!D805="Abierto",Registro!E805="Media"),Registro!B805,"")</f>
        <v/>
      </c>
      <c r="H806" s="45" t="str">
        <f ca="1">IF(AND(Registro!D805="Abierto",Registro!E805="Media"),TODAY()-Registro!R805,"")</f>
        <v/>
      </c>
      <c r="I806" s="45" t="str">
        <f>IF(AND(Registro!D805="Abierto",Registro!E805="Media"),RANK(H806,$H$9:$H$1000,0)+COUNTIF($H$9:H806,H806)-1+MAX(C$5:C$1000,F$5:F$1000),"")</f>
        <v/>
      </c>
      <c r="J806" s="45" t="str">
        <f>IF(AND(Registro!D805="Abierto",Registro!E805="Baja"),Registro!B805,"")</f>
        <v/>
      </c>
      <c r="K806" s="45" t="str">
        <f ca="1">IF(AND(Registro!D805="Abierto",Registro!E805="Baja"),TODAY()-Registro!R805,"")</f>
        <v/>
      </c>
      <c r="L806" s="45" t="str">
        <f>IF(AND(Registro!D805="Abierto",Registro!E805="Baja"),RANK(K806,$K$9:$K$1000,0)+COUNTIF($K$9:K806,K806)-1+MAX(C$5:C$1000,F$5:F$1000,I$5:I$1000),"")</f>
        <v/>
      </c>
      <c r="M806" s="46" t="str">
        <f>IF(OR(Registro!D805="Resuelto",Registro!D805=""),"",SUM(C806,F806,I806,L806))</f>
        <v/>
      </c>
      <c r="N806" s="46" t="str">
        <f>IF(OR(Registro!D805="Resuelto",Registro!D805=""),"",SUM(B806,E806,H806,K806))</f>
        <v/>
      </c>
      <c r="O806" s="46" t="str">
        <f>IF(OR(Registro!D805="Resuelto",Registro!D805=""),"",_xlfn.CONCAT(A806,D806,G806,J806))</f>
        <v/>
      </c>
      <c r="P806" s="47">
        <v>798</v>
      </c>
      <c r="Q806" s="47" t="str">
        <f t="shared" ca="1" si="36"/>
        <v/>
      </c>
      <c r="R806" s="48" t="str">
        <f t="shared" ca="1" si="37"/>
        <v/>
      </c>
      <c r="S806" s="32"/>
      <c r="T806" s="32"/>
      <c r="U806" s="32"/>
      <c r="V806" s="32"/>
      <c r="W806" s="47" t="str">
        <f>IF(X806="","",MAX($W$5:W805)+1)</f>
        <v/>
      </c>
      <c r="X806" s="50" t="str">
        <f>IF(Registro!M805="","",IF(COUNTIF($X$8:X805,Registro!M805)=0,Registro!M805,""))</f>
        <v/>
      </c>
      <c r="Y806" s="50" t="str">
        <f t="shared" si="38"/>
        <v/>
      </c>
    </row>
    <row r="807" spans="1:25">
      <c r="A807" s="45" t="str">
        <f>IF(AND(Registro!D806="Abierto",Registro!E806="Urgente"),Registro!B806,"")</f>
        <v/>
      </c>
      <c r="B807" s="45" t="str">
        <f ca="1">IF(AND(Registro!D806="Abierto",Registro!E806="Urgente"),TODAY()-Registro!R806,"")</f>
        <v/>
      </c>
      <c r="C807" s="45" t="str">
        <f>IF(AND(Registro!D806="Abierto",Registro!E806="Urgente"),RANK(B807,$B$9:$B$1000,0)+COUNTIF($B$9:B807,B807)-1,"")</f>
        <v/>
      </c>
      <c r="D807" s="45" t="str">
        <f>IF(AND(Registro!D806="Abierto",Registro!E806="Alta"),Registro!B806,"")</f>
        <v/>
      </c>
      <c r="E807" s="45" t="str">
        <f ca="1">IF(AND(Registro!D806="Abierto",Registro!E806="Alta"),TODAY()-Registro!R806,"")</f>
        <v/>
      </c>
      <c r="F807" s="45" t="str">
        <f>IF(AND(Registro!D806="Abierto",Registro!E806="Alta"),RANK(E807,$E$9:$E$1000,0)+COUNTIF($E$9:E807,E807)-1+MAX(C$5:C$1000),"")</f>
        <v/>
      </c>
      <c r="G807" s="45" t="str">
        <f>IF(AND(Registro!D806="Abierto",Registro!E806="Media"),Registro!B806,"")</f>
        <v/>
      </c>
      <c r="H807" s="45" t="str">
        <f ca="1">IF(AND(Registro!D806="Abierto",Registro!E806="Media"),TODAY()-Registro!R806,"")</f>
        <v/>
      </c>
      <c r="I807" s="45" t="str">
        <f>IF(AND(Registro!D806="Abierto",Registro!E806="Media"),RANK(H807,$H$9:$H$1000,0)+COUNTIF($H$9:H807,H807)-1+MAX(C$5:C$1000,F$5:F$1000),"")</f>
        <v/>
      </c>
      <c r="J807" s="45" t="str">
        <f>IF(AND(Registro!D806="Abierto",Registro!E806="Baja"),Registro!B806,"")</f>
        <v/>
      </c>
      <c r="K807" s="45" t="str">
        <f ca="1">IF(AND(Registro!D806="Abierto",Registro!E806="Baja"),TODAY()-Registro!R806,"")</f>
        <v/>
      </c>
      <c r="L807" s="45" t="str">
        <f>IF(AND(Registro!D806="Abierto",Registro!E806="Baja"),RANK(K807,$K$9:$K$1000,0)+COUNTIF($K$9:K807,K807)-1+MAX(C$5:C$1000,F$5:F$1000,I$5:I$1000),"")</f>
        <v/>
      </c>
      <c r="M807" s="46" t="str">
        <f>IF(OR(Registro!D806="Resuelto",Registro!D806=""),"",SUM(C807,F807,I807,L807))</f>
        <v/>
      </c>
      <c r="N807" s="46" t="str">
        <f>IF(OR(Registro!D806="Resuelto",Registro!D806=""),"",SUM(B807,E807,H807,K807))</f>
        <v/>
      </c>
      <c r="O807" s="46" t="str">
        <f>IF(OR(Registro!D806="Resuelto",Registro!D806=""),"",_xlfn.CONCAT(A807,D807,G807,J807))</f>
        <v/>
      </c>
      <c r="P807" s="47">
        <v>799</v>
      </c>
      <c r="Q807" s="47" t="str">
        <f t="shared" ca="1" si="36"/>
        <v/>
      </c>
      <c r="R807" s="48" t="str">
        <f t="shared" ca="1" si="37"/>
        <v/>
      </c>
      <c r="S807" s="32"/>
      <c r="T807" s="32"/>
      <c r="U807" s="32"/>
      <c r="V807" s="32"/>
      <c r="W807" s="47" t="str">
        <f>IF(X807="","",MAX($W$5:W806)+1)</f>
        <v/>
      </c>
      <c r="X807" s="50" t="str">
        <f>IF(Registro!M806="","",IF(COUNTIF($X$8:X806,Registro!M806)=0,Registro!M806,""))</f>
        <v/>
      </c>
      <c r="Y807" s="50" t="str">
        <f t="shared" si="38"/>
        <v/>
      </c>
    </row>
    <row r="808" spans="1:25">
      <c r="A808" s="45" t="str">
        <f>IF(AND(Registro!D807="Abierto",Registro!E807="Urgente"),Registro!B807,"")</f>
        <v/>
      </c>
      <c r="B808" s="45" t="str">
        <f ca="1">IF(AND(Registro!D807="Abierto",Registro!E807="Urgente"),TODAY()-Registro!R807,"")</f>
        <v/>
      </c>
      <c r="C808" s="45" t="str">
        <f>IF(AND(Registro!D807="Abierto",Registro!E807="Urgente"),RANK(B808,$B$9:$B$1000,0)+COUNTIF($B$9:B808,B808)-1,"")</f>
        <v/>
      </c>
      <c r="D808" s="45" t="str">
        <f>IF(AND(Registro!D807="Abierto",Registro!E807="Alta"),Registro!B807,"")</f>
        <v/>
      </c>
      <c r="E808" s="45" t="str">
        <f ca="1">IF(AND(Registro!D807="Abierto",Registro!E807="Alta"),TODAY()-Registro!R807,"")</f>
        <v/>
      </c>
      <c r="F808" s="45" t="str">
        <f>IF(AND(Registro!D807="Abierto",Registro!E807="Alta"),RANK(E808,$E$9:$E$1000,0)+COUNTIF($E$9:E808,E808)-1+MAX(C$5:C$1000),"")</f>
        <v/>
      </c>
      <c r="G808" s="45" t="str">
        <f>IF(AND(Registro!D807="Abierto",Registro!E807="Media"),Registro!B807,"")</f>
        <v/>
      </c>
      <c r="H808" s="45" t="str">
        <f ca="1">IF(AND(Registro!D807="Abierto",Registro!E807="Media"),TODAY()-Registro!R807,"")</f>
        <v/>
      </c>
      <c r="I808" s="45" t="str">
        <f>IF(AND(Registro!D807="Abierto",Registro!E807="Media"),RANK(H808,$H$9:$H$1000,0)+COUNTIF($H$9:H808,H808)-1+MAX(C$5:C$1000,F$5:F$1000),"")</f>
        <v/>
      </c>
      <c r="J808" s="45" t="str">
        <f>IF(AND(Registro!D807="Abierto",Registro!E807="Baja"),Registro!B807,"")</f>
        <v/>
      </c>
      <c r="K808" s="45" t="str">
        <f ca="1">IF(AND(Registro!D807="Abierto",Registro!E807="Baja"),TODAY()-Registro!R807,"")</f>
        <v/>
      </c>
      <c r="L808" s="45" t="str">
        <f>IF(AND(Registro!D807="Abierto",Registro!E807="Baja"),RANK(K808,$K$9:$K$1000,0)+COUNTIF($K$9:K808,K808)-1+MAX(C$5:C$1000,F$5:F$1000,I$5:I$1000),"")</f>
        <v/>
      </c>
      <c r="M808" s="46" t="str">
        <f>IF(OR(Registro!D807="Resuelto",Registro!D807=""),"",SUM(C808,F808,I808,L808))</f>
        <v/>
      </c>
      <c r="N808" s="46" t="str">
        <f>IF(OR(Registro!D807="Resuelto",Registro!D807=""),"",SUM(B808,E808,H808,K808))</f>
        <v/>
      </c>
      <c r="O808" s="46" t="str">
        <f>IF(OR(Registro!D807="Resuelto",Registro!D807=""),"",_xlfn.CONCAT(A808,D808,G808,J808))</f>
        <v/>
      </c>
      <c r="P808" s="47">
        <v>800</v>
      </c>
      <c r="Q808" s="47" t="str">
        <f t="shared" ca="1" si="36"/>
        <v/>
      </c>
      <c r="R808" s="48" t="str">
        <f t="shared" ca="1" si="37"/>
        <v/>
      </c>
      <c r="S808" s="32"/>
      <c r="T808" s="32"/>
      <c r="U808" s="32"/>
      <c r="V808" s="32"/>
      <c r="W808" s="47" t="str">
        <f>IF(X808="","",MAX($W$5:W807)+1)</f>
        <v/>
      </c>
      <c r="X808" s="50" t="str">
        <f>IF(Registro!M807="","",IF(COUNTIF($X$8:X807,Registro!M807)=0,Registro!M807,""))</f>
        <v/>
      </c>
      <c r="Y808" s="50" t="str">
        <f t="shared" si="38"/>
        <v/>
      </c>
    </row>
    <row r="809" spans="1:25">
      <c r="A809" s="45" t="str">
        <f>IF(AND(Registro!D808="Abierto",Registro!E808="Urgente"),Registro!B808,"")</f>
        <v/>
      </c>
      <c r="B809" s="45" t="str">
        <f ca="1">IF(AND(Registro!D808="Abierto",Registro!E808="Urgente"),TODAY()-Registro!R808,"")</f>
        <v/>
      </c>
      <c r="C809" s="45" t="str">
        <f>IF(AND(Registro!D808="Abierto",Registro!E808="Urgente"),RANK(B809,$B$9:$B$1000,0)+COUNTIF($B$9:B809,B809)-1,"")</f>
        <v/>
      </c>
      <c r="D809" s="45" t="str">
        <f>IF(AND(Registro!D808="Abierto",Registro!E808="Alta"),Registro!B808,"")</f>
        <v/>
      </c>
      <c r="E809" s="45" t="str">
        <f ca="1">IF(AND(Registro!D808="Abierto",Registro!E808="Alta"),TODAY()-Registro!R808,"")</f>
        <v/>
      </c>
      <c r="F809" s="45" t="str">
        <f>IF(AND(Registro!D808="Abierto",Registro!E808="Alta"),RANK(E809,$E$9:$E$1000,0)+COUNTIF($E$9:E809,E809)-1+MAX(C$5:C$1000),"")</f>
        <v/>
      </c>
      <c r="G809" s="45" t="str">
        <f>IF(AND(Registro!D808="Abierto",Registro!E808="Media"),Registro!B808,"")</f>
        <v/>
      </c>
      <c r="H809" s="45" t="str">
        <f ca="1">IF(AND(Registro!D808="Abierto",Registro!E808="Media"),TODAY()-Registro!R808,"")</f>
        <v/>
      </c>
      <c r="I809" s="45" t="str">
        <f>IF(AND(Registro!D808="Abierto",Registro!E808="Media"),RANK(H809,$H$9:$H$1000,0)+COUNTIF($H$9:H809,H809)-1+MAX(C$5:C$1000,F$5:F$1000),"")</f>
        <v/>
      </c>
      <c r="J809" s="45" t="str">
        <f>IF(AND(Registro!D808="Abierto",Registro!E808="Baja"),Registro!B808,"")</f>
        <v/>
      </c>
      <c r="K809" s="45" t="str">
        <f ca="1">IF(AND(Registro!D808="Abierto",Registro!E808="Baja"),TODAY()-Registro!R808,"")</f>
        <v/>
      </c>
      <c r="L809" s="45" t="str">
        <f>IF(AND(Registro!D808="Abierto",Registro!E808="Baja"),RANK(K809,$K$9:$K$1000,0)+COUNTIF($K$9:K809,K809)-1+MAX(C$5:C$1000,F$5:F$1000,I$5:I$1000),"")</f>
        <v/>
      </c>
      <c r="M809" s="46" t="str">
        <f>IF(OR(Registro!D808="Resuelto",Registro!D808=""),"",SUM(C809,F809,I809,L809))</f>
        <v/>
      </c>
      <c r="N809" s="46" t="str">
        <f>IF(OR(Registro!D808="Resuelto",Registro!D808=""),"",SUM(B809,E809,H809,K809))</f>
        <v/>
      </c>
      <c r="O809" s="46" t="str">
        <f>IF(OR(Registro!D808="Resuelto",Registro!D808=""),"",_xlfn.CONCAT(A809,D809,G809,J809))</f>
        <v/>
      </c>
      <c r="P809" s="47">
        <v>801</v>
      </c>
      <c r="Q809" s="47" t="str">
        <f t="shared" ca="1" si="36"/>
        <v/>
      </c>
      <c r="R809" s="48" t="str">
        <f t="shared" ca="1" si="37"/>
        <v/>
      </c>
      <c r="S809" s="32"/>
      <c r="T809" s="32"/>
      <c r="U809" s="32"/>
      <c r="V809" s="32"/>
      <c r="W809" s="47" t="str">
        <f>IF(X809="","",MAX($W$5:W808)+1)</f>
        <v/>
      </c>
      <c r="X809" s="50" t="str">
        <f>IF(Registro!M808="","",IF(COUNTIF($X$8:X808,Registro!M808)=0,Registro!M808,""))</f>
        <v/>
      </c>
      <c r="Y809" s="50" t="str">
        <f t="shared" si="38"/>
        <v/>
      </c>
    </row>
    <row r="810" spans="1:25">
      <c r="A810" s="45" t="str">
        <f>IF(AND(Registro!D809="Abierto",Registro!E809="Urgente"),Registro!B809,"")</f>
        <v/>
      </c>
      <c r="B810" s="45" t="str">
        <f ca="1">IF(AND(Registro!D809="Abierto",Registro!E809="Urgente"),TODAY()-Registro!R809,"")</f>
        <v/>
      </c>
      <c r="C810" s="45" t="str">
        <f>IF(AND(Registro!D809="Abierto",Registro!E809="Urgente"),RANK(B810,$B$9:$B$1000,0)+COUNTIF($B$9:B810,B810)-1,"")</f>
        <v/>
      </c>
      <c r="D810" s="45" t="str">
        <f>IF(AND(Registro!D809="Abierto",Registro!E809="Alta"),Registro!B809,"")</f>
        <v/>
      </c>
      <c r="E810" s="45" t="str">
        <f ca="1">IF(AND(Registro!D809="Abierto",Registro!E809="Alta"),TODAY()-Registro!R809,"")</f>
        <v/>
      </c>
      <c r="F810" s="45" t="str">
        <f>IF(AND(Registro!D809="Abierto",Registro!E809="Alta"),RANK(E810,$E$9:$E$1000,0)+COUNTIF($E$9:E810,E810)-1+MAX(C$5:C$1000),"")</f>
        <v/>
      </c>
      <c r="G810" s="45" t="str">
        <f>IF(AND(Registro!D809="Abierto",Registro!E809="Media"),Registro!B809,"")</f>
        <v/>
      </c>
      <c r="H810" s="45" t="str">
        <f ca="1">IF(AND(Registro!D809="Abierto",Registro!E809="Media"),TODAY()-Registro!R809,"")</f>
        <v/>
      </c>
      <c r="I810" s="45" t="str">
        <f>IF(AND(Registro!D809="Abierto",Registro!E809="Media"),RANK(H810,$H$9:$H$1000,0)+COUNTIF($H$9:H810,H810)-1+MAX(C$5:C$1000,F$5:F$1000),"")</f>
        <v/>
      </c>
      <c r="J810" s="45" t="str">
        <f>IF(AND(Registro!D809="Abierto",Registro!E809="Baja"),Registro!B809,"")</f>
        <v/>
      </c>
      <c r="K810" s="45" t="str">
        <f ca="1">IF(AND(Registro!D809="Abierto",Registro!E809="Baja"),TODAY()-Registro!R809,"")</f>
        <v/>
      </c>
      <c r="L810" s="45" t="str">
        <f>IF(AND(Registro!D809="Abierto",Registro!E809="Baja"),RANK(K810,$K$9:$K$1000,0)+COUNTIF($K$9:K810,K810)-1+MAX(C$5:C$1000,F$5:F$1000,I$5:I$1000),"")</f>
        <v/>
      </c>
      <c r="M810" s="46" t="str">
        <f>IF(OR(Registro!D809="Resuelto",Registro!D809=""),"",SUM(C810,F810,I810,L810))</f>
        <v/>
      </c>
      <c r="N810" s="46" t="str">
        <f>IF(OR(Registro!D809="Resuelto",Registro!D809=""),"",SUM(B810,E810,H810,K810))</f>
        <v/>
      </c>
      <c r="O810" s="46" t="str">
        <f>IF(OR(Registro!D809="Resuelto",Registro!D809=""),"",_xlfn.CONCAT(A810,D810,G810,J810))</f>
        <v/>
      </c>
      <c r="P810" s="47">
        <v>802</v>
      </c>
      <c r="Q810" s="47" t="str">
        <f t="shared" ca="1" si="36"/>
        <v/>
      </c>
      <c r="R810" s="48" t="str">
        <f t="shared" ca="1" si="37"/>
        <v/>
      </c>
      <c r="S810" s="32"/>
      <c r="T810" s="32"/>
      <c r="U810" s="32"/>
      <c r="V810" s="32"/>
      <c r="W810" s="47" t="str">
        <f>IF(X810="","",MAX($W$5:W809)+1)</f>
        <v/>
      </c>
      <c r="X810" s="50" t="str">
        <f>IF(Registro!M809="","",IF(COUNTIF($X$8:X809,Registro!M809)=0,Registro!M809,""))</f>
        <v/>
      </c>
      <c r="Y810" s="50" t="str">
        <f t="shared" si="38"/>
        <v/>
      </c>
    </row>
    <row r="811" spans="1:25">
      <c r="A811" s="45" t="str">
        <f>IF(AND(Registro!D810="Abierto",Registro!E810="Urgente"),Registro!B810,"")</f>
        <v/>
      </c>
      <c r="B811" s="45" t="str">
        <f ca="1">IF(AND(Registro!D810="Abierto",Registro!E810="Urgente"),TODAY()-Registro!R810,"")</f>
        <v/>
      </c>
      <c r="C811" s="45" t="str">
        <f>IF(AND(Registro!D810="Abierto",Registro!E810="Urgente"),RANK(B811,$B$9:$B$1000,0)+COUNTIF($B$9:B811,B811)-1,"")</f>
        <v/>
      </c>
      <c r="D811" s="45" t="str">
        <f>IF(AND(Registro!D810="Abierto",Registro!E810="Alta"),Registro!B810,"")</f>
        <v/>
      </c>
      <c r="E811" s="45" t="str">
        <f ca="1">IF(AND(Registro!D810="Abierto",Registro!E810="Alta"),TODAY()-Registro!R810,"")</f>
        <v/>
      </c>
      <c r="F811" s="45" t="str">
        <f>IF(AND(Registro!D810="Abierto",Registro!E810="Alta"),RANK(E811,$E$9:$E$1000,0)+COUNTIF($E$9:E811,E811)-1+MAX(C$5:C$1000),"")</f>
        <v/>
      </c>
      <c r="G811" s="45" t="str">
        <f>IF(AND(Registro!D810="Abierto",Registro!E810="Media"),Registro!B810,"")</f>
        <v/>
      </c>
      <c r="H811" s="45" t="str">
        <f ca="1">IF(AND(Registro!D810="Abierto",Registro!E810="Media"),TODAY()-Registro!R810,"")</f>
        <v/>
      </c>
      <c r="I811" s="45" t="str">
        <f>IF(AND(Registro!D810="Abierto",Registro!E810="Media"),RANK(H811,$H$9:$H$1000,0)+COUNTIF($H$9:H811,H811)-1+MAX(C$5:C$1000,F$5:F$1000),"")</f>
        <v/>
      </c>
      <c r="J811" s="45" t="str">
        <f>IF(AND(Registro!D810="Abierto",Registro!E810="Baja"),Registro!B810,"")</f>
        <v/>
      </c>
      <c r="K811" s="45" t="str">
        <f ca="1">IF(AND(Registro!D810="Abierto",Registro!E810="Baja"),TODAY()-Registro!R810,"")</f>
        <v/>
      </c>
      <c r="L811" s="45" t="str">
        <f>IF(AND(Registro!D810="Abierto",Registro!E810="Baja"),RANK(K811,$K$9:$K$1000,0)+COUNTIF($K$9:K811,K811)-1+MAX(C$5:C$1000,F$5:F$1000,I$5:I$1000),"")</f>
        <v/>
      </c>
      <c r="M811" s="46" t="str">
        <f>IF(OR(Registro!D810="Resuelto",Registro!D810=""),"",SUM(C811,F811,I811,L811))</f>
        <v/>
      </c>
      <c r="N811" s="46" t="str">
        <f>IF(OR(Registro!D810="Resuelto",Registro!D810=""),"",SUM(B811,E811,H811,K811))</f>
        <v/>
      </c>
      <c r="O811" s="46" t="str">
        <f>IF(OR(Registro!D810="Resuelto",Registro!D810=""),"",_xlfn.CONCAT(A811,D811,G811,J811))</f>
        <v/>
      </c>
      <c r="P811" s="47">
        <v>803</v>
      </c>
      <c r="Q811" s="47" t="str">
        <f t="shared" ca="1" si="36"/>
        <v/>
      </c>
      <c r="R811" s="48" t="str">
        <f t="shared" ca="1" si="37"/>
        <v/>
      </c>
      <c r="S811" s="32"/>
      <c r="T811" s="32"/>
      <c r="U811" s="32"/>
      <c r="V811" s="32"/>
      <c r="W811" s="47" t="str">
        <f>IF(X811="","",MAX($W$5:W810)+1)</f>
        <v/>
      </c>
      <c r="X811" s="50" t="str">
        <f>IF(Registro!M810="","",IF(COUNTIF($X$8:X810,Registro!M810)=0,Registro!M810,""))</f>
        <v/>
      </c>
      <c r="Y811" s="50" t="str">
        <f t="shared" si="38"/>
        <v/>
      </c>
    </row>
    <row r="812" spans="1:25">
      <c r="A812" s="45" t="str">
        <f>IF(AND(Registro!D811="Abierto",Registro!E811="Urgente"),Registro!B811,"")</f>
        <v/>
      </c>
      <c r="B812" s="45" t="str">
        <f ca="1">IF(AND(Registro!D811="Abierto",Registro!E811="Urgente"),TODAY()-Registro!R811,"")</f>
        <v/>
      </c>
      <c r="C812" s="45" t="str">
        <f>IF(AND(Registro!D811="Abierto",Registro!E811="Urgente"),RANK(B812,$B$9:$B$1000,0)+COUNTIF($B$9:B812,B812)-1,"")</f>
        <v/>
      </c>
      <c r="D812" s="45" t="str">
        <f>IF(AND(Registro!D811="Abierto",Registro!E811="Alta"),Registro!B811,"")</f>
        <v/>
      </c>
      <c r="E812" s="45" t="str">
        <f ca="1">IF(AND(Registro!D811="Abierto",Registro!E811="Alta"),TODAY()-Registro!R811,"")</f>
        <v/>
      </c>
      <c r="F812" s="45" t="str">
        <f>IF(AND(Registro!D811="Abierto",Registro!E811="Alta"),RANK(E812,$E$9:$E$1000,0)+COUNTIF($E$9:E812,E812)-1+MAX(C$5:C$1000),"")</f>
        <v/>
      </c>
      <c r="G812" s="45" t="str">
        <f>IF(AND(Registro!D811="Abierto",Registro!E811="Media"),Registro!B811,"")</f>
        <v/>
      </c>
      <c r="H812" s="45" t="str">
        <f ca="1">IF(AND(Registro!D811="Abierto",Registro!E811="Media"),TODAY()-Registro!R811,"")</f>
        <v/>
      </c>
      <c r="I812" s="45" t="str">
        <f>IF(AND(Registro!D811="Abierto",Registro!E811="Media"),RANK(H812,$H$9:$H$1000,0)+COUNTIF($H$9:H812,H812)-1+MAX(C$5:C$1000,F$5:F$1000),"")</f>
        <v/>
      </c>
      <c r="J812" s="45" t="str">
        <f>IF(AND(Registro!D811="Abierto",Registro!E811="Baja"),Registro!B811,"")</f>
        <v/>
      </c>
      <c r="K812" s="45" t="str">
        <f ca="1">IF(AND(Registro!D811="Abierto",Registro!E811="Baja"),TODAY()-Registro!R811,"")</f>
        <v/>
      </c>
      <c r="L812" s="45" t="str">
        <f>IF(AND(Registro!D811="Abierto",Registro!E811="Baja"),RANK(K812,$K$9:$K$1000,0)+COUNTIF($K$9:K812,K812)-1+MAX(C$5:C$1000,F$5:F$1000,I$5:I$1000),"")</f>
        <v/>
      </c>
      <c r="M812" s="46" t="str">
        <f>IF(OR(Registro!D811="Resuelto",Registro!D811=""),"",SUM(C812,F812,I812,L812))</f>
        <v/>
      </c>
      <c r="N812" s="46" t="str">
        <f>IF(OR(Registro!D811="Resuelto",Registro!D811=""),"",SUM(B812,E812,H812,K812))</f>
        <v/>
      </c>
      <c r="O812" s="46" t="str">
        <f>IF(OR(Registro!D811="Resuelto",Registro!D811=""),"",_xlfn.CONCAT(A812,D812,G812,J812))</f>
        <v/>
      </c>
      <c r="P812" s="47">
        <v>804</v>
      </c>
      <c r="Q812" s="47" t="str">
        <f t="shared" ca="1" si="36"/>
        <v/>
      </c>
      <c r="R812" s="48" t="str">
        <f t="shared" ca="1" si="37"/>
        <v/>
      </c>
      <c r="S812" s="32"/>
      <c r="T812" s="32"/>
      <c r="U812" s="32"/>
      <c r="V812" s="32"/>
      <c r="W812" s="47" t="str">
        <f>IF(X812="","",MAX($W$5:W811)+1)</f>
        <v/>
      </c>
      <c r="X812" s="50" t="str">
        <f>IF(Registro!M811="","",IF(COUNTIF($X$8:X811,Registro!M811)=0,Registro!M811,""))</f>
        <v/>
      </c>
      <c r="Y812" s="50" t="str">
        <f t="shared" si="38"/>
        <v/>
      </c>
    </row>
    <row r="813" spans="1:25">
      <c r="A813" s="45" t="str">
        <f>IF(AND(Registro!D812="Abierto",Registro!E812="Urgente"),Registro!B812,"")</f>
        <v/>
      </c>
      <c r="B813" s="45" t="str">
        <f ca="1">IF(AND(Registro!D812="Abierto",Registro!E812="Urgente"),TODAY()-Registro!R812,"")</f>
        <v/>
      </c>
      <c r="C813" s="45" t="str">
        <f>IF(AND(Registro!D812="Abierto",Registro!E812="Urgente"),RANK(B813,$B$9:$B$1000,0)+COUNTIF($B$9:B813,B813)-1,"")</f>
        <v/>
      </c>
      <c r="D813" s="45" t="str">
        <f>IF(AND(Registro!D812="Abierto",Registro!E812="Alta"),Registro!B812,"")</f>
        <v/>
      </c>
      <c r="E813" s="45" t="str">
        <f ca="1">IF(AND(Registro!D812="Abierto",Registro!E812="Alta"),TODAY()-Registro!R812,"")</f>
        <v/>
      </c>
      <c r="F813" s="45" t="str">
        <f>IF(AND(Registro!D812="Abierto",Registro!E812="Alta"),RANK(E813,$E$9:$E$1000,0)+COUNTIF($E$9:E813,E813)-1+MAX(C$5:C$1000),"")</f>
        <v/>
      </c>
      <c r="G813" s="45" t="str">
        <f>IF(AND(Registro!D812="Abierto",Registro!E812="Media"),Registro!B812,"")</f>
        <v/>
      </c>
      <c r="H813" s="45" t="str">
        <f ca="1">IF(AND(Registro!D812="Abierto",Registro!E812="Media"),TODAY()-Registro!R812,"")</f>
        <v/>
      </c>
      <c r="I813" s="45" t="str">
        <f>IF(AND(Registro!D812="Abierto",Registro!E812="Media"),RANK(H813,$H$9:$H$1000,0)+COUNTIF($H$9:H813,H813)-1+MAX(C$5:C$1000,F$5:F$1000),"")</f>
        <v/>
      </c>
      <c r="J813" s="45" t="str">
        <f>IF(AND(Registro!D812="Abierto",Registro!E812="Baja"),Registro!B812,"")</f>
        <v/>
      </c>
      <c r="K813" s="45" t="str">
        <f ca="1">IF(AND(Registro!D812="Abierto",Registro!E812="Baja"),TODAY()-Registro!R812,"")</f>
        <v/>
      </c>
      <c r="L813" s="45" t="str">
        <f>IF(AND(Registro!D812="Abierto",Registro!E812="Baja"),RANK(K813,$K$9:$K$1000,0)+COUNTIF($K$9:K813,K813)-1+MAX(C$5:C$1000,F$5:F$1000,I$5:I$1000),"")</f>
        <v/>
      </c>
      <c r="M813" s="46" t="str">
        <f>IF(OR(Registro!D812="Resuelto",Registro!D812=""),"",SUM(C813,F813,I813,L813))</f>
        <v/>
      </c>
      <c r="N813" s="46" t="str">
        <f>IF(OR(Registro!D812="Resuelto",Registro!D812=""),"",SUM(B813,E813,H813,K813))</f>
        <v/>
      </c>
      <c r="O813" s="46" t="str">
        <f>IF(OR(Registro!D812="Resuelto",Registro!D812=""),"",_xlfn.CONCAT(A813,D813,G813,J813))</f>
        <v/>
      </c>
      <c r="P813" s="47">
        <v>805</v>
      </c>
      <c r="Q813" s="47" t="str">
        <f t="shared" ca="1" si="36"/>
        <v/>
      </c>
      <c r="R813" s="48" t="str">
        <f t="shared" ca="1" si="37"/>
        <v/>
      </c>
      <c r="S813" s="32"/>
      <c r="T813" s="32"/>
      <c r="U813" s="32"/>
      <c r="V813" s="32"/>
      <c r="W813" s="47" t="str">
        <f>IF(X813="","",MAX($W$5:W812)+1)</f>
        <v/>
      </c>
      <c r="X813" s="50" t="str">
        <f>IF(Registro!M812="","",IF(COUNTIF($X$8:X812,Registro!M812)=0,Registro!M812,""))</f>
        <v/>
      </c>
      <c r="Y813" s="50" t="str">
        <f t="shared" si="38"/>
        <v/>
      </c>
    </row>
    <row r="814" spans="1:25">
      <c r="A814" s="45" t="str">
        <f>IF(AND(Registro!D813="Abierto",Registro!E813="Urgente"),Registro!B813,"")</f>
        <v/>
      </c>
      <c r="B814" s="45" t="str">
        <f ca="1">IF(AND(Registro!D813="Abierto",Registro!E813="Urgente"),TODAY()-Registro!R813,"")</f>
        <v/>
      </c>
      <c r="C814" s="45" t="str">
        <f>IF(AND(Registro!D813="Abierto",Registro!E813="Urgente"),RANK(B814,$B$9:$B$1000,0)+COUNTIF($B$9:B814,B814)-1,"")</f>
        <v/>
      </c>
      <c r="D814" s="45" t="str">
        <f>IF(AND(Registro!D813="Abierto",Registro!E813="Alta"),Registro!B813,"")</f>
        <v/>
      </c>
      <c r="E814" s="45" t="str">
        <f ca="1">IF(AND(Registro!D813="Abierto",Registro!E813="Alta"),TODAY()-Registro!R813,"")</f>
        <v/>
      </c>
      <c r="F814" s="45" t="str">
        <f>IF(AND(Registro!D813="Abierto",Registro!E813="Alta"),RANK(E814,$E$9:$E$1000,0)+COUNTIF($E$9:E814,E814)-1+MAX(C$5:C$1000),"")</f>
        <v/>
      </c>
      <c r="G814" s="45" t="str">
        <f>IF(AND(Registro!D813="Abierto",Registro!E813="Media"),Registro!B813,"")</f>
        <v/>
      </c>
      <c r="H814" s="45" t="str">
        <f ca="1">IF(AND(Registro!D813="Abierto",Registro!E813="Media"),TODAY()-Registro!R813,"")</f>
        <v/>
      </c>
      <c r="I814" s="45" t="str">
        <f>IF(AND(Registro!D813="Abierto",Registro!E813="Media"),RANK(H814,$H$9:$H$1000,0)+COUNTIF($H$9:H814,H814)-1+MAX(C$5:C$1000,F$5:F$1000),"")</f>
        <v/>
      </c>
      <c r="J814" s="45" t="str">
        <f>IF(AND(Registro!D813="Abierto",Registro!E813="Baja"),Registro!B813,"")</f>
        <v/>
      </c>
      <c r="K814" s="45" t="str">
        <f ca="1">IF(AND(Registro!D813="Abierto",Registro!E813="Baja"),TODAY()-Registro!R813,"")</f>
        <v/>
      </c>
      <c r="L814" s="45" t="str">
        <f>IF(AND(Registro!D813="Abierto",Registro!E813="Baja"),RANK(K814,$K$9:$K$1000,0)+COUNTIF($K$9:K814,K814)-1+MAX(C$5:C$1000,F$5:F$1000,I$5:I$1000),"")</f>
        <v/>
      </c>
      <c r="M814" s="46" t="str">
        <f>IF(OR(Registro!D813="Resuelto",Registro!D813=""),"",SUM(C814,F814,I814,L814))</f>
        <v/>
      </c>
      <c r="N814" s="46" t="str">
        <f>IF(OR(Registro!D813="Resuelto",Registro!D813=""),"",SUM(B814,E814,H814,K814))</f>
        <v/>
      </c>
      <c r="O814" s="46" t="str">
        <f>IF(OR(Registro!D813="Resuelto",Registro!D813=""),"",_xlfn.CONCAT(A814,D814,G814,J814))</f>
        <v/>
      </c>
      <c r="P814" s="47">
        <v>806</v>
      </c>
      <c r="Q814" s="47" t="str">
        <f t="shared" ca="1" si="36"/>
        <v/>
      </c>
      <c r="R814" s="48" t="str">
        <f t="shared" ca="1" si="37"/>
        <v/>
      </c>
      <c r="S814" s="32"/>
      <c r="T814" s="32"/>
      <c r="U814" s="32"/>
      <c r="V814" s="32"/>
      <c r="W814" s="47" t="str">
        <f>IF(X814="","",MAX($W$5:W813)+1)</f>
        <v/>
      </c>
      <c r="X814" s="50" t="str">
        <f>IF(Registro!M813="","",IF(COUNTIF($X$8:X813,Registro!M813)=0,Registro!M813,""))</f>
        <v/>
      </c>
      <c r="Y814" s="50" t="str">
        <f t="shared" si="38"/>
        <v/>
      </c>
    </row>
    <row r="815" spans="1:25">
      <c r="A815" s="45" t="str">
        <f>IF(AND(Registro!D814="Abierto",Registro!E814="Urgente"),Registro!B814,"")</f>
        <v/>
      </c>
      <c r="B815" s="45" t="str">
        <f ca="1">IF(AND(Registro!D814="Abierto",Registro!E814="Urgente"),TODAY()-Registro!R814,"")</f>
        <v/>
      </c>
      <c r="C815" s="45" t="str">
        <f>IF(AND(Registro!D814="Abierto",Registro!E814="Urgente"),RANK(B815,$B$9:$B$1000,0)+COUNTIF($B$9:B815,B815)-1,"")</f>
        <v/>
      </c>
      <c r="D815" s="45" t="str">
        <f>IF(AND(Registro!D814="Abierto",Registro!E814="Alta"),Registro!B814,"")</f>
        <v/>
      </c>
      <c r="E815" s="45" t="str">
        <f ca="1">IF(AND(Registro!D814="Abierto",Registro!E814="Alta"),TODAY()-Registro!R814,"")</f>
        <v/>
      </c>
      <c r="F815" s="45" t="str">
        <f>IF(AND(Registro!D814="Abierto",Registro!E814="Alta"),RANK(E815,$E$9:$E$1000,0)+COUNTIF($E$9:E815,E815)-1+MAX(C$5:C$1000),"")</f>
        <v/>
      </c>
      <c r="G815" s="45" t="str">
        <f>IF(AND(Registro!D814="Abierto",Registro!E814="Media"),Registro!B814,"")</f>
        <v/>
      </c>
      <c r="H815" s="45" t="str">
        <f ca="1">IF(AND(Registro!D814="Abierto",Registro!E814="Media"),TODAY()-Registro!R814,"")</f>
        <v/>
      </c>
      <c r="I815" s="45" t="str">
        <f>IF(AND(Registro!D814="Abierto",Registro!E814="Media"),RANK(H815,$H$9:$H$1000,0)+COUNTIF($H$9:H815,H815)-1+MAX(C$5:C$1000,F$5:F$1000),"")</f>
        <v/>
      </c>
      <c r="J815" s="45" t="str">
        <f>IF(AND(Registro!D814="Abierto",Registro!E814="Baja"),Registro!B814,"")</f>
        <v/>
      </c>
      <c r="K815" s="45" t="str">
        <f ca="1">IF(AND(Registro!D814="Abierto",Registro!E814="Baja"),TODAY()-Registro!R814,"")</f>
        <v/>
      </c>
      <c r="L815" s="45" t="str">
        <f>IF(AND(Registro!D814="Abierto",Registro!E814="Baja"),RANK(K815,$K$9:$K$1000,0)+COUNTIF($K$9:K815,K815)-1+MAX(C$5:C$1000,F$5:F$1000,I$5:I$1000),"")</f>
        <v/>
      </c>
      <c r="M815" s="46" t="str">
        <f>IF(OR(Registro!D814="Resuelto",Registro!D814=""),"",SUM(C815,F815,I815,L815))</f>
        <v/>
      </c>
      <c r="N815" s="46" t="str">
        <f>IF(OR(Registro!D814="Resuelto",Registro!D814=""),"",SUM(B815,E815,H815,K815))</f>
        <v/>
      </c>
      <c r="O815" s="46" t="str">
        <f>IF(OR(Registro!D814="Resuelto",Registro!D814=""),"",_xlfn.CONCAT(A815,D815,G815,J815))</f>
        <v/>
      </c>
      <c r="P815" s="47">
        <v>807</v>
      </c>
      <c r="Q815" s="47" t="str">
        <f t="shared" ca="1" si="36"/>
        <v/>
      </c>
      <c r="R815" s="48" t="str">
        <f t="shared" ca="1" si="37"/>
        <v/>
      </c>
      <c r="S815" s="32"/>
      <c r="T815" s="32"/>
      <c r="U815" s="32"/>
      <c r="V815" s="32"/>
      <c r="W815" s="47" t="str">
        <f>IF(X815="","",MAX($W$5:W814)+1)</f>
        <v/>
      </c>
      <c r="X815" s="50" t="str">
        <f>IF(Registro!M814="","",IF(COUNTIF($X$8:X814,Registro!M814)=0,Registro!M814,""))</f>
        <v/>
      </c>
      <c r="Y815" s="50" t="str">
        <f t="shared" si="38"/>
        <v/>
      </c>
    </row>
    <row r="816" spans="1:25">
      <c r="A816" s="45" t="str">
        <f>IF(AND(Registro!D815="Abierto",Registro!E815="Urgente"),Registro!B815,"")</f>
        <v/>
      </c>
      <c r="B816" s="45" t="str">
        <f ca="1">IF(AND(Registro!D815="Abierto",Registro!E815="Urgente"),TODAY()-Registro!R815,"")</f>
        <v/>
      </c>
      <c r="C816" s="45" t="str">
        <f>IF(AND(Registro!D815="Abierto",Registro!E815="Urgente"),RANK(B816,$B$9:$B$1000,0)+COUNTIF($B$9:B816,B816)-1,"")</f>
        <v/>
      </c>
      <c r="D816" s="45" t="str">
        <f>IF(AND(Registro!D815="Abierto",Registro!E815="Alta"),Registro!B815,"")</f>
        <v/>
      </c>
      <c r="E816" s="45" t="str">
        <f ca="1">IF(AND(Registro!D815="Abierto",Registro!E815="Alta"),TODAY()-Registro!R815,"")</f>
        <v/>
      </c>
      <c r="F816" s="45" t="str">
        <f>IF(AND(Registro!D815="Abierto",Registro!E815="Alta"),RANK(E816,$E$9:$E$1000,0)+COUNTIF($E$9:E816,E816)-1+MAX(C$5:C$1000),"")</f>
        <v/>
      </c>
      <c r="G816" s="45" t="str">
        <f>IF(AND(Registro!D815="Abierto",Registro!E815="Media"),Registro!B815,"")</f>
        <v/>
      </c>
      <c r="H816" s="45" t="str">
        <f ca="1">IF(AND(Registro!D815="Abierto",Registro!E815="Media"),TODAY()-Registro!R815,"")</f>
        <v/>
      </c>
      <c r="I816" s="45" t="str">
        <f>IF(AND(Registro!D815="Abierto",Registro!E815="Media"),RANK(H816,$H$9:$H$1000,0)+COUNTIF($H$9:H816,H816)-1+MAX(C$5:C$1000,F$5:F$1000),"")</f>
        <v/>
      </c>
      <c r="J816" s="45" t="str">
        <f>IF(AND(Registro!D815="Abierto",Registro!E815="Baja"),Registro!B815,"")</f>
        <v/>
      </c>
      <c r="K816" s="45" t="str">
        <f ca="1">IF(AND(Registro!D815="Abierto",Registro!E815="Baja"),TODAY()-Registro!R815,"")</f>
        <v/>
      </c>
      <c r="L816" s="45" t="str">
        <f>IF(AND(Registro!D815="Abierto",Registro!E815="Baja"),RANK(K816,$K$9:$K$1000,0)+COUNTIF($K$9:K816,K816)-1+MAX(C$5:C$1000,F$5:F$1000,I$5:I$1000),"")</f>
        <v/>
      </c>
      <c r="M816" s="46" t="str">
        <f>IF(OR(Registro!D815="Resuelto",Registro!D815=""),"",SUM(C816,F816,I816,L816))</f>
        <v/>
      </c>
      <c r="N816" s="46" t="str">
        <f>IF(OR(Registro!D815="Resuelto",Registro!D815=""),"",SUM(B816,E816,H816,K816))</f>
        <v/>
      </c>
      <c r="O816" s="46" t="str">
        <f>IF(OR(Registro!D815="Resuelto",Registro!D815=""),"",_xlfn.CONCAT(A816,D816,G816,J816))</f>
        <v/>
      </c>
      <c r="P816" s="47">
        <v>808</v>
      </c>
      <c r="Q816" s="47" t="str">
        <f t="shared" ca="1" si="36"/>
        <v/>
      </c>
      <c r="R816" s="48" t="str">
        <f t="shared" ca="1" si="37"/>
        <v/>
      </c>
      <c r="S816" s="32"/>
      <c r="T816" s="32"/>
      <c r="U816" s="32"/>
      <c r="V816" s="32"/>
      <c r="W816" s="47" t="str">
        <f>IF(X816="","",MAX($W$5:W815)+1)</f>
        <v/>
      </c>
      <c r="X816" s="50" t="str">
        <f>IF(Registro!M815="","",IF(COUNTIF($X$8:X815,Registro!M815)=0,Registro!M815,""))</f>
        <v/>
      </c>
      <c r="Y816" s="50" t="str">
        <f t="shared" si="38"/>
        <v/>
      </c>
    </row>
    <row r="817" spans="1:25">
      <c r="A817" s="45" t="str">
        <f>IF(AND(Registro!D816="Abierto",Registro!E816="Urgente"),Registro!B816,"")</f>
        <v/>
      </c>
      <c r="B817" s="45" t="str">
        <f ca="1">IF(AND(Registro!D816="Abierto",Registro!E816="Urgente"),TODAY()-Registro!R816,"")</f>
        <v/>
      </c>
      <c r="C817" s="45" t="str">
        <f>IF(AND(Registro!D816="Abierto",Registro!E816="Urgente"),RANK(B817,$B$9:$B$1000,0)+COUNTIF($B$9:B817,B817)-1,"")</f>
        <v/>
      </c>
      <c r="D817" s="45" t="str">
        <f>IF(AND(Registro!D816="Abierto",Registro!E816="Alta"),Registro!B816,"")</f>
        <v/>
      </c>
      <c r="E817" s="45" t="str">
        <f ca="1">IF(AND(Registro!D816="Abierto",Registro!E816="Alta"),TODAY()-Registro!R816,"")</f>
        <v/>
      </c>
      <c r="F817" s="45" t="str">
        <f>IF(AND(Registro!D816="Abierto",Registro!E816="Alta"),RANK(E817,$E$9:$E$1000,0)+COUNTIF($E$9:E817,E817)-1+MAX(C$5:C$1000),"")</f>
        <v/>
      </c>
      <c r="G817" s="45" t="str">
        <f>IF(AND(Registro!D816="Abierto",Registro!E816="Media"),Registro!B816,"")</f>
        <v/>
      </c>
      <c r="H817" s="45" t="str">
        <f ca="1">IF(AND(Registro!D816="Abierto",Registro!E816="Media"),TODAY()-Registro!R816,"")</f>
        <v/>
      </c>
      <c r="I817" s="45" t="str">
        <f>IF(AND(Registro!D816="Abierto",Registro!E816="Media"),RANK(H817,$H$9:$H$1000,0)+COUNTIF($H$9:H817,H817)-1+MAX(C$5:C$1000,F$5:F$1000),"")</f>
        <v/>
      </c>
      <c r="J817" s="45" t="str">
        <f>IF(AND(Registro!D816="Abierto",Registro!E816="Baja"),Registro!B816,"")</f>
        <v/>
      </c>
      <c r="K817" s="45" t="str">
        <f ca="1">IF(AND(Registro!D816="Abierto",Registro!E816="Baja"),TODAY()-Registro!R816,"")</f>
        <v/>
      </c>
      <c r="L817" s="45" t="str">
        <f>IF(AND(Registro!D816="Abierto",Registro!E816="Baja"),RANK(K817,$K$9:$K$1000,0)+COUNTIF($K$9:K817,K817)-1+MAX(C$5:C$1000,F$5:F$1000,I$5:I$1000),"")</f>
        <v/>
      </c>
      <c r="M817" s="46" t="str">
        <f>IF(OR(Registro!D816="Resuelto",Registro!D816=""),"",SUM(C817,F817,I817,L817))</f>
        <v/>
      </c>
      <c r="N817" s="46" t="str">
        <f>IF(OR(Registro!D816="Resuelto",Registro!D816=""),"",SUM(B817,E817,H817,K817))</f>
        <v/>
      </c>
      <c r="O817" s="46" t="str">
        <f>IF(OR(Registro!D816="Resuelto",Registro!D816=""),"",_xlfn.CONCAT(A817,D817,G817,J817))</f>
        <v/>
      </c>
      <c r="P817" s="47">
        <v>809</v>
      </c>
      <c r="Q817" s="47" t="str">
        <f t="shared" ca="1" si="36"/>
        <v/>
      </c>
      <c r="R817" s="48" t="str">
        <f t="shared" ca="1" si="37"/>
        <v/>
      </c>
      <c r="S817" s="32"/>
      <c r="T817" s="32"/>
      <c r="U817" s="32"/>
      <c r="V817" s="32"/>
      <c r="W817" s="47" t="str">
        <f>IF(X817="","",MAX($W$5:W816)+1)</f>
        <v/>
      </c>
      <c r="X817" s="50" t="str">
        <f>IF(Registro!M816="","",IF(COUNTIF($X$8:X816,Registro!M816)=0,Registro!M816,""))</f>
        <v/>
      </c>
      <c r="Y817" s="50" t="str">
        <f t="shared" si="38"/>
        <v/>
      </c>
    </row>
    <row r="818" spans="1:25">
      <c r="A818" s="45" t="str">
        <f>IF(AND(Registro!D817="Abierto",Registro!E817="Urgente"),Registro!B817,"")</f>
        <v/>
      </c>
      <c r="B818" s="45" t="str">
        <f ca="1">IF(AND(Registro!D817="Abierto",Registro!E817="Urgente"),TODAY()-Registro!R817,"")</f>
        <v/>
      </c>
      <c r="C818" s="45" t="str">
        <f>IF(AND(Registro!D817="Abierto",Registro!E817="Urgente"),RANK(B818,$B$9:$B$1000,0)+COUNTIF($B$9:B818,B818)-1,"")</f>
        <v/>
      </c>
      <c r="D818" s="45" t="str">
        <f>IF(AND(Registro!D817="Abierto",Registro!E817="Alta"),Registro!B817,"")</f>
        <v/>
      </c>
      <c r="E818" s="45" t="str">
        <f ca="1">IF(AND(Registro!D817="Abierto",Registro!E817="Alta"),TODAY()-Registro!R817,"")</f>
        <v/>
      </c>
      <c r="F818" s="45" t="str">
        <f>IF(AND(Registro!D817="Abierto",Registro!E817="Alta"),RANK(E818,$E$9:$E$1000,0)+COUNTIF($E$9:E818,E818)-1+MAX(C$5:C$1000),"")</f>
        <v/>
      </c>
      <c r="G818" s="45" t="str">
        <f>IF(AND(Registro!D817="Abierto",Registro!E817="Media"),Registro!B817,"")</f>
        <v/>
      </c>
      <c r="H818" s="45" t="str">
        <f ca="1">IF(AND(Registro!D817="Abierto",Registro!E817="Media"),TODAY()-Registro!R817,"")</f>
        <v/>
      </c>
      <c r="I818" s="45" t="str">
        <f>IF(AND(Registro!D817="Abierto",Registro!E817="Media"),RANK(H818,$H$9:$H$1000,0)+COUNTIF($H$9:H818,H818)-1+MAX(C$5:C$1000,F$5:F$1000),"")</f>
        <v/>
      </c>
      <c r="J818" s="45" t="str">
        <f>IF(AND(Registro!D817="Abierto",Registro!E817="Baja"),Registro!B817,"")</f>
        <v/>
      </c>
      <c r="K818" s="45" t="str">
        <f ca="1">IF(AND(Registro!D817="Abierto",Registro!E817="Baja"),TODAY()-Registro!R817,"")</f>
        <v/>
      </c>
      <c r="L818" s="45" t="str">
        <f>IF(AND(Registro!D817="Abierto",Registro!E817="Baja"),RANK(K818,$K$9:$K$1000,0)+COUNTIF($K$9:K818,K818)-1+MAX(C$5:C$1000,F$5:F$1000,I$5:I$1000),"")</f>
        <v/>
      </c>
      <c r="M818" s="46" t="str">
        <f>IF(OR(Registro!D817="Resuelto",Registro!D817=""),"",SUM(C818,F818,I818,L818))</f>
        <v/>
      </c>
      <c r="N818" s="46" t="str">
        <f>IF(OR(Registro!D817="Resuelto",Registro!D817=""),"",SUM(B818,E818,H818,K818))</f>
        <v/>
      </c>
      <c r="O818" s="46" t="str">
        <f>IF(OR(Registro!D817="Resuelto",Registro!D817=""),"",_xlfn.CONCAT(A818,D818,G818,J818))</f>
        <v/>
      </c>
      <c r="P818" s="47">
        <v>810</v>
      </c>
      <c r="Q818" s="47" t="str">
        <f t="shared" ca="1" si="36"/>
        <v/>
      </c>
      <c r="R818" s="48" t="str">
        <f t="shared" ca="1" si="37"/>
        <v/>
      </c>
      <c r="S818" s="32"/>
      <c r="T818" s="32"/>
      <c r="U818" s="32"/>
      <c r="V818" s="32"/>
      <c r="W818" s="47" t="str">
        <f>IF(X818="","",MAX($W$5:W817)+1)</f>
        <v/>
      </c>
      <c r="X818" s="50" t="str">
        <f>IF(Registro!M817="","",IF(COUNTIF($X$8:X817,Registro!M817)=0,Registro!M817,""))</f>
        <v/>
      </c>
      <c r="Y818" s="50" t="str">
        <f t="shared" si="38"/>
        <v/>
      </c>
    </row>
    <row r="819" spans="1:25">
      <c r="A819" s="45" t="str">
        <f>IF(AND(Registro!D818="Abierto",Registro!E818="Urgente"),Registro!B818,"")</f>
        <v/>
      </c>
      <c r="B819" s="45" t="str">
        <f ca="1">IF(AND(Registro!D818="Abierto",Registro!E818="Urgente"),TODAY()-Registro!R818,"")</f>
        <v/>
      </c>
      <c r="C819" s="45" t="str">
        <f>IF(AND(Registro!D818="Abierto",Registro!E818="Urgente"),RANK(B819,$B$9:$B$1000,0)+COUNTIF($B$9:B819,B819)-1,"")</f>
        <v/>
      </c>
      <c r="D819" s="45" t="str">
        <f>IF(AND(Registro!D818="Abierto",Registro!E818="Alta"),Registro!B818,"")</f>
        <v/>
      </c>
      <c r="E819" s="45" t="str">
        <f ca="1">IF(AND(Registro!D818="Abierto",Registro!E818="Alta"),TODAY()-Registro!R818,"")</f>
        <v/>
      </c>
      <c r="F819" s="45" t="str">
        <f>IF(AND(Registro!D818="Abierto",Registro!E818="Alta"),RANK(E819,$E$9:$E$1000,0)+COUNTIF($E$9:E819,E819)-1+MAX(C$5:C$1000),"")</f>
        <v/>
      </c>
      <c r="G819" s="45" t="str">
        <f>IF(AND(Registro!D818="Abierto",Registro!E818="Media"),Registro!B818,"")</f>
        <v/>
      </c>
      <c r="H819" s="45" t="str">
        <f ca="1">IF(AND(Registro!D818="Abierto",Registro!E818="Media"),TODAY()-Registro!R818,"")</f>
        <v/>
      </c>
      <c r="I819" s="45" t="str">
        <f>IF(AND(Registro!D818="Abierto",Registro!E818="Media"),RANK(H819,$H$9:$H$1000,0)+COUNTIF($H$9:H819,H819)-1+MAX(C$5:C$1000,F$5:F$1000),"")</f>
        <v/>
      </c>
      <c r="J819" s="45" t="str">
        <f>IF(AND(Registro!D818="Abierto",Registro!E818="Baja"),Registro!B818,"")</f>
        <v/>
      </c>
      <c r="K819" s="45" t="str">
        <f ca="1">IF(AND(Registro!D818="Abierto",Registro!E818="Baja"),TODAY()-Registro!R818,"")</f>
        <v/>
      </c>
      <c r="L819" s="45" t="str">
        <f>IF(AND(Registro!D818="Abierto",Registro!E818="Baja"),RANK(K819,$K$9:$K$1000,0)+COUNTIF($K$9:K819,K819)-1+MAX(C$5:C$1000,F$5:F$1000,I$5:I$1000),"")</f>
        <v/>
      </c>
      <c r="M819" s="46" t="str">
        <f>IF(OR(Registro!D818="Resuelto",Registro!D818=""),"",SUM(C819,F819,I819,L819))</f>
        <v/>
      </c>
      <c r="N819" s="46" t="str">
        <f>IF(OR(Registro!D818="Resuelto",Registro!D818=""),"",SUM(B819,E819,H819,K819))</f>
        <v/>
      </c>
      <c r="O819" s="46" t="str">
        <f>IF(OR(Registro!D818="Resuelto",Registro!D818=""),"",_xlfn.CONCAT(A819,D819,G819,J819))</f>
        <v/>
      </c>
      <c r="P819" s="47">
        <v>811</v>
      </c>
      <c r="Q819" s="47" t="str">
        <f t="shared" ca="1" si="36"/>
        <v/>
      </c>
      <c r="R819" s="48" t="str">
        <f t="shared" ca="1" si="37"/>
        <v/>
      </c>
      <c r="S819" s="32"/>
      <c r="T819" s="32"/>
      <c r="U819" s="32"/>
      <c r="V819" s="32"/>
      <c r="W819" s="47" t="str">
        <f>IF(X819="","",MAX($W$5:W818)+1)</f>
        <v/>
      </c>
      <c r="X819" s="50" t="str">
        <f>IF(Registro!M818="","",IF(COUNTIF($X$8:X818,Registro!M818)=0,Registro!M818,""))</f>
        <v/>
      </c>
      <c r="Y819" s="50" t="str">
        <f t="shared" si="38"/>
        <v/>
      </c>
    </row>
    <row r="820" spans="1:25">
      <c r="A820" s="45" t="str">
        <f>IF(AND(Registro!D819="Abierto",Registro!E819="Urgente"),Registro!B819,"")</f>
        <v/>
      </c>
      <c r="B820" s="45" t="str">
        <f ca="1">IF(AND(Registro!D819="Abierto",Registro!E819="Urgente"),TODAY()-Registro!R819,"")</f>
        <v/>
      </c>
      <c r="C820" s="45" t="str">
        <f>IF(AND(Registro!D819="Abierto",Registro!E819="Urgente"),RANK(B820,$B$9:$B$1000,0)+COUNTIF($B$9:B820,B820)-1,"")</f>
        <v/>
      </c>
      <c r="D820" s="45" t="str">
        <f>IF(AND(Registro!D819="Abierto",Registro!E819="Alta"),Registro!B819,"")</f>
        <v/>
      </c>
      <c r="E820" s="45" t="str">
        <f ca="1">IF(AND(Registro!D819="Abierto",Registro!E819="Alta"),TODAY()-Registro!R819,"")</f>
        <v/>
      </c>
      <c r="F820" s="45" t="str">
        <f>IF(AND(Registro!D819="Abierto",Registro!E819="Alta"),RANK(E820,$E$9:$E$1000,0)+COUNTIF($E$9:E820,E820)-1+MAX(C$5:C$1000),"")</f>
        <v/>
      </c>
      <c r="G820" s="45" t="str">
        <f>IF(AND(Registro!D819="Abierto",Registro!E819="Media"),Registro!B819,"")</f>
        <v/>
      </c>
      <c r="H820" s="45" t="str">
        <f ca="1">IF(AND(Registro!D819="Abierto",Registro!E819="Media"),TODAY()-Registro!R819,"")</f>
        <v/>
      </c>
      <c r="I820" s="45" t="str">
        <f>IF(AND(Registro!D819="Abierto",Registro!E819="Media"),RANK(H820,$H$9:$H$1000,0)+COUNTIF($H$9:H820,H820)-1+MAX(C$5:C$1000,F$5:F$1000),"")</f>
        <v/>
      </c>
      <c r="J820" s="45" t="str">
        <f>IF(AND(Registro!D819="Abierto",Registro!E819="Baja"),Registro!B819,"")</f>
        <v/>
      </c>
      <c r="K820" s="45" t="str">
        <f ca="1">IF(AND(Registro!D819="Abierto",Registro!E819="Baja"),TODAY()-Registro!R819,"")</f>
        <v/>
      </c>
      <c r="L820" s="45" t="str">
        <f>IF(AND(Registro!D819="Abierto",Registro!E819="Baja"),RANK(K820,$K$9:$K$1000,0)+COUNTIF($K$9:K820,K820)-1+MAX(C$5:C$1000,F$5:F$1000,I$5:I$1000),"")</f>
        <v/>
      </c>
      <c r="M820" s="46" t="str">
        <f>IF(OR(Registro!D819="Resuelto",Registro!D819=""),"",SUM(C820,F820,I820,L820))</f>
        <v/>
      </c>
      <c r="N820" s="46" t="str">
        <f>IF(OR(Registro!D819="Resuelto",Registro!D819=""),"",SUM(B820,E820,H820,K820))</f>
        <v/>
      </c>
      <c r="O820" s="46" t="str">
        <f>IF(OR(Registro!D819="Resuelto",Registro!D819=""),"",_xlfn.CONCAT(A820,D820,G820,J820))</f>
        <v/>
      </c>
      <c r="P820" s="47">
        <v>812</v>
      </c>
      <c r="Q820" s="47" t="str">
        <f t="shared" ca="1" si="36"/>
        <v/>
      </c>
      <c r="R820" s="48" t="str">
        <f t="shared" ca="1" si="37"/>
        <v/>
      </c>
      <c r="S820" s="32"/>
      <c r="T820" s="32"/>
      <c r="U820" s="32"/>
      <c r="V820" s="32"/>
      <c r="W820" s="47" t="str">
        <f>IF(X820="","",MAX($W$5:W819)+1)</f>
        <v/>
      </c>
      <c r="X820" s="50" t="str">
        <f>IF(Registro!M819="","",IF(COUNTIF($X$8:X819,Registro!M819)=0,Registro!M819,""))</f>
        <v/>
      </c>
      <c r="Y820" s="50" t="str">
        <f t="shared" si="38"/>
        <v/>
      </c>
    </row>
    <row r="821" spans="1:25">
      <c r="A821" s="45" t="str">
        <f>IF(AND(Registro!D820="Abierto",Registro!E820="Urgente"),Registro!B820,"")</f>
        <v/>
      </c>
      <c r="B821" s="45" t="str">
        <f ca="1">IF(AND(Registro!D820="Abierto",Registro!E820="Urgente"),TODAY()-Registro!R820,"")</f>
        <v/>
      </c>
      <c r="C821" s="45" t="str">
        <f>IF(AND(Registro!D820="Abierto",Registro!E820="Urgente"),RANK(B821,$B$9:$B$1000,0)+COUNTIF($B$9:B821,B821)-1,"")</f>
        <v/>
      </c>
      <c r="D821" s="45" t="str">
        <f>IF(AND(Registro!D820="Abierto",Registro!E820="Alta"),Registro!B820,"")</f>
        <v/>
      </c>
      <c r="E821" s="45" t="str">
        <f ca="1">IF(AND(Registro!D820="Abierto",Registro!E820="Alta"),TODAY()-Registro!R820,"")</f>
        <v/>
      </c>
      <c r="F821" s="45" t="str">
        <f>IF(AND(Registro!D820="Abierto",Registro!E820="Alta"),RANK(E821,$E$9:$E$1000,0)+COUNTIF($E$9:E821,E821)-1+MAX(C$5:C$1000),"")</f>
        <v/>
      </c>
      <c r="G821" s="45" t="str">
        <f>IF(AND(Registro!D820="Abierto",Registro!E820="Media"),Registro!B820,"")</f>
        <v/>
      </c>
      <c r="H821" s="45" t="str">
        <f ca="1">IF(AND(Registro!D820="Abierto",Registro!E820="Media"),TODAY()-Registro!R820,"")</f>
        <v/>
      </c>
      <c r="I821" s="45" t="str">
        <f>IF(AND(Registro!D820="Abierto",Registro!E820="Media"),RANK(H821,$H$9:$H$1000,0)+COUNTIF($H$9:H821,H821)-1+MAX(C$5:C$1000,F$5:F$1000),"")</f>
        <v/>
      </c>
      <c r="J821" s="45" t="str">
        <f>IF(AND(Registro!D820="Abierto",Registro!E820="Baja"),Registro!B820,"")</f>
        <v/>
      </c>
      <c r="K821" s="45" t="str">
        <f ca="1">IF(AND(Registro!D820="Abierto",Registro!E820="Baja"),TODAY()-Registro!R820,"")</f>
        <v/>
      </c>
      <c r="L821" s="45" t="str">
        <f>IF(AND(Registro!D820="Abierto",Registro!E820="Baja"),RANK(K821,$K$9:$K$1000,0)+COUNTIF($K$9:K821,K821)-1+MAX(C$5:C$1000,F$5:F$1000,I$5:I$1000),"")</f>
        <v/>
      </c>
      <c r="M821" s="46" t="str">
        <f>IF(OR(Registro!D820="Resuelto",Registro!D820=""),"",SUM(C821,F821,I821,L821))</f>
        <v/>
      </c>
      <c r="N821" s="46" t="str">
        <f>IF(OR(Registro!D820="Resuelto",Registro!D820=""),"",SUM(B821,E821,H821,K821))</f>
        <v/>
      </c>
      <c r="O821" s="46" t="str">
        <f>IF(OR(Registro!D820="Resuelto",Registro!D820=""),"",_xlfn.CONCAT(A821,D821,G821,J821))</f>
        <v/>
      </c>
      <c r="P821" s="47">
        <v>813</v>
      </c>
      <c r="Q821" s="47" t="str">
        <f t="shared" ca="1" si="36"/>
        <v/>
      </c>
      <c r="R821" s="48" t="str">
        <f t="shared" ca="1" si="37"/>
        <v/>
      </c>
      <c r="S821" s="32"/>
      <c r="T821" s="32"/>
      <c r="U821" s="32"/>
      <c r="V821" s="32"/>
      <c r="W821" s="47" t="str">
        <f>IF(X821="","",MAX($W$5:W820)+1)</f>
        <v/>
      </c>
      <c r="X821" s="50" t="str">
        <f>IF(Registro!M820="","",IF(COUNTIF($X$8:X820,Registro!M820)=0,Registro!M820,""))</f>
        <v/>
      </c>
      <c r="Y821" s="50" t="str">
        <f t="shared" si="38"/>
        <v/>
      </c>
    </row>
    <row r="822" spans="1:25">
      <c r="A822" s="45" t="str">
        <f>IF(AND(Registro!D821="Abierto",Registro!E821="Urgente"),Registro!B821,"")</f>
        <v/>
      </c>
      <c r="B822" s="45" t="str">
        <f ca="1">IF(AND(Registro!D821="Abierto",Registro!E821="Urgente"),TODAY()-Registro!R821,"")</f>
        <v/>
      </c>
      <c r="C822" s="45" t="str">
        <f>IF(AND(Registro!D821="Abierto",Registro!E821="Urgente"),RANK(B822,$B$9:$B$1000,0)+COUNTIF($B$9:B822,B822)-1,"")</f>
        <v/>
      </c>
      <c r="D822" s="45" t="str">
        <f>IF(AND(Registro!D821="Abierto",Registro!E821="Alta"),Registro!B821,"")</f>
        <v/>
      </c>
      <c r="E822" s="45" t="str">
        <f ca="1">IF(AND(Registro!D821="Abierto",Registro!E821="Alta"),TODAY()-Registro!R821,"")</f>
        <v/>
      </c>
      <c r="F822" s="45" t="str">
        <f>IF(AND(Registro!D821="Abierto",Registro!E821="Alta"),RANK(E822,$E$9:$E$1000,0)+COUNTIF($E$9:E822,E822)-1+MAX(C$5:C$1000),"")</f>
        <v/>
      </c>
      <c r="G822" s="45" t="str">
        <f>IF(AND(Registro!D821="Abierto",Registro!E821="Media"),Registro!B821,"")</f>
        <v/>
      </c>
      <c r="H822" s="45" t="str">
        <f ca="1">IF(AND(Registro!D821="Abierto",Registro!E821="Media"),TODAY()-Registro!R821,"")</f>
        <v/>
      </c>
      <c r="I822" s="45" t="str">
        <f>IF(AND(Registro!D821="Abierto",Registro!E821="Media"),RANK(H822,$H$9:$H$1000,0)+COUNTIF($H$9:H822,H822)-1+MAX(C$5:C$1000,F$5:F$1000),"")</f>
        <v/>
      </c>
      <c r="J822" s="45" t="str">
        <f>IF(AND(Registro!D821="Abierto",Registro!E821="Baja"),Registro!B821,"")</f>
        <v/>
      </c>
      <c r="K822" s="45" t="str">
        <f ca="1">IF(AND(Registro!D821="Abierto",Registro!E821="Baja"),TODAY()-Registro!R821,"")</f>
        <v/>
      </c>
      <c r="L822" s="45" t="str">
        <f>IF(AND(Registro!D821="Abierto",Registro!E821="Baja"),RANK(K822,$K$9:$K$1000,0)+COUNTIF($K$9:K822,K822)-1+MAX(C$5:C$1000,F$5:F$1000,I$5:I$1000),"")</f>
        <v/>
      </c>
      <c r="M822" s="46" t="str">
        <f>IF(OR(Registro!D821="Resuelto",Registro!D821=""),"",SUM(C822,F822,I822,L822))</f>
        <v/>
      </c>
      <c r="N822" s="46" t="str">
        <f>IF(OR(Registro!D821="Resuelto",Registro!D821=""),"",SUM(B822,E822,H822,K822))</f>
        <v/>
      </c>
      <c r="O822" s="46" t="str">
        <f>IF(OR(Registro!D821="Resuelto",Registro!D821=""),"",_xlfn.CONCAT(A822,D822,G822,J822))</f>
        <v/>
      </c>
      <c r="P822" s="47">
        <v>814</v>
      </c>
      <c r="Q822" s="47" t="str">
        <f t="shared" ca="1" si="36"/>
        <v/>
      </c>
      <c r="R822" s="48" t="str">
        <f t="shared" ca="1" si="37"/>
        <v/>
      </c>
      <c r="S822" s="32"/>
      <c r="T822" s="32"/>
      <c r="U822" s="32"/>
      <c r="V822" s="32"/>
      <c r="W822" s="47" t="str">
        <f>IF(X822="","",MAX($W$5:W821)+1)</f>
        <v/>
      </c>
      <c r="X822" s="50" t="str">
        <f>IF(Registro!M821="","",IF(COUNTIF($X$8:X821,Registro!M821)=0,Registro!M821,""))</f>
        <v/>
      </c>
      <c r="Y822" s="50" t="str">
        <f t="shared" si="38"/>
        <v/>
      </c>
    </row>
    <row r="823" spans="1:25">
      <c r="A823" s="45" t="str">
        <f>IF(AND(Registro!D822="Abierto",Registro!E822="Urgente"),Registro!B822,"")</f>
        <v/>
      </c>
      <c r="B823" s="45" t="str">
        <f ca="1">IF(AND(Registro!D822="Abierto",Registro!E822="Urgente"),TODAY()-Registro!R822,"")</f>
        <v/>
      </c>
      <c r="C823" s="45" t="str">
        <f>IF(AND(Registro!D822="Abierto",Registro!E822="Urgente"),RANK(B823,$B$9:$B$1000,0)+COUNTIF($B$9:B823,B823)-1,"")</f>
        <v/>
      </c>
      <c r="D823" s="45" t="str">
        <f>IF(AND(Registro!D822="Abierto",Registro!E822="Alta"),Registro!B822,"")</f>
        <v/>
      </c>
      <c r="E823" s="45" t="str">
        <f ca="1">IF(AND(Registro!D822="Abierto",Registro!E822="Alta"),TODAY()-Registro!R822,"")</f>
        <v/>
      </c>
      <c r="F823" s="45" t="str">
        <f>IF(AND(Registro!D822="Abierto",Registro!E822="Alta"),RANK(E823,$E$9:$E$1000,0)+COUNTIF($E$9:E823,E823)-1+MAX(C$5:C$1000),"")</f>
        <v/>
      </c>
      <c r="G823" s="45" t="str">
        <f>IF(AND(Registro!D822="Abierto",Registro!E822="Media"),Registro!B822,"")</f>
        <v/>
      </c>
      <c r="H823" s="45" t="str">
        <f ca="1">IF(AND(Registro!D822="Abierto",Registro!E822="Media"),TODAY()-Registro!R822,"")</f>
        <v/>
      </c>
      <c r="I823" s="45" t="str">
        <f>IF(AND(Registro!D822="Abierto",Registro!E822="Media"),RANK(H823,$H$9:$H$1000,0)+COUNTIF($H$9:H823,H823)-1+MAX(C$5:C$1000,F$5:F$1000),"")</f>
        <v/>
      </c>
      <c r="J823" s="45" t="str">
        <f>IF(AND(Registro!D822="Abierto",Registro!E822="Baja"),Registro!B822,"")</f>
        <v/>
      </c>
      <c r="K823" s="45" t="str">
        <f ca="1">IF(AND(Registro!D822="Abierto",Registro!E822="Baja"),TODAY()-Registro!R822,"")</f>
        <v/>
      </c>
      <c r="L823" s="45" t="str">
        <f>IF(AND(Registro!D822="Abierto",Registro!E822="Baja"),RANK(K823,$K$9:$K$1000,0)+COUNTIF($K$9:K823,K823)-1+MAX(C$5:C$1000,F$5:F$1000,I$5:I$1000),"")</f>
        <v/>
      </c>
      <c r="M823" s="46" t="str">
        <f>IF(OR(Registro!D822="Resuelto",Registro!D822=""),"",SUM(C823,F823,I823,L823))</f>
        <v/>
      </c>
      <c r="N823" s="46" t="str">
        <f>IF(OR(Registro!D822="Resuelto",Registro!D822=""),"",SUM(B823,E823,H823,K823))</f>
        <v/>
      </c>
      <c r="O823" s="46" t="str">
        <f>IF(OR(Registro!D822="Resuelto",Registro!D822=""),"",_xlfn.CONCAT(A823,D823,G823,J823))</f>
        <v/>
      </c>
      <c r="P823" s="47">
        <v>815</v>
      </c>
      <c r="Q823" s="47" t="str">
        <f t="shared" ca="1" si="36"/>
        <v/>
      </c>
      <c r="R823" s="48" t="str">
        <f t="shared" ca="1" si="37"/>
        <v/>
      </c>
      <c r="S823" s="32"/>
      <c r="T823" s="32"/>
      <c r="U823" s="32"/>
      <c r="V823" s="32"/>
      <c r="W823" s="47" t="str">
        <f>IF(X823="","",MAX($W$5:W822)+1)</f>
        <v/>
      </c>
      <c r="X823" s="50" t="str">
        <f>IF(Registro!M822="","",IF(COUNTIF($X$8:X822,Registro!M822)=0,Registro!M822,""))</f>
        <v/>
      </c>
      <c r="Y823" s="50" t="str">
        <f t="shared" si="38"/>
        <v/>
      </c>
    </row>
    <row r="824" spans="1:25">
      <c r="A824" s="45" t="str">
        <f>IF(AND(Registro!D823="Abierto",Registro!E823="Urgente"),Registro!B823,"")</f>
        <v/>
      </c>
      <c r="B824" s="45" t="str">
        <f ca="1">IF(AND(Registro!D823="Abierto",Registro!E823="Urgente"),TODAY()-Registro!R823,"")</f>
        <v/>
      </c>
      <c r="C824" s="45" t="str">
        <f>IF(AND(Registro!D823="Abierto",Registro!E823="Urgente"),RANK(B824,$B$9:$B$1000,0)+COUNTIF($B$9:B824,B824)-1,"")</f>
        <v/>
      </c>
      <c r="D824" s="45" t="str">
        <f>IF(AND(Registro!D823="Abierto",Registro!E823="Alta"),Registro!B823,"")</f>
        <v/>
      </c>
      <c r="E824" s="45" t="str">
        <f ca="1">IF(AND(Registro!D823="Abierto",Registro!E823="Alta"),TODAY()-Registro!R823,"")</f>
        <v/>
      </c>
      <c r="F824" s="45" t="str">
        <f>IF(AND(Registro!D823="Abierto",Registro!E823="Alta"),RANK(E824,$E$9:$E$1000,0)+COUNTIF($E$9:E824,E824)-1+MAX(C$5:C$1000),"")</f>
        <v/>
      </c>
      <c r="G824" s="45" t="str">
        <f>IF(AND(Registro!D823="Abierto",Registro!E823="Media"),Registro!B823,"")</f>
        <v/>
      </c>
      <c r="H824" s="45" t="str">
        <f ca="1">IF(AND(Registro!D823="Abierto",Registro!E823="Media"),TODAY()-Registro!R823,"")</f>
        <v/>
      </c>
      <c r="I824" s="45" t="str">
        <f>IF(AND(Registro!D823="Abierto",Registro!E823="Media"),RANK(H824,$H$9:$H$1000,0)+COUNTIF($H$9:H824,H824)-1+MAX(C$5:C$1000,F$5:F$1000),"")</f>
        <v/>
      </c>
      <c r="J824" s="45" t="str">
        <f>IF(AND(Registro!D823="Abierto",Registro!E823="Baja"),Registro!B823,"")</f>
        <v/>
      </c>
      <c r="K824" s="45" t="str">
        <f ca="1">IF(AND(Registro!D823="Abierto",Registro!E823="Baja"),TODAY()-Registro!R823,"")</f>
        <v/>
      </c>
      <c r="L824" s="45" t="str">
        <f>IF(AND(Registro!D823="Abierto",Registro!E823="Baja"),RANK(K824,$K$9:$K$1000,0)+COUNTIF($K$9:K824,K824)-1+MAX(C$5:C$1000,F$5:F$1000,I$5:I$1000),"")</f>
        <v/>
      </c>
      <c r="M824" s="46" t="str">
        <f>IF(OR(Registro!D823="Resuelto",Registro!D823=""),"",SUM(C824,F824,I824,L824))</f>
        <v/>
      </c>
      <c r="N824" s="46" t="str">
        <f>IF(OR(Registro!D823="Resuelto",Registro!D823=""),"",SUM(B824,E824,H824,K824))</f>
        <v/>
      </c>
      <c r="O824" s="46" t="str">
        <f>IF(OR(Registro!D823="Resuelto",Registro!D823=""),"",_xlfn.CONCAT(A824,D824,G824,J824))</f>
        <v/>
      </c>
      <c r="P824" s="47">
        <v>816</v>
      </c>
      <c r="Q824" s="47" t="str">
        <f t="shared" ca="1" si="36"/>
        <v/>
      </c>
      <c r="R824" s="48" t="str">
        <f t="shared" ca="1" si="37"/>
        <v/>
      </c>
      <c r="S824" s="32"/>
      <c r="T824" s="32"/>
      <c r="U824" s="32"/>
      <c r="V824" s="32"/>
      <c r="W824" s="47" t="str">
        <f>IF(X824="","",MAX($W$5:W823)+1)</f>
        <v/>
      </c>
      <c r="X824" s="50" t="str">
        <f>IF(Registro!M823="","",IF(COUNTIF($X$8:X823,Registro!M823)=0,Registro!M823,""))</f>
        <v/>
      </c>
      <c r="Y824" s="50" t="str">
        <f t="shared" si="38"/>
        <v/>
      </c>
    </row>
    <row r="825" spans="1:25">
      <c r="A825" s="45" t="str">
        <f>IF(AND(Registro!D824="Abierto",Registro!E824="Urgente"),Registro!B824,"")</f>
        <v/>
      </c>
      <c r="B825" s="45" t="str">
        <f ca="1">IF(AND(Registro!D824="Abierto",Registro!E824="Urgente"),TODAY()-Registro!R824,"")</f>
        <v/>
      </c>
      <c r="C825" s="45" t="str">
        <f>IF(AND(Registro!D824="Abierto",Registro!E824="Urgente"),RANK(B825,$B$9:$B$1000,0)+COUNTIF($B$9:B825,B825)-1,"")</f>
        <v/>
      </c>
      <c r="D825" s="45" t="str">
        <f>IF(AND(Registro!D824="Abierto",Registro!E824="Alta"),Registro!B824,"")</f>
        <v/>
      </c>
      <c r="E825" s="45" t="str">
        <f ca="1">IF(AND(Registro!D824="Abierto",Registro!E824="Alta"),TODAY()-Registro!R824,"")</f>
        <v/>
      </c>
      <c r="F825" s="45" t="str">
        <f>IF(AND(Registro!D824="Abierto",Registro!E824="Alta"),RANK(E825,$E$9:$E$1000,0)+COUNTIF($E$9:E825,E825)-1+MAX(C$5:C$1000),"")</f>
        <v/>
      </c>
      <c r="G825" s="45" t="str">
        <f>IF(AND(Registro!D824="Abierto",Registro!E824="Media"),Registro!B824,"")</f>
        <v/>
      </c>
      <c r="H825" s="45" t="str">
        <f ca="1">IF(AND(Registro!D824="Abierto",Registro!E824="Media"),TODAY()-Registro!R824,"")</f>
        <v/>
      </c>
      <c r="I825" s="45" t="str">
        <f>IF(AND(Registro!D824="Abierto",Registro!E824="Media"),RANK(H825,$H$9:$H$1000,0)+COUNTIF($H$9:H825,H825)-1+MAX(C$5:C$1000,F$5:F$1000),"")</f>
        <v/>
      </c>
      <c r="J825" s="45" t="str">
        <f>IF(AND(Registro!D824="Abierto",Registro!E824="Baja"),Registro!B824,"")</f>
        <v/>
      </c>
      <c r="K825" s="45" t="str">
        <f ca="1">IF(AND(Registro!D824="Abierto",Registro!E824="Baja"),TODAY()-Registro!R824,"")</f>
        <v/>
      </c>
      <c r="L825" s="45" t="str">
        <f>IF(AND(Registro!D824="Abierto",Registro!E824="Baja"),RANK(K825,$K$9:$K$1000,0)+COUNTIF($K$9:K825,K825)-1+MAX(C$5:C$1000,F$5:F$1000,I$5:I$1000),"")</f>
        <v/>
      </c>
      <c r="M825" s="46" t="str">
        <f>IF(OR(Registro!D824="Resuelto",Registro!D824=""),"",SUM(C825,F825,I825,L825))</f>
        <v/>
      </c>
      <c r="N825" s="46" t="str">
        <f>IF(OR(Registro!D824="Resuelto",Registro!D824=""),"",SUM(B825,E825,H825,K825))</f>
        <v/>
      </c>
      <c r="O825" s="46" t="str">
        <f>IF(OR(Registro!D824="Resuelto",Registro!D824=""),"",_xlfn.CONCAT(A825,D825,G825,J825))</f>
        <v/>
      </c>
      <c r="P825" s="47">
        <v>817</v>
      </c>
      <c r="Q825" s="47" t="str">
        <f t="shared" ca="1" si="36"/>
        <v/>
      </c>
      <c r="R825" s="48" t="str">
        <f t="shared" ca="1" si="37"/>
        <v/>
      </c>
      <c r="S825" s="32"/>
      <c r="T825" s="32"/>
      <c r="U825" s="32"/>
      <c r="V825" s="32"/>
      <c r="W825" s="47" t="str">
        <f>IF(X825="","",MAX($W$5:W824)+1)</f>
        <v/>
      </c>
      <c r="X825" s="50" t="str">
        <f>IF(Registro!M824="","",IF(COUNTIF($X$8:X824,Registro!M824)=0,Registro!M824,""))</f>
        <v/>
      </c>
      <c r="Y825" s="50" t="str">
        <f t="shared" si="38"/>
        <v/>
      </c>
    </row>
    <row r="826" spans="1:25">
      <c r="A826" s="45" t="str">
        <f>IF(AND(Registro!D825="Abierto",Registro!E825="Urgente"),Registro!B825,"")</f>
        <v/>
      </c>
      <c r="B826" s="45" t="str">
        <f ca="1">IF(AND(Registro!D825="Abierto",Registro!E825="Urgente"),TODAY()-Registro!R825,"")</f>
        <v/>
      </c>
      <c r="C826" s="45" t="str">
        <f>IF(AND(Registro!D825="Abierto",Registro!E825="Urgente"),RANK(B826,$B$9:$B$1000,0)+COUNTIF($B$9:B826,B826)-1,"")</f>
        <v/>
      </c>
      <c r="D826" s="45" t="str">
        <f>IF(AND(Registro!D825="Abierto",Registro!E825="Alta"),Registro!B825,"")</f>
        <v/>
      </c>
      <c r="E826" s="45" t="str">
        <f ca="1">IF(AND(Registro!D825="Abierto",Registro!E825="Alta"),TODAY()-Registro!R825,"")</f>
        <v/>
      </c>
      <c r="F826" s="45" t="str">
        <f>IF(AND(Registro!D825="Abierto",Registro!E825="Alta"),RANK(E826,$E$9:$E$1000,0)+COUNTIF($E$9:E826,E826)-1+MAX(C$5:C$1000),"")</f>
        <v/>
      </c>
      <c r="G826" s="45" t="str">
        <f>IF(AND(Registro!D825="Abierto",Registro!E825="Media"),Registro!B825,"")</f>
        <v/>
      </c>
      <c r="H826" s="45" t="str">
        <f ca="1">IF(AND(Registro!D825="Abierto",Registro!E825="Media"),TODAY()-Registro!R825,"")</f>
        <v/>
      </c>
      <c r="I826" s="45" t="str">
        <f>IF(AND(Registro!D825="Abierto",Registro!E825="Media"),RANK(H826,$H$9:$H$1000,0)+COUNTIF($H$9:H826,H826)-1+MAX(C$5:C$1000,F$5:F$1000),"")</f>
        <v/>
      </c>
      <c r="J826" s="45" t="str">
        <f>IF(AND(Registro!D825="Abierto",Registro!E825="Baja"),Registro!B825,"")</f>
        <v/>
      </c>
      <c r="K826" s="45" t="str">
        <f ca="1">IF(AND(Registro!D825="Abierto",Registro!E825="Baja"),TODAY()-Registro!R825,"")</f>
        <v/>
      </c>
      <c r="L826" s="45" t="str">
        <f>IF(AND(Registro!D825="Abierto",Registro!E825="Baja"),RANK(K826,$K$9:$K$1000,0)+COUNTIF($K$9:K826,K826)-1+MAX(C$5:C$1000,F$5:F$1000,I$5:I$1000),"")</f>
        <v/>
      </c>
      <c r="M826" s="46" t="str">
        <f>IF(OR(Registro!D825="Resuelto",Registro!D825=""),"",SUM(C826,F826,I826,L826))</f>
        <v/>
      </c>
      <c r="N826" s="46" t="str">
        <f>IF(OR(Registro!D825="Resuelto",Registro!D825=""),"",SUM(B826,E826,H826,K826))</f>
        <v/>
      </c>
      <c r="O826" s="46" t="str">
        <f>IF(OR(Registro!D825="Resuelto",Registro!D825=""),"",_xlfn.CONCAT(A826,D826,G826,J826))</f>
        <v/>
      </c>
      <c r="P826" s="47">
        <v>818</v>
      </c>
      <c r="Q826" s="47" t="str">
        <f t="shared" ca="1" si="36"/>
        <v/>
      </c>
      <c r="R826" s="48" t="str">
        <f t="shared" ca="1" si="37"/>
        <v/>
      </c>
      <c r="S826" s="32"/>
      <c r="T826" s="32"/>
      <c r="U826" s="32"/>
      <c r="V826" s="32"/>
      <c r="W826" s="47" t="str">
        <f>IF(X826="","",MAX($W$5:W825)+1)</f>
        <v/>
      </c>
      <c r="X826" s="50" t="str">
        <f>IF(Registro!M825="","",IF(COUNTIF($X$8:X825,Registro!M825)=0,Registro!M825,""))</f>
        <v/>
      </c>
      <c r="Y826" s="50" t="str">
        <f t="shared" si="38"/>
        <v/>
      </c>
    </row>
    <row r="827" spans="1:25">
      <c r="A827" s="45" t="str">
        <f>IF(AND(Registro!D826="Abierto",Registro!E826="Urgente"),Registro!B826,"")</f>
        <v/>
      </c>
      <c r="B827" s="45" t="str">
        <f ca="1">IF(AND(Registro!D826="Abierto",Registro!E826="Urgente"),TODAY()-Registro!R826,"")</f>
        <v/>
      </c>
      <c r="C827" s="45" t="str">
        <f>IF(AND(Registro!D826="Abierto",Registro!E826="Urgente"),RANK(B827,$B$9:$B$1000,0)+COUNTIF($B$9:B827,B827)-1,"")</f>
        <v/>
      </c>
      <c r="D827" s="45" t="str">
        <f>IF(AND(Registro!D826="Abierto",Registro!E826="Alta"),Registro!B826,"")</f>
        <v/>
      </c>
      <c r="E827" s="45" t="str">
        <f ca="1">IF(AND(Registro!D826="Abierto",Registro!E826="Alta"),TODAY()-Registro!R826,"")</f>
        <v/>
      </c>
      <c r="F827" s="45" t="str">
        <f>IF(AND(Registro!D826="Abierto",Registro!E826="Alta"),RANK(E827,$E$9:$E$1000,0)+COUNTIF($E$9:E827,E827)-1+MAX(C$5:C$1000),"")</f>
        <v/>
      </c>
      <c r="G827" s="45" t="str">
        <f>IF(AND(Registro!D826="Abierto",Registro!E826="Media"),Registro!B826,"")</f>
        <v/>
      </c>
      <c r="H827" s="45" t="str">
        <f ca="1">IF(AND(Registro!D826="Abierto",Registro!E826="Media"),TODAY()-Registro!R826,"")</f>
        <v/>
      </c>
      <c r="I827" s="45" t="str">
        <f>IF(AND(Registro!D826="Abierto",Registro!E826="Media"),RANK(H827,$H$9:$H$1000,0)+COUNTIF($H$9:H827,H827)-1+MAX(C$5:C$1000,F$5:F$1000),"")</f>
        <v/>
      </c>
      <c r="J827" s="45" t="str">
        <f>IF(AND(Registro!D826="Abierto",Registro!E826="Baja"),Registro!B826,"")</f>
        <v/>
      </c>
      <c r="K827" s="45" t="str">
        <f ca="1">IF(AND(Registro!D826="Abierto",Registro!E826="Baja"),TODAY()-Registro!R826,"")</f>
        <v/>
      </c>
      <c r="L827" s="45" t="str">
        <f>IF(AND(Registro!D826="Abierto",Registro!E826="Baja"),RANK(K827,$K$9:$K$1000,0)+COUNTIF($K$9:K827,K827)-1+MAX(C$5:C$1000,F$5:F$1000,I$5:I$1000),"")</f>
        <v/>
      </c>
      <c r="M827" s="46" t="str">
        <f>IF(OR(Registro!D826="Resuelto",Registro!D826=""),"",SUM(C827,F827,I827,L827))</f>
        <v/>
      </c>
      <c r="N827" s="46" t="str">
        <f>IF(OR(Registro!D826="Resuelto",Registro!D826=""),"",SUM(B827,E827,H827,K827))</f>
        <v/>
      </c>
      <c r="O827" s="46" t="str">
        <f>IF(OR(Registro!D826="Resuelto",Registro!D826=""),"",_xlfn.CONCAT(A827,D827,G827,J827))</f>
        <v/>
      </c>
      <c r="P827" s="47">
        <v>819</v>
      </c>
      <c r="Q827" s="47" t="str">
        <f t="shared" ca="1" si="36"/>
        <v/>
      </c>
      <c r="R827" s="48" t="str">
        <f t="shared" ca="1" si="37"/>
        <v/>
      </c>
      <c r="S827" s="32"/>
      <c r="T827" s="32"/>
      <c r="U827" s="32"/>
      <c r="V827" s="32"/>
      <c r="W827" s="47" t="str">
        <f>IF(X827="","",MAX($W$5:W826)+1)</f>
        <v/>
      </c>
      <c r="X827" s="50" t="str">
        <f>IF(Registro!M826="","",IF(COUNTIF($X$8:X826,Registro!M826)=0,Registro!M826,""))</f>
        <v/>
      </c>
      <c r="Y827" s="50" t="str">
        <f t="shared" si="38"/>
        <v/>
      </c>
    </row>
    <row r="828" spans="1:25">
      <c r="A828" s="45" t="str">
        <f>IF(AND(Registro!D827="Abierto",Registro!E827="Urgente"),Registro!B827,"")</f>
        <v/>
      </c>
      <c r="B828" s="45" t="str">
        <f ca="1">IF(AND(Registro!D827="Abierto",Registro!E827="Urgente"),TODAY()-Registro!R827,"")</f>
        <v/>
      </c>
      <c r="C828" s="45" t="str">
        <f>IF(AND(Registro!D827="Abierto",Registro!E827="Urgente"),RANK(B828,$B$9:$B$1000,0)+COUNTIF($B$9:B828,B828)-1,"")</f>
        <v/>
      </c>
      <c r="D828" s="45" t="str">
        <f>IF(AND(Registro!D827="Abierto",Registro!E827="Alta"),Registro!B827,"")</f>
        <v/>
      </c>
      <c r="E828" s="45" t="str">
        <f ca="1">IF(AND(Registro!D827="Abierto",Registro!E827="Alta"),TODAY()-Registro!R827,"")</f>
        <v/>
      </c>
      <c r="F828" s="45" t="str">
        <f>IF(AND(Registro!D827="Abierto",Registro!E827="Alta"),RANK(E828,$E$9:$E$1000,0)+COUNTIF($E$9:E828,E828)-1+MAX(C$5:C$1000),"")</f>
        <v/>
      </c>
      <c r="G828" s="45" t="str">
        <f>IF(AND(Registro!D827="Abierto",Registro!E827="Media"),Registro!B827,"")</f>
        <v/>
      </c>
      <c r="H828" s="45" t="str">
        <f ca="1">IF(AND(Registro!D827="Abierto",Registro!E827="Media"),TODAY()-Registro!R827,"")</f>
        <v/>
      </c>
      <c r="I828" s="45" t="str">
        <f>IF(AND(Registro!D827="Abierto",Registro!E827="Media"),RANK(H828,$H$9:$H$1000,0)+COUNTIF($H$9:H828,H828)-1+MAX(C$5:C$1000,F$5:F$1000),"")</f>
        <v/>
      </c>
      <c r="J828" s="45" t="str">
        <f>IF(AND(Registro!D827="Abierto",Registro!E827="Baja"),Registro!B827,"")</f>
        <v/>
      </c>
      <c r="K828" s="45" t="str">
        <f ca="1">IF(AND(Registro!D827="Abierto",Registro!E827="Baja"),TODAY()-Registro!R827,"")</f>
        <v/>
      </c>
      <c r="L828" s="45" t="str">
        <f>IF(AND(Registro!D827="Abierto",Registro!E827="Baja"),RANK(K828,$K$9:$K$1000,0)+COUNTIF($K$9:K828,K828)-1+MAX(C$5:C$1000,F$5:F$1000,I$5:I$1000),"")</f>
        <v/>
      </c>
      <c r="M828" s="46" t="str">
        <f>IF(OR(Registro!D827="Resuelto",Registro!D827=""),"",SUM(C828,F828,I828,L828))</f>
        <v/>
      </c>
      <c r="N828" s="46" t="str">
        <f>IF(OR(Registro!D827="Resuelto",Registro!D827=""),"",SUM(B828,E828,H828,K828))</f>
        <v/>
      </c>
      <c r="O828" s="46" t="str">
        <f>IF(OR(Registro!D827="Resuelto",Registro!D827=""),"",_xlfn.CONCAT(A828,D828,G828,J828))</f>
        <v/>
      </c>
      <c r="P828" s="47">
        <v>820</v>
      </c>
      <c r="Q828" s="47" t="str">
        <f t="shared" ca="1" si="36"/>
        <v/>
      </c>
      <c r="R828" s="48" t="str">
        <f t="shared" ca="1" si="37"/>
        <v/>
      </c>
      <c r="S828" s="32"/>
      <c r="T828" s="32"/>
      <c r="U828" s="32"/>
      <c r="V828" s="32"/>
      <c r="W828" s="47" t="str">
        <f>IF(X828="","",MAX($W$5:W827)+1)</f>
        <v/>
      </c>
      <c r="X828" s="50" t="str">
        <f>IF(Registro!M827="","",IF(COUNTIF($X$8:X827,Registro!M827)=0,Registro!M827,""))</f>
        <v/>
      </c>
      <c r="Y828" s="50" t="str">
        <f t="shared" si="38"/>
        <v/>
      </c>
    </row>
    <row r="829" spans="1:25">
      <c r="A829" s="45" t="str">
        <f>IF(AND(Registro!D828="Abierto",Registro!E828="Urgente"),Registro!B828,"")</f>
        <v/>
      </c>
      <c r="B829" s="45" t="str">
        <f ca="1">IF(AND(Registro!D828="Abierto",Registro!E828="Urgente"),TODAY()-Registro!R828,"")</f>
        <v/>
      </c>
      <c r="C829" s="45" t="str">
        <f>IF(AND(Registro!D828="Abierto",Registro!E828="Urgente"),RANK(B829,$B$9:$B$1000,0)+COUNTIF($B$9:B829,B829)-1,"")</f>
        <v/>
      </c>
      <c r="D829" s="45" t="str">
        <f>IF(AND(Registro!D828="Abierto",Registro!E828="Alta"),Registro!B828,"")</f>
        <v/>
      </c>
      <c r="E829" s="45" t="str">
        <f ca="1">IF(AND(Registro!D828="Abierto",Registro!E828="Alta"),TODAY()-Registro!R828,"")</f>
        <v/>
      </c>
      <c r="F829" s="45" t="str">
        <f>IF(AND(Registro!D828="Abierto",Registro!E828="Alta"),RANK(E829,$E$9:$E$1000,0)+COUNTIF($E$9:E829,E829)-1+MAX(C$5:C$1000),"")</f>
        <v/>
      </c>
      <c r="G829" s="45" t="str">
        <f>IF(AND(Registro!D828="Abierto",Registro!E828="Media"),Registro!B828,"")</f>
        <v/>
      </c>
      <c r="H829" s="45" t="str">
        <f ca="1">IF(AND(Registro!D828="Abierto",Registro!E828="Media"),TODAY()-Registro!R828,"")</f>
        <v/>
      </c>
      <c r="I829" s="45" t="str">
        <f>IF(AND(Registro!D828="Abierto",Registro!E828="Media"),RANK(H829,$H$9:$H$1000,0)+COUNTIF($H$9:H829,H829)-1+MAX(C$5:C$1000,F$5:F$1000),"")</f>
        <v/>
      </c>
      <c r="J829" s="45" t="str">
        <f>IF(AND(Registro!D828="Abierto",Registro!E828="Baja"),Registro!B828,"")</f>
        <v/>
      </c>
      <c r="K829" s="45" t="str">
        <f ca="1">IF(AND(Registro!D828="Abierto",Registro!E828="Baja"),TODAY()-Registro!R828,"")</f>
        <v/>
      </c>
      <c r="L829" s="45" t="str">
        <f>IF(AND(Registro!D828="Abierto",Registro!E828="Baja"),RANK(K829,$K$9:$K$1000,0)+COUNTIF($K$9:K829,K829)-1+MAX(C$5:C$1000,F$5:F$1000,I$5:I$1000),"")</f>
        <v/>
      </c>
      <c r="M829" s="46" t="str">
        <f>IF(OR(Registro!D828="Resuelto",Registro!D828=""),"",SUM(C829,F829,I829,L829))</f>
        <v/>
      </c>
      <c r="N829" s="46" t="str">
        <f>IF(OR(Registro!D828="Resuelto",Registro!D828=""),"",SUM(B829,E829,H829,K829))</f>
        <v/>
      </c>
      <c r="O829" s="46" t="str">
        <f>IF(OR(Registro!D828="Resuelto",Registro!D828=""),"",_xlfn.CONCAT(A829,D829,G829,J829))</f>
        <v/>
      </c>
      <c r="P829" s="47">
        <v>821</v>
      </c>
      <c r="Q829" s="47" t="str">
        <f t="shared" ca="1" si="36"/>
        <v/>
      </c>
      <c r="R829" s="48" t="str">
        <f t="shared" ca="1" si="37"/>
        <v/>
      </c>
      <c r="S829" s="32"/>
      <c r="T829" s="32"/>
      <c r="U829" s="32"/>
      <c r="V829" s="32"/>
      <c r="W829" s="47" t="str">
        <f>IF(X829="","",MAX($W$5:W828)+1)</f>
        <v/>
      </c>
      <c r="X829" s="50" t="str">
        <f>IF(Registro!M828="","",IF(COUNTIF($X$8:X828,Registro!M828)=0,Registro!M828,""))</f>
        <v/>
      </c>
      <c r="Y829" s="50" t="str">
        <f t="shared" si="38"/>
        <v/>
      </c>
    </row>
    <row r="830" spans="1:25">
      <c r="A830" s="45" t="str">
        <f>IF(AND(Registro!D829="Abierto",Registro!E829="Urgente"),Registro!B829,"")</f>
        <v/>
      </c>
      <c r="B830" s="45" t="str">
        <f ca="1">IF(AND(Registro!D829="Abierto",Registro!E829="Urgente"),TODAY()-Registro!R829,"")</f>
        <v/>
      </c>
      <c r="C830" s="45" t="str">
        <f>IF(AND(Registro!D829="Abierto",Registro!E829="Urgente"),RANK(B830,$B$9:$B$1000,0)+COUNTIF($B$9:B830,B830)-1,"")</f>
        <v/>
      </c>
      <c r="D830" s="45" t="str">
        <f>IF(AND(Registro!D829="Abierto",Registro!E829="Alta"),Registro!B829,"")</f>
        <v/>
      </c>
      <c r="E830" s="45" t="str">
        <f ca="1">IF(AND(Registro!D829="Abierto",Registro!E829="Alta"),TODAY()-Registro!R829,"")</f>
        <v/>
      </c>
      <c r="F830" s="45" t="str">
        <f>IF(AND(Registro!D829="Abierto",Registro!E829="Alta"),RANK(E830,$E$9:$E$1000,0)+COUNTIF($E$9:E830,E830)-1+MAX(C$5:C$1000),"")</f>
        <v/>
      </c>
      <c r="G830" s="45" t="str">
        <f>IF(AND(Registro!D829="Abierto",Registro!E829="Media"),Registro!B829,"")</f>
        <v/>
      </c>
      <c r="H830" s="45" t="str">
        <f ca="1">IF(AND(Registro!D829="Abierto",Registro!E829="Media"),TODAY()-Registro!R829,"")</f>
        <v/>
      </c>
      <c r="I830" s="45" t="str">
        <f>IF(AND(Registro!D829="Abierto",Registro!E829="Media"),RANK(H830,$H$9:$H$1000,0)+COUNTIF($H$9:H830,H830)-1+MAX(C$5:C$1000,F$5:F$1000),"")</f>
        <v/>
      </c>
      <c r="J830" s="45" t="str">
        <f>IF(AND(Registro!D829="Abierto",Registro!E829="Baja"),Registro!B829,"")</f>
        <v/>
      </c>
      <c r="K830" s="45" t="str">
        <f ca="1">IF(AND(Registro!D829="Abierto",Registro!E829="Baja"),TODAY()-Registro!R829,"")</f>
        <v/>
      </c>
      <c r="L830" s="45" t="str">
        <f>IF(AND(Registro!D829="Abierto",Registro!E829="Baja"),RANK(K830,$K$9:$K$1000,0)+COUNTIF($K$9:K830,K830)-1+MAX(C$5:C$1000,F$5:F$1000,I$5:I$1000),"")</f>
        <v/>
      </c>
      <c r="M830" s="46" t="str">
        <f>IF(OR(Registro!D829="Resuelto",Registro!D829=""),"",SUM(C830,F830,I830,L830))</f>
        <v/>
      </c>
      <c r="N830" s="46" t="str">
        <f>IF(OR(Registro!D829="Resuelto",Registro!D829=""),"",SUM(B830,E830,H830,K830))</f>
        <v/>
      </c>
      <c r="O830" s="46" t="str">
        <f>IF(OR(Registro!D829="Resuelto",Registro!D829=""),"",_xlfn.CONCAT(A830,D830,G830,J830))</f>
        <v/>
      </c>
      <c r="P830" s="47">
        <v>822</v>
      </c>
      <c r="Q830" s="47" t="str">
        <f t="shared" ca="1" si="36"/>
        <v/>
      </c>
      <c r="R830" s="48" t="str">
        <f t="shared" ca="1" si="37"/>
        <v/>
      </c>
      <c r="S830" s="32"/>
      <c r="T830" s="32"/>
      <c r="U830" s="32"/>
      <c r="V830" s="32"/>
      <c r="W830" s="47" t="str">
        <f>IF(X830="","",MAX($W$5:W829)+1)</f>
        <v/>
      </c>
      <c r="X830" s="50" t="str">
        <f>IF(Registro!M829="","",IF(COUNTIF($X$8:X829,Registro!M829)=0,Registro!M829,""))</f>
        <v/>
      </c>
      <c r="Y830" s="50" t="str">
        <f t="shared" si="38"/>
        <v/>
      </c>
    </row>
    <row r="831" spans="1:25">
      <c r="A831" s="45" t="str">
        <f>IF(AND(Registro!D830="Abierto",Registro!E830="Urgente"),Registro!B830,"")</f>
        <v/>
      </c>
      <c r="B831" s="45" t="str">
        <f ca="1">IF(AND(Registro!D830="Abierto",Registro!E830="Urgente"),TODAY()-Registro!R830,"")</f>
        <v/>
      </c>
      <c r="C831" s="45" t="str">
        <f>IF(AND(Registro!D830="Abierto",Registro!E830="Urgente"),RANK(B831,$B$9:$B$1000,0)+COUNTIF($B$9:B831,B831)-1,"")</f>
        <v/>
      </c>
      <c r="D831" s="45" t="str">
        <f>IF(AND(Registro!D830="Abierto",Registro!E830="Alta"),Registro!B830,"")</f>
        <v/>
      </c>
      <c r="E831" s="45" t="str">
        <f ca="1">IF(AND(Registro!D830="Abierto",Registro!E830="Alta"),TODAY()-Registro!R830,"")</f>
        <v/>
      </c>
      <c r="F831" s="45" t="str">
        <f>IF(AND(Registro!D830="Abierto",Registro!E830="Alta"),RANK(E831,$E$9:$E$1000,0)+COUNTIF($E$9:E831,E831)-1+MAX(C$5:C$1000),"")</f>
        <v/>
      </c>
      <c r="G831" s="45" t="str">
        <f>IF(AND(Registro!D830="Abierto",Registro!E830="Media"),Registro!B830,"")</f>
        <v/>
      </c>
      <c r="H831" s="45" t="str">
        <f ca="1">IF(AND(Registro!D830="Abierto",Registro!E830="Media"),TODAY()-Registro!R830,"")</f>
        <v/>
      </c>
      <c r="I831" s="45" t="str">
        <f>IF(AND(Registro!D830="Abierto",Registro!E830="Media"),RANK(H831,$H$9:$H$1000,0)+COUNTIF($H$9:H831,H831)-1+MAX(C$5:C$1000,F$5:F$1000),"")</f>
        <v/>
      </c>
      <c r="J831" s="45" t="str">
        <f>IF(AND(Registro!D830="Abierto",Registro!E830="Baja"),Registro!B830,"")</f>
        <v/>
      </c>
      <c r="K831" s="45" t="str">
        <f ca="1">IF(AND(Registro!D830="Abierto",Registro!E830="Baja"),TODAY()-Registro!R830,"")</f>
        <v/>
      </c>
      <c r="L831" s="45" t="str">
        <f>IF(AND(Registro!D830="Abierto",Registro!E830="Baja"),RANK(K831,$K$9:$K$1000,0)+COUNTIF($K$9:K831,K831)-1+MAX(C$5:C$1000,F$5:F$1000,I$5:I$1000),"")</f>
        <v/>
      </c>
      <c r="M831" s="46" t="str">
        <f>IF(OR(Registro!D830="Resuelto",Registro!D830=""),"",SUM(C831,F831,I831,L831))</f>
        <v/>
      </c>
      <c r="N831" s="46" t="str">
        <f>IF(OR(Registro!D830="Resuelto",Registro!D830=""),"",SUM(B831,E831,H831,K831))</f>
        <v/>
      </c>
      <c r="O831" s="46" t="str">
        <f>IF(OR(Registro!D830="Resuelto",Registro!D830=""),"",_xlfn.CONCAT(A831,D831,G831,J831))</f>
        <v/>
      </c>
      <c r="P831" s="47">
        <v>823</v>
      </c>
      <c r="Q831" s="47" t="str">
        <f t="shared" ca="1" si="36"/>
        <v/>
      </c>
      <c r="R831" s="48" t="str">
        <f t="shared" ca="1" si="37"/>
        <v/>
      </c>
      <c r="S831" s="32"/>
      <c r="T831" s="32"/>
      <c r="U831" s="32"/>
      <c r="V831" s="32"/>
      <c r="W831" s="47" t="str">
        <f>IF(X831="","",MAX($W$5:W830)+1)</f>
        <v/>
      </c>
      <c r="X831" s="50" t="str">
        <f>IF(Registro!M830="","",IF(COUNTIF($X$8:X830,Registro!M830)=0,Registro!M830,""))</f>
        <v/>
      </c>
      <c r="Y831" s="50" t="str">
        <f t="shared" si="38"/>
        <v/>
      </c>
    </row>
    <row r="832" spans="1:25">
      <c r="A832" s="45" t="str">
        <f>IF(AND(Registro!D831="Abierto",Registro!E831="Urgente"),Registro!B831,"")</f>
        <v/>
      </c>
      <c r="B832" s="45" t="str">
        <f ca="1">IF(AND(Registro!D831="Abierto",Registro!E831="Urgente"),TODAY()-Registro!R831,"")</f>
        <v/>
      </c>
      <c r="C832" s="45" t="str">
        <f>IF(AND(Registro!D831="Abierto",Registro!E831="Urgente"),RANK(B832,$B$9:$B$1000,0)+COUNTIF($B$9:B832,B832)-1,"")</f>
        <v/>
      </c>
      <c r="D832" s="45" t="str">
        <f>IF(AND(Registro!D831="Abierto",Registro!E831="Alta"),Registro!B831,"")</f>
        <v/>
      </c>
      <c r="E832" s="45" t="str">
        <f ca="1">IF(AND(Registro!D831="Abierto",Registro!E831="Alta"),TODAY()-Registro!R831,"")</f>
        <v/>
      </c>
      <c r="F832" s="45" t="str">
        <f>IF(AND(Registro!D831="Abierto",Registro!E831="Alta"),RANK(E832,$E$9:$E$1000,0)+COUNTIF($E$9:E832,E832)-1+MAX(C$5:C$1000),"")</f>
        <v/>
      </c>
      <c r="G832" s="45" t="str">
        <f>IF(AND(Registro!D831="Abierto",Registro!E831="Media"),Registro!B831,"")</f>
        <v/>
      </c>
      <c r="H832" s="45" t="str">
        <f ca="1">IF(AND(Registro!D831="Abierto",Registro!E831="Media"),TODAY()-Registro!R831,"")</f>
        <v/>
      </c>
      <c r="I832" s="45" t="str">
        <f>IF(AND(Registro!D831="Abierto",Registro!E831="Media"),RANK(H832,$H$9:$H$1000,0)+COUNTIF($H$9:H832,H832)-1+MAX(C$5:C$1000,F$5:F$1000),"")</f>
        <v/>
      </c>
      <c r="J832" s="45" t="str">
        <f>IF(AND(Registro!D831="Abierto",Registro!E831="Baja"),Registro!B831,"")</f>
        <v/>
      </c>
      <c r="K832" s="45" t="str">
        <f ca="1">IF(AND(Registro!D831="Abierto",Registro!E831="Baja"),TODAY()-Registro!R831,"")</f>
        <v/>
      </c>
      <c r="L832" s="45" t="str">
        <f>IF(AND(Registro!D831="Abierto",Registro!E831="Baja"),RANK(K832,$K$9:$K$1000,0)+COUNTIF($K$9:K832,K832)-1+MAX(C$5:C$1000,F$5:F$1000,I$5:I$1000),"")</f>
        <v/>
      </c>
      <c r="M832" s="46" t="str">
        <f>IF(OR(Registro!D831="Resuelto",Registro!D831=""),"",SUM(C832,F832,I832,L832))</f>
        <v/>
      </c>
      <c r="N832" s="46" t="str">
        <f>IF(OR(Registro!D831="Resuelto",Registro!D831=""),"",SUM(B832,E832,H832,K832))</f>
        <v/>
      </c>
      <c r="O832" s="46" t="str">
        <f>IF(OR(Registro!D831="Resuelto",Registro!D831=""),"",_xlfn.CONCAT(A832,D832,G832,J832))</f>
        <v/>
      </c>
      <c r="P832" s="47">
        <v>824</v>
      </c>
      <c r="Q832" s="47" t="str">
        <f t="shared" ca="1" si="36"/>
        <v/>
      </c>
      <c r="R832" s="48" t="str">
        <f t="shared" ca="1" si="37"/>
        <v/>
      </c>
      <c r="S832" s="32"/>
      <c r="T832" s="32"/>
      <c r="U832" s="32"/>
      <c r="V832" s="32"/>
      <c r="W832" s="47" t="str">
        <f>IF(X832="","",MAX($W$5:W831)+1)</f>
        <v/>
      </c>
      <c r="X832" s="50" t="str">
        <f>IF(Registro!M831="","",IF(COUNTIF($X$8:X831,Registro!M831)=0,Registro!M831,""))</f>
        <v/>
      </c>
      <c r="Y832" s="50" t="str">
        <f t="shared" si="38"/>
        <v/>
      </c>
    </row>
    <row r="833" spans="1:25">
      <c r="A833" s="45" t="str">
        <f>IF(AND(Registro!D832="Abierto",Registro!E832="Urgente"),Registro!B832,"")</f>
        <v/>
      </c>
      <c r="B833" s="45" t="str">
        <f ca="1">IF(AND(Registro!D832="Abierto",Registro!E832="Urgente"),TODAY()-Registro!R832,"")</f>
        <v/>
      </c>
      <c r="C833" s="45" t="str">
        <f>IF(AND(Registro!D832="Abierto",Registro!E832="Urgente"),RANK(B833,$B$9:$B$1000,0)+COUNTIF($B$9:B833,B833)-1,"")</f>
        <v/>
      </c>
      <c r="D833" s="45" t="str">
        <f>IF(AND(Registro!D832="Abierto",Registro!E832="Alta"),Registro!B832,"")</f>
        <v/>
      </c>
      <c r="E833" s="45" t="str">
        <f ca="1">IF(AND(Registro!D832="Abierto",Registro!E832="Alta"),TODAY()-Registro!R832,"")</f>
        <v/>
      </c>
      <c r="F833" s="45" t="str">
        <f>IF(AND(Registro!D832="Abierto",Registro!E832="Alta"),RANK(E833,$E$9:$E$1000,0)+COUNTIF($E$9:E833,E833)-1+MAX(C$5:C$1000),"")</f>
        <v/>
      </c>
      <c r="G833" s="45" t="str">
        <f>IF(AND(Registro!D832="Abierto",Registro!E832="Media"),Registro!B832,"")</f>
        <v/>
      </c>
      <c r="H833" s="45" t="str">
        <f ca="1">IF(AND(Registro!D832="Abierto",Registro!E832="Media"),TODAY()-Registro!R832,"")</f>
        <v/>
      </c>
      <c r="I833" s="45" t="str">
        <f>IF(AND(Registro!D832="Abierto",Registro!E832="Media"),RANK(H833,$H$9:$H$1000,0)+COUNTIF($H$9:H833,H833)-1+MAX(C$5:C$1000,F$5:F$1000),"")</f>
        <v/>
      </c>
      <c r="J833" s="45" t="str">
        <f>IF(AND(Registro!D832="Abierto",Registro!E832="Baja"),Registro!B832,"")</f>
        <v/>
      </c>
      <c r="K833" s="45" t="str">
        <f ca="1">IF(AND(Registro!D832="Abierto",Registro!E832="Baja"),TODAY()-Registro!R832,"")</f>
        <v/>
      </c>
      <c r="L833" s="45" t="str">
        <f>IF(AND(Registro!D832="Abierto",Registro!E832="Baja"),RANK(K833,$K$9:$K$1000,0)+COUNTIF($K$9:K833,K833)-1+MAX(C$5:C$1000,F$5:F$1000,I$5:I$1000),"")</f>
        <v/>
      </c>
      <c r="M833" s="46" t="str">
        <f>IF(OR(Registro!D832="Resuelto",Registro!D832=""),"",SUM(C833,F833,I833,L833))</f>
        <v/>
      </c>
      <c r="N833" s="46" t="str">
        <f>IF(OR(Registro!D832="Resuelto",Registro!D832=""),"",SUM(B833,E833,H833,K833))</f>
        <v/>
      </c>
      <c r="O833" s="46" t="str">
        <f>IF(OR(Registro!D832="Resuelto",Registro!D832=""),"",_xlfn.CONCAT(A833,D833,G833,J833))</f>
        <v/>
      </c>
      <c r="P833" s="47">
        <v>825</v>
      </c>
      <c r="Q833" s="47" t="str">
        <f t="shared" ca="1" si="36"/>
        <v/>
      </c>
      <c r="R833" s="48" t="str">
        <f t="shared" ca="1" si="37"/>
        <v/>
      </c>
      <c r="S833" s="32"/>
      <c r="T833" s="32"/>
      <c r="U833" s="32"/>
      <c r="V833" s="32"/>
      <c r="W833" s="47" t="str">
        <f>IF(X833="","",MAX($W$5:W832)+1)</f>
        <v/>
      </c>
      <c r="X833" s="50" t="str">
        <f>IF(Registro!M832="","",IF(COUNTIF($X$8:X832,Registro!M832)=0,Registro!M832,""))</f>
        <v/>
      </c>
      <c r="Y833" s="50" t="str">
        <f t="shared" si="38"/>
        <v/>
      </c>
    </row>
    <row r="834" spans="1:25">
      <c r="A834" s="45" t="str">
        <f>IF(AND(Registro!D833="Abierto",Registro!E833="Urgente"),Registro!B833,"")</f>
        <v/>
      </c>
      <c r="B834" s="45" t="str">
        <f ca="1">IF(AND(Registro!D833="Abierto",Registro!E833="Urgente"),TODAY()-Registro!R833,"")</f>
        <v/>
      </c>
      <c r="C834" s="45" t="str">
        <f>IF(AND(Registro!D833="Abierto",Registro!E833="Urgente"),RANK(B834,$B$9:$B$1000,0)+COUNTIF($B$9:B834,B834)-1,"")</f>
        <v/>
      </c>
      <c r="D834" s="45" t="str">
        <f>IF(AND(Registro!D833="Abierto",Registro!E833="Alta"),Registro!B833,"")</f>
        <v/>
      </c>
      <c r="E834" s="45" t="str">
        <f ca="1">IF(AND(Registro!D833="Abierto",Registro!E833="Alta"),TODAY()-Registro!R833,"")</f>
        <v/>
      </c>
      <c r="F834" s="45" t="str">
        <f>IF(AND(Registro!D833="Abierto",Registro!E833="Alta"),RANK(E834,$E$9:$E$1000,0)+COUNTIF($E$9:E834,E834)-1+MAX(C$5:C$1000),"")</f>
        <v/>
      </c>
      <c r="G834" s="45" t="str">
        <f>IF(AND(Registro!D833="Abierto",Registro!E833="Media"),Registro!B833,"")</f>
        <v/>
      </c>
      <c r="H834" s="45" t="str">
        <f ca="1">IF(AND(Registro!D833="Abierto",Registro!E833="Media"),TODAY()-Registro!R833,"")</f>
        <v/>
      </c>
      <c r="I834" s="45" t="str">
        <f>IF(AND(Registro!D833="Abierto",Registro!E833="Media"),RANK(H834,$H$9:$H$1000,0)+COUNTIF($H$9:H834,H834)-1+MAX(C$5:C$1000,F$5:F$1000),"")</f>
        <v/>
      </c>
      <c r="J834" s="45" t="str">
        <f>IF(AND(Registro!D833="Abierto",Registro!E833="Baja"),Registro!B833,"")</f>
        <v/>
      </c>
      <c r="K834" s="45" t="str">
        <f ca="1">IF(AND(Registro!D833="Abierto",Registro!E833="Baja"),TODAY()-Registro!R833,"")</f>
        <v/>
      </c>
      <c r="L834" s="45" t="str">
        <f>IF(AND(Registro!D833="Abierto",Registro!E833="Baja"),RANK(K834,$K$9:$K$1000,0)+COUNTIF($K$9:K834,K834)-1+MAX(C$5:C$1000,F$5:F$1000,I$5:I$1000),"")</f>
        <v/>
      </c>
      <c r="M834" s="46" t="str">
        <f>IF(OR(Registro!D833="Resuelto",Registro!D833=""),"",SUM(C834,F834,I834,L834))</f>
        <v/>
      </c>
      <c r="N834" s="46" t="str">
        <f>IF(OR(Registro!D833="Resuelto",Registro!D833=""),"",SUM(B834,E834,H834,K834))</f>
        <v/>
      </c>
      <c r="O834" s="46" t="str">
        <f>IF(OR(Registro!D833="Resuelto",Registro!D833=""),"",_xlfn.CONCAT(A834,D834,G834,J834))</f>
        <v/>
      </c>
      <c r="P834" s="47">
        <v>826</v>
      </c>
      <c r="Q834" s="47" t="str">
        <f t="shared" ca="1" si="36"/>
        <v/>
      </c>
      <c r="R834" s="48" t="str">
        <f t="shared" ca="1" si="37"/>
        <v/>
      </c>
      <c r="S834" s="32"/>
      <c r="T834" s="32"/>
      <c r="U834" s="32"/>
      <c r="V834" s="32"/>
      <c r="W834" s="47" t="str">
        <f>IF(X834="","",MAX($W$5:W833)+1)</f>
        <v/>
      </c>
      <c r="X834" s="50" t="str">
        <f>IF(Registro!M833="","",IF(COUNTIF($X$8:X833,Registro!M833)=0,Registro!M833,""))</f>
        <v/>
      </c>
      <c r="Y834" s="50" t="str">
        <f t="shared" si="38"/>
        <v/>
      </c>
    </row>
    <row r="835" spans="1:25">
      <c r="A835" s="45" t="str">
        <f>IF(AND(Registro!D834="Abierto",Registro!E834="Urgente"),Registro!B834,"")</f>
        <v/>
      </c>
      <c r="B835" s="45" t="str">
        <f ca="1">IF(AND(Registro!D834="Abierto",Registro!E834="Urgente"),TODAY()-Registro!R834,"")</f>
        <v/>
      </c>
      <c r="C835" s="45" t="str">
        <f>IF(AND(Registro!D834="Abierto",Registro!E834="Urgente"),RANK(B835,$B$9:$B$1000,0)+COUNTIF($B$9:B835,B835)-1,"")</f>
        <v/>
      </c>
      <c r="D835" s="45" t="str">
        <f>IF(AND(Registro!D834="Abierto",Registro!E834="Alta"),Registro!B834,"")</f>
        <v/>
      </c>
      <c r="E835" s="45" t="str">
        <f ca="1">IF(AND(Registro!D834="Abierto",Registro!E834="Alta"),TODAY()-Registro!R834,"")</f>
        <v/>
      </c>
      <c r="F835" s="45" t="str">
        <f>IF(AND(Registro!D834="Abierto",Registro!E834="Alta"),RANK(E835,$E$9:$E$1000,0)+COUNTIF($E$9:E835,E835)-1+MAX(C$5:C$1000),"")</f>
        <v/>
      </c>
      <c r="G835" s="45" t="str">
        <f>IF(AND(Registro!D834="Abierto",Registro!E834="Media"),Registro!B834,"")</f>
        <v/>
      </c>
      <c r="H835" s="45" t="str">
        <f ca="1">IF(AND(Registro!D834="Abierto",Registro!E834="Media"),TODAY()-Registro!R834,"")</f>
        <v/>
      </c>
      <c r="I835" s="45" t="str">
        <f>IF(AND(Registro!D834="Abierto",Registro!E834="Media"),RANK(H835,$H$9:$H$1000,0)+COUNTIF($H$9:H835,H835)-1+MAX(C$5:C$1000,F$5:F$1000),"")</f>
        <v/>
      </c>
      <c r="J835" s="45" t="str">
        <f>IF(AND(Registro!D834="Abierto",Registro!E834="Baja"),Registro!B834,"")</f>
        <v/>
      </c>
      <c r="K835" s="45" t="str">
        <f ca="1">IF(AND(Registro!D834="Abierto",Registro!E834="Baja"),TODAY()-Registro!R834,"")</f>
        <v/>
      </c>
      <c r="L835" s="45" t="str">
        <f>IF(AND(Registro!D834="Abierto",Registro!E834="Baja"),RANK(K835,$K$9:$K$1000,0)+COUNTIF($K$9:K835,K835)-1+MAX(C$5:C$1000,F$5:F$1000,I$5:I$1000),"")</f>
        <v/>
      </c>
      <c r="M835" s="46" t="str">
        <f>IF(OR(Registro!D834="Resuelto",Registro!D834=""),"",SUM(C835,F835,I835,L835))</f>
        <v/>
      </c>
      <c r="N835" s="46" t="str">
        <f>IF(OR(Registro!D834="Resuelto",Registro!D834=""),"",SUM(B835,E835,H835,K835))</f>
        <v/>
      </c>
      <c r="O835" s="46" t="str">
        <f>IF(OR(Registro!D834="Resuelto",Registro!D834=""),"",_xlfn.CONCAT(A835,D835,G835,J835))</f>
        <v/>
      </c>
      <c r="P835" s="47">
        <v>827</v>
      </c>
      <c r="Q835" s="47" t="str">
        <f t="shared" ca="1" si="36"/>
        <v/>
      </c>
      <c r="R835" s="48" t="str">
        <f t="shared" ca="1" si="37"/>
        <v/>
      </c>
      <c r="S835" s="32"/>
      <c r="T835" s="32"/>
      <c r="U835" s="32"/>
      <c r="V835" s="32"/>
      <c r="W835" s="47" t="str">
        <f>IF(X835="","",MAX($W$5:W834)+1)</f>
        <v/>
      </c>
      <c r="X835" s="50" t="str">
        <f>IF(Registro!M834="","",IF(COUNTIF($X$8:X834,Registro!M834)=0,Registro!M834,""))</f>
        <v/>
      </c>
      <c r="Y835" s="50" t="str">
        <f t="shared" si="38"/>
        <v/>
      </c>
    </row>
    <row r="836" spans="1:25">
      <c r="A836" s="45" t="str">
        <f>IF(AND(Registro!D835="Abierto",Registro!E835="Urgente"),Registro!B835,"")</f>
        <v/>
      </c>
      <c r="B836" s="45" t="str">
        <f ca="1">IF(AND(Registro!D835="Abierto",Registro!E835="Urgente"),TODAY()-Registro!R835,"")</f>
        <v/>
      </c>
      <c r="C836" s="45" t="str">
        <f>IF(AND(Registro!D835="Abierto",Registro!E835="Urgente"),RANK(B836,$B$9:$B$1000,0)+COUNTIF($B$9:B836,B836)-1,"")</f>
        <v/>
      </c>
      <c r="D836" s="45" t="str">
        <f>IF(AND(Registro!D835="Abierto",Registro!E835="Alta"),Registro!B835,"")</f>
        <v/>
      </c>
      <c r="E836" s="45" t="str">
        <f ca="1">IF(AND(Registro!D835="Abierto",Registro!E835="Alta"),TODAY()-Registro!R835,"")</f>
        <v/>
      </c>
      <c r="F836" s="45" t="str">
        <f>IF(AND(Registro!D835="Abierto",Registro!E835="Alta"),RANK(E836,$E$9:$E$1000,0)+COUNTIF($E$9:E836,E836)-1+MAX(C$5:C$1000),"")</f>
        <v/>
      </c>
      <c r="G836" s="45" t="str">
        <f>IF(AND(Registro!D835="Abierto",Registro!E835="Media"),Registro!B835,"")</f>
        <v/>
      </c>
      <c r="H836" s="45" t="str">
        <f ca="1">IF(AND(Registro!D835="Abierto",Registro!E835="Media"),TODAY()-Registro!R835,"")</f>
        <v/>
      </c>
      <c r="I836" s="45" t="str">
        <f>IF(AND(Registro!D835="Abierto",Registro!E835="Media"),RANK(H836,$H$9:$H$1000,0)+COUNTIF($H$9:H836,H836)-1+MAX(C$5:C$1000,F$5:F$1000),"")</f>
        <v/>
      </c>
      <c r="J836" s="45" t="str">
        <f>IF(AND(Registro!D835="Abierto",Registro!E835="Baja"),Registro!B835,"")</f>
        <v/>
      </c>
      <c r="K836" s="45" t="str">
        <f ca="1">IF(AND(Registro!D835="Abierto",Registro!E835="Baja"),TODAY()-Registro!R835,"")</f>
        <v/>
      </c>
      <c r="L836" s="45" t="str">
        <f>IF(AND(Registro!D835="Abierto",Registro!E835="Baja"),RANK(K836,$K$9:$K$1000,0)+COUNTIF($K$9:K836,K836)-1+MAX(C$5:C$1000,F$5:F$1000,I$5:I$1000),"")</f>
        <v/>
      </c>
      <c r="M836" s="46" t="str">
        <f>IF(OR(Registro!D835="Resuelto",Registro!D835=""),"",SUM(C836,F836,I836,L836))</f>
        <v/>
      </c>
      <c r="N836" s="46" t="str">
        <f>IF(OR(Registro!D835="Resuelto",Registro!D835=""),"",SUM(B836,E836,H836,K836))</f>
        <v/>
      </c>
      <c r="O836" s="46" t="str">
        <f>IF(OR(Registro!D835="Resuelto",Registro!D835=""),"",_xlfn.CONCAT(A836,D836,G836,J836))</f>
        <v/>
      </c>
      <c r="P836" s="47">
        <v>828</v>
      </c>
      <c r="Q836" s="47" t="str">
        <f t="shared" ca="1" si="36"/>
        <v/>
      </c>
      <c r="R836" s="48" t="str">
        <f t="shared" ca="1" si="37"/>
        <v/>
      </c>
      <c r="S836" s="32"/>
      <c r="T836" s="32"/>
      <c r="U836" s="32"/>
      <c r="V836" s="32"/>
      <c r="W836" s="47" t="str">
        <f>IF(X836="","",MAX($W$5:W835)+1)</f>
        <v/>
      </c>
      <c r="X836" s="50" t="str">
        <f>IF(Registro!M835="","",IF(COUNTIF($X$8:X835,Registro!M835)=0,Registro!M835,""))</f>
        <v/>
      </c>
      <c r="Y836" s="50" t="str">
        <f t="shared" si="38"/>
        <v/>
      </c>
    </row>
    <row r="837" spans="1:25">
      <c r="A837" s="45" t="str">
        <f>IF(AND(Registro!D836="Abierto",Registro!E836="Urgente"),Registro!B836,"")</f>
        <v/>
      </c>
      <c r="B837" s="45" t="str">
        <f ca="1">IF(AND(Registro!D836="Abierto",Registro!E836="Urgente"),TODAY()-Registro!R836,"")</f>
        <v/>
      </c>
      <c r="C837" s="45" t="str">
        <f>IF(AND(Registro!D836="Abierto",Registro!E836="Urgente"),RANK(B837,$B$9:$B$1000,0)+COUNTIF($B$9:B837,B837)-1,"")</f>
        <v/>
      </c>
      <c r="D837" s="45" t="str">
        <f>IF(AND(Registro!D836="Abierto",Registro!E836="Alta"),Registro!B836,"")</f>
        <v/>
      </c>
      <c r="E837" s="45" t="str">
        <f ca="1">IF(AND(Registro!D836="Abierto",Registro!E836="Alta"),TODAY()-Registro!R836,"")</f>
        <v/>
      </c>
      <c r="F837" s="45" t="str">
        <f>IF(AND(Registro!D836="Abierto",Registro!E836="Alta"),RANK(E837,$E$9:$E$1000,0)+COUNTIF($E$9:E837,E837)-1+MAX(C$5:C$1000),"")</f>
        <v/>
      </c>
      <c r="G837" s="45" t="str">
        <f>IF(AND(Registro!D836="Abierto",Registro!E836="Media"),Registro!B836,"")</f>
        <v/>
      </c>
      <c r="H837" s="45" t="str">
        <f ca="1">IF(AND(Registro!D836="Abierto",Registro!E836="Media"),TODAY()-Registro!R836,"")</f>
        <v/>
      </c>
      <c r="I837" s="45" t="str">
        <f>IF(AND(Registro!D836="Abierto",Registro!E836="Media"),RANK(H837,$H$9:$H$1000,0)+COUNTIF($H$9:H837,H837)-1+MAX(C$5:C$1000,F$5:F$1000),"")</f>
        <v/>
      </c>
      <c r="J837" s="45" t="str">
        <f>IF(AND(Registro!D836="Abierto",Registro!E836="Baja"),Registro!B836,"")</f>
        <v/>
      </c>
      <c r="K837" s="45" t="str">
        <f ca="1">IF(AND(Registro!D836="Abierto",Registro!E836="Baja"),TODAY()-Registro!R836,"")</f>
        <v/>
      </c>
      <c r="L837" s="45" t="str">
        <f>IF(AND(Registro!D836="Abierto",Registro!E836="Baja"),RANK(K837,$K$9:$K$1000,0)+COUNTIF($K$9:K837,K837)-1+MAX(C$5:C$1000,F$5:F$1000,I$5:I$1000),"")</f>
        <v/>
      </c>
      <c r="M837" s="46" t="str">
        <f>IF(OR(Registro!D836="Resuelto",Registro!D836=""),"",SUM(C837,F837,I837,L837))</f>
        <v/>
      </c>
      <c r="N837" s="46" t="str">
        <f>IF(OR(Registro!D836="Resuelto",Registro!D836=""),"",SUM(B837,E837,H837,K837))</f>
        <v/>
      </c>
      <c r="O837" s="46" t="str">
        <f>IF(OR(Registro!D836="Resuelto",Registro!D836=""),"",_xlfn.CONCAT(A837,D837,G837,J837))</f>
        <v/>
      </c>
      <c r="P837" s="47">
        <v>829</v>
      </c>
      <c r="Q837" s="47" t="str">
        <f t="shared" ca="1" si="36"/>
        <v/>
      </c>
      <c r="R837" s="48" t="str">
        <f t="shared" ca="1" si="37"/>
        <v/>
      </c>
      <c r="S837" s="32"/>
      <c r="T837" s="32"/>
      <c r="U837" s="32"/>
      <c r="V837" s="32"/>
      <c r="W837" s="47" t="str">
        <f>IF(X837="","",MAX($W$5:W836)+1)</f>
        <v/>
      </c>
      <c r="X837" s="50" t="str">
        <f>IF(Registro!M836="","",IF(COUNTIF($X$8:X836,Registro!M836)=0,Registro!M836,""))</f>
        <v/>
      </c>
      <c r="Y837" s="50" t="str">
        <f t="shared" si="38"/>
        <v/>
      </c>
    </row>
    <row r="838" spans="1:25">
      <c r="A838" s="45" t="str">
        <f>IF(AND(Registro!D837="Abierto",Registro!E837="Urgente"),Registro!B837,"")</f>
        <v/>
      </c>
      <c r="B838" s="45" t="str">
        <f ca="1">IF(AND(Registro!D837="Abierto",Registro!E837="Urgente"),TODAY()-Registro!R837,"")</f>
        <v/>
      </c>
      <c r="C838" s="45" t="str">
        <f>IF(AND(Registro!D837="Abierto",Registro!E837="Urgente"),RANK(B838,$B$9:$B$1000,0)+COUNTIF($B$9:B838,B838)-1,"")</f>
        <v/>
      </c>
      <c r="D838" s="45" t="str">
        <f>IF(AND(Registro!D837="Abierto",Registro!E837="Alta"),Registro!B837,"")</f>
        <v/>
      </c>
      <c r="E838" s="45" t="str">
        <f ca="1">IF(AND(Registro!D837="Abierto",Registro!E837="Alta"),TODAY()-Registro!R837,"")</f>
        <v/>
      </c>
      <c r="F838" s="45" t="str">
        <f>IF(AND(Registro!D837="Abierto",Registro!E837="Alta"),RANK(E838,$E$9:$E$1000,0)+COUNTIF($E$9:E838,E838)-1+MAX(C$5:C$1000),"")</f>
        <v/>
      </c>
      <c r="G838" s="45" t="str">
        <f>IF(AND(Registro!D837="Abierto",Registro!E837="Media"),Registro!B837,"")</f>
        <v/>
      </c>
      <c r="H838" s="45" t="str">
        <f ca="1">IF(AND(Registro!D837="Abierto",Registro!E837="Media"),TODAY()-Registro!R837,"")</f>
        <v/>
      </c>
      <c r="I838" s="45" t="str">
        <f>IF(AND(Registro!D837="Abierto",Registro!E837="Media"),RANK(H838,$H$9:$H$1000,0)+COUNTIF($H$9:H838,H838)-1+MAX(C$5:C$1000,F$5:F$1000),"")</f>
        <v/>
      </c>
      <c r="J838" s="45" t="str">
        <f>IF(AND(Registro!D837="Abierto",Registro!E837="Baja"),Registro!B837,"")</f>
        <v/>
      </c>
      <c r="K838" s="45" t="str">
        <f ca="1">IF(AND(Registro!D837="Abierto",Registro!E837="Baja"),TODAY()-Registro!R837,"")</f>
        <v/>
      </c>
      <c r="L838" s="45" t="str">
        <f>IF(AND(Registro!D837="Abierto",Registro!E837="Baja"),RANK(K838,$K$9:$K$1000,0)+COUNTIF($K$9:K838,K838)-1+MAX(C$5:C$1000,F$5:F$1000,I$5:I$1000),"")</f>
        <v/>
      </c>
      <c r="M838" s="46" t="str">
        <f>IF(OR(Registro!D837="Resuelto",Registro!D837=""),"",SUM(C838,F838,I838,L838))</f>
        <v/>
      </c>
      <c r="N838" s="46" t="str">
        <f>IF(OR(Registro!D837="Resuelto",Registro!D837=""),"",SUM(B838,E838,H838,K838))</f>
        <v/>
      </c>
      <c r="O838" s="46" t="str">
        <f>IF(OR(Registro!D837="Resuelto",Registro!D837=""),"",_xlfn.CONCAT(A838,D838,G838,J838))</f>
        <v/>
      </c>
      <c r="P838" s="47">
        <v>830</v>
      </c>
      <c r="Q838" s="47" t="str">
        <f t="shared" ca="1" si="36"/>
        <v/>
      </c>
      <c r="R838" s="48" t="str">
        <f t="shared" ca="1" si="37"/>
        <v/>
      </c>
      <c r="S838" s="32"/>
      <c r="T838" s="32"/>
      <c r="U838" s="32"/>
      <c r="V838" s="32"/>
      <c r="W838" s="47" t="str">
        <f>IF(X838="","",MAX($W$5:W837)+1)</f>
        <v/>
      </c>
      <c r="X838" s="50" t="str">
        <f>IF(Registro!M837="","",IF(COUNTIF($X$8:X837,Registro!M837)=0,Registro!M837,""))</f>
        <v/>
      </c>
      <c r="Y838" s="50" t="str">
        <f t="shared" si="38"/>
        <v/>
      </c>
    </row>
    <row r="839" spans="1:25">
      <c r="A839" s="45" t="str">
        <f>IF(AND(Registro!D838="Abierto",Registro!E838="Urgente"),Registro!B838,"")</f>
        <v/>
      </c>
      <c r="B839" s="45" t="str">
        <f ca="1">IF(AND(Registro!D838="Abierto",Registro!E838="Urgente"),TODAY()-Registro!R838,"")</f>
        <v/>
      </c>
      <c r="C839" s="45" t="str">
        <f>IF(AND(Registro!D838="Abierto",Registro!E838="Urgente"),RANK(B839,$B$9:$B$1000,0)+COUNTIF($B$9:B839,B839)-1,"")</f>
        <v/>
      </c>
      <c r="D839" s="45" t="str">
        <f>IF(AND(Registro!D838="Abierto",Registro!E838="Alta"),Registro!B838,"")</f>
        <v/>
      </c>
      <c r="E839" s="45" t="str">
        <f ca="1">IF(AND(Registro!D838="Abierto",Registro!E838="Alta"),TODAY()-Registro!R838,"")</f>
        <v/>
      </c>
      <c r="F839" s="45" t="str">
        <f>IF(AND(Registro!D838="Abierto",Registro!E838="Alta"),RANK(E839,$E$9:$E$1000,0)+COUNTIF($E$9:E839,E839)-1+MAX(C$5:C$1000),"")</f>
        <v/>
      </c>
      <c r="G839" s="45" t="str">
        <f>IF(AND(Registro!D838="Abierto",Registro!E838="Media"),Registro!B838,"")</f>
        <v/>
      </c>
      <c r="H839" s="45" t="str">
        <f ca="1">IF(AND(Registro!D838="Abierto",Registro!E838="Media"),TODAY()-Registro!R838,"")</f>
        <v/>
      </c>
      <c r="I839" s="45" t="str">
        <f>IF(AND(Registro!D838="Abierto",Registro!E838="Media"),RANK(H839,$H$9:$H$1000,0)+COUNTIF($H$9:H839,H839)-1+MAX(C$5:C$1000,F$5:F$1000),"")</f>
        <v/>
      </c>
      <c r="J839" s="45" t="str">
        <f>IF(AND(Registro!D838="Abierto",Registro!E838="Baja"),Registro!B838,"")</f>
        <v/>
      </c>
      <c r="K839" s="45" t="str">
        <f ca="1">IF(AND(Registro!D838="Abierto",Registro!E838="Baja"),TODAY()-Registro!R838,"")</f>
        <v/>
      </c>
      <c r="L839" s="45" t="str">
        <f>IF(AND(Registro!D838="Abierto",Registro!E838="Baja"),RANK(K839,$K$9:$K$1000,0)+COUNTIF($K$9:K839,K839)-1+MAX(C$5:C$1000,F$5:F$1000,I$5:I$1000),"")</f>
        <v/>
      </c>
      <c r="M839" s="46" t="str">
        <f>IF(OR(Registro!D838="Resuelto",Registro!D838=""),"",SUM(C839,F839,I839,L839))</f>
        <v/>
      </c>
      <c r="N839" s="46" t="str">
        <f>IF(OR(Registro!D838="Resuelto",Registro!D838=""),"",SUM(B839,E839,H839,K839))</f>
        <v/>
      </c>
      <c r="O839" s="46" t="str">
        <f>IF(OR(Registro!D838="Resuelto",Registro!D838=""),"",_xlfn.CONCAT(A839,D839,G839,J839))</f>
        <v/>
      </c>
      <c r="P839" s="47">
        <v>831</v>
      </c>
      <c r="Q839" s="47" t="str">
        <f t="shared" ca="1" si="36"/>
        <v/>
      </c>
      <c r="R839" s="48" t="str">
        <f t="shared" ca="1" si="37"/>
        <v/>
      </c>
      <c r="S839" s="32"/>
      <c r="T839" s="32"/>
      <c r="U839" s="32"/>
      <c r="V839" s="32"/>
      <c r="W839" s="47" t="str">
        <f>IF(X839="","",MAX($W$5:W838)+1)</f>
        <v/>
      </c>
      <c r="X839" s="50" t="str">
        <f>IF(Registro!M838="","",IF(COUNTIF($X$8:X838,Registro!M838)=0,Registro!M838,""))</f>
        <v/>
      </c>
      <c r="Y839" s="50" t="str">
        <f t="shared" si="38"/>
        <v/>
      </c>
    </row>
    <row r="840" spans="1:25">
      <c r="A840" s="45" t="str">
        <f>IF(AND(Registro!D839="Abierto",Registro!E839="Urgente"),Registro!B839,"")</f>
        <v/>
      </c>
      <c r="B840" s="45" t="str">
        <f ca="1">IF(AND(Registro!D839="Abierto",Registro!E839="Urgente"),TODAY()-Registro!R839,"")</f>
        <v/>
      </c>
      <c r="C840" s="45" t="str">
        <f>IF(AND(Registro!D839="Abierto",Registro!E839="Urgente"),RANK(B840,$B$9:$B$1000,0)+COUNTIF($B$9:B840,B840)-1,"")</f>
        <v/>
      </c>
      <c r="D840" s="45" t="str">
        <f>IF(AND(Registro!D839="Abierto",Registro!E839="Alta"),Registro!B839,"")</f>
        <v/>
      </c>
      <c r="E840" s="45" t="str">
        <f ca="1">IF(AND(Registro!D839="Abierto",Registro!E839="Alta"),TODAY()-Registro!R839,"")</f>
        <v/>
      </c>
      <c r="F840" s="45" t="str">
        <f>IF(AND(Registro!D839="Abierto",Registro!E839="Alta"),RANK(E840,$E$9:$E$1000,0)+COUNTIF($E$9:E840,E840)-1+MAX(C$5:C$1000),"")</f>
        <v/>
      </c>
      <c r="G840" s="45" t="str">
        <f>IF(AND(Registro!D839="Abierto",Registro!E839="Media"),Registro!B839,"")</f>
        <v/>
      </c>
      <c r="H840" s="45" t="str">
        <f ca="1">IF(AND(Registro!D839="Abierto",Registro!E839="Media"),TODAY()-Registro!R839,"")</f>
        <v/>
      </c>
      <c r="I840" s="45" t="str">
        <f>IF(AND(Registro!D839="Abierto",Registro!E839="Media"),RANK(H840,$H$9:$H$1000,0)+COUNTIF($H$9:H840,H840)-1+MAX(C$5:C$1000,F$5:F$1000),"")</f>
        <v/>
      </c>
      <c r="J840" s="45" t="str">
        <f>IF(AND(Registro!D839="Abierto",Registro!E839="Baja"),Registro!B839,"")</f>
        <v/>
      </c>
      <c r="K840" s="45" t="str">
        <f ca="1">IF(AND(Registro!D839="Abierto",Registro!E839="Baja"),TODAY()-Registro!R839,"")</f>
        <v/>
      </c>
      <c r="L840" s="45" t="str">
        <f>IF(AND(Registro!D839="Abierto",Registro!E839="Baja"),RANK(K840,$K$9:$K$1000,0)+COUNTIF($K$9:K840,K840)-1+MAX(C$5:C$1000,F$5:F$1000,I$5:I$1000),"")</f>
        <v/>
      </c>
      <c r="M840" s="46" t="str">
        <f>IF(OR(Registro!D839="Resuelto",Registro!D839=""),"",SUM(C840,F840,I840,L840))</f>
        <v/>
      </c>
      <c r="N840" s="46" t="str">
        <f>IF(OR(Registro!D839="Resuelto",Registro!D839=""),"",SUM(B840,E840,H840,K840))</f>
        <v/>
      </c>
      <c r="O840" s="46" t="str">
        <f>IF(OR(Registro!D839="Resuelto",Registro!D839=""),"",_xlfn.CONCAT(A840,D840,G840,J840))</f>
        <v/>
      </c>
      <c r="P840" s="47">
        <v>832</v>
      </c>
      <c r="Q840" s="47" t="str">
        <f t="shared" ca="1" si="36"/>
        <v/>
      </c>
      <c r="R840" s="48" t="str">
        <f t="shared" ca="1" si="37"/>
        <v/>
      </c>
      <c r="S840" s="32"/>
      <c r="T840" s="32"/>
      <c r="U840" s="32"/>
      <c r="V840" s="32"/>
      <c r="W840" s="47" t="str">
        <f>IF(X840="","",MAX($W$5:W839)+1)</f>
        <v/>
      </c>
      <c r="X840" s="50" t="str">
        <f>IF(Registro!M839="","",IF(COUNTIF($X$8:X839,Registro!M839)=0,Registro!M839,""))</f>
        <v/>
      </c>
      <c r="Y840" s="50" t="str">
        <f t="shared" si="38"/>
        <v/>
      </c>
    </row>
    <row r="841" spans="1:25">
      <c r="A841" s="45" t="str">
        <f>IF(AND(Registro!D840="Abierto",Registro!E840="Urgente"),Registro!B840,"")</f>
        <v/>
      </c>
      <c r="B841" s="45" t="str">
        <f ca="1">IF(AND(Registro!D840="Abierto",Registro!E840="Urgente"),TODAY()-Registro!R840,"")</f>
        <v/>
      </c>
      <c r="C841" s="45" t="str">
        <f>IF(AND(Registro!D840="Abierto",Registro!E840="Urgente"),RANK(B841,$B$9:$B$1000,0)+COUNTIF($B$9:B841,B841)-1,"")</f>
        <v/>
      </c>
      <c r="D841" s="45" t="str">
        <f>IF(AND(Registro!D840="Abierto",Registro!E840="Alta"),Registro!B840,"")</f>
        <v/>
      </c>
      <c r="E841" s="45" t="str">
        <f ca="1">IF(AND(Registro!D840="Abierto",Registro!E840="Alta"),TODAY()-Registro!R840,"")</f>
        <v/>
      </c>
      <c r="F841" s="45" t="str">
        <f>IF(AND(Registro!D840="Abierto",Registro!E840="Alta"),RANK(E841,$E$9:$E$1000,0)+COUNTIF($E$9:E841,E841)-1+MAX(C$5:C$1000),"")</f>
        <v/>
      </c>
      <c r="G841" s="45" t="str">
        <f>IF(AND(Registro!D840="Abierto",Registro!E840="Media"),Registro!B840,"")</f>
        <v/>
      </c>
      <c r="H841" s="45" t="str">
        <f ca="1">IF(AND(Registro!D840="Abierto",Registro!E840="Media"),TODAY()-Registro!R840,"")</f>
        <v/>
      </c>
      <c r="I841" s="45" t="str">
        <f>IF(AND(Registro!D840="Abierto",Registro!E840="Media"),RANK(H841,$H$9:$H$1000,0)+COUNTIF($H$9:H841,H841)-1+MAX(C$5:C$1000,F$5:F$1000),"")</f>
        <v/>
      </c>
      <c r="J841" s="45" t="str">
        <f>IF(AND(Registro!D840="Abierto",Registro!E840="Baja"),Registro!B840,"")</f>
        <v/>
      </c>
      <c r="K841" s="45" t="str">
        <f ca="1">IF(AND(Registro!D840="Abierto",Registro!E840="Baja"),TODAY()-Registro!R840,"")</f>
        <v/>
      </c>
      <c r="L841" s="45" t="str">
        <f>IF(AND(Registro!D840="Abierto",Registro!E840="Baja"),RANK(K841,$K$9:$K$1000,0)+COUNTIF($K$9:K841,K841)-1+MAX(C$5:C$1000,F$5:F$1000,I$5:I$1000),"")</f>
        <v/>
      </c>
      <c r="M841" s="46" t="str">
        <f>IF(OR(Registro!D840="Resuelto",Registro!D840=""),"",SUM(C841,F841,I841,L841))</f>
        <v/>
      </c>
      <c r="N841" s="46" t="str">
        <f>IF(OR(Registro!D840="Resuelto",Registro!D840=""),"",SUM(B841,E841,H841,K841))</f>
        <v/>
      </c>
      <c r="O841" s="46" t="str">
        <f>IF(OR(Registro!D840="Resuelto",Registro!D840=""),"",_xlfn.CONCAT(A841,D841,G841,J841))</f>
        <v/>
      </c>
      <c r="P841" s="47">
        <v>833</v>
      </c>
      <c r="Q841" s="47" t="str">
        <f t="shared" ref="Q841:Q904" ca="1" si="39">IF(ISNA(VLOOKUP(P841,$M$9:$O$1000,3,FALSE))=TRUE,"",VLOOKUP(P841,$M$9:$O$1000,3,FALSE))</f>
        <v/>
      </c>
      <c r="R841" s="48" t="str">
        <f t="shared" ref="R841:R904" ca="1" si="40">IF(ISNA(VLOOKUP(P841,$M$9:$O$1000,2,FALSE))=TRUE,"",VLOOKUP(P841,$M$9:$O$1000,2,FALSE))</f>
        <v/>
      </c>
      <c r="S841" s="32"/>
      <c r="T841" s="32"/>
      <c r="U841" s="32"/>
      <c r="V841" s="32"/>
      <c r="W841" s="47" t="str">
        <f>IF(X841="","",MAX($W$5:W840)+1)</f>
        <v/>
      </c>
      <c r="X841" s="50" t="str">
        <f>IF(Registro!M840="","",IF(COUNTIF($X$8:X840,Registro!M840)=0,Registro!M840,""))</f>
        <v/>
      </c>
      <c r="Y841" s="50" t="str">
        <f t="shared" ref="Y841:Y904" si="41">IF(ISNA(VLOOKUP(P841,$W$9:$X$1000,2,FALSE))=TRUE,"",VLOOKUP(P841,$W$9:$X$1000,2,FALSE))</f>
        <v/>
      </c>
    </row>
    <row r="842" spans="1:25">
      <c r="A842" s="45" t="str">
        <f>IF(AND(Registro!D841="Abierto",Registro!E841="Urgente"),Registro!B841,"")</f>
        <v/>
      </c>
      <c r="B842" s="45" t="str">
        <f ca="1">IF(AND(Registro!D841="Abierto",Registro!E841="Urgente"),TODAY()-Registro!R841,"")</f>
        <v/>
      </c>
      <c r="C842" s="45" t="str">
        <f>IF(AND(Registro!D841="Abierto",Registro!E841="Urgente"),RANK(B842,$B$9:$B$1000,0)+COUNTIF($B$9:B842,B842)-1,"")</f>
        <v/>
      </c>
      <c r="D842" s="45" t="str">
        <f>IF(AND(Registro!D841="Abierto",Registro!E841="Alta"),Registro!B841,"")</f>
        <v/>
      </c>
      <c r="E842" s="45" t="str">
        <f ca="1">IF(AND(Registro!D841="Abierto",Registro!E841="Alta"),TODAY()-Registro!R841,"")</f>
        <v/>
      </c>
      <c r="F842" s="45" t="str">
        <f>IF(AND(Registro!D841="Abierto",Registro!E841="Alta"),RANK(E842,$E$9:$E$1000,0)+COUNTIF($E$9:E842,E842)-1+MAX(C$5:C$1000),"")</f>
        <v/>
      </c>
      <c r="G842" s="45" t="str">
        <f>IF(AND(Registro!D841="Abierto",Registro!E841="Media"),Registro!B841,"")</f>
        <v/>
      </c>
      <c r="H842" s="45" t="str">
        <f ca="1">IF(AND(Registro!D841="Abierto",Registro!E841="Media"),TODAY()-Registro!R841,"")</f>
        <v/>
      </c>
      <c r="I842" s="45" t="str">
        <f>IF(AND(Registro!D841="Abierto",Registro!E841="Media"),RANK(H842,$H$9:$H$1000,0)+COUNTIF($H$9:H842,H842)-1+MAX(C$5:C$1000,F$5:F$1000),"")</f>
        <v/>
      </c>
      <c r="J842" s="45" t="str">
        <f>IF(AND(Registro!D841="Abierto",Registro!E841="Baja"),Registro!B841,"")</f>
        <v/>
      </c>
      <c r="K842" s="45" t="str">
        <f ca="1">IF(AND(Registro!D841="Abierto",Registro!E841="Baja"),TODAY()-Registro!R841,"")</f>
        <v/>
      </c>
      <c r="L842" s="45" t="str">
        <f>IF(AND(Registro!D841="Abierto",Registro!E841="Baja"),RANK(K842,$K$9:$K$1000,0)+COUNTIF($K$9:K842,K842)-1+MAX(C$5:C$1000,F$5:F$1000,I$5:I$1000),"")</f>
        <v/>
      </c>
      <c r="M842" s="46" t="str">
        <f>IF(OR(Registro!D841="Resuelto",Registro!D841=""),"",SUM(C842,F842,I842,L842))</f>
        <v/>
      </c>
      <c r="N842" s="46" t="str">
        <f>IF(OR(Registro!D841="Resuelto",Registro!D841=""),"",SUM(B842,E842,H842,K842))</f>
        <v/>
      </c>
      <c r="O842" s="46" t="str">
        <f>IF(OR(Registro!D841="Resuelto",Registro!D841=""),"",_xlfn.CONCAT(A842,D842,G842,J842))</f>
        <v/>
      </c>
      <c r="P842" s="47">
        <v>834</v>
      </c>
      <c r="Q842" s="47" t="str">
        <f t="shared" ca="1" si="39"/>
        <v/>
      </c>
      <c r="R842" s="48" t="str">
        <f t="shared" ca="1" si="40"/>
        <v/>
      </c>
      <c r="S842" s="32"/>
      <c r="T842" s="32"/>
      <c r="U842" s="32"/>
      <c r="V842" s="32"/>
      <c r="W842" s="47" t="str">
        <f>IF(X842="","",MAX($W$5:W841)+1)</f>
        <v/>
      </c>
      <c r="X842" s="50" t="str">
        <f>IF(Registro!M841="","",IF(COUNTIF($X$8:X841,Registro!M841)=0,Registro!M841,""))</f>
        <v/>
      </c>
      <c r="Y842" s="50" t="str">
        <f t="shared" si="41"/>
        <v/>
      </c>
    </row>
    <row r="843" spans="1:25">
      <c r="A843" s="45" t="str">
        <f>IF(AND(Registro!D842="Abierto",Registro!E842="Urgente"),Registro!B842,"")</f>
        <v/>
      </c>
      <c r="B843" s="45" t="str">
        <f ca="1">IF(AND(Registro!D842="Abierto",Registro!E842="Urgente"),TODAY()-Registro!R842,"")</f>
        <v/>
      </c>
      <c r="C843" s="45" t="str">
        <f>IF(AND(Registro!D842="Abierto",Registro!E842="Urgente"),RANK(B843,$B$9:$B$1000,0)+COUNTIF($B$9:B843,B843)-1,"")</f>
        <v/>
      </c>
      <c r="D843" s="45" t="str">
        <f>IF(AND(Registro!D842="Abierto",Registro!E842="Alta"),Registro!B842,"")</f>
        <v/>
      </c>
      <c r="E843" s="45" t="str">
        <f ca="1">IF(AND(Registro!D842="Abierto",Registro!E842="Alta"),TODAY()-Registro!R842,"")</f>
        <v/>
      </c>
      <c r="F843" s="45" t="str">
        <f>IF(AND(Registro!D842="Abierto",Registro!E842="Alta"),RANK(E843,$E$9:$E$1000,0)+COUNTIF($E$9:E843,E843)-1+MAX(C$5:C$1000),"")</f>
        <v/>
      </c>
      <c r="G843" s="45" t="str">
        <f>IF(AND(Registro!D842="Abierto",Registro!E842="Media"),Registro!B842,"")</f>
        <v/>
      </c>
      <c r="H843" s="45" t="str">
        <f ca="1">IF(AND(Registro!D842="Abierto",Registro!E842="Media"),TODAY()-Registro!R842,"")</f>
        <v/>
      </c>
      <c r="I843" s="45" t="str">
        <f>IF(AND(Registro!D842="Abierto",Registro!E842="Media"),RANK(H843,$H$9:$H$1000,0)+COUNTIF($H$9:H843,H843)-1+MAX(C$5:C$1000,F$5:F$1000),"")</f>
        <v/>
      </c>
      <c r="J843" s="45" t="str">
        <f>IF(AND(Registro!D842="Abierto",Registro!E842="Baja"),Registro!B842,"")</f>
        <v/>
      </c>
      <c r="K843" s="45" t="str">
        <f ca="1">IF(AND(Registro!D842="Abierto",Registro!E842="Baja"),TODAY()-Registro!R842,"")</f>
        <v/>
      </c>
      <c r="L843" s="45" t="str">
        <f>IF(AND(Registro!D842="Abierto",Registro!E842="Baja"),RANK(K843,$K$9:$K$1000,0)+COUNTIF($K$9:K843,K843)-1+MAX(C$5:C$1000,F$5:F$1000,I$5:I$1000),"")</f>
        <v/>
      </c>
      <c r="M843" s="46" t="str">
        <f>IF(OR(Registro!D842="Resuelto",Registro!D842=""),"",SUM(C843,F843,I843,L843))</f>
        <v/>
      </c>
      <c r="N843" s="46" t="str">
        <f>IF(OR(Registro!D842="Resuelto",Registro!D842=""),"",SUM(B843,E843,H843,K843))</f>
        <v/>
      </c>
      <c r="O843" s="46" t="str">
        <f>IF(OR(Registro!D842="Resuelto",Registro!D842=""),"",_xlfn.CONCAT(A843,D843,G843,J843))</f>
        <v/>
      </c>
      <c r="P843" s="47">
        <v>835</v>
      </c>
      <c r="Q843" s="47" t="str">
        <f t="shared" ca="1" si="39"/>
        <v/>
      </c>
      <c r="R843" s="48" t="str">
        <f t="shared" ca="1" si="40"/>
        <v/>
      </c>
      <c r="S843" s="32"/>
      <c r="T843" s="32"/>
      <c r="U843" s="32"/>
      <c r="V843" s="32"/>
      <c r="W843" s="47" t="str">
        <f>IF(X843="","",MAX($W$5:W842)+1)</f>
        <v/>
      </c>
      <c r="X843" s="50" t="str">
        <f>IF(Registro!M842="","",IF(COUNTIF($X$8:X842,Registro!M842)=0,Registro!M842,""))</f>
        <v/>
      </c>
      <c r="Y843" s="50" t="str">
        <f t="shared" si="41"/>
        <v/>
      </c>
    </row>
    <row r="844" spans="1:25">
      <c r="A844" s="45" t="str">
        <f>IF(AND(Registro!D843="Abierto",Registro!E843="Urgente"),Registro!B843,"")</f>
        <v/>
      </c>
      <c r="B844" s="45" t="str">
        <f ca="1">IF(AND(Registro!D843="Abierto",Registro!E843="Urgente"),TODAY()-Registro!R843,"")</f>
        <v/>
      </c>
      <c r="C844" s="45" t="str">
        <f>IF(AND(Registro!D843="Abierto",Registro!E843="Urgente"),RANK(B844,$B$9:$B$1000,0)+COUNTIF($B$9:B844,B844)-1,"")</f>
        <v/>
      </c>
      <c r="D844" s="45" t="str">
        <f>IF(AND(Registro!D843="Abierto",Registro!E843="Alta"),Registro!B843,"")</f>
        <v/>
      </c>
      <c r="E844" s="45" t="str">
        <f ca="1">IF(AND(Registro!D843="Abierto",Registro!E843="Alta"),TODAY()-Registro!R843,"")</f>
        <v/>
      </c>
      <c r="F844" s="45" t="str">
        <f>IF(AND(Registro!D843="Abierto",Registro!E843="Alta"),RANK(E844,$E$9:$E$1000,0)+COUNTIF($E$9:E844,E844)-1+MAX(C$5:C$1000),"")</f>
        <v/>
      </c>
      <c r="G844" s="45" t="str">
        <f>IF(AND(Registro!D843="Abierto",Registro!E843="Media"),Registro!B843,"")</f>
        <v/>
      </c>
      <c r="H844" s="45" t="str">
        <f ca="1">IF(AND(Registro!D843="Abierto",Registro!E843="Media"),TODAY()-Registro!R843,"")</f>
        <v/>
      </c>
      <c r="I844" s="45" t="str">
        <f>IF(AND(Registro!D843="Abierto",Registro!E843="Media"),RANK(H844,$H$9:$H$1000,0)+COUNTIF($H$9:H844,H844)-1+MAX(C$5:C$1000,F$5:F$1000),"")</f>
        <v/>
      </c>
      <c r="J844" s="45" t="str">
        <f>IF(AND(Registro!D843="Abierto",Registro!E843="Baja"),Registro!B843,"")</f>
        <v/>
      </c>
      <c r="K844" s="45" t="str">
        <f ca="1">IF(AND(Registro!D843="Abierto",Registro!E843="Baja"),TODAY()-Registro!R843,"")</f>
        <v/>
      </c>
      <c r="L844" s="45" t="str">
        <f>IF(AND(Registro!D843="Abierto",Registro!E843="Baja"),RANK(K844,$K$9:$K$1000,0)+COUNTIF($K$9:K844,K844)-1+MAX(C$5:C$1000,F$5:F$1000,I$5:I$1000),"")</f>
        <v/>
      </c>
      <c r="M844" s="46" t="str">
        <f>IF(OR(Registro!D843="Resuelto",Registro!D843=""),"",SUM(C844,F844,I844,L844))</f>
        <v/>
      </c>
      <c r="N844" s="46" t="str">
        <f>IF(OR(Registro!D843="Resuelto",Registro!D843=""),"",SUM(B844,E844,H844,K844))</f>
        <v/>
      </c>
      <c r="O844" s="46" t="str">
        <f>IF(OR(Registro!D843="Resuelto",Registro!D843=""),"",_xlfn.CONCAT(A844,D844,G844,J844))</f>
        <v/>
      </c>
      <c r="P844" s="47">
        <v>836</v>
      </c>
      <c r="Q844" s="47" t="str">
        <f t="shared" ca="1" si="39"/>
        <v/>
      </c>
      <c r="R844" s="48" t="str">
        <f t="shared" ca="1" si="40"/>
        <v/>
      </c>
      <c r="S844" s="32"/>
      <c r="T844" s="32"/>
      <c r="U844" s="32"/>
      <c r="V844" s="32"/>
      <c r="W844" s="47" t="str">
        <f>IF(X844="","",MAX($W$5:W843)+1)</f>
        <v/>
      </c>
      <c r="X844" s="50" t="str">
        <f>IF(Registro!M843="","",IF(COUNTIF($X$8:X843,Registro!M843)=0,Registro!M843,""))</f>
        <v/>
      </c>
      <c r="Y844" s="50" t="str">
        <f t="shared" si="41"/>
        <v/>
      </c>
    </row>
    <row r="845" spans="1:25">
      <c r="A845" s="45" t="str">
        <f>IF(AND(Registro!D844="Abierto",Registro!E844="Urgente"),Registro!B844,"")</f>
        <v/>
      </c>
      <c r="B845" s="45" t="str">
        <f ca="1">IF(AND(Registro!D844="Abierto",Registro!E844="Urgente"),TODAY()-Registro!R844,"")</f>
        <v/>
      </c>
      <c r="C845" s="45" t="str">
        <f>IF(AND(Registro!D844="Abierto",Registro!E844="Urgente"),RANK(B845,$B$9:$B$1000,0)+COUNTIF($B$9:B845,B845)-1,"")</f>
        <v/>
      </c>
      <c r="D845" s="45" t="str">
        <f>IF(AND(Registro!D844="Abierto",Registro!E844="Alta"),Registro!B844,"")</f>
        <v/>
      </c>
      <c r="E845" s="45" t="str">
        <f ca="1">IF(AND(Registro!D844="Abierto",Registro!E844="Alta"),TODAY()-Registro!R844,"")</f>
        <v/>
      </c>
      <c r="F845" s="45" t="str">
        <f>IF(AND(Registro!D844="Abierto",Registro!E844="Alta"),RANK(E845,$E$9:$E$1000,0)+COUNTIF($E$9:E845,E845)-1+MAX(C$5:C$1000),"")</f>
        <v/>
      </c>
      <c r="G845" s="45" t="str">
        <f>IF(AND(Registro!D844="Abierto",Registro!E844="Media"),Registro!B844,"")</f>
        <v/>
      </c>
      <c r="H845" s="45" t="str">
        <f ca="1">IF(AND(Registro!D844="Abierto",Registro!E844="Media"),TODAY()-Registro!R844,"")</f>
        <v/>
      </c>
      <c r="I845" s="45" t="str">
        <f>IF(AND(Registro!D844="Abierto",Registro!E844="Media"),RANK(H845,$H$9:$H$1000,0)+COUNTIF($H$9:H845,H845)-1+MAX(C$5:C$1000,F$5:F$1000),"")</f>
        <v/>
      </c>
      <c r="J845" s="45" t="str">
        <f>IF(AND(Registro!D844="Abierto",Registro!E844="Baja"),Registro!B844,"")</f>
        <v/>
      </c>
      <c r="K845" s="45" t="str">
        <f ca="1">IF(AND(Registro!D844="Abierto",Registro!E844="Baja"),TODAY()-Registro!R844,"")</f>
        <v/>
      </c>
      <c r="L845" s="45" t="str">
        <f>IF(AND(Registro!D844="Abierto",Registro!E844="Baja"),RANK(K845,$K$9:$K$1000,0)+COUNTIF($K$9:K845,K845)-1+MAX(C$5:C$1000,F$5:F$1000,I$5:I$1000),"")</f>
        <v/>
      </c>
      <c r="M845" s="46" t="str">
        <f>IF(OR(Registro!D844="Resuelto",Registro!D844=""),"",SUM(C845,F845,I845,L845))</f>
        <v/>
      </c>
      <c r="N845" s="46" t="str">
        <f>IF(OR(Registro!D844="Resuelto",Registro!D844=""),"",SUM(B845,E845,H845,K845))</f>
        <v/>
      </c>
      <c r="O845" s="46" t="str">
        <f>IF(OR(Registro!D844="Resuelto",Registro!D844=""),"",_xlfn.CONCAT(A845,D845,G845,J845))</f>
        <v/>
      </c>
      <c r="P845" s="47">
        <v>837</v>
      </c>
      <c r="Q845" s="47" t="str">
        <f t="shared" ca="1" si="39"/>
        <v/>
      </c>
      <c r="R845" s="48" t="str">
        <f t="shared" ca="1" si="40"/>
        <v/>
      </c>
      <c r="S845" s="32"/>
      <c r="T845" s="32"/>
      <c r="U845" s="32"/>
      <c r="V845" s="32"/>
      <c r="W845" s="47" t="str">
        <f>IF(X845="","",MAX($W$5:W844)+1)</f>
        <v/>
      </c>
      <c r="X845" s="50" t="str">
        <f>IF(Registro!M844="","",IF(COUNTIF($X$8:X844,Registro!M844)=0,Registro!M844,""))</f>
        <v/>
      </c>
      <c r="Y845" s="50" t="str">
        <f t="shared" si="41"/>
        <v/>
      </c>
    </row>
    <row r="846" spans="1:25">
      <c r="A846" s="45" t="str">
        <f>IF(AND(Registro!D845="Abierto",Registro!E845="Urgente"),Registro!B845,"")</f>
        <v/>
      </c>
      <c r="B846" s="45" t="str">
        <f ca="1">IF(AND(Registro!D845="Abierto",Registro!E845="Urgente"),TODAY()-Registro!R845,"")</f>
        <v/>
      </c>
      <c r="C846" s="45" t="str">
        <f>IF(AND(Registro!D845="Abierto",Registro!E845="Urgente"),RANK(B846,$B$9:$B$1000,0)+COUNTIF($B$9:B846,B846)-1,"")</f>
        <v/>
      </c>
      <c r="D846" s="45" t="str">
        <f>IF(AND(Registro!D845="Abierto",Registro!E845="Alta"),Registro!B845,"")</f>
        <v/>
      </c>
      <c r="E846" s="45" t="str">
        <f ca="1">IF(AND(Registro!D845="Abierto",Registro!E845="Alta"),TODAY()-Registro!R845,"")</f>
        <v/>
      </c>
      <c r="F846" s="45" t="str">
        <f>IF(AND(Registro!D845="Abierto",Registro!E845="Alta"),RANK(E846,$E$9:$E$1000,0)+COUNTIF($E$9:E846,E846)-1+MAX(C$5:C$1000),"")</f>
        <v/>
      </c>
      <c r="G846" s="45" t="str">
        <f>IF(AND(Registro!D845="Abierto",Registro!E845="Media"),Registro!B845,"")</f>
        <v/>
      </c>
      <c r="H846" s="45" t="str">
        <f ca="1">IF(AND(Registro!D845="Abierto",Registro!E845="Media"),TODAY()-Registro!R845,"")</f>
        <v/>
      </c>
      <c r="I846" s="45" t="str">
        <f>IF(AND(Registro!D845="Abierto",Registro!E845="Media"),RANK(H846,$H$9:$H$1000,0)+COUNTIF($H$9:H846,H846)-1+MAX(C$5:C$1000,F$5:F$1000),"")</f>
        <v/>
      </c>
      <c r="J846" s="45" t="str">
        <f>IF(AND(Registro!D845="Abierto",Registro!E845="Baja"),Registro!B845,"")</f>
        <v/>
      </c>
      <c r="K846" s="45" t="str">
        <f ca="1">IF(AND(Registro!D845="Abierto",Registro!E845="Baja"),TODAY()-Registro!R845,"")</f>
        <v/>
      </c>
      <c r="L846" s="45" t="str">
        <f>IF(AND(Registro!D845="Abierto",Registro!E845="Baja"),RANK(K846,$K$9:$K$1000,0)+COUNTIF($K$9:K846,K846)-1+MAX(C$5:C$1000,F$5:F$1000,I$5:I$1000),"")</f>
        <v/>
      </c>
      <c r="M846" s="46" t="str">
        <f>IF(OR(Registro!D845="Resuelto",Registro!D845=""),"",SUM(C846,F846,I846,L846))</f>
        <v/>
      </c>
      <c r="N846" s="46" t="str">
        <f>IF(OR(Registro!D845="Resuelto",Registro!D845=""),"",SUM(B846,E846,H846,K846))</f>
        <v/>
      </c>
      <c r="O846" s="46" t="str">
        <f>IF(OR(Registro!D845="Resuelto",Registro!D845=""),"",_xlfn.CONCAT(A846,D846,G846,J846))</f>
        <v/>
      </c>
      <c r="P846" s="47">
        <v>838</v>
      </c>
      <c r="Q846" s="47" t="str">
        <f t="shared" ca="1" si="39"/>
        <v/>
      </c>
      <c r="R846" s="48" t="str">
        <f t="shared" ca="1" si="40"/>
        <v/>
      </c>
      <c r="S846" s="32"/>
      <c r="T846" s="32"/>
      <c r="U846" s="32"/>
      <c r="V846" s="32"/>
      <c r="W846" s="47" t="str">
        <f>IF(X846="","",MAX($W$5:W845)+1)</f>
        <v/>
      </c>
      <c r="X846" s="50" t="str">
        <f>IF(Registro!M845="","",IF(COUNTIF($X$8:X845,Registro!M845)=0,Registro!M845,""))</f>
        <v/>
      </c>
      <c r="Y846" s="50" t="str">
        <f t="shared" si="41"/>
        <v/>
      </c>
    </row>
    <row r="847" spans="1:25">
      <c r="A847" s="45" t="str">
        <f>IF(AND(Registro!D846="Abierto",Registro!E846="Urgente"),Registro!B846,"")</f>
        <v/>
      </c>
      <c r="B847" s="45" t="str">
        <f ca="1">IF(AND(Registro!D846="Abierto",Registro!E846="Urgente"),TODAY()-Registro!R846,"")</f>
        <v/>
      </c>
      <c r="C847" s="45" t="str">
        <f>IF(AND(Registro!D846="Abierto",Registro!E846="Urgente"),RANK(B847,$B$9:$B$1000,0)+COUNTIF($B$9:B847,B847)-1,"")</f>
        <v/>
      </c>
      <c r="D847" s="45" t="str">
        <f>IF(AND(Registro!D846="Abierto",Registro!E846="Alta"),Registro!B846,"")</f>
        <v/>
      </c>
      <c r="E847" s="45" t="str">
        <f ca="1">IF(AND(Registro!D846="Abierto",Registro!E846="Alta"),TODAY()-Registro!R846,"")</f>
        <v/>
      </c>
      <c r="F847" s="45" t="str">
        <f>IF(AND(Registro!D846="Abierto",Registro!E846="Alta"),RANK(E847,$E$9:$E$1000,0)+COUNTIF($E$9:E847,E847)-1+MAX(C$5:C$1000),"")</f>
        <v/>
      </c>
      <c r="G847" s="45" t="str">
        <f>IF(AND(Registro!D846="Abierto",Registro!E846="Media"),Registro!B846,"")</f>
        <v/>
      </c>
      <c r="H847" s="45" t="str">
        <f ca="1">IF(AND(Registro!D846="Abierto",Registro!E846="Media"),TODAY()-Registro!R846,"")</f>
        <v/>
      </c>
      <c r="I847" s="45" t="str">
        <f>IF(AND(Registro!D846="Abierto",Registro!E846="Media"),RANK(H847,$H$9:$H$1000,0)+COUNTIF($H$9:H847,H847)-1+MAX(C$5:C$1000,F$5:F$1000),"")</f>
        <v/>
      </c>
      <c r="J847" s="45" t="str">
        <f>IF(AND(Registro!D846="Abierto",Registro!E846="Baja"),Registro!B846,"")</f>
        <v/>
      </c>
      <c r="K847" s="45" t="str">
        <f ca="1">IF(AND(Registro!D846="Abierto",Registro!E846="Baja"),TODAY()-Registro!R846,"")</f>
        <v/>
      </c>
      <c r="L847" s="45" t="str">
        <f>IF(AND(Registro!D846="Abierto",Registro!E846="Baja"),RANK(K847,$K$9:$K$1000,0)+COUNTIF($K$9:K847,K847)-1+MAX(C$5:C$1000,F$5:F$1000,I$5:I$1000),"")</f>
        <v/>
      </c>
      <c r="M847" s="46" t="str">
        <f>IF(OR(Registro!D846="Resuelto",Registro!D846=""),"",SUM(C847,F847,I847,L847))</f>
        <v/>
      </c>
      <c r="N847" s="46" t="str">
        <f>IF(OR(Registro!D846="Resuelto",Registro!D846=""),"",SUM(B847,E847,H847,K847))</f>
        <v/>
      </c>
      <c r="O847" s="46" t="str">
        <f>IF(OR(Registro!D846="Resuelto",Registro!D846=""),"",_xlfn.CONCAT(A847,D847,G847,J847))</f>
        <v/>
      </c>
      <c r="P847" s="47">
        <v>839</v>
      </c>
      <c r="Q847" s="47" t="str">
        <f t="shared" ca="1" si="39"/>
        <v/>
      </c>
      <c r="R847" s="48" t="str">
        <f t="shared" ca="1" si="40"/>
        <v/>
      </c>
      <c r="S847" s="32"/>
      <c r="T847" s="32"/>
      <c r="U847" s="32"/>
      <c r="V847" s="32"/>
      <c r="W847" s="47" t="str">
        <f>IF(X847="","",MAX($W$5:W846)+1)</f>
        <v/>
      </c>
      <c r="X847" s="50" t="str">
        <f>IF(Registro!M846="","",IF(COUNTIF($X$8:X846,Registro!M846)=0,Registro!M846,""))</f>
        <v/>
      </c>
      <c r="Y847" s="50" t="str">
        <f t="shared" si="41"/>
        <v/>
      </c>
    </row>
    <row r="848" spans="1:25">
      <c r="A848" s="45" t="str">
        <f>IF(AND(Registro!D847="Abierto",Registro!E847="Urgente"),Registro!B847,"")</f>
        <v/>
      </c>
      <c r="B848" s="45" t="str">
        <f ca="1">IF(AND(Registro!D847="Abierto",Registro!E847="Urgente"),TODAY()-Registro!R847,"")</f>
        <v/>
      </c>
      <c r="C848" s="45" t="str">
        <f>IF(AND(Registro!D847="Abierto",Registro!E847="Urgente"),RANK(B848,$B$9:$B$1000,0)+COUNTIF($B$9:B848,B848)-1,"")</f>
        <v/>
      </c>
      <c r="D848" s="45" t="str">
        <f>IF(AND(Registro!D847="Abierto",Registro!E847="Alta"),Registro!B847,"")</f>
        <v/>
      </c>
      <c r="E848" s="45" t="str">
        <f ca="1">IF(AND(Registro!D847="Abierto",Registro!E847="Alta"),TODAY()-Registro!R847,"")</f>
        <v/>
      </c>
      <c r="F848" s="45" t="str">
        <f>IF(AND(Registro!D847="Abierto",Registro!E847="Alta"),RANK(E848,$E$9:$E$1000,0)+COUNTIF($E$9:E848,E848)-1+MAX(C$5:C$1000),"")</f>
        <v/>
      </c>
      <c r="G848" s="45" t="str">
        <f>IF(AND(Registro!D847="Abierto",Registro!E847="Media"),Registro!B847,"")</f>
        <v/>
      </c>
      <c r="H848" s="45" t="str">
        <f ca="1">IF(AND(Registro!D847="Abierto",Registro!E847="Media"),TODAY()-Registro!R847,"")</f>
        <v/>
      </c>
      <c r="I848" s="45" t="str">
        <f>IF(AND(Registro!D847="Abierto",Registro!E847="Media"),RANK(H848,$H$9:$H$1000,0)+COUNTIF($H$9:H848,H848)-1+MAX(C$5:C$1000,F$5:F$1000),"")</f>
        <v/>
      </c>
      <c r="J848" s="45" t="str">
        <f>IF(AND(Registro!D847="Abierto",Registro!E847="Baja"),Registro!B847,"")</f>
        <v/>
      </c>
      <c r="K848" s="45" t="str">
        <f ca="1">IF(AND(Registro!D847="Abierto",Registro!E847="Baja"),TODAY()-Registro!R847,"")</f>
        <v/>
      </c>
      <c r="L848" s="45" t="str">
        <f>IF(AND(Registro!D847="Abierto",Registro!E847="Baja"),RANK(K848,$K$9:$K$1000,0)+COUNTIF($K$9:K848,K848)-1+MAX(C$5:C$1000,F$5:F$1000,I$5:I$1000),"")</f>
        <v/>
      </c>
      <c r="M848" s="46" t="str">
        <f>IF(OR(Registro!D847="Resuelto",Registro!D847=""),"",SUM(C848,F848,I848,L848))</f>
        <v/>
      </c>
      <c r="N848" s="46" t="str">
        <f>IF(OR(Registro!D847="Resuelto",Registro!D847=""),"",SUM(B848,E848,H848,K848))</f>
        <v/>
      </c>
      <c r="O848" s="46" t="str">
        <f>IF(OR(Registro!D847="Resuelto",Registro!D847=""),"",_xlfn.CONCAT(A848,D848,G848,J848))</f>
        <v/>
      </c>
      <c r="P848" s="47">
        <v>840</v>
      </c>
      <c r="Q848" s="47" t="str">
        <f t="shared" ca="1" si="39"/>
        <v/>
      </c>
      <c r="R848" s="48" t="str">
        <f t="shared" ca="1" si="40"/>
        <v/>
      </c>
      <c r="S848" s="32"/>
      <c r="T848" s="32"/>
      <c r="U848" s="32"/>
      <c r="V848" s="32"/>
      <c r="W848" s="47" t="str">
        <f>IF(X848="","",MAX($W$5:W847)+1)</f>
        <v/>
      </c>
      <c r="X848" s="50" t="str">
        <f>IF(Registro!M847="","",IF(COUNTIF($X$8:X847,Registro!M847)=0,Registro!M847,""))</f>
        <v/>
      </c>
      <c r="Y848" s="50" t="str">
        <f t="shared" si="41"/>
        <v/>
      </c>
    </row>
    <row r="849" spans="1:25">
      <c r="A849" s="45" t="str">
        <f>IF(AND(Registro!D848="Abierto",Registro!E848="Urgente"),Registro!B848,"")</f>
        <v/>
      </c>
      <c r="B849" s="45" t="str">
        <f ca="1">IF(AND(Registro!D848="Abierto",Registro!E848="Urgente"),TODAY()-Registro!R848,"")</f>
        <v/>
      </c>
      <c r="C849" s="45" t="str">
        <f>IF(AND(Registro!D848="Abierto",Registro!E848="Urgente"),RANK(B849,$B$9:$B$1000,0)+COUNTIF($B$9:B849,B849)-1,"")</f>
        <v/>
      </c>
      <c r="D849" s="45" t="str">
        <f>IF(AND(Registro!D848="Abierto",Registro!E848="Alta"),Registro!B848,"")</f>
        <v/>
      </c>
      <c r="E849" s="45" t="str">
        <f ca="1">IF(AND(Registro!D848="Abierto",Registro!E848="Alta"),TODAY()-Registro!R848,"")</f>
        <v/>
      </c>
      <c r="F849" s="45" t="str">
        <f>IF(AND(Registro!D848="Abierto",Registro!E848="Alta"),RANK(E849,$E$9:$E$1000,0)+COUNTIF($E$9:E849,E849)-1+MAX(C$5:C$1000),"")</f>
        <v/>
      </c>
      <c r="G849" s="45" t="str">
        <f>IF(AND(Registro!D848="Abierto",Registro!E848="Media"),Registro!B848,"")</f>
        <v/>
      </c>
      <c r="H849" s="45" t="str">
        <f ca="1">IF(AND(Registro!D848="Abierto",Registro!E848="Media"),TODAY()-Registro!R848,"")</f>
        <v/>
      </c>
      <c r="I849" s="45" t="str">
        <f>IF(AND(Registro!D848="Abierto",Registro!E848="Media"),RANK(H849,$H$9:$H$1000,0)+COUNTIF($H$9:H849,H849)-1+MAX(C$5:C$1000,F$5:F$1000),"")</f>
        <v/>
      </c>
      <c r="J849" s="45" t="str">
        <f>IF(AND(Registro!D848="Abierto",Registro!E848="Baja"),Registro!B848,"")</f>
        <v/>
      </c>
      <c r="K849" s="45" t="str">
        <f ca="1">IF(AND(Registro!D848="Abierto",Registro!E848="Baja"),TODAY()-Registro!R848,"")</f>
        <v/>
      </c>
      <c r="L849" s="45" t="str">
        <f>IF(AND(Registro!D848="Abierto",Registro!E848="Baja"),RANK(K849,$K$9:$K$1000,0)+COUNTIF($K$9:K849,K849)-1+MAX(C$5:C$1000,F$5:F$1000,I$5:I$1000),"")</f>
        <v/>
      </c>
      <c r="M849" s="46" t="str">
        <f>IF(OR(Registro!D848="Resuelto",Registro!D848=""),"",SUM(C849,F849,I849,L849))</f>
        <v/>
      </c>
      <c r="N849" s="46" t="str">
        <f>IF(OR(Registro!D848="Resuelto",Registro!D848=""),"",SUM(B849,E849,H849,K849))</f>
        <v/>
      </c>
      <c r="O849" s="46" t="str">
        <f>IF(OR(Registro!D848="Resuelto",Registro!D848=""),"",_xlfn.CONCAT(A849,D849,G849,J849))</f>
        <v/>
      </c>
      <c r="P849" s="47">
        <v>841</v>
      </c>
      <c r="Q849" s="47" t="str">
        <f t="shared" ca="1" si="39"/>
        <v/>
      </c>
      <c r="R849" s="48" t="str">
        <f t="shared" ca="1" si="40"/>
        <v/>
      </c>
      <c r="S849" s="32"/>
      <c r="T849" s="32"/>
      <c r="U849" s="32"/>
      <c r="V849" s="32"/>
      <c r="W849" s="47" t="str">
        <f>IF(X849="","",MAX($W$5:W848)+1)</f>
        <v/>
      </c>
      <c r="X849" s="50" t="str">
        <f>IF(Registro!M848="","",IF(COUNTIF($X$8:X848,Registro!M848)=0,Registro!M848,""))</f>
        <v/>
      </c>
      <c r="Y849" s="50" t="str">
        <f t="shared" si="41"/>
        <v/>
      </c>
    </row>
    <row r="850" spans="1:25">
      <c r="A850" s="45" t="str">
        <f>IF(AND(Registro!D849="Abierto",Registro!E849="Urgente"),Registro!B849,"")</f>
        <v/>
      </c>
      <c r="B850" s="45" t="str">
        <f ca="1">IF(AND(Registro!D849="Abierto",Registro!E849="Urgente"),TODAY()-Registro!R849,"")</f>
        <v/>
      </c>
      <c r="C850" s="45" t="str">
        <f>IF(AND(Registro!D849="Abierto",Registro!E849="Urgente"),RANK(B850,$B$9:$B$1000,0)+COUNTIF($B$9:B850,B850)-1,"")</f>
        <v/>
      </c>
      <c r="D850" s="45" t="str">
        <f>IF(AND(Registro!D849="Abierto",Registro!E849="Alta"),Registro!B849,"")</f>
        <v/>
      </c>
      <c r="E850" s="45" t="str">
        <f ca="1">IF(AND(Registro!D849="Abierto",Registro!E849="Alta"),TODAY()-Registro!R849,"")</f>
        <v/>
      </c>
      <c r="F850" s="45" t="str">
        <f>IF(AND(Registro!D849="Abierto",Registro!E849="Alta"),RANK(E850,$E$9:$E$1000,0)+COUNTIF($E$9:E850,E850)-1+MAX(C$5:C$1000),"")</f>
        <v/>
      </c>
      <c r="G850" s="45" t="str">
        <f>IF(AND(Registro!D849="Abierto",Registro!E849="Media"),Registro!B849,"")</f>
        <v/>
      </c>
      <c r="H850" s="45" t="str">
        <f ca="1">IF(AND(Registro!D849="Abierto",Registro!E849="Media"),TODAY()-Registro!R849,"")</f>
        <v/>
      </c>
      <c r="I850" s="45" t="str">
        <f>IF(AND(Registro!D849="Abierto",Registro!E849="Media"),RANK(H850,$H$9:$H$1000,0)+COUNTIF($H$9:H850,H850)-1+MAX(C$5:C$1000,F$5:F$1000),"")</f>
        <v/>
      </c>
      <c r="J850" s="45" t="str">
        <f>IF(AND(Registro!D849="Abierto",Registro!E849="Baja"),Registro!B849,"")</f>
        <v/>
      </c>
      <c r="K850" s="45" t="str">
        <f ca="1">IF(AND(Registro!D849="Abierto",Registro!E849="Baja"),TODAY()-Registro!R849,"")</f>
        <v/>
      </c>
      <c r="L850" s="45" t="str">
        <f>IF(AND(Registro!D849="Abierto",Registro!E849="Baja"),RANK(K850,$K$9:$K$1000,0)+COUNTIF($K$9:K850,K850)-1+MAX(C$5:C$1000,F$5:F$1000,I$5:I$1000),"")</f>
        <v/>
      </c>
      <c r="M850" s="46" t="str">
        <f>IF(OR(Registro!D849="Resuelto",Registro!D849=""),"",SUM(C850,F850,I850,L850))</f>
        <v/>
      </c>
      <c r="N850" s="46" t="str">
        <f>IF(OR(Registro!D849="Resuelto",Registro!D849=""),"",SUM(B850,E850,H850,K850))</f>
        <v/>
      </c>
      <c r="O850" s="46" t="str">
        <f>IF(OR(Registro!D849="Resuelto",Registro!D849=""),"",_xlfn.CONCAT(A850,D850,G850,J850))</f>
        <v/>
      </c>
      <c r="P850" s="47">
        <v>842</v>
      </c>
      <c r="Q850" s="47" t="str">
        <f t="shared" ca="1" si="39"/>
        <v/>
      </c>
      <c r="R850" s="48" t="str">
        <f t="shared" ca="1" si="40"/>
        <v/>
      </c>
      <c r="S850" s="32"/>
      <c r="T850" s="32"/>
      <c r="U850" s="32"/>
      <c r="V850" s="32"/>
      <c r="W850" s="47" t="str">
        <f>IF(X850="","",MAX($W$5:W849)+1)</f>
        <v/>
      </c>
      <c r="X850" s="50" t="str">
        <f>IF(Registro!M849="","",IF(COUNTIF($X$8:X849,Registro!M849)=0,Registro!M849,""))</f>
        <v/>
      </c>
      <c r="Y850" s="50" t="str">
        <f t="shared" si="41"/>
        <v/>
      </c>
    </row>
    <row r="851" spans="1:25">
      <c r="A851" s="45" t="str">
        <f>IF(AND(Registro!D850="Abierto",Registro!E850="Urgente"),Registro!B850,"")</f>
        <v/>
      </c>
      <c r="B851" s="45" t="str">
        <f ca="1">IF(AND(Registro!D850="Abierto",Registro!E850="Urgente"),TODAY()-Registro!R850,"")</f>
        <v/>
      </c>
      <c r="C851" s="45" t="str">
        <f>IF(AND(Registro!D850="Abierto",Registro!E850="Urgente"),RANK(B851,$B$9:$B$1000,0)+COUNTIF($B$9:B851,B851)-1,"")</f>
        <v/>
      </c>
      <c r="D851" s="45" t="str">
        <f>IF(AND(Registro!D850="Abierto",Registro!E850="Alta"),Registro!B850,"")</f>
        <v/>
      </c>
      <c r="E851" s="45" t="str">
        <f ca="1">IF(AND(Registro!D850="Abierto",Registro!E850="Alta"),TODAY()-Registro!R850,"")</f>
        <v/>
      </c>
      <c r="F851" s="45" t="str">
        <f>IF(AND(Registro!D850="Abierto",Registro!E850="Alta"),RANK(E851,$E$9:$E$1000,0)+COUNTIF($E$9:E851,E851)-1+MAX(C$5:C$1000),"")</f>
        <v/>
      </c>
      <c r="G851" s="45" t="str">
        <f>IF(AND(Registro!D850="Abierto",Registro!E850="Media"),Registro!B850,"")</f>
        <v/>
      </c>
      <c r="H851" s="45" t="str">
        <f ca="1">IF(AND(Registro!D850="Abierto",Registro!E850="Media"),TODAY()-Registro!R850,"")</f>
        <v/>
      </c>
      <c r="I851" s="45" t="str">
        <f>IF(AND(Registro!D850="Abierto",Registro!E850="Media"),RANK(H851,$H$9:$H$1000,0)+COUNTIF($H$9:H851,H851)-1+MAX(C$5:C$1000,F$5:F$1000),"")</f>
        <v/>
      </c>
      <c r="J851" s="45" t="str">
        <f>IF(AND(Registro!D850="Abierto",Registro!E850="Baja"),Registro!B850,"")</f>
        <v/>
      </c>
      <c r="K851" s="45" t="str">
        <f ca="1">IF(AND(Registro!D850="Abierto",Registro!E850="Baja"),TODAY()-Registro!R850,"")</f>
        <v/>
      </c>
      <c r="L851" s="45" t="str">
        <f>IF(AND(Registro!D850="Abierto",Registro!E850="Baja"),RANK(K851,$K$9:$K$1000,0)+COUNTIF($K$9:K851,K851)-1+MAX(C$5:C$1000,F$5:F$1000,I$5:I$1000),"")</f>
        <v/>
      </c>
      <c r="M851" s="46" t="str">
        <f>IF(OR(Registro!D850="Resuelto",Registro!D850=""),"",SUM(C851,F851,I851,L851))</f>
        <v/>
      </c>
      <c r="N851" s="46" t="str">
        <f>IF(OR(Registro!D850="Resuelto",Registro!D850=""),"",SUM(B851,E851,H851,K851))</f>
        <v/>
      </c>
      <c r="O851" s="46" t="str">
        <f>IF(OR(Registro!D850="Resuelto",Registro!D850=""),"",_xlfn.CONCAT(A851,D851,G851,J851))</f>
        <v/>
      </c>
      <c r="P851" s="47">
        <v>843</v>
      </c>
      <c r="Q851" s="47" t="str">
        <f t="shared" ca="1" si="39"/>
        <v/>
      </c>
      <c r="R851" s="48" t="str">
        <f t="shared" ca="1" si="40"/>
        <v/>
      </c>
      <c r="S851" s="32"/>
      <c r="T851" s="32"/>
      <c r="U851" s="32"/>
      <c r="V851" s="32"/>
      <c r="W851" s="47" t="str">
        <f>IF(X851="","",MAX($W$5:W850)+1)</f>
        <v/>
      </c>
      <c r="X851" s="50" t="str">
        <f>IF(Registro!M850="","",IF(COUNTIF($X$8:X850,Registro!M850)=0,Registro!M850,""))</f>
        <v/>
      </c>
      <c r="Y851" s="50" t="str">
        <f t="shared" si="41"/>
        <v/>
      </c>
    </row>
    <row r="852" spans="1:25">
      <c r="A852" s="45" t="str">
        <f>IF(AND(Registro!D851="Abierto",Registro!E851="Urgente"),Registro!B851,"")</f>
        <v/>
      </c>
      <c r="B852" s="45" t="str">
        <f ca="1">IF(AND(Registro!D851="Abierto",Registro!E851="Urgente"),TODAY()-Registro!R851,"")</f>
        <v/>
      </c>
      <c r="C852" s="45" t="str">
        <f>IF(AND(Registro!D851="Abierto",Registro!E851="Urgente"),RANK(B852,$B$9:$B$1000,0)+COUNTIF($B$9:B852,B852)-1,"")</f>
        <v/>
      </c>
      <c r="D852" s="45" t="str">
        <f>IF(AND(Registro!D851="Abierto",Registro!E851="Alta"),Registro!B851,"")</f>
        <v/>
      </c>
      <c r="E852" s="45" t="str">
        <f ca="1">IF(AND(Registro!D851="Abierto",Registro!E851="Alta"),TODAY()-Registro!R851,"")</f>
        <v/>
      </c>
      <c r="F852" s="45" t="str">
        <f>IF(AND(Registro!D851="Abierto",Registro!E851="Alta"),RANK(E852,$E$9:$E$1000,0)+COUNTIF($E$9:E852,E852)-1+MAX(C$5:C$1000),"")</f>
        <v/>
      </c>
      <c r="G852" s="45" t="str">
        <f>IF(AND(Registro!D851="Abierto",Registro!E851="Media"),Registro!B851,"")</f>
        <v/>
      </c>
      <c r="H852" s="45" t="str">
        <f ca="1">IF(AND(Registro!D851="Abierto",Registro!E851="Media"),TODAY()-Registro!R851,"")</f>
        <v/>
      </c>
      <c r="I852" s="45" t="str">
        <f>IF(AND(Registro!D851="Abierto",Registro!E851="Media"),RANK(H852,$H$9:$H$1000,0)+COUNTIF($H$9:H852,H852)-1+MAX(C$5:C$1000,F$5:F$1000),"")</f>
        <v/>
      </c>
      <c r="J852" s="45" t="str">
        <f>IF(AND(Registro!D851="Abierto",Registro!E851="Baja"),Registro!B851,"")</f>
        <v/>
      </c>
      <c r="K852" s="45" t="str">
        <f ca="1">IF(AND(Registro!D851="Abierto",Registro!E851="Baja"),TODAY()-Registro!R851,"")</f>
        <v/>
      </c>
      <c r="L852" s="45" t="str">
        <f>IF(AND(Registro!D851="Abierto",Registro!E851="Baja"),RANK(K852,$K$9:$K$1000,0)+COUNTIF($K$9:K852,K852)-1+MAX(C$5:C$1000,F$5:F$1000,I$5:I$1000),"")</f>
        <v/>
      </c>
      <c r="M852" s="46" t="str">
        <f>IF(OR(Registro!D851="Resuelto",Registro!D851=""),"",SUM(C852,F852,I852,L852))</f>
        <v/>
      </c>
      <c r="N852" s="46" t="str">
        <f>IF(OR(Registro!D851="Resuelto",Registro!D851=""),"",SUM(B852,E852,H852,K852))</f>
        <v/>
      </c>
      <c r="O852" s="46" t="str">
        <f>IF(OR(Registro!D851="Resuelto",Registro!D851=""),"",_xlfn.CONCAT(A852,D852,G852,J852))</f>
        <v/>
      </c>
      <c r="P852" s="47">
        <v>844</v>
      </c>
      <c r="Q852" s="47" t="str">
        <f t="shared" ca="1" si="39"/>
        <v/>
      </c>
      <c r="R852" s="48" t="str">
        <f t="shared" ca="1" si="40"/>
        <v/>
      </c>
      <c r="S852" s="32"/>
      <c r="T852" s="32"/>
      <c r="U852" s="32"/>
      <c r="V852" s="32"/>
      <c r="W852" s="47" t="str">
        <f>IF(X852="","",MAX($W$5:W851)+1)</f>
        <v/>
      </c>
      <c r="X852" s="50" t="str">
        <f>IF(Registro!M851="","",IF(COUNTIF($X$8:X851,Registro!M851)=0,Registro!M851,""))</f>
        <v/>
      </c>
      <c r="Y852" s="50" t="str">
        <f t="shared" si="41"/>
        <v/>
      </c>
    </row>
    <row r="853" spans="1:25">
      <c r="A853" s="45" t="str">
        <f>IF(AND(Registro!D852="Abierto",Registro!E852="Urgente"),Registro!B852,"")</f>
        <v/>
      </c>
      <c r="B853" s="45" t="str">
        <f ca="1">IF(AND(Registro!D852="Abierto",Registro!E852="Urgente"),TODAY()-Registro!R852,"")</f>
        <v/>
      </c>
      <c r="C853" s="45" t="str">
        <f>IF(AND(Registro!D852="Abierto",Registro!E852="Urgente"),RANK(B853,$B$9:$B$1000,0)+COUNTIF($B$9:B853,B853)-1,"")</f>
        <v/>
      </c>
      <c r="D853" s="45" t="str">
        <f>IF(AND(Registro!D852="Abierto",Registro!E852="Alta"),Registro!B852,"")</f>
        <v/>
      </c>
      <c r="E853" s="45" t="str">
        <f ca="1">IF(AND(Registro!D852="Abierto",Registro!E852="Alta"),TODAY()-Registro!R852,"")</f>
        <v/>
      </c>
      <c r="F853" s="45" t="str">
        <f>IF(AND(Registro!D852="Abierto",Registro!E852="Alta"),RANK(E853,$E$9:$E$1000,0)+COUNTIF($E$9:E853,E853)-1+MAX(C$5:C$1000),"")</f>
        <v/>
      </c>
      <c r="G853" s="45" t="str">
        <f>IF(AND(Registro!D852="Abierto",Registro!E852="Media"),Registro!B852,"")</f>
        <v/>
      </c>
      <c r="H853" s="45" t="str">
        <f ca="1">IF(AND(Registro!D852="Abierto",Registro!E852="Media"),TODAY()-Registro!R852,"")</f>
        <v/>
      </c>
      <c r="I853" s="45" t="str">
        <f>IF(AND(Registro!D852="Abierto",Registro!E852="Media"),RANK(H853,$H$9:$H$1000,0)+COUNTIF($H$9:H853,H853)-1+MAX(C$5:C$1000,F$5:F$1000),"")</f>
        <v/>
      </c>
      <c r="J853" s="45" t="str">
        <f>IF(AND(Registro!D852="Abierto",Registro!E852="Baja"),Registro!B852,"")</f>
        <v/>
      </c>
      <c r="K853" s="45" t="str">
        <f ca="1">IF(AND(Registro!D852="Abierto",Registro!E852="Baja"),TODAY()-Registro!R852,"")</f>
        <v/>
      </c>
      <c r="L853" s="45" t="str">
        <f>IF(AND(Registro!D852="Abierto",Registro!E852="Baja"),RANK(K853,$K$9:$K$1000,0)+COUNTIF($K$9:K853,K853)-1+MAX(C$5:C$1000,F$5:F$1000,I$5:I$1000),"")</f>
        <v/>
      </c>
      <c r="M853" s="46" t="str">
        <f>IF(OR(Registro!D852="Resuelto",Registro!D852=""),"",SUM(C853,F853,I853,L853))</f>
        <v/>
      </c>
      <c r="N853" s="46" t="str">
        <f>IF(OR(Registro!D852="Resuelto",Registro!D852=""),"",SUM(B853,E853,H853,K853))</f>
        <v/>
      </c>
      <c r="O853" s="46" t="str">
        <f>IF(OR(Registro!D852="Resuelto",Registro!D852=""),"",_xlfn.CONCAT(A853,D853,G853,J853))</f>
        <v/>
      </c>
      <c r="P853" s="47">
        <v>845</v>
      </c>
      <c r="Q853" s="47" t="str">
        <f t="shared" ca="1" si="39"/>
        <v/>
      </c>
      <c r="R853" s="48" t="str">
        <f t="shared" ca="1" si="40"/>
        <v/>
      </c>
      <c r="S853" s="32"/>
      <c r="T853" s="32"/>
      <c r="U853" s="32"/>
      <c r="V853" s="32"/>
      <c r="W853" s="47" t="str">
        <f>IF(X853="","",MAX($W$5:W852)+1)</f>
        <v/>
      </c>
      <c r="X853" s="50" t="str">
        <f>IF(Registro!M852="","",IF(COUNTIF($X$8:X852,Registro!M852)=0,Registro!M852,""))</f>
        <v/>
      </c>
      <c r="Y853" s="50" t="str">
        <f t="shared" si="41"/>
        <v/>
      </c>
    </row>
    <row r="854" spans="1:25">
      <c r="A854" s="45" t="str">
        <f>IF(AND(Registro!D853="Abierto",Registro!E853="Urgente"),Registro!B853,"")</f>
        <v/>
      </c>
      <c r="B854" s="45" t="str">
        <f ca="1">IF(AND(Registro!D853="Abierto",Registro!E853="Urgente"),TODAY()-Registro!R853,"")</f>
        <v/>
      </c>
      <c r="C854" s="45" t="str">
        <f>IF(AND(Registro!D853="Abierto",Registro!E853="Urgente"),RANK(B854,$B$9:$B$1000,0)+COUNTIF($B$9:B854,B854)-1,"")</f>
        <v/>
      </c>
      <c r="D854" s="45" t="str">
        <f>IF(AND(Registro!D853="Abierto",Registro!E853="Alta"),Registro!B853,"")</f>
        <v/>
      </c>
      <c r="E854" s="45" t="str">
        <f ca="1">IF(AND(Registro!D853="Abierto",Registro!E853="Alta"),TODAY()-Registro!R853,"")</f>
        <v/>
      </c>
      <c r="F854" s="45" t="str">
        <f>IF(AND(Registro!D853="Abierto",Registro!E853="Alta"),RANK(E854,$E$9:$E$1000,0)+COUNTIF($E$9:E854,E854)-1+MAX(C$5:C$1000),"")</f>
        <v/>
      </c>
      <c r="G854" s="45" t="str">
        <f>IF(AND(Registro!D853="Abierto",Registro!E853="Media"),Registro!B853,"")</f>
        <v/>
      </c>
      <c r="H854" s="45" t="str">
        <f ca="1">IF(AND(Registro!D853="Abierto",Registro!E853="Media"),TODAY()-Registro!R853,"")</f>
        <v/>
      </c>
      <c r="I854" s="45" t="str">
        <f>IF(AND(Registro!D853="Abierto",Registro!E853="Media"),RANK(H854,$H$9:$H$1000,0)+COUNTIF($H$9:H854,H854)-1+MAX(C$5:C$1000,F$5:F$1000),"")</f>
        <v/>
      </c>
      <c r="J854" s="45" t="str">
        <f>IF(AND(Registro!D853="Abierto",Registro!E853="Baja"),Registro!B853,"")</f>
        <v/>
      </c>
      <c r="K854" s="45" t="str">
        <f ca="1">IF(AND(Registro!D853="Abierto",Registro!E853="Baja"),TODAY()-Registro!R853,"")</f>
        <v/>
      </c>
      <c r="L854" s="45" t="str">
        <f>IF(AND(Registro!D853="Abierto",Registro!E853="Baja"),RANK(K854,$K$9:$K$1000,0)+COUNTIF($K$9:K854,K854)-1+MAX(C$5:C$1000,F$5:F$1000,I$5:I$1000),"")</f>
        <v/>
      </c>
      <c r="M854" s="46" t="str">
        <f>IF(OR(Registro!D853="Resuelto",Registro!D853=""),"",SUM(C854,F854,I854,L854))</f>
        <v/>
      </c>
      <c r="N854" s="46" t="str">
        <f>IF(OR(Registro!D853="Resuelto",Registro!D853=""),"",SUM(B854,E854,H854,K854))</f>
        <v/>
      </c>
      <c r="O854" s="46" t="str">
        <f>IF(OR(Registro!D853="Resuelto",Registro!D853=""),"",_xlfn.CONCAT(A854,D854,G854,J854))</f>
        <v/>
      </c>
      <c r="P854" s="47">
        <v>846</v>
      </c>
      <c r="Q854" s="47" t="str">
        <f t="shared" ca="1" si="39"/>
        <v/>
      </c>
      <c r="R854" s="48" t="str">
        <f t="shared" ca="1" si="40"/>
        <v/>
      </c>
      <c r="S854" s="32"/>
      <c r="T854" s="32"/>
      <c r="U854" s="32"/>
      <c r="V854" s="32"/>
      <c r="W854" s="47" t="str">
        <f>IF(X854="","",MAX($W$5:W853)+1)</f>
        <v/>
      </c>
      <c r="X854" s="50" t="str">
        <f>IF(Registro!M853="","",IF(COUNTIF($X$8:X853,Registro!M853)=0,Registro!M853,""))</f>
        <v/>
      </c>
      <c r="Y854" s="50" t="str">
        <f t="shared" si="41"/>
        <v/>
      </c>
    </row>
    <row r="855" spans="1:25">
      <c r="A855" s="45" t="str">
        <f>IF(AND(Registro!D854="Abierto",Registro!E854="Urgente"),Registro!B854,"")</f>
        <v/>
      </c>
      <c r="B855" s="45" t="str">
        <f ca="1">IF(AND(Registro!D854="Abierto",Registro!E854="Urgente"),TODAY()-Registro!R854,"")</f>
        <v/>
      </c>
      <c r="C855" s="45" t="str">
        <f>IF(AND(Registro!D854="Abierto",Registro!E854="Urgente"),RANK(B855,$B$9:$B$1000,0)+COUNTIF($B$9:B855,B855)-1,"")</f>
        <v/>
      </c>
      <c r="D855" s="45" t="str">
        <f>IF(AND(Registro!D854="Abierto",Registro!E854="Alta"),Registro!B854,"")</f>
        <v/>
      </c>
      <c r="E855" s="45" t="str">
        <f ca="1">IF(AND(Registro!D854="Abierto",Registro!E854="Alta"),TODAY()-Registro!R854,"")</f>
        <v/>
      </c>
      <c r="F855" s="45" t="str">
        <f>IF(AND(Registro!D854="Abierto",Registro!E854="Alta"),RANK(E855,$E$9:$E$1000,0)+COUNTIF($E$9:E855,E855)-1+MAX(C$5:C$1000),"")</f>
        <v/>
      </c>
      <c r="G855" s="45" t="str">
        <f>IF(AND(Registro!D854="Abierto",Registro!E854="Media"),Registro!B854,"")</f>
        <v/>
      </c>
      <c r="H855" s="45" t="str">
        <f ca="1">IF(AND(Registro!D854="Abierto",Registro!E854="Media"),TODAY()-Registro!R854,"")</f>
        <v/>
      </c>
      <c r="I855" s="45" t="str">
        <f>IF(AND(Registro!D854="Abierto",Registro!E854="Media"),RANK(H855,$H$9:$H$1000,0)+COUNTIF($H$9:H855,H855)-1+MAX(C$5:C$1000,F$5:F$1000),"")</f>
        <v/>
      </c>
      <c r="J855" s="45" t="str">
        <f>IF(AND(Registro!D854="Abierto",Registro!E854="Baja"),Registro!B854,"")</f>
        <v/>
      </c>
      <c r="K855" s="45" t="str">
        <f ca="1">IF(AND(Registro!D854="Abierto",Registro!E854="Baja"),TODAY()-Registro!R854,"")</f>
        <v/>
      </c>
      <c r="L855" s="45" t="str">
        <f>IF(AND(Registro!D854="Abierto",Registro!E854="Baja"),RANK(K855,$K$9:$K$1000,0)+COUNTIF($K$9:K855,K855)-1+MAX(C$5:C$1000,F$5:F$1000,I$5:I$1000),"")</f>
        <v/>
      </c>
      <c r="M855" s="46" t="str">
        <f>IF(OR(Registro!D854="Resuelto",Registro!D854=""),"",SUM(C855,F855,I855,L855))</f>
        <v/>
      </c>
      <c r="N855" s="46" t="str">
        <f>IF(OR(Registro!D854="Resuelto",Registro!D854=""),"",SUM(B855,E855,H855,K855))</f>
        <v/>
      </c>
      <c r="O855" s="46" t="str">
        <f>IF(OR(Registro!D854="Resuelto",Registro!D854=""),"",_xlfn.CONCAT(A855,D855,G855,J855))</f>
        <v/>
      </c>
      <c r="P855" s="47">
        <v>847</v>
      </c>
      <c r="Q855" s="47" t="str">
        <f t="shared" ca="1" si="39"/>
        <v/>
      </c>
      <c r="R855" s="48" t="str">
        <f t="shared" ca="1" si="40"/>
        <v/>
      </c>
      <c r="S855" s="32"/>
      <c r="T855" s="32"/>
      <c r="U855" s="32"/>
      <c r="V855" s="32"/>
      <c r="W855" s="47" t="str">
        <f>IF(X855="","",MAX($W$5:W854)+1)</f>
        <v/>
      </c>
      <c r="X855" s="50" t="str">
        <f>IF(Registro!M854="","",IF(COUNTIF($X$8:X854,Registro!M854)=0,Registro!M854,""))</f>
        <v/>
      </c>
      <c r="Y855" s="50" t="str">
        <f t="shared" si="41"/>
        <v/>
      </c>
    </row>
    <row r="856" spans="1:25">
      <c r="A856" s="45" t="str">
        <f>IF(AND(Registro!D855="Abierto",Registro!E855="Urgente"),Registro!B855,"")</f>
        <v/>
      </c>
      <c r="B856" s="45" t="str">
        <f ca="1">IF(AND(Registro!D855="Abierto",Registro!E855="Urgente"),TODAY()-Registro!R855,"")</f>
        <v/>
      </c>
      <c r="C856" s="45" t="str">
        <f>IF(AND(Registro!D855="Abierto",Registro!E855="Urgente"),RANK(B856,$B$9:$B$1000,0)+COUNTIF($B$9:B856,B856)-1,"")</f>
        <v/>
      </c>
      <c r="D856" s="45" t="str">
        <f>IF(AND(Registro!D855="Abierto",Registro!E855="Alta"),Registro!B855,"")</f>
        <v/>
      </c>
      <c r="E856" s="45" t="str">
        <f ca="1">IF(AND(Registro!D855="Abierto",Registro!E855="Alta"),TODAY()-Registro!R855,"")</f>
        <v/>
      </c>
      <c r="F856" s="45" t="str">
        <f>IF(AND(Registro!D855="Abierto",Registro!E855="Alta"),RANK(E856,$E$9:$E$1000,0)+COUNTIF($E$9:E856,E856)-1+MAX(C$5:C$1000),"")</f>
        <v/>
      </c>
      <c r="G856" s="45" t="str">
        <f>IF(AND(Registro!D855="Abierto",Registro!E855="Media"),Registro!B855,"")</f>
        <v/>
      </c>
      <c r="H856" s="45" t="str">
        <f ca="1">IF(AND(Registro!D855="Abierto",Registro!E855="Media"),TODAY()-Registro!R855,"")</f>
        <v/>
      </c>
      <c r="I856" s="45" t="str">
        <f>IF(AND(Registro!D855="Abierto",Registro!E855="Media"),RANK(H856,$H$9:$H$1000,0)+COUNTIF($H$9:H856,H856)-1+MAX(C$5:C$1000,F$5:F$1000),"")</f>
        <v/>
      </c>
      <c r="J856" s="45" t="str">
        <f>IF(AND(Registro!D855="Abierto",Registro!E855="Baja"),Registro!B855,"")</f>
        <v/>
      </c>
      <c r="K856" s="45" t="str">
        <f ca="1">IF(AND(Registro!D855="Abierto",Registro!E855="Baja"),TODAY()-Registro!R855,"")</f>
        <v/>
      </c>
      <c r="L856" s="45" t="str">
        <f>IF(AND(Registro!D855="Abierto",Registro!E855="Baja"),RANK(K856,$K$9:$K$1000,0)+COUNTIF($K$9:K856,K856)-1+MAX(C$5:C$1000,F$5:F$1000,I$5:I$1000),"")</f>
        <v/>
      </c>
      <c r="M856" s="46" t="str">
        <f>IF(OR(Registro!D855="Resuelto",Registro!D855=""),"",SUM(C856,F856,I856,L856))</f>
        <v/>
      </c>
      <c r="N856" s="46" t="str">
        <f>IF(OR(Registro!D855="Resuelto",Registro!D855=""),"",SUM(B856,E856,H856,K856))</f>
        <v/>
      </c>
      <c r="O856" s="46" t="str">
        <f>IF(OR(Registro!D855="Resuelto",Registro!D855=""),"",_xlfn.CONCAT(A856,D856,G856,J856))</f>
        <v/>
      </c>
      <c r="P856" s="47">
        <v>848</v>
      </c>
      <c r="Q856" s="47" t="str">
        <f t="shared" ca="1" si="39"/>
        <v/>
      </c>
      <c r="R856" s="48" t="str">
        <f t="shared" ca="1" si="40"/>
        <v/>
      </c>
      <c r="S856" s="32"/>
      <c r="T856" s="32"/>
      <c r="U856" s="32"/>
      <c r="V856" s="32"/>
      <c r="W856" s="47" t="str">
        <f>IF(X856="","",MAX($W$5:W855)+1)</f>
        <v/>
      </c>
      <c r="X856" s="50" t="str">
        <f>IF(Registro!M855="","",IF(COUNTIF($X$8:X855,Registro!M855)=0,Registro!M855,""))</f>
        <v/>
      </c>
      <c r="Y856" s="50" t="str">
        <f t="shared" si="41"/>
        <v/>
      </c>
    </row>
    <row r="857" spans="1:25">
      <c r="A857" s="45" t="str">
        <f>IF(AND(Registro!D856="Abierto",Registro!E856="Urgente"),Registro!B856,"")</f>
        <v/>
      </c>
      <c r="B857" s="45" t="str">
        <f ca="1">IF(AND(Registro!D856="Abierto",Registro!E856="Urgente"),TODAY()-Registro!R856,"")</f>
        <v/>
      </c>
      <c r="C857" s="45" t="str">
        <f>IF(AND(Registro!D856="Abierto",Registro!E856="Urgente"),RANK(B857,$B$9:$B$1000,0)+COUNTIF($B$9:B857,B857)-1,"")</f>
        <v/>
      </c>
      <c r="D857" s="45" t="str">
        <f>IF(AND(Registro!D856="Abierto",Registro!E856="Alta"),Registro!B856,"")</f>
        <v/>
      </c>
      <c r="E857" s="45" t="str">
        <f ca="1">IF(AND(Registro!D856="Abierto",Registro!E856="Alta"),TODAY()-Registro!R856,"")</f>
        <v/>
      </c>
      <c r="F857" s="45" t="str">
        <f>IF(AND(Registro!D856="Abierto",Registro!E856="Alta"),RANK(E857,$E$9:$E$1000,0)+COUNTIF($E$9:E857,E857)-1+MAX(C$5:C$1000),"")</f>
        <v/>
      </c>
      <c r="G857" s="45" t="str">
        <f>IF(AND(Registro!D856="Abierto",Registro!E856="Media"),Registro!B856,"")</f>
        <v/>
      </c>
      <c r="H857" s="45" t="str">
        <f ca="1">IF(AND(Registro!D856="Abierto",Registro!E856="Media"),TODAY()-Registro!R856,"")</f>
        <v/>
      </c>
      <c r="I857" s="45" t="str">
        <f>IF(AND(Registro!D856="Abierto",Registro!E856="Media"),RANK(H857,$H$9:$H$1000,0)+COUNTIF($H$9:H857,H857)-1+MAX(C$5:C$1000,F$5:F$1000),"")</f>
        <v/>
      </c>
      <c r="J857" s="45" t="str">
        <f>IF(AND(Registro!D856="Abierto",Registro!E856="Baja"),Registro!B856,"")</f>
        <v/>
      </c>
      <c r="K857" s="45" t="str">
        <f ca="1">IF(AND(Registro!D856="Abierto",Registro!E856="Baja"),TODAY()-Registro!R856,"")</f>
        <v/>
      </c>
      <c r="L857" s="45" t="str">
        <f>IF(AND(Registro!D856="Abierto",Registro!E856="Baja"),RANK(K857,$K$9:$K$1000,0)+COUNTIF($K$9:K857,K857)-1+MAX(C$5:C$1000,F$5:F$1000,I$5:I$1000),"")</f>
        <v/>
      </c>
      <c r="M857" s="46" t="str">
        <f>IF(OR(Registro!D856="Resuelto",Registro!D856=""),"",SUM(C857,F857,I857,L857))</f>
        <v/>
      </c>
      <c r="N857" s="46" t="str">
        <f>IF(OR(Registro!D856="Resuelto",Registro!D856=""),"",SUM(B857,E857,H857,K857))</f>
        <v/>
      </c>
      <c r="O857" s="46" t="str">
        <f>IF(OR(Registro!D856="Resuelto",Registro!D856=""),"",_xlfn.CONCAT(A857,D857,G857,J857))</f>
        <v/>
      </c>
      <c r="P857" s="47">
        <v>849</v>
      </c>
      <c r="Q857" s="47" t="str">
        <f t="shared" ca="1" si="39"/>
        <v/>
      </c>
      <c r="R857" s="48" t="str">
        <f t="shared" ca="1" si="40"/>
        <v/>
      </c>
      <c r="S857" s="32"/>
      <c r="T857" s="32"/>
      <c r="U857" s="32"/>
      <c r="V857" s="32"/>
      <c r="W857" s="47" t="str">
        <f>IF(X857="","",MAX($W$5:W856)+1)</f>
        <v/>
      </c>
      <c r="X857" s="50" t="str">
        <f>IF(Registro!M856="","",IF(COUNTIF($X$8:X856,Registro!M856)=0,Registro!M856,""))</f>
        <v/>
      </c>
      <c r="Y857" s="50" t="str">
        <f t="shared" si="41"/>
        <v/>
      </c>
    </row>
    <row r="858" spans="1:25">
      <c r="A858" s="45" t="str">
        <f>IF(AND(Registro!D857="Abierto",Registro!E857="Urgente"),Registro!B857,"")</f>
        <v/>
      </c>
      <c r="B858" s="45" t="str">
        <f ca="1">IF(AND(Registro!D857="Abierto",Registro!E857="Urgente"),TODAY()-Registro!R857,"")</f>
        <v/>
      </c>
      <c r="C858" s="45" t="str">
        <f>IF(AND(Registro!D857="Abierto",Registro!E857="Urgente"),RANK(B858,$B$9:$B$1000,0)+COUNTIF($B$9:B858,B858)-1,"")</f>
        <v/>
      </c>
      <c r="D858" s="45" t="str">
        <f>IF(AND(Registro!D857="Abierto",Registro!E857="Alta"),Registro!B857,"")</f>
        <v/>
      </c>
      <c r="E858" s="45" t="str">
        <f ca="1">IF(AND(Registro!D857="Abierto",Registro!E857="Alta"),TODAY()-Registro!R857,"")</f>
        <v/>
      </c>
      <c r="F858" s="45" t="str">
        <f>IF(AND(Registro!D857="Abierto",Registro!E857="Alta"),RANK(E858,$E$9:$E$1000,0)+COUNTIF($E$9:E858,E858)-1+MAX(C$5:C$1000),"")</f>
        <v/>
      </c>
      <c r="G858" s="45" t="str">
        <f>IF(AND(Registro!D857="Abierto",Registro!E857="Media"),Registro!B857,"")</f>
        <v/>
      </c>
      <c r="H858" s="45" t="str">
        <f ca="1">IF(AND(Registro!D857="Abierto",Registro!E857="Media"),TODAY()-Registro!R857,"")</f>
        <v/>
      </c>
      <c r="I858" s="45" t="str">
        <f>IF(AND(Registro!D857="Abierto",Registro!E857="Media"),RANK(H858,$H$9:$H$1000,0)+COUNTIF($H$9:H858,H858)-1+MAX(C$5:C$1000,F$5:F$1000),"")</f>
        <v/>
      </c>
      <c r="J858" s="45" t="str">
        <f>IF(AND(Registro!D857="Abierto",Registro!E857="Baja"),Registro!B857,"")</f>
        <v/>
      </c>
      <c r="K858" s="45" t="str">
        <f ca="1">IF(AND(Registro!D857="Abierto",Registro!E857="Baja"),TODAY()-Registro!R857,"")</f>
        <v/>
      </c>
      <c r="L858" s="45" t="str">
        <f>IF(AND(Registro!D857="Abierto",Registro!E857="Baja"),RANK(K858,$K$9:$K$1000,0)+COUNTIF($K$9:K858,K858)-1+MAX(C$5:C$1000,F$5:F$1000,I$5:I$1000),"")</f>
        <v/>
      </c>
      <c r="M858" s="46" t="str">
        <f>IF(OR(Registro!D857="Resuelto",Registro!D857=""),"",SUM(C858,F858,I858,L858))</f>
        <v/>
      </c>
      <c r="N858" s="46" t="str">
        <f>IF(OR(Registro!D857="Resuelto",Registro!D857=""),"",SUM(B858,E858,H858,K858))</f>
        <v/>
      </c>
      <c r="O858" s="46" t="str">
        <f>IF(OR(Registro!D857="Resuelto",Registro!D857=""),"",_xlfn.CONCAT(A858,D858,G858,J858))</f>
        <v/>
      </c>
      <c r="P858" s="47">
        <v>850</v>
      </c>
      <c r="Q858" s="47" t="str">
        <f t="shared" ca="1" si="39"/>
        <v/>
      </c>
      <c r="R858" s="48" t="str">
        <f t="shared" ca="1" si="40"/>
        <v/>
      </c>
      <c r="S858" s="32"/>
      <c r="T858" s="32"/>
      <c r="U858" s="32"/>
      <c r="V858" s="32"/>
      <c r="W858" s="47" t="str">
        <f>IF(X858="","",MAX($W$5:W857)+1)</f>
        <v/>
      </c>
      <c r="X858" s="50" t="str">
        <f>IF(Registro!M857="","",IF(COUNTIF($X$8:X857,Registro!M857)=0,Registro!M857,""))</f>
        <v/>
      </c>
      <c r="Y858" s="50" t="str">
        <f t="shared" si="41"/>
        <v/>
      </c>
    </row>
    <row r="859" spans="1:25">
      <c r="A859" s="45" t="str">
        <f>IF(AND(Registro!D858="Abierto",Registro!E858="Urgente"),Registro!B858,"")</f>
        <v/>
      </c>
      <c r="B859" s="45" t="str">
        <f ca="1">IF(AND(Registro!D858="Abierto",Registro!E858="Urgente"),TODAY()-Registro!R858,"")</f>
        <v/>
      </c>
      <c r="C859" s="45" t="str">
        <f>IF(AND(Registro!D858="Abierto",Registro!E858="Urgente"),RANK(B859,$B$9:$B$1000,0)+COUNTIF($B$9:B859,B859)-1,"")</f>
        <v/>
      </c>
      <c r="D859" s="45" t="str">
        <f>IF(AND(Registro!D858="Abierto",Registro!E858="Alta"),Registro!B858,"")</f>
        <v/>
      </c>
      <c r="E859" s="45" t="str">
        <f ca="1">IF(AND(Registro!D858="Abierto",Registro!E858="Alta"),TODAY()-Registro!R858,"")</f>
        <v/>
      </c>
      <c r="F859" s="45" t="str">
        <f>IF(AND(Registro!D858="Abierto",Registro!E858="Alta"),RANK(E859,$E$9:$E$1000,0)+COUNTIF($E$9:E859,E859)-1+MAX(C$5:C$1000),"")</f>
        <v/>
      </c>
      <c r="G859" s="45" t="str">
        <f>IF(AND(Registro!D858="Abierto",Registro!E858="Media"),Registro!B858,"")</f>
        <v/>
      </c>
      <c r="H859" s="45" t="str">
        <f ca="1">IF(AND(Registro!D858="Abierto",Registro!E858="Media"),TODAY()-Registro!R858,"")</f>
        <v/>
      </c>
      <c r="I859" s="45" t="str">
        <f>IF(AND(Registro!D858="Abierto",Registro!E858="Media"),RANK(H859,$H$9:$H$1000,0)+COUNTIF($H$9:H859,H859)-1+MAX(C$5:C$1000,F$5:F$1000),"")</f>
        <v/>
      </c>
      <c r="J859" s="45" t="str">
        <f>IF(AND(Registro!D858="Abierto",Registro!E858="Baja"),Registro!B858,"")</f>
        <v/>
      </c>
      <c r="K859" s="45" t="str">
        <f ca="1">IF(AND(Registro!D858="Abierto",Registro!E858="Baja"),TODAY()-Registro!R858,"")</f>
        <v/>
      </c>
      <c r="L859" s="45" t="str">
        <f>IF(AND(Registro!D858="Abierto",Registro!E858="Baja"),RANK(K859,$K$9:$K$1000,0)+COUNTIF($K$9:K859,K859)-1+MAX(C$5:C$1000,F$5:F$1000,I$5:I$1000),"")</f>
        <v/>
      </c>
      <c r="M859" s="46" t="str">
        <f>IF(OR(Registro!D858="Resuelto",Registro!D858=""),"",SUM(C859,F859,I859,L859))</f>
        <v/>
      </c>
      <c r="N859" s="46" t="str">
        <f>IF(OR(Registro!D858="Resuelto",Registro!D858=""),"",SUM(B859,E859,H859,K859))</f>
        <v/>
      </c>
      <c r="O859" s="46" t="str">
        <f>IF(OR(Registro!D858="Resuelto",Registro!D858=""),"",_xlfn.CONCAT(A859,D859,G859,J859))</f>
        <v/>
      </c>
      <c r="P859" s="47">
        <v>851</v>
      </c>
      <c r="Q859" s="47" t="str">
        <f t="shared" ca="1" si="39"/>
        <v/>
      </c>
      <c r="R859" s="48" t="str">
        <f t="shared" ca="1" si="40"/>
        <v/>
      </c>
      <c r="S859" s="32"/>
      <c r="T859" s="32"/>
      <c r="U859" s="32"/>
      <c r="V859" s="32"/>
      <c r="W859" s="47" t="str">
        <f>IF(X859="","",MAX($W$5:W858)+1)</f>
        <v/>
      </c>
      <c r="X859" s="50" t="str">
        <f>IF(Registro!M858="","",IF(COUNTIF($X$8:X858,Registro!M858)=0,Registro!M858,""))</f>
        <v/>
      </c>
      <c r="Y859" s="50" t="str">
        <f t="shared" si="41"/>
        <v/>
      </c>
    </row>
    <row r="860" spans="1:25">
      <c r="A860" s="45" t="str">
        <f>IF(AND(Registro!D859="Abierto",Registro!E859="Urgente"),Registro!B859,"")</f>
        <v/>
      </c>
      <c r="B860" s="45" t="str">
        <f ca="1">IF(AND(Registro!D859="Abierto",Registro!E859="Urgente"),TODAY()-Registro!R859,"")</f>
        <v/>
      </c>
      <c r="C860" s="45" t="str">
        <f>IF(AND(Registro!D859="Abierto",Registro!E859="Urgente"),RANK(B860,$B$9:$B$1000,0)+COUNTIF($B$9:B860,B860)-1,"")</f>
        <v/>
      </c>
      <c r="D860" s="45" t="str">
        <f>IF(AND(Registro!D859="Abierto",Registro!E859="Alta"),Registro!B859,"")</f>
        <v/>
      </c>
      <c r="E860" s="45" t="str">
        <f ca="1">IF(AND(Registro!D859="Abierto",Registro!E859="Alta"),TODAY()-Registro!R859,"")</f>
        <v/>
      </c>
      <c r="F860" s="45" t="str">
        <f>IF(AND(Registro!D859="Abierto",Registro!E859="Alta"),RANK(E860,$E$9:$E$1000,0)+COUNTIF($E$9:E860,E860)-1+MAX(C$5:C$1000),"")</f>
        <v/>
      </c>
      <c r="G860" s="45" t="str">
        <f>IF(AND(Registro!D859="Abierto",Registro!E859="Media"),Registro!B859,"")</f>
        <v/>
      </c>
      <c r="H860" s="45" t="str">
        <f ca="1">IF(AND(Registro!D859="Abierto",Registro!E859="Media"),TODAY()-Registro!R859,"")</f>
        <v/>
      </c>
      <c r="I860" s="45" t="str">
        <f>IF(AND(Registro!D859="Abierto",Registro!E859="Media"),RANK(H860,$H$9:$H$1000,0)+COUNTIF($H$9:H860,H860)-1+MAX(C$5:C$1000,F$5:F$1000),"")</f>
        <v/>
      </c>
      <c r="J860" s="45" t="str">
        <f>IF(AND(Registro!D859="Abierto",Registro!E859="Baja"),Registro!B859,"")</f>
        <v/>
      </c>
      <c r="K860" s="45" t="str">
        <f ca="1">IF(AND(Registro!D859="Abierto",Registro!E859="Baja"),TODAY()-Registro!R859,"")</f>
        <v/>
      </c>
      <c r="L860" s="45" t="str">
        <f>IF(AND(Registro!D859="Abierto",Registro!E859="Baja"),RANK(K860,$K$9:$K$1000,0)+COUNTIF($K$9:K860,K860)-1+MAX(C$5:C$1000,F$5:F$1000,I$5:I$1000),"")</f>
        <v/>
      </c>
      <c r="M860" s="46" t="str">
        <f>IF(OR(Registro!D859="Resuelto",Registro!D859=""),"",SUM(C860,F860,I860,L860))</f>
        <v/>
      </c>
      <c r="N860" s="46" t="str">
        <f>IF(OR(Registro!D859="Resuelto",Registro!D859=""),"",SUM(B860,E860,H860,K860))</f>
        <v/>
      </c>
      <c r="O860" s="46" t="str">
        <f>IF(OR(Registro!D859="Resuelto",Registro!D859=""),"",_xlfn.CONCAT(A860,D860,G860,J860))</f>
        <v/>
      </c>
      <c r="P860" s="47">
        <v>852</v>
      </c>
      <c r="Q860" s="47" t="str">
        <f t="shared" ca="1" si="39"/>
        <v/>
      </c>
      <c r="R860" s="48" t="str">
        <f t="shared" ca="1" si="40"/>
        <v/>
      </c>
      <c r="S860" s="32"/>
      <c r="T860" s="32"/>
      <c r="U860" s="32"/>
      <c r="V860" s="32"/>
      <c r="W860" s="47" t="str">
        <f>IF(X860="","",MAX($W$5:W859)+1)</f>
        <v/>
      </c>
      <c r="X860" s="50" t="str">
        <f>IF(Registro!M859="","",IF(COUNTIF($X$8:X859,Registro!M859)=0,Registro!M859,""))</f>
        <v/>
      </c>
      <c r="Y860" s="50" t="str">
        <f t="shared" si="41"/>
        <v/>
      </c>
    </row>
    <row r="861" spans="1:25">
      <c r="A861" s="45" t="str">
        <f>IF(AND(Registro!D860="Abierto",Registro!E860="Urgente"),Registro!B860,"")</f>
        <v/>
      </c>
      <c r="B861" s="45" t="str">
        <f ca="1">IF(AND(Registro!D860="Abierto",Registro!E860="Urgente"),TODAY()-Registro!R860,"")</f>
        <v/>
      </c>
      <c r="C861" s="45" t="str">
        <f>IF(AND(Registro!D860="Abierto",Registro!E860="Urgente"),RANK(B861,$B$9:$B$1000,0)+COUNTIF($B$9:B861,B861)-1,"")</f>
        <v/>
      </c>
      <c r="D861" s="45" t="str">
        <f>IF(AND(Registro!D860="Abierto",Registro!E860="Alta"),Registro!B860,"")</f>
        <v/>
      </c>
      <c r="E861" s="45" t="str">
        <f ca="1">IF(AND(Registro!D860="Abierto",Registro!E860="Alta"),TODAY()-Registro!R860,"")</f>
        <v/>
      </c>
      <c r="F861" s="45" t="str">
        <f>IF(AND(Registro!D860="Abierto",Registro!E860="Alta"),RANK(E861,$E$9:$E$1000,0)+COUNTIF($E$9:E861,E861)-1+MAX(C$5:C$1000),"")</f>
        <v/>
      </c>
      <c r="G861" s="45" t="str">
        <f>IF(AND(Registro!D860="Abierto",Registro!E860="Media"),Registro!B860,"")</f>
        <v/>
      </c>
      <c r="H861" s="45" t="str">
        <f ca="1">IF(AND(Registro!D860="Abierto",Registro!E860="Media"),TODAY()-Registro!R860,"")</f>
        <v/>
      </c>
      <c r="I861" s="45" t="str">
        <f>IF(AND(Registro!D860="Abierto",Registro!E860="Media"),RANK(H861,$H$9:$H$1000,0)+COUNTIF($H$9:H861,H861)-1+MAX(C$5:C$1000,F$5:F$1000),"")</f>
        <v/>
      </c>
      <c r="J861" s="45" t="str">
        <f>IF(AND(Registro!D860="Abierto",Registro!E860="Baja"),Registro!B860,"")</f>
        <v/>
      </c>
      <c r="K861" s="45" t="str">
        <f ca="1">IF(AND(Registro!D860="Abierto",Registro!E860="Baja"),TODAY()-Registro!R860,"")</f>
        <v/>
      </c>
      <c r="L861" s="45" t="str">
        <f>IF(AND(Registro!D860="Abierto",Registro!E860="Baja"),RANK(K861,$K$9:$K$1000,0)+COUNTIF($K$9:K861,K861)-1+MAX(C$5:C$1000,F$5:F$1000,I$5:I$1000),"")</f>
        <v/>
      </c>
      <c r="M861" s="46" t="str">
        <f>IF(OR(Registro!D860="Resuelto",Registro!D860=""),"",SUM(C861,F861,I861,L861))</f>
        <v/>
      </c>
      <c r="N861" s="46" t="str">
        <f>IF(OR(Registro!D860="Resuelto",Registro!D860=""),"",SUM(B861,E861,H861,K861))</f>
        <v/>
      </c>
      <c r="O861" s="46" t="str">
        <f>IF(OR(Registro!D860="Resuelto",Registro!D860=""),"",_xlfn.CONCAT(A861,D861,G861,J861))</f>
        <v/>
      </c>
      <c r="P861" s="47">
        <v>853</v>
      </c>
      <c r="Q861" s="47" t="str">
        <f t="shared" ca="1" si="39"/>
        <v/>
      </c>
      <c r="R861" s="48" t="str">
        <f t="shared" ca="1" si="40"/>
        <v/>
      </c>
      <c r="S861" s="32"/>
      <c r="T861" s="32"/>
      <c r="U861" s="32"/>
      <c r="V861" s="32"/>
      <c r="W861" s="47" t="str">
        <f>IF(X861="","",MAX($W$5:W860)+1)</f>
        <v/>
      </c>
      <c r="X861" s="50" t="str">
        <f>IF(Registro!M860="","",IF(COUNTIF($X$8:X860,Registro!M860)=0,Registro!M860,""))</f>
        <v/>
      </c>
      <c r="Y861" s="50" t="str">
        <f t="shared" si="41"/>
        <v/>
      </c>
    </row>
    <row r="862" spans="1:25">
      <c r="A862" s="45" t="str">
        <f>IF(AND(Registro!D861="Abierto",Registro!E861="Urgente"),Registro!B861,"")</f>
        <v/>
      </c>
      <c r="B862" s="45" t="str">
        <f ca="1">IF(AND(Registro!D861="Abierto",Registro!E861="Urgente"),TODAY()-Registro!R861,"")</f>
        <v/>
      </c>
      <c r="C862" s="45" t="str">
        <f>IF(AND(Registro!D861="Abierto",Registro!E861="Urgente"),RANK(B862,$B$9:$B$1000,0)+COUNTIF($B$9:B862,B862)-1,"")</f>
        <v/>
      </c>
      <c r="D862" s="45" t="str">
        <f>IF(AND(Registro!D861="Abierto",Registro!E861="Alta"),Registro!B861,"")</f>
        <v/>
      </c>
      <c r="E862" s="45" t="str">
        <f ca="1">IF(AND(Registro!D861="Abierto",Registro!E861="Alta"),TODAY()-Registro!R861,"")</f>
        <v/>
      </c>
      <c r="F862" s="45" t="str">
        <f>IF(AND(Registro!D861="Abierto",Registro!E861="Alta"),RANK(E862,$E$9:$E$1000,0)+COUNTIF($E$9:E862,E862)-1+MAX(C$5:C$1000),"")</f>
        <v/>
      </c>
      <c r="G862" s="45" t="str">
        <f>IF(AND(Registro!D861="Abierto",Registro!E861="Media"),Registro!B861,"")</f>
        <v/>
      </c>
      <c r="H862" s="45" t="str">
        <f ca="1">IF(AND(Registro!D861="Abierto",Registro!E861="Media"),TODAY()-Registro!R861,"")</f>
        <v/>
      </c>
      <c r="I862" s="45" t="str">
        <f>IF(AND(Registro!D861="Abierto",Registro!E861="Media"),RANK(H862,$H$9:$H$1000,0)+COUNTIF($H$9:H862,H862)-1+MAX(C$5:C$1000,F$5:F$1000),"")</f>
        <v/>
      </c>
      <c r="J862" s="45" t="str">
        <f>IF(AND(Registro!D861="Abierto",Registro!E861="Baja"),Registro!B861,"")</f>
        <v/>
      </c>
      <c r="K862" s="45" t="str">
        <f ca="1">IF(AND(Registro!D861="Abierto",Registro!E861="Baja"),TODAY()-Registro!R861,"")</f>
        <v/>
      </c>
      <c r="L862" s="45" t="str">
        <f>IF(AND(Registro!D861="Abierto",Registro!E861="Baja"),RANK(K862,$K$9:$K$1000,0)+COUNTIF($K$9:K862,K862)-1+MAX(C$5:C$1000,F$5:F$1000,I$5:I$1000),"")</f>
        <v/>
      </c>
      <c r="M862" s="46" t="str">
        <f>IF(OR(Registro!D861="Resuelto",Registro!D861=""),"",SUM(C862,F862,I862,L862))</f>
        <v/>
      </c>
      <c r="N862" s="46" t="str">
        <f>IF(OR(Registro!D861="Resuelto",Registro!D861=""),"",SUM(B862,E862,H862,K862))</f>
        <v/>
      </c>
      <c r="O862" s="46" t="str">
        <f>IF(OR(Registro!D861="Resuelto",Registro!D861=""),"",_xlfn.CONCAT(A862,D862,G862,J862))</f>
        <v/>
      </c>
      <c r="P862" s="47">
        <v>854</v>
      </c>
      <c r="Q862" s="47" t="str">
        <f t="shared" ca="1" si="39"/>
        <v/>
      </c>
      <c r="R862" s="48" t="str">
        <f t="shared" ca="1" si="40"/>
        <v/>
      </c>
      <c r="S862" s="32"/>
      <c r="T862" s="32"/>
      <c r="U862" s="32"/>
      <c r="V862" s="32"/>
      <c r="W862" s="47" t="str">
        <f>IF(X862="","",MAX($W$5:W861)+1)</f>
        <v/>
      </c>
      <c r="X862" s="50" t="str">
        <f>IF(Registro!M861="","",IF(COUNTIF($X$8:X861,Registro!M861)=0,Registro!M861,""))</f>
        <v/>
      </c>
      <c r="Y862" s="50" t="str">
        <f t="shared" si="41"/>
        <v/>
      </c>
    </row>
    <row r="863" spans="1:25">
      <c r="A863" s="45" t="str">
        <f>IF(AND(Registro!D862="Abierto",Registro!E862="Urgente"),Registro!B862,"")</f>
        <v/>
      </c>
      <c r="B863" s="45" t="str">
        <f ca="1">IF(AND(Registro!D862="Abierto",Registro!E862="Urgente"),TODAY()-Registro!R862,"")</f>
        <v/>
      </c>
      <c r="C863" s="45" t="str">
        <f>IF(AND(Registro!D862="Abierto",Registro!E862="Urgente"),RANK(B863,$B$9:$B$1000,0)+COUNTIF($B$9:B863,B863)-1,"")</f>
        <v/>
      </c>
      <c r="D863" s="45" t="str">
        <f>IF(AND(Registro!D862="Abierto",Registro!E862="Alta"),Registro!B862,"")</f>
        <v/>
      </c>
      <c r="E863" s="45" t="str">
        <f ca="1">IF(AND(Registro!D862="Abierto",Registro!E862="Alta"),TODAY()-Registro!R862,"")</f>
        <v/>
      </c>
      <c r="F863" s="45" t="str">
        <f>IF(AND(Registro!D862="Abierto",Registro!E862="Alta"),RANK(E863,$E$9:$E$1000,0)+COUNTIF($E$9:E863,E863)-1+MAX(C$5:C$1000),"")</f>
        <v/>
      </c>
      <c r="G863" s="45" t="str">
        <f>IF(AND(Registro!D862="Abierto",Registro!E862="Media"),Registro!B862,"")</f>
        <v/>
      </c>
      <c r="H863" s="45" t="str">
        <f ca="1">IF(AND(Registro!D862="Abierto",Registro!E862="Media"),TODAY()-Registro!R862,"")</f>
        <v/>
      </c>
      <c r="I863" s="45" t="str">
        <f>IF(AND(Registro!D862="Abierto",Registro!E862="Media"),RANK(H863,$H$9:$H$1000,0)+COUNTIF($H$9:H863,H863)-1+MAX(C$5:C$1000,F$5:F$1000),"")</f>
        <v/>
      </c>
      <c r="J863" s="45" t="str">
        <f>IF(AND(Registro!D862="Abierto",Registro!E862="Baja"),Registro!B862,"")</f>
        <v/>
      </c>
      <c r="K863" s="45" t="str">
        <f ca="1">IF(AND(Registro!D862="Abierto",Registro!E862="Baja"),TODAY()-Registro!R862,"")</f>
        <v/>
      </c>
      <c r="L863" s="45" t="str">
        <f>IF(AND(Registro!D862="Abierto",Registro!E862="Baja"),RANK(K863,$K$9:$K$1000,0)+COUNTIF($K$9:K863,K863)-1+MAX(C$5:C$1000,F$5:F$1000,I$5:I$1000),"")</f>
        <v/>
      </c>
      <c r="M863" s="46" t="str">
        <f>IF(OR(Registro!D862="Resuelto",Registro!D862=""),"",SUM(C863,F863,I863,L863))</f>
        <v/>
      </c>
      <c r="N863" s="46" t="str">
        <f>IF(OR(Registro!D862="Resuelto",Registro!D862=""),"",SUM(B863,E863,H863,K863))</f>
        <v/>
      </c>
      <c r="O863" s="46" t="str">
        <f>IF(OR(Registro!D862="Resuelto",Registro!D862=""),"",_xlfn.CONCAT(A863,D863,G863,J863))</f>
        <v/>
      </c>
      <c r="P863" s="47">
        <v>855</v>
      </c>
      <c r="Q863" s="47" t="str">
        <f t="shared" ca="1" si="39"/>
        <v/>
      </c>
      <c r="R863" s="48" t="str">
        <f t="shared" ca="1" si="40"/>
        <v/>
      </c>
      <c r="S863" s="32"/>
      <c r="T863" s="32"/>
      <c r="U863" s="32"/>
      <c r="V863" s="32"/>
      <c r="W863" s="47" t="str">
        <f>IF(X863="","",MAX($W$5:W862)+1)</f>
        <v/>
      </c>
      <c r="X863" s="50" t="str">
        <f>IF(Registro!M862="","",IF(COUNTIF($X$8:X862,Registro!M862)=0,Registro!M862,""))</f>
        <v/>
      </c>
      <c r="Y863" s="50" t="str">
        <f t="shared" si="41"/>
        <v/>
      </c>
    </row>
    <row r="864" spans="1:25">
      <c r="A864" s="45" t="str">
        <f>IF(AND(Registro!D863="Abierto",Registro!E863="Urgente"),Registro!B863,"")</f>
        <v/>
      </c>
      <c r="B864" s="45" t="str">
        <f ca="1">IF(AND(Registro!D863="Abierto",Registro!E863="Urgente"),TODAY()-Registro!R863,"")</f>
        <v/>
      </c>
      <c r="C864" s="45" t="str">
        <f>IF(AND(Registro!D863="Abierto",Registro!E863="Urgente"),RANK(B864,$B$9:$B$1000,0)+COUNTIF($B$9:B864,B864)-1,"")</f>
        <v/>
      </c>
      <c r="D864" s="45" t="str">
        <f>IF(AND(Registro!D863="Abierto",Registro!E863="Alta"),Registro!B863,"")</f>
        <v/>
      </c>
      <c r="E864" s="45" t="str">
        <f ca="1">IF(AND(Registro!D863="Abierto",Registro!E863="Alta"),TODAY()-Registro!R863,"")</f>
        <v/>
      </c>
      <c r="F864" s="45" t="str">
        <f>IF(AND(Registro!D863="Abierto",Registro!E863="Alta"),RANK(E864,$E$9:$E$1000,0)+COUNTIF($E$9:E864,E864)-1+MAX(C$5:C$1000),"")</f>
        <v/>
      </c>
      <c r="G864" s="45" t="str">
        <f>IF(AND(Registro!D863="Abierto",Registro!E863="Media"),Registro!B863,"")</f>
        <v/>
      </c>
      <c r="H864" s="45" t="str">
        <f ca="1">IF(AND(Registro!D863="Abierto",Registro!E863="Media"),TODAY()-Registro!R863,"")</f>
        <v/>
      </c>
      <c r="I864" s="45" t="str">
        <f>IF(AND(Registro!D863="Abierto",Registro!E863="Media"),RANK(H864,$H$9:$H$1000,0)+COUNTIF($H$9:H864,H864)-1+MAX(C$5:C$1000,F$5:F$1000),"")</f>
        <v/>
      </c>
      <c r="J864" s="45" t="str">
        <f>IF(AND(Registro!D863="Abierto",Registro!E863="Baja"),Registro!B863,"")</f>
        <v/>
      </c>
      <c r="K864" s="45" t="str">
        <f ca="1">IF(AND(Registro!D863="Abierto",Registro!E863="Baja"),TODAY()-Registro!R863,"")</f>
        <v/>
      </c>
      <c r="L864" s="45" t="str">
        <f>IF(AND(Registro!D863="Abierto",Registro!E863="Baja"),RANK(K864,$K$9:$K$1000,0)+COUNTIF($K$9:K864,K864)-1+MAX(C$5:C$1000,F$5:F$1000,I$5:I$1000),"")</f>
        <v/>
      </c>
      <c r="M864" s="46" t="str">
        <f>IF(OR(Registro!D863="Resuelto",Registro!D863=""),"",SUM(C864,F864,I864,L864))</f>
        <v/>
      </c>
      <c r="N864" s="46" t="str">
        <f>IF(OR(Registro!D863="Resuelto",Registro!D863=""),"",SUM(B864,E864,H864,K864))</f>
        <v/>
      </c>
      <c r="O864" s="46" t="str">
        <f>IF(OR(Registro!D863="Resuelto",Registro!D863=""),"",_xlfn.CONCAT(A864,D864,G864,J864))</f>
        <v/>
      </c>
      <c r="P864" s="47">
        <v>856</v>
      </c>
      <c r="Q864" s="47" t="str">
        <f t="shared" ca="1" si="39"/>
        <v/>
      </c>
      <c r="R864" s="48" t="str">
        <f t="shared" ca="1" si="40"/>
        <v/>
      </c>
      <c r="S864" s="32"/>
      <c r="T864" s="32"/>
      <c r="U864" s="32"/>
      <c r="V864" s="32"/>
      <c r="W864" s="47" t="str">
        <f>IF(X864="","",MAX($W$5:W863)+1)</f>
        <v/>
      </c>
      <c r="X864" s="50" t="str">
        <f>IF(Registro!M863="","",IF(COUNTIF($X$8:X863,Registro!M863)=0,Registro!M863,""))</f>
        <v/>
      </c>
      <c r="Y864" s="50" t="str">
        <f t="shared" si="41"/>
        <v/>
      </c>
    </row>
    <row r="865" spans="1:25">
      <c r="A865" s="45" t="str">
        <f>IF(AND(Registro!D864="Abierto",Registro!E864="Urgente"),Registro!B864,"")</f>
        <v/>
      </c>
      <c r="B865" s="45" t="str">
        <f ca="1">IF(AND(Registro!D864="Abierto",Registro!E864="Urgente"),TODAY()-Registro!R864,"")</f>
        <v/>
      </c>
      <c r="C865" s="45" t="str">
        <f>IF(AND(Registro!D864="Abierto",Registro!E864="Urgente"),RANK(B865,$B$9:$B$1000,0)+COUNTIF($B$9:B865,B865)-1,"")</f>
        <v/>
      </c>
      <c r="D865" s="45" t="str">
        <f>IF(AND(Registro!D864="Abierto",Registro!E864="Alta"),Registro!B864,"")</f>
        <v/>
      </c>
      <c r="E865" s="45" t="str">
        <f ca="1">IF(AND(Registro!D864="Abierto",Registro!E864="Alta"),TODAY()-Registro!R864,"")</f>
        <v/>
      </c>
      <c r="F865" s="45" t="str">
        <f>IF(AND(Registro!D864="Abierto",Registro!E864="Alta"),RANK(E865,$E$9:$E$1000,0)+COUNTIF($E$9:E865,E865)-1+MAX(C$5:C$1000),"")</f>
        <v/>
      </c>
      <c r="G865" s="45" t="str">
        <f>IF(AND(Registro!D864="Abierto",Registro!E864="Media"),Registro!B864,"")</f>
        <v/>
      </c>
      <c r="H865" s="45" t="str">
        <f ca="1">IF(AND(Registro!D864="Abierto",Registro!E864="Media"),TODAY()-Registro!R864,"")</f>
        <v/>
      </c>
      <c r="I865" s="45" t="str">
        <f>IF(AND(Registro!D864="Abierto",Registro!E864="Media"),RANK(H865,$H$9:$H$1000,0)+COUNTIF($H$9:H865,H865)-1+MAX(C$5:C$1000,F$5:F$1000),"")</f>
        <v/>
      </c>
      <c r="J865" s="45" t="str">
        <f>IF(AND(Registro!D864="Abierto",Registro!E864="Baja"),Registro!B864,"")</f>
        <v/>
      </c>
      <c r="K865" s="45" t="str">
        <f ca="1">IF(AND(Registro!D864="Abierto",Registro!E864="Baja"),TODAY()-Registro!R864,"")</f>
        <v/>
      </c>
      <c r="L865" s="45" t="str">
        <f>IF(AND(Registro!D864="Abierto",Registro!E864="Baja"),RANK(K865,$K$9:$K$1000,0)+COUNTIF($K$9:K865,K865)-1+MAX(C$5:C$1000,F$5:F$1000,I$5:I$1000),"")</f>
        <v/>
      </c>
      <c r="M865" s="46" t="str">
        <f>IF(OR(Registro!D864="Resuelto",Registro!D864=""),"",SUM(C865,F865,I865,L865))</f>
        <v/>
      </c>
      <c r="N865" s="46" t="str">
        <f>IF(OR(Registro!D864="Resuelto",Registro!D864=""),"",SUM(B865,E865,H865,K865))</f>
        <v/>
      </c>
      <c r="O865" s="46" t="str">
        <f>IF(OR(Registro!D864="Resuelto",Registro!D864=""),"",_xlfn.CONCAT(A865,D865,G865,J865))</f>
        <v/>
      </c>
      <c r="P865" s="47">
        <v>857</v>
      </c>
      <c r="Q865" s="47" t="str">
        <f t="shared" ca="1" si="39"/>
        <v/>
      </c>
      <c r="R865" s="48" t="str">
        <f t="shared" ca="1" si="40"/>
        <v/>
      </c>
      <c r="S865" s="32"/>
      <c r="T865" s="32"/>
      <c r="U865" s="32"/>
      <c r="V865" s="32"/>
      <c r="W865" s="47" t="str">
        <f>IF(X865="","",MAX($W$5:W864)+1)</f>
        <v/>
      </c>
      <c r="X865" s="50" t="str">
        <f>IF(Registro!M864="","",IF(COUNTIF($X$8:X864,Registro!M864)=0,Registro!M864,""))</f>
        <v/>
      </c>
      <c r="Y865" s="50" t="str">
        <f t="shared" si="41"/>
        <v/>
      </c>
    </row>
    <row r="866" spans="1:25">
      <c r="A866" s="45" t="str">
        <f>IF(AND(Registro!D865="Abierto",Registro!E865="Urgente"),Registro!B865,"")</f>
        <v/>
      </c>
      <c r="B866" s="45" t="str">
        <f ca="1">IF(AND(Registro!D865="Abierto",Registro!E865="Urgente"),TODAY()-Registro!R865,"")</f>
        <v/>
      </c>
      <c r="C866" s="45" t="str">
        <f>IF(AND(Registro!D865="Abierto",Registro!E865="Urgente"),RANK(B866,$B$9:$B$1000,0)+COUNTIF($B$9:B866,B866)-1,"")</f>
        <v/>
      </c>
      <c r="D866" s="45" t="str">
        <f>IF(AND(Registro!D865="Abierto",Registro!E865="Alta"),Registro!B865,"")</f>
        <v/>
      </c>
      <c r="E866" s="45" t="str">
        <f ca="1">IF(AND(Registro!D865="Abierto",Registro!E865="Alta"),TODAY()-Registro!R865,"")</f>
        <v/>
      </c>
      <c r="F866" s="45" t="str">
        <f>IF(AND(Registro!D865="Abierto",Registro!E865="Alta"),RANK(E866,$E$9:$E$1000,0)+COUNTIF($E$9:E866,E866)-1+MAX(C$5:C$1000),"")</f>
        <v/>
      </c>
      <c r="G866" s="45" t="str">
        <f>IF(AND(Registro!D865="Abierto",Registro!E865="Media"),Registro!B865,"")</f>
        <v/>
      </c>
      <c r="H866" s="45" t="str">
        <f ca="1">IF(AND(Registro!D865="Abierto",Registro!E865="Media"),TODAY()-Registro!R865,"")</f>
        <v/>
      </c>
      <c r="I866" s="45" t="str">
        <f>IF(AND(Registro!D865="Abierto",Registro!E865="Media"),RANK(H866,$H$9:$H$1000,0)+COUNTIF($H$9:H866,H866)-1+MAX(C$5:C$1000,F$5:F$1000),"")</f>
        <v/>
      </c>
      <c r="J866" s="45" t="str">
        <f>IF(AND(Registro!D865="Abierto",Registro!E865="Baja"),Registro!B865,"")</f>
        <v/>
      </c>
      <c r="K866" s="45" t="str">
        <f ca="1">IF(AND(Registro!D865="Abierto",Registro!E865="Baja"),TODAY()-Registro!R865,"")</f>
        <v/>
      </c>
      <c r="L866" s="45" t="str">
        <f>IF(AND(Registro!D865="Abierto",Registro!E865="Baja"),RANK(K866,$K$9:$K$1000,0)+COUNTIF($K$9:K866,K866)-1+MAX(C$5:C$1000,F$5:F$1000,I$5:I$1000),"")</f>
        <v/>
      </c>
      <c r="M866" s="46" t="str">
        <f>IF(OR(Registro!D865="Resuelto",Registro!D865=""),"",SUM(C866,F866,I866,L866))</f>
        <v/>
      </c>
      <c r="N866" s="46" t="str">
        <f>IF(OR(Registro!D865="Resuelto",Registro!D865=""),"",SUM(B866,E866,H866,K866))</f>
        <v/>
      </c>
      <c r="O866" s="46" t="str">
        <f>IF(OR(Registro!D865="Resuelto",Registro!D865=""),"",_xlfn.CONCAT(A866,D866,G866,J866))</f>
        <v/>
      </c>
      <c r="P866" s="47">
        <v>858</v>
      </c>
      <c r="Q866" s="47" t="str">
        <f t="shared" ca="1" si="39"/>
        <v/>
      </c>
      <c r="R866" s="48" t="str">
        <f t="shared" ca="1" si="40"/>
        <v/>
      </c>
      <c r="S866" s="32"/>
      <c r="T866" s="32"/>
      <c r="U866" s="32"/>
      <c r="V866" s="32"/>
      <c r="W866" s="47" t="str">
        <f>IF(X866="","",MAX($W$5:W865)+1)</f>
        <v/>
      </c>
      <c r="X866" s="50" t="str">
        <f>IF(Registro!M865="","",IF(COUNTIF($X$8:X865,Registro!M865)=0,Registro!M865,""))</f>
        <v/>
      </c>
      <c r="Y866" s="50" t="str">
        <f t="shared" si="41"/>
        <v/>
      </c>
    </row>
    <row r="867" spans="1:25">
      <c r="A867" s="45" t="str">
        <f>IF(AND(Registro!D866="Abierto",Registro!E866="Urgente"),Registro!B866,"")</f>
        <v/>
      </c>
      <c r="B867" s="45" t="str">
        <f ca="1">IF(AND(Registro!D866="Abierto",Registro!E866="Urgente"),TODAY()-Registro!R866,"")</f>
        <v/>
      </c>
      <c r="C867" s="45" t="str">
        <f>IF(AND(Registro!D866="Abierto",Registro!E866="Urgente"),RANK(B867,$B$9:$B$1000,0)+COUNTIF($B$9:B867,B867)-1,"")</f>
        <v/>
      </c>
      <c r="D867" s="45" t="str">
        <f>IF(AND(Registro!D866="Abierto",Registro!E866="Alta"),Registro!B866,"")</f>
        <v/>
      </c>
      <c r="E867" s="45" t="str">
        <f ca="1">IF(AND(Registro!D866="Abierto",Registro!E866="Alta"),TODAY()-Registro!R866,"")</f>
        <v/>
      </c>
      <c r="F867" s="45" t="str">
        <f>IF(AND(Registro!D866="Abierto",Registro!E866="Alta"),RANK(E867,$E$9:$E$1000,0)+COUNTIF($E$9:E867,E867)-1+MAX(C$5:C$1000),"")</f>
        <v/>
      </c>
      <c r="G867" s="45" t="str">
        <f>IF(AND(Registro!D866="Abierto",Registro!E866="Media"),Registro!B866,"")</f>
        <v/>
      </c>
      <c r="H867" s="45" t="str">
        <f ca="1">IF(AND(Registro!D866="Abierto",Registro!E866="Media"),TODAY()-Registro!R866,"")</f>
        <v/>
      </c>
      <c r="I867" s="45" t="str">
        <f>IF(AND(Registro!D866="Abierto",Registro!E866="Media"),RANK(H867,$H$9:$H$1000,0)+COUNTIF($H$9:H867,H867)-1+MAX(C$5:C$1000,F$5:F$1000),"")</f>
        <v/>
      </c>
      <c r="J867" s="45" t="str">
        <f>IF(AND(Registro!D866="Abierto",Registro!E866="Baja"),Registro!B866,"")</f>
        <v/>
      </c>
      <c r="K867" s="45" t="str">
        <f ca="1">IF(AND(Registro!D866="Abierto",Registro!E866="Baja"),TODAY()-Registro!R866,"")</f>
        <v/>
      </c>
      <c r="L867" s="45" t="str">
        <f>IF(AND(Registro!D866="Abierto",Registro!E866="Baja"),RANK(K867,$K$9:$K$1000,0)+COUNTIF($K$9:K867,K867)-1+MAX(C$5:C$1000,F$5:F$1000,I$5:I$1000),"")</f>
        <v/>
      </c>
      <c r="M867" s="46" t="str">
        <f>IF(OR(Registro!D866="Resuelto",Registro!D866=""),"",SUM(C867,F867,I867,L867))</f>
        <v/>
      </c>
      <c r="N867" s="46" t="str">
        <f>IF(OR(Registro!D866="Resuelto",Registro!D866=""),"",SUM(B867,E867,H867,K867))</f>
        <v/>
      </c>
      <c r="O867" s="46" t="str">
        <f>IF(OR(Registro!D866="Resuelto",Registro!D866=""),"",_xlfn.CONCAT(A867,D867,G867,J867))</f>
        <v/>
      </c>
      <c r="P867" s="47">
        <v>859</v>
      </c>
      <c r="Q867" s="47" t="str">
        <f t="shared" ca="1" si="39"/>
        <v/>
      </c>
      <c r="R867" s="48" t="str">
        <f t="shared" ca="1" si="40"/>
        <v/>
      </c>
      <c r="S867" s="32"/>
      <c r="T867" s="32"/>
      <c r="U867" s="32"/>
      <c r="V867" s="32"/>
      <c r="W867" s="47" t="str">
        <f>IF(X867="","",MAX($W$5:W866)+1)</f>
        <v/>
      </c>
      <c r="X867" s="50" t="str">
        <f>IF(Registro!M866="","",IF(COUNTIF($X$8:X866,Registro!M866)=0,Registro!M866,""))</f>
        <v/>
      </c>
      <c r="Y867" s="50" t="str">
        <f t="shared" si="41"/>
        <v/>
      </c>
    </row>
    <row r="868" spans="1:25">
      <c r="A868" s="45" t="str">
        <f>IF(AND(Registro!D867="Abierto",Registro!E867="Urgente"),Registro!B867,"")</f>
        <v/>
      </c>
      <c r="B868" s="45" t="str">
        <f ca="1">IF(AND(Registro!D867="Abierto",Registro!E867="Urgente"),TODAY()-Registro!R867,"")</f>
        <v/>
      </c>
      <c r="C868" s="45" t="str">
        <f>IF(AND(Registro!D867="Abierto",Registro!E867="Urgente"),RANK(B868,$B$9:$B$1000,0)+COUNTIF($B$9:B868,B868)-1,"")</f>
        <v/>
      </c>
      <c r="D868" s="45" t="str">
        <f>IF(AND(Registro!D867="Abierto",Registro!E867="Alta"),Registro!B867,"")</f>
        <v/>
      </c>
      <c r="E868" s="45" t="str">
        <f ca="1">IF(AND(Registro!D867="Abierto",Registro!E867="Alta"),TODAY()-Registro!R867,"")</f>
        <v/>
      </c>
      <c r="F868" s="45" t="str">
        <f>IF(AND(Registro!D867="Abierto",Registro!E867="Alta"),RANK(E868,$E$9:$E$1000,0)+COUNTIF($E$9:E868,E868)-1+MAX(C$5:C$1000),"")</f>
        <v/>
      </c>
      <c r="G868" s="45" t="str">
        <f>IF(AND(Registro!D867="Abierto",Registro!E867="Media"),Registro!B867,"")</f>
        <v/>
      </c>
      <c r="H868" s="45" t="str">
        <f ca="1">IF(AND(Registro!D867="Abierto",Registro!E867="Media"),TODAY()-Registro!R867,"")</f>
        <v/>
      </c>
      <c r="I868" s="45" t="str">
        <f>IF(AND(Registro!D867="Abierto",Registro!E867="Media"),RANK(H868,$H$9:$H$1000,0)+COUNTIF($H$9:H868,H868)-1+MAX(C$5:C$1000,F$5:F$1000),"")</f>
        <v/>
      </c>
      <c r="J868" s="45" t="str">
        <f>IF(AND(Registro!D867="Abierto",Registro!E867="Baja"),Registro!B867,"")</f>
        <v/>
      </c>
      <c r="K868" s="45" t="str">
        <f ca="1">IF(AND(Registro!D867="Abierto",Registro!E867="Baja"),TODAY()-Registro!R867,"")</f>
        <v/>
      </c>
      <c r="L868" s="45" t="str">
        <f>IF(AND(Registro!D867="Abierto",Registro!E867="Baja"),RANK(K868,$K$9:$K$1000,0)+COUNTIF($K$9:K868,K868)-1+MAX(C$5:C$1000,F$5:F$1000,I$5:I$1000),"")</f>
        <v/>
      </c>
      <c r="M868" s="46" t="str">
        <f>IF(OR(Registro!D867="Resuelto",Registro!D867=""),"",SUM(C868,F868,I868,L868))</f>
        <v/>
      </c>
      <c r="N868" s="46" t="str">
        <f>IF(OR(Registro!D867="Resuelto",Registro!D867=""),"",SUM(B868,E868,H868,K868))</f>
        <v/>
      </c>
      <c r="O868" s="46" t="str">
        <f>IF(OR(Registro!D867="Resuelto",Registro!D867=""),"",_xlfn.CONCAT(A868,D868,G868,J868))</f>
        <v/>
      </c>
      <c r="P868" s="47">
        <v>860</v>
      </c>
      <c r="Q868" s="47" t="str">
        <f t="shared" ca="1" si="39"/>
        <v/>
      </c>
      <c r="R868" s="48" t="str">
        <f t="shared" ca="1" si="40"/>
        <v/>
      </c>
      <c r="S868" s="32"/>
      <c r="T868" s="32"/>
      <c r="U868" s="32"/>
      <c r="V868" s="32"/>
      <c r="W868" s="47" t="str">
        <f>IF(X868="","",MAX($W$5:W867)+1)</f>
        <v/>
      </c>
      <c r="X868" s="50" t="str">
        <f>IF(Registro!M867="","",IF(COUNTIF($X$8:X867,Registro!M867)=0,Registro!M867,""))</f>
        <v/>
      </c>
      <c r="Y868" s="50" t="str">
        <f t="shared" si="41"/>
        <v/>
      </c>
    </row>
    <row r="869" spans="1:25">
      <c r="A869" s="45" t="str">
        <f>IF(AND(Registro!D868="Abierto",Registro!E868="Urgente"),Registro!B868,"")</f>
        <v/>
      </c>
      <c r="B869" s="45" t="str">
        <f ca="1">IF(AND(Registro!D868="Abierto",Registro!E868="Urgente"),TODAY()-Registro!R868,"")</f>
        <v/>
      </c>
      <c r="C869" s="45" t="str">
        <f>IF(AND(Registro!D868="Abierto",Registro!E868="Urgente"),RANK(B869,$B$9:$B$1000,0)+COUNTIF($B$9:B869,B869)-1,"")</f>
        <v/>
      </c>
      <c r="D869" s="45" t="str">
        <f>IF(AND(Registro!D868="Abierto",Registro!E868="Alta"),Registro!B868,"")</f>
        <v/>
      </c>
      <c r="E869" s="45" t="str">
        <f ca="1">IF(AND(Registro!D868="Abierto",Registro!E868="Alta"),TODAY()-Registro!R868,"")</f>
        <v/>
      </c>
      <c r="F869" s="45" t="str">
        <f>IF(AND(Registro!D868="Abierto",Registro!E868="Alta"),RANK(E869,$E$9:$E$1000,0)+COUNTIF($E$9:E869,E869)-1+MAX(C$5:C$1000),"")</f>
        <v/>
      </c>
      <c r="G869" s="45" t="str">
        <f>IF(AND(Registro!D868="Abierto",Registro!E868="Media"),Registro!B868,"")</f>
        <v/>
      </c>
      <c r="H869" s="45" t="str">
        <f ca="1">IF(AND(Registro!D868="Abierto",Registro!E868="Media"),TODAY()-Registro!R868,"")</f>
        <v/>
      </c>
      <c r="I869" s="45" t="str">
        <f>IF(AND(Registro!D868="Abierto",Registro!E868="Media"),RANK(H869,$H$9:$H$1000,0)+COUNTIF($H$9:H869,H869)-1+MAX(C$5:C$1000,F$5:F$1000),"")</f>
        <v/>
      </c>
      <c r="J869" s="45" t="str">
        <f>IF(AND(Registro!D868="Abierto",Registro!E868="Baja"),Registro!B868,"")</f>
        <v/>
      </c>
      <c r="K869" s="45" t="str">
        <f ca="1">IF(AND(Registro!D868="Abierto",Registro!E868="Baja"),TODAY()-Registro!R868,"")</f>
        <v/>
      </c>
      <c r="L869" s="45" t="str">
        <f>IF(AND(Registro!D868="Abierto",Registro!E868="Baja"),RANK(K869,$K$9:$K$1000,0)+COUNTIF($K$9:K869,K869)-1+MAX(C$5:C$1000,F$5:F$1000,I$5:I$1000),"")</f>
        <v/>
      </c>
      <c r="M869" s="46" t="str">
        <f>IF(OR(Registro!D868="Resuelto",Registro!D868=""),"",SUM(C869,F869,I869,L869))</f>
        <v/>
      </c>
      <c r="N869" s="46" t="str">
        <f>IF(OR(Registro!D868="Resuelto",Registro!D868=""),"",SUM(B869,E869,H869,K869))</f>
        <v/>
      </c>
      <c r="O869" s="46" t="str">
        <f>IF(OR(Registro!D868="Resuelto",Registro!D868=""),"",_xlfn.CONCAT(A869,D869,G869,J869))</f>
        <v/>
      </c>
      <c r="P869" s="47">
        <v>861</v>
      </c>
      <c r="Q869" s="47" t="str">
        <f t="shared" ca="1" si="39"/>
        <v/>
      </c>
      <c r="R869" s="48" t="str">
        <f t="shared" ca="1" si="40"/>
        <v/>
      </c>
      <c r="S869" s="32"/>
      <c r="T869" s="32"/>
      <c r="U869" s="32"/>
      <c r="V869" s="32"/>
      <c r="W869" s="47" t="str">
        <f>IF(X869="","",MAX($W$5:W868)+1)</f>
        <v/>
      </c>
      <c r="X869" s="50" t="str">
        <f>IF(Registro!M868="","",IF(COUNTIF($X$8:X868,Registro!M868)=0,Registro!M868,""))</f>
        <v/>
      </c>
      <c r="Y869" s="50" t="str">
        <f t="shared" si="41"/>
        <v/>
      </c>
    </row>
    <row r="870" spans="1:25">
      <c r="A870" s="45" t="str">
        <f>IF(AND(Registro!D869="Abierto",Registro!E869="Urgente"),Registro!B869,"")</f>
        <v/>
      </c>
      <c r="B870" s="45" t="str">
        <f ca="1">IF(AND(Registro!D869="Abierto",Registro!E869="Urgente"),TODAY()-Registro!R869,"")</f>
        <v/>
      </c>
      <c r="C870" s="45" t="str">
        <f>IF(AND(Registro!D869="Abierto",Registro!E869="Urgente"),RANK(B870,$B$9:$B$1000,0)+COUNTIF($B$9:B870,B870)-1,"")</f>
        <v/>
      </c>
      <c r="D870" s="45" t="str">
        <f>IF(AND(Registro!D869="Abierto",Registro!E869="Alta"),Registro!B869,"")</f>
        <v/>
      </c>
      <c r="E870" s="45" t="str">
        <f ca="1">IF(AND(Registro!D869="Abierto",Registro!E869="Alta"),TODAY()-Registro!R869,"")</f>
        <v/>
      </c>
      <c r="F870" s="45" t="str">
        <f>IF(AND(Registro!D869="Abierto",Registro!E869="Alta"),RANK(E870,$E$9:$E$1000,0)+COUNTIF($E$9:E870,E870)-1+MAX(C$5:C$1000),"")</f>
        <v/>
      </c>
      <c r="G870" s="45" t="str">
        <f>IF(AND(Registro!D869="Abierto",Registro!E869="Media"),Registro!B869,"")</f>
        <v/>
      </c>
      <c r="H870" s="45" t="str">
        <f ca="1">IF(AND(Registro!D869="Abierto",Registro!E869="Media"),TODAY()-Registro!R869,"")</f>
        <v/>
      </c>
      <c r="I870" s="45" t="str">
        <f>IF(AND(Registro!D869="Abierto",Registro!E869="Media"),RANK(H870,$H$9:$H$1000,0)+COUNTIF($H$9:H870,H870)-1+MAX(C$5:C$1000,F$5:F$1000),"")</f>
        <v/>
      </c>
      <c r="J870" s="45" t="str">
        <f>IF(AND(Registro!D869="Abierto",Registro!E869="Baja"),Registro!B869,"")</f>
        <v/>
      </c>
      <c r="K870" s="45" t="str">
        <f ca="1">IF(AND(Registro!D869="Abierto",Registro!E869="Baja"),TODAY()-Registro!R869,"")</f>
        <v/>
      </c>
      <c r="L870" s="45" t="str">
        <f>IF(AND(Registro!D869="Abierto",Registro!E869="Baja"),RANK(K870,$K$9:$K$1000,0)+COUNTIF($K$9:K870,K870)-1+MAX(C$5:C$1000,F$5:F$1000,I$5:I$1000),"")</f>
        <v/>
      </c>
      <c r="M870" s="46" t="str">
        <f>IF(OR(Registro!D869="Resuelto",Registro!D869=""),"",SUM(C870,F870,I870,L870))</f>
        <v/>
      </c>
      <c r="N870" s="46" t="str">
        <f>IF(OR(Registro!D869="Resuelto",Registro!D869=""),"",SUM(B870,E870,H870,K870))</f>
        <v/>
      </c>
      <c r="O870" s="46" t="str">
        <f>IF(OR(Registro!D869="Resuelto",Registro!D869=""),"",_xlfn.CONCAT(A870,D870,G870,J870))</f>
        <v/>
      </c>
      <c r="P870" s="47">
        <v>862</v>
      </c>
      <c r="Q870" s="47" t="str">
        <f t="shared" ca="1" si="39"/>
        <v/>
      </c>
      <c r="R870" s="48" t="str">
        <f t="shared" ca="1" si="40"/>
        <v/>
      </c>
      <c r="S870" s="32"/>
      <c r="T870" s="32"/>
      <c r="U870" s="32"/>
      <c r="V870" s="32"/>
      <c r="W870" s="47" t="str">
        <f>IF(X870="","",MAX($W$5:W869)+1)</f>
        <v/>
      </c>
      <c r="X870" s="50" t="str">
        <f>IF(Registro!M869="","",IF(COUNTIF($X$8:X869,Registro!M869)=0,Registro!M869,""))</f>
        <v/>
      </c>
      <c r="Y870" s="50" t="str">
        <f t="shared" si="41"/>
        <v/>
      </c>
    </row>
    <row r="871" spans="1:25">
      <c r="A871" s="45" t="str">
        <f>IF(AND(Registro!D870="Abierto",Registro!E870="Urgente"),Registro!B870,"")</f>
        <v/>
      </c>
      <c r="B871" s="45" t="str">
        <f ca="1">IF(AND(Registro!D870="Abierto",Registro!E870="Urgente"),TODAY()-Registro!R870,"")</f>
        <v/>
      </c>
      <c r="C871" s="45" t="str">
        <f>IF(AND(Registro!D870="Abierto",Registro!E870="Urgente"),RANK(B871,$B$9:$B$1000,0)+COUNTIF($B$9:B871,B871)-1,"")</f>
        <v/>
      </c>
      <c r="D871" s="45" t="str">
        <f>IF(AND(Registro!D870="Abierto",Registro!E870="Alta"),Registro!B870,"")</f>
        <v/>
      </c>
      <c r="E871" s="45" t="str">
        <f ca="1">IF(AND(Registro!D870="Abierto",Registro!E870="Alta"),TODAY()-Registro!R870,"")</f>
        <v/>
      </c>
      <c r="F871" s="45" t="str">
        <f>IF(AND(Registro!D870="Abierto",Registro!E870="Alta"),RANK(E871,$E$9:$E$1000,0)+COUNTIF($E$9:E871,E871)-1+MAX(C$5:C$1000),"")</f>
        <v/>
      </c>
      <c r="G871" s="45" t="str">
        <f>IF(AND(Registro!D870="Abierto",Registro!E870="Media"),Registro!B870,"")</f>
        <v/>
      </c>
      <c r="H871" s="45" t="str">
        <f ca="1">IF(AND(Registro!D870="Abierto",Registro!E870="Media"),TODAY()-Registro!R870,"")</f>
        <v/>
      </c>
      <c r="I871" s="45" t="str">
        <f>IF(AND(Registro!D870="Abierto",Registro!E870="Media"),RANK(H871,$H$9:$H$1000,0)+COUNTIF($H$9:H871,H871)-1+MAX(C$5:C$1000,F$5:F$1000),"")</f>
        <v/>
      </c>
      <c r="J871" s="45" t="str">
        <f>IF(AND(Registro!D870="Abierto",Registro!E870="Baja"),Registro!B870,"")</f>
        <v/>
      </c>
      <c r="K871" s="45" t="str">
        <f ca="1">IF(AND(Registro!D870="Abierto",Registro!E870="Baja"),TODAY()-Registro!R870,"")</f>
        <v/>
      </c>
      <c r="L871" s="45" t="str">
        <f>IF(AND(Registro!D870="Abierto",Registro!E870="Baja"),RANK(K871,$K$9:$K$1000,0)+COUNTIF($K$9:K871,K871)-1+MAX(C$5:C$1000,F$5:F$1000,I$5:I$1000),"")</f>
        <v/>
      </c>
      <c r="M871" s="46" t="str">
        <f>IF(OR(Registro!D870="Resuelto",Registro!D870=""),"",SUM(C871,F871,I871,L871))</f>
        <v/>
      </c>
      <c r="N871" s="46" t="str">
        <f>IF(OR(Registro!D870="Resuelto",Registro!D870=""),"",SUM(B871,E871,H871,K871))</f>
        <v/>
      </c>
      <c r="O871" s="46" t="str">
        <f>IF(OR(Registro!D870="Resuelto",Registro!D870=""),"",_xlfn.CONCAT(A871,D871,G871,J871))</f>
        <v/>
      </c>
      <c r="P871" s="47">
        <v>863</v>
      </c>
      <c r="Q871" s="47" t="str">
        <f t="shared" ca="1" si="39"/>
        <v/>
      </c>
      <c r="R871" s="48" t="str">
        <f t="shared" ca="1" si="40"/>
        <v/>
      </c>
      <c r="S871" s="32"/>
      <c r="T871" s="32"/>
      <c r="U871" s="32"/>
      <c r="V871" s="32"/>
      <c r="W871" s="47" t="str">
        <f>IF(X871="","",MAX($W$5:W870)+1)</f>
        <v/>
      </c>
      <c r="X871" s="50" t="str">
        <f>IF(Registro!M870="","",IF(COUNTIF($X$8:X870,Registro!M870)=0,Registro!M870,""))</f>
        <v/>
      </c>
      <c r="Y871" s="50" t="str">
        <f t="shared" si="41"/>
        <v/>
      </c>
    </row>
    <row r="872" spans="1:25">
      <c r="A872" s="45" t="str">
        <f>IF(AND(Registro!D871="Abierto",Registro!E871="Urgente"),Registro!B871,"")</f>
        <v/>
      </c>
      <c r="B872" s="45" t="str">
        <f ca="1">IF(AND(Registro!D871="Abierto",Registro!E871="Urgente"),TODAY()-Registro!R871,"")</f>
        <v/>
      </c>
      <c r="C872" s="45" t="str">
        <f>IF(AND(Registro!D871="Abierto",Registro!E871="Urgente"),RANK(B872,$B$9:$B$1000,0)+COUNTIF($B$9:B872,B872)-1,"")</f>
        <v/>
      </c>
      <c r="D872" s="45" t="str">
        <f>IF(AND(Registro!D871="Abierto",Registro!E871="Alta"),Registro!B871,"")</f>
        <v/>
      </c>
      <c r="E872" s="45" t="str">
        <f ca="1">IF(AND(Registro!D871="Abierto",Registro!E871="Alta"),TODAY()-Registro!R871,"")</f>
        <v/>
      </c>
      <c r="F872" s="45" t="str">
        <f>IF(AND(Registro!D871="Abierto",Registro!E871="Alta"),RANK(E872,$E$9:$E$1000,0)+COUNTIF($E$9:E872,E872)-1+MAX(C$5:C$1000),"")</f>
        <v/>
      </c>
      <c r="G872" s="45" t="str">
        <f>IF(AND(Registro!D871="Abierto",Registro!E871="Media"),Registro!B871,"")</f>
        <v/>
      </c>
      <c r="H872" s="45" t="str">
        <f ca="1">IF(AND(Registro!D871="Abierto",Registro!E871="Media"),TODAY()-Registro!R871,"")</f>
        <v/>
      </c>
      <c r="I872" s="45" t="str">
        <f>IF(AND(Registro!D871="Abierto",Registro!E871="Media"),RANK(H872,$H$9:$H$1000,0)+COUNTIF($H$9:H872,H872)-1+MAX(C$5:C$1000,F$5:F$1000),"")</f>
        <v/>
      </c>
      <c r="J872" s="45" t="str">
        <f>IF(AND(Registro!D871="Abierto",Registro!E871="Baja"),Registro!B871,"")</f>
        <v/>
      </c>
      <c r="K872" s="45" t="str">
        <f ca="1">IF(AND(Registro!D871="Abierto",Registro!E871="Baja"),TODAY()-Registro!R871,"")</f>
        <v/>
      </c>
      <c r="L872" s="45" t="str">
        <f>IF(AND(Registro!D871="Abierto",Registro!E871="Baja"),RANK(K872,$K$9:$K$1000,0)+COUNTIF($K$9:K872,K872)-1+MAX(C$5:C$1000,F$5:F$1000,I$5:I$1000),"")</f>
        <v/>
      </c>
      <c r="M872" s="46" t="str">
        <f>IF(OR(Registro!D871="Resuelto",Registro!D871=""),"",SUM(C872,F872,I872,L872))</f>
        <v/>
      </c>
      <c r="N872" s="46" t="str">
        <f>IF(OR(Registro!D871="Resuelto",Registro!D871=""),"",SUM(B872,E872,H872,K872))</f>
        <v/>
      </c>
      <c r="O872" s="46" t="str">
        <f>IF(OR(Registro!D871="Resuelto",Registro!D871=""),"",_xlfn.CONCAT(A872,D872,G872,J872))</f>
        <v/>
      </c>
      <c r="P872" s="47">
        <v>864</v>
      </c>
      <c r="Q872" s="47" t="str">
        <f t="shared" ca="1" si="39"/>
        <v/>
      </c>
      <c r="R872" s="48" t="str">
        <f t="shared" ca="1" si="40"/>
        <v/>
      </c>
      <c r="S872" s="32"/>
      <c r="T872" s="32"/>
      <c r="U872" s="32"/>
      <c r="V872" s="32"/>
      <c r="W872" s="47" t="str">
        <f>IF(X872="","",MAX($W$5:W871)+1)</f>
        <v/>
      </c>
      <c r="X872" s="50" t="str">
        <f>IF(Registro!M871="","",IF(COUNTIF($X$8:X871,Registro!M871)=0,Registro!M871,""))</f>
        <v/>
      </c>
      <c r="Y872" s="50" t="str">
        <f t="shared" si="41"/>
        <v/>
      </c>
    </row>
    <row r="873" spans="1:25">
      <c r="A873" s="45" t="str">
        <f>IF(AND(Registro!D872="Abierto",Registro!E872="Urgente"),Registro!B872,"")</f>
        <v/>
      </c>
      <c r="B873" s="45" t="str">
        <f ca="1">IF(AND(Registro!D872="Abierto",Registro!E872="Urgente"),TODAY()-Registro!R872,"")</f>
        <v/>
      </c>
      <c r="C873" s="45" t="str">
        <f>IF(AND(Registro!D872="Abierto",Registro!E872="Urgente"),RANK(B873,$B$9:$B$1000,0)+COUNTIF($B$9:B873,B873)-1,"")</f>
        <v/>
      </c>
      <c r="D873" s="45" t="str">
        <f>IF(AND(Registro!D872="Abierto",Registro!E872="Alta"),Registro!B872,"")</f>
        <v/>
      </c>
      <c r="E873" s="45" t="str">
        <f ca="1">IF(AND(Registro!D872="Abierto",Registro!E872="Alta"),TODAY()-Registro!R872,"")</f>
        <v/>
      </c>
      <c r="F873" s="45" t="str">
        <f>IF(AND(Registro!D872="Abierto",Registro!E872="Alta"),RANK(E873,$E$9:$E$1000,0)+COUNTIF($E$9:E873,E873)-1+MAX(C$5:C$1000),"")</f>
        <v/>
      </c>
      <c r="G873" s="45" t="str">
        <f>IF(AND(Registro!D872="Abierto",Registro!E872="Media"),Registro!B872,"")</f>
        <v/>
      </c>
      <c r="H873" s="45" t="str">
        <f ca="1">IF(AND(Registro!D872="Abierto",Registro!E872="Media"),TODAY()-Registro!R872,"")</f>
        <v/>
      </c>
      <c r="I873" s="45" t="str">
        <f>IF(AND(Registro!D872="Abierto",Registro!E872="Media"),RANK(H873,$H$9:$H$1000,0)+COUNTIF($H$9:H873,H873)-1+MAX(C$5:C$1000,F$5:F$1000),"")</f>
        <v/>
      </c>
      <c r="J873" s="45" t="str">
        <f>IF(AND(Registro!D872="Abierto",Registro!E872="Baja"),Registro!B872,"")</f>
        <v/>
      </c>
      <c r="K873" s="45" t="str">
        <f ca="1">IF(AND(Registro!D872="Abierto",Registro!E872="Baja"),TODAY()-Registro!R872,"")</f>
        <v/>
      </c>
      <c r="L873" s="45" t="str">
        <f>IF(AND(Registro!D872="Abierto",Registro!E872="Baja"),RANK(K873,$K$9:$K$1000,0)+COUNTIF($K$9:K873,K873)-1+MAX(C$5:C$1000,F$5:F$1000,I$5:I$1000),"")</f>
        <v/>
      </c>
      <c r="M873" s="46" t="str">
        <f>IF(OR(Registro!D872="Resuelto",Registro!D872=""),"",SUM(C873,F873,I873,L873))</f>
        <v/>
      </c>
      <c r="N873" s="46" t="str">
        <f>IF(OR(Registro!D872="Resuelto",Registro!D872=""),"",SUM(B873,E873,H873,K873))</f>
        <v/>
      </c>
      <c r="O873" s="46" t="str">
        <f>IF(OR(Registro!D872="Resuelto",Registro!D872=""),"",_xlfn.CONCAT(A873,D873,G873,J873))</f>
        <v/>
      </c>
      <c r="P873" s="47">
        <v>865</v>
      </c>
      <c r="Q873" s="47" t="str">
        <f t="shared" ca="1" si="39"/>
        <v/>
      </c>
      <c r="R873" s="48" t="str">
        <f t="shared" ca="1" si="40"/>
        <v/>
      </c>
      <c r="S873" s="32"/>
      <c r="T873" s="32"/>
      <c r="U873" s="32"/>
      <c r="V873" s="32"/>
      <c r="W873" s="47" t="str">
        <f>IF(X873="","",MAX($W$5:W872)+1)</f>
        <v/>
      </c>
      <c r="X873" s="50" t="str">
        <f>IF(Registro!M872="","",IF(COUNTIF($X$8:X872,Registro!M872)=0,Registro!M872,""))</f>
        <v/>
      </c>
      <c r="Y873" s="50" t="str">
        <f t="shared" si="41"/>
        <v/>
      </c>
    </row>
    <row r="874" spans="1:25">
      <c r="A874" s="45" t="str">
        <f>IF(AND(Registro!D873="Abierto",Registro!E873="Urgente"),Registro!B873,"")</f>
        <v/>
      </c>
      <c r="B874" s="45" t="str">
        <f ca="1">IF(AND(Registro!D873="Abierto",Registro!E873="Urgente"),TODAY()-Registro!R873,"")</f>
        <v/>
      </c>
      <c r="C874" s="45" t="str">
        <f>IF(AND(Registro!D873="Abierto",Registro!E873="Urgente"),RANK(B874,$B$9:$B$1000,0)+COUNTIF($B$9:B874,B874)-1,"")</f>
        <v/>
      </c>
      <c r="D874" s="45" t="str">
        <f>IF(AND(Registro!D873="Abierto",Registro!E873="Alta"),Registro!B873,"")</f>
        <v/>
      </c>
      <c r="E874" s="45" t="str">
        <f ca="1">IF(AND(Registro!D873="Abierto",Registro!E873="Alta"),TODAY()-Registro!R873,"")</f>
        <v/>
      </c>
      <c r="F874" s="45" t="str">
        <f>IF(AND(Registro!D873="Abierto",Registro!E873="Alta"),RANK(E874,$E$9:$E$1000,0)+COUNTIF($E$9:E874,E874)-1+MAX(C$5:C$1000),"")</f>
        <v/>
      </c>
      <c r="G874" s="45" t="str">
        <f>IF(AND(Registro!D873="Abierto",Registro!E873="Media"),Registro!B873,"")</f>
        <v/>
      </c>
      <c r="H874" s="45" t="str">
        <f ca="1">IF(AND(Registro!D873="Abierto",Registro!E873="Media"),TODAY()-Registro!R873,"")</f>
        <v/>
      </c>
      <c r="I874" s="45" t="str">
        <f>IF(AND(Registro!D873="Abierto",Registro!E873="Media"),RANK(H874,$H$9:$H$1000,0)+COUNTIF($H$9:H874,H874)-1+MAX(C$5:C$1000,F$5:F$1000),"")</f>
        <v/>
      </c>
      <c r="J874" s="45" t="str">
        <f>IF(AND(Registro!D873="Abierto",Registro!E873="Baja"),Registro!B873,"")</f>
        <v/>
      </c>
      <c r="K874" s="45" t="str">
        <f ca="1">IF(AND(Registro!D873="Abierto",Registro!E873="Baja"),TODAY()-Registro!R873,"")</f>
        <v/>
      </c>
      <c r="L874" s="45" t="str">
        <f>IF(AND(Registro!D873="Abierto",Registro!E873="Baja"),RANK(K874,$K$9:$K$1000,0)+COUNTIF($K$9:K874,K874)-1+MAX(C$5:C$1000,F$5:F$1000,I$5:I$1000),"")</f>
        <v/>
      </c>
      <c r="M874" s="46" t="str">
        <f>IF(OR(Registro!D873="Resuelto",Registro!D873=""),"",SUM(C874,F874,I874,L874))</f>
        <v/>
      </c>
      <c r="N874" s="46" t="str">
        <f>IF(OR(Registro!D873="Resuelto",Registro!D873=""),"",SUM(B874,E874,H874,K874))</f>
        <v/>
      </c>
      <c r="O874" s="46" t="str">
        <f>IF(OR(Registro!D873="Resuelto",Registro!D873=""),"",_xlfn.CONCAT(A874,D874,G874,J874))</f>
        <v/>
      </c>
      <c r="P874" s="47">
        <v>866</v>
      </c>
      <c r="Q874" s="47" t="str">
        <f t="shared" ca="1" si="39"/>
        <v/>
      </c>
      <c r="R874" s="48" t="str">
        <f t="shared" ca="1" si="40"/>
        <v/>
      </c>
      <c r="S874" s="32"/>
      <c r="T874" s="32"/>
      <c r="U874" s="32"/>
      <c r="V874" s="32"/>
      <c r="W874" s="47" t="str">
        <f>IF(X874="","",MAX($W$5:W873)+1)</f>
        <v/>
      </c>
      <c r="X874" s="50" t="str">
        <f>IF(Registro!M873="","",IF(COUNTIF($X$8:X873,Registro!M873)=0,Registro!M873,""))</f>
        <v/>
      </c>
      <c r="Y874" s="50" t="str">
        <f t="shared" si="41"/>
        <v/>
      </c>
    </row>
    <row r="875" spans="1:25">
      <c r="A875" s="45" t="str">
        <f>IF(AND(Registro!D874="Abierto",Registro!E874="Urgente"),Registro!B874,"")</f>
        <v/>
      </c>
      <c r="B875" s="45" t="str">
        <f ca="1">IF(AND(Registro!D874="Abierto",Registro!E874="Urgente"),TODAY()-Registro!R874,"")</f>
        <v/>
      </c>
      <c r="C875" s="45" t="str">
        <f>IF(AND(Registro!D874="Abierto",Registro!E874="Urgente"),RANK(B875,$B$9:$B$1000,0)+COUNTIF($B$9:B875,B875)-1,"")</f>
        <v/>
      </c>
      <c r="D875" s="45" t="str">
        <f>IF(AND(Registro!D874="Abierto",Registro!E874="Alta"),Registro!B874,"")</f>
        <v/>
      </c>
      <c r="E875" s="45" t="str">
        <f ca="1">IF(AND(Registro!D874="Abierto",Registro!E874="Alta"),TODAY()-Registro!R874,"")</f>
        <v/>
      </c>
      <c r="F875" s="45" t="str">
        <f>IF(AND(Registro!D874="Abierto",Registro!E874="Alta"),RANK(E875,$E$9:$E$1000,0)+COUNTIF($E$9:E875,E875)-1+MAX(C$5:C$1000),"")</f>
        <v/>
      </c>
      <c r="G875" s="45" t="str">
        <f>IF(AND(Registro!D874="Abierto",Registro!E874="Media"),Registro!B874,"")</f>
        <v/>
      </c>
      <c r="H875" s="45" t="str">
        <f ca="1">IF(AND(Registro!D874="Abierto",Registro!E874="Media"),TODAY()-Registro!R874,"")</f>
        <v/>
      </c>
      <c r="I875" s="45" t="str">
        <f>IF(AND(Registro!D874="Abierto",Registro!E874="Media"),RANK(H875,$H$9:$H$1000,0)+COUNTIF($H$9:H875,H875)-1+MAX(C$5:C$1000,F$5:F$1000),"")</f>
        <v/>
      </c>
      <c r="J875" s="45" t="str">
        <f>IF(AND(Registro!D874="Abierto",Registro!E874="Baja"),Registro!B874,"")</f>
        <v/>
      </c>
      <c r="K875" s="45" t="str">
        <f ca="1">IF(AND(Registro!D874="Abierto",Registro!E874="Baja"),TODAY()-Registro!R874,"")</f>
        <v/>
      </c>
      <c r="L875" s="45" t="str">
        <f>IF(AND(Registro!D874="Abierto",Registro!E874="Baja"),RANK(K875,$K$9:$K$1000,0)+COUNTIF($K$9:K875,K875)-1+MAX(C$5:C$1000,F$5:F$1000,I$5:I$1000),"")</f>
        <v/>
      </c>
      <c r="M875" s="46" t="str">
        <f>IF(OR(Registro!D874="Resuelto",Registro!D874=""),"",SUM(C875,F875,I875,L875))</f>
        <v/>
      </c>
      <c r="N875" s="46" t="str">
        <f>IF(OR(Registro!D874="Resuelto",Registro!D874=""),"",SUM(B875,E875,H875,K875))</f>
        <v/>
      </c>
      <c r="O875" s="46" t="str">
        <f>IF(OR(Registro!D874="Resuelto",Registro!D874=""),"",_xlfn.CONCAT(A875,D875,G875,J875))</f>
        <v/>
      </c>
      <c r="P875" s="47">
        <v>867</v>
      </c>
      <c r="Q875" s="47" t="str">
        <f t="shared" ca="1" si="39"/>
        <v/>
      </c>
      <c r="R875" s="48" t="str">
        <f t="shared" ca="1" si="40"/>
        <v/>
      </c>
      <c r="S875" s="32"/>
      <c r="T875" s="32"/>
      <c r="U875" s="32"/>
      <c r="V875" s="32"/>
      <c r="W875" s="47" t="str">
        <f>IF(X875="","",MAX($W$5:W874)+1)</f>
        <v/>
      </c>
      <c r="X875" s="50" t="str">
        <f>IF(Registro!M874="","",IF(COUNTIF($X$8:X874,Registro!M874)=0,Registro!M874,""))</f>
        <v/>
      </c>
      <c r="Y875" s="50" t="str">
        <f t="shared" si="41"/>
        <v/>
      </c>
    </row>
    <row r="876" spans="1:25">
      <c r="A876" s="45" t="str">
        <f>IF(AND(Registro!D875="Abierto",Registro!E875="Urgente"),Registro!B875,"")</f>
        <v/>
      </c>
      <c r="B876" s="45" t="str">
        <f ca="1">IF(AND(Registro!D875="Abierto",Registro!E875="Urgente"),TODAY()-Registro!R875,"")</f>
        <v/>
      </c>
      <c r="C876" s="45" t="str">
        <f>IF(AND(Registro!D875="Abierto",Registro!E875="Urgente"),RANK(B876,$B$9:$B$1000,0)+COUNTIF($B$9:B876,B876)-1,"")</f>
        <v/>
      </c>
      <c r="D876" s="45" t="str">
        <f>IF(AND(Registro!D875="Abierto",Registro!E875="Alta"),Registro!B875,"")</f>
        <v/>
      </c>
      <c r="E876" s="45" t="str">
        <f ca="1">IF(AND(Registro!D875="Abierto",Registro!E875="Alta"),TODAY()-Registro!R875,"")</f>
        <v/>
      </c>
      <c r="F876" s="45" t="str">
        <f>IF(AND(Registro!D875="Abierto",Registro!E875="Alta"),RANK(E876,$E$9:$E$1000,0)+COUNTIF($E$9:E876,E876)-1+MAX(C$5:C$1000),"")</f>
        <v/>
      </c>
      <c r="G876" s="45" t="str">
        <f>IF(AND(Registro!D875="Abierto",Registro!E875="Media"),Registro!B875,"")</f>
        <v/>
      </c>
      <c r="H876" s="45" t="str">
        <f ca="1">IF(AND(Registro!D875="Abierto",Registro!E875="Media"),TODAY()-Registro!R875,"")</f>
        <v/>
      </c>
      <c r="I876" s="45" t="str">
        <f>IF(AND(Registro!D875="Abierto",Registro!E875="Media"),RANK(H876,$H$9:$H$1000,0)+COUNTIF($H$9:H876,H876)-1+MAX(C$5:C$1000,F$5:F$1000),"")</f>
        <v/>
      </c>
      <c r="J876" s="45" t="str">
        <f>IF(AND(Registro!D875="Abierto",Registro!E875="Baja"),Registro!B875,"")</f>
        <v/>
      </c>
      <c r="K876" s="45" t="str">
        <f ca="1">IF(AND(Registro!D875="Abierto",Registro!E875="Baja"),TODAY()-Registro!R875,"")</f>
        <v/>
      </c>
      <c r="L876" s="45" t="str">
        <f>IF(AND(Registro!D875="Abierto",Registro!E875="Baja"),RANK(K876,$K$9:$K$1000,0)+COUNTIF($K$9:K876,K876)-1+MAX(C$5:C$1000,F$5:F$1000,I$5:I$1000),"")</f>
        <v/>
      </c>
      <c r="M876" s="46" t="str">
        <f>IF(OR(Registro!D875="Resuelto",Registro!D875=""),"",SUM(C876,F876,I876,L876))</f>
        <v/>
      </c>
      <c r="N876" s="46" t="str">
        <f>IF(OR(Registro!D875="Resuelto",Registro!D875=""),"",SUM(B876,E876,H876,K876))</f>
        <v/>
      </c>
      <c r="O876" s="46" t="str">
        <f>IF(OR(Registro!D875="Resuelto",Registro!D875=""),"",_xlfn.CONCAT(A876,D876,G876,J876))</f>
        <v/>
      </c>
      <c r="P876" s="47">
        <v>868</v>
      </c>
      <c r="Q876" s="47" t="str">
        <f t="shared" ca="1" si="39"/>
        <v/>
      </c>
      <c r="R876" s="48" t="str">
        <f t="shared" ca="1" si="40"/>
        <v/>
      </c>
      <c r="S876" s="32"/>
      <c r="T876" s="32"/>
      <c r="U876" s="32"/>
      <c r="V876" s="32"/>
      <c r="W876" s="47" t="str">
        <f>IF(X876="","",MAX($W$5:W875)+1)</f>
        <v/>
      </c>
      <c r="X876" s="50" t="str">
        <f>IF(Registro!M875="","",IF(COUNTIF($X$8:X875,Registro!M875)=0,Registro!M875,""))</f>
        <v/>
      </c>
      <c r="Y876" s="50" t="str">
        <f t="shared" si="41"/>
        <v/>
      </c>
    </row>
    <row r="877" spans="1:25">
      <c r="A877" s="45" t="str">
        <f>IF(AND(Registro!D876="Abierto",Registro!E876="Urgente"),Registro!B876,"")</f>
        <v/>
      </c>
      <c r="B877" s="45" t="str">
        <f ca="1">IF(AND(Registro!D876="Abierto",Registro!E876="Urgente"),TODAY()-Registro!R876,"")</f>
        <v/>
      </c>
      <c r="C877" s="45" t="str">
        <f>IF(AND(Registro!D876="Abierto",Registro!E876="Urgente"),RANK(B877,$B$9:$B$1000,0)+COUNTIF($B$9:B877,B877)-1,"")</f>
        <v/>
      </c>
      <c r="D877" s="45" t="str">
        <f>IF(AND(Registro!D876="Abierto",Registro!E876="Alta"),Registro!B876,"")</f>
        <v/>
      </c>
      <c r="E877" s="45" t="str">
        <f ca="1">IF(AND(Registro!D876="Abierto",Registro!E876="Alta"),TODAY()-Registro!R876,"")</f>
        <v/>
      </c>
      <c r="F877" s="45" t="str">
        <f>IF(AND(Registro!D876="Abierto",Registro!E876="Alta"),RANK(E877,$E$9:$E$1000,0)+COUNTIF($E$9:E877,E877)-1+MAX(C$5:C$1000),"")</f>
        <v/>
      </c>
      <c r="G877" s="45" t="str">
        <f>IF(AND(Registro!D876="Abierto",Registro!E876="Media"),Registro!B876,"")</f>
        <v/>
      </c>
      <c r="H877" s="45" t="str">
        <f ca="1">IF(AND(Registro!D876="Abierto",Registro!E876="Media"),TODAY()-Registro!R876,"")</f>
        <v/>
      </c>
      <c r="I877" s="45" t="str">
        <f>IF(AND(Registro!D876="Abierto",Registro!E876="Media"),RANK(H877,$H$9:$H$1000,0)+COUNTIF($H$9:H877,H877)-1+MAX(C$5:C$1000,F$5:F$1000),"")</f>
        <v/>
      </c>
      <c r="J877" s="45" t="str">
        <f>IF(AND(Registro!D876="Abierto",Registro!E876="Baja"),Registro!B876,"")</f>
        <v/>
      </c>
      <c r="K877" s="45" t="str">
        <f ca="1">IF(AND(Registro!D876="Abierto",Registro!E876="Baja"),TODAY()-Registro!R876,"")</f>
        <v/>
      </c>
      <c r="L877" s="45" t="str">
        <f>IF(AND(Registro!D876="Abierto",Registro!E876="Baja"),RANK(K877,$K$9:$K$1000,0)+COUNTIF($K$9:K877,K877)-1+MAX(C$5:C$1000,F$5:F$1000,I$5:I$1000),"")</f>
        <v/>
      </c>
      <c r="M877" s="46" t="str">
        <f>IF(OR(Registro!D876="Resuelto",Registro!D876=""),"",SUM(C877,F877,I877,L877))</f>
        <v/>
      </c>
      <c r="N877" s="46" t="str">
        <f>IF(OR(Registro!D876="Resuelto",Registro!D876=""),"",SUM(B877,E877,H877,K877))</f>
        <v/>
      </c>
      <c r="O877" s="46" t="str">
        <f>IF(OR(Registro!D876="Resuelto",Registro!D876=""),"",_xlfn.CONCAT(A877,D877,G877,J877))</f>
        <v/>
      </c>
      <c r="P877" s="47">
        <v>869</v>
      </c>
      <c r="Q877" s="47" t="str">
        <f t="shared" ca="1" si="39"/>
        <v/>
      </c>
      <c r="R877" s="48" t="str">
        <f t="shared" ca="1" si="40"/>
        <v/>
      </c>
      <c r="S877" s="32"/>
      <c r="T877" s="32"/>
      <c r="U877" s="32"/>
      <c r="V877" s="32"/>
      <c r="W877" s="47" t="str">
        <f>IF(X877="","",MAX($W$5:W876)+1)</f>
        <v/>
      </c>
      <c r="X877" s="50" t="str">
        <f>IF(Registro!M876="","",IF(COUNTIF($X$8:X876,Registro!M876)=0,Registro!M876,""))</f>
        <v/>
      </c>
      <c r="Y877" s="50" t="str">
        <f t="shared" si="41"/>
        <v/>
      </c>
    </row>
    <row r="878" spans="1:25">
      <c r="A878" s="45" t="str">
        <f>IF(AND(Registro!D877="Abierto",Registro!E877="Urgente"),Registro!B877,"")</f>
        <v/>
      </c>
      <c r="B878" s="45" t="str">
        <f ca="1">IF(AND(Registro!D877="Abierto",Registro!E877="Urgente"),TODAY()-Registro!R877,"")</f>
        <v/>
      </c>
      <c r="C878" s="45" t="str">
        <f>IF(AND(Registro!D877="Abierto",Registro!E877="Urgente"),RANK(B878,$B$9:$B$1000,0)+COUNTIF($B$9:B878,B878)-1,"")</f>
        <v/>
      </c>
      <c r="D878" s="45" t="str">
        <f>IF(AND(Registro!D877="Abierto",Registro!E877="Alta"),Registro!B877,"")</f>
        <v/>
      </c>
      <c r="E878" s="45" t="str">
        <f ca="1">IF(AND(Registro!D877="Abierto",Registro!E877="Alta"),TODAY()-Registro!R877,"")</f>
        <v/>
      </c>
      <c r="F878" s="45" t="str">
        <f>IF(AND(Registro!D877="Abierto",Registro!E877="Alta"),RANK(E878,$E$9:$E$1000,0)+COUNTIF($E$9:E878,E878)-1+MAX(C$5:C$1000),"")</f>
        <v/>
      </c>
      <c r="G878" s="45" t="str">
        <f>IF(AND(Registro!D877="Abierto",Registro!E877="Media"),Registro!B877,"")</f>
        <v/>
      </c>
      <c r="H878" s="45" t="str">
        <f ca="1">IF(AND(Registro!D877="Abierto",Registro!E877="Media"),TODAY()-Registro!R877,"")</f>
        <v/>
      </c>
      <c r="I878" s="45" t="str">
        <f>IF(AND(Registro!D877="Abierto",Registro!E877="Media"),RANK(H878,$H$9:$H$1000,0)+COUNTIF($H$9:H878,H878)-1+MAX(C$5:C$1000,F$5:F$1000),"")</f>
        <v/>
      </c>
      <c r="J878" s="45" t="str">
        <f>IF(AND(Registro!D877="Abierto",Registro!E877="Baja"),Registro!B877,"")</f>
        <v/>
      </c>
      <c r="K878" s="45" t="str">
        <f ca="1">IF(AND(Registro!D877="Abierto",Registro!E877="Baja"),TODAY()-Registro!R877,"")</f>
        <v/>
      </c>
      <c r="L878" s="45" t="str">
        <f>IF(AND(Registro!D877="Abierto",Registro!E877="Baja"),RANK(K878,$K$9:$K$1000,0)+COUNTIF($K$9:K878,K878)-1+MAX(C$5:C$1000,F$5:F$1000,I$5:I$1000),"")</f>
        <v/>
      </c>
      <c r="M878" s="46" t="str">
        <f>IF(OR(Registro!D877="Resuelto",Registro!D877=""),"",SUM(C878,F878,I878,L878))</f>
        <v/>
      </c>
      <c r="N878" s="46" t="str">
        <f>IF(OR(Registro!D877="Resuelto",Registro!D877=""),"",SUM(B878,E878,H878,K878))</f>
        <v/>
      </c>
      <c r="O878" s="46" t="str">
        <f>IF(OR(Registro!D877="Resuelto",Registro!D877=""),"",_xlfn.CONCAT(A878,D878,G878,J878))</f>
        <v/>
      </c>
      <c r="P878" s="47">
        <v>870</v>
      </c>
      <c r="Q878" s="47" t="str">
        <f t="shared" ca="1" si="39"/>
        <v/>
      </c>
      <c r="R878" s="48" t="str">
        <f t="shared" ca="1" si="40"/>
        <v/>
      </c>
      <c r="S878" s="32"/>
      <c r="T878" s="32"/>
      <c r="U878" s="32"/>
      <c r="V878" s="32"/>
      <c r="W878" s="47" t="str">
        <f>IF(X878="","",MAX($W$5:W877)+1)</f>
        <v/>
      </c>
      <c r="X878" s="50" t="str">
        <f>IF(Registro!M877="","",IF(COUNTIF($X$8:X877,Registro!M877)=0,Registro!M877,""))</f>
        <v/>
      </c>
      <c r="Y878" s="50" t="str">
        <f t="shared" si="41"/>
        <v/>
      </c>
    </row>
    <row r="879" spans="1:25">
      <c r="A879" s="45" t="str">
        <f>IF(AND(Registro!D878="Abierto",Registro!E878="Urgente"),Registro!B878,"")</f>
        <v/>
      </c>
      <c r="B879" s="45" t="str">
        <f ca="1">IF(AND(Registro!D878="Abierto",Registro!E878="Urgente"),TODAY()-Registro!R878,"")</f>
        <v/>
      </c>
      <c r="C879" s="45" t="str">
        <f>IF(AND(Registro!D878="Abierto",Registro!E878="Urgente"),RANK(B879,$B$9:$B$1000,0)+COUNTIF($B$9:B879,B879)-1,"")</f>
        <v/>
      </c>
      <c r="D879" s="45" t="str">
        <f>IF(AND(Registro!D878="Abierto",Registro!E878="Alta"),Registro!B878,"")</f>
        <v/>
      </c>
      <c r="E879" s="45" t="str">
        <f ca="1">IF(AND(Registro!D878="Abierto",Registro!E878="Alta"),TODAY()-Registro!R878,"")</f>
        <v/>
      </c>
      <c r="F879" s="45" t="str">
        <f>IF(AND(Registro!D878="Abierto",Registro!E878="Alta"),RANK(E879,$E$9:$E$1000,0)+COUNTIF($E$9:E879,E879)-1+MAX(C$5:C$1000),"")</f>
        <v/>
      </c>
      <c r="G879" s="45" t="str">
        <f>IF(AND(Registro!D878="Abierto",Registro!E878="Media"),Registro!B878,"")</f>
        <v/>
      </c>
      <c r="H879" s="45" t="str">
        <f ca="1">IF(AND(Registro!D878="Abierto",Registro!E878="Media"),TODAY()-Registro!R878,"")</f>
        <v/>
      </c>
      <c r="I879" s="45" t="str">
        <f>IF(AND(Registro!D878="Abierto",Registro!E878="Media"),RANK(H879,$H$9:$H$1000,0)+COUNTIF($H$9:H879,H879)-1+MAX(C$5:C$1000,F$5:F$1000),"")</f>
        <v/>
      </c>
      <c r="J879" s="45" t="str">
        <f>IF(AND(Registro!D878="Abierto",Registro!E878="Baja"),Registro!B878,"")</f>
        <v/>
      </c>
      <c r="K879" s="45" t="str">
        <f ca="1">IF(AND(Registro!D878="Abierto",Registro!E878="Baja"),TODAY()-Registro!R878,"")</f>
        <v/>
      </c>
      <c r="L879" s="45" t="str">
        <f>IF(AND(Registro!D878="Abierto",Registro!E878="Baja"),RANK(K879,$K$9:$K$1000,0)+COUNTIF($K$9:K879,K879)-1+MAX(C$5:C$1000,F$5:F$1000,I$5:I$1000),"")</f>
        <v/>
      </c>
      <c r="M879" s="46" t="str">
        <f>IF(OR(Registro!D878="Resuelto",Registro!D878=""),"",SUM(C879,F879,I879,L879))</f>
        <v/>
      </c>
      <c r="N879" s="46" t="str">
        <f>IF(OR(Registro!D878="Resuelto",Registro!D878=""),"",SUM(B879,E879,H879,K879))</f>
        <v/>
      </c>
      <c r="O879" s="46" t="str">
        <f>IF(OR(Registro!D878="Resuelto",Registro!D878=""),"",_xlfn.CONCAT(A879,D879,G879,J879))</f>
        <v/>
      </c>
      <c r="P879" s="47">
        <v>871</v>
      </c>
      <c r="Q879" s="47" t="str">
        <f t="shared" ca="1" si="39"/>
        <v/>
      </c>
      <c r="R879" s="48" t="str">
        <f t="shared" ca="1" si="40"/>
        <v/>
      </c>
      <c r="S879" s="32"/>
      <c r="T879" s="32"/>
      <c r="U879" s="32"/>
      <c r="V879" s="32"/>
      <c r="W879" s="47" t="str">
        <f>IF(X879="","",MAX($W$5:W878)+1)</f>
        <v/>
      </c>
      <c r="X879" s="50" t="str">
        <f>IF(Registro!M878="","",IF(COUNTIF($X$8:X878,Registro!M878)=0,Registro!M878,""))</f>
        <v/>
      </c>
      <c r="Y879" s="50" t="str">
        <f t="shared" si="41"/>
        <v/>
      </c>
    </row>
    <row r="880" spans="1:25">
      <c r="A880" s="45" t="str">
        <f>IF(AND(Registro!D879="Abierto",Registro!E879="Urgente"),Registro!B879,"")</f>
        <v/>
      </c>
      <c r="B880" s="45" t="str">
        <f ca="1">IF(AND(Registro!D879="Abierto",Registro!E879="Urgente"),TODAY()-Registro!R879,"")</f>
        <v/>
      </c>
      <c r="C880" s="45" t="str">
        <f>IF(AND(Registro!D879="Abierto",Registro!E879="Urgente"),RANK(B880,$B$9:$B$1000,0)+COUNTIF($B$9:B880,B880)-1,"")</f>
        <v/>
      </c>
      <c r="D880" s="45" t="str">
        <f>IF(AND(Registro!D879="Abierto",Registro!E879="Alta"),Registro!B879,"")</f>
        <v/>
      </c>
      <c r="E880" s="45" t="str">
        <f ca="1">IF(AND(Registro!D879="Abierto",Registro!E879="Alta"),TODAY()-Registro!R879,"")</f>
        <v/>
      </c>
      <c r="F880" s="45" t="str">
        <f>IF(AND(Registro!D879="Abierto",Registro!E879="Alta"),RANK(E880,$E$9:$E$1000,0)+COUNTIF($E$9:E880,E880)-1+MAX(C$5:C$1000),"")</f>
        <v/>
      </c>
      <c r="G880" s="45" t="str">
        <f>IF(AND(Registro!D879="Abierto",Registro!E879="Media"),Registro!B879,"")</f>
        <v/>
      </c>
      <c r="H880" s="45" t="str">
        <f ca="1">IF(AND(Registro!D879="Abierto",Registro!E879="Media"),TODAY()-Registro!R879,"")</f>
        <v/>
      </c>
      <c r="I880" s="45" t="str">
        <f>IF(AND(Registro!D879="Abierto",Registro!E879="Media"),RANK(H880,$H$9:$H$1000,0)+COUNTIF($H$9:H880,H880)-1+MAX(C$5:C$1000,F$5:F$1000),"")</f>
        <v/>
      </c>
      <c r="J880" s="45" t="str">
        <f>IF(AND(Registro!D879="Abierto",Registro!E879="Baja"),Registro!B879,"")</f>
        <v/>
      </c>
      <c r="K880" s="45" t="str">
        <f ca="1">IF(AND(Registro!D879="Abierto",Registro!E879="Baja"),TODAY()-Registro!R879,"")</f>
        <v/>
      </c>
      <c r="L880" s="45" t="str">
        <f>IF(AND(Registro!D879="Abierto",Registro!E879="Baja"),RANK(K880,$K$9:$K$1000,0)+COUNTIF($K$9:K880,K880)-1+MAX(C$5:C$1000,F$5:F$1000,I$5:I$1000),"")</f>
        <v/>
      </c>
      <c r="M880" s="46" t="str">
        <f>IF(OR(Registro!D879="Resuelto",Registro!D879=""),"",SUM(C880,F880,I880,L880))</f>
        <v/>
      </c>
      <c r="N880" s="46" t="str">
        <f>IF(OR(Registro!D879="Resuelto",Registro!D879=""),"",SUM(B880,E880,H880,K880))</f>
        <v/>
      </c>
      <c r="O880" s="46" t="str">
        <f>IF(OR(Registro!D879="Resuelto",Registro!D879=""),"",_xlfn.CONCAT(A880,D880,G880,J880))</f>
        <v/>
      </c>
      <c r="P880" s="47">
        <v>872</v>
      </c>
      <c r="Q880" s="47" t="str">
        <f t="shared" ca="1" si="39"/>
        <v/>
      </c>
      <c r="R880" s="48" t="str">
        <f t="shared" ca="1" si="40"/>
        <v/>
      </c>
      <c r="S880" s="32"/>
      <c r="T880" s="32"/>
      <c r="U880" s="32"/>
      <c r="V880" s="32"/>
      <c r="W880" s="47" t="str">
        <f>IF(X880="","",MAX($W$5:W879)+1)</f>
        <v/>
      </c>
      <c r="X880" s="50" t="str">
        <f>IF(Registro!M879="","",IF(COUNTIF($X$8:X879,Registro!M879)=0,Registro!M879,""))</f>
        <v/>
      </c>
      <c r="Y880" s="50" t="str">
        <f t="shared" si="41"/>
        <v/>
      </c>
    </row>
    <row r="881" spans="1:25">
      <c r="A881" s="45" t="str">
        <f>IF(AND(Registro!D880="Abierto",Registro!E880="Urgente"),Registro!B880,"")</f>
        <v/>
      </c>
      <c r="B881" s="45" t="str">
        <f ca="1">IF(AND(Registro!D880="Abierto",Registro!E880="Urgente"),TODAY()-Registro!R880,"")</f>
        <v/>
      </c>
      <c r="C881" s="45" t="str">
        <f>IF(AND(Registro!D880="Abierto",Registro!E880="Urgente"),RANK(B881,$B$9:$B$1000,0)+COUNTIF($B$9:B881,B881)-1,"")</f>
        <v/>
      </c>
      <c r="D881" s="45" t="str">
        <f>IF(AND(Registro!D880="Abierto",Registro!E880="Alta"),Registro!B880,"")</f>
        <v/>
      </c>
      <c r="E881" s="45" t="str">
        <f ca="1">IF(AND(Registro!D880="Abierto",Registro!E880="Alta"),TODAY()-Registro!R880,"")</f>
        <v/>
      </c>
      <c r="F881" s="45" t="str">
        <f>IF(AND(Registro!D880="Abierto",Registro!E880="Alta"),RANK(E881,$E$9:$E$1000,0)+COUNTIF($E$9:E881,E881)-1+MAX(C$5:C$1000),"")</f>
        <v/>
      </c>
      <c r="G881" s="45" t="str">
        <f>IF(AND(Registro!D880="Abierto",Registro!E880="Media"),Registro!B880,"")</f>
        <v/>
      </c>
      <c r="H881" s="45" t="str">
        <f ca="1">IF(AND(Registro!D880="Abierto",Registro!E880="Media"),TODAY()-Registro!R880,"")</f>
        <v/>
      </c>
      <c r="I881" s="45" t="str">
        <f>IF(AND(Registro!D880="Abierto",Registro!E880="Media"),RANK(H881,$H$9:$H$1000,0)+COUNTIF($H$9:H881,H881)-1+MAX(C$5:C$1000,F$5:F$1000),"")</f>
        <v/>
      </c>
      <c r="J881" s="45" t="str">
        <f>IF(AND(Registro!D880="Abierto",Registro!E880="Baja"),Registro!B880,"")</f>
        <v/>
      </c>
      <c r="K881" s="45" t="str">
        <f ca="1">IF(AND(Registro!D880="Abierto",Registro!E880="Baja"),TODAY()-Registro!R880,"")</f>
        <v/>
      </c>
      <c r="L881" s="45" t="str">
        <f>IF(AND(Registro!D880="Abierto",Registro!E880="Baja"),RANK(K881,$K$9:$K$1000,0)+COUNTIF($K$9:K881,K881)-1+MAX(C$5:C$1000,F$5:F$1000,I$5:I$1000),"")</f>
        <v/>
      </c>
      <c r="M881" s="46" t="str">
        <f>IF(OR(Registro!D880="Resuelto",Registro!D880=""),"",SUM(C881,F881,I881,L881))</f>
        <v/>
      </c>
      <c r="N881" s="46" t="str">
        <f>IF(OR(Registro!D880="Resuelto",Registro!D880=""),"",SUM(B881,E881,H881,K881))</f>
        <v/>
      </c>
      <c r="O881" s="46" t="str">
        <f>IF(OR(Registro!D880="Resuelto",Registro!D880=""),"",_xlfn.CONCAT(A881,D881,G881,J881))</f>
        <v/>
      </c>
      <c r="P881" s="47">
        <v>873</v>
      </c>
      <c r="Q881" s="47" t="str">
        <f t="shared" ca="1" si="39"/>
        <v/>
      </c>
      <c r="R881" s="48" t="str">
        <f t="shared" ca="1" si="40"/>
        <v/>
      </c>
      <c r="S881" s="32"/>
      <c r="T881" s="32"/>
      <c r="U881" s="32"/>
      <c r="V881" s="32"/>
      <c r="W881" s="47" t="str">
        <f>IF(X881="","",MAX($W$5:W880)+1)</f>
        <v/>
      </c>
      <c r="X881" s="50" t="str">
        <f>IF(Registro!M880="","",IF(COUNTIF($X$8:X880,Registro!M880)=0,Registro!M880,""))</f>
        <v/>
      </c>
      <c r="Y881" s="50" t="str">
        <f t="shared" si="41"/>
        <v/>
      </c>
    </row>
    <row r="882" spans="1:25">
      <c r="A882" s="45" t="str">
        <f>IF(AND(Registro!D881="Abierto",Registro!E881="Urgente"),Registro!B881,"")</f>
        <v/>
      </c>
      <c r="B882" s="45" t="str">
        <f ca="1">IF(AND(Registro!D881="Abierto",Registro!E881="Urgente"),TODAY()-Registro!R881,"")</f>
        <v/>
      </c>
      <c r="C882" s="45" t="str">
        <f>IF(AND(Registro!D881="Abierto",Registro!E881="Urgente"),RANK(B882,$B$9:$B$1000,0)+COUNTIF($B$9:B882,B882)-1,"")</f>
        <v/>
      </c>
      <c r="D882" s="45" t="str">
        <f>IF(AND(Registro!D881="Abierto",Registro!E881="Alta"),Registro!B881,"")</f>
        <v/>
      </c>
      <c r="E882" s="45" t="str">
        <f ca="1">IF(AND(Registro!D881="Abierto",Registro!E881="Alta"),TODAY()-Registro!R881,"")</f>
        <v/>
      </c>
      <c r="F882" s="45" t="str">
        <f>IF(AND(Registro!D881="Abierto",Registro!E881="Alta"),RANK(E882,$E$9:$E$1000,0)+COUNTIF($E$9:E882,E882)-1+MAX(C$5:C$1000),"")</f>
        <v/>
      </c>
      <c r="G882" s="45" t="str">
        <f>IF(AND(Registro!D881="Abierto",Registro!E881="Media"),Registro!B881,"")</f>
        <v/>
      </c>
      <c r="H882" s="45" t="str">
        <f ca="1">IF(AND(Registro!D881="Abierto",Registro!E881="Media"),TODAY()-Registro!R881,"")</f>
        <v/>
      </c>
      <c r="I882" s="45" t="str">
        <f>IF(AND(Registro!D881="Abierto",Registro!E881="Media"),RANK(H882,$H$9:$H$1000,0)+COUNTIF($H$9:H882,H882)-1+MAX(C$5:C$1000,F$5:F$1000),"")</f>
        <v/>
      </c>
      <c r="J882" s="45" t="str">
        <f>IF(AND(Registro!D881="Abierto",Registro!E881="Baja"),Registro!B881,"")</f>
        <v/>
      </c>
      <c r="K882" s="45" t="str">
        <f ca="1">IF(AND(Registro!D881="Abierto",Registro!E881="Baja"),TODAY()-Registro!R881,"")</f>
        <v/>
      </c>
      <c r="L882" s="45" t="str">
        <f>IF(AND(Registro!D881="Abierto",Registro!E881="Baja"),RANK(K882,$K$9:$K$1000,0)+COUNTIF($K$9:K882,K882)-1+MAX(C$5:C$1000,F$5:F$1000,I$5:I$1000),"")</f>
        <v/>
      </c>
      <c r="M882" s="46" t="str">
        <f>IF(OR(Registro!D881="Resuelto",Registro!D881=""),"",SUM(C882,F882,I882,L882))</f>
        <v/>
      </c>
      <c r="N882" s="46" t="str">
        <f>IF(OR(Registro!D881="Resuelto",Registro!D881=""),"",SUM(B882,E882,H882,K882))</f>
        <v/>
      </c>
      <c r="O882" s="46" t="str">
        <f>IF(OR(Registro!D881="Resuelto",Registro!D881=""),"",_xlfn.CONCAT(A882,D882,G882,J882))</f>
        <v/>
      </c>
      <c r="P882" s="47">
        <v>874</v>
      </c>
      <c r="Q882" s="47" t="str">
        <f t="shared" ca="1" si="39"/>
        <v/>
      </c>
      <c r="R882" s="48" t="str">
        <f t="shared" ca="1" si="40"/>
        <v/>
      </c>
      <c r="S882" s="32"/>
      <c r="T882" s="32"/>
      <c r="U882" s="32"/>
      <c r="V882" s="32"/>
      <c r="W882" s="47" t="str">
        <f>IF(X882="","",MAX($W$5:W881)+1)</f>
        <v/>
      </c>
      <c r="X882" s="50" t="str">
        <f>IF(Registro!M881="","",IF(COUNTIF($X$8:X881,Registro!M881)=0,Registro!M881,""))</f>
        <v/>
      </c>
      <c r="Y882" s="50" t="str">
        <f t="shared" si="41"/>
        <v/>
      </c>
    </row>
    <row r="883" spans="1:25">
      <c r="A883" s="45" t="str">
        <f>IF(AND(Registro!D882="Abierto",Registro!E882="Urgente"),Registro!B882,"")</f>
        <v/>
      </c>
      <c r="B883" s="45" t="str">
        <f ca="1">IF(AND(Registro!D882="Abierto",Registro!E882="Urgente"),TODAY()-Registro!R882,"")</f>
        <v/>
      </c>
      <c r="C883" s="45" t="str">
        <f>IF(AND(Registro!D882="Abierto",Registro!E882="Urgente"),RANK(B883,$B$9:$B$1000,0)+COUNTIF($B$9:B883,B883)-1,"")</f>
        <v/>
      </c>
      <c r="D883" s="45" t="str">
        <f>IF(AND(Registro!D882="Abierto",Registro!E882="Alta"),Registro!B882,"")</f>
        <v/>
      </c>
      <c r="E883" s="45" t="str">
        <f ca="1">IF(AND(Registro!D882="Abierto",Registro!E882="Alta"),TODAY()-Registro!R882,"")</f>
        <v/>
      </c>
      <c r="F883" s="45" t="str">
        <f>IF(AND(Registro!D882="Abierto",Registro!E882="Alta"),RANK(E883,$E$9:$E$1000,0)+COUNTIF($E$9:E883,E883)-1+MAX(C$5:C$1000),"")</f>
        <v/>
      </c>
      <c r="G883" s="45" t="str">
        <f>IF(AND(Registro!D882="Abierto",Registro!E882="Media"),Registro!B882,"")</f>
        <v/>
      </c>
      <c r="H883" s="45" t="str">
        <f ca="1">IF(AND(Registro!D882="Abierto",Registro!E882="Media"),TODAY()-Registro!R882,"")</f>
        <v/>
      </c>
      <c r="I883" s="45" t="str">
        <f>IF(AND(Registro!D882="Abierto",Registro!E882="Media"),RANK(H883,$H$9:$H$1000,0)+COUNTIF($H$9:H883,H883)-1+MAX(C$5:C$1000,F$5:F$1000),"")</f>
        <v/>
      </c>
      <c r="J883" s="45" t="str">
        <f>IF(AND(Registro!D882="Abierto",Registro!E882="Baja"),Registro!B882,"")</f>
        <v/>
      </c>
      <c r="K883" s="45" t="str">
        <f ca="1">IF(AND(Registro!D882="Abierto",Registro!E882="Baja"),TODAY()-Registro!R882,"")</f>
        <v/>
      </c>
      <c r="L883" s="45" t="str">
        <f>IF(AND(Registro!D882="Abierto",Registro!E882="Baja"),RANK(K883,$K$9:$K$1000,0)+COUNTIF($K$9:K883,K883)-1+MAX(C$5:C$1000,F$5:F$1000,I$5:I$1000),"")</f>
        <v/>
      </c>
      <c r="M883" s="46" t="str">
        <f>IF(OR(Registro!D882="Resuelto",Registro!D882=""),"",SUM(C883,F883,I883,L883))</f>
        <v/>
      </c>
      <c r="N883" s="46" t="str">
        <f>IF(OR(Registro!D882="Resuelto",Registro!D882=""),"",SUM(B883,E883,H883,K883))</f>
        <v/>
      </c>
      <c r="O883" s="46" t="str">
        <f>IF(OR(Registro!D882="Resuelto",Registro!D882=""),"",_xlfn.CONCAT(A883,D883,G883,J883))</f>
        <v/>
      </c>
      <c r="P883" s="47">
        <v>875</v>
      </c>
      <c r="Q883" s="47" t="str">
        <f t="shared" ca="1" si="39"/>
        <v/>
      </c>
      <c r="R883" s="48" t="str">
        <f t="shared" ca="1" si="40"/>
        <v/>
      </c>
      <c r="S883" s="32"/>
      <c r="T883" s="32"/>
      <c r="U883" s="32"/>
      <c r="V883" s="32"/>
      <c r="W883" s="47" t="str">
        <f>IF(X883="","",MAX($W$5:W882)+1)</f>
        <v/>
      </c>
      <c r="X883" s="50" t="str">
        <f>IF(Registro!M882="","",IF(COUNTIF($X$8:X882,Registro!M882)=0,Registro!M882,""))</f>
        <v/>
      </c>
      <c r="Y883" s="50" t="str">
        <f t="shared" si="41"/>
        <v/>
      </c>
    </row>
    <row r="884" spans="1:25">
      <c r="A884" s="45" t="str">
        <f>IF(AND(Registro!D883="Abierto",Registro!E883="Urgente"),Registro!B883,"")</f>
        <v/>
      </c>
      <c r="B884" s="45" t="str">
        <f ca="1">IF(AND(Registro!D883="Abierto",Registro!E883="Urgente"),TODAY()-Registro!R883,"")</f>
        <v/>
      </c>
      <c r="C884" s="45" t="str">
        <f>IF(AND(Registro!D883="Abierto",Registro!E883="Urgente"),RANK(B884,$B$9:$B$1000,0)+COUNTIF($B$9:B884,B884)-1,"")</f>
        <v/>
      </c>
      <c r="D884" s="45" t="str">
        <f>IF(AND(Registro!D883="Abierto",Registro!E883="Alta"),Registro!B883,"")</f>
        <v/>
      </c>
      <c r="E884" s="45" t="str">
        <f ca="1">IF(AND(Registro!D883="Abierto",Registro!E883="Alta"),TODAY()-Registro!R883,"")</f>
        <v/>
      </c>
      <c r="F884" s="45" t="str">
        <f>IF(AND(Registro!D883="Abierto",Registro!E883="Alta"),RANK(E884,$E$9:$E$1000,0)+COUNTIF($E$9:E884,E884)-1+MAX(C$5:C$1000),"")</f>
        <v/>
      </c>
      <c r="G884" s="45" t="str">
        <f>IF(AND(Registro!D883="Abierto",Registro!E883="Media"),Registro!B883,"")</f>
        <v/>
      </c>
      <c r="H884" s="45" t="str">
        <f ca="1">IF(AND(Registro!D883="Abierto",Registro!E883="Media"),TODAY()-Registro!R883,"")</f>
        <v/>
      </c>
      <c r="I884" s="45" t="str">
        <f>IF(AND(Registro!D883="Abierto",Registro!E883="Media"),RANK(H884,$H$9:$H$1000,0)+COUNTIF($H$9:H884,H884)-1+MAX(C$5:C$1000,F$5:F$1000),"")</f>
        <v/>
      </c>
      <c r="J884" s="45" t="str">
        <f>IF(AND(Registro!D883="Abierto",Registro!E883="Baja"),Registro!B883,"")</f>
        <v/>
      </c>
      <c r="K884" s="45" t="str">
        <f ca="1">IF(AND(Registro!D883="Abierto",Registro!E883="Baja"),TODAY()-Registro!R883,"")</f>
        <v/>
      </c>
      <c r="L884" s="45" t="str">
        <f>IF(AND(Registro!D883="Abierto",Registro!E883="Baja"),RANK(K884,$K$9:$K$1000,0)+COUNTIF($K$9:K884,K884)-1+MAX(C$5:C$1000,F$5:F$1000,I$5:I$1000),"")</f>
        <v/>
      </c>
      <c r="M884" s="46" t="str">
        <f>IF(OR(Registro!D883="Resuelto",Registro!D883=""),"",SUM(C884,F884,I884,L884))</f>
        <v/>
      </c>
      <c r="N884" s="46" t="str">
        <f>IF(OR(Registro!D883="Resuelto",Registro!D883=""),"",SUM(B884,E884,H884,K884))</f>
        <v/>
      </c>
      <c r="O884" s="46" t="str">
        <f>IF(OR(Registro!D883="Resuelto",Registro!D883=""),"",_xlfn.CONCAT(A884,D884,G884,J884))</f>
        <v/>
      </c>
      <c r="P884" s="47">
        <v>876</v>
      </c>
      <c r="Q884" s="47" t="str">
        <f t="shared" ca="1" si="39"/>
        <v/>
      </c>
      <c r="R884" s="48" t="str">
        <f t="shared" ca="1" si="40"/>
        <v/>
      </c>
      <c r="S884" s="32"/>
      <c r="T884" s="32"/>
      <c r="U884" s="32"/>
      <c r="V884" s="32"/>
      <c r="W884" s="47" t="str">
        <f>IF(X884="","",MAX($W$5:W883)+1)</f>
        <v/>
      </c>
      <c r="X884" s="50" t="str">
        <f>IF(Registro!M883="","",IF(COUNTIF($X$8:X883,Registro!M883)=0,Registro!M883,""))</f>
        <v/>
      </c>
      <c r="Y884" s="50" t="str">
        <f t="shared" si="41"/>
        <v/>
      </c>
    </row>
    <row r="885" spans="1:25">
      <c r="A885" s="45" t="str">
        <f>IF(AND(Registro!D884="Abierto",Registro!E884="Urgente"),Registro!B884,"")</f>
        <v/>
      </c>
      <c r="B885" s="45" t="str">
        <f ca="1">IF(AND(Registro!D884="Abierto",Registro!E884="Urgente"),TODAY()-Registro!R884,"")</f>
        <v/>
      </c>
      <c r="C885" s="45" t="str">
        <f>IF(AND(Registro!D884="Abierto",Registro!E884="Urgente"),RANK(B885,$B$9:$B$1000,0)+COUNTIF($B$9:B885,B885)-1,"")</f>
        <v/>
      </c>
      <c r="D885" s="45" t="str">
        <f>IF(AND(Registro!D884="Abierto",Registro!E884="Alta"),Registro!B884,"")</f>
        <v/>
      </c>
      <c r="E885" s="45" t="str">
        <f ca="1">IF(AND(Registro!D884="Abierto",Registro!E884="Alta"),TODAY()-Registro!R884,"")</f>
        <v/>
      </c>
      <c r="F885" s="45" t="str">
        <f>IF(AND(Registro!D884="Abierto",Registro!E884="Alta"),RANK(E885,$E$9:$E$1000,0)+COUNTIF($E$9:E885,E885)-1+MAX(C$5:C$1000),"")</f>
        <v/>
      </c>
      <c r="G885" s="45" t="str">
        <f>IF(AND(Registro!D884="Abierto",Registro!E884="Media"),Registro!B884,"")</f>
        <v/>
      </c>
      <c r="H885" s="45" t="str">
        <f ca="1">IF(AND(Registro!D884="Abierto",Registro!E884="Media"),TODAY()-Registro!R884,"")</f>
        <v/>
      </c>
      <c r="I885" s="45" t="str">
        <f>IF(AND(Registro!D884="Abierto",Registro!E884="Media"),RANK(H885,$H$9:$H$1000,0)+COUNTIF($H$9:H885,H885)-1+MAX(C$5:C$1000,F$5:F$1000),"")</f>
        <v/>
      </c>
      <c r="J885" s="45" t="str">
        <f>IF(AND(Registro!D884="Abierto",Registro!E884="Baja"),Registro!B884,"")</f>
        <v/>
      </c>
      <c r="K885" s="45" t="str">
        <f ca="1">IF(AND(Registro!D884="Abierto",Registro!E884="Baja"),TODAY()-Registro!R884,"")</f>
        <v/>
      </c>
      <c r="L885" s="45" t="str">
        <f>IF(AND(Registro!D884="Abierto",Registro!E884="Baja"),RANK(K885,$K$9:$K$1000,0)+COUNTIF($K$9:K885,K885)-1+MAX(C$5:C$1000,F$5:F$1000,I$5:I$1000),"")</f>
        <v/>
      </c>
      <c r="M885" s="46" t="str">
        <f>IF(OR(Registro!D884="Resuelto",Registro!D884=""),"",SUM(C885,F885,I885,L885))</f>
        <v/>
      </c>
      <c r="N885" s="46" t="str">
        <f>IF(OR(Registro!D884="Resuelto",Registro!D884=""),"",SUM(B885,E885,H885,K885))</f>
        <v/>
      </c>
      <c r="O885" s="46" t="str">
        <f>IF(OR(Registro!D884="Resuelto",Registro!D884=""),"",_xlfn.CONCAT(A885,D885,G885,J885))</f>
        <v/>
      </c>
      <c r="P885" s="47">
        <v>877</v>
      </c>
      <c r="Q885" s="47" t="str">
        <f t="shared" ca="1" si="39"/>
        <v/>
      </c>
      <c r="R885" s="48" t="str">
        <f t="shared" ca="1" si="40"/>
        <v/>
      </c>
      <c r="S885" s="32"/>
      <c r="T885" s="32"/>
      <c r="U885" s="32"/>
      <c r="V885" s="32"/>
      <c r="W885" s="47" t="str">
        <f>IF(X885="","",MAX($W$5:W884)+1)</f>
        <v/>
      </c>
      <c r="X885" s="50" t="str">
        <f>IF(Registro!M884="","",IF(COUNTIF($X$8:X884,Registro!M884)=0,Registro!M884,""))</f>
        <v/>
      </c>
      <c r="Y885" s="50" t="str">
        <f t="shared" si="41"/>
        <v/>
      </c>
    </row>
    <row r="886" spans="1:25">
      <c r="A886" s="45" t="str">
        <f>IF(AND(Registro!D885="Abierto",Registro!E885="Urgente"),Registro!B885,"")</f>
        <v/>
      </c>
      <c r="B886" s="45" t="str">
        <f ca="1">IF(AND(Registro!D885="Abierto",Registro!E885="Urgente"),TODAY()-Registro!R885,"")</f>
        <v/>
      </c>
      <c r="C886" s="45" t="str">
        <f>IF(AND(Registro!D885="Abierto",Registro!E885="Urgente"),RANK(B886,$B$9:$B$1000,0)+COUNTIF($B$9:B886,B886)-1,"")</f>
        <v/>
      </c>
      <c r="D886" s="45" t="str">
        <f>IF(AND(Registro!D885="Abierto",Registro!E885="Alta"),Registro!B885,"")</f>
        <v/>
      </c>
      <c r="E886" s="45" t="str">
        <f ca="1">IF(AND(Registro!D885="Abierto",Registro!E885="Alta"),TODAY()-Registro!R885,"")</f>
        <v/>
      </c>
      <c r="F886" s="45" t="str">
        <f>IF(AND(Registro!D885="Abierto",Registro!E885="Alta"),RANK(E886,$E$9:$E$1000,0)+COUNTIF($E$9:E886,E886)-1+MAX(C$5:C$1000),"")</f>
        <v/>
      </c>
      <c r="G886" s="45" t="str">
        <f>IF(AND(Registro!D885="Abierto",Registro!E885="Media"),Registro!B885,"")</f>
        <v/>
      </c>
      <c r="H886" s="45" t="str">
        <f ca="1">IF(AND(Registro!D885="Abierto",Registro!E885="Media"),TODAY()-Registro!R885,"")</f>
        <v/>
      </c>
      <c r="I886" s="45" t="str">
        <f>IF(AND(Registro!D885="Abierto",Registro!E885="Media"),RANK(H886,$H$9:$H$1000,0)+COUNTIF($H$9:H886,H886)-1+MAX(C$5:C$1000,F$5:F$1000),"")</f>
        <v/>
      </c>
      <c r="J886" s="45" t="str">
        <f>IF(AND(Registro!D885="Abierto",Registro!E885="Baja"),Registro!B885,"")</f>
        <v/>
      </c>
      <c r="K886" s="45" t="str">
        <f ca="1">IF(AND(Registro!D885="Abierto",Registro!E885="Baja"),TODAY()-Registro!R885,"")</f>
        <v/>
      </c>
      <c r="L886" s="45" t="str">
        <f>IF(AND(Registro!D885="Abierto",Registro!E885="Baja"),RANK(K886,$K$9:$K$1000,0)+COUNTIF($K$9:K886,K886)-1+MAX(C$5:C$1000,F$5:F$1000,I$5:I$1000),"")</f>
        <v/>
      </c>
      <c r="M886" s="46" t="str">
        <f>IF(OR(Registro!D885="Resuelto",Registro!D885=""),"",SUM(C886,F886,I886,L886))</f>
        <v/>
      </c>
      <c r="N886" s="46" t="str">
        <f>IF(OR(Registro!D885="Resuelto",Registro!D885=""),"",SUM(B886,E886,H886,K886))</f>
        <v/>
      </c>
      <c r="O886" s="46" t="str">
        <f>IF(OR(Registro!D885="Resuelto",Registro!D885=""),"",_xlfn.CONCAT(A886,D886,G886,J886))</f>
        <v/>
      </c>
      <c r="P886" s="47">
        <v>878</v>
      </c>
      <c r="Q886" s="47" t="str">
        <f t="shared" ca="1" si="39"/>
        <v/>
      </c>
      <c r="R886" s="48" t="str">
        <f t="shared" ca="1" si="40"/>
        <v/>
      </c>
      <c r="S886" s="32"/>
      <c r="T886" s="32"/>
      <c r="U886" s="32"/>
      <c r="V886" s="32"/>
      <c r="W886" s="47" t="str">
        <f>IF(X886="","",MAX($W$5:W885)+1)</f>
        <v/>
      </c>
      <c r="X886" s="50" t="str">
        <f>IF(Registro!M885="","",IF(COUNTIF($X$8:X885,Registro!M885)=0,Registro!M885,""))</f>
        <v/>
      </c>
      <c r="Y886" s="50" t="str">
        <f t="shared" si="41"/>
        <v/>
      </c>
    </row>
    <row r="887" spans="1:25">
      <c r="A887" s="45" t="str">
        <f>IF(AND(Registro!D886="Abierto",Registro!E886="Urgente"),Registro!B886,"")</f>
        <v/>
      </c>
      <c r="B887" s="45" t="str">
        <f ca="1">IF(AND(Registro!D886="Abierto",Registro!E886="Urgente"),TODAY()-Registro!R886,"")</f>
        <v/>
      </c>
      <c r="C887" s="45" t="str">
        <f>IF(AND(Registro!D886="Abierto",Registro!E886="Urgente"),RANK(B887,$B$9:$B$1000,0)+COUNTIF($B$9:B887,B887)-1,"")</f>
        <v/>
      </c>
      <c r="D887" s="45" t="str">
        <f>IF(AND(Registro!D886="Abierto",Registro!E886="Alta"),Registro!B886,"")</f>
        <v/>
      </c>
      <c r="E887" s="45" t="str">
        <f ca="1">IF(AND(Registro!D886="Abierto",Registro!E886="Alta"),TODAY()-Registro!R886,"")</f>
        <v/>
      </c>
      <c r="F887" s="45" t="str">
        <f>IF(AND(Registro!D886="Abierto",Registro!E886="Alta"),RANK(E887,$E$9:$E$1000,0)+COUNTIF($E$9:E887,E887)-1+MAX(C$5:C$1000),"")</f>
        <v/>
      </c>
      <c r="G887" s="45" t="str">
        <f>IF(AND(Registro!D886="Abierto",Registro!E886="Media"),Registro!B886,"")</f>
        <v/>
      </c>
      <c r="H887" s="45" t="str">
        <f ca="1">IF(AND(Registro!D886="Abierto",Registro!E886="Media"),TODAY()-Registro!R886,"")</f>
        <v/>
      </c>
      <c r="I887" s="45" t="str">
        <f>IF(AND(Registro!D886="Abierto",Registro!E886="Media"),RANK(H887,$H$9:$H$1000,0)+COUNTIF($H$9:H887,H887)-1+MAX(C$5:C$1000,F$5:F$1000),"")</f>
        <v/>
      </c>
      <c r="J887" s="45" t="str">
        <f>IF(AND(Registro!D886="Abierto",Registro!E886="Baja"),Registro!B886,"")</f>
        <v/>
      </c>
      <c r="K887" s="45" t="str">
        <f ca="1">IF(AND(Registro!D886="Abierto",Registro!E886="Baja"),TODAY()-Registro!R886,"")</f>
        <v/>
      </c>
      <c r="L887" s="45" t="str">
        <f>IF(AND(Registro!D886="Abierto",Registro!E886="Baja"),RANK(K887,$K$9:$K$1000,0)+COUNTIF($K$9:K887,K887)-1+MAX(C$5:C$1000,F$5:F$1000,I$5:I$1000),"")</f>
        <v/>
      </c>
      <c r="M887" s="46" t="str">
        <f>IF(OR(Registro!D886="Resuelto",Registro!D886=""),"",SUM(C887,F887,I887,L887))</f>
        <v/>
      </c>
      <c r="N887" s="46" t="str">
        <f>IF(OR(Registro!D886="Resuelto",Registro!D886=""),"",SUM(B887,E887,H887,K887))</f>
        <v/>
      </c>
      <c r="O887" s="46" t="str">
        <f>IF(OR(Registro!D886="Resuelto",Registro!D886=""),"",_xlfn.CONCAT(A887,D887,G887,J887))</f>
        <v/>
      </c>
      <c r="P887" s="47">
        <v>879</v>
      </c>
      <c r="Q887" s="47" t="str">
        <f t="shared" ca="1" si="39"/>
        <v/>
      </c>
      <c r="R887" s="48" t="str">
        <f t="shared" ca="1" si="40"/>
        <v/>
      </c>
      <c r="S887" s="32"/>
      <c r="T887" s="32"/>
      <c r="U887" s="32"/>
      <c r="V887" s="32"/>
      <c r="W887" s="47" t="str">
        <f>IF(X887="","",MAX($W$5:W886)+1)</f>
        <v/>
      </c>
      <c r="X887" s="50" t="str">
        <f>IF(Registro!M886="","",IF(COUNTIF($X$8:X886,Registro!M886)=0,Registro!M886,""))</f>
        <v/>
      </c>
      <c r="Y887" s="50" t="str">
        <f t="shared" si="41"/>
        <v/>
      </c>
    </row>
    <row r="888" spans="1:25">
      <c r="A888" s="45" t="str">
        <f>IF(AND(Registro!D887="Abierto",Registro!E887="Urgente"),Registro!B887,"")</f>
        <v/>
      </c>
      <c r="B888" s="45" t="str">
        <f ca="1">IF(AND(Registro!D887="Abierto",Registro!E887="Urgente"),TODAY()-Registro!R887,"")</f>
        <v/>
      </c>
      <c r="C888" s="45" t="str">
        <f>IF(AND(Registro!D887="Abierto",Registro!E887="Urgente"),RANK(B888,$B$9:$B$1000,0)+COUNTIF($B$9:B888,B888)-1,"")</f>
        <v/>
      </c>
      <c r="D888" s="45" t="str">
        <f>IF(AND(Registro!D887="Abierto",Registro!E887="Alta"),Registro!B887,"")</f>
        <v/>
      </c>
      <c r="E888" s="45" t="str">
        <f ca="1">IF(AND(Registro!D887="Abierto",Registro!E887="Alta"),TODAY()-Registro!R887,"")</f>
        <v/>
      </c>
      <c r="F888" s="45" t="str">
        <f>IF(AND(Registro!D887="Abierto",Registro!E887="Alta"),RANK(E888,$E$9:$E$1000,0)+COUNTIF($E$9:E888,E888)-1+MAX(C$5:C$1000),"")</f>
        <v/>
      </c>
      <c r="G888" s="45" t="str">
        <f>IF(AND(Registro!D887="Abierto",Registro!E887="Media"),Registro!B887,"")</f>
        <v/>
      </c>
      <c r="H888" s="45" t="str">
        <f ca="1">IF(AND(Registro!D887="Abierto",Registro!E887="Media"),TODAY()-Registro!R887,"")</f>
        <v/>
      </c>
      <c r="I888" s="45" t="str">
        <f>IF(AND(Registro!D887="Abierto",Registro!E887="Media"),RANK(H888,$H$9:$H$1000,0)+COUNTIF($H$9:H888,H888)-1+MAX(C$5:C$1000,F$5:F$1000),"")</f>
        <v/>
      </c>
      <c r="J888" s="45" t="str">
        <f>IF(AND(Registro!D887="Abierto",Registro!E887="Baja"),Registro!B887,"")</f>
        <v/>
      </c>
      <c r="K888" s="45" t="str">
        <f ca="1">IF(AND(Registro!D887="Abierto",Registro!E887="Baja"),TODAY()-Registro!R887,"")</f>
        <v/>
      </c>
      <c r="L888" s="45" t="str">
        <f>IF(AND(Registro!D887="Abierto",Registro!E887="Baja"),RANK(K888,$K$9:$K$1000,0)+COUNTIF($K$9:K888,K888)-1+MAX(C$5:C$1000,F$5:F$1000,I$5:I$1000),"")</f>
        <v/>
      </c>
      <c r="M888" s="46" t="str">
        <f>IF(OR(Registro!D887="Resuelto",Registro!D887=""),"",SUM(C888,F888,I888,L888))</f>
        <v/>
      </c>
      <c r="N888" s="46" t="str">
        <f>IF(OR(Registro!D887="Resuelto",Registro!D887=""),"",SUM(B888,E888,H888,K888))</f>
        <v/>
      </c>
      <c r="O888" s="46" t="str">
        <f>IF(OR(Registro!D887="Resuelto",Registro!D887=""),"",_xlfn.CONCAT(A888,D888,G888,J888))</f>
        <v/>
      </c>
      <c r="P888" s="47">
        <v>880</v>
      </c>
      <c r="Q888" s="47" t="str">
        <f t="shared" ca="1" si="39"/>
        <v/>
      </c>
      <c r="R888" s="48" t="str">
        <f t="shared" ca="1" si="40"/>
        <v/>
      </c>
      <c r="S888" s="32"/>
      <c r="T888" s="32"/>
      <c r="U888" s="32"/>
      <c r="V888" s="32"/>
      <c r="W888" s="47" t="str">
        <f>IF(X888="","",MAX($W$5:W887)+1)</f>
        <v/>
      </c>
      <c r="X888" s="50" t="str">
        <f>IF(Registro!M887="","",IF(COUNTIF($X$8:X887,Registro!M887)=0,Registro!M887,""))</f>
        <v/>
      </c>
      <c r="Y888" s="50" t="str">
        <f t="shared" si="41"/>
        <v/>
      </c>
    </row>
    <row r="889" spans="1:25">
      <c r="A889" s="45" t="str">
        <f>IF(AND(Registro!D888="Abierto",Registro!E888="Urgente"),Registro!B888,"")</f>
        <v/>
      </c>
      <c r="B889" s="45" t="str">
        <f ca="1">IF(AND(Registro!D888="Abierto",Registro!E888="Urgente"),TODAY()-Registro!R888,"")</f>
        <v/>
      </c>
      <c r="C889" s="45" t="str">
        <f>IF(AND(Registro!D888="Abierto",Registro!E888="Urgente"),RANK(B889,$B$9:$B$1000,0)+COUNTIF($B$9:B889,B889)-1,"")</f>
        <v/>
      </c>
      <c r="D889" s="45" t="str">
        <f>IF(AND(Registro!D888="Abierto",Registro!E888="Alta"),Registro!B888,"")</f>
        <v/>
      </c>
      <c r="E889" s="45" t="str">
        <f ca="1">IF(AND(Registro!D888="Abierto",Registro!E888="Alta"),TODAY()-Registro!R888,"")</f>
        <v/>
      </c>
      <c r="F889" s="45" t="str">
        <f>IF(AND(Registro!D888="Abierto",Registro!E888="Alta"),RANK(E889,$E$9:$E$1000,0)+COUNTIF($E$9:E889,E889)-1+MAX(C$5:C$1000),"")</f>
        <v/>
      </c>
      <c r="G889" s="45" t="str">
        <f>IF(AND(Registro!D888="Abierto",Registro!E888="Media"),Registro!B888,"")</f>
        <v/>
      </c>
      <c r="H889" s="45" t="str">
        <f ca="1">IF(AND(Registro!D888="Abierto",Registro!E888="Media"),TODAY()-Registro!R888,"")</f>
        <v/>
      </c>
      <c r="I889" s="45" t="str">
        <f>IF(AND(Registro!D888="Abierto",Registro!E888="Media"),RANK(H889,$H$9:$H$1000,0)+COUNTIF($H$9:H889,H889)-1+MAX(C$5:C$1000,F$5:F$1000),"")</f>
        <v/>
      </c>
      <c r="J889" s="45" t="str">
        <f>IF(AND(Registro!D888="Abierto",Registro!E888="Baja"),Registro!B888,"")</f>
        <v/>
      </c>
      <c r="K889" s="45" t="str">
        <f ca="1">IF(AND(Registro!D888="Abierto",Registro!E888="Baja"),TODAY()-Registro!R888,"")</f>
        <v/>
      </c>
      <c r="L889" s="45" t="str">
        <f>IF(AND(Registro!D888="Abierto",Registro!E888="Baja"),RANK(K889,$K$9:$K$1000,0)+COUNTIF($K$9:K889,K889)-1+MAX(C$5:C$1000,F$5:F$1000,I$5:I$1000),"")</f>
        <v/>
      </c>
      <c r="M889" s="46" t="str">
        <f>IF(OR(Registro!D888="Resuelto",Registro!D888=""),"",SUM(C889,F889,I889,L889))</f>
        <v/>
      </c>
      <c r="N889" s="46" t="str">
        <f>IF(OR(Registro!D888="Resuelto",Registro!D888=""),"",SUM(B889,E889,H889,K889))</f>
        <v/>
      </c>
      <c r="O889" s="46" t="str">
        <f>IF(OR(Registro!D888="Resuelto",Registro!D888=""),"",_xlfn.CONCAT(A889,D889,G889,J889))</f>
        <v/>
      </c>
      <c r="P889" s="47">
        <v>881</v>
      </c>
      <c r="Q889" s="47" t="str">
        <f t="shared" ca="1" si="39"/>
        <v/>
      </c>
      <c r="R889" s="48" t="str">
        <f t="shared" ca="1" si="40"/>
        <v/>
      </c>
      <c r="S889" s="32"/>
      <c r="T889" s="32"/>
      <c r="U889" s="32"/>
      <c r="V889" s="32"/>
      <c r="W889" s="47" t="str">
        <f>IF(X889="","",MAX($W$5:W888)+1)</f>
        <v/>
      </c>
      <c r="X889" s="50" t="str">
        <f>IF(Registro!M888="","",IF(COUNTIF($X$8:X888,Registro!M888)=0,Registro!M888,""))</f>
        <v/>
      </c>
      <c r="Y889" s="50" t="str">
        <f t="shared" si="41"/>
        <v/>
      </c>
    </row>
    <row r="890" spans="1:25">
      <c r="A890" s="45" t="str">
        <f>IF(AND(Registro!D889="Abierto",Registro!E889="Urgente"),Registro!B889,"")</f>
        <v/>
      </c>
      <c r="B890" s="45" t="str">
        <f ca="1">IF(AND(Registro!D889="Abierto",Registro!E889="Urgente"),TODAY()-Registro!R889,"")</f>
        <v/>
      </c>
      <c r="C890" s="45" t="str">
        <f>IF(AND(Registro!D889="Abierto",Registro!E889="Urgente"),RANK(B890,$B$9:$B$1000,0)+COUNTIF($B$9:B890,B890)-1,"")</f>
        <v/>
      </c>
      <c r="D890" s="45" t="str">
        <f>IF(AND(Registro!D889="Abierto",Registro!E889="Alta"),Registro!B889,"")</f>
        <v/>
      </c>
      <c r="E890" s="45" t="str">
        <f ca="1">IF(AND(Registro!D889="Abierto",Registro!E889="Alta"),TODAY()-Registro!R889,"")</f>
        <v/>
      </c>
      <c r="F890" s="45" t="str">
        <f>IF(AND(Registro!D889="Abierto",Registro!E889="Alta"),RANK(E890,$E$9:$E$1000,0)+COUNTIF($E$9:E890,E890)-1+MAX(C$5:C$1000),"")</f>
        <v/>
      </c>
      <c r="G890" s="45" t="str">
        <f>IF(AND(Registro!D889="Abierto",Registro!E889="Media"),Registro!B889,"")</f>
        <v/>
      </c>
      <c r="H890" s="45" t="str">
        <f ca="1">IF(AND(Registro!D889="Abierto",Registro!E889="Media"),TODAY()-Registro!R889,"")</f>
        <v/>
      </c>
      <c r="I890" s="45" t="str">
        <f>IF(AND(Registro!D889="Abierto",Registro!E889="Media"),RANK(H890,$H$9:$H$1000,0)+COUNTIF($H$9:H890,H890)-1+MAX(C$5:C$1000,F$5:F$1000),"")</f>
        <v/>
      </c>
      <c r="J890" s="45" t="str">
        <f>IF(AND(Registro!D889="Abierto",Registro!E889="Baja"),Registro!B889,"")</f>
        <v/>
      </c>
      <c r="K890" s="45" t="str">
        <f ca="1">IF(AND(Registro!D889="Abierto",Registro!E889="Baja"),TODAY()-Registro!R889,"")</f>
        <v/>
      </c>
      <c r="L890" s="45" t="str">
        <f>IF(AND(Registro!D889="Abierto",Registro!E889="Baja"),RANK(K890,$K$9:$K$1000,0)+COUNTIF($K$9:K890,K890)-1+MAX(C$5:C$1000,F$5:F$1000,I$5:I$1000),"")</f>
        <v/>
      </c>
      <c r="M890" s="46" t="str">
        <f>IF(OR(Registro!D889="Resuelto",Registro!D889=""),"",SUM(C890,F890,I890,L890))</f>
        <v/>
      </c>
      <c r="N890" s="46" t="str">
        <f>IF(OR(Registro!D889="Resuelto",Registro!D889=""),"",SUM(B890,E890,H890,K890))</f>
        <v/>
      </c>
      <c r="O890" s="46" t="str">
        <f>IF(OR(Registro!D889="Resuelto",Registro!D889=""),"",_xlfn.CONCAT(A890,D890,G890,J890))</f>
        <v/>
      </c>
      <c r="P890" s="47">
        <v>882</v>
      </c>
      <c r="Q890" s="47" t="str">
        <f t="shared" ca="1" si="39"/>
        <v/>
      </c>
      <c r="R890" s="48" t="str">
        <f t="shared" ca="1" si="40"/>
        <v/>
      </c>
      <c r="S890" s="32"/>
      <c r="T890" s="32"/>
      <c r="U890" s="32"/>
      <c r="V890" s="32"/>
      <c r="W890" s="47" t="str">
        <f>IF(X890="","",MAX($W$5:W889)+1)</f>
        <v/>
      </c>
      <c r="X890" s="50" t="str">
        <f>IF(Registro!M889="","",IF(COUNTIF($X$8:X889,Registro!M889)=0,Registro!M889,""))</f>
        <v/>
      </c>
      <c r="Y890" s="50" t="str">
        <f t="shared" si="41"/>
        <v/>
      </c>
    </row>
    <row r="891" spans="1:25">
      <c r="A891" s="45" t="str">
        <f>IF(AND(Registro!D890="Abierto",Registro!E890="Urgente"),Registro!B890,"")</f>
        <v/>
      </c>
      <c r="B891" s="45" t="str">
        <f ca="1">IF(AND(Registro!D890="Abierto",Registro!E890="Urgente"),TODAY()-Registro!R890,"")</f>
        <v/>
      </c>
      <c r="C891" s="45" t="str">
        <f>IF(AND(Registro!D890="Abierto",Registro!E890="Urgente"),RANK(B891,$B$9:$B$1000,0)+COUNTIF($B$9:B891,B891)-1,"")</f>
        <v/>
      </c>
      <c r="D891" s="45" t="str">
        <f>IF(AND(Registro!D890="Abierto",Registro!E890="Alta"),Registro!B890,"")</f>
        <v/>
      </c>
      <c r="E891" s="45" t="str">
        <f ca="1">IF(AND(Registro!D890="Abierto",Registro!E890="Alta"),TODAY()-Registro!R890,"")</f>
        <v/>
      </c>
      <c r="F891" s="45" t="str">
        <f>IF(AND(Registro!D890="Abierto",Registro!E890="Alta"),RANK(E891,$E$9:$E$1000,0)+COUNTIF($E$9:E891,E891)-1+MAX(C$5:C$1000),"")</f>
        <v/>
      </c>
      <c r="G891" s="45" t="str">
        <f>IF(AND(Registro!D890="Abierto",Registro!E890="Media"),Registro!B890,"")</f>
        <v/>
      </c>
      <c r="H891" s="45" t="str">
        <f ca="1">IF(AND(Registro!D890="Abierto",Registro!E890="Media"),TODAY()-Registro!R890,"")</f>
        <v/>
      </c>
      <c r="I891" s="45" t="str">
        <f>IF(AND(Registro!D890="Abierto",Registro!E890="Media"),RANK(H891,$H$9:$H$1000,0)+COUNTIF($H$9:H891,H891)-1+MAX(C$5:C$1000,F$5:F$1000),"")</f>
        <v/>
      </c>
      <c r="J891" s="45" t="str">
        <f>IF(AND(Registro!D890="Abierto",Registro!E890="Baja"),Registro!B890,"")</f>
        <v/>
      </c>
      <c r="K891" s="45" t="str">
        <f ca="1">IF(AND(Registro!D890="Abierto",Registro!E890="Baja"),TODAY()-Registro!R890,"")</f>
        <v/>
      </c>
      <c r="L891" s="45" t="str">
        <f>IF(AND(Registro!D890="Abierto",Registro!E890="Baja"),RANK(K891,$K$9:$K$1000,0)+COUNTIF($K$9:K891,K891)-1+MAX(C$5:C$1000,F$5:F$1000,I$5:I$1000),"")</f>
        <v/>
      </c>
      <c r="M891" s="46" t="str">
        <f>IF(OR(Registro!D890="Resuelto",Registro!D890=""),"",SUM(C891,F891,I891,L891))</f>
        <v/>
      </c>
      <c r="N891" s="46" t="str">
        <f>IF(OR(Registro!D890="Resuelto",Registro!D890=""),"",SUM(B891,E891,H891,K891))</f>
        <v/>
      </c>
      <c r="O891" s="46" t="str">
        <f>IF(OR(Registro!D890="Resuelto",Registro!D890=""),"",_xlfn.CONCAT(A891,D891,G891,J891))</f>
        <v/>
      </c>
      <c r="P891" s="47">
        <v>883</v>
      </c>
      <c r="Q891" s="47" t="str">
        <f t="shared" ca="1" si="39"/>
        <v/>
      </c>
      <c r="R891" s="48" t="str">
        <f t="shared" ca="1" si="40"/>
        <v/>
      </c>
      <c r="S891" s="32"/>
      <c r="T891" s="32"/>
      <c r="U891" s="32"/>
      <c r="V891" s="32"/>
      <c r="W891" s="47" t="str">
        <f>IF(X891="","",MAX($W$5:W890)+1)</f>
        <v/>
      </c>
      <c r="X891" s="50" t="str">
        <f>IF(Registro!M890="","",IF(COUNTIF($X$8:X890,Registro!M890)=0,Registro!M890,""))</f>
        <v/>
      </c>
      <c r="Y891" s="50" t="str">
        <f t="shared" si="41"/>
        <v/>
      </c>
    </row>
    <row r="892" spans="1:25">
      <c r="A892" s="45" t="str">
        <f>IF(AND(Registro!D891="Abierto",Registro!E891="Urgente"),Registro!B891,"")</f>
        <v/>
      </c>
      <c r="B892" s="45" t="str">
        <f ca="1">IF(AND(Registro!D891="Abierto",Registro!E891="Urgente"),TODAY()-Registro!R891,"")</f>
        <v/>
      </c>
      <c r="C892" s="45" t="str">
        <f>IF(AND(Registro!D891="Abierto",Registro!E891="Urgente"),RANK(B892,$B$9:$B$1000,0)+COUNTIF($B$9:B892,B892)-1,"")</f>
        <v/>
      </c>
      <c r="D892" s="45" t="str">
        <f>IF(AND(Registro!D891="Abierto",Registro!E891="Alta"),Registro!B891,"")</f>
        <v/>
      </c>
      <c r="E892" s="45" t="str">
        <f ca="1">IF(AND(Registro!D891="Abierto",Registro!E891="Alta"),TODAY()-Registro!R891,"")</f>
        <v/>
      </c>
      <c r="F892" s="45" t="str">
        <f>IF(AND(Registro!D891="Abierto",Registro!E891="Alta"),RANK(E892,$E$9:$E$1000,0)+COUNTIF($E$9:E892,E892)-1+MAX(C$5:C$1000),"")</f>
        <v/>
      </c>
      <c r="G892" s="45" t="str">
        <f>IF(AND(Registro!D891="Abierto",Registro!E891="Media"),Registro!B891,"")</f>
        <v/>
      </c>
      <c r="H892" s="45" t="str">
        <f ca="1">IF(AND(Registro!D891="Abierto",Registro!E891="Media"),TODAY()-Registro!R891,"")</f>
        <v/>
      </c>
      <c r="I892" s="45" t="str">
        <f>IF(AND(Registro!D891="Abierto",Registro!E891="Media"),RANK(H892,$H$9:$H$1000,0)+COUNTIF($H$9:H892,H892)-1+MAX(C$5:C$1000,F$5:F$1000),"")</f>
        <v/>
      </c>
      <c r="J892" s="45" t="str">
        <f>IF(AND(Registro!D891="Abierto",Registro!E891="Baja"),Registro!B891,"")</f>
        <v/>
      </c>
      <c r="K892" s="45" t="str">
        <f ca="1">IF(AND(Registro!D891="Abierto",Registro!E891="Baja"),TODAY()-Registro!R891,"")</f>
        <v/>
      </c>
      <c r="L892" s="45" t="str">
        <f>IF(AND(Registro!D891="Abierto",Registro!E891="Baja"),RANK(K892,$K$9:$K$1000,0)+COUNTIF($K$9:K892,K892)-1+MAX(C$5:C$1000,F$5:F$1000,I$5:I$1000),"")</f>
        <v/>
      </c>
      <c r="M892" s="46" t="str">
        <f>IF(OR(Registro!D891="Resuelto",Registro!D891=""),"",SUM(C892,F892,I892,L892))</f>
        <v/>
      </c>
      <c r="N892" s="46" t="str">
        <f>IF(OR(Registro!D891="Resuelto",Registro!D891=""),"",SUM(B892,E892,H892,K892))</f>
        <v/>
      </c>
      <c r="O892" s="46" t="str">
        <f>IF(OR(Registro!D891="Resuelto",Registro!D891=""),"",_xlfn.CONCAT(A892,D892,G892,J892))</f>
        <v/>
      </c>
      <c r="P892" s="47">
        <v>884</v>
      </c>
      <c r="Q892" s="47" t="str">
        <f t="shared" ca="1" si="39"/>
        <v/>
      </c>
      <c r="R892" s="48" t="str">
        <f t="shared" ca="1" si="40"/>
        <v/>
      </c>
      <c r="S892" s="32"/>
      <c r="T892" s="32"/>
      <c r="U892" s="32"/>
      <c r="V892" s="32"/>
      <c r="W892" s="47" t="str">
        <f>IF(X892="","",MAX($W$5:W891)+1)</f>
        <v/>
      </c>
      <c r="X892" s="50" t="str">
        <f>IF(Registro!M891="","",IF(COUNTIF($X$8:X891,Registro!M891)=0,Registro!M891,""))</f>
        <v/>
      </c>
      <c r="Y892" s="50" t="str">
        <f t="shared" si="41"/>
        <v/>
      </c>
    </row>
    <row r="893" spans="1:25">
      <c r="A893" s="45" t="str">
        <f>IF(AND(Registro!D892="Abierto",Registro!E892="Urgente"),Registro!B892,"")</f>
        <v/>
      </c>
      <c r="B893" s="45" t="str">
        <f ca="1">IF(AND(Registro!D892="Abierto",Registro!E892="Urgente"),TODAY()-Registro!R892,"")</f>
        <v/>
      </c>
      <c r="C893" s="45" t="str">
        <f>IF(AND(Registro!D892="Abierto",Registro!E892="Urgente"),RANK(B893,$B$9:$B$1000,0)+COUNTIF($B$9:B893,B893)-1,"")</f>
        <v/>
      </c>
      <c r="D893" s="45" t="str">
        <f>IF(AND(Registro!D892="Abierto",Registro!E892="Alta"),Registro!B892,"")</f>
        <v/>
      </c>
      <c r="E893" s="45" t="str">
        <f ca="1">IF(AND(Registro!D892="Abierto",Registro!E892="Alta"),TODAY()-Registro!R892,"")</f>
        <v/>
      </c>
      <c r="F893" s="45" t="str">
        <f>IF(AND(Registro!D892="Abierto",Registro!E892="Alta"),RANK(E893,$E$9:$E$1000,0)+COUNTIF($E$9:E893,E893)-1+MAX(C$5:C$1000),"")</f>
        <v/>
      </c>
      <c r="G893" s="45" t="str">
        <f>IF(AND(Registro!D892="Abierto",Registro!E892="Media"),Registro!B892,"")</f>
        <v/>
      </c>
      <c r="H893" s="45" t="str">
        <f ca="1">IF(AND(Registro!D892="Abierto",Registro!E892="Media"),TODAY()-Registro!R892,"")</f>
        <v/>
      </c>
      <c r="I893" s="45" t="str">
        <f>IF(AND(Registro!D892="Abierto",Registro!E892="Media"),RANK(H893,$H$9:$H$1000,0)+COUNTIF($H$9:H893,H893)-1+MAX(C$5:C$1000,F$5:F$1000),"")</f>
        <v/>
      </c>
      <c r="J893" s="45" t="str">
        <f>IF(AND(Registro!D892="Abierto",Registro!E892="Baja"),Registro!B892,"")</f>
        <v/>
      </c>
      <c r="K893" s="45" t="str">
        <f ca="1">IF(AND(Registro!D892="Abierto",Registro!E892="Baja"),TODAY()-Registro!R892,"")</f>
        <v/>
      </c>
      <c r="L893" s="45" t="str">
        <f>IF(AND(Registro!D892="Abierto",Registro!E892="Baja"),RANK(K893,$K$9:$K$1000,0)+COUNTIF($K$9:K893,K893)-1+MAX(C$5:C$1000,F$5:F$1000,I$5:I$1000),"")</f>
        <v/>
      </c>
      <c r="M893" s="46" t="str">
        <f>IF(OR(Registro!D892="Resuelto",Registro!D892=""),"",SUM(C893,F893,I893,L893))</f>
        <v/>
      </c>
      <c r="N893" s="46" t="str">
        <f>IF(OR(Registro!D892="Resuelto",Registro!D892=""),"",SUM(B893,E893,H893,K893))</f>
        <v/>
      </c>
      <c r="O893" s="46" t="str">
        <f>IF(OR(Registro!D892="Resuelto",Registro!D892=""),"",_xlfn.CONCAT(A893,D893,G893,J893))</f>
        <v/>
      </c>
      <c r="P893" s="47">
        <v>885</v>
      </c>
      <c r="Q893" s="47" t="str">
        <f t="shared" ca="1" si="39"/>
        <v/>
      </c>
      <c r="R893" s="48" t="str">
        <f t="shared" ca="1" si="40"/>
        <v/>
      </c>
      <c r="S893" s="32"/>
      <c r="T893" s="32"/>
      <c r="U893" s="32"/>
      <c r="V893" s="32"/>
      <c r="W893" s="47" t="str">
        <f>IF(X893="","",MAX($W$5:W892)+1)</f>
        <v/>
      </c>
      <c r="X893" s="50" t="str">
        <f>IF(Registro!M892="","",IF(COUNTIF($X$8:X892,Registro!M892)=0,Registro!M892,""))</f>
        <v/>
      </c>
      <c r="Y893" s="50" t="str">
        <f t="shared" si="41"/>
        <v/>
      </c>
    </row>
    <row r="894" spans="1:25">
      <c r="A894" s="45" t="str">
        <f>IF(AND(Registro!D893="Abierto",Registro!E893="Urgente"),Registro!B893,"")</f>
        <v/>
      </c>
      <c r="B894" s="45" t="str">
        <f ca="1">IF(AND(Registro!D893="Abierto",Registro!E893="Urgente"),TODAY()-Registro!R893,"")</f>
        <v/>
      </c>
      <c r="C894" s="45" t="str">
        <f>IF(AND(Registro!D893="Abierto",Registro!E893="Urgente"),RANK(B894,$B$9:$B$1000,0)+COUNTIF($B$9:B894,B894)-1,"")</f>
        <v/>
      </c>
      <c r="D894" s="45" t="str">
        <f>IF(AND(Registro!D893="Abierto",Registro!E893="Alta"),Registro!B893,"")</f>
        <v/>
      </c>
      <c r="E894" s="45" t="str">
        <f ca="1">IF(AND(Registro!D893="Abierto",Registro!E893="Alta"),TODAY()-Registro!R893,"")</f>
        <v/>
      </c>
      <c r="F894" s="45" t="str">
        <f>IF(AND(Registro!D893="Abierto",Registro!E893="Alta"),RANK(E894,$E$9:$E$1000,0)+COUNTIF($E$9:E894,E894)-1+MAX(C$5:C$1000),"")</f>
        <v/>
      </c>
      <c r="G894" s="45" t="str">
        <f>IF(AND(Registro!D893="Abierto",Registro!E893="Media"),Registro!B893,"")</f>
        <v/>
      </c>
      <c r="H894" s="45" t="str">
        <f ca="1">IF(AND(Registro!D893="Abierto",Registro!E893="Media"),TODAY()-Registro!R893,"")</f>
        <v/>
      </c>
      <c r="I894" s="45" t="str">
        <f>IF(AND(Registro!D893="Abierto",Registro!E893="Media"),RANK(H894,$H$9:$H$1000,0)+COUNTIF($H$9:H894,H894)-1+MAX(C$5:C$1000,F$5:F$1000),"")</f>
        <v/>
      </c>
      <c r="J894" s="45" t="str">
        <f>IF(AND(Registro!D893="Abierto",Registro!E893="Baja"),Registro!B893,"")</f>
        <v/>
      </c>
      <c r="K894" s="45" t="str">
        <f ca="1">IF(AND(Registro!D893="Abierto",Registro!E893="Baja"),TODAY()-Registro!R893,"")</f>
        <v/>
      </c>
      <c r="L894" s="45" t="str">
        <f>IF(AND(Registro!D893="Abierto",Registro!E893="Baja"),RANK(K894,$K$9:$K$1000,0)+COUNTIF($K$9:K894,K894)-1+MAX(C$5:C$1000,F$5:F$1000,I$5:I$1000),"")</f>
        <v/>
      </c>
      <c r="M894" s="46" t="str">
        <f>IF(OR(Registro!D893="Resuelto",Registro!D893=""),"",SUM(C894,F894,I894,L894))</f>
        <v/>
      </c>
      <c r="N894" s="46" t="str">
        <f>IF(OR(Registro!D893="Resuelto",Registro!D893=""),"",SUM(B894,E894,H894,K894))</f>
        <v/>
      </c>
      <c r="O894" s="46" t="str">
        <f>IF(OR(Registro!D893="Resuelto",Registro!D893=""),"",_xlfn.CONCAT(A894,D894,G894,J894))</f>
        <v/>
      </c>
      <c r="P894" s="47">
        <v>886</v>
      </c>
      <c r="Q894" s="47" t="str">
        <f t="shared" ca="1" si="39"/>
        <v/>
      </c>
      <c r="R894" s="48" t="str">
        <f t="shared" ca="1" si="40"/>
        <v/>
      </c>
      <c r="S894" s="32"/>
      <c r="T894" s="32"/>
      <c r="U894" s="32"/>
      <c r="V894" s="32"/>
      <c r="W894" s="47" t="str">
        <f>IF(X894="","",MAX($W$5:W893)+1)</f>
        <v/>
      </c>
      <c r="X894" s="50" t="str">
        <f>IF(Registro!M893="","",IF(COUNTIF($X$8:X893,Registro!M893)=0,Registro!M893,""))</f>
        <v/>
      </c>
      <c r="Y894" s="50" t="str">
        <f t="shared" si="41"/>
        <v/>
      </c>
    </row>
    <row r="895" spans="1:25">
      <c r="A895" s="45" t="str">
        <f>IF(AND(Registro!D894="Abierto",Registro!E894="Urgente"),Registro!B894,"")</f>
        <v/>
      </c>
      <c r="B895" s="45" t="str">
        <f ca="1">IF(AND(Registro!D894="Abierto",Registro!E894="Urgente"),TODAY()-Registro!R894,"")</f>
        <v/>
      </c>
      <c r="C895" s="45" t="str">
        <f>IF(AND(Registro!D894="Abierto",Registro!E894="Urgente"),RANK(B895,$B$9:$B$1000,0)+COUNTIF($B$9:B895,B895)-1,"")</f>
        <v/>
      </c>
      <c r="D895" s="45" t="str">
        <f>IF(AND(Registro!D894="Abierto",Registro!E894="Alta"),Registro!B894,"")</f>
        <v/>
      </c>
      <c r="E895" s="45" t="str">
        <f ca="1">IF(AND(Registro!D894="Abierto",Registro!E894="Alta"),TODAY()-Registro!R894,"")</f>
        <v/>
      </c>
      <c r="F895" s="45" t="str">
        <f>IF(AND(Registro!D894="Abierto",Registro!E894="Alta"),RANK(E895,$E$9:$E$1000,0)+COUNTIF($E$9:E895,E895)-1+MAX(C$5:C$1000),"")</f>
        <v/>
      </c>
      <c r="G895" s="45" t="str">
        <f>IF(AND(Registro!D894="Abierto",Registro!E894="Media"),Registro!B894,"")</f>
        <v/>
      </c>
      <c r="H895" s="45" t="str">
        <f ca="1">IF(AND(Registro!D894="Abierto",Registro!E894="Media"),TODAY()-Registro!R894,"")</f>
        <v/>
      </c>
      <c r="I895" s="45" t="str">
        <f>IF(AND(Registro!D894="Abierto",Registro!E894="Media"),RANK(H895,$H$9:$H$1000,0)+COUNTIF($H$9:H895,H895)-1+MAX(C$5:C$1000,F$5:F$1000),"")</f>
        <v/>
      </c>
      <c r="J895" s="45" t="str">
        <f>IF(AND(Registro!D894="Abierto",Registro!E894="Baja"),Registro!B894,"")</f>
        <v/>
      </c>
      <c r="K895" s="45" t="str">
        <f ca="1">IF(AND(Registro!D894="Abierto",Registro!E894="Baja"),TODAY()-Registro!R894,"")</f>
        <v/>
      </c>
      <c r="L895" s="45" t="str">
        <f>IF(AND(Registro!D894="Abierto",Registro!E894="Baja"),RANK(K895,$K$9:$K$1000,0)+COUNTIF($K$9:K895,K895)-1+MAX(C$5:C$1000,F$5:F$1000,I$5:I$1000),"")</f>
        <v/>
      </c>
      <c r="M895" s="46" t="str">
        <f>IF(OR(Registro!D894="Resuelto",Registro!D894=""),"",SUM(C895,F895,I895,L895))</f>
        <v/>
      </c>
      <c r="N895" s="46" t="str">
        <f>IF(OR(Registro!D894="Resuelto",Registro!D894=""),"",SUM(B895,E895,H895,K895))</f>
        <v/>
      </c>
      <c r="O895" s="46" t="str">
        <f>IF(OR(Registro!D894="Resuelto",Registro!D894=""),"",_xlfn.CONCAT(A895,D895,G895,J895))</f>
        <v/>
      </c>
      <c r="P895" s="47">
        <v>887</v>
      </c>
      <c r="Q895" s="47" t="str">
        <f t="shared" ca="1" si="39"/>
        <v/>
      </c>
      <c r="R895" s="48" t="str">
        <f t="shared" ca="1" si="40"/>
        <v/>
      </c>
      <c r="S895" s="32"/>
      <c r="T895" s="32"/>
      <c r="U895" s="32"/>
      <c r="V895" s="32"/>
      <c r="W895" s="47" t="str">
        <f>IF(X895="","",MAX($W$5:W894)+1)</f>
        <v/>
      </c>
      <c r="X895" s="50" t="str">
        <f>IF(Registro!M894="","",IF(COUNTIF($X$8:X894,Registro!M894)=0,Registro!M894,""))</f>
        <v/>
      </c>
      <c r="Y895" s="50" t="str">
        <f t="shared" si="41"/>
        <v/>
      </c>
    </row>
    <row r="896" spans="1:25">
      <c r="A896" s="45" t="str">
        <f>IF(AND(Registro!D895="Abierto",Registro!E895="Urgente"),Registro!B895,"")</f>
        <v/>
      </c>
      <c r="B896" s="45" t="str">
        <f ca="1">IF(AND(Registro!D895="Abierto",Registro!E895="Urgente"),TODAY()-Registro!R895,"")</f>
        <v/>
      </c>
      <c r="C896" s="45" t="str">
        <f>IF(AND(Registro!D895="Abierto",Registro!E895="Urgente"),RANK(B896,$B$9:$B$1000,0)+COUNTIF($B$9:B896,B896)-1,"")</f>
        <v/>
      </c>
      <c r="D896" s="45" t="str">
        <f>IF(AND(Registro!D895="Abierto",Registro!E895="Alta"),Registro!B895,"")</f>
        <v/>
      </c>
      <c r="E896" s="45" t="str">
        <f ca="1">IF(AND(Registro!D895="Abierto",Registro!E895="Alta"),TODAY()-Registro!R895,"")</f>
        <v/>
      </c>
      <c r="F896" s="45" t="str">
        <f>IF(AND(Registro!D895="Abierto",Registro!E895="Alta"),RANK(E896,$E$9:$E$1000,0)+COUNTIF($E$9:E896,E896)-1+MAX(C$5:C$1000),"")</f>
        <v/>
      </c>
      <c r="G896" s="45" t="str">
        <f>IF(AND(Registro!D895="Abierto",Registro!E895="Media"),Registro!B895,"")</f>
        <v/>
      </c>
      <c r="H896" s="45" t="str">
        <f ca="1">IF(AND(Registro!D895="Abierto",Registro!E895="Media"),TODAY()-Registro!R895,"")</f>
        <v/>
      </c>
      <c r="I896" s="45" t="str">
        <f>IF(AND(Registro!D895="Abierto",Registro!E895="Media"),RANK(H896,$H$9:$H$1000,0)+COUNTIF($H$9:H896,H896)-1+MAX(C$5:C$1000,F$5:F$1000),"")</f>
        <v/>
      </c>
      <c r="J896" s="45" t="str">
        <f>IF(AND(Registro!D895="Abierto",Registro!E895="Baja"),Registro!B895,"")</f>
        <v/>
      </c>
      <c r="K896" s="45" t="str">
        <f ca="1">IF(AND(Registro!D895="Abierto",Registro!E895="Baja"),TODAY()-Registro!R895,"")</f>
        <v/>
      </c>
      <c r="L896" s="45" t="str">
        <f>IF(AND(Registro!D895="Abierto",Registro!E895="Baja"),RANK(K896,$K$9:$K$1000,0)+COUNTIF($K$9:K896,K896)-1+MAX(C$5:C$1000,F$5:F$1000,I$5:I$1000),"")</f>
        <v/>
      </c>
      <c r="M896" s="46" t="str">
        <f>IF(OR(Registro!D895="Resuelto",Registro!D895=""),"",SUM(C896,F896,I896,L896))</f>
        <v/>
      </c>
      <c r="N896" s="46" t="str">
        <f>IF(OR(Registro!D895="Resuelto",Registro!D895=""),"",SUM(B896,E896,H896,K896))</f>
        <v/>
      </c>
      <c r="O896" s="46" t="str">
        <f>IF(OR(Registro!D895="Resuelto",Registro!D895=""),"",_xlfn.CONCAT(A896,D896,G896,J896))</f>
        <v/>
      </c>
      <c r="P896" s="47">
        <v>888</v>
      </c>
      <c r="Q896" s="47" t="str">
        <f t="shared" ca="1" si="39"/>
        <v/>
      </c>
      <c r="R896" s="48" t="str">
        <f t="shared" ca="1" si="40"/>
        <v/>
      </c>
      <c r="S896" s="32"/>
      <c r="T896" s="32"/>
      <c r="U896" s="32"/>
      <c r="V896" s="32"/>
      <c r="W896" s="47" t="str">
        <f>IF(X896="","",MAX($W$5:W895)+1)</f>
        <v/>
      </c>
      <c r="X896" s="50" t="str">
        <f>IF(Registro!M895="","",IF(COUNTIF($X$8:X895,Registro!M895)=0,Registro!M895,""))</f>
        <v/>
      </c>
      <c r="Y896" s="50" t="str">
        <f t="shared" si="41"/>
        <v/>
      </c>
    </row>
    <row r="897" spans="1:25">
      <c r="A897" s="45" t="str">
        <f>IF(AND(Registro!D896="Abierto",Registro!E896="Urgente"),Registro!B896,"")</f>
        <v/>
      </c>
      <c r="B897" s="45" t="str">
        <f ca="1">IF(AND(Registro!D896="Abierto",Registro!E896="Urgente"),TODAY()-Registro!R896,"")</f>
        <v/>
      </c>
      <c r="C897" s="45" t="str">
        <f>IF(AND(Registro!D896="Abierto",Registro!E896="Urgente"),RANK(B897,$B$9:$B$1000,0)+COUNTIF($B$9:B897,B897)-1,"")</f>
        <v/>
      </c>
      <c r="D897" s="45" t="str">
        <f>IF(AND(Registro!D896="Abierto",Registro!E896="Alta"),Registro!B896,"")</f>
        <v/>
      </c>
      <c r="E897" s="45" t="str">
        <f ca="1">IF(AND(Registro!D896="Abierto",Registro!E896="Alta"),TODAY()-Registro!R896,"")</f>
        <v/>
      </c>
      <c r="F897" s="45" t="str">
        <f>IF(AND(Registro!D896="Abierto",Registro!E896="Alta"),RANK(E897,$E$9:$E$1000,0)+COUNTIF($E$9:E897,E897)-1+MAX(C$5:C$1000),"")</f>
        <v/>
      </c>
      <c r="G897" s="45" t="str">
        <f>IF(AND(Registro!D896="Abierto",Registro!E896="Media"),Registro!B896,"")</f>
        <v/>
      </c>
      <c r="H897" s="45" t="str">
        <f ca="1">IF(AND(Registro!D896="Abierto",Registro!E896="Media"),TODAY()-Registro!R896,"")</f>
        <v/>
      </c>
      <c r="I897" s="45" t="str">
        <f>IF(AND(Registro!D896="Abierto",Registro!E896="Media"),RANK(H897,$H$9:$H$1000,0)+COUNTIF($H$9:H897,H897)-1+MAX(C$5:C$1000,F$5:F$1000),"")</f>
        <v/>
      </c>
      <c r="J897" s="45" t="str">
        <f>IF(AND(Registro!D896="Abierto",Registro!E896="Baja"),Registro!B896,"")</f>
        <v/>
      </c>
      <c r="K897" s="45" t="str">
        <f ca="1">IF(AND(Registro!D896="Abierto",Registro!E896="Baja"),TODAY()-Registro!R896,"")</f>
        <v/>
      </c>
      <c r="L897" s="45" t="str">
        <f>IF(AND(Registro!D896="Abierto",Registro!E896="Baja"),RANK(K897,$K$9:$K$1000,0)+COUNTIF($K$9:K897,K897)-1+MAX(C$5:C$1000,F$5:F$1000,I$5:I$1000),"")</f>
        <v/>
      </c>
      <c r="M897" s="46" t="str">
        <f>IF(OR(Registro!D896="Resuelto",Registro!D896=""),"",SUM(C897,F897,I897,L897))</f>
        <v/>
      </c>
      <c r="N897" s="46" t="str">
        <f>IF(OR(Registro!D896="Resuelto",Registro!D896=""),"",SUM(B897,E897,H897,K897))</f>
        <v/>
      </c>
      <c r="O897" s="46" t="str">
        <f>IF(OR(Registro!D896="Resuelto",Registro!D896=""),"",_xlfn.CONCAT(A897,D897,G897,J897))</f>
        <v/>
      </c>
      <c r="P897" s="47">
        <v>889</v>
      </c>
      <c r="Q897" s="47" t="str">
        <f t="shared" ca="1" si="39"/>
        <v/>
      </c>
      <c r="R897" s="48" t="str">
        <f t="shared" ca="1" si="40"/>
        <v/>
      </c>
      <c r="S897" s="32"/>
      <c r="T897" s="32"/>
      <c r="U897" s="32"/>
      <c r="V897" s="32"/>
      <c r="W897" s="47" t="str">
        <f>IF(X897="","",MAX($W$5:W896)+1)</f>
        <v/>
      </c>
      <c r="X897" s="50" t="str">
        <f>IF(Registro!M896="","",IF(COUNTIF($X$8:X896,Registro!M896)=0,Registro!M896,""))</f>
        <v/>
      </c>
      <c r="Y897" s="50" t="str">
        <f t="shared" si="41"/>
        <v/>
      </c>
    </row>
    <row r="898" spans="1:25">
      <c r="A898" s="45" t="str">
        <f>IF(AND(Registro!D897="Abierto",Registro!E897="Urgente"),Registro!B897,"")</f>
        <v/>
      </c>
      <c r="B898" s="45" t="str">
        <f ca="1">IF(AND(Registro!D897="Abierto",Registro!E897="Urgente"),TODAY()-Registro!R897,"")</f>
        <v/>
      </c>
      <c r="C898" s="45" t="str">
        <f>IF(AND(Registro!D897="Abierto",Registro!E897="Urgente"),RANK(B898,$B$9:$B$1000,0)+COUNTIF($B$9:B898,B898)-1,"")</f>
        <v/>
      </c>
      <c r="D898" s="45" t="str">
        <f>IF(AND(Registro!D897="Abierto",Registro!E897="Alta"),Registro!B897,"")</f>
        <v/>
      </c>
      <c r="E898" s="45" t="str">
        <f ca="1">IF(AND(Registro!D897="Abierto",Registro!E897="Alta"),TODAY()-Registro!R897,"")</f>
        <v/>
      </c>
      <c r="F898" s="45" t="str">
        <f>IF(AND(Registro!D897="Abierto",Registro!E897="Alta"),RANK(E898,$E$9:$E$1000,0)+COUNTIF($E$9:E898,E898)-1+MAX(C$5:C$1000),"")</f>
        <v/>
      </c>
      <c r="G898" s="45" t="str">
        <f>IF(AND(Registro!D897="Abierto",Registro!E897="Media"),Registro!B897,"")</f>
        <v/>
      </c>
      <c r="H898" s="45" t="str">
        <f ca="1">IF(AND(Registro!D897="Abierto",Registro!E897="Media"),TODAY()-Registro!R897,"")</f>
        <v/>
      </c>
      <c r="I898" s="45" t="str">
        <f>IF(AND(Registro!D897="Abierto",Registro!E897="Media"),RANK(H898,$H$9:$H$1000,0)+COUNTIF($H$9:H898,H898)-1+MAX(C$5:C$1000,F$5:F$1000),"")</f>
        <v/>
      </c>
      <c r="J898" s="45" t="str">
        <f>IF(AND(Registro!D897="Abierto",Registro!E897="Baja"),Registro!B897,"")</f>
        <v/>
      </c>
      <c r="K898" s="45" t="str">
        <f ca="1">IF(AND(Registro!D897="Abierto",Registro!E897="Baja"),TODAY()-Registro!R897,"")</f>
        <v/>
      </c>
      <c r="L898" s="45" t="str">
        <f>IF(AND(Registro!D897="Abierto",Registro!E897="Baja"),RANK(K898,$K$9:$K$1000,0)+COUNTIF($K$9:K898,K898)-1+MAX(C$5:C$1000,F$5:F$1000,I$5:I$1000),"")</f>
        <v/>
      </c>
      <c r="M898" s="46" t="str">
        <f>IF(OR(Registro!D897="Resuelto",Registro!D897=""),"",SUM(C898,F898,I898,L898))</f>
        <v/>
      </c>
      <c r="N898" s="46" t="str">
        <f>IF(OR(Registro!D897="Resuelto",Registro!D897=""),"",SUM(B898,E898,H898,K898))</f>
        <v/>
      </c>
      <c r="O898" s="46" t="str">
        <f>IF(OR(Registro!D897="Resuelto",Registro!D897=""),"",_xlfn.CONCAT(A898,D898,G898,J898))</f>
        <v/>
      </c>
      <c r="P898" s="47">
        <v>890</v>
      </c>
      <c r="Q898" s="47" t="str">
        <f t="shared" ca="1" si="39"/>
        <v/>
      </c>
      <c r="R898" s="48" t="str">
        <f t="shared" ca="1" si="40"/>
        <v/>
      </c>
      <c r="S898" s="32"/>
      <c r="T898" s="32"/>
      <c r="U898" s="32"/>
      <c r="V898" s="32"/>
      <c r="W898" s="47" t="str">
        <f>IF(X898="","",MAX($W$5:W897)+1)</f>
        <v/>
      </c>
      <c r="X898" s="50" t="str">
        <f>IF(Registro!M897="","",IF(COUNTIF($X$8:X897,Registro!M897)=0,Registro!M897,""))</f>
        <v/>
      </c>
      <c r="Y898" s="50" t="str">
        <f t="shared" si="41"/>
        <v/>
      </c>
    </row>
    <row r="899" spans="1:25">
      <c r="A899" s="45" t="str">
        <f>IF(AND(Registro!D898="Abierto",Registro!E898="Urgente"),Registro!B898,"")</f>
        <v/>
      </c>
      <c r="B899" s="45" t="str">
        <f ca="1">IF(AND(Registro!D898="Abierto",Registro!E898="Urgente"),TODAY()-Registro!R898,"")</f>
        <v/>
      </c>
      <c r="C899" s="45" t="str">
        <f>IF(AND(Registro!D898="Abierto",Registro!E898="Urgente"),RANK(B899,$B$9:$B$1000,0)+COUNTIF($B$9:B899,B899)-1,"")</f>
        <v/>
      </c>
      <c r="D899" s="45" t="str">
        <f>IF(AND(Registro!D898="Abierto",Registro!E898="Alta"),Registro!B898,"")</f>
        <v/>
      </c>
      <c r="E899" s="45" t="str">
        <f ca="1">IF(AND(Registro!D898="Abierto",Registro!E898="Alta"),TODAY()-Registro!R898,"")</f>
        <v/>
      </c>
      <c r="F899" s="45" t="str">
        <f>IF(AND(Registro!D898="Abierto",Registro!E898="Alta"),RANK(E899,$E$9:$E$1000,0)+COUNTIF($E$9:E899,E899)-1+MAX(C$5:C$1000),"")</f>
        <v/>
      </c>
      <c r="G899" s="45" t="str">
        <f>IF(AND(Registro!D898="Abierto",Registro!E898="Media"),Registro!B898,"")</f>
        <v/>
      </c>
      <c r="H899" s="45" t="str">
        <f ca="1">IF(AND(Registro!D898="Abierto",Registro!E898="Media"),TODAY()-Registro!R898,"")</f>
        <v/>
      </c>
      <c r="I899" s="45" t="str">
        <f>IF(AND(Registro!D898="Abierto",Registro!E898="Media"),RANK(H899,$H$9:$H$1000,0)+COUNTIF($H$9:H899,H899)-1+MAX(C$5:C$1000,F$5:F$1000),"")</f>
        <v/>
      </c>
      <c r="J899" s="45" t="str">
        <f>IF(AND(Registro!D898="Abierto",Registro!E898="Baja"),Registro!B898,"")</f>
        <v/>
      </c>
      <c r="K899" s="45" t="str">
        <f ca="1">IF(AND(Registro!D898="Abierto",Registro!E898="Baja"),TODAY()-Registro!R898,"")</f>
        <v/>
      </c>
      <c r="L899" s="45" t="str">
        <f>IF(AND(Registro!D898="Abierto",Registro!E898="Baja"),RANK(K899,$K$9:$K$1000,0)+COUNTIF($K$9:K899,K899)-1+MAX(C$5:C$1000,F$5:F$1000,I$5:I$1000),"")</f>
        <v/>
      </c>
      <c r="M899" s="46" t="str">
        <f>IF(OR(Registro!D898="Resuelto",Registro!D898=""),"",SUM(C899,F899,I899,L899))</f>
        <v/>
      </c>
      <c r="N899" s="46" t="str">
        <f>IF(OR(Registro!D898="Resuelto",Registro!D898=""),"",SUM(B899,E899,H899,K899))</f>
        <v/>
      </c>
      <c r="O899" s="46" t="str">
        <f>IF(OR(Registro!D898="Resuelto",Registro!D898=""),"",_xlfn.CONCAT(A899,D899,G899,J899))</f>
        <v/>
      </c>
      <c r="P899" s="47">
        <v>891</v>
      </c>
      <c r="Q899" s="47" t="str">
        <f t="shared" ca="1" si="39"/>
        <v/>
      </c>
      <c r="R899" s="48" t="str">
        <f t="shared" ca="1" si="40"/>
        <v/>
      </c>
      <c r="S899" s="32"/>
      <c r="T899" s="32"/>
      <c r="U899" s="32"/>
      <c r="V899" s="32"/>
      <c r="W899" s="47" t="str">
        <f>IF(X899="","",MAX($W$5:W898)+1)</f>
        <v/>
      </c>
      <c r="X899" s="50" t="str">
        <f>IF(Registro!M898="","",IF(COUNTIF($X$8:X898,Registro!M898)=0,Registro!M898,""))</f>
        <v/>
      </c>
      <c r="Y899" s="50" t="str">
        <f t="shared" si="41"/>
        <v/>
      </c>
    </row>
    <row r="900" spans="1:25">
      <c r="A900" s="45" t="str">
        <f>IF(AND(Registro!D899="Abierto",Registro!E899="Urgente"),Registro!B899,"")</f>
        <v/>
      </c>
      <c r="B900" s="45" t="str">
        <f ca="1">IF(AND(Registro!D899="Abierto",Registro!E899="Urgente"),TODAY()-Registro!R899,"")</f>
        <v/>
      </c>
      <c r="C900" s="45" t="str">
        <f>IF(AND(Registro!D899="Abierto",Registro!E899="Urgente"),RANK(B900,$B$9:$B$1000,0)+COUNTIF($B$9:B900,B900)-1,"")</f>
        <v/>
      </c>
      <c r="D900" s="45" t="str">
        <f>IF(AND(Registro!D899="Abierto",Registro!E899="Alta"),Registro!B899,"")</f>
        <v/>
      </c>
      <c r="E900" s="45" t="str">
        <f ca="1">IF(AND(Registro!D899="Abierto",Registro!E899="Alta"),TODAY()-Registro!R899,"")</f>
        <v/>
      </c>
      <c r="F900" s="45" t="str">
        <f>IF(AND(Registro!D899="Abierto",Registro!E899="Alta"),RANK(E900,$E$9:$E$1000,0)+COUNTIF($E$9:E900,E900)-1+MAX(C$5:C$1000),"")</f>
        <v/>
      </c>
      <c r="G900" s="45" t="str">
        <f>IF(AND(Registro!D899="Abierto",Registro!E899="Media"),Registro!B899,"")</f>
        <v/>
      </c>
      <c r="H900" s="45" t="str">
        <f ca="1">IF(AND(Registro!D899="Abierto",Registro!E899="Media"),TODAY()-Registro!R899,"")</f>
        <v/>
      </c>
      <c r="I900" s="45" t="str">
        <f>IF(AND(Registro!D899="Abierto",Registro!E899="Media"),RANK(H900,$H$9:$H$1000,0)+COUNTIF($H$9:H900,H900)-1+MAX(C$5:C$1000,F$5:F$1000),"")</f>
        <v/>
      </c>
      <c r="J900" s="45" t="str">
        <f>IF(AND(Registro!D899="Abierto",Registro!E899="Baja"),Registro!B899,"")</f>
        <v/>
      </c>
      <c r="K900" s="45" t="str">
        <f ca="1">IF(AND(Registro!D899="Abierto",Registro!E899="Baja"),TODAY()-Registro!R899,"")</f>
        <v/>
      </c>
      <c r="L900" s="45" t="str">
        <f>IF(AND(Registro!D899="Abierto",Registro!E899="Baja"),RANK(K900,$K$9:$K$1000,0)+COUNTIF($K$9:K900,K900)-1+MAX(C$5:C$1000,F$5:F$1000,I$5:I$1000),"")</f>
        <v/>
      </c>
      <c r="M900" s="46" t="str">
        <f>IF(OR(Registro!D899="Resuelto",Registro!D899=""),"",SUM(C900,F900,I900,L900))</f>
        <v/>
      </c>
      <c r="N900" s="46" t="str">
        <f>IF(OR(Registro!D899="Resuelto",Registro!D899=""),"",SUM(B900,E900,H900,K900))</f>
        <v/>
      </c>
      <c r="O900" s="46" t="str">
        <f>IF(OR(Registro!D899="Resuelto",Registro!D899=""),"",_xlfn.CONCAT(A900,D900,G900,J900))</f>
        <v/>
      </c>
      <c r="P900" s="47">
        <v>892</v>
      </c>
      <c r="Q900" s="47" t="str">
        <f t="shared" ca="1" si="39"/>
        <v/>
      </c>
      <c r="R900" s="48" t="str">
        <f t="shared" ca="1" si="40"/>
        <v/>
      </c>
      <c r="S900" s="32"/>
      <c r="T900" s="32"/>
      <c r="U900" s="32"/>
      <c r="V900" s="32"/>
      <c r="W900" s="47" t="str">
        <f>IF(X900="","",MAX($W$5:W899)+1)</f>
        <v/>
      </c>
      <c r="X900" s="50" t="str">
        <f>IF(Registro!M899="","",IF(COUNTIF($X$8:X899,Registro!M899)=0,Registro!M899,""))</f>
        <v/>
      </c>
      <c r="Y900" s="50" t="str">
        <f t="shared" si="41"/>
        <v/>
      </c>
    </row>
    <row r="901" spans="1:25">
      <c r="A901" s="45" t="str">
        <f>IF(AND(Registro!D900="Abierto",Registro!E900="Urgente"),Registro!B900,"")</f>
        <v/>
      </c>
      <c r="B901" s="45" t="str">
        <f ca="1">IF(AND(Registro!D900="Abierto",Registro!E900="Urgente"),TODAY()-Registro!R900,"")</f>
        <v/>
      </c>
      <c r="C901" s="45" t="str">
        <f>IF(AND(Registro!D900="Abierto",Registro!E900="Urgente"),RANK(B901,$B$9:$B$1000,0)+COUNTIF($B$9:B901,B901)-1,"")</f>
        <v/>
      </c>
      <c r="D901" s="45" t="str">
        <f>IF(AND(Registro!D900="Abierto",Registro!E900="Alta"),Registro!B900,"")</f>
        <v/>
      </c>
      <c r="E901" s="45" t="str">
        <f ca="1">IF(AND(Registro!D900="Abierto",Registro!E900="Alta"),TODAY()-Registro!R900,"")</f>
        <v/>
      </c>
      <c r="F901" s="45" t="str">
        <f>IF(AND(Registro!D900="Abierto",Registro!E900="Alta"),RANK(E901,$E$9:$E$1000,0)+COUNTIF($E$9:E901,E901)-1+MAX(C$5:C$1000),"")</f>
        <v/>
      </c>
      <c r="G901" s="45" t="str">
        <f>IF(AND(Registro!D900="Abierto",Registro!E900="Media"),Registro!B900,"")</f>
        <v/>
      </c>
      <c r="H901" s="45" t="str">
        <f ca="1">IF(AND(Registro!D900="Abierto",Registro!E900="Media"),TODAY()-Registro!R900,"")</f>
        <v/>
      </c>
      <c r="I901" s="45" t="str">
        <f>IF(AND(Registro!D900="Abierto",Registro!E900="Media"),RANK(H901,$H$9:$H$1000,0)+COUNTIF($H$9:H901,H901)-1+MAX(C$5:C$1000,F$5:F$1000),"")</f>
        <v/>
      </c>
      <c r="J901" s="45" t="str">
        <f>IF(AND(Registro!D900="Abierto",Registro!E900="Baja"),Registro!B900,"")</f>
        <v/>
      </c>
      <c r="K901" s="45" t="str">
        <f ca="1">IF(AND(Registro!D900="Abierto",Registro!E900="Baja"),TODAY()-Registro!R900,"")</f>
        <v/>
      </c>
      <c r="L901" s="45" t="str">
        <f>IF(AND(Registro!D900="Abierto",Registro!E900="Baja"),RANK(K901,$K$9:$K$1000,0)+COUNTIF($K$9:K901,K901)-1+MAX(C$5:C$1000,F$5:F$1000,I$5:I$1000),"")</f>
        <v/>
      </c>
      <c r="M901" s="46" t="str">
        <f>IF(OR(Registro!D900="Resuelto",Registro!D900=""),"",SUM(C901,F901,I901,L901))</f>
        <v/>
      </c>
      <c r="N901" s="46" t="str">
        <f>IF(OR(Registro!D900="Resuelto",Registro!D900=""),"",SUM(B901,E901,H901,K901))</f>
        <v/>
      </c>
      <c r="O901" s="46" t="str">
        <f>IF(OR(Registro!D900="Resuelto",Registro!D900=""),"",_xlfn.CONCAT(A901,D901,G901,J901))</f>
        <v/>
      </c>
      <c r="P901" s="47">
        <v>893</v>
      </c>
      <c r="Q901" s="47" t="str">
        <f t="shared" ca="1" si="39"/>
        <v/>
      </c>
      <c r="R901" s="48" t="str">
        <f t="shared" ca="1" si="40"/>
        <v/>
      </c>
      <c r="S901" s="32"/>
      <c r="T901" s="32"/>
      <c r="U901" s="32"/>
      <c r="V901" s="32"/>
      <c r="W901" s="47" t="str">
        <f>IF(X901="","",MAX($W$5:W900)+1)</f>
        <v/>
      </c>
      <c r="X901" s="50" t="str">
        <f>IF(Registro!M900="","",IF(COUNTIF($X$8:X900,Registro!M900)=0,Registro!M900,""))</f>
        <v/>
      </c>
      <c r="Y901" s="50" t="str">
        <f t="shared" si="41"/>
        <v/>
      </c>
    </row>
    <row r="902" spans="1:25">
      <c r="A902" s="45" t="str">
        <f>IF(AND(Registro!D901="Abierto",Registro!E901="Urgente"),Registro!B901,"")</f>
        <v/>
      </c>
      <c r="B902" s="45" t="str">
        <f ca="1">IF(AND(Registro!D901="Abierto",Registro!E901="Urgente"),TODAY()-Registro!R901,"")</f>
        <v/>
      </c>
      <c r="C902" s="45" t="str">
        <f>IF(AND(Registro!D901="Abierto",Registro!E901="Urgente"),RANK(B902,$B$9:$B$1000,0)+COUNTIF($B$9:B902,B902)-1,"")</f>
        <v/>
      </c>
      <c r="D902" s="45" t="str">
        <f>IF(AND(Registro!D901="Abierto",Registro!E901="Alta"),Registro!B901,"")</f>
        <v/>
      </c>
      <c r="E902" s="45" t="str">
        <f ca="1">IF(AND(Registro!D901="Abierto",Registro!E901="Alta"),TODAY()-Registro!R901,"")</f>
        <v/>
      </c>
      <c r="F902" s="45" t="str">
        <f>IF(AND(Registro!D901="Abierto",Registro!E901="Alta"),RANK(E902,$E$9:$E$1000,0)+COUNTIF($E$9:E902,E902)-1+MAX(C$5:C$1000),"")</f>
        <v/>
      </c>
      <c r="G902" s="45" t="str">
        <f>IF(AND(Registro!D901="Abierto",Registro!E901="Media"),Registro!B901,"")</f>
        <v/>
      </c>
      <c r="H902" s="45" t="str">
        <f ca="1">IF(AND(Registro!D901="Abierto",Registro!E901="Media"),TODAY()-Registro!R901,"")</f>
        <v/>
      </c>
      <c r="I902" s="45" t="str">
        <f>IF(AND(Registro!D901="Abierto",Registro!E901="Media"),RANK(H902,$H$9:$H$1000,0)+COUNTIF($H$9:H902,H902)-1+MAX(C$5:C$1000,F$5:F$1000),"")</f>
        <v/>
      </c>
      <c r="J902" s="45" t="str">
        <f>IF(AND(Registro!D901="Abierto",Registro!E901="Baja"),Registro!B901,"")</f>
        <v/>
      </c>
      <c r="K902" s="45" t="str">
        <f ca="1">IF(AND(Registro!D901="Abierto",Registro!E901="Baja"),TODAY()-Registro!R901,"")</f>
        <v/>
      </c>
      <c r="L902" s="45" t="str">
        <f>IF(AND(Registro!D901="Abierto",Registro!E901="Baja"),RANK(K902,$K$9:$K$1000,0)+COUNTIF($K$9:K902,K902)-1+MAX(C$5:C$1000,F$5:F$1000,I$5:I$1000),"")</f>
        <v/>
      </c>
      <c r="M902" s="46" t="str">
        <f>IF(OR(Registro!D901="Resuelto",Registro!D901=""),"",SUM(C902,F902,I902,L902))</f>
        <v/>
      </c>
      <c r="N902" s="46" t="str">
        <f>IF(OR(Registro!D901="Resuelto",Registro!D901=""),"",SUM(B902,E902,H902,K902))</f>
        <v/>
      </c>
      <c r="O902" s="46" t="str">
        <f>IF(OR(Registro!D901="Resuelto",Registro!D901=""),"",_xlfn.CONCAT(A902,D902,G902,J902))</f>
        <v/>
      </c>
      <c r="P902" s="47">
        <v>894</v>
      </c>
      <c r="Q902" s="47" t="str">
        <f t="shared" ca="1" si="39"/>
        <v/>
      </c>
      <c r="R902" s="48" t="str">
        <f t="shared" ca="1" si="40"/>
        <v/>
      </c>
      <c r="S902" s="32"/>
      <c r="T902" s="32"/>
      <c r="U902" s="32"/>
      <c r="V902" s="32"/>
      <c r="W902" s="47" t="str">
        <f>IF(X902="","",MAX($W$5:W901)+1)</f>
        <v/>
      </c>
      <c r="X902" s="50" t="str">
        <f>IF(Registro!M901="","",IF(COUNTIF($X$8:X901,Registro!M901)=0,Registro!M901,""))</f>
        <v/>
      </c>
      <c r="Y902" s="50" t="str">
        <f t="shared" si="41"/>
        <v/>
      </c>
    </row>
    <row r="903" spans="1:25">
      <c r="A903" s="45" t="str">
        <f>IF(AND(Registro!D902="Abierto",Registro!E902="Urgente"),Registro!B902,"")</f>
        <v/>
      </c>
      <c r="B903" s="45" t="str">
        <f ca="1">IF(AND(Registro!D902="Abierto",Registro!E902="Urgente"),TODAY()-Registro!R902,"")</f>
        <v/>
      </c>
      <c r="C903" s="45" t="str">
        <f>IF(AND(Registro!D902="Abierto",Registro!E902="Urgente"),RANK(B903,$B$9:$B$1000,0)+COUNTIF($B$9:B903,B903)-1,"")</f>
        <v/>
      </c>
      <c r="D903" s="45" t="str">
        <f>IF(AND(Registro!D902="Abierto",Registro!E902="Alta"),Registro!B902,"")</f>
        <v/>
      </c>
      <c r="E903" s="45" t="str">
        <f ca="1">IF(AND(Registro!D902="Abierto",Registro!E902="Alta"),TODAY()-Registro!R902,"")</f>
        <v/>
      </c>
      <c r="F903" s="45" t="str">
        <f>IF(AND(Registro!D902="Abierto",Registro!E902="Alta"),RANK(E903,$E$9:$E$1000,0)+COUNTIF($E$9:E903,E903)-1+MAX(C$5:C$1000),"")</f>
        <v/>
      </c>
      <c r="G903" s="45" t="str">
        <f>IF(AND(Registro!D902="Abierto",Registro!E902="Media"),Registro!B902,"")</f>
        <v/>
      </c>
      <c r="H903" s="45" t="str">
        <f ca="1">IF(AND(Registro!D902="Abierto",Registro!E902="Media"),TODAY()-Registro!R902,"")</f>
        <v/>
      </c>
      <c r="I903" s="45" t="str">
        <f>IF(AND(Registro!D902="Abierto",Registro!E902="Media"),RANK(H903,$H$9:$H$1000,0)+COUNTIF($H$9:H903,H903)-1+MAX(C$5:C$1000,F$5:F$1000),"")</f>
        <v/>
      </c>
      <c r="J903" s="45" t="str">
        <f>IF(AND(Registro!D902="Abierto",Registro!E902="Baja"),Registro!B902,"")</f>
        <v/>
      </c>
      <c r="K903" s="45" t="str">
        <f ca="1">IF(AND(Registro!D902="Abierto",Registro!E902="Baja"),TODAY()-Registro!R902,"")</f>
        <v/>
      </c>
      <c r="L903" s="45" t="str">
        <f>IF(AND(Registro!D902="Abierto",Registro!E902="Baja"),RANK(K903,$K$9:$K$1000,0)+COUNTIF($K$9:K903,K903)-1+MAX(C$5:C$1000,F$5:F$1000,I$5:I$1000),"")</f>
        <v/>
      </c>
      <c r="M903" s="46" t="str">
        <f>IF(OR(Registro!D902="Resuelto",Registro!D902=""),"",SUM(C903,F903,I903,L903))</f>
        <v/>
      </c>
      <c r="N903" s="46" t="str">
        <f>IF(OR(Registro!D902="Resuelto",Registro!D902=""),"",SUM(B903,E903,H903,K903))</f>
        <v/>
      </c>
      <c r="O903" s="46" t="str">
        <f>IF(OR(Registro!D902="Resuelto",Registro!D902=""),"",_xlfn.CONCAT(A903,D903,G903,J903))</f>
        <v/>
      </c>
      <c r="P903" s="47">
        <v>895</v>
      </c>
      <c r="Q903" s="47" t="str">
        <f t="shared" ca="1" si="39"/>
        <v/>
      </c>
      <c r="R903" s="48" t="str">
        <f t="shared" ca="1" si="40"/>
        <v/>
      </c>
      <c r="S903" s="32"/>
      <c r="T903" s="32"/>
      <c r="U903" s="32"/>
      <c r="V903" s="32"/>
      <c r="W903" s="47" t="str">
        <f>IF(X903="","",MAX($W$5:W902)+1)</f>
        <v/>
      </c>
      <c r="X903" s="50" t="str">
        <f>IF(Registro!M902="","",IF(COUNTIF($X$8:X902,Registro!M902)=0,Registro!M902,""))</f>
        <v/>
      </c>
      <c r="Y903" s="50" t="str">
        <f t="shared" si="41"/>
        <v/>
      </c>
    </row>
    <row r="904" spans="1:25">
      <c r="A904" s="45" t="str">
        <f>IF(AND(Registro!D903="Abierto",Registro!E903="Urgente"),Registro!B903,"")</f>
        <v/>
      </c>
      <c r="B904" s="45" t="str">
        <f ca="1">IF(AND(Registro!D903="Abierto",Registro!E903="Urgente"),TODAY()-Registro!R903,"")</f>
        <v/>
      </c>
      <c r="C904" s="45" t="str">
        <f>IF(AND(Registro!D903="Abierto",Registro!E903="Urgente"),RANK(B904,$B$9:$B$1000,0)+COUNTIF($B$9:B904,B904)-1,"")</f>
        <v/>
      </c>
      <c r="D904" s="45" t="str">
        <f>IF(AND(Registro!D903="Abierto",Registro!E903="Alta"),Registro!B903,"")</f>
        <v/>
      </c>
      <c r="E904" s="45" t="str">
        <f ca="1">IF(AND(Registro!D903="Abierto",Registro!E903="Alta"),TODAY()-Registro!R903,"")</f>
        <v/>
      </c>
      <c r="F904" s="45" t="str">
        <f>IF(AND(Registro!D903="Abierto",Registro!E903="Alta"),RANK(E904,$E$9:$E$1000,0)+COUNTIF($E$9:E904,E904)-1+MAX(C$5:C$1000),"")</f>
        <v/>
      </c>
      <c r="G904" s="45" t="str">
        <f>IF(AND(Registro!D903="Abierto",Registro!E903="Media"),Registro!B903,"")</f>
        <v/>
      </c>
      <c r="H904" s="45" t="str">
        <f ca="1">IF(AND(Registro!D903="Abierto",Registro!E903="Media"),TODAY()-Registro!R903,"")</f>
        <v/>
      </c>
      <c r="I904" s="45" t="str">
        <f>IF(AND(Registro!D903="Abierto",Registro!E903="Media"),RANK(H904,$H$9:$H$1000,0)+COUNTIF($H$9:H904,H904)-1+MAX(C$5:C$1000,F$5:F$1000),"")</f>
        <v/>
      </c>
      <c r="J904" s="45" t="str">
        <f>IF(AND(Registro!D903="Abierto",Registro!E903="Baja"),Registro!B903,"")</f>
        <v/>
      </c>
      <c r="K904" s="45" t="str">
        <f ca="1">IF(AND(Registro!D903="Abierto",Registro!E903="Baja"),TODAY()-Registro!R903,"")</f>
        <v/>
      </c>
      <c r="L904" s="45" t="str">
        <f>IF(AND(Registro!D903="Abierto",Registro!E903="Baja"),RANK(K904,$K$9:$K$1000,0)+COUNTIF($K$9:K904,K904)-1+MAX(C$5:C$1000,F$5:F$1000,I$5:I$1000),"")</f>
        <v/>
      </c>
      <c r="M904" s="46" t="str">
        <f>IF(OR(Registro!D903="Resuelto",Registro!D903=""),"",SUM(C904,F904,I904,L904))</f>
        <v/>
      </c>
      <c r="N904" s="46" t="str">
        <f>IF(OR(Registro!D903="Resuelto",Registro!D903=""),"",SUM(B904,E904,H904,K904))</f>
        <v/>
      </c>
      <c r="O904" s="46" t="str">
        <f>IF(OR(Registro!D903="Resuelto",Registro!D903=""),"",_xlfn.CONCAT(A904,D904,G904,J904))</f>
        <v/>
      </c>
      <c r="P904" s="47">
        <v>896</v>
      </c>
      <c r="Q904" s="47" t="str">
        <f t="shared" ca="1" si="39"/>
        <v/>
      </c>
      <c r="R904" s="48" t="str">
        <f t="shared" ca="1" si="40"/>
        <v/>
      </c>
      <c r="S904" s="32"/>
      <c r="T904" s="32"/>
      <c r="U904" s="32"/>
      <c r="V904" s="32"/>
      <c r="W904" s="47" t="str">
        <f>IF(X904="","",MAX($W$5:W903)+1)</f>
        <v/>
      </c>
      <c r="X904" s="50" t="str">
        <f>IF(Registro!M903="","",IF(COUNTIF($X$8:X903,Registro!M903)=0,Registro!M903,""))</f>
        <v/>
      </c>
      <c r="Y904" s="50" t="str">
        <f t="shared" si="41"/>
        <v/>
      </c>
    </row>
    <row r="905" spans="1:25">
      <c r="A905" s="45" t="str">
        <f>IF(AND(Registro!D904="Abierto",Registro!E904="Urgente"),Registro!B904,"")</f>
        <v/>
      </c>
      <c r="B905" s="45" t="str">
        <f ca="1">IF(AND(Registro!D904="Abierto",Registro!E904="Urgente"),TODAY()-Registro!R904,"")</f>
        <v/>
      </c>
      <c r="C905" s="45" t="str">
        <f>IF(AND(Registro!D904="Abierto",Registro!E904="Urgente"),RANK(B905,$B$9:$B$1000,0)+COUNTIF($B$9:B905,B905)-1,"")</f>
        <v/>
      </c>
      <c r="D905" s="45" t="str">
        <f>IF(AND(Registro!D904="Abierto",Registro!E904="Alta"),Registro!B904,"")</f>
        <v/>
      </c>
      <c r="E905" s="45" t="str">
        <f ca="1">IF(AND(Registro!D904="Abierto",Registro!E904="Alta"),TODAY()-Registro!R904,"")</f>
        <v/>
      </c>
      <c r="F905" s="45" t="str">
        <f>IF(AND(Registro!D904="Abierto",Registro!E904="Alta"),RANK(E905,$E$9:$E$1000,0)+COUNTIF($E$9:E905,E905)-1+MAX(C$5:C$1000),"")</f>
        <v/>
      </c>
      <c r="G905" s="45" t="str">
        <f>IF(AND(Registro!D904="Abierto",Registro!E904="Media"),Registro!B904,"")</f>
        <v/>
      </c>
      <c r="H905" s="45" t="str">
        <f ca="1">IF(AND(Registro!D904="Abierto",Registro!E904="Media"),TODAY()-Registro!R904,"")</f>
        <v/>
      </c>
      <c r="I905" s="45" t="str">
        <f>IF(AND(Registro!D904="Abierto",Registro!E904="Media"),RANK(H905,$H$9:$H$1000,0)+COUNTIF($H$9:H905,H905)-1+MAX(C$5:C$1000,F$5:F$1000),"")</f>
        <v/>
      </c>
      <c r="J905" s="45" t="str">
        <f>IF(AND(Registro!D904="Abierto",Registro!E904="Baja"),Registro!B904,"")</f>
        <v/>
      </c>
      <c r="K905" s="45" t="str">
        <f ca="1">IF(AND(Registro!D904="Abierto",Registro!E904="Baja"),TODAY()-Registro!R904,"")</f>
        <v/>
      </c>
      <c r="L905" s="45" t="str">
        <f>IF(AND(Registro!D904="Abierto",Registro!E904="Baja"),RANK(K905,$K$9:$K$1000,0)+COUNTIF($K$9:K905,K905)-1+MAX(C$5:C$1000,F$5:F$1000,I$5:I$1000),"")</f>
        <v/>
      </c>
      <c r="M905" s="46" t="str">
        <f>IF(OR(Registro!D904="Resuelto",Registro!D904=""),"",SUM(C905,F905,I905,L905))</f>
        <v/>
      </c>
      <c r="N905" s="46" t="str">
        <f>IF(OR(Registro!D904="Resuelto",Registro!D904=""),"",SUM(B905,E905,H905,K905))</f>
        <v/>
      </c>
      <c r="O905" s="46" t="str">
        <f>IF(OR(Registro!D904="Resuelto",Registro!D904=""),"",_xlfn.CONCAT(A905,D905,G905,J905))</f>
        <v/>
      </c>
      <c r="P905" s="47">
        <v>897</v>
      </c>
      <c r="Q905" s="47" t="str">
        <f t="shared" ref="Q905:Q968" ca="1" si="42">IF(ISNA(VLOOKUP(P905,$M$9:$O$1000,3,FALSE))=TRUE,"",VLOOKUP(P905,$M$9:$O$1000,3,FALSE))</f>
        <v/>
      </c>
      <c r="R905" s="48" t="str">
        <f t="shared" ref="R905:R968" ca="1" si="43">IF(ISNA(VLOOKUP(P905,$M$9:$O$1000,2,FALSE))=TRUE,"",VLOOKUP(P905,$M$9:$O$1000,2,FALSE))</f>
        <v/>
      </c>
      <c r="S905" s="32"/>
      <c r="T905" s="32"/>
      <c r="U905" s="32"/>
      <c r="V905" s="32"/>
      <c r="W905" s="47" t="str">
        <f>IF(X905="","",MAX($W$5:W904)+1)</f>
        <v/>
      </c>
      <c r="X905" s="50" t="str">
        <f>IF(Registro!M904="","",IF(COUNTIF($X$8:X904,Registro!M904)=0,Registro!M904,""))</f>
        <v/>
      </c>
      <c r="Y905" s="50" t="str">
        <f t="shared" ref="Y905:Y968" si="44">IF(ISNA(VLOOKUP(P905,$W$9:$X$1000,2,FALSE))=TRUE,"",VLOOKUP(P905,$W$9:$X$1000,2,FALSE))</f>
        <v/>
      </c>
    </row>
    <row r="906" spans="1:25">
      <c r="A906" s="45" t="str">
        <f>IF(AND(Registro!D905="Abierto",Registro!E905="Urgente"),Registro!B905,"")</f>
        <v/>
      </c>
      <c r="B906" s="45" t="str">
        <f ca="1">IF(AND(Registro!D905="Abierto",Registro!E905="Urgente"),TODAY()-Registro!R905,"")</f>
        <v/>
      </c>
      <c r="C906" s="45" t="str">
        <f>IF(AND(Registro!D905="Abierto",Registro!E905="Urgente"),RANK(B906,$B$9:$B$1000,0)+COUNTIF($B$9:B906,B906)-1,"")</f>
        <v/>
      </c>
      <c r="D906" s="45" t="str">
        <f>IF(AND(Registro!D905="Abierto",Registro!E905="Alta"),Registro!B905,"")</f>
        <v/>
      </c>
      <c r="E906" s="45" t="str">
        <f ca="1">IF(AND(Registro!D905="Abierto",Registro!E905="Alta"),TODAY()-Registro!R905,"")</f>
        <v/>
      </c>
      <c r="F906" s="45" t="str">
        <f>IF(AND(Registro!D905="Abierto",Registro!E905="Alta"),RANK(E906,$E$9:$E$1000,0)+COUNTIF($E$9:E906,E906)-1+MAX(C$5:C$1000),"")</f>
        <v/>
      </c>
      <c r="G906" s="45" t="str">
        <f>IF(AND(Registro!D905="Abierto",Registro!E905="Media"),Registro!B905,"")</f>
        <v/>
      </c>
      <c r="H906" s="45" t="str">
        <f ca="1">IF(AND(Registro!D905="Abierto",Registro!E905="Media"),TODAY()-Registro!R905,"")</f>
        <v/>
      </c>
      <c r="I906" s="45" t="str">
        <f>IF(AND(Registro!D905="Abierto",Registro!E905="Media"),RANK(H906,$H$9:$H$1000,0)+COUNTIF($H$9:H906,H906)-1+MAX(C$5:C$1000,F$5:F$1000),"")</f>
        <v/>
      </c>
      <c r="J906" s="45" t="str">
        <f>IF(AND(Registro!D905="Abierto",Registro!E905="Baja"),Registro!B905,"")</f>
        <v/>
      </c>
      <c r="K906" s="45" t="str">
        <f ca="1">IF(AND(Registro!D905="Abierto",Registro!E905="Baja"),TODAY()-Registro!R905,"")</f>
        <v/>
      </c>
      <c r="L906" s="45" t="str">
        <f>IF(AND(Registro!D905="Abierto",Registro!E905="Baja"),RANK(K906,$K$9:$K$1000,0)+COUNTIF($K$9:K906,K906)-1+MAX(C$5:C$1000,F$5:F$1000,I$5:I$1000),"")</f>
        <v/>
      </c>
      <c r="M906" s="46" t="str">
        <f>IF(OR(Registro!D905="Resuelto",Registro!D905=""),"",SUM(C906,F906,I906,L906))</f>
        <v/>
      </c>
      <c r="N906" s="46" t="str">
        <f>IF(OR(Registro!D905="Resuelto",Registro!D905=""),"",SUM(B906,E906,H906,K906))</f>
        <v/>
      </c>
      <c r="O906" s="46" t="str">
        <f>IF(OR(Registro!D905="Resuelto",Registro!D905=""),"",_xlfn.CONCAT(A906,D906,G906,J906))</f>
        <v/>
      </c>
      <c r="P906" s="47">
        <v>898</v>
      </c>
      <c r="Q906" s="47" t="str">
        <f t="shared" ca="1" si="42"/>
        <v/>
      </c>
      <c r="R906" s="48" t="str">
        <f t="shared" ca="1" si="43"/>
        <v/>
      </c>
      <c r="S906" s="32"/>
      <c r="T906" s="32"/>
      <c r="U906" s="32"/>
      <c r="V906" s="32"/>
      <c r="W906" s="47" t="str">
        <f>IF(X906="","",MAX($W$5:W905)+1)</f>
        <v/>
      </c>
      <c r="X906" s="50" t="str">
        <f>IF(Registro!M905="","",IF(COUNTIF($X$8:X905,Registro!M905)=0,Registro!M905,""))</f>
        <v/>
      </c>
      <c r="Y906" s="50" t="str">
        <f t="shared" si="44"/>
        <v/>
      </c>
    </row>
    <row r="907" spans="1:25">
      <c r="A907" s="45" t="str">
        <f>IF(AND(Registro!D906="Abierto",Registro!E906="Urgente"),Registro!B906,"")</f>
        <v/>
      </c>
      <c r="B907" s="45" t="str">
        <f ca="1">IF(AND(Registro!D906="Abierto",Registro!E906="Urgente"),TODAY()-Registro!R906,"")</f>
        <v/>
      </c>
      <c r="C907" s="45" t="str">
        <f>IF(AND(Registro!D906="Abierto",Registro!E906="Urgente"),RANK(B907,$B$9:$B$1000,0)+COUNTIF($B$9:B907,B907)-1,"")</f>
        <v/>
      </c>
      <c r="D907" s="45" t="str">
        <f>IF(AND(Registro!D906="Abierto",Registro!E906="Alta"),Registro!B906,"")</f>
        <v/>
      </c>
      <c r="E907" s="45" t="str">
        <f ca="1">IF(AND(Registro!D906="Abierto",Registro!E906="Alta"),TODAY()-Registro!R906,"")</f>
        <v/>
      </c>
      <c r="F907" s="45" t="str">
        <f>IF(AND(Registro!D906="Abierto",Registro!E906="Alta"),RANK(E907,$E$9:$E$1000,0)+COUNTIF($E$9:E907,E907)-1+MAX(C$5:C$1000),"")</f>
        <v/>
      </c>
      <c r="G907" s="45" t="str">
        <f>IF(AND(Registro!D906="Abierto",Registro!E906="Media"),Registro!B906,"")</f>
        <v/>
      </c>
      <c r="H907" s="45" t="str">
        <f ca="1">IF(AND(Registro!D906="Abierto",Registro!E906="Media"),TODAY()-Registro!R906,"")</f>
        <v/>
      </c>
      <c r="I907" s="45" t="str">
        <f>IF(AND(Registro!D906="Abierto",Registro!E906="Media"),RANK(H907,$H$9:$H$1000,0)+COUNTIF($H$9:H907,H907)-1+MAX(C$5:C$1000,F$5:F$1000),"")</f>
        <v/>
      </c>
      <c r="J907" s="45" t="str">
        <f>IF(AND(Registro!D906="Abierto",Registro!E906="Baja"),Registro!B906,"")</f>
        <v/>
      </c>
      <c r="K907" s="45" t="str">
        <f ca="1">IF(AND(Registro!D906="Abierto",Registro!E906="Baja"),TODAY()-Registro!R906,"")</f>
        <v/>
      </c>
      <c r="L907" s="45" t="str">
        <f>IF(AND(Registro!D906="Abierto",Registro!E906="Baja"),RANK(K907,$K$9:$K$1000,0)+COUNTIF($K$9:K907,K907)-1+MAX(C$5:C$1000,F$5:F$1000,I$5:I$1000),"")</f>
        <v/>
      </c>
      <c r="M907" s="46" t="str">
        <f>IF(OR(Registro!D906="Resuelto",Registro!D906=""),"",SUM(C907,F907,I907,L907))</f>
        <v/>
      </c>
      <c r="N907" s="46" t="str">
        <f>IF(OR(Registro!D906="Resuelto",Registro!D906=""),"",SUM(B907,E907,H907,K907))</f>
        <v/>
      </c>
      <c r="O907" s="46" t="str">
        <f>IF(OR(Registro!D906="Resuelto",Registro!D906=""),"",_xlfn.CONCAT(A907,D907,G907,J907))</f>
        <v/>
      </c>
      <c r="P907" s="47">
        <v>899</v>
      </c>
      <c r="Q907" s="47" t="str">
        <f t="shared" ca="1" si="42"/>
        <v/>
      </c>
      <c r="R907" s="48" t="str">
        <f t="shared" ca="1" si="43"/>
        <v/>
      </c>
      <c r="S907" s="32"/>
      <c r="T907" s="32"/>
      <c r="U907" s="32"/>
      <c r="V907" s="32"/>
      <c r="W907" s="47" t="str">
        <f>IF(X907="","",MAX($W$5:W906)+1)</f>
        <v/>
      </c>
      <c r="X907" s="50" t="str">
        <f>IF(Registro!M906="","",IF(COUNTIF($X$8:X906,Registro!M906)=0,Registro!M906,""))</f>
        <v/>
      </c>
      <c r="Y907" s="50" t="str">
        <f t="shared" si="44"/>
        <v/>
      </c>
    </row>
    <row r="908" spans="1:25">
      <c r="A908" s="45" t="str">
        <f>IF(AND(Registro!D907="Abierto",Registro!E907="Urgente"),Registro!B907,"")</f>
        <v/>
      </c>
      <c r="B908" s="45" t="str">
        <f ca="1">IF(AND(Registro!D907="Abierto",Registro!E907="Urgente"),TODAY()-Registro!R907,"")</f>
        <v/>
      </c>
      <c r="C908" s="45" t="str">
        <f>IF(AND(Registro!D907="Abierto",Registro!E907="Urgente"),RANK(B908,$B$9:$B$1000,0)+COUNTIF($B$9:B908,B908)-1,"")</f>
        <v/>
      </c>
      <c r="D908" s="45" t="str">
        <f>IF(AND(Registro!D907="Abierto",Registro!E907="Alta"),Registro!B907,"")</f>
        <v/>
      </c>
      <c r="E908" s="45" t="str">
        <f ca="1">IF(AND(Registro!D907="Abierto",Registro!E907="Alta"),TODAY()-Registro!R907,"")</f>
        <v/>
      </c>
      <c r="F908" s="45" t="str">
        <f>IF(AND(Registro!D907="Abierto",Registro!E907="Alta"),RANK(E908,$E$9:$E$1000,0)+COUNTIF($E$9:E908,E908)-1+MAX(C$5:C$1000),"")</f>
        <v/>
      </c>
      <c r="G908" s="45" t="str">
        <f>IF(AND(Registro!D907="Abierto",Registro!E907="Media"),Registro!B907,"")</f>
        <v/>
      </c>
      <c r="H908" s="45" t="str">
        <f ca="1">IF(AND(Registro!D907="Abierto",Registro!E907="Media"),TODAY()-Registro!R907,"")</f>
        <v/>
      </c>
      <c r="I908" s="45" t="str">
        <f>IF(AND(Registro!D907="Abierto",Registro!E907="Media"),RANK(H908,$H$9:$H$1000,0)+COUNTIF($H$9:H908,H908)-1+MAX(C$5:C$1000,F$5:F$1000),"")</f>
        <v/>
      </c>
      <c r="J908" s="45" t="str">
        <f>IF(AND(Registro!D907="Abierto",Registro!E907="Baja"),Registro!B907,"")</f>
        <v/>
      </c>
      <c r="K908" s="45" t="str">
        <f ca="1">IF(AND(Registro!D907="Abierto",Registro!E907="Baja"),TODAY()-Registro!R907,"")</f>
        <v/>
      </c>
      <c r="L908" s="45" t="str">
        <f>IF(AND(Registro!D907="Abierto",Registro!E907="Baja"),RANK(K908,$K$9:$K$1000,0)+COUNTIF($K$9:K908,K908)-1+MAX(C$5:C$1000,F$5:F$1000,I$5:I$1000),"")</f>
        <v/>
      </c>
      <c r="M908" s="46" t="str">
        <f>IF(OR(Registro!D907="Resuelto",Registro!D907=""),"",SUM(C908,F908,I908,L908))</f>
        <v/>
      </c>
      <c r="N908" s="46" t="str">
        <f>IF(OR(Registro!D907="Resuelto",Registro!D907=""),"",SUM(B908,E908,H908,K908))</f>
        <v/>
      </c>
      <c r="O908" s="46" t="str">
        <f>IF(OR(Registro!D907="Resuelto",Registro!D907=""),"",_xlfn.CONCAT(A908,D908,G908,J908))</f>
        <v/>
      </c>
      <c r="P908" s="47">
        <v>900</v>
      </c>
      <c r="Q908" s="47" t="str">
        <f t="shared" ca="1" si="42"/>
        <v/>
      </c>
      <c r="R908" s="48" t="str">
        <f t="shared" ca="1" si="43"/>
        <v/>
      </c>
      <c r="S908" s="32"/>
      <c r="T908" s="32"/>
      <c r="U908" s="32"/>
      <c r="V908" s="32"/>
      <c r="W908" s="47" t="str">
        <f>IF(X908="","",MAX($W$5:W907)+1)</f>
        <v/>
      </c>
      <c r="X908" s="50" t="str">
        <f>IF(Registro!M907="","",IF(COUNTIF($X$8:X907,Registro!M907)=0,Registro!M907,""))</f>
        <v/>
      </c>
      <c r="Y908" s="50" t="str">
        <f t="shared" si="44"/>
        <v/>
      </c>
    </row>
    <row r="909" spans="1:25">
      <c r="A909" s="45" t="str">
        <f>IF(AND(Registro!D908="Abierto",Registro!E908="Urgente"),Registro!B908,"")</f>
        <v/>
      </c>
      <c r="B909" s="45" t="str">
        <f ca="1">IF(AND(Registro!D908="Abierto",Registro!E908="Urgente"),TODAY()-Registro!R908,"")</f>
        <v/>
      </c>
      <c r="C909" s="45" t="str">
        <f>IF(AND(Registro!D908="Abierto",Registro!E908="Urgente"),RANK(B909,$B$9:$B$1000,0)+COUNTIF($B$9:B909,B909)-1,"")</f>
        <v/>
      </c>
      <c r="D909" s="45" t="str">
        <f>IF(AND(Registro!D908="Abierto",Registro!E908="Alta"),Registro!B908,"")</f>
        <v/>
      </c>
      <c r="E909" s="45" t="str">
        <f ca="1">IF(AND(Registro!D908="Abierto",Registro!E908="Alta"),TODAY()-Registro!R908,"")</f>
        <v/>
      </c>
      <c r="F909" s="45" t="str">
        <f>IF(AND(Registro!D908="Abierto",Registro!E908="Alta"),RANK(E909,$E$9:$E$1000,0)+COUNTIF($E$9:E909,E909)-1+MAX(C$5:C$1000),"")</f>
        <v/>
      </c>
      <c r="G909" s="45" t="str">
        <f>IF(AND(Registro!D908="Abierto",Registro!E908="Media"),Registro!B908,"")</f>
        <v/>
      </c>
      <c r="H909" s="45" t="str">
        <f ca="1">IF(AND(Registro!D908="Abierto",Registro!E908="Media"),TODAY()-Registro!R908,"")</f>
        <v/>
      </c>
      <c r="I909" s="45" t="str">
        <f>IF(AND(Registro!D908="Abierto",Registro!E908="Media"),RANK(H909,$H$9:$H$1000,0)+COUNTIF($H$9:H909,H909)-1+MAX(C$5:C$1000,F$5:F$1000),"")</f>
        <v/>
      </c>
      <c r="J909" s="45" t="str">
        <f>IF(AND(Registro!D908="Abierto",Registro!E908="Baja"),Registro!B908,"")</f>
        <v/>
      </c>
      <c r="K909" s="45" t="str">
        <f ca="1">IF(AND(Registro!D908="Abierto",Registro!E908="Baja"),TODAY()-Registro!R908,"")</f>
        <v/>
      </c>
      <c r="L909" s="45" t="str">
        <f>IF(AND(Registro!D908="Abierto",Registro!E908="Baja"),RANK(K909,$K$9:$K$1000,0)+COUNTIF($K$9:K909,K909)-1+MAX(C$5:C$1000,F$5:F$1000,I$5:I$1000),"")</f>
        <v/>
      </c>
      <c r="M909" s="46" t="str">
        <f>IF(OR(Registro!D908="Resuelto",Registro!D908=""),"",SUM(C909,F909,I909,L909))</f>
        <v/>
      </c>
      <c r="N909" s="46" t="str">
        <f>IF(OR(Registro!D908="Resuelto",Registro!D908=""),"",SUM(B909,E909,H909,K909))</f>
        <v/>
      </c>
      <c r="O909" s="46" t="str">
        <f>IF(OR(Registro!D908="Resuelto",Registro!D908=""),"",_xlfn.CONCAT(A909,D909,G909,J909))</f>
        <v/>
      </c>
      <c r="P909" s="47">
        <v>901</v>
      </c>
      <c r="Q909" s="47" t="str">
        <f t="shared" ca="1" si="42"/>
        <v/>
      </c>
      <c r="R909" s="48" t="str">
        <f t="shared" ca="1" si="43"/>
        <v/>
      </c>
      <c r="S909" s="32"/>
      <c r="T909" s="32"/>
      <c r="U909" s="32"/>
      <c r="V909" s="32"/>
      <c r="W909" s="47" t="str">
        <f>IF(X909="","",MAX($W$5:W908)+1)</f>
        <v/>
      </c>
      <c r="X909" s="50" t="str">
        <f>IF(Registro!M908="","",IF(COUNTIF($X$8:X908,Registro!M908)=0,Registro!M908,""))</f>
        <v/>
      </c>
      <c r="Y909" s="50" t="str">
        <f t="shared" si="44"/>
        <v/>
      </c>
    </row>
    <row r="910" spans="1:25">
      <c r="A910" s="45" t="str">
        <f>IF(AND(Registro!D909="Abierto",Registro!E909="Urgente"),Registro!B909,"")</f>
        <v/>
      </c>
      <c r="B910" s="45" t="str">
        <f ca="1">IF(AND(Registro!D909="Abierto",Registro!E909="Urgente"),TODAY()-Registro!R909,"")</f>
        <v/>
      </c>
      <c r="C910" s="45" t="str">
        <f>IF(AND(Registro!D909="Abierto",Registro!E909="Urgente"),RANK(B910,$B$9:$B$1000,0)+COUNTIF($B$9:B910,B910)-1,"")</f>
        <v/>
      </c>
      <c r="D910" s="45" t="str">
        <f>IF(AND(Registro!D909="Abierto",Registro!E909="Alta"),Registro!B909,"")</f>
        <v/>
      </c>
      <c r="E910" s="45" t="str">
        <f ca="1">IF(AND(Registro!D909="Abierto",Registro!E909="Alta"),TODAY()-Registro!R909,"")</f>
        <v/>
      </c>
      <c r="F910" s="45" t="str">
        <f>IF(AND(Registro!D909="Abierto",Registro!E909="Alta"),RANK(E910,$E$9:$E$1000,0)+COUNTIF($E$9:E910,E910)-1+MAX(C$5:C$1000),"")</f>
        <v/>
      </c>
      <c r="G910" s="45" t="str">
        <f>IF(AND(Registro!D909="Abierto",Registro!E909="Media"),Registro!B909,"")</f>
        <v/>
      </c>
      <c r="H910" s="45" t="str">
        <f ca="1">IF(AND(Registro!D909="Abierto",Registro!E909="Media"),TODAY()-Registro!R909,"")</f>
        <v/>
      </c>
      <c r="I910" s="45" t="str">
        <f>IF(AND(Registro!D909="Abierto",Registro!E909="Media"),RANK(H910,$H$9:$H$1000,0)+COUNTIF($H$9:H910,H910)-1+MAX(C$5:C$1000,F$5:F$1000),"")</f>
        <v/>
      </c>
      <c r="J910" s="45" t="str">
        <f>IF(AND(Registro!D909="Abierto",Registro!E909="Baja"),Registro!B909,"")</f>
        <v/>
      </c>
      <c r="K910" s="45" t="str">
        <f ca="1">IF(AND(Registro!D909="Abierto",Registro!E909="Baja"),TODAY()-Registro!R909,"")</f>
        <v/>
      </c>
      <c r="L910" s="45" t="str">
        <f>IF(AND(Registro!D909="Abierto",Registro!E909="Baja"),RANK(K910,$K$9:$K$1000,0)+COUNTIF($K$9:K910,K910)-1+MAX(C$5:C$1000,F$5:F$1000,I$5:I$1000),"")</f>
        <v/>
      </c>
      <c r="M910" s="46" t="str">
        <f>IF(OR(Registro!D909="Resuelto",Registro!D909=""),"",SUM(C910,F910,I910,L910))</f>
        <v/>
      </c>
      <c r="N910" s="46" t="str">
        <f>IF(OR(Registro!D909="Resuelto",Registro!D909=""),"",SUM(B910,E910,H910,K910))</f>
        <v/>
      </c>
      <c r="O910" s="46" t="str">
        <f>IF(OR(Registro!D909="Resuelto",Registro!D909=""),"",_xlfn.CONCAT(A910,D910,G910,J910))</f>
        <v/>
      </c>
      <c r="P910" s="47">
        <v>902</v>
      </c>
      <c r="Q910" s="47" t="str">
        <f t="shared" ca="1" si="42"/>
        <v/>
      </c>
      <c r="R910" s="48" t="str">
        <f t="shared" ca="1" si="43"/>
        <v/>
      </c>
      <c r="S910" s="32"/>
      <c r="T910" s="32"/>
      <c r="U910" s="32"/>
      <c r="V910" s="32"/>
      <c r="W910" s="47" t="str">
        <f>IF(X910="","",MAX($W$5:W909)+1)</f>
        <v/>
      </c>
      <c r="X910" s="50" t="str">
        <f>IF(Registro!M909="","",IF(COUNTIF($X$8:X909,Registro!M909)=0,Registro!M909,""))</f>
        <v/>
      </c>
      <c r="Y910" s="50" t="str">
        <f t="shared" si="44"/>
        <v/>
      </c>
    </row>
    <row r="911" spans="1:25">
      <c r="A911" s="45" t="str">
        <f>IF(AND(Registro!D910="Abierto",Registro!E910="Urgente"),Registro!B910,"")</f>
        <v/>
      </c>
      <c r="B911" s="45" t="str">
        <f ca="1">IF(AND(Registro!D910="Abierto",Registro!E910="Urgente"),TODAY()-Registro!R910,"")</f>
        <v/>
      </c>
      <c r="C911" s="45" t="str">
        <f>IF(AND(Registro!D910="Abierto",Registro!E910="Urgente"),RANK(B911,$B$9:$B$1000,0)+COUNTIF($B$9:B911,B911)-1,"")</f>
        <v/>
      </c>
      <c r="D911" s="45" t="str">
        <f>IF(AND(Registro!D910="Abierto",Registro!E910="Alta"),Registro!B910,"")</f>
        <v/>
      </c>
      <c r="E911" s="45" t="str">
        <f ca="1">IF(AND(Registro!D910="Abierto",Registro!E910="Alta"),TODAY()-Registro!R910,"")</f>
        <v/>
      </c>
      <c r="F911" s="45" t="str">
        <f>IF(AND(Registro!D910="Abierto",Registro!E910="Alta"),RANK(E911,$E$9:$E$1000,0)+COUNTIF($E$9:E911,E911)-1+MAX(C$5:C$1000),"")</f>
        <v/>
      </c>
      <c r="G911" s="45" t="str">
        <f>IF(AND(Registro!D910="Abierto",Registro!E910="Media"),Registro!B910,"")</f>
        <v/>
      </c>
      <c r="H911" s="45" t="str">
        <f ca="1">IF(AND(Registro!D910="Abierto",Registro!E910="Media"),TODAY()-Registro!R910,"")</f>
        <v/>
      </c>
      <c r="I911" s="45" t="str">
        <f>IF(AND(Registro!D910="Abierto",Registro!E910="Media"),RANK(H911,$H$9:$H$1000,0)+COUNTIF($H$9:H911,H911)-1+MAX(C$5:C$1000,F$5:F$1000),"")</f>
        <v/>
      </c>
      <c r="J911" s="45" t="str">
        <f>IF(AND(Registro!D910="Abierto",Registro!E910="Baja"),Registro!B910,"")</f>
        <v/>
      </c>
      <c r="K911" s="45" t="str">
        <f ca="1">IF(AND(Registro!D910="Abierto",Registro!E910="Baja"),TODAY()-Registro!R910,"")</f>
        <v/>
      </c>
      <c r="L911" s="45" t="str">
        <f>IF(AND(Registro!D910="Abierto",Registro!E910="Baja"),RANK(K911,$K$9:$K$1000,0)+COUNTIF($K$9:K911,K911)-1+MAX(C$5:C$1000,F$5:F$1000,I$5:I$1000),"")</f>
        <v/>
      </c>
      <c r="M911" s="46" t="str">
        <f>IF(OR(Registro!D910="Resuelto",Registro!D910=""),"",SUM(C911,F911,I911,L911))</f>
        <v/>
      </c>
      <c r="N911" s="46" t="str">
        <f>IF(OR(Registro!D910="Resuelto",Registro!D910=""),"",SUM(B911,E911,H911,K911))</f>
        <v/>
      </c>
      <c r="O911" s="46" t="str">
        <f>IF(OR(Registro!D910="Resuelto",Registro!D910=""),"",_xlfn.CONCAT(A911,D911,G911,J911))</f>
        <v/>
      </c>
      <c r="P911" s="47">
        <v>903</v>
      </c>
      <c r="Q911" s="47" t="str">
        <f t="shared" ca="1" si="42"/>
        <v/>
      </c>
      <c r="R911" s="48" t="str">
        <f t="shared" ca="1" si="43"/>
        <v/>
      </c>
      <c r="S911" s="32"/>
      <c r="T911" s="32"/>
      <c r="U911" s="32"/>
      <c r="V911" s="32"/>
      <c r="W911" s="47" t="str">
        <f>IF(X911="","",MAX($W$5:W910)+1)</f>
        <v/>
      </c>
      <c r="X911" s="50" t="str">
        <f>IF(Registro!M910="","",IF(COUNTIF($X$8:X910,Registro!M910)=0,Registro!M910,""))</f>
        <v/>
      </c>
      <c r="Y911" s="50" t="str">
        <f t="shared" si="44"/>
        <v/>
      </c>
    </row>
    <row r="912" spans="1:25">
      <c r="A912" s="45" t="str">
        <f>IF(AND(Registro!D911="Abierto",Registro!E911="Urgente"),Registro!B911,"")</f>
        <v/>
      </c>
      <c r="B912" s="45" t="str">
        <f ca="1">IF(AND(Registro!D911="Abierto",Registro!E911="Urgente"),TODAY()-Registro!R911,"")</f>
        <v/>
      </c>
      <c r="C912" s="45" t="str">
        <f>IF(AND(Registro!D911="Abierto",Registro!E911="Urgente"),RANK(B912,$B$9:$B$1000,0)+COUNTIF($B$9:B912,B912)-1,"")</f>
        <v/>
      </c>
      <c r="D912" s="45" t="str">
        <f>IF(AND(Registro!D911="Abierto",Registro!E911="Alta"),Registro!B911,"")</f>
        <v/>
      </c>
      <c r="E912" s="45" t="str">
        <f ca="1">IF(AND(Registro!D911="Abierto",Registro!E911="Alta"),TODAY()-Registro!R911,"")</f>
        <v/>
      </c>
      <c r="F912" s="45" t="str">
        <f>IF(AND(Registro!D911="Abierto",Registro!E911="Alta"),RANK(E912,$E$9:$E$1000,0)+COUNTIF($E$9:E912,E912)-1+MAX(C$5:C$1000),"")</f>
        <v/>
      </c>
      <c r="G912" s="45" t="str">
        <f>IF(AND(Registro!D911="Abierto",Registro!E911="Media"),Registro!B911,"")</f>
        <v/>
      </c>
      <c r="H912" s="45" t="str">
        <f ca="1">IF(AND(Registro!D911="Abierto",Registro!E911="Media"),TODAY()-Registro!R911,"")</f>
        <v/>
      </c>
      <c r="I912" s="45" t="str">
        <f>IF(AND(Registro!D911="Abierto",Registro!E911="Media"),RANK(H912,$H$9:$H$1000,0)+COUNTIF($H$9:H912,H912)-1+MAX(C$5:C$1000,F$5:F$1000),"")</f>
        <v/>
      </c>
      <c r="J912" s="45" t="str">
        <f>IF(AND(Registro!D911="Abierto",Registro!E911="Baja"),Registro!B911,"")</f>
        <v/>
      </c>
      <c r="K912" s="45" t="str">
        <f ca="1">IF(AND(Registro!D911="Abierto",Registro!E911="Baja"),TODAY()-Registro!R911,"")</f>
        <v/>
      </c>
      <c r="L912" s="45" t="str">
        <f>IF(AND(Registro!D911="Abierto",Registro!E911="Baja"),RANK(K912,$K$9:$K$1000,0)+COUNTIF($K$9:K912,K912)-1+MAX(C$5:C$1000,F$5:F$1000,I$5:I$1000),"")</f>
        <v/>
      </c>
      <c r="M912" s="46" t="str">
        <f>IF(OR(Registro!D911="Resuelto",Registro!D911=""),"",SUM(C912,F912,I912,L912))</f>
        <v/>
      </c>
      <c r="N912" s="46" t="str">
        <f>IF(OR(Registro!D911="Resuelto",Registro!D911=""),"",SUM(B912,E912,H912,K912))</f>
        <v/>
      </c>
      <c r="O912" s="46" t="str">
        <f>IF(OR(Registro!D911="Resuelto",Registro!D911=""),"",_xlfn.CONCAT(A912,D912,G912,J912))</f>
        <v/>
      </c>
      <c r="P912" s="47">
        <v>904</v>
      </c>
      <c r="Q912" s="47" t="str">
        <f t="shared" ca="1" si="42"/>
        <v/>
      </c>
      <c r="R912" s="48" t="str">
        <f t="shared" ca="1" si="43"/>
        <v/>
      </c>
      <c r="S912" s="32"/>
      <c r="T912" s="32"/>
      <c r="U912" s="32"/>
      <c r="V912" s="32"/>
      <c r="W912" s="47" t="str">
        <f>IF(X912="","",MAX($W$5:W911)+1)</f>
        <v/>
      </c>
      <c r="X912" s="50" t="str">
        <f>IF(Registro!M911="","",IF(COUNTIF($X$8:X911,Registro!M911)=0,Registro!M911,""))</f>
        <v/>
      </c>
      <c r="Y912" s="50" t="str">
        <f t="shared" si="44"/>
        <v/>
      </c>
    </row>
    <row r="913" spans="1:25">
      <c r="A913" s="45" t="str">
        <f>IF(AND(Registro!D912="Abierto",Registro!E912="Urgente"),Registro!B912,"")</f>
        <v/>
      </c>
      <c r="B913" s="45" t="str">
        <f ca="1">IF(AND(Registro!D912="Abierto",Registro!E912="Urgente"),TODAY()-Registro!R912,"")</f>
        <v/>
      </c>
      <c r="C913" s="45" t="str">
        <f>IF(AND(Registro!D912="Abierto",Registro!E912="Urgente"),RANK(B913,$B$9:$B$1000,0)+COUNTIF($B$9:B913,B913)-1,"")</f>
        <v/>
      </c>
      <c r="D913" s="45" t="str">
        <f>IF(AND(Registro!D912="Abierto",Registro!E912="Alta"),Registro!B912,"")</f>
        <v/>
      </c>
      <c r="E913" s="45" t="str">
        <f ca="1">IF(AND(Registro!D912="Abierto",Registro!E912="Alta"),TODAY()-Registro!R912,"")</f>
        <v/>
      </c>
      <c r="F913" s="45" t="str">
        <f>IF(AND(Registro!D912="Abierto",Registro!E912="Alta"),RANK(E913,$E$9:$E$1000,0)+COUNTIF($E$9:E913,E913)-1+MAX(C$5:C$1000),"")</f>
        <v/>
      </c>
      <c r="G913" s="45" t="str">
        <f>IF(AND(Registro!D912="Abierto",Registro!E912="Media"),Registro!B912,"")</f>
        <v/>
      </c>
      <c r="H913" s="45" t="str">
        <f ca="1">IF(AND(Registro!D912="Abierto",Registro!E912="Media"),TODAY()-Registro!R912,"")</f>
        <v/>
      </c>
      <c r="I913" s="45" t="str">
        <f>IF(AND(Registro!D912="Abierto",Registro!E912="Media"),RANK(H913,$H$9:$H$1000,0)+COUNTIF($H$9:H913,H913)-1+MAX(C$5:C$1000,F$5:F$1000),"")</f>
        <v/>
      </c>
      <c r="J913" s="45" t="str">
        <f>IF(AND(Registro!D912="Abierto",Registro!E912="Baja"),Registro!B912,"")</f>
        <v/>
      </c>
      <c r="K913" s="45" t="str">
        <f ca="1">IF(AND(Registro!D912="Abierto",Registro!E912="Baja"),TODAY()-Registro!R912,"")</f>
        <v/>
      </c>
      <c r="L913" s="45" t="str">
        <f>IF(AND(Registro!D912="Abierto",Registro!E912="Baja"),RANK(K913,$K$9:$K$1000,0)+COUNTIF($K$9:K913,K913)-1+MAX(C$5:C$1000,F$5:F$1000,I$5:I$1000),"")</f>
        <v/>
      </c>
      <c r="M913" s="46" t="str">
        <f>IF(OR(Registro!D912="Resuelto",Registro!D912=""),"",SUM(C913,F913,I913,L913))</f>
        <v/>
      </c>
      <c r="N913" s="46" t="str">
        <f>IF(OR(Registro!D912="Resuelto",Registro!D912=""),"",SUM(B913,E913,H913,K913))</f>
        <v/>
      </c>
      <c r="O913" s="46" t="str">
        <f>IF(OR(Registro!D912="Resuelto",Registro!D912=""),"",_xlfn.CONCAT(A913,D913,G913,J913))</f>
        <v/>
      </c>
      <c r="P913" s="47">
        <v>905</v>
      </c>
      <c r="Q913" s="47" t="str">
        <f t="shared" ca="1" si="42"/>
        <v/>
      </c>
      <c r="R913" s="48" t="str">
        <f t="shared" ca="1" si="43"/>
        <v/>
      </c>
      <c r="S913" s="32"/>
      <c r="T913" s="32"/>
      <c r="U913" s="32"/>
      <c r="V913" s="32"/>
      <c r="W913" s="47" t="str">
        <f>IF(X913="","",MAX($W$5:W912)+1)</f>
        <v/>
      </c>
      <c r="X913" s="50" t="str">
        <f>IF(Registro!M912="","",IF(COUNTIF($X$8:X912,Registro!M912)=0,Registro!M912,""))</f>
        <v/>
      </c>
      <c r="Y913" s="50" t="str">
        <f t="shared" si="44"/>
        <v/>
      </c>
    </row>
    <row r="914" spans="1:25">
      <c r="A914" s="45" t="str">
        <f>IF(AND(Registro!D913="Abierto",Registro!E913="Urgente"),Registro!B913,"")</f>
        <v/>
      </c>
      <c r="B914" s="45" t="str">
        <f ca="1">IF(AND(Registro!D913="Abierto",Registro!E913="Urgente"),TODAY()-Registro!R913,"")</f>
        <v/>
      </c>
      <c r="C914" s="45" t="str">
        <f>IF(AND(Registro!D913="Abierto",Registro!E913="Urgente"),RANK(B914,$B$9:$B$1000,0)+COUNTIF($B$9:B914,B914)-1,"")</f>
        <v/>
      </c>
      <c r="D914" s="45" t="str">
        <f>IF(AND(Registro!D913="Abierto",Registro!E913="Alta"),Registro!B913,"")</f>
        <v/>
      </c>
      <c r="E914" s="45" t="str">
        <f ca="1">IF(AND(Registro!D913="Abierto",Registro!E913="Alta"),TODAY()-Registro!R913,"")</f>
        <v/>
      </c>
      <c r="F914" s="45" t="str">
        <f>IF(AND(Registro!D913="Abierto",Registro!E913="Alta"),RANK(E914,$E$9:$E$1000,0)+COUNTIF($E$9:E914,E914)-1+MAX(C$5:C$1000),"")</f>
        <v/>
      </c>
      <c r="G914" s="45" t="str">
        <f>IF(AND(Registro!D913="Abierto",Registro!E913="Media"),Registro!B913,"")</f>
        <v/>
      </c>
      <c r="H914" s="45" t="str">
        <f ca="1">IF(AND(Registro!D913="Abierto",Registro!E913="Media"),TODAY()-Registro!R913,"")</f>
        <v/>
      </c>
      <c r="I914" s="45" t="str">
        <f>IF(AND(Registro!D913="Abierto",Registro!E913="Media"),RANK(H914,$H$9:$H$1000,0)+COUNTIF($H$9:H914,H914)-1+MAX(C$5:C$1000,F$5:F$1000),"")</f>
        <v/>
      </c>
      <c r="J914" s="45" t="str">
        <f>IF(AND(Registro!D913="Abierto",Registro!E913="Baja"),Registro!B913,"")</f>
        <v/>
      </c>
      <c r="K914" s="45" t="str">
        <f ca="1">IF(AND(Registro!D913="Abierto",Registro!E913="Baja"),TODAY()-Registro!R913,"")</f>
        <v/>
      </c>
      <c r="L914" s="45" t="str">
        <f>IF(AND(Registro!D913="Abierto",Registro!E913="Baja"),RANK(K914,$K$9:$K$1000,0)+COUNTIF($K$9:K914,K914)-1+MAX(C$5:C$1000,F$5:F$1000,I$5:I$1000),"")</f>
        <v/>
      </c>
      <c r="M914" s="46" t="str">
        <f>IF(OR(Registro!D913="Resuelto",Registro!D913=""),"",SUM(C914,F914,I914,L914))</f>
        <v/>
      </c>
      <c r="N914" s="46" t="str">
        <f>IF(OR(Registro!D913="Resuelto",Registro!D913=""),"",SUM(B914,E914,H914,K914))</f>
        <v/>
      </c>
      <c r="O914" s="46" t="str">
        <f>IF(OR(Registro!D913="Resuelto",Registro!D913=""),"",_xlfn.CONCAT(A914,D914,G914,J914))</f>
        <v/>
      </c>
      <c r="P914" s="47">
        <v>906</v>
      </c>
      <c r="Q914" s="47" t="str">
        <f t="shared" ca="1" si="42"/>
        <v/>
      </c>
      <c r="R914" s="48" t="str">
        <f t="shared" ca="1" si="43"/>
        <v/>
      </c>
      <c r="S914" s="32"/>
      <c r="T914" s="32"/>
      <c r="U914" s="32"/>
      <c r="V914" s="32"/>
      <c r="W914" s="47" t="str">
        <f>IF(X914="","",MAX($W$5:W913)+1)</f>
        <v/>
      </c>
      <c r="X914" s="50" t="str">
        <f>IF(Registro!M913="","",IF(COUNTIF($X$8:X913,Registro!M913)=0,Registro!M913,""))</f>
        <v/>
      </c>
      <c r="Y914" s="50" t="str">
        <f t="shared" si="44"/>
        <v/>
      </c>
    </row>
    <row r="915" spans="1:25">
      <c r="A915" s="45" t="str">
        <f>IF(AND(Registro!D914="Abierto",Registro!E914="Urgente"),Registro!B914,"")</f>
        <v/>
      </c>
      <c r="B915" s="45" t="str">
        <f ca="1">IF(AND(Registro!D914="Abierto",Registro!E914="Urgente"),TODAY()-Registro!R914,"")</f>
        <v/>
      </c>
      <c r="C915" s="45" t="str">
        <f>IF(AND(Registro!D914="Abierto",Registro!E914="Urgente"),RANK(B915,$B$9:$B$1000,0)+COUNTIF($B$9:B915,B915)-1,"")</f>
        <v/>
      </c>
      <c r="D915" s="45" t="str">
        <f>IF(AND(Registro!D914="Abierto",Registro!E914="Alta"),Registro!B914,"")</f>
        <v/>
      </c>
      <c r="E915" s="45" t="str">
        <f ca="1">IF(AND(Registro!D914="Abierto",Registro!E914="Alta"),TODAY()-Registro!R914,"")</f>
        <v/>
      </c>
      <c r="F915" s="45" t="str">
        <f>IF(AND(Registro!D914="Abierto",Registro!E914="Alta"),RANK(E915,$E$9:$E$1000,0)+COUNTIF($E$9:E915,E915)-1+MAX(C$5:C$1000),"")</f>
        <v/>
      </c>
      <c r="G915" s="45" t="str">
        <f>IF(AND(Registro!D914="Abierto",Registro!E914="Media"),Registro!B914,"")</f>
        <v/>
      </c>
      <c r="H915" s="45" t="str">
        <f ca="1">IF(AND(Registro!D914="Abierto",Registro!E914="Media"),TODAY()-Registro!R914,"")</f>
        <v/>
      </c>
      <c r="I915" s="45" t="str">
        <f>IF(AND(Registro!D914="Abierto",Registro!E914="Media"),RANK(H915,$H$9:$H$1000,0)+COUNTIF($H$9:H915,H915)-1+MAX(C$5:C$1000,F$5:F$1000),"")</f>
        <v/>
      </c>
      <c r="J915" s="45" t="str">
        <f>IF(AND(Registro!D914="Abierto",Registro!E914="Baja"),Registro!B914,"")</f>
        <v/>
      </c>
      <c r="K915" s="45" t="str">
        <f ca="1">IF(AND(Registro!D914="Abierto",Registro!E914="Baja"),TODAY()-Registro!R914,"")</f>
        <v/>
      </c>
      <c r="L915" s="45" t="str">
        <f>IF(AND(Registro!D914="Abierto",Registro!E914="Baja"),RANK(K915,$K$9:$K$1000,0)+COUNTIF($K$9:K915,K915)-1+MAX(C$5:C$1000,F$5:F$1000,I$5:I$1000),"")</f>
        <v/>
      </c>
      <c r="M915" s="46" t="str">
        <f>IF(OR(Registro!D914="Resuelto",Registro!D914=""),"",SUM(C915,F915,I915,L915))</f>
        <v/>
      </c>
      <c r="N915" s="46" t="str">
        <f>IF(OR(Registro!D914="Resuelto",Registro!D914=""),"",SUM(B915,E915,H915,K915))</f>
        <v/>
      </c>
      <c r="O915" s="46" t="str">
        <f>IF(OR(Registro!D914="Resuelto",Registro!D914=""),"",_xlfn.CONCAT(A915,D915,G915,J915))</f>
        <v/>
      </c>
      <c r="P915" s="47">
        <v>907</v>
      </c>
      <c r="Q915" s="47" t="str">
        <f t="shared" ca="1" si="42"/>
        <v/>
      </c>
      <c r="R915" s="48" t="str">
        <f t="shared" ca="1" si="43"/>
        <v/>
      </c>
      <c r="S915" s="32"/>
      <c r="T915" s="32"/>
      <c r="U915" s="32"/>
      <c r="V915" s="32"/>
      <c r="W915" s="47" t="str">
        <f>IF(X915="","",MAX($W$5:W914)+1)</f>
        <v/>
      </c>
      <c r="X915" s="50" t="str">
        <f>IF(Registro!M914="","",IF(COUNTIF($X$8:X914,Registro!M914)=0,Registro!M914,""))</f>
        <v/>
      </c>
      <c r="Y915" s="50" t="str">
        <f t="shared" si="44"/>
        <v/>
      </c>
    </row>
    <row r="916" spans="1:25">
      <c r="A916" s="45" t="str">
        <f>IF(AND(Registro!D915="Abierto",Registro!E915="Urgente"),Registro!B915,"")</f>
        <v/>
      </c>
      <c r="B916" s="45" t="str">
        <f ca="1">IF(AND(Registro!D915="Abierto",Registro!E915="Urgente"),TODAY()-Registro!R915,"")</f>
        <v/>
      </c>
      <c r="C916" s="45" t="str">
        <f>IF(AND(Registro!D915="Abierto",Registro!E915="Urgente"),RANK(B916,$B$9:$B$1000,0)+COUNTIF($B$9:B916,B916)-1,"")</f>
        <v/>
      </c>
      <c r="D916" s="45" t="str">
        <f>IF(AND(Registro!D915="Abierto",Registro!E915="Alta"),Registro!B915,"")</f>
        <v/>
      </c>
      <c r="E916" s="45" t="str">
        <f ca="1">IF(AND(Registro!D915="Abierto",Registro!E915="Alta"),TODAY()-Registro!R915,"")</f>
        <v/>
      </c>
      <c r="F916" s="45" t="str">
        <f>IF(AND(Registro!D915="Abierto",Registro!E915="Alta"),RANK(E916,$E$9:$E$1000,0)+COUNTIF($E$9:E916,E916)-1+MAX(C$5:C$1000),"")</f>
        <v/>
      </c>
      <c r="G916" s="45" t="str">
        <f>IF(AND(Registro!D915="Abierto",Registro!E915="Media"),Registro!B915,"")</f>
        <v/>
      </c>
      <c r="H916" s="45" t="str">
        <f ca="1">IF(AND(Registro!D915="Abierto",Registro!E915="Media"),TODAY()-Registro!R915,"")</f>
        <v/>
      </c>
      <c r="I916" s="45" t="str">
        <f>IF(AND(Registro!D915="Abierto",Registro!E915="Media"),RANK(H916,$H$9:$H$1000,0)+COUNTIF($H$9:H916,H916)-1+MAX(C$5:C$1000,F$5:F$1000),"")</f>
        <v/>
      </c>
      <c r="J916" s="45" t="str">
        <f>IF(AND(Registro!D915="Abierto",Registro!E915="Baja"),Registro!B915,"")</f>
        <v/>
      </c>
      <c r="K916" s="45" t="str">
        <f ca="1">IF(AND(Registro!D915="Abierto",Registro!E915="Baja"),TODAY()-Registro!R915,"")</f>
        <v/>
      </c>
      <c r="L916" s="45" t="str">
        <f>IF(AND(Registro!D915="Abierto",Registro!E915="Baja"),RANK(K916,$K$9:$K$1000,0)+COUNTIF($K$9:K916,K916)-1+MAX(C$5:C$1000,F$5:F$1000,I$5:I$1000),"")</f>
        <v/>
      </c>
      <c r="M916" s="46" t="str">
        <f>IF(OR(Registro!D915="Resuelto",Registro!D915=""),"",SUM(C916,F916,I916,L916))</f>
        <v/>
      </c>
      <c r="N916" s="46" t="str">
        <f>IF(OR(Registro!D915="Resuelto",Registro!D915=""),"",SUM(B916,E916,H916,K916))</f>
        <v/>
      </c>
      <c r="O916" s="46" t="str">
        <f>IF(OR(Registro!D915="Resuelto",Registro!D915=""),"",_xlfn.CONCAT(A916,D916,G916,J916))</f>
        <v/>
      </c>
      <c r="P916" s="47">
        <v>908</v>
      </c>
      <c r="Q916" s="47" t="str">
        <f t="shared" ca="1" si="42"/>
        <v/>
      </c>
      <c r="R916" s="48" t="str">
        <f t="shared" ca="1" si="43"/>
        <v/>
      </c>
      <c r="S916" s="32"/>
      <c r="T916" s="32"/>
      <c r="U916" s="32"/>
      <c r="V916" s="32"/>
      <c r="W916" s="47" t="str">
        <f>IF(X916="","",MAX($W$5:W915)+1)</f>
        <v/>
      </c>
      <c r="X916" s="50" t="str">
        <f>IF(Registro!M915="","",IF(COUNTIF($X$8:X915,Registro!M915)=0,Registro!M915,""))</f>
        <v/>
      </c>
      <c r="Y916" s="50" t="str">
        <f t="shared" si="44"/>
        <v/>
      </c>
    </row>
    <row r="917" spans="1:25">
      <c r="A917" s="45" t="str">
        <f>IF(AND(Registro!D916="Abierto",Registro!E916="Urgente"),Registro!B916,"")</f>
        <v/>
      </c>
      <c r="B917" s="45" t="str">
        <f ca="1">IF(AND(Registro!D916="Abierto",Registro!E916="Urgente"),TODAY()-Registro!R916,"")</f>
        <v/>
      </c>
      <c r="C917" s="45" t="str">
        <f>IF(AND(Registro!D916="Abierto",Registro!E916="Urgente"),RANK(B917,$B$9:$B$1000,0)+COUNTIF($B$9:B917,B917)-1,"")</f>
        <v/>
      </c>
      <c r="D917" s="45" t="str">
        <f>IF(AND(Registro!D916="Abierto",Registro!E916="Alta"),Registro!B916,"")</f>
        <v/>
      </c>
      <c r="E917" s="45" t="str">
        <f ca="1">IF(AND(Registro!D916="Abierto",Registro!E916="Alta"),TODAY()-Registro!R916,"")</f>
        <v/>
      </c>
      <c r="F917" s="45" t="str">
        <f>IF(AND(Registro!D916="Abierto",Registro!E916="Alta"),RANK(E917,$E$9:$E$1000,0)+COUNTIF($E$9:E917,E917)-1+MAX(C$5:C$1000),"")</f>
        <v/>
      </c>
      <c r="G917" s="45" t="str">
        <f>IF(AND(Registro!D916="Abierto",Registro!E916="Media"),Registro!B916,"")</f>
        <v/>
      </c>
      <c r="H917" s="45" t="str">
        <f ca="1">IF(AND(Registro!D916="Abierto",Registro!E916="Media"),TODAY()-Registro!R916,"")</f>
        <v/>
      </c>
      <c r="I917" s="45" t="str">
        <f>IF(AND(Registro!D916="Abierto",Registro!E916="Media"),RANK(H917,$H$9:$H$1000,0)+COUNTIF($H$9:H917,H917)-1+MAX(C$5:C$1000,F$5:F$1000),"")</f>
        <v/>
      </c>
      <c r="J917" s="45" t="str">
        <f>IF(AND(Registro!D916="Abierto",Registro!E916="Baja"),Registro!B916,"")</f>
        <v/>
      </c>
      <c r="K917" s="45" t="str">
        <f ca="1">IF(AND(Registro!D916="Abierto",Registro!E916="Baja"),TODAY()-Registro!R916,"")</f>
        <v/>
      </c>
      <c r="L917" s="45" t="str">
        <f>IF(AND(Registro!D916="Abierto",Registro!E916="Baja"),RANK(K917,$K$9:$K$1000,0)+COUNTIF($K$9:K917,K917)-1+MAX(C$5:C$1000,F$5:F$1000,I$5:I$1000),"")</f>
        <v/>
      </c>
      <c r="M917" s="46" t="str">
        <f>IF(OR(Registro!D916="Resuelto",Registro!D916=""),"",SUM(C917,F917,I917,L917))</f>
        <v/>
      </c>
      <c r="N917" s="46" t="str">
        <f>IF(OR(Registro!D916="Resuelto",Registro!D916=""),"",SUM(B917,E917,H917,K917))</f>
        <v/>
      </c>
      <c r="O917" s="46" t="str">
        <f>IF(OR(Registro!D916="Resuelto",Registro!D916=""),"",_xlfn.CONCAT(A917,D917,G917,J917))</f>
        <v/>
      </c>
      <c r="P917" s="47">
        <v>909</v>
      </c>
      <c r="Q917" s="47" t="str">
        <f t="shared" ca="1" si="42"/>
        <v/>
      </c>
      <c r="R917" s="48" t="str">
        <f t="shared" ca="1" si="43"/>
        <v/>
      </c>
      <c r="S917" s="32"/>
      <c r="T917" s="32"/>
      <c r="U917" s="32"/>
      <c r="V917" s="32"/>
      <c r="W917" s="47" t="str">
        <f>IF(X917="","",MAX($W$5:W916)+1)</f>
        <v/>
      </c>
      <c r="X917" s="50" t="str">
        <f>IF(Registro!M916="","",IF(COUNTIF($X$8:X916,Registro!M916)=0,Registro!M916,""))</f>
        <v/>
      </c>
      <c r="Y917" s="50" t="str">
        <f t="shared" si="44"/>
        <v/>
      </c>
    </row>
    <row r="918" spans="1:25">
      <c r="A918" s="45" t="str">
        <f>IF(AND(Registro!D917="Abierto",Registro!E917="Urgente"),Registro!B917,"")</f>
        <v/>
      </c>
      <c r="B918" s="45" t="str">
        <f ca="1">IF(AND(Registro!D917="Abierto",Registro!E917="Urgente"),TODAY()-Registro!R917,"")</f>
        <v/>
      </c>
      <c r="C918" s="45" t="str">
        <f>IF(AND(Registro!D917="Abierto",Registro!E917="Urgente"),RANK(B918,$B$9:$B$1000,0)+COUNTIF($B$9:B918,B918)-1,"")</f>
        <v/>
      </c>
      <c r="D918" s="45" t="str">
        <f>IF(AND(Registro!D917="Abierto",Registro!E917="Alta"),Registro!B917,"")</f>
        <v/>
      </c>
      <c r="E918" s="45" t="str">
        <f ca="1">IF(AND(Registro!D917="Abierto",Registro!E917="Alta"),TODAY()-Registro!R917,"")</f>
        <v/>
      </c>
      <c r="F918" s="45" t="str">
        <f>IF(AND(Registro!D917="Abierto",Registro!E917="Alta"),RANK(E918,$E$9:$E$1000,0)+COUNTIF($E$9:E918,E918)-1+MAX(C$5:C$1000),"")</f>
        <v/>
      </c>
      <c r="G918" s="45" t="str">
        <f>IF(AND(Registro!D917="Abierto",Registro!E917="Media"),Registro!B917,"")</f>
        <v/>
      </c>
      <c r="H918" s="45" t="str">
        <f ca="1">IF(AND(Registro!D917="Abierto",Registro!E917="Media"),TODAY()-Registro!R917,"")</f>
        <v/>
      </c>
      <c r="I918" s="45" t="str">
        <f>IF(AND(Registro!D917="Abierto",Registro!E917="Media"),RANK(H918,$H$9:$H$1000,0)+COUNTIF($H$9:H918,H918)-1+MAX(C$5:C$1000,F$5:F$1000),"")</f>
        <v/>
      </c>
      <c r="J918" s="45" t="str">
        <f>IF(AND(Registro!D917="Abierto",Registro!E917="Baja"),Registro!B917,"")</f>
        <v/>
      </c>
      <c r="K918" s="45" t="str">
        <f ca="1">IF(AND(Registro!D917="Abierto",Registro!E917="Baja"),TODAY()-Registro!R917,"")</f>
        <v/>
      </c>
      <c r="L918" s="45" t="str">
        <f>IF(AND(Registro!D917="Abierto",Registro!E917="Baja"),RANK(K918,$K$9:$K$1000,0)+COUNTIF($K$9:K918,K918)-1+MAX(C$5:C$1000,F$5:F$1000,I$5:I$1000),"")</f>
        <v/>
      </c>
      <c r="M918" s="46" t="str">
        <f>IF(OR(Registro!D917="Resuelto",Registro!D917=""),"",SUM(C918,F918,I918,L918))</f>
        <v/>
      </c>
      <c r="N918" s="46" t="str">
        <f>IF(OR(Registro!D917="Resuelto",Registro!D917=""),"",SUM(B918,E918,H918,K918))</f>
        <v/>
      </c>
      <c r="O918" s="46" t="str">
        <f>IF(OR(Registro!D917="Resuelto",Registro!D917=""),"",_xlfn.CONCAT(A918,D918,G918,J918))</f>
        <v/>
      </c>
      <c r="P918" s="47">
        <v>910</v>
      </c>
      <c r="Q918" s="47" t="str">
        <f t="shared" ca="1" si="42"/>
        <v/>
      </c>
      <c r="R918" s="48" t="str">
        <f t="shared" ca="1" si="43"/>
        <v/>
      </c>
      <c r="S918" s="32"/>
      <c r="T918" s="32"/>
      <c r="U918" s="32"/>
      <c r="V918" s="32"/>
      <c r="W918" s="47" t="str">
        <f>IF(X918="","",MAX($W$5:W917)+1)</f>
        <v/>
      </c>
      <c r="X918" s="50" t="str">
        <f>IF(Registro!M917="","",IF(COUNTIF($X$8:X917,Registro!M917)=0,Registro!M917,""))</f>
        <v/>
      </c>
      <c r="Y918" s="50" t="str">
        <f t="shared" si="44"/>
        <v/>
      </c>
    </row>
    <row r="919" spans="1:25">
      <c r="A919" s="45" t="str">
        <f>IF(AND(Registro!D918="Abierto",Registro!E918="Urgente"),Registro!B918,"")</f>
        <v/>
      </c>
      <c r="B919" s="45" t="str">
        <f ca="1">IF(AND(Registro!D918="Abierto",Registro!E918="Urgente"),TODAY()-Registro!R918,"")</f>
        <v/>
      </c>
      <c r="C919" s="45" t="str">
        <f>IF(AND(Registro!D918="Abierto",Registro!E918="Urgente"),RANK(B919,$B$9:$B$1000,0)+COUNTIF($B$9:B919,B919)-1,"")</f>
        <v/>
      </c>
      <c r="D919" s="45" t="str">
        <f>IF(AND(Registro!D918="Abierto",Registro!E918="Alta"),Registro!B918,"")</f>
        <v/>
      </c>
      <c r="E919" s="45" t="str">
        <f ca="1">IF(AND(Registro!D918="Abierto",Registro!E918="Alta"),TODAY()-Registro!R918,"")</f>
        <v/>
      </c>
      <c r="F919" s="45" t="str">
        <f>IF(AND(Registro!D918="Abierto",Registro!E918="Alta"),RANK(E919,$E$9:$E$1000,0)+COUNTIF($E$9:E919,E919)-1+MAX(C$5:C$1000),"")</f>
        <v/>
      </c>
      <c r="G919" s="45" t="str">
        <f>IF(AND(Registro!D918="Abierto",Registro!E918="Media"),Registro!B918,"")</f>
        <v/>
      </c>
      <c r="H919" s="45" t="str">
        <f ca="1">IF(AND(Registro!D918="Abierto",Registro!E918="Media"),TODAY()-Registro!R918,"")</f>
        <v/>
      </c>
      <c r="I919" s="45" t="str">
        <f>IF(AND(Registro!D918="Abierto",Registro!E918="Media"),RANK(H919,$H$9:$H$1000,0)+COUNTIF($H$9:H919,H919)-1+MAX(C$5:C$1000,F$5:F$1000),"")</f>
        <v/>
      </c>
      <c r="J919" s="45" t="str">
        <f>IF(AND(Registro!D918="Abierto",Registro!E918="Baja"),Registro!B918,"")</f>
        <v/>
      </c>
      <c r="K919" s="45" t="str">
        <f ca="1">IF(AND(Registro!D918="Abierto",Registro!E918="Baja"),TODAY()-Registro!R918,"")</f>
        <v/>
      </c>
      <c r="L919" s="45" t="str">
        <f>IF(AND(Registro!D918="Abierto",Registro!E918="Baja"),RANK(K919,$K$9:$K$1000,0)+COUNTIF($K$9:K919,K919)-1+MAX(C$5:C$1000,F$5:F$1000,I$5:I$1000),"")</f>
        <v/>
      </c>
      <c r="M919" s="46" t="str">
        <f>IF(OR(Registro!D918="Resuelto",Registro!D918=""),"",SUM(C919,F919,I919,L919))</f>
        <v/>
      </c>
      <c r="N919" s="46" t="str">
        <f>IF(OR(Registro!D918="Resuelto",Registro!D918=""),"",SUM(B919,E919,H919,K919))</f>
        <v/>
      </c>
      <c r="O919" s="46" t="str">
        <f>IF(OR(Registro!D918="Resuelto",Registro!D918=""),"",_xlfn.CONCAT(A919,D919,G919,J919))</f>
        <v/>
      </c>
      <c r="P919" s="47">
        <v>911</v>
      </c>
      <c r="Q919" s="47" t="str">
        <f t="shared" ca="1" si="42"/>
        <v/>
      </c>
      <c r="R919" s="48" t="str">
        <f t="shared" ca="1" si="43"/>
        <v/>
      </c>
      <c r="S919" s="32"/>
      <c r="T919" s="32"/>
      <c r="U919" s="32"/>
      <c r="V919" s="32"/>
      <c r="W919" s="47" t="str">
        <f>IF(X919="","",MAX($W$5:W918)+1)</f>
        <v/>
      </c>
      <c r="X919" s="50" t="str">
        <f>IF(Registro!M918="","",IF(COUNTIF($X$8:X918,Registro!M918)=0,Registro!M918,""))</f>
        <v/>
      </c>
      <c r="Y919" s="50" t="str">
        <f t="shared" si="44"/>
        <v/>
      </c>
    </row>
    <row r="920" spans="1:25">
      <c r="A920" s="45" t="str">
        <f>IF(AND(Registro!D919="Abierto",Registro!E919="Urgente"),Registro!B919,"")</f>
        <v/>
      </c>
      <c r="B920" s="45" t="str">
        <f ca="1">IF(AND(Registro!D919="Abierto",Registro!E919="Urgente"),TODAY()-Registro!R919,"")</f>
        <v/>
      </c>
      <c r="C920" s="45" t="str">
        <f>IF(AND(Registro!D919="Abierto",Registro!E919="Urgente"),RANK(B920,$B$9:$B$1000,0)+COUNTIF($B$9:B920,B920)-1,"")</f>
        <v/>
      </c>
      <c r="D920" s="45" t="str">
        <f>IF(AND(Registro!D919="Abierto",Registro!E919="Alta"),Registro!B919,"")</f>
        <v/>
      </c>
      <c r="E920" s="45" t="str">
        <f ca="1">IF(AND(Registro!D919="Abierto",Registro!E919="Alta"),TODAY()-Registro!R919,"")</f>
        <v/>
      </c>
      <c r="F920" s="45" t="str">
        <f>IF(AND(Registro!D919="Abierto",Registro!E919="Alta"),RANK(E920,$E$9:$E$1000,0)+COUNTIF($E$9:E920,E920)-1+MAX(C$5:C$1000),"")</f>
        <v/>
      </c>
      <c r="G920" s="45" t="str">
        <f>IF(AND(Registro!D919="Abierto",Registro!E919="Media"),Registro!B919,"")</f>
        <v/>
      </c>
      <c r="H920" s="45" t="str">
        <f ca="1">IF(AND(Registro!D919="Abierto",Registro!E919="Media"),TODAY()-Registro!R919,"")</f>
        <v/>
      </c>
      <c r="I920" s="45" t="str">
        <f>IF(AND(Registro!D919="Abierto",Registro!E919="Media"),RANK(H920,$H$9:$H$1000,0)+COUNTIF($H$9:H920,H920)-1+MAX(C$5:C$1000,F$5:F$1000),"")</f>
        <v/>
      </c>
      <c r="J920" s="45" t="str">
        <f>IF(AND(Registro!D919="Abierto",Registro!E919="Baja"),Registro!B919,"")</f>
        <v/>
      </c>
      <c r="K920" s="45" t="str">
        <f ca="1">IF(AND(Registro!D919="Abierto",Registro!E919="Baja"),TODAY()-Registro!R919,"")</f>
        <v/>
      </c>
      <c r="L920" s="45" t="str">
        <f>IF(AND(Registro!D919="Abierto",Registro!E919="Baja"),RANK(K920,$K$9:$K$1000,0)+COUNTIF($K$9:K920,K920)-1+MAX(C$5:C$1000,F$5:F$1000,I$5:I$1000),"")</f>
        <v/>
      </c>
      <c r="M920" s="46" t="str">
        <f>IF(OR(Registro!D919="Resuelto",Registro!D919=""),"",SUM(C920,F920,I920,L920))</f>
        <v/>
      </c>
      <c r="N920" s="46" t="str">
        <f>IF(OR(Registro!D919="Resuelto",Registro!D919=""),"",SUM(B920,E920,H920,K920))</f>
        <v/>
      </c>
      <c r="O920" s="46" t="str">
        <f>IF(OR(Registro!D919="Resuelto",Registro!D919=""),"",_xlfn.CONCAT(A920,D920,G920,J920))</f>
        <v/>
      </c>
      <c r="P920" s="47">
        <v>912</v>
      </c>
      <c r="Q920" s="47" t="str">
        <f t="shared" ca="1" si="42"/>
        <v/>
      </c>
      <c r="R920" s="48" t="str">
        <f t="shared" ca="1" si="43"/>
        <v/>
      </c>
      <c r="S920" s="32"/>
      <c r="T920" s="32"/>
      <c r="U920" s="32"/>
      <c r="V920" s="32"/>
      <c r="W920" s="47" t="str">
        <f>IF(X920="","",MAX($W$5:W919)+1)</f>
        <v/>
      </c>
      <c r="X920" s="50" t="str">
        <f>IF(Registro!M919="","",IF(COUNTIF($X$8:X919,Registro!M919)=0,Registro!M919,""))</f>
        <v/>
      </c>
      <c r="Y920" s="50" t="str">
        <f t="shared" si="44"/>
        <v/>
      </c>
    </row>
    <row r="921" spans="1:25">
      <c r="A921" s="45" t="str">
        <f>IF(AND(Registro!D920="Abierto",Registro!E920="Urgente"),Registro!B920,"")</f>
        <v/>
      </c>
      <c r="B921" s="45" t="str">
        <f ca="1">IF(AND(Registro!D920="Abierto",Registro!E920="Urgente"),TODAY()-Registro!R920,"")</f>
        <v/>
      </c>
      <c r="C921" s="45" t="str">
        <f>IF(AND(Registro!D920="Abierto",Registro!E920="Urgente"),RANK(B921,$B$9:$B$1000,0)+COUNTIF($B$9:B921,B921)-1,"")</f>
        <v/>
      </c>
      <c r="D921" s="45" t="str">
        <f>IF(AND(Registro!D920="Abierto",Registro!E920="Alta"),Registro!B920,"")</f>
        <v/>
      </c>
      <c r="E921" s="45" t="str">
        <f ca="1">IF(AND(Registro!D920="Abierto",Registro!E920="Alta"),TODAY()-Registro!R920,"")</f>
        <v/>
      </c>
      <c r="F921" s="45" t="str">
        <f>IF(AND(Registro!D920="Abierto",Registro!E920="Alta"),RANK(E921,$E$9:$E$1000,0)+COUNTIF($E$9:E921,E921)-1+MAX(C$5:C$1000),"")</f>
        <v/>
      </c>
      <c r="G921" s="45" t="str">
        <f>IF(AND(Registro!D920="Abierto",Registro!E920="Media"),Registro!B920,"")</f>
        <v/>
      </c>
      <c r="H921" s="45" t="str">
        <f ca="1">IF(AND(Registro!D920="Abierto",Registro!E920="Media"),TODAY()-Registro!R920,"")</f>
        <v/>
      </c>
      <c r="I921" s="45" t="str">
        <f>IF(AND(Registro!D920="Abierto",Registro!E920="Media"),RANK(H921,$H$9:$H$1000,0)+COUNTIF($H$9:H921,H921)-1+MAX(C$5:C$1000,F$5:F$1000),"")</f>
        <v/>
      </c>
      <c r="J921" s="45" t="str">
        <f>IF(AND(Registro!D920="Abierto",Registro!E920="Baja"),Registro!B920,"")</f>
        <v/>
      </c>
      <c r="K921" s="45" t="str">
        <f ca="1">IF(AND(Registro!D920="Abierto",Registro!E920="Baja"),TODAY()-Registro!R920,"")</f>
        <v/>
      </c>
      <c r="L921" s="45" t="str">
        <f>IF(AND(Registro!D920="Abierto",Registro!E920="Baja"),RANK(K921,$K$9:$K$1000,0)+COUNTIF($K$9:K921,K921)-1+MAX(C$5:C$1000,F$5:F$1000,I$5:I$1000),"")</f>
        <v/>
      </c>
      <c r="M921" s="46" t="str">
        <f>IF(OR(Registro!D920="Resuelto",Registro!D920=""),"",SUM(C921,F921,I921,L921))</f>
        <v/>
      </c>
      <c r="N921" s="46" t="str">
        <f>IF(OR(Registro!D920="Resuelto",Registro!D920=""),"",SUM(B921,E921,H921,K921))</f>
        <v/>
      </c>
      <c r="O921" s="46" t="str">
        <f>IF(OR(Registro!D920="Resuelto",Registro!D920=""),"",_xlfn.CONCAT(A921,D921,G921,J921))</f>
        <v/>
      </c>
      <c r="P921" s="47">
        <v>913</v>
      </c>
      <c r="Q921" s="47" t="str">
        <f t="shared" ca="1" si="42"/>
        <v/>
      </c>
      <c r="R921" s="48" t="str">
        <f t="shared" ca="1" si="43"/>
        <v/>
      </c>
      <c r="S921" s="32"/>
      <c r="T921" s="32"/>
      <c r="U921" s="32"/>
      <c r="V921" s="32"/>
      <c r="W921" s="47" t="str">
        <f>IF(X921="","",MAX($W$5:W920)+1)</f>
        <v/>
      </c>
      <c r="X921" s="50" t="str">
        <f>IF(Registro!M920="","",IF(COUNTIF($X$8:X920,Registro!M920)=0,Registro!M920,""))</f>
        <v/>
      </c>
      <c r="Y921" s="50" t="str">
        <f t="shared" si="44"/>
        <v/>
      </c>
    </row>
    <row r="922" spans="1:25">
      <c r="A922" s="45" t="str">
        <f>IF(AND(Registro!D921="Abierto",Registro!E921="Urgente"),Registro!B921,"")</f>
        <v/>
      </c>
      <c r="B922" s="45" t="str">
        <f ca="1">IF(AND(Registro!D921="Abierto",Registro!E921="Urgente"),TODAY()-Registro!R921,"")</f>
        <v/>
      </c>
      <c r="C922" s="45" t="str">
        <f>IF(AND(Registro!D921="Abierto",Registro!E921="Urgente"),RANK(B922,$B$9:$B$1000,0)+COUNTIF($B$9:B922,B922)-1,"")</f>
        <v/>
      </c>
      <c r="D922" s="45" t="str">
        <f>IF(AND(Registro!D921="Abierto",Registro!E921="Alta"),Registro!B921,"")</f>
        <v/>
      </c>
      <c r="E922" s="45" t="str">
        <f ca="1">IF(AND(Registro!D921="Abierto",Registro!E921="Alta"),TODAY()-Registro!R921,"")</f>
        <v/>
      </c>
      <c r="F922" s="45" t="str">
        <f>IF(AND(Registro!D921="Abierto",Registro!E921="Alta"),RANK(E922,$E$9:$E$1000,0)+COUNTIF($E$9:E922,E922)-1+MAX(C$5:C$1000),"")</f>
        <v/>
      </c>
      <c r="G922" s="45" t="str">
        <f>IF(AND(Registro!D921="Abierto",Registro!E921="Media"),Registro!B921,"")</f>
        <v/>
      </c>
      <c r="H922" s="45" t="str">
        <f ca="1">IF(AND(Registro!D921="Abierto",Registro!E921="Media"),TODAY()-Registro!R921,"")</f>
        <v/>
      </c>
      <c r="I922" s="45" t="str">
        <f>IF(AND(Registro!D921="Abierto",Registro!E921="Media"),RANK(H922,$H$9:$H$1000,0)+COUNTIF($H$9:H922,H922)-1+MAX(C$5:C$1000,F$5:F$1000),"")</f>
        <v/>
      </c>
      <c r="J922" s="45" t="str">
        <f>IF(AND(Registro!D921="Abierto",Registro!E921="Baja"),Registro!B921,"")</f>
        <v/>
      </c>
      <c r="K922" s="45" t="str">
        <f ca="1">IF(AND(Registro!D921="Abierto",Registro!E921="Baja"),TODAY()-Registro!R921,"")</f>
        <v/>
      </c>
      <c r="L922" s="45" t="str">
        <f>IF(AND(Registro!D921="Abierto",Registro!E921="Baja"),RANK(K922,$K$9:$K$1000,0)+COUNTIF($K$9:K922,K922)-1+MAX(C$5:C$1000,F$5:F$1000,I$5:I$1000),"")</f>
        <v/>
      </c>
      <c r="M922" s="46" t="str">
        <f>IF(OR(Registro!D921="Resuelto",Registro!D921=""),"",SUM(C922,F922,I922,L922))</f>
        <v/>
      </c>
      <c r="N922" s="46" t="str">
        <f>IF(OR(Registro!D921="Resuelto",Registro!D921=""),"",SUM(B922,E922,H922,K922))</f>
        <v/>
      </c>
      <c r="O922" s="46" t="str">
        <f>IF(OR(Registro!D921="Resuelto",Registro!D921=""),"",_xlfn.CONCAT(A922,D922,G922,J922))</f>
        <v/>
      </c>
      <c r="P922" s="47">
        <v>914</v>
      </c>
      <c r="Q922" s="47" t="str">
        <f t="shared" ca="1" si="42"/>
        <v/>
      </c>
      <c r="R922" s="48" t="str">
        <f t="shared" ca="1" si="43"/>
        <v/>
      </c>
      <c r="S922" s="32"/>
      <c r="T922" s="32"/>
      <c r="U922" s="32"/>
      <c r="V922" s="32"/>
      <c r="W922" s="47" t="str">
        <f>IF(X922="","",MAX($W$5:W921)+1)</f>
        <v/>
      </c>
      <c r="X922" s="50" t="str">
        <f>IF(Registro!M921="","",IF(COUNTIF($X$8:X921,Registro!M921)=0,Registro!M921,""))</f>
        <v/>
      </c>
      <c r="Y922" s="50" t="str">
        <f t="shared" si="44"/>
        <v/>
      </c>
    </row>
    <row r="923" spans="1:25">
      <c r="A923" s="45" t="str">
        <f>IF(AND(Registro!D922="Abierto",Registro!E922="Urgente"),Registro!B922,"")</f>
        <v/>
      </c>
      <c r="B923" s="45" t="str">
        <f ca="1">IF(AND(Registro!D922="Abierto",Registro!E922="Urgente"),TODAY()-Registro!R922,"")</f>
        <v/>
      </c>
      <c r="C923" s="45" t="str">
        <f>IF(AND(Registro!D922="Abierto",Registro!E922="Urgente"),RANK(B923,$B$9:$B$1000,0)+COUNTIF($B$9:B923,B923)-1,"")</f>
        <v/>
      </c>
      <c r="D923" s="45" t="str">
        <f>IF(AND(Registro!D922="Abierto",Registro!E922="Alta"),Registro!B922,"")</f>
        <v/>
      </c>
      <c r="E923" s="45" t="str">
        <f ca="1">IF(AND(Registro!D922="Abierto",Registro!E922="Alta"),TODAY()-Registro!R922,"")</f>
        <v/>
      </c>
      <c r="F923" s="45" t="str">
        <f>IF(AND(Registro!D922="Abierto",Registro!E922="Alta"),RANK(E923,$E$9:$E$1000,0)+COUNTIF($E$9:E923,E923)-1+MAX(C$5:C$1000),"")</f>
        <v/>
      </c>
      <c r="G923" s="45" t="str">
        <f>IF(AND(Registro!D922="Abierto",Registro!E922="Media"),Registro!B922,"")</f>
        <v/>
      </c>
      <c r="H923" s="45" t="str">
        <f ca="1">IF(AND(Registro!D922="Abierto",Registro!E922="Media"),TODAY()-Registro!R922,"")</f>
        <v/>
      </c>
      <c r="I923" s="45" t="str">
        <f>IF(AND(Registro!D922="Abierto",Registro!E922="Media"),RANK(H923,$H$9:$H$1000,0)+COUNTIF($H$9:H923,H923)-1+MAX(C$5:C$1000,F$5:F$1000),"")</f>
        <v/>
      </c>
      <c r="J923" s="45" t="str">
        <f>IF(AND(Registro!D922="Abierto",Registro!E922="Baja"),Registro!B922,"")</f>
        <v/>
      </c>
      <c r="K923" s="45" t="str">
        <f ca="1">IF(AND(Registro!D922="Abierto",Registro!E922="Baja"),TODAY()-Registro!R922,"")</f>
        <v/>
      </c>
      <c r="L923" s="45" t="str">
        <f>IF(AND(Registro!D922="Abierto",Registro!E922="Baja"),RANK(K923,$K$9:$K$1000,0)+COUNTIF($K$9:K923,K923)-1+MAX(C$5:C$1000,F$5:F$1000,I$5:I$1000),"")</f>
        <v/>
      </c>
      <c r="M923" s="46" t="str">
        <f>IF(OR(Registro!D922="Resuelto",Registro!D922=""),"",SUM(C923,F923,I923,L923))</f>
        <v/>
      </c>
      <c r="N923" s="46" t="str">
        <f>IF(OR(Registro!D922="Resuelto",Registro!D922=""),"",SUM(B923,E923,H923,K923))</f>
        <v/>
      </c>
      <c r="O923" s="46" t="str">
        <f>IF(OR(Registro!D922="Resuelto",Registro!D922=""),"",_xlfn.CONCAT(A923,D923,G923,J923))</f>
        <v/>
      </c>
      <c r="P923" s="47">
        <v>915</v>
      </c>
      <c r="Q923" s="47" t="str">
        <f t="shared" ca="1" si="42"/>
        <v/>
      </c>
      <c r="R923" s="48" t="str">
        <f t="shared" ca="1" si="43"/>
        <v/>
      </c>
      <c r="S923" s="32"/>
      <c r="T923" s="32"/>
      <c r="U923" s="32"/>
      <c r="V923" s="32"/>
      <c r="W923" s="47" t="str">
        <f>IF(X923="","",MAX($W$5:W922)+1)</f>
        <v/>
      </c>
      <c r="X923" s="50" t="str">
        <f>IF(Registro!M922="","",IF(COUNTIF($X$8:X922,Registro!M922)=0,Registro!M922,""))</f>
        <v/>
      </c>
      <c r="Y923" s="50" t="str">
        <f t="shared" si="44"/>
        <v/>
      </c>
    </row>
    <row r="924" spans="1:25">
      <c r="A924" s="45" t="str">
        <f>IF(AND(Registro!D923="Abierto",Registro!E923="Urgente"),Registro!B923,"")</f>
        <v/>
      </c>
      <c r="B924" s="45" t="str">
        <f ca="1">IF(AND(Registro!D923="Abierto",Registro!E923="Urgente"),TODAY()-Registro!R923,"")</f>
        <v/>
      </c>
      <c r="C924" s="45" t="str">
        <f>IF(AND(Registro!D923="Abierto",Registro!E923="Urgente"),RANK(B924,$B$9:$B$1000,0)+COUNTIF($B$9:B924,B924)-1,"")</f>
        <v/>
      </c>
      <c r="D924" s="45" t="str">
        <f>IF(AND(Registro!D923="Abierto",Registro!E923="Alta"),Registro!B923,"")</f>
        <v/>
      </c>
      <c r="E924" s="45" t="str">
        <f ca="1">IF(AND(Registro!D923="Abierto",Registro!E923="Alta"),TODAY()-Registro!R923,"")</f>
        <v/>
      </c>
      <c r="F924" s="45" t="str">
        <f>IF(AND(Registro!D923="Abierto",Registro!E923="Alta"),RANK(E924,$E$9:$E$1000,0)+COUNTIF($E$9:E924,E924)-1+MAX(C$5:C$1000),"")</f>
        <v/>
      </c>
      <c r="G924" s="45" t="str">
        <f>IF(AND(Registro!D923="Abierto",Registro!E923="Media"),Registro!B923,"")</f>
        <v/>
      </c>
      <c r="H924" s="45" t="str">
        <f ca="1">IF(AND(Registro!D923="Abierto",Registro!E923="Media"),TODAY()-Registro!R923,"")</f>
        <v/>
      </c>
      <c r="I924" s="45" t="str">
        <f>IF(AND(Registro!D923="Abierto",Registro!E923="Media"),RANK(H924,$H$9:$H$1000,0)+COUNTIF($H$9:H924,H924)-1+MAX(C$5:C$1000,F$5:F$1000),"")</f>
        <v/>
      </c>
      <c r="J924" s="45" t="str">
        <f>IF(AND(Registro!D923="Abierto",Registro!E923="Baja"),Registro!B923,"")</f>
        <v/>
      </c>
      <c r="K924" s="45" t="str">
        <f ca="1">IF(AND(Registro!D923="Abierto",Registro!E923="Baja"),TODAY()-Registro!R923,"")</f>
        <v/>
      </c>
      <c r="L924" s="45" t="str">
        <f>IF(AND(Registro!D923="Abierto",Registro!E923="Baja"),RANK(K924,$K$9:$K$1000,0)+COUNTIF($K$9:K924,K924)-1+MAX(C$5:C$1000,F$5:F$1000,I$5:I$1000),"")</f>
        <v/>
      </c>
      <c r="M924" s="46" t="str">
        <f>IF(OR(Registro!D923="Resuelto",Registro!D923=""),"",SUM(C924,F924,I924,L924))</f>
        <v/>
      </c>
      <c r="N924" s="46" t="str">
        <f>IF(OR(Registro!D923="Resuelto",Registro!D923=""),"",SUM(B924,E924,H924,K924))</f>
        <v/>
      </c>
      <c r="O924" s="46" t="str">
        <f>IF(OR(Registro!D923="Resuelto",Registro!D923=""),"",_xlfn.CONCAT(A924,D924,G924,J924))</f>
        <v/>
      </c>
      <c r="P924" s="47">
        <v>916</v>
      </c>
      <c r="Q924" s="47" t="str">
        <f t="shared" ca="1" si="42"/>
        <v/>
      </c>
      <c r="R924" s="48" t="str">
        <f t="shared" ca="1" si="43"/>
        <v/>
      </c>
      <c r="S924" s="32"/>
      <c r="T924" s="32"/>
      <c r="U924" s="32"/>
      <c r="V924" s="32"/>
      <c r="W924" s="47" t="str">
        <f>IF(X924="","",MAX($W$5:W923)+1)</f>
        <v/>
      </c>
      <c r="X924" s="50" t="str">
        <f>IF(Registro!M923="","",IF(COUNTIF($X$8:X923,Registro!M923)=0,Registro!M923,""))</f>
        <v/>
      </c>
      <c r="Y924" s="50" t="str">
        <f t="shared" si="44"/>
        <v/>
      </c>
    </row>
    <row r="925" spans="1:25">
      <c r="A925" s="45" t="str">
        <f>IF(AND(Registro!D924="Abierto",Registro!E924="Urgente"),Registro!B924,"")</f>
        <v/>
      </c>
      <c r="B925" s="45" t="str">
        <f ca="1">IF(AND(Registro!D924="Abierto",Registro!E924="Urgente"),TODAY()-Registro!R924,"")</f>
        <v/>
      </c>
      <c r="C925" s="45" t="str">
        <f>IF(AND(Registro!D924="Abierto",Registro!E924="Urgente"),RANK(B925,$B$9:$B$1000,0)+COUNTIF($B$9:B925,B925)-1,"")</f>
        <v/>
      </c>
      <c r="D925" s="45" t="str">
        <f>IF(AND(Registro!D924="Abierto",Registro!E924="Alta"),Registro!B924,"")</f>
        <v/>
      </c>
      <c r="E925" s="45" t="str">
        <f ca="1">IF(AND(Registro!D924="Abierto",Registro!E924="Alta"),TODAY()-Registro!R924,"")</f>
        <v/>
      </c>
      <c r="F925" s="45" t="str">
        <f>IF(AND(Registro!D924="Abierto",Registro!E924="Alta"),RANK(E925,$E$9:$E$1000,0)+COUNTIF($E$9:E925,E925)-1+MAX(C$5:C$1000),"")</f>
        <v/>
      </c>
      <c r="G925" s="45" t="str">
        <f>IF(AND(Registro!D924="Abierto",Registro!E924="Media"),Registro!B924,"")</f>
        <v/>
      </c>
      <c r="H925" s="45" t="str">
        <f ca="1">IF(AND(Registro!D924="Abierto",Registro!E924="Media"),TODAY()-Registro!R924,"")</f>
        <v/>
      </c>
      <c r="I925" s="45" t="str">
        <f>IF(AND(Registro!D924="Abierto",Registro!E924="Media"),RANK(H925,$H$9:$H$1000,0)+COUNTIF($H$9:H925,H925)-1+MAX(C$5:C$1000,F$5:F$1000),"")</f>
        <v/>
      </c>
      <c r="J925" s="45" t="str">
        <f>IF(AND(Registro!D924="Abierto",Registro!E924="Baja"),Registro!B924,"")</f>
        <v/>
      </c>
      <c r="K925" s="45" t="str">
        <f ca="1">IF(AND(Registro!D924="Abierto",Registro!E924="Baja"),TODAY()-Registro!R924,"")</f>
        <v/>
      </c>
      <c r="L925" s="45" t="str">
        <f>IF(AND(Registro!D924="Abierto",Registro!E924="Baja"),RANK(K925,$K$9:$K$1000,0)+COUNTIF($K$9:K925,K925)-1+MAX(C$5:C$1000,F$5:F$1000,I$5:I$1000),"")</f>
        <v/>
      </c>
      <c r="M925" s="46" t="str">
        <f>IF(OR(Registro!D924="Resuelto",Registro!D924=""),"",SUM(C925,F925,I925,L925))</f>
        <v/>
      </c>
      <c r="N925" s="46" t="str">
        <f>IF(OR(Registro!D924="Resuelto",Registro!D924=""),"",SUM(B925,E925,H925,K925))</f>
        <v/>
      </c>
      <c r="O925" s="46" t="str">
        <f>IF(OR(Registro!D924="Resuelto",Registro!D924=""),"",_xlfn.CONCAT(A925,D925,G925,J925))</f>
        <v/>
      </c>
      <c r="P925" s="47">
        <v>917</v>
      </c>
      <c r="Q925" s="47" t="str">
        <f t="shared" ca="1" si="42"/>
        <v/>
      </c>
      <c r="R925" s="48" t="str">
        <f t="shared" ca="1" si="43"/>
        <v/>
      </c>
      <c r="S925" s="32"/>
      <c r="T925" s="32"/>
      <c r="U925" s="32"/>
      <c r="V925" s="32"/>
      <c r="W925" s="47" t="str">
        <f>IF(X925="","",MAX($W$5:W924)+1)</f>
        <v/>
      </c>
      <c r="X925" s="50" t="str">
        <f>IF(Registro!M924="","",IF(COUNTIF($X$8:X924,Registro!M924)=0,Registro!M924,""))</f>
        <v/>
      </c>
      <c r="Y925" s="50" t="str">
        <f t="shared" si="44"/>
        <v/>
      </c>
    </row>
    <row r="926" spans="1:25">
      <c r="A926" s="45" t="str">
        <f>IF(AND(Registro!D925="Abierto",Registro!E925="Urgente"),Registro!B925,"")</f>
        <v/>
      </c>
      <c r="B926" s="45" t="str">
        <f ca="1">IF(AND(Registro!D925="Abierto",Registro!E925="Urgente"),TODAY()-Registro!R925,"")</f>
        <v/>
      </c>
      <c r="C926" s="45" t="str">
        <f>IF(AND(Registro!D925="Abierto",Registro!E925="Urgente"),RANK(B926,$B$9:$B$1000,0)+COUNTIF($B$9:B926,B926)-1,"")</f>
        <v/>
      </c>
      <c r="D926" s="45" t="str">
        <f>IF(AND(Registro!D925="Abierto",Registro!E925="Alta"),Registro!B925,"")</f>
        <v/>
      </c>
      <c r="E926" s="45" t="str">
        <f ca="1">IF(AND(Registro!D925="Abierto",Registro!E925="Alta"),TODAY()-Registro!R925,"")</f>
        <v/>
      </c>
      <c r="F926" s="45" t="str">
        <f>IF(AND(Registro!D925="Abierto",Registro!E925="Alta"),RANK(E926,$E$9:$E$1000,0)+COUNTIF($E$9:E926,E926)-1+MAX(C$5:C$1000),"")</f>
        <v/>
      </c>
      <c r="G926" s="45" t="str">
        <f>IF(AND(Registro!D925="Abierto",Registro!E925="Media"),Registro!B925,"")</f>
        <v/>
      </c>
      <c r="H926" s="45" t="str">
        <f ca="1">IF(AND(Registro!D925="Abierto",Registro!E925="Media"),TODAY()-Registro!R925,"")</f>
        <v/>
      </c>
      <c r="I926" s="45" t="str">
        <f>IF(AND(Registro!D925="Abierto",Registro!E925="Media"),RANK(H926,$H$9:$H$1000,0)+COUNTIF($H$9:H926,H926)-1+MAX(C$5:C$1000,F$5:F$1000),"")</f>
        <v/>
      </c>
      <c r="J926" s="45" t="str">
        <f>IF(AND(Registro!D925="Abierto",Registro!E925="Baja"),Registro!B925,"")</f>
        <v/>
      </c>
      <c r="K926" s="45" t="str">
        <f ca="1">IF(AND(Registro!D925="Abierto",Registro!E925="Baja"),TODAY()-Registro!R925,"")</f>
        <v/>
      </c>
      <c r="L926" s="45" t="str">
        <f>IF(AND(Registro!D925="Abierto",Registro!E925="Baja"),RANK(K926,$K$9:$K$1000,0)+COUNTIF($K$9:K926,K926)-1+MAX(C$5:C$1000,F$5:F$1000,I$5:I$1000),"")</f>
        <v/>
      </c>
      <c r="M926" s="46" t="str">
        <f>IF(OR(Registro!D925="Resuelto",Registro!D925=""),"",SUM(C926,F926,I926,L926))</f>
        <v/>
      </c>
      <c r="N926" s="46" t="str">
        <f>IF(OR(Registro!D925="Resuelto",Registro!D925=""),"",SUM(B926,E926,H926,K926))</f>
        <v/>
      </c>
      <c r="O926" s="46" t="str">
        <f>IF(OR(Registro!D925="Resuelto",Registro!D925=""),"",_xlfn.CONCAT(A926,D926,G926,J926))</f>
        <v/>
      </c>
      <c r="P926" s="47">
        <v>918</v>
      </c>
      <c r="Q926" s="47" t="str">
        <f t="shared" ca="1" si="42"/>
        <v/>
      </c>
      <c r="R926" s="48" t="str">
        <f t="shared" ca="1" si="43"/>
        <v/>
      </c>
      <c r="S926" s="32"/>
      <c r="T926" s="32"/>
      <c r="U926" s="32"/>
      <c r="V926" s="32"/>
      <c r="W926" s="47" t="str">
        <f>IF(X926="","",MAX($W$5:W925)+1)</f>
        <v/>
      </c>
      <c r="X926" s="50" t="str">
        <f>IF(Registro!M925="","",IF(COUNTIF($X$8:X925,Registro!M925)=0,Registro!M925,""))</f>
        <v/>
      </c>
      <c r="Y926" s="50" t="str">
        <f t="shared" si="44"/>
        <v/>
      </c>
    </row>
    <row r="927" spans="1:25">
      <c r="A927" s="45" t="str">
        <f>IF(AND(Registro!D926="Abierto",Registro!E926="Urgente"),Registro!B926,"")</f>
        <v/>
      </c>
      <c r="B927" s="45" t="str">
        <f ca="1">IF(AND(Registro!D926="Abierto",Registro!E926="Urgente"),TODAY()-Registro!R926,"")</f>
        <v/>
      </c>
      <c r="C927" s="45" t="str">
        <f>IF(AND(Registro!D926="Abierto",Registro!E926="Urgente"),RANK(B927,$B$9:$B$1000,0)+COUNTIF($B$9:B927,B927)-1,"")</f>
        <v/>
      </c>
      <c r="D927" s="45" t="str">
        <f>IF(AND(Registro!D926="Abierto",Registro!E926="Alta"),Registro!B926,"")</f>
        <v/>
      </c>
      <c r="E927" s="45" t="str">
        <f ca="1">IF(AND(Registro!D926="Abierto",Registro!E926="Alta"),TODAY()-Registro!R926,"")</f>
        <v/>
      </c>
      <c r="F927" s="45" t="str">
        <f>IF(AND(Registro!D926="Abierto",Registro!E926="Alta"),RANK(E927,$E$9:$E$1000,0)+COUNTIF($E$9:E927,E927)-1+MAX(C$5:C$1000),"")</f>
        <v/>
      </c>
      <c r="G927" s="45" t="str">
        <f>IF(AND(Registro!D926="Abierto",Registro!E926="Media"),Registro!B926,"")</f>
        <v/>
      </c>
      <c r="H927" s="45" t="str">
        <f ca="1">IF(AND(Registro!D926="Abierto",Registro!E926="Media"),TODAY()-Registro!R926,"")</f>
        <v/>
      </c>
      <c r="I927" s="45" t="str">
        <f>IF(AND(Registro!D926="Abierto",Registro!E926="Media"),RANK(H927,$H$9:$H$1000,0)+COUNTIF($H$9:H927,H927)-1+MAX(C$5:C$1000,F$5:F$1000),"")</f>
        <v/>
      </c>
      <c r="J927" s="45" t="str">
        <f>IF(AND(Registro!D926="Abierto",Registro!E926="Baja"),Registro!B926,"")</f>
        <v/>
      </c>
      <c r="K927" s="45" t="str">
        <f ca="1">IF(AND(Registro!D926="Abierto",Registro!E926="Baja"),TODAY()-Registro!R926,"")</f>
        <v/>
      </c>
      <c r="L927" s="45" t="str">
        <f>IF(AND(Registro!D926="Abierto",Registro!E926="Baja"),RANK(K927,$K$9:$K$1000,0)+COUNTIF($K$9:K927,K927)-1+MAX(C$5:C$1000,F$5:F$1000,I$5:I$1000),"")</f>
        <v/>
      </c>
      <c r="M927" s="46" t="str">
        <f>IF(OR(Registro!D926="Resuelto",Registro!D926=""),"",SUM(C927,F927,I927,L927))</f>
        <v/>
      </c>
      <c r="N927" s="46" t="str">
        <f>IF(OR(Registro!D926="Resuelto",Registro!D926=""),"",SUM(B927,E927,H927,K927))</f>
        <v/>
      </c>
      <c r="O927" s="46" t="str">
        <f>IF(OR(Registro!D926="Resuelto",Registro!D926=""),"",_xlfn.CONCAT(A927,D927,G927,J927))</f>
        <v/>
      </c>
      <c r="P927" s="47">
        <v>919</v>
      </c>
      <c r="Q927" s="47" t="str">
        <f t="shared" ca="1" si="42"/>
        <v/>
      </c>
      <c r="R927" s="48" t="str">
        <f t="shared" ca="1" si="43"/>
        <v/>
      </c>
      <c r="S927" s="32"/>
      <c r="T927" s="32"/>
      <c r="U927" s="32"/>
      <c r="V927" s="32"/>
      <c r="W927" s="47" t="str">
        <f>IF(X927="","",MAX($W$5:W926)+1)</f>
        <v/>
      </c>
      <c r="X927" s="50" t="str">
        <f>IF(Registro!M926="","",IF(COUNTIF($X$8:X926,Registro!M926)=0,Registro!M926,""))</f>
        <v/>
      </c>
      <c r="Y927" s="50" t="str">
        <f t="shared" si="44"/>
        <v/>
      </c>
    </row>
    <row r="928" spans="1:25">
      <c r="A928" s="45" t="str">
        <f>IF(AND(Registro!D927="Abierto",Registro!E927="Urgente"),Registro!B927,"")</f>
        <v/>
      </c>
      <c r="B928" s="45" t="str">
        <f ca="1">IF(AND(Registro!D927="Abierto",Registro!E927="Urgente"),TODAY()-Registro!R927,"")</f>
        <v/>
      </c>
      <c r="C928" s="45" t="str">
        <f>IF(AND(Registro!D927="Abierto",Registro!E927="Urgente"),RANK(B928,$B$9:$B$1000,0)+COUNTIF($B$9:B928,B928)-1,"")</f>
        <v/>
      </c>
      <c r="D928" s="45" t="str">
        <f>IF(AND(Registro!D927="Abierto",Registro!E927="Alta"),Registro!B927,"")</f>
        <v/>
      </c>
      <c r="E928" s="45" t="str">
        <f ca="1">IF(AND(Registro!D927="Abierto",Registro!E927="Alta"),TODAY()-Registro!R927,"")</f>
        <v/>
      </c>
      <c r="F928" s="45" t="str">
        <f>IF(AND(Registro!D927="Abierto",Registro!E927="Alta"),RANK(E928,$E$9:$E$1000,0)+COUNTIF($E$9:E928,E928)-1+MAX(C$5:C$1000),"")</f>
        <v/>
      </c>
      <c r="G928" s="45" t="str">
        <f>IF(AND(Registro!D927="Abierto",Registro!E927="Media"),Registro!B927,"")</f>
        <v/>
      </c>
      <c r="H928" s="45" t="str">
        <f ca="1">IF(AND(Registro!D927="Abierto",Registro!E927="Media"),TODAY()-Registro!R927,"")</f>
        <v/>
      </c>
      <c r="I928" s="45" t="str">
        <f>IF(AND(Registro!D927="Abierto",Registro!E927="Media"),RANK(H928,$H$9:$H$1000,0)+COUNTIF($H$9:H928,H928)-1+MAX(C$5:C$1000,F$5:F$1000),"")</f>
        <v/>
      </c>
      <c r="J928" s="45" t="str">
        <f>IF(AND(Registro!D927="Abierto",Registro!E927="Baja"),Registro!B927,"")</f>
        <v/>
      </c>
      <c r="K928" s="45" t="str">
        <f ca="1">IF(AND(Registro!D927="Abierto",Registro!E927="Baja"),TODAY()-Registro!R927,"")</f>
        <v/>
      </c>
      <c r="L928" s="45" t="str">
        <f>IF(AND(Registro!D927="Abierto",Registro!E927="Baja"),RANK(K928,$K$9:$K$1000,0)+COUNTIF($K$9:K928,K928)-1+MAX(C$5:C$1000,F$5:F$1000,I$5:I$1000),"")</f>
        <v/>
      </c>
      <c r="M928" s="46" t="str">
        <f>IF(OR(Registro!D927="Resuelto",Registro!D927=""),"",SUM(C928,F928,I928,L928))</f>
        <v/>
      </c>
      <c r="N928" s="46" t="str">
        <f>IF(OR(Registro!D927="Resuelto",Registro!D927=""),"",SUM(B928,E928,H928,K928))</f>
        <v/>
      </c>
      <c r="O928" s="46" t="str">
        <f>IF(OR(Registro!D927="Resuelto",Registro!D927=""),"",_xlfn.CONCAT(A928,D928,G928,J928))</f>
        <v/>
      </c>
      <c r="P928" s="47">
        <v>920</v>
      </c>
      <c r="Q928" s="47" t="str">
        <f t="shared" ca="1" si="42"/>
        <v/>
      </c>
      <c r="R928" s="48" t="str">
        <f t="shared" ca="1" si="43"/>
        <v/>
      </c>
      <c r="S928" s="32"/>
      <c r="T928" s="32"/>
      <c r="U928" s="32"/>
      <c r="V928" s="32"/>
      <c r="W928" s="47" t="str">
        <f>IF(X928="","",MAX($W$5:W927)+1)</f>
        <v/>
      </c>
      <c r="X928" s="50" t="str">
        <f>IF(Registro!M927="","",IF(COUNTIF($X$8:X927,Registro!M927)=0,Registro!M927,""))</f>
        <v/>
      </c>
      <c r="Y928" s="50" t="str">
        <f t="shared" si="44"/>
        <v/>
      </c>
    </row>
    <row r="929" spans="1:25">
      <c r="A929" s="45" t="str">
        <f>IF(AND(Registro!D928="Abierto",Registro!E928="Urgente"),Registro!B928,"")</f>
        <v/>
      </c>
      <c r="B929" s="45" t="str">
        <f ca="1">IF(AND(Registro!D928="Abierto",Registro!E928="Urgente"),TODAY()-Registro!R928,"")</f>
        <v/>
      </c>
      <c r="C929" s="45" t="str">
        <f>IF(AND(Registro!D928="Abierto",Registro!E928="Urgente"),RANK(B929,$B$9:$B$1000,0)+COUNTIF($B$9:B929,B929)-1,"")</f>
        <v/>
      </c>
      <c r="D929" s="45" t="str">
        <f>IF(AND(Registro!D928="Abierto",Registro!E928="Alta"),Registro!B928,"")</f>
        <v/>
      </c>
      <c r="E929" s="45" t="str">
        <f ca="1">IF(AND(Registro!D928="Abierto",Registro!E928="Alta"),TODAY()-Registro!R928,"")</f>
        <v/>
      </c>
      <c r="F929" s="45" t="str">
        <f>IF(AND(Registro!D928="Abierto",Registro!E928="Alta"),RANK(E929,$E$9:$E$1000,0)+COUNTIF($E$9:E929,E929)-1+MAX(C$5:C$1000),"")</f>
        <v/>
      </c>
      <c r="G929" s="45" t="str">
        <f>IF(AND(Registro!D928="Abierto",Registro!E928="Media"),Registro!B928,"")</f>
        <v/>
      </c>
      <c r="H929" s="45" t="str">
        <f ca="1">IF(AND(Registro!D928="Abierto",Registro!E928="Media"),TODAY()-Registro!R928,"")</f>
        <v/>
      </c>
      <c r="I929" s="45" t="str">
        <f>IF(AND(Registro!D928="Abierto",Registro!E928="Media"),RANK(H929,$H$9:$H$1000,0)+COUNTIF($H$9:H929,H929)-1+MAX(C$5:C$1000,F$5:F$1000),"")</f>
        <v/>
      </c>
      <c r="J929" s="45" t="str">
        <f>IF(AND(Registro!D928="Abierto",Registro!E928="Baja"),Registro!B928,"")</f>
        <v/>
      </c>
      <c r="K929" s="45" t="str">
        <f ca="1">IF(AND(Registro!D928="Abierto",Registro!E928="Baja"),TODAY()-Registro!R928,"")</f>
        <v/>
      </c>
      <c r="L929" s="45" t="str">
        <f>IF(AND(Registro!D928="Abierto",Registro!E928="Baja"),RANK(K929,$K$9:$K$1000,0)+COUNTIF($K$9:K929,K929)-1+MAX(C$5:C$1000,F$5:F$1000,I$5:I$1000),"")</f>
        <v/>
      </c>
      <c r="M929" s="46" t="str">
        <f>IF(OR(Registro!D928="Resuelto",Registro!D928=""),"",SUM(C929,F929,I929,L929))</f>
        <v/>
      </c>
      <c r="N929" s="46" t="str">
        <f>IF(OR(Registro!D928="Resuelto",Registro!D928=""),"",SUM(B929,E929,H929,K929))</f>
        <v/>
      </c>
      <c r="O929" s="46" t="str">
        <f>IF(OR(Registro!D928="Resuelto",Registro!D928=""),"",_xlfn.CONCAT(A929,D929,G929,J929))</f>
        <v/>
      </c>
      <c r="P929" s="47">
        <v>921</v>
      </c>
      <c r="Q929" s="47" t="str">
        <f t="shared" ca="1" si="42"/>
        <v/>
      </c>
      <c r="R929" s="48" t="str">
        <f t="shared" ca="1" si="43"/>
        <v/>
      </c>
      <c r="S929" s="32"/>
      <c r="T929" s="32"/>
      <c r="U929" s="32"/>
      <c r="V929" s="32"/>
      <c r="W929" s="47" t="str">
        <f>IF(X929="","",MAX($W$5:W928)+1)</f>
        <v/>
      </c>
      <c r="X929" s="50" t="str">
        <f>IF(Registro!M928="","",IF(COUNTIF($X$8:X928,Registro!M928)=0,Registro!M928,""))</f>
        <v/>
      </c>
      <c r="Y929" s="50" t="str">
        <f t="shared" si="44"/>
        <v/>
      </c>
    </row>
    <row r="930" spans="1:25">
      <c r="A930" s="45" t="str">
        <f>IF(AND(Registro!D929="Abierto",Registro!E929="Urgente"),Registro!B929,"")</f>
        <v/>
      </c>
      <c r="B930" s="45" t="str">
        <f ca="1">IF(AND(Registro!D929="Abierto",Registro!E929="Urgente"),TODAY()-Registro!R929,"")</f>
        <v/>
      </c>
      <c r="C930" s="45" t="str">
        <f>IF(AND(Registro!D929="Abierto",Registro!E929="Urgente"),RANK(B930,$B$9:$B$1000,0)+COUNTIF($B$9:B930,B930)-1,"")</f>
        <v/>
      </c>
      <c r="D930" s="45" t="str">
        <f>IF(AND(Registro!D929="Abierto",Registro!E929="Alta"),Registro!B929,"")</f>
        <v/>
      </c>
      <c r="E930" s="45" t="str">
        <f ca="1">IF(AND(Registro!D929="Abierto",Registro!E929="Alta"),TODAY()-Registro!R929,"")</f>
        <v/>
      </c>
      <c r="F930" s="45" t="str">
        <f>IF(AND(Registro!D929="Abierto",Registro!E929="Alta"),RANK(E930,$E$9:$E$1000,0)+COUNTIF($E$9:E930,E930)-1+MAX(C$5:C$1000),"")</f>
        <v/>
      </c>
      <c r="G930" s="45" t="str">
        <f>IF(AND(Registro!D929="Abierto",Registro!E929="Media"),Registro!B929,"")</f>
        <v/>
      </c>
      <c r="H930" s="45" t="str">
        <f ca="1">IF(AND(Registro!D929="Abierto",Registro!E929="Media"),TODAY()-Registro!R929,"")</f>
        <v/>
      </c>
      <c r="I930" s="45" t="str">
        <f>IF(AND(Registro!D929="Abierto",Registro!E929="Media"),RANK(H930,$H$9:$H$1000,0)+COUNTIF($H$9:H930,H930)-1+MAX(C$5:C$1000,F$5:F$1000),"")</f>
        <v/>
      </c>
      <c r="J930" s="45" t="str">
        <f>IF(AND(Registro!D929="Abierto",Registro!E929="Baja"),Registro!B929,"")</f>
        <v/>
      </c>
      <c r="K930" s="45" t="str">
        <f ca="1">IF(AND(Registro!D929="Abierto",Registro!E929="Baja"),TODAY()-Registro!R929,"")</f>
        <v/>
      </c>
      <c r="L930" s="45" t="str">
        <f>IF(AND(Registro!D929="Abierto",Registro!E929="Baja"),RANK(K930,$K$9:$K$1000,0)+COUNTIF($K$9:K930,K930)-1+MAX(C$5:C$1000,F$5:F$1000,I$5:I$1000),"")</f>
        <v/>
      </c>
      <c r="M930" s="46" t="str">
        <f>IF(OR(Registro!D929="Resuelto",Registro!D929=""),"",SUM(C930,F930,I930,L930))</f>
        <v/>
      </c>
      <c r="N930" s="46" t="str">
        <f>IF(OR(Registro!D929="Resuelto",Registro!D929=""),"",SUM(B930,E930,H930,K930))</f>
        <v/>
      </c>
      <c r="O930" s="46" t="str">
        <f>IF(OR(Registro!D929="Resuelto",Registro!D929=""),"",_xlfn.CONCAT(A930,D930,G930,J930))</f>
        <v/>
      </c>
      <c r="P930" s="47">
        <v>922</v>
      </c>
      <c r="Q930" s="47" t="str">
        <f t="shared" ca="1" si="42"/>
        <v/>
      </c>
      <c r="R930" s="48" t="str">
        <f t="shared" ca="1" si="43"/>
        <v/>
      </c>
      <c r="S930" s="32"/>
      <c r="T930" s="32"/>
      <c r="U930" s="32"/>
      <c r="V930" s="32"/>
      <c r="W930" s="47" t="str">
        <f>IF(X930="","",MAX($W$5:W929)+1)</f>
        <v/>
      </c>
      <c r="X930" s="50" t="str">
        <f>IF(Registro!M929="","",IF(COUNTIF($X$8:X929,Registro!M929)=0,Registro!M929,""))</f>
        <v/>
      </c>
      <c r="Y930" s="50" t="str">
        <f t="shared" si="44"/>
        <v/>
      </c>
    </row>
    <row r="931" spans="1:25">
      <c r="A931" s="45" t="str">
        <f>IF(AND(Registro!D930="Abierto",Registro!E930="Urgente"),Registro!B930,"")</f>
        <v/>
      </c>
      <c r="B931" s="45" t="str">
        <f ca="1">IF(AND(Registro!D930="Abierto",Registro!E930="Urgente"),TODAY()-Registro!R930,"")</f>
        <v/>
      </c>
      <c r="C931" s="45" t="str">
        <f>IF(AND(Registro!D930="Abierto",Registro!E930="Urgente"),RANK(B931,$B$9:$B$1000,0)+COUNTIF($B$9:B931,B931)-1,"")</f>
        <v/>
      </c>
      <c r="D931" s="45" t="str">
        <f>IF(AND(Registro!D930="Abierto",Registro!E930="Alta"),Registro!B930,"")</f>
        <v/>
      </c>
      <c r="E931" s="45" t="str">
        <f ca="1">IF(AND(Registro!D930="Abierto",Registro!E930="Alta"),TODAY()-Registro!R930,"")</f>
        <v/>
      </c>
      <c r="F931" s="45" t="str">
        <f>IF(AND(Registro!D930="Abierto",Registro!E930="Alta"),RANK(E931,$E$9:$E$1000,0)+COUNTIF($E$9:E931,E931)-1+MAX(C$5:C$1000),"")</f>
        <v/>
      </c>
      <c r="G931" s="45" t="str">
        <f>IF(AND(Registro!D930="Abierto",Registro!E930="Media"),Registro!B930,"")</f>
        <v/>
      </c>
      <c r="H931" s="45" t="str">
        <f ca="1">IF(AND(Registro!D930="Abierto",Registro!E930="Media"),TODAY()-Registro!R930,"")</f>
        <v/>
      </c>
      <c r="I931" s="45" t="str">
        <f>IF(AND(Registro!D930="Abierto",Registro!E930="Media"),RANK(H931,$H$9:$H$1000,0)+COUNTIF($H$9:H931,H931)-1+MAX(C$5:C$1000,F$5:F$1000),"")</f>
        <v/>
      </c>
      <c r="J931" s="45" t="str">
        <f>IF(AND(Registro!D930="Abierto",Registro!E930="Baja"),Registro!B930,"")</f>
        <v/>
      </c>
      <c r="K931" s="45" t="str">
        <f ca="1">IF(AND(Registro!D930="Abierto",Registro!E930="Baja"),TODAY()-Registro!R930,"")</f>
        <v/>
      </c>
      <c r="L931" s="45" t="str">
        <f>IF(AND(Registro!D930="Abierto",Registro!E930="Baja"),RANK(K931,$K$9:$K$1000,0)+COUNTIF($K$9:K931,K931)-1+MAX(C$5:C$1000,F$5:F$1000,I$5:I$1000),"")</f>
        <v/>
      </c>
      <c r="M931" s="46" t="str">
        <f>IF(OR(Registro!D930="Resuelto",Registro!D930=""),"",SUM(C931,F931,I931,L931))</f>
        <v/>
      </c>
      <c r="N931" s="46" t="str">
        <f>IF(OR(Registro!D930="Resuelto",Registro!D930=""),"",SUM(B931,E931,H931,K931))</f>
        <v/>
      </c>
      <c r="O931" s="46" t="str">
        <f>IF(OR(Registro!D930="Resuelto",Registro!D930=""),"",_xlfn.CONCAT(A931,D931,G931,J931))</f>
        <v/>
      </c>
      <c r="P931" s="47">
        <v>923</v>
      </c>
      <c r="Q931" s="47" t="str">
        <f t="shared" ca="1" si="42"/>
        <v/>
      </c>
      <c r="R931" s="48" t="str">
        <f t="shared" ca="1" si="43"/>
        <v/>
      </c>
      <c r="S931" s="32"/>
      <c r="T931" s="32"/>
      <c r="U931" s="32"/>
      <c r="V931" s="32"/>
      <c r="W931" s="47" t="str">
        <f>IF(X931="","",MAX($W$5:W930)+1)</f>
        <v/>
      </c>
      <c r="X931" s="50" t="str">
        <f>IF(Registro!M930="","",IF(COUNTIF($X$8:X930,Registro!M930)=0,Registro!M930,""))</f>
        <v/>
      </c>
      <c r="Y931" s="50" t="str">
        <f t="shared" si="44"/>
        <v/>
      </c>
    </row>
    <row r="932" spans="1:25">
      <c r="A932" s="45" t="str">
        <f>IF(AND(Registro!D931="Abierto",Registro!E931="Urgente"),Registro!B931,"")</f>
        <v/>
      </c>
      <c r="B932" s="45" t="str">
        <f ca="1">IF(AND(Registro!D931="Abierto",Registro!E931="Urgente"),TODAY()-Registro!R931,"")</f>
        <v/>
      </c>
      <c r="C932" s="45" t="str">
        <f>IF(AND(Registro!D931="Abierto",Registro!E931="Urgente"),RANK(B932,$B$9:$B$1000,0)+COUNTIF($B$9:B932,B932)-1,"")</f>
        <v/>
      </c>
      <c r="D932" s="45" t="str">
        <f>IF(AND(Registro!D931="Abierto",Registro!E931="Alta"),Registro!B931,"")</f>
        <v/>
      </c>
      <c r="E932" s="45" t="str">
        <f ca="1">IF(AND(Registro!D931="Abierto",Registro!E931="Alta"),TODAY()-Registro!R931,"")</f>
        <v/>
      </c>
      <c r="F932" s="45" t="str">
        <f>IF(AND(Registro!D931="Abierto",Registro!E931="Alta"),RANK(E932,$E$9:$E$1000,0)+COUNTIF($E$9:E932,E932)-1+MAX(C$5:C$1000),"")</f>
        <v/>
      </c>
      <c r="G932" s="45" t="str">
        <f>IF(AND(Registro!D931="Abierto",Registro!E931="Media"),Registro!B931,"")</f>
        <v/>
      </c>
      <c r="H932" s="45" t="str">
        <f ca="1">IF(AND(Registro!D931="Abierto",Registro!E931="Media"),TODAY()-Registro!R931,"")</f>
        <v/>
      </c>
      <c r="I932" s="45" t="str">
        <f>IF(AND(Registro!D931="Abierto",Registro!E931="Media"),RANK(H932,$H$9:$H$1000,0)+COUNTIF($H$9:H932,H932)-1+MAX(C$5:C$1000,F$5:F$1000),"")</f>
        <v/>
      </c>
      <c r="J932" s="45" t="str">
        <f>IF(AND(Registro!D931="Abierto",Registro!E931="Baja"),Registro!B931,"")</f>
        <v/>
      </c>
      <c r="K932" s="45" t="str">
        <f ca="1">IF(AND(Registro!D931="Abierto",Registro!E931="Baja"),TODAY()-Registro!R931,"")</f>
        <v/>
      </c>
      <c r="L932" s="45" t="str">
        <f>IF(AND(Registro!D931="Abierto",Registro!E931="Baja"),RANK(K932,$K$9:$K$1000,0)+COUNTIF($K$9:K932,K932)-1+MAX(C$5:C$1000,F$5:F$1000,I$5:I$1000),"")</f>
        <v/>
      </c>
      <c r="M932" s="46" t="str">
        <f>IF(OR(Registro!D931="Resuelto",Registro!D931=""),"",SUM(C932,F932,I932,L932))</f>
        <v/>
      </c>
      <c r="N932" s="46" t="str">
        <f>IF(OR(Registro!D931="Resuelto",Registro!D931=""),"",SUM(B932,E932,H932,K932))</f>
        <v/>
      </c>
      <c r="O932" s="46" t="str">
        <f>IF(OR(Registro!D931="Resuelto",Registro!D931=""),"",_xlfn.CONCAT(A932,D932,G932,J932))</f>
        <v/>
      </c>
      <c r="P932" s="47">
        <v>924</v>
      </c>
      <c r="Q932" s="47" t="str">
        <f t="shared" ca="1" si="42"/>
        <v/>
      </c>
      <c r="R932" s="48" t="str">
        <f t="shared" ca="1" si="43"/>
        <v/>
      </c>
      <c r="S932" s="32"/>
      <c r="T932" s="32"/>
      <c r="U932" s="32"/>
      <c r="V932" s="32"/>
      <c r="W932" s="47" t="str">
        <f>IF(X932="","",MAX($W$5:W931)+1)</f>
        <v/>
      </c>
      <c r="X932" s="50" t="str">
        <f>IF(Registro!M931="","",IF(COUNTIF($X$8:X931,Registro!M931)=0,Registro!M931,""))</f>
        <v/>
      </c>
      <c r="Y932" s="50" t="str">
        <f t="shared" si="44"/>
        <v/>
      </c>
    </row>
    <row r="933" spans="1:25">
      <c r="A933" s="45" t="str">
        <f>IF(AND(Registro!D932="Abierto",Registro!E932="Urgente"),Registro!B932,"")</f>
        <v/>
      </c>
      <c r="B933" s="45" t="str">
        <f ca="1">IF(AND(Registro!D932="Abierto",Registro!E932="Urgente"),TODAY()-Registro!R932,"")</f>
        <v/>
      </c>
      <c r="C933" s="45" t="str">
        <f>IF(AND(Registro!D932="Abierto",Registro!E932="Urgente"),RANK(B933,$B$9:$B$1000,0)+COUNTIF($B$9:B933,B933)-1,"")</f>
        <v/>
      </c>
      <c r="D933" s="45" t="str">
        <f>IF(AND(Registro!D932="Abierto",Registro!E932="Alta"),Registro!B932,"")</f>
        <v/>
      </c>
      <c r="E933" s="45" t="str">
        <f ca="1">IF(AND(Registro!D932="Abierto",Registro!E932="Alta"),TODAY()-Registro!R932,"")</f>
        <v/>
      </c>
      <c r="F933" s="45" t="str">
        <f>IF(AND(Registro!D932="Abierto",Registro!E932="Alta"),RANK(E933,$E$9:$E$1000,0)+COUNTIF($E$9:E933,E933)-1+MAX(C$5:C$1000),"")</f>
        <v/>
      </c>
      <c r="G933" s="45" t="str">
        <f>IF(AND(Registro!D932="Abierto",Registro!E932="Media"),Registro!B932,"")</f>
        <v/>
      </c>
      <c r="H933" s="45" t="str">
        <f ca="1">IF(AND(Registro!D932="Abierto",Registro!E932="Media"),TODAY()-Registro!R932,"")</f>
        <v/>
      </c>
      <c r="I933" s="45" t="str">
        <f>IF(AND(Registro!D932="Abierto",Registro!E932="Media"),RANK(H933,$H$9:$H$1000,0)+COUNTIF($H$9:H933,H933)-1+MAX(C$5:C$1000,F$5:F$1000),"")</f>
        <v/>
      </c>
      <c r="J933" s="45" t="str">
        <f>IF(AND(Registro!D932="Abierto",Registro!E932="Baja"),Registro!B932,"")</f>
        <v/>
      </c>
      <c r="K933" s="45" t="str">
        <f ca="1">IF(AND(Registro!D932="Abierto",Registro!E932="Baja"),TODAY()-Registro!R932,"")</f>
        <v/>
      </c>
      <c r="L933" s="45" t="str">
        <f>IF(AND(Registro!D932="Abierto",Registro!E932="Baja"),RANK(K933,$K$9:$K$1000,0)+COUNTIF($K$9:K933,K933)-1+MAX(C$5:C$1000,F$5:F$1000,I$5:I$1000),"")</f>
        <v/>
      </c>
      <c r="M933" s="46" t="str">
        <f>IF(OR(Registro!D932="Resuelto",Registro!D932=""),"",SUM(C933,F933,I933,L933))</f>
        <v/>
      </c>
      <c r="N933" s="46" t="str">
        <f>IF(OR(Registro!D932="Resuelto",Registro!D932=""),"",SUM(B933,E933,H933,K933))</f>
        <v/>
      </c>
      <c r="O933" s="46" t="str">
        <f>IF(OR(Registro!D932="Resuelto",Registro!D932=""),"",_xlfn.CONCAT(A933,D933,G933,J933))</f>
        <v/>
      </c>
      <c r="P933" s="47">
        <v>925</v>
      </c>
      <c r="Q933" s="47" t="str">
        <f t="shared" ca="1" si="42"/>
        <v/>
      </c>
      <c r="R933" s="48" t="str">
        <f t="shared" ca="1" si="43"/>
        <v/>
      </c>
      <c r="S933" s="32"/>
      <c r="T933" s="32"/>
      <c r="U933" s="32"/>
      <c r="V933" s="32"/>
      <c r="W933" s="47" t="str">
        <f>IF(X933="","",MAX($W$5:W932)+1)</f>
        <v/>
      </c>
      <c r="X933" s="50" t="str">
        <f>IF(Registro!M932="","",IF(COUNTIF($X$8:X932,Registro!M932)=0,Registro!M932,""))</f>
        <v/>
      </c>
      <c r="Y933" s="50" t="str">
        <f t="shared" si="44"/>
        <v/>
      </c>
    </row>
    <row r="934" spans="1:25">
      <c r="A934" s="45" t="str">
        <f>IF(AND(Registro!D933="Abierto",Registro!E933="Urgente"),Registro!B933,"")</f>
        <v/>
      </c>
      <c r="B934" s="45" t="str">
        <f ca="1">IF(AND(Registro!D933="Abierto",Registro!E933="Urgente"),TODAY()-Registro!R933,"")</f>
        <v/>
      </c>
      <c r="C934" s="45" t="str">
        <f>IF(AND(Registro!D933="Abierto",Registro!E933="Urgente"),RANK(B934,$B$9:$B$1000,0)+COUNTIF($B$9:B934,B934)-1,"")</f>
        <v/>
      </c>
      <c r="D934" s="45" t="str">
        <f>IF(AND(Registro!D933="Abierto",Registro!E933="Alta"),Registro!B933,"")</f>
        <v/>
      </c>
      <c r="E934" s="45" t="str">
        <f ca="1">IF(AND(Registro!D933="Abierto",Registro!E933="Alta"),TODAY()-Registro!R933,"")</f>
        <v/>
      </c>
      <c r="F934" s="45" t="str">
        <f>IF(AND(Registro!D933="Abierto",Registro!E933="Alta"),RANK(E934,$E$9:$E$1000,0)+COUNTIF($E$9:E934,E934)-1+MAX(C$5:C$1000),"")</f>
        <v/>
      </c>
      <c r="G934" s="45" t="str">
        <f>IF(AND(Registro!D933="Abierto",Registro!E933="Media"),Registro!B933,"")</f>
        <v/>
      </c>
      <c r="H934" s="45" t="str">
        <f ca="1">IF(AND(Registro!D933="Abierto",Registro!E933="Media"),TODAY()-Registro!R933,"")</f>
        <v/>
      </c>
      <c r="I934" s="45" t="str">
        <f>IF(AND(Registro!D933="Abierto",Registro!E933="Media"),RANK(H934,$H$9:$H$1000,0)+COUNTIF($H$9:H934,H934)-1+MAX(C$5:C$1000,F$5:F$1000),"")</f>
        <v/>
      </c>
      <c r="J934" s="45" t="str">
        <f>IF(AND(Registro!D933="Abierto",Registro!E933="Baja"),Registro!B933,"")</f>
        <v/>
      </c>
      <c r="K934" s="45" t="str">
        <f ca="1">IF(AND(Registro!D933="Abierto",Registro!E933="Baja"),TODAY()-Registro!R933,"")</f>
        <v/>
      </c>
      <c r="L934" s="45" t="str">
        <f>IF(AND(Registro!D933="Abierto",Registro!E933="Baja"),RANK(K934,$K$9:$K$1000,0)+COUNTIF($K$9:K934,K934)-1+MAX(C$5:C$1000,F$5:F$1000,I$5:I$1000),"")</f>
        <v/>
      </c>
      <c r="M934" s="46" t="str">
        <f>IF(OR(Registro!D933="Resuelto",Registro!D933=""),"",SUM(C934,F934,I934,L934))</f>
        <v/>
      </c>
      <c r="N934" s="46" t="str">
        <f>IF(OR(Registro!D933="Resuelto",Registro!D933=""),"",SUM(B934,E934,H934,K934))</f>
        <v/>
      </c>
      <c r="O934" s="46" t="str">
        <f>IF(OR(Registro!D933="Resuelto",Registro!D933=""),"",_xlfn.CONCAT(A934,D934,G934,J934))</f>
        <v/>
      </c>
      <c r="P934" s="47">
        <v>926</v>
      </c>
      <c r="Q934" s="47" t="str">
        <f t="shared" ca="1" si="42"/>
        <v/>
      </c>
      <c r="R934" s="48" t="str">
        <f t="shared" ca="1" si="43"/>
        <v/>
      </c>
      <c r="S934" s="32"/>
      <c r="T934" s="32"/>
      <c r="U934" s="32"/>
      <c r="V934" s="32"/>
      <c r="W934" s="47" t="str">
        <f>IF(X934="","",MAX($W$5:W933)+1)</f>
        <v/>
      </c>
      <c r="X934" s="50" t="str">
        <f>IF(Registro!M933="","",IF(COUNTIF($X$8:X933,Registro!M933)=0,Registro!M933,""))</f>
        <v/>
      </c>
      <c r="Y934" s="50" t="str">
        <f t="shared" si="44"/>
        <v/>
      </c>
    </row>
    <row r="935" spans="1:25">
      <c r="A935" s="45" t="str">
        <f>IF(AND(Registro!D934="Abierto",Registro!E934="Urgente"),Registro!B934,"")</f>
        <v/>
      </c>
      <c r="B935" s="45" t="str">
        <f ca="1">IF(AND(Registro!D934="Abierto",Registro!E934="Urgente"),TODAY()-Registro!R934,"")</f>
        <v/>
      </c>
      <c r="C935" s="45" t="str">
        <f>IF(AND(Registro!D934="Abierto",Registro!E934="Urgente"),RANK(B935,$B$9:$B$1000,0)+COUNTIF($B$9:B935,B935)-1,"")</f>
        <v/>
      </c>
      <c r="D935" s="45" t="str">
        <f>IF(AND(Registro!D934="Abierto",Registro!E934="Alta"),Registro!B934,"")</f>
        <v/>
      </c>
      <c r="E935" s="45" t="str">
        <f ca="1">IF(AND(Registro!D934="Abierto",Registro!E934="Alta"),TODAY()-Registro!R934,"")</f>
        <v/>
      </c>
      <c r="F935" s="45" t="str">
        <f>IF(AND(Registro!D934="Abierto",Registro!E934="Alta"),RANK(E935,$E$9:$E$1000,0)+COUNTIF($E$9:E935,E935)-1+MAX(C$5:C$1000),"")</f>
        <v/>
      </c>
      <c r="G935" s="45" t="str">
        <f>IF(AND(Registro!D934="Abierto",Registro!E934="Media"),Registro!B934,"")</f>
        <v/>
      </c>
      <c r="H935" s="45" t="str">
        <f ca="1">IF(AND(Registro!D934="Abierto",Registro!E934="Media"),TODAY()-Registro!R934,"")</f>
        <v/>
      </c>
      <c r="I935" s="45" t="str">
        <f>IF(AND(Registro!D934="Abierto",Registro!E934="Media"),RANK(H935,$H$9:$H$1000,0)+COUNTIF($H$9:H935,H935)-1+MAX(C$5:C$1000,F$5:F$1000),"")</f>
        <v/>
      </c>
      <c r="J935" s="45" t="str">
        <f>IF(AND(Registro!D934="Abierto",Registro!E934="Baja"),Registro!B934,"")</f>
        <v/>
      </c>
      <c r="K935" s="45" t="str">
        <f ca="1">IF(AND(Registro!D934="Abierto",Registro!E934="Baja"),TODAY()-Registro!R934,"")</f>
        <v/>
      </c>
      <c r="L935" s="45" t="str">
        <f>IF(AND(Registro!D934="Abierto",Registro!E934="Baja"),RANK(K935,$K$9:$K$1000,0)+COUNTIF($K$9:K935,K935)-1+MAX(C$5:C$1000,F$5:F$1000,I$5:I$1000),"")</f>
        <v/>
      </c>
      <c r="M935" s="46" t="str">
        <f>IF(OR(Registro!D934="Resuelto",Registro!D934=""),"",SUM(C935,F935,I935,L935))</f>
        <v/>
      </c>
      <c r="N935" s="46" t="str">
        <f>IF(OR(Registro!D934="Resuelto",Registro!D934=""),"",SUM(B935,E935,H935,K935))</f>
        <v/>
      </c>
      <c r="O935" s="46" t="str">
        <f>IF(OR(Registro!D934="Resuelto",Registro!D934=""),"",_xlfn.CONCAT(A935,D935,G935,J935))</f>
        <v/>
      </c>
      <c r="P935" s="47">
        <v>927</v>
      </c>
      <c r="Q935" s="47" t="str">
        <f t="shared" ca="1" si="42"/>
        <v/>
      </c>
      <c r="R935" s="48" t="str">
        <f t="shared" ca="1" si="43"/>
        <v/>
      </c>
      <c r="S935" s="32"/>
      <c r="T935" s="32"/>
      <c r="U935" s="32"/>
      <c r="V935" s="32"/>
      <c r="W935" s="47" t="str">
        <f>IF(X935="","",MAX($W$5:W934)+1)</f>
        <v/>
      </c>
      <c r="X935" s="50" t="str">
        <f>IF(Registro!M934="","",IF(COUNTIF($X$8:X934,Registro!M934)=0,Registro!M934,""))</f>
        <v/>
      </c>
      <c r="Y935" s="50" t="str">
        <f t="shared" si="44"/>
        <v/>
      </c>
    </row>
    <row r="936" spans="1:25">
      <c r="A936" s="45" t="str">
        <f>IF(AND(Registro!D935="Abierto",Registro!E935="Urgente"),Registro!B935,"")</f>
        <v/>
      </c>
      <c r="B936" s="45" t="str">
        <f ca="1">IF(AND(Registro!D935="Abierto",Registro!E935="Urgente"),TODAY()-Registro!R935,"")</f>
        <v/>
      </c>
      <c r="C936" s="45" t="str">
        <f>IF(AND(Registro!D935="Abierto",Registro!E935="Urgente"),RANK(B936,$B$9:$B$1000,0)+COUNTIF($B$9:B936,B936)-1,"")</f>
        <v/>
      </c>
      <c r="D936" s="45" t="str">
        <f>IF(AND(Registro!D935="Abierto",Registro!E935="Alta"),Registro!B935,"")</f>
        <v/>
      </c>
      <c r="E936" s="45" t="str">
        <f ca="1">IF(AND(Registro!D935="Abierto",Registro!E935="Alta"),TODAY()-Registro!R935,"")</f>
        <v/>
      </c>
      <c r="F936" s="45" t="str">
        <f>IF(AND(Registro!D935="Abierto",Registro!E935="Alta"),RANK(E936,$E$9:$E$1000,0)+COUNTIF($E$9:E936,E936)-1+MAX(C$5:C$1000),"")</f>
        <v/>
      </c>
      <c r="G936" s="45" t="str">
        <f>IF(AND(Registro!D935="Abierto",Registro!E935="Media"),Registro!B935,"")</f>
        <v/>
      </c>
      <c r="H936" s="45" t="str">
        <f ca="1">IF(AND(Registro!D935="Abierto",Registro!E935="Media"),TODAY()-Registro!R935,"")</f>
        <v/>
      </c>
      <c r="I936" s="45" t="str">
        <f>IF(AND(Registro!D935="Abierto",Registro!E935="Media"),RANK(H936,$H$9:$H$1000,0)+COUNTIF($H$9:H936,H936)-1+MAX(C$5:C$1000,F$5:F$1000),"")</f>
        <v/>
      </c>
      <c r="J936" s="45" t="str">
        <f>IF(AND(Registro!D935="Abierto",Registro!E935="Baja"),Registro!B935,"")</f>
        <v/>
      </c>
      <c r="K936" s="45" t="str">
        <f ca="1">IF(AND(Registro!D935="Abierto",Registro!E935="Baja"),TODAY()-Registro!R935,"")</f>
        <v/>
      </c>
      <c r="L936" s="45" t="str">
        <f>IF(AND(Registro!D935="Abierto",Registro!E935="Baja"),RANK(K936,$K$9:$K$1000,0)+COUNTIF($K$9:K936,K936)-1+MAX(C$5:C$1000,F$5:F$1000,I$5:I$1000),"")</f>
        <v/>
      </c>
      <c r="M936" s="46" t="str">
        <f>IF(OR(Registro!D935="Resuelto",Registro!D935=""),"",SUM(C936,F936,I936,L936))</f>
        <v/>
      </c>
      <c r="N936" s="46" t="str">
        <f>IF(OR(Registro!D935="Resuelto",Registro!D935=""),"",SUM(B936,E936,H936,K936))</f>
        <v/>
      </c>
      <c r="O936" s="46" t="str">
        <f>IF(OR(Registro!D935="Resuelto",Registro!D935=""),"",_xlfn.CONCAT(A936,D936,G936,J936))</f>
        <v/>
      </c>
      <c r="P936" s="47">
        <v>928</v>
      </c>
      <c r="Q936" s="47" t="str">
        <f t="shared" ca="1" si="42"/>
        <v/>
      </c>
      <c r="R936" s="48" t="str">
        <f t="shared" ca="1" si="43"/>
        <v/>
      </c>
      <c r="S936" s="32"/>
      <c r="T936" s="32"/>
      <c r="U936" s="32"/>
      <c r="V936" s="32"/>
      <c r="W936" s="47" t="str">
        <f>IF(X936="","",MAX($W$5:W935)+1)</f>
        <v/>
      </c>
      <c r="X936" s="50" t="str">
        <f>IF(Registro!M935="","",IF(COUNTIF($X$8:X935,Registro!M935)=0,Registro!M935,""))</f>
        <v/>
      </c>
      <c r="Y936" s="50" t="str">
        <f t="shared" si="44"/>
        <v/>
      </c>
    </row>
    <row r="937" spans="1:25">
      <c r="A937" s="45" t="str">
        <f>IF(AND(Registro!D936="Abierto",Registro!E936="Urgente"),Registro!B936,"")</f>
        <v/>
      </c>
      <c r="B937" s="45" t="str">
        <f ca="1">IF(AND(Registro!D936="Abierto",Registro!E936="Urgente"),TODAY()-Registro!R936,"")</f>
        <v/>
      </c>
      <c r="C937" s="45" t="str">
        <f>IF(AND(Registro!D936="Abierto",Registro!E936="Urgente"),RANK(B937,$B$9:$B$1000,0)+COUNTIF($B$9:B937,B937)-1,"")</f>
        <v/>
      </c>
      <c r="D937" s="45" t="str">
        <f>IF(AND(Registro!D936="Abierto",Registro!E936="Alta"),Registro!B936,"")</f>
        <v/>
      </c>
      <c r="E937" s="45" t="str">
        <f ca="1">IF(AND(Registro!D936="Abierto",Registro!E936="Alta"),TODAY()-Registro!R936,"")</f>
        <v/>
      </c>
      <c r="F937" s="45" t="str">
        <f>IF(AND(Registro!D936="Abierto",Registro!E936="Alta"),RANK(E937,$E$9:$E$1000,0)+COUNTIF($E$9:E937,E937)-1+MAX(C$5:C$1000),"")</f>
        <v/>
      </c>
      <c r="G937" s="45" t="str">
        <f>IF(AND(Registro!D936="Abierto",Registro!E936="Media"),Registro!B936,"")</f>
        <v/>
      </c>
      <c r="H937" s="45" t="str">
        <f ca="1">IF(AND(Registro!D936="Abierto",Registro!E936="Media"),TODAY()-Registro!R936,"")</f>
        <v/>
      </c>
      <c r="I937" s="45" t="str">
        <f>IF(AND(Registro!D936="Abierto",Registro!E936="Media"),RANK(H937,$H$9:$H$1000,0)+COUNTIF($H$9:H937,H937)-1+MAX(C$5:C$1000,F$5:F$1000),"")</f>
        <v/>
      </c>
      <c r="J937" s="45" t="str">
        <f>IF(AND(Registro!D936="Abierto",Registro!E936="Baja"),Registro!B936,"")</f>
        <v/>
      </c>
      <c r="K937" s="45" t="str">
        <f ca="1">IF(AND(Registro!D936="Abierto",Registro!E936="Baja"),TODAY()-Registro!R936,"")</f>
        <v/>
      </c>
      <c r="L937" s="45" t="str">
        <f>IF(AND(Registro!D936="Abierto",Registro!E936="Baja"),RANK(K937,$K$9:$K$1000,0)+COUNTIF($K$9:K937,K937)-1+MAX(C$5:C$1000,F$5:F$1000,I$5:I$1000),"")</f>
        <v/>
      </c>
      <c r="M937" s="46" t="str">
        <f>IF(OR(Registro!D936="Resuelto",Registro!D936=""),"",SUM(C937,F937,I937,L937))</f>
        <v/>
      </c>
      <c r="N937" s="46" t="str">
        <f>IF(OR(Registro!D936="Resuelto",Registro!D936=""),"",SUM(B937,E937,H937,K937))</f>
        <v/>
      </c>
      <c r="O937" s="46" t="str">
        <f>IF(OR(Registro!D936="Resuelto",Registro!D936=""),"",_xlfn.CONCAT(A937,D937,G937,J937))</f>
        <v/>
      </c>
      <c r="P937" s="47">
        <v>929</v>
      </c>
      <c r="Q937" s="47" t="str">
        <f t="shared" ca="1" si="42"/>
        <v/>
      </c>
      <c r="R937" s="48" t="str">
        <f t="shared" ca="1" si="43"/>
        <v/>
      </c>
      <c r="S937" s="32"/>
      <c r="T937" s="32"/>
      <c r="U937" s="32"/>
      <c r="V937" s="32"/>
      <c r="W937" s="47" t="str">
        <f>IF(X937="","",MAX($W$5:W936)+1)</f>
        <v/>
      </c>
      <c r="X937" s="50" t="str">
        <f>IF(Registro!M936="","",IF(COUNTIF($X$8:X936,Registro!M936)=0,Registro!M936,""))</f>
        <v/>
      </c>
      <c r="Y937" s="50" t="str">
        <f t="shared" si="44"/>
        <v/>
      </c>
    </row>
    <row r="938" spans="1:25">
      <c r="A938" s="45" t="str">
        <f>IF(AND(Registro!D937="Abierto",Registro!E937="Urgente"),Registro!B937,"")</f>
        <v/>
      </c>
      <c r="B938" s="45" t="str">
        <f ca="1">IF(AND(Registro!D937="Abierto",Registro!E937="Urgente"),TODAY()-Registro!R937,"")</f>
        <v/>
      </c>
      <c r="C938" s="45" t="str">
        <f>IF(AND(Registro!D937="Abierto",Registro!E937="Urgente"),RANK(B938,$B$9:$B$1000,0)+COUNTIF($B$9:B938,B938)-1,"")</f>
        <v/>
      </c>
      <c r="D938" s="45" t="str">
        <f>IF(AND(Registro!D937="Abierto",Registro!E937="Alta"),Registro!B937,"")</f>
        <v/>
      </c>
      <c r="E938" s="45" t="str">
        <f ca="1">IF(AND(Registro!D937="Abierto",Registro!E937="Alta"),TODAY()-Registro!R937,"")</f>
        <v/>
      </c>
      <c r="F938" s="45" t="str">
        <f>IF(AND(Registro!D937="Abierto",Registro!E937="Alta"),RANK(E938,$E$9:$E$1000,0)+COUNTIF($E$9:E938,E938)-1+MAX(C$5:C$1000),"")</f>
        <v/>
      </c>
      <c r="G938" s="45" t="str">
        <f>IF(AND(Registro!D937="Abierto",Registro!E937="Media"),Registro!B937,"")</f>
        <v/>
      </c>
      <c r="H938" s="45" t="str">
        <f ca="1">IF(AND(Registro!D937="Abierto",Registro!E937="Media"),TODAY()-Registro!R937,"")</f>
        <v/>
      </c>
      <c r="I938" s="45" t="str">
        <f>IF(AND(Registro!D937="Abierto",Registro!E937="Media"),RANK(H938,$H$9:$H$1000,0)+COUNTIF($H$9:H938,H938)-1+MAX(C$5:C$1000,F$5:F$1000),"")</f>
        <v/>
      </c>
      <c r="J938" s="45" t="str">
        <f>IF(AND(Registro!D937="Abierto",Registro!E937="Baja"),Registro!B937,"")</f>
        <v/>
      </c>
      <c r="K938" s="45" t="str">
        <f ca="1">IF(AND(Registro!D937="Abierto",Registro!E937="Baja"),TODAY()-Registro!R937,"")</f>
        <v/>
      </c>
      <c r="L938" s="45" t="str">
        <f>IF(AND(Registro!D937="Abierto",Registro!E937="Baja"),RANK(K938,$K$9:$K$1000,0)+COUNTIF($K$9:K938,K938)-1+MAX(C$5:C$1000,F$5:F$1000,I$5:I$1000),"")</f>
        <v/>
      </c>
      <c r="M938" s="46" t="str">
        <f>IF(OR(Registro!D937="Resuelto",Registro!D937=""),"",SUM(C938,F938,I938,L938))</f>
        <v/>
      </c>
      <c r="N938" s="46" t="str">
        <f>IF(OR(Registro!D937="Resuelto",Registro!D937=""),"",SUM(B938,E938,H938,K938))</f>
        <v/>
      </c>
      <c r="O938" s="46" t="str">
        <f>IF(OR(Registro!D937="Resuelto",Registro!D937=""),"",_xlfn.CONCAT(A938,D938,G938,J938))</f>
        <v/>
      </c>
      <c r="P938" s="47">
        <v>930</v>
      </c>
      <c r="Q938" s="47" t="str">
        <f t="shared" ca="1" si="42"/>
        <v/>
      </c>
      <c r="R938" s="48" t="str">
        <f t="shared" ca="1" si="43"/>
        <v/>
      </c>
      <c r="S938" s="32"/>
      <c r="T938" s="32"/>
      <c r="U938" s="32"/>
      <c r="V938" s="32"/>
      <c r="W938" s="47" t="str">
        <f>IF(X938="","",MAX($W$5:W937)+1)</f>
        <v/>
      </c>
      <c r="X938" s="50" t="str">
        <f>IF(Registro!M937="","",IF(COUNTIF($X$8:X937,Registro!M937)=0,Registro!M937,""))</f>
        <v/>
      </c>
      <c r="Y938" s="50" t="str">
        <f t="shared" si="44"/>
        <v/>
      </c>
    </row>
    <row r="939" spans="1:25">
      <c r="A939" s="45" t="str">
        <f>IF(AND(Registro!D938="Abierto",Registro!E938="Urgente"),Registro!B938,"")</f>
        <v/>
      </c>
      <c r="B939" s="45" t="str">
        <f ca="1">IF(AND(Registro!D938="Abierto",Registro!E938="Urgente"),TODAY()-Registro!R938,"")</f>
        <v/>
      </c>
      <c r="C939" s="45" t="str">
        <f>IF(AND(Registro!D938="Abierto",Registro!E938="Urgente"),RANK(B939,$B$9:$B$1000,0)+COUNTIF($B$9:B939,B939)-1,"")</f>
        <v/>
      </c>
      <c r="D939" s="45" t="str">
        <f>IF(AND(Registro!D938="Abierto",Registro!E938="Alta"),Registro!B938,"")</f>
        <v/>
      </c>
      <c r="E939" s="45" t="str">
        <f ca="1">IF(AND(Registro!D938="Abierto",Registro!E938="Alta"),TODAY()-Registro!R938,"")</f>
        <v/>
      </c>
      <c r="F939" s="45" t="str">
        <f>IF(AND(Registro!D938="Abierto",Registro!E938="Alta"),RANK(E939,$E$9:$E$1000,0)+COUNTIF($E$9:E939,E939)-1+MAX(C$5:C$1000),"")</f>
        <v/>
      </c>
      <c r="G939" s="45" t="str">
        <f>IF(AND(Registro!D938="Abierto",Registro!E938="Media"),Registro!B938,"")</f>
        <v/>
      </c>
      <c r="H939" s="45" t="str">
        <f ca="1">IF(AND(Registro!D938="Abierto",Registro!E938="Media"),TODAY()-Registro!R938,"")</f>
        <v/>
      </c>
      <c r="I939" s="45" t="str">
        <f>IF(AND(Registro!D938="Abierto",Registro!E938="Media"),RANK(H939,$H$9:$H$1000,0)+COUNTIF($H$9:H939,H939)-1+MAX(C$5:C$1000,F$5:F$1000),"")</f>
        <v/>
      </c>
      <c r="J939" s="45" t="str">
        <f>IF(AND(Registro!D938="Abierto",Registro!E938="Baja"),Registro!B938,"")</f>
        <v/>
      </c>
      <c r="K939" s="45" t="str">
        <f ca="1">IF(AND(Registro!D938="Abierto",Registro!E938="Baja"),TODAY()-Registro!R938,"")</f>
        <v/>
      </c>
      <c r="L939" s="45" t="str">
        <f>IF(AND(Registro!D938="Abierto",Registro!E938="Baja"),RANK(K939,$K$9:$K$1000,0)+COUNTIF($K$9:K939,K939)-1+MAX(C$5:C$1000,F$5:F$1000,I$5:I$1000),"")</f>
        <v/>
      </c>
      <c r="M939" s="46" t="str">
        <f>IF(OR(Registro!D938="Resuelto",Registro!D938=""),"",SUM(C939,F939,I939,L939))</f>
        <v/>
      </c>
      <c r="N939" s="46" t="str">
        <f>IF(OR(Registro!D938="Resuelto",Registro!D938=""),"",SUM(B939,E939,H939,K939))</f>
        <v/>
      </c>
      <c r="O939" s="46" t="str">
        <f>IF(OR(Registro!D938="Resuelto",Registro!D938=""),"",_xlfn.CONCAT(A939,D939,G939,J939))</f>
        <v/>
      </c>
      <c r="P939" s="47">
        <v>931</v>
      </c>
      <c r="Q939" s="47" t="str">
        <f t="shared" ca="1" si="42"/>
        <v/>
      </c>
      <c r="R939" s="48" t="str">
        <f t="shared" ca="1" si="43"/>
        <v/>
      </c>
      <c r="S939" s="32"/>
      <c r="T939" s="32"/>
      <c r="U939" s="32"/>
      <c r="V939" s="32"/>
      <c r="W939" s="47" t="str">
        <f>IF(X939="","",MAX($W$5:W938)+1)</f>
        <v/>
      </c>
      <c r="X939" s="50" t="str">
        <f>IF(Registro!M938="","",IF(COUNTIF($X$8:X938,Registro!M938)=0,Registro!M938,""))</f>
        <v/>
      </c>
      <c r="Y939" s="50" t="str">
        <f t="shared" si="44"/>
        <v/>
      </c>
    </row>
    <row r="940" spans="1:25">
      <c r="A940" s="45" t="str">
        <f>IF(AND(Registro!D939="Abierto",Registro!E939="Urgente"),Registro!B939,"")</f>
        <v/>
      </c>
      <c r="B940" s="45" t="str">
        <f ca="1">IF(AND(Registro!D939="Abierto",Registro!E939="Urgente"),TODAY()-Registro!R939,"")</f>
        <v/>
      </c>
      <c r="C940" s="45" t="str">
        <f>IF(AND(Registro!D939="Abierto",Registro!E939="Urgente"),RANK(B940,$B$9:$B$1000,0)+COUNTIF($B$9:B940,B940)-1,"")</f>
        <v/>
      </c>
      <c r="D940" s="45" t="str">
        <f>IF(AND(Registro!D939="Abierto",Registro!E939="Alta"),Registro!B939,"")</f>
        <v/>
      </c>
      <c r="E940" s="45" t="str">
        <f ca="1">IF(AND(Registro!D939="Abierto",Registro!E939="Alta"),TODAY()-Registro!R939,"")</f>
        <v/>
      </c>
      <c r="F940" s="45" t="str">
        <f>IF(AND(Registro!D939="Abierto",Registro!E939="Alta"),RANK(E940,$E$9:$E$1000,0)+COUNTIF($E$9:E940,E940)-1+MAX(C$5:C$1000),"")</f>
        <v/>
      </c>
      <c r="G940" s="45" t="str">
        <f>IF(AND(Registro!D939="Abierto",Registro!E939="Media"),Registro!B939,"")</f>
        <v/>
      </c>
      <c r="H940" s="45" t="str">
        <f ca="1">IF(AND(Registro!D939="Abierto",Registro!E939="Media"),TODAY()-Registro!R939,"")</f>
        <v/>
      </c>
      <c r="I940" s="45" t="str">
        <f>IF(AND(Registro!D939="Abierto",Registro!E939="Media"),RANK(H940,$H$9:$H$1000,0)+COUNTIF($H$9:H940,H940)-1+MAX(C$5:C$1000,F$5:F$1000),"")</f>
        <v/>
      </c>
      <c r="J940" s="45" t="str">
        <f>IF(AND(Registro!D939="Abierto",Registro!E939="Baja"),Registro!B939,"")</f>
        <v/>
      </c>
      <c r="K940" s="45" t="str">
        <f ca="1">IF(AND(Registro!D939="Abierto",Registro!E939="Baja"),TODAY()-Registro!R939,"")</f>
        <v/>
      </c>
      <c r="L940" s="45" t="str">
        <f>IF(AND(Registro!D939="Abierto",Registro!E939="Baja"),RANK(K940,$K$9:$K$1000,0)+COUNTIF($K$9:K940,K940)-1+MAX(C$5:C$1000,F$5:F$1000,I$5:I$1000),"")</f>
        <v/>
      </c>
      <c r="M940" s="46" t="str">
        <f>IF(OR(Registro!D939="Resuelto",Registro!D939=""),"",SUM(C940,F940,I940,L940))</f>
        <v/>
      </c>
      <c r="N940" s="46" t="str">
        <f>IF(OR(Registro!D939="Resuelto",Registro!D939=""),"",SUM(B940,E940,H940,K940))</f>
        <v/>
      </c>
      <c r="O940" s="46" t="str">
        <f>IF(OR(Registro!D939="Resuelto",Registro!D939=""),"",_xlfn.CONCAT(A940,D940,G940,J940))</f>
        <v/>
      </c>
      <c r="P940" s="47">
        <v>932</v>
      </c>
      <c r="Q940" s="47" t="str">
        <f t="shared" ca="1" si="42"/>
        <v/>
      </c>
      <c r="R940" s="48" t="str">
        <f t="shared" ca="1" si="43"/>
        <v/>
      </c>
      <c r="S940" s="32"/>
      <c r="T940" s="32"/>
      <c r="U940" s="32"/>
      <c r="V940" s="32"/>
      <c r="W940" s="47" t="str">
        <f>IF(X940="","",MAX($W$5:W939)+1)</f>
        <v/>
      </c>
      <c r="X940" s="50" t="str">
        <f>IF(Registro!M939="","",IF(COUNTIF($X$8:X939,Registro!M939)=0,Registro!M939,""))</f>
        <v/>
      </c>
      <c r="Y940" s="50" t="str">
        <f t="shared" si="44"/>
        <v/>
      </c>
    </row>
    <row r="941" spans="1:25">
      <c r="A941" s="45" t="str">
        <f>IF(AND(Registro!D940="Abierto",Registro!E940="Urgente"),Registro!B940,"")</f>
        <v/>
      </c>
      <c r="B941" s="45" t="str">
        <f ca="1">IF(AND(Registro!D940="Abierto",Registro!E940="Urgente"),TODAY()-Registro!R940,"")</f>
        <v/>
      </c>
      <c r="C941" s="45" t="str">
        <f>IF(AND(Registro!D940="Abierto",Registro!E940="Urgente"),RANK(B941,$B$9:$B$1000,0)+COUNTIF($B$9:B941,B941)-1,"")</f>
        <v/>
      </c>
      <c r="D941" s="45" t="str">
        <f>IF(AND(Registro!D940="Abierto",Registro!E940="Alta"),Registro!B940,"")</f>
        <v/>
      </c>
      <c r="E941" s="45" t="str">
        <f ca="1">IF(AND(Registro!D940="Abierto",Registro!E940="Alta"),TODAY()-Registro!R940,"")</f>
        <v/>
      </c>
      <c r="F941" s="45" t="str">
        <f>IF(AND(Registro!D940="Abierto",Registro!E940="Alta"),RANK(E941,$E$9:$E$1000,0)+COUNTIF($E$9:E941,E941)-1+MAX(C$5:C$1000),"")</f>
        <v/>
      </c>
      <c r="G941" s="45" t="str">
        <f>IF(AND(Registro!D940="Abierto",Registro!E940="Media"),Registro!B940,"")</f>
        <v/>
      </c>
      <c r="H941" s="45" t="str">
        <f ca="1">IF(AND(Registro!D940="Abierto",Registro!E940="Media"),TODAY()-Registro!R940,"")</f>
        <v/>
      </c>
      <c r="I941" s="45" t="str">
        <f>IF(AND(Registro!D940="Abierto",Registro!E940="Media"),RANK(H941,$H$9:$H$1000,0)+COUNTIF($H$9:H941,H941)-1+MAX(C$5:C$1000,F$5:F$1000),"")</f>
        <v/>
      </c>
      <c r="J941" s="45" t="str">
        <f>IF(AND(Registro!D940="Abierto",Registro!E940="Baja"),Registro!B940,"")</f>
        <v/>
      </c>
      <c r="K941" s="45" t="str">
        <f ca="1">IF(AND(Registro!D940="Abierto",Registro!E940="Baja"),TODAY()-Registro!R940,"")</f>
        <v/>
      </c>
      <c r="L941" s="45" t="str">
        <f>IF(AND(Registro!D940="Abierto",Registro!E940="Baja"),RANK(K941,$K$9:$K$1000,0)+COUNTIF($K$9:K941,K941)-1+MAX(C$5:C$1000,F$5:F$1000,I$5:I$1000),"")</f>
        <v/>
      </c>
      <c r="M941" s="46" t="str">
        <f>IF(OR(Registro!D940="Resuelto",Registro!D940=""),"",SUM(C941,F941,I941,L941))</f>
        <v/>
      </c>
      <c r="N941" s="46" t="str">
        <f>IF(OR(Registro!D940="Resuelto",Registro!D940=""),"",SUM(B941,E941,H941,K941))</f>
        <v/>
      </c>
      <c r="O941" s="46" t="str">
        <f>IF(OR(Registro!D940="Resuelto",Registro!D940=""),"",_xlfn.CONCAT(A941,D941,G941,J941))</f>
        <v/>
      </c>
      <c r="P941" s="47">
        <v>933</v>
      </c>
      <c r="Q941" s="47" t="str">
        <f t="shared" ca="1" si="42"/>
        <v/>
      </c>
      <c r="R941" s="48" t="str">
        <f t="shared" ca="1" si="43"/>
        <v/>
      </c>
      <c r="S941" s="32"/>
      <c r="T941" s="32"/>
      <c r="U941" s="32"/>
      <c r="V941" s="32"/>
      <c r="W941" s="47" t="str">
        <f>IF(X941="","",MAX($W$5:W940)+1)</f>
        <v/>
      </c>
      <c r="X941" s="50" t="str">
        <f>IF(Registro!M940="","",IF(COUNTIF($X$8:X940,Registro!M940)=0,Registro!M940,""))</f>
        <v/>
      </c>
      <c r="Y941" s="50" t="str">
        <f t="shared" si="44"/>
        <v/>
      </c>
    </row>
    <row r="942" spans="1:25">
      <c r="A942" s="45" t="str">
        <f>IF(AND(Registro!D941="Abierto",Registro!E941="Urgente"),Registro!B941,"")</f>
        <v/>
      </c>
      <c r="B942" s="45" t="str">
        <f ca="1">IF(AND(Registro!D941="Abierto",Registro!E941="Urgente"),TODAY()-Registro!R941,"")</f>
        <v/>
      </c>
      <c r="C942" s="45" t="str">
        <f>IF(AND(Registro!D941="Abierto",Registro!E941="Urgente"),RANK(B942,$B$9:$B$1000,0)+COUNTIF($B$9:B942,B942)-1,"")</f>
        <v/>
      </c>
      <c r="D942" s="45" t="str">
        <f>IF(AND(Registro!D941="Abierto",Registro!E941="Alta"),Registro!B941,"")</f>
        <v/>
      </c>
      <c r="E942" s="45" t="str">
        <f ca="1">IF(AND(Registro!D941="Abierto",Registro!E941="Alta"),TODAY()-Registro!R941,"")</f>
        <v/>
      </c>
      <c r="F942" s="45" t="str">
        <f>IF(AND(Registro!D941="Abierto",Registro!E941="Alta"),RANK(E942,$E$9:$E$1000,0)+COUNTIF($E$9:E942,E942)-1+MAX(C$5:C$1000),"")</f>
        <v/>
      </c>
      <c r="G942" s="45" t="str">
        <f>IF(AND(Registro!D941="Abierto",Registro!E941="Media"),Registro!B941,"")</f>
        <v/>
      </c>
      <c r="H942" s="45" t="str">
        <f ca="1">IF(AND(Registro!D941="Abierto",Registro!E941="Media"),TODAY()-Registro!R941,"")</f>
        <v/>
      </c>
      <c r="I942" s="45" t="str">
        <f>IF(AND(Registro!D941="Abierto",Registro!E941="Media"),RANK(H942,$H$9:$H$1000,0)+COUNTIF($H$9:H942,H942)-1+MAX(C$5:C$1000,F$5:F$1000),"")</f>
        <v/>
      </c>
      <c r="J942" s="45" t="str">
        <f>IF(AND(Registro!D941="Abierto",Registro!E941="Baja"),Registro!B941,"")</f>
        <v/>
      </c>
      <c r="K942" s="45" t="str">
        <f ca="1">IF(AND(Registro!D941="Abierto",Registro!E941="Baja"),TODAY()-Registro!R941,"")</f>
        <v/>
      </c>
      <c r="L942" s="45" t="str">
        <f>IF(AND(Registro!D941="Abierto",Registro!E941="Baja"),RANK(K942,$K$9:$K$1000,0)+COUNTIF($K$9:K942,K942)-1+MAX(C$5:C$1000,F$5:F$1000,I$5:I$1000),"")</f>
        <v/>
      </c>
      <c r="M942" s="46" t="str">
        <f>IF(OR(Registro!D941="Resuelto",Registro!D941=""),"",SUM(C942,F942,I942,L942))</f>
        <v/>
      </c>
      <c r="N942" s="46" t="str">
        <f>IF(OR(Registro!D941="Resuelto",Registro!D941=""),"",SUM(B942,E942,H942,K942))</f>
        <v/>
      </c>
      <c r="O942" s="46" t="str">
        <f>IF(OR(Registro!D941="Resuelto",Registro!D941=""),"",_xlfn.CONCAT(A942,D942,G942,J942))</f>
        <v/>
      </c>
      <c r="P942" s="47">
        <v>934</v>
      </c>
      <c r="Q942" s="47" t="str">
        <f t="shared" ca="1" si="42"/>
        <v/>
      </c>
      <c r="R942" s="48" t="str">
        <f t="shared" ca="1" si="43"/>
        <v/>
      </c>
      <c r="S942" s="32"/>
      <c r="T942" s="32"/>
      <c r="U942" s="32"/>
      <c r="V942" s="32"/>
      <c r="W942" s="47" t="str">
        <f>IF(X942="","",MAX($W$5:W941)+1)</f>
        <v/>
      </c>
      <c r="X942" s="50" t="str">
        <f>IF(Registro!M941="","",IF(COUNTIF($X$8:X941,Registro!M941)=0,Registro!M941,""))</f>
        <v/>
      </c>
      <c r="Y942" s="50" t="str">
        <f t="shared" si="44"/>
        <v/>
      </c>
    </row>
    <row r="943" spans="1:25">
      <c r="A943" s="45" t="str">
        <f>IF(AND(Registro!D942="Abierto",Registro!E942="Urgente"),Registro!B942,"")</f>
        <v/>
      </c>
      <c r="B943" s="45" t="str">
        <f ca="1">IF(AND(Registro!D942="Abierto",Registro!E942="Urgente"),TODAY()-Registro!R942,"")</f>
        <v/>
      </c>
      <c r="C943" s="45" t="str">
        <f>IF(AND(Registro!D942="Abierto",Registro!E942="Urgente"),RANK(B943,$B$9:$B$1000,0)+COUNTIF($B$9:B943,B943)-1,"")</f>
        <v/>
      </c>
      <c r="D943" s="45" t="str">
        <f>IF(AND(Registro!D942="Abierto",Registro!E942="Alta"),Registro!B942,"")</f>
        <v/>
      </c>
      <c r="E943" s="45" t="str">
        <f ca="1">IF(AND(Registro!D942="Abierto",Registro!E942="Alta"),TODAY()-Registro!R942,"")</f>
        <v/>
      </c>
      <c r="F943" s="45" t="str">
        <f>IF(AND(Registro!D942="Abierto",Registro!E942="Alta"),RANK(E943,$E$9:$E$1000,0)+COUNTIF($E$9:E943,E943)-1+MAX(C$5:C$1000),"")</f>
        <v/>
      </c>
      <c r="G943" s="45" t="str">
        <f>IF(AND(Registro!D942="Abierto",Registro!E942="Media"),Registro!B942,"")</f>
        <v/>
      </c>
      <c r="H943" s="45" t="str">
        <f ca="1">IF(AND(Registro!D942="Abierto",Registro!E942="Media"),TODAY()-Registro!R942,"")</f>
        <v/>
      </c>
      <c r="I943" s="45" t="str">
        <f>IF(AND(Registro!D942="Abierto",Registro!E942="Media"),RANK(H943,$H$9:$H$1000,0)+COUNTIF($H$9:H943,H943)-1+MAX(C$5:C$1000,F$5:F$1000),"")</f>
        <v/>
      </c>
      <c r="J943" s="45" t="str">
        <f>IF(AND(Registro!D942="Abierto",Registro!E942="Baja"),Registro!B942,"")</f>
        <v/>
      </c>
      <c r="K943" s="45" t="str">
        <f ca="1">IF(AND(Registro!D942="Abierto",Registro!E942="Baja"),TODAY()-Registro!R942,"")</f>
        <v/>
      </c>
      <c r="L943" s="45" t="str">
        <f>IF(AND(Registro!D942="Abierto",Registro!E942="Baja"),RANK(K943,$K$9:$K$1000,0)+COUNTIF($K$9:K943,K943)-1+MAX(C$5:C$1000,F$5:F$1000,I$5:I$1000),"")</f>
        <v/>
      </c>
      <c r="M943" s="46" t="str">
        <f>IF(OR(Registro!D942="Resuelto",Registro!D942=""),"",SUM(C943,F943,I943,L943))</f>
        <v/>
      </c>
      <c r="N943" s="46" t="str">
        <f>IF(OR(Registro!D942="Resuelto",Registro!D942=""),"",SUM(B943,E943,H943,K943))</f>
        <v/>
      </c>
      <c r="O943" s="46" t="str">
        <f>IF(OR(Registro!D942="Resuelto",Registro!D942=""),"",_xlfn.CONCAT(A943,D943,G943,J943))</f>
        <v/>
      </c>
      <c r="P943" s="47">
        <v>935</v>
      </c>
      <c r="Q943" s="47" t="str">
        <f t="shared" ca="1" si="42"/>
        <v/>
      </c>
      <c r="R943" s="48" t="str">
        <f t="shared" ca="1" si="43"/>
        <v/>
      </c>
      <c r="S943" s="32"/>
      <c r="T943" s="32"/>
      <c r="U943" s="32"/>
      <c r="V943" s="32"/>
      <c r="W943" s="47" t="str">
        <f>IF(X943="","",MAX($W$5:W942)+1)</f>
        <v/>
      </c>
      <c r="X943" s="50" t="str">
        <f>IF(Registro!M942="","",IF(COUNTIF($X$8:X942,Registro!M942)=0,Registro!M942,""))</f>
        <v/>
      </c>
      <c r="Y943" s="50" t="str">
        <f t="shared" si="44"/>
        <v/>
      </c>
    </row>
    <row r="944" spans="1:25">
      <c r="A944" s="45" t="str">
        <f>IF(AND(Registro!D943="Abierto",Registro!E943="Urgente"),Registro!B943,"")</f>
        <v/>
      </c>
      <c r="B944" s="45" t="str">
        <f ca="1">IF(AND(Registro!D943="Abierto",Registro!E943="Urgente"),TODAY()-Registro!R943,"")</f>
        <v/>
      </c>
      <c r="C944" s="45" t="str">
        <f>IF(AND(Registro!D943="Abierto",Registro!E943="Urgente"),RANK(B944,$B$9:$B$1000,0)+COUNTIF($B$9:B944,B944)-1,"")</f>
        <v/>
      </c>
      <c r="D944" s="45" t="str">
        <f>IF(AND(Registro!D943="Abierto",Registro!E943="Alta"),Registro!B943,"")</f>
        <v/>
      </c>
      <c r="E944" s="45" t="str">
        <f ca="1">IF(AND(Registro!D943="Abierto",Registro!E943="Alta"),TODAY()-Registro!R943,"")</f>
        <v/>
      </c>
      <c r="F944" s="45" t="str">
        <f>IF(AND(Registro!D943="Abierto",Registro!E943="Alta"),RANK(E944,$E$9:$E$1000,0)+COUNTIF($E$9:E944,E944)-1+MAX(C$5:C$1000),"")</f>
        <v/>
      </c>
      <c r="G944" s="45" t="str">
        <f>IF(AND(Registro!D943="Abierto",Registro!E943="Media"),Registro!B943,"")</f>
        <v/>
      </c>
      <c r="H944" s="45" t="str">
        <f ca="1">IF(AND(Registro!D943="Abierto",Registro!E943="Media"),TODAY()-Registro!R943,"")</f>
        <v/>
      </c>
      <c r="I944" s="45" t="str">
        <f>IF(AND(Registro!D943="Abierto",Registro!E943="Media"),RANK(H944,$H$9:$H$1000,0)+COUNTIF($H$9:H944,H944)-1+MAX(C$5:C$1000,F$5:F$1000),"")</f>
        <v/>
      </c>
      <c r="J944" s="45" t="str">
        <f>IF(AND(Registro!D943="Abierto",Registro!E943="Baja"),Registro!B943,"")</f>
        <v/>
      </c>
      <c r="K944" s="45" t="str">
        <f ca="1">IF(AND(Registro!D943="Abierto",Registro!E943="Baja"),TODAY()-Registro!R943,"")</f>
        <v/>
      </c>
      <c r="L944" s="45" t="str">
        <f>IF(AND(Registro!D943="Abierto",Registro!E943="Baja"),RANK(K944,$K$9:$K$1000,0)+COUNTIF($K$9:K944,K944)-1+MAX(C$5:C$1000,F$5:F$1000,I$5:I$1000),"")</f>
        <v/>
      </c>
      <c r="M944" s="46" t="str">
        <f>IF(OR(Registro!D943="Resuelto",Registro!D943=""),"",SUM(C944,F944,I944,L944))</f>
        <v/>
      </c>
      <c r="N944" s="46" t="str">
        <f>IF(OR(Registro!D943="Resuelto",Registro!D943=""),"",SUM(B944,E944,H944,K944))</f>
        <v/>
      </c>
      <c r="O944" s="46" t="str">
        <f>IF(OR(Registro!D943="Resuelto",Registro!D943=""),"",_xlfn.CONCAT(A944,D944,G944,J944))</f>
        <v/>
      </c>
      <c r="P944" s="47">
        <v>936</v>
      </c>
      <c r="Q944" s="47" t="str">
        <f t="shared" ca="1" si="42"/>
        <v/>
      </c>
      <c r="R944" s="48" t="str">
        <f t="shared" ca="1" si="43"/>
        <v/>
      </c>
      <c r="S944" s="32"/>
      <c r="T944" s="32"/>
      <c r="U944" s="32"/>
      <c r="V944" s="32"/>
      <c r="W944" s="47" t="str">
        <f>IF(X944="","",MAX($W$5:W943)+1)</f>
        <v/>
      </c>
      <c r="X944" s="50" t="str">
        <f>IF(Registro!M943="","",IF(COUNTIF($X$8:X943,Registro!M943)=0,Registro!M943,""))</f>
        <v/>
      </c>
      <c r="Y944" s="50" t="str">
        <f t="shared" si="44"/>
        <v/>
      </c>
    </row>
    <row r="945" spans="1:25">
      <c r="A945" s="45" t="str">
        <f>IF(AND(Registro!D944="Abierto",Registro!E944="Urgente"),Registro!B944,"")</f>
        <v/>
      </c>
      <c r="B945" s="45" t="str">
        <f ca="1">IF(AND(Registro!D944="Abierto",Registro!E944="Urgente"),TODAY()-Registro!R944,"")</f>
        <v/>
      </c>
      <c r="C945" s="45" t="str">
        <f>IF(AND(Registro!D944="Abierto",Registro!E944="Urgente"),RANK(B945,$B$9:$B$1000,0)+COUNTIF($B$9:B945,B945)-1,"")</f>
        <v/>
      </c>
      <c r="D945" s="45" t="str">
        <f>IF(AND(Registro!D944="Abierto",Registro!E944="Alta"),Registro!B944,"")</f>
        <v/>
      </c>
      <c r="E945" s="45" t="str">
        <f ca="1">IF(AND(Registro!D944="Abierto",Registro!E944="Alta"),TODAY()-Registro!R944,"")</f>
        <v/>
      </c>
      <c r="F945" s="45" t="str">
        <f>IF(AND(Registro!D944="Abierto",Registro!E944="Alta"),RANK(E945,$E$9:$E$1000,0)+COUNTIF($E$9:E945,E945)-1+MAX(C$5:C$1000),"")</f>
        <v/>
      </c>
      <c r="G945" s="45" t="str">
        <f>IF(AND(Registro!D944="Abierto",Registro!E944="Media"),Registro!B944,"")</f>
        <v/>
      </c>
      <c r="H945" s="45" t="str">
        <f ca="1">IF(AND(Registro!D944="Abierto",Registro!E944="Media"),TODAY()-Registro!R944,"")</f>
        <v/>
      </c>
      <c r="I945" s="45" t="str">
        <f>IF(AND(Registro!D944="Abierto",Registro!E944="Media"),RANK(H945,$H$9:$H$1000,0)+COUNTIF($H$9:H945,H945)-1+MAX(C$5:C$1000,F$5:F$1000),"")</f>
        <v/>
      </c>
      <c r="J945" s="45" t="str">
        <f>IF(AND(Registro!D944="Abierto",Registro!E944="Baja"),Registro!B944,"")</f>
        <v/>
      </c>
      <c r="K945" s="45" t="str">
        <f ca="1">IF(AND(Registro!D944="Abierto",Registro!E944="Baja"),TODAY()-Registro!R944,"")</f>
        <v/>
      </c>
      <c r="L945" s="45" t="str">
        <f>IF(AND(Registro!D944="Abierto",Registro!E944="Baja"),RANK(K945,$K$9:$K$1000,0)+COUNTIF($K$9:K945,K945)-1+MAX(C$5:C$1000,F$5:F$1000,I$5:I$1000),"")</f>
        <v/>
      </c>
      <c r="M945" s="46" t="str">
        <f>IF(OR(Registro!D944="Resuelto",Registro!D944=""),"",SUM(C945,F945,I945,L945))</f>
        <v/>
      </c>
      <c r="N945" s="46" t="str">
        <f>IF(OR(Registro!D944="Resuelto",Registro!D944=""),"",SUM(B945,E945,H945,K945))</f>
        <v/>
      </c>
      <c r="O945" s="46" t="str">
        <f>IF(OR(Registro!D944="Resuelto",Registro!D944=""),"",_xlfn.CONCAT(A945,D945,G945,J945))</f>
        <v/>
      </c>
      <c r="P945" s="47">
        <v>937</v>
      </c>
      <c r="Q945" s="47" t="str">
        <f t="shared" ca="1" si="42"/>
        <v/>
      </c>
      <c r="R945" s="48" t="str">
        <f t="shared" ca="1" si="43"/>
        <v/>
      </c>
      <c r="S945" s="32"/>
      <c r="T945" s="32"/>
      <c r="U945" s="32"/>
      <c r="V945" s="32"/>
      <c r="W945" s="47" t="str">
        <f>IF(X945="","",MAX($W$5:W944)+1)</f>
        <v/>
      </c>
      <c r="X945" s="50" t="str">
        <f>IF(Registro!M944="","",IF(COUNTIF($X$8:X944,Registro!M944)=0,Registro!M944,""))</f>
        <v/>
      </c>
      <c r="Y945" s="50" t="str">
        <f t="shared" si="44"/>
        <v/>
      </c>
    </row>
    <row r="946" spans="1:25">
      <c r="A946" s="45" t="str">
        <f>IF(AND(Registro!D945="Abierto",Registro!E945="Urgente"),Registro!B945,"")</f>
        <v/>
      </c>
      <c r="B946" s="45" t="str">
        <f ca="1">IF(AND(Registro!D945="Abierto",Registro!E945="Urgente"),TODAY()-Registro!R945,"")</f>
        <v/>
      </c>
      <c r="C946" s="45" t="str">
        <f>IF(AND(Registro!D945="Abierto",Registro!E945="Urgente"),RANK(B946,$B$9:$B$1000,0)+COUNTIF($B$9:B946,B946)-1,"")</f>
        <v/>
      </c>
      <c r="D946" s="45" t="str">
        <f>IF(AND(Registro!D945="Abierto",Registro!E945="Alta"),Registro!B945,"")</f>
        <v/>
      </c>
      <c r="E946" s="45" t="str">
        <f ca="1">IF(AND(Registro!D945="Abierto",Registro!E945="Alta"),TODAY()-Registro!R945,"")</f>
        <v/>
      </c>
      <c r="F946" s="45" t="str">
        <f>IF(AND(Registro!D945="Abierto",Registro!E945="Alta"),RANK(E946,$E$9:$E$1000,0)+COUNTIF($E$9:E946,E946)-1+MAX(C$5:C$1000),"")</f>
        <v/>
      </c>
      <c r="G946" s="45" t="str">
        <f>IF(AND(Registro!D945="Abierto",Registro!E945="Media"),Registro!B945,"")</f>
        <v/>
      </c>
      <c r="H946" s="45" t="str">
        <f ca="1">IF(AND(Registro!D945="Abierto",Registro!E945="Media"),TODAY()-Registro!R945,"")</f>
        <v/>
      </c>
      <c r="I946" s="45" t="str">
        <f>IF(AND(Registro!D945="Abierto",Registro!E945="Media"),RANK(H946,$H$9:$H$1000,0)+COUNTIF($H$9:H946,H946)-1+MAX(C$5:C$1000,F$5:F$1000),"")</f>
        <v/>
      </c>
      <c r="J946" s="45" t="str">
        <f>IF(AND(Registro!D945="Abierto",Registro!E945="Baja"),Registro!B945,"")</f>
        <v/>
      </c>
      <c r="K946" s="45" t="str">
        <f ca="1">IF(AND(Registro!D945="Abierto",Registro!E945="Baja"),TODAY()-Registro!R945,"")</f>
        <v/>
      </c>
      <c r="L946" s="45" t="str">
        <f>IF(AND(Registro!D945="Abierto",Registro!E945="Baja"),RANK(K946,$K$9:$K$1000,0)+COUNTIF($K$9:K946,K946)-1+MAX(C$5:C$1000,F$5:F$1000,I$5:I$1000),"")</f>
        <v/>
      </c>
      <c r="M946" s="46" t="str">
        <f>IF(OR(Registro!D945="Resuelto",Registro!D945=""),"",SUM(C946,F946,I946,L946))</f>
        <v/>
      </c>
      <c r="N946" s="46" t="str">
        <f>IF(OR(Registro!D945="Resuelto",Registro!D945=""),"",SUM(B946,E946,H946,K946))</f>
        <v/>
      </c>
      <c r="O946" s="46" t="str">
        <f>IF(OR(Registro!D945="Resuelto",Registro!D945=""),"",_xlfn.CONCAT(A946,D946,G946,J946))</f>
        <v/>
      </c>
      <c r="P946" s="47">
        <v>938</v>
      </c>
      <c r="Q946" s="47" t="str">
        <f t="shared" ca="1" si="42"/>
        <v/>
      </c>
      <c r="R946" s="48" t="str">
        <f t="shared" ca="1" si="43"/>
        <v/>
      </c>
      <c r="S946" s="32"/>
      <c r="T946" s="32"/>
      <c r="U946" s="32"/>
      <c r="V946" s="32"/>
      <c r="W946" s="47" t="str">
        <f>IF(X946="","",MAX($W$5:W945)+1)</f>
        <v/>
      </c>
      <c r="X946" s="50" t="str">
        <f>IF(Registro!M945="","",IF(COUNTIF($X$8:X945,Registro!M945)=0,Registro!M945,""))</f>
        <v/>
      </c>
      <c r="Y946" s="50" t="str">
        <f t="shared" si="44"/>
        <v/>
      </c>
    </row>
    <row r="947" spans="1:25">
      <c r="A947" s="45" t="str">
        <f>IF(AND(Registro!D946="Abierto",Registro!E946="Urgente"),Registro!B946,"")</f>
        <v/>
      </c>
      <c r="B947" s="45" t="str">
        <f ca="1">IF(AND(Registro!D946="Abierto",Registro!E946="Urgente"),TODAY()-Registro!R946,"")</f>
        <v/>
      </c>
      <c r="C947" s="45" t="str">
        <f>IF(AND(Registro!D946="Abierto",Registro!E946="Urgente"),RANK(B947,$B$9:$B$1000,0)+COUNTIF($B$9:B947,B947)-1,"")</f>
        <v/>
      </c>
      <c r="D947" s="45" t="str">
        <f>IF(AND(Registro!D946="Abierto",Registro!E946="Alta"),Registro!B946,"")</f>
        <v/>
      </c>
      <c r="E947" s="45" t="str">
        <f ca="1">IF(AND(Registro!D946="Abierto",Registro!E946="Alta"),TODAY()-Registro!R946,"")</f>
        <v/>
      </c>
      <c r="F947" s="45" t="str">
        <f>IF(AND(Registro!D946="Abierto",Registro!E946="Alta"),RANK(E947,$E$9:$E$1000,0)+COUNTIF($E$9:E947,E947)-1+MAX(C$5:C$1000),"")</f>
        <v/>
      </c>
      <c r="G947" s="45" t="str">
        <f>IF(AND(Registro!D946="Abierto",Registro!E946="Media"),Registro!B946,"")</f>
        <v/>
      </c>
      <c r="H947" s="45" t="str">
        <f ca="1">IF(AND(Registro!D946="Abierto",Registro!E946="Media"),TODAY()-Registro!R946,"")</f>
        <v/>
      </c>
      <c r="I947" s="45" t="str">
        <f>IF(AND(Registro!D946="Abierto",Registro!E946="Media"),RANK(H947,$H$9:$H$1000,0)+COUNTIF($H$9:H947,H947)-1+MAX(C$5:C$1000,F$5:F$1000),"")</f>
        <v/>
      </c>
      <c r="J947" s="45" t="str">
        <f>IF(AND(Registro!D946="Abierto",Registro!E946="Baja"),Registro!B946,"")</f>
        <v/>
      </c>
      <c r="K947" s="45" t="str">
        <f ca="1">IF(AND(Registro!D946="Abierto",Registro!E946="Baja"),TODAY()-Registro!R946,"")</f>
        <v/>
      </c>
      <c r="L947" s="45" t="str">
        <f>IF(AND(Registro!D946="Abierto",Registro!E946="Baja"),RANK(K947,$K$9:$K$1000,0)+COUNTIF($K$9:K947,K947)-1+MAX(C$5:C$1000,F$5:F$1000,I$5:I$1000),"")</f>
        <v/>
      </c>
      <c r="M947" s="46" t="str">
        <f>IF(OR(Registro!D946="Resuelto",Registro!D946=""),"",SUM(C947,F947,I947,L947))</f>
        <v/>
      </c>
      <c r="N947" s="46" t="str">
        <f>IF(OR(Registro!D946="Resuelto",Registro!D946=""),"",SUM(B947,E947,H947,K947))</f>
        <v/>
      </c>
      <c r="O947" s="46" t="str">
        <f>IF(OR(Registro!D946="Resuelto",Registro!D946=""),"",_xlfn.CONCAT(A947,D947,G947,J947))</f>
        <v/>
      </c>
      <c r="P947" s="47">
        <v>939</v>
      </c>
      <c r="Q947" s="47" t="str">
        <f t="shared" ca="1" si="42"/>
        <v/>
      </c>
      <c r="R947" s="48" t="str">
        <f t="shared" ca="1" si="43"/>
        <v/>
      </c>
      <c r="S947" s="32"/>
      <c r="T947" s="32"/>
      <c r="U947" s="32"/>
      <c r="V947" s="32"/>
      <c r="W947" s="47" t="str">
        <f>IF(X947="","",MAX($W$5:W946)+1)</f>
        <v/>
      </c>
      <c r="X947" s="50" t="str">
        <f>IF(Registro!M946="","",IF(COUNTIF($X$8:X946,Registro!M946)=0,Registro!M946,""))</f>
        <v/>
      </c>
      <c r="Y947" s="50" t="str">
        <f t="shared" si="44"/>
        <v/>
      </c>
    </row>
    <row r="948" spans="1:25">
      <c r="A948" s="45" t="str">
        <f>IF(AND(Registro!D947="Abierto",Registro!E947="Urgente"),Registro!B947,"")</f>
        <v/>
      </c>
      <c r="B948" s="45" t="str">
        <f ca="1">IF(AND(Registro!D947="Abierto",Registro!E947="Urgente"),TODAY()-Registro!R947,"")</f>
        <v/>
      </c>
      <c r="C948" s="45" t="str">
        <f>IF(AND(Registro!D947="Abierto",Registro!E947="Urgente"),RANK(B948,$B$9:$B$1000,0)+COUNTIF($B$9:B948,B948)-1,"")</f>
        <v/>
      </c>
      <c r="D948" s="45" t="str">
        <f>IF(AND(Registro!D947="Abierto",Registro!E947="Alta"),Registro!B947,"")</f>
        <v/>
      </c>
      <c r="E948" s="45" t="str">
        <f ca="1">IF(AND(Registro!D947="Abierto",Registro!E947="Alta"),TODAY()-Registro!R947,"")</f>
        <v/>
      </c>
      <c r="F948" s="45" t="str">
        <f>IF(AND(Registro!D947="Abierto",Registro!E947="Alta"),RANK(E948,$E$9:$E$1000,0)+COUNTIF($E$9:E948,E948)-1+MAX(C$5:C$1000),"")</f>
        <v/>
      </c>
      <c r="G948" s="45" t="str">
        <f>IF(AND(Registro!D947="Abierto",Registro!E947="Media"),Registro!B947,"")</f>
        <v/>
      </c>
      <c r="H948" s="45" t="str">
        <f ca="1">IF(AND(Registro!D947="Abierto",Registro!E947="Media"),TODAY()-Registro!R947,"")</f>
        <v/>
      </c>
      <c r="I948" s="45" t="str">
        <f>IF(AND(Registro!D947="Abierto",Registro!E947="Media"),RANK(H948,$H$9:$H$1000,0)+COUNTIF($H$9:H948,H948)-1+MAX(C$5:C$1000,F$5:F$1000),"")</f>
        <v/>
      </c>
      <c r="J948" s="45" t="str">
        <f>IF(AND(Registro!D947="Abierto",Registro!E947="Baja"),Registro!B947,"")</f>
        <v/>
      </c>
      <c r="K948" s="45" t="str">
        <f ca="1">IF(AND(Registro!D947="Abierto",Registro!E947="Baja"),TODAY()-Registro!R947,"")</f>
        <v/>
      </c>
      <c r="L948" s="45" t="str">
        <f>IF(AND(Registro!D947="Abierto",Registro!E947="Baja"),RANK(K948,$K$9:$K$1000,0)+COUNTIF($K$9:K948,K948)-1+MAX(C$5:C$1000,F$5:F$1000,I$5:I$1000),"")</f>
        <v/>
      </c>
      <c r="M948" s="46" t="str">
        <f>IF(OR(Registro!D947="Resuelto",Registro!D947=""),"",SUM(C948,F948,I948,L948))</f>
        <v/>
      </c>
      <c r="N948" s="46" t="str">
        <f>IF(OR(Registro!D947="Resuelto",Registro!D947=""),"",SUM(B948,E948,H948,K948))</f>
        <v/>
      </c>
      <c r="O948" s="46" t="str">
        <f>IF(OR(Registro!D947="Resuelto",Registro!D947=""),"",_xlfn.CONCAT(A948,D948,G948,J948))</f>
        <v/>
      </c>
      <c r="P948" s="47">
        <v>940</v>
      </c>
      <c r="Q948" s="47" t="str">
        <f t="shared" ca="1" si="42"/>
        <v/>
      </c>
      <c r="R948" s="48" t="str">
        <f t="shared" ca="1" si="43"/>
        <v/>
      </c>
      <c r="S948" s="32"/>
      <c r="T948" s="32"/>
      <c r="U948" s="32"/>
      <c r="V948" s="32"/>
      <c r="W948" s="47" t="str">
        <f>IF(X948="","",MAX($W$5:W947)+1)</f>
        <v/>
      </c>
      <c r="X948" s="50" t="str">
        <f>IF(Registro!M947="","",IF(COUNTIF($X$8:X947,Registro!M947)=0,Registro!M947,""))</f>
        <v/>
      </c>
      <c r="Y948" s="50" t="str">
        <f t="shared" si="44"/>
        <v/>
      </c>
    </row>
    <row r="949" spans="1:25">
      <c r="A949" s="45" t="str">
        <f>IF(AND(Registro!D948="Abierto",Registro!E948="Urgente"),Registro!B948,"")</f>
        <v/>
      </c>
      <c r="B949" s="45" t="str">
        <f ca="1">IF(AND(Registro!D948="Abierto",Registro!E948="Urgente"),TODAY()-Registro!R948,"")</f>
        <v/>
      </c>
      <c r="C949" s="45" t="str">
        <f>IF(AND(Registro!D948="Abierto",Registro!E948="Urgente"),RANK(B949,$B$9:$B$1000,0)+COUNTIF($B$9:B949,B949)-1,"")</f>
        <v/>
      </c>
      <c r="D949" s="45" t="str">
        <f>IF(AND(Registro!D948="Abierto",Registro!E948="Alta"),Registro!B948,"")</f>
        <v/>
      </c>
      <c r="E949" s="45" t="str">
        <f ca="1">IF(AND(Registro!D948="Abierto",Registro!E948="Alta"),TODAY()-Registro!R948,"")</f>
        <v/>
      </c>
      <c r="F949" s="45" t="str">
        <f>IF(AND(Registro!D948="Abierto",Registro!E948="Alta"),RANK(E949,$E$9:$E$1000,0)+COUNTIF($E$9:E949,E949)-1+MAX(C$5:C$1000),"")</f>
        <v/>
      </c>
      <c r="G949" s="45" t="str">
        <f>IF(AND(Registro!D948="Abierto",Registro!E948="Media"),Registro!B948,"")</f>
        <v/>
      </c>
      <c r="H949" s="45" t="str">
        <f ca="1">IF(AND(Registro!D948="Abierto",Registro!E948="Media"),TODAY()-Registro!R948,"")</f>
        <v/>
      </c>
      <c r="I949" s="45" t="str">
        <f>IF(AND(Registro!D948="Abierto",Registro!E948="Media"),RANK(H949,$H$9:$H$1000,0)+COUNTIF($H$9:H949,H949)-1+MAX(C$5:C$1000,F$5:F$1000),"")</f>
        <v/>
      </c>
      <c r="J949" s="45" t="str">
        <f>IF(AND(Registro!D948="Abierto",Registro!E948="Baja"),Registro!B948,"")</f>
        <v/>
      </c>
      <c r="K949" s="45" t="str">
        <f ca="1">IF(AND(Registro!D948="Abierto",Registro!E948="Baja"),TODAY()-Registro!R948,"")</f>
        <v/>
      </c>
      <c r="L949" s="45" t="str">
        <f>IF(AND(Registro!D948="Abierto",Registro!E948="Baja"),RANK(K949,$K$9:$K$1000,0)+COUNTIF($K$9:K949,K949)-1+MAX(C$5:C$1000,F$5:F$1000,I$5:I$1000),"")</f>
        <v/>
      </c>
      <c r="M949" s="46" t="str">
        <f>IF(OR(Registro!D948="Resuelto",Registro!D948=""),"",SUM(C949,F949,I949,L949))</f>
        <v/>
      </c>
      <c r="N949" s="46" t="str">
        <f>IF(OR(Registro!D948="Resuelto",Registro!D948=""),"",SUM(B949,E949,H949,K949))</f>
        <v/>
      </c>
      <c r="O949" s="46" t="str">
        <f>IF(OR(Registro!D948="Resuelto",Registro!D948=""),"",_xlfn.CONCAT(A949,D949,G949,J949))</f>
        <v/>
      </c>
      <c r="P949" s="47">
        <v>941</v>
      </c>
      <c r="Q949" s="47" t="str">
        <f t="shared" ca="1" si="42"/>
        <v/>
      </c>
      <c r="R949" s="48" t="str">
        <f t="shared" ca="1" si="43"/>
        <v/>
      </c>
      <c r="S949" s="32"/>
      <c r="T949" s="32"/>
      <c r="U949" s="32"/>
      <c r="V949" s="32"/>
      <c r="W949" s="47" t="str">
        <f>IF(X949="","",MAX($W$5:W948)+1)</f>
        <v/>
      </c>
      <c r="X949" s="50" t="str">
        <f>IF(Registro!M948="","",IF(COUNTIF($X$8:X948,Registro!M948)=0,Registro!M948,""))</f>
        <v/>
      </c>
      <c r="Y949" s="50" t="str">
        <f t="shared" si="44"/>
        <v/>
      </c>
    </row>
    <row r="950" spans="1:25">
      <c r="A950" s="45" t="str">
        <f>IF(AND(Registro!D949="Abierto",Registro!E949="Urgente"),Registro!B949,"")</f>
        <v/>
      </c>
      <c r="B950" s="45" t="str">
        <f ca="1">IF(AND(Registro!D949="Abierto",Registro!E949="Urgente"),TODAY()-Registro!R949,"")</f>
        <v/>
      </c>
      <c r="C950" s="45" t="str">
        <f>IF(AND(Registro!D949="Abierto",Registro!E949="Urgente"),RANK(B950,$B$9:$B$1000,0)+COUNTIF($B$9:B950,B950)-1,"")</f>
        <v/>
      </c>
      <c r="D950" s="45" t="str">
        <f>IF(AND(Registro!D949="Abierto",Registro!E949="Alta"),Registro!B949,"")</f>
        <v/>
      </c>
      <c r="E950" s="45" t="str">
        <f ca="1">IF(AND(Registro!D949="Abierto",Registro!E949="Alta"),TODAY()-Registro!R949,"")</f>
        <v/>
      </c>
      <c r="F950" s="45" t="str">
        <f>IF(AND(Registro!D949="Abierto",Registro!E949="Alta"),RANK(E950,$E$9:$E$1000,0)+COUNTIF($E$9:E950,E950)-1+MAX(C$5:C$1000),"")</f>
        <v/>
      </c>
      <c r="G950" s="45" t="str">
        <f>IF(AND(Registro!D949="Abierto",Registro!E949="Media"),Registro!B949,"")</f>
        <v/>
      </c>
      <c r="H950" s="45" t="str">
        <f ca="1">IF(AND(Registro!D949="Abierto",Registro!E949="Media"),TODAY()-Registro!R949,"")</f>
        <v/>
      </c>
      <c r="I950" s="45" t="str">
        <f>IF(AND(Registro!D949="Abierto",Registro!E949="Media"),RANK(H950,$H$9:$H$1000,0)+COUNTIF($H$9:H950,H950)-1+MAX(C$5:C$1000,F$5:F$1000),"")</f>
        <v/>
      </c>
      <c r="J950" s="45" t="str">
        <f>IF(AND(Registro!D949="Abierto",Registro!E949="Baja"),Registro!B949,"")</f>
        <v/>
      </c>
      <c r="K950" s="45" t="str">
        <f ca="1">IF(AND(Registro!D949="Abierto",Registro!E949="Baja"),TODAY()-Registro!R949,"")</f>
        <v/>
      </c>
      <c r="L950" s="45" t="str">
        <f>IF(AND(Registro!D949="Abierto",Registro!E949="Baja"),RANK(K950,$K$9:$K$1000,0)+COUNTIF($K$9:K950,K950)-1+MAX(C$5:C$1000,F$5:F$1000,I$5:I$1000),"")</f>
        <v/>
      </c>
      <c r="M950" s="46" t="str">
        <f>IF(OR(Registro!D949="Resuelto",Registro!D949=""),"",SUM(C950,F950,I950,L950))</f>
        <v/>
      </c>
      <c r="N950" s="46" t="str">
        <f>IF(OR(Registro!D949="Resuelto",Registro!D949=""),"",SUM(B950,E950,H950,K950))</f>
        <v/>
      </c>
      <c r="O950" s="46" t="str">
        <f>IF(OR(Registro!D949="Resuelto",Registro!D949=""),"",_xlfn.CONCAT(A950,D950,G950,J950))</f>
        <v/>
      </c>
      <c r="P950" s="47">
        <v>942</v>
      </c>
      <c r="Q950" s="47" t="str">
        <f t="shared" ca="1" si="42"/>
        <v/>
      </c>
      <c r="R950" s="48" t="str">
        <f t="shared" ca="1" si="43"/>
        <v/>
      </c>
      <c r="S950" s="32"/>
      <c r="T950" s="32"/>
      <c r="U950" s="32"/>
      <c r="V950" s="32"/>
      <c r="W950" s="47" t="str">
        <f>IF(X950="","",MAX($W$5:W949)+1)</f>
        <v/>
      </c>
      <c r="X950" s="50" t="str">
        <f>IF(Registro!M949="","",IF(COUNTIF($X$8:X949,Registro!M949)=0,Registro!M949,""))</f>
        <v/>
      </c>
      <c r="Y950" s="50" t="str">
        <f t="shared" si="44"/>
        <v/>
      </c>
    </row>
    <row r="951" spans="1:25">
      <c r="A951" s="45" t="str">
        <f>IF(AND(Registro!D950="Abierto",Registro!E950="Urgente"),Registro!B950,"")</f>
        <v/>
      </c>
      <c r="B951" s="45" t="str">
        <f ca="1">IF(AND(Registro!D950="Abierto",Registro!E950="Urgente"),TODAY()-Registro!R950,"")</f>
        <v/>
      </c>
      <c r="C951" s="45" t="str">
        <f>IF(AND(Registro!D950="Abierto",Registro!E950="Urgente"),RANK(B951,$B$9:$B$1000,0)+COUNTIF($B$9:B951,B951)-1,"")</f>
        <v/>
      </c>
      <c r="D951" s="45" t="str">
        <f>IF(AND(Registro!D950="Abierto",Registro!E950="Alta"),Registro!B950,"")</f>
        <v/>
      </c>
      <c r="E951" s="45" t="str">
        <f ca="1">IF(AND(Registro!D950="Abierto",Registro!E950="Alta"),TODAY()-Registro!R950,"")</f>
        <v/>
      </c>
      <c r="F951" s="45" t="str">
        <f>IF(AND(Registro!D950="Abierto",Registro!E950="Alta"),RANK(E951,$E$9:$E$1000,0)+COUNTIF($E$9:E951,E951)-1+MAX(C$5:C$1000),"")</f>
        <v/>
      </c>
      <c r="G951" s="45" t="str">
        <f>IF(AND(Registro!D950="Abierto",Registro!E950="Media"),Registro!B950,"")</f>
        <v/>
      </c>
      <c r="H951" s="45" t="str">
        <f ca="1">IF(AND(Registro!D950="Abierto",Registro!E950="Media"),TODAY()-Registro!R950,"")</f>
        <v/>
      </c>
      <c r="I951" s="45" t="str">
        <f>IF(AND(Registro!D950="Abierto",Registro!E950="Media"),RANK(H951,$H$9:$H$1000,0)+COUNTIF($H$9:H951,H951)-1+MAX(C$5:C$1000,F$5:F$1000),"")</f>
        <v/>
      </c>
      <c r="J951" s="45" t="str">
        <f>IF(AND(Registro!D950="Abierto",Registro!E950="Baja"),Registro!B950,"")</f>
        <v/>
      </c>
      <c r="K951" s="45" t="str">
        <f ca="1">IF(AND(Registro!D950="Abierto",Registro!E950="Baja"),TODAY()-Registro!R950,"")</f>
        <v/>
      </c>
      <c r="L951" s="45" t="str">
        <f>IF(AND(Registro!D950="Abierto",Registro!E950="Baja"),RANK(K951,$K$9:$K$1000,0)+COUNTIF($K$9:K951,K951)-1+MAX(C$5:C$1000,F$5:F$1000,I$5:I$1000),"")</f>
        <v/>
      </c>
      <c r="M951" s="46" t="str">
        <f>IF(OR(Registro!D950="Resuelto",Registro!D950=""),"",SUM(C951,F951,I951,L951))</f>
        <v/>
      </c>
      <c r="N951" s="46" t="str">
        <f>IF(OR(Registro!D950="Resuelto",Registro!D950=""),"",SUM(B951,E951,H951,K951))</f>
        <v/>
      </c>
      <c r="O951" s="46" t="str">
        <f>IF(OR(Registro!D950="Resuelto",Registro!D950=""),"",_xlfn.CONCAT(A951,D951,G951,J951))</f>
        <v/>
      </c>
      <c r="P951" s="47">
        <v>943</v>
      </c>
      <c r="Q951" s="47" t="str">
        <f t="shared" ca="1" si="42"/>
        <v/>
      </c>
      <c r="R951" s="48" t="str">
        <f t="shared" ca="1" si="43"/>
        <v/>
      </c>
      <c r="S951" s="32"/>
      <c r="T951" s="32"/>
      <c r="U951" s="32"/>
      <c r="V951" s="32"/>
      <c r="W951" s="47" t="str">
        <f>IF(X951="","",MAX($W$5:W950)+1)</f>
        <v/>
      </c>
      <c r="X951" s="50" t="str">
        <f>IF(Registro!M950="","",IF(COUNTIF($X$8:X950,Registro!M950)=0,Registro!M950,""))</f>
        <v/>
      </c>
      <c r="Y951" s="50" t="str">
        <f t="shared" si="44"/>
        <v/>
      </c>
    </row>
    <row r="952" spans="1:25">
      <c r="A952" s="45" t="str">
        <f>IF(AND(Registro!D951="Abierto",Registro!E951="Urgente"),Registro!B951,"")</f>
        <v/>
      </c>
      <c r="B952" s="45" t="str">
        <f ca="1">IF(AND(Registro!D951="Abierto",Registro!E951="Urgente"),TODAY()-Registro!R951,"")</f>
        <v/>
      </c>
      <c r="C952" s="45" t="str">
        <f>IF(AND(Registro!D951="Abierto",Registro!E951="Urgente"),RANK(B952,$B$9:$B$1000,0)+COUNTIF($B$9:B952,B952)-1,"")</f>
        <v/>
      </c>
      <c r="D952" s="45" t="str">
        <f>IF(AND(Registro!D951="Abierto",Registro!E951="Alta"),Registro!B951,"")</f>
        <v/>
      </c>
      <c r="E952" s="45" t="str">
        <f ca="1">IF(AND(Registro!D951="Abierto",Registro!E951="Alta"),TODAY()-Registro!R951,"")</f>
        <v/>
      </c>
      <c r="F952" s="45" t="str">
        <f>IF(AND(Registro!D951="Abierto",Registro!E951="Alta"),RANK(E952,$E$9:$E$1000,0)+COUNTIF($E$9:E952,E952)-1+MAX(C$5:C$1000),"")</f>
        <v/>
      </c>
      <c r="G952" s="45" t="str">
        <f>IF(AND(Registro!D951="Abierto",Registro!E951="Media"),Registro!B951,"")</f>
        <v/>
      </c>
      <c r="H952" s="45" t="str">
        <f ca="1">IF(AND(Registro!D951="Abierto",Registro!E951="Media"),TODAY()-Registro!R951,"")</f>
        <v/>
      </c>
      <c r="I952" s="45" t="str">
        <f>IF(AND(Registro!D951="Abierto",Registro!E951="Media"),RANK(H952,$H$9:$H$1000,0)+COUNTIF($H$9:H952,H952)-1+MAX(C$5:C$1000,F$5:F$1000),"")</f>
        <v/>
      </c>
      <c r="J952" s="45" t="str">
        <f>IF(AND(Registro!D951="Abierto",Registro!E951="Baja"),Registro!B951,"")</f>
        <v/>
      </c>
      <c r="K952" s="45" t="str">
        <f ca="1">IF(AND(Registro!D951="Abierto",Registro!E951="Baja"),TODAY()-Registro!R951,"")</f>
        <v/>
      </c>
      <c r="L952" s="45" t="str">
        <f>IF(AND(Registro!D951="Abierto",Registro!E951="Baja"),RANK(K952,$K$9:$K$1000,0)+COUNTIF($K$9:K952,K952)-1+MAX(C$5:C$1000,F$5:F$1000,I$5:I$1000),"")</f>
        <v/>
      </c>
      <c r="M952" s="46" t="str">
        <f>IF(OR(Registro!D951="Resuelto",Registro!D951=""),"",SUM(C952,F952,I952,L952))</f>
        <v/>
      </c>
      <c r="N952" s="46" t="str">
        <f>IF(OR(Registro!D951="Resuelto",Registro!D951=""),"",SUM(B952,E952,H952,K952))</f>
        <v/>
      </c>
      <c r="O952" s="46" t="str">
        <f>IF(OR(Registro!D951="Resuelto",Registro!D951=""),"",_xlfn.CONCAT(A952,D952,G952,J952))</f>
        <v/>
      </c>
      <c r="P952" s="47">
        <v>944</v>
      </c>
      <c r="Q952" s="47" t="str">
        <f t="shared" ca="1" si="42"/>
        <v/>
      </c>
      <c r="R952" s="48" t="str">
        <f t="shared" ca="1" si="43"/>
        <v/>
      </c>
      <c r="S952" s="32"/>
      <c r="T952" s="32"/>
      <c r="U952" s="32"/>
      <c r="V952" s="32"/>
      <c r="W952" s="47" t="str">
        <f>IF(X952="","",MAX($W$5:W951)+1)</f>
        <v/>
      </c>
      <c r="X952" s="50" t="str">
        <f>IF(Registro!M951="","",IF(COUNTIF($X$8:X951,Registro!M951)=0,Registro!M951,""))</f>
        <v/>
      </c>
      <c r="Y952" s="50" t="str">
        <f t="shared" si="44"/>
        <v/>
      </c>
    </row>
    <row r="953" spans="1:25">
      <c r="A953" s="45" t="str">
        <f>IF(AND(Registro!D952="Abierto",Registro!E952="Urgente"),Registro!B952,"")</f>
        <v/>
      </c>
      <c r="B953" s="45" t="str">
        <f ca="1">IF(AND(Registro!D952="Abierto",Registro!E952="Urgente"),TODAY()-Registro!R952,"")</f>
        <v/>
      </c>
      <c r="C953" s="45" t="str">
        <f>IF(AND(Registro!D952="Abierto",Registro!E952="Urgente"),RANK(B953,$B$9:$B$1000,0)+COUNTIF($B$9:B953,B953)-1,"")</f>
        <v/>
      </c>
      <c r="D953" s="45" t="str">
        <f>IF(AND(Registro!D952="Abierto",Registro!E952="Alta"),Registro!B952,"")</f>
        <v/>
      </c>
      <c r="E953" s="45" t="str">
        <f ca="1">IF(AND(Registro!D952="Abierto",Registro!E952="Alta"),TODAY()-Registro!R952,"")</f>
        <v/>
      </c>
      <c r="F953" s="45" t="str">
        <f>IF(AND(Registro!D952="Abierto",Registro!E952="Alta"),RANK(E953,$E$9:$E$1000,0)+COUNTIF($E$9:E953,E953)-1+MAX(C$5:C$1000),"")</f>
        <v/>
      </c>
      <c r="G953" s="45" t="str">
        <f>IF(AND(Registro!D952="Abierto",Registro!E952="Media"),Registro!B952,"")</f>
        <v/>
      </c>
      <c r="H953" s="45" t="str">
        <f ca="1">IF(AND(Registro!D952="Abierto",Registro!E952="Media"),TODAY()-Registro!R952,"")</f>
        <v/>
      </c>
      <c r="I953" s="45" t="str">
        <f>IF(AND(Registro!D952="Abierto",Registro!E952="Media"),RANK(H953,$H$9:$H$1000,0)+COUNTIF($H$9:H953,H953)-1+MAX(C$5:C$1000,F$5:F$1000),"")</f>
        <v/>
      </c>
      <c r="J953" s="45" t="str">
        <f>IF(AND(Registro!D952="Abierto",Registro!E952="Baja"),Registro!B952,"")</f>
        <v/>
      </c>
      <c r="K953" s="45" t="str">
        <f ca="1">IF(AND(Registro!D952="Abierto",Registro!E952="Baja"),TODAY()-Registro!R952,"")</f>
        <v/>
      </c>
      <c r="L953" s="45" t="str">
        <f>IF(AND(Registro!D952="Abierto",Registro!E952="Baja"),RANK(K953,$K$9:$K$1000,0)+COUNTIF($K$9:K953,K953)-1+MAX(C$5:C$1000,F$5:F$1000,I$5:I$1000),"")</f>
        <v/>
      </c>
      <c r="M953" s="46" t="str">
        <f>IF(OR(Registro!D952="Resuelto",Registro!D952=""),"",SUM(C953,F953,I953,L953))</f>
        <v/>
      </c>
      <c r="N953" s="46" t="str">
        <f>IF(OR(Registro!D952="Resuelto",Registro!D952=""),"",SUM(B953,E953,H953,K953))</f>
        <v/>
      </c>
      <c r="O953" s="46" t="str">
        <f>IF(OR(Registro!D952="Resuelto",Registro!D952=""),"",_xlfn.CONCAT(A953,D953,G953,J953))</f>
        <v/>
      </c>
      <c r="P953" s="47">
        <v>945</v>
      </c>
      <c r="Q953" s="47" t="str">
        <f t="shared" ca="1" si="42"/>
        <v/>
      </c>
      <c r="R953" s="48" t="str">
        <f t="shared" ca="1" si="43"/>
        <v/>
      </c>
      <c r="S953" s="32"/>
      <c r="T953" s="32"/>
      <c r="U953" s="32"/>
      <c r="V953" s="32"/>
      <c r="W953" s="47" t="str">
        <f>IF(X953="","",MAX($W$5:W952)+1)</f>
        <v/>
      </c>
      <c r="X953" s="50" t="str">
        <f>IF(Registro!M952="","",IF(COUNTIF($X$8:X952,Registro!M952)=0,Registro!M952,""))</f>
        <v/>
      </c>
      <c r="Y953" s="50" t="str">
        <f t="shared" si="44"/>
        <v/>
      </c>
    </row>
    <row r="954" spans="1:25">
      <c r="A954" s="45" t="str">
        <f>IF(AND(Registro!D953="Abierto",Registro!E953="Urgente"),Registro!B953,"")</f>
        <v/>
      </c>
      <c r="B954" s="45" t="str">
        <f ca="1">IF(AND(Registro!D953="Abierto",Registro!E953="Urgente"),TODAY()-Registro!R953,"")</f>
        <v/>
      </c>
      <c r="C954" s="45" t="str">
        <f>IF(AND(Registro!D953="Abierto",Registro!E953="Urgente"),RANK(B954,$B$9:$B$1000,0)+COUNTIF($B$9:B954,B954)-1,"")</f>
        <v/>
      </c>
      <c r="D954" s="45" t="str">
        <f>IF(AND(Registro!D953="Abierto",Registro!E953="Alta"),Registro!B953,"")</f>
        <v/>
      </c>
      <c r="E954" s="45" t="str">
        <f ca="1">IF(AND(Registro!D953="Abierto",Registro!E953="Alta"),TODAY()-Registro!R953,"")</f>
        <v/>
      </c>
      <c r="F954" s="45" t="str">
        <f>IF(AND(Registro!D953="Abierto",Registro!E953="Alta"),RANK(E954,$E$9:$E$1000,0)+COUNTIF($E$9:E954,E954)-1+MAX(C$5:C$1000),"")</f>
        <v/>
      </c>
      <c r="G954" s="45" t="str">
        <f>IF(AND(Registro!D953="Abierto",Registro!E953="Media"),Registro!B953,"")</f>
        <v/>
      </c>
      <c r="H954" s="45" t="str">
        <f ca="1">IF(AND(Registro!D953="Abierto",Registro!E953="Media"),TODAY()-Registro!R953,"")</f>
        <v/>
      </c>
      <c r="I954" s="45" t="str">
        <f>IF(AND(Registro!D953="Abierto",Registro!E953="Media"),RANK(H954,$H$9:$H$1000,0)+COUNTIF($H$9:H954,H954)-1+MAX(C$5:C$1000,F$5:F$1000),"")</f>
        <v/>
      </c>
      <c r="J954" s="45" t="str">
        <f>IF(AND(Registro!D953="Abierto",Registro!E953="Baja"),Registro!B953,"")</f>
        <v/>
      </c>
      <c r="K954" s="45" t="str">
        <f ca="1">IF(AND(Registro!D953="Abierto",Registro!E953="Baja"),TODAY()-Registro!R953,"")</f>
        <v/>
      </c>
      <c r="L954" s="45" t="str">
        <f>IF(AND(Registro!D953="Abierto",Registro!E953="Baja"),RANK(K954,$K$9:$K$1000,0)+COUNTIF($K$9:K954,K954)-1+MAX(C$5:C$1000,F$5:F$1000,I$5:I$1000),"")</f>
        <v/>
      </c>
      <c r="M954" s="46" t="str">
        <f>IF(OR(Registro!D953="Resuelto",Registro!D953=""),"",SUM(C954,F954,I954,L954))</f>
        <v/>
      </c>
      <c r="N954" s="46" t="str">
        <f>IF(OR(Registro!D953="Resuelto",Registro!D953=""),"",SUM(B954,E954,H954,K954))</f>
        <v/>
      </c>
      <c r="O954" s="46" t="str">
        <f>IF(OR(Registro!D953="Resuelto",Registro!D953=""),"",_xlfn.CONCAT(A954,D954,G954,J954))</f>
        <v/>
      </c>
      <c r="P954" s="47">
        <v>946</v>
      </c>
      <c r="Q954" s="47" t="str">
        <f t="shared" ca="1" si="42"/>
        <v/>
      </c>
      <c r="R954" s="48" t="str">
        <f t="shared" ca="1" si="43"/>
        <v/>
      </c>
      <c r="S954" s="32"/>
      <c r="T954" s="32"/>
      <c r="U954" s="32"/>
      <c r="V954" s="32"/>
      <c r="W954" s="47" t="str">
        <f>IF(X954="","",MAX($W$5:W953)+1)</f>
        <v/>
      </c>
      <c r="X954" s="50" t="str">
        <f>IF(Registro!M953="","",IF(COUNTIF($X$8:X953,Registro!M953)=0,Registro!M953,""))</f>
        <v/>
      </c>
      <c r="Y954" s="50" t="str">
        <f t="shared" si="44"/>
        <v/>
      </c>
    </row>
    <row r="955" spans="1:25">
      <c r="A955" s="45" t="str">
        <f>IF(AND(Registro!D954="Abierto",Registro!E954="Urgente"),Registro!B954,"")</f>
        <v/>
      </c>
      <c r="B955" s="45" t="str">
        <f ca="1">IF(AND(Registro!D954="Abierto",Registro!E954="Urgente"),TODAY()-Registro!R954,"")</f>
        <v/>
      </c>
      <c r="C955" s="45" t="str">
        <f>IF(AND(Registro!D954="Abierto",Registro!E954="Urgente"),RANK(B955,$B$9:$B$1000,0)+COUNTIF($B$9:B955,B955)-1,"")</f>
        <v/>
      </c>
      <c r="D955" s="45" t="str">
        <f>IF(AND(Registro!D954="Abierto",Registro!E954="Alta"),Registro!B954,"")</f>
        <v/>
      </c>
      <c r="E955" s="45" t="str">
        <f ca="1">IF(AND(Registro!D954="Abierto",Registro!E954="Alta"),TODAY()-Registro!R954,"")</f>
        <v/>
      </c>
      <c r="F955" s="45" t="str">
        <f>IF(AND(Registro!D954="Abierto",Registro!E954="Alta"),RANK(E955,$E$9:$E$1000,0)+COUNTIF($E$9:E955,E955)-1+MAX(C$5:C$1000),"")</f>
        <v/>
      </c>
      <c r="G955" s="45" t="str">
        <f>IF(AND(Registro!D954="Abierto",Registro!E954="Media"),Registro!B954,"")</f>
        <v/>
      </c>
      <c r="H955" s="45" t="str">
        <f ca="1">IF(AND(Registro!D954="Abierto",Registro!E954="Media"),TODAY()-Registro!R954,"")</f>
        <v/>
      </c>
      <c r="I955" s="45" t="str">
        <f>IF(AND(Registro!D954="Abierto",Registro!E954="Media"),RANK(H955,$H$9:$H$1000,0)+COUNTIF($H$9:H955,H955)-1+MAX(C$5:C$1000,F$5:F$1000),"")</f>
        <v/>
      </c>
      <c r="J955" s="45" t="str">
        <f>IF(AND(Registro!D954="Abierto",Registro!E954="Baja"),Registro!B954,"")</f>
        <v/>
      </c>
      <c r="K955" s="45" t="str">
        <f ca="1">IF(AND(Registro!D954="Abierto",Registro!E954="Baja"),TODAY()-Registro!R954,"")</f>
        <v/>
      </c>
      <c r="L955" s="45" t="str">
        <f>IF(AND(Registro!D954="Abierto",Registro!E954="Baja"),RANK(K955,$K$9:$K$1000,0)+COUNTIF($K$9:K955,K955)-1+MAX(C$5:C$1000,F$5:F$1000,I$5:I$1000),"")</f>
        <v/>
      </c>
      <c r="M955" s="46" t="str">
        <f>IF(OR(Registro!D954="Resuelto",Registro!D954=""),"",SUM(C955,F955,I955,L955))</f>
        <v/>
      </c>
      <c r="N955" s="46" t="str">
        <f>IF(OR(Registro!D954="Resuelto",Registro!D954=""),"",SUM(B955,E955,H955,K955))</f>
        <v/>
      </c>
      <c r="O955" s="46" t="str">
        <f>IF(OR(Registro!D954="Resuelto",Registro!D954=""),"",_xlfn.CONCAT(A955,D955,G955,J955))</f>
        <v/>
      </c>
      <c r="P955" s="47">
        <v>947</v>
      </c>
      <c r="Q955" s="47" t="str">
        <f t="shared" ca="1" si="42"/>
        <v/>
      </c>
      <c r="R955" s="48" t="str">
        <f t="shared" ca="1" si="43"/>
        <v/>
      </c>
      <c r="S955" s="32"/>
      <c r="T955" s="32"/>
      <c r="U955" s="32"/>
      <c r="V955" s="32"/>
      <c r="W955" s="47" t="str">
        <f>IF(X955="","",MAX($W$5:W954)+1)</f>
        <v/>
      </c>
      <c r="X955" s="50" t="str">
        <f>IF(Registro!M954="","",IF(COUNTIF($X$8:X954,Registro!M954)=0,Registro!M954,""))</f>
        <v/>
      </c>
      <c r="Y955" s="50" t="str">
        <f t="shared" si="44"/>
        <v/>
      </c>
    </row>
    <row r="956" spans="1:25">
      <c r="A956" s="45" t="str">
        <f>IF(AND(Registro!D955="Abierto",Registro!E955="Urgente"),Registro!B955,"")</f>
        <v/>
      </c>
      <c r="B956" s="45" t="str">
        <f ca="1">IF(AND(Registro!D955="Abierto",Registro!E955="Urgente"),TODAY()-Registro!R955,"")</f>
        <v/>
      </c>
      <c r="C956" s="45" t="str">
        <f>IF(AND(Registro!D955="Abierto",Registro!E955="Urgente"),RANK(B956,$B$9:$B$1000,0)+COUNTIF($B$9:B956,B956)-1,"")</f>
        <v/>
      </c>
      <c r="D956" s="45" t="str">
        <f>IF(AND(Registro!D955="Abierto",Registro!E955="Alta"),Registro!B955,"")</f>
        <v/>
      </c>
      <c r="E956" s="45" t="str">
        <f ca="1">IF(AND(Registro!D955="Abierto",Registro!E955="Alta"),TODAY()-Registro!R955,"")</f>
        <v/>
      </c>
      <c r="F956" s="45" t="str">
        <f>IF(AND(Registro!D955="Abierto",Registro!E955="Alta"),RANK(E956,$E$9:$E$1000,0)+COUNTIF($E$9:E956,E956)-1+MAX(C$5:C$1000),"")</f>
        <v/>
      </c>
      <c r="G956" s="45" t="str">
        <f>IF(AND(Registro!D955="Abierto",Registro!E955="Media"),Registro!B955,"")</f>
        <v/>
      </c>
      <c r="H956" s="45" t="str">
        <f ca="1">IF(AND(Registro!D955="Abierto",Registro!E955="Media"),TODAY()-Registro!R955,"")</f>
        <v/>
      </c>
      <c r="I956" s="45" t="str">
        <f>IF(AND(Registro!D955="Abierto",Registro!E955="Media"),RANK(H956,$H$9:$H$1000,0)+COUNTIF($H$9:H956,H956)-1+MAX(C$5:C$1000,F$5:F$1000),"")</f>
        <v/>
      </c>
      <c r="J956" s="45" t="str">
        <f>IF(AND(Registro!D955="Abierto",Registro!E955="Baja"),Registro!B955,"")</f>
        <v/>
      </c>
      <c r="K956" s="45" t="str">
        <f ca="1">IF(AND(Registro!D955="Abierto",Registro!E955="Baja"),TODAY()-Registro!R955,"")</f>
        <v/>
      </c>
      <c r="L956" s="45" t="str">
        <f>IF(AND(Registro!D955="Abierto",Registro!E955="Baja"),RANK(K956,$K$9:$K$1000,0)+COUNTIF($K$9:K956,K956)-1+MAX(C$5:C$1000,F$5:F$1000,I$5:I$1000),"")</f>
        <v/>
      </c>
      <c r="M956" s="46" t="str">
        <f>IF(OR(Registro!D955="Resuelto",Registro!D955=""),"",SUM(C956,F956,I956,L956))</f>
        <v/>
      </c>
      <c r="N956" s="46" t="str">
        <f>IF(OR(Registro!D955="Resuelto",Registro!D955=""),"",SUM(B956,E956,H956,K956))</f>
        <v/>
      </c>
      <c r="O956" s="46" t="str">
        <f>IF(OR(Registro!D955="Resuelto",Registro!D955=""),"",_xlfn.CONCAT(A956,D956,G956,J956))</f>
        <v/>
      </c>
      <c r="P956" s="47">
        <v>948</v>
      </c>
      <c r="Q956" s="47" t="str">
        <f t="shared" ca="1" si="42"/>
        <v/>
      </c>
      <c r="R956" s="48" t="str">
        <f t="shared" ca="1" si="43"/>
        <v/>
      </c>
      <c r="S956" s="32"/>
      <c r="T956" s="32"/>
      <c r="U956" s="32"/>
      <c r="V956" s="32"/>
      <c r="W956" s="47" t="str">
        <f>IF(X956="","",MAX($W$5:W955)+1)</f>
        <v/>
      </c>
      <c r="X956" s="50" t="str">
        <f>IF(Registro!M955="","",IF(COUNTIF($X$8:X955,Registro!M955)=0,Registro!M955,""))</f>
        <v/>
      </c>
      <c r="Y956" s="50" t="str">
        <f t="shared" si="44"/>
        <v/>
      </c>
    </row>
    <row r="957" spans="1:25">
      <c r="A957" s="45" t="str">
        <f>IF(AND(Registro!D956="Abierto",Registro!E956="Urgente"),Registro!B956,"")</f>
        <v/>
      </c>
      <c r="B957" s="45" t="str">
        <f ca="1">IF(AND(Registro!D956="Abierto",Registro!E956="Urgente"),TODAY()-Registro!R956,"")</f>
        <v/>
      </c>
      <c r="C957" s="45" t="str">
        <f>IF(AND(Registro!D956="Abierto",Registro!E956="Urgente"),RANK(B957,$B$9:$B$1000,0)+COUNTIF($B$9:B957,B957)-1,"")</f>
        <v/>
      </c>
      <c r="D957" s="45" t="str">
        <f>IF(AND(Registro!D956="Abierto",Registro!E956="Alta"),Registro!B956,"")</f>
        <v/>
      </c>
      <c r="E957" s="45" t="str">
        <f ca="1">IF(AND(Registro!D956="Abierto",Registro!E956="Alta"),TODAY()-Registro!R956,"")</f>
        <v/>
      </c>
      <c r="F957" s="45" t="str">
        <f>IF(AND(Registro!D956="Abierto",Registro!E956="Alta"),RANK(E957,$E$9:$E$1000,0)+COUNTIF($E$9:E957,E957)-1+MAX(C$5:C$1000),"")</f>
        <v/>
      </c>
      <c r="G957" s="45" t="str">
        <f>IF(AND(Registro!D956="Abierto",Registro!E956="Media"),Registro!B956,"")</f>
        <v/>
      </c>
      <c r="H957" s="45" t="str">
        <f ca="1">IF(AND(Registro!D956="Abierto",Registro!E956="Media"),TODAY()-Registro!R956,"")</f>
        <v/>
      </c>
      <c r="I957" s="45" t="str">
        <f>IF(AND(Registro!D956="Abierto",Registro!E956="Media"),RANK(H957,$H$9:$H$1000,0)+COUNTIF($H$9:H957,H957)-1+MAX(C$5:C$1000,F$5:F$1000),"")</f>
        <v/>
      </c>
      <c r="J957" s="45" t="str">
        <f>IF(AND(Registro!D956="Abierto",Registro!E956="Baja"),Registro!B956,"")</f>
        <v/>
      </c>
      <c r="K957" s="45" t="str">
        <f ca="1">IF(AND(Registro!D956="Abierto",Registro!E956="Baja"),TODAY()-Registro!R956,"")</f>
        <v/>
      </c>
      <c r="L957" s="45" t="str">
        <f>IF(AND(Registro!D956="Abierto",Registro!E956="Baja"),RANK(K957,$K$9:$K$1000,0)+COUNTIF($K$9:K957,K957)-1+MAX(C$5:C$1000,F$5:F$1000,I$5:I$1000),"")</f>
        <v/>
      </c>
      <c r="M957" s="46" t="str">
        <f>IF(OR(Registro!D956="Resuelto",Registro!D956=""),"",SUM(C957,F957,I957,L957))</f>
        <v/>
      </c>
      <c r="N957" s="46" t="str">
        <f>IF(OR(Registro!D956="Resuelto",Registro!D956=""),"",SUM(B957,E957,H957,K957))</f>
        <v/>
      </c>
      <c r="O957" s="46" t="str">
        <f>IF(OR(Registro!D956="Resuelto",Registro!D956=""),"",_xlfn.CONCAT(A957,D957,G957,J957))</f>
        <v/>
      </c>
      <c r="P957" s="47">
        <v>949</v>
      </c>
      <c r="Q957" s="47" t="str">
        <f t="shared" ca="1" si="42"/>
        <v/>
      </c>
      <c r="R957" s="48" t="str">
        <f t="shared" ca="1" si="43"/>
        <v/>
      </c>
      <c r="S957" s="32"/>
      <c r="T957" s="32"/>
      <c r="U957" s="32"/>
      <c r="V957" s="32"/>
      <c r="W957" s="47" t="str">
        <f>IF(X957="","",MAX($W$5:W956)+1)</f>
        <v/>
      </c>
      <c r="X957" s="50" t="str">
        <f>IF(Registro!M956="","",IF(COUNTIF($X$8:X956,Registro!M956)=0,Registro!M956,""))</f>
        <v/>
      </c>
      <c r="Y957" s="50" t="str">
        <f t="shared" si="44"/>
        <v/>
      </c>
    </row>
    <row r="958" spans="1:25">
      <c r="A958" s="45" t="str">
        <f>IF(AND(Registro!D957="Abierto",Registro!E957="Urgente"),Registro!B957,"")</f>
        <v/>
      </c>
      <c r="B958" s="45" t="str">
        <f ca="1">IF(AND(Registro!D957="Abierto",Registro!E957="Urgente"),TODAY()-Registro!R957,"")</f>
        <v/>
      </c>
      <c r="C958" s="45" t="str">
        <f>IF(AND(Registro!D957="Abierto",Registro!E957="Urgente"),RANK(B958,$B$9:$B$1000,0)+COUNTIF($B$9:B958,B958)-1,"")</f>
        <v/>
      </c>
      <c r="D958" s="45" t="str">
        <f>IF(AND(Registro!D957="Abierto",Registro!E957="Alta"),Registro!B957,"")</f>
        <v/>
      </c>
      <c r="E958" s="45" t="str">
        <f ca="1">IF(AND(Registro!D957="Abierto",Registro!E957="Alta"),TODAY()-Registro!R957,"")</f>
        <v/>
      </c>
      <c r="F958" s="45" t="str">
        <f>IF(AND(Registro!D957="Abierto",Registro!E957="Alta"),RANK(E958,$E$9:$E$1000,0)+COUNTIF($E$9:E958,E958)-1+MAX(C$5:C$1000),"")</f>
        <v/>
      </c>
      <c r="G958" s="45" t="str">
        <f>IF(AND(Registro!D957="Abierto",Registro!E957="Media"),Registro!B957,"")</f>
        <v/>
      </c>
      <c r="H958" s="45" t="str">
        <f ca="1">IF(AND(Registro!D957="Abierto",Registro!E957="Media"),TODAY()-Registro!R957,"")</f>
        <v/>
      </c>
      <c r="I958" s="45" t="str">
        <f>IF(AND(Registro!D957="Abierto",Registro!E957="Media"),RANK(H958,$H$9:$H$1000,0)+COUNTIF($H$9:H958,H958)-1+MAX(C$5:C$1000,F$5:F$1000),"")</f>
        <v/>
      </c>
      <c r="J958" s="45" t="str">
        <f>IF(AND(Registro!D957="Abierto",Registro!E957="Baja"),Registro!B957,"")</f>
        <v/>
      </c>
      <c r="K958" s="45" t="str">
        <f ca="1">IF(AND(Registro!D957="Abierto",Registro!E957="Baja"),TODAY()-Registro!R957,"")</f>
        <v/>
      </c>
      <c r="L958" s="45" t="str">
        <f>IF(AND(Registro!D957="Abierto",Registro!E957="Baja"),RANK(K958,$K$9:$K$1000,0)+COUNTIF($K$9:K958,K958)-1+MAX(C$5:C$1000,F$5:F$1000,I$5:I$1000),"")</f>
        <v/>
      </c>
      <c r="M958" s="46" t="str">
        <f>IF(OR(Registro!D957="Resuelto",Registro!D957=""),"",SUM(C958,F958,I958,L958))</f>
        <v/>
      </c>
      <c r="N958" s="46" t="str">
        <f>IF(OR(Registro!D957="Resuelto",Registro!D957=""),"",SUM(B958,E958,H958,K958))</f>
        <v/>
      </c>
      <c r="O958" s="46" t="str">
        <f>IF(OR(Registro!D957="Resuelto",Registro!D957=""),"",_xlfn.CONCAT(A958,D958,G958,J958))</f>
        <v/>
      </c>
      <c r="P958" s="47">
        <v>950</v>
      </c>
      <c r="Q958" s="47" t="str">
        <f t="shared" ca="1" si="42"/>
        <v/>
      </c>
      <c r="R958" s="48" t="str">
        <f t="shared" ca="1" si="43"/>
        <v/>
      </c>
      <c r="S958" s="32"/>
      <c r="T958" s="32"/>
      <c r="U958" s="32"/>
      <c r="V958" s="32"/>
      <c r="W958" s="47" t="str">
        <f>IF(X958="","",MAX($W$5:W957)+1)</f>
        <v/>
      </c>
      <c r="X958" s="50" t="str">
        <f>IF(Registro!M957="","",IF(COUNTIF($X$8:X957,Registro!M957)=0,Registro!M957,""))</f>
        <v/>
      </c>
      <c r="Y958" s="50" t="str">
        <f t="shared" si="44"/>
        <v/>
      </c>
    </row>
    <row r="959" spans="1:25">
      <c r="A959" s="45" t="str">
        <f>IF(AND(Registro!D958="Abierto",Registro!E958="Urgente"),Registro!B958,"")</f>
        <v/>
      </c>
      <c r="B959" s="45" t="str">
        <f ca="1">IF(AND(Registro!D958="Abierto",Registro!E958="Urgente"),TODAY()-Registro!R958,"")</f>
        <v/>
      </c>
      <c r="C959" s="45" t="str">
        <f>IF(AND(Registro!D958="Abierto",Registro!E958="Urgente"),RANK(B959,$B$9:$B$1000,0)+COUNTIF($B$9:B959,B959)-1,"")</f>
        <v/>
      </c>
      <c r="D959" s="45" t="str">
        <f>IF(AND(Registro!D958="Abierto",Registro!E958="Alta"),Registro!B958,"")</f>
        <v/>
      </c>
      <c r="E959" s="45" t="str">
        <f ca="1">IF(AND(Registro!D958="Abierto",Registro!E958="Alta"),TODAY()-Registro!R958,"")</f>
        <v/>
      </c>
      <c r="F959" s="45" t="str">
        <f>IF(AND(Registro!D958="Abierto",Registro!E958="Alta"),RANK(E959,$E$9:$E$1000,0)+COUNTIF($E$9:E959,E959)-1+MAX(C$5:C$1000),"")</f>
        <v/>
      </c>
      <c r="G959" s="45" t="str">
        <f>IF(AND(Registro!D958="Abierto",Registro!E958="Media"),Registro!B958,"")</f>
        <v/>
      </c>
      <c r="H959" s="45" t="str">
        <f ca="1">IF(AND(Registro!D958="Abierto",Registro!E958="Media"),TODAY()-Registro!R958,"")</f>
        <v/>
      </c>
      <c r="I959" s="45" t="str">
        <f>IF(AND(Registro!D958="Abierto",Registro!E958="Media"),RANK(H959,$H$9:$H$1000,0)+COUNTIF($H$9:H959,H959)-1+MAX(C$5:C$1000,F$5:F$1000),"")</f>
        <v/>
      </c>
      <c r="J959" s="45" t="str">
        <f>IF(AND(Registro!D958="Abierto",Registro!E958="Baja"),Registro!B958,"")</f>
        <v/>
      </c>
      <c r="K959" s="45" t="str">
        <f ca="1">IF(AND(Registro!D958="Abierto",Registro!E958="Baja"),TODAY()-Registro!R958,"")</f>
        <v/>
      </c>
      <c r="L959" s="45" t="str">
        <f>IF(AND(Registro!D958="Abierto",Registro!E958="Baja"),RANK(K959,$K$9:$K$1000,0)+COUNTIF($K$9:K959,K959)-1+MAX(C$5:C$1000,F$5:F$1000,I$5:I$1000),"")</f>
        <v/>
      </c>
      <c r="M959" s="46" t="str">
        <f>IF(OR(Registro!D958="Resuelto",Registro!D958=""),"",SUM(C959,F959,I959,L959))</f>
        <v/>
      </c>
      <c r="N959" s="46" t="str">
        <f>IF(OR(Registro!D958="Resuelto",Registro!D958=""),"",SUM(B959,E959,H959,K959))</f>
        <v/>
      </c>
      <c r="O959" s="46" t="str">
        <f>IF(OR(Registro!D958="Resuelto",Registro!D958=""),"",_xlfn.CONCAT(A959,D959,G959,J959))</f>
        <v/>
      </c>
      <c r="P959" s="47">
        <v>951</v>
      </c>
      <c r="Q959" s="47" t="str">
        <f t="shared" ca="1" si="42"/>
        <v/>
      </c>
      <c r="R959" s="48" t="str">
        <f t="shared" ca="1" si="43"/>
        <v/>
      </c>
      <c r="S959" s="32"/>
      <c r="T959" s="32"/>
      <c r="U959" s="32"/>
      <c r="V959" s="32"/>
      <c r="W959" s="47" t="str">
        <f>IF(X959="","",MAX($W$5:W958)+1)</f>
        <v/>
      </c>
      <c r="X959" s="50" t="str">
        <f>IF(Registro!M958="","",IF(COUNTIF($X$8:X958,Registro!M958)=0,Registro!M958,""))</f>
        <v/>
      </c>
      <c r="Y959" s="50" t="str">
        <f t="shared" si="44"/>
        <v/>
      </c>
    </row>
    <row r="960" spans="1:25">
      <c r="A960" s="45" t="str">
        <f>IF(AND(Registro!D959="Abierto",Registro!E959="Urgente"),Registro!B959,"")</f>
        <v/>
      </c>
      <c r="B960" s="45" t="str">
        <f ca="1">IF(AND(Registro!D959="Abierto",Registro!E959="Urgente"),TODAY()-Registro!R959,"")</f>
        <v/>
      </c>
      <c r="C960" s="45" t="str">
        <f>IF(AND(Registro!D959="Abierto",Registro!E959="Urgente"),RANK(B960,$B$9:$B$1000,0)+COUNTIF($B$9:B960,B960)-1,"")</f>
        <v/>
      </c>
      <c r="D960" s="45" t="str">
        <f>IF(AND(Registro!D959="Abierto",Registro!E959="Alta"),Registro!B959,"")</f>
        <v/>
      </c>
      <c r="E960" s="45" t="str">
        <f ca="1">IF(AND(Registro!D959="Abierto",Registro!E959="Alta"),TODAY()-Registro!R959,"")</f>
        <v/>
      </c>
      <c r="F960" s="45" t="str">
        <f>IF(AND(Registro!D959="Abierto",Registro!E959="Alta"),RANK(E960,$E$9:$E$1000,0)+COUNTIF($E$9:E960,E960)-1+MAX(C$5:C$1000),"")</f>
        <v/>
      </c>
      <c r="G960" s="45" t="str">
        <f>IF(AND(Registro!D959="Abierto",Registro!E959="Media"),Registro!B959,"")</f>
        <v/>
      </c>
      <c r="H960" s="45" t="str">
        <f ca="1">IF(AND(Registro!D959="Abierto",Registro!E959="Media"),TODAY()-Registro!R959,"")</f>
        <v/>
      </c>
      <c r="I960" s="45" t="str">
        <f>IF(AND(Registro!D959="Abierto",Registro!E959="Media"),RANK(H960,$H$9:$H$1000,0)+COUNTIF($H$9:H960,H960)-1+MAX(C$5:C$1000,F$5:F$1000),"")</f>
        <v/>
      </c>
      <c r="J960" s="45" t="str">
        <f>IF(AND(Registro!D959="Abierto",Registro!E959="Baja"),Registro!B959,"")</f>
        <v/>
      </c>
      <c r="K960" s="45" t="str">
        <f ca="1">IF(AND(Registro!D959="Abierto",Registro!E959="Baja"),TODAY()-Registro!R959,"")</f>
        <v/>
      </c>
      <c r="L960" s="45" t="str">
        <f>IF(AND(Registro!D959="Abierto",Registro!E959="Baja"),RANK(K960,$K$9:$K$1000,0)+COUNTIF($K$9:K960,K960)-1+MAX(C$5:C$1000,F$5:F$1000,I$5:I$1000),"")</f>
        <v/>
      </c>
      <c r="M960" s="46" t="str">
        <f>IF(OR(Registro!D959="Resuelto",Registro!D959=""),"",SUM(C960,F960,I960,L960))</f>
        <v/>
      </c>
      <c r="N960" s="46" t="str">
        <f>IF(OR(Registro!D959="Resuelto",Registro!D959=""),"",SUM(B960,E960,H960,K960))</f>
        <v/>
      </c>
      <c r="O960" s="46" t="str">
        <f>IF(OR(Registro!D959="Resuelto",Registro!D959=""),"",_xlfn.CONCAT(A960,D960,G960,J960))</f>
        <v/>
      </c>
      <c r="P960" s="47">
        <v>952</v>
      </c>
      <c r="Q960" s="47" t="str">
        <f t="shared" ca="1" si="42"/>
        <v/>
      </c>
      <c r="R960" s="48" t="str">
        <f t="shared" ca="1" si="43"/>
        <v/>
      </c>
      <c r="S960" s="32"/>
      <c r="T960" s="32"/>
      <c r="U960" s="32"/>
      <c r="V960" s="32"/>
      <c r="W960" s="47" t="str">
        <f>IF(X960="","",MAX($W$5:W959)+1)</f>
        <v/>
      </c>
      <c r="X960" s="50" t="str">
        <f>IF(Registro!M959="","",IF(COUNTIF($X$8:X959,Registro!M959)=0,Registro!M959,""))</f>
        <v/>
      </c>
      <c r="Y960" s="50" t="str">
        <f t="shared" si="44"/>
        <v/>
      </c>
    </row>
    <row r="961" spans="1:25">
      <c r="A961" s="45" t="str">
        <f>IF(AND(Registro!D960="Abierto",Registro!E960="Urgente"),Registro!B960,"")</f>
        <v/>
      </c>
      <c r="B961" s="45" t="str">
        <f ca="1">IF(AND(Registro!D960="Abierto",Registro!E960="Urgente"),TODAY()-Registro!R960,"")</f>
        <v/>
      </c>
      <c r="C961" s="45" t="str">
        <f>IF(AND(Registro!D960="Abierto",Registro!E960="Urgente"),RANK(B961,$B$9:$B$1000,0)+COUNTIF($B$9:B961,B961)-1,"")</f>
        <v/>
      </c>
      <c r="D961" s="45" t="str">
        <f>IF(AND(Registro!D960="Abierto",Registro!E960="Alta"),Registro!B960,"")</f>
        <v/>
      </c>
      <c r="E961" s="45" t="str">
        <f ca="1">IF(AND(Registro!D960="Abierto",Registro!E960="Alta"),TODAY()-Registro!R960,"")</f>
        <v/>
      </c>
      <c r="F961" s="45" t="str">
        <f>IF(AND(Registro!D960="Abierto",Registro!E960="Alta"),RANK(E961,$E$9:$E$1000,0)+COUNTIF($E$9:E961,E961)-1+MAX(C$5:C$1000),"")</f>
        <v/>
      </c>
      <c r="G961" s="45" t="str">
        <f>IF(AND(Registro!D960="Abierto",Registro!E960="Media"),Registro!B960,"")</f>
        <v/>
      </c>
      <c r="H961" s="45" t="str">
        <f ca="1">IF(AND(Registro!D960="Abierto",Registro!E960="Media"),TODAY()-Registro!R960,"")</f>
        <v/>
      </c>
      <c r="I961" s="45" t="str">
        <f>IF(AND(Registro!D960="Abierto",Registro!E960="Media"),RANK(H961,$H$9:$H$1000,0)+COUNTIF($H$9:H961,H961)-1+MAX(C$5:C$1000,F$5:F$1000),"")</f>
        <v/>
      </c>
      <c r="J961" s="45" t="str">
        <f>IF(AND(Registro!D960="Abierto",Registro!E960="Baja"),Registro!B960,"")</f>
        <v/>
      </c>
      <c r="K961" s="45" t="str">
        <f ca="1">IF(AND(Registro!D960="Abierto",Registro!E960="Baja"),TODAY()-Registro!R960,"")</f>
        <v/>
      </c>
      <c r="L961" s="45" t="str">
        <f>IF(AND(Registro!D960="Abierto",Registro!E960="Baja"),RANK(K961,$K$9:$K$1000,0)+COUNTIF($K$9:K961,K961)-1+MAX(C$5:C$1000,F$5:F$1000,I$5:I$1000),"")</f>
        <v/>
      </c>
      <c r="M961" s="46" t="str">
        <f>IF(OR(Registro!D960="Resuelto",Registro!D960=""),"",SUM(C961,F961,I961,L961))</f>
        <v/>
      </c>
      <c r="N961" s="46" t="str">
        <f>IF(OR(Registro!D960="Resuelto",Registro!D960=""),"",SUM(B961,E961,H961,K961))</f>
        <v/>
      </c>
      <c r="O961" s="46" t="str">
        <f>IF(OR(Registro!D960="Resuelto",Registro!D960=""),"",_xlfn.CONCAT(A961,D961,G961,J961))</f>
        <v/>
      </c>
      <c r="P961" s="47">
        <v>953</v>
      </c>
      <c r="Q961" s="47" t="str">
        <f t="shared" ca="1" si="42"/>
        <v/>
      </c>
      <c r="R961" s="48" t="str">
        <f t="shared" ca="1" si="43"/>
        <v/>
      </c>
      <c r="S961" s="32"/>
      <c r="T961" s="32"/>
      <c r="U961" s="32"/>
      <c r="V961" s="32"/>
      <c r="W961" s="47" t="str">
        <f>IF(X961="","",MAX($W$5:W960)+1)</f>
        <v/>
      </c>
      <c r="X961" s="50" t="str">
        <f>IF(Registro!M960="","",IF(COUNTIF($X$8:X960,Registro!M960)=0,Registro!M960,""))</f>
        <v/>
      </c>
      <c r="Y961" s="50" t="str">
        <f t="shared" si="44"/>
        <v/>
      </c>
    </row>
    <row r="962" spans="1:25">
      <c r="A962" s="45" t="str">
        <f>IF(AND(Registro!D961="Abierto",Registro!E961="Urgente"),Registro!B961,"")</f>
        <v/>
      </c>
      <c r="B962" s="45" t="str">
        <f ca="1">IF(AND(Registro!D961="Abierto",Registro!E961="Urgente"),TODAY()-Registro!R961,"")</f>
        <v/>
      </c>
      <c r="C962" s="45" t="str">
        <f>IF(AND(Registro!D961="Abierto",Registro!E961="Urgente"),RANK(B962,$B$9:$B$1000,0)+COUNTIF($B$9:B962,B962)-1,"")</f>
        <v/>
      </c>
      <c r="D962" s="45" t="str">
        <f>IF(AND(Registro!D961="Abierto",Registro!E961="Alta"),Registro!B961,"")</f>
        <v/>
      </c>
      <c r="E962" s="45" t="str">
        <f ca="1">IF(AND(Registro!D961="Abierto",Registro!E961="Alta"),TODAY()-Registro!R961,"")</f>
        <v/>
      </c>
      <c r="F962" s="45" t="str">
        <f>IF(AND(Registro!D961="Abierto",Registro!E961="Alta"),RANK(E962,$E$9:$E$1000,0)+COUNTIF($E$9:E962,E962)-1+MAX(C$5:C$1000),"")</f>
        <v/>
      </c>
      <c r="G962" s="45" t="str">
        <f>IF(AND(Registro!D961="Abierto",Registro!E961="Media"),Registro!B961,"")</f>
        <v/>
      </c>
      <c r="H962" s="45" t="str">
        <f ca="1">IF(AND(Registro!D961="Abierto",Registro!E961="Media"),TODAY()-Registro!R961,"")</f>
        <v/>
      </c>
      <c r="I962" s="45" t="str">
        <f>IF(AND(Registro!D961="Abierto",Registro!E961="Media"),RANK(H962,$H$9:$H$1000,0)+COUNTIF($H$9:H962,H962)-1+MAX(C$5:C$1000,F$5:F$1000),"")</f>
        <v/>
      </c>
      <c r="J962" s="45" t="str">
        <f>IF(AND(Registro!D961="Abierto",Registro!E961="Baja"),Registro!B961,"")</f>
        <v/>
      </c>
      <c r="K962" s="45" t="str">
        <f ca="1">IF(AND(Registro!D961="Abierto",Registro!E961="Baja"),TODAY()-Registro!R961,"")</f>
        <v/>
      </c>
      <c r="L962" s="45" t="str">
        <f>IF(AND(Registro!D961="Abierto",Registro!E961="Baja"),RANK(K962,$K$9:$K$1000,0)+COUNTIF($K$9:K962,K962)-1+MAX(C$5:C$1000,F$5:F$1000,I$5:I$1000),"")</f>
        <v/>
      </c>
      <c r="M962" s="46" t="str">
        <f>IF(OR(Registro!D961="Resuelto",Registro!D961=""),"",SUM(C962,F962,I962,L962))</f>
        <v/>
      </c>
      <c r="N962" s="46" t="str">
        <f>IF(OR(Registro!D961="Resuelto",Registro!D961=""),"",SUM(B962,E962,H962,K962))</f>
        <v/>
      </c>
      <c r="O962" s="46" t="str">
        <f>IF(OR(Registro!D961="Resuelto",Registro!D961=""),"",_xlfn.CONCAT(A962,D962,G962,J962))</f>
        <v/>
      </c>
      <c r="P962" s="47">
        <v>954</v>
      </c>
      <c r="Q962" s="47" t="str">
        <f t="shared" ca="1" si="42"/>
        <v/>
      </c>
      <c r="R962" s="48" t="str">
        <f t="shared" ca="1" si="43"/>
        <v/>
      </c>
      <c r="S962" s="32"/>
      <c r="T962" s="32"/>
      <c r="U962" s="32"/>
      <c r="V962" s="32"/>
      <c r="W962" s="47" t="str">
        <f>IF(X962="","",MAX($W$5:W961)+1)</f>
        <v/>
      </c>
      <c r="X962" s="50" t="str">
        <f>IF(Registro!M961="","",IF(COUNTIF($X$8:X961,Registro!M961)=0,Registro!M961,""))</f>
        <v/>
      </c>
      <c r="Y962" s="50" t="str">
        <f t="shared" si="44"/>
        <v/>
      </c>
    </row>
    <row r="963" spans="1:25">
      <c r="A963" s="45" t="str">
        <f>IF(AND(Registro!D962="Abierto",Registro!E962="Urgente"),Registro!B962,"")</f>
        <v/>
      </c>
      <c r="B963" s="45" t="str">
        <f ca="1">IF(AND(Registro!D962="Abierto",Registro!E962="Urgente"),TODAY()-Registro!R962,"")</f>
        <v/>
      </c>
      <c r="C963" s="45" t="str">
        <f>IF(AND(Registro!D962="Abierto",Registro!E962="Urgente"),RANK(B963,$B$9:$B$1000,0)+COUNTIF($B$9:B963,B963)-1,"")</f>
        <v/>
      </c>
      <c r="D963" s="45" t="str">
        <f>IF(AND(Registro!D962="Abierto",Registro!E962="Alta"),Registro!B962,"")</f>
        <v/>
      </c>
      <c r="E963" s="45" t="str">
        <f ca="1">IF(AND(Registro!D962="Abierto",Registro!E962="Alta"),TODAY()-Registro!R962,"")</f>
        <v/>
      </c>
      <c r="F963" s="45" t="str">
        <f>IF(AND(Registro!D962="Abierto",Registro!E962="Alta"),RANK(E963,$E$9:$E$1000,0)+COUNTIF($E$9:E963,E963)-1+MAX(C$5:C$1000),"")</f>
        <v/>
      </c>
      <c r="G963" s="45" t="str">
        <f>IF(AND(Registro!D962="Abierto",Registro!E962="Media"),Registro!B962,"")</f>
        <v/>
      </c>
      <c r="H963" s="45" t="str">
        <f ca="1">IF(AND(Registro!D962="Abierto",Registro!E962="Media"),TODAY()-Registro!R962,"")</f>
        <v/>
      </c>
      <c r="I963" s="45" t="str">
        <f>IF(AND(Registro!D962="Abierto",Registro!E962="Media"),RANK(H963,$H$9:$H$1000,0)+COUNTIF($H$9:H963,H963)-1+MAX(C$5:C$1000,F$5:F$1000),"")</f>
        <v/>
      </c>
      <c r="J963" s="45" t="str">
        <f>IF(AND(Registro!D962="Abierto",Registro!E962="Baja"),Registro!B962,"")</f>
        <v/>
      </c>
      <c r="K963" s="45" t="str">
        <f ca="1">IF(AND(Registro!D962="Abierto",Registro!E962="Baja"),TODAY()-Registro!R962,"")</f>
        <v/>
      </c>
      <c r="L963" s="45" t="str">
        <f>IF(AND(Registro!D962="Abierto",Registro!E962="Baja"),RANK(K963,$K$9:$K$1000,0)+COUNTIF($K$9:K963,K963)-1+MAX(C$5:C$1000,F$5:F$1000,I$5:I$1000),"")</f>
        <v/>
      </c>
      <c r="M963" s="46" t="str">
        <f>IF(OR(Registro!D962="Resuelto",Registro!D962=""),"",SUM(C963,F963,I963,L963))</f>
        <v/>
      </c>
      <c r="N963" s="46" t="str">
        <f>IF(OR(Registro!D962="Resuelto",Registro!D962=""),"",SUM(B963,E963,H963,K963))</f>
        <v/>
      </c>
      <c r="O963" s="46" t="str">
        <f>IF(OR(Registro!D962="Resuelto",Registro!D962=""),"",_xlfn.CONCAT(A963,D963,G963,J963))</f>
        <v/>
      </c>
      <c r="P963" s="47">
        <v>955</v>
      </c>
      <c r="Q963" s="47" t="str">
        <f t="shared" ca="1" si="42"/>
        <v/>
      </c>
      <c r="R963" s="48" t="str">
        <f t="shared" ca="1" si="43"/>
        <v/>
      </c>
      <c r="S963" s="32"/>
      <c r="T963" s="32"/>
      <c r="U963" s="32"/>
      <c r="V963" s="32"/>
      <c r="W963" s="47" t="str">
        <f>IF(X963="","",MAX($W$5:W962)+1)</f>
        <v/>
      </c>
      <c r="X963" s="50" t="str">
        <f>IF(Registro!M962="","",IF(COUNTIF($X$8:X962,Registro!M962)=0,Registro!M962,""))</f>
        <v/>
      </c>
      <c r="Y963" s="50" t="str">
        <f t="shared" si="44"/>
        <v/>
      </c>
    </row>
    <row r="964" spans="1:25">
      <c r="A964" s="45" t="str">
        <f>IF(AND(Registro!D963="Abierto",Registro!E963="Urgente"),Registro!B963,"")</f>
        <v/>
      </c>
      <c r="B964" s="45" t="str">
        <f ca="1">IF(AND(Registro!D963="Abierto",Registro!E963="Urgente"),TODAY()-Registro!R963,"")</f>
        <v/>
      </c>
      <c r="C964" s="45" t="str">
        <f>IF(AND(Registro!D963="Abierto",Registro!E963="Urgente"),RANK(B964,$B$9:$B$1000,0)+COUNTIF($B$9:B964,B964)-1,"")</f>
        <v/>
      </c>
      <c r="D964" s="45" t="str">
        <f>IF(AND(Registro!D963="Abierto",Registro!E963="Alta"),Registro!B963,"")</f>
        <v/>
      </c>
      <c r="E964" s="45" t="str">
        <f ca="1">IF(AND(Registro!D963="Abierto",Registro!E963="Alta"),TODAY()-Registro!R963,"")</f>
        <v/>
      </c>
      <c r="F964" s="45" t="str">
        <f>IF(AND(Registro!D963="Abierto",Registro!E963="Alta"),RANK(E964,$E$9:$E$1000,0)+COUNTIF($E$9:E964,E964)-1+MAX(C$5:C$1000),"")</f>
        <v/>
      </c>
      <c r="G964" s="45" t="str">
        <f>IF(AND(Registro!D963="Abierto",Registro!E963="Media"),Registro!B963,"")</f>
        <v/>
      </c>
      <c r="H964" s="45" t="str">
        <f ca="1">IF(AND(Registro!D963="Abierto",Registro!E963="Media"),TODAY()-Registro!R963,"")</f>
        <v/>
      </c>
      <c r="I964" s="45" t="str">
        <f>IF(AND(Registro!D963="Abierto",Registro!E963="Media"),RANK(H964,$H$9:$H$1000,0)+COUNTIF($H$9:H964,H964)-1+MAX(C$5:C$1000,F$5:F$1000),"")</f>
        <v/>
      </c>
      <c r="J964" s="45" t="str">
        <f>IF(AND(Registro!D963="Abierto",Registro!E963="Baja"),Registro!B963,"")</f>
        <v/>
      </c>
      <c r="K964" s="45" t="str">
        <f ca="1">IF(AND(Registro!D963="Abierto",Registro!E963="Baja"),TODAY()-Registro!R963,"")</f>
        <v/>
      </c>
      <c r="L964" s="45" t="str">
        <f>IF(AND(Registro!D963="Abierto",Registro!E963="Baja"),RANK(K964,$K$9:$K$1000,0)+COUNTIF($K$9:K964,K964)-1+MAX(C$5:C$1000,F$5:F$1000,I$5:I$1000),"")</f>
        <v/>
      </c>
      <c r="M964" s="46" t="str">
        <f>IF(OR(Registro!D963="Resuelto",Registro!D963=""),"",SUM(C964,F964,I964,L964))</f>
        <v/>
      </c>
      <c r="N964" s="46" t="str">
        <f>IF(OR(Registro!D963="Resuelto",Registro!D963=""),"",SUM(B964,E964,H964,K964))</f>
        <v/>
      </c>
      <c r="O964" s="46" t="str">
        <f>IF(OR(Registro!D963="Resuelto",Registro!D963=""),"",_xlfn.CONCAT(A964,D964,G964,J964))</f>
        <v/>
      </c>
      <c r="P964" s="47">
        <v>956</v>
      </c>
      <c r="Q964" s="47" t="str">
        <f t="shared" ca="1" si="42"/>
        <v/>
      </c>
      <c r="R964" s="48" t="str">
        <f t="shared" ca="1" si="43"/>
        <v/>
      </c>
      <c r="S964" s="32"/>
      <c r="T964" s="32"/>
      <c r="U964" s="32"/>
      <c r="V964" s="32"/>
      <c r="W964" s="47" t="str">
        <f>IF(X964="","",MAX($W$5:W963)+1)</f>
        <v/>
      </c>
      <c r="X964" s="50" t="str">
        <f>IF(Registro!M963="","",IF(COUNTIF($X$8:X963,Registro!M963)=0,Registro!M963,""))</f>
        <v/>
      </c>
      <c r="Y964" s="50" t="str">
        <f t="shared" si="44"/>
        <v/>
      </c>
    </row>
    <row r="965" spans="1:25">
      <c r="A965" s="45" t="str">
        <f>IF(AND(Registro!D964="Abierto",Registro!E964="Urgente"),Registro!B964,"")</f>
        <v/>
      </c>
      <c r="B965" s="45" t="str">
        <f ca="1">IF(AND(Registro!D964="Abierto",Registro!E964="Urgente"),TODAY()-Registro!R964,"")</f>
        <v/>
      </c>
      <c r="C965" s="45" t="str">
        <f>IF(AND(Registro!D964="Abierto",Registro!E964="Urgente"),RANK(B965,$B$9:$B$1000,0)+COUNTIF($B$9:B965,B965)-1,"")</f>
        <v/>
      </c>
      <c r="D965" s="45" t="str">
        <f>IF(AND(Registro!D964="Abierto",Registro!E964="Alta"),Registro!B964,"")</f>
        <v/>
      </c>
      <c r="E965" s="45" t="str">
        <f ca="1">IF(AND(Registro!D964="Abierto",Registro!E964="Alta"),TODAY()-Registro!R964,"")</f>
        <v/>
      </c>
      <c r="F965" s="45" t="str">
        <f>IF(AND(Registro!D964="Abierto",Registro!E964="Alta"),RANK(E965,$E$9:$E$1000,0)+COUNTIF($E$9:E965,E965)-1+MAX(C$5:C$1000),"")</f>
        <v/>
      </c>
      <c r="G965" s="45" t="str">
        <f>IF(AND(Registro!D964="Abierto",Registro!E964="Media"),Registro!B964,"")</f>
        <v/>
      </c>
      <c r="H965" s="45" t="str">
        <f ca="1">IF(AND(Registro!D964="Abierto",Registro!E964="Media"),TODAY()-Registro!R964,"")</f>
        <v/>
      </c>
      <c r="I965" s="45" t="str">
        <f>IF(AND(Registro!D964="Abierto",Registro!E964="Media"),RANK(H965,$H$9:$H$1000,0)+COUNTIF($H$9:H965,H965)-1+MAX(C$5:C$1000,F$5:F$1000),"")</f>
        <v/>
      </c>
      <c r="J965" s="45" t="str">
        <f>IF(AND(Registro!D964="Abierto",Registro!E964="Baja"),Registro!B964,"")</f>
        <v/>
      </c>
      <c r="K965" s="45" t="str">
        <f ca="1">IF(AND(Registro!D964="Abierto",Registro!E964="Baja"),TODAY()-Registro!R964,"")</f>
        <v/>
      </c>
      <c r="L965" s="45" t="str">
        <f>IF(AND(Registro!D964="Abierto",Registro!E964="Baja"),RANK(K965,$K$9:$K$1000,0)+COUNTIF($K$9:K965,K965)-1+MAX(C$5:C$1000,F$5:F$1000,I$5:I$1000),"")</f>
        <v/>
      </c>
      <c r="M965" s="46" t="str">
        <f>IF(OR(Registro!D964="Resuelto",Registro!D964=""),"",SUM(C965,F965,I965,L965))</f>
        <v/>
      </c>
      <c r="N965" s="46" t="str">
        <f>IF(OR(Registro!D964="Resuelto",Registro!D964=""),"",SUM(B965,E965,H965,K965))</f>
        <v/>
      </c>
      <c r="O965" s="46" t="str">
        <f>IF(OR(Registro!D964="Resuelto",Registro!D964=""),"",_xlfn.CONCAT(A965,D965,G965,J965))</f>
        <v/>
      </c>
      <c r="P965" s="47">
        <v>957</v>
      </c>
      <c r="Q965" s="47" t="str">
        <f t="shared" ca="1" si="42"/>
        <v/>
      </c>
      <c r="R965" s="48" t="str">
        <f t="shared" ca="1" si="43"/>
        <v/>
      </c>
      <c r="S965" s="32"/>
      <c r="T965" s="32"/>
      <c r="U965" s="32"/>
      <c r="V965" s="32"/>
      <c r="W965" s="47" t="str">
        <f>IF(X965="","",MAX($W$5:W964)+1)</f>
        <v/>
      </c>
      <c r="X965" s="50" t="str">
        <f>IF(Registro!M964="","",IF(COUNTIF($X$8:X964,Registro!M964)=0,Registro!M964,""))</f>
        <v/>
      </c>
      <c r="Y965" s="50" t="str">
        <f t="shared" si="44"/>
        <v/>
      </c>
    </row>
    <row r="966" spans="1:25">
      <c r="A966" s="45" t="str">
        <f>IF(AND(Registro!D965="Abierto",Registro!E965="Urgente"),Registro!B965,"")</f>
        <v/>
      </c>
      <c r="B966" s="45" t="str">
        <f ca="1">IF(AND(Registro!D965="Abierto",Registro!E965="Urgente"),TODAY()-Registro!R965,"")</f>
        <v/>
      </c>
      <c r="C966" s="45" t="str">
        <f>IF(AND(Registro!D965="Abierto",Registro!E965="Urgente"),RANK(B966,$B$9:$B$1000,0)+COUNTIF($B$9:B966,B966)-1,"")</f>
        <v/>
      </c>
      <c r="D966" s="45" t="str">
        <f>IF(AND(Registro!D965="Abierto",Registro!E965="Alta"),Registro!B965,"")</f>
        <v/>
      </c>
      <c r="E966" s="45" t="str">
        <f ca="1">IF(AND(Registro!D965="Abierto",Registro!E965="Alta"),TODAY()-Registro!R965,"")</f>
        <v/>
      </c>
      <c r="F966" s="45" t="str">
        <f>IF(AND(Registro!D965="Abierto",Registro!E965="Alta"),RANK(E966,$E$9:$E$1000,0)+COUNTIF($E$9:E966,E966)-1+MAX(C$5:C$1000),"")</f>
        <v/>
      </c>
      <c r="G966" s="45" t="str">
        <f>IF(AND(Registro!D965="Abierto",Registro!E965="Media"),Registro!B965,"")</f>
        <v/>
      </c>
      <c r="H966" s="45" t="str">
        <f ca="1">IF(AND(Registro!D965="Abierto",Registro!E965="Media"),TODAY()-Registro!R965,"")</f>
        <v/>
      </c>
      <c r="I966" s="45" t="str">
        <f>IF(AND(Registro!D965="Abierto",Registro!E965="Media"),RANK(H966,$H$9:$H$1000,0)+COUNTIF($H$9:H966,H966)-1+MAX(C$5:C$1000,F$5:F$1000),"")</f>
        <v/>
      </c>
      <c r="J966" s="45" t="str">
        <f>IF(AND(Registro!D965="Abierto",Registro!E965="Baja"),Registro!B965,"")</f>
        <v/>
      </c>
      <c r="K966" s="45" t="str">
        <f ca="1">IF(AND(Registro!D965="Abierto",Registro!E965="Baja"),TODAY()-Registro!R965,"")</f>
        <v/>
      </c>
      <c r="L966" s="45" t="str">
        <f>IF(AND(Registro!D965="Abierto",Registro!E965="Baja"),RANK(K966,$K$9:$K$1000,0)+COUNTIF($K$9:K966,K966)-1+MAX(C$5:C$1000,F$5:F$1000,I$5:I$1000),"")</f>
        <v/>
      </c>
      <c r="M966" s="46" t="str">
        <f>IF(OR(Registro!D965="Resuelto",Registro!D965=""),"",SUM(C966,F966,I966,L966))</f>
        <v/>
      </c>
      <c r="N966" s="46" t="str">
        <f>IF(OR(Registro!D965="Resuelto",Registro!D965=""),"",SUM(B966,E966,H966,K966))</f>
        <v/>
      </c>
      <c r="O966" s="46" t="str">
        <f>IF(OR(Registro!D965="Resuelto",Registro!D965=""),"",_xlfn.CONCAT(A966,D966,G966,J966))</f>
        <v/>
      </c>
      <c r="P966" s="47">
        <v>958</v>
      </c>
      <c r="Q966" s="47" t="str">
        <f t="shared" ca="1" si="42"/>
        <v/>
      </c>
      <c r="R966" s="48" t="str">
        <f t="shared" ca="1" si="43"/>
        <v/>
      </c>
      <c r="S966" s="32"/>
      <c r="T966" s="32"/>
      <c r="U966" s="32"/>
      <c r="V966" s="32"/>
      <c r="W966" s="47" t="str">
        <f>IF(X966="","",MAX($W$5:W965)+1)</f>
        <v/>
      </c>
      <c r="X966" s="50" t="str">
        <f>IF(Registro!M965="","",IF(COUNTIF($X$8:X965,Registro!M965)=0,Registro!M965,""))</f>
        <v/>
      </c>
      <c r="Y966" s="50" t="str">
        <f t="shared" si="44"/>
        <v/>
      </c>
    </row>
    <row r="967" spans="1:25">
      <c r="A967" s="45" t="str">
        <f>IF(AND(Registro!D966="Abierto",Registro!E966="Urgente"),Registro!B966,"")</f>
        <v/>
      </c>
      <c r="B967" s="45" t="str">
        <f ca="1">IF(AND(Registro!D966="Abierto",Registro!E966="Urgente"),TODAY()-Registro!R966,"")</f>
        <v/>
      </c>
      <c r="C967" s="45" t="str">
        <f>IF(AND(Registro!D966="Abierto",Registro!E966="Urgente"),RANK(B967,$B$9:$B$1000,0)+COUNTIF($B$9:B967,B967)-1,"")</f>
        <v/>
      </c>
      <c r="D967" s="45" t="str">
        <f>IF(AND(Registro!D966="Abierto",Registro!E966="Alta"),Registro!B966,"")</f>
        <v/>
      </c>
      <c r="E967" s="45" t="str">
        <f ca="1">IF(AND(Registro!D966="Abierto",Registro!E966="Alta"),TODAY()-Registro!R966,"")</f>
        <v/>
      </c>
      <c r="F967" s="45" t="str">
        <f>IF(AND(Registro!D966="Abierto",Registro!E966="Alta"),RANK(E967,$E$9:$E$1000,0)+COUNTIF($E$9:E967,E967)-1+MAX(C$5:C$1000),"")</f>
        <v/>
      </c>
      <c r="G967" s="45" t="str">
        <f>IF(AND(Registro!D966="Abierto",Registro!E966="Media"),Registro!B966,"")</f>
        <v/>
      </c>
      <c r="H967" s="45" t="str">
        <f ca="1">IF(AND(Registro!D966="Abierto",Registro!E966="Media"),TODAY()-Registro!R966,"")</f>
        <v/>
      </c>
      <c r="I967" s="45" t="str">
        <f>IF(AND(Registro!D966="Abierto",Registro!E966="Media"),RANK(H967,$H$9:$H$1000,0)+COUNTIF($H$9:H967,H967)-1+MAX(C$5:C$1000,F$5:F$1000),"")</f>
        <v/>
      </c>
      <c r="J967" s="45" t="str">
        <f>IF(AND(Registro!D966="Abierto",Registro!E966="Baja"),Registro!B966,"")</f>
        <v/>
      </c>
      <c r="K967" s="45" t="str">
        <f ca="1">IF(AND(Registro!D966="Abierto",Registro!E966="Baja"),TODAY()-Registro!R966,"")</f>
        <v/>
      </c>
      <c r="L967" s="45" t="str">
        <f>IF(AND(Registro!D966="Abierto",Registro!E966="Baja"),RANK(K967,$K$9:$K$1000,0)+COUNTIF($K$9:K967,K967)-1+MAX(C$5:C$1000,F$5:F$1000,I$5:I$1000),"")</f>
        <v/>
      </c>
      <c r="M967" s="46" t="str">
        <f>IF(OR(Registro!D966="Resuelto",Registro!D966=""),"",SUM(C967,F967,I967,L967))</f>
        <v/>
      </c>
      <c r="N967" s="46" t="str">
        <f>IF(OR(Registro!D966="Resuelto",Registro!D966=""),"",SUM(B967,E967,H967,K967))</f>
        <v/>
      </c>
      <c r="O967" s="46" t="str">
        <f>IF(OR(Registro!D966="Resuelto",Registro!D966=""),"",_xlfn.CONCAT(A967,D967,G967,J967))</f>
        <v/>
      </c>
      <c r="P967" s="47">
        <v>959</v>
      </c>
      <c r="Q967" s="47" t="str">
        <f t="shared" ca="1" si="42"/>
        <v/>
      </c>
      <c r="R967" s="48" t="str">
        <f t="shared" ca="1" si="43"/>
        <v/>
      </c>
      <c r="S967" s="32"/>
      <c r="T967" s="32"/>
      <c r="U967" s="32"/>
      <c r="V967" s="32"/>
      <c r="W967" s="47" t="str">
        <f>IF(X967="","",MAX($W$5:W966)+1)</f>
        <v/>
      </c>
      <c r="X967" s="50" t="str">
        <f>IF(Registro!M966="","",IF(COUNTIF($X$8:X966,Registro!M966)=0,Registro!M966,""))</f>
        <v/>
      </c>
      <c r="Y967" s="50" t="str">
        <f t="shared" si="44"/>
        <v/>
      </c>
    </row>
    <row r="968" spans="1:25">
      <c r="A968" s="45" t="str">
        <f>IF(AND(Registro!D967="Abierto",Registro!E967="Urgente"),Registro!B967,"")</f>
        <v/>
      </c>
      <c r="B968" s="45" t="str">
        <f ca="1">IF(AND(Registro!D967="Abierto",Registro!E967="Urgente"),TODAY()-Registro!R967,"")</f>
        <v/>
      </c>
      <c r="C968" s="45" t="str">
        <f>IF(AND(Registro!D967="Abierto",Registro!E967="Urgente"),RANK(B968,$B$9:$B$1000,0)+COUNTIF($B$9:B968,B968)-1,"")</f>
        <v/>
      </c>
      <c r="D968" s="45" t="str">
        <f>IF(AND(Registro!D967="Abierto",Registro!E967="Alta"),Registro!B967,"")</f>
        <v/>
      </c>
      <c r="E968" s="45" t="str">
        <f ca="1">IF(AND(Registro!D967="Abierto",Registro!E967="Alta"),TODAY()-Registro!R967,"")</f>
        <v/>
      </c>
      <c r="F968" s="45" t="str">
        <f>IF(AND(Registro!D967="Abierto",Registro!E967="Alta"),RANK(E968,$E$9:$E$1000,0)+COUNTIF($E$9:E968,E968)-1+MAX(C$5:C$1000),"")</f>
        <v/>
      </c>
      <c r="G968" s="45" t="str">
        <f>IF(AND(Registro!D967="Abierto",Registro!E967="Media"),Registro!B967,"")</f>
        <v/>
      </c>
      <c r="H968" s="45" t="str">
        <f ca="1">IF(AND(Registro!D967="Abierto",Registro!E967="Media"),TODAY()-Registro!R967,"")</f>
        <v/>
      </c>
      <c r="I968" s="45" t="str">
        <f>IF(AND(Registro!D967="Abierto",Registro!E967="Media"),RANK(H968,$H$9:$H$1000,0)+COUNTIF($H$9:H968,H968)-1+MAX(C$5:C$1000,F$5:F$1000),"")</f>
        <v/>
      </c>
      <c r="J968" s="45" t="str">
        <f>IF(AND(Registro!D967="Abierto",Registro!E967="Baja"),Registro!B967,"")</f>
        <v/>
      </c>
      <c r="K968" s="45" t="str">
        <f ca="1">IF(AND(Registro!D967="Abierto",Registro!E967="Baja"),TODAY()-Registro!R967,"")</f>
        <v/>
      </c>
      <c r="L968" s="45" t="str">
        <f>IF(AND(Registro!D967="Abierto",Registro!E967="Baja"),RANK(K968,$K$9:$K$1000,0)+COUNTIF($K$9:K968,K968)-1+MAX(C$5:C$1000,F$5:F$1000,I$5:I$1000),"")</f>
        <v/>
      </c>
      <c r="M968" s="46" t="str">
        <f>IF(OR(Registro!D967="Resuelto",Registro!D967=""),"",SUM(C968,F968,I968,L968))</f>
        <v/>
      </c>
      <c r="N968" s="46" t="str">
        <f>IF(OR(Registro!D967="Resuelto",Registro!D967=""),"",SUM(B968,E968,H968,K968))</f>
        <v/>
      </c>
      <c r="O968" s="46" t="str">
        <f>IF(OR(Registro!D967="Resuelto",Registro!D967=""),"",_xlfn.CONCAT(A968,D968,G968,J968))</f>
        <v/>
      </c>
      <c r="P968" s="47">
        <v>960</v>
      </c>
      <c r="Q968" s="47" t="str">
        <f t="shared" ca="1" si="42"/>
        <v/>
      </c>
      <c r="R968" s="48" t="str">
        <f t="shared" ca="1" si="43"/>
        <v/>
      </c>
      <c r="S968" s="32"/>
      <c r="T968" s="32"/>
      <c r="U968" s="32"/>
      <c r="V968" s="32"/>
      <c r="W968" s="47" t="str">
        <f>IF(X968="","",MAX($W$5:W967)+1)</f>
        <v/>
      </c>
      <c r="X968" s="50" t="str">
        <f>IF(Registro!M967="","",IF(COUNTIF($X$8:X967,Registro!M967)=0,Registro!M967,""))</f>
        <v/>
      </c>
      <c r="Y968" s="50" t="str">
        <f t="shared" si="44"/>
        <v/>
      </c>
    </row>
    <row r="969" spans="1:25">
      <c r="A969" s="45" t="str">
        <f>IF(AND(Registro!D968="Abierto",Registro!E968="Urgente"),Registro!B968,"")</f>
        <v/>
      </c>
      <c r="B969" s="45" t="str">
        <f ca="1">IF(AND(Registro!D968="Abierto",Registro!E968="Urgente"),TODAY()-Registro!R968,"")</f>
        <v/>
      </c>
      <c r="C969" s="45" t="str">
        <f>IF(AND(Registro!D968="Abierto",Registro!E968="Urgente"),RANK(B969,$B$9:$B$1000,0)+COUNTIF($B$9:B969,B969)-1,"")</f>
        <v/>
      </c>
      <c r="D969" s="45" t="str">
        <f>IF(AND(Registro!D968="Abierto",Registro!E968="Alta"),Registro!B968,"")</f>
        <v/>
      </c>
      <c r="E969" s="45" t="str">
        <f ca="1">IF(AND(Registro!D968="Abierto",Registro!E968="Alta"),TODAY()-Registro!R968,"")</f>
        <v/>
      </c>
      <c r="F969" s="45" t="str">
        <f>IF(AND(Registro!D968="Abierto",Registro!E968="Alta"),RANK(E969,$E$9:$E$1000,0)+COUNTIF($E$9:E969,E969)-1+MAX(C$5:C$1000),"")</f>
        <v/>
      </c>
      <c r="G969" s="45" t="str">
        <f>IF(AND(Registro!D968="Abierto",Registro!E968="Media"),Registro!B968,"")</f>
        <v/>
      </c>
      <c r="H969" s="45" t="str">
        <f ca="1">IF(AND(Registro!D968="Abierto",Registro!E968="Media"),TODAY()-Registro!R968,"")</f>
        <v/>
      </c>
      <c r="I969" s="45" t="str">
        <f>IF(AND(Registro!D968="Abierto",Registro!E968="Media"),RANK(H969,$H$9:$H$1000,0)+COUNTIF($H$9:H969,H969)-1+MAX(C$5:C$1000,F$5:F$1000),"")</f>
        <v/>
      </c>
      <c r="J969" s="45" t="str">
        <f>IF(AND(Registro!D968="Abierto",Registro!E968="Baja"),Registro!B968,"")</f>
        <v/>
      </c>
      <c r="K969" s="45" t="str">
        <f ca="1">IF(AND(Registro!D968="Abierto",Registro!E968="Baja"),TODAY()-Registro!R968,"")</f>
        <v/>
      </c>
      <c r="L969" s="45" t="str">
        <f>IF(AND(Registro!D968="Abierto",Registro!E968="Baja"),RANK(K969,$K$9:$K$1000,0)+COUNTIF($K$9:K969,K969)-1+MAX(C$5:C$1000,F$5:F$1000,I$5:I$1000),"")</f>
        <v/>
      </c>
      <c r="M969" s="46" t="str">
        <f>IF(OR(Registro!D968="Resuelto",Registro!D968=""),"",SUM(C969,F969,I969,L969))</f>
        <v/>
      </c>
      <c r="N969" s="46" t="str">
        <f>IF(OR(Registro!D968="Resuelto",Registro!D968=""),"",SUM(B969,E969,H969,K969))</f>
        <v/>
      </c>
      <c r="O969" s="46" t="str">
        <f>IF(OR(Registro!D968="Resuelto",Registro!D968=""),"",_xlfn.CONCAT(A969,D969,G969,J969))</f>
        <v/>
      </c>
      <c r="P969" s="47">
        <v>961</v>
      </c>
      <c r="Q969" s="47" t="str">
        <f t="shared" ref="Q969:Q1032" ca="1" si="45">IF(ISNA(VLOOKUP(P969,$M$9:$O$1000,3,FALSE))=TRUE,"",VLOOKUP(P969,$M$9:$O$1000,3,FALSE))</f>
        <v/>
      </c>
      <c r="R969" s="48" t="str">
        <f t="shared" ref="R969:R1000" ca="1" si="46">IF(ISNA(VLOOKUP(P969,$M$9:$O$1000,2,FALSE))=TRUE,"",VLOOKUP(P969,$M$9:$O$1000,2,FALSE))</f>
        <v/>
      </c>
      <c r="S969" s="32"/>
      <c r="T969" s="32"/>
      <c r="U969" s="32"/>
      <c r="V969" s="32"/>
      <c r="W969" s="47" t="str">
        <f>IF(X969="","",MAX($W$5:W968)+1)</f>
        <v/>
      </c>
      <c r="X969" s="50" t="str">
        <f>IF(Registro!M968="","",IF(COUNTIF($X$8:X968,Registro!M968)=0,Registro!M968,""))</f>
        <v/>
      </c>
      <c r="Y969" s="50" t="str">
        <f t="shared" ref="Y969:Y1000" si="47">IF(ISNA(VLOOKUP(P969,$W$9:$X$1000,2,FALSE))=TRUE,"",VLOOKUP(P969,$W$9:$X$1000,2,FALSE))</f>
        <v/>
      </c>
    </row>
    <row r="970" spans="1:25">
      <c r="A970" s="45" t="str">
        <f>IF(AND(Registro!D969="Abierto",Registro!E969="Urgente"),Registro!B969,"")</f>
        <v/>
      </c>
      <c r="B970" s="45" t="str">
        <f ca="1">IF(AND(Registro!D969="Abierto",Registro!E969="Urgente"),TODAY()-Registro!R969,"")</f>
        <v/>
      </c>
      <c r="C970" s="45" t="str">
        <f>IF(AND(Registro!D969="Abierto",Registro!E969="Urgente"),RANK(B970,$B$9:$B$1000,0)+COUNTIF($B$9:B970,B970)-1,"")</f>
        <v/>
      </c>
      <c r="D970" s="45" t="str">
        <f>IF(AND(Registro!D969="Abierto",Registro!E969="Alta"),Registro!B969,"")</f>
        <v/>
      </c>
      <c r="E970" s="45" t="str">
        <f ca="1">IF(AND(Registro!D969="Abierto",Registro!E969="Alta"),TODAY()-Registro!R969,"")</f>
        <v/>
      </c>
      <c r="F970" s="45" t="str">
        <f>IF(AND(Registro!D969="Abierto",Registro!E969="Alta"),RANK(E970,$E$9:$E$1000,0)+COUNTIF($E$9:E970,E970)-1+MAX(C$5:C$1000),"")</f>
        <v/>
      </c>
      <c r="G970" s="45" t="str">
        <f>IF(AND(Registro!D969="Abierto",Registro!E969="Media"),Registro!B969,"")</f>
        <v/>
      </c>
      <c r="H970" s="45" t="str">
        <f ca="1">IF(AND(Registro!D969="Abierto",Registro!E969="Media"),TODAY()-Registro!R969,"")</f>
        <v/>
      </c>
      <c r="I970" s="45" t="str">
        <f>IF(AND(Registro!D969="Abierto",Registro!E969="Media"),RANK(H970,$H$9:$H$1000,0)+COUNTIF($H$9:H970,H970)-1+MAX(C$5:C$1000,F$5:F$1000),"")</f>
        <v/>
      </c>
      <c r="J970" s="45" t="str">
        <f>IF(AND(Registro!D969="Abierto",Registro!E969="Baja"),Registro!B969,"")</f>
        <v/>
      </c>
      <c r="K970" s="45" t="str">
        <f ca="1">IF(AND(Registro!D969="Abierto",Registro!E969="Baja"),TODAY()-Registro!R969,"")</f>
        <v/>
      </c>
      <c r="L970" s="45" t="str">
        <f>IF(AND(Registro!D969="Abierto",Registro!E969="Baja"),RANK(K970,$K$9:$K$1000,0)+COUNTIF($K$9:K970,K970)-1+MAX(C$5:C$1000,F$5:F$1000,I$5:I$1000),"")</f>
        <v/>
      </c>
      <c r="M970" s="46" t="str">
        <f>IF(OR(Registro!D969="Resuelto",Registro!D969=""),"",SUM(C970,F970,I970,L970))</f>
        <v/>
      </c>
      <c r="N970" s="46" t="str">
        <f>IF(OR(Registro!D969="Resuelto",Registro!D969=""),"",SUM(B970,E970,H970,K970))</f>
        <v/>
      </c>
      <c r="O970" s="46" t="str">
        <f>IF(OR(Registro!D969="Resuelto",Registro!D969=""),"",_xlfn.CONCAT(A970,D970,G970,J970))</f>
        <v/>
      </c>
      <c r="P970" s="47">
        <v>962</v>
      </c>
      <c r="Q970" s="47" t="str">
        <f t="shared" ca="1" si="45"/>
        <v/>
      </c>
      <c r="R970" s="48" t="str">
        <f t="shared" ca="1" si="46"/>
        <v/>
      </c>
      <c r="S970" s="32"/>
      <c r="T970" s="32"/>
      <c r="U970" s="32"/>
      <c r="V970" s="32"/>
      <c r="W970" s="47" t="str">
        <f>IF(X970="","",MAX($W$5:W969)+1)</f>
        <v/>
      </c>
      <c r="X970" s="50" t="str">
        <f>IF(Registro!M969="","",IF(COUNTIF($X$8:X969,Registro!M969)=0,Registro!M969,""))</f>
        <v/>
      </c>
      <c r="Y970" s="50" t="str">
        <f t="shared" si="47"/>
        <v/>
      </c>
    </row>
    <row r="971" spans="1:25">
      <c r="A971" s="45" t="str">
        <f>IF(AND(Registro!D970="Abierto",Registro!E970="Urgente"),Registro!B970,"")</f>
        <v/>
      </c>
      <c r="B971" s="45" t="str">
        <f ca="1">IF(AND(Registro!D970="Abierto",Registro!E970="Urgente"),TODAY()-Registro!R970,"")</f>
        <v/>
      </c>
      <c r="C971" s="45" t="str">
        <f>IF(AND(Registro!D970="Abierto",Registro!E970="Urgente"),RANK(B971,$B$9:$B$1000,0)+COUNTIF($B$9:B971,B971)-1,"")</f>
        <v/>
      </c>
      <c r="D971" s="45" t="str">
        <f>IF(AND(Registro!D970="Abierto",Registro!E970="Alta"),Registro!B970,"")</f>
        <v/>
      </c>
      <c r="E971" s="45" t="str">
        <f ca="1">IF(AND(Registro!D970="Abierto",Registro!E970="Alta"),TODAY()-Registro!R970,"")</f>
        <v/>
      </c>
      <c r="F971" s="45" t="str">
        <f>IF(AND(Registro!D970="Abierto",Registro!E970="Alta"),RANK(E971,$E$9:$E$1000,0)+COUNTIF($E$9:E971,E971)-1+MAX(C$5:C$1000),"")</f>
        <v/>
      </c>
      <c r="G971" s="45" t="str">
        <f>IF(AND(Registro!D970="Abierto",Registro!E970="Media"),Registro!B970,"")</f>
        <v/>
      </c>
      <c r="H971" s="45" t="str">
        <f ca="1">IF(AND(Registro!D970="Abierto",Registro!E970="Media"),TODAY()-Registro!R970,"")</f>
        <v/>
      </c>
      <c r="I971" s="45" t="str">
        <f>IF(AND(Registro!D970="Abierto",Registro!E970="Media"),RANK(H971,$H$9:$H$1000,0)+COUNTIF($H$9:H971,H971)-1+MAX(C$5:C$1000,F$5:F$1000),"")</f>
        <v/>
      </c>
      <c r="J971" s="45" t="str">
        <f>IF(AND(Registro!D970="Abierto",Registro!E970="Baja"),Registro!B970,"")</f>
        <v/>
      </c>
      <c r="K971" s="45" t="str">
        <f ca="1">IF(AND(Registro!D970="Abierto",Registro!E970="Baja"),TODAY()-Registro!R970,"")</f>
        <v/>
      </c>
      <c r="L971" s="45" t="str">
        <f>IF(AND(Registro!D970="Abierto",Registro!E970="Baja"),RANK(K971,$K$9:$K$1000,0)+COUNTIF($K$9:K971,K971)-1+MAX(C$5:C$1000,F$5:F$1000,I$5:I$1000),"")</f>
        <v/>
      </c>
      <c r="M971" s="46" t="str">
        <f>IF(OR(Registro!D970="Resuelto",Registro!D970=""),"",SUM(C971,F971,I971,L971))</f>
        <v/>
      </c>
      <c r="N971" s="46" t="str">
        <f>IF(OR(Registro!D970="Resuelto",Registro!D970=""),"",SUM(B971,E971,H971,K971))</f>
        <v/>
      </c>
      <c r="O971" s="46" t="str">
        <f>IF(OR(Registro!D970="Resuelto",Registro!D970=""),"",_xlfn.CONCAT(A971,D971,G971,J971))</f>
        <v/>
      </c>
      <c r="P971" s="47">
        <v>963</v>
      </c>
      <c r="Q971" s="47" t="str">
        <f t="shared" ca="1" si="45"/>
        <v/>
      </c>
      <c r="R971" s="48" t="str">
        <f t="shared" ca="1" si="46"/>
        <v/>
      </c>
      <c r="S971" s="32"/>
      <c r="T971" s="32"/>
      <c r="U971" s="32"/>
      <c r="V971" s="32"/>
      <c r="W971" s="47" t="str">
        <f>IF(X971="","",MAX($W$5:W970)+1)</f>
        <v/>
      </c>
      <c r="X971" s="50" t="str">
        <f>IF(Registro!M970="","",IF(COUNTIF($X$8:X970,Registro!M970)=0,Registro!M970,""))</f>
        <v/>
      </c>
      <c r="Y971" s="50" t="str">
        <f t="shared" si="47"/>
        <v/>
      </c>
    </row>
    <row r="972" spans="1:25">
      <c r="A972" s="45" t="str">
        <f>IF(AND(Registro!D971="Abierto",Registro!E971="Urgente"),Registro!B971,"")</f>
        <v/>
      </c>
      <c r="B972" s="45" t="str">
        <f ca="1">IF(AND(Registro!D971="Abierto",Registro!E971="Urgente"),TODAY()-Registro!R971,"")</f>
        <v/>
      </c>
      <c r="C972" s="45" t="str">
        <f>IF(AND(Registro!D971="Abierto",Registro!E971="Urgente"),RANK(B972,$B$9:$B$1000,0)+COUNTIF($B$9:B972,B972)-1,"")</f>
        <v/>
      </c>
      <c r="D972" s="45" t="str">
        <f>IF(AND(Registro!D971="Abierto",Registro!E971="Alta"),Registro!B971,"")</f>
        <v/>
      </c>
      <c r="E972" s="45" t="str">
        <f ca="1">IF(AND(Registro!D971="Abierto",Registro!E971="Alta"),TODAY()-Registro!R971,"")</f>
        <v/>
      </c>
      <c r="F972" s="45" t="str">
        <f>IF(AND(Registro!D971="Abierto",Registro!E971="Alta"),RANK(E972,$E$9:$E$1000,0)+COUNTIF($E$9:E972,E972)-1+MAX(C$5:C$1000),"")</f>
        <v/>
      </c>
      <c r="G972" s="45" t="str">
        <f>IF(AND(Registro!D971="Abierto",Registro!E971="Media"),Registro!B971,"")</f>
        <v/>
      </c>
      <c r="H972" s="45" t="str">
        <f ca="1">IF(AND(Registro!D971="Abierto",Registro!E971="Media"),TODAY()-Registro!R971,"")</f>
        <v/>
      </c>
      <c r="I972" s="45" t="str">
        <f>IF(AND(Registro!D971="Abierto",Registro!E971="Media"),RANK(H972,$H$9:$H$1000,0)+COUNTIF($H$9:H972,H972)-1+MAX(C$5:C$1000,F$5:F$1000),"")</f>
        <v/>
      </c>
      <c r="J972" s="45" t="str">
        <f>IF(AND(Registro!D971="Abierto",Registro!E971="Baja"),Registro!B971,"")</f>
        <v/>
      </c>
      <c r="K972" s="45" t="str">
        <f ca="1">IF(AND(Registro!D971="Abierto",Registro!E971="Baja"),TODAY()-Registro!R971,"")</f>
        <v/>
      </c>
      <c r="L972" s="45" t="str">
        <f>IF(AND(Registro!D971="Abierto",Registro!E971="Baja"),RANK(K972,$K$9:$K$1000,0)+COUNTIF($K$9:K972,K972)-1+MAX(C$5:C$1000,F$5:F$1000,I$5:I$1000),"")</f>
        <v/>
      </c>
      <c r="M972" s="46" t="str">
        <f>IF(OR(Registro!D971="Resuelto",Registro!D971=""),"",SUM(C972,F972,I972,L972))</f>
        <v/>
      </c>
      <c r="N972" s="46" t="str">
        <f>IF(OR(Registro!D971="Resuelto",Registro!D971=""),"",SUM(B972,E972,H972,K972))</f>
        <v/>
      </c>
      <c r="O972" s="46" t="str">
        <f>IF(OR(Registro!D971="Resuelto",Registro!D971=""),"",_xlfn.CONCAT(A972,D972,G972,J972))</f>
        <v/>
      </c>
      <c r="P972" s="47">
        <v>964</v>
      </c>
      <c r="Q972" s="47" t="str">
        <f t="shared" ca="1" si="45"/>
        <v/>
      </c>
      <c r="R972" s="48" t="str">
        <f t="shared" ca="1" si="46"/>
        <v/>
      </c>
      <c r="S972" s="32"/>
      <c r="T972" s="32"/>
      <c r="U972" s="32"/>
      <c r="V972" s="32"/>
      <c r="W972" s="47" t="str">
        <f>IF(X972="","",MAX($W$5:W971)+1)</f>
        <v/>
      </c>
      <c r="X972" s="50" t="str">
        <f>IF(Registro!M971="","",IF(COUNTIF($X$8:X971,Registro!M971)=0,Registro!M971,""))</f>
        <v/>
      </c>
      <c r="Y972" s="50" t="str">
        <f t="shared" si="47"/>
        <v/>
      </c>
    </row>
    <row r="973" spans="1:25">
      <c r="A973" s="45" t="str">
        <f>IF(AND(Registro!D972="Abierto",Registro!E972="Urgente"),Registro!B972,"")</f>
        <v/>
      </c>
      <c r="B973" s="45" t="str">
        <f ca="1">IF(AND(Registro!D972="Abierto",Registro!E972="Urgente"),TODAY()-Registro!R972,"")</f>
        <v/>
      </c>
      <c r="C973" s="45" t="str">
        <f>IF(AND(Registro!D972="Abierto",Registro!E972="Urgente"),RANK(B973,$B$9:$B$1000,0)+COUNTIF($B$9:B973,B973)-1,"")</f>
        <v/>
      </c>
      <c r="D973" s="45" t="str">
        <f>IF(AND(Registro!D972="Abierto",Registro!E972="Alta"),Registro!B972,"")</f>
        <v/>
      </c>
      <c r="E973" s="45" t="str">
        <f ca="1">IF(AND(Registro!D972="Abierto",Registro!E972="Alta"),TODAY()-Registro!R972,"")</f>
        <v/>
      </c>
      <c r="F973" s="45" t="str">
        <f>IF(AND(Registro!D972="Abierto",Registro!E972="Alta"),RANK(E973,$E$9:$E$1000,0)+COUNTIF($E$9:E973,E973)-1+MAX(C$5:C$1000),"")</f>
        <v/>
      </c>
      <c r="G973" s="45" t="str">
        <f>IF(AND(Registro!D972="Abierto",Registro!E972="Media"),Registro!B972,"")</f>
        <v/>
      </c>
      <c r="H973" s="45" t="str">
        <f ca="1">IF(AND(Registro!D972="Abierto",Registro!E972="Media"),TODAY()-Registro!R972,"")</f>
        <v/>
      </c>
      <c r="I973" s="45" t="str">
        <f>IF(AND(Registro!D972="Abierto",Registro!E972="Media"),RANK(H973,$H$9:$H$1000,0)+COUNTIF($H$9:H973,H973)-1+MAX(C$5:C$1000,F$5:F$1000),"")</f>
        <v/>
      </c>
      <c r="J973" s="45" t="str">
        <f>IF(AND(Registro!D972="Abierto",Registro!E972="Baja"),Registro!B972,"")</f>
        <v/>
      </c>
      <c r="K973" s="45" t="str">
        <f ca="1">IF(AND(Registro!D972="Abierto",Registro!E972="Baja"),TODAY()-Registro!R972,"")</f>
        <v/>
      </c>
      <c r="L973" s="45" t="str">
        <f>IF(AND(Registro!D972="Abierto",Registro!E972="Baja"),RANK(K973,$K$9:$K$1000,0)+COUNTIF($K$9:K973,K973)-1+MAX(C$5:C$1000,F$5:F$1000,I$5:I$1000),"")</f>
        <v/>
      </c>
      <c r="M973" s="46" t="str">
        <f>IF(OR(Registro!D972="Resuelto",Registro!D972=""),"",SUM(C973,F973,I973,L973))</f>
        <v/>
      </c>
      <c r="N973" s="46" t="str">
        <f>IF(OR(Registro!D972="Resuelto",Registro!D972=""),"",SUM(B973,E973,H973,K973))</f>
        <v/>
      </c>
      <c r="O973" s="46" t="str">
        <f>IF(OR(Registro!D972="Resuelto",Registro!D972=""),"",_xlfn.CONCAT(A973,D973,G973,J973))</f>
        <v/>
      </c>
      <c r="P973" s="47">
        <v>965</v>
      </c>
      <c r="Q973" s="47" t="str">
        <f t="shared" ca="1" si="45"/>
        <v/>
      </c>
      <c r="R973" s="48" t="str">
        <f t="shared" ca="1" si="46"/>
        <v/>
      </c>
      <c r="S973" s="32"/>
      <c r="T973" s="32"/>
      <c r="U973" s="32"/>
      <c r="V973" s="32"/>
      <c r="W973" s="47" t="str">
        <f>IF(X973="","",MAX($W$5:W972)+1)</f>
        <v/>
      </c>
      <c r="X973" s="50" t="str">
        <f>IF(Registro!M972="","",IF(COUNTIF($X$8:X972,Registro!M972)=0,Registro!M972,""))</f>
        <v/>
      </c>
      <c r="Y973" s="50" t="str">
        <f t="shared" si="47"/>
        <v/>
      </c>
    </row>
    <row r="974" spans="1:25">
      <c r="A974" s="45" t="str">
        <f>IF(AND(Registro!D973="Abierto",Registro!E973="Urgente"),Registro!B973,"")</f>
        <v/>
      </c>
      <c r="B974" s="45" t="str">
        <f ca="1">IF(AND(Registro!D973="Abierto",Registro!E973="Urgente"),TODAY()-Registro!R973,"")</f>
        <v/>
      </c>
      <c r="C974" s="45" t="str">
        <f>IF(AND(Registro!D973="Abierto",Registro!E973="Urgente"),RANK(B974,$B$9:$B$1000,0)+COUNTIF($B$9:B974,B974)-1,"")</f>
        <v/>
      </c>
      <c r="D974" s="45" t="str">
        <f>IF(AND(Registro!D973="Abierto",Registro!E973="Alta"),Registro!B973,"")</f>
        <v/>
      </c>
      <c r="E974" s="45" t="str">
        <f ca="1">IF(AND(Registro!D973="Abierto",Registro!E973="Alta"),TODAY()-Registro!R973,"")</f>
        <v/>
      </c>
      <c r="F974" s="45" t="str">
        <f>IF(AND(Registro!D973="Abierto",Registro!E973="Alta"),RANK(E974,$E$9:$E$1000,0)+COUNTIF($E$9:E974,E974)-1+MAX(C$5:C$1000),"")</f>
        <v/>
      </c>
      <c r="G974" s="45" t="str">
        <f>IF(AND(Registro!D973="Abierto",Registro!E973="Media"),Registro!B973,"")</f>
        <v/>
      </c>
      <c r="H974" s="45" t="str">
        <f ca="1">IF(AND(Registro!D973="Abierto",Registro!E973="Media"),TODAY()-Registro!R973,"")</f>
        <v/>
      </c>
      <c r="I974" s="45" t="str">
        <f>IF(AND(Registro!D973="Abierto",Registro!E973="Media"),RANK(H974,$H$9:$H$1000,0)+COUNTIF($H$9:H974,H974)-1+MAX(C$5:C$1000,F$5:F$1000),"")</f>
        <v/>
      </c>
      <c r="J974" s="45" t="str">
        <f>IF(AND(Registro!D973="Abierto",Registro!E973="Baja"),Registro!B973,"")</f>
        <v/>
      </c>
      <c r="K974" s="45" t="str">
        <f ca="1">IF(AND(Registro!D973="Abierto",Registro!E973="Baja"),TODAY()-Registro!R973,"")</f>
        <v/>
      </c>
      <c r="L974" s="45" t="str">
        <f>IF(AND(Registro!D973="Abierto",Registro!E973="Baja"),RANK(K974,$K$9:$K$1000,0)+COUNTIF($K$9:K974,K974)-1+MAX(C$5:C$1000,F$5:F$1000,I$5:I$1000),"")</f>
        <v/>
      </c>
      <c r="M974" s="46" t="str">
        <f>IF(OR(Registro!D973="Resuelto",Registro!D973=""),"",SUM(C974,F974,I974,L974))</f>
        <v/>
      </c>
      <c r="N974" s="46" t="str">
        <f>IF(OR(Registro!D973="Resuelto",Registro!D973=""),"",SUM(B974,E974,H974,K974))</f>
        <v/>
      </c>
      <c r="O974" s="46" t="str">
        <f>IF(OR(Registro!D973="Resuelto",Registro!D973=""),"",_xlfn.CONCAT(A974,D974,G974,J974))</f>
        <v/>
      </c>
      <c r="P974" s="47">
        <v>966</v>
      </c>
      <c r="Q974" s="47" t="str">
        <f t="shared" ca="1" si="45"/>
        <v/>
      </c>
      <c r="R974" s="48" t="str">
        <f t="shared" ca="1" si="46"/>
        <v/>
      </c>
      <c r="S974" s="32"/>
      <c r="T974" s="32"/>
      <c r="U974" s="32"/>
      <c r="V974" s="32"/>
      <c r="W974" s="47" t="str">
        <f>IF(X974="","",MAX($W$5:W973)+1)</f>
        <v/>
      </c>
      <c r="X974" s="50" t="str">
        <f>IF(Registro!M973="","",IF(COUNTIF($X$8:X973,Registro!M973)=0,Registro!M973,""))</f>
        <v/>
      </c>
      <c r="Y974" s="50" t="str">
        <f t="shared" si="47"/>
        <v/>
      </c>
    </row>
    <row r="975" spans="1:25">
      <c r="A975" s="45" t="str">
        <f>IF(AND(Registro!D974="Abierto",Registro!E974="Urgente"),Registro!B974,"")</f>
        <v/>
      </c>
      <c r="B975" s="45" t="str">
        <f ca="1">IF(AND(Registro!D974="Abierto",Registro!E974="Urgente"),TODAY()-Registro!R974,"")</f>
        <v/>
      </c>
      <c r="C975" s="45" t="str">
        <f>IF(AND(Registro!D974="Abierto",Registro!E974="Urgente"),RANK(B975,$B$9:$B$1000,0)+COUNTIF($B$9:B975,B975)-1,"")</f>
        <v/>
      </c>
      <c r="D975" s="45" t="str">
        <f>IF(AND(Registro!D974="Abierto",Registro!E974="Alta"),Registro!B974,"")</f>
        <v/>
      </c>
      <c r="E975" s="45" t="str">
        <f ca="1">IF(AND(Registro!D974="Abierto",Registro!E974="Alta"),TODAY()-Registro!R974,"")</f>
        <v/>
      </c>
      <c r="F975" s="45" t="str">
        <f>IF(AND(Registro!D974="Abierto",Registro!E974="Alta"),RANK(E975,$E$9:$E$1000,0)+COUNTIF($E$9:E975,E975)-1+MAX(C$5:C$1000),"")</f>
        <v/>
      </c>
      <c r="G975" s="45" t="str">
        <f>IF(AND(Registro!D974="Abierto",Registro!E974="Media"),Registro!B974,"")</f>
        <v/>
      </c>
      <c r="H975" s="45" t="str">
        <f ca="1">IF(AND(Registro!D974="Abierto",Registro!E974="Media"),TODAY()-Registro!R974,"")</f>
        <v/>
      </c>
      <c r="I975" s="45" t="str">
        <f>IF(AND(Registro!D974="Abierto",Registro!E974="Media"),RANK(H975,$H$9:$H$1000,0)+COUNTIF($H$9:H975,H975)-1+MAX(C$5:C$1000,F$5:F$1000),"")</f>
        <v/>
      </c>
      <c r="J975" s="45" t="str">
        <f>IF(AND(Registro!D974="Abierto",Registro!E974="Baja"),Registro!B974,"")</f>
        <v/>
      </c>
      <c r="K975" s="45" t="str">
        <f ca="1">IF(AND(Registro!D974="Abierto",Registro!E974="Baja"),TODAY()-Registro!R974,"")</f>
        <v/>
      </c>
      <c r="L975" s="45" t="str">
        <f>IF(AND(Registro!D974="Abierto",Registro!E974="Baja"),RANK(K975,$K$9:$K$1000,0)+COUNTIF($K$9:K975,K975)-1+MAX(C$5:C$1000,F$5:F$1000,I$5:I$1000),"")</f>
        <v/>
      </c>
      <c r="M975" s="46" t="str">
        <f>IF(OR(Registro!D974="Resuelto",Registro!D974=""),"",SUM(C975,F975,I975,L975))</f>
        <v/>
      </c>
      <c r="N975" s="46" t="str">
        <f>IF(OR(Registro!D974="Resuelto",Registro!D974=""),"",SUM(B975,E975,H975,K975))</f>
        <v/>
      </c>
      <c r="O975" s="46" t="str">
        <f>IF(OR(Registro!D974="Resuelto",Registro!D974=""),"",_xlfn.CONCAT(A975,D975,G975,J975))</f>
        <v/>
      </c>
      <c r="P975" s="47">
        <v>967</v>
      </c>
      <c r="Q975" s="47" t="str">
        <f t="shared" ca="1" si="45"/>
        <v/>
      </c>
      <c r="R975" s="48" t="str">
        <f t="shared" ca="1" si="46"/>
        <v/>
      </c>
      <c r="S975" s="32"/>
      <c r="T975" s="32"/>
      <c r="U975" s="32"/>
      <c r="V975" s="32"/>
      <c r="W975" s="47" t="str">
        <f>IF(X975="","",MAX($W$5:W974)+1)</f>
        <v/>
      </c>
      <c r="X975" s="50" t="str">
        <f>IF(Registro!M974="","",IF(COUNTIF($X$8:X974,Registro!M974)=0,Registro!M974,""))</f>
        <v/>
      </c>
      <c r="Y975" s="50" t="str">
        <f t="shared" si="47"/>
        <v/>
      </c>
    </row>
    <row r="976" spans="1:25">
      <c r="A976" s="45" t="str">
        <f>IF(AND(Registro!D975="Abierto",Registro!E975="Urgente"),Registro!B975,"")</f>
        <v/>
      </c>
      <c r="B976" s="45" t="str">
        <f ca="1">IF(AND(Registro!D975="Abierto",Registro!E975="Urgente"),TODAY()-Registro!R975,"")</f>
        <v/>
      </c>
      <c r="C976" s="45" t="str">
        <f>IF(AND(Registro!D975="Abierto",Registro!E975="Urgente"),RANK(B976,$B$9:$B$1000,0)+COUNTIF($B$9:B976,B976)-1,"")</f>
        <v/>
      </c>
      <c r="D976" s="45" t="str">
        <f>IF(AND(Registro!D975="Abierto",Registro!E975="Alta"),Registro!B975,"")</f>
        <v/>
      </c>
      <c r="E976" s="45" t="str">
        <f ca="1">IF(AND(Registro!D975="Abierto",Registro!E975="Alta"),TODAY()-Registro!R975,"")</f>
        <v/>
      </c>
      <c r="F976" s="45" t="str">
        <f>IF(AND(Registro!D975="Abierto",Registro!E975="Alta"),RANK(E976,$E$9:$E$1000,0)+COUNTIF($E$9:E976,E976)-1+MAX(C$5:C$1000),"")</f>
        <v/>
      </c>
      <c r="G976" s="45" t="str">
        <f>IF(AND(Registro!D975="Abierto",Registro!E975="Media"),Registro!B975,"")</f>
        <v/>
      </c>
      <c r="H976" s="45" t="str">
        <f ca="1">IF(AND(Registro!D975="Abierto",Registro!E975="Media"),TODAY()-Registro!R975,"")</f>
        <v/>
      </c>
      <c r="I976" s="45" t="str">
        <f>IF(AND(Registro!D975="Abierto",Registro!E975="Media"),RANK(H976,$H$9:$H$1000,0)+COUNTIF($H$9:H976,H976)-1+MAX(C$5:C$1000,F$5:F$1000),"")</f>
        <v/>
      </c>
      <c r="J976" s="45" t="str">
        <f>IF(AND(Registro!D975="Abierto",Registro!E975="Baja"),Registro!B975,"")</f>
        <v/>
      </c>
      <c r="K976" s="45" t="str">
        <f ca="1">IF(AND(Registro!D975="Abierto",Registro!E975="Baja"),TODAY()-Registro!R975,"")</f>
        <v/>
      </c>
      <c r="L976" s="45" t="str">
        <f>IF(AND(Registro!D975="Abierto",Registro!E975="Baja"),RANK(K976,$K$9:$K$1000,0)+COUNTIF($K$9:K976,K976)-1+MAX(C$5:C$1000,F$5:F$1000,I$5:I$1000),"")</f>
        <v/>
      </c>
      <c r="M976" s="46" t="str">
        <f>IF(OR(Registro!D975="Resuelto",Registro!D975=""),"",SUM(C976,F976,I976,L976))</f>
        <v/>
      </c>
      <c r="N976" s="46" t="str">
        <f>IF(OR(Registro!D975="Resuelto",Registro!D975=""),"",SUM(B976,E976,H976,K976))</f>
        <v/>
      </c>
      <c r="O976" s="46" t="str">
        <f>IF(OR(Registro!D975="Resuelto",Registro!D975=""),"",_xlfn.CONCAT(A976,D976,G976,J976))</f>
        <v/>
      </c>
      <c r="P976" s="47">
        <v>968</v>
      </c>
      <c r="Q976" s="47" t="str">
        <f t="shared" ca="1" si="45"/>
        <v/>
      </c>
      <c r="R976" s="48" t="str">
        <f t="shared" ca="1" si="46"/>
        <v/>
      </c>
      <c r="S976" s="32"/>
      <c r="T976" s="32"/>
      <c r="U976" s="32"/>
      <c r="V976" s="32"/>
      <c r="W976" s="47" t="str">
        <f>IF(X976="","",MAX($W$5:W975)+1)</f>
        <v/>
      </c>
      <c r="X976" s="50" t="str">
        <f>IF(Registro!M975="","",IF(COUNTIF($X$8:X975,Registro!M975)=0,Registro!M975,""))</f>
        <v/>
      </c>
      <c r="Y976" s="50" t="str">
        <f t="shared" si="47"/>
        <v/>
      </c>
    </row>
    <row r="977" spans="1:25">
      <c r="A977" s="45" t="str">
        <f>IF(AND(Registro!D976="Abierto",Registro!E976="Urgente"),Registro!B976,"")</f>
        <v/>
      </c>
      <c r="B977" s="45" t="str">
        <f ca="1">IF(AND(Registro!D976="Abierto",Registro!E976="Urgente"),TODAY()-Registro!R976,"")</f>
        <v/>
      </c>
      <c r="C977" s="45" t="str">
        <f>IF(AND(Registro!D976="Abierto",Registro!E976="Urgente"),RANK(B977,$B$9:$B$1000,0)+COUNTIF($B$9:B977,B977)-1,"")</f>
        <v/>
      </c>
      <c r="D977" s="45" t="str">
        <f>IF(AND(Registro!D976="Abierto",Registro!E976="Alta"),Registro!B976,"")</f>
        <v/>
      </c>
      <c r="E977" s="45" t="str">
        <f ca="1">IF(AND(Registro!D976="Abierto",Registro!E976="Alta"),TODAY()-Registro!R976,"")</f>
        <v/>
      </c>
      <c r="F977" s="45" t="str">
        <f>IF(AND(Registro!D976="Abierto",Registro!E976="Alta"),RANK(E977,$E$9:$E$1000,0)+COUNTIF($E$9:E977,E977)-1+MAX(C$5:C$1000),"")</f>
        <v/>
      </c>
      <c r="G977" s="45" t="str">
        <f>IF(AND(Registro!D976="Abierto",Registro!E976="Media"),Registro!B976,"")</f>
        <v/>
      </c>
      <c r="H977" s="45" t="str">
        <f ca="1">IF(AND(Registro!D976="Abierto",Registro!E976="Media"),TODAY()-Registro!R976,"")</f>
        <v/>
      </c>
      <c r="I977" s="45" t="str">
        <f>IF(AND(Registro!D976="Abierto",Registro!E976="Media"),RANK(H977,$H$9:$H$1000,0)+COUNTIF($H$9:H977,H977)-1+MAX(C$5:C$1000,F$5:F$1000),"")</f>
        <v/>
      </c>
      <c r="J977" s="45" t="str">
        <f>IF(AND(Registro!D976="Abierto",Registro!E976="Baja"),Registro!B976,"")</f>
        <v/>
      </c>
      <c r="K977" s="45" t="str">
        <f ca="1">IF(AND(Registro!D976="Abierto",Registro!E976="Baja"),TODAY()-Registro!R976,"")</f>
        <v/>
      </c>
      <c r="L977" s="45" t="str">
        <f>IF(AND(Registro!D976="Abierto",Registro!E976="Baja"),RANK(K977,$K$9:$K$1000,0)+COUNTIF($K$9:K977,K977)-1+MAX(C$5:C$1000,F$5:F$1000,I$5:I$1000),"")</f>
        <v/>
      </c>
      <c r="M977" s="46" t="str">
        <f>IF(OR(Registro!D976="Resuelto",Registro!D976=""),"",SUM(C977,F977,I977,L977))</f>
        <v/>
      </c>
      <c r="N977" s="46" t="str">
        <f>IF(OR(Registro!D976="Resuelto",Registro!D976=""),"",SUM(B977,E977,H977,K977))</f>
        <v/>
      </c>
      <c r="O977" s="46" t="str">
        <f>IF(OR(Registro!D976="Resuelto",Registro!D976=""),"",_xlfn.CONCAT(A977,D977,G977,J977))</f>
        <v/>
      </c>
      <c r="P977" s="47">
        <v>969</v>
      </c>
      <c r="Q977" s="47" t="str">
        <f t="shared" ca="1" si="45"/>
        <v/>
      </c>
      <c r="R977" s="48" t="str">
        <f t="shared" ca="1" si="46"/>
        <v/>
      </c>
      <c r="S977" s="32"/>
      <c r="T977" s="32"/>
      <c r="U977" s="32"/>
      <c r="V977" s="32"/>
      <c r="W977" s="47" t="str">
        <f>IF(X977="","",MAX($W$5:W976)+1)</f>
        <v/>
      </c>
      <c r="X977" s="50" t="str">
        <f>IF(Registro!M976="","",IF(COUNTIF($X$8:X976,Registro!M976)=0,Registro!M976,""))</f>
        <v/>
      </c>
      <c r="Y977" s="50" t="str">
        <f t="shared" si="47"/>
        <v/>
      </c>
    </row>
    <row r="978" spans="1:25">
      <c r="A978" s="45" t="str">
        <f>IF(AND(Registro!D977="Abierto",Registro!E977="Urgente"),Registro!B977,"")</f>
        <v/>
      </c>
      <c r="B978" s="45" t="str">
        <f ca="1">IF(AND(Registro!D977="Abierto",Registro!E977="Urgente"),TODAY()-Registro!R977,"")</f>
        <v/>
      </c>
      <c r="C978" s="45" t="str">
        <f>IF(AND(Registro!D977="Abierto",Registro!E977="Urgente"),RANK(B978,$B$9:$B$1000,0)+COUNTIF($B$9:B978,B978)-1,"")</f>
        <v/>
      </c>
      <c r="D978" s="45" t="str">
        <f>IF(AND(Registro!D977="Abierto",Registro!E977="Alta"),Registro!B977,"")</f>
        <v/>
      </c>
      <c r="E978" s="45" t="str">
        <f ca="1">IF(AND(Registro!D977="Abierto",Registro!E977="Alta"),TODAY()-Registro!R977,"")</f>
        <v/>
      </c>
      <c r="F978" s="45" t="str">
        <f>IF(AND(Registro!D977="Abierto",Registro!E977="Alta"),RANK(E978,$E$9:$E$1000,0)+COUNTIF($E$9:E978,E978)-1+MAX(C$5:C$1000),"")</f>
        <v/>
      </c>
      <c r="G978" s="45" t="str">
        <f>IF(AND(Registro!D977="Abierto",Registro!E977="Media"),Registro!B977,"")</f>
        <v/>
      </c>
      <c r="H978" s="45" t="str">
        <f ca="1">IF(AND(Registro!D977="Abierto",Registro!E977="Media"),TODAY()-Registro!R977,"")</f>
        <v/>
      </c>
      <c r="I978" s="45" t="str">
        <f>IF(AND(Registro!D977="Abierto",Registro!E977="Media"),RANK(H978,$H$9:$H$1000,0)+COUNTIF($H$9:H978,H978)-1+MAX(C$5:C$1000,F$5:F$1000),"")</f>
        <v/>
      </c>
      <c r="J978" s="45" t="str">
        <f>IF(AND(Registro!D977="Abierto",Registro!E977="Baja"),Registro!B977,"")</f>
        <v/>
      </c>
      <c r="K978" s="45" t="str">
        <f ca="1">IF(AND(Registro!D977="Abierto",Registro!E977="Baja"),TODAY()-Registro!R977,"")</f>
        <v/>
      </c>
      <c r="L978" s="45" t="str">
        <f>IF(AND(Registro!D977="Abierto",Registro!E977="Baja"),RANK(K978,$K$9:$K$1000,0)+COUNTIF($K$9:K978,K978)-1+MAX(C$5:C$1000,F$5:F$1000,I$5:I$1000),"")</f>
        <v/>
      </c>
      <c r="M978" s="46" t="str">
        <f>IF(OR(Registro!D977="Resuelto",Registro!D977=""),"",SUM(C978,F978,I978,L978))</f>
        <v/>
      </c>
      <c r="N978" s="46" t="str">
        <f>IF(OR(Registro!D977="Resuelto",Registro!D977=""),"",SUM(B978,E978,H978,K978))</f>
        <v/>
      </c>
      <c r="O978" s="46" t="str">
        <f>IF(OR(Registro!D977="Resuelto",Registro!D977=""),"",_xlfn.CONCAT(A978,D978,G978,J978))</f>
        <v/>
      </c>
      <c r="P978" s="47">
        <v>970</v>
      </c>
      <c r="Q978" s="47" t="str">
        <f t="shared" ca="1" si="45"/>
        <v/>
      </c>
      <c r="R978" s="48" t="str">
        <f t="shared" ca="1" si="46"/>
        <v/>
      </c>
      <c r="S978" s="32"/>
      <c r="T978" s="32"/>
      <c r="U978" s="32"/>
      <c r="V978" s="32"/>
      <c r="W978" s="47" t="str">
        <f>IF(X978="","",MAX($W$5:W977)+1)</f>
        <v/>
      </c>
      <c r="X978" s="50" t="str">
        <f>IF(Registro!M977="","",IF(COUNTIF($X$8:X977,Registro!M977)=0,Registro!M977,""))</f>
        <v/>
      </c>
      <c r="Y978" s="50" t="str">
        <f t="shared" si="47"/>
        <v/>
      </c>
    </row>
    <row r="979" spans="1:25">
      <c r="A979" s="45" t="str">
        <f>IF(AND(Registro!D978="Abierto",Registro!E978="Urgente"),Registro!B978,"")</f>
        <v/>
      </c>
      <c r="B979" s="45" t="str">
        <f ca="1">IF(AND(Registro!D978="Abierto",Registro!E978="Urgente"),TODAY()-Registro!R978,"")</f>
        <v/>
      </c>
      <c r="C979" s="45" t="str">
        <f>IF(AND(Registro!D978="Abierto",Registro!E978="Urgente"),RANK(B979,$B$9:$B$1000,0)+COUNTIF($B$9:B979,B979)-1,"")</f>
        <v/>
      </c>
      <c r="D979" s="45" t="str">
        <f>IF(AND(Registro!D978="Abierto",Registro!E978="Alta"),Registro!B978,"")</f>
        <v/>
      </c>
      <c r="E979" s="45" t="str">
        <f ca="1">IF(AND(Registro!D978="Abierto",Registro!E978="Alta"),TODAY()-Registro!R978,"")</f>
        <v/>
      </c>
      <c r="F979" s="45" t="str">
        <f>IF(AND(Registro!D978="Abierto",Registro!E978="Alta"),RANK(E979,$E$9:$E$1000,0)+COUNTIF($E$9:E979,E979)-1+MAX(C$5:C$1000),"")</f>
        <v/>
      </c>
      <c r="G979" s="45" t="str">
        <f>IF(AND(Registro!D978="Abierto",Registro!E978="Media"),Registro!B978,"")</f>
        <v/>
      </c>
      <c r="H979" s="45" t="str">
        <f ca="1">IF(AND(Registro!D978="Abierto",Registro!E978="Media"),TODAY()-Registro!R978,"")</f>
        <v/>
      </c>
      <c r="I979" s="45" t="str">
        <f>IF(AND(Registro!D978="Abierto",Registro!E978="Media"),RANK(H979,$H$9:$H$1000,0)+COUNTIF($H$9:H979,H979)-1+MAX(C$5:C$1000,F$5:F$1000),"")</f>
        <v/>
      </c>
      <c r="J979" s="45" t="str">
        <f>IF(AND(Registro!D978="Abierto",Registro!E978="Baja"),Registro!B978,"")</f>
        <v/>
      </c>
      <c r="K979" s="45" t="str">
        <f ca="1">IF(AND(Registro!D978="Abierto",Registro!E978="Baja"),TODAY()-Registro!R978,"")</f>
        <v/>
      </c>
      <c r="L979" s="45" t="str">
        <f>IF(AND(Registro!D978="Abierto",Registro!E978="Baja"),RANK(K979,$K$9:$K$1000,0)+COUNTIF($K$9:K979,K979)-1+MAX(C$5:C$1000,F$5:F$1000,I$5:I$1000),"")</f>
        <v/>
      </c>
      <c r="M979" s="46" t="str">
        <f>IF(OR(Registro!D978="Resuelto",Registro!D978=""),"",SUM(C979,F979,I979,L979))</f>
        <v/>
      </c>
      <c r="N979" s="46" t="str">
        <f>IF(OR(Registro!D978="Resuelto",Registro!D978=""),"",SUM(B979,E979,H979,K979))</f>
        <v/>
      </c>
      <c r="O979" s="46" t="str">
        <f>IF(OR(Registro!D978="Resuelto",Registro!D978=""),"",_xlfn.CONCAT(A979,D979,G979,J979))</f>
        <v/>
      </c>
      <c r="P979" s="47">
        <v>971</v>
      </c>
      <c r="Q979" s="47" t="str">
        <f t="shared" ca="1" si="45"/>
        <v/>
      </c>
      <c r="R979" s="48" t="str">
        <f t="shared" ca="1" si="46"/>
        <v/>
      </c>
      <c r="S979" s="32"/>
      <c r="T979" s="32"/>
      <c r="U979" s="32"/>
      <c r="V979" s="32"/>
      <c r="W979" s="47" t="str">
        <f>IF(X979="","",MAX($W$5:W978)+1)</f>
        <v/>
      </c>
      <c r="X979" s="50" t="str">
        <f>IF(Registro!M978="","",IF(COUNTIF($X$8:X978,Registro!M978)=0,Registro!M978,""))</f>
        <v/>
      </c>
      <c r="Y979" s="50" t="str">
        <f t="shared" si="47"/>
        <v/>
      </c>
    </row>
    <row r="980" spans="1:25">
      <c r="A980" s="45" t="str">
        <f>IF(AND(Registro!D979="Abierto",Registro!E979="Urgente"),Registro!B979,"")</f>
        <v/>
      </c>
      <c r="B980" s="45" t="str">
        <f ca="1">IF(AND(Registro!D979="Abierto",Registro!E979="Urgente"),TODAY()-Registro!R979,"")</f>
        <v/>
      </c>
      <c r="C980" s="45" t="str">
        <f>IF(AND(Registro!D979="Abierto",Registro!E979="Urgente"),RANK(B980,$B$9:$B$1000,0)+COUNTIF($B$9:B980,B980)-1,"")</f>
        <v/>
      </c>
      <c r="D980" s="45" t="str">
        <f>IF(AND(Registro!D979="Abierto",Registro!E979="Alta"),Registro!B979,"")</f>
        <v/>
      </c>
      <c r="E980" s="45" t="str">
        <f ca="1">IF(AND(Registro!D979="Abierto",Registro!E979="Alta"),TODAY()-Registro!R979,"")</f>
        <v/>
      </c>
      <c r="F980" s="45" t="str">
        <f>IF(AND(Registro!D979="Abierto",Registro!E979="Alta"),RANK(E980,$E$9:$E$1000,0)+COUNTIF($E$9:E980,E980)-1+MAX(C$5:C$1000),"")</f>
        <v/>
      </c>
      <c r="G980" s="45" t="str">
        <f>IF(AND(Registro!D979="Abierto",Registro!E979="Media"),Registro!B979,"")</f>
        <v/>
      </c>
      <c r="H980" s="45" t="str">
        <f ca="1">IF(AND(Registro!D979="Abierto",Registro!E979="Media"),TODAY()-Registro!R979,"")</f>
        <v/>
      </c>
      <c r="I980" s="45" t="str">
        <f>IF(AND(Registro!D979="Abierto",Registro!E979="Media"),RANK(H980,$H$9:$H$1000,0)+COUNTIF($H$9:H980,H980)-1+MAX(C$5:C$1000,F$5:F$1000),"")</f>
        <v/>
      </c>
      <c r="J980" s="45" t="str">
        <f>IF(AND(Registro!D979="Abierto",Registro!E979="Baja"),Registro!B979,"")</f>
        <v/>
      </c>
      <c r="K980" s="45" t="str">
        <f ca="1">IF(AND(Registro!D979="Abierto",Registro!E979="Baja"),TODAY()-Registro!R979,"")</f>
        <v/>
      </c>
      <c r="L980" s="45" t="str">
        <f>IF(AND(Registro!D979="Abierto",Registro!E979="Baja"),RANK(K980,$K$9:$K$1000,0)+COUNTIF($K$9:K980,K980)-1+MAX(C$5:C$1000,F$5:F$1000,I$5:I$1000),"")</f>
        <v/>
      </c>
      <c r="M980" s="46" t="str">
        <f>IF(OR(Registro!D979="Resuelto",Registro!D979=""),"",SUM(C980,F980,I980,L980))</f>
        <v/>
      </c>
      <c r="N980" s="46" t="str">
        <f>IF(OR(Registro!D979="Resuelto",Registro!D979=""),"",SUM(B980,E980,H980,K980))</f>
        <v/>
      </c>
      <c r="O980" s="46" t="str">
        <f>IF(OR(Registro!D979="Resuelto",Registro!D979=""),"",_xlfn.CONCAT(A980,D980,G980,J980))</f>
        <v/>
      </c>
      <c r="P980" s="47">
        <v>972</v>
      </c>
      <c r="Q980" s="47" t="str">
        <f t="shared" ca="1" si="45"/>
        <v/>
      </c>
      <c r="R980" s="48" t="str">
        <f t="shared" ca="1" si="46"/>
        <v/>
      </c>
      <c r="S980" s="32"/>
      <c r="T980" s="32"/>
      <c r="U980" s="32"/>
      <c r="V980" s="32"/>
      <c r="W980" s="47" t="str">
        <f>IF(X980="","",MAX($W$5:W979)+1)</f>
        <v/>
      </c>
      <c r="X980" s="50" t="str">
        <f>IF(Registro!M979="","",IF(COUNTIF($X$8:X979,Registro!M979)=0,Registro!M979,""))</f>
        <v/>
      </c>
      <c r="Y980" s="50" t="str">
        <f t="shared" si="47"/>
        <v/>
      </c>
    </row>
    <row r="981" spans="1:25">
      <c r="A981" s="45" t="str">
        <f>IF(AND(Registro!D980="Abierto",Registro!E980="Urgente"),Registro!B980,"")</f>
        <v/>
      </c>
      <c r="B981" s="45" t="str">
        <f ca="1">IF(AND(Registro!D980="Abierto",Registro!E980="Urgente"),TODAY()-Registro!R980,"")</f>
        <v/>
      </c>
      <c r="C981" s="45" t="str">
        <f>IF(AND(Registro!D980="Abierto",Registro!E980="Urgente"),RANK(B981,$B$9:$B$1000,0)+COUNTIF($B$9:B981,B981)-1,"")</f>
        <v/>
      </c>
      <c r="D981" s="45" t="str">
        <f>IF(AND(Registro!D980="Abierto",Registro!E980="Alta"),Registro!B980,"")</f>
        <v/>
      </c>
      <c r="E981" s="45" t="str">
        <f ca="1">IF(AND(Registro!D980="Abierto",Registro!E980="Alta"),TODAY()-Registro!R980,"")</f>
        <v/>
      </c>
      <c r="F981" s="45" t="str">
        <f>IF(AND(Registro!D980="Abierto",Registro!E980="Alta"),RANK(E981,$E$9:$E$1000,0)+COUNTIF($E$9:E981,E981)-1+MAX(C$5:C$1000),"")</f>
        <v/>
      </c>
      <c r="G981" s="45" t="str">
        <f>IF(AND(Registro!D980="Abierto",Registro!E980="Media"),Registro!B980,"")</f>
        <v/>
      </c>
      <c r="H981" s="45" t="str">
        <f ca="1">IF(AND(Registro!D980="Abierto",Registro!E980="Media"),TODAY()-Registro!R980,"")</f>
        <v/>
      </c>
      <c r="I981" s="45" t="str">
        <f>IF(AND(Registro!D980="Abierto",Registro!E980="Media"),RANK(H981,$H$9:$H$1000,0)+COUNTIF($H$9:H981,H981)-1+MAX(C$5:C$1000,F$5:F$1000),"")</f>
        <v/>
      </c>
      <c r="J981" s="45" t="str">
        <f>IF(AND(Registro!D980="Abierto",Registro!E980="Baja"),Registro!B980,"")</f>
        <v/>
      </c>
      <c r="K981" s="45" t="str">
        <f ca="1">IF(AND(Registro!D980="Abierto",Registro!E980="Baja"),TODAY()-Registro!R980,"")</f>
        <v/>
      </c>
      <c r="L981" s="45" t="str">
        <f>IF(AND(Registro!D980="Abierto",Registro!E980="Baja"),RANK(K981,$K$9:$K$1000,0)+COUNTIF($K$9:K981,K981)-1+MAX(C$5:C$1000,F$5:F$1000,I$5:I$1000),"")</f>
        <v/>
      </c>
      <c r="M981" s="46" t="str">
        <f>IF(OR(Registro!D980="Resuelto",Registro!D980=""),"",SUM(C981,F981,I981,L981))</f>
        <v/>
      </c>
      <c r="N981" s="46" t="str">
        <f>IF(OR(Registro!D980="Resuelto",Registro!D980=""),"",SUM(B981,E981,H981,K981))</f>
        <v/>
      </c>
      <c r="O981" s="46" t="str">
        <f>IF(OR(Registro!D980="Resuelto",Registro!D980=""),"",_xlfn.CONCAT(A981,D981,G981,J981))</f>
        <v/>
      </c>
      <c r="P981" s="47">
        <v>973</v>
      </c>
      <c r="Q981" s="47" t="str">
        <f t="shared" ca="1" si="45"/>
        <v/>
      </c>
      <c r="R981" s="48" t="str">
        <f t="shared" ca="1" si="46"/>
        <v/>
      </c>
      <c r="S981" s="32"/>
      <c r="T981" s="32"/>
      <c r="U981" s="32"/>
      <c r="V981" s="32"/>
      <c r="W981" s="47" t="str">
        <f>IF(X981="","",MAX($W$5:W980)+1)</f>
        <v/>
      </c>
      <c r="X981" s="50" t="str">
        <f>IF(Registro!M980="","",IF(COUNTIF($X$8:X980,Registro!M980)=0,Registro!M980,""))</f>
        <v/>
      </c>
      <c r="Y981" s="50" t="str">
        <f t="shared" si="47"/>
        <v/>
      </c>
    </row>
    <row r="982" spans="1:25">
      <c r="A982" s="45" t="str">
        <f>IF(AND(Registro!D981="Abierto",Registro!E981="Urgente"),Registro!B981,"")</f>
        <v/>
      </c>
      <c r="B982" s="45" t="str">
        <f ca="1">IF(AND(Registro!D981="Abierto",Registro!E981="Urgente"),TODAY()-Registro!R981,"")</f>
        <v/>
      </c>
      <c r="C982" s="45" t="str">
        <f>IF(AND(Registro!D981="Abierto",Registro!E981="Urgente"),RANK(B982,$B$9:$B$1000,0)+COUNTIF($B$9:B982,B982)-1,"")</f>
        <v/>
      </c>
      <c r="D982" s="45" t="str">
        <f>IF(AND(Registro!D981="Abierto",Registro!E981="Alta"),Registro!B981,"")</f>
        <v/>
      </c>
      <c r="E982" s="45" t="str">
        <f ca="1">IF(AND(Registro!D981="Abierto",Registro!E981="Alta"),TODAY()-Registro!R981,"")</f>
        <v/>
      </c>
      <c r="F982" s="45" t="str">
        <f>IF(AND(Registro!D981="Abierto",Registro!E981="Alta"),RANK(E982,$E$9:$E$1000,0)+COUNTIF($E$9:E982,E982)-1+MAX(C$5:C$1000),"")</f>
        <v/>
      </c>
      <c r="G982" s="45" t="str">
        <f>IF(AND(Registro!D981="Abierto",Registro!E981="Media"),Registro!B981,"")</f>
        <v/>
      </c>
      <c r="H982" s="45" t="str">
        <f ca="1">IF(AND(Registro!D981="Abierto",Registro!E981="Media"),TODAY()-Registro!R981,"")</f>
        <v/>
      </c>
      <c r="I982" s="45" t="str">
        <f>IF(AND(Registro!D981="Abierto",Registro!E981="Media"),RANK(H982,$H$9:$H$1000,0)+COUNTIF($H$9:H982,H982)-1+MAX(C$5:C$1000,F$5:F$1000),"")</f>
        <v/>
      </c>
      <c r="J982" s="45" t="str">
        <f>IF(AND(Registro!D981="Abierto",Registro!E981="Baja"),Registro!B981,"")</f>
        <v/>
      </c>
      <c r="K982" s="45" t="str">
        <f ca="1">IF(AND(Registro!D981="Abierto",Registro!E981="Baja"),TODAY()-Registro!R981,"")</f>
        <v/>
      </c>
      <c r="L982" s="45" t="str">
        <f>IF(AND(Registro!D981="Abierto",Registro!E981="Baja"),RANK(K982,$K$9:$K$1000,0)+COUNTIF($K$9:K982,K982)-1+MAX(C$5:C$1000,F$5:F$1000,I$5:I$1000),"")</f>
        <v/>
      </c>
      <c r="M982" s="46" t="str">
        <f>IF(OR(Registro!D981="Resuelto",Registro!D981=""),"",SUM(C982,F982,I982,L982))</f>
        <v/>
      </c>
      <c r="N982" s="46" t="str">
        <f>IF(OR(Registro!D981="Resuelto",Registro!D981=""),"",SUM(B982,E982,H982,K982))</f>
        <v/>
      </c>
      <c r="O982" s="46" t="str">
        <f>IF(OR(Registro!D981="Resuelto",Registro!D981=""),"",_xlfn.CONCAT(A982,D982,G982,J982))</f>
        <v/>
      </c>
      <c r="P982" s="47">
        <v>974</v>
      </c>
      <c r="Q982" s="47" t="str">
        <f t="shared" ca="1" si="45"/>
        <v/>
      </c>
      <c r="R982" s="48" t="str">
        <f t="shared" ca="1" si="46"/>
        <v/>
      </c>
      <c r="S982" s="32"/>
      <c r="T982" s="32"/>
      <c r="U982" s="32"/>
      <c r="V982" s="32"/>
      <c r="W982" s="47" t="str">
        <f>IF(X982="","",MAX($W$5:W981)+1)</f>
        <v/>
      </c>
      <c r="X982" s="50" t="str">
        <f>IF(Registro!M981="","",IF(COUNTIF($X$8:X981,Registro!M981)=0,Registro!M981,""))</f>
        <v/>
      </c>
      <c r="Y982" s="50" t="str">
        <f t="shared" si="47"/>
        <v/>
      </c>
    </row>
    <row r="983" spans="1:25">
      <c r="A983" s="45" t="str">
        <f>IF(AND(Registro!D982="Abierto",Registro!E982="Urgente"),Registro!B982,"")</f>
        <v/>
      </c>
      <c r="B983" s="45" t="str">
        <f ca="1">IF(AND(Registro!D982="Abierto",Registro!E982="Urgente"),TODAY()-Registro!R982,"")</f>
        <v/>
      </c>
      <c r="C983" s="45" t="str">
        <f>IF(AND(Registro!D982="Abierto",Registro!E982="Urgente"),RANK(B983,$B$9:$B$1000,0)+COUNTIF($B$9:B983,B983)-1,"")</f>
        <v/>
      </c>
      <c r="D983" s="45" t="str">
        <f>IF(AND(Registro!D982="Abierto",Registro!E982="Alta"),Registro!B982,"")</f>
        <v/>
      </c>
      <c r="E983" s="45" t="str">
        <f ca="1">IF(AND(Registro!D982="Abierto",Registro!E982="Alta"),TODAY()-Registro!R982,"")</f>
        <v/>
      </c>
      <c r="F983" s="45" t="str">
        <f>IF(AND(Registro!D982="Abierto",Registro!E982="Alta"),RANK(E983,$E$9:$E$1000,0)+COUNTIF($E$9:E983,E983)-1+MAX(C$5:C$1000),"")</f>
        <v/>
      </c>
      <c r="G983" s="45" t="str">
        <f>IF(AND(Registro!D982="Abierto",Registro!E982="Media"),Registro!B982,"")</f>
        <v/>
      </c>
      <c r="H983" s="45" t="str">
        <f ca="1">IF(AND(Registro!D982="Abierto",Registro!E982="Media"),TODAY()-Registro!R982,"")</f>
        <v/>
      </c>
      <c r="I983" s="45" t="str">
        <f>IF(AND(Registro!D982="Abierto",Registro!E982="Media"),RANK(H983,$H$9:$H$1000,0)+COUNTIF($H$9:H983,H983)-1+MAX(C$5:C$1000,F$5:F$1000),"")</f>
        <v/>
      </c>
      <c r="J983" s="45" t="str">
        <f>IF(AND(Registro!D982="Abierto",Registro!E982="Baja"),Registro!B982,"")</f>
        <v/>
      </c>
      <c r="K983" s="45" t="str">
        <f ca="1">IF(AND(Registro!D982="Abierto",Registro!E982="Baja"),TODAY()-Registro!R982,"")</f>
        <v/>
      </c>
      <c r="L983" s="45" t="str">
        <f>IF(AND(Registro!D982="Abierto",Registro!E982="Baja"),RANK(K983,$K$9:$K$1000,0)+COUNTIF($K$9:K983,K983)-1+MAX(C$5:C$1000,F$5:F$1000,I$5:I$1000),"")</f>
        <v/>
      </c>
      <c r="M983" s="46" t="str">
        <f>IF(OR(Registro!D982="Resuelto",Registro!D982=""),"",SUM(C983,F983,I983,L983))</f>
        <v/>
      </c>
      <c r="N983" s="46" t="str">
        <f>IF(OR(Registro!D982="Resuelto",Registro!D982=""),"",SUM(B983,E983,H983,K983))</f>
        <v/>
      </c>
      <c r="O983" s="46" t="str">
        <f>IF(OR(Registro!D982="Resuelto",Registro!D982=""),"",_xlfn.CONCAT(A983,D983,G983,J983))</f>
        <v/>
      </c>
      <c r="P983" s="47">
        <v>975</v>
      </c>
      <c r="Q983" s="47" t="str">
        <f t="shared" ca="1" si="45"/>
        <v/>
      </c>
      <c r="R983" s="48" t="str">
        <f t="shared" ca="1" si="46"/>
        <v/>
      </c>
      <c r="S983" s="32"/>
      <c r="T983" s="32"/>
      <c r="U983" s="32"/>
      <c r="V983" s="32"/>
      <c r="W983" s="47" t="str">
        <f>IF(X983="","",MAX($W$5:W982)+1)</f>
        <v/>
      </c>
      <c r="X983" s="50" t="str">
        <f>IF(Registro!M982="","",IF(COUNTIF($X$8:X982,Registro!M982)=0,Registro!M982,""))</f>
        <v/>
      </c>
      <c r="Y983" s="50" t="str">
        <f t="shared" si="47"/>
        <v/>
      </c>
    </row>
    <row r="984" spans="1:25">
      <c r="A984" s="45" t="str">
        <f>IF(AND(Registro!D983="Abierto",Registro!E983="Urgente"),Registro!B983,"")</f>
        <v/>
      </c>
      <c r="B984" s="45" t="str">
        <f ca="1">IF(AND(Registro!D983="Abierto",Registro!E983="Urgente"),TODAY()-Registro!R983,"")</f>
        <v/>
      </c>
      <c r="C984" s="45" t="str">
        <f>IF(AND(Registro!D983="Abierto",Registro!E983="Urgente"),RANK(B984,$B$9:$B$1000,0)+COUNTIF($B$9:B984,B984)-1,"")</f>
        <v/>
      </c>
      <c r="D984" s="45" t="str">
        <f>IF(AND(Registro!D983="Abierto",Registro!E983="Alta"),Registro!B983,"")</f>
        <v/>
      </c>
      <c r="E984" s="45" t="str">
        <f ca="1">IF(AND(Registro!D983="Abierto",Registro!E983="Alta"),TODAY()-Registro!R983,"")</f>
        <v/>
      </c>
      <c r="F984" s="45" t="str">
        <f>IF(AND(Registro!D983="Abierto",Registro!E983="Alta"),RANK(E984,$E$9:$E$1000,0)+COUNTIF($E$9:E984,E984)-1+MAX(C$5:C$1000),"")</f>
        <v/>
      </c>
      <c r="G984" s="45" t="str">
        <f>IF(AND(Registro!D983="Abierto",Registro!E983="Media"),Registro!B983,"")</f>
        <v/>
      </c>
      <c r="H984" s="45" t="str">
        <f ca="1">IF(AND(Registro!D983="Abierto",Registro!E983="Media"),TODAY()-Registro!R983,"")</f>
        <v/>
      </c>
      <c r="I984" s="45" t="str">
        <f>IF(AND(Registro!D983="Abierto",Registro!E983="Media"),RANK(H984,$H$9:$H$1000,0)+COUNTIF($H$9:H984,H984)-1+MAX(C$5:C$1000,F$5:F$1000),"")</f>
        <v/>
      </c>
      <c r="J984" s="45" t="str">
        <f>IF(AND(Registro!D983="Abierto",Registro!E983="Baja"),Registro!B983,"")</f>
        <v/>
      </c>
      <c r="K984" s="45" t="str">
        <f ca="1">IF(AND(Registro!D983="Abierto",Registro!E983="Baja"),TODAY()-Registro!R983,"")</f>
        <v/>
      </c>
      <c r="L984" s="45" t="str">
        <f>IF(AND(Registro!D983="Abierto",Registro!E983="Baja"),RANK(K984,$K$9:$K$1000,0)+COUNTIF($K$9:K984,K984)-1+MAX(C$5:C$1000,F$5:F$1000,I$5:I$1000),"")</f>
        <v/>
      </c>
      <c r="M984" s="46" t="str">
        <f>IF(OR(Registro!D983="Resuelto",Registro!D983=""),"",SUM(C984,F984,I984,L984))</f>
        <v/>
      </c>
      <c r="N984" s="46" t="str">
        <f>IF(OR(Registro!D983="Resuelto",Registro!D983=""),"",SUM(B984,E984,H984,K984))</f>
        <v/>
      </c>
      <c r="O984" s="46" t="str">
        <f>IF(OR(Registro!D983="Resuelto",Registro!D983=""),"",_xlfn.CONCAT(A984,D984,G984,J984))</f>
        <v/>
      </c>
      <c r="P984" s="47">
        <v>976</v>
      </c>
      <c r="Q984" s="47" t="str">
        <f t="shared" ca="1" si="45"/>
        <v/>
      </c>
      <c r="R984" s="48" t="str">
        <f t="shared" ca="1" si="46"/>
        <v/>
      </c>
      <c r="S984" s="32"/>
      <c r="T984" s="32"/>
      <c r="U984" s="32"/>
      <c r="V984" s="32"/>
      <c r="W984" s="47" t="str">
        <f>IF(X984="","",MAX($W$5:W983)+1)</f>
        <v/>
      </c>
      <c r="X984" s="50" t="str">
        <f>IF(Registro!M983="","",IF(COUNTIF($X$8:X983,Registro!M983)=0,Registro!M983,""))</f>
        <v/>
      </c>
      <c r="Y984" s="50" t="str">
        <f t="shared" si="47"/>
        <v/>
      </c>
    </row>
    <row r="985" spans="1:25">
      <c r="A985" s="45" t="str">
        <f>IF(AND(Registro!D984="Abierto",Registro!E984="Urgente"),Registro!B984,"")</f>
        <v/>
      </c>
      <c r="B985" s="45" t="str">
        <f ca="1">IF(AND(Registro!D984="Abierto",Registro!E984="Urgente"),TODAY()-Registro!R984,"")</f>
        <v/>
      </c>
      <c r="C985" s="45" t="str">
        <f>IF(AND(Registro!D984="Abierto",Registro!E984="Urgente"),RANK(B985,$B$9:$B$1000,0)+COUNTIF($B$9:B985,B985)-1,"")</f>
        <v/>
      </c>
      <c r="D985" s="45" t="str">
        <f>IF(AND(Registro!D984="Abierto",Registro!E984="Alta"),Registro!B984,"")</f>
        <v/>
      </c>
      <c r="E985" s="45" t="str">
        <f ca="1">IF(AND(Registro!D984="Abierto",Registro!E984="Alta"),TODAY()-Registro!R984,"")</f>
        <v/>
      </c>
      <c r="F985" s="45" t="str">
        <f>IF(AND(Registro!D984="Abierto",Registro!E984="Alta"),RANK(E985,$E$9:$E$1000,0)+COUNTIF($E$9:E985,E985)-1+MAX(C$5:C$1000),"")</f>
        <v/>
      </c>
      <c r="G985" s="45" t="str">
        <f>IF(AND(Registro!D984="Abierto",Registro!E984="Media"),Registro!B984,"")</f>
        <v/>
      </c>
      <c r="H985" s="45" t="str">
        <f ca="1">IF(AND(Registro!D984="Abierto",Registro!E984="Media"),TODAY()-Registro!R984,"")</f>
        <v/>
      </c>
      <c r="I985" s="45" t="str">
        <f>IF(AND(Registro!D984="Abierto",Registro!E984="Media"),RANK(H985,$H$9:$H$1000,0)+COUNTIF($H$9:H985,H985)-1+MAX(C$5:C$1000,F$5:F$1000),"")</f>
        <v/>
      </c>
      <c r="J985" s="45" t="str">
        <f>IF(AND(Registro!D984="Abierto",Registro!E984="Baja"),Registro!B984,"")</f>
        <v/>
      </c>
      <c r="K985" s="45" t="str">
        <f ca="1">IF(AND(Registro!D984="Abierto",Registro!E984="Baja"),TODAY()-Registro!R984,"")</f>
        <v/>
      </c>
      <c r="L985" s="45" t="str">
        <f>IF(AND(Registro!D984="Abierto",Registro!E984="Baja"),RANK(K985,$K$9:$K$1000,0)+COUNTIF($K$9:K985,K985)-1+MAX(C$5:C$1000,F$5:F$1000,I$5:I$1000),"")</f>
        <v/>
      </c>
      <c r="M985" s="46" t="str">
        <f>IF(OR(Registro!D984="Resuelto",Registro!D984=""),"",SUM(C985,F985,I985,L985))</f>
        <v/>
      </c>
      <c r="N985" s="46" t="str">
        <f>IF(OR(Registro!D984="Resuelto",Registro!D984=""),"",SUM(B985,E985,H985,K985))</f>
        <v/>
      </c>
      <c r="O985" s="46" t="str">
        <f>IF(OR(Registro!D984="Resuelto",Registro!D984=""),"",_xlfn.CONCAT(A985,D985,G985,J985))</f>
        <v/>
      </c>
      <c r="P985" s="47">
        <v>977</v>
      </c>
      <c r="Q985" s="47" t="str">
        <f t="shared" ca="1" si="45"/>
        <v/>
      </c>
      <c r="R985" s="48" t="str">
        <f t="shared" ca="1" si="46"/>
        <v/>
      </c>
      <c r="S985" s="32"/>
      <c r="T985" s="32"/>
      <c r="U985" s="32"/>
      <c r="V985" s="32"/>
      <c r="W985" s="47" t="str">
        <f>IF(X985="","",MAX($W$5:W984)+1)</f>
        <v/>
      </c>
      <c r="X985" s="50" t="str">
        <f>IF(Registro!M984="","",IF(COUNTIF($X$8:X984,Registro!M984)=0,Registro!M984,""))</f>
        <v/>
      </c>
      <c r="Y985" s="50" t="str">
        <f t="shared" si="47"/>
        <v/>
      </c>
    </row>
    <row r="986" spans="1:25">
      <c r="A986" s="45" t="str">
        <f>IF(AND(Registro!D985="Abierto",Registro!E985="Urgente"),Registro!B985,"")</f>
        <v/>
      </c>
      <c r="B986" s="45" t="str">
        <f ca="1">IF(AND(Registro!D985="Abierto",Registro!E985="Urgente"),TODAY()-Registro!R985,"")</f>
        <v/>
      </c>
      <c r="C986" s="45" t="str">
        <f>IF(AND(Registro!D985="Abierto",Registro!E985="Urgente"),RANK(B986,$B$9:$B$1000,0)+COUNTIF($B$9:B986,B986)-1,"")</f>
        <v/>
      </c>
      <c r="D986" s="45" t="str">
        <f>IF(AND(Registro!D985="Abierto",Registro!E985="Alta"),Registro!B985,"")</f>
        <v/>
      </c>
      <c r="E986" s="45" t="str">
        <f ca="1">IF(AND(Registro!D985="Abierto",Registro!E985="Alta"),TODAY()-Registro!R985,"")</f>
        <v/>
      </c>
      <c r="F986" s="45" t="str">
        <f>IF(AND(Registro!D985="Abierto",Registro!E985="Alta"),RANK(E986,$E$9:$E$1000,0)+COUNTIF($E$9:E986,E986)-1+MAX(C$5:C$1000),"")</f>
        <v/>
      </c>
      <c r="G986" s="45" t="str">
        <f>IF(AND(Registro!D985="Abierto",Registro!E985="Media"),Registro!B985,"")</f>
        <v/>
      </c>
      <c r="H986" s="45" t="str">
        <f ca="1">IF(AND(Registro!D985="Abierto",Registro!E985="Media"),TODAY()-Registro!R985,"")</f>
        <v/>
      </c>
      <c r="I986" s="45" t="str">
        <f>IF(AND(Registro!D985="Abierto",Registro!E985="Media"),RANK(H986,$H$9:$H$1000,0)+COUNTIF($H$9:H986,H986)-1+MAX(C$5:C$1000,F$5:F$1000),"")</f>
        <v/>
      </c>
      <c r="J986" s="45" t="str">
        <f>IF(AND(Registro!D985="Abierto",Registro!E985="Baja"),Registro!B985,"")</f>
        <v/>
      </c>
      <c r="K986" s="45" t="str">
        <f ca="1">IF(AND(Registro!D985="Abierto",Registro!E985="Baja"),TODAY()-Registro!R985,"")</f>
        <v/>
      </c>
      <c r="L986" s="45" t="str">
        <f>IF(AND(Registro!D985="Abierto",Registro!E985="Baja"),RANK(K986,$K$9:$K$1000,0)+COUNTIF($K$9:K986,K986)-1+MAX(C$5:C$1000,F$5:F$1000,I$5:I$1000),"")</f>
        <v/>
      </c>
      <c r="M986" s="46" t="str">
        <f>IF(OR(Registro!D985="Resuelto",Registro!D985=""),"",SUM(C986,F986,I986,L986))</f>
        <v/>
      </c>
      <c r="N986" s="46" t="str">
        <f>IF(OR(Registro!D985="Resuelto",Registro!D985=""),"",SUM(B986,E986,H986,K986))</f>
        <v/>
      </c>
      <c r="O986" s="46" t="str">
        <f>IF(OR(Registro!D985="Resuelto",Registro!D985=""),"",_xlfn.CONCAT(A986,D986,G986,J986))</f>
        <v/>
      </c>
      <c r="P986" s="47">
        <v>978</v>
      </c>
      <c r="Q986" s="47" t="str">
        <f t="shared" ca="1" si="45"/>
        <v/>
      </c>
      <c r="R986" s="48" t="str">
        <f t="shared" ca="1" si="46"/>
        <v/>
      </c>
      <c r="S986" s="32"/>
      <c r="T986" s="32"/>
      <c r="U986" s="32"/>
      <c r="V986" s="32"/>
      <c r="W986" s="47" t="str">
        <f>IF(X986="","",MAX($W$5:W985)+1)</f>
        <v/>
      </c>
      <c r="X986" s="50" t="str">
        <f>IF(Registro!M985="","",IF(COUNTIF($X$8:X985,Registro!M985)=0,Registro!M985,""))</f>
        <v/>
      </c>
      <c r="Y986" s="50" t="str">
        <f t="shared" si="47"/>
        <v/>
      </c>
    </row>
    <row r="987" spans="1:25">
      <c r="A987" s="45" t="str">
        <f>IF(AND(Registro!D986="Abierto",Registro!E986="Urgente"),Registro!B986,"")</f>
        <v/>
      </c>
      <c r="B987" s="45" t="str">
        <f ca="1">IF(AND(Registro!D986="Abierto",Registro!E986="Urgente"),TODAY()-Registro!R986,"")</f>
        <v/>
      </c>
      <c r="C987" s="45" t="str">
        <f>IF(AND(Registro!D986="Abierto",Registro!E986="Urgente"),RANK(B987,$B$9:$B$1000,0)+COUNTIF($B$9:B987,B987)-1,"")</f>
        <v/>
      </c>
      <c r="D987" s="45" t="str">
        <f>IF(AND(Registro!D986="Abierto",Registro!E986="Alta"),Registro!B986,"")</f>
        <v/>
      </c>
      <c r="E987" s="45" t="str">
        <f ca="1">IF(AND(Registro!D986="Abierto",Registro!E986="Alta"),TODAY()-Registro!R986,"")</f>
        <v/>
      </c>
      <c r="F987" s="45" t="str">
        <f>IF(AND(Registro!D986="Abierto",Registro!E986="Alta"),RANK(E987,$E$9:$E$1000,0)+COUNTIF($E$9:E987,E987)-1+MAX(C$5:C$1000),"")</f>
        <v/>
      </c>
      <c r="G987" s="45" t="str">
        <f>IF(AND(Registro!D986="Abierto",Registro!E986="Media"),Registro!B986,"")</f>
        <v/>
      </c>
      <c r="H987" s="45" t="str">
        <f ca="1">IF(AND(Registro!D986="Abierto",Registro!E986="Media"),TODAY()-Registro!R986,"")</f>
        <v/>
      </c>
      <c r="I987" s="45" t="str">
        <f>IF(AND(Registro!D986="Abierto",Registro!E986="Media"),RANK(H987,$H$9:$H$1000,0)+COUNTIF($H$9:H987,H987)-1+MAX(C$5:C$1000,F$5:F$1000),"")</f>
        <v/>
      </c>
      <c r="J987" s="45" t="str">
        <f>IF(AND(Registro!D986="Abierto",Registro!E986="Baja"),Registro!B986,"")</f>
        <v/>
      </c>
      <c r="K987" s="45" t="str">
        <f ca="1">IF(AND(Registro!D986="Abierto",Registro!E986="Baja"),TODAY()-Registro!R986,"")</f>
        <v/>
      </c>
      <c r="L987" s="45" t="str">
        <f>IF(AND(Registro!D986="Abierto",Registro!E986="Baja"),RANK(K987,$K$9:$K$1000,0)+COUNTIF($K$9:K987,K987)-1+MAX(C$5:C$1000,F$5:F$1000,I$5:I$1000),"")</f>
        <v/>
      </c>
      <c r="M987" s="46" t="str">
        <f>IF(OR(Registro!D986="Resuelto",Registro!D986=""),"",SUM(C987,F987,I987,L987))</f>
        <v/>
      </c>
      <c r="N987" s="46" t="str">
        <f>IF(OR(Registro!D986="Resuelto",Registro!D986=""),"",SUM(B987,E987,H987,K987))</f>
        <v/>
      </c>
      <c r="O987" s="46" t="str">
        <f>IF(OR(Registro!D986="Resuelto",Registro!D986=""),"",_xlfn.CONCAT(A987,D987,G987,J987))</f>
        <v/>
      </c>
      <c r="P987" s="47">
        <v>979</v>
      </c>
      <c r="Q987" s="47" t="str">
        <f t="shared" ca="1" si="45"/>
        <v/>
      </c>
      <c r="R987" s="48" t="str">
        <f t="shared" ca="1" si="46"/>
        <v/>
      </c>
      <c r="S987" s="32"/>
      <c r="T987" s="32"/>
      <c r="U987" s="32"/>
      <c r="V987" s="32"/>
      <c r="W987" s="47" t="str">
        <f>IF(X987="","",MAX($W$5:W986)+1)</f>
        <v/>
      </c>
      <c r="X987" s="50" t="str">
        <f>IF(Registro!M986="","",IF(COUNTIF($X$8:X986,Registro!M986)=0,Registro!M986,""))</f>
        <v/>
      </c>
      <c r="Y987" s="50" t="str">
        <f t="shared" si="47"/>
        <v/>
      </c>
    </row>
    <row r="988" spans="1:25">
      <c r="A988" s="45" t="str">
        <f>IF(AND(Registro!D987="Abierto",Registro!E987="Urgente"),Registro!B987,"")</f>
        <v/>
      </c>
      <c r="B988" s="45" t="str">
        <f ca="1">IF(AND(Registro!D987="Abierto",Registro!E987="Urgente"),TODAY()-Registro!R987,"")</f>
        <v/>
      </c>
      <c r="C988" s="45" t="str">
        <f>IF(AND(Registro!D987="Abierto",Registro!E987="Urgente"),RANK(B988,$B$9:$B$1000,0)+COUNTIF($B$9:B988,B988)-1,"")</f>
        <v/>
      </c>
      <c r="D988" s="45" t="str">
        <f>IF(AND(Registro!D987="Abierto",Registro!E987="Alta"),Registro!B987,"")</f>
        <v/>
      </c>
      <c r="E988" s="45" t="str">
        <f ca="1">IF(AND(Registro!D987="Abierto",Registro!E987="Alta"),TODAY()-Registro!R987,"")</f>
        <v/>
      </c>
      <c r="F988" s="45" t="str">
        <f>IF(AND(Registro!D987="Abierto",Registro!E987="Alta"),RANK(E988,$E$9:$E$1000,0)+COUNTIF($E$9:E988,E988)-1+MAX(C$5:C$1000),"")</f>
        <v/>
      </c>
      <c r="G988" s="45" t="str">
        <f>IF(AND(Registro!D987="Abierto",Registro!E987="Media"),Registro!B987,"")</f>
        <v/>
      </c>
      <c r="H988" s="45" t="str">
        <f ca="1">IF(AND(Registro!D987="Abierto",Registro!E987="Media"),TODAY()-Registro!R987,"")</f>
        <v/>
      </c>
      <c r="I988" s="45" t="str">
        <f>IF(AND(Registro!D987="Abierto",Registro!E987="Media"),RANK(H988,$H$9:$H$1000,0)+COUNTIF($H$9:H988,H988)-1+MAX(C$5:C$1000,F$5:F$1000),"")</f>
        <v/>
      </c>
      <c r="J988" s="45" t="str">
        <f>IF(AND(Registro!D987="Abierto",Registro!E987="Baja"),Registro!B987,"")</f>
        <v/>
      </c>
      <c r="K988" s="45" t="str">
        <f ca="1">IF(AND(Registro!D987="Abierto",Registro!E987="Baja"),TODAY()-Registro!R987,"")</f>
        <v/>
      </c>
      <c r="L988" s="45" t="str">
        <f>IF(AND(Registro!D987="Abierto",Registro!E987="Baja"),RANK(K988,$K$9:$K$1000,0)+COUNTIF($K$9:K988,K988)-1+MAX(C$5:C$1000,F$5:F$1000,I$5:I$1000),"")</f>
        <v/>
      </c>
      <c r="M988" s="46" t="str">
        <f>IF(OR(Registro!D987="Resuelto",Registro!D987=""),"",SUM(C988,F988,I988,L988))</f>
        <v/>
      </c>
      <c r="N988" s="46" t="str">
        <f>IF(OR(Registro!D987="Resuelto",Registro!D987=""),"",SUM(B988,E988,H988,K988))</f>
        <v/>
      </c>
      <c r="O988" s="46" t="str">
        <f>IF(OR(Registro!D987="Resuelto",Registro!D987=""),"",_xlfn.CONCAT(A988,D988,G988,J988))</f>
        <v/>
      </c>
      <c r="P988" s="47">
        <v>980</v>
      </c>
      <c r="Q988" s="47" t="str">
        <f t="shared" ca="1" si="45"/>
        <v/>
      </c>
      <c r="R988" s="48" t="str">
        <f t="shared" ca="1" si="46"/>
        <v/>
      </c>
      <c r="S988" s="32"/>
      <c r="T988" s="32"/>
      <c r="U988" s="32"/>
      <c r="V988" s="32"/>
      <c r="W988" s="47" t="str">
        <f>IF(X988="","",MAX($W$5:W987)+1)</f>
        <v/>
      </c>
      <c r="X988" s="50" t="str">
        <f>IF(Registro!M987="","",IF(COUNTIF($X$8:X987,Registro!M987)=0,Registro!M987,""))</f>
        <v/>
      </c>
      <c r="Y988" s="50" t="str">
        <f t="shared" si="47"/>
        <v/>
      </c>
    </row>
    <row r="989" spans="1:25">
      <c r="A989" s="45" t="str">
        <f>IF(AND(Registro!D988="Abierto",Registro!E988="Urgente"),Registro!B988,"")</f>
        <v/>
      </c>
      <c r="B989" s="45" t="str">
        <f ca="1">IF(AND(Registro!D988="Abierto",Registro!E988="Urgente"),TODAY()-Registro!R988,"")</f>
        <v/>
      </c>
      <c r="C989" s="45" t="str">
        <f>IF(AND(Registro!D988="Abierto",Registro!E988="Urgente"),RANK(B989,$B$9:$B$1000,0)+COUNTIF($B$9:B989,B989)-1,"")</f>
        <v/>
      </c>
      <c r="D989" s="45" t="str">
        <f>IF(AND(Registro!D988="Abierto",Registro!E988="Alta"),Registro!B988,"")</f>
        <v/>
      </c>
      <c r="E989" s="45" t="str">
        <f ca="1">IF(AND(Registro!D988="Abierto",Registro!E988="Alta"),TODAY()-Registro!R988,"")</f>
        <v/>
      </c>
      <c r="F989" s="45" t="str">
        <f>IF(AND(Registro!D988="Abierto",Registro!E988="Alta"),RANK(E989,$E$9:$E$1000,0)+COUNTIF($E$9:E989,E989)-1+MAX(C$5:C$1000),"")</f>
        <v/>
      </c>
      <c r="G989" s="45" t="str">
        <f>IF(AND(Registro!D988="Abierto",Registro!E988="Media"),Registro!B988,"")</f>
        <v/>
      </c>
      <c r="H989" s="45" t="str">
        <f ca="1">IF(AND(Registro!D988="Abierto",Registro!E988="Media"),TODAY()-Registro!R988,"")</f>
        <v/>
      </c>
      <c r="I989" s="45" t="str">
        <f>IF(AND(Registro!D988="Abierto",Registro!E988="Media"),RANK(H989,$H$9:$H$1000,0)+COUNTIF($H$9:H989,H989)-1+MAX(C$5:C$1000,F$5:F$1000),"")</f>
        <v/>
      </c>
      <c r="J989" s="45" t="str">
        <f>IF(AND(Registro!D988="Abierto",Registro!E988="Baja"),Registro!B988,"")</f>
        <v/>
      </c>
      <c r="K989" s="45" t="str">
        <f ca="1">IF(AND(Registro!D988="Abierto",Registro!E988="Baja"),TODAY()-Registro!R988,"")</f>
        <v/>
      </c>
      <c r="L989" s="45" t="str">
        <f>IF(AND(Registro!D988="Abierto",Registro!E988="Baja"),RANK(K989,$K$9:$K$1000,0)+COUNTIF($K$9:K989,K989)-1+MAX(C$5:C$1000,F$5:F$1000,I$5:I$1000),"")</f>
        <v/>
      </c>
      <c r="M989" s="46" t="str">
        <f>IF(OR(Registro!D988="Resuelto",Registro!D988=""),"",SUM(C989,F989,I989,L989))</f>
        <v/>
      </c>
      <c r="N989" s="46" t="str">
        <f>IF(OR(Registro!D988="Resuelto",Registro!D988=""),"",SUM(B989,E989,H989,K989))</f>
        <v/>
      </c>
      <c r="O989" s="46" t="str">
        <f>IF(OR(Registro!D988="Resuelto",Registro!D988=""),"",_xlfn.CONCAT(A989,D989,G989,J989))</f>
        <v/>
      </c>
      <c r="P989" s="47">
        <v>981</v>
      </c>
      <c r="Q989" s="47" t="str">
        <f t="shared" ca="1" si="45"/>
        <v/>
      </c>
      <c r="R989" s="48" t="str">
        <f t="shared" ca="1" si="46"/>
        <v/>
      </c>
      <c r="S989" s="32"/>
      <c r="T989" s="32"/>
      <c r="U989" s="32"/>
      <c r="V989" s="32"/>
      <c r="W989" s="47" t="str">
        <f>IF(X989="","",MAX($W$5:W988)+1)</f>
        <v/>
      </c>
      <c r="X989" s="50" t="str">
        <f>IF(Registro!M988="","",IF(COUNTIF($X$8:X988,Registro!M988)=0,Registro!M988,""))</f>
        <v/>
      </c>
      <c r="Y989" s="50" t="str">
        <f t="shared" si="47"/>
        <v/>
      </c>
    </row>
    <row r="990" spans="1:25">
      <c r="A990" s="45" t="str">
        <f>IF(AND(Registro!D989="Abierto",Registro!E989="Urgente"),Registro!B989,"")</f>
        <v/>
      </c>
      <c r="B990" s="45" t="str">
        <f ca="1">IF(AND(Registro!D989="Abierto",Registro!E989="Urgente"),TODAY()-Registro!R989,"")</f>
        <v/>
      </c>
      <c r="C990" s="45" t="str">
        <f>IF(AND(Registro!D989="Abierto",Registro!E989="Urgente"),RANK(B990,$B$9:$B$1000,0)+COUNTIF($B$9:B990,B990)-1,"")</f>
        <v/>
      </c>
      <c r="D990" s="45" t="str">
        <f>IF(AND(Registro!D989="Abierto",Registro!E989="Alta"),Registro!B989,"")</f>
        <v/>
      </c>
      <c r="E990" s="45" t="str">
        <f ca="1">IF(AND(Registro!D989="Abierto",Registro!E989="Alta"),TODAY()-Registro!R989,"")</f>
        <v/>
      </c>
      <c r="F990" s="45" t="str">
        <f>IF(AND(Registro!D989="Abierto",Registro!E989="Alta"),RANK(E990,$E$9:$E$1000,0)+COUNTIF($E$9:E990,E990)-1+MAX(C$5:C$1000),"")</f>
        <v/>
      </c>
      <c r="G990" s="45" t="str">
        <f>IF(AND(Registro!D989="Abierto",Registro!E989="Media"),Registro!B989,"")</f>
        <v/>
      </c>
      <c r="H990" s="45" t="str">
        <f ca="1">IF(AND(Registro!D989="Abierto",Registro!E989="Media"),TODAY()-Registro!R989,"")</f>
        <v/>
      </c>
      <c r="I990" s="45" t="str">
        <f>IF(AND(Registro!D989="Abierto",Registro!E989="Media"),RANK(H990,$H$9:$H$1000,0)+COUNTIF($H$9:H990,H990)-1+MAX(C$5:C$1000,F$5:F$1000),"")</f>
        <v/>
      </c>
      <c r="J990" s="45" t="str">
        <f>IF(AND(Registro!D989="Abierto",Registro!E989="Baja"),Registro!B989,"")</f>
        <v/>
      </c>
      <c r="K990" s="45" t="str">
        <f ca="1">IF(AND(Registro!D989="Abierto",Registro!E989="Baja"),TODAY()-Registro!R989,"")</f>
        <v/>
      </c>
      <c r="L990" s="45" t="str">
        <f>IF(AND(Registro!D989="Abierto",Registro!E989="Baja"),RANK(K990,$K$9:$K$1000,0)+COUNTIF($K$9:K990,K990)-1+MAX(C$5:C$1000,F$5:F$1000,I$5:I$1000),"")</f>
        <v/>
      </c>
      <c r="M990" s="46" t="str">
        <f>IF(OR(Registro!D989="Resuelto",Registro!D989=""),"",SUM(C990,F990,I990,L990))</f>
        <v/>
      </c>
      <c r="N990" s="46" t="str">
        <f>IF(OR(Registro!D989="Resuelto",Registro!D989=""),"",SUM(B990,E990,H990,K990))</f>
        <v/>
      </c>
      <c r="O990" s="46" t="str">
        <f>IF(OR(Registro!D989="Resuelto",Registro!D989=""),"",_xlfn.CONCAT(A990,D990,G990,J990))</f>
        <v/>
      </c>
      <c r="P990" s="47">
        <v>982</v>
      </c>
      <c r="Q990" s="47" t="str">
        <f t="shared" ca="1" si="45"/>
        <v/>
      </c>
      <c r="R990" s="48" t="str">
        <f t="shared" ca="1" si="46"/>
        <v/>
      </c>
      <c r="S990" s="32"/>
      <c r="T990" s="32"/>
      <c r="U990" s="32"/>
      <c r="V990" s="32"/>
      <c r="W990" s="47" t="str">
        <f>IF(X990="","",MAX($W$5:W989)+1)</f>
        <v/>
      </c>
      <c r="X990" s="50" t="str">
        <f>IF(Registro!M989="","",IF(COUNTIF($X$8:X989,Registro!M989)=0,Registro!M989,""))</f>
        <v/>
      </c>
      <c r="Y990" s="50" t="str">
        <f t="shared" si="47"/>
        <v/>
      </c>
    </row>
    <row r="991" spans="1:25">
      <c r="A991" s="45" t="str">
        <f>IF(AND(Registro!D990="Abierto",Registro!E990="Urgente"),Registro!B990,"")</f>
        <v/>
      </c>
      <c r="B991" s="45" t="str">
        <f ca="1">IF(AND(Registro!D990="Abierto",Registro!E990="Urgente"),TODAY()-Registro!R990,"")</f>
        <v/>
      </c>
      <c r="C991" s="45" t="str">
        <f>IF(AND(Registro!D990="Abierto",Registro!E990="Urgente"),RANK(B991,$B$9:$B$1000,0)+COUNTIF($B$9:B991,B991)-1,"")</f>
        <v/>
      </c>
      <c r="D991" s="45" t="str">
        <f>IF(AND(Registro!D990="Abierto",Registro!E990="Alta"),Registro!B990,"")</f>
        <v/>
      </c>
      <c r="E991" s="45" t="str">
        <f ca="1">IF(AND(Registro!D990="Abierto",Registro!E990="Alta"),TODAY()-Registro!R990,"")</f>
        <v/>
      </c>
      <c r="F991" s="45" t="str">
        <f>IF(AND(Registro!D990="Abierto",Registro!E990="Alta"),RANK(E991,$E$9:$E$1000,0)+COUNTIF($E$9:E991,E991)-1+MAX(C$5:C$1000),"")</f>
        <v/>
      </c>
      <c r="G991" s="45" t="str">
        <f>IF(AND(Registro!D990="Abierto",Registro!E990="Media"),Registro!B990,"")</f>
        <v/>
      </c>
      <c r="H991" s="45" t="str">
        <f ca="1">IF(AND(Registro!D990="Abierto",Registro!E990="Media"),TODAY()-Registro!R990,"")</f>
        <v/>
      </c>
      <c r="I991" s="45" t="str">
        <f>IF(AND(Registro!D990="Abierto",Registro!E990="Media"),RANK(H991,$H$9:$H$1000,0)+COUNTIF($H$9:H991,H991)-1+MAX(C$5:C$1000,F$5:F$1000),"")</f>
        <v/>
      </c>
      <c r="J991" s="45" t="str">
        <f>IF(AND(Registro!D990="Abierto",Registro!E990="Baja"),Registro!B990,"")</f>
        <v/>
      </c>
      <c r="K991" s="45" t="str">
        <f ca="1">IF(AND(Registro!D990="Abierto",Registro!E990="Baja"),TODAY()-Registro!R990,"")</f>
        <v/>
      </c>
      <c r="L991" s="45" t="str">
        <f>IF(AND(Registro!D990="Abierto",Registro!E990="Baja"),RANK(K991,$K$9:$K$1000,0)+COUNTIF($K$9:K991,K991)-1+MAX(C$5:C$1000,F$5:F$1000,I$5:I$1000),"")</f>
        <v/>
      </c>
      <c r="M991" s="46" t="str">
        <f>IF(OR(Registro!D990="Resuelto",Registro!D990=""),"",SUM(C991,F991,I991,L991))</f>
        <v/>
      </c>
      <c r="N991" s="46" t="str">
        <f>IF(OR(Registro!D990="Resuelto",Registro!D990=""),"",SUM(B991,E991,H991,K991))</f>
        <v/>
      </c>
      <c r="O991" s="46" t="str">
        <f>IF(OR(Registro!D990="Resuelto",Registro!D990=""),"",_xlfn.CONCAT(A991,D991,G991,J991))</f>
        <v/>
      </c>
      <c r="P991" s="47">
        <v>983</v>
      </c>
      <c r="Q991" s="47" t="str">
        <f t="shared" ca="1" si="45"/>
        <v/>
      </c>
      <c r="R991" s="48" t="str">
        <f t="shared" ca="1" si="46"/>
        <v/>
      </c>
      <c r="S991" s="32"/>
      <c r="T991" s="32"/>
      <c r="U991" s="32"/>
      <c r="V991" s="32"/>
      <c r="W991" s="47" t="str">
        <f>IF(X991="","",MAX($W$5:W990)+1)</f>
        <v/>
      </c>
      <c r="X991" s="50" t="str">
        <f>IF(Registro!M990="","",IF(COUNTIF($X$8:X990,Registro!M990)=0,Registro!M990,""))</f>
        <v/>
      </c>
      <c r="Y991" s="50" t="str">
        <f t="shared" si="47"/>
        <v/>
      </c>
    </row>
    <row r="992" spans="1:25">
      <c r="A992" s="45" t="str">
        <f>IF(AND(Registro!D991="Abierto",Registro!E991="Urgente"),Registro!B991,"")</f>
        <v/>
      </c>
      <c r="B992" s="45" t="str">
        <f ca="1">IF(AND(Registro!D991="Abierto",Registro!E991="Urgente"),TODAY()-Registro!R991,"")</f>
        <v/>
      </c>
      <c r="C992" s="45" t="str">
        <f>IF(AND(Registro!D991="Abierto",Registro!E991="Urgente"),RANK(B992,$B$9:$B$1000,0)+COUNTIF($B$9:B992,B992)-1,"")</f>
        <v/>
      </c>
      <c r="D992" s="45" t="str">
        <f>IF(AND(Registro!D991="Abierto",Registro!E991="Alta"),Registro!B991,"")</f>
        <v/>
      </c>
      <c r="E992" s="45" t="str">
        <f ca="1">IF(AND(Registro!D991="Abierto",Registro!E991="Alta"),TODAY()-Registro!R991,"")</f>
        <v/>
      </c>
      <c r="F992" s="45" t="str">
        <f>IF(AND(Registro!D991="Abierto",Registro!E991="Alta"),RANK(E992,$E$9:$E$1000,0)+COUNTIF($E$9:E992,E992)-1+MAX(C$5:C$1000),"")</f>
        <v/>
      </c>
      <c r="G992" s="45" t="str">
        <f>IF(AND(Registro!D991="Abierto",Registro!E991="Media"),Registro!B991,"")</f>
        <v/>
      </c>
      <c r="H992" s="45" t="str">
        <f ca="1">IF(AND(Registro!D991="Abierto",Registro!E991="Media"),TODAY()-Registro!R991,"")</f>
        <v/>
      </c>
      <c r="I992" s="45" t="str">
        <f>IF(AND(Registro!D991="Abierto",Registro!E991="Media"),RANK(H992,$H$9:$H$1000,0)+COUNTIF($H$9:H992,H992)-1+MAX(C$5:C$1000,F$5:F$1000),"")</f>
        <v/>
      </c>
      <c r="J992" s="45" t="str">
        <f>IF(AND(Registro!D991="Abierto",Registro!E991="Baja"),Registro!B991,"")</f>
        <v/>
      </c>
      <c r="K992" s="45" t="str">
        <f ca="1">IF(AND(Registro!D991="Abierto",Registro!E991="Baja"),TODAY()-Registro!R991,"")</f>
        <v/>
      </c>
      <c r="L992" s="45" t="str">
        <f>IF(AND(Registro!D991="Abierto",Registro!E991="Baja"),RANK(K992,$K$9:$K$1000,0)+COUNTIF($K$9:K992,K992)-1+MAX(C$5:C$1000,F$5:F$1000,I$5:I$1000),"")</f>
        <v/>
      </c>
      <c r="M992" s="46" t="str">
        <f>IF(OR(Registro!D991="Resuelto",Registro!D991=""),"",SUM(C992,F992,I992,L992))</f>
        <v/>
      </c>
      <c r="N992" s="46" t="str">
        <f>IF(OR(Registro!D991="Resuelto",Registro!D991=""),"",SUM(B992,E992,H992,K992))</f>
        <v/>
      </c>
      <c r="O992" s="46" t="str">
        <f>IF(OR(Registro!D991="Resuelto",Registro!D991=""),"",_xlfn.CONCAT(A992,D992,G992,J992))</f>
        <v/>
      </c>
      <c r="P992" s="47">
        <v>984</v>
      </c>
      <c r="Q992" s="47" t="str">
        <f t="shared" ca="1" si="45"/>
        <v/>
      </c>
      <c r="R992" s="48" t="str">
        <f t="shared" ca="1" si="46"/>
        <v/>
      </c>
      <c r="S992" s="32"/>
      <c r="T992" s="32"/>
      <c r="U992" s="32"/>
      <c r="V992" s="32"/>
      <c r="W992" s="47" t="str">
        <f>IF(X992="","",MAX($W$5:W991)+1)</f>
        <v/>
      </c>
      <c r="X992" s="50" t="str">
        <f>IF(Registro!M991="","",IF(COUNTIF($X$8:X991,Registro!M991)=0,Registro!M991,""))</f>
        <v/>
      </c>
      <c r="Y992" s="50" t="str">
        <f t="shared" si="47"/>
        <v/>
      </c>
    </row>
    <row r="993" spans="1:25">
      <c r="A993" s="45" t="str">
        <f>IF(AND(Registro!D992="Abierto",Registro!E992="Urgente"),Registro!B992,"")</f>
        <v/>
      </c>
      <c r="B993" s="45" t="str">
        <f ca="1">IF(AND(Registro!D992="Abierto",Registro!E992="Urgente"),TODAY()-Registro!R992,"")</f>
        <v/>
      </c>
      <c r="C993" s="45" t="str">
        <f>IF(AND(Registro!D992="Abierto",Registro!E992="Urgente"),RANK(B993,$B$9:$B$1000,0)+COUNTIF($B$9:B993,B993)-1,"")</f>
        <v/>
      </c>
      <c r="D993" s="45" t="str">
        <f>IF(AND(Registro!D992="Abierto",Registro!E992="Alta"),Registro!B992,"")</f>
        <v/>
      </c>
      <c r="E993" s="45" t="str">
        <f ca="1">IF(AND(Registro!D992="Abierto",Registro!E992="Alta"),TODAY()-Registro!R992,"")</f>
        <v/>
      </c>
      <c r="F993" s="45" t="str">
        <f>IF(AND(Registro!D992="Abierto",Registro!E992="Alta"),RANK(E993,$E$9:$E$1000,0)+COUNTIF($E$9:E993,E993)-1+MAX(C$5:C$1000),"")</f>
        <v/>
      </c>
      <c r="G993" s="45" t="str">
        <f>IF(AND(Registro!D992="Abierto",Registro!E992="Media"),Registro!B992,"")</f>
        <v/>
      </c>
      <c r="H993" s="45" t="str">
        <f ca="1">IF(AND(Registro!D992="Abierto",Registro!E992="Media"),TODAY()-Registro!R992,"")</f>
        <v/>
      </c>
      <c r="I993" s="45" t="str">
        <f>IF(AND(Registro!D992="Abierto",Registro!E992="Media"),RANK(H993,$H$9:$H$1000,0)+COUNTIF($H$9:H993,H993)-1+MAX(C$5:C$1000,F$5:F$1000),"")</f>
        <v/>
      </c>
      <c r="J993" s="45" t="str">
        <f>IF(AND(Registro!D992="Abierto",Registro!E992="Baja"),Registro!B992,"")</f>
        <v/>
      </c>
      <c r="K993" s="45" t="str">
        <f ca="1">IF(AND(Registro!D992="Abierto",Registro!E992="Baja"),TODAY()-Registro!R992,"")</f>
        <v/>
      </c>
      <c r="L993" s="45" t="str">
        <f>IF(AND(Registro!D992="Abierto",Registro!E992="Baja"),RANK(K993,$K$9:$K$1000,0)+COUNTIF($K$9:K993,K993)-1+MAX(C$5:C$1000,F$5:F$1000,I$5:I$1000),"")</f>
        <v/>
      </c>
      <c r="M993" s="46" t="str">
        <f>IF(OR(Registro!D992="Resuelto",Registro!D992=""),"",SUM(C993,F993,I993,L993))</f>
        <v/>
      </c>
      <c r="N993" s="46" t="str">
        <f>IF(OR(Registro!D992="Resuelto",Registro!D992=""),"",SUM(B993,E993,H993,K993))</f>
        <v/>
      </c>
      <c r="O993" s="46" t="str">
        <f>IF(OR(Registro!D992="Resuelto",Registro!D992=""),"",_xlfn.CONCAT(A993,D993,G993,J993))</f>
        <v/>
      </c>
      <c r="P993" s="47">
        <v>985</v>
      </c>
      <c r="Q993" s="47" t="str">
        <f t="shared" ca="1" si="45"/>
        <v/>
      </c>
      <c r="R993" s="48" t="str">
        <f t="shared" ca="1" si="46"/>
        <v/>
      </c>
      <c r="S993" s="32"/>
      <c r="T993" s="32"/>
      <c r="U993" s="32"/>
      <c r="V993" s="32"/>
      <c r="W993" s="47" t="str">
        <f>IF(X993="","",MAX($W$5:W992)+1)</f>
        <v/>
      </c>
      <c r="X993" s="50" t="str">
        <f>IF(Registro!M992="","",IF(COUNTIF($X$8:X992,Registro!M992)=0,Registro!M992,""))</f>
        <v/>
      </c>
      <c r="Y993" s="50" t="str">
        <f t="shared" si="47"/>
        <v/>
      </c>
    </row>
    <row r="994" spans="1:25">
      <c r="A994" s="45" t="str">
        <f>IF(AND(Registro!D993="Abierto",Registro!E993="Urgente"),Registro!B993,"")</f>
        <v/>
      </c>
      <c r="B994" s="45" t="str">
        <f ca="1">IF(AND(Registro!D993="Abierto",Registro!E993="Urgente"),TODAY()-Registro!R993,"")</f>
        <v/>
      </c>
      <c r="C994" s="45" t="str">
        <f>IF(AND(Registro!D993="Abierto",Registro!E993="Urgente"),RANK(B994,$B$9:$B$1000,0)+COUNTIF($B$9:B994,B994)-1,"")</f>
        <v/>
      </c>
      <c r="D994" s="45" t="str">
        <f>IF(AND(Registro!D993="Abierto",Registro!E993="Alta"),Registro!B993,"")</f>
        <v/>
      </c>
      <c r="E994" s="45" t="str">
        <f ca="1">IF(AND(Registro!D993="Abierto",Registro!E993="Alta"),TODAY()-Registro!R993,"")</f>
        <v/>
      </c>
      <c r="F994" s="45" t="str">
        <f>IF(AND(Registro!D993="Abierto",Registro!E993="Alta"),RANK(E994,$E$9:$E$1000,0)+COUNTIF($E$9:E994,E994)-1+MAX(C$5:C$1000),"")</f>
        <v/>
      </c>
      <c r="G994" s="45" t="str">
        <f>IF(AND(Registro!D993="Abierto",Registro!E993="Media"),Registro!B993,"")</f>
        <v/>
      </c>
      <c r="H994" s="45" t="str">
        <f ca="1">IF(AND(Registro!D993="Abierto",Registro!E993="Media"),TODAY()-Registro!R993,"")</f>
        <v/>
      </c>
      <c r="I994" s="45" t="str">
        <f>IF(AND(Registro!D993="Abierto",Registro!E993="Media"),RANK(H994,$H$9:$H$1000,0)+COUNTIF($H$9:H994,H994)-1+MAX(C$5:C$1000,F$5:F$1000),"")</f>
        <v/>
      </c>
      <c r="J994" s="45" t="str">
        <f>IF(AND(Registro!D993="Abierto",Registro!E993="Baja"),Registro!B993,"")</f>
        <v/>
      </c>
      <c r="K994" s="45" t="str">
        <f ca="1">IF(AND(Registro!D993="Abierto",Registro!E993="Baja"),TODAY()-Registro!R993,"")</f>
        <v/>
      </c>
      <c r="L994" s="45" t="str">
        <f>IF(AND(Registro!D993="Abierto",Registro!E993="Baja"),RANK(K994,$K$9:$K$1000,0)+COUNTIF($K$9:K994,K994)-1+MAX(C$5:C$1000,F$5:F$1000,I$5:I$1000),"")</f>
        <v/>
      </c>
      <c r="M994" s="46" t="str">
        <f>IF(OR(Registro!D993="Resuelto",Registro!D993=""),"",SUM(C994,F994,I994,L994))</f>
        <v/>
      </c>
      <c r="N994" s="46" t="str">
        <f>IF(OR(Registro!D993="Resuelto",Registro!D993=""),"",SUM(B994,E994,H994,K994))</f>
        <v/>
      </c>
      <c r="O994" s="46" t="str">
        <f>IF(OR(Registro!D993="Resuelto",Registro!D993=""),"",_xlfn.CONCAT(A994,D994,G994,J994))</f>
        <v/>
      </c>
      <c r="P994" s="47">
        <v>986</v>
      </c>
      <c r="Q994" s="47" t="str">
        <f t="shared" ca="1" si="45"/>
        <v/>
      </c>
      <c r="R994" s="48" t="str">
        <f t="shared" ca="1" si="46"/>
        <v/>
      </c>
      <c r="S994" s="32"/>
      <c r="T994" s="32"/>
      <c r="U994" s="32"/>
      <c r="V994" s="32"/>
      <c r="W994" s="47" t="str">
        <f>IF(X994="","",MAX($W$5:W993)+1)</f>
        <v/>
      </c>
      <c r="X994" s="50" t="str">
        <f>IF(Registro!M993="","",IF(COUNTIF($X$8:X993,Registro!M993)=0,Registro!M993,""))</f>
        <v/>
      </c>
      <c r="Y994" s="50" t="str">
        <f t="shared" si="47"/>
        <v/>
      </c>
    </row>
    <row r="995" spans="1:25">
      <c r="A995" s="45" t="str">
        <f>IF(AND(Registro!D994="Abierto",Registro!E994="Urgente"),Registro!B994,"")</f>
        <v/>
      </c>
      <c r="B995" s="45" t="str">
        <f ca="1">IF(AND(Registro!D994="Abierto",Registro!E994="Urgente"),TODAY()-Registro!R994,"")</f>
        <v/>
      </c>
      <c r="C995" s="45" t="str">
        <f>IF(AND(Registro!D994="Abierto",Registro!E994="Urgente"),RANK(B995,$B$9:$B$1000,0)+COUNTIF($B$9:B995,B995)-1,"")</f>
        <v/>
      </c>
      <c r="D995" s="45" t="str">
        <f>IF(AND(Registro!D994="Abierto",Registro!E994="Alta"),Registro!B994,"")</f>
        <v/>
      </c>
      <c r="E995" s="45" t="str">
        <f ca="1">IF(AND(Registro!D994="Abierto",Registro!E994="Alta"),TODAY()-Registro!R994,"")</f>
        <v/>
      </c>
      <c r="F995" s="45" t="str">
        <f>IF(AND(Registro!D994="Abierto",Registro!E994="Alta"),RANK(E995,$E$9:$E$1000,0)+COUNTIF($E$9:E995,E995)-1+MAX(C$5:C$1000),"")</f>
        <v/>
      </c>
      <c r="G995" s="45" t="str">
        <f>IF(AND(Registro!D994="Abierto",Registro!E994="Media"),Registro!B994,"")</f>
        <v/>
      </c>
      <c r="H995" s="45" t="str">
        <f ca="1">IF(AND(Registro!D994="Abierto",Registro!E994="Media"),TODAY()-Registro!R994,"")</f>
        <v/>
      </c>
      <c r="I995" s="45" t="str">
        <f>IF(AND(Registro!D994="Abierto",Registro!E994="Media"),RANK(H995,$H$9:$H$1000,0)+COUNTIF($H$9:H995,H995)-1+MAX(C$5:C$1000,F$5:F$1000),"")</f>
        <v/>
      </c>
      <c r="J995" s="45" t="str">
        <f>IF(AND(Registro!D994="Abierto",Registro!E994="Baja"),Registro!B994,"")</f>
        <v/>
      </c>
      <c r="K995" s="45" t="str">
        <f ca="1">IF(AND(Registro!D994="Abierto",Registro!E994="Baja"),TODAY()-Registro!R994,"")</f>
        <v/>
      </c>
      <c r="L995" s="45" t="str">
        <f>IF(AND(Registro!D994="Abierto",Registro!E994="Baja"),RANK(K995,$K$9:$K$1000,0)+COUNTIF($K$9:K995,K995)-1+MAX(C$5:C$1000,F$5:F$1000,I$5:I$1000),"")</f>
        <v/>
      </c>
      <c r="M995" s="46" t="str">
        <f>IF(OR(Registro!D994="Resuelto",Registro!D994=""),"",SUM(C995,F995,I995,L995))</f>
        <v/>
      </c>
      <c r="N995" s="46" t="str">
        <f>IF(OR(Registro!D994="Resuelto",Registro!D994=""),"",SUM(B995,E995,H995,K995))</f>
        <v/>
      </c>
      <c r="O995" s="46" t="str">
        <f>IF(OR(Registro!D994="Resuelto",Registro!D994=""),"",_xlfn.CONCAT(A995,D995,G995,J995))</f>
        <v/>
      </c>
      <c r="P995" s="47">
        <v>987</v>
      </c>
      <c r="Q995" s="47" t="str">
        <f t="shared" ca="1" si="45"/>
        <v/>
      </c>
      <c r="R995" s="48" t="str">
        <f t="shared" ca="1" si="46"/>
        <v/>
      </c>
      <c r="S995" s="32"/>
      <c r="T995" s="32"/>
      <c r="U995" s="32"/>
      <c r="V995" s="32"/>
      <c r="W995" s="47" t="str">
        <f>IF(X995="","",MAX($W$5:W994)+1)</f>
        <v/>
      </c>
      <c r="X995" s="50" t="str">
        <f>IF(Registro!M994="","",IF(COUNTIF($X$8:X994,Registro!M994)=0,Registro!M994,""))</f>
        <v/>
      </c>
      <c r="Y995" s="50" t="str">
        <f t="shared" si="47"/>
        <v/>
      </c>
    </row>
    <row r="996" spans="1:25">
      <c r="A996" s="45" t="str">
        <f>IF(AND(Registro!D995="Abierto",Registro!E995="Urgente"),Registro!B995,"")</f>
        <v/>
      </c>
      <c r="B996" s="45" t="str">
        <f ca="1">IF(AND(Registro!D995="Abierto",Registro!E995="Urgente"),TODAY()-Registro!R995,"")</f>
        <v/>
      </c>
      <c r="C996" s="45" t="str">
        <f>IF(AND(Registro!D995="Abierto",Registro!E995="Urgente"),RANK(B996,$B$9:$B$1000,0)+COUNTIF($B$9:B996,B996)-1,"")</f>
        <v/>
      </c>
      <c r="D996" s="45" t="str">
        <f>IF(AND(Registro!D995="Abierto",Registro!E995="Alta"),Registro!B995,"")</f>
        <v/>
      </c>
      <c r="E996" s="45" t="str">
        <f ca="1">IF(AND(Registro!D995="Abierto",Registro!E995="Alta"),TODAY()-Registro!R995,"")</f>
        <v/>
      </c>
      <c r="F996" s="45" t="str">
        <f>IF(AND(Registro!D995="Abierto",Registro!E995="Alta"),RANK(E996,$E$9:$E$1000,0)+COUNTIF($E$9:E996,E996)-1+MAX(C$5:C$1000),"")</f>
        <v/>
      </c>
      <c r="G996" s="45" t="str">
        <f>IF(AND(Registro!D995="Abierto",Registro!E995="Media"),Registro!B995,"")</f>
        <v/>
      </c>
      <c r="H996" s="45" t="str">
        <f ca="1">IF(AND(Registro!D995="Abierto",Registro!E995="Media"),TODAY()-Registro!R995,"")</f>
        <v/>
      </c>
      <c r="I996" s="45" t="str">
        <f>IF(AND(Registro!D995="Abierto",Registro!E995="Media"),RANK(H996,$H$9:$H$1000,0)+COUNTIF($H$9:H996,H996)-1+MAX(C$5:C$1000,F$5:F$1000),"")</f>
        <v/>
      </c>
      <c r="J996" s="45" t="str">
        <f>IF(AND(Registro!D995="Abierto",Registro!E995="Baja"),Registro!B995,"")</f>
        <v/>
      </c>
      <c r="K996" s="45" t="str">
        <f ca="1">IF(AND(Registro!D995="Abierto",Registro!E995="Baja"),TODAY()-Registro!R995,"")</f>
        <v/>
      </c>
      <c r="L996" s="45" t="str">
        <f>IF(AND(Registro!D995="Abierto",Registro!E995="Baja"),RANK(K996,$K$9:$K$1000,0)+COUNTIF($K$9:K996,K996)-1+MAX(C$5:C$1000,F$5:F$1000,I$5:I$1000),"")</f>
        <v/>
      </c>
      <c r="M996" s="46" t="str">
        <f>IF(OR(Registro!D995="Resuelto",Registro!D995=""),"",SUM(C996,F996,I996,L996))</f>
        <v/>
      </c>
      <c r="N996" s="46" t="str">
        <f>IF(OR(Registro!D995="Resuelto",Registro!D995=""),"",SUM(B996,E996,H996,K996))</f>
        <v/>
      </c>
      <c r="O996" s="46" t="str">
        <f>IF(OR(Registro!D995="Resuelto",Registro!D995=""),"",_xlfn.CONCAT(A996,D996,G996,J996))</f>
        <v/>
      </c>
      <c r="P996" s="47">
        <v>988</v>
      </c>
      <c r="Q996" s="47" t="str">
        <f t="shared" ca="1" si="45"/>
        <v/>
      </c>
      <c r="R996" s="48" t="str">
        <f t="shared" ca="1" si="46"/>
        <v/>
      </c>
      <c r="S996" s="32"/>
      <c r="T996" s="32"/>
      <c r="U996" s="32"/>
      <c r="V996" s="32"/>
      <c r="W996" s="47" t="str">
        <f>IF(X996="","",MAX($W$5:W995)+1)</f>
        <v/>
      </c>
      <c r="X996" s="50" t="str">
        <f>IF(Registro!M995="","",IF(COUNTIF($X$8:X995,Registro!M995)=0,Registro!M995,""))</f>
        <v/>
      </c>
      <c r="Y996" s="50" t="str">
        <f t="shared" si="47"/>
        <v/>
      </c>
    </row>
    <row r="997" spans="1:25">
      <c r="A997" s="45" t="str">
        <f>IF(AND(Registro!D996="Abierto",Registro!E996="Urgente"),Registro!B996,"")</f>
        <v/>
      </c>
      <c r="B997" s="45" t="str">
        <f ca="1">IF(AND(Registro!D996="Abierto",Registro!E996="Urgente"),TODAY()-Registro!R996,"")</f>
        <v/>
      </c>
      <c r="C997" s="45" t="str">
        <f>IF(AND(Registro!D996="Abierto",Registro!E996="Urgente"),RANK(B997,$B$9:$B$1000,0)+COUNTIF($B$9:B997,B997)-1,"")</f>
        <v/>
      </c>
      <c r="D997" s="45" t="str">
        <f>IF(AND(Registro!D996="Abierto",Registro!E996="Alta"),Registro!B996,"")</f>
        <v/>
      </c>
      <c r="E997" s="45" t="str">
        <f ca="1">IF(AND(Registro!D996="Abierto",Registro!E996="Alta"),TODAY()-Registro!R996,"")</f>
        <v/>
      </c>
      <c r="F997" s="45" t="str">
        <f>IF(AND(Registro!D996="Abierto",Registro!E996="Alta"),RANK(E997,$E$9:$E$1000,0)+COUNTIF($E$9:E997,E997)-1+MAX(C$5:C$1000),"")</f>
        <v/>
      </c>
      <c r="G997" s="45" t="str">
        <f>IF(AND(Registro!D996="Abierto",Registro!E996="Media"),Registro!B996,"")</f>
        <v/>
      </c>
      <c r="H997" s="45" t="str">
        <f ca="1">IF(AND(Registro!D996="Abierto",Registro!E996="Media"),TODAY()-Registro!R996,"")</f>
        <v/>
      </c>
      <c r="I997" s="45" t="str">
        <f>IF(AND(Registro!D996="Abierto",Registro!E996="Media"),RANK(H997,$H$9:$H$1000,0)+COUNTIF($H$9:H997,H997)-1+MAX(C$5:C$1000,F$5:F$1000),"")</f>
        <v/>
      </c>
      <c r="J997" s="45" t="str">
        <f>IF(AND(Registro!D996="Abierto",Registro!E996="Baja"),Registro!B996,"")</f>
        <v/>
      </c>
      <c r="K997" s="45" t="str">
        <f ca="1">IF(AND(Registro!D996="Abierto",Registro!E996="Baja"),TODAY()-Registro!R996,"")</f>
        <v/>
      </c>
      <c r="L997" s="45" t="str">
        <f>IF(AND(Registro!D996="Abierto",Registro!E996="Baja"),RANK(K997,$K$9:$K$1000,0)+COUNTIF($K$9:K997,K997)-1+MAX(C$5:C$1000,F$5:F$1000,I$5:I$1000),"")</f>
        <v/>
      </c>
      <c r="M997" s="46" t="str">
        <f>IF(OR(Registro!D996="Resuelto",Registro!D996=""),"",SUM(C997,F997,I997,L997))</f>
        <v/>
      </c>
      <c r="N997" s="46" t="str">
        <f>IF(OR(Registro!D996="Resuelto",Registro!D996=""),"",SUM(B997,E997,H997,K997))</f>
        <v/>
      </c>
      <c r="O997" s="46" t="str">
        <f>IF(OR(Registro!D996="Resuelto",Registro!D996=""),"",_xlfn.CONCAT(A997,D997,G997,J997))</f>
        <v/>
      </c>
      <c r="P997" s="47">
        <v>989</v>
      </c>
      <c r="Q997" s="47" t="str">
        <f t="shared" ca="1" si="45"/>
        <v/>
      </c>
      <c r="R997" s="48" t="str">
        <f t="shared" ca="1" si="46"/>
        <v/>
      </c>
      <c r="S997" s="32"/>
      <c r="T997" s="32"/>
      <c r="U997" s="32"/>
      <c r="V997" s="32"/>
      <c r="W997" s="47" t="str">
        <f>IF(X997="","",MAX($W$5:W996)+1)</f>
        <v/>
      </c>
      <c r="X997" s="50" t="str">
        <f>IF(Registro!M996="","",IF(COUNTIF($X$8:X996,Registro!M996)=0,Registro!M996,""))</f>
        <v/>
      </c>
      <c r="Y997" s="50" t="str">
        <f t="shared" si="47"/>
        <v/>
      </c>
    </row>
    <row r="998" spans="1:25">
      <c r="A998" s="45" t="str">
        <f>IF(AND(Registro!D997="Abierto",Registro!E997="Urgente"),Registro!B997,"")</f>
        <v/>
      </c>
      <c r="B998" s="45" t="str">
        <f ca="1">IF(AND(Registro!D997="Abierto",Registro!E997="Urgente"),TODAY()-Registro!R997,"")</f>
        <v/>
      </c>
      <c r="C998" s="45" t="str">
        <f>IF(AND(Registro!D997="Abierto",Registro!E997="Urgente"),RANK(B998,$B$9:$B$1000,0)+COUNTIF($B$9:B998,B998)-1,"")</f>
        <v/>
      </c>
      <c r="D998" s="45" t="str">
        <f>IF(AND(Registro!D997="Abierto",Registro!E997="Alta"),Registro!B997,"")</f>
        <v/>
      </c>
      <c r="E998" s="45" t="str">
        <f ca="1">IF(AND(Registro!D997="Abierto",Registro!E997="Alta"),TODAY()-Registro!R997,"")</f>
        <v/>
      </c>
      <c r="F998" s="45" t="str">
        <f>IF(AND(Registro!D997="Abierto",Registro!E997="Alta"),RANK(E998,$E$9:$E$1000,0)+COUNTIF($E$9:E998,E998)-1+MAX(C$5:C$1000),"")</f>
        <v/>
      </c>
      <c r="G998" s="45" t="str">
        <f>IF(AND(Registro!D997="Abierto",Registro!E997="Media"),Registro!B997,"")</f>
        <v/>
      </c>
      <c r="H998" s="45" t="str">
        <f ca="1">IF(AND(Registro!D997="Abierto",Registro!E997="Media"),TODAY()-Registro!R997,"")</f>
        <v/>
      </c>
      <c r="I998" s="45" t="str">
        <f>IF(AND(Registro!D997="Abierto",Registro!E997="Media"),RANK(H998,$H$9:$H$1000,0)+COUNTIF($H$9:H998,H998)-1+MAX(C$5:C$1000,F$5:F$1000),"")</f>
        <v/>
      </c>
      <c r="J998" s="45" t="str">
        <f>IF(AND(Registro!D997="Abierto",Registro!E997="Baja"),Registro!B997,"")</f>
        <v/>
      </c>
      <c r="K998" s="45" t="str">
        <f ca="1">IF(AND(Registro!D997="Abierto",Registro!E997="Baja"),TODAY()-Registro!R997,"")</f>
        <v/>
      </c>
      <c r="L998" s="45" t="str">
        <f>IF(AND(Registro!D997="Abierto",Registro!E997="Baja"),RANK(K998,$K$9:$K$1000,0)+COUNTIF($K$9:K998,K998)-1+MAX(C$5:C$1000,F$5:F$1000,I$5:I$1000),"")</f>
        <v/>
      </c>
      <c r="M998" s="46" t="str">
        <f>IF(OR(Registro!D997="Resuelto",Registro!D997=""),"",SUM(C998,F998,I998,L998))</f>
        <v/>
      </c>
      <c r="N998" s="46" t="str">
        <f>IF(OR(Registro!D997="Resuelto",Registro!D997=""),"",SUM(B998,E998,H998,K998))</f>
        <v/>
      </c>
      <c r="O998" s="46" t="str">
        <f>IF(OR(Registro!D997="Resuelto",Registro!D997=""),"",_xlfn.CONCAT(A998,D998,G998,J998))</f>
        <v/>
      </c>
      <c r="P998" s="47">
        <v>990</v>
      </c>
      <c r="Q998" s="47" t="str">
        <f t="shared" ca="1" si="45"/>
        <v/>
      </c>
      <c r="R998" s="48" t="str">
        <f t="shared" ca="1" si="46"/>
        <v/>
      </c>
      <c r="S998" s="32"/>
      <c r="T998" s="32"/>
      <c r="U998" s="32"/>
      <c r="V998" s="32"/>
      <c r="W998" s="47" t="str">
        <f>IF(X998="","",MAX($W$5:W997)+1)</f>
        <v/>
      </c>
      <c r="X998" s="50" t="str">
        <f>IF(Registro!M997="","",IF(COUNTIF($X$8:X997,Registro!M997)=0,Registro!M997,""))</f>
        <v/>
      </c>
      <c r="Y998" s="50" t="str">
        <f t="shared" si="47"/>
        <v/>
      </c>
    </row>
    <row r="999" spans="1:25">
      <c r="A999" s="45" t="str">
        <f>IF(AND(Registro!D998="Abierto",Registro!E998="Urgente"),Registro!B998,"")</f>
        <v/>
      </c>
      <c r="B999" s="45" t="str">
        <f ca="1">IF(AND(Registro!D998="Abierto",Registro!E998="Urgente"),TODAY()-Registro!R998,"")</f>
        <v/>
      </c>
      <c r="C999" s="45" t="str">
        <f>IF(AND(Registro!D998="Abierto",Registro!E998="Urgente"),RANK(B999,$B$9:$B$1000,0)+COUNTIF($B$9:B999,B999)-1,"")</f>
        <v/>
      </c>
      <c r="D999" s="45" t="str">
        <f>IF(AND(Registro!D998="Abierto",Registro!E998="Alta"),Registro!B998,"")</f>
        <v/>
      </c>
      <c r="E999" s="45" t="str">
        <f ca="1">IF(AND(Registro!D998="Abierto",Registro!E998="Alta"),TODAY()-Registro!R998,"")</f>
        <v/>
      </c>
      <c r="F999" s="45" t="str">
        <f>IF(AND(Registro!D998="Abierto",Registro!E998="Alta"),RANK(E999,$E$9:$E$1000,0)+COUNTIF($E$9:E999,E999)-1+MAX(C$5:C$1000),"")</f>
        <v/>
      </c>
      <c r="G999" s="45" t="str">
        <f>IF(AND(Registro!D998="Abierto",Registro!E998="Media"),Registro!B998,"")</f>
        <v/>
      </c>
      <c r="H999" s="45" t="str">
        <f ca="1">IF(AND(Registro!D998="Abierto",Registro!E998="Media"),TODAY()-Registro!R998,"")</f>
        <v/>
      </c>
      <c r="I999" s="45" t="str">
        <f>IF(AND(Registro!D998="Abierto",Registro!E998="Media"),RANK(H999,$H$9:$H$1000,0)+COUNTIF($H$9:H999,H999)-1+MAX(C$5:C$1000,F$5:F$1000),"")</f>
        <v/>
      </c>
      <c r="J999" s="45" t="str">
        <f>IF(AND(Registro!D998="Abierto",Registro!E998="Baja"),Registro!B998,"")</f>
        <v/>
      </c>
      <c r="K999" s="45" t="str">
        <f ca="1">IF(AND(Registro!D998="Abierto",Registro!E998="Baja"),TODAY()-Registro!R998,"")</f>
        <v/>
      </c>
      <c r="L999" s="45" t="str">
        <f>IF(AND(Registro!D998="Abierto",Registro!E998="Baja"),RANK(K999,$K$9:$K$1000,0)+COUNTIF($K$9:K999,K999)-1+MAX(C$5:C$1000,F$5:F$1000,I$5:I$1000),"")</f>
        <v/>
      </c>
      <c r="M999" s="46" t="str">
        <f>IF(OR(Registro!D998="Resuelto",Registro!D998=""),"",SUM(C999,F999,I999,L999))</f>
        <v/>
      </c>
      <c r="N999" s="46" t="str">
        <f>IF(OR(Registro!D998="Resuelto",Registro!D998=""),"",SUM(B999,E999,H999,K999))</f>
        <v/>
      </c>
      <c r="O999" s="46" t="str">
        <f>IF(OR(Registro!D998="Resuelto",Registro!D998=""),"",_xlfn.CONCAT(A999,D999,G999,J999))</f>
        <v/>
      </c>
      <c r="P999" s="47">
        <v>991</v>
      </c>
      <c r="Q999" s="47" t="str">
        <f t="shared" ca="1" si="45"/>
        <v/>
      </c>
      <c r="R999" s="48" t="str">
        <f t="shared" ca="1" si="46"/>
        <v/>
      </c>
      <c r="S999" s="32"/>
      <c r="T999" s="32"/>
      <c r="U999" s="32"/>
      <c r="V999" s="32"/>
      <c r="W999" s="47" t="str">
        <f>IF(X999="","",MAX($W$5:W998)+1)</f>
        <v/>
      </c>
      <c r="X999" s="50" t="str">
        <f>IF(Registro!M998="","",IF(COUNTIF($X$8:X998,Registro!M998)=0,Registro!M998,""))</f>
        <v/>
      </c>
      <c r="Y999" s="50" t="str">
        <f t="shared" si="47"/>
        <v/>
      </c>
    </row>
    <row r="1000" spans="1:25">
      <c r="A1000" s="45" t="str">
        <f>IF(AND(Registro!D999="Abierto",Registro!E999="Urgente"),Registro!B999,"")</f>
        <v/>
      </c>
      <c r="B1000" s="45" t="str">
        <f ca="1">IF(AND(Registro!D999="Abierto",Registro!E999="Urgente"),TODAY()-Registro!R999,"")</f>
        <v/>
      </c>
      <c r="C1000" s="45" t="str">
        <f>IF(AND(Registro!D999="Abierto",Registro!E999="Urgente"),RANK(B1000,$B$9:$B$1000,0)+COUNTIF($B$9:B1000,B1000)-1,"")</f>
        <v/>
      </c>
      <c r="D1000" s="45" t="str">
        <f>IF(AND(Registro!D999="Abierto",Registro!E999="Alta"),Registro!B999,"")</f>
        <v/>
      </c>
      <c r="E1000" s="45" t="str">
        <f ca="1">IF(AND(Registro!D999="Abierto",Registro!E999="Alta"),TODAY()-Registro!R999,"")</f>
        <v/>
      </c>
      <c r="F1000" s="45" t="str">
        <f>IF(AND(Registro!D999="Abierto",Registro!E999="Alta"),RANK(E1000,$E$9:$E$1000,0)+COUNTIF($E$9:E1000,E1000)-1+MAX(C$5:C$1000),"")</f>
        <v/>
      </c>
      <c r="G1000" s="45" t="str">
        <f>IF(AND(Registro!D999="Abierto",Registro!E999="Media"),Registro!B999,"")</f>
        <v/>
      </c>
      <c r="H1000" s="45" t="str">
        <f ca="1">IF(AND(Registro!D999="Abierto",Registro!E999="Media"),TODAY()-Registro!R999,"")</f>
        <v/>
      </c>
      <c r="I1000" s="45" t="str">
        <f>IF(AND(Registro!D999="Abierto",Registro!E999="Media"),RANK(H1000,$H$9:$H$1000,0)+COUNTIF($H$9:H1000,H1000)-1+MAX(C$5:C$1000,F$5:F$1000),"")</f>
        <v/>
      </c>
      <c r="J1000" s="45" t="str">
        <f>IF(AND(Registro!D999="Abierto",Registro!E999="Baja"),Registro!B999,"")</f>
        <v/>
      </c>
      <c r="K1000" s="45" t="str">
        <f ca="1">IF(AND(Registro!D999="Abierto",Registro!E999="Baja"),TODAY()-Registro!R999,"")</f>
        <v/>
      </c>
      <c r="L1000" s="45" t="str">
        <f>IF(AND(Registro!D999="Abierto",Registro!E999="Baja"),RANK(K1000,$K$9:$K$1000,0)+COUNTIF($K$9:K1000,K1000)-1+MAX(C$5:C$1000,F$5:F$1000,I$5:I$1000),"")</f>
        <v/>
      </c>
      <c r="M1000" s="46" t="str">
        <f>IF(OR(Registro!D999="Resuelto",Registro!D999=""),"",SUM(C1000,F1000,I1000,L1000))</f>
        <v/>
      </c>
      <c r="N1000" s="46" t="str">
        <f>IF(OR(Registro!D999="Resuelto",Registro!D999=""),"",SUM(B1000,E1000,H1000,K1000))</f>
        <v/>
      </c>
      <c r="O1000" s="46" t="str">
        <f>IF(OR(Registro!D999="Resuelto",Registro!D999=""),"",_xlfn.CONCAT(A1000,D1000,G1000,J1000))</f>
        <v/>
      </c>
      <c r="P1000" s="47">
        <v>992</v>
      </c>
      <c r="Q1000" s="47" t="str">
        <f t="shared" ca="1" si="45"/>
        <v/>
      </c>
      <c r="R1000" s="48" t="str">
        <f t="shared" ca="1" si="46"/>
        <v/>
      </c>
      <c r="S1000" s="32"/>
      <c r="T1000" s="32"/>
      <c r="U1000" s="32"/>
      <c r="V1000" s="32"/>
      <c r="W1000" s="47" t="str">
        <f>IF(X1000="","",MAX($W$5:W999)+1)</f>
        <v/>
      </c>
      <c r="X1000" s="50" t="str">
        <f>IF(Registro!M999="","",IF(COUNTIF($X$8:X999,Registro!M999)=0,Registro!M999,""))</f>
        <v/>
      </c>
      <c r="Y1000" s="50" t="str">
        <f t="shared" si="47"/>
        <v/>
      </c>
    </row>
  </sheetData>
  <mergeCells count="8">
    <mergeCell ref="J7:L7"/>
    <mergeCell ref="P7:R7"/>
    <mergeCell ref="A6:L6"/>
    <mergeCell ref="M7:O7"/>
    <mergeCell ref="D7:F7"/>
    <mergeCell ref="A7:C7"/>
    <mergeCell ref="G7:I7"/>
    <mergeCell ref="M6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7"/>
  <sheetViews>
    <sheetView workbookViewId="0">
      <selection activeCell="C12" sqref="C12"/>
    </sheetView>
  </sheetViews>
  <sheetFormatPr baseColWidth="10" defaultColWidth="11" defaultRowHeight="14.4"/>
  <cols>
    <col min="1" max="1" width="48" customWidth="1"/>
  </cols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9" spans="1:1">
      <c r="A9" t="s">
        <v>39</v>
      </c>
    </row>
    <row r="10" spans="1:1">
      <c r="A10" t="s">
        <v>40</v>
      </c>
    </row>
    <row r="11" spans="1:1">
      <c r="A11" t="s">
        <v>41</v>
      </c>
    </row>
    <row r="12" spans="1:1">
      <c r="A12" t="s">
        <v>42</v>
      </c>
    </row>
    <row r="13" spans="1:1">
      <c r="A13" t="s">
        <v>43</v>
      </c>
    </row>
    <row r="15" spans="1:1">
      <c r="A15" t="s">
        <v>44</v>
      </c>
    </row>
    <row r="16" spans="1:1">
      <c r="A16" t="s">
        <v>45</v>
      </c>
    </row>
    <row r="17" spans="1:1">
      <c r="A17" t="s">
        <v>46</v>
      </c>
    </row>
    <row r="18" spans="1:1">
      <c r="A18" t="s">
        <v>47</v>
      </c>
    </row>
    <row r="19" spans="1:1">
      <c r="A19" t="s">
        <v>48</v>
      </c>
    </row>
    <row r="20" spans="1:1">
      <c r="A20" t="s">
        <v>49</v>
      </c>
    </row>
    <row r="21" spans="1:1">
      <c r="A21" t="s">
        <v>50</v>
      </c>
    </row>
    <row r="22" spans="1:1">
      <c r="A22" t="s">
        <v>51</v>
      </c>
    </row>
    <row r="23" spans="1:1">
      <c r="A23" t="s">
        <v>52</v>
      </c>
    </row>
    <row r="24" spans="1:1">
      <c r="A24" t="s">
        <v>53</v>
      </c>
    </row>
    <row r="25" spans="1:1">
      <c r="A25" t="s">
        <v>54</v>
      </c>
    </row>
    <row r="26" spans="1:1">
      <c r="A26" t="s">
        <v>55</v>
      </c>
    </row>
    <row r="27" spans="1:1">
      <c r="A27" t="s">
        <v>56</v>
      </c>
    </row>
    <row r="28" spans="1:1">
      <c r="A28" t="s">
        <v>57</v>
      </c>
    </row>
    <row r="29" spans="1:1">
      <c r="A29" t="s">
        <v>58</v>
      </c>
    </row>
    <row r="30" spans="1:1">
      <c r="A30" t="s">
        <v>59</v>
      </c>
    </row>
    <row r="31" spans="1:1">
      <c r="A31" t="s">
        <v>60</v>
      </c>
    </row>
    <row r="32" spans="1:1">
      <c r="A32" t="s">
        <v>61</v>
      </c>
    </row>
    <row r="33" spans="1:1">
      <c r="A33" t="s">
        <v>62</v>
      </c>
    </row>
    <row r="34" spans="1:1">
      <c r="A34" t="s">
        <v>63</v>
      </c>
    </row>
    <row r="35" spans="1:1">
      <c r="A35" t="s">
        <v>64</v>
      </c>
    </row>
    <row r="36" spans="1:1">
      <c r="A36" t="s">
        <v>65</v>
      </c>
    </row>
    <row r="37" spans="1:1">
      <c r="A37" t="s">
        <v>66</v>
      </c>
    </row>
    <row r="38" spans="1:1">
      <c r="A38" t="s">
        <v>67</v>
      </c>
    </row>
    <row r="39" spans="1:1">
      <c r="A39" t="s">
        <v>68</v>
      </c>
    </row>
    <row r="40" spans="1:1">
      <c r="A40" t="s">
        <v>69</v>
      </c>
    </row>
    <row r="41" spans="1:1">
      <c r="A41" t="s">
        <v>70</v>
      </c>
    </row>
    <row r="42" spans="1:1">
      <c r="A42" t="s">
        <v>71</v>
      </c>
    </row>
    <row r="43" spans="1:1">
      <c r="A43" t="s">
        <v>72</v>
      </c>
    </row>
    <row r="44" spans="1:1">
      <c r="A44" t="s">
        <v>73</v>
      </c>
    </row>
    <row r="46" spans="1:1">
      <c r="A46" t="s">
        <v>74</v>
      </c>
    </row>
    <row r="47" spans="1:1">
      <c r="A47" t="s">
        <v>75</v>
      </c>
    </row>
    <row r="48" spans="1:1">
      <c r="A48" t="s">
        <v>76</v>
      </c>
    </row>
    <row r="49" spans="1:1">
      <c r="A49" t="s">
        <v>77</v>
      </c>
    </row>
    <row r="50" spans="1:1">
      <c r="A50" t="s">
        <v>78</v>
      </c>
    </row>
    <row r="51" spans="1:1">
      <c r="A51" t="s">
        <v>79</v>
      </c>
    </row>
    <row r="53" spans="1:1">
      <c r="A53" t="s">
        <v>80</v>
      </c>
    </row>
    <row r="54" spans="1:1">
      <c r="A54" t="s">
        <v>81</v>
      </c>
    </row>
    <row r="55" spans="1:1">
      <c r="A55" t="s">
        <v>82</v>
      </c>
    </row>
    <row r="56" spans="1:1">
      <c r="A56" t="s">
        <v>83</v>
      </c>
    </row>
    <row r="57" spans="1:1">
      <c r="A5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/>
  <dimension ref="B1:AD997"/>
  <sheetViews>
    <sheetView showGridLines="0" zoomScale="90" zoomScaleNormal="90" workbookViewId="0">
      <pane xSplit="8" ySplit="7" topLeftCell="I60" activePane="bottomRight" state="frozen"/>
      <selection pane="topRight"/>
      <selection pane="bottomLeft" activeCell="F1" sqref="F1"/>
      <selection pane="bottomRight" activeCell="G60" sqref="G60:G61"/>
    </sheetView>
  </sheetViews>
  <sheetFormatPr baseColWidth="10" defaultColWidth="11" defaultRowHeight="14.4"/>
  <cols>
    <col min="1" max="1" width="2" customWidth="1"/>
    <col min="2" max="2" width="14" customWidth="1"/>
    <col min="3" max="3" width="27.5546875" customWidth="1"/>
    <col min="4" max="4" width="10" customWidth="1"/>
    <col min="5" max="5" width="11" customWidth="1"/>
    <col min="6" max="6" width="21" customWidth="1"/>
    <col min="7" max="7" width="19" customWidth="1"/>
    <col min="8" max="8" width="41.44140625" customWidth="1"/>
    <col min="9" max="9" width="17.5546875" customWidth="1"/>
    <col min="10" max="10" width="18.88671875" customWidth="1"/>
    <col min="11" max="11" width="25.33203125" customWidth="1"/>
    <col min="12" max="12" width="18" customWidth="1"/>
    <col min="13" max="13" width="17" bestFit="1" customWidth="1"/>
    <col min="14" max="14" width="19.5546875" customWidth="1"/>
    <col min="15" max="15" width="42.109375" customWidth="1"/>
    <col min="16" max="16" width="19.88671875" bestFit="1" customWidth="1"/>
    <col min="17" max="17" width="19.88671875" style="180" customWidth="1"/>
    <col min="18" max="19" width="13" customWidth="1"/>
    <col min="20" max="20" width="5" bestFit="1" customWidth="1"/>
    <col min="21" max="29" width="19" customWidth="1"/>
    <col min="30" max="30" width="33" bestFit="1" customWidth="1"/>
    <col min="31" max="31" width="12.5546875" customWidth="1"/>
    <col min="34" max="58" width="11" customWidth="1"/>
  </cols>
  <sheetData>
    <row r="1" spans="2:30" s="15" customFormat="1" ht="58.65" customHeight="1">
      <c r="B1" s="220" t="s">
        <v>84</v>
      </c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</row>
    <row r="2" spans="2:30" s="15" customFormat="1" ht="6" customHeight="1"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175"/>
      <c r="R2" s="33"/>
      <c r="S2" s="33"/>
      <c r="T2" s="59"/>
      <c r="U2" s="34"/>
      <c r="V2" s="34"/>
      <c r="W2" s="34"/>
      <c r="X2" s="34"/>
      <c r="Y2" s="34"/>
      <c r="Z2" s="34"/>
      <c r="AA2" s="34"/>
      <c r="AB2" s="34"/>
      <c r="AC2" s="34"/>
      <c r="AD2" s="101"/>
    </row>
    <row r="3" spans="2:30" s="15" customFormat="1" ht="2.25" customHeight="1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176"/>
      <c r="R3" s="32"/>
      <c r="S3" s="32"/>
      <c r="T3" s="40"/>
      <c r="U3" s="35"/>
      <c r="V3" s="35"/>
      <c r="W3" s="35"/>
      <c r="X3" s="35"/>
      <c r="Y3" s="35"/>
      <c r="Z3" s="35"/>
      <c r="AA3" s="35"/>
      <c r="AB3" s="35"/>
      <c r="AC3" s="35"/>
      <c r="AD3" s="56"/>
    </row>
    <row r="4" spans="2:30" s="15" customFormat="1" ht="2.25" customHeight="1">
      <c r="B4" s="16"/>
      <c r="C4" s="16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176"/>
      <c r="R4" s="32"/>
      <c r="S4" s="32"/>
      <c r="T4" s="40"/>
      <c r="U4" s="35"/>
      <c r="V4" s="35"/>
      <c r="W4" s="35"/>
      <c r="X4" s="35"/>
      <c r="Y4" s="35"/>
      <c r="Z4" s="35"/>
      <c r="AA4" s="35"/>
      <c r="AB4" s="35"/>
      <c r="AC4" s="35"/>
      <c r="AD4" s="56"/>
    </row>
    <row r="5" spans="2:30" s="15" customFormat="1" ht="2.25" customHeight="1">
      <c r="B5" s="16"/>
      <c r="C5" s="16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176"/>
      <c r="R5" s="32"/>
      <c r="S5" s="32"/>
      <c r="T5" s="40"/>
      <c r="U5" s="35"/>
      <c r="V5" s="35"/>
      <c r="W5" s="35"/>
      <c r="X5" s="35"/>
      <c r="Y5" s="35"/>
      <c r="Z5" s="35"/>
      <c r="AA5" s="35"/>
      <c r="AB5" s="35"/>
      <c r="AC5" s="35"/>
      <c r="AD5" s="56"/>
    </row>
    <row r="6" spans="2:30" s="15" customFormat="1" ht="1.5" customHeight="1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5"/>
      <c r="N6" s="35"/>
      <c r="O6" s="35"/>
      <c r="P6" s="35"/>
      <c r="Q6" s="177"/>
      <c r="R6" s="35"/>
      <c r="S6" s="35"/>
      <c r="T6" s="40"/>
      <c r="U6" s="35"/>
      <c r="V6" s="35"/>
      <c r="W6" s="35"/>
      <c r="X6" s="35"/>
      <c r="Y6" s="35"/>
      <c r="Z6" s="35"/>
      <c r="AA6" s="35"/>
      <c r="AB6" s="35"/>
      <c r="AC6" s="35"/>
      <c r="AD6" s="56"/>
    </row>
    <row r="7" spans="2:30" s="62" customFormat="1" ht="39.15" customHeight="1">
      <c r="B7" s="151" t="s">
        <v>2</v>
      </c>
      <c r="C7" s="151" t="s">
        <v>85</v>
      </c>
      <c r="D7" s="151" t="s">
        <v>74</v>
      </c>
      <c r="E7" s="152" t="s">
        <v>86</v>
      </c>
      <c r="F7" s="152" t="s">
        <v>87</v>
      </c>
      <c r="G7" s="151" t="s">
        <v>88</v>
      </c>
      <c r="H7" s="151" t="s">
        <v>4</v>
      </c>
      <c r="I7" s="151" t="s">
        <v>89</v>
      </c>
      <c r="J7" s="151" t="s">
        <v>90</v>
      </c>
      <c r="K7" s="151" t="s">
        <v>5</v>
      </c>
      <c r="L7" s="151" t="s">
        <v>91</v>
      </c>
      <c r="M7" s="151" t="s">
        <v>3</v>
      </c>
      <c r="N7" s="151" t="s">
        <v>92</v>
      </c>
      <c r="O7" s="151" t="s">
        <v>93</v>
      </c>
      <c r="P7" s="151" t="s">
        <v>94</v>
      </c>
      <c r="Q7" s="178" t="s">
        <v>95</v>
      </c>
      <c r="R7" s="151" t="s">
        <v>96</v>
      </c>
      <c r="S7" s="151" t="s">
        <v>97</v>
      </c>
      <c r="T7" s="151" t="s">
        <v>98</v>
      </c>
      <c r="U7" s="151" t="s">
        <v>99</v>
      </c>
      <c r="V7" s="151" t="s">
        <v>100</v>
      </c>
      <c r="W7" s="151" t="s">
        <v>101</v>
      </c>
      <c r="X7" s="151" t="s">
        <v>102</v>
      </c>
      <c r="Y7" s="151" t="s">
        <v>11</v>
      </c>
      <c r="Z7" s="151" t="s">
        <v>103</v>
      </c>
      <c r="AA7" s="151" t="s">
        <v>104</v>
      </c>
      <c r="AB7" s="151" t="s">
        <v>105</v>
      </c>
      <c r="AC7" s="151" t="s">
        <v>106</v>
      </c>
      <c r="AD7" s="151" t="s">
        <v>107</v>
      </c>
    </row>
    <row r="8" spans="2:30" s="15" customFormat="1" ht="28.8" customHeight="1">
      <c r="B8" s="36" t="s">
        <v>108</v>
      </c>
      <c r="C8" s="128" t="s">
        <v>109</v>
      </c>
      <c r="D8" s="18" t="s">
        <v>110</v>
      </c>
      <c r="E8" s="22" t="s">
        <v>19</v>
      </c>
      <c r="F8" s="83" t="s">
        <v>41</v>
      </c>
      <c r="G8" s="83"/>
      <c r="H8" s="25" t="s">
        <v>8035</v>
      </c>
      <c r="I8" s="25" t="s">
        <v>111</v>
      </c>
      <c r="J8" s="98">
        <v>46226.626388888893</v>
      </c>
      <c r="K8" s="25" t="s">
        <v>8155</v>
      </c>
      <c r="L8" s="63">
        <v>46227.589583333327</v>
      </c>
      <c r="M8" s="18" t="s">
        <v>34</v>
      </c>
      <c r="N8" s="64"/>
      <c r="O8" s="145"/>
      <c r="P8" s="64"/>
      <c r="Q8" s="64"/>
      <c r="R8" s="66">
        <v>46272</v>
      </c>
      <c r="S8" s="37">
        <v>46275</v>
      </c>
      <c r="T8" s="60">
        <f t="shared" ref="T8:T71" si="0">IF(U8="","",IF(U8=W8,1,0))</f>
        <v>1</v>
      </c>
      <c r="U8" s="38">
        <v>2</v>
      </c>
      <c r="V8" s="64">
        <v>2</v>
      </c>
      <c r="W8" s="38">
        <f>IF(B8="","",COUNTIFS(Ejecucion[No. Solicitud],Registro!B8,Ejecucion[Estado],"Finalizado"))</f>
        <v>2</v>
      </c>
      <c r="X8" s="38">
        <f>IF(B8="","",COUNTIFS(Ejecucion[No. Solicitud],Registro!B8,Ejecucion[Estado],"No Iniciado"))</f>
        <v>0</v>
      </c>
      <c r="Y8" s="64">
        <f>IF(B8="","",COUNTIFS(Ejecucion[No. Solicitud],Registro!B8,Ejecucion[Estado],"En Proceso"))</f>
        <v>0</v>
      </c>
      <c r="Z8" s="64">
        <f t="shared" ref="Z8:Z39" si="1">IF(U8="","",IF(F8="Virtual Asincrónico",1,V8*U8))</f>
        <v>4</v>
      </c>
      <c r="AA8" s="64"/>
      <c r="AB8" s="64"/>
      <c r="AC8" s="64" t="s">
        <v>83</v>
      </c>
      <c r="AD8" s="102" t="s">
        <v>112</v>
      </c>
    </row>
    <row r="9" spans="2:30" s="15" customFormat="1" ht="28.8" customHeight="1">
      <c r="B9" s="36" t="s">
        <v>113</v>
      </c>
      <c r="C9" s="128" t="s">
        <v>114</v>
      </c>
      <c r="D9" s="18" t="s">
        <v>110</v>
      </c>
      <c r="E9" s="22" t="s">
        <v>19</v>
      </c>
      <c r="F9" s="83" t="s">
        <v>42</v>
      </c>
      <c r="G9" s="83"/>
      <c r="H9" s="25" t="s">
        <v>8036</v>
      </c>
      <c r="I9" s="25" t="s">
        <v>111</v>
      </c>
      <c r="J9" s="98">
        <v>46225.409722222219</v>
      </c>
      <c r="K9" s="25" t="s">
        <v>73</v>
      </c>
      <c r="L9" s="63">
        <v>46227.602083333331</v>
      </c>
      <c r="M9" s="18" t="s">
        <v>37</v>
      </c>
      <c r="N9" s="64"/>
      <c r="O9" s="145"/>
      <c r="P9" s="64"/>
      <c r="Q9" s="64"/>
      <c r="R9" s="66">
        <v>46259</v>
      </c>
      <c r="S9" s="37">
        <v>46265</v>
      </c>
      <c r="T9" s="60">
        <f t="shared" si="0"/>
        <v>0</v>
      </c>
      <c r="U9" s="38">
        <v>2</v>
      </c>
      <c r="V9" s="64">
        <v>2</v>
      </c>
      <c r="W9" s="38">
        <f>IF(B9="","",COUNTIFS(Ejecucion[No. Solicitud],Registro!B9,Ejecucion[Estado],"Finalizado"))</f>
        <v>1</v>
      </c>
      <c r="X9" s="38">
        <f>IF(B9="","",COUNTIFS(Ejecucion[No. Solicitud],Registro!B9,Ejecucion[Estado],"No Iniciado"))</f>
        <v>0</v>
      </c>
      <c r="Y9" s="64">
        <f>IF(B9="","",COUNTIFS(Ejecucion[No. Solicitud],Registro!B9,Ejecucion[Estado],"En Proceso"))</f>
        <v>0</v>
      </c>
      <c r="Z9" s="64">
        <f t="shared" si="1"/>
        <v>1</v>
      </c>
      <c r="AA9" s="64"/>
      <c r="AB9" s="64"/>
      <c r="AC9" s="64" t="s">
        <v>81</v>
      </c>
      <c r="AD9" s="103" t="s">
        <v>115</v>
      </c>
    </row>
    <row r="10" spans="2:30" s="15" customFormat="1" ht="28.8" customHeight="1">
      <c r="B10" s="36" t="s">
        <v>116</v>
      </c>
      <c r="C10" s="128" t="s">
        <v>117</v>
      </c>
      <c r="D10" s="18" t="s">
        <v>110</v>
      </c>
      <c r="E10" s="22" t="s">
        <v>19</v>
      </c>
      <c r="F10" s="83" t="s">
        <v>40</v>
      </c>
      <c r="G10" s="83"/>
      <c r="H10" s="25" t="s">
        <v>8037</v>
      </c>
      <c r="I10" s="25" t="s">
        <v>111</v>
      </c>
      <c r="J10" s="98">
        <v>46234.672222222223</v>
      </c>
      <c r="K10" s="25" t="s">
        <v>73</v>
      </c>
      <c r="L10" s="63">
        <v>46237.353472222218</v>
      </c>
      <c r="M10" s="18" t="s">
        <v>38</v>
      </c>
      <c r="N10" s="64"/>
      <c r="O10" s="145"/>
      <c r="P10" s="64"/>
      <c r="Q10" s="64"/>
      <c r="R10" s="57">
        <v>46246</v>
      </c>
      <c r="S10" s="57">
        <v>46247</v>
      </c>
      <c r="T10" s="60">
        <f t="shared" si="0"/>
        <v>1</v>
      </c>
      <c r="U10" s="38">
        <v>2</v>
      </c>
      <c r="V10" s="64">
        <v>1</v>
      </c>
      <c r="W10" s="38">
        <f>IF(B10="","",COUNTIFS(Ejecucion[No. Solicitud],Registro!B10,Ejecucion[Estado],"Finalizado"))</f>
        <v>2</v>
      </c>
      <c r="X10" s="38">
        <v>1</v>
      </c>
      <c r="Y10" s="64">
        <v>1</v>
      </c>
      <c r="Z10" s="64">
        <f t="shared" si="1"/>
        <v>2</v>
      </c>
      <c r="AA10" s="64">
        <v>1</v>
      </c>
      <c r="AB10" s="64">
        <v>1</v>
      </c>
      <c r="AC10" s="64" t="s">
        <v>81</v>
      </c>
      <c r="AD10" s="102" t="s">
        <v>118</v>
      </c>
    </row>
    <row r="11" spans="2:30" s="15" customFormat="1" ht="28.8" customHeight="1">
      <c r="B11" s="36" t="s">
        <v>119</v>
      </c>
      <c r="C11" s="128" t="s">
        <v>120</v>
      </c>
      <c r="D11" s="18" t="s">
        <v>110</v>
      </c>
      <c r="E11" s="22" t="s">
        <v>19</v>
      </c>
      <c r="F11" s="83" t="s">
        <v>40</v>
      </c>
      <c r="G11" s="83"/>
      <c r="H11" s="25" t="s">
        <v>8038</v>
      </c>
      <c r="I11" s="25" t="s">
        <v>111</v>
      </c>
      <c r="J11" s="98">
        <v>46237.406944444447</v>
      </c>
      <c r="K11" s="25" t="s">
        <v>8151</v>
      </c>
      <c r="L11" s="63">
        <v>46237.441666666673</v>
      </c>
      <c r="M11" s="18" t="s">
        <v>36</v>
      </c>
      <c r="N11" s="64">
        <v>167663</v>
      </c>
      <c r="O11" s="145" t="s">
        <v>121</v>
      </c>
      <c r="P11" s="64" t="s">
        <v>122</v>
      </c>
      <c r="Q11" s="64"/>
      <c r="R11" s="37">
        <v>46261</v>
      </c>
      <c r="S11" s="37">
        <v>46275</v>
      </c>
      <c r="T11" s="60">
        <f t="shared" si="0"/>
        <v>1</v>
      </c>
      <c r="U11" s="38">
        <v>2</v>
      </c>
      <c r="V11" s="64">
        <v>2</v>
      </c>
      <c r="W11" s="38">
        <f>IF(B11="","",COUNTIFS(Ejecucion[No. Solicitud],Registro!B11,Ejecucion[Estado],"Finalizado"))</f>
        <v>2</v>
      </c>
      <c r="X11" s="38">
        <f>IF(B11="","",COUNTIFS(Ejecucion[No. Solicitud],Registro!B11,Ejecucion[Estado],"No Iniciado"))</f>
        <v>0</v>
      </c>
      <c r="Y11" s="64">
        <f>IF(B11="","",COUNTIFS(Ejecucion[No. Solicitud],Registro!B11,Ejecucion[Estado],"En Proceso"))</f>
        <v>0</v>
      </c>
      <c r="Z11" s="64">
        <f t="shared" si="1"/>
        <v>4</v>
      </c>
      <c r="AA11" s="64"/>
      <c r="AB11" s="64"/>
      <c r="AC11" s="64" t="s">
        <v>82</v>
      </c>
      <c r="AD11" s="102" t="s">
        <v>118</v>
      </c>
    </row>
    <row r="12" spans="2:30" s="15" customFormat="1" ht="28.8" customHeight="1">
      <c r="B12" s="36" t="s">
        <v>123</v>
      </c>
      <c r="C12" s="128" t="s">
        <v>124</v>
      </c>
      <c r="D12" s="18" t="s">
        <v>110</v>
      </c>
      <c r="E12" s="22" t="s">
        <v>19</v>
      </c>
      <c r="F12" s="83" t="s">
        <v>40</v>
      </c>
      <c r="G12" s="83"/>
      <c r="H12" s="25" t="s">
        <v>8039</v>
      </c>
      <c r="I12" s="25" t="s">
        <v>111</v>
      </c>
      <c r="J12" s="98">
        <v>46237.595138888893</v>
      </c>
      <c r="K12" s="25" t="s">
        <v>8151</v>
      </c>
      <c r="L12" s="63">
        <v>46238.394444444442</v>
      </c>
      <c r="M12" s="18" t="s">
        <v>38</v>
      </c>
      <c r="N12" s="64"/>
      <c r="O12" s="145"/>
      <c r="P12" s="64"/>
      <c r="Q12" s="64"/>
      <c r="R12" s="37">
        <v>46274</v>
      </c>
      <c r="S12" s="37">
        <v>46275</v>
      </c>
      <c r="T12" s="60">
        <f t="shared" si="0"/>
        <v>1</v>
      </c>
      <c r="U12" s="38">
        <v>2</v>
      </c>
      <c r="V12" s="38">
        <v>2</v>
      </c>
      <c r="W12" s="38">
        <f>IF(B12="","",COUNTIFS(Ejecucion[No. Solicitud],Registro!B12,Ejecucion[Estado],"Finalizado"))</f>
        <v>2</v>
      </c>
      <c r="X12" s="38">
        <f>IF(B12="","",COUNTIFS(Ejecucion[No. Solicitud],Registro!B12,Ejecucion[Estado],"No Iniciado"))</f>
        <v>0</v>
      </c>
      <c r="Y12" s="64">
        <f>IF(B12="","",COUNTIFS(Ejecucion[No. Solicitud],Registro!B12,Ejecucion[Estado],"En Proceso"))</f>
        <v>0</v>
      </c>
      <c r="Z12" s="64">
        <f t="shared" si="1"/>
        <v>4</v>
      </c>
      <c r="AA12" s="64"/>
      <c r="AB12" s="64"/>
      <c r="AC12" s="64" t="s">
        <v>81</v>
      </c>
      <c r="AD12" s="103" t="s">
        <v>112</v>
      </c>
    </row>
    <row r="13" spans="2:30" s="15" customFormat="1" ht="28.8" customHeight="1">
      <c r="B13" s="36" t="s">
        <v>125</v>
      </c>
      <c r="C13" s="128" t="s">
        <v>126</v>
      </c>
      <c r="D13" s="18" t="s">
        <v>32</v>
      </c>
      <c r="E13" s="22" t="s">
        <v>19</v>
      </c>
      <c r="F13" s="83" t="s">
        <v>41</v>
      </c>
      <c r="G13" s="83"/>
      <c r="H13" s="25" t="s">
        <v>8040</v>
      </c>
      <c r="I13" s="25" t="s">
        <v>111</v>
      </c>
      <c r="J13" s="98">
        <v>46238.340277777781</v>
      </c>
      <c r="K13" s="25" t="s">
        <v>8151</v>
      </c>
      <c r="L13" s="63">
        <v>46238.44027777778</v>
      </c>
      <c r="M13" s="18" t="s">
        <v>36</v>
      </c>
      <c r="N13" s="64">
        <v>194323</v>
      </c>
      <c r="O13" s="145" t="s">
        <v>127</v>
      </c>
      <c r="P13" s="64" t="s">
        <v>128</v>
      </c>
      <c r="Q13" s="64">
        <v>10500</v>
      </c>
      <c r="R13" s="37">
        <v>46308</v>
      </c>
      <c r="S13" s="37">
        <v>46325</v>
      </c>
      <c r="T13" s="60">
        <f t="shared" si="0"/>
        <v>0</v>
      </c>
      <c r="U13" s="38">
        <v>2</v>
      </c>
      <c r="V13" s="38">
        <v>3</v>
      </c>
      <c r="W13" s="38">
        <f>IF(B13="","",COUNTIFS(Ejecucion[No. Solicitud],Registro!B13,Ejecucion[Estado],"Finalizado"))</f>
        <v>0</v>
      </c>
      <c r="X13" s="38">
        <f>IF(B13="","",COUNTIFS(Ejecucion[No. Solicitud],Registro!B13,Ejecucion[Estado],"No Iniciado"))</f>
        <v>0</v>
      </c>
      <c r="Y13" s="64">
        <f>IF(B13="","",COUNTIFS(Ejecucion[No. Solicitud],Registro!B13,Ejecucion[Estado],"En Proceso"))</f>
        <v>2</v>
      </c>
      <c r="Z13" s="64">
        <f t="shared" si="1"/>
        <v>6</v>
      </c>
      <c r="AA13" s="64"/>
      <c r="AB13" s="64"/>
      <c r="AC13" s="64" t="s">
        <v>82</v>
      </c>
      <c r="AD13" s="102" t="s">
        <v>129</v>
      </c>
    </row>
    <row r="14" spans="2:30" s="15" customFormat="1" ht="28.8" customHeight="1">
      <c r="B14" s="36" t="s">
        <v>130</v>
      </c>
      <c r="C14" s="128" t="s">
        <v>131</v>
      </c>
      <c r="D14" s="18" t="s">
        <v>32</v>
      </c>
      <c r="E14" s="22" t="s">
        <v>19</v>
      </c>
      <c r="F14" s="83" t="s">
        <v>41</v>
      </c>
      <c r="G14" s="83"/>
      <c r="H14" s="25" t="s">
        <v>8041</v>
      </c>
      <c r="I14" s="25" t="s">
        <v>111</v>
      </c>
      <c r="J14" s="98">
        <v>46238.415972222218</v>
      </c>
      <c r="K14" s="25" t="s">
        <v>73</v>
      </c>
      <c r="L14" s="54">
        <v>46238.44027777778</v>
      </c>
      <c r="M14" s="18" t="s">
        <v>37</v>
      </c>
      <c r="N14" s="64"/>
      <c r="O14" s="145"/>
      <c r="P14" s="64"/>
      <c r="Q14" s="64"/>
      <c r="R14" s="57">
        <v>46304</v>
      </c>
      <c r="S14" s="57">
        <v>46311</v>
      </c>
      <c r="T14" s="60">
        <f t="shared" si="0"/>
        <v>0</v>
      </c>
      <c r="U14" s="38">
        <v>1</v>
      </c>
      <c r="V14" s="38">
        <v>2</v>
      </c>
      <c r="W14" s="38">
        <f>IF(B14="","",COUNTIFS(Ejecucion[No. Solicitud],Registro!B14,Ejecucion[Estado],"Finalizado"))</f>
        <v>0</v>
      </c>
      <c r="X14" s="38">
        <f>IF(B14="","",COUNTIFS(Ejecucion[No. Solicitud],Registro!B14,Ejecucion[Estado],"No Iniciado"))</f>
        <v>0</v>
      </c>
      <c r="Y14" s="64">
        <f>IF(B14="","",COUNTIFS(Ejecucion[No. Solicitud],Registro!B14,Ejecucion[Estado],"En Proceso"))</f>
        <v>1</v>
      </c>
      <c r="Z14" s="64">
        <f t="shared" si="1"/>
        <v>2</v>
      </c>
      <c r="AA14" s="64"/>
      <c r="AB14" s="64"/>
      <c r="AC14" s="64" t="s">
        <v>83</v>
      </c>
      <c r="AD14" s="103" t="s">
        <v>132</v>
      </c>
    </row>
    <row r="15" spans="2:30" s="15" customFormat="1" ht="28.8" customHeight="1">
      <c r="B15" s="36" t="s">
        <v>133</v>
      </c>
      <c r="C15" s="128" t="s">
        <v>134</v>
      </c>
      <c r="D15" s="18" t="s">
        <v>32</v>
      </c>
      <c r="E15" s="22" t="s">
        <v>19</v>
      </c>
      <c r="F15" s="83" t="s">
        <v>41</v>
      </c>
      <c r="G15" s="83"/>
      <c r="H15" s="25" t="s">
        <v>8042</v>
      </c>
      <c r="I15" s="25" t="s">
        <v>111</v>
      </c>
      <c r="J15" s="98">
        <v>46238.419444444437</v>
      </c>
      <c r="K15" s="25" t="s">
        <v>8151</v>
      </c>
      <c r="L15" s="54">
        <v>46238.440972222219</v>
      </c>
      <c r="M15" s="18" t="s">
        <v>34</v>
      </c>
      <c r="N15" s="64">
        <v>201376</v>
      </c>
      <c r="O15" s="145" t="s">
        <v>135</v>
      </c>
      <c r="P15" s="64" t="s">
        <v>136</v>
      </c>
      <c r="Q15" s="64"/>
      <c r="R15" s="37">
        <v>46329</v>
      </c>
      <c r="S15" s="37">
        <v>46332</v>
      </c>
      <c r="T15" s="60">
        <f t="shared" si="0"/>
        <v>0</v>
      </c>
      <c r="U15" s="38">
        <v>2</v>
      </c>
      <c r="V15" s="38">
        <v>2</v>
      </c>
      <c r="W15" s="38">
        <f>IF(B15="","",COUNTIFS(Ejecucion[No. Solicitud],Registro!B15,Ejecucion[Estado],"Finalizado"))</f>
        <v>0</v>
      </c>
      <c r="X15" s="38">
        <f>IF(B15="","",COUNTIFS(Ejecucion[No. Solicitud],Registro!B15,Ejecucion[Estado],"No Iniciado"))</f>
        <v>0</v>
      </c>
      <c r="Y15" s="64">
        <f>IF(B15="","",COUNTIFS(Ejecucion[No. Solicitud],Registro!B15,Ejecucion[Estado],"En Proceso"))</f>
        <v>2</v>
      </c>
      <c r="Z15" s="64">
        <f t="shared" si="1"/>
        <v>4</v>
      </c>
      <c r="AA15" s="64"/>
      <c r="AB15" s="64"/>
      <c r="AC15" s="64" t="s">
        <v>82</v>
      </c>
      <c r="AD15" s="103" t="s">
        <v>132</v>
      </c>
    </row>
    <row r="16" spans="2:30" s="15" customFormat="1" ht="28.8" customHeight="1">
      <c r="B16" s="36" t="s">
        <v>137</v>
      </c>
      <c r="C16" s="128" t="s">
        <v>138</v>
      </c>
      <c r="D16" s="18" t="s">
        <v>32</v>
      </c>
      <c r="E16" s="22" t="s">
        <v>19</v>
      </c>
      <c r="F16" s="83" t="s">
        <v>42</v>
      </c>
      <c r="G16" s="83"/>
      <c r="H16" s="25" t="s">
        <v>8043</v>
      </c>
      <c r="I16" s="25" t="s">
        <v>111</v>
      </c>
      <c r="J16" s="98">
        <v>46240.388194444437</v>
      </c>
      <c r="K16" s="25" t="s">
        <v>8151</v>
      </c>
      <c r="L16" s="99">
        <v>46240.625</v>
      </c>
      <c r="M16" s="18" t="s">
        <v>37</v>
      </c>
      <c r="N16" s="64"/>
      <c r="O16" s="145"/>
      <c r="P16" s="64" t="s">
        <v>139</v>
      </c>
      <c r="Q16" s="64"/>
      <c r="R16" s="57">
        <v>46350</v>
      </c>
      <c r="S16" s="57">
        <v>46356</v>
      </c>
      <c r="T16" s="60">
        <f t="shared" si="0"/>
        <v>0</v>
      </c>
      <c r="U16" s="38">
        <v>1</v>
      </c>
      <c r="V16" s="38">
        <v>5</v>
      </c>
      <c r="W16" s="38">
        <f>IF(B16="","",COUNTIFS(Ejecucion[No. Solicitud],Registro!B16,Ejecucion[Estado],"Finalizado"))</f>
        <v>0</v>
      </c>
      <c r="X16" s="38">
        <f>IF(B16="","",COUNTIFS(Ejecucion[No. Solicitud],Registro!B16,Ejecucion[Estado],"No Iniciado"))</f>
        <v>0</v>
      </c>
      <c r="Y16" s="64">
        <f>IF(B16="","",COUNTIFS(Ejecucion[No. Solicitud],Registro!B16,Ejecucion[Estado],"En Proceso"))</f>
        <v>1</v>
      </c>
      <c r="Z16" s="64">
        <f t="shared" si="1"/>
        <v>1</v>
      </c>
      <c r="AA16" s="64"/>
      <c r="AB16" s="64"/>
      <c r="AC16" s="64" t="s">
        <v>81</v>
      </c>
      <c r="AD16" s="102" t="s">
        <v>115</v>
      </c>
    </row>
    <row r="17" spans="2:30" s="15" customFormat="1" ht="28.8" customHeight="1">
      <c r="B17" s="36" t="s">
        <v>140</v>
      </c>
      <c r="C17" s="128" t="s">
        <v>141</v>
      </c>
      <c r="D17" s="18" t="s">
        <v>110</v>
      </c>
      <c r="E17" s="22" t="s">
        <v>19</v>
      </c>
      <c r="F17" s="83" t="s">
        <v>40</v>
      </c>
      <c r="G17" s="83"/>
      <c r="H17" s="25" t="s">
        <v>8044</v>
      </c>
      <c r="I17" s="25" t="s">
        <v>111</v>
      </c>
      <c r="J17" s="98">
        <v>46241.463888888888</v>
      </c>
      <c r="K17" s="25" t="s">
        <v>73</v>
      </c>
      <c r="L17" s="54">
        <v>46240.625694444447</v>
      </c>
      <c r="M17" s="18" t="s">
        <v>35</v>
      </c>
      <c r="N17" s="64">
        <v>80994</v>
      </c>
      <c r="O17" s="145" t="s">
        <v>142</v>
      </c>
      <c r="P17" s="64" t="s">
        <v>143</v>
      </c>
      <c r="Q17" s="179">
        <v>14336</v>
      </c>
      <c r="R17" s="57">
        <v>46282</v>
      </c>
      <c r="S17" s="57">
        <v>46283</v>
      </c>
      <c r="T17" s="60">
        <f t="shared" si="0"/>
        <v>1</v>
      </c>
      <c r="U17" s="38">
        <v>2</v>
      </c>
      <c r="V17" s="38">
        <v>1</v>
      </c>
      <c r="W17" s="38">
        <f>IF(B17="","",COUNTIFS(Ejecucion[No. Solicitud],Registro!B17,Ejecucion[Estado],"Finalizado"))</f>
        <v>2</v>
      </c>
      <c r="X17" s="38">
        <f>IF(B17="","",COUNTIFS(Ejecucion[No. Solicitud],Registro!B17,Ejecucion[Estado],"No Iniciado"))</f>
        <v>0</v>
      </c>
      <c r="Y17" s="64">
        <f>IF(B17="","",COUNTIFS(Ejecucion[No. Solicitud],Registro!B17,Ejecucion[Estado],"En Proceso"))</f>
        <v>0</v>
      </c>
      <c r="Z17" s="64">
        <f t="shared" si="1"/>
        <v>2</v>
      </c>
      <c r="AA17" s="64"/>
      <c r="AB17" s="64"/>
      <c r="AC17" s="64" t="s">
        <v>82</v>
      </c>
      <c r="AD17" s="102" t="s">
        <v>132</v>
      </c>
    </row>
    <row r="18" spans="2:30" s="15" customFormat="1" ht="28.8" customHeight="1">
      <c r="B18" s="36" t="s">
        <v>144</v>
      </c>
      <c r="C18" s="128" t="s">
        <v>145</v>
      </c>
      <c r="D18" s="18" t="s">
        <v>110</v>
      </c>
      <c r="E18" s="22" t="s">
        <v>17</v>
      </c>
      <c r="F18" s="83" t="s">
        <v>40</v>
      </c>
      <c r="G18" s="83"/>
      <c r="H18" s="25" t="s">
        <v>8045</v>
      </c>
      <c r="I18" s="25" t="s">
        <v>111</v>
      </c>
      <c r="J18" s="98">
        <v>46240.299305555563</v>
      </c>
      <c r="K18" s="25" t="s">
        <v>73</v>
      </c>
      <c r="L18" s="99">
        <v>46240.62777777778</v>
      </c>
      <c r="M18" s="18" t="s">
        <v>38</v>
      </c>
      <c r="N18" s="64">
        <v>201374</v>
      </c>
      <c r="O18" s="145" t="s">
        <v>146</v>
      </c>
      <c r="P18" s="64" t="s">
        <v>147</v>
      </c>
      <c r="Q18" s="64"/>
      <c r="R18" s="57">
        <v>46262</v>
      </c>
      <c r="S18" s="57">
        <v>46262</v>
      </c>
      <c r="T18" s="60">
        <f t="shared" si="0"/>
        <v>0</v>
      </c>
      <c r="U18" s="38">
        <v>1</v>
      </c>
      <c r="V18" s="38">
        <v>1</v>
      </c>
      <c r="W18" s="38">
        <f>IF(B18="","",COUNTIFS(Ejecucion[No. Solicitud],Registro!B18,Ejecucion[Estado],"Finalizado"))</f>
        <v>0</v>
      </c>
      <c r="X18" s="38">
        <f>IF(B18="","",COUNTIFS(Ejecucion[No. Solicitud],Registro!B18,Ejecucion[Estado],"No Iniciado"))</f>
        <v>0</v>
      </c>
      <c r="Y18" s="64">
        <f>IF(B18="","",COUNTIFS(Ejecucion[No. Solicitud],Registro!B18,Ejecucion[Estado],"En Proceso"))</f>
        <v>1</v>
      </c>
      <c r="Z18" s="64">
        <f t="shared" si="1"/>
        <v>1</v>
      </c>
      <c r="AA18" s="64"/>
      <c r="AB18" s="64"/>
      <c r="AC18" s="64" t="s">
        <v>82</v>
      </c>
      <c r="AD18" s="103" t="s">
        <v>112</v>
      </c>
    </row>
    <row r="19" spans="2:30" s="15" customFormat="1" ht="28.8" customHeight="1">
      <c r="B19" s="36" t="s">
        <v>148</v>
      </c>
      <c r="C19" s="128" t="s">
        <v>149</v>
      </c>
      <c r="D19" s="18" t="s">
        <v>77</v>
      </c>
      <c r="E19" s="22" t="s">
        <v>19</v>
      </c>
      <c r="F19" s="83" t="s">
        <v>40</v>
      </c>
      <c r="G19" s="83"/>
      <c r="H19" s="25" t="s">
        <v>8046</v>
      </c>
      <c r="I19" s="25" t="s">
        <v>111</v>
      </c>
      <c r="J19" s="98">
        <v>46240.619444444441</v>
      </c>
      <c r="K19" s="25" t="s">
        <v>73</v>
      </c>
      <c r="L19" s="54">
        <v>46240.629861111112</v>
      </c>
      <c r="M19" s="18" t="s">
        <v>38</v>
      </c>
      <c r="N19" s="64">
        <v>117594</v>
      </c>
      <c r="O19" s="145" t="s">
        <v>150</v>
      </c>
      <c r="P19" s="64" t="s">
        <v>151</v>
      </c>
      <c r="Q19" s="64"/>
      <c r="R19" s="37">
        <v>46308</v>
      </c>
      <c r="S19" s="37">
        <v>46318</v>
      </c>
      <c r="T19" s="60">
        <f t="shared" si="0"/>
        <v>0</v>
      </c>
      <c r="U19" s="38">
        <v>5</v>
      </c>
      <c r="V19" s="38">
        <v>1</v>
      </c>
      <c r="W19" s="38">
        <f>IF(B19="","",COUNTIFS(Ejecucion[No. Solicitud],Registro!B19,Ejecucion[Estado],"Finalizado"))</f>
        <v>0</v>
      </c>
      <c r="X19" s="38">
        <f>IF(B19="","",COUNTIFS(Ejecucion[No. Solicitud],Registro!B19,Ejecucion[Estado],"No Iniciado"))</f>
        <v>0</v>
      </c>
      <c r="Y19" s="64">
        <f>IF(B19="","",COUNTIFS(Ejecucion[No. Solicitud],Registro!B19,Ejecucion[Estado],"En Proceso"))</f>
        <v>0</v>
      </c>
      <c r="Z19" s="64">
        <f t="shared" si="1"/>
        <v>5</v>
      </c>
      <c r="AA19" s="64"/>
      <c r="AB19" s="64"/>
      <c r="AC19" s="64" t="s">
        <v>82</v>
      </c>
      <c r="AD19" s="102" t="s">
        <v>118</v>
      </c>
    </row>
    <row r="20" spans="2:30" s="15" customFormat="1" ht="28.8" customHeight="1">
      <c r="B20" s="18" t="s">
        <v>152</v>
      </c>
      <c r="C20" s="128" t="s">
        <v>153</v>
      </c>
      <c r="D20" s="18" t="s">
        <v>110</v>
      </c>
      <c r="E20" s="22" t="s">
        <v>18</v>
      </c>
      <c r="F20" s="83" t="s">
        <v>40</v>
      </c>
      <c r="G20" s="83"/>
      <c r="H20" s="25" t="s">
        <v>8047</v>
      </c>
      <c r="I20" s="25" t="s">
        <v>111</v>
      </c>
      <c r="J20" s="98">
        <v>46240.659722222219</v>
      </c>
      <c r="K20" s="25" t="s">
        <v>73</v>
      </c>
      <c r="L20" s="54">
        <v>46241.354166666657</v>
      </c>
      <c r="M20" s="36" t="s">
        <v>37</v>
      </c>
      <c r="N20" s="64"/>
      <c r="O20" s="145"/>
      <c r="P20" s="64"/>
      <c r="Q20" s="64"/>
      <c r="R20" s="37">
        <v>46268</v>
      </c>
      <c r="S20" s="37">
        <v>46275</v>
      </c>
      <c r="T20" s="60">
        <f t="shared" si="0"/>
        <v>1</v>
      </c>
      <c r="U20" s="38">
        <v>2</v>
      </c>
      <c r="V20" s="38">
        <v>1</v>
      </c>
      <c r="W20" s="38">
        <f>IF(B20="","",COUNTIFS(Ejecucion[No. Solicitud],Registro!B20,Ejecucion[Estado],"Finalizado"))</f>
        <v>2</v>
      </c>
      <c r="X20" s="38">
        <f>IF(B20="","",COUNTIFS(Ejecucion[No. Solicitud],Registro!B20,Ejecucion[Estado],"No Iniciado"))</f>
        <v>0</v>
      </c>
      <c r="Y20" s="64">
        <f>IF(B20="","",COUNTIFS(Ejecucion[No. Solicitud],Registro!B20,Ejecucion[Estado],"En Proceso"))</f>
        <v>0</v>
      </c>
      <c r="Z20" s="64">
        <f t="shared" si="1"/>
        <v>2</v>
      </c>
      <c r="AA20" s="64"/>
      <c r="AB20" s="64"/>
      <c r="AC20" s="64" t="s">
        <v>81</v>
      </c>
      <c r="AD20" s="102" t="s">
        <v>112</v>
      </c>
    </row>
    <row r="21" spans="2:30" s="15" customFormat="1" ht="28.8" customHeight="1">
      <c r="B21" s="18" t="s">
        <v>154</v>
      </c>
      <c r="C21" s="128" t="s">
        <v>155</v>
      </c>
      <c r="D21" s="18" t="s">
        <v>110</v>
      </c>
      <c r="E21" s="22" t="s">
        <v>18</v>
      </c>
      <c r="F21" s="83" t="s">
        <v>40</v>
      </c>
      <c r="G21" s="83"/>
      <c r="H21" s="25" t="s">
        <v>8048</v>
      </c>
      <c r="I21" s="25" t="s">
        <v>111</v>
      </c>
      <c r="J21" s="98">
        <v>46240.67291666667</v>
      </c>
      <c r="K21" s="25" t="s">
        <v>73</v>
      </c>
      <c r="L21" s="54">
        <v>46241.354861111111</v>
      </c>
      <c r="M21" s="36" t="s">
        <v>36</v>
      </c>
      <c r="N21" s="64"/>
      <c r="O21" s="145"/>
      <c r="P21" s="64"/>
      <c r="Q21" s="64"/>
      <c r="R21" s="37">
        <v>46272</v>
      </c>
      <c r="S21" s="37">
        <v>46272</v>
      </c>
      <c r="T21" s="60">
        <f t="shared" si="0"/>
        <v>1</v>
      </c>
      <c r="U21" s="38">
        <v>1</v>
      </c>
      <c r="V21" s="38">
        <v>1</v>
      </c>
      <c r="W21" s="38">
        <f>IF(B21="","",COUNTIFS(Ejecucion[No. Solicitud],Registro!B21,Ejecucion[Estado],"Finalizado"))</f>
        <v>1</v>
      </c>
      <c r="X21" s="38">
        <f>IF(B21="","",COUNTIFS(Ejecucion[No. Solicitud],Registro!B21,Ejecucion[Estado],"No Iniciado"))</f>
        <v>0</v>
      </c>
      <c r="Y21" s="64">
        <f>IF(B21="","",COUNTIFS(Ejecucion[No. Solicitud],Registro!B21,Ejecucion[Estado],"En Proceso"))</f>
        <v>0</v>
      </c>
      <c r="Z21" s="64">
        <f t="shared" si="1"/>
        <v>1</v>
      </c>
      <c r="AA21" s="64"/>
      <c r="AB21" s="64"/>
      <c r="AC21" s="64" t="s">
        <v>81</v>
      </c>
      <c r="AD21" s="102" t="s">
        <v>112</v>
      </c>
    </row>
    <row r="22" spans="2:30" s="15" customFormat="1" ht="28.8" customHeight="1">
      <c r="B22" s="18" t="s">
        <v>156</v>
      </c>
      <c r="C22" s="128" t="s">
        <v>157</v>
      </c>
      <c r="D22" s="18" t="s">
        <v>110</v>
      </c>
      <c r="E22" s="22" t="s">
        <v>18</v>
      </c>
      <c r="F22" s="83" t="s">
        <v>40</v>
      </c>
      <c r="G22" s="83"/>
      <c r="H22" s="25" t="s">
        <v>8049</v>
      </c>
      <c r="I22" s="25" t="s">
        <v>111</v>
      </c>
      <c r="J22" s="98">
        <v>46241.498611111107</v>
      </c>
      <c r="K22" s="25" t="s">
        <v>8148</v>
      </c>
      <c r="L22" s="54">
        <v>46241.552083333343</v>
      </c>
      <c r="M22" s="36" t="s">
        <v>37</v>
      </c>
      <c r="N22" s="64"/>
      <c r="O22" s="145"/>
      <c r="P22" s="64"/>
      <c r="Q22" s="64"/>
      <c r="R22" s="37">
        <v>46272</v>
      </c>
      <c r="S22" s="37">
        <v>46273</v>
      </c>
      <c r="T22" s="60">
        <f t="shared" si="0"/>
        <v>1</v>
      </c>
      <c r="U22" s="38">
        <v>2</v>
      </c>
      <c r="V22" s="38">
        <v>1</v>
      </c>
      <c r="W22" s="38">
        <f>IF(B22="","",COUNTIFS(Ejecucion[No. Solicitud],Registro!B22,Ejecucion[Estado],"Finalizado"))</f>
        <v>2</v>
      </c>
      <c r="X22" s="38">
        <f>IF(B22="","",COUNTIFS(Ejecucion[No. Solicitud],Registro!B22,Ejecucion[Estado],"No Iniciado"))</f>
        <v>0</v>
      </c>
      <c r="Y22" s="64">
        <f>IF(B22="","",COUNTIFS(Ejecucion[No. Solicitud],Registro!B22,Ejecucion[Estado],"En Proceso"))</f>
        <v>0</v>
      </c>
      <c r="Z22" s="64">
        <f t="shared" si="1"/>
        <v>2</v>
      </c>
      <c r="AA22" s="64"/>
      <c r="AB22" s="64"/>
      <c r="AC22" s="64" t="s">
        <v>81</v>
      </c>
      <c r="AD22" s="102" t="s">
        <v>158</v>
      </c>
    </row>
    <row r="23" spans="2:30" s="15" customFormat="1" ht="28.8" customHeight="1">
      <c r="B23" s="18" t="s">
        <v>159</v>
      </c>
      <c r="C23" s="128" t="s">
        <v>160</v>
      </c>
      <c r="D23" s="18" t="s">
        <v>32</v>
      </c>
      <c r="E23" s="22" t="s">
        <v>19</v>
      </c>
      <c r="F23" s="83" t="s">
        <v>40</v>
      </c>
      <c r="G23" s="83"/>
      <c r="H23" s="25" t="s">
        <v>8050</v>
      </c>
      <c r="I23" s="25" t="s">
        <v>111</v>
      </c>
      <c r="J23" s="98">
        <v>46241.56527777778</v>
      </c>
      <c r="K23" s="25" t="s">
        <v>73</v>
      </c>
      <c r="L23" s="63">
        <v>46241.570138888892</v>
      </c>
      <c r="M23" s="36" t="s">
        <v>36</v>
      </c>
      <c r="N23" s="64">
        <v>194323</v>
      </c>
      <c r="O23" s="145" t="s">
        <v>161</v>
      </c>
      <c r="P23" s="64" t="s">
        <v>162</v>
      </c>
      <c r="Q23" s="64"/>
      <c r="R23" s="37">
        <v>46308</v>
      </c>
      <c r="S23" s="37">
        <v>46324</v>
      </c>
      <c r="T23" s="60">
        <f t="shared" si="0"/>
        <v>0</v>
      </c>
      <c r="U23" s="38">
        <v>3</v>
      </c>
      <c r="V23" s="38">
        <v>2</v>
      </c>
      <c r="W23" s="38">
        <f>IF(B23="","",COUNTIFS(Ejecucion[No. Solicitud],Registro!B23,Ejecucion[Estado],"Finalizado"))</f>
        <v>0</v>
      </c>
      <c r="X23" s="38">
        <f>IF(B23="","",COUNTIFS(Ejecucion[No. Solicitud],Registro!B23,Ejecucion[Estado],"No Iniciado"))</f>
        <v>0</v>
      </c>
      <c r="Y23" s="64">
        <f>IF(B23="","",COUNTIFS(Ejecucion[No. Solicitud],Registro!B23,Ejecucion[Estado],"En Proceso"))</f>
        <v>3</v>
      </c>
      <c r="Z23" s="64">
        <f t="shared" si="1"/>
        <v>6</v>
      </c>
      <c r="AA23" s="64"/>
      <c r="AB23" s="64"/>
      <c r="AC23" s="64" t="s">
        <v>82</v>
      </c>
      <c r="AD23" s="102" t="s">
        <v>118</v>
      </c>
    </row>
    <row r="24" spans="2:30" s="15" customFormat="1" ht="43.2" customHeight="1">
      <c r="B24" s="18" t="s">
        <v>163</v>
      </c>
      <c r="C24" s="128" t="s">
        <v>164</v>
      </c>
      <c r="D24" s="18" t="s">
        <v>110</v>
      </c>
      <c r="E24" s="22" t="s">
        <v>16</v>
      </c>
      <c r="F24" s="83" t="s">
        <v>41</v>
      </c>
      <c r="G24" s="83"/>
      <c r="H24" s="25" t="s">
        <v>8051</v>
      </c>
      <c r="I24" s="25" t="s">
        <v>111</v>
      </c>
      <c r="J24" s="98">
        <v>46241.589583333327</v>
      </c>
      <c r="K24" s="25" t="s">
        <v>73</v>
      </c>
      <c r="L24" s="54">
        <v>46241.615277777782</v>
      </c>
      <c r="M24" s="18" t="s">
        <v>36</v>
      </c>
      <c r="N24" s="64"/>
      <c r="O24" s="145"/>
      <c r="P24" s="64"/>
      <c r="Q24" s="64"/>
      <c r="R24" s="37">
        <v>46246</v>
      </c>
      <c r="S24" s="37">
        <v>46247</v>
      </c>
      <c r="T24" s="60">
        <f t="shared" si="0"/>
        <v>0</v>
      </c>
      <c r="U24" s="38">
        <v>1</v>
      </c>
      <c r="V24" s="38">
        <v>2</v>
      </c>
      <c r="W24" s="38">
        <f>IF(B24="","",COUNTIFS(Ejecucion[No. Solicitud],Registro!B24,Ejecucion[Estado],"Finalizado"))</f>
        <v>0</v>
      </c>
      <c r="X24" s="38">
        <f>IF(B24="","",COUNTIFS(Ejecucion[No. Solicitud],Registro!B24,Ejecucion[Estado],"No Iniciado"))</f>
        <v>0</v>
      </c>
      <c r="Y24" s="64">
        <f>IF(B24="","",COUNTIFS(Ejecucion[No. Solicitud],Registro!B24,Ejecucion[Estado],"En Proceso"))</f>
        <v>1</v>
      </c>
      <c r="Z24" s="64">
        <f t="shared" si="1"/>
        <v>2</v>
      </c>
      <c r="AA24" s="64"/>
      <c r="AB24" s="64"/>
      <c r="AC24" s="64" t="s">
        <v>81</v>
      </c>
      <c r="AD24" s="102" t="s">
        <v>158</v>
      </c>
    </row>
    <row r="25" spans="2:30" s="15" customFormat="1" ht="28.8" customHeight="1">
      <c r="B25" s="18" t="s">
        <v>165</v>
      </c>
      <c r="C25" s="128" t="s">
        <v>166</v>
      </c>
      <c r="D25" s="18" t="s">
        <v>32</v>
      </c>
      <c r="E25" s="22" t="s">
        <v>19</v>
      </c>
      <c r="F25" s="83" t="s">
        <v>40</v>
      </c>
      <c r="G25" s="83"/>
      <c r="H25" s="25" t="s">
        <v>8052</v>
      </c>
      <c r="I25" s="25" t="s">
        <v>111</v>
      </c>
      <c r="J25" s="98">
        <v>46241.59652777778</v>
      </c>
      <c r="K25" s="25" t="s">
        <v>73</v>
      </c>
      <c r="L25" s="54">
        <v>46241.615277777782</v>
      </c>
      <c r="M25" s="36" t="s">
        <v>34</v>
      </c>
      <c r="N25" s="64">
        <v>130088</v>
      </c>
      <c r="O25" s="145" t="s">
        <v>167</v>
      </c>
      <c r="P25" s="64" t="s">
        <v>168</v>
      </c>
      <c r="Q25" s="64"/>
      <c r="R25" s="37">
        <v>46300</v>
      </c>
      <c r="S25" s="37">
        <v>46308</v>
      </c>
      <c r="T25" s="60">
        <f t="shared" si="0"/>
        <v>0</v>
      </c>
      <c r="U25" s="38">
        <v>2</v>
      </c>
      <c r="V25" s="38">
        <v>2</v>
      </c>
      <c r="W25" s="38">
        <f>IF(B25="","",COUNTIFS(Ejecucion[No. Solicitud],Registro!B25,Ejecucion[Estado],"Finalizado"))</f>
        <v>0</v>
      </c>
      <c r="X25" s="38">
        <f>IF(B25="","",COUNTIFS(Ejecucion[No. Solicitud],Registro!B25,Ejecucion[Estado],"No Iniciado"))</f>
        <v>0</v>
      </c>
      <c r="Y25" s="64">
        <f>IF(B25="","",COUNTIFS(Ejecucion[No. Solicitud],Registro!B25,Ejecucion[Estado],"En Proceso"))</f>
        <v>2</v>
      </c>
      <c r="Z25" s="64">
        <f t="shared" si="1"/>
        <v>4</v>
      </c>
      <c r="AA25" s="64"/>
      <c r="AB25" s="64"/>
      <c r="AC25" s="64" t="s">
        <v>82</v>
      </c>
      <c r="AD25" s="25" t="s">
        <v>158</v>
      </c>
    </row>
    <row r="26" spans="2:30" s="15" customFormat="1" ht="43.2" customHeight="1">
      <c r="B26" s="18" t="s">
        <v>169</v>
      </c>
      <c r="C26" s="128" t="s">
        <v>170</v>
      </c>
      <c r="D26" s="18" t="s">
        <v>32</v>
      </c>
      <c r="E26" s="22" t="s">
        <v>18</v>
      </c>
      <c r="F26" s="83" t="s">
        <v>40</v>
      </c>
      <c r="G26" s="83"/>
      <c r="H26" s="25" t="s">
        <v>8053</v>
      </c>
      <c r="I26" s="25" t="s">
        <v>111</v>
      </c>
      <c r="J26" s="98">
        <v>46241.577777777777</v>
      </c>
      <c r="K26" s="25" t="s">
        <v>73</v>
      </c>
      <c r="L26" s="54">
        <v>46282.384027777778</v>
      </c>
      <c r="M26" s="36" t="s">
        <v>38</v>
      </c>
      <c r="N26" s="64"/>
      <c r="O26" s="145"/>
      <c r="P26" s="64"/>
      <c r="Q26" s="64"/>
      <c r="R26" s="37">
        <v>46314</v>
      </c>
      <c r="S26" s="37">
        <v>46321</v>
      </c>
      <c r="T26" s="60">
        <f t="shared" si="0"/>
        <v>0</v>
      </c>
      <c r="U26" s="38">
        <v>2</v>
      </c>
      <c r="V26" s="38">
        <v>1</v>
      </c>
      <c r="W26" s="38">
        <f>IF(B26="","",COUNTIFS(Ejecucion[No. Solicitud],Registro!B26,Ejecucion[Estado],"Finalizado"))</f>
        <v>0</v>
      </c>
      <c r="X26" s="38">
        <f>IF(B26="","",COUNTIFS(Ejecucion[No. Solicitud],Registro!B26,Ejecucion[Estado],"No Iniciado"))</f>
        <v>0</v>
      </c>
      <c r="Y26" s="64">
        <f>IF(B26="","",COUNTIFS(Ejecucion[No. Solicitud],Registro!B26,Ejecucion[Estado],"En Proceso"))</f>
        <v>2</v>
      </c>
      <c r="Z26" s="64">
        <f t="shared" si="1"/>
        <v>2</v>
      </c>
      <c r="AA26" s="64"/>
      <c r="AB26" s="64"/>
      <c r="AC26" s="64" t="s">
        <v>81</v>
      </c>
      <c r="AD26" s="25" t="s">
        <v>118</v>
      </c>
    </row>
    <row r="27" spans="2:30" s="15" customFormat="1" ht="28.8" customHeight="1">
      <c r="B27" s="18" t="s">
        <v>171</v>
      </c>
      <c r="C27" s="128" t="s">
        <v>172</v>
      </c>
      <c r="D27" s="18" t="s">
        <v>110</v>
      </c>
      <c r="E27" s="22" t="s">
        <v>18</v>
      </c>
      <c r="F27" s="83" t="s">
        <v>40</v>
      </c>
      <c r="G27" s="83"/>
      <c r="H27" s="25" t="s">
        <v>8054</v>
      </c>
      <c r="I27" s="25" t="s">
        <v>111</v>
      </c>
      <c r="J27" s="98">
        <v>46244.369444444441</v>
      </c>
      <c r="K27" s="25" t="s">
        <v>73</v>
      </c>
      <c r="L27" s="54">
        <v>46244.48541666667</v>
      </c>
      <c r="M27" s="36" t="s">
        <v>37</v>
      </c>
      <c r="N27" s="64"/>
      <c r="O27" s="145"/>
      <c r="P27" s="64"/>
      <c r="Q27" s="64"/>
      <c r="R27" s="37">
        <v>46287</v>
      </c>
      <c r="S27" s="37">
        <v>46288</v>
      </c>
      <c r="T27" s="60">
        <f t="shared" si="0"/>
        <v>1</v>
      </c>
      <c r="U27" s="38">
        <v>2</v>
      </c>
      <c r="V27" s="38">
        <v>1</v>
      </c>
      <c r="W27" s="38">
        <f>IF(B27="","",COUNTIFS(Ejecucion[No. Solicitud],Registro!B27,Ejecucion[Estado],"Finalizado"))</f>
        <v>2</v>
      </c>
      <c r="X27" s="38">
        <f>IF(B27="","",COUNTIFS(Ejecucion[No. Solicitud],Registro!B27,Ejecucion[Estado],"No Iniciado"))</f>
        <v>0</v>
      </c>
      <c r="Y27" s="64">
        <f>IF(B27="","",COUNTIFS(Ejecucion[No. Solicitud],Registro!B27,Ejecucion[Estado],"En Proceso"))</f>
        <v>0</v>
      </c>
      <c r="Z27" s="64">
        <f t="shared" si="1"/>
        <v>2</v>
      </c>
      <c r="AA27" s="64"/>
      <c r="AB27" s="64"/>
      <c r="AC27" s="64" t="s">
        <v>81</v>
      </c>
      <c r="AD27" s="25" t="s">
        <v>118</v>
      </c>
    </row>
    <row r="28" spans="2:30" s="15" customFormat="1" ht="43.2" customHeight="1">
      <c r="B28" s="18" t="s">
        <v>173</v>
      </c>
      <c r="C28" s="128" t="s">
        <v>174</v>
      </c>
      <c r="D28" s="18" t="s">
        <v>32</v>
      </c>
      <c r="E28" s="22" t="s">
        <v>19</v>
      </c>
      <c r="F28" s="83" t="s">
        <v>40</v>
      </c>
      <c r="G28" s="83"/>
      <c r="H28" s="25" t="s">
        <v>8055</v>
      </c>
      <c r="I28" s="25" t="s">
        <v>111</v>
      </c>
      <c r="J28" s="98">
        <v>46244.457638888889</v>
      </c>
      <c r="K28" s="25" t="s">
        <v>73</v>
      </c>
      <c r="L28" s="54">
        <v>46244.482638888891</v>
      </c>
      <c r="M28" s="36" t="s">
        <v>35</v>
      </c>
      <c r="N28" s="64">
        <v>199042</v>
      </c>
      <c r="O28" s="145" t="s">
        <v>175</v>
      </c>
      <c r="P28" s="64" t="s">
        <v>139</v>
      </c>
      <c r="Q28" s="64"/>
      <c r="R28" s="37">
        <v>46310</v>
      </c>
      <c r="S28" s="37">
        <v>46311</v>
      </c>
      <c r="T28" s="60">
        <f t="shared" si="0"/>
        <v>0</v>
      </c>
      <c r="U28" s="38">
        <v>2</v>
      </c>
      <c r="V28" s="38">
        <v>1</v>
      </c>
      <c r="W28" s="38">
        <f>IF(B28="","",COUNTIFS(Ejecucion[No. Solicitud],Registro!B28,Ejecucion[Estado],"Finalizado"))</f>
        <v>0</v>
      </c>
      <c r="X28" s="38">
        <f>IF(B28="","",COUNTIFS(Ejecucion[No. Solicitud],Registro!B28,Ejecucion[Estado],"No Iniciado"))</f>
        <v>0</v>
      </c>
      <c r="Y28" s="64">
        <f>IF(B28="","",COUNTIFS(Ejecucion[No. Solicitud],Registro!B28,Ejecucion[Estado],"En Proceso"))</f>
        <v>2</v>
      </c>
      <c r="Z28" s="64">
        <f t="shared" si="1"/>
        <v>2</v>
      </c>
      <c r="AA28" s="64"/>
      <c r="AB28" s="64"/>
      <c r="AC28" s="64" t="s">
        <v>83</v>
      </c>
      <c r="AD28" s="25" t="s">
        <v>118</v>
      </c>
    </row>
    <row r="29" spans="2:30" s="15" customFormat="1" ht="43.2" customHeight="1">
      <c r="B29" s="18" t="s">
        <v>176</v>
      </c>
      <c r="C29" s="128" t="s">
        <v>177</v>
      </c>
      <c r="D29" s="18" t="s">
        <v>32</v>
      </c>
      <c r="E29" s="22" t="s">
        <v>18</v>
      </c>
      <c r="F29" s="83" t="s">
        <v>42</v>
      </c>
      <c r="G29" s="83"/>
      <c r="H29" s="25" t="s">
        <v>8056</v>
      </c>
      <c r="I29" s="25" t="s">
        <v>111</v>
      </c>
      <c r="J29" s="98">
        <v>46245.348611111112</v>
      </c>
      <c r="K29" s="25" t="s">
        <v>73</v>
      </c>
      <c r="L29" s="54">
        <v>46245.45208333333</v>
      </c>
      <c r="M29" s="36" t="s">
        <v>37</v>
      </c>
      <c r="N29" s="64"/>
      <c r="O29" s="145"/>
      <c r="P29" s="64"/>
      <c r="Q29" s="64"/>
      <c r="R29" s="37">
        <v>46266</v>
      </c>
      <c r="S29" s="37">
        <v>46266</v>
      </c>
      <c r="T29" s="60">
        <f t="shared" si="0"/>
        <v>0</v>
      </c>
      <c r="U29" s="38">
        <v>1</v>
      </c>
      <c r="V29" s="38">
        <v>5</v>
      </c>
      <c r="W29" s="38">
        <f>IF(B29="","",COUNTIFS(Ejecucion[No. Solicitud],Registro!B29,Ejecucion[Estado],"Finalizado"))</f>
        <v>0</v>
      </c>
      <c r="X29" s="38">
        <f>IF(B29="","",COUNTIFS(Ejecucion[No. Solicitud],Registro!B29,Ejecucion[Estado],"No Iniciado"))</f>
        <v>0</v>
      </c>
      <c r="Y29" s="64">
        <f>IF(B29="","",COUNTIFS(Ejecucion[No. Solicitud],Registro!B29,Ejecucion[Estado],"En Proceso"))</f>
        <v>0</v>
      </c>
      <c r="Z29" s="64">
        <f t="shared" si="1"/>
        <v>1</v>
      </c>
      <c r="AA29" s="64"/>
      <c r="AB29" s="64"/>
      <c r="AC29" s="64" t="s">
        <v>81</v>
      </c>
      <c r="AD29" s="25" t="s">
        <v>115</v>
      </c>
    </row>
    <row r="30" spans="2:30" s="15" customFormat="1" ht="43.2" customHeight="1">
      <c r="B30" s="18" t="s">
        <v>178</v>
      </c>
      <c r="C30" s="128" t="s">
        <v>179</v>
      </c>
      <c r="D30" s="18" t="s">
        <v>32</v>
      </c>
      <c r="E30" s="22" t="s">
        <v>18</v>
      </c>
      <c r="F30" s="83" t="s">
        <v>42</v>
      </c>
      <c r="G30" s="83"/>
      <c r="H30" s="25" t="s">
        <v>8057</v>
      </c>
      <c r="I30" s="25" t="s">
        <v>111</v>
      </c>
      <c r="J30" s="98">
        <v>46245.349305555559</v>
      </c>
      <c r="K30" s="25" t="s">
        <v>73</v>
      </c>
      <c r="L30" s="99">
        <v>46245.452777777777</v>
      </c>
      <c r="M30" s="36" t="s">
        <v>37</v>
      </c>
      <c r="N30" s="64"/>
      <c r="O30" s="145"/>
      <c r="P30" s="64"/>
      <c r="Q30" s="64"/>
      <c r="R30" s="37">
        <v>46266</v>
      </c>
      <c r="S30" s="37">
        <v>46266</v>
      </c>
      <c r="T30" s="60">
        <f t="shared" si="0"/>
        <v>0</v>
      </c>
      <c r="U30" s="38">
        <v>1</v>
      </c>
      <c r="V30" s="38">
        <v>5</v>
      </c>
      <c r="W30" s="38">
        <f>IF(B30="","",COUNTIFS(Ejecucion[No. Solicitud],Registro!B30,Ejecucion[Estado],"Finalizado"))</f>
        <v>0</v>
      </c>
      <c r="X30" s="38">
        <f>IF(B30="","",COUNTIFS(Ejecucion[No. Solicitud],Registro!B30,Ejecucion[Estado],"No Iniciado"))</f>
        <v>0</v>
      </c>
      <c r="Y30" s="64">
        <f>IF(B30="","",COUNTIFS(Ejecucion[No. Solicitud],Registro!B30,Ejecucion[Estado],"En Proceso"))</f>
        <v>0</v>
      </c>
      <c r="Z30" s="64">
        <f t="shared" si="1"/>
        <v>1</v>
      </c>
      <c r="AA30" s="64"/>
      <c r="AB30" s="64"/>
      <c r="AC30" s="64" t="s">
        <v>81</v>
      </c>
      <c r="AD30" s="25" t="s">
        <v>115</v>
      </c>
    </row>
    <row r="31" spans="2:30" s="15" customFormat="1" ht="43.2" customHeight="1">
      <c r="B31" s="18" t="s">
        <v>180</v>
      </c>
      <c r="C31" s="128" t="s">
        <v>181</v>
      </c>
      <c r="D31" s="36" t="s">
        <v>32</v>
      </c>
      <c r="E31" s="22" t="s">
        <v>18</v>
      </c>
      <c r="F31" s="83" t="s">
        <v>42</v>
      </c>
      <c r="G31" s="83"/>
      <c r="H31" s="25" t="s">
        <v>8058</v>
      </c>
      <c r="I31" s="25" t="s">
        <v>111</v>
      </c>
      <c r="J31" s="98">
        <v>46245.351388888892</v>
      </c>
      <c r="K31" s="25" t="s">
        <v>73</v>
      </c>
      <c r="L31" s="54">
        <v>46245.452777777777</v>
      </c>
      <c r="M31" s="36" t="s">
        <v>37</v>
      </c>
      <c r="N31" s="64"/>
      <c r="O31" s="145"/>
      <c r="P31" s="64"/>
      <c r="Q31" s="64"/>
      <c r="R31" s="37">
        <v>46266</v>
      </c>
      <c r="S31" s="37">
        <v>46266</v>
      </c>
      <c r="T31" s="60">
        <f t="shared" si="0"/>
        <v>0</v>
      </c>
      <c r="U31" s="38">
        <v>1</v>
      </c>
      <c r="V31" s="38">
        <v>5</v>
      </c>
      <c r="W31" s="38">
        <f>IF(B31="","",COUNTIFS(Ejecucion[No. Solicitud],Registro!B31,Ejecucion[Estado],"Finalizado"))</f>
        <v>0</v>
      </c>
      <c r="X31" s="38">
        <f>IF(B31="","",COUNTIFS(Ejecucion[No. Solicitud],Registro!B31,Ejecucion[Estado],"No Iniciado"))</f>
        <v>0</v>
      </c>
      <c r="Y31" s="64">
        <f>IF(B31="","",COUNTIFS(Ejecucion[No. Solicitud],Registro!B31,Ejecucion[Estado],"En Proceso"))</f>
        <v>0</v>
      </c>
      <c r="Z31" s="64">
        <f t="shared" si="1"/>
        <v>1</v>
      </c>
      <c r="AA31" s="64"/>
      <c r="AB31" s="64"/>
      <c r="AC31" s="64" t="s">
        <v>83</v>
      </c>
      <c r="AD31" s="25" t="s">
        <v>115</v>
      </c>
    </row>
    <row r="32" spans="2:30" s="15" customFormat="1" ht="28.8" customHeight="1">
      <c r="B32" s="36" t="s">
        <v>182</v>
      </c>
      <c r="C32" s="128" t="s">
        <v>183</v>
      </c>
      <c r="D32" s="36" t="s">
        <v>110</v>
      </c>
      <c r="E32" s="22" t="s">
        <v>19</v>
      </c>
      <c r="F32" s="83" t="s">
        <v>40</v>
      </c>
      <c r="G32" s="83"/>
      <c r="H32" s="25" t="s">
        <v>8059</v>
      </c>
      <c r="I32" s="25" t="s">
        <v>111</v>
      </c>
      <c r="J32" s="98">
        <v>46251.311111111107</v>
      </c>
      <c r="K32" s="25" t="s">
        <v>8150</v>
      </c>
      <c r="L32" s="61">
        <v>46251.334027777782</v>
      </c>
      <c r="M32" s="36" t="s">
        <v>34</v>
      </c>
      <c r="N32" s="64">
        <v>110089</v>
      </c>
      <c r="O32" s="145" t="s">
        <v>184</v>
      </c>
      <c r="P32" s="64" t="s">
        <v>185</v>
      </c>
      <c r="Q32" s="64">
        <v>8000</v>
      </c>
      <c r="R32" s="37">
        <v>46287</v>
      </c>
      <c r="S32" s="37">
        <v>46287</v>
      </c>
      <c r="T32" s="60">
        <f t="shared" si="0"/>
        <v>1</v>
      </c>
      <c r="U32" s="38">
        <v>1</v>
      </c>
      <c r="V32" s="38">
        <v>1</v>
      </c>
      <c r="W32" s="38">
        <f>IF(B32="","",COUNTIFS(Ejecucion[No. Solicitud],Registro!B32,Ejecucion[Estado],"Finalizado"))</f>
        <v>1</v>
      </c>
      <c r="X32" s="38">
        <f>IF(B32="","",COUNTIFS(Ejecucion[No. Solicitud],Registro!B32,Ejecucion[Estado],"No Iniciado"))</f>
        <v>0</v>
      </c>
      <c r="Y32" s="64">
        <f>IF(B32="","",COUNTIFS(Ejecucion[No. Solicitud],Registro!B32,Ejecucion[Estado],"En Proceso"))</f>
        <v>0</v>
      </c>
      <c r="Z32" s="64">
        <f t="shared" si="1"/>
        <v>1</v>
      </c>
      <c r="AA32" s="64"/>
      <c r="AB32" s="64"/>
      <c r="AC32" s="64" t="s">
        <v>83</v>
      </c>
      <c r="AD32" s="102" t="s">
        <v>118</v>
      </c>
    </row>
    <row r="33" spans="2:30" s="15" customFormat="1" ht="28.8" customHeight="1">
      <c r="B33" s="36" t="s">
        <v>186</v>
      </c>
      <c r="C33" s="128" t="s">
        <v>187</v>
      </c>
      <c r="D33" s="36" t="s">
        <v>32</v>
      </c>
      <c r="E33" s="22" t="s">
        <v>19</v>
      </c>
      <c r="F33" s="83" t="s">
        <v>42</v>
      </c>
      <c r="G33" s="83"/>
      <c r="H33" s="25" t="s">
        <v>8060</v>
      </c>
      <c r="I33" s="25" t="s">
        <v>111</v>
      </c>
      <c r="J33" s="98">
        <v>46251.344444444447</v>
      </c>
      <c r="K33" s="25" t="s">
        <v>73</v>
      </c>
      <c r="L33" s="54">
        <v>46251.345138888893</v>
      </c>
      <c r="M33" s="36" t="s">
        <v>38</v>
      </c>
      <c r="N33" s="64">
        <v>125177</v>
      </c>
      <c r="O33" s="145" t="s">
        <v>188</v>
      </c>
      <c r="P33" s="64" t="s">
        <v>189</v>
      </c>
      <c r="Q33" s="64">
        <v>8800</v>
      </c>
      <c r="R33" s="37">
        <v>46316</v>
      </c>
      <c r="S33" s="37">
        <v>46323</v>
      </c>
      <c r="T33" s="60">
        <f t="shared" si="0"/>
        <v>0</v>
      </c>
      <c r="U33" s="38">
        <v>1</v>
      </c>
      <c r="V33" s="38">
        <v>5</v>
      </c>
      <c r="W33" s="38">
        <f>IF(B33="","",COUNTIFS(Ejecucion[No. Solicitud],Registro!B33,Ejecucion[Estado],"Finalizado"))</f>
        <v>0</v>
      </c>
      <c r="X33" s="38">
        <f>IF(B33="","",COUNTIFS(Ejecucion[No. Solicitud],Registro!B33,Ejecucion[Estado],"No Iniciado"))</f>
        <v>0</v>
      </c>
      <c r="Y33" s="64">
        <f>IF(B33="","",COUNTIFS(Ejecucion[No. Solicitud],Registro!B33,Ejecucion[Estado],"En Proceso"))</f>
        <v>1</v>
      </c>
      <c r="Z33" s="64">
        <f t="shared" si="1"/>
        <v>1</v>
      </c>
      <c r="AA33" s="64"/>
      <c r="AB33" s="64"/>
      <c r="AC33" s="64" t="s">
        <v>83</v>
      </c>
      <c r="AD33" s="102" t="s">
        <v>115</v>
      </c>
    </row>
    <row r="34" spans="2:30" s="15" customFormat="1" ht="28.8" customHeight="1">
      <c r="B34" s="36" t="s">
        <v>190</v>
      </c>
      <c r="C34" s="128" t="s">
        <v>191</v>
      </c>
      <c r="D34" s="36" t="s">
        <v>110</v>
      </c>
      <c r="E34" s="22" t="s">
        <v>18</v>
      </c>
      <c r="F34" s="83" t="s">
        <v>41</v>
      </c>
      <c r="G34" s="83"/>
      <c r="H34" s="25" t="s">
        <v>8061</v>
      </c>
      <c r="I34" s="25" t="s">
        <v>111</v>
      </c>
      <c r="J34" s="98">
        <v>46253.425694444442</v>
      </c>
      <c r="K34" s="25" t="s">
        <v>73</v>
      </c>
      <c r="L34" s="54">
        <v>46253.460416666669</v>
      </c>
      <c r="M34" s="36" t="s">
        <v>35</v>
      </c>
      <c r="N34" s="64">
        <v>69221</v>
      </c>
      <c r="O34" s="145" t="s">
        <v>192</v>
      </c>
      <c r="P34" s="64" t="s">
        <v>193</v>
      </c>
      <c r="Q34" s="64">
        <v>9000</v>
      </c>
      <c r="R34" s="37">
        <v>46286</v>
      </c>
      <c r="S34" s="37">
        <v>46293</v>
      </c>
      <c r="T34" s="60">
        <f t="shared" si="0"/>
        <v>1</v>
      </c>
      <c r="U34" s="38">
        <v>2</v>
      </c>
      <c r="V34" s="38">
        <v>3</v>
      </c>
      <c r="W34" s="38">
        <f>IF(B34="","",COUNTIFS(Ejecucion[No. Solicitud],Registro!B34,Ejecucion[Estado],"Finalizado"))</f>
        <v>2</v>
      </c>
      <c r="X34" s="38">
        <f>IF(B34="","",COUNTIFS(Ejecucion[No. Solicitud],Registro!B34,Ejecucion[Estado],"No Iniciado"))</f>
        <v>0</v>
      </c>
      <c r="Y34" s="64">
        <f>IF(B34="","",COUNTIFS(Ejecucion[No. Solicitud],Registro!B34,Ejecucion[Estado],"En Proceso"))</f>
        <v>0</v>
      </c>
      <c r="Z34" s="64">
        <f t="shared" si="1"/>
        <v>6</v>
      </c>
      <c r="AA34" s="64"/>
      <c r="AB34" s="64"/>
      <c r="AC34" s="64" t="s">
        <v>82</v>
      </c>
      <c r="AD34" s="102" t="s">
        <v>132</v>
      </c>
    </row>
    <row r="35" spans="2:30" s="15" customFormat="1" ht="28.8" customHeight="1">
      <c r="B35" s="36" t="s">
        <v>194</v>
      </c>
      <c r="C35" s="128" t="s">
        <v>195</v>
      </c>
      <c r="D35" s="36" t="s">
        <v>32</v>
      </c>
      <c r="E35" s="22" t="s">
        <v>19</v>
      </c>
      <c r="F35" s="83" t="s">
        <v>40</v>
      </c>
      <c r="G35" s="83"/>
      <c r="H35" s="25" t="s">
        <v>8062</v>
      </c>
      <c r="I35" s="25" t="s">
        <v>111</v>
      </c>
      <c r="J35" s="98">
        <v>46253.4375</v>
      </c>
      <c r="K35" s="25" t="s">
        <v>73</v>
      </c>
      <c r="L35" s="54">
        <v>46253.460416666669</v>
      </c>
      <c r="M35" s="36" t="s">
        <v>35</v>
      </c>
      <c r="N35" s="64">
        <v>106096</v>
      </c>
      <c r="O35" s="145" t="s">
        <v>196</v>
      </c>
      <c r="P35" s="64" t="s">
        <v>197</v>
      </c>
      <c r="Q35" s="64">
        <v>8000</v>
      </c>
      <c r="R35" s="37">
        <v>46300</v>
      </c>
      <c r="S35" s="37">
        <v>46309</v>
      </c>
      <c r="T35" s="60">
        <f t="shared" si="0"/>
        <v>0</v>
      </c>
      <c r="U35" s="38">
        <v>2</v>
      </c>
      <c r="V35" s="38">
        <v>2</v>
      </c>
      <c r="W35" s="38">
        <f>IF(B35="","",COUNTIFS(Ejecucion[No. Solicitud],Registro!B35,Ejecucion[Estado],"Finalizado"))</f>
        <v>0</v>
      </c>
      <c r="X35" s="38">
        <f>IF(B35="","",COUNTIFS(Ejecucion[No. Solicitud],Registro!B35,Ejecucion[Estado],"No Iniciado"))</f>
        <v>0</v>
      </c>
      <c r="Y35" s="64">
        <f>IF(B35="","",COUNTIFS(Ejecucion[No. Solicitud],Registro!B35,Ejecucion[Estado],"En Proceso"))</f>
        <v>2</v>
      </c>
      <c r="Z35" s="64">
        <f t="shared" si="1"/>
        <v>4</v>
      </c>
      <c r="AA35" s="64"/>
      <c r="AB35" s="64"/>
      <c r="AC35" s="64" t="s">
        <v>82</v>
      </c>
      <c r="AD35" s="102" t="s">
        <v>112</v>
      </c>
    </row>
    <row r="36" spans="2:30" s="15" customFormat="1" ht="43.2" customHeight="1">
      <c r="B36" s="36" t="s">
        <v>198</v>
      </c>
      <c r="C36" s="128" t="s">
        <v>199</v>
      </c>
      <c r="D36" s="36" t="s">
        <v>32</v>
      </c>
      <c r="E36" s="22" t="s">
        <v>19</v>
      </c>
      <c r="F36" s="83" t="s">
        <v>40</v>
      </c>
      <c r="G36" s="83"/>
      <c r="H36" s="25" t="s">
        <v>8063</v>
      </c>
      <c r="I36" s="25" t="s">
        <v>111</v>
      </c>
      <c r="J36" s="98">
        <v>46254.291666666657</v>
      </c>
      <c r="K36" s="25" t="s">
        <v>73</v>
      </c>
      <c r="L36" s="54">
        <v>46254.422222222223</v>
      </c>
      <c r="M36" s="36" t="s">
        <v>37</v>
      </c>
      <c r="N36" s="64">
        <v>124580</v>
      </c>
      <c r="O36" s="145" t="s">
        <v>200</v>
      </c>
      <c r="P36" s="64" t="s">
        <v>201</v>
      </c>
      <c r="Q36" s="64">
        <v>8400</v>
      </c>
      <c r="R36" s="37">
        <v>46321</v>
      </c>
      <c r="S36" s="37">
        <v>46324</v>
      </c>
      <c r="T36" s="60">
        <f t="shared" si="0"/>
        <v>0</v>
      </c>
      <c r="U36" s="38">
        <v>2</v>
      </c>
      <c r="V36" s="38">
        <v>2</v>
      </c>
      <c r="W36" s="38">
        <f>IF(B36="","",COUNTIFS(Ejecucion[No. Solicitud],Registro!B36,Ejecucion[Estado],"Finalizado"))</f>
        <v>0</v>
      </c>
      <c r="X36" s="38">
        <f>IF(B36="","",COUNTIFS(Ejecucion[No. Solicitud],Registro!B36,Ejecucion[Estado],"No Iniciado"))</f>
        <v>0</v>
      </c>
      <c r="Y36" s="64">
        <f>IF(B36="","",COUNTIFS(Ejecucion[No. Solicitud],Registro!B36,Ejecucion[Estado],"En Proceso"))</f>
        <v>2</v>
      </c>
      <c r="Z36" s="64">
        <f t="shared" si="1"/>
        <v>4</v>
      </c>
      <c r="AA36" s="64"/>
      <c r="AB36" s="64"/>
      <c r="AC36" s="64" t="s">
        <v>82</v>
      </c>
      <c r="AD36" s="102" t="s">
        <v>112</v>
      </c>
    </row>
    <row r="37" spans="2:30" s="15" customFormat="1" ht="43.2" customHeight="1">
      <c r="B37" s="36" t="s">
        <v>202</v>
      </c>
      <c r="C37" s="128" t="s">
        <v>203</v>
      </c>
      <c r="D37" s="36" t="s">
        <v>32</v>
      </c>
      <c r="E37" s="22" t="s">
        <v>19</v>
      </c>
      <c r="F37" s="83" t="s">
        <v>42</v>
      </c>
      <c r="G37" s="83"/>
      <c r="H37" s="25" t="s">
        <v>8064</v>
      </c>
      <c r="I37" s="25" t="s">
        <v>111</v>
      </c>
      <c r="J37" s="98">
        <v>46254.598611111112</v>
      </c>
      <c r="K37" s="25" t="s">
        <v>73</v>
      </c>
      <c r="L37" s="54">
        <v>46254.604166666657</v>
      </c>
      <c r="M37" s="36" t="s">
        <v>34</v>
      </c>
      <c r="N37" s="36">
        <v>202069</v>
      </c>
      <c r="O37" s="102" t="s">
        <v>204</v>
      </c>
      <c r="P37" s="64" t="s">
        <v>205</v>
      </c>
      <c r="Q37" s="36">
        <v>15000</v>
      </c>
      <c r="R37" s="37">
        <v>46329</v>
      </c>
      <c r="S37" s="37">
        <v>46342</v>
      </c>
      <c r="T37" s="60">
        <f t="shared" si="0"/>
        <v>0</v>
      </c>
      <c r="U37" s="38">
        <v>2</v>
      </c>
      <c r="V37" s="38">
        <v>5</v>
      </c>
      <c r="W37" s="38">
        <f>IF(B37="","",COUNTIFS(Ejecucion[No. Solicitud],Registro!B37,Ejecucion[Estado],"Finalizado"))</f>
        <v>0</v>
      </c>
      <c r="X37" s="38">
        <f>IF(B37="","",COUNTIFS(Ejecucion[No. Solicitud],Registro!B37,Ejecucion[Estado],"No Iniciado"))</f>
        <v>0</v>
      </c>
      <c r="Y37" s="64">
        <f>IF(B37="","",COUNTIFS(Ejecucion[No. Solicitud],Registro!B37,Ejecucion[Estado],"En Proceso"))</f>
        <v>2</v>
      </c>
      <c r="Z37" s="64">
        <f t="shared" si="1"/>
        <v>1</v>
      </c>
      <c r="AA37" s="64"/>
      <c r="AB37" s="64"/>
      <c r="AC37" s="64" t="s">
        <v>83</v>
      </c>
      <c r="AD37" s="102" t="s">
        <v>115</v>
      </c>
    </row>
    <row r="38" spans="2:30" s="15" customFormat="1" ht="43.2" customHeight="1">
      <c r="B38" s="36" t="s">
        <v>206</v>
      </c>
      <c r="C38" s="128" t="s">
        <v>207</v>
      </c>
      <c r="D38" s="36" t="s">
        <v>32</v>
      </c>
      <c r="E38" s="22" t="s">
        <v>19</v>
      </c>
      <c r="F38" s="83" t="s">
        <v>40</v>
      </c>
      <c r="G38" s="83"/>
      <c r="H38" s="25" t="s">
        <v>8065</v>
      </c>
      <c r="I38" s="25" t="s">
        <v>111</v>
      </c>
      <c r="J38" s="98">
        <v>46254.620833333327</v>
      </c>
      <c r="K38" s="25" t="s">
        <v>73</v>
      </c>
      <c r="L38" s="54">
        <v>46255.309027777781</v>
      </c>
      <c r="M38" s="36" t="s">
        <v>34</v>
      </c>
      <c r="N38" s="36">
        <v>202024</v>
      </c>
      <c r="O38" s="102" t="s">
        <v>208</v>
      </c>
      <c r="P38" s="64" t="s">
        <v>209</v>
      </c>
      <c r="Q38" s="36"/>
      <c r="R38" s="37">
        <v>46349</v>
      </c>
      <c r="S38" s="37">
        <v>46352</v>
      </c>
      <c r="T38" s="60">
        <f t="shared" si="0"/>
        <v>0</v>
      </c>
      <c r="U38" s="38">
        <v>2</v>
      </c>
      <c r="V38" s="38">
        <v>2</v>
      </c>
      <c r="W38" s="38">
        <f>IF(B38="","",COUNTIFS(Ejecucion[No. Solicitud],Registro!B38,Ejecucion[Estado],"Finalizado"))</f>
        <v>0</v>
      </c>
      <c r="X38" s="38">
        <f>IF(B38="","",COUNTIFS(Ejecucion[No. Solicitud],Registro!B38,Ejecucion[Estado],"No Iniciado"))</f>
        <v>0</v>
      </c>
      <c r="Y38" s="64">
        <f>IF(B38="","",COUNTIFS(Ejecucion[No. Solicitud],Registro!B38,Ejecucion[Estado],"En Proceso"))</f>
        <v>2</v>
      </c>
      <c r="Z38" s="64">
        <f t="shared" si="1"/>
        <v>4</v>
      </c>
      <c r="AA38" s="64"/>
      <c r="AB38" s="64"/>
      <c r="AC38" s="64" t="s">
        <v>83</v>
      </c>
      <c r="AD38" s="102" t="s">
        <v>158</v>
      </c>
    </row>
    <row r="39" spans="2:30" s="15" customFormat="1" ht="28.8" customHeight="1">
      <c r="B39" s="36" t="s">
        <v>210</v>
      </c>
      <c r="C39" s="128" t="s">
        <v>211</v>
      </c>
      <c r="D39" s="36" t="s">
        <v>32</v>
      </c>
      <c r="E39" s="22" t="s">
        <v>19</v>
      </c>
      <c r="F39" s="83" t="s">
        <v>40</v>
      </c>
      <c r="G39" s="83"/>
      <c r="H39" s="25" t="s">
        <v>8066</v>
      </c>
      <c r="I39" s="25" t="s">
        <v>111</v>
      </c>
      <c r="J39" s="98">
        <v>46254.624305555553</v>
      </c>
      <c r="K39" s="25" t="s">
        <v>73</v>
      </c>
      <c r="L39" s="54">
        <v>46255.309027777781</v>
      </c>
      <c r="M39" s="36" t="s">
        <v>37</v>
      </c>
      <c r="N39" s="36">
        <v>81994</v>
      </c>
      <c r="O39" s="102" t="s">
        <v>212</v>
      </c>
      <c r="P39" s="64" t="s">
        <v>213</v>
      </c>
      <c r="Q39" s="36"/>
      <c r="R39" s="37">
        <v>46353</v>
      </c>
      <c r="S39" s="37">
        <v>46356</v>
      </c>
      <c r="T39" s="60">
        <f t="shared" si="0"/>
        <v>0</v>
      </c>
      <c r="U39" s="38">
        <v>2</v>
      </c>
      <c r="V39" s="38">
        <v>1</v>
      </c>
      <c r="W39" s="38">
        <f>IF(B39="","",COUNTIFS(Ejecucion[No. Solicitud],Registro!B39,Ejecucion[Estado],"Finalizado"))</f>
        <v>0</v>
      </c>
      <c r="X39" s="38">
        <f>IF(B39="","",COUNTIFS(Ejecucion[No. Solicitud],Registro!B39,Ejecucion[Estado],"No Iniciado"))</f>
        <v>0</v>
      </c>
      <c r="Y39" s="64">
        <f>IF(B39="","",COUNTIFS(Ejecucion[No. Solicitud],Registro!B39,Ejecucion[Estado],"En Proceso"))</f>
        <v>0</v>
      </c>
      <c r="Z39" s="64">
        <f t="shared" si="1"/>
        <v>2</v>
      </c>
      <c r="AA39" s="64"/>
      <c r="AB39" s="64"/>
      <c r="AC39" s="64" t="s">
        <v>81</v>
      </c>
      <c r="AD39" s="102" t="s">
        <v>158</v>
      </c>
    </row>
    <row r="40" spans="2:30" s="15" customFormat="1" ht="28.8" customHeight="1">
      <c r="B40" s="18" t="s">
        <v>214</v>
      </c>
      <c r="C40" s="128" t="s">
        <v>215</v>
      </c>
      <c r="D40" s="36" t="s">
        <v>110</v>
      </c>
      <c r="E40" s="22" t="s">
        <v>18</v>
      </c>
      <c r="F40" s="83" t="s">
        <v>42</v>
      </c>
      <c r="G40" s="83"/>
      <c r="H40" s="25" t="s">
        <v>8067</v>
      </c>
      <c r="I40" s="25" t="s">
        <v>111</v>
      </c>
      <c r="J40" s="98">
        <v>46259.597916666673</v>
      </c>
      <c r="K40" s="25" t="s">
        <v>73</v>
      </c>
      <c r="L40" s="54">
        <v>46260.297222222223</v>
      </c>
      <c r="M40" s="36" t="s">
        <v>34</v>
      </c>
      <c r="N40" s="36"/>
      <c r="O40" s="102"/>
      <c r="P40" s="64"/>
      <c r="Q40" s="36"/>
      <c r="R40" s="37">
        <v>46293</v>
      </c>
      <c r="S40" s="37">
        <v>46325</v>
      </c>
      <c r="T40" s="60">
        <f t="shared" si="0"/>
        <v>1</v>
      </c>
      <c r="U40" s="38">
        <v>1</v>
      </c>
      <c r="V40" s="38">
        <v>1</v>
      </c>
      <c r="W40" s="38">
        <f>IF(B40="","",COUNTIFS(Ejecucion[No. Solicitud],Registro!B40,Ejecucion[Estado],"Finalizado"))</f>
        <v>1</v>
      </c>
      <c r="X40" s="38">
        <f>IF(B40="","",COUNTIFS(Ejecucion[No. Solicitud],Registro!B40,Ejecucion[Estado],"No Iniciado"))</f>
        <v>0</v>
      </c>
      <c r="Y40" s="64">
        <f>IF(B40="","",COUNTIFS(Ejecucion[No. Solicitud],Registro!B40,Ejecucion[Estado],"En Proceso"))</f>
        <v>0</v>
      </c>
      <c r="Z40" s="64">
        <f t="shared" ref="Z40:Z71" si="2">IF(U40="","",IF(F40="Virtual Asincrónico",1,V40*U40))</f>
        <v>1</v>
      </c>
      <c r="AA40" s="64"/>
      <c r="AB40" s="64"/>
      <c r="AC40" s="64" t="s">
        <v>83</v>
      </c>
      <c r="AD40" s="102" t="s">
        <v>115</v>
      </c>
    </row>
    <row r="41" spans="2:30" s="15" customFormat="1" ht="28.8" customHeight="1">
      <c r="B41" s="36" t="s">
        <v>216</v>
      </c>
      <c r="C41" s="128" t="s">
        <v>217</v>
      </c>
      <c r="D41" s="36" t="s">
        <v>32</v>
      </c>
      <c r="E41" s="22" t="s">
        <v>19</v>
      </c>
      <c r="F41" s="83" t="s">
        <v>40</v>
      </c>
      <c r="G41" s="83"/>
      <c r="H41" s="25" t="s">
        <v>8068</v>
      </c>
      <c r="I41" s="25" t="s">
        <v>111</v>
      </c>
      <c r="J41" s="98">
        <v>46261.301388888889</v>
      </c>
      <c r="K41" s="25" t="s">
        <v>8155</v>
      </c>
      <c r="L41" s="54">
        <v>46261.456944444442</v>
      </c>
      <c r="M41" s="36" t="s">
        <v>36</v>
      </c>
      <c r="N41" s="36"/>
      <c r="O41" s="102"/>
      <c r="P41" s="64"/>
      <c r="Q41" s="36"/>
      <c r="R41" s="57">
        <v>46308</v>
      </c>
      <c r="S41" s="57">
        <v>46308</v>
      </c>
      <c r="T41" s="60">
        <f t="shared" si="0"/>
        <v>0</v>
      </c>
      <c r="U41" s="38">
        <v>1</v>
      </c>
      <c r="V41" s="38">
        <v>1</v>
      </c>
      <c r="W41" s="38">
        <f>IF(B41="","",COUNTIFS(Ejecucion[No. Solicitud],Registro!B41,Ejecucion[Estado],"Finalizado"))</f>
        <v>0</v>
      </c>
      <c r="X41" s="38">
        <f>IF(B41="","",COUNTIFS(Ejecucion[No. Solicitud],Registro!B41,Ejecucion[Estado],"No Iniciado"))</f>
        <v>0</v>
      </c>
      <c r="Y41" s="64">
        <f>IF(B41="","",COUNTIFS(Ejecucion[No. Solicitud],Registro!B41,Ejecucion[Estado],"En Proceso"))</f>
        <v>1</v>
      </c>
      <c r="Z41" s="64">
        <f t="shared" si="2"/>
        <v>1</v>
      </c>
      <c r="AA41" s="64"/>
      <c r="AB41" s="64"/>
      <c r="AC41" s="64" t="s">
        <v>81</v>
      </c>
      <c r="AD41" s="102" t="s">
        <v>129</v>
      </c>
    </row>
    <row r="42" spans="2:30" s="15" customFormat="1" ht="28.8" customHeight="1">
      <c r="B42" s="36" t="s">
        <v>218</v>
      </c>
      <c r="C42" s="128" t="s">
        <v>219</v>
      </c>
      <c r="D42" s="36" t="s">
        <v>32</v>
      </c>
      <c r="E42" s="22" t="s">
        <v>19</v>
      </c>
      <c r="F42" s="83" t="s">
        <v>40</v>
      </c>
      <c r="G42" s="83"/>
      <c r="H42" s="25" t="s">
        <v>8069</v>
      </c>
      <c r="I42" s="25" t="s">
        <v>111</v>
      </c>
      <c r="J42" s="98">
        <v>46261.309027777781</v>
      </c>
      <c r="K42" s="25" t="s">
        <v>8153</v>
      </c>
      <c r="L42" s="54">
        <v>46261.456944444442</v>
      </c>
      <c r="M42" s="36" t="s">
        <v>35</v>
      </c>
      <c r="N42" s="36"/>
      <c r="O42" s="102"/>
      <c r="P42" s="64"/>
      <c r="Q42" s="36"/>
      <c r="R42" s="57">
        <v>46316</v>
      </c>
      <c r="S42" s="57">
        <v>46318</v>
      </c>
      <c r="T42" s="60">
        <f t="shared" si="0"/>
        <v>0</v>
      </c>
      <c r="U42" s="38">
        <v>3</v>
      </c>
      <c r="V42" s="38">
        <v>1</v>
      </c>
      <c r="W42" s="38">
        <f>IF(B42="","",COUNTIFS(Ejecucion[No. Solicitud],Registro!B42,Ejecucion[Estado],"Finalizado"))</f>
        <v>0</v>
      </c>
      <c r="X42" s="38">
        <f>IF(B42="","",COUNTIFS(Ejecucion[No. Solicitud],Registro!B42,Ejecucion[Estado],"No Iniciado"))</f>
        <v>0</v>
      </c>
      <c r="Y42" s="64">
        <f>IF(B42="","",COUNTIFS(Ejecucion[No. Solicitud],Registro!B42,Ejecucion[Estado],"En Proceso"))</f>
        <v>2</v>
      </c>
      <c r="Z42" s="64">
        <f t="shared" si="2"/>
        <v>3</v>
      </c>
      <c r="AA42" s="64"/>
      <c r="AB42" s="64"/>
      <c r="AC42" s="64" t="s">
        <v>81</v>
      </c>
      <c r="AD42" s="102" t="s">
        <v>118</v>
      </c>
    </row>
    <row r="43" spans="2:30" s="15" customFormat="1" ht="28.8" customHeight="1">
      <c r="B43" s="36" t="s">
        <v>220</v>
      </c>
      <c r="C43" s="128" t="s">
        <v>221</v>
      </c>
      <c r="D43" s="36" t="s">
        <v>32</v>
      </c>
      <c r="E43" s="22" t="s">
        <v>19</v>
      </c>
      <c r="F43" s="83" t="s">
        <v>42</v>
      </c>
      <c r="G43" s="83"/>
      <c r="H43" s="25" t="s">
        <v>8070</v>
      </c>
      <c r="I43" s="25" t="s">
        <v>111</v>
      </c>
      <c r="J43" s="98">
        <v>46261.318749999999</v>
      </c>
      <c r="K43" s="25" t="s">
        <v>8153</v>
      </c>
      <c r="L43" s="54">
        <v>46261.457638888889</v>
      </c>
      <c r="M43" s="36" t="s">
        <v>37</v>
      </c>
      <c r="N43" s="36"/>
      <c r="O43" s="102"/>
      <c r="P43" s="64"/>
      <c r="Q43" s="36"/>
      <c r="R43" s="37">
        <v>46331</v>
      </c>
      <c r="S43" s="37">
        <v>46349</v>
      </c>
      <c r="T43" s="60">
        <f t="shared" si="0"/>
        <v>0</v>
      </c>
      <c r="U43" s="38">
        <v>1</v>
      </c>
      <c r="V43" s="38">
        <v>1</v>
      </c>
      <c r="W43" s="38">
        <f>IF(B43="","",COUNTIFS(Ejecucion[No. Solicitud],Registro!B43,Ejecucion[Estado],"Finalizado"))</f>
        <v>0</v>
      </c>
      <c r="X43" s="38">
        <f>IF(B43="","",COUNTIFS(Ejecucion[No. Solicitud],Registro!B43,Ejecucion[Estado],"No Iniciado"))</f>
        <v>0</v>
      </c>
      <c r="Y43" s="64">
        <f>IF(B43="","",COUNTIFS(Ejecucion[No. Solicitud],Registro!B43,Ejecucion[Estado],"En Proceso"))</f>
        <v>1</v>
      </c>
      <c r="Z43" s="64">
        <f t="shared" si="2"/>
        <v>1</v>
      </c>
      <c r="AA43" s="64"/>
      <c r="AB43" s="64"/>
      <c r="AC43" s="64" t="s">
        <v>81</v>
      </c>
      <c r="AD43" s="102" t="s">
        <v>115</v>
      </c>
    </row>
    <row r="44" spans="2:30" s="15" customFormat="1" ht="28.8" customHeight="1">
      <c r="B44" s="36" t="s">
        <v>222</v>
      </c>
      <c r="C44" s="128" t="s">
        <v>223</v>
      </c>
      <c r="D44" s="36" t="s">
        <v>110</v>
      </c>
      <c r="E44" s="22" t="s">
        <v>16</v>
      </c>
      <c r="F44" s="83" t="s">
        <v>40</v>
      </c>
      <c r="G44" s="83"/>
      <c r="H44" s="25" t="s">
        <v>8071</v>
      </c>
      <c r="I44" s="25" t="s">
        <v>111</v>
      </c>
      <c r="J44" s="98">
        <v>46262.539583333331</v>
      </c>
      <c r="K44" s="25" t="s">
        <v>73</v>
      </c>
      <c r="L44" s="54">
        <v>46262.566666666673</v>
      </c>
      <c r="M44" s="36" t="s">
        <v>36</v>
      </c>
      <c r="N44" s="142"/>
      <c r="O44" s="146"/>
      <c r="P44" s="64"/>
      <c r="Q44" s="142"/>
      <c r="R44" s="37">
        <v>46266</v>
      </c>
      <c r="S44" s="37">
        <v>46273</v>
      </c>
      <c r="T44" s="60">
        <f t="shared" si="0"/>
        <v>1</v>
      </c>
      <c r="U44" s="38">
        <v>4</v>
      </c>
      <c r="V44" s="38">
        <v>1</v>
      </c>
      <c r="W44" s="38">
        <f>IF(B44="","",COUNTIFS(Ejecucion[No. Solicitud],Registro!B44,Ejecucion[Estado],"Finalizado"))</f>
        <v>4</v>
      </c>
      <c r="X44" s="38">
        <f>IF(B44="","",COUNTIFS(Ejecucion[No. Solicitud],Registro!B44,Ejecucion[Estado],"No Iniciado"))</f>
        <v>0</v>
      </c>
      <c r="Y44" s="64">
        <f>IF(B44="","",COUNTIFS(Ejecucion[No. Solicitud],Registro!B44,Ejecucion[Estado],"En Proceso"))</f>
        <v>0</v>
      </c>
      <c r="Z44" s="64">
        <f t="shared" si="2"/>
        <v>4</v>
      </c>
      <c r="AA44" s="64"/>
      <c r="AB44" s="64"/>
      <c r="AC44" s="64" t="s">
        <v>81</v>
      </c>
      <c r="AD44" s="102" t="s">
        <v>132</v>
      </c>
    </row>
    <row r="45" spans="2:30" s="15" customFormat="1" ht="28.8" customHeight="1">
      <c r="B45" s="36" t="s">
        <v>224</v>
      </c>
      <c r="C45" s="128" t="s">
        <v>225</v>
      </c>
      <c r="D45" s="36" t="s">
        <v>110</v>
      </c>
      <c r="E45" s="22" t="s">
        <v>18</v>
      </c>
      <c r="F45" s="83" t="s">
        <v>40</v>
      </c>
      <c r="G45" s="83"/>
      <c r="H45" s="25" t="s">
        <v>8072</v>
      </c>
      <c r="I45" s="25" t="s">
        <v>111</v>
      </c>
      <c r="J45" s="98">
        <v>46262.498611111107</v>
      </c>
      <c r="K45" s="25" t="s">
        <v>73</v>
      </c>
      <c r="L45" s="54">
        <v>46265.395138888889</v>
      </c>
      <c r="M45" s="141" t="s">
        <v>35</v>
      </c>
      <c r="N45" s="144">
        <v>44127</v>
      </c>
      <c r="O45" s="147" t="s">
        <v>226</v>
      </c>
      <c r="P45" s="64" t="s">
        <v>227</v>
      </c>
      <c r="Q45">
        <v>24900</v>
      </c>
      <c r="R45" s="140">
        <v>46289</v>
      </c>
      <c r="S45" s="57">
        <v>46303</v>
      </c>
      <c r="T45" s="60">
        <f t="shared" si="0"/>
        <v>1</v>
      </c>
      <c r="U45" s="38">
        <v>6</v>
      </c>
      <c r="V45" s="38">
        <v>1</v>
      </c>
      <c r="W45" s="38">
        <f>IF(B45="","",COUNTIFS(Ejecucion[No. Solicitud],Registro!B45,Ejecucion[Estado],"Finalizado"))</f>
        <v>6</v>
      </c>
      <c r="X45" s="38">
        <f>IF(B45="","",COUNTIFS(Ejecucion[No. Solicitud],Registro!B45,Ejecucion[Estado],"No Iniciado"))</f>
        <v>0</v>
      </c>
      <c r="Y45" s="64">
        <f>IF(B45="","",COUNTIFS(Ejecucion[No. Solicitud],Registro!B45,Ejecucion[Estado],"En Proceso"))</f>
        <v>0</v>
      </c>
      <c r="Z45" s="64">
        <f t="shared" si="2"/>
        <v>6</v>
      </c>
      <c r="AA45" s="64"/>
      <c r="AB45" s="64"/>
      <c r="AC45" s="64" t="s">
        <v>82</v>
      </c>
      <c r="AD45" s="102" t="s">
        <v>112</v>
      </c>
    </row>
    <row r="46" spans="2:30" s="15" customFormat="1" ht="28.8" customHeight="1">
      <c r="B46" s="36" t="s">
        <v>228</v>
      </c>
      <c r="C46" s="128" t="s">
        <v>229</v>
      </c>
      <c r="D46" s="36" t="s">
        <v>32</v>
      </c>
      <c r="E46" s="22" t="s">
        <v>18</v>
      </c>
      <c r="F46" s="83" t="s">
        <v>40</v>
      </c>
      <c r="G46" s="83"/>
      <c r="H46" s="25" t="s">
        <v>8073</v>
      </c>
      <c r="I46" s="25" t="s">
        <v>111</v>
      </c>
      <c r="J46" s="98">
        <v>46265.415972222218</v>
      </c>
      <c r="K46" s="25" t="s">
        <v>73</v>
      </c>
      <c r="L46" s="54">
        <v>46265.418055555558</v>
      </c>
      <c r="M46" s="36" t="s">
        <v>38</v>
      </c>
      <c r="N46" s="143" t="s">
        <v>230</v>
      </c>
      <c r="O46" s="148" t="s">
        <v>150</v>
      </c>
      <c r="P46" s="64"/>
      <c r="Q46" s="143"/>
      <c r="R46" s="57">
        <v>46304</v>
      </c>
      <c r="S46" s="57">
        <v>46338</v>
      </c>
      <c r="T46" s="60">
        <f t="shared" si="0"/>
        <v>0</v>
      </c>
      <c r="U46" s="38">
        <v>10</v>
      </c>
      <c r="V46" s="38">
        <v>1</v>
      </c>
      <c r="W46" s="38">
        <f>IF(B46="","",COUNTIFS(Ejecucion[No. Solicitud],Registro!B46,Ejecucion[Estado],"Finalizado"))</f>
        <v>0</v>
      </c>
      <c r="X46" s="38">
        <f>IF(B46="","",COUNTIFS(Ejecucion[No. Solicitud],Registro!B46,Ejecucion[Estado],"No Iniciado"))</f>
        <v>0</v>
      </c>
      <c r="Y46" s="64">
        <f>IF(B46="","",COUNTIFS(Ejecucion[No. Solicitud],Registro!B46,Ejecucion[Estado],"En Proceso"))</f>
        <v>10</v>
      </c>
      <c r="Z46" s="64">
        <f t="shared" si="2"/>
        <v>10</v>
      </c>
      <c r="AA46" s="64"/>
      <c r="AB46" s="64"/>
      <c r="AC46" s="64" t="s">
        <v>82</v>
      </c>
      <c r="AD46" s="102" t="s">
        <v>158</v>
      </c>
    </row>
    <row r="47" spans="2:30" s="15" customFormat="1" ht="28.8" customHeight="1">
      <c r="B47" s="36" t="s">
        <v>231</v>
      </c>
      <c r="C47" s="128" t="s">
        <v>232</v>
      </c>
      <c r="D47" s="36" t="s">
        <v>32</v>
      </c>
      <c r="E47" s="22" t="s">
        <v>19</v>
      </c>
      <c r="F47" s="83" t="s">
        <v>41</v>
      </c>
      <c r="G47" s="83"/>
      <c r="H47" s="25" t="s">
        <v>8074</v>
      </c>
      <c r="I47" s="25" t="s">
        <v>111</v>
      </c>
      <c r="J47" s="98">
        <v>46238.580555555563</v>
      </c>
      <c r="K47" s="25" t="s">
        <v>73</v>
      </c>
      <c r="L47" s="99">
        <v>46238.579861111109</v>
      </c>
      <c r="M47" s="36" t="s">
        <v>38</v>
      </c>
      <c r="N47" s="36">
        <v>132721</v>
      </c>
      <c r="O47" s="102" t="s">
        <v>233</v>
      </c>
      <c r="P47" s="64" t="s">
        <v>234</v>
      </c>
      <c r="Q47" s="36">
        <v>10500</v>
      </c>
      <c r="R47" s="57">
        <v>46286</v>
      </c>
      <c r="S47" s="57">
        <v>46288</v>
      </c>
      <c r="T47" s="60">
        <f t="shared" si="0"/>
        <v>0</v>
      </c>
      <c r="U47" s="38">
        <v>1</v>
      </c>
      <c r="V47" s="38">
        <v>3</v>
      </c>
      <c r="W47" s="38">
        <f>IF(B47="","",COUNTIFS(Ejecucion[No. Solicitud],Registro!B47,Ejecucion[Estado],"Finalizado"))</f>
        <v>0</v>
      </c>
      <c r="X47" s="38">
        <f>IF(B47="","",COUNTIFS(Ejecucion[No. Solicitud],Registro!B47,Ejecucion[Estado],"No Iniciado"))</f>
        <v>0</v>
      </c>
      <c r="Y47" s="64">
        <f>IF(B47="","",COUNTIFS(Ejecucion[No. Solicitud],Registro!B47,Ejecucion[Estado],"En Proceso"))</f>
        <v>1</v>
      </c>
      <c r="Z47" s="64">
        <f t="shared" si="2"/>
        <v>3</v>
      </c>
      <c r="AA47" s="64"/>
      <c r="AB47" s="64"/>
      <c r="AC47" s="64" t="s">
        <v>82</v>
      </c>
      <c r="AD47" s="102" t="s">
        <v>129</v>
      </c>
    </row>
    <row r="48" spans="2:30" s="15" customFormat="1" ht="28.8" customHeight="1">
      <c r="B48" s="36" t="s">
        <v>235</v>
      </c>
      <c r="C48" s="128" t="s">
        <v>236</v>
      </c>
      <c r="D48" s="36" t="s">
        <v>110</v>
      </c>
      <c r="E48" s="22" t="s">
        <v>18</v>
      </c>
      <c r="F48" s="83" t="s">
        <v>40</v>
      </c>
      <c r="G48" s="83"/>
      <c r="H48" s="25" t="s">
        <v>8075</v>
      </c>
      <c r="I48" s="25" t="s">
        <v>111</v>
      </c>
      <c r="J48" s="98">
        <v>46269.438194444447</v>
      </c>
      <c r="K48" s="25" t="s">
        <v>8150</v>
      </c>
      <c r="L48" s="54">
        <v>46269.451388888891</v>
      </c>
      <c r="M48" s="36" t="s">
        <v>38</v>
      </c>
      <c r="N48" s="36">
        <v>202464</v>
      </c>
      <c r="O48" s="102" t="s">
        <v>237</v>
      </c>
      <c r="P48" s="64" t="s">
        <v>238</v>
      </c>
      <c r="Q48" s="36">
        <v>24000</v>
      </c>
      <c r="R48" s="57">
        <v>46286</v>
      </c>
      <c r="S48" s="57">
        <v>46286</v>
      </c>
      <c r="T48" s="60">
        <f t="shared" si="0"/>
        <v>1</v>
      </c>
      <c r="U48" s="38">
        <v>2</v>
      </c>
      <c r="V48" s="38">
        <v>1</v>
      </c>
      <c r="W48" s="38">
        <f>IF(B48="","",COUNTIFS(Ejecucion[No. Solicitud],Registro!B48,Ejecucion[Estado],"Finalizado"))</f>
        <v>2</v>
      </c>
      <c r="X48" s="38">
        <f>IF(B48="","",COUNTIFS(Ejecucion[No. Solicitud],Registro!B48,Ejecucion[Estado],"No Iniciado"))</f>
        <v>0</v>
      </c>
      <c r="Y48" s="64">
        <f>IF(B48="","",COUNTIFS(Ejecucion[No. Solicitud],Registro!B48,Ejecucion[Estado],"En Proceso"))</f>
        <v>0</v>
      </c>
      <c r="Z48" s="64">
        <f t="shared" si="2"/>
        <v>2</v>
      </c>
      <c r="AA48" s="64"/>
      <c r="AB48" s="64"/>
      <c r="AC48" s="64" t="s">
        <v>82</v>
      </c>
      <c r="AD48" s="102" t="s">
        <v>129</v>
      </c>
    </row>
    <row r="49" spans="2:30" s="15" customFormat="1" ht="28.8" customHeight="1">
      <c r="B49" s="18" t="s">
        <v>239</v>
      </c>
      <c r="C49" s="128" t="s">
        <v>240</v>
      </c>
      <c r="D49" s="36" t="s">
        <v>110</v>
      </c>
      <c r="E49" s="22" t="s">
        <v>19</v>
      </c>
      <c r="F49" s="83" t="s">
        <v>42</v>
      </c>
      <c r="G49" s="83" t="s">
        <v>241</v>
      </c>
      <c r="H49" s="25" t="s">
        <v>8076</v>
      </c>
      <c r="I49" s="25" t="s">
        <v>111</v>
      </c>
      <c r="J49" s="98">
        <v>46006</v>
      </c>
      <c r="K49" s="25" t="s">
        <v>73</v>
      </c>
      <c r="L49" s="54">
        <v>46006</v>
      </c>
      <c r="M49" s="36" t="s">
        <v>34</v>
      </c>
      <c r="N49" s="36"/>
      <c r="O49" s="102"/>
      <c r="P49" s="64"/>
      <c r="Q49" s="36"/>
      <c r="R49" s="37">
        <v>46055</v>
      </c>
      <c r="S49" s="37">
        <v>46181</v>
      </c>
      <c r="T49" s="60">
        <f t="shared" si="0"/>
        <v>1</v>
      </c>
      <c r="U49" s="38">
        <v>3</v>
      </c>
      <c r="V49" s="38">
        <v>1</v>
      </c>
      <c r="W49" s="38">
        <f>IF(B49="","",COUNTIFS(Ejecucion[No. Solicitud],Registro!B49,Ejecucion[Estado],"Finalizado"))</f>
        <v>3</v>
      </c>
      <c r="X49" s="38">
        <f>IF(B49="","",COUNTIFS(Ejecucion[No. Solicitud],Registro!B49,Ejecucion[Estado],"No Iniciado"))</f>
        <v>0</v>
      </c>
      <c r="Y49" s="64">
        <f>IF(B49="","",COUNTIFS(Ejecucion[No. Solicitud],Registro!B49,Ejecucion[Estado],"En Proceso"))</f>
        <v>0</v>
      </c>
      <c r="Z49" s="64">
        <f t="shared" si="2"/>
        <v>1</v>
      </c>
      <c r="AA49" s="64"/>
      <c r="AB49" s="64"/>
      <c r="AC49" s="64" t="s">
        <v>81</v>
      </c>
      <c r="AD49" s="102" t="s">
        <v>115</v>
      </c>
    </row>
    <row r="50" spans="2:30" s="15" customFormat="1" ht="28.8" customHeight="1">
      <c r="B50" s="36" t="s">
        <v>242</v>
      </c>
      <c r="C50" s="128" t="s">
        <v>243</v>
      </c>
      <c r="D50" s="36" t="s">
        <v>110</v>
      </c>
      <c r="E50" s="22" t="s">
        <v>19</v>
      </c>
      <c r="F50" s="83" t="s">
        <v>42</v>
      </c>
      <c r="G50" s="154" t="s">
        <v>8160</v>
      </c>
      <c r="H50" s="25" t="s">
        <v>8077</v>
      </c>
      <c r="I50" s="25" t="s">
        <v>111</v>
      </c>
      <c r="J50" s="98">
        <v>46006</v>
      </c>
      <c r="K50" s="25" t="s">
        <v>73</v>
      </c>
      <c r="L50" s="54">
        <v>46371</v>
      </c>
      <c r="M50" s="36" t="s">
        <v>34</v>
      </c>
      <c r="N50" s="36"/>
      <c r="O50" s="102"/>
      <c r="P50" s="64"/>
      <c r="Q50" s="36"/>
      <c r="R50" s="37">
        <v>46252</v>
      </c>
      <c r="S50" s="37">
        <v>46272</v>
      </c>
      <c r="T50" s="60">
        <f t="shared" si="0"/>
        <v>1</v>
      </c>
      <c r="U50" s="38">
        <v>4</v>
      </c>
      <c r="V50" s="38">
        <v>1</v>
      </c>
      <c r="W50" s="38">
        <v>4</v>
      </c>
      <c r="X50" s="38">
        <f>IF(B50="","",COUNTIFS(Ejecucion[No. Solicitud],Registro!B50,Ejecucion[Estado],"No Iniciado"))</f>
        <v>0</v>
      </c>
      <c r="Y50" s="64">
        <f>IF(B50="","",COUNTIFS(Ejecucion[No. Solicitud],Registro!B50,Ejecucion[Estado],"En Proceso"))</f>
        <v>1</v>
      </c>
      <c r="Z50" s="64">
        <f t="shared" si="2"/>
        <v>1</v>
      </c>
      <c r="AA50" s="64"/>
      <c r="AB50" s="64"/>
      <c r="AC50" s="64" t="s">
        <v>81</v>
      </c>
      <c r="AD50" s="102" t="s">
        <v>115</v>
      </c>
    </row>
    <row r="51" spans="2:30" s="15" customFormat="1" ht="28.8" customHeight="1">
      <c r="B51" s="36" t="s">
        <v>245</v>
      </c>
      <c r="C51" s="155" t="s">
        <v>246</v>
      </c>
      <c r="D51" s="36" t="s">
        <v>110</v>
      </c>
      <c r="E51" s="22" t="s">
        <v>19</v>
      </c>
      <c r="F51" s="83" t="s">
        <v>42</v>
      </c>
      <c r="G51" s="83" t="s">
        <v>8156</v>
      </c>
      <c r="H51" s="25" t="s">
        <v>8078</v>
      </c>
      <c r="I51" s="25" t="s">
        <v>111</v>
      </c>
      <c r="J51" s="98">
        <v>46006</v>
      </c>
      <c r="K51" s="25" t="s">
        <v>73</v>
      </c>
      <c r="L51" s="54">
        <v>46006</v>
      </c>
      <c r="M51" s="36" t="s">
        <v>34</v>
      </c>
      <c r="N51" s="36"/>
      <c r="O51" s="102"/>
      <c r="P51" s="64"/>
      <c r="Q51" s="36"/>
      <c r="R51" s="37"/>
      <c r="S51" s="37"/>
      <c r="T51" s="60" t="str">
        <f t="shared" si="0"/>
        <v/>
      </c>
      <c r="U51" s="38"/>
      <c r="V51" s="38"/>
      <c r="W51" s="38">
        <f>IF(B51="","",COUNTIFS(Ejecucion[No. Solicitud],Registro!B51,Ejecucion[Estado],"Finalizado"))</f>
        <v>1</v>
      </c>
      <c r="X51" s="38">
        <v>1</v>
      </c>
      <c r="Y51" s="64">
        <f>IF(B51="","",COUNTIFS(Ejecucion[No. Solicitud],Registro!B51,Ejecucion[Estado],"En Proceso"))</f>
        <v>0</v>
      </c>
      <c r="Z51" s="64" t="str">
        <f t="shared" si="2"/>
        <v/>
      </c>
      <c r="AA51" s="64"/>
      <c r="AB51" s="64"/>
      <c r="AC51" s="64" t="s">
        <v>81</v>
      </c>
      <c r="AD51" s="102" t="s">
        <v>115</v>
      </c>
    </row>
    <row r="52" spans="2:30" s="15" customFormat="1" ht="28.8" customHeight="1">
      <c r="B52" s="36" t="s">
        <v>247</v>
      </c>
      <c r="C52" s="155" t="s">
        <v>248</v>
      </c>
      <c r="D52" s="36" t="s">
        <v>32</v>
      </c>
      <c r="E52" s="22" t="s">
        <v>19</v>
      </c>
      <c r="F52" s="83" t="s">
        <v>42</v>
      </c>
      <c r="G52" s="231" t="s">
        <v>8160</v>
      </c>
      <c r="H52" s="25" t="s">
        <v>8079</v>
      </c>
      <c r="I52" s="25" t="s">
        <v>111</v>
      </c>
      <c r="J52" s="98">
        <v>46006</v>
      </c>
      <c r="K52" s="25" t="s">
        <v>73</v>
      </c>
      <c r="L52" s="54">
        <v>46006.657638888893</v>
      </c>
      <c r="M52" s="36" t="s">
        <v>34</v>
      </c>
      <c r="N52" s="36"/>
      <c r="O52" s="102"/>
      <c r="P52" s="64"/>
      <c r="Q52" s="36"/>
      <c r="R52" s="37"/>
      <c r="S52" s="37"/>
      <c r="T52" s="60" t="str">
        <f t="shared" si="0"/>
        <v/>
      </c>
      <c r="U52" s="38"/>
      <c r="V52" s="38"/>
      <c r="W52" s="38">
        <f>IF(B52="","",COUNTIFS(Ejecucion[No. Solicitud],Registro!B52,Ejecucion[Estado],"Finalizado"))</f>
        <v>0</v>
      </c>
      <c r="X52" s="38">
        <f>IF(B52="","",COUNTIFS(Ejecucion[No. Solicitud],Registro!B52,Ejecucion[Estado],"No Iniciado"))</f>
        <v>0</v>
      </c>
      <c r="Y52" s="64">
        <f>IF(B52="","",COUNTIFS(Ejecucion[No. Solicitud],Registro!B52,Ejecucion[Estado],"En Proceso"))</f>
        <v>0</v>
      </c>
      <c r="Z52" s="64" t="str">
        <f t="shared" si="2"/>
        <v/>
      </c>
      <c r="AA52" s="64"/>
      <c r="AB52" s="64"/>
      <c r="AC52" s="64" t="s">
        <v>81</v>
      </c>
      <c r="AD52" s="102" t="s">
        <v>115</v>
      </c>
    </row>
    <row r="53" spans="2:30" s="15" customFormat="1" ht="43.2" customHeight="1">
      <c r="B53" s="36" t="s">
        <v>249</v>
      </c>
      <c r="C53" s="191" t="s">
        <v>250</v>
      </c>
      <c r="D53" s="36" t="s">
        <v>32</v>
      </c>
      <c r="E53" s="22" t="s">
        <v>19</v>
      </c>
      <c r="F53" s="83" t="s">
        <v>42</v>
      </c>
      <c r="G53" s="231" t="s">
        <v>8160</v>
      </c>
      <c r="H53" s="25" t="s">
        <v>8080</v>
      </c>
      <c r="I53" s="25" t="s">
        <v>111</v>
      </c>
      <c r="J53" s="98">
        <v>46006</v>
      </c>
      <c r="K53" s="25" t="s">
        <v>73</v>
      </c>
      <c r="L53" s="54">
        <v>46006.477777777778</v>
      </c>
      <c r="M53" s="36" t="s">
        <v>34</v>
      </c>
      <c r="N53" s="36"/>
      <c r="O53" s="102"/>
      <c r="P53" s="64"/>
      <c r="Q53" s="36"/>
      <c r="R53" s="37"/>
      <c r="S53" s="37"/>
      <c r="T53" s="60" t="str">
        <f t="shared" si="0"/>
        <v/>
      </c>
      <c r="U53" s="38"/>
      <c r="V53" s="38"/>
      <c r="W53" s="38">
        <f>IF(B53="","",COUNTIFS(Ejecucion[No. Solicitud],Registro!B53,Ejecucion[Estado],"Finalizado"))</f>
        <v>0</v>
      </c>
      <c r="X53" s="38">
        <f>IF(B53="","",COUNTIFS(Ejecucion[No. Solicitud],Registro!B53,Ejecucion[Estado],"No Iniciado"))</f>
        <v>0</v>
      </c>
      <c r="Y53" s="64">
        <f>IF(B53="","",COUNTIFS(Ejecucion[No. Solicitud],Registro!B53,Ejecucion[Estado],"En Proceso"))</f>
        <v>0</v>
      </c>
      <c r="Z53" s="64" t="str">
        <f t="shared" si="2"/>
        <v/>
      </c>
      <c r="AA53" s="64"/>
      <c r="AB53" s="64"/>
      <c r="AC53" s="64" t="s">
        <v>81</v>
      </c>
      <c r="AD53" s="102" t="s">
        <v>115</v>
      </c>
    </row>
    <row r="54" spans="2:30" s="15" customFormat="1" ht="43.2" customHeight="1">
      <c r="B54" s="18" t="s">
        <v>251</v>
      </c>
      <c r="C54" s="191" t="s">
        <v>252</v>
      </c>
      <c r="D54" s="36" t="s">
        <v>32</v>
      </c>
      <c r="E54" s="22" t="s">
        <v>19</v>
      </c>
      <c r="F54" s="83" t="s">
        <v>42</v>
      </c>
      <c r="G54" s="231" t="s">
        <v>8160</v>
      </c>
      <c r="H54" s="25" t="s">
        <v>8081</v>
      </c>
      <c r="I54" s="25" t="s">
        <v>111</v>
      </c>
      <c r="J54" s="98">
        <v>46006</v>
      </c>
      <c r="K54" s="25" t="s">
        <v>73</v>
      </c>
      <c r="L54" s="54">
        <v>46006.65902777778</v>
      </c>
      <c r="M54" s="36" t="s">
        <v>34</v>
      </c>
      <c r="N54" s="36"/>
      <c r="O54" s="102"/>
      <c r="P54" s="64"/>
      <c r="Q54" s="36"/>
      <c r="R54" s="37"/>
      <c r="S54" s="37"/>
      <c r="T54" s="60" t="str">
        <f t="shared" si="0"/>
        <v/>
      </c>
      <c r="U54" s="38"/>
      <c r="V54" s="38"/>
      <c r="W54" s="38">
        <f>IF(B54="","",COUNTIFS(Ejecucion[No. Solicitud],Registro!B54,Ejecucion[Estado],"Finalizado"))</f>
        <v>0</v>
      </c>
      <c r="X54" s="38">
        <f>IF(B54="","",COUNTIFS(Ejecucion[No. Solicitud],Registro!B54,Ejecucion[Estado],"No Iniciado"))</f>
        <v>0</v>
      </c>
      <c r="Y54" s="64">
        <f>IF(B54="","",COUNTIFS(Ejecucion[No. Solicitud],Registro!B54,Ejecucion[Estado],"En Proceso"))</f>
        <v>0</v>
      </c>
      <c r="Z54" s="64" t="str">
        <f t="shared" si="2"/>
        <v/>
      </c>
      <c r="AA54" s="64"/>
      <c r="AB54" s="64"/>
      <c r="AC54" s="64" t="s">
        <v>81</v>
      </c>
      <c r="AD54" s="25" t="s">
        <v>115</v>
      </c>
    </row>
    <row r="55" spans="2:30" s="15" customFormat="1" ht="28.8" customHeight="1">
      <c r="B55" s="18" t="s">
        <v>253</v>
      </c>
      <c r="C55" s="191" t="s">
        <v>254</v>
      </c>
      <c r="D55" s="36" t="s">
        <v>110</v>
      </c>
      <c r="E55" s="22" t="s">
        <v>19</v>
      </c>
      <c r="F55" s="83" t="s">
        <v>42</v>
      </c>
      <c r="G55" s="83" t="s">
        <v>8158</v>
      </c>
      <c r="H55" s="25" t="s">
        <v>8082</v>
      </c>
      <c r="I55" s="25" t="s">
        <v>111</v>
      </c>
      <c r="J55" s="98">
        <v>46021</v>
      </c>
      <c r="K55" s="25" t="s">
        <v>73</v>
      </c>
      <c r="L55" s="54">
        <v>46021.614583333343</v>
      </c>
      <c r="M55" s="18" t="s">
        <v>34</v>
      </c>
      <c r="N55" s="18"/>
      <c r="O55" s="25"/>
      <c r="P55" s="64"/>
      <c r="Q55" s="18"/>
      <c r="R55" s="37">
        <v>46090</v>
      </c>
      <c r="S55" s="37">
        <v>46153</v>
      </c>
      <c r="T55" s="60">
        <f t="shared" si="0"/>
        <v>1</v>
      </c>
      <c r="U55" s="38">
        <v>6</v>
      </c>
      <c r="V55" s="38">
        <v>1</v>
      </c>
      <c r="W55" s="38">
        <f>IF(B55="","",COUNTIFS(Ejecucion[No. Solicitud],Registro!B55,Ejecucion[Estado],"Finalizado"))</f>
        <v>6</v>
      </c>
      <c r="X55" s="38">
        <f>IF(B55="","",COUNTIFS(Ejecucion[No. Solicitud],Registro!B55,Ejecucion[Estado],"No Iniciado"))</f>
        <v>0</v>
      </c>
      <c r="Y55" s="64">
        <f>IF(B55="","",COUNTIFS(Ejecucion[No. Solicitud],Registro!B55,Ejecucion[Estado],"En Proceso"))</f>
        <v>0</v>
      </c>
      <c r="Z55" s="64">
        <f t="shared" si="2"/>
        <v>1</v>
      </c>
      <c r="AA55" s="64"/>
      <c r="AB55" s="64"/>
      <c r="AC55" s="64" t="s">
        <v>81</v>
      </c>
      <c r="AD55" s="102" t="s">
        <v>115</v>
      </c>
    </row>
    <row r="56" spans="2:30" s="15" customFormat="1" ht="28.8" customHeight="1">
      <c r="B56" s="18" t="s">
        <v>255</v>
      </c>
      <c r="C56" s="191" t="s">
        <v>256</v>
      </c>
      <c r="D56" s="36" t="s">
        <v>110</v>
      </c>
      <c r="E56" s="22" t="s">
        <v>19</v>
      </c>
      <c r="F56" s="83" t="s">
        <v>42</v>
      </c>
      <c r="G56" s="83" t="s">
        <v>8158</v>
      </c>
      <c r="H56" s="25" t="s">
        <v>8083</v>
      </c>
      <c r="I56" s="25" t="s">
        <v>111</v>
      </c>
      <c r="J56" s="98">
        <v>46021</v>
      </c>
      <c r="K56" s="25" t="s">
        <v>73</v>
      </c>
      <c r="L56" s="54">
        <v>46021.61041666667</v>
      </c>
      <c r="M56" s="18" t="s">
        <v>34</v>
      </c>
      <c r="N56" s="18"/>
      <c r="O56" s="25"/>
      <c r="P56" s="64"/>
      <c r="Q56" s="18"/>
      <c r="R56" s="37">
        <v>46188</v>
      </c>
      <c r="S56" s="37">
        <v>46244</v>
      </c>
      <c r="T56" s="60">
        <f t="shared" si="0"/>
        <v>1</v>
      </c>
      <c r="U56" s="38">
        <v>5</v>
      </c>
      <c r="V56" s="38">
        <v>1</v>
      </c>
      <c r="W56" s="38">
        <v>5</v>
      </c>
      <c r="X56" s="38">
        <f>IF(B56="","",COUNTIFS(Ejecucion[No. Solicitud],Registro!B56,Ejecucion[Estado],"No Iniciado"))</f>
        <v>0</v>
      </c>
      <c r="Y56" s="64">
        <f>IF(B56="","",COUNTIFS(Ejecucion[No. Solicitud],Registro!B56,Ejecucion[Estado],"En Proceso"))</f>
        <v>0</v>
      </c>
      <c r="Z56" s="64">
        <f t="shared" si="2"/>
        <v>1</v>
      </c>
      <c r="AA56" s="64"/>
      <c r="AB56" s="64"/>
      <c r="AC56" s="64" t="s">
        <v>83</v>
      </c>
      <c r="AD56" s="102" t="s">
        <v>115</v>
      </c>
    </row>
    <row r="57" spans="2:30" s="15" customFormat="1" ht="28.8" customHeight="1">
      <c r="B57" s="18" t="s">
        <v>257</v>
      </c>
      <c r="C57" s="191" t="s">
        <v>258</v>
      </c>
      <c r="D57" s="36" t="s">
        <v>110</v>
      </c>
      <c r="E57" s="22" t="s">
        <v>19</v>
      </c>
      <c r="F57" s="83" t="s">
        <v>42</v>
      </c>
      <c r="G57" s="83" t="s">
        <v>8158</v>
      </c>
      <c r="H57" s="25" t="s">
        <v>8084</v>
      </c>
      <c r="I57" s="25" t="s">
        <v>111</v>
      </c>
      <c r="J57" s="98">
        <v>46021.538888888892</v>
      </c>
      <c r="K57" s="25" t="s">
        <v>73</v>
      </c>
      <c r="L57" s="54">
        <v>46021.611111111109</v>
      </c>
      <c r="M57" s="18" t="s">
        <v>34</v>
      </c>
      <c r="N57" s="18"/>
      <c r="O57" s="25"/>
      <c r="P57" s="64"/>
      <c r="Q57" s="18"/>
      <c r="R57" s="37">
        <v>46223</v>
      </c>
      <c r="S57" s="37">
        <v>46262</v>
      </c>
      <c r="T57" s="60">
        <f t="shared" si="0"/>
        <v>1</v>
      </c>
      <c r="U57" s="38">
        <v>3</v>
      </c>
      <c r="V57" s="38">
        <v>1</v>
      </c>
      <c r="W57" s="38">
        <v>3</v>
      </c>
      <c r="X57" s="38">
        <v>0</v>
      </c>
      <c r="Y57" s="64">
        <f>IF(B57="","",COUNTIFS(Ejecucion[No. Solicitud],Registro!B57,Ejecucion[Estado],"En Proceso"))</f>
        <v>0</v>
      </c>
      <c r="Z57" s="64">
        <f t="shared" si="2"/>
        <v>1</v>
      </c>
      <c r="AA57" s="64"/>
      <c r="AB57" s="64"/>
      <c r="AC57" s="64" t="s">
        <v>83</v>
      </c>
      <c r="AD57" s="102" t="s">
        <v>115</v>
      </c>
    </row>
    <row r="58" spans="2:30" s="15" customFormat="1" ht="28.8" customHeight="1">
      <c r="B58" s="36" t="s">
        <v>259</v>
      </c>
      <c r="C58" s="191" t="s">
        <v>260</v>
      </c>
      <c r="D58" s="36" t="s">
        <v>110</v>
      </c>
      <c r="E58" s="22" t="s">
        <v>19</v>
      </c>
      <c r="F58" s="83" t="s">
        <v>42</v>
      </c>
      <c r="G58" s="83" t="s">
        <v>8158</v>
      </c>
      <c r="H58" s="25" t="s">
        <v>8085</v>
      </c>
      <c r="I58" s="25" t="s">
        <v>111</v>
      </c>
      <c r="J58" s="98">
        <v>46021.538888888892</v>
      </c>
      <c r="K58" s="25" t="s">
        <v>73</v>
      </c>
      <c r="L58" s="54">
        <v>46021.53125</v>
      </c>
      <c r="M58" s="18" t="s">
        <v>34</v>
      </c>
      <c r="N58" s="36"/>
      <c r="O58" s="102"/>
      <c r="P58" s="64"/>
      <c r="Q58" s="36"/>
      <c r="R58" s="37">
        <v>46296</v>
      </c>
      <c r="S58" s="37">
        <v>46378</v>
      </c>
      <c r="T58" s="60">
        <f t="shared" si="0"/>
        <v>0</v>
      </c>
      <c r="U58" s="38">
        <v>1</v>
      </c>
      <c r="V58" s="38">
        <v>1</v>
      </c>
      <c r="W58" s="38">
        <f>IF(B58="","",COUNTIFS(Ejecucion[No. Solicitud],Registro!B58,Ejecucion[Estado],"Finalizado"))</f>
        <v>0</v>
      </c>
      <c r="X58" s="38">
        <f>IF(B58="","",COUNTIFS(Ejecucion[No. Solicitud],Registro!B58,Ejecucion[Estado],"No Iniciado"))</f>
        <v>0</v>
      </c>
      <c r="Y58" s="64">
        <f>IF(B58="","",COUNTIFS(Ejecucion[No. Solicitud],Registro!B58,Ejecucion[Estado],"En Proceso"))</f>
        <v>0</v>
      </c>
      <c r="Z58" s="64">
        <f t="shared" si="2"/>
        <v>1</v>
      </c>
      <c r="AA58" s="64"/>
      <c r="AB58" s="64"/>
      <c r="AC58" s="64" t="s">
        <v>83</v>
      </c>
      <c r="AD58" s="102" t="s">
        <v>115</v>
      </c>
    </row>
    <row r="59" spans="2:30" s="15" customFormat="1" ht="28.8" customHeight="1">
      <c r="B59" s="36" t="s">
        <v>261</v>
      </c>
      <c r="C59" s="128" t="s">
        <v>262</v>
      </c>
      <c r="D59" s="36" t="s">
        <v>110</v>
      </c>
      <c r="E59" s="22" t="s">
        <v>19</v>
      </c>
      <c r="F59" s="83" t="s">
        <v>41</v>
      </c>
      <c r="G59" s="83"/>
      <c r="H59" s="25" t="s">
        <v>8086</v>
      </c>
      <c r="I59" s="25" t="s">
        <v>111</v>
      </c>
      <c r="J59" s="98" t="s">
        <v>263</v>
      </c>
      <c r="K59" s="25" t="s">
        <v>73</v>
      </c>
      <c r="L59" s="54">
        <v>46029.399305555547</v>
      </c>
      <c r="M59" s="36" t="s">
        <v>38</v>
      </c>
      <c r="N59" s="36">
        <v>80687</v>
      </c>
      <c r="O59" s="102" t="s">
        <v>264</v>
      </c>
      <c r="P59" s="64" t="s">
        <v>265</v>
      </c>
      <c r="Q59" s="36"/>
      <c r="R59" s="37">
        <v>46044</v>
      </c>
      <c r="S59" s="37">
        <v>46049</v>
      </c>
      <c r="T59" s="60">
        <f t="shared" si="0"/>
        <v>1</v>
      </c>
      <c r="U59" s="38">
        <v>2</v>
      </c>
      <c r="V59" s="38">
        <v>2</v>
      </c>
      <c r="W59" s="38">
        <v>2</v>
      </c>
      <c r="X59" s="38">
        <f>IF(B59="","",COUNTIFS(Ejecucion[No. Solicitud],Registro!B59,Ejecucion[Estado],"No Iniciado"))</f>
        <v>0</v>
      </c>
      <c r="Y59" s="64">
        <f>IF(B59="","",COUNTIFS(Ejecucion[No. Solicitud],Registro!B59,Ejecucion[Estado],"En Proceso"))</f>
        <v>0</v>
      </c>
      <c r="Z59" s="64">
        <f t="shared" si="2"/>
        <v>4</v>
      </c>
      <c r="AA59" s="64">
        <v>4</v>
      </c>
      <c r="AB59" s="64">
        <v>0</v>
      </c>
      <c r="AC59" s="64" t="s">
        <v>82</v>
      </c>
      <c r="AD59" s="25" t="s">
        <v>132</v>
      </c>
    </row>
    <row r="60" spans="2:30" s="15" customFormat="1" ht="28.8" customHeight="1">
      <c r="B60" s="18" t="s">
        <v>266</v>
      </c>
      <c r="C60" s="157" t="s">
        <v>267</v>
      </c>
      <c r="D60" s="36" t="s">
        <v>110</v>
      </c>
      <c r="E60" s="22" t="s">
        <v>19</v>
      </c>
      <c r="F60" s="83" t="s">
        <v>42</v>
      </c>
      <c r="G60" s="83" t="s">
        <v>8161</v>
      </c>
      <c r="H60" s="25" t="s">
        <v>8087</v>
      </c>
      <c r="I60" s="25" t="s">
        <v>111</v>
      </c>
      <c r="J60" s="98" t="s">
        <v>268</v>
      </c>
      <c r="K60" s="25" t="s">
        <v>73</v>
      </c>
      <c r="L60" s="54">
        <v>46027.663888888892</v>
      </c>
      <c r="M60" s="36" t="s">
        <v>35</v>
      </c>
      <c r="N60" s="36"/>
      <c r="O60" s="102"/>
      <c r="P60" s="64"/>
      <c r="Q60" s="36"/>
      <c r="R60" s="37">
        <v>46160</v>
      </c>
      <c r="S60" s="37">
        <v>46190</v>
      </c>
      <c r="T60" s="60">
        <f t="shared" si="0"/>
        <v>1</v>
      </c>
      <c r="U60" s="38">
        <v>2</v>
      </c>
      <c r="V60" s="38">
        <v>1</v>
      </c>
      <c r="W60" s="38">
        <v>2</v>
      </c>
      <c r="X60" s="38">
        <f>IF(B60="","",COUNTIFS(Ejecucion[No. Solicitud],Registro!B60,Ejecucion[Estado],"No Iniciado"))</f>
        <v>0</v>
      </c>
      <c r="Y60" s="64">
        <f>IF(B60="","",COUNTIFS(Ejecucion[No. Solicitud],Registro!B60,Ejecucion[Estado],"En Proceso"))</f>
        <v>0</v>
      </c>
      <c r="Z60" s="64">
        <f t="shared" si="2"/>
        <v>1</v>
      </c>
      <c r="AA60" s="64">
        <v>1</v>
      </c>
      <c r="AB60" s="64">
        <v>0</v>
      </c>
      <c r="AC60" s="64" t="s">
        <v>81</v>
      </c>
      <c r="AD60" s="25" t="s">
        <v>115</v>
      </c>
    </row>
    <row r="61" spans="2:30" s="15" customFormat="1" ht="28.8" customHeight="1">
      <c r="B61" s="18" t="s">
        <v>269</v>
      </c>
      <c r="C61" s="128" t="s">
        <v>270</v>
      </c>
      <c r="D61" s="18" t="s">
        <v>110</v>
      </c>
      <c r="E61" s="22" t="s">
        <v>19</v>
      </c>
      <c r="F61" s="83" t="s">
        <v>42</v>
      </c>
      <c r="G61" s="83" t="s">
        <v>8161</v>
      </c>
      <c r="H61" s="25" t="s">
        <v>8088</v>
      </c>
      <c r="I61" s="25" t="s">
        <v>111</v>
      </c>
      <c r="J61" s="98" t="s">
        <v>271</v>
      </c>
      <c r="K61" s="25" t="s">
        <v>73</v>
      </c>
      <c r="L61" s="54">
        <v>46028.337500000001</v>
      </c>
      <c r="M61" s="36" t="s">
        <v>35</v>
      </c>
      <c r="N61" s="36">
        <v>130295</v>
      </c>
      <c r="O61" s="102" t="s">
        <v>272</v>
      </c>
      <c r="P61" s="64" t="s">
        <v>273</v>
      </c>
      <c r="Q61" s="36"/>
      <c r="R61" s="37">
        <v>46162</v>
      </c>
      <c r="S61" s="37">
        <v>46195</v>
      </c>
      <c r="T61" s="60">
        <f t="shared" si="0"/>
        <v>1</v>
      </c>
      <c r="U61" s="38">
        <v>2</v>
      </c>
      <c r="V61" s="38">
        <v>1</v>
      </c>
      <c r="W61" s="38">
        <v>2</v>
      </c>
      <c r="X61" s="38">
        <f>IF(B61="","",COUNTIFS(Ejecucion[No. Solicitud],Registro!B61,Ejecucion[Estado],"No Iniciado"))</f>
        <v>0</v>
      </c>
      <c r="Y61" s="64">
        <f>IF(B61="","",COUNTIFS(Ejecucion[No. Solicitud],Registro!B61,Ejecucion[Estado],"En Proceso"))</f>
        <v>0</v>
      </c>
      <c r="Z61" s="64">
        <f t="shared" si="2"/>
        <v>1</v>
      </c>
      <c r="AA61" s="64">
        <v>1</v>
      </c>
      <c r="AB61" s="64">
        <v>0</v>
      </c>
      <c r="AC61" s="64" t="s">
        <v>81</v>
      </c>
      <c r="AD61" s="25" t="s">
        <v>115</v>
      </c>
    </row>
    <row r="62" spans="2:30" s="15" customFormat="1" ht="28.8" customHeight="1">
      <c r="B62" s="36" t="s">
        <v>274</v>
      </c>
      <c r="C62" s="128" t="s">
        <v>275</v>
      </c>
      <c r="D62" s="36" t="s">
        <v>110</v>
      </c>
      <c r="E62" s="22" t="s">
        <v>19</v>
      </c>
      <c r="F62" s="83" t="s">
        <v>40</v>
      </c>
      <c r="G62" s="83"/>
      <c r="H62" s="25" t="s">
        <v>8089</v>
      </c>
      <c r="I62" s="25" t="s">
        <v>111</v>
      </c>
      <c r="J62" s="98">
        <v>46030.613194444442</v>
      </c>
      <c r="K62" s="25" t="s">
        <v>8154</v>
      </c>
      <c r="L62" s="54">
        <v>46031.49722222222</v>
      </c>
      <c r="M62" s="36" t="s">
        <v>34</v>
      </c>
      <c r="N62" s="36">
        <v>130295</v>
      </c>
      <c r="O62" s="102" t="s">
        <v>272</v>
      </c>
      <c r="P62" s="64" t="s">
        <v>273</v>
      </c>
      <c r="Q62" s="36"/>
      <c r="R62" s="37">
        <v>46042</v>
      </c>
      <c r="S62" s="37">
        <v>46042</v>
      </c>
      <c r="T62" s="60">
        <f t="shared" si="0"/>
        <v>1</v>
      </c>
      <c r="U62" s="38">
        <v>1</v>
      </c>
      <c r="V62" s="38">
        <v>1</v>
      </c>
      <c r="W62" s="38">
        <v>1</v>
      </c>
      <c r="X62" s="38">
        <v>0</v>
      </c>
      <c r="Y62" s="64">
        <f>IF(B62="","",COUNTIFS(Ejecucion[No. Solicitud],Registro!B62,Ejecucion[Estado],"En Proceso"))</f>
        <v>0</v>
      </c>
      <c r="Z62" s="64">
        <f t="shared" si="2"/>
        <v>1</v>
      </c>
      <c r="AA62" s="64"/>
      <c r="AB62" s="64"/>
      <c r="AC62" s="64" t="s">
        <v>82</v>
      </c>
      <c r="AD62" s="102" t="s">
        <v>132</v>
      </c>
    </row>
    <row r="63" spans="2:30" s="15" customFormat="1" ht="28.8" customHeight="1">
      <c r="B63" s="36" t="s">
        <v>277</v>
      </c>
      <c r="C63" s="128" t="s">
        <v>278</v>
      </c>
      <c r="D63" s="36" t="s">
        <v>32</v>
      </c>
      <c r="E63" s="22" t="s">
        <v>19</v>
      </c>
      <c r="F63" s="83" t="s">
        <v>40</v>
      </c>
      <c r="G63" s="83" t="s">
        <v>8159</v>
      </c>
      <c r="H63" s="25" t="s">
        <v>8090</v>
      </c>
      <c r="I63" s="25" t="s">
        <v>111</v>
      </c>
      <c r="J63" s="98">
        <v>46272.402083333327</v>
      </c>
      <c r="K63" s="25" t="s">
        <v>73</v>
      </c>
      <c r="L63" s="54">
        <v>46272.457638888889</v>
      </c>
      <c r="M63" s="36" t="s">
        <v>35</v>
      </c>
      <c r="N63" s="36">
        <v>193909</v>
      </c>
      <c r="O63" s="102" t="s">
        <v>279</v>
      </c>
      <c r="P63" s="64" t="s">
        <v>280</v>
      </c>
      <c r="Q63" s="36">
        <v>56000</v>
      </c>
      <c r="R63" s="57">
        <v>46310</v>
      </c>
      <c r="S63" s="57">
        <v>46357</v>
      </c>
      <c r="T63" s="60">
        <f t="shared" si="0"/>
        <v>0</v>
      </c>
      <c r="U63" s="38">
        <v>8</v>
      </c>
      <c r="V63" s="38">
        <v>1</v>
      </c>
      <c r="W63" s="38">
        <f>IF(B63="","",COUNTIFS(Ejecucion[No. Solicitud],Registro!B63,Ejecucion[Estado],"Finalizado"))</f>
        <v>0</v>
      </c>
      <c r="X63" s="38">
        <f>IF(B63="","",COUNTIFS(Ejecucion[No. Solicitud],Registro!B63,Ejecucion[Estado],"No Iniciado"))</f>
        <v>8</v>
      </c>
      <c r="Y63" s="64">
        <f>IF(B63="","",COUNTIFS(Ejecucion[No. Solicitud],Registro!B63,Ejecucion[Estado],"En Proceso"))</f>
        <v>0</v>
      </c>
      <c r="Z63" s="64">
        <f t="shared" si="2"/>
        <v>8</v>
      </c>
      <c r="AA63" s="64"/>
      <c r="AB63" s="64"/>
      <c r="AC63" s="64" t="s">
        <v>82</v>
      </c>
      <c r="AD63" s="102" t="s">
        <v>129</v>
      </c>
    </row>
    <row r="64" spans="2:30" s="15" customFormat="1" ht="28.8" customHeight="1">
      <c r="B64" s="36" t="s">
        <v>281</v>
      </c>
      <c r="C64" s="128" t="s">
        <v>282</v>
      </c>
      <c r="D64" s="36" t="s">
        <v>110</v>
      </c>
      <c r="E64" s="22" t="s">
        <v>19</v>
      </c>
      <c r="F64" s="83" t="s">
        <v>40</v>
      </c>
      <c r="G64" s="83"/>
      <c r="H64" s="25" t="s">
        <v>8091</v>
      </c>
      <c r="I64" s="25" t="s">
        <v>111</v>
      </c>
      <c r="J64" s="98">
        <v>46194.342361111107</v>
      </c>
      <c r="K64" s="25" t="s">
        <v>73</v>
      </c>
      <c r="L64" s="54">
        <v>46194.591666666667</v>
      </c>
      <c r="M64" s="36" t="s">
        <v>38</v>
      </c>
      <c r="N64" s="36">
        <v>77247</v>
      </c>
      <c r="O64" s="102" t="s">
        <v>283</v>
      </c>
      <c r="P64" s="64" t="s">
        <v>284</v>
      </c>
      <c r="Q64" s="36"/>
      <c r="R64" s="57">
        <v>46057</v>
      </c>
      <c r="S64" s="57">
        <v>46057</v>
      </c>
      <c r="T64" s="60">
        <f t="shared" si="0"/>
        <v>1</v>
      </c>
      <c r="U64" s="38">
        <v>1</v>
      </c>
      <c r="V64" s="38">
        <v>1</v>
      </c>
      <c r="W64" s="38">
        <v>1</v>
      </c>
      <c r="X64" s="38">
        <f>IF(B64="","",COUNTIFS(Ejecucion[No. Solicitud],Registro!B64,Ejecucion[Estado],"No Iniciado"))</f>
        <v>0</v>
      </c>
      <c r="Y64" s="64">
        <f>IF(B64="","",COUNTIFS(Ejecucion[No. Solicitud],Registro!B64,Ejecucion[Estado],"En Proceso"))</f>
        <v>0</v>
      </c>
      <c r="Z64" s="64">
        <f t="shared" si="2"/>
        <v>1</v>
      </c>
      <c r="AA64" s="64">
        <v>1</v>
      </c>
      <c r="AB64" s="64">
        <v>0</v>
      </c>
      <c r="AC64" s="64" t="s">
        <v>82</v>
      </c>
      <c r="AD64" s="102" t="s">
        <v>118</v>
      </c>
    </row>
    <row r="65" spans="2:30" s="15" customFormat="1" ht="28.8" customHeight="1">
      <c r="B65" s="36" t="s">
        <v>285</v>
      </c>
      <c r="C65" s="128" t="s">
        <v>286</v>
      </c>
      <c r="D65" s="36" t="s">
        <v>32</v>
      </c>
      <c r="E65" s="22" t="s">
        <v>19</v>
      </c>
      <c r="F65" s="83" t="s">
        <v>40</v>
      </c>
      <c r="G65" s="83" t="s">
        <v>8159</v>
      </c>
      <c r="H65" s="25" t="s">
        <v>8092</v>
      </c>
      <c r="I65" s="25" t="s">
        <v>111</v>
      </c>
      <c r="J65" s="98">
        <v>46272.397222222222</v>
      </c>
      <c r="K65" s="25" t="s">
        <v>73</v>
      </c>
      <c r="L65" s="54">
        <v>46272.457638888889</v>
      </c>
      <c r="M65" s="36" t="s">
        <v>35</v>
      </c>
      <c r="N65" s="36">
        <v>77247</v>
      </c>
      <c r="O65" s="102" t="s">
        <v>283</v>
      </c>
      <c r="P65" s="64" t="s">
        <v>287</v>
      </c>
      <c r="Q65" s="36"/>
      <c r="R65" s="57">
        <v>46329</v>
      </c>
      <c r="S65" s="57">
        <v>46365</v>
      </c>
      <c r="T65" s="60">
        <f t="shared" si="0"/>
        <v>0</v>
      </c>
      <c r="U65" s="38">
        <v>7</v>
      </c>
      <c r="V65" s="38">
        <v>1</v>
      </c>
      <c r="W65" s="38">
        <f>IF(B65="","",COUNTIFS(Ejecucion[No. Solicitud],Registro!B65,Ejecucion[Estado],"Finalizado"))</f>
        <v>0</v>
      </c>
      <c r="X65" s="38">
        <f>IF(B65="","",COUNTIFS(Ejecucion[No. Solicitud],Registro!B65,Ejecucion[Estado],"No Iniciado"))</f>
        <v>7</v>
      </c>
      <c r="Y65" s="64">
        <f>IF(B65="","",COUNTIFS(Ejecucion[No. Solicitud],Registro!B65,Ejecucion[Estado],"En Proceso"))</f>
        <v>0</v>
      </c>
      <c r="Z65" s="64">
        <f t="shared" si="2"/>
        <v>7</v>
      </c>
      <c r="AA65" s="64"/>
      <c r="AB65" s="64"/>
      <c r="AC65" s="64" t="s">
        <v>81</v>
      </c>
      <c r="AD65" s="102" t="s">
        <v>158</v>
      </c>
    </row>
    <row r="66" spans="2:30" s="15" customFormat="1" ht="28.8" customHeight="1">
      <c r="B66" s="36" t="s">
        <v>288</v>
      </c>
      <c r="C66" s="128" t="s">
        <v>289</v>
      </c>
      <c r="D66" s="36" t="s">
        <v>110</v>
      </c>
      <c r="E66" s="22" t="s">
        <v>19</v>
      </c>
      <c r="F66" s="83" t="s">
        <v>40</v>
      </c>
      <c r="G66" s="83" t="s">
        <v>8159</v>
      </c>
      <c r="H66" s="25" t="s">
        <v>8093</v>
      </c>
      <c r="I66" s="25" t="s">
        <v>111</v>
      </c>
      <c r="J66" s="98">
        <v>46043.42083333333</v>
      </c>
      <c r="K66" s="25" t="s">
        <v>73</v>
      </c>
      <c r="L66" s="54">
        <v>46043.428472222222</v>
      </c>
      <c r="M66" s="36" t="s">
        <v>35</v>
      </c>
      <c r="N66" s="36">
        <v>193536</v>
      </c>
      <c r="O66" s="102" t="s">
        <v>290</v>
      </c>
      <c r="P66" s="64" t="s">
        <v>291</v>
      </c>
      <c r="Q66" s="36"/>
      <c r="R66" s="57">
        <v>46092</v>
      </c>
      <c r="S66" s="57">
        <v>46129</v>
      </c>
      <c r="T66" s="60">
        <f t="shared" si="0"/>
        <v>1</v>
      </c>
      <c r="U66" s="38">
        <v>3</v>
      </c>
      <c r="V66" s="38">
        <v>2</v>
      </c>
      <c r="W66" s="38">
        <v>3</v>
      </c>
      <c r="X66" s="38">
        <f>IF(B66="","",COUNTIFS(Ejecucion[No. Solicitud],Registro!B66,Ejecucion[Estado],"No Iniciado"))</f>
        <v>0</v>
      </c>
      <c r="Y66" s="64">
        <f>IF(B66="","",COUNTIFS(Ejecucion[No. Solicitud],Registro!B66,Ejecucion[Estado],"En Proceso"))</f>
        <v>0</v>
      </c>
      <c r="Z66" s="64">
        <f t="shared" si="2"/>
        <v>6</v>
      </c>
      <c r="AA66" s="64">
        <v>6</v>
      </c>
      <c r="AB66" s="64">
        <v>0</v>
      </c>
      <c r="AC66" s="64" t="s">
        <v>82</v>
      </c>
      <c r="AD66" s="102" t="s">
        <v>118</v>
      </c>
    </row>
    <row r="67" spans="2:30" s="15" customFormat="1" ht="28.8" customHeight="1">
      <c r="B67" s="36" t="s">
        <v>292</v>
      </c>
      <c r="C67" s="128" t="s">
        <v>293</v>
      </c>
      <c r="D67" s="36" t="s">
        <v>110</v>
      </c>
      <c r="E67" s="22" t="s">
        <v>19</v>
      </c>
      <c r="F67" s="83" t="s">
        <v>40</v>
      </c>
      <c r="G67" s="83"/>
      <c r="H67" s="25" t="s">
        <v>8094</v>
      </c>
      <c r="I67" s="25" t="s">
        <v>111</v>
      </c>
      <c r="J67" s="98">
        <v>46035.663888888892</v>
      </c>
      <c r="K67" s="25" t="s">
        <v>73</v>
      </c>
      <c r="L67" s="54">
        <v>46194.460416666669</v>
      </c>
      <c r="M67" s="36" t="s">
        <v>36</v>
      </c>
      <c r="N67" s="36">
        <v>117304</v>
      </c>
      <c r="O67" s="102" t="s">
        <v>294</v>
      </c>
      <c r="P67" s="64" t="s">
        <v>295</v>
      </c>
      <c r="Q67" s="36"/>
      <c r="R67" s="57">
        <v>46097</v>
      </c>
      <c r="S67" s="57">
        <v>46095</v>
      </c>
      <c r="T67" s="60">
        <f t="shared" si="0"/>
        <v>1</v>
      </c>
      <c r="U67" s="38">
        <v>4</v>
      </c>
      <c r="V67" s="38">
        <v>1</v>
      </c>
      <c r="W67" s="38">
        <v>4</v>
      </c>
      <c r="X67" s="38">
        <f>IF(B67="","",COUNTIFS(Ejecucion[No. Solicitud],Registro!B67,Ejecucion[Estado],"No Iniciado"))</f>
        <v>0</v>
      </c>
      <c r="Y67" s="64">
        <f>IF(B67="","",COUNTIFS(Ejecucion[No. Solicitud],Registro!B67,Ejecucion[Estado],"En Proceso"))</f>
        <v>0</v>
      </c>
      <c r="Z67" s="64">
        <f t="shared" si="2"/>
        <v>4</v>
      </c>
      <c r="AA67" s="64"/>
      <c r="AB67" s="64"/>
      <c r="AC67" s="64" t="s">
        <v>82</v>
      </c>
      <c r="AD67" s="102" t="s">
        <v>129</v>
      </c>
    </row>
    <row r="68" spans="2:30" s="15" customFormat="1" ht="28.8" customHeight="1">
      <c r="B68" s="18" t="s">
        <v>296</v>
      </c>
      <c r="C68" s="128" t="s">
        <v>297</v>
      </c>
      <c r="D68" s="36" t="s">
        <v>110</v>
      </c>
      <c r="E68" s="22" t="s">
        <v>19</v>
      </c>
      <c r="F68" s="83" t="s">
        <v>42</v>
      </c>
      <c r="G68" s="83"/>
      <c r="H68" s="25" t="s">
        <v>8095</v>
      </c>
      <c r="I68" s="25" t="s">
        <v>111</v>
      </c>
      <c r="J68" s="98">
        <v>46043.545138888891</v>
      </c>
      <c r="K68" s="25" t="s">
        <v>73</v>
      </c>
      <c r="L68" s="54">
        <v>46043.587500000001</v>
      </c>
      <c r="M68" s="36" t="s">
        <v>36</v>
      </c>
      <c r="N68" s="36"/>
      <c r="O68" s="102" t="s">
        <v>298</v>
      </c>
      <c r="P68" s="64"/>
      <c r="Q68" s="36"/>
      <c r="R68" s="57">
        <v>46104</v>
      </c>
      <c r="S68" s="57">
        <v>46108</v>
      </c>
      <c r="T68" s="60">
        <f t="shared" si="0"/>
        <v>1</v>
      </c>
      <c r="U68" s="38">
        <v>5</v>
      </c>
      <c r="V68" s="38">
        <v>1</v>
      </c>
      <c r="W68" s="38">
        <v>5</v>
      </c>
      <c r="X68" s="38">
        <f>IF(B68="","",COUNTIFS(Ejecucion[No. Solicitud],Registro!B68,Ejecucion[Estado],"No Iniciado"))</f>
        <v>0</v>
      </c>
      <c r="Y68" s="64">
        <f>IF(B68="","",COUNTIFS(Ejecucion[No. Solicitud],Registro!B68,Ejecucion[Estado],"En Proceso"))</f>
        <v>0</v>
      </c>
      <c r="Z68" s="64">
        <f t="shared" si="2"/>
        <v>1</v>
      </c>
      <c r="AA68" s="64"/>
      <c r="AB68" s="64"/>
      <c r="AC68" s="64" t="s">
        <v>81</v>
      </c>
      <c r="AD68" s="102" t="s">
        <v>115</v>
      </c>
    </row>
    <row r="69" spans="2:30" s="15" customFormat="1" ht="28.8" customHeight="1">
      <c r="B69" s="36" t="s">
        <v>299</v>
      </c>
      <c r="C69" s="128" t="s">
        <v>300</v>
      </c>
      <c r="D69" s="36" t="s">
        <v>110</v>
      </c>
      <c r="E69" s="22" t="s">
        <v>19</v>
      </c>
      <c r="F69" s="83" t="s">
        <v>40</v>
      </c>
      <c r="G69" s="83" t="s">
        <v>8159</v>
      </c>
      <c r="H69" s="25" t="s">
        <v>8096</v>
      </c>
      <c r="I69" s="25" t="s">
        <v>111</v>
      </c>
      <c r="J69" s="98">
        <v>46049.530555555553</v>
      </c>
      <c r="K69" s="25" t="s">
        <v>73</v>
      </c>
      <c r="L69" s="54">
        <v>46050.59375</v>
      </c>
      <c r="M69" s="36" t="s">
        <v>35</v>
      </c>
      <c r="N69" s="36"/>
      <c r="O69" s="102"/>
      <c r="P69" s="64"/>
      <c r="Q69" s="36"/>
      <c r="R69" s="57">
        <v>46083</v>
      </c>
      <c r="S69" s="57">
        <v>46204</v>
      </c>
      <c r="T69" s="60">
        <f t="shared" si="0"/>
        <v>1</v>
      </c>
      <c r="U69" s="38">
        <v>10</v>
      </c>
      <c r="V69" s="38">
        <v>1</v>
      </c>
      <c r="W69" s="38">
        <v>10</v>
      </c>
      <c r="X69" s="38">
        <f>IF(B69="","",COUNTIFS(Ejecucion[No. Solicitud],Registro!B69,Ejecucion[Estado],"No Iniciado"))</f>
        <v>0</v>
      </c>
      <c r="Y69" s="64">
        <f>IF(B69="","",COUNTIFS(Ejecucion[No. Solicitud],Registro!B69,Ejecucion[Estado],"En Proceso"))</f>
        <v>0</v>
      </c>
      <c r="Z69" s="64">
        <f t="shared" si="2"/>
        <v>10</v>
      </c>
      <c r="AA69" s="64">
        <v>10</v>
      </c>
      <c r="AB69" s="64">
        <v>0</v>
      </c>
      <c r="AC69" s="64" t="s">
        <v>81</v>
      </c>
      <c r="AD69" s="102" t="s">
        <v>129</v>
      </c>
    </row>
    <row r="70" spans="2:30" s="15" customFormat="1" ht="28.8" customHeight="1">
      <c r="B70" s="18" t="s">
        <v>301</v>
      </c>
      <c r="C70" s="128" t="s">
        <v>302</v>
      </c>
      <c r="D70" s="18" t="s">
        <v>110</v>
      </c>
      <c r="E70" s="22" t="s">
        <v>19</v>
      </c>
      <c r="F70" s="83" t="s">
        <v>40</v>
      </c>
      <c r="G70" s="83" t="s">
        <v>8159</v>
      </c>
      <c r="H70" s="25" t="s">
        <v>8097</v>
      </c>
      <c r="I70" s="89" t="s">
        <v>111</v>
      </c>
      <c r="J70" s="137">
        <v>46049.552083333343</v>
      </c>
      <c r="K70" s="25" t="s">
        <v>73</v>
      </c>
      <c r="L70" s="61">
        <v>53355.342361111107</v>
      </c>
      <c r="M70" s="36" t="s">
        <v>35</v>
      </c>
      <c r="N70" s="36"/>
      <c r="O70" s="102"/>
      <c r="P70" s="64"/>
      <c r="Q70" s="36"/>
      <c r="R70" s="37">
        <v>46083</v>
      </c>
      <c r="S70" s="37">
        <v>46206</v>
      </c>
      <c r="T70" s="60">
        <f t="shared" si="0"/>
        <v>1</v>
      </c>
      <c r="U70" s="38">
        <v>10</v>
      </c>
      <c r="V70" s="38">
        <v>1</v>
      </c>
      <c r="W70" s="38">
        <v>10</v>
      </c>
      <c r="X70" s="38">
        <v>0</v>
      </c>
      <c r="Y70" s="64">
        <v>0</v>
      </c>
      <c r="Z70" s="64">
        <f t="shared" si="2"/>
        <v>10</v>
      </c>
      <c r="AA70" s="64">
        <v>10</v>
      </c>
      <c r="AB70" s="64">
        <v>0</v>
      </c>
      <c r="AC70" s="64" t="s">
        <v>81</v>
      </c>
      <c r="AD70" s="25" t="s">
        <v>158</v>
      </c>
    </row>
    <row r="71" spans="2:30" s="15" customFormat="1" ht="28.8" customHeight="1">
      <c r="B71" s="163" t="s">
        <v>303</v>
      </c>
      <c r="C71" s="128" t="s">
        <v>304</v>
      </c>
      <c r="D71" s="36" t="s">
        <v>110</v>
      </c>
      <c r="E71" s="22" t="s">
        <v>19</v>
      </c>
      <c r="F71" s="83" t="s">
        <v>40</v>
      </c>
      <c r="G71" s="83" t="s">
        <v>8159</v>
      </c>
      <c r="H71" s="25" t="s">
        <v>8098</v>
      </c>
      <c r="I71" s="25" t="s">
        <v>111</v>
      </c>
      <c r="J71" s="98">
        <v>46049.618055555547</v>
      </c>
      <c r="K71" s="25" t="s">
        <v>73</v>
      </c>
      <c r="L71" s="98">
        <v>46050.35</v>
      </c>
      <c r="M71" s="36" t="s">
        <v>35</v>
      </c>
      <c r="N71" s="36"/>
      <c r="O71" s="102"/>
      <c r="P71" s="64"/>
      <c r="Q71" s="36"/>
      <c r="R71" s="37">
        <v>46084</v>
      </c>
      <c r="S71" s="37">
        <v>46205</v>
      </c>
      <c r="T71" s="60">
        <f t="shared" si="0"/>
        <v>1</v>
      </c>
      <c r="U71" s="38">
        <v>10</v>
      </c>
      <c r="V71" s="38">
        <v>1</v>
      </c>
      <c r="W71" s="38">
        <v>10</v>
      </c>
      <c r="X71" s="38">
        <f>IF(B71="","",COUNTIFS(Ejecucion[No. Solicitud],Registro!B71,Ejecucion[Estado],"No Iniciado"))</f>
        <v>0</v>
      </c>
      <c r="Y71" s="64">
        <f>IF(B71="","",COUNTIFS(Ejecucion[No. Solicitud],Registro!B71,Ejecucion[Estado],"En Proceso"))</f>
        <v>0</v>
      </c>
      <c r="Z71" s="64">
        <f t="shared" si="2"/>
        <v>10</v>
      </c>
      <c r="AA71" s="64">
        <v>10</v>
      </c>
      <c r="AB71" s="64">
        <v>0</v>
      </c>
      <c r="AC71" s="64" t="s">
        <v>81</v>
      </c>
      <c r="AD71" s="102" t="s">
        <v>129</v>
      </c>
    </row>
    <row r="72" spans="2:30" s="15" customFormat="1" ht="28.8" customHeight="1">
      <c r="B72" s="36" t="s">
        <v>305</v>
      </c>
      <c r="C72" s="128" t="s">
        <v>306</v>
      </c>
      <c r="D72" s="36" t="s">
        <v>110</v>
      </c>
      <c r="E72" s="22" t="s">
        <v>19</v>
      </c>
      <c r="F72" s="83" t="s">
        <v>40</v>
      </c>
      <c r="G72" s="83"/>
      <c r="H72" s="25" t="s">
        <v>8099</v>
      </c>
      <c r="I72" s="25" t="s">
        <v>111</v>
      </c>
      <c r="J72" s="98">
        <v>46049.609027777777</v>
      </c>
      <c r="K72" s="25" t="s">
        <v>73</v>
      </c>
      <c r="L72" s="54">
        <v>46050.345833333333</v>
      </c>
      <c r="M72" s="36" t="s">
        <v>38</v>
      </c>
      <c r="N72" s="36" t="s">
        <v>230</v>
      </c>
      <c r="O72" s="102"/>
      <c r="P72" s="64" t="s">
        <v>307</v>
      </c>
      <c r="Q72" s="36"/>
      <c r="R72" s="37">
        <v>46104</v>
      </c>
      <c r="S72" s="37">
        <v>46150</v>
      </c>
      <c r="T72" s="60">
        <f t="shared" ref="T72:T135" si="3">IF(U72="","",IF(U72=W72,1,0))</f>
        <v>1</v>
      </c>
      <c r="U72" s="38">
        <v>5</v>
      </c>
      <c r="V72" s="38">
        <v>1</v>
      </c>
      <c r="W72" s="38">
        <v>5</v>
      </c>
      <c r="X72" s="38">
        <f>IF(B72="","",COUNTIFS(Ejecucion[No. Solicitud],Registro!B72,Ejecucion[Estado],"No Iniciado"))</f>
        <v>0</v>
      </c>
      <c r="Y72" s="64">
        <f>IF(B72="","",COUNTIFS(Ejecucion[No. Solicitud],Registro!B72,Ejecucion[Estado],"En Proceso"))</f>
        <v>0</v>
      </c>
      <c r="Z72" s="64">
        <f t="shared" ref="Z72:Z88" si="4">IF(U72="","",IF(F72="Virtual Asincrónico",1,V72*U72))</f>
        <v>5</v>
      </c>
      <c r="AA72" s="64">
        <v>5</v>
      </c>
      <c r="AB72" s="64">
        <v>0</v>
      </c>
      <c r="AC72" s="64" t="s">
        <v>82</v>
      </c>
      <c r="AD72" s="102" t="s">
        <v>118</v>
      </c>
    </row>
    <row r="73" spans="2:30" s="15" customFormat="1" ht="28.8" customHeight="1">
      <c r="B73" s="36" t="s">
        <v>308</v>
      </c>
      <c r="C73" s="128" t="s">
        <v>309</v>
      </c>
      <c r="D73" s="36" t="s">
        <v>110</v>
      </c>
      <c r="E73" s="22" t="s">
        <v>19</v>
      </c>
      <c r="F73" s="83" t="s">
        <v>40</v>
      </c>
      <c r="G73" s="83" t="s">
        <v>8159</v>
      </c>
      <c r="H73" s="25" t="s">
        <v>8100</v>
      </c>
      <c r="I73" s="25" t="s">
        <v>111</v>
      </c>
      <c r="J73" s="98">
        <v>46049.62222222222</v>
      </c>
      <c r="K73" s="25" t="s">
        <v>73</v>
      </c>
      <c r="L73" s="54">
        <v>46050.354166666657</v>
      </c>
      <c r="M73" s="36" t="s">
        <v>35</v>
      </c>
      <c r="N73" s="36" t="s">
        <v>310</v>
      </c>
      <c r="O73" s="102"/>
      <c r="P73" s="64" t="s">
        <v>310</v>
      </c>
      <c r="Q73" s="36"/>
      <c r="R73" s="37">
        <v>46087</v>
      </c>
      <c r="S73" s="37">
        <v>46212</v>
      </c>
      <c r="T73" s="60">
        <f t="shared" si="3"/>
        <v>1</v>
      </c>
      <c r="U73" s="38">
        <v>10</v>
      </c>
      <c r="V73" s="38">
        <v>1</v>
      </c>
      <c r="W73" s="38">
        <f>IF(B73="","",COUNTIFS(Ejecucion[No. Solicitud],Registro!B73,Ejecucion[Estado],"Finalizado"))</f>
        <v>10</v>
      </c>
      <c r="X73" s="38">
        <f>IF(B73="","",COUNTIFS(Ejecucion[No. Solicitud],Registro!B73,Ejecucion[Estado],"No Iniciado"))</f>
        <v>0</v>
      </c>
      <c r="Y73" s="64">
        <f>IF(B73="","",COUNTIFS(Ejecucion[No. Solicitud],Registro!B73,Ejecucion[Estado],"En Proceso"))</f>
        <v>0</v>
      </c>
      <c r="Z73" s="64">
        <f t="shared" si="4"/>
        <v>10</v>
      </c>
      <c r="AA73" s="64">
        <v>10</v>
      </c>
      <c r="AB73" s="64">
        <v>0</v>
      </c>
      <c r="AC73" s="64" t="s">
        <v>81</v>
      </c>
      <c r="AD73" s="102" t="s">
        <v>112</v>
      </c>
    </row>
    <row r="74" spans="2:30" s="15" customFormat="1" ht="28.8" customHeight="1">
      <c r="B74" s="36" t="s">
        <v>311</v>
      </c>
      <c r="C74" s="128" t="s">
        <v>312</v>
      </c>
      <c r="D74" s="36" t="s">
        <v>110</v>
      </c>
      <c r="E74" s="22" t="s">
        <v>19</v>
      </c>
      <c r="F74" s="83" t="s">
        <v>40</v>
      </c>
      <c r="G74" s="83" t="s">
        <v>8159</v>
      </c>
      <c r="H74" s="25" t="s">
        <v>8101</v>
      </c>
      <c r="I74" s="25" t="s">
        <v>111</v>
      </c>
      <c r="J74" s="98">
        <v>46049.634027777778</v>
      </c>
      <c r="K74" s="25" t="s">
        <v>73</v>
      </c>
      <c r="L74" s="54">
        <v>46050.354861111111</v>
      </c>
      <c r="M74" s="36" t="s">
        <v>35</v>
      </c>
      <c r="N74" s="36" t="s">
        <v>310</v>
      </c>
      <c r="O74" s="102"/>
      <c r="P74" s="64" t="s">
        <v>310</v>
      </c>
      <c r="Q74" s="36"/>
      <c r="R74" s="37">
        <v>46085</v>
      </c>
      <c r="S74" s="37">
        <v>46210</v>
      </c>
      <c r="T74" s="60">
        <f t="shared" si="3"/>
        <v>1</v>
      </c>
      <c r="U74" s="38">
        <v>10</v>
      </c>
      <c r="V74" s="38">
        <v>1</v>
      </c>
      <c r="W74" s="38">
        <v>10</v>
      </c>
      <c r="X74" s="38">
        <f>IF(B74="","",COUNTIFS(Ejecucion[No. Solicitud],Registro!B74,Ejecucion[Estado],"No Iniciado"))</f>
        <v>0</v>
      </c>
      <c r="Y74" s="64">
        <f>IF(B74="","",COUNTIFS(Ejecucion[No. Solicitud],Registro!B74,Ejecucion[Estado],"En Proceso"))</f>
        <v>0</v>
      </c>
      <c r="Z74" s="64">
        <f t="shared" si="4"/>
        <v>10</v>
      </c>
      <c r="AA74" s="64">
        <v>10</v>
      </c>
      <c r="AB74" s="64">
        <v>0</v>
      </c>
      <c r="AC74" s="64" t="s">
        <v>81</v>
      </c>
      <c r="AD74" s="102" t="s">
        <v>158</v>
      </c>
    </row>
    <row r="75" spans="2:30" s="15" customFormat="1" ht="28.8" customHeight="1">
      <c r="B75" s="36" t="s">
        <v>313</v>
      </c>
      <c r="C75" s="128" t="s">
        <v>314</v>
      </c>
      <c r="D75" s="36" t="s">
        <v>110</v>
      </c>
      <c r="E75" s="22" t="s">
        <v>19</v>
      </c>
      <c r="F75" s="83" t="s">
        <v>40</v>
      </c>
      <c r="G75" s="83" t="s">
        <v>8159</v>
      </c>
      <c r="H75" s="25" t="s">
        <v>8102</v>
      </c>
      <c r="I75" s="25" t="s">
        <v>111</v>
      </c>
      <c r="J75" s="98">
        <v>46049.64166666667</v>
      </c>
      <c r="K75" s="25" t="s">
        <v>73</v>
      </c>
      <c r="L75" s="54">
        <v>46050.357638888891</v>
      </c>
      <c r="M75" s="36" t="s">
        <v>35</v>
      </c>
      <c r="N75" s="36" t="s">
        <v>310</v>
      </c>
      <c r="O75" s="102"/>
      <c r="P75" s="36" t="s">
        <v>310</v>
      </c>
      <c r="Q75" s="36"/>
      <c r="R75" s="37">
        <v>46085</v>
      </c>
      <c r="S75" s="37">
        <v>46210</v>
      </c>
      <c r="T75" s="60">
        <f t="shared" si="3"/>
        <v>1</v>
      </c>
      <c r="U75" s="38">
        <v>10</v>
      </c>
      <c r="V75" s="38">
        <v>1</v>
      </c>
      <c r="W75" s="38">
        <v>10</v>
      </c>
      <c r="X75" s="38">
        <f>IF(B75="","",COUNTIFS(Ejecucion[No. Solicitud],Registro!B75,Ejecucion[Estado],"No Iniciado"))</f>
        <v>0</v>
      </c>
      <c r="Y75" s="64">
        <f>IF(B75="","",COUNTIFS(Ejecucion[No. Solicitud],Registro!B75,Ejecucion[Estado],"En Proceso"))</f>
        <v>0</v>
      </c>
      <c r="Z75" s="64">
        <f t="shared" si="4"/>
        <v>10</v>
      </c>
      <c r="AA75" s="64">
        <v>10</v>
      </c>
      <c r="AB75" s="64">
        <v>0</v>
      </c>
      <c r="AC75" s="64" t="s">
        <v>81</v>
      </c>
      <c r="AD75" s="102" t="s">
        <v>158</v>
      </c>
    </row>
    <row r="76" spans="2:30" s="15" customFormat="1" ht="28.8" customHeight="1">
      <c r="B76" s="36" t="s">
        <v>315</v>
      </c>
      <c r="C76" s="128" t="s">
        <v>316</v>
      </c>
      <c r="D76" s="36" t="s">
        <v>110</v>
      </c>
      <c r="E76" s="22" t="s">
        <v>19</v>
      </c>
      <c r="F76" s="83" t="s">
        <v>40</v>
      </c>
      <c r="G76" s="83" t="s">
        <v>8159</v>
      </c>
      <c r="H76" s="25" t="s">
        <v>8103</v>
      </c>
      <c r="I76" s="25" t="s">
        <v>111</v>
      </c>
      <c r="J76" s="184">
        <v>46049.647916666669</v>
      </c>
      <c r="K76" s="25" t="s">
        <v>73</v>
      </c>
      <c r="L76" s="54">
        <v>46050.361111111109</v>
      </c>
      <c r="M76" s="36" t="s">
        <v>35</v>
      </c>
      <c r="N76" s="36" t="s">
        <v>310</v>
      </c>
      <c r="O76" s="102"/>
      <c r="P76" s="64" t="s">
        <v>310</v>
      </c>
      <c r="Q76" s="36"/>
      <c r="R76" s="37">
        <v>46087</v>
      </c>
      <c r="S76" s="37">
        <v>46212</v>
      </c>
      <c r="T76" s="60">
        <f t="shared" si="3"/>
        <v>1</v>
      </c>
      <c r="U76" s="38">
        <v>10</v>
      </c>
      <c r="V76" s="38">
        <v>1</v>
      </c>
      <c r="W76" s="38">
        <v>10</v>
      </c>
      <c r="X76" s="38">
        <f>IF(B76="","",COUNTIFS(Ejecucion[No. Solicitud],Registro!B76,Ejecucion[Estado],"No Iniciado"))</f>
        <v>0</v>
      </c>
      <c r="Y76" s="64">
        <f>IF(B76="","",COUNTIFS(Ejecucion[No. Solicitud],Registro!B76,Ejecucion[Estado],"En Proceso"))</f>
        <v>0</v>
      </c>
      <c r="Z76" s="64">
        <f t="shared" si="4"/>
        <v>10</v>
      </c>
      <c r="AA76" s="64">
        <v>10</v>
      </c>
      <c r="AB76" s="64">
        <v>0</v>
      </c>
      <c r="AC76" s="64" t="s">
        <v>81</v>
      </c>
      <c r="AD76" s="102" t="s">
        <v>118</v>
      </c>
    </row>
    <row r="77" spans="2:30" s="15" customFormat="1" ht="28.8" customHeight="1">
      <c r="B77" s="36" t="s">
        <v>317</v>
      </c>
      <c r="C77" s="128" t="s">
        <v>318</v>
      </c>
      <c r="D77" s="36" t="s">
        <v>110</v>
      </c>
      <c r="E77" s="22" t="s">
        <v>19</v>
      </c>
      <c r="F77" s="83" t="s">
        <v>40</v>
      </c>
      <c r="G77" s="83" t="s">
        <v>8159</v>
      </c>
      <c r="H77" s="25" t="s">
        <v>8104</v>
      </c>
      <c r="I77" s="25" t="s">
        <v>111</v>
      </c>
      <c r="J77" s="184">
        <v>46086.657638888893</v>
      </c>
      <c r="K77" s="25" t="s">
        <v>73</v>
      </c>
      <c r="L77" s="54">
        <v>46050.363888888889</v>
      </c>
      <c r="M77" s="36" t="s">
        <v>35</v>
      </c>
      <c r="N77" s="36" t="s">
        <v>310</v>
      </c>
      <c r="O77" s="102"/>
      <c r="P77" s="64" t="s">
        <v>310</v>
      </c>
      <c r="Q77" s="36"/>
      <c r="R77" s="37">
        <v>46086</v>
      </c>
      <c r="S77" s="37">
        <v>46211</v>
      </c>
      <c r="T77" s="60">
        <f t="shared" si="3"/>
        <v>1</v>
      </c>
      <c r="U77" s="38">
        <v>10</v>
      </c>
      <c r="V77" s="38">
        <v>1</v>
      </c>
      <c r="W77" s="38">
        <v>10</v>
      </c>
      <c r="X77" s="38">
        <v>0</v>
      </c>
      <c r="Y77" s="64">
        <f>IF(B77="","",COUNTIFS(Ejecucion[No. Solicitud],Registro!B77,Ejecucion[Estado],"En Proceso"))</f>
        <v>0</v>
      </c>
      <c r="Z77" s="64">
        <f t="shared" si="4"/>
        <v>10</v>
      </c>
      <c r="AA77" s="64">
        <v>10</v>
      </c>
      <c r="AB77" s="64">
        <v>0</v>
      </c>
      <c r="AC77" s="64" t="s">
        <v>81</v>
      </c>
      <c r="AD77" s="102" t="s">
        <v>158</v>
      </c>
    </row>
    <row r="78" spans="2:30" s="15" customFormat="1" ht="28.8" customHeight="1">
      <c r="B78" s="36" t="s">
        <v>319</v>
      </c>
      <c r="C78" s="128" t="s">
        <v>320</v>
      </c>
      <c r="D78" s="18" t="s">
        <v>110</v>
      </c>
      <c r="E78" s="22" t="s">
        <v>19</v>
      </c>
      <c r="F78" s="83" t="s">
        <v>40</v>
      </c>
      <c r="G78" s="83" t="s">
        <v>8159</v>
      </c>
      <c r="H78" s="25" t="s">
        <v>8105</v>
      </c>
      <c r="I78" s="25" t="s">
        <v>111</v>
      </c>
      <c r="J78" s="184">
        <v>46049.666666666657</v>
      </c>
      <c r="K78" s="25" t="s">
        <v>73</v>
      </c>
      <c r="L78" s="54">
        <v>46050.365972222222</v>
      </c>
      <c r="M78" s="36" t="s">
        <v>35</v>
      </c>
      <c r="N78" s="36" t="s">
        <v>310</v>
      </c>
      <c r="O78" s="102"/>
      <c r="P78" s="64" t="s">
        <v>310</v>
      </c>
      <c r="Q78" s="36"/>
      <c r="R78" s="37">
        <v>46090</v>
      </c>
      <c r="S78" s="37">
        <v>46213</v>
      </c>
      <c r="T78" s="60">
        <f t="shared" si="3"/>
        <v>1</v>
      </c>
      <c r="U78" s="38">
        <v>10</v>
      </c>
      <c r="V78" s="38">
        <v>1</v>
      </c>
      <c r="W78" s="38">
        <v>10</v>
      </c>
      <c r="X78" s="38">
        <f>IF(B78="","",COUNTIFS(Ejecucion[No. Solicitud],Registro!B78,Ejecucion[Estado],"No Iniciado"))</f>
        <v>0</v>
      </c>
      <c r="Y78" s="64">
        <f>IF(B78="","",COUNTIFS(Ejecucion[No. Solicitud],Registro!B78,Ejecucion[Estado],"En Proceso"))</f>
        <v>0</v>
      </c>
      <c r="Z78" s="64">
        <f t="shared" si="4"/>
        <v>10</v>
      </c>
      <c r="AA78" s="64">
        <v>10</v>
      </c>
      <c r="AB78" s="64">
        <v>0</v>
      </c>
      <c r="AC78" s="64" t="s">
        <v>81</v>
      </c>
      <c r="AD78" s="102" t="s">
        <v>118</v>
      </c>
    </row>
    <row r="79" spans="2:30" s="15" customFormat="1" ht="28.8" customHeight="1">
      <c r="B79" s="36" t="s">
        <v>321</v>
      </c>
      <c r="C79" s="128" t="s">
        <v>322</v>
      </c>
      <c r="D79" s="36" t="s">
        <v>110</v>
      </c>
      <c r="E79" s="22" t="s">
        <v>19</v>
      </c>
      <c r="F79" s="83" t="s">
        <v>40</v>
      </c>
      <c r="G79" s="83" t="s">
        <v>8159</v>
      </c>
      <c r="H79" s="25" t="s">
        <v>8106</v>
      </c>
      <c r="I79" s="25" t="s">
        <v>111</v>
      </c>
      <c r="J79" s="184">
        <v>46049.668055555558</v>
      </c>
      <c r="K79" s="25" t="s">
        <v>73</v>
      </c>
      <c r="L79" s="54">
        <v>46050.365972222222</v>
      </c>
      <c r="M79" s="36" t="s">
        <v>35</v>
      </c>
      <c r="N79" s="36" t="s">
        <v>310</v>
      </c>
      <c r="O79" s="102"/>
      <c r="P79" s="64" t="s">
        <v>310</v>
      </c>
      <c r="Q79" s="36"/>
      <c r="R79" s="37">
        <v>46087</v>
      </c>
      <c r="S79" s="37">
        <v>46212</v>
      </c>
      <c r="T79" s="60">
        <f t="shared" si="3"/>
        <v>1</v>
      </c>
      <c r="U79" s="38">
        <v>10</v>
      </c>
      <c r="V79" s="38">
        <v>1</v>
      </c>
      <c r="W79" s="38">
        <v>10</v>
      </c>
      <c r="X79" s="38">
        <f>IF(B79="","",COUNTIFS(Ejecucion[No. Solicitud],Registro!B79,Ejecucion[Estado],"No Iniciado"))</f>
        <v>0</v>
      </c>
      <c r="Y79" s="64">
        <f>IF(B79="","",COUNTIFS(Ejecucion[No. Solicitud],Registro!B79,Ejecucion[Estado],"En Proceso"))</f>
        <v>0</v>
      </c>
      <c r="Z79" s="64">
        <f t="shared" si="4"/>
        <v>10</v>
      </c>
      <c r="AA79" s="64">
        <v>10</v>
      </c>
      <c r="AB79" s="64">
        <v>0</v>
      </c>
      <c r="AC79" s="64" t="s">
        <v>81</v>
      </c>
      <c r="AD79" s="102" t="s">
        <v>158</v>
      </c>
    </row>
    <row r="80" spans="2:30" s="15" customFormat="1" ht="28.8" customHeight="1">
      <c r="B80" s="36" t="s">
        <v>323</v>
      </c>
      <c r="C80" s="128" t="s">
        <v>324</v>
      </c>
      <c r="D80" s="36" t="s">
        <v>110</v>
      </c>
      <c r="E80" s="22" t="s">
        <v>19</v>
      </c>
      <c r="F80" s="83" t="s">
        <v>40</v>
      </c>
      <c r="G80" s="83" t="s">
        <v>8159</v>
      </c>
      <c r="H80" s="25" t="s">
        <v>8107</v>
      </c>
      <c r="I80" s="25" t="s">
        <v>111</v>
      </c>
      <c r="J80" s="184">
        <v>46049.680555555547</v>
      </c>
      <c r="K80" s="25" t="s">
        <v>73</v>
      </c>
      <c r="L80" s="54">
        <v>46050.370138888888</v>
      </c>
      <c r="M80" s="36" t="s">
        <v>35</v>
      </c>
      <c r="N80" s="36" t="s">
        <v>310</v>
      </c>
      <c r="O80" s="102"/>
      <c r="P80" s="64" t="s">
        <v>310</v>
      </c>
      <c r="Q80" s="36"/>
      <c r="R80" s="37">
        <v>46090</v>
      </c>
      <c r="S80" s="37">
        <v>46216</v>
      </c>
      <c r="T80" s="60">
        <f t="shared" si="3"/>
        <v>1</v>
      </c>
      <c r="U80" s="38">
        <v>10</v>
      </c>
      <c r="V80" s="38">
        <v>1</v>
      </c>
      <c r="W80" s="38">
        <v>10</v>
      </c>
      <c r="X80" s="38">
        <f>IF(B80="","",COUNTIFS(Ejecucion[No. Solicitud],Registro!B80,Ejecucion[Estado],"No Iniciado"))</f>
        <v>0</v>
      </c>
      <c r="Y80" s="64">
        <f>IF(B80="","",COUNTIFS(Ejecucion[No. Solicitud],Registro!B80,Ejecucion[Estado],"En Proceso"))</f>
        <v>0</v>
      </c>
      <c r="Z80" s="64">
        <f t="shared" si="4"/>
        <v>10</v>
      </c>
      <c r="AA80" s="64">
        <v>10</v>
      </c>
      <c r="AB80" s="64">
        <v>0</v>
      </c>
      <c r="AC80" s="64" t="s">
        <v>81</v>
      </c>
      <c r="AD80" s="102" t="s">
        <v>129</v>
      </c>
    </row>
    <row r="81" spans="2:30" s="15" customFormat="1" ht="28.8" customHeight="1">
      <c r="B81" s="36" t="s">
        <v>325</v>
      </c>
      <c r="C81" s="128" t="s">
        <v>326</v>
      </c>
      <c r="D81" s="36" t="s">
        <v>110</v>
      </c>
      <c r="E81" s="22" t="s">
        <v>19</v>
      </c>
      <c r="F81" s="83" t="s">
        <v>40</v>
      </c>
      <c r="G81" s="83" t="s">
        <v>8159</v>
      </c>
      <c r="H81" s="25" t="s">
        <v>8108</v>
      </c>
      <c r="I81" s="25" t="s">
        <v>111</v>
      </c>
      <c r="J81" s="184">
        <v>46049.692361111112</v>
      </c>
      <c r="K81" s="25" t="s">
        <v>73</v>
      </c>
      <c r="L81" s="54">
        <v>46050.651388888888</v>
      </c>
      <c r="M81" s="36" t="s">
        <v>35</v>
      </c>
      <c r="N81" s="36" t="s">
        <v>310</v>
      </c>
      <c r="O81" s="102"/>
      <c r="P81" s="64" t="s">
        <v>310</v>
      </c>
      <c r="Q81" s="36"/>
      <c r="R81" s="37">
        <v>46092</v>
      </c>
      <c r="S81" s="37">
        <v>46092</v>
      </c>
      <c r="T81" s="60">
        <f t="shared" si="3"/>
        <v>1</v>
      </c>
      <c r="U81" s="38">
        <v>10</v>
      </c>
      <c r="V81" s="38">
        <v>1</v>
      </c>
      <c r="W81" s="38">
        <v>10</v>
      </c>
      <c r="X81" s="38">
        <f>IF(B81="","",COUNTIFS(Ejecucion[No. Solicitud],Registro!B81,Ejecucion[Estado],"No Iniciado"))</f>
        <v>0</v>
      </c>
      <c r="Y81" s="64">
        <f>IF(B81="","",COUNTIFS(Ejecucion[No. Solicitud],Registro!B81,Ejecucion[Estado],"En Proceso"))</f>
        <v>0</v>
      </c>
      <c r="Z81" s="64">
        <f t="shared" si="4"/>
        <v>10</v>
      </c>
      <c r="AA81" s="64">
        <v>10</v>
      </c>
      <c r="AB81" s="64">
        <v>0</v>
      </c>
      <c r="AC81" s="64" t="s">
        <v>81</v>
      </c>
      <c r="AD81" s="102" t="s">
        <v>112</v>
      </c>
    </row>
    <row r="82" spans="2:30" s="15" customFormat="1" ht="28.8" customHeight="1">
      <c r="B82" s="36" t="s">
        <v>327</v>
      </c>
      <c r="C82" s="128" t="s">
        <v>328</v>
      </c>
      <c r="D82" s="36" t="s">
        <v>32</v>
      </c>
      <c r="E82" s="22" t="s">
        <v>17</v>
      </c>
      <c r="F82" s="83" t="s">
        <v>40</v>
      </c>
      <c r="G82" s="83"/>
      <c r="H82" s="25" t="s">
        <v>8109</v>
      </c>
      <c r="I82" s="25" t="s">
        <v>111</v>
      </c>
      <c r="J82" s="98">
        <v>46282.34652777778</v>
      </c>
      <c r="K82" s="25" t="s">
        <v>8149</v>
      </c>
      <c r="L82" s="54">
        <v>46282.384027777778</v>
      </c>
      <c r="M82" s="36" t="s">
        <v>38</v>
      </c>
      <c r="N82" s="36">
        <v>56248</v>
      </c>
      <c r="O82" s="102" t="s">
        <v>329</v>
      </c>
      <c r="P82" s="64" t="s">
        <v>330</v>
      </c>
      <c r="Q82" s="36"/>
      <c r="R82" s="37">
        <v>46307</v>
      </c>
      <c r="S82" s="37">
        <v>46309</v>
      </c>
      <c r="T82" s="60">
        <f t="shared" si="3"/>
        <v>0</v>
      </c>
      <c r="U82" s="38">
        <v>2</v>
      </c>
      <c r="V82" s="38">
        <v>1</v>
      </c>
      <c r="W82" s="38">
        <f>IF(B82="","",COUNTIFS(Ejecucion[No. Solicitud],Registro!B82,Ejecucion[Estado],"Finalizado"))</f>
        <v>0</v>
      </c>
      <c r="X82" s="38">
        <f>IF(B82="","",COUNTIFS(Ejecucion[No. Solicitud],Registro!B82,Ejecucion[Estado],"No Iniciado"))</f>
        <v>0</v>
      </c>
      <c r="Y82" s="64">
        <f>IF(B82="","",COUNTIFS(Ejecucion[No. Solicitud],Registro!B82,Ejecucion[Estado],"En Proceso"))</f>
        <v>0</v>
      </c>
      <c r="Z82" s="64">
        <f t="shared" si="4"/>
        <v>2</v>
      </c>
      <c r="AA82" s="64"/>
      <c r="AB82" s="64"/>
      <c r="AC82" s="64" t="s">
        <v>81</v>
      </c>
      <c r="AD82" s="102" t="s">
        <v>158</v>
      </c>
    </row>
    <row r="83" spans="2:30" s="15" customFormat="1" ht="43.2" customHeight="1">
      <c r="B83" s="36" t="s">
        <v>331</v>
      </c>
      <c r="C83" s="128" t="s">
        <v>332</v>
      </c>
      <c r="D83" s="36" t="s">
        <v>32</v>
      </c>
      <c r="E83" s="22" t="s">
        <v>17</v>
      </c>
      <c r="F83" s="83" t="s">
        <v>40</v>
      </c>
      <c r="G83" s="83"/>
      <c r="H83" s="25" t="s">
        <v>8110</v>
      </c>
      <c r="I83" s="25" t="s">
        <v>111</v>
      </c>
      <c r="J83" s="98">
        <v>46282.406944444447</v>
      </c>
      <c r="K83" s="25" t="s">
        <v>8152</v>
      </c>
      <c r="L83" s="54">
        <v>46282.411111111112</v>
      </c>
      <c r="M83" s="188" t="s">
        <v>38</v>
      </c>
      <c r="N83" s="188" t="s">
        <v>333</v>
      </c>
      <c r="O83" s="194" t="s">
        <v>334</v>
      </c>
      <c r="P83" s="199" t="s">
        <v>335</v>
      </c>
      <c r="Q83" s="188"/>
      <c r="R83" s="37">
        <v>46302</v>
      </c>
      <c r="S83" s="37">
        <v>46352</v>
      </c>
      <c r="T83" s="60">
        <f t="shared" si="3"/>
        <v>0</v>
      </c>
      <c r="U83" s="38">
        <v>6</v>
      </c>
      <c r="V83" s="38">
        <v>3</v>
      </c>
      <c r="W83" s="38">
        <f>IF(B83="","",COUNTIFS(Ejecucion[No. Solicitud],Registro!B83,Ejecucion[Estado],"Finalizado"))</f>
        <v>0</v>
      </c>
      <c r="X83" s="38">
        <f>IF(B83="","",COUNTIFS(Ejecucion[No. Solicitud],Registro!B83,Ejecucion[Estado],"No Iniciado"))</f>
        <v>0</v>
      </c>
      <c r="Y83" s="64">
        <f>IF(B83="","",COUNTIFS(Ejecucion[No. Solicitud],Registro!B83,Ejecucion[Estado],"En Proceso"))</f>
        <v>6</v>
      </c>
      <c r="Z83" s="64">
        <f t="shared" si="4"/>
        <v>18</v>
      </c>
      <c r="AA83" s="64"/>
      <c r="AB83" s="64"/>
      <c r="AC83" s="64" t="s">
        <v>82</v>
      </c>
      <c r="AD83" s="102" t="s">
        <v>158</v>
      </c>
    </row>
    <row r="84" spans="2:30" s="15" customFormat="1" ht="28.8" customHeight="1">
      <c r="B84" s="36" t="s">
        <v>336</v>
      </c>
      <c r="C84" s="128" t="s">
        <v>337</v>
      </c>
      <c r="D84" s="36" t="s">
        <v>32</v>
      </c>
      <c r="E84" s="22" t="s">
        <v>18</v>
      </c>
      <c r="F84" s="83" t="s">
        <v>41</v>
      </c>
      <c r="G84" s="83"/>
      <c r="H84" s="25" t="s">
        <v>8111</v>
      </c>
      <c r="I84" s="25" t="s">
        <v>111</v>
      </c>
      <c r="J84" s="98">
        <v>46282.410416666673</v>
      </c>
      <c r="K84" s="25" t="s">
        <v>73</v>
      </c>
      <c r="L84" s="202">
        <v>46282.482638888891</v>
      </c>
      <c r="M84" s="204" t="s">
        <v>37</v>
      </c>
      <c r="N84" s="197">
        <v>202856</v>
      </c>
      <c r="O84" s="198" t="s">
        <v>338</v>
      </c>
      <c r="P84" s="197" t="s">
        <v>339</v>
      </c>
      <c r="Q84" s="208"/>
      <c r="R84" s="205">
        <v>46316</v>
      </c>
      <c r="S84" s="37">
        <v>46317</v>
      </c>
      <c r="T84" s="60">
        <f t="shared" si="3"/>
        <v>0</v>
      </c>
      <c r="U84" s="38">
        <v>2</v>
      </c>
      <c r="V84" s="38">
        <v>1</v>
      </c>
      <c r="W84" s="38">
        <f>IF(B84="","",COUNTIFS(Ejecucion[No. Solicitud],Registro!B84,Ejecucion[Estado],"Finalizado"))</f>
        <v>0</v>
      </c>
      <c r="X84" s="38">
        <f>IF(B84="","",COUNTIFS(Ejecucion[No. Solicitud],Registro!B84,Ejecucion[Estado],"No Iniciado"))</f>
        <v>0</v>
      </c>
      <c r="Y84" s="64">
        <f>IF(B84="","",COUNTIFS(Ejecucion[No. Solicitud],Registro!B84,Ejecucion[Estado],"En Proceso"))</f>
        <v>2</v>
      </c>
      <c r="Z84" s="64">
        <f t="shared" si="4"/>
        <v>2</v>
      </c>
      <c r="AA84" s="64"/>
      <c r="AB84" s="64"/>
      <c r="AC84" s="64" t="s">
        <v>81</v>
      </c>
      <c r="AD84" s="102" t="s">
        <v>112</v>
      </c>
    </row>
    <row r="85" spans="2:30" s="15" customFormat="1" ht="43.2" customHeight="1">
      <c r="B85" s="36" t="s">
        <v>340</v>
      </c>
      <c r="C85" s="128" t="s">
        <v>341</v>
      </c>
      <c r="D85" s="36" t="s">
        <v>32</v>
      </c>
      <c r="E85" s="22" t="s">
        <v>17</v>
      </c>
      <c r="F85" s="83" t="s">
        <v>40</v>
      </c>
      <c r="G85" s="83"/>
      <c r="H85" s="25" t="s">
        <v>8112</v>
      </c>
      <c r="I85" s="25" t="s">
        <v>111</v>
      </c>
      <c r="J85" s="98">
        <v>46282.424305555563</v>
      </c>
      <c r="K85" s="25" t="s">
        <v>8152</v>
      </c>
      <c r="L85" s="54">
        <v>46282.448611111111</v>
      </c>
      <c r="M85" s="195" t="s">
        <v>34</v>
      </c>
      <c r="N85" s="203">
        <v>130102</v>
      </c>
      <c r="O85" s="206" t="s">
        <v>342</v>
      </c>
      <c r="P85" s="207" t="s">
        <v>343</v>
      </c>
      <c r="Q85" s="195">
        <v>25000</v>
      </c>
      <c r="R85" s="37">
        <v>46302</v>
      </c>
      <c r="S85" s="37">
        <v>46332</v>
      </c>
      <c r="T85" s="60">
        <f t="shared" si="3"/>
        <v>0</v>
      </c>
      <c r="U85" s="38">
        <v>3</v>
      </c>
      <c r="V85" s="38">
        <v>3</v>
      </c>
      <c r="W85" s="38">
        <f>IF(B85="","",COUNTIFS(Ejecucion[No. Solicitud],Registro!B85,Ejecucion[Estado],"Finalizado"))</f>
        <v>0</v>
      </c>
      <c r="X85" s="38">
        <f>IF(B85="","",COUNTIFS(Ejecucion[No. Solicitud],Registro!B85,Ejecucion[Estado],"No Iniciado"))</f>
        <v>0</v>
      </c>
      <c r="Y85" s="64">
        <f>IF(B85="","",COUNTIFS(Ejecucion[No. Solicitud],Registro!B85,Ejecucion[Estado],"En Proceso"))</f>
        <v>3</v>
      </c>
      <c r="Z85" s="64">
        <f t="shared" si="4"/>
        <v>9</v>
      </c>
      <c r="AA85" s="64"/>
      <c r="AB85" s="64"/>
      <c r="AC85" s="64" t="s">
        <v>82</v>
      </c>
      <c r="AD85" s="102" t="s">
        <v>118</v>
      </c>
    </row>
    <row r="86" spans="2:30" s="15" customFormat="1" ht="28.8" customHeight="1">
      <c r="B86" s="36" t="s">
        <v>344</v>
      </c>
      <c r="C86" s="128" t="s">
        <v>345</v>
      </c>
      <c r="D86" s="36" t="s">
        <v>32</v>
      </c>
      <c r="E86" s="22" t="s">
        <v>18</v>
      </c>
      <c r="F86" s="83" t="s">
        <v>40</v>
      </c>
      <c r="G86" s="83"/>
      <c r="H86" s="25" t="s">
        <v>8113</v>
      </c>
      <c r="I86" s="25" t="s">
        <v>111</v>
      </c>
      <c r="J86" s="98">
        <v>46282.457638888889</v>
      </c>
      <c r="K86" s="25" t="s">
        <v>8149</v>
      </c>
      <c r="L86" s="54">
        <v>46282.482638888891</v>
      </c>
      <c r="M86" s="192" t="s">
        <v>36</v>
      </c>
      <c r="N86" s="197">
        <v>199329</v>
      </c>
      <c r="O86" s="198" t="s">
        <v>346</v>
      </c>
      <c r="P86" s="197" t="s">
        <v>347</v>
      </c>
      <c r="Q86" s="193"/>
      <c r="R86" s="37">
        <v>46317</v>
      </c>
      <c r="S86" s="37">
        <v>46321</v>
      </c>
      <c r="T86" s="60">
        <f t="shared" si="3"/>
        <v>0</v>
      </c>
      <c r="U86" s="38">
        <v>2</v>
      </c>
      <c r="V86" s="38">
        <v>1</v>
      </c>
      <c r="W86" s="38">
        <f>IF(B86="","",COUNTIFS(Ejecucion[No. Solicitud],Registro!B86,Ejecucion[Estado],"Finalizado"))</f>
        <v>0</v>
      </c>
      <c r="X86" s="38">
        <f>IF(B86="","",COUNTIFS(Ejecucion[No. Solicitud],Registro!B86,Ejecucion[Estado],"No Iniciado"))</f>
        <v>0</v>
      </c>
      <c r="Y86" s="64">
        <f>IF(B86="","",COUNTIFS(Ejecucion[No. Solicitud],Registro!B86,Ejecucion[Estado],"En Proceso"))</f>
        <v>2</v>
      </c>
      <c r="Z86" s="64">
        <f t="shared" si="4"/>
        <v>2</v>
      </c>
      <c r="AA86" s="64"/>
      <c r="AB86" s="64"/>
      <c r="AC86" s="64" t="s">
        <v>81</v>
      </c>
      <c r="AD86" s="102" t="s">
        <v>112</v>
      </c>
    </row>
    <row r="87" spans="2:30" s="15" customFormat="1" ht="28.8" customHeight="1">
      <c r="B87" s="36" t="s">
        <v>348</v>
      </c>
      <c r="C87" s="128" t="s">
        <v>349</v>
      </c>
      <c r="D87" s="36" t="s">
        <v>32</v>
      </c>
      <c r="E87" s="22" t="s">
        <v>17</v>
      </c>
      <c r="F87" s="83" t="s">
        <v>41</v>
      </c>
      <c r="G87" s="83"/>
      <c r="H87" s="25" t="s">
        <v>8114</v>
      </c>
      <c r="I87" s="25" t="s">
        <v>111</v>
      </c>
      <c r="J87" s="98">
        <v>46282.563888888893</v>
      </c>
      <c r="K87" s="25" t="s">
        <v>8148</v>
      </c>
      <c r="L87" s="99">
        <v>46282.583333333343</v>
      </c>
      <c r="M87" s="36" t="s">
        <v>36</v>
      </c>
      <c r="N87" s="195">
        <v>202591</v>
      </c>
      <c r="O87" s="196" t="s">
        <v>350</v>
      </c>
      <c r="P87" s="200" t="s">
        <v>351</v>
      </c>
      <c r="Q87" s="36"/>
      <c r="R87" s="37">
        <v>46303</v>
      </c>
      <c r="S87" s="37">
        <v>46307</v>
      </c>
      <c r="T87" s="60">
        <f t="shared" si="3"/>
        <v>0</v>
      </c>
      <c r="U87" s="38">
        <v>1</v>
      </c>
      <c r="V87" s="38">
        <v>5</v>
      </c>
      <c r="W87" s="38">
        <f>IF(B87="","",COUNTIFS(Ejecucion[No. Solicitud],Registro!B87,Ejecucion[Estado],"Finalizado"))</f>
        <v>0</v>
      </c>
      <c r="X87" s="38">
        <f>IF(B87="","",COUNTIFS(Ejecucion[No. Solicitud],Registro!B87,Ejecucion[Estado],"No Iniciado"))</f>
        <v>0</v>
      </c>
      <c r="Y87" s="64">
        <v>0</v>
      </c>
      <c r="Z87" s="64">
        <f t="shared" si="4"/>
        <v>5</v>
      </c>
      <c r="AA87" s="64"/>
      <c r="AB87" s="64"/>
      <c r="AC87" s="64" t="s">
        <v>82</v>
      </c>
      <c r="AD87" s="102" t="s">
        <v>132</v>
      </c>
    </row>
    <row r="88" spans="2:30" s="15" customFormat="1" ht="28.8" customHeight="1">
      <c r="B88" s="36" t="s">
        <v>352</v>
      </c>
      <c r="C88" s="128" t="s">
        <v>353</v>
      </c>
      <c r="D88" s="36" t="s">
        <v>32</v>
      </c>
      <c r="E88" s="22" t="s">
        <v>17</v>
      </c>
      <c r="F88" s="83" t="s">
        <v>41</v>
      </c>
      <c r="G88" s="83"/>
      <c r="H88" s="25" t="s">
        <v>8115</v>
      </c>
      <c r="I88" s="25" t="s">
        <v>111</v>
      </c>
      <c r="J88" s="98">
        <v>46282.595833333333</v>
      </c>
      <c r="K88" s="25" t="s">
        <v>8148</v>
      </c>
      <c r="L88" s="54">
        <v>46282.598611111112</v>
      </c>
      <c r="M88" s="36" t="s">
        <v>35</v>
      </c>
      <c r="N88" s="36">
        <v>199328</v>
      </c>
      <c r="O88" s="102" t="s">
        <v>354</v>
      </c>
      <c r="P88" s="64" t="s">
        <v>355</v>
      </c>
      <c r="Q88" s="36"/>
      <c r="R88" s="37">
        <v>46316</v>
      </c>
      <c r="S88" s="37">
        <v>46316</v>
      </c>
      <c r="T88" s="60">
        <f t="shared" si="3"/>
        <v>0</v>
      </c>
      <c r="U88" s="38">
        <v>1</v>
      </c>
      <c r="V88" s="38">
        <v>1</v>
      </c>
      <c r="W88" s="38">
        <f>IF(B88="","",COUNTIFS(Ejecucion[No. Solicitud],Registro!B88,Ejecucion[Estado],"Finalizado"))</f>
        <v>0</v>
      </c>
      <c r="X88" s="38">
        <f>IF(B88="","",COUNTIFS(Ejecucion[No. Solicitud],Registro!B88,Ejecucion[Estado],"No Iniciado"))</f>
        <v>0</v>
      </c>
      <c r="Y88" s="64">
        <f>IF(B88="","",COUNTIFS(Ejecucion[No. Solicitud],Registro!B88,Ejecucion[Estado],"En Proceso"))</f>
        <v>1</v>
      </c>
      <c r="Z88" s="64">
        <f t="shared" si="4"/>
        <v>1</v>
      </c>
      <c r="AA88" s="64"/>
      <c r="AB88" s="64"/>
      <c r="AC88" s="64" t="s">
        <v>82</v>
      </c>
      <c r="AD88" s="102" t="s">
        <v>118</v>
      </c>
    </row>
    <row r="89" spans="2:30" s="15" customFormat="1" ht="28.8" customHeight="1">
      <c r="B89" s="36" t="s">
        <v>356</v>
      </c>
      <c r="C89" s="128" t="s">
        <v>357</v>
      </c>
      <c r="D89" s="36" t="s">
        <v>110</v>
      </c>
      <c r="E89" s="22" t="s">
        <v>18</v>
      </c>
      <c r="F89" s="83" t="s">
        <v>40</v>
      </c>
      <c r="G89" s="83"/>
      <c r="H89" s="25" t="s">
        <v>8116</v>
      </c>
      <c r="I89" s="25" t="s">
        <v>111</v>
      </c>
      <c r="J89" s="98">
        <v>46224.333333333343</v>
      </c>
      <c r="K89" s="25" t="s">
        <v>73</v>
      </c>
      <c r="L89" s="54">
        <v>46225.42291666667</v>
      </c>
      <c r="M89" s="36" t="s">
        <v>38</v>
      </c>
      <c r="N89" s="36">
        <v>54394</v>
      </c>
      <c r="O89" s="102" t="s">
        <v>358</v>
      </c>
      <c r="P89" s="36" t="s">
        <v>359</v>
      </c>
      <c r="Q89" s="36"/>
      <c r="R89" s="37">
        <v>46261</v>
      </c>
      <c r="S89" s="37">
        <v>46261</v>
      </c>
      <c r="T89" s="60">
        <f t="shared" si="3"/>
        <v>1</v>
      </c>
      <c r="U89" s="38">
        <v>1</v>
      </c>
      <c r="V89" s="38">
        <v>1</v>
      </c>
      <c r="W89" s="38">
        <v>1</v>
      </c>
      <c r="X89" s="38">
        <f>IF(B89="","",COUNTIFS(Ejecucion[No. Solicitud],Registro!B89,Ejecucion[Estado],"No Iniciado"))</f>
        <v>0</v>
      </c>
      <c r="Y89" s="64">
        <f>IF(B89="","",COUNTIFS(Ejecucion[No. Solicitud],Registro!B89,Ejecucion[Estado],"En Proceso"))</f>
        <v>0</v>
      </c>
      <c r="Z89" s="64">
        <v>1</v>
      </c>
      <c r="AA89" s="64">
        <v>1</v>
      </c>
      <c r="AB89" s="64"/>
      <c r="AC89" s="64" t="s">
        <v>82</v>
      </c>
      <c r="AD89" s="102" t="s">
        <v>132</v>
      </c>
    </row>
    <row r="90" spans="2:30" s="15" customFormat="1" ht="28.8" customHeight="1">
      <c r="B90" s="36" t="s">
        <v>360</v>
      </c>
      <c r="C90" s="128" t="s">
        <v>361</v>
      </c>
      <c r="D90" s="36" t="s">
        <v>110</v>
      </c>
      <c r="E90" s="22" t="s">
        <v>19</v>
      </c>
      <c r="F90" s="83" t="s">
        <v>41</v>
      </c>
      <c r="G90" s="83"/>
      <c r="H90" s="25" t="s">
        <v>8117</v>
      </c>
      <c r="I90" s="25" t="s">
        <v>111</v>
      </c>
      <c r="J90" s="98">
        <v>46220.582638888889</v>
      </c>
      <c r="K90" s="25" t="s">
        <v>8153</v>
      </c>
      <c r="L90" s="54">
        <v>46223.382638888892</v>
      </c>
      <c r="M90" s="36" t="s">
        <v>34</v>
      </c>
      <c r="N90" s="36"/>
      <c r="O90" s="102"/>
      <c r="P90" s="36"/>
      <c r="Q90" s="36"/>
      <c r="R90" s="37">
        <v>46281</v>
      </c>
      <c r="S90" s="37">
        <v>46294</v>
      </c>
      <c r="T90" s="60">
        <f t="shared" si="3"/>
        <v>1</v>
      </c>
      <c r="U90" s="38">
        <v>2</v>
      </c>
      <c r="V90" s="38">
        <v>5</v>
      </c>
      <c r="W90" s="38">
        <v>2</v>
      </c>
      <c r="X90" s="38">
        <v>0</v>
      </c>
      <c r="Y90" s="64">
        <v>2</v>
      </c>
      <c r="Z90" s="64">
        <f t="shared" ref="Z90:Z153" si="5">IF(U90="","",IF(F90="Virtual Asincrónico",1,V90*U90))</f>
        <v>10</v>
      </c>
      <c r="AA90" s="64"/>
      <c r="AB90" s="64"/>
      <c r="AC90" s="64" t="s">
        <v>81</v>
      </c>
      <c r="AD90" s="102" t="s">
        <v>118</v>
      </c>
    </row>
    <row r="91" spans="2:30" s="15" customFormat="1" ht="28.8" customHeight="1">
      <c r="B91" s="36" t="s">
        <v>362</v>
      </c>
      <c r="C91" s="128" t="s">
        <v>363</v>
      </c>
      <c r="D91" s="36" t="s">
        <v>110</v>
      </c>
      <c r="E91" s="22" t="s">
        <v>18</v>
      </c>
      <c r="F91" s="83" t="s">
        <v>40</v>
      </c>
      <c r="G91" s="83"/>
      <c r="H91" s="25" t="s">
        <v>8118</v>
      </c>
      <c r="I91" s="25" t="s">
        <v>111</v>
      </c>
      <c r="J91" s="98">
        <v>46220.570833333331</v>
      </c>
      <c r="K91" s="25" t="s">
        <v>8153</v>
      </c>
      <c r="L91" s="54">
        <v>46223.378472222219</v>
      </c>
      <c r="M91" s="36" t="s">
        <v>38</v>
      </c>
      <c r="N91" s="36"/>
      <c r="O91" s="102"/>
      <c r="P91" s="36"/>
      <c r="Q91" s="36"/>
      <c r="R91" s="37">
        <v>46259</v>
      </c>
      <c r="S91" s="37">
        <v>46259</v>
      </c>
      <c r="T91" s="60">
        <f t="shared" si="3"/>
        <v>1</v>
      </c>
      <c r="U91" s="38">
        <v>1</v>
      </c>
      <c r="V91" s="38">
        <v>1</v>
      </c>
      <c r="W91" s="38">
        <v>1</v>
      </c>
      <c r="X91" s="38">
        <f>IF(B91="","",COUNTIFS(Ejecucion[No. Solicitud],Registro!B91,Ejecucion[Estado],"No Iniciado"))</f>
        <v>0</v>
      </c>
      <c r="Y91" s="64">
        <f>IF(B91="","",COUNTIFS(Ejecucion[No. Solicitud],Registro!B91,Ejecucion[Estado],"En Proceso"))</f>
        <v>0</v>
      </c>
      <c r="Z91" s="64">
        <f t="shared" si="5"/>
        <v>1</v>
      </c>
      <c r="AA91" s="64">
        <v>1</v>
      </c>
      <c r="AB91" s="64"/>
      <c r="AC91" s="64" t="s">
        <v>81</v>
      </c>
      <c r="AD91" s="102" t="s">
        <v>158</v>
      </c>
    </row>
    <row r="92" spans="2:30" s="15" customFormat="1" ht="28.8" customHeight="1">
      <c r="B92" s="36" t="s">
        <v>364</v>
      </c>
      <c r="C92" s="128" t="s">
        <v>365</v>
      </c>
      <c r="D92" s="36" t="s">
        <v>110</v>
      </c>
      <c r="E92" s="22" t="s">
        <v>18</v>
      </c>
      <c r="F92" s="83" t="s">
        <v>40</v>
      </c>
      <c r="G92" s="83"/>
      <c r="H92" s="25" t="s">
        <v>8119</v>
      </c>
      <c r="I92" s="25" t="s">
        <v>111</v>
      </c>
      <c r="J92" s="98">
        <v>46220.557638888888</v>
      </c>
      <c r="K92" s="25" t="s">
        <v>8153</v>
      </c>
      <c r="L92" s="54">
        <v>46223.345138888893</v>
      </c>
      <c r="M92" s="36" t="s">
        <v>38</v>
      </c>
      <c r="N92" s="36"/>
      <c r="O92" s="102"/>
      <c r="P92" s="36"/>
      <c r="Q92" s="36"/>
      <c r="R92" s="37">
        <v>46252</v>
      </c>
      <c r="S92" s="37">
        <v>46252</v>
      </c>
      <c r="T92" s="60">
        <f t="shared" si="3"/>
        <v>1</v>
      </c>
      <c r="U92" s="38">
        <v>1</v>
      </c>
      <c r="V92" s="38">
        <v>1</v>
      </c>
      <c r="W92" s="38">
        <v>1</v>
      </c>
      <c r="X92" s="38">
        <f>IF(B92="","",COUNTIFS(Ejecucion[No. Solicitud],Registro!B92,Ejecucion[Estado],"No Iniciado"))</f>
        <v>0</v>
      </c>
      <c r="Y92" s="64">
        <f>IF(B92="","",COUNTIFS(Ejecucion[No. Solicitud],Registro!B92,Ejecucion[Estado],"En Proceso"))</f>
        <v>0</v>
      </c>
      <c r="Z92" s="64">
        <f t="shared" si="5"/>
        <v>1</v>
      </c>
      <c r="AA92" s="64">
        <v>1</v>
      </c>
      <c r="AB92" s="64"/>
      <c r="AC92" s="64" t="s">
        <v>81</v>
      </c>
      <c r="AD92" s="102" t="s">
        <v>129</v>
      </c>
    </row>
    <row r="93" spans="2:30" s="15" customFormat="1" ht="43.2" customHeight="1">
      <c r="B93" s="36" t="s">
        <v>366</v>
      </c>
      <c r="C93" s="128" t="s">
        <v>367</v>
      </c>
      <c r="D93" s="36" t="s">
        <v>110</v>
      </c>
      <c r="E93" s="22" t="s">
        <v>18</v>
      </c>
      <c r="F93" s="83" t="s">
        <v>42</v>
      </c>
      <c r="G93" s="83"/>
      <c r="H93" s="25" t="s">
        <v>8120</v>
      </c>
      <c r="I93" s="25" t="s">
        <v>111</v>
      </c>
      <c r="J93" s="98">
        <v>46219.605555555558</v>
      </c>
      <c r="K93" s="25" t="s">
        <v>73</v>
      </c>
      <c r="L93" s="54">
        <v>46223.347222222219</v>
      </c>
      <c r="M93" s="36" t="s">
        <v>36</v>
      </c>
      <c r="N93" s="36"/>
      <c r="O93" s="102"/>
      <c r="P93" s="36"/>
      <c r="Q93" s="36"/>
      <c r="R93" s="37">
        <v>46237</v>
      </c>
      <c r="S93" s="37">
        <v>46241</v>
      </c>
      <c r="T93" s="60">
        <f t="shared" si="3"/>
        <v>1</v>
      </c>
      <c r="U93" s="38">
        <v>1</v>
      </c>
      <c r="V93" s="38">
        <v>5</v>
      </c>
      <c r="W93" s="38">
        <f>IF(B93="","",COUNTIFS(Ejecucion[No. Solicitud],Registro!B93,Ejecucion[Estado],"Finalizado"))</f>
        <v>1</v>
      </c>
      <c r="X93" s="38">
        <f>IF(B93="","",COUNTIFS(Ejecucion[No. Solicitud],Registro!B93,Ejecucion[Estado],"No Iniciado"))</f>
        <v>0</v>
      </c>
      <c r="Y93" s="64">
        <f>IF(B93="","",COUNTIFS(Ejecucion[No. Solicitud],Registro!B93,Ejecucion[Estado],"En Proceso"))</f>
        <v>0</v>
      </c>
      <c r="Z93" s="64">
        <f t="shared" si="5"/>
        <v>1</v>
      </c>
      <c r="AA93" s="64"/>
      <c r="AB93" s="64"/>
      <c r="AC93" s="64" t="s">
        <v>82</v>
      </c>
      <c r="AD93" s="102" t="s">
        <v>115</v>
      </c>
    </row>
    <row r="94" spans="2:30" s="15" customFormat="1" ht="28.8" customHeight="1">
      <c r="B94" s="36" t="s">
        <v>368</v>
      </c>
      <c r="C94" s="128" t="s">
        <v>369</v>
      </c>
      <c r="D94" s="36" t="s">
        <v>110</v>
      </c>
      <c r="E94" s="22" t="s">
        <v>18</v>
      </c>
      <c r="F94" s="83" t="s">
        <v>43</v>
      </c>
      <c r="G94" s="83"/>
      <c r="H94" s="25" t="s">
        <v>8121</v>
      </c>
      <c r="I94" s="25" t="s">
        <v>111</v>
      </c>
      <c r="J94" s="98">
        <v>46216.4</v>
      </c>
      <c r="K94" s="25" t="s">
        <v>73</v>
      </c>
      <c r="L94" s="54">
        <v>46216.526388888888</v>
      </c>
      <c r="M94" s="36" t="s">
        <v>34</v>
      </c>
      <c r="N94" s="36">
        <v>145634</v>
      </c>
      <c r="O94" s="102" t="s">
        <v>370</v>
      </c>
      <c r="P94" s="36" t="s">
        <v>371</v>
      </c>
      <c r="Q94" s="36">
        <v>5000</v>
      </c>
      <c r="R94" s="37">
        <v>46272</v>
      </c>
      <c r="S94" s="37">
        <v>46297</v>
      </c>
      <c r="T94" s="60">
        <f t="shared" si="3"/>
        <v>1</v>
      </c>
      <c r="U94" s="38">
        <v>1</v>
      </c>
      <c r="V94" s="38">
        <v>5</v>
      </c>
      <c r="W94" s="38">
        <v>1</v>
      </c>
      <c r="X94" s="38">
        <f>IF(B94="","",COUNTIFS(Ejecucion[No. Solicitud],Registro!B94,Ejecucion[Estado],"No Iniciado"))</f>
        <v>0</v>
      </c>
      <c r="Y94" s="64">
        <f>IF(B94="","",COUNTIFS(Ejecucion[No. Solicitud],Registro!B94,Ejecucion[Estado],"En Proceso"))</f>
        <v>0</v>
      </c>
      <c r="Z94" s="64">
        <f t="shared" si="5"/>
        <v>5</v>
      </c>
      <c r="AA94" s="64"/>
      <c r="AB94" s="64"/>
      <c r="AC94" s="64" t="s">
        <v>82</v>
      </c>
      <c r="AD94" s="102" t="s">
        <v>112</v>
      </c>
    </row>
    <row r="95" spans="2:30" s="15" customFormat="1" ht="57.6" customHeight="1">
      <c r="B95" s="36" t="s">
        <v>372</v>
      </c>
      <c r="C95" s="128" t="s">
        <v>373</v>
      </c>
      <c r="D95" s="36" t="s">
        <v>32</v>
      </c>
      <c r="E95" s="22" t="s">
        <v>19</v>
      </c>
      <c r="F95" s="83" t="s">
        <v>42</v>
      </c>
      <c r="G95" s="83"/>
      <c r="H95" s="25" t="s">
        <v>8122</v>
      </c>
      <c r="I95" s="25" t="s">
        <v>111</v>
      </c>
      <c r="J95" s="98">
        <v>46212.481944444437</v>
      </c>
      <c r="K95" s="25" t="s">
        <v>8150</v>
      </c>
      <c r="L95" s="54">
        <v>46212.552777777782</v>
      </c>
      <c r="M95" s="36" t="s">
        <v>38</v>
      </c>
      <c r="N95" s="36">
        <v>120748</v>
      </c>
      <c r="O95" s="102" t="s">
        <v>374</v>
      </c>
      <c r="P95" s="36" t="s">
        <v>375</v>
      </c>
      <c r="Q95" s="36"/>
      <c r="R95" s="37">
        <v>46349</v>
      </c>
      <c r="S95" s="37">
        <v>46353</v>
      </c>
      <c r="T95" s="60">
        <f t="shared" si="3"/>
        <v>0</v>
      </c>
      <c r="U95" s="38">
        <v>1</v>
      </c>
      <c r="V95" s="38">
        <v>5</v>
      </c>
      <c r="W95" s="38">
        <f>IF(B95="","",COUNTIFS(Ejecucion[No. Solicitud],Registro!B95,Ejecucion[Estado],"Finalizado"))</f>
        <v>0</v>
      </c>
      <c r="X95" s="38">
        <f>IF(B95="","",COUNTIFS(Ejecucion[No. Solicitud],Registro!B95,Ejecucion[Estado],"No Iniciado"))</f>
        <v>0</v>
      </c>
      <c r="Y95" s="64">
        <f>IF(B95="","",COUNTIFS(Ejecucion[No. Solicitud],Registro!B95,Ejecucion[Estado],"En Proceso"))</f>
        <v>1</v>
      </c>
      <c r="Z95" s="64">
        <f t="shared" si="5"/>
        <v>1</v>
      </c>
      <c r="AA95" s="64"/>
      <c r="AB95" s="64"/>
      <c r="AC95" s="64" t="s">
        <v>82</v>
      </c>
      <c r="AD95" s="102" t="s">
        <v>115</v>
      </c>
    </row>
    <row r="96" spans="2:30" s="15" customFormat="1" ht="28.8" customHeight="1">
      <c r="B96" s="36" t="s">
        <v>376</v>
      </c>
      <c r="C96" s="128" t="s">
        <v>377</v>
      </c>
      <c r="D96" s="36" t="s">
        <v>110</v>
      </c>
      <c r="E96" s="22" t="s">
        <v>18</v>
      </c>
      <c r="F96" s="83" t="s">
        <v>41</v>
      </c>
      <c r="G96" s="83"/>
      <c r="H96" s="25" t="s">
        <v>8123</v>
      </c>
      <c r="I96" s="25" t="s">
        <v>111</v>
      </c>
      <c r="J96" s="98">
        <v>46212.365972222222</v>
      </c>
      <c r="K96" s="25" t="s">
        <v>8150</v>
      </c>
      <c r="L96" s="54">
        <v>46212.386805555558</v>
      </c>
      <c r="M96" s="36" t="s">
        <v>37</v>
      </c>
      <c r="N96" s="36"/>
      <c r="O96" s="102"/>
      <c r="P96" s="36"/>
      <c r="Q96" s="36"/>
      <c r="R96" s="37">
        <v>46238</v>
      </c>
      <c r="S96" s="37">
        <v>46246</v>
      </c>
      <c r="T96" s="60">
        <f t="shared" si="3"/>
        <v>1</v>
      </c>
      <c r="U96" s="38">
        <v>2</v>
      </c>
      <c r="V96" s="38">
        <v>2</v>
      </c>
      <c r="W96" s="38">
        <v>2</v>
      </c>
      <c r="X96" s="38">
        <f>IF(B96="","",COUNTIFS(Ejecucion[No. Solicitud],Registro!B96,Ejecucion[Estado],"No Iniciado"))</f>
        <v>0</v>
      </c>
      <c r="Y96" s="64">
        <f>IF(B96="","",COUNTIFS(Ejecucion[No. Solicitud],Registro!B96,Ejecucion[Estado],"En Proceso"))</f>
        <v>0</v>
      </c>
      <c r="Z96" s="64">
        <f t="shared" si="5"/>
        <v>4</v>
      </c>
      <c r="AA96" s="64">
        <v>4</v>
      </c>
      <c r="AB96" s="64">
        <v>0</v>
      </c>
      <c r="AC96" s="64" t="s">
        <v>81</v>
      </c>
      <c r="AD96" s="102" t="s">
        <v>132</v>
      </c>
    </row>
    <row r="97" spans="2:30" s="15" customFormat="1" ht="28.8" customHeight="1">
      <c r="B97" s="36" t="s">
        <v>378</v>
      </c>
      <c r="C97" s="128" t="s">
        <v>379</v>
      </c>
      <c r="D97" s="36" t="s">
        <v>110</v>
      </c>
      <c r="E97" s="22" t="s">
        <v>18</v>
      </c>
      <c r="F97" s="83" t="s">
        <v>40</v>
      </c>
      <c r="G97" s="83"/>
      <c r="H97" s="25" t="s">
        <v>8124</v>
      </c>
      <c r="I97" s="25" t="s">
        <v>111</v>
      </c>
      <c r="J97" s="98">
        <v>46206.434027777781</v>
      </c>
      <c r="K97" s="25" t="s">
        <v>73</v>
      </c>
      <c r="L97" s="90">
        <v>46211.23541666667</v>
      </c>
      <c r="M97" s="36" t="s">
        <v>38</v>
      </c>
      <c r="N97" s="36">
        <v>172434</v>
      </c>
      <c r="O97" s="102" t="s">
        <v>380</v>
      </c>
      <c r="P97" s="36"/>
      <c r="Q97" s="36"/>
      <c r="R97" s="37">
        <v>46230</v>
      </c>
      <c r="S97" s="37">
        <v>46230</v>
      </c>
      <c r="T97" s="60">
        <f t="shared" si="3"/>
        <v>1</v>
      </c>
      <c r="U97" s="38">
        <v>1</v>
      </c>
      <c r="V97" s="38">
        <v>1</v>
      </c>
      <c r="W97" s="38">
        <f>IF(B97="","",COUNTIFS(Ejecucion[No. Solicitud],Registro!B97,Ejecucion[Estado],"Finalizado"))</f>
        <v>1</v>
      </c>
      <c r="X97" s="38">
        <f>IF(B97="","",COUNTIFS(Ejecucion[No. Solicitud],Registro!B97,Ejecucion[Estado],"No Iniciado"))</f>
        <v>0</v>
      </c>
      <c r="Y97" s="64">
        <f>IF(B97="","",COUNTIFS(Ejecucion[No. Solicitud],Registro!B97,Ejecucion[Estado],"En Proceso"))</f>
        <v>0</v>
      </c>
      <c r="Z97" s="64">
        <f t="shared" si="5"/>
        <v>1</v>
      </c>
      <c r="AA97" s="64">
        <v>1</v>
      </c>
      <c r="AB97" s="64"/>
      <c r="AC97" s="64" t="s">
        <v>82</v>
      </c>
      <c r="AD97" s="102" t="s">
        <v>129</v>
      </c>
    </row>
    <row r="98" spans="2:30" s="15" customFormat="1" ht="28.8" customHeight="1">
      <c r="B98" s="36" t="s">
        <v>381</v>
      </c>
      <c r="C98" s="128" t="s">
        <v>382</v>
      </c>
      <c r="D98" s="36" t="s">
        <v>32</v>
      </c>
      <c r="E98" s="22" t="s">
        <v>19</v>
      </c>
      <c r="F98" s="83" t="s">
        <v>41</v>
      </c>
      <c r="G98" s="83"/>
      <c r="H98" s="25" t="s">
        <v>8125</v>
      </c>
      <c r="I98" s="25" t="s">
        <v>111</v>
      </c>
      <c r="J98" s="98">
        <v>46286.627083333333</v>
      </c>
      <c r="K98" s="25" t="s">
        <v>8148</v>
      </c>
      <c r="L98" s="54">
        <v>46287.348611111112</v>
      </c>
      <c r="M98" s="36" t="s">
        <v>36</v>
      </c>
      <c r="N98" s="36"/>
      <c r="O98" s="102"/>
      <c r="P98" s="36"/>
      <c r="Q98" s="36"/>
      <c r="R98" s="37"/>
      <c r="S98" s="37"/>
      <c r="T98" s="60" t="str">
        <f t="shared" si="3"/>
        <v/>
      </c>
      <c r="U98" s="38"/>
      <c r="V98" s="38"/>
      <c r="W98" s="38">
        <f>IF(B98="","",COUNTIFS(Ejecucion[No. Solicitud],Registro!B98,Ejecucion[Estado],"Finalizado"))</f>
        <v>0</v>
      </c>
      <c r="X98" s="38">
        <f>IF(B98="","",COUNTIFS(Ejecucion[No. Solicitud],Registro!B98,Ejecucion[Estado],"No Iniciado"))</f>
        <v>0</v>
      </c>
      <c r="Y98" s="64">
        <f>IF(B98="","",COUNTIFS(Ejecucion[No. Solicitud],Registro!B98,Ejecucion[Estado],"En Proceso"))</f>
        <v>1</v>
      </c>
      <c r="Z98" s="64" t="str">
        <f t="shared" si="5"/>
        <v/>
      </c>
      <c r="AA98" s="64"/>
      <c r="AB98" s="64"/>
      <c r="AC98" s="64" t="s">
        <v>82</v>
      </c>
      <c r="AD98" s="102" t="s">
        <v>132</v>
      </c>
    </row>
    <row r="99" spans="2:30" s="15" customFormat="1" ht="28.8" customHeight="1">
      <c r="B99" s="36" t="s">
        <v>383</v>
      </c>
      <c r="C99" s="128" t="s">
        <v>384</v>
      </c>
      <c r="D99" s="36" t="s">
        <v>77</v>
      </c>
      <c r="E99" s="22" t="s">
        <v>19</v>
      </c>
      <c r="F99" s="83" t="s">
        <v>40</v>
      </c>
      <c r="G99" s="83" t="s">
        <v>8159</v>
      </c>
      <c r="H99" s="25" t="s">
        <v>8126</v>
      </c>
      <c r="I99" s="25" t="s">
        <v>111</v>
      </c>
      <c r="J99" s="98">
        <v>46204.45416666667</v>
      </c>
      <c r="K99" s="25" t="s">
        <v>73</v>
      </c>
      <c r="L99" s="54">
        <v>46204.530555555553</v>
      </c>
      <c r="M99" s="36" t="s">
        <v>35</v>
      </c>
      <c r="N99" s="36">
        <v>193909</v>
      </c>
      <c r="O99" s="102" t="s">
        <v>279</v>
      </c>
      <c r="P99" s="36"/>
      <c r="Q99" s="36"/>
      <c r="R99" s="37"/>
      <c r="S99" s="37"/>
      <c r="T99" s="60" t="str">
        <f t="shared" si="3"/>
        <v/>
      </c>
      <c r="U99" s="38"/>
      <c r="V99" s="38"/>
      <c r="W99" s="38">
        <f>IF(B99="","",COUNTIFS(Ejecucion[No. Solicitud],Registro!B99,Ejecucion[Estado],"Finalizado"))</f>
        <v>0</v>
      </c>
      <c r="X99" s="38">
        <f>IF(B99="","",COUNTIFS(Ejecucion[No. Solicitud],Registro!B99,Ejecucion[Estado],"No Iniciado"))</f>
        <v>0</v>
      </c>
      <c r="Y99" s="64">
        <f>IF(B99="","",COUNTIFS(Ejecucion[No. Solicitud],Registro!B99,Ejecucion[Estado],"En Proceso"))</f>
        <v>0</v>
      </c>
      <c r="Z99" s="64" t="str">
        <f t="shared" si="5"/>
        <v/>
      </c>
      <c r="AA99" s="64"/>
      <c r="AB99" s="64"/>
      <c r="AC99" s="64" t="s">
        <v>83</v>
      </c>
      <c r="AD99" s="102" t="s">
        <v>129</v>
      </c>
    </row>
    <row r="100" spans="2:30" s="15" customFormat="1" ht="28.8" customHeight="1">
      <c r="B100" s="36" t="s">
        <v>385</v>
      </c>
      <c r="C100" s="128" t="s">
        <v>386</v>
      </c>
      <c r="D100" s="36" t="s">
        <v>110</v>
      </c>
      <c r="E100" s="22" t="s">
        <v>17</v>
      </c>
      <c r="F100" s="83" t="s">
        <v>40</v>
      </c>
      <c r="G100" s="83" t="s">
        <v>8159</v>
      </c>
      <c r="H100" s="25" t="s">
        <v>8127</v>
      </c>
      <c r="I100" s="25" t="s">
        <v>111</v>
      </c>
      <c r="J100" s="98">
        <v>46204.45416666667</v>
      </c>
      <c r="K100" s="25" t="s">
        <v>73</v>
      </c>
      <c r="L100" s="54">
        <v>46204.500694444447</v>
      </c>
      <c r="M100" s="36" t="s">
        <v>35</v>
      </c>
      <c r="N100" s="36">
        <v>77247</v>
      </c>
      <c r="O100" s="102" t="s">
        <v>283</v>
      </c>
      <c r="P100" s="36" t="s">
        <v>387</v>
      </c>
      <c r="Q100" s="36"/>
      <c r="R100" s="37">
        <v>46230</v>
      </c>
      <c r="S100" s="37">
        <v>46238</v>
      </c>
      <c r="T100" s="60">
        <f t="shared" si="3"/>
        <v>1</v>
      </c>
      <c r="U100" s="38">
        <v>3</v>
      </c>
      <c r="V100" s="38">
        <v>2</v>
      </c>
      <c r="W100" s="38">
        <v>3</v>
      </c>
      <c r="X100" s="38">
        <f>IF(B100="","",COUNTIFS(Ejecucion[No. Solicitud],Registro!B100,Ejecucion[Estado],"No Iniciado"))</f>
        <v>0</v>
      </c>
      <c r="Y100" s="64">
        <f>IF(B100="","",COUNTIFS(Ejecucion[No. Solicitud],Registro!B100,Ejecucion[Estado],"En Proceso"))</f>
        <v>0</v>
      </c>
      <c r="Z100" s="64">
        <f t="shared" si="5"/>
        <v>6</v>
      </c>
      <c r="AA100" s="64">
        <v>6</v>
      </c>
      <c r="AB100" s="64">
        <v>0</v>
      </c>
      <c r="AC100" s="64" t="s">
        <v>82</v>
      </c>
      <c r="AD100" s="102" t="s">
        <v>112</v>
      </c>
    </row>
    <row r="101" spans="2:30" s="15" customFormat="1" ht="72" customHeight="1">
      <c r="B101" s="36" t="s">
        <v>388</v>
      </c>
      <c r="C101" s="128" t="s">
        <v>389</v>
      </c>
      <c r="D101" s="36" t="s">
        <v>110</v>
      </c>
      <c r="E101" s="22" t="s">
        <v>16</v>
      </c>
      <c r="F101" s="83" t="s">
        <v>40</v>
      </c>
      <c r="G101" s="83" t="s">
        <v>8157</v>
      </c>
      <c r="H101" s="25" t="s">
        <v>8128</v>
      </c>
      <c r="I101" s="25" t="s">
        <v>111</v>
      </c>
      <c r="J101" s="98">
        <v>46204.434027777781</v>
      </c>
      <c r="K101" s="25" t="s">
        <v>73</v>
      </c>
      <c r="L101" s="54">
        <v>46204.444444444453</v>
      </c>
      <c r="M101" s="36" t="s">
        <v>36</v>
      </c>
      <c r="N101" s="36"/>
      <c r="O101" s="102"/>
      <c r="P101" s="36"/>
      <c r="Q101" s="36"/>
      <c r="R101" s="37">
        <v>46211</v>
      </c>
      <c r="S101" s="37">
        <v>46211</v>
      </c>
      <c r="T101" s="60">
        <f t="shared" si="3"/>
        <v>1</v>
      </c>
      <c r="U101" s="38">
        <v>1</v>
      </c>
      <c r="V101" s="38">
        <v>1</v>
      </c>
      <c r="W101" s="38">
        <v>1</v>
      </c>
      <c r="X101" s="38">
        <f>IF(B101="","",COUNTIFS(Ejecucion[No. Solicitud],Registro!B101,Ejecucion[Estado],"No Iniciado"))</f>
        <v>0</v>
      </c>
      <c r="Y101" s="64">
        <f>IF(B101="","",COUNTIFS(Ejecucion[No. Solicitud],Registro!B101,Ejecucion[Estado],"En Proceso"))</f>
        <v>0</v>
      </c>
      <c r="Z101" s="64">
        <f t="shared" si="5"/>
        <v>1</v>
      </c>
      <c r="AA101" s="64">
        <v>1</v>
      </c>
      <c r="AB101" s="64"/>
      <c r="AC101" s="64" t="s">
        <v>81</v>
      </c>
      <c r="AD101" s="102" t="s">
        <v>112</v>
      </c>
    </row>
    <row r="102" spans="2:30" s="15" customFormat="1" ht="28.8" customHeight="1">
      <c r="B102" s="36" t="s">
        <v>390</v>
      </c>
      <c r="C102" s="128" t="s">
        <v>391</v>
      </c>
      <c r="D102" s="36" t="s">
        <v>110</v>
      </c>
      <c r="E102" s="22" t="s">
        <v>16</v>
      </c>
      <c r="F102" s="83" t="s">
        <v>40</v>
      </c>
      <c r="G102" s="83" t="s">
        <v>8157</v>
      </c>
      <c r="H102" s="25" t="s">
        <v>8129</v>
      </c>
      <c r="I102" s="25" t="s">
        <v>111</v>
      </c>
      <c r="J102" s="98">
        <v>46198.402083333327</v>
      </c>
      <c r="K102" s="25" t="s">
        <v>73</v>
      </c>
      <c r="L102" s="54">
        <v>46203.29583333333</v>
      </c>
      <c r="M102" s="36" t="s">
        <v>36</v>
      </c>
      <c r="N102" s="36"/>
      <c r="O102" s="102"/>
      <c r="P102" s="36"/>
      <c r="Q102" s="36"/>
      <c r="R102" s="57">
        <v>46211</v>
      </c>
      <c r="S102" s="57">
        <v>46211</v>
      </c>
      <c r="T102" s="60">
        <f t="shared" si="3"/>
        <v>1</v>
      </c>
      <c r="U102" s="38">
        <v>1</v>
      </c>
      <c r="V102" s="38">
        <v>1</v>
      </c>
      <c r="W102" s="38">
        <v>1</v>
      </c>
      <c r="X102" s="38">
        <f>IF(B102="","",COUNTIFS(Ejecucion[No. Solicitud],Registro!B102,Ejecucion[Estado],"No Iniciado"))</f>
        <v>0</v>
      </c>
      <c r="Y102" s="64">
        <f>IF(B102="","",COUNTIFS(Ejecucion[No. Solicitud],Registro!B102,Ejecucion[Estado],"En Proceso"))</f>
        <v>0</v>
      </c>
      <c r="Z102" s="64">
        <f t="shared" si="5"/>
        <v>1</v>
      </c>
      <c r="AA102" s="64">
        <v>1</v>
      </c>
      <c r="AB102" s="64"/>
      <c r="AC102" s="64" t="s">
        <v>83</v>
      </c>
      <c r="AD102" s="102" t="s">
        <v>112</v>
      </c>
    </row>
    <row r="103" spans="2:30" s="15" customFormat="1" ht="57.6" customHeight="1">
      <c r="B103" s="36" t="s">
        <v>392</v>
      </c>
      <c r="C103" s="128" t="s">
        <v>393</v>
      </c>
      <c r="D103" s="36" t="s">
        <v>110</v>
      </c>
      <c r="E103" s="22" t="s">
        <v>19</v>
      </c>
      <c r="F103" s="83" t="s">
        <v>40</v>
      </c>
      <c r="G103" s="83"/>
      <c r="H103" s="25" t="s">
        <v>8130</v>
      </c>
      <c r="I103" s="25" t="s">
        <v>111</v>
      </c>
      <c r="J103" s="98">
        <v>46197.443055555559</v>
      </c>
      <c r="K103" s="25" t="s">
        <v>8152</v>
      </c>
      <c r="L103" s="54">
        <v>46197.529861111107</v>
      </c>
      <c r="M103" s="36" t="s">
        <v>34</v>
      </c>
      <c r="N103" s="36">
        <v>100115</v>
      </c>
      <c r="O103" s="102" t="s">
        <v>394</v>
      </c>
      <c r="P103" s="36" t="s">
        <v>395</v>
      </c>
      <c r="Q103" s="36">
        <v>17500</v>
      </c>
      <c r="R103" s="37">
        <v>46245</v>
      </c>
      <c r="S103" s="37">
        <v>46254</v>
      </c>
      <c r="T103" s="60">
        <f t="shared" si="3"/>
        <v>1</v>
      </c>
      <c r="U103" s="38">
        <v>2</v>
      </c>
      <c r="V103" s="38">
        <v>3</v>
      </c>
      <c r="W103" s="38">
        <v>2</v>
      </c>
      <c r="X103" s="38">
        <f>IF(B103="","",COUNTIFS(Ejecucion[No. Solicitud],Registro!B103,Ejecucion[Estado],"No Iniciado"))</f>
        <v>0</v>
      </c>
      <c r="Y103" s="64">
        <f>IF(B103="","",COUNTIFS(Ejecucion[No. Solicitud],Registro!B103,Ejecucion[Estado],"En Proceso"))</f>
        <v>0</v>
      </c>
      <c r="Z103" s="64">
        <f t="shared" si="5"/>
        <v>6</v>
      </c>
      <c r="AA103" s="64">
        <v>6</v>
      </c>
      <c r="AB103" s="64"/>
      <c r="AC103" s="64" t="s">
        <v>82</v>
      </c>
      <c r="AD103" s="102" t="s">
        <v>118</v>
      </c>
    </row>
    <row r="104" spans="2:30" s="15" customFormat="1" ht="57.6" customHeight="1">
      <c r="B104" s="18" t="s">
        <v>392</v>
      </c>
      <c r="C104" s="128" t="s">
        <v>396</v>
      </c>
      <c r="D104" s="18" t="s">
        <v>110</v>
      </c>
      <c r="E104" s="22" t="s">
        <v>19</v>
      </c>
      <c r="F104" s="83" t="s">
        <v>40</v>
      </c>
      <c r="G104" s="83"/>
      <c r="H104" s="25" t="s">
        <v>8131</v>
      </c>
      <c r="I104" s="25" t="s">
        <v>111</v>
      </c>
      <c r="J104" s="98">
        <v>46197.443055555559</v>
      </c>
      <c r="K104" s="25" t="s">
        <v>8152</v>
      </c>
      <c r="L104" s="63">
        <v>46197.529861111107</v>
      </c>
      <c r="M104" s="18" t="s">
        <v>34</v>
      </c>
      <c r="N104" s="18">
        <v>100115</v>
      </c>
      <c r="O104" s="25" t="s">
        <v>394</v>
      </c>
      <c r="P104" s="36" t="s">
        <v>397</v>
      </c>
      <c r="Q104" s="36">
        <v>17500</v>
      </c>
      <c r="R104" s="37">
        <v>46273</v>
      </c>
      <c r="S104" s="37">
        <v>46283</v>
      </c>
      <c r="T104" s="60">
        <f t="shared" si="3"/>
        <v>1</v>
      </c>
      <c r="U104" s="65">
        <v>2</v>
      </c>
      <c r="V104" s="65">
        <v>3</v>
      </c>
      <c r="W104" s="65">
        <v>2</v>
      </c>
      <c r="X104" s="38">
        <f>IF(B104="","",COUNTIFS(Ejecucion[No. Solicitud],Registro!B104,Ejecucion[Estado],"No Iniciado"))</f>
        <v>0</v>
      </c>
      <c r="Y104" s="64">
        <f>IF(B104="","",COUNTIFS(Ejecucion[No. Solicitud],Registro!B104,Ejecucion[Estado],"En Proceso"))</f>
        <v>0</v>
      </c>
      <c r="Z104" s="64">
        <f t="shared" si="5"/>
        <v>6</v>
      </c>
      <c r="AA104" s="64">
        <v>6</v>
      </c>
      <c r="AB104" s="64"/>
      <c r="AC104" s="64" t="s">
        <v>82</v>
      </c>
      <c r="AD104" s="102" t="s">
        <v>158</v>
      </c>
    </row>
    <row r="105" spans="2:30" s="15" customFormat="1" ht="28.8" customHeight="1">
      <c r="B105" s="36" t="s">
        <v>398</v>
      </c>
      <c r="C105" s="128" t="s">
        <v>399</v>
      </c>
      <c r="D105" s="36" t="s">
        <v>110</v>
      </c>
      <c r="E105" s="22" t="s">
        <v>19</v>
      </c>
      <c r="F105" s="83" t="s">
        <v>40</v>
      </c>
      <c r="G105" s="83"/>
      <c r="H105" s="25" t="s">
        <v>8132</v>
      </c>
      <c r="I105" s="25" t="s">
        <v>111</v>
      </c>
      <c r="J105" s="98">
        <v>46195.336805555547</v>
      </c>
      <c r="K105" s="25" t="s">
        <v>73</v>
      </c>
      <c r="L105" s="54">
        <v>46195.536111111112</v>
      </c>
      <c r="M105" s="36" t="s">
        <v>34</v>
      </c>
      <c r="N105" s="36">
        <v>199038</v>
      </c>
      <c r="O105" s="102" t="s">
        <v>400</v>
      </c>
      <c r="P105" s="36" t="s">
        <v>401</v>
      </c>
      <c r="Q105" s="36">
        <v>15000</v>
      </c>
      <c r="R105" s="37">
        <v>46245</v>
      </c>
      <c r="S105" s="37">
        <v>46247</v>
      </c>
      <c r="T105" s="60">
        <f t="shared" si="3"/>
        <v>1</v>
      </c>
      <c r="U105" s="38">
        <v>2</v>
      </c>
      <c r="V105" s="38">
        <v>1</v>
      </c>
      <c r="W105" s="38">
        <v>2</v>
      </c>
      <c r="X105" s="38">
        <f>IF(B105="","",COUNTIFS(Ejecucion[No. Solicitud],Registro!B105,Ejecucion[Estado],"No Iniciado"))</f>
        <v>0</v>
      </c>
      <c r="Y105" s="64">
        <f>IF(B105="","",COUNTIFS(Ejecucion[No. Solicitud],Registro!B105,Ejecucion[Estado],"En Proceso"))</f>
        <v>0</v>
      </c>
      <c r="Z105" s="64">
        <f t="shared" si="5"/>
        <v>2</v>
      </c>
      <c r="AA105" s="64">
        <v>2</v>
      </c>
      <c r="AB105" s="64"/>
      <c r="AC105" s="64" t="s">
        <v>82</v>
      </c>
      <c r="AD105" s="102" t="s">
        <v>112</v>
      </c>
    </row>
    <row r="106" spans="2:30" s="15" customFormat="1" ht="28.8" customHeight="1">
      <c r="B106" s="36" t="s">
        <v>402</v>
      </c>
      <c r="C106" s="128" t="s">
        <v>403</v>
      </c>
      <c r="D106" s="36" t="s">
        <v>110</v>
      </c>
      <c r="E106" s="22" t="s">
        <v>16</v>
      </c>
      <c r="F106" s="83" t="s">
        <v>40</v>
      </c>
      <c r="G106" s="83" t="s">
        <v>8157</v>
      </c>
      <c r="H106" s="25" t="s">
        <v>8133</v>
      </c>
      <c r="I106" s="25" t="s">
        <v>111</v>
      </c>
      <c r="J106" s="98">
        <v>46192.583333333343</v>
      </c>
      <c r="K106" s="25" t="s">
        <v>73</v>
      </c>
      <c r="L106" s="54">
        <v>46195.258333333331</v>
      </c>
      <c r="M106" s="36" t="s">
        <v>36</v>
      </c>
      <c r="N106" s="36"/>
      <c r="O106" s="102"/>
      <c r="P106" s="36"/>
      <c r="Q106" s="36"/>
      <c r="R106" s="37">
        <v>46211</v>
      </c>
      <c r="S106" s="37">
        <v>46211</v>
      </c>
      <c r="T106" s="60">
        <f t="shared" si="3"/>
        <v>1</v>
      </c>
      <c r="U106" s="38">
        <v>1</v>
      </c>
      <c r="V106" s="38">
        <v>1</v>
      </c>
      <c r="W106" s="38">
        <v>1</v>
      </c>
      <c r="X106" s="38">
        <f>IF(B106="","",COUNTIFS(Ejecucion[No. Solicitud],Registro!B106,Ejecucion[Estado],"No Iniciado"))</f>
        <v>0</v>
      </c>
      <c r="Y106" s="64">
        <f>IF(B106="","",COUNTIFS(Ejecucion[No. Solicitud],Registro!B106,Ejecucion[Estado],"En Proceso"))</f>
        <v>0</v>
      </c>
      <c r="Z106" s="64">
        <f t="shared" si="5"/>
        <v>1</v>
      </c>
      <c r="AA106" s="64">
        <v>1</v>
      </c>
      <c r="AB106" s="64"/>
      <c r="AC106" s="64" t="s">
        <v>83</v>
      </c>
      <c r="AD106" s="102" t="s">
        <v>132</v>
      </c>
    </row>
    <row r="107" spans="2:30" s="15" customFormat="1" ht="28.8" customHeight="1">
      <c r="B107" s="36" t="s">
        <v>404</v>
      </c>
      <c r="C107" s="128" t="s">
        <v>405</v>
      </c>
      <c r="D107" s="36" t="s">
        <v>110</v>
      </c>
      <c r="E107" s="22" t="s">
        <v>16</v>
      </c>
      <c r="F107" s="83" t="s">
        <v>40</v>
      </c>
      <c r="G107" s="83" t="s">
        <v>8157</v>
      </c>
      <c r="H107" s="25" t="s">
        <v>8134</v>
      </c>
      <c r="I107" s="25" t="s">
        <v>111</v>
      </c>
      <c r="J107" s="98">
        <v>46192.580555555563</v>
      </c>
      <c r="K107" s="25" t="s">
        <v>73</v>
      </c>
      <c r="L107" s="63">
        <v>46192.584722222222</v>
      </c>
      <c r="M107" s="36" t="s">
        <v>36</v>
      </c>
      <c r="N107" s="36"/>
      <c r="O107" s="102"/>
      <c r="P107" s="36"/>
      <c r="Q107" s="36"/>
      <c r="R107" s="37">
        <v>46210</v>
      </c>
      <c r="S107" s="37">
        <v>46210</v>
      </c>
      <c r="T107" s="60">
        <f t="shared" si="3"/>
        <v>1</v>
      </c>
      <c r="U107" s="38">
        <v>1</v>
      </c>
      <c r="V107" s="38">
        <v>1</v>
      </c>
      <c r="W107" s="38">
        <v>1</v>
      </c>
      <c r="X107" s="38">
        <f>IF(B107="","",COUNTIFS(Ejecucion[No. Solicitud],Registro!B107,Ejecucion[Estado],"No Iniciado"))</f>
        <v>0</v>
      </c>
      <c r="Y107" s="64">
        <f>IF(B107="","",COUNTIFS(Ejecucion[No. Solicitud],Registro!B107,Ejecucion[Estado],"En Proceso"))</f>
        <v>0</v>
      </c>
      <c r="Z107" s="64">
        <f t="shared" si="5"/>
        <v>1</v>
      </c>
      <c r="AA107" s="64">
        <v>1</v>
      </c>
      <c r="AB107" s="64"/>
      <c r="AC107" s="64" t="s">
        <v>83</v>
      </c>
      <c r="AD107" s="102" t="s">
        <v>158</v>
      </c>
    </row>
    <row r="108" spans="2:30" s="15" customFormat="1" ht="28.8" customHeight="1">
      <c r="B108" s="36" t="s">
        <v>406</v>
      </c>
      <c r="C108" s="128" t="s">
        <v>407</v>
      </c>
      <c r="D108" s="36" t="s">
        <v>110</v>
      </c>
      <c r="E108" s="22" t="s">
        <v>16</v>
      </c>
      <c r="F108" s="83" t="s">
        <v>40</v>
      </c>
      <c r="G108" s="83" t="s">
        <v>8157</v>
      </c>
      <c r="H108" s="25" t="s">
        <v>8135</v>
      </c>
      <c r="I108" s="25" t="s">
        <v>111</v>
      </c>
      <c r="J108" s="98">
        <v>46191.605555555558</v>
      </c>
      <c r="K108" s="25" t="s">
        <v>73</v>
      </c>
      <c r="L108" s="54">
        <v>46192.337500000001</v>
      </c>
      <c r="M108" s="36" t="s">
        <v>36</v>
      </c>
      <c r="N108" s="36">
        <v>199381</v>
      </c>
      <c r="O108" s="102" t="s">
        <v>408</v>
      </c>
      <c r="P108" s="36" t="s">
        <v>409</v>
      </c>
      <c r="Q108" s="36"/>
      <c r="R108" s="37">
        <v>46211</v>
      </c>
      <c r="S108" s="37">
        <v>46211</v>
      </c>
      <c r="T108" s="60">
        <f t="shared" si="3"/>
        <v>1</v>
      </c>
      <c r="U108" s="38">
        <v>1</v>
      </c>
      <c r="V108" s="38">
        <v>1</v>
      </c>
      <c r="W108" s="38">
        <v>1</v>
      </c>
      <c r="X108" s="38">
        <f>IF(B108="","",COUNTIFS(Ejecucion[No. Solicitud],Registro!B108,Ejecucion[Estado],"No Iniciado"))</f>
        <v>0</v>
      </c>
      <c r="Y108" s="64">
        <f>IF(B108="","",COUNTIFS(Ejecucion[No. Solicitud],Registro!B108,Ejecucion[Estado],"En Proceso"))</f>
        <v>0</v>
      </c>
      <c r="Z108" s="64">
        <f t="shared" si="5"/>
        <v>1</v>
      </c>
      <c r="AA108" s="64">
        <v>1</v>
      </c>
      <c r="AB108" s="64"/>
      <c r="AC108" s="64" t="s">
        <v>82</v>
      </c>
      <c r="AD108" s="102" t="s">
        <v>112</v>
      </c>
    </row>
    <row r="109" spans="2:30" s="15" customFormat="1" ht="28.8" customHeight="1">
      <c r="B109" s="36" t="s">
        <v>410</v>
      </c>
      <c r="C109" s="128" t="s">
        <v>411</v>
      </c>
      <c r="D109" s="36" t="s">
        <v>110</v>
      </c>
      <c r="E109" s="22" t="s">
        <v>16</v>
      </c>
      <c r="F109" s="83" t="s">
        <v>40</v>
      </c>
      <c r="G109" s="83" t="s">
        <v>8157</v>
      </c>
      <c r="H109" s="25" t="s">
        <v>8136</v>
      </c>
      <c r="I109" s="25" t="s">
        <v>111</v>
      </c>
      <c r="J109" s="98">
        <v>46191.588888888888</v>
      </c>
      <c r="K109" s="25" t="s">
        <v>73</v>
      </c>
      <c r="L109" s="54">
        <v>46192.32916666667</v>
      </c>
      <c r="M109" s="36" t="s">
        <v>36</v>
      </c>
      <c r="N109" s="36">
        <v>198833</v>
      </c>
      <c r="O109" s="102" t="s">
        <v>412</v>
      </c>
      <c r="P109" s="36"/>
      <c r="Q109" s="36"/>
      <c r="R109" s="57">
        <v>46211</v>
      </c>
      <c r="S109" s="57">
        <v>46211</v>
      </c>
      <c r="T109" s="60">
        <f t="shared" si="3"/>
        <v>1</v>
      </c>
      <c r="U109" s="38">
        <v>1</v>
      </c>
      <c r="V109" s="38">
        <v>1</v>
      </c>
      <c r="W109" s="38">
        <v>1</v>
      </c>
      <c r="X109" s="38">
        <f>IF(B109="","",COUNTIFS(Ejecucion[No. Solicitud],Registro!B109,Ejecucion[Estado],"No Iniciado"))</f>
        <v>0</v>
      </c>
      <c r="Y109" s="64">
        <f>IF(B109="","",COUNTIFS(Ejecucion[No. Solicitud],Registro!B109,Ejecucion[Estado],"En Proceso"))</f>
        <v>0</v>
      </c>
      <c r="Z109" s="64">
        <f t="shared" si="5"/>
        <v>1</v>
      </c>
      <c r="AA109" s="64">
        <v>1</v>
      </c>
      <c r="AB109" s="64"/>
      <c r="AC109" s="64" t="s">
        <v>82</v>
      </c>
      <c r="AD109" s="102" t="s">
        <v>132</v>
      </c>
    </row>
    <row r="110" spans="2:30" s="15" customFormat="1" ht="28.8" customHeight="1">
      <c r="B110" s="36" t="s">
        <v>413</v>
      </c>
      <c r="C110" s="128" t="s">
        <v>414</v>
      </c>
      <c r="D110" s="36" t="s">
        <v>110</v>
      </c>
      <c r="E110" s="22" t="s">
        <v>16</v>
      </c>
      <c r="F110" s="83" t="s">
        <v>41</v>
      </c>
      <c r="G110" s="83"/>
      <c r="H110" s="25" t="s">
        <v>8137</v>
      </c>
      <c r="I110" s="25" t="s">
        <v>111</v>
      </c>
      <c r="J110" s="98">
        <v>46191.563888888893</v>
      </c>
      <c r="K110" s="25" t="s">
        <v>73</v>
      </c>
      <c r="L110" s="54">
        <v>46192.395833333343</v>
      </c>
      <c r="M110" s="36" t="s">
        <v>34</v>
      </c>
      <c r="N110" s="36">
        <v>198907</v>
      </c>
      <c r="O110" s="102" t="s">
        <v>415</v>
      </c>
      <c r="P110" s="36" t="s">
        <v>416</v>
      </c>
      <c r="Q110" s="36">
        <v>18900</v>
      </c>
      <c r="R110" s="37">
        <v>46237</v>
      </c>
      <c r="S110" s="37">
        <v>46247</v>
      </c>
      <c r="T110" s="60">
        <f t="shared" si="3"/>
        <v>1</v>
      </c>
      <c r="U110" s="38">
        <v>2</v>
      </c>
      <c r="V110" s="38">
        <v>4</v>
      </c>
      <c r="W110" s="38">
        <v>2</v>
      </c>
      <c r="X110" s="38">
        <f>IF(B110="","",COUNTIFS(Ejecucion[No. Solicitud],Registro!B110,Ejecucion[Estado],"No Iniciado"))</f>
        <v>0</v>
      </c>
      <c r="Y110" s="64">
        <f>IF(B110="","",COUNTIFS(Ejecucion[No. Solicitud],Registro!B110,Ejecucion[Estado],"En Proceso"))</f>
        <v>0</v>
      </c>
      <c r="Z110" s="64">
        <f t="shared" si="5"/>
        <v>8</v>
      </c>
      <c r="AA110" s="64">
        <v>8</v>
      </c>
      <c r="AB110" s="64"/>
      <c r="AC110" s="64" t="s">
        <v>82</v>
      </c>
      <c r="AD110" s="102" t="s">
        <v>132</v>
      </c>
    </row>
    <row r="111" spans="2:30" s="15" customFormat="1" ht="28.8" customHeight="1">
      <c r="B111" s="36" t="s">
        <v>417</v>
      </c>
      <c r="C111" s="128" t="s">
        <v>418</v>
      </c>
      <c r="D111" s="36" t="s">
        <v>110</v>
      </c>
      <c r="E111" s="22" t="s">
        <v>16</v>
      </c>
      <c r="F111" s="83" t="s">
        <v>40</v>
      </c>
      <c r="G111" s="83" t="s">
        <v>8157</v>
      </c>
      <c r="H111" s="25" t="s">
        <v>8138</v>
      </c>
      <c r="I111" s="25" t="s">
        <v>111</v>
      </c>
      <c r="J111" s="98">
        <v>46191.55972222222</v>
      </c>
      <c r="K111" s="25" t="s">
        <v>73</v>
      </c>
      <c r="L111" s="54">
        <v>46192.313888888893</v>
      </c>
      <c r="M111" s="36" t="s">
        <v>36</v>
      </c>
      <c r="N111" s="36">
        <v>198834</v>
      </c>
      <c r="O111" s="102" t="s">
        <v>419</v>
      </c>
      <c r="P111" s="36" t="s">
        <v>420</v>
      </c>
      <c r="Q111" s="36"/>
      <c r="R111" s="57">
        <v>46211</v>
      </c>
      <c r="S111" s="57">
        <v>46211</v>
      </c>
      <c r="T111" s="60">
        <f t="shared" si="3"/>
        <v>1</v>
      </c>
      <c r="U111" s="38">
        <v>1</v>
      </c>
      <c r="V111" s="38">
        <v>1</v>
      </c>
      <c r="W111" s="38">
        <v>1</v>
      </c>
      <c r="X111" s="38">
        <f>IF(B111="","",COUNTIFS(Ejecucion[No. Solicitud],Registro!B111,Ejecucion[Estado],"No Iniciado"))</f>
        <v>0</v>
      </c>
      <c r="Y111" s="64">
        <f>IF(B111="","",COUNTIFS(Ejecucion[No. Solicitud],Registro!B111,Ejecucion[Estado],"En Proceso"))</f>
        <v>0</v>
      </c>
      <c r="Z111" s="64">
        <f t="shared" si="5"/>
        <v>1</v>
      </c>
      <c r="AA111" s="64">
        <v>1</v>
      </c>
      <c r="AB111" s="64"/>
      <c r="AC111" s="64" t="s">
        <v>82</v>
      </c>
      <c r="AD111" s="102" t="s">
        <v>158</v>
      </c>
    </row>
    <row r="112" spans="2:30" s="15" customFormat="1" ht="28.8" customHeight="1">
      <c r="B112" s="36" t="s">
        <v>421</v>
      </c>
      <c r="C112" s="128" t="s">
        <v>422</v>
      </c>
      <c r="D112" s="18" t="s">
        <v>110</v>
      </c>
      <c r="E112" s="22" t="s">
        <v>19</v>
      </c>
      <c r="F112" s="83" t="s">
        <v>40</v>
      </c>
      <c r="G112" s="83"/>
      <c r="H112" s="25" t="s">
        <v>8139</v>
      </c>
      <c r="I112" s="25" t="s">
        <v>111</v>
      </c>
      <c r="J112" s="98">
        <v>46191.503472222219</v>
      </c>
      <c r="K112" s="25" t="s">
        <v>8152</v>
      </c>
      <c r="L112" s="54">
        <v>46191.606249999997</v>
      </c>
      <c r="M112" s="36" t="s">
        <v>36</v>
      </c>
      <c r="N112" s="188">
        <v>198903</v>
      </c>
      <c r="O112" s="194" t="s">
        <v>423</v>
      </c>
      <c r="P112" s="36" t="s">
        <v>424</v>
      </c>
      <c r="Q112" s="36"/>
      <c r="R112" s="37">
        <v>46233</v>
      </c>
      <c r="S112" s="37">
        <v>46234</v>
      </c>
      <c r="T112" s="60">
        <f t="shared" si="3"/>
        <v>1</v>
      </c>
      <c r="U112" s="38">
        <v>2</v>
      </c>
      <c r="V112" s="38">
        <v>1</v>
      </c>
      <c r="W112" s="38">
        <v>2</v>
      </c>
      <c r="X112" s="38">
        <f>IF(B112="","",COUNTIFS(Ejecucion[No. Solicitud],Registro!B112,Ejecucion[Estado],"No Iniciado"))</f>
        <v>0</v>
      </c>
      <c r="Y112" s="64">
        <f>IF(B112="","",COUNTIFS(Ejecucion[No. Solicitud],Registro!B112,Ejecucion[Estado],"En Proceso"))</f>
        <v>0</v>
      </c>
      <c r="Z112" s="64">
        <f t="shared" si="5"/>
        <v>2</v>
      </c>
      <c r="AA112" s="64">
        <v>2</v>
      </c>
      <c r="AB112" s="64"/>
      <c r="AC112" s="64" t="s">
        <v>82</v>
      </c>
      <c r="AD112" s="102" t="s">
        <v>158</v>
      </c>
    </row>
    <row r="113" spans="2:30" s="15" customFormat="1" ht="28.8" customHeight="1">
      <c r="B113" s="36" t="s">
        <v>425</v>
      </c>
      <c r="C113" s="128" t="s">
        <v>426</v>
      </c>
      <c r="D113" s="36" t="s">
        <v>32</v>
      </c>
      <c r="E113" s="22" t="s">
        <v>18</v>
      </c>
      <c r="F113" s="83" t="s">
        <v>40</v>
      </c>
      <c r="G113" s="83"/>
      <c r="H113" s="25" t="s">
        <v>8140</v>
      </c>
      <c r="I113" s="25" t="s">
        <v>111</v>
      </c>
      <c r="J113" s="98">
        <v>46289.354861111111</v>
      </c>
      <c r="K113" s="25" t="s">
        <v>73</v>
      </c>
      <c r="L113" s="54">
        <v>46289.36041666667</v>
      </c>
      <c r="M113" s="192" t="s">
        <v>36</v>
      </c>
      <c r="N113" s="197">
        <v>33717</v>
      </c>
      <c r="O113" s="198" t="s">
        <v>427</v>
      </c>
      <c r="P113" s="193" t="s">
        <v>428</v>
      </c>
      <c r="Q113" s="36"/>
      <c r="R113" s="37">
        <v>46316</v>
      </c>
      <c r="S113" s="37">
        <v>46325</v>
      </c>
      <c r="T113" s="60">
        <f t="shared" si="3"/>
        <v>0</v>
      </c>
      <c r="U113" s="38">
        <v>4</v>
      </c>
      <c r="V113" s="38">
        <v>1</v>
      </c>
      <c r="W113" s="38">
        <f>IF(B113="","",COUNTIFS(Ejecucion[No. Solicitud],Registro!B113,Ejecucion[Estado],"Finalizado"))</f>
        <v>0</v>
      </c>
      <c r="X113" s="38">
        <f>IF(B113="","",COUNTIFS(Ejecucion[No. Solicitud],Registro!B113,Ejecucion[Estado],"No Iniciado"))</f>
        <v>0</v>
      </c>
      <c r="Y113" s="64">
        <f>IF(B113="","",COUNTIFS(Ejecucion[No. Solicitud],Registro!B113,Ejecucion[Estado],"En Proceso"))</f>
        <v>4</v>
      </c>
      <c r="Z113" s="64">
        <f t="shared" si="5"/>
        <v>4</v>
      </c>
      <c r="AA113" s="64"/>
      <c r="AB113" s="64"/>
      <c r="AC113" s="64" t="s">
        <v>82</v>
      </c>
      <c r="AD113" s="102" t="s">
        <v>112</v>
      </c>
    </row>
    <row r="114" spans="2:30" s="15" customFormat="1" ht="28.8" customHeight="1">
      <c r="B114" s="36" t="s">
        <v>429</v>
      </c>
      <c r="C114" s="128" t="s">
        <v>430</v>
      </c>
      <c r="D114" s="36" t="s">
        <v>32</v>
      </c>
      <c r="E114" s="22" t="s">
        <v>19</v>
      </c>
      <c r="F114" s="83" t="s">
        <v>40</v>
      </c>
      <c r="G114" s="83"/>
      <c r="H114" s="25" t="s">
        <v>8141</v>
      </c>
      <c r="I114" s="25" t="s">
        <v>111</v>
      </c>
      <c r="J114" s="98">
        <v>46289.617361111108</v>
      </c>
      <c r="K114" s="25" t="s">
        <v>8148</v>
      </c>
      <c r="L114" s="54">
        <v>46290.295138888891</v>
      </c>
      <c r="M114" s="36" t="s">
        <v>34</v>
      </c>
      <c r="N114" s="195">
        <v>203455</v>
      </c>
      <c r="O114" s="196" t="s">
        <v>431</v>
      </c>
      <c r="P114" s="36"/>
      <c r="Q114" s="36"/>
      <c r="R114" s="37">
        <v>46345</v>
      </c>
      <c r="S114" s="37">
        <v>46349</v>
      </c>
      <c r="T114" s="60">
        <f t="shared" si="3"/>
        <v>0</v>
      </c>
      <c r="U114" s="38">
        <v>2</v>
      </c>
      <c r="V114" s="38">
        <v>1</v>
      </c>
      <c r="W114" s="38">
        <f>IF(B114="","",COUNTIFS(Ejecucion[No. Solicitud],Registro!B114,Ejecucion[Estado],"Finalizado"))</f>
        <v>0</v>
      </c>
      <c r="X114" s="38">
        <f>IF(B114="","",COUNTIFS(Ejecucion[No. Solicitud],Registro!B114,Ejecucion[Estado],"No Iniciado"))</f>
        <v>0</v>
      </c>
      <c r="Y114" s="64">
        <f>IF(B114="","",COUNTIFS(Ejecucion[No. Solicitud],Registro!B114,Ejecucion[Estado],"En Proceso"))</f>
        <v>2</v>
      </c>
      <c r="Z114" s="64">
        <f t="shared" si="5"/>
        <v>2</v>
      </c>
      <c r="AA114" s="64"/>
      <c r="AB114" s="64"/>
      <c r="AC114" s="64" t="s">
        <v>83</v>
      </c>
      <c r="AD114" s="102" t="s">
        <v>158</v>
      </c>
    </row>
    <row r="115" spans="2:30" s="15" customFormat="1" ht="28.8" customHeight="1">
      <c r="B115" s="36" t="s">
        <v>432</v>
      </c>
      <c r="C115" s="128" t="s">
        <v>433</v>
      </c>
      <c r="D115" s="36" t="s">
        <v>32</v>
      </c>
      <c r="E115" s="22" t="s">
        <v>19</v>
      </c>
      <c r="F115" s="83" t="s">
        <v>40</v>
      </c>
      <c r="G115" s="83" t="s">
        <v>8159</v>
      </c>
      <c r="H115" s="25" t="s">
        <v>8142</v>
      </c>
      <c r="I115" s="25" t="s">
        <v>111</v>
      </c>
      <c r="J115" s="98">
        <v>46295.493055555547</v>
      </c>
      <c r="K115" s="25" t="s">
        <v>73</v>
      </c>
      <c r="L115" s="54">
        <v>46295.493750000001</v>
      </c>
      <c r="M115" s="36" t="s">
        <v>35</v>
      </c>
      <c r="N115" s="36"/>
      <c r="O115" s="102"/>
      <c r="P115" s="36"/>
      <c r="Q115" s="36"/>
      <c r="R115" s="37">
        <v>46342</v>
      </c>
      <c r="S115" s="37">
        <v>46349</v>
      </c>
      <c r="T115" s="60">
        <f t="shared" si="3"/>
        <v>0</v>
      </c>
      <c r="U115" s="38">
        <v>2</v>
      </c>
      <c r="V115" s="38">
        <v>1</v>
      </c>
      <c r="W115" s="38">
        <f>IF(B115="","",COUNTIFS(Ejecucion[No. Solicitud],Registro!B115,Ejecucion[Estado],"Finalizado"))</f>
        <v>0</v>
      </c>
      <c r="X115" s="38">
        <f>IF(B115="","",COUNTIFS(Ejecucion[No. Solicitud],Registro!B115,Ejecucion[Estado],"No Iniciado"))</f>
        <v>0</v>
      </c>
      <c r="Y115" s="64">
        <f>IF(B115="","",COUNTIFS(Ejecucion[No. Solicitud],Registro!B115,Ejecucion[Estado],"En Proceso"))</f>
        <v>2</v>
      </c>
      <c r="Z115" s="64">
        <f t="shared" si="5"/>
        <v>2</v>
      </c>
      <c r="AA115" s="64"/>
      <c r="AB115" s="64"/>
      <c r="AC115" s="64" t="s">
        <v>81</v>
      </c>
      <c r="AD115" s="102" t="s">
        <v>112</v>
      </c>
    </row>
    <row r="116" spans="2:30" s="15" customFormat="1" ht="28.8" customHeight="1">
      <c r="B116" s="36" t="s">
        <v>434</v>
      </c>
      <c r="C116" s="128" t="s">
        <v>435</v>
      </c>
      <c r="D116" s="36" t="s">
        <v>32</v>
      </c>
      <c r="E116" s="22" t="s">
        <v>16</v>
      </c>
      <c r="F116" s="83" t="s">
        <v>40</v>
      </c>
      <c r="G116" s="83"/>
      <c r="H116" s="25" t="s">
        <v>8143</v>
      </c>
      <c r="I116" s="25" t="s">
        <v>111</v>
      </c>
      <c r="J116" s="184">
        <v>46296.53402777778</v>
      </c>
      <c r="K116" s="25" t="s">
        <v>73</v>
      </c>
      <c r="L116" s="54">
        <v>46296.552777777782</v>
      </c>
      <c r="M116" s="36" t="s">
        <v>36</v>
      </c>
      <c r="N116" s="36">
        <v>69327</v>
      </c>
      <c r="O116" s="102" t="s">
        <v>436</v>
      </c>
      <c r="P116" s="36" t="s">
        <v>437</v>
      </c>
      <c r="Q116" s="36">
        <v>24500</v>
      </c>
      <c r="R116" s="37">
        <v>46307</v>
      </c>
      <c r="S116" s="37">
        <v>46307</v>
      </c>
      <c r="T116" s="60">
        <f t="shared" si="3"/>
        <v>0</v>
      </c>
      <c r="U116" s="38">
        <v>1</v>
      </c>
      <c r="V116" s="38">
        <v>1</v>
      </c>
      <c r="W116" s="38">
        <f>IF(B116="","",COUNTIFS(Ejecucion[No. Solicitud],Registro!B116,Ejecucion[Estado],"Finalizado"))</f>
        <v>0</v>
      </c>
      <c r="X116" s="38">
        <f>IF(B116="","",COUNTIFS(Ejecucion[No. Solicitud],Registro!B116,Ejecucion[Estado],"No Iniciado"))</f>
        <v>0</v>
      </c>
      <c r="Y116" s="64">
        <f>IF(B116="","",COUNTIFS(Ejecucion[No. Solicitud],Registro!B116,Ejecucion[Estado],"En Proceso"))</f>
        <v>1</v>
      </c>
      <c r="Z116" s="64">
        <f t="shared" si="5"/>
        <v>1</v>
      </c>
      <c r="AA116" s="64"/>
      <c r="AB116" s="64"/>
      <c r="AC116" s="64" t="s">
        <v>82</v>
      </c>
      <c r="AD116" s="102" t="s">
        <v>129</v>
      </c>
    </row>
    <row r="117" spans="2:30" s="15" customFormat="1" ht="28.8" customHeight="1">
      <c r="B117" s="36" t="s">
        <v>438</v>
      </c>
      <c r="C117" s="128" t="s">
        <v>439</v>
      </c>
      <c r="D117" s="36" t="s">
        <v>32</v>
      </c>
      <c r="E117" s="22" t="s">
        <v>17</v>
      </c>
      <c r="F117" s="83" t="s">
        <v>40</v>
      </c>
      <c r="G117" s="83"/>
      <c r="H117" s="25" t="s">
        <v>8144</v>
      </c>
      <c r="I117" s="25" t="s">
        <v>111</v>
      </c>
      <c r="J117" s="184" t="s">
        <v>441</v>
      </c>
      <c r="K117" s="25" t="s">
        <v>73</v>
      </c>
      <c r="L117" s="99">
        <v>46301.379166666673</v>
      </c>
      <c r="M117" s="36" t="s">
        <v>36</v>
      </c>
      <c r="N117" s="36">
        <v>197723</v>
      </c>
      <c r="O117" s="102" t="s">
        <v>440</v>
      </c>
      <c r="P117" s="36" t="s">
        <v>442</v>
      </c>
      <c r="Q117" s="36"/>
      <c r="R117" s="37">
        <v>46314</v>
      </c>
      <c r="S117" s="37">
        <v>46314</v>
      </c>
      <c r="T117" s="60">
        <f t="shared" si="3"/>
        <v>0</v>
      </c>
      <c r="U117" s="38">
        <v>1</v>
      </c>
      <c r="V117" s="38">
        <v>1</v>
      </c>
      <c r="W117" s="38">
        <f>IF(B117="","",COUNTIFS(Ejecucion[No. Solicitud],Registro!B117,Ejecucion[Estado],"Finalizado"))</f>
        <v>0</v>
      </c>
      <c r="X117" s="38">
        <f>IF(B117="","",COUNTIFS(Ejecucion[No. Solicitud],Registro!B117,Ejecucion[Estado],"No Iniciado"))</f>
        <v>0</v>
      </c>
      <c r="Y117" s="64">
        <f>IF(B117="","",COUNTIFS(Ejecucion[No. Solicitud],Registro!B117,Ejecucion[Estado],"En Proceso"))</f>
        <v>1</v>
      </c>
      <c r="Z117" s="64">
        <f t="shared" si="5"/>
        <v>1</v>
      </c>
      <c r="AA117" s="64"/>
      <c r="AB117" s="64"/>
      <c r="AC117" s="64" t="s">
        <v>81</v>
      </c>
      <c r="AD117" s="102" t="s">
        <v>132</v>
      </c>
    </row>
    <row r="118" spans="2:30" s="15" customFormat="1" ht="28.8" customHeight="1">
      <c r="B118" s="36" t="s">
        <v>443</v>
      </c>
      <c r="C118" s="128" t="s">
        <v>444</v>
      </c>
      <c r="D118" s="36" t="s">
        <v>32</v>
      </c>
      <c r="E118" s="22" t="s">
        <v>17</v>
      </c>
      <c r="F118" s="83" t="s">
        <v>43</v>
      </c>
      <c r="G118" s="83"/>
      <c r="H118" s="25" t="s">
        <v>8145</v>
      </c>
      <c r="I118" s="25" t="s">
        <v>111</v>
      </c>
      <c r="J118" s="98">
        <v>46296.554861111108</v>
      </c>
      <c r="K118" s="25" t="s">
        <v>8150</v>
      </c>
      <c r="L118" s="54">
        <v>46301.399305555547</v>
      </c>
      <c r="M118" s="36" t="s">
        <v>36</v>
      </c>
      <c r="N118" s="36"/>
      <c r="O118" s="102"/>
      <c r="P118" s="36"/>
      <c r="Q118" s="36"/>
      <c r="R118" s="37"/>
      <c r="S118" s="37"/>
      <c r="T118" s="60" t="str">
        <f t="shared" si="3"/>
        <v/>
      </c>
      <c r="U118" s="38"/>
      <c r="V118" s="38"/>
      <c r="W118" s="38">
        <f>IF(B118="","",COUNTIFS(Ejecucion[No. Solicitud],Registro!B118,Ejecucion[Estado],"Finalizado"))</f>
        <v>0</v>
      </c>
      <c r="X118" s="38">
        <f>IF(B118="","",COUNTIFS(Ejecucion[No. Solicitud],Registro!B118,Ejecucion[Estado],"No Iniciado"))</f>
        <v>0</v>
      </c>
      <c r="Y118" s="64">
        <f>IF(B118="","",COUNTIFS(Ejecucion[No. Solicitud],Registro!B118,Ejecucion[Estado],"En Proceso"))</f>
        <v>0</v>
      </c>
      <c r="Z118" s="64" t="str">
        <f t="shared" si="5"/>
        <v/>
      </c>
      <c r="AA118" s="64"/>
      <c r="AB118" s="64"/>
      <c r="AC118" s="64" t="s">
        <v>81</v>
      </c>
      <c r="AD118" s="102" t="s">
        <v>129</v>
      </c>
    </row>
    <row r="119" spans="2:30" s="15" customFormat="1" ht="72" customHeight="1">
      <c r="B119" s="36" t="s">
        <v>445</v>
      </c>
      <c r="C119" s="128" t="s">
        <v>446</v>
      </c>
      <c r="D119" s="36" t="s">
        <v>32</v>
      </c>
      <c r="E119" s="22" t="s">
        <v>16</v>
      </c>
      <c r="F119" s="83" t="s">
        <v>42</v>
      </c>
      <c r="G119" s="83"/>
      <c r="H119" s="25" t="s">
        <v>8146</v>
      </c>
      <c r="I119" s="25" t="s">
        <v>111</v>
      </c>
      <c r="J119" s="98">
        <v>46301.364583333343</v>
      </c>
      <c r="K119" s="25" t="s">
        <v>73</v>
      </c>
      <c r="L119" s="54">
        <v>46300.581944444442</v>
      </c>
      <c r="M119" s="36" t="s">
        <v>37</v>
      </c>
      <c r="N119" s="36"/>
      <c r="O119" s="102"/>
      <c r="P119" s="36"/>
      <c r="Q119" s="36"/>
      <c r="R119" s="37">
        <v>46324</v>
      </c>
      <c r="S119" s="37">
        <v>46342</v>
      </c>
      <c r="T119" s="60">
        <f t="shared" si="3"/>
        <v>0</v>
      </c>
      <c r="U119" s="38">
        <v>3</v>
      </c>
      <c r="V119" s="38">
        <v>3</v>
      </c>
      <c r="W119" s="38">
        <f>IF(B119="","",COUNTIFS(Ejecucion[No. Solicitud],Registro!B119,Ejecucion[Estado],"Finalizado"))</f>
        <v>0</v>
      </c>
      <c r="X119" s="38">
        <f>IF(B119="","",COUNTIFS(Ejecucion[No. Solicitud],Registro!B119,Ejecucion[Estado],"No Iniciado"))</f>
        <v>0</v>
      </c>
      <c r="Y119" s="64">
        <f>IF(B119="","",COUNTIFS(Ejecucion[No. Solicitud],Registro!B119,Ejecucion[Estado],"En Proceso"))</f>
        <v>1</v>
      </c>
      <c r="Z119" s="64">
        <f t="shared" si="5"/>
        <v>1</v>
      </c>
      <c r="AA119" s="64"/>
      <c r="AB119" s="64"/>
      <c r="AC119" s="64" t="s">
        <v>81</v>
      </c>
      <c r="AD119" s="102" t="s">
        <v>115</v>
      </c>
    </row>
    <row r="120" spans="2:30" s="15" customFormat="1" ht="43.2" customHeight="1">
      <c r="B120" s="36" t="s">
        <v>447</v>
      </c>
      <c r="C120" s="210" t="s">
        <v>448</v>
      </c>
      <c r="D120" s="36" t="s">
        <v>32</v>
      </c>
      <c r="E120" s="22" t="s">
        <v>17</v>
      </c>
      <c r="F120" s="83" t="s">
        <v>40</v>
      </c>
      <c r="G120" s="83"/>
      <c r="H120" s="25" t="s">
        <v>8147</v>
      </c>
      <c r="I120" s="25" t="s">
        <v>111</v>
      </c>
      <c r="J120" s="98">
        <v>46302.350694444453</v>
      </c>
      <c r="K120" s="25" t="s">
        <v>73</v>
      </c>
      <c r="L120" s="54">
        <v>46302.355555555558</v>
      </c>
      <c r="M120" s="36" t="s">
        <v>34</v>
      </c>
      <c r="N120" s="36"/>
      <c r="O120" s="102"/>
      <c r="P120" s="36"/>
      <c r="Q120" s="36"/>
      <c r="R120" s="37">
        <v>46318</v>
      </c>
      <c r="S120" s="37">
        <v>46318</v>
      </c>
      <c r="T120" s="60">
        <f t="shared" si="3"/>
        <v>0</v>
      </c>
      <c r="U120" s="38">
        <v>1</v>
      </c>
      <c r="V120" s="38">
        <v>1</v>
      </c>
      <c r="W120" s="38">
        <f>IF(B120="","",COUNTIFS(Ejecucion[No. Solicitud],Registro!B120,Ejecucion[Estado],"Finalizado"))</f>
        <v>0</v>
      </c>
      <c r="X120" s="38">
        <f>IF(B120="","",COUNTIFS(Ejecucion[No. Solicitud],Registro!B120,Ejecucion[Estado],"No Iniciado"))</f>
        <v>0</v>
      </c>
      <c r="Y120" s="64">
        <f>IF(B120="","",COUNTIFS(Ejecucion[No. Solicitud],Registro!B120,Ejecucion[Estado],"En Proceso"))</f>
        <v>1</v>
      </c>
      <c r="Z120" s="64">
        <f t="shared" si="5"/>
        <v>1</v>
      </c>
      <c r="AA120" s="64"/>
      <c r="AB120" s="64"/>
      <c r="AC120" s="64" t="s">
        <v>81</v>
      </c>
      <c r="AD120" s="102" t="s">
        <v>158</v>
      </c>
    </row>
    <row r="121" spans="2:30" s="15" customFormat="1">
      <c r="B121" s="18"/>
      <c r="C121" s="25"/>
      <c r="D121" s="36"/>
      <c r="E121" s="22"/>
      <c r="F121" s="83"/>
      <c r="G121" s="83"/>
      <c r="H121" s="25"/>
      <c r="I121" s="25"/>
      <c r="J121" s="25"/>
      <c r="K121" s="25"/>
      <c r="L121" s="54"/>
      <c r="M121" s="36"/>
      <c r="N121" s="36"/>
      <c r="O121" s="102"/>
      <c r="P121" s="36"/>
      <c r="Q121" s="36"/>
      <c r="R121" s="37"/>
      <c r="S121" s="37"/>
      <c r="T121" s="60" t="str">
        <f t="shared" si="3"/>
        <v/>
      </c>
      <c r="U121" s="38"/>
      <c r="V121" s="38"/>
      <c r="W121" s="38" t="str">
        <f>IF(B121="","",COUNTIFS(Ejecucion[No. Solicitud],Registro!B121,Ejecucion[Estado],"Finalizado"))</f>
        <v/>
      </c>
      <c r="X121" s="38" t="str">
        <f>IF(B121="","",COUNTIFS(Ejecucion[No. Solicitud],Registro!B121,Ejecucion[Estado],"No Iniciado"))</f>
        <v/>
      </c>
      <c r="Y121" s="64" t="str">
        <f>IF(B121="","",COUNTIFS(Ejecucion[No. Solicitud],Registro!B121,Ejecucion[Estado],"En Proceso"))</f>
        <v/>
      </c>
      <c r="Z121" s="64" t="str">
        <f t="shared" si="5"/>
        <v/>
      </c>
      <c r="AA121" s="64"/>
      <c r="AB121" s="64"/>
      <c r="AC121" s="64"/>
      <c r="AD121" s="102"/>
    </row>
    <row r="122" spans="2:30" s="15" customFormat="1">
      <c r="B122" s="36"/>
      <c r="C122" s="102"/>
      <c r="D122" s="36"/>
      <c r="E122" s="22"/>
      <c r="F122" s="83"/>
      <c r="G122" s="83"/>
      <c r="H122" s="25"/>
      <c r="I122" s="25"/>
      <c r="J122" s="25"/>
      <c r="K122" s="25"/>
      <c r="L122" s="54"/>
      <c r="M122" s="36"/>
      <c r="N122" s="36"/>
      <c r="O122" s="102"/>
      <c r="P122" s="36"/>
      <c r="Q122" s="36"/>
      <c r="R122" s="37"/>
      <c r="S122" s="37"/>
      <c r="T122" s="60" t="str">
        <f t="shared" si="3"/>
        <v/>
      </c>
      <c r="U122" s="38"/>
      <c r="V122" s="38"/>
      <c r="W122" s="38" t="str">
        <f>IF(B122="","",COUNTIFS(Ejecucion[No. Solicitud],Registro!B122,Ejecucion[Estado],"Finalizado"))</f>
        <v/>
      </c>
      <c r="X122" s="38" t="str">
        <f>IF(B122="","",COUNTIFS(Ejecucion[No. Solicitud],Registro!B122,Ejecucion[Estado],"No Iniciado"))</f>
        <v/>
      </c>
      <c r="Y122" s="64" t="str">
        <f>IF(B122="","",COUNTIFS(Ejecucion[No. Solicitud],Registro!B122,Ejecucion[Estado],"En Proceso"))</f>
        <v/>
      </c>
      <c r="Z122" s="64" t="str">
        <f t="shared" si="5"/>
        <v/>
      </c>
      <c r="AA122" s="64"/>
      <c r="AB122" s="64"/>
      <c r="AC122" s="64"/>
      <c r="AD122" s="102"/>
    </row>
    <row r="123" spans="2:30" s="15" customFormat="1">
      <c r="B123" s="36"/>
      <c r="C123" s="102"/>
      <c r="D123" s="18"/>
      <c r="E123" s="22"/>
      <c r="F123" s="83"/>
      <c r="G123" s="83"/>
      <c r="H123" s="25"/>
      <c r="I123" s="25"/>
      <c r="J123" s="25"/>
      <c r="K123" s="25"/>
      <c r="L123" s="54"/>
      <c r="M123" s="36"/>
      <c r="N123" s="36"/>
      <c r="O123" s="102"/>
      <c r="P123" s="36"/>
      <c r="Q123" s="36"/>
      <c r="R123" s="37"/>
      <c r="S123" s="37"/>
      <c r="T123" s="60" t="str">
        <f t="shared" si="3"/>
        <v/>
      </c>
      <c r="U123" s="38"/>
      <c r="V123" s="38"/>
      <c r="W123" s="38" t="str">
        <f>IF(B123="","",COUNTIFS(Ejecucion[No. Solicitud],Registro!B123,Ejecucion[Estado],"Finalizado"))</f>
        <v/>
      </c>
      <c r="X123" s="38" t="str">
        <f>IF(B123="","",COUNTIFS(Ejecucion[No. Solicitud],Registro!B123,Ejecucion[Estado],"No Iniciado"))</f>
        <v/>
      </c>
      <c r="Y123" s="64" t="str">
        <f>IF(B123="","",COUNTIFS(Ejecucion[No. Solicitud],Registro!B123,Ejecucion[Estado],"En Proceso"))</f>
        <v/>
      </c>
      <c r="Z123" s="64" t="str">
        <f t="shared" si="5"/>
        <v/>
      </c>
      <c r="AA123" s="64"/>
      <c r="AB123" s="64"/>
      <c r="AC123" s="64"/>
      <c r="AD123" s="102"/>
    </row>
    <row r="124" spans="2:30" s="15" customFormat="1">
      <c r="B124" s="36"/>
      <c r="C124" s="102"/>
      <c r="D124" s="36"/>
      <c r="E124" s="22"/>
      <c r="F124" s="83"/>
      <c r="G124" s="83"/>
      <c r="H124" s="25"/>
      <c r="I124" s="25"/>
      <c r="J124" s="25"/>
      <c r="K124" s="25"/>
      <c r="L124" s="54"/>
      <c r="M124" s="36"/>
      <c r="N124" s="36"/>
      <c r="O124" s="102"/>
      <c r="P124" s="36"/>
      <c r="Q124" s="36"/>
      <c r="R124" s="37"/>
      <c r="S124" s="37"/>
      <c r="T124" s="60" t="str">
        <f t="shared" si="3"/>
        <v/>
      </c>
      <c r="U124" s="38"/>
      <c r="V124" s="38"/>
      <c r="W124" s="38" t="str">
        <f>IF(B124="","",COUNTIFS(Ejecucion[No. Solicitud],Registro!B124,Ejecucion[Estado],"Finalizado"))</f>
        <v/>
      </c>
      <c r="X124" s="38" t="str">
        <f>IF(B124="","",COUNTIFS(Ejecucion[No. Solicitud],Registro!B124,Ejecucion[Estado],"No Iniciado"))</f>
        <v/>
      </c>
      <c r="Y124" s="64" t="str">
        <f>IF(B124="","",COUNTIFS(Ejecucion[No. Solicitud],Registro!B124,Ejecucion[Estado],"En Proceso"))</f>
        <v/>
      </c>
      <c r="Z124" s="64" t="str">
        <f t="shared" si="5"/>
        <v/>
      </c>
      <c r="AA124" s="64"/>
      <c r="AB124" s="64"/>
      <c r="AC124" s="64"/>
      <c r="AD124" s="102"/>
    </row>
    <row r="125" spans="2:30" s="15" customFormat="1">
      <c r="B125" s="36"/>
      <c r="C125" s="102"/>
      <c r="D125" s="36"/>
      <c r="E125" s="22"/>
      <c r="F125" s="83"/>
      <c r="G125" s="83"/>
      <c r="H125" s="25"/>
      <c r="I125" s="25"/>
      <c r="J125" s="25"/>
      <c r="K125" s="25"/>
      <c r="L125" s="54"/>
      <c r="M125" s="36"/>
      <c r="N125" s="36"/>
      <c r="O125" s="102"/>
      <c r="P125" s="36"/>
      <c r="Q125" s="36"/>
      <c r="R125" s="37"/>
      <c r="S125" s="37"/>
      <c r="T125" s="60" t="str">
        <f t="shared" si="3"/>
        <v/>
      </c>
      <c r="U125" s="38"/>
      <c r="V125" s="38"/>
      <c r="W125" s="38" t="str">
        <f>IF(B125="","",COUNTIFS(Ejecucion[No. Solicitud],Registro!B125,Ejecucion[Estado],"Finalizado"))</f>
        <v/>
      </c>
      <c r="X125" s="38" t="str">
        <f>IF(B125="","",COUNTIFS(Ejecucion[No. Solicitud],Registro!B125,Ejecucion[Estado],"No Iniciado"))</f>
        <v/>
      </c>
      <c r="Y125" s="64" t="str">
        <f>IF(B125="","",COUNTIFS(Ejecucion[No. Solicitud],Registro!B125,Ejecucion[Estado],"En Proceso"))</f>
        <v/>
      </c>
      <c r="Z125" s="64" t="str">
        <f t="shared" si="5"/>
        <v/>
      </c>
      <c r="AA125" s="64"/>
      <c r="AB125" s="64"/>
      <c r="AC125" s="64"/>
      <c r="AD125" s="102"/>
    </row>
    <row r="126" spans="2:30" s="15" customFormat="1">
      <c r="B126" s="36"/>
      <c r="C126" s="102"/>
      <c r="D126" s="36"/>
      <c r="E126" s="22"/>
      <c r="F126" s="83"/>
      <c r="G126" s="83"/>
      <c r="H126" s="25"/>
      <c r="I126" s="25"/>
      <c r="J126" s="25"/>
      <c r="K126" s="25"/>
      <c r="L126" s="54"/>
      <c r="M126" s="36"/>
      <c r="N126" s="36"/>
      <c r="O126" s="102"/>
      <c r="P126" s="36"/>
      <c r="Q126" s="36"/>
      <c r="R126" s="37"/>
      <c r="S126" s="37"/>
      <c r="T126" s="60" t="str">
        <f t="shared" si="3"/>
        <v/>
      </c>
      <c r="U126" s="38"/>
      <c r="V126" s="38"/>
      <c r="W126" s="38" t="str">
        <f>IF(B126="","",COUNTIFS(Ejecucion[No. Solicitud],Registro!B126,Ejecucion[Estado],"Finalizado"))</f>
        <v/>
      </c>
      <c r="X126" s="38" t="str">
        <f>IF(B126="","",COUNTIFS(Ejecucion[No. Solicitud],Registro!B126,Ejecucion[Estado],"No Iniciado"))</f>
        <v/>
      </c>
      <c r="Y126" s="64" t="str">
        <f>IF(B126="","",COUNTIFS(Ejecucion[No. Solicitud],Registro!B126,Ejecucion[Estado],"En Proceso"))</f>
        <v/>
      </c>
      <c r="Z126" s="64" t="str">
        <f t="shared" si="5"/>
        <v/>
      </c>
      <c r="AA126" s="64"/>
      <c r="AB126" s="64"/>
      <c r="AC126" s="64"/>
      <c r="AD126" s="102"/>
    </row>
    <row r="127" spans="2:30" s="15" customFormat="1">
      <c r="B127" s="36"/>
      <c r="C127" s="102"/>
      <c r="D127" s="18"/>
      <c r="E127" s="22"/>
      <c r="F127" s="83"/>
      <c r="G127" s="83"/>
      <c r="H127" s="25"/>
      <c r="I127" s="25"/>
      <c r="J127" s="25"/>
      <c r="K127" s="25"/>
      <c r="L127" s="54"/>
      <c r="M127" s="36"/>
      <c r="N127" s="36"/>
      <c r="O127" s="102"/>
      <c r="P127" s="36"/>
      <c r="Q127" s="36"/>
      <c r="R127" s="37"/>
      <c r="S127" s="37"/>
      <c r="T127" s="60" t="str">
        <f t="shared" si="3"/>
        <v/>
      </c>
      <c r="U127" s="38"/>
      <c r="V127" s="38"/>
      <c r="W127" s="38" t="str">
        <f>IF(B127="","",COUNTIFS(Ejecucion[No. Solicitud],Registro!B127,Ejecucion[Estado],"Finalizado"))</f>
        <v/>
      </c>
      <c r="X127" s="38" t="str">
        <f>IF(B127="","",COUNTIFS(Ejecucion[No. Solicitud],Registro!B127,Ejecucion[Estado],"No Iniciado"))</f>
        <v/>
      </c>
      <c r="Y127" s="64" t="str">
        <f>IF(B127="","",COUNTIFS(Ejecucion[No. Solicitud],Registro!B127,Ejecucion[Estado],"En Proceso"))</f>
        <v/>
      </c>
      <c r="Z127" s="64" t="str">
        <f t="shared" si="5"/>
        <v/>
      </c>
      <c r="AA127" s="64"/>
      <c r="AB127" s="64"/>
      <c r="AC127" s="64"/>
      <c r="AD127" s="102"/>
    </row>
    <row r="128" spans="2:30" s="15" customFormat="1">
      <c r="B128" s="36"/>
      <c r="C128" s="102"/>
      <c r="D128" s="36"/>
      <c r="E128" s="22"/>
      <c r="F128" s="83"/>
      <c r="G128" s="83"/>
      <c r="H128" s="25"/>
      <c r="I128" s="25"/>
      <c r="J128" s="25"/>
      <c r="K128" s="25"/>
      <c r="L128" s="54"/>
      <c r="M128" s="36"/>
      <c r="N128" s="36"/>
      <c r="O128" s="102"/>
      <c r="P128" s="36"/>
      <c r="Q128" s="36"/>
      <c r="R128" s="37"/>
      <c r="S128" s="37"/>
      <c r="T128" s="60" t="str">
        <f t="shared" si="3"/>
        <v/>
      </c>
      <c r="U128" s="38"/>
      <c r="V128" s="38"/>
      <c r="W128" s="38" t="str">
        <f>IF(B128="","",COUNTIFS(Ejecucion[No. Solicitud],Registro!B128,Ejecucion[Estado],"Finalizado"))</f>
        <v/>
      </c>
      <c r="X128" s="38" t="str">
        <f>IF(B128="","",COUNTIFS(Ejecucion[No. Solicitud],Registro!B128,Ejecucion[Estado],"No Iniciado"))</f>
        <v/>
      </c>
      <c r="Y128" s="64" t="str">
        <f>IF(B128="","",COUNTIFS(Ejecucion[No. Solicitud],Registro!B128,Ejecucion[Estado],"En Proceso"))</f>
        <v/>
      </c>
      <c r="Z128" s="64" t="str">
        <f t="shared" si="5"/>
        <v/>
      </c>
      <c r="AA128" s="64"/>
      <c r="AB128" s="64"/>
      <c r="AC128" s="64"/>
      <c r="AD128" s="102"/>
    </row>
    <row r="129" spans="2:30" s="15" customFormat="1">
      <c r="B129" s="36"/>
      <c r="C129" s="102"/>
      <c r="D129" s="36"/>
      <c r="E129" s="22"/>
      <c r="F129" s="83"/>
      <c r="G129" s="83"/>
      <c r="H129" s="25"/>
      <c r="I129" s="25"/>
      <c r="J129" s="25"/>
      <c r="K129" s="25"/>
      <c r="L129" s="54"/>
      <c r="M129" s="36"/>
      <c r="N129" s="36"/>
      <c r="O129" s="102"/>
      <c r="P129" s="36"/>
      <c r="Q129" s="36"/>
      <c r="R129" s="37"/>
      <c r="S129" s="37"/>
      <c r="T129" s="60" t="str">
        <f t="shared" si="3"/>
        <v/>
      </c>
      <c r="U129" s="38"/>
      <c r="V129" s="38"/>
      <c r="W129" s="38" t="str">
        <f>IF(B129="","",COUNTIFS(Ejecucion[No. Solicitud],Registro!B129,Ejecucion[Estado],"Finalizado"))</f>
        <v/>
      </c>
      <c r="X129" s="38" t="str">
        <f>IF(B129="","",COUNTIFS(Ejecucion[No. Solicitud],Registro!B129,Ejecucion[Estado],"No Iniciado"))</f>
        <v/>
      </c>
      <c r="Y129" s="64" t="str">
        <f>IF(B129="","",COUNTIFS(Ejecucion[No. Solicitud],Registro!B129,Ejecucion[Estado],"En Proceso"))</f>
        <v/>
      </c>
      <c r="Z129" s="64" t="str">
        <f t="shared" si="5"/>
        <v/>
      </c>
      <c r="AA129" s="64"/>
      <c r="AB129" s="64"/>
      <c r="AC129" s="64"/>
      <c r="AD129" s="102"/>
    </row>
    <row r="130" spans="2:30" s="15" customFormat="1">
      <c r="B130" s="36"/>
      <c r="C130" s="102"/>
      <c r="D130" s="36"/>
      <c r="E130" s="22"/>
      <c r="F130" s="83"/>
      <c r="G130" s="83"/>
      <c r="H130" s="25"/>
      <c r="I130" s="25"/>
      <c r="J130" s="25"/>
      <c r="K130" s="25"/>
      <c r="L130" s="54"/>
      <c r="M130" s="36"/>
      <c r="N130" s="36"/>
      <c r="O130" s="102"/>
      <c r="P130" s="36"/>
      <c r="Q130" s="36"/>
      <c r="R130" s="37"/>
      <c r="S130" s="37"/>
      <c r="T130" s="60" t="str">
        <f t="shared" si="3"/>
        <v/>
      </c>
      <c r="U130" s="38"/>
      <c r="V130" s="38"/>
      <c r="W130" s="38" t="str">
        <f>IF(B130="","",COUNTIFS(Ejecucion[No. Solicitud],Registro!B130,Ejecucion[Estado],"Finalizado"))</f>
        <v/>
      </c>
      <c r="X130" s="38" t="str">
        <f>IF(B130="","",COUNTIFS(Ejecucion[No. Solicitud],Registro!B130,Ejecucion[Estado],"No Iniciado"))</f>
        <v/>
      </c>
      <c r="Y130" s="64" t="str">
        <f>IF(B130="","",COUNTIFS(Ejecucion[No. Solicitud],Registro!B130,Ejecucion[Estado],"En Proceso"))</f>
        <v/>
      </c>
      <c r="Z130" s="64" t="str">
        <f t="shared" si="5"/>
        <v/>
      </c>
      <c r="AA130" s="64"/>
      <c r="AB130" s="64"/>
      <c r="AC130" s="64"/>
      <c r="AD130" s="102"/>
    </row>
    <row r="131" spans="2:30" s="15" customFormat="1">
      <c r="B131" s="36"/>
      <c r="C131" s="102"/>
      <c r="D131" s="36"/>
      <c r="E131" s="22"/>
      <c r="F131" s="83"/>
      <c r="G131" s="83"/>
      <c r="H131" s="25"/>
      <c r="I131" s="25"/>
      <c r="J131" s="25"/>
      <c r="K131" s="25"/>
      <c r="L131" s="54"/>
      <c r="M131" s="36"/>
      <c r="N131" s="36"/>
      <c r="O131" s="102"/>
      <c r="P131" s="36"/>
      <c r="Q131" s="36"/>
      <c r="R131" s="37"/>
      <c r="S131" s="37"/>
      <c r="T131" s="60" t="str">
        <f t="shared" si="3"/>
        <v/>
      </c>
      <c r="U131" s="38"/>
      <c r="V131" s="38"/>
      <c r="W131" s="38" t="str">
        <f>IF(B131="","",COUNTIFS(Ejecucion[No. Solicitud],Registro!B131,Ejecucion[Estado],"Finalizado"))</f>
        <v/>
      </c>
      <c r="X131" s="38" t="str">
        <f>IF(B131="","",COUNTIFS(Ejecucion[No. Solicitud],Registro!B131,Ejecucion[Estado],"No Iniciado"))</f>
        <v/>
      </c>
      <c r="Y131" s="64" t="str">
        <f>IF(B131="","",COUNTIFS(Ejecucion[No. Solicitud],Registro!B131,Ejecucion[Estado],"En Proceso"))</f>
        <v/>
      </c>
      <c r="Z131" s="64" t="str">
        <f t="shared" si="5"/>
        <v/>
      </c>
      <c r="AA131" s="64"/>
      <c r="AB131" s="64"/>
      <c r="AC131" s="64"/>
      <c r="AD131" s="102"/>
    </row>
    <row r="132" spans="2:30" s="15" customFormat="1">
      <c r="B132" s="36"/>
      <c r="C132" s="102"/>
      <c r="D132" s="36"/>
      <c r="E132" s="22"/>
      <c r="F132" s="83"/>
      <c r="G132" s="83"/>
      <c r="H132" s="25"/>
      <c r="I132" s="25"/>
      <c r="J132" s="25"/>
      <c r="K132" s="25"/>
      <c r="L132" s="54"/>
      <c r="M132" s="36"/>
      <c r="N132" s="36"/>
      <c r="O132" s="102"/>
      <c r="P132" s="36"/>
      <c r="Q132" s="36"/>
      <c r="R132" s="37"/>
      <c r="S132" s="37"/>
      <c r="T132" s="60" t="str">
        <f t="shared" si="3"/>
        <v/>
      </c>
      <c r="U132" s="38"/>
      <c r="V132" s="38"/>
      <c r="W132" s="38" t="str">
        <f>IF(B132="","",COUNTIFS(Ejecucion[No. Solicitud],Registro!B132,Ejecucion[Estado],"Finalizado"))</f>
        <v/>
      </c>
      <c r="X132" s="38" t="str">
        <f>IF(B132="","",COUNTIFS(Ejecucion[No. Solicitud],Registro!B132,Ejecucion[Estado],"No Iniciado"))</f>
        <v/>
      </c>
      <c r="Y132" s="64" t="str">
        <f>IF(B132="","",COUNTIFS(Ejecucion[No. Solicitud],Registro!B132,Ejecucion[Estado],"En Proceso"))</f>
        <v/>
      </c>
      <c r="Z132" s="64" t="str">
        <f t="shared" si="5"/>
        <v/>
      </c>
      <c r="AA132" s="64"/>
      <c r="AB132" s="64"/>
      <c r="AC132" s="64"/>
      <c r="AD132" s="102"/>
    </row>
    <row r="133" spans="2:30" s="15" customFormat="1">
      <c r="B133" s="36"/>
      <c r="C133" s="102"/>
      <c r="D133" s="36"/>
      <c r="E133" s="22"/>
      <c r="F133" s="83"/>
      <c r="G133" s="83"/>
      <c r="H133" s="25"/>
      <c r="I133" s="25"/>
      <c r="J133" s="25"/>
      <c r="K133" s="25"/>
      <c r="L133" s="54"/>
      <c r="M133" s="36"/>
      <c r="N133" s="36"/>
      <c r="O133" s="102"/>
      <c r="P133" s="36"/>
      <c r="Q133" s="36"/>
      <c r="R133" s="37"/>
      <c r="S133" s="37"/>
      <c r="T133" s="60" t="str">
        <f t="shared" si="3"/>
        <v/>
      </c>
      <c r="U133" s="38"/>
      <c r="V133" s="38"/>
      <c r="W133" s="38" t="str">
        <f>IF(B133="","",COUNTIFS(Ejecucion[No. Solicitud],Registro!B133,Ejecucion[Estado],"Finalizado"))</f>
        <v/>
      </c>
      <c r="X133" s="38" t="str">
        <f>IF(B133="","",COUNTIFS(Ejecucion[No. Solicitud],Registro!B133,Ejecucion[Estado],"No Iniciado"))</f>
        <v/>
      </c>
      <c r="Y133" s="64" t="str">
        <f>IF(B133="","",COUNTIFS(Ejecucion[No. Solicitud],Registro!B133,Ejecucion[Estado],"En Proceso"))</f>
        <v/>
      </c>
      <c r="Z133" s="64" t="str">
        <f t="shared" si="5"/>
        <v/>
      </c>
      <c r="AA133" s="64"/>
      <c r="AB133" s="64"/>
      <c r="AC133" s="64"/>
      <c r="AD133" s="102"/>
    </row>
    <row r="134" spans="2:30" s="15" customFormat="1">
      <c r="B134" s="36"/>
      <c r="C134" s="102"/>
      <c r="D134" s="36"/>
      <c r="E134" s="22"/>
      <c r="F134" s="83"/>
      <c r="G134" s="83"/>
      <c r="H134" s="25"/>
      <c r="I134" s="25"/>
      <c r="J134" s="25"/>
      <c r="K134" s="25"/>
      <c r="L134" s="54"/>
      <c r="M134" s="36"/>
      <c r="N134" s="36"/>
      <c r="O134" s="102"/>
      <c r="P134" s="36"/>
      <c r="Q134" s="36"/>
      <c r="R134" s="37"/>
      <c r="S134" s="37"/>
      <c r="T134" s="60" t="str">
        <f t="shared" si="3"/>
        <v/>
      </c>
      <c r="U134" s="38"/>
      <c r="V134" s="38"/>
      <c r="W134" s="38" t="str">
        <f>IF(B134="","",COUNTIFS(Ejecucion[No. Solicitud],Registro!B134,Ejecucion[Estado],"Finalizado"))</f>
        <v/>
      </c>
      <c r="X134" s="38" t="str">
        <f>IF(B134="","",COUNTIFS(Ejecucion[No. Solicitud],Registro!B134,Ejecucion[Estado],"No Iniciado"))</f>
        <v/>
      </c>
      <c r="Y134" s="64" t="str">
        <f>IF(B134="","",COUNTIFS(Ejecucion[No. Solicitud],Registro!B134,Ejecucion[Estado],"En Proceso"))</f>
        <v/>
      </c>
      <c r="Z134" s="64" t="str">
        <f t="shared" si="5"/>
        <v/>
      </c>
      <c r="AA134" s="64"/>
      <c r="AB134" s="64"/>
      <c r="AC134" s="64"/>
      <c r="AD134" s="102"/>
    </row>
    <row r="135" spans="2:30" s="15" customFormat="1">
      <c r="B135" s="36"/>
      <c r="C135" s="102"/>
      <c r="D135" s="36"/>
      <c r="E135" s="22"/>
      <c r="F135" s="83"/>
      <c r="G135" s="83"/>
      <c r="H135" s="25"/>
      <c r="I135" s="25"/>
      <c r="J135" s="25"/>
      <c r="K135" s="25"/>
      <c r="L135" s="54"/>
      <c r="M135" s="36"/>
      <c r="N135" s="36"/>
      <c r="O135" s="102"/>
      <c r="P135" s="36"/>
      <c r="Q135" s="36"/>
      <c r="R135" s="37"/>
      <c r="S135" s="37"/>
      <c r="T135" s="60" t="str">
        <f t="shared" si="3"/>
        <v/>
      </c>
      <c r="U135" s="38"/>
      <c r="V135" s="38"/>
      <c r="W135" s="38" t="str">
        <f>IF(B135="","",COUNTIFS(Ejecucion[No. Solicitud],Registro!B135,Ejecucion[Estado],"Finalizado"))</f>
        <v/>
      </c>
      <c r="X135" s="38" t="str">
        <f>IF(B135="","",COUNTIFS(Ejecucion[No. Solicitud],Registro!B135,Ejecucion[Estado],"No Iniciado"))</f>
        <v/>
      </c>
      <c r="Y135" s="64" t="str">
        <f>IF(B135="","",COUNTIFS(Ejecucion[No. Solicitud],Registro!B135,Ejecucion[Estado],"En Proceso"))</f>
        <v/>
      </c>
      <c r="Z135" s="64" t="str">
        <f t="shared" si="5"/>
        <v/>
      </c>
      <c r="AA135" s="64"/>
      <c r="AB135" s="64"/>
      <c r="AC135" s="64"/>
      <c r="AD135" s="102"/>
    </row>
    <row r="136" spans="2:30" s="15" customFormat="1">
      <c r="B136" s="36"/>
      <c r="C136" s="102"/>
      <c r="D136" s="36"/>
      <c r="E136" s="22"/>
      <c r="F136" s="83"/>
      <c r="G136" s="83"/>
      <c r="H136" s="25"/>
      <c r="I136" s="25"/>
      <c r="J136" s="25"/>
      <c r="K136" s="25"/>
      <c r="L136" s="54"/>
      <c r="M136" s="36"/>
      <c r="N136" s="36"/>
      <c r="O136" s="102"/>
      <c r="P136" s="36"/>
      <c r="Q136" s="36"/>
      <c r="R136" s="37"/>
      <c r="S136" s="37"/>
      <c r="T136" s="60" t="str">
        <f t="shared" ref="T136:T199" si="6">IF(U136="","",IF(U136=W136,1,0))</f>
        <v/>
      </c>
      <c r="U136" s="38"/>
      <c r="V136" s="38"/>
      <c r="W136" s="38" t="str">
        <f>IF(B136="","",COUNTIFS(Ejecucion[No. Solicitud],Registro!B136,Ejecucion[Estado],"Finalizado"))</f>
        <v/>
      </c>
      <c r="X136" s="38" t="str">
        <f>IF(B136="","",COUNTIFS(Ejecucion[No. Solicitud],Registro!B136,Ejecucion[Estado],"No Iniciado"))</f>
        <v/>
      </c>
      <c r="Y136" s="64" t="str">
        <f>IF(B136="","",COUNTIFS(Ejecucion[No. Solicitud],Registro!B136,Ejecucion[Estado],"En Proceso"))</f>
        <v/>
      </c>
      <c r="Z136" s="64" t="str">
        <f t="shared" si="5"/>
        <v/>
      </c>
      <c r="AA136" s="64"/>
      <c r="AB136" s="64"/>
      <c r="AC136" s="64"/>
      <c r="AD136" s="102"/>
    </row>
    <row r="137" spans="2:30" s="15" customFormat="1">
      <c r="B137" s="36"/>
      <c r="C137" s="102"/>
      <c r="D137" s="36"/>
      <c r="E137" s="22"/>
      <c r="F137" s="83"/>
      <c r="G137" s="83"/>
      <c r="H137" s="25"/>
      <c r="I137" s="25"/>
      <c r="J137" s="25"/>
      <c r="K137" s="25"/>
      <c r="L137" s="54"/>
      <c r="M137" s="36"/>
      <c r="N137" s="36"/>
      <c r="O137" s="102"/>
      <c r="P137" s="36"/>
      <c r="Q137" s="36"/>
      <c r="R137" s="37"/>
      <c r="S137" s="37"/>
      <c r="T137" s="60" t="str">
        <f t="shared" si="6"/>
        <v/>
      </c>
      <c r="U137" s="38"/>
      <c r="V137" s="38"/>
      <c r="W137" s="38" t="str">
        <f>IF(B137="","",COUNTIFS(Ejecucion[No. Solicitud],Registro!B137,Ejecucion[Estado],"Finalizado"))</f>
        <v/>
      </c>
      <c r="X137" s="38" t="str">
        <f>IF(B137="","",COUNTIFS(Ejecucion[No. Solicitud],Registro!B137,Ejecucion[Estado],"No Iniciado"))</f>
        <v/>
      </c>
      <c r="Y137" s="64" t="str">
        <f>IF(B137="","",COUNTIFS(Ejecucion[No. Solicitud],Registro!B137,Ejecucion[Estado],"En Proceso"))</f>
        <v/>
      </c>
      <c r="Z137" s="64" t="str">
        <f t="shared" si="5"/>
        <v/>
      </c>
      <c r="AA137" s="64"/>
      <c r="AB137" s="64"/>
      <c r="AC137" s="64"/>
      <c r="AD137" s="102"/>
    </row>
    <row r="138" spans="2:30" s="15" customFormat="1">
      <c r="B138" s="36"/>
      <c r="C138" s="102"/>
      <c r="D138" s="36"/>
      <c r="E138" s="22"/>
      <c r="F138" s="83"/>
      <c r="G138" s="83"/>
      <c r="H138" s="25"/>
      <c r="I138" s="25"/>
      <c r="J138" s="25"/>
      <c r="K138" s="25"/>
      <c r="L138" s="54"/>
      <c r="M138" s="36"/>
      <c r="N138" s="36"/>
      <c r="O138" s="102"/>
      <c r="P138" s="36"/>
      <c r="Q138" s="36"/>
      <c r="R138" s="37"/>
      <c r="S138" s="37"/>
      <c r="T138" s="60" t="str">
        <f t="shared" si="6"/>
        <v/>
      </c>
      <c r="U138" s="38"/>
      <c r="V138" s="38"/>
      <c r="W138" s="38" t="str">
        <f>IF(B138="","",COUNTIFS(Ejecucion[No. Solicitud],Registro!B138,Ejecucion[Estado],"Finalizado"))</f>
        <v/>
      </c>
      <c r="X138" s="38" t="str">
        <f>IF(B138="","",COUNTIFS(Ejecucion[No. Solicitud],Registro!B138,Ejecucion[Estado],"No Iniciado"))</f>
        <v/>
      </c>
      <c r="Y138" s="64" t="str">
        <f>IF(B138="","",COUNTIFS(Ejecucion[No. Solicitud],Registro!B138,Ejecucion[Estado],"En Proceso"))</f>
        <v/>
      </c>
      <c r="Z138" s="64" t="str">
        <f t="shared" si="5"/>
        <v/>
      </c>
      <c r="AA138" s="64"/>
      <c r="AB138" s="64"/>
      <c r="AC138" s="64"/>
      <c r="AD138" s="102"/>
    </row>
    <row r="139" spans="2:30" s="15" customFormat="1">
      <c r="B139" s="36"/>
      <c r="C139" s="102"/>
      <c r="D139" s="36"/>
      <c r="E139" s="22"/>
      <c r="F139" s="83"/>
      <c r="G139" s="83"/>
      <c r="H139" s="25"/>
      <c r="I139" s="25"/>
      <c r="J139" s="25"/>
      <c r="K139" s="25"/>
      <c r="L139" s="54"/>
      <c r="M139" s="36"/>
      <c r="N139" s="36"/>
      <c r="O139" s="102"/>
      <c r="P139" s="36"/>
      <c r="Q139" s="36"/>
      <c r="R139" s="37"/>
      <c r="S139" s="37"/>
      <c r="T139" s="60" t="str">
        <f t="shared" si="6"/>
        <v/>
      </c>
      <c r="U139" s="38"/>
      <c r="V139" s="38"/>
      <c r="W139" s="38" t="str">
        <f>IF(B139="","",COUNTIFS(Ejecucion[No. Solicitud],Registro!B139,Ejecucion[Estado],"Finalizado"))</f>
        <v/>
      </c>
      <c r="X139" s="38" t="str">
        <f>IF(B139="","",COUNTIFS(Ejecucion[No. Solicitud],Registro!B139,Ejecucion[Estado],"No Iniciado"))</f>
        <v/>
      </c>
      <c r="Y139" s="64" t="str">
        <f>IF(B139="","",COUNTIFS(Ejecucion[No. Solicitud],Registro!B139,Ejecucion[Estado],"En Proceso"))</f>
        <v/>
      </c>
      <c r="Z139" s="64" t="str">
        <f t="shared" si="5"/>
        <v/>
      </c>
      <c r="AA139" s="64"/>
      <c r="AB139" s="64"/>
      <c r="AC139" s="64"/>
      <c r="AD139" s="102"/>
    </row>
    <row r="140" spans="2:30" s="15" customFormat="1">
      <c r="B140" s="36"/>
      <c r="C140" s="102"/>
      <c r="D140" s="36"/>
      <c r="E140" s="22"/>
      <c r="F140" s="83"/>
      <c r="G140" s="83"/>
      <c r="H140" s="25"/>
      <c r="I140" s="25"/>
      <c r="J140" s="25"/>
      <c r="K140" s="25"/>
      <c r="L140" s="54"/>
      <c r="M140" s="36"/>
      <c r="N140" s="36"/>
      <c r="O140" s="102"/>
      <c r="P140" s="36"/>
      <c r="Q140" s="36"/>
      <c r="R140" s="37"/>
      <c r="S140" s="37"/>
      <c r="T140" s="60" t="str">
        <f t="shared" si="6"/>
        <v/>
      </c>
      <c r="U140" s="38"/>
      <c r="V140" s="38"/>
      <c r="W140" s="38" t="str">
        <f>IF(B140="","",COUNTIFS(Ejecucion[No. Solicitud],Registro!B140,Ejecucion[Estado],"Finalizado"))</f>
        <v/>
      </c>
      <c r="X140" s="38" t="str">
        <f>IF(B140="","",COUNTIFS(Ejecucion[No. Solicitud],Registro!B140,Ejecucion[Estado],"No Iniciado"))</f>
        <v/>
      </c>
      <c r="Y140" s="64" t="str">
        <f>IF(B140="","",COUNTIFS(Ejecucion[No. Solicitud],Registro!B140,Ejecucion[Estado],"En Proceso"))</f>
        <v/>
      </c>
      <c r="Z140" s="64" t="str">
        <f t="shared" si="5"/>
        <v/>
      </c>
      <c r="AA140" s="64"/>
      <c r="AB140" s="64"/>
      <c r="AC140" s="64"/>
      <c r="AD140" s="102"/>
    </row>
    <row r="141" spans="2:30" s="15" customFormat="1">
      <c r="B141" s="36"/>
      <c r="C141" s="102"/>
      <c r="D141" s="36"/>
      <c r="E141" s="22"/>
      <c r="F141" s="83"/>
      <c r="G141" s="83"/>
      <c r="H141" s="25"/>
      <c r="I141" s="25"/>
      <c r="J141" s="25"/>
      <c r="K141" s="25"/>
      <c r="L141" s="54"/>
      <c r="M141" s="36"/>
      <c r="N141" s="36"/>
      <c r="O141" s="102"/>
      <c r="P141" s="36"/>
      <c r="Q141" s="36"/>
      <c r="R141" s="37"/>
      <c r="S141" s="37"/>
      <c r="T141" s="60" t="str">
        <f t="shared" si="6"/>
        <v/>
      </c>
      <c r="U141" s="38"/>
      <c r="V141" s="38"/>
      <c r="W141" s="38" t="str">
        <f>IF(B141="","",COUNTIFS(Ejecucion[No. Solicitud],Registro!B141,Ejecucion[Estado],"Finalizado"))</f>
        <v/>
      </c>
      <c r="X141" s="38" t="str">
        <f>IF(B141="","",COUNTIFS(Ejecucion[No. Solicitud],Registro!B141,Ejecucion[Estado],"No Iniciado"))</f>
        <v/>
      </c>
      <c r="Y141" s="64" t="str">
        <f>IF(B141="","",COUNTIFS(Ejecucion[No. Solicitud],Registro!B141,Ejecucion[Estado],"En Proceso"))</f>
        <v/>
      </c>
      <c r="Z141" s="64" t="str">
        <f t="shared" si="5"/>
        <v/>
      </c>
      <c r="AA141" s="64"/>
      <c r="AB141" s="64"/>
      <c r="AC141" s="64"/>
      <c r="AD141" s="102"/>
    </row>
    <row r="142" spans="2:30" s="15" customFormat="1">
      <c r="B142" s="36"/>
      <c r="C142" s="102"/>
      <c r="D142" s="36"/>
      <c r="E142" s="22"/>
      <c r="F142" s="83"/>
      <c r="G142" s="83"/>
      <c r="H142" s="25"/>
      <c r="I142" s="25"/>
      <c r="J142" s="25"/>
      <c r="K142" s="25"/>
      <c r="L142" s="54"/>
      <c r="M142" s="36"/>
      <c r="N142" s="36"/>
      <c r="O142" s="102"/>
      <c r="P142" s="36"/>
      <c r="Q142" s="36"/>
      <c r="R142" s="37"/>
      <c r="S142" s="37"/>
      <c r="T142" s="60" t="str">
        <f t="shared" si="6"/>
        <v/>
      </c>
      <c r="U142" s="38"/>
      <c r="V142" s="38"/>
      <c r="W142" s="38" t="str">
        <f>IF(B142="","",COUNTIFS(Ejecucion[No. Solicitud],Registro!B142,Ejecucion[Estado],"Finalizado"))</f>
        <v/>
      </c>
      <c r="X142" s="38" t="str">
        <f>IF(B142="","",COUNTIFS(Ejecucion[No. Solicitud],Registro!B142,Ejecucion[Estado],"No Iniciado"))</f>
        <v/>
      </c>
      <c r="Y142" s="64" t="str">
        <f>IF(B142="","",COUNTIFS(Ejecucion[No. Solicitud],Registro!B142,Ejecucion[Estado],"En Proceso"))</f>
        <v/>
      </c>
      <c r="Z142" s="64" t="str">
        <f t="shared" si="5"/>
        <v/>
      </c>
      <c r="AA142" s="64"/>
      <c r="AB142" s="64"/>
      <c r="AC142" s="64"/>
      <c r="AD142" s="102"/>
    </row>
    <row r="143" spans="2:30" s="15" customFormat="1">
      <c r="B143" s="36"/>
      <c r="C143" s="102"/>
      <c r="D143" s="36"/>
      <c r="E143" s="22"/>
      <c r="F143" s="83"/>
      <c r="G143" s="83"/>
      <c r="H143" s="25"/>
      <c r="I143" s="25"/>
      <c r="J143" s="25"/>
      <c r="K143" s="25"/>
      <c r="L143" s="63"/>
      <c r="M143" s="36"/>
      <c r="N143" s="36"/>
      <c r="O143" s="102"/>
      <c r="P143" s="36"/>
      <c r="Q143" s="36"/>
      <c r="R143" s="37"/>
      <c r="S143" s="37"/>
      <c r="T143" s="60" t="str">
        <f t="shared" si="6"/>
        <v/>
      </c>
      <c r="U143" s="38"/>
      <c r="V143" s="38"/>
      <c r="W143" s="38" t="str">
        <f>IF(B143="","",COUNTIFS(Ejecucion[No. Solicitud],Registro!B143,Ejecucion[Estado],"Finalizado"))</f>
        <v/>
      </c>
      <c r="X143" s="38" t="str">
        <f>IF(B143="","",COUNTIFS(Ejecucion[No. Solicitud],Registro!B143,Ejecucion[Estado],"No Iniciado"))</f>
        <v/>
      </c>
      <c r="Y143" s="64" t="str">
        <f>IF(B143="","",COUNTIFS(Ejecucion[No. Solicitud],Registro!B143,Ejecucion[Estado],"En Proceso"))</f>
        <v/>
      </c>
      <c r="Z143" s="64" t="str">
        <f t="shared" si="5"/>
        <v/>
      </c>
      <c r="AA143" s="64"/>
      <c r="AB143" s="64"/>
      <c r="AC143" s="64"/>
      <c r="AD143" s="102"/>
    </row>
    <row r="144" spans="2:30" s="15" customFormat="1">
      <c r="B144" s="36"/>
      <c r="C144" s="102"/>
      <c r="D144" s="36"/>
      <c r="E144" s="22"/>
      <c r="F144" s="83"/>
      <c r="G144" s="83"/>
      <c r="H144" s="25"/>
      <c r="I144" s="25"/>
      <c r="J144" s="25"/>
      <c r="K144" s="25"/>
      <c r="L144" s="54"/>
      <c r="M144" s="36"/>
      <c r="N144" s="36"/>
      <c r="O144" s="102"/>
      <c r="P144" s="36"/>
      <c r="Q144" s="36"/>
      <c r="R144" s="37"/>
      <c r="S144" s="37"/>
      <c r="T144" s="60" t="str">
        <f t="shared" si="6"/>
        <v/>
      </c>
      <c r="U144" s="38"/>
      <c r="V144" s="38"/>
      <c r="W144" s="38" t="str">
        <f>IF(B144="","",COUNTIFS(Ejecucion[No. Solicitud],Registro!B144,Ejecucion[Estado],"Finalizado"))</f>
        <v/>
      </c>
      <c r="X144" s="38" t="str">
        <f>IF(B144="","",COUNTIFS(Ejecucion[No. Solicitud],Registro!B144,Ejecucion[Estado],"No Iniciado"))</f>
        <v/>
      </c>
      <c r="Y144" s="64" t="str">
        <f>IF(B144="","",COUNTIFS(Ejecucion[No. Solicitud],Registro!B144,Ejecucion[Estado],"En Proceso"))</f>
        <v/>
      </c>
      <c r="Z144" s="64" t="str">
        <f t="shared" si="5"/>
        <v/>
      </c>
      <c r="AA144" s="64"/>
      <c r="AB144" s="64"/>
      <c r="AC144" s="64"/>
      <c r="AD144" s="102"/>
    </row>
    <row r="145" spans="2:30" s="15" customFormat="1">
      <c r="B145" s="36"/>
      <c r="C145" s="102"/>
      <c r="D145" s="36"/>
      <c r="E145" s="22"/>
      <c r="F145" s="83"/>
      <c r="G145" s="83"/>
      <c r="H145" s="25"/>
      <c r="I145" s="25"/>
      <c r="J145" s="25"/>
      <c r="K145" s="25"/>
      <c r="L145" s="54"/>
      <c r="M145" s="36"/>
      <c r="N145" s="36"/>
      <c r="O145" s="102"/>
      <c r="P145" s="36"/>
      <c r="Q145" s="36"/>
      <c r="R145" s="37"/>
      <c r="S145" s="37"/>
      <c r="T145" s="60" t="str">
        <f t="shared" si="6"/>
        <v/>
      </c>
      <c r="U145" s="38"/>
      <c r="V145" s="38"/>
      <c r="W145" s="38" t="str">
        <f>IF(B145="","",COUNTIFS(Ejecucion[No. Solicitud],Registro!B145,Ejecucion[Estado],"Finalizado"))</f>
        <v/>
      </c>
      <c r="X145" s="38" t="str">
        <f>IF(B145="","",COUNTIFS(Ejecucion[No. Solicitud],Registro!B145,Ejecucion[Estado],"No Iniciado"))</f>
        <v/>
      </c>
      <c r="Y145" s="64" t="str">
        <f>IF(B145="","",COUNTIFS(Ejecucion[No. Solicitud],Registro!B145,Ejecucion[Estado],"En Proceso"))</f>
        <v/>
      </c>
      <c r="Z145" s="64" t="str">
        <f t="shared" si="5"/>
        <v/>
      </c>
      <c r="AA145" s="64"/>
      <c r="AB145" s="64"/>
      <c r="AC145" s="64"/>
      <c r="AD145" s="102"/>
    </row>
    <row r="146" spans="2:30" s="15" customFormat="1">
      <c r="B146" s="36"/>
      <c r="C146" s="102"/>
      <c r="D146" s="36"/>
      <c r="E146" s="22"/>
      <c r="F146" s="83"/>
      <c r="G146" s="83"/>
      <c r="H146" s="25"/>
      <c r="I146" s="25"/>
      <c r="J146" s="25"/>
      <c r="K146" s="25"/>
      <c r="L146" s="54"/>
      <c r="M146" s="36"/>
      <c r="N146" s="36"/>
      <c r="O146" s="102"/>
      <c r="P146" s="36"/>
      <c r="Q146" s="36"/>
      <c r="R146" s="37"/>
      <c r="S146" s="37"/>
      <c r="T146" s="60" t="str">
        <f t="shared" si="6"/>
        <v/>
      </c>
      <c r="U146" s="38"/>
      <c r="V146" s="38"/>
      <c r="W146" s="38" t="str">
        <f>IF(B146="","",COUNTIFS(Ejecucion[No. Solicitud],Registro!B146,Ejecucion[Estado],"Finalizado"))</f>
        <v/>
      </c>
      <c r="X146" s="38" t="str">
        <f>IF(B146="","",COUNTIFS(Ejecucion[No. Solicitud],Registro!B146,Ejecucion[Estado],"No Iniciado"))</f>
        <v/>
      </c>
      <c r="Y146" s="64" t="str">
        <f>IF(B146="","",COUNTIFS(Ejecucion[No. Solicitud],Registro!B146,Ejecucion[Estado],"En Proceso"))</f>
        <v/>
      </c>
      <c r="Z146" s="64" t="str">
        <f t="shared" si="5"/>
        <v/>
      </c>
      <c r="AA146" s="64"/>
      <c r="AB146" s="64"/>
      <c r="AC146" s="64"/>
      <c r="AD146" s="102"/>
    </row>
    <row r="147" spans="2:30" s="15" customFormat="1">
      <c r="B147" s="36"/>
      <c r="C147" s="102"/>
      <c r="D147" s="36"/>
      <c r="E147" s="22"/>
      <c r="F147" s="83"/>
      <c r="G147" s="83"/>
      <c r="H147" s="25"/>
      <c r="I147" s="25"/>
      <c r="J147" s="25"/>
      <c r="K147" s="25"/>
      <c r="L147" s="54"/>
      <c r="M147" s="36"/>
      <c r="N147" s="36"/>
      <c r="O147" s="102"/>
      <c r="P147" s="36"/>
      <c r="Q147" s="36"/>
      <c r="R147" s="37"/>
      <c r="S147" s="37"/>
      <c r="T147" s="60" t="str">
        <f t="shared" si="6"/>
        <v/>
      </c>
      <c r="U147" s="38"/>
      <c r="V147" s="38"/>
      <c r="W147" s="38" t="str">
        <f>IF(B147="","",COUNTIFS(Ejecucion[No. Solicitud],Registro!B147,Ejecucion[Estado],"Finalizado"))</f>
        <v/>
      </c>
      <c r="X147" s="38" t="str">
        <f>IF(B147="","",COUNTIFS(Ejecucion[No. Solicitud],Registro!B147,Ejecucion[Estado],"No Iniciado"))</f>
        <v/>
      </c>
      <c r="Y147" s="64" t="str">
        <f>IF(B147="","",COUNTIFS(Ejecucion[No. Solicitud],Registro!B147,Ejecucion[Estado],"En Proceso"))</f>
        <v/>
      </c>
      <c r="Z147" s="64" t="str">
        <f t="shared" si="5"/>
        <v/>
      </c>
      <c r="AA147" s="64"/>
      <c r="AB147" s="64"/>
      <c r="AC147" s="64"/>
      <c r="AD147" s="102"/>
    </row>
    <row r="148" spans="2:30" s="15" customFormat="1">
      <c r="B148" s="36"/>
      <c r="C148" s="102"/>
      <c r="D148" s="36"/>
      <c r="E148" s="22"/>
      <c r="F148" s="83"/>
      <c r="G148" s="83"/>
      <c r="H148" s="25"/>
      <c r="I148" s="25"/>
      <c r="J148" s="25"/>
      <c r="K148" s="25"/>
      <c r="L148" s="54"/>
      <c r="M148" s="36"/>
      <c r="N148" s="36"/>
      <c r="O148" s="102"/>
      <c r="P148" s="36"/>
      <c r="Q148" s="36"/>
      <c r="R148" s="37"/>
      <c r="S148" s="37"/>
      <c r="T148" s="60" t="str">
        <f t="shared" si="6"/>
        <v/>
      </c>
      <c r="U148" s="38"/>
      <c r="V148" s="38"/>
      <c r="W148" s="38" t="str">
        <f>IF(B148="","",COUNTIFS(Ejecucion[No. Solicitud],Registro!B148,Ejecucion[Estado],"Finalizado"))</f>
        <v/>
      </c>
      <c r="X148" s="38" t="str">
        <f>IF(B148="","",COUNTIFS(Ejecucion[No. Solicitud],Registro!B148,Ejecucion[Estado],"No Iniciado"))</f>
        <v/>
      </c>
      <c r="Y148" s="64" t="str">
        <f>IF(B148="","",COUNTIFS(Ejecucion[No. Solicitud],Registro!B148,Ejecucion[Estado],"En Proceso"))</f>
        <v/>
      </c>
      <c r="Z148" s="64" t="str">
        <f t="shared" si="5"/>
        <v/>
      </c>
      <c r="AA148" s="64"/>
      <c r="AB148" s="64"/>
      <c r="AC148" s="64"/>
      <c r="AD148" s="102"/>
    </row>
    <row r="149" spans="2:30" s="15" customFormat="1">
      <c r="B149" s="36"/>
      <c r="C149" s="102"/>
      <c r="D149" s="36"/>
      <c r="E149" s="22"/>
      <c r="F149" s="83"/>
      <c r="G149" s="83"/>
      <c r="H149" s="25"/>
      <c r="I149" s="25"/>
      <c r="J149" s="25"/>
      <c r="K149" s="25"/>
      <c r="L149" s="54"/>
      <c r="M149" s="36"/>
      <c r="N149" s="36"/>
      <c r="O149" s="102"/>
      <c r="P149" s="36"/>
      <c r="Q149" s="36"/>
      <c r="R149" s="37"/>
      <c r="S149" s="37"/>
      <c r="T149" s="60" t="str">
        <f t="shared" si="6"/>
        <v/>
      </c>
      <c r="U149" s="38"/>
      <c r="V149" s="38"/>
      <c r="W149" s="38" t="str">
        <f>IF(B149="","",COUNTIFS(Ejecucion[No. Solicitud],Registro!B149,Ejecucion[Estado],"Finalizado"))</f>
        <v/>
      </c>
      <c r="X149" s="38" t="str">
        <f>IF(B149="","",COUNTIFS(Ejecucion[No. Solicitud],Registro!B149,Ejecucion[Estado],"No Iniciado"))</f>
        <v/>
      </c>
      <c r="Y149" s="64" t="str">
        <f>IF(B149="","",COUNTIFS(Ejecucion[No. Solicitud],Registro!B149,Ejecucion[Estado],"En Proceso"))</f>
        <v/>
      </c>
      <c r="Z149" s="64" t="str">
        <f t="shared" si="5"/>
        <v/>
      </c>
      <c r="AA149" s="64"/>
      <c r="AB149" s="64"/>
      <c r="AC149" s="64"/>
      <c r="AD149" s="102"/>
    </row>
    <row r="150" spans="2:30" s="15" customFormat="1">
      <c r="B150" s="36"/>
      <c r="C150" s="102"/>
      <c r="D150" s="36"/>
      <c r="E150" s="22"/>
      <c r="F150" s="83"/>
      <c r="G150" s="83"/>
      <c r="H150" s="25"/>
      <c r="I150" s="25"/>
      <c r="J150" s="25"/>
      <c r="K150" s="25"/>
      <c r="L150" s="54"/>
      <c r="M150" s="36"/>
      <c r="N150" s="36"/>
      <c r="O150" s="102"/>
      <c r="P150" s="36"/>
      <c r="Q150" s="36"/>
      <c r="R150" s="37"/>
      <c r="S150" s="37"/>
      <c r="T150" s="60" t="str">
        <f t="shared" si="6"/>
        <v/>
      </c>
      <c r="U150" s="38"/>
      <c r="V150" s="38"/>
      <c r="W150" s="38" t="str">
        <f>IF(B150="","",COUNTIFS(Ejecucion[No. Solicitud],Registro!B150,Ejecucion[Estado],"Finalizado"))</f>
        <v/>
      </c>
      <c r="X150" s="38" t="str">
        <f>IF(B150="","",COUNTIFS(Ejecucion[No. Solicitud],Registro!B150,Ejecucion[Estado],"No Iniciado"))</f>
        <v/>
      </c>
      <c r="Y150" s="64" t="str">
        <f>IF(B150="","",COUNTIFS(Ejecucion[No. Solicitud],Registro!B150,Ejecucion[Estado],"En Proceso"))</f>
        <v/>
      </c>
      <c r="Z150" s="64" t="str">
        <f t="shared" si="5"/>
        <v/>
      </c>
      <c r="AA150" s="64"/>
      <c r="AB150" s="64"/>
      <c r="AC150" s="64"/>
      <c r="AD150" s="102"/>
    </row>
    <row r="151" spans="2:30" s="15" customFormat="1">
      <c r="B151" s="36"/>
      <c r="C151" s="102"/>
      <c r="D151" s="36"/>
      <c r="E151" s="22"/>
      <c r="F151" s="83"/>
      <c r="G151" s="83"/>
      <c r="H151" s="25"/>
      <c r="I151" s="25"/>
      <c r="J151" s="25"/>
      <c r="K151" s="25"/>
      <c r="L151" s="54"/>
      <c r="M151" s="36"/>
      <c r="N151" s="36"/>
      <c r="O151" s="102"/>
      <c r="P151" s="36"/>
      <c r="Q151" s="36"/>
      <c r="R151" s="37"/>
      <c r="S151" s="37"/>
      <c r="T151" s="60" t="str">
        <f t="shared" si="6"/>
        <v/>
      </c>
      <c r="U151" s="38"/>
      <c r="V151" s="38"/>
      <c r="W151" s="38" t="str">
        <f>IF(B151="","",COUNTIFS(Ejecucion[No. Solicitud],Registro!B151,Ejecucion[Estado],"Finalizado"))</f>
        <v/>
      </c>
      <c r="X151" s="38" t="str">
        <f>IF(B151="","",COUNTIFS(Ejecucion[No. Solicitud],Registro!B151,Ejecucion[Estado],"No Iniciado"))</f>
        <v/>
      </c>
      <c r="Y151" s="64" t="str">
        <f>IF(B151="","",COUNTIFS(Ejecucion[No. Solicitud],Registro!B151,Ejecucion[Estado],"En Proceso"))</f>
        <v/>
      </c>
      <c r="Z151" s="64" t="str">
        <f t="shared" si="5"/>
        <v/>
      </c>
      <c r="AA151" s="64"/>
      <c r="AB151" s="64"/>
      <c r="AC151" s="64"/>
      <c r="AD151" s="102"/>
    </row>
    <row r="152" spans="2:30" s="15" customFormat="1">
      <c r="B152" s="36"/>
      <c r="C152" s="102"/>
      <c r="D152" s="36"/>
      <c r="E152" s="22"/>
      <c r="F152" s="83"/>
      <c r="G152" s="83"/>
      <c r="H152" s="25"/>
      <c r="I152" s="25"/>
      <c r="J152" s="25"/>
      <c r="K152" s="25"/>
      <c r="L152" s="54"/>
      <c r="M152" s="36"/>
      <c r="N152" s="36"/>
      <c r="O152" s="102"/>
      <c r="P152" s="36"/>
      <c r="Q152" s="36"/>
      <c r="R152" s="37"/>
      <c r="S152" s="37"/>
      <c r="T152" s="60" t="str">
        <f t="shared" si="6"/>
        <v/>
      </c>
      <c r="U152" s="38"/>
      <c r="V152" s="38"/>
      <c r="W152" s="38" t="str">
        <f>IF(B152="","",COUNTIFS(Ejecucion[No. Solicitud],Registro!B152,Ejecucion[Estado],"Finalizado"))</f>
        <v/>
      </c>
      <c r="X152" s="38" t="str">
        <f>IF(B152="","",COUNTIFS(Ejecucion[No. Solicitud],Registro!B152,Ejecucion[Estado],"No Iniciado"))</f>
        <v/>
      </c>
      <c r="Y152" s="64" t="str">
        <f>IF(B152="","",COUNTIFS(Ejecucion[No. Solicitud],Registro!B152,Ejecucion[Estado],"En Proceso"))</f>
        <v/>
      </c>
      <c r="Z152" s="64" t="str">
        <f t="shared" si="5"/>
        <v/>
      </c>
      <c r="AA152" s="64"/>
      <c r="AB152" s="64"/>
      <c r="AC152" s="64"/>
      <c r="AD152" s="102"/>
    </row>
    <row r="153" spans="2:30" s="15" customFormat="1">
      <c r="B153" s="36"/>
      <c r="C153" s="102"/>
      <c r="D153" s="18"/>
      <c r="E153" s="22"/>
      <c r="F153" s="83"/>
      <c r="G153" s="83"/>
      <c r="H153" s="25"/>
      <c r="I153" s="25"/>
      <c r="J153" s="25"/>
      <c r="K153" s="25"/>
      <c r="L153" s="54"/>
      <c r="M153" s="36"/>
      <c r="N153" s="36"/>
      <c r="O153" s="102"/>
      <c r="P153" s="36"/>
      <c r="Q153" s="36"/>
      <c r="R153" s="37"/>
      <c r="S153" s="37"/>
      <c r="T153" s="60" t="str">
        <f t="shared" si="6"/>
        <v/>
      </c>
      <c r="U153" s="38"/>
      <c r="V153" s="38"/>
      <c r="W153" s="38" t="str">
        <f>IF(B153="","",COUNTIFS(Ejecucion[No. Solicitud],Registro!B153,Ejecucion[Estado],"Finalizado"))</f>
        <v/>
      </c>
      <c r="X153" s="38" t="str">
        <f>IF(B153="","",COUNTIFS(Ejecucion[No. Solicitud],Registro!B153,Ejecucion[Estado],"No Iniciado"))</f>
        <v/>
      </c>
      <c r="Y153" s="64" t="str">
        <f>IF(B153="","",COUNTIFS(Ejecucion[No. Solicitud],Registro!B153,Ejecucion[Estado],"En Proceso"))</f>
        <v/>
      </c>
      <c r="Z153" s="64" t="str">
        <f t="shared" si="5"/>
        <v/>
      </c>
      <c r="AA153" s="64"/>
      <c r="AB153" s="64"/>
      <c r="AC153" s="64"/>
      <c r="AD153" s="102"/>
    </row>
    <row r="154" spans="2:30" s="15" customFormat="1">
      <c r="B154" s="36"/>
      <c r="C154" s="102"/>
      <c r="D154" s="36"/>
      <c r="E154" s="22"/>
      <c r="F154" s="83"/>
      <c r="G154" s="83"/>
      <c r="H154" s="25"/>
      <c r="I154" s="25"/>
      <c r="J154" s="25"/>
      <c r="K154" s="25"/>
      <c r="L154" s="54"/>
      <c r="M154" s="36"/>
      <c r="N154" s="36"/>
      <c r="O154" s="102"/>
      <c r="P154" s="36"/>
      <c r="Q154" s="36"/>
      <c r="R154" s="37"/>
      <c r="S154" s="37"/>
      <c r="T154" s="60" t="str">
        <f t="shared" si="6"/>
        <v/>
      </c>
      <c r="U154" s="38"/>
      <c r="V154" s="38"/>
      <c r="W154" s="38" t="str">
        <f>IF(B154="","",COUNTIFS(Ejecucion[No. Solicitud],Registro!B154,Ejecucion[Estado],"Finalizado"))</f>
        <v/>
      </c>
      <c r="X154" s="38" t="str">
        <f>IF(B154="","",COUNTIFS(Ejecucion[No. Solicitud],Registro!B154,Ejecucion[Estado],"No Iniciado"))</f>
        <v/>
      </c>
      <c r="Y154" s="64" t="str">
        <f>IF(B154="","",COUNTIFS(Ejecucion[No. Solicitud],Registro!B154,Ejecucion[Estado],"En Proceso"))</f>
        <v/>
      </c>
      <c r="Z154" s="64" t="str">
        <f t="shared" ref="Z154:Z217" si="7">IF(U154="","",IF(F154="Virtual Asincrónico",1,V154*U154))</f>
        <v/>
      </c>
      <c r="AA154" s="64"/>
      <c r="AB154" s="64"/>
      <c r="AC154" s="64"/>
      <c r="AD154" s="102"/>
    </row>
    <row r="155" spans="2:30" s="15" customFormat="1">
      <c r="B155" s="36"/>
      <c r="C155" s="102"/>
      <c r="D155" s="36"/>
      <c r="E155" s="22"/>
      <c r="F155" s="83"/>
      <c r="G155" s="83"/>
      <c r="H155" s="25"/>
      <c r="I155" s="25"/>
      <c r="J155" s="25"/>
      <c r="K155" s="25"/>
      <c r="L155" s="54"/>
      <c r="M155" s="36"/>
      <c r="N155" s="36"/>
      <c r="O155" s="102"/>
      <c r="P155" s="36"/>
      <c r="Q155" s="36"/>
      <c r="R155" s="37"/>
      <c r="S155" s="37"/>
      <c r="T155" s="60" t="str">
        <f t="shared" si="6"/>
        <v/>
      </c>
      <c r="U155" s="38"/>
      <c r="V155" s="38"/>
      <c r="W155" s="38" t="str">
        <f>IF(B155="","",COUNTIFS(Ejecucion[No. Solicitud],Registro!B155,Ejecucion[Estado],"Finalizado"))</f>
        <v/>
      </c>
      <c r="X155" s="38" t="str">
        <f>IF(B155="","",COUNTIFS(Ejecucion[No. Solicitud],Registro!B155,Ejecucion[Estado],"No Iniciado"))</f>
        <v/>
      </c>
      <c r="Y155" s="64" t="str">
        <f>IF(B155="","",COUNTIFS(Ejecucion[No. Solicitud],Registro!B155,Ejecucion[Estado],"En Proceso"))</f>
        <v/>
      </c>
      <c r="Z155" s="64" t="str">
        <f t="shared" si="7"/>
        <v/>
      </c>
      <c r="AA155" s="64"/>
      <c r="AB155" s="64"/>
      <c r="AC155" s="64"/>
      <c r="AD155" s="102"/>
    </row>
    <row r="156" spans="2:30" s="15" customFormat="1">
      <c r="B156" s="36"/>
      <c r="C156" s="102"/>
      <c r="D156" s="36"/>
      <c r="E156" s="22"/>
      <c r="F156" s="83"/>
      <c r="G156" s="83"/>
      <c r="H156" s="25"/>
      <c r="I156" s="25"/>
      <c r="J156" s="25"/>
      <c r="K156" s="25"/>
      <c r="L156" s="54"/>
      <c r="M156" s="36"/>
      <c r="N156" s="36"/>
      <c r="O156" s="102"/>
      <c r="P156" s="36"/>
      <c r="Q156" s="36"/>
      <c r="R156" s="37"/>
      <c r="S156" s="37"/>
      <c r="T156" s="60" t="str">
        <f t="shared" si="6"/>
        <v/>
      </c>
      <c r="U156" s="38"/>
      <c r="V156" s="38"/>
      <c r="W156" s="38" t="str">
        <f>IF(B156="","",COUNTIFS(Ejecucion[No. Solicitud],Registro!B156,Ejecucion[Estado],"Finalizado"))</f>
        <v/>
      </c>
      <c r="X156" s="38" t="str">
        <f>IF(B156="","",COUNTIFS(Ejecucion[No. Solicitud],Registro!B156,Ejecucion[Estado],"No Iniciado"))</f>
        <v/>
      </c>
      <c r="Y156" s="64" t="str">
        <f>IF(B156="","",COUNTIFS(Ejecucion[No. Solicitud],Registro!B156,Ejecucion[Estado],"En Proceso"))</f>
        <v/>
      </c>
      <c r="Z156" s="64" t="str">
        <f t="shared" si="7"/>
        <v/>
      </c>
      <c r="AA156" s="64"/>
      <c r="AB156" s="64"/>
      <c r="AC156" s="64"/>
      <c r="AD156" s="102"/>
    </row>
    <row r="157" spans="2:30" s="15" customFormat="1">
      <c r="B157" s="36"/>
      <c r="C157" s="102"/>
      <c r="D157" s="36"/>
      <c r="E157" s="22"/>
      <c r="F157" s="83"/>
      <c r="G157" s="83"/>
      <c r="H157" s="25"/>
      <c r="I157" s="25"/>
      <c r="J157" s="25"/>
      <c r="K157" s="25"/>
      <c r="L157" s="54"/>
      <c r="M157" s="36"/>
      <c r="N157" s="36"/>
      <c r="O157" s="102"/>
      <c r="P157" s="36"/>
      <c r="Q157" s="36"/>
      <c r="R157" s="37"/>
      <c r="S157" s="37"/>
      <c r="T157" s="60" t="str">
        <f t="shared" si="6"/>
        <v/>
      </c>
      <c r="U157" s="38"/>
      <c r="V157" s="38"/>
      <c r="W157" s="38" t="str">
        <f>IF(B157="","",COUNTIFS(Ejecucion[No. Solicitud],Registro!B157,Ejecucion[Estado],"Finalizado"))</f>
        <v/>
      </c>
      <c r="X157" s="38" t="str">
        <f>IF(B157="","",COUNTIFS(Ejecucion[No. Solicitud],Registro!B157,Ejecucion[Estado],"No Iniciado"))</f>
        <v/>
      </c>
      <c r="Y157" s="64" t="str">
        <f>IF(B157="","",COUNTIFS(Ejecucion[No. Solicitud],Registro!B157,Ejecucion[Estado],"En Proceso"))</f>
        <v/>
      </c>
      <c r="Z157" s="64" t="str">
        <f t="shared" si="7"/>
        <v/>
      </c>
      <c r="AA157" s="64"/>
      <c r="AB157" s="64"/>
      <c r="AC157" s="64"/>
      <c r="AD157" s="102"/>
    </row>
    <row r="158" spans="2:30" s="15" customFormat="1">
      <c r="B158" s="36"/>
      <c r="C158" s="102"/>
      <c r="D158" s="36"/>
      <c r="E158" s="22"/>
      <c r="F158" s="83"/>
      <c r="G158" s="83"/>
      <c r="H158" s="25"/>
      <c r="I158" s="25"/>
      <c r="J158" s="25"/>
      <c r="K158" s="25"/>
      <c r="L158" s="54"/>
      <c r="M158" s="36"/>
      <c r="N158" s="36"/>
      <c r="O158" s="102"/>
      <c r="P158" s="36"/>
      <c r="Q158" s="36"/>
      <c r="R158" s="37"/>
      <c r="S158" s="37"/>
      <c r="T158" s="60" t="str">
        <f t="shared" si="6"/>
        <v/>
      </c>
      <c r="U158" s="38"/>
      <c r="V158" s="38"/>
      <c r="W158" s="38" t="str">
        <f>IF(B158="","",COUNTIFS(Ejecucion[No. Solicitud],Registro!B158,Ejecucion[Estado],"Finalizado"))</f>
        <v/>
      </c>
      <c r="X158" s="38" t="str">
        <f>IF(B158="","",COUNTIFS(Ejecucion[No. Solicitud],Registro!B158,Ejecucion[Estado],"No Iniciado"))</f>
        <v/>
      </c>
      <c r="Y158" s="64" t="str">
        <f>IF(B158="","",COUNTIFS(Ejecucion[No. Solicitud],Registro!B158,Ejecucion[Estado],"En Proceso"))</f>
        <v/>
      </c>
      <c r="Z158" s="64" t="str">
        <f t="shared" si="7"/>
        <v/>
      </c>
      <c r="AA158" s="64"/>
      <c r="AB158" s="64"/>
      <c r="AC158" s="64"/>
      <c r="AD158" s="102"/>
    </row>
    <row r="159" spans="2:30" s="15" customFormat="1">
      <c r="B159" s="36"/>
      <c r="C159" s="102"/>
      <c r="D159" s="36"/>
      <c r="E159" s="22"/>
      <c r="F159" s="83"/>
      <c r="G159" s="83"/>
      <c r="H159" s="25"/>
      <c r="I159" s="25"/>
      <c r="J159" s="25"/>
      <c r="K159" s="25"/>
      <c r="L159" s="54"/>
      <c r="M159" s="36"/>
      <c r="N159" s="36"/>
      <c r="O159" s="102"/>
      <c r="P159" s="36"/>
      <c r="Q159" s="36"/>
      <c r="R159" s="37"/>
      <c r="S159" s="37"/>
      <c r="T159" s="60" t="str">
        <f t="shared" si="6"/>
        <v/>
      </c>
      <c r="U159" s="38"/>
      <c r="V159" s="38"/>
      <c r="W159" s="38" t="str">
        <f>IF(B159="","",COUNTIFS(Ejecucion[No. Solicitud],Registro!B159,Ejecucion[Estado],"Finalizado"))</f>
        <v/>
      </c>
      <c r="X159" s="38" t="str">
        <f>IF(B159="","",COUNTIFS(Ejecucion[No. Solicitud],Registro!B159,Ejecucion[Estado],"No Iniciado"))</f>
        <v/>
      </c>
      <c r="Y159" s="64" t="str">
        <f>IF(B159="","",COUNTIFS(Ejecucion[No. Solicitud],Registro!B159,Ejecucion[Estado],"En Proceso"))</f>
        <v/>
      </c>
      <c r="Z159" s="64" t="str">
        <f t="shared" si="7"/>
        <v/>
      </c>
      <c r="AA159" s="64"/>
      <c r="AB159" s="64"/>
      <c r="AC159" s="64"/>
      <c r="AD159" s="102"/>
    </row>
    <row r="160" spans="2:30" s="15" customFormat="1">
      <c r="B160" s="36"/>
      <c r="C160" s="102"/>
      <c r="D160" s="36"/>
      <c r="E160" s="22"/>
      <c r="F160" s="83"/>
      <c r="G160" s="83"/>
      <c r="H160" s="25"/>
      <c r="I160" s="25"/>
      <c r="J160" s="25"/>
      <c r="K160" s="25"/>
      <c r="L160" s="54"/>
      <c r="M160" s="36"/>
      <c r="N160" s="36"/>
      <c r="O160" s="102"/>
      <c r="P160" s="36"/>
      <c r="Q160" s="36"/>
      <c r="R160" s="37"/>
      <c r="S160" s="37"/>
      <c r="T160" s="60" t="str">
        <f t="shared" si="6"/>
        <v/>
      </c>
      <c r="U160" s="38"/>
      <c r="V160" s="38"/>
      <c r="W160" s="38" t="str">
        <f>IF(B160="","",COUNTIFS(Ejecucion[No. Solicitud],Registro!B160,Ejecucion[Estado],"Finalizado"))</f>
        <v/>
      </c>
      <c r="X160" s="38" t="str">
        <f>IF(B160="","",COUNTIFS(Ejecucion[No. Solicitud],Registro!B160,Ejecucion[Estado],"No Iniciado"))</f>
        <v/>
      </c>
      <c r="Y160" s="64" t="str">
        <f>IF(B160="","",COUNTIFS(Ejecucion[No. Solicitud],Registro!B160,Ejecucion[Estado],"En Proceso"))</f>
        <v/>
      </c>
      <c r="Z160" s="64" t="str">
        <f t="shared" si="7"/>
        <v/>
      </c>
      <c r="AA160" s="64"/>
      <c r="AB160" s="64"/>
      <c r="AC160" s="64"/>
      <c r="AD160" s="102"/>
    </row>
    <row r="161" spans="2:30" s="15" customFormat="1">
      <c r="B161" s="82"/>
      <c r="C161" s="129"/>
      <c r="D161" s="36"/>
      <c r="E161" s="22"/>
      <c r="F161" s="83"/>
      <c r="G161" s="83"/>
      <c r="H161" s="25"/>
      <c r="I161" s="25"/>
      <c r="J161" s="25"/>
      <c r="K161" s="25"/>
      <c r="L161" s="85"/>
      <c r="M161" s="36"/>
      <c r="N161" s="36"/>
      <c r="O161" s="102"/>
      <c r="P161" s="36"/>
      <c r="Q161" s="36"/>
      <c r="R161" s="37"/>
      <c r="S161" s="37"/>
      <c r="T161" s="60" t="str">
        <f t="shared" si="6"/>
        <v/>
      </c>
      <c r="U161" s="38"/>
      <c r="V161" s="38"/>
      <c r="W161" s="38" t="str">
        <f>IF(B161="","",COUNTIFS(Ejecucion[No. Solicitud],Registro!B161,Ejecucion[Estado],"Finalizado"))</f>
        <v/>
      </c>
      <c r="X161" s="38" t="str">
        <f>IF(B161="","",COUNTIFS(Ejecucion[No. Solicitud],Registro!B161,Ejecucion[Estado],"No Iniciado"))</f>
        <v/>
      </c>
      <c r="Y161" s="64" t="str">
        <f>IF(B161="","",COUNTIFS(Ejecucion[No. Solicitud],Registro!B161,Ejecucion[Estado],"En Proceso"))</f>
        <v/>
      </c>
      <c r="Z161" s="64" t="str">
        <f t="shared" si="7"/>
        <v/>
      </c>
      <c r="AA161" s="64"/>
      <c r="AB161" s="64"/>
      <c r="AC161" s="64"/>
      <c r="AD161" s="102"/>
    </row>
    <row r="162" spans="2:30" s="15" customFormat="1">
      <c r="B162" s="82"/>
      <c r="C162" s="129"/>
      <c r="D162" s="36"/>
      <c r="E162" s="22"/>
      <c r="F162" s="83"/>
      <c r="G162" s="83"/>
      <c r="H162" s="25"/>
      <c r="I162" s="25"/>
      <c r="J162" s="25"/>
      <c r="K162" s="25"/>
      <c r="L162" s="85"/>
      <c r="M162" s="36"/>
      <c r="N162" s="36"/>
      <c r="O162" s="102"/>
      <c r="P162" s="36"/>
      <c r="Q162" s="36"/>
      <c r="R162" s="37"/>
      <c r="S162" s="37"/>
      <c r="T162" s="60" t="str">
        <f t="shared" si="6"/>
        <v/>
      </c>
      <c r="U162" s="38"/>
      <c r="V162" s="38"/>
      <c r="W162" s="38" t="str">
        <f>IF(B162="","",COUNTIFS(Ejecucion[No. Solicitud],Registro!B162,Ejecucion[Estado],"Finalizado"))</f>
        <v/>
      </c>
      <c r="X162" s="38" t="str">
        <f>IF(B162="","",COUNTIFS(Ejecucion[No. Solicitud],Registro!B162,Ejecucion[Estado],"No Iniciado"))</f>
        <v/>
      </c>
      <c r="Y162" s="64" t="str">
        <f>IF(B162="","",COUNTIFS(Ejecucion[No. Solicitud],Registro!B162,Ejecucion[Estado],"En Proceso"))</f>
        <v/>
      </c>
      <c r="Z162" s="64" t="str">
        <f t="shared" si="7"/>
        <v/>
      </c>
      <c r="AA162" s="64"/>
      <c r="AB162" s="64"/>
      <c r="AC162" s="64"/>
      <c r="AD162" s="102"/>
    </row>
    <row r="163" spans="2:30" s="15" customFormat="1">
      <c r="B163" s="36"/>
      <c r="C163" s="102"/>
      <c r="D163" s="36"/>
      <c r="E163" s="22"/>
      <c r="F163" s="83"/>
      <c r="G163" s="83"/>
      <c r="H163" s="25"/>
      <c r="I163" s="25"/>
      <c r="J163" s="25"/>
      <c r="K163" s="25"/>
      <c r="L163" s="54"/>
      <c r="M163" s="36"/>
      <c r="N163" s="36"/>
      <c r="O163" s="102"/>
      <c r="P163" s="36"/>
      <c r="Q163" s="36"/>
      <c r="R163" s="37"/>
      <c r="S163" s="37"/>
      <c r="T163" s="60" t="str">
        <f t="shared" si="6"/>
        <v/>
      </c>
      <c r="U163" s="38"/>
      <c r="V163" s="38"/>
      <c r="W163" s="38" t="str">
        <f>IF(B163="","",COUNTIFS(Ejecucion[No. Solicitud],Registro!B163,Ejecucion[Estado],"Finalizado"))</f>
        <v/>
      </c>
      <c r="X163" s="38" t="str">
        <f>IF(B163="","",COUNTIFS(Ejecucion[No. Solicitud],Registro!B163,Ejecucion[Estado],"No Iniciado"))</f>
        <v/>
      </c>
      <c r="Y163" s="64" t="str">
        <f>IF(B163="","",COUNTIFS(Ejecucion[No. Solicitud],Registro!B163,Ejecucion[Estado],"En Proceso"))</f>
        <v/>
      </c>
      <c r="Z163" s="64" t="str">
        <f t="shared" si="7"/>
        <v/>
      </c>
      <c r="AA163" s="64"/>
      <c r="AB163" s="64"/>
      <c r="AC163" s="64"/>
      <c r="AD163" s="102"/>
    </row>
    <row r="164" spans="2:30" s="15" customFormat="1">
      <c r="B164" s="82"/>
      <c r="C164" s="129"/>
      <c r="D164" s="18"/>
      <c r="E164" s="22"/>
      <c r="F164" s="83"/>
      <c r="G164" s="83"/>
      <c r="H164" s="25"/>
      <c r="I164" s="25"/>
      <c r="J164" s="25"/>
      <c r="K164" s="25"/>
      <c r="L164" s="54"/>
      <c r="M164" s="18"/>
      <c r="N164" s="18"/>
      <c r="O164" s="25"/>
      <c r="P164" s="18"/>
      <c r="Q164" s="18"/>
      <c r="R164" s="37"/>
      <c r="S164" s="37"/>
      <c r="T164" s="60" t="str">
        <f t="shared" si="6"/>
        <v/>
      </c>
      <c r="U164" s="38"/>
      <c r="V164" s="38"/>
      <c r="W164" s="38" t="str">
        <f>IF(B164="","",COUNTIFS(Ejecucion[No. Solicitud],Registro!B164,Ejecucion[Estado],"Finalizado"))</f>
        <v/>
      </c>
      <c r="X164" s="38" t="str">
        <f>IF(B164="","",COUNTIFS(Ejecucion[No. Solicitud],Registro!B164,Ejecucion[Estado],"No Iniciado"))</f>
        <v/>
      </c>
      <c r="Y164" s="64" t="str">
        <f>IF(B164="","",COUNTIFS(Ejecucion[No. Solicitud],Registro!B164,Ejecucion[Estado],"En Proceso"))</f>
        <v/>
      </c>
      <c r="Z164" s="64" t="str">
        <f t="shared" si="7"/>
        <v/>
      </c>
      <c r="AA164" s="64"/>
      <c r="AB164" s="64"/>
      <c r="AC164" s="64"/>
      <c r="AD164" s="102"/>
    </row>
    <row r="165" spans="2:30" s="15" customFormat="1">
      <c r="B165" s="36"/>
      <c r="C165" s="102"/>
      <c r="D165" s="36"/>
      <c r="E165" s="22"/>
      <c r="F165" s="83"/>
      <c r="G165" s="83"/>
      <c r="H165" s="25"/>
      <c r="I165" s="25"/>
      <c r="J165" s="25"/>
      <c r="K165" s="25"/>
      <c r="L165" s="54"/>
      <c r="M165" s="36"/>
      <c r="N165" s="36"/>
      <c r="O165" s="102"/>
      <c r="P165" s="36"/>
      <c r="Q165" s="36"/>
      <c r="R165" s="37"/>
      <c r="S165" s="37"/>
      <c r="T165" s="60" t="str">
        <f t="shared" si="6"/>
        <v/>
      </c>
      <c r="U165" s="38"/>
      <c r="V165" s="38"/>
      <c r="W165" s="38" t="str">
        <f>IF(B165="","",COUNTIFS(Ejecucion[No. Solicitud],Registro!B165,Ejecucion[Estado],"Finalizado"))</f>
        <v/>
      </c>
      <c r="X165" s="38" t="str">
        <f>IF(B165="","",COUNTIFS(Ejecucion[No. Solicitud],Registro!B165,Ejecucion[Estado],"No Iniciado"))</f>
        <v/>
      </c>
      <c r="Y165" s="64" t="str">
        <f>IF(B165="","",COUNTIFS(Ejecucion[No. Solicitud],Registro!B165,Ejecucion[Estado],"En Proceso"))</f>
        <v/>
      </c>
      <c r="Z165" s="64" t="str">
        <f t="shared" si="7"/>
        <v/>
      </c>
      <c r="AA165" s="64"/>
      <c r="AB165" s="64"/>
      <c r="AC165" s="64"/>
      <c r="AD165" s="102"/>
    </row>
    <row r="166" spans="2:30" s="15" customFormat="1">
      <c r="B166" s="36"/>
      <c r="C166" s="102"/>
      <c r="D166" s="36"/>
      <c r="E166" s="22"/>
      <c r="F166" s="83"/>
      <c r="G166" s="83"/>
      <c r="H166" s="25"/>
      <c r="I166" s="25"/>
      <c r="J166" s="25"/>
      <c r="K166" s="25"/>
      <c r="L166" s="54"/>
      <c r="M166" s="36"/>
      <c r="N166" s="36"/>
      <c r="O166" s="102"/>
      <c r="P166" s="36"/>
      <c r="Q166" s="36"/>
      <c r="R166" s="37"/>
      <c r="S166" s="37"/>
      <c r="T166" s="60" t="str">
        <f t="shared" si="6"/>
        <v/>
      </c>
      <c r="U166" s="38"/>
      <c r="V166" s="38"/>
      <c r="W166" s="38" t="str">
        <f>IF(B166="","",COUNTIFS(Ejecucion[No. Solicitud],Registro!B166,Ejecucion[Estado],"Finalizado"))</f>
        <v/>
      </c>
      <c r="X166" s="38" t="str">
        <f>IF(B166="","",COUNTIFS(Ejecucion[No. Solicitud],Registro!B166,Ejecucion[Estado],"No Iniciado"))</f>
        <v/>
      </c>
      <c r="Y166" s="64" t="str">
        <f>IF(B166="","",COUNTIFS(Ejecucion[No. Solicitud],Registro!B166,Ejecucion[Estado],"En Proceso"))</f>
        <v/>
      </c>
      <c r="Z166" s="64" t="str">
        <f t="shared" si="7"/>
        <v/>
      </c>
      <c r="AA166" s="64"/>
      <c r="AB166" s="64"/>
      <c r="AC166" s="64"/>
      <c r="AD166" s="102"/>
    </row>
    <row r="167" spans="2:30" s="15" customFormat="1">
      <c r="B167" s="36"/>
      <c r="C167" s="102"/>
      <c r="D167" s="36"/>
      <c r="E167" s="22"/>
      <c r="F167" s="83"/>
      <c r="G167" s="83"/>
      <c r="H167" s="25"/>
      <c r="I167" s="25"/>
      <c r="J167" s="25"/>
      <c r="K167" s="25"/>
      <c r="L167" s="54"/>
      <c r="M167" s="36"/>
      <c r="N167" s="36"/>
      <c r="O167" s="102"/>
      <c r="P167" s="36"/>
      <c r="Q167" s="36"/>
      <c r="R167" s="37"/>
      <c r="S167" s="37"/>
      <c r="T167" s="60" t="str">
        <f t="shared" si="6"/>
        <v/>
      </c>
      <c r="U167" s="38"/>
      <c r="V167" s="38"/>
      <c r="W167" s="38" t="str">
        <f>IF(B167="","",COUNTIFS(Ejecucion[No. Solicitud],Registro!B167,Ejecucion[Estado],"Finalizado"))</f>
        <v/>
      </c>
      <c r="X167" s="38" t="str">
        <f>IF(B167="","",COUNTIFS(Ejecucion[No. Solicitud],Registro!B167,Ejecucion[Estado],"No Iniciado"))</f>
        <v/>
      </c>
      <c r="Y167" s="64" t="str">
        <f>IF(B167="","",COUNTIFS(Ejecucion[No. Solicitud],Registro!B167,Ejecucion[Estado],"En Proceso"))</f>
        <v/>
      </c>
      <c r="Z167" s="64" t="str">
        <f t="shared" si="7"/>
        <v/>
      </c>
      <c r="AA167" s="64"/>
      <c r="AB167" s="64"/>
      <c r="AC167" s="64"/>
      <c r="AD167" s="102"/>
    </row>
    <row r="168" spans="2:30" s="15" customFormat="1">
      <c r="B168" s="36"/>
      <c r="C168" s="102"/>
      <c r="D168" s="36"/>
      <c r="E168" s="22"/>
      <c r="F168" s="83"/>
      <c r="G168" s="83"/>
      <c r="H168" s="25"/>
      <c r="I168" s="25"/>
      <c r="J168" s="25"/>
      <c r="K168" s="25"/>
      <c r="L168" s="54"/>
      <c r="M168" s="36"/>
      <c r="N168" s="36"/>
      <c r="O168" s="102"/>
      <c r="P168" s="36"/>
      <c r="Q168" s="36"/>
      <c r="R168" s="37"/>
      <c r="S168" s="37"/>
      <c r="T168" s="60" t="str">
        <f t="shared" si="6"/>
        <v/>
      </c>
      <c r="U168" s="38"/>
      <c r="V168" s="38"/>
      <c r="W168" s="38" t="str">
        <f>IF(B168="","",COUNTIFS(Ejecucion[No. Solicitud],Registro!B168,Ejecucion[Estado],"Finalizado"))</f>
        <v/>
      </c>
      <c r="X168" s="38" t="str">
        <f>IF(B168="","",COUNTIFS(Ejecucion[No. Solicitud],Registro!B168,Ejecucion[Estado],"No Iniciado"))</f>
        <v/>
      </c>
      <c r="Y168" s="64" t="str">
        <f>IF(B168="","",COUNTIFS(Ejecucion[No. Solicitud],Registro!B168,Ejecucion[Estado],"En Proceso"))</f>
        <v/>
      </c>
      <c r="Z168" s="64" t="str">
        <f t="shared" si="7"/>
        <v/>
      </c>
      <c r="AA168" s="64"/>
      <c r="AB168" s="64"/>
      <c r="AC168" s="64"/>
      <c r="AD168" s="102"/>
    </row>
    <row r="169" spans="2:30" s="15" customFormat="1">
      <c r="B169" s="36"/>
      <c r="C169" s="102"/>
      <c r="D169" s="36"/>
      <c r="E169" s="22"/>
      <c r="F169" s="83"/>
      <c r="G169" s="83"/>
      <c r="H169" s="25"/>
      <c r="I169" s="25"/>
      <c r="J169" s="25"/>
      <c r="K169" s="25"/>
      <c r="L169" s="54"/>
      <c r="M169" s="36"/>
      <c r="N169" s="36"/>
      <c r="O169" s="102"/>
      <c r="P169" s="36"/>
      <c r="Q169" s="36"/>
      <c r="R169" s="37"/>
      <c r="S169" s="37"/>
      <c r="T169" s="60" t="str">
        <f t="shared" si="6"/>
        <v/>
      </c>
      <c r="U169" s="38"/>
      <c r="V169" s="38"/>
      <c r="W169" s="38" t="str">
        <f>IF(B169="","",COUNTIFS(Ejecucion[No. Solicitud],Registro!B169,Ejecucion[Estado],"Finalizado"))</f>
        <v/>
      </c>
      <c r="X169" s="38" t="str">
        <f>IF(B169="","",COUNTIFS(Ejecucion[No. Solicitud],Registro!B169,Ejecucion[Estado],"No Iniciado"))</f>
        <v/>
      </c>
      <c r="Y169" s="64" t="str">
        <f>IF(B169="","",COUNTIFS(Ejecucion[No. Solicitud],Registro!B169,Ejecucion[Estado],"En Proceso"))</f>
        <v/>
      </c>
      <c r="Z169" s="64" t="str">
        <f t="shared" si="7"/>
        <v/>
      </c>
      <c r="AA169" s="64"/>
      <c r="AB169" s="64"/>
      <c r="AC169" s="64"/>
      <c r="AD169" s="102"/>
    </row>
    <row r="170" spans="2:30" s="15" customFormat="1">
      <c r="B170" s="36"/>
      <c r="C170" s="102"/>
      <c r="D170" s="36"/>
      <c r="E170" s="22"/>
      <c r="F170" s="83"/>
      <c r="G170" s="83"/>
      <c r="H170" s="25"/>
      <c r="I170" s="25"/>
      <c r="J170" s="25"/>
      <c r="K170" s="25"/>
      <c r="L170" s="54"/>
      <c r="M170" s="36"/>
      <c r="N170" s="36"/>
      <c r="O170" s="102"/>
      <c r="P170" s="36"/>
      <c r="Q170" s="36"/>
      <c r="R170" s="37"/>
      <c r="S170" s="37"/>
      <c r="T170" s="60" t="str">
        <f t="shared" si="6"/>
        <v/>
      </c>
      <c r="U170" s="38"/>
      <c r="V170" s="38"/>
      <c r="W170" s="38" t="str">
        <f>IF(B170="","",COUNTIFS(Ejecucion[No. Solicitud],Registro!B170,Ejecucion[Estado],"Finalizado"))</f>
        <v/>
      </c>
      <c r="X170" s="38" t="str">
        <f>IF(B170="","",COUNTIFS(Ejecucion[No. Solicitud],Registro!B170,Ejecucion[Estado],"No Iniciado"))</f>
        <v/>
      </c>
      <c r="Y170" s="64" t="str">
        <f>IF(B170="","",COUNTIFS(Ejecucion[No. Solicitud],Registro!B170,Ejecucion[Estado],"En Proceso"))</f>
        <v/>
      </c>
      <c r="Z170" s="64" t="str">
        <f t="shared" si="7"/>
        <v/>
      </c>
      <c r="AA170" s="64"/>
      <c r="AB170" s="64"/>
      <c r="AC170" s="64"/>
      <c r="AD170" s="102"/>
    </row>
    <row r="171" spans="2:30" s="15" customFormat="1">
      <c r="B171" s="36"/>
      <c r="C171" s="102"/>
      <c r="D171" s="36"/>
      <c r="E171" s="22"/>
      <c r="F171" s="83"/>
      <c r="G171" s="83"/>
      <c r="H171" s="25"/>
      <c r="I171" s="25"/>
      <c r="J171" s="25"/>
      <c r="K171" s="25"/>
      <c r="L171" s="54"/>
      <c r="M171" s="36"/>
      <c r="N171" s="36"/>
      <c r="O171" s="102"/>
      <c r="P171" s="36"/>
      <c r="Q171" s="36"/>
      <c r="R171" s="37"/>
      <c r="S171" s="37"/>
      <c r="T171" s="60" t="str">
        <f t="shared" si="6"/>
        <v/>
      </c>
      <c r="U171" s="38"/>
      <c r="V171" s="38"/>
      <c r="W171" s="38" t="str">
        <f>IF(B171="","",COUNTIFS(Ejecucion[No. Solicitud],Registro!B171,Ejecucion[Estado],"Finalizado"))</f>
        <v/>
      </c>
      <c r="X171" s="38" t="str">
        <f>IF(B171="","",COUNTIFS(Ejecucion[No. Solicitud],Registro!B171,Ejecucion[Estado],"No Iniciado"))</f>
        <v/>
      </c>
      <c r="Y171" s="64" t="str">
        <f>IF(B171="","",COUNTIFS(Ejecucion[No. Solicitud],Registro!B171,Ejecucion[Estado],"En Proceso"))</f>
        <v/>
      </c>
      <c r="Z171" s="64" t="str">
        <f t="shared" si="7"/>
        <v/>
      </c>
      <c r="AA171" s="64"/>
      <c r="AB171" s="64"/>
      <c r="AC171" s="64"/>
      <c r="AD171" s="102"/>
    </row>
    <row r="172" spans="2:30" s="15" customFormat="1">
      <c r="B172" s="82"/>
      <c r="C172" s="129"/>
      <c r="D172" s="36"/>
      <c r="E172" s="22"/>
      <c r="F172" s="83"/>
      <c r="G172" s="83"/>
      <c r="H172" s="25"/>
      <c r="I172" s="25"/>
      <c r="J172" s="25"/>
      <c r="K172" s="25"/>
      <c r="L172" s="54"/>
      <c r="M172" s="36"/>
      <c r="N172" s="36"/>
      <c r="O172" s="102"/>
      <c r="P172" s="36"/>
      <c r="Q172" s="36"/>
      <c r="R172" s="37"/>
      <c r="S172" s="37"/>
      <c r="T172" s="60" t="str">
        <f t="shared" si="6"/>
        <v/>
      </c>
      <c r="U172" s="38"/>
      <c r="V172" s="38"/>
      <c r="W172" s="38" t="str">
        <f>IF(B172="","",COUNTIFS(Ejecucion[No. Solicitud],Registro!B172,Ejecucion[Estado],"Finalizado"))</f>
        <v/>
      </c>
      <c r="X172" s="38" t="str">
        <f>IF(B172="","",COUNTIFS(Ejecucion[No. Solicitud],Registro!B172,Ejecucion[Estado],"No Iniciado"))</f>
        <v/>
      </c>
      <c r="Y172" s="64" t="str">
        <f>IF(B172="","",COUNTIFS(Ejecucion[No. Solicitud],Registro!B172,Ejecucion[Estado],"En Proceso"))</f>
        <v/>
      </c>
      <c r="Z172" s="64" t="str">
        <f t="shared" si="7"/>
        <v/>
      </c>
      <c r="AA172" s="64"/>
      <c r="AB172" s="64"/>
      <c r="AC172" s="64"/>
      <c r="AD172" s="102"/>
    </row>
    <row r="173" spans="2:30" s="15" customFormat="1">
      <c r="B173" s="36"/>
      <c r="C173" s="102"/>
      <c r="D173" s="36"/>
      <c r="E173" s="22"/>
      <c r="F173" s="83"/>
      <c r="G173" s="83"/>
      <c r="H173" s="25"/>
      <c r="I173" s="25"/>
      <c r="J173" s="25"/>
      <c r="K173" s="25"/>
      <c r="L173" s="54"/>
      <c r="M173" s="36"/>
      <c r="N173" s="36"/>
      <c r="O173" s="102"/>
      <c r="P173" s="36"/>
      <c r="Q173" s="36"/>
      <c r="R173" s="37"/>
      <c r="S173" s="37"/>
      <c r="T173" s="60" t="str">
        <f t="shared" si="6"/>
        <v/>
      </c>
      <c r="U173" s="38"/>
      <c r="V173" s="38"/>
      <c r="W173" s="38" t="str">
        <f>IF(B173="","",COUNTIFS(Ejecucion[No. Solicitud],Registro!B173,Ejecucion[Estado],"Finalizado"))</f>
        <v/>
      </c>
      <c r="X173" s="38" t="str">
        <f>IF(B173="","",COUNTIFS(Ejecucion[No. Solicitud],Registro!B173,Ejecucion[Estado],"No Iniciado"))</f>
        <v/>
      </c>
      <c r="Y173" s="64" t="str">
        <f>IF(B173="","",COUNTIFS(Ejecucion[No. Solicitud],Registro!B173,Ejecucion[Estado],"En Proceso"))</f>
        <v/>
      </c>
      <c r="Z173" s="64" t="str">
        <f t="shared" si="7"/>
        <v/>
      </c>
      <c r="AA173" s="64"/>
      <c r="AB173" s="64"/>
      <c r="AC173" s="64"/>
      <c r="AD173" s="102"/>
    </row>
    <row r="174" spans="2:30" s="15" customFormat="1">
      <c r="B174" s="36"/>
      <c r="C174" s="102"/>
      <c r="D174" s="36"/>
      <c r="E174" s="22"/>
      <c r="F174" s="83"/>
      <c r="G174" s="83"/>
      <c r="H174" s="25"/>
      <c r="I174" s="25"/>
      <c r="J174" s="25"/>
      <c r="K174" s="25"/>
      <c r="L174" s="54"/>
      <c r="M174" s="18"/>
      <c r="N174" s="18"/>
      <c r="O174" s="25"/>
      <c r="P174" s="18"/>
      <c r="Q174" s="18"/>
      <c r="R174" s="37"/>
      <c r="S174" s="37"/>
      <c r="T174" s="60" t="str">
        <f t="shared" si="6"/>
        <v/>
      </c>
      <c r="U174" s="38"/>
      <c r="V174" s="38"/>
      <c r="W174" s="38" t="str">
        <f>IF(B174="","",COUNTIFS(Ejecucion[No. Solicitud],Registro!B174,Ejecucion[Estado],"Finalizado"))</f>
        <v/>
      </c>
      <c r="X174" s="38" t="str">
        <f>IF(B174="","",COUNTIFS(Ejecucion[No. Solicitud],Registro!B174,Ejecucion[Estado],"No Iniciado"))</f>
        <v/>
      </c>
      <c r="Y174" s="64" t="str">
        <f>IF(B174="","",COUNTIFS(Ejecucion[No. Solicitud],Registro!B174,Ejecucion[Estado],"En Proceso"))</f>
        <v/>
      </c>
      <c r="Z174" s="64" t="str">
        <f t="shared" si="7"/>
        <v/>
      </c>
      <c r="AA174" s="64"/>
      <c r="AB174" s="64"/>
      <c r="AC174" s="64"/>
      <c r="AD174" s="102"/>
    </row>
    <row r="175" spans="2:30" s="15" customFormat="1">
      <c r="B175" s="36"/>
      <c r="C175" s="102"/>
      <c r="D175" s="18"/>
      <c r="E175" s="22"/>
      <c r="F175" s="83"/>
      <c r="G175" s="83"/>
      <c r="H175" s="25"/>
      <c r="I175" s="25"/>
      <c r="J175" s="25"/>
      <c r="K175" s="25"/>
      <c r="L175" s="54"/>
      <c r="M175" s="18"/>
      <c r="N175" s="18"/>
      <c r="O175" s="25"/>
      <c r="P175" s="18"/>
      <c r="Q175" s="18"/>
      <c r="R175" s="37"/>
      <c r="S175" s="37"/>
      <c r="T175" s="60" t="str">
        <f t="shared" si="6"/>
        <v/>
      </c>
      <c r="U175" s="38"/>
      <c r="V175" s="38"/>
      <c r="W175" s="38" t="str">
        <f>IF(B175="","",COUNTIFS(Ejecucion[No. Solicitud],Registro!B175,Ejecucion[Estado],"Finalizado"))</f>
        <v/>
      </c>
      <c r="X175" s="38" t="str">
        <f>IF(B175="","",COUNTIFS(Ejecucion[No. Solicitud],Registro!B175,Ejecucion[Estado],"No Iniciado"))</f>
        <v/>
      </c>
      <c r="Y175" s="64" t="str">
        <f>IF(B175="","",COUNTIFS(Ejecucion[No. Solicitud],Registro!B175,Ejecucion[Estado],"En Proceso"))</f>
        <v/>
      </c>
      <c r="Z175" s="64" t="str">
        <f t="shared" si="7"/>
        <v/>
      </c>
      <c r="AA175" s="64"/>
      <c r="AB175" s="64"/>
      <c r="AC175" s="64"/>
      <c r="AD175" s="102"/>
    </row>
    <row r="176" spans="2:30" s="15" customFormat="1">
      <c r="B176" s="18"/>
      <c r="C176" s="25"/>
      <c r="D176" s="18"/>
      <c r="E176" s="22"/>
      <c r="F176" s="83"/>
      <c r="G176" s="83"/>
      <c r="H176" s="25"/>
      <c r="I176" s="25"/>
      <c r="J176" s="25"/>
      <c r="K176" s="25"/>
      <c r="L176" s="54"/>
      <c r="M176" s="18"/>
      <c r="N176" s="18"/>
      <c r="O176" s="25"/>
      <c r="P176" s="18"/>
      <c r="Q176" s="18"/>
      <c r="R176" s="37"/>
      <c r="S176" s="37"/>
      <c r="T176" s="60" t="str">
        <f t="shared" si="6"/>
        <v/>
      </c>
      <c r="U176" s="38"/>
      <c r="V176" s="38"/>
      <c r="W176" s="38" t="str">
        <f>IF(B176="","",COUNTIFS(Ejecucion[No. Solicitud],Registro!B176,Ejecucion[Estado],"Finalizado"))</f>
        <v/>
      </c>
      <c r="X176" s="38" t="str">
        <f>IF(B176="","",COUNTIFS(Ejecucion[No. Solicitud],Registro!B176,Ejecucion[Estado],"No Iniciado"))</f>
        <v/>
      </c>
      <c r="Y176" s="64" t="str">
        <f>IF(B176="","",COUNTIFS(Ejecucion[No. Solicitud],Registro!B176,Ejecucion[Estado],"En Proceso"))</f>
        <v/>
      </c>
      <c r="Z176" s="64" t="str">
        <f t="shared" si="7"/>
        <v/>
      </c>
      <c r="AA176" s="64"/>
      <c r="AB176" s="64"/>
      <c r="AC176" s="64"/>
      <c r="AD176" s="102"/>
    </row>
    <row r="177" spans="2:30" s="15" customFormat="1">
      <c r="B177" s="18"/>
      <c r="C177" s="25"/>
      <c r="D177" s="36"/>
      <c r="E177" s="22"/>
      <c r="F177" s="83"/>
      <c r="G177" s="83"/>
      <c r="H177" s="25"/>
      <c r="I177" s="25"/>
      <c r="J177" s="25"/>
      <c r="K177" s="25"/>
      <c r="L177" s="54"/>
      <c r="M177" s="18"/>
      <c r="N177" s="18"/>
      <c r="O177" s="25"/>
      <c r="P177" s="18"/>
      <c r="Q177" s="18"/>
      <c r="R177" s="37"/>
      <c r="S177" s="37"/>
      <c r="T177" s="60" t="str">
        <f t="shared" si="6"/>
        <v/>
      </c>
      <c r="U177" s="38"/>
      <c r="V177" s="38"/>
      <c r="W177" s="38" t="str">
        <f>IF(B177="","",COUNTIFS(Ejecucion[No. Solicitud],Registro!B177,Ejecucion[Estado],"Finalizado"))</f>
        <v/>
      </c>
      <c r="X177" s="38" t="str">
        <f>IF(B177="","",COUNTIFS(Ejecucion[No. Solicitud],Registro!B177,Ejecucion[Estado],"No Iniciado"))</f>
        <v/>
      </c>
      <c r="Y177" s="64" t="str">
        <f>IF(B177="","",COUNTIFS(Ejecucion[No. Solicitud],Registro!B177,Ejecucion[Estado],"En Proceso"))</f>
        <v/>
      </c>
      <c r="Z177" s="64" t="str">
        <f t="shared" si="7"/>
        <v/>
      </c>
      <c r="AA177" s="64"/>
      <c r="AB177" s="64"/>
      <c r="AC177" s="64"/>
      <c r="AD177" s="102"/>
    </row>
    <row r="178" spans="2:30" s="15" customFormat="1">
      <c r="B178" s="18"/>
      <c r="C178" s="25"/>
      <c r="D178" s="36"/>
      <c r="E178" s="22"/>
      <c r="F178" s="83"/>
      <c r="G178" s="83"/>
      <c r="H178" s="25"/>
      <c r="I178" s="25"/>
      <c r="J178" s="25"/>
      <c r="K178" s="25"/>
      <c r="L178" s="54"/>
      <c r="M178" s="18"/>
      <c r="N178" s="18"/>
      <c r="O178" s="25"/>
      <c r="P178" s="18"/>
      <c r="Q178" s="18"/>
      <c r="R178" s="37"/>
      <c r="S178" s="37"/>
      <c r="T178" s="60" t="str">
        <f t="shared" si="6"/>
        <v/>
      </c>
      <c r="U178" s="38"/>
      <c r="V178" s="38"/>
      <c r="W178" s="38" t="str">
        <f>IF(B178="","",COUNTIFS(Ejecucion[No. Solicitud],Registro!B178,Ejecucion[Estado],"Finalizado"))</f>
        <v/>
      </c>
      <c r="X178" s="38" t="str">
        <f>IF(B178="","",COUNTIFS(Ejecucion[No. Solicitud],Registro!B178,Ejecucion[Estado],"No Iniciado"))</f>
        <v/>
      </c>
      <c r="Y178" s="64" t="str">
        <f>IF(B178="","",COUNTIFS(Ejecucion[No. Solicitud],Registro!B178,Ejecucion[Estado],"En Proceso"))</f>
        <v/>
      </c>
      <c r="Z178" s="64" t="str">
        <f t="shared" si="7"/>
        <v/>
      </c>
      <c r="AA178" s="64"/>
      <c r="AB178" s="64"/>
      <c r="AC178" s="64"/>
      <c r="AD178" s="102"/>
    </row>
    <row r="179" spans="2:30" s="15" customFormat="1">
      <c r="B179" s="18"/>
      <c r="C179" s="25"/>
      <c r="D179" s="36"/>
      <c r="E179" s="22"/>
      <c r="F179" s="83"/>
      <c r="G179" s="83"/>
      <c r="H179" s="25"/>
      <c r="I179" s="25"/>
      <c r="J179" s="25"/>
      <c r="K179" s="25"/>
      <c r="L179" s="54"/>
      <c r="M179" s="18"/>
      <c r="N179" s="18"/>
      <c r="O179" s="25"/>
      <c r="P179" s="18"/>
      <c r="Q179" s="18"/>
      <c r="R179" s="37"/>
      <c r="S179" s="37"/>
      <c r="T179" s="60" t="str">
        <f t="shared" si="6"/>
        <v/>
      </c>
      <c r="U179" s="38"/>
      <c r="V179" s="38"/>
      <c r="W179" s="38" t="str">
        <f>IF(B179="","",COUNTIFS(Ejecucion[No. Solicitud],Registro!B179,Ejecucion[Estado],"Finalizado"))</f>
        <v/>
      </c>
      <c r="X179" s="38" t="str">
        <f>IF(B179="","",COUNTIFS(Ejecucion[No. Solicitud],Registro!B179,Ejecucion[Estado],"No Iniciado"))</f>
        <v/>
      </c>
      <c r="Y179" s="64" t="str">
        <f>IF(B179="","",COUNTIFS(Ejecucion[No. Solicitud],Registro!B179,Ejecucion[Estado],"En Proceso"))</f>
        <v/>
      </c>
      <c r="Z179" s="64" t="str">
        <f t="shared" si="7"/>
        <v/>
      </c>
      <c r="AA179" s="64"/>
      <c r="AB179" s="64"/>
      <c r="AC179" s="64"/>
      <c r="AD179" s="102"/>
    </row>
    <row r="180" spans="2:30" s="15" customFormat="1">
      <c r="B180" s="18"/>
      <c r="C180" s="25"/>
      <c r="D180" s="36"/>
      <c r="E180" s="22"/>
      <c r="F180" s="83"/>
      <c r="G180" s="83"/>
      <c r="H180" s="25"/>
      <c r="I180" s="25"/>
      <c r="J180" s="25"/>
      <c r="K180" s="25"/>
      <c r="L180" s="54"/>
      <c r="M180" s="36"/>
      <c r="N180" s="36"/>
      <c r="O180" s="102"/>
      <c r="P180" s="36"/>
      <c r="Q180" s="36"/>
      <c r="R180" s="37"/>
      <c r="S180" s="37"/>
      <c r="T180" s="60" t="str">
        <f t="shared" si="6"/>
        <v/>
      </c>
      <c r="U180" s="38"/>
      <c r="V180" s="38"/>
      <c r="W180" s="38" t="str">
        <f>IF(B180="","",COUNTIFS(Ejecucion[No. Solicitud],Registro!B180,Ejecucion[Estado],"Finalizado"))</f>
        <v/>
      </c>
      <c r="X180" s="38" t="str">
        <f>IF(B180="","",COUNTIFS(Ejecucion[No. Solicitud],Registro!B180,Ejecucion[Estado],"No Iniciado"))</f>
        <v/>
      </c>
      <c r="Y180" s="64" t="str">
        <f>IF(B180="","",COUNTIFS(Ejecucion[No. Solicitud],Registro!B180,Ejecucion[Estado],"En Proceso"))</f>
        <v/>
      </c>
      <c r="Z180" s="64" t="str">
        <f t="shared" si="7"/>
        <v/>
      </c>
      <c r="AA180" s="64"/>
      <c r="AB180" s="64"/>
      <c r="AC180" s="64"/>
      <c r="AD180" s="102"/>
    </row>
    <row r="181" spans="2:30" s="15" customFormat="1">
      <c r="B181" s="36"/>
      <c r="C181" s="102"/>
      <c r="D181" s="36"/>
      <c r="E181" s="22"/>
      <c r="F181" s="83"/>
      <c r="G181" s="83"/>
      <c r="H181" s="25"/>
      <c r="I181" s="25"/>
      <c r="J181" s="25"/>
      <c r="K181" s="25"/>
      <c r="L181" s="54"/>
      <c r="M181" s="36"/>
      <c r="N181" s="36"/>
      <c r="O181" s="102"/>
      <c r="P181" s="36"/>
      <c r="Q181" s="36"/>
      <c r="R181" s="37"/>
      <c r="S181" s="37"/>
      <c r="T181" s="60" t="str">
        <f t="shared" si="6"/>
        <v/>
      </c>
      <c r="U181" s="38"/>
      <c r="V181" s="38"/>
      <c r="W181" s="38" t="str">
        <f>IF(B181="","",COUNTIFS(Ejecucion[No. Solicitud],Registro!B181,Ejecucion[Estado],"Finalizado"))</f>
        <v/>
      </c>
      <c r="X181" s="38" t="str">
        <f>IF(B181="","",COUNTIFS(Ejecucion[No. Solicitud],Registro!B181,Ejecucion[Estado],"No Iniciado"))</f>
        <v/>
      </c>
      <c r="Y181" s="64" t="str">
        <f>IF(B181="","",COUNTIFS(Ejecucion[No. Solicitud],Registro!B181,Ejecucion[Estado],"En Proceso"))</f>
        <v/>
      </c>
      <c r="Z181" s="64" t="str">
        <f t="shared" si="7"/>
        <v/>
      </c>
      <c r="AA181" s="64"/>
      <c r="AB181" s="64"/>
      <c r="AC181" s="64"/>
      <c r="AD181" s="102"/>
    </row>
    <row r="182" spans="2:30" s="15" customFormat="1">
      <c r="B182" s="36"/>
      <c r="C182" s="102"/>
      <c r="D182" s="36"/>
      <c r="E182" s="22"/>
      <c r="F182" s="83"/>
      <c r="G182" s="83"/>
      <c r="H182" s="25"/>
      <c r="I182" s="25"/>
      <c r="J182" s="25"/>
      <c r="K182" s="25"/>
      <c r="L182" s="54"/>
      <c r="M182" s="36"/>
      <c r="N182" s="36"/>
      <c r="O182" s="102"/>
      <c r="P182" s="36"/>
      <c r="Q182" s="36"/>
      <c r="R182" s="37"/>
      <c r="S182" s="37"/>
      <c r="T182" s="60" t="str">
        <f t="shared" si="6"/>
        <v/>
      </c>
      <c r="U182" s="38"/>
      <c r="V182" s="38"/>
      <c r="W182" s="38" t="str">
        <f>IF(B182="","",COUNTIFS(Ejecucion[No. Solicitud],Registro!B182,Ejecucion[Estado],"Finalizado"))</f>
        <v/>
      </c>
      <c r="X182" s="38" t="str">
        <f>IF(B182="","",COUNTIFS(Ejecucion[No. Solicitud],Registro!B182,Ejecucion[Estado],"No Iniciado"))</f>
        <v/>
      </c>
      <c r="Y182" s="64" t="str">
        <f>IF(B182="","",COUNTIFS(Ejecucion[No. Solicitud],Registro!B182,Ejecucion[Estado],"En Proceso"))</f>
        <v/>
      </c>
      <c r="Z182" s="64" t="str">
        <f t="shared" si="7"/>
        <v/>
      </c>
      <c r="AA182" s="64"/>
      <c r="AB182" s="64"/>
      <c r="AC182" s="64"/>
      <c r="AD182" s="102"/>
    </row>
    <row r="183" spans="2:30" s="15" customFormat="1">
      <c r="B183" s="36"/>
      <c r="C183" s="102"/>
      <c r="D183" s="36"/>
      <c r="E183" s="22"/>
      <c r="F183" s="83"/>
      <c r="G183" s="83"/>
      <c r="H183" s="25"/>
      <c r="I183" s="25"/>
      <c r="J183" s="25"/>
      <c r="K183" s="25"/>
      <c r="L183" s="54"/>
      <c r="M183" s="36"/>
      <c r="N183" s="36"/>
      <c r="O183" s="102"/>
      <c r="P183" s="36"/>
      <c r="Q183" s="36"/>
      <c r="R183" s="37"/>
      <c r="S183" s="37"/>
      <c r="T183" s="60" t="str">
        <f t="shared" si="6"/>
        <v/>
      </c>
      <c r="U183" s="38"/>
      <c r="V183" s="38"/>
      <c r="W183" s="38" t="str">
        <f>IF(B183="","",COUNTIFS(Ejecucion[No. Solicitud],Registro!B183,Ejecucion[Estado],"Finalizado"))</f>
        <v/>
      </c>
      <c r="X183" s="38" t="str">
        <f>IF(B183="","",COUNTIFS(Ejecucion[No. Solicitud],Registro!B183,Ejecucion[Estado],"No Iniciado"))</f>
        <v/>
      </c>
      <c r="Y183" s="64" t="str">
        <f>IF(B183="","",COUNTIFS(Ejecucion[No. Solicitud],Registro!B183,Ejecucion[Estado],"En Proceso"))</f>
        <v/>
      </c>
      <c r="Z183" s="64" t="str">
        <f t="shared" si="7"/>
        <v/>
      </c>
      <c r="AA183" s="64"/>
      <c r="AB183" s="64"/>
      <c r="AC183" s="64"/>
      <c r="AD183" s="102"/>
    </row>
    <row r="184" spans="2:30" s="15" customFormat="1">
      <c r="B184" s="36"/>
      <c r="C184" s="102"/>
      <c r="D184" s="36"/>
      <c r="E184" s="22"/>
      <c r="F184" s="83"/>
      <c r="G184" s="83"/>
      <c r="H184" s="25"/>
      <c r="I184" s="25"/>
      <c r="J184" s="25"/>
      <c r="K184" s="25"/>
      <c r="L184" s="54"/>
      <c r="M184" s="36"/>
      <c r="N184" s="36"/>
      <c r="O184" s="102"/>
      <c r="P184" s="36"/>
      <c r="Q184" s="36"/>
      <c r="R184" s="37"/>
      <c r="S184" s="37"/>
      <c r="T184" s="60" t="str">
        <f t="shared" si="6"/>
        <v/>
      </c>
      <c r="U184" s="38"/>
      <c r="V184" s="38"/>
      <c r="W184" s="38" t="str">
        <f>IF(B184="","",COUNTIFS(Ejecucion[No. Solicitud],Registro!B184,Ejecucion[Estado],"Finalizado"))</f>
        <v/>
      </c>
      <c r="X184" s="38" t="str">
        <f>IF(B184="","",COUNTIFS(Ejecucion[No. Solicitud],Registro!B184,Ejecucion[Estado],"No Iniciado"))</f>
        <v/>
      </c>
      <c r="Y184" s="64" t="str">
        <f>IF(B184="","",COUNTIFS(Ejecucion[No. Solicitud],Registro!B184,Ejecucion[Estado],"En Proceso"))</f>
        <v/>
      </c>
      <c r="Z184" s="64" t="str">
        <f t="shared" si="7"/>
        <v/>
      </c>
      <c r="AA184" s="64"/>
      <c r="AB184" s="64"/>
      <c r="AC184" s="64"/>
      <c r="AD184" s="102"/>
    </row>
    <row r="185" spans="2:30" s="15" customFormat="1">
      <c r="B185" s="36"/>
      <c r="C185" s="102"/>
      <c r="D185" s="36"/>
      <c r="E185" s="22"/>
      <c r="F185" s="83"/>
      <c r="G185" s="83"/>
      <c r="H185" s="25"/>
      <c r="I185" s="25"/>
      <c r="J185" s="25"/>
      <c r="K185" s="25"/>
      <c r="L185" s="54"/>
      <c r="M185" s="36"/>
      <c r="N185" s="36"/>
      <c r="O185" s="102"/>
      <c r="P185" s="36"/>
      <c r="Q185" s="36"/>
      <c r="R185" s="57"/>
      <c r="S185" s="57"/>
      <c r="T185" s="60" t="str">
        <f t="shared" si="6"/>
        <v/>
      </c>
      <c r="U185" s="38"/>
      <c r="V185" s="38"/>
      <c r="W185" s="38" t="str">
        <f>IF(B185="","",COUNTIFS(Ejecucion[No. Solicitud],Registro!B185,Ejecucion[Estado],"Finalizado"))</f>
        <v/>
      </c>
      <c r="X185" s="38" t="str">
        <f>IF(B185="","",COUNTIFS(Ejecucion[No. Solicitud],Registro!B185,Ejecucion[Estado],"No Iniciado"))</f>
        <v/>
      </c>
      <c r="Y185" s="64" t="str">
        <f>IF(B185="","",COUNTIFS(Ejecucion[No. Solicitud],Registro!B185,Ejecucion[Estado],"En Proceso"))</f>
        <v/>
      </c>
      <c r="Z185" s="64" t="str">
        <f t="shared" si="7"/>
        <v/>
      </c>
      <c r="AA185" s="64"/>
      <c r="AB185" s="64"/>
      <c r="AC185" s="64"/>
      <c r="AD185" s="102"/>
    </row>
    <row r="186" spans="2:30" s="15" customFormat="1">
      <c r="B186" s="36"/>
      <c r="C186" s="102"/>
      <c r="D186" s="36"/>
      <c r="E186" s="22"/>
      <c r="F186" s="83"/>
      <c r="G186" s="83"/>
      <c r="H186" s="25"/>
      <c r="I186" s="25"/>
      <c r="J186" s="25"/>
      <c r="K186" s="25"/>
      <c r="L186" s="54"/>
      <c r="M186" s="36"/>
      <c r="N186" s="36"/>
      <c r="O186" s="102"/>
      <c r="P186" s="36"/>
      <c r="Q186" s="36"/>
      <c r="R186" s="57"/>
      <c r="S186" s="57"/>
      <c r="T186" s="60" t="str">
        <f t="shared" si="6"/>
        <v/>
      </c>
      <c r="U186" s="38"/>
      <c r="V186" s="38"/>
      <c r="W186" s="38" t="str">
        <f>IF(B186="","",COUNTIFS(Ejecucion[No. Solicitud],Registro!B186,Ejecucion[Estado],"Finalizado"))</f>
        <v/>
      </c>
      <c r="X186" s="38" t="str">
        <f>IF(B186="","",COUNTIFS(Ejecucion[No. Solicitud],Registro!B186,Ejecucion[Estado],"No Iniciado"))</f>
        <v/>
      </c>
      <c r="Y186" s="64" t="str">
        <f>IF(B186="","",COUNTIFS(Ejecucion[No. Solicitud],Registro!B186,Ejecucion[Estado],"En Proceso"))</f>
        <v/>
      </c>
      <c r="Z186" s="64" t="str">
        <f t="shared" si="7"/>
        <v/>
      </c>
      <c r="AA186" s="64"/>
      <c r="AB186" s="64"/>
      <c r="AC186" s="64"/>
      <c r="AD186" s="102"/>
    </row>
    <row r="187" spans="2:30" s="15" customFormat="1">
      <c r="B187" s="36"/>
      <c r="C187" s="102"/>
      <c r="D187" s="36"/>
      <c r="E187" s="22"/>
      <c r="F187" s="83"/>
      <c r="G187" s="83"/>
      <c r="H187" s="25"/>
      <c r="I187" s="25"/>
      <c r="J187" s="25"/>
      <c r="K187" s="25"/>
      <c r="L187" s="63"/>
      <c r="M187" s="36"/>
      <c r="N187" s="36"/>
      <c r="O187" s="102"/>
      <c r="P187" s="36"/>
      <c r="Q187" s="36"/>
      <c r="R187" s="57"/>
      <c r="S187" s="37"/>
      <c r="T187" s="60" t="str">
        <f t="shared" si="6"/>
        <v/>
      </c>
      <c r="U187" s="38"/>
      <c r="V187" s="38"/>
      <c r="W187" s="38" t="str">
        <f>IF(B187="","",COUNTIFS(Ejecucion[No. Solicitud],Registro!B187,Ejecucion[Estado],"Finalizado"))</f>
        <v/>
      </c>
      <c r="X187" s="38" t="str">
        <f>IF(B187="","",COUNTIFS(Ejecucion[No. Solicitud],Registro!B187,Ejecucion[Estado],"No Iniciado"))</f>
        <v/>
      </c>
      <c r="Y187" s="64" t="str">
        <f>IF(B187="","",COUNTIFS(Ejecucion[No. Solicitud],Registro!B187,Ejecucion[Estado],"En Proceso"))</f>
        <v/>
      </c>
      <c r="Z187" s="64" t="str">
        <f t="shared" si="7"/>
        <v/>
      </c>
      <c r="AA187" s="64"/>
      <c r="AB187" s="64"/>
      <c r="AC187" s="64"/>
      <c r="AD187" s="102"/>
    </row>
    <row r="188" spans="2:30" s="15" customFormat="1">
      <c r="B188" s="36"/>
      <c r="C188" s="102"/>
      <c r="D188" s="36"/>
      <c r="E188" s="22"/>
      <c r="F188" s="83"/>
      <c r="G188" s="83"/>
      <c r="H188" s="25"/>
      <c r="I188" s="25"/>
      <c r="J188" s="25"/>
      <c r="K188" s="25"/>
      <c r="L188" s="54"/>
      <c r="M188" s="36"/>
      <c r="N188" s="36"/>
      <c r="O188" s="102"/>
      <c r="P188" s="36"/>
      <c r="Q188" s="36"/>
      <c r="R188" s="57"/>
      <c r="S188" s="57"/>
      <c r="T188" s="60" t="str">
        <f t="shared" si="6"/>
        <v/>
      </c>
      <c r="U188" s="38"/>
      <c r="V188" s="38"/>
      <c r="W188" s="38" t="str">
        <f>IF(B188="","",COUNTIFS(Ejecucion[No. Solicitud],Registro!B188,Ejecucion[Estado],"Finalizado"))</f>
        <v/>
      </c>
      <c r="X188" s="38" t="str">
        <f>IF(B188="","",COUNTIFS(Ejecucion[No. Solicitud],Registro!B188,Ejecucion[Estado],"No Iniciado"))</f>
        <v/>
      </c>
      <c r="Y188" s="64" t="str">
        <f>IF(B188="","",COUNTIFS(Ejecucion[No. Solicitud],Registro!B188,Ejecucion[Estado],"En Proceso"))</f>
        <v/>
      </c>
      <c r="Z188" s="64" t="str">
        <f t="shared" si="7"/>
        <v/>
      </c>
      <c r="AA188" s="64"/>
      <c r="AB188" s="64"/>
      <c r="AC188" s="64"/>
      <c r="AD188" s="102"/>
    </row>
    <row r="189" spans="2:30" s="15" customFormat="1">
      <c r="B189" s="36"/>
      <c r="C189" s="102"/>
      <c r="D189" s="36"/>
      <c r="E189" s="22"/>
      <c r="F189" s="83"/>
      <c r="G189" s="83"/>
      <c r="H189" s="25"/>
      <c r="I189" s="25"/>
      <c r="J189" s="25"/>
      <c r="K189" s="25"/>
      <c r="L189" s="54"/>
      <c r="M189" s="36"/>
      <c r="N189" s="36"/>
      <c r="O189" s="102"/>
      <c r="P189" s="36"/>
      <c r="Q189" s="36"/>
      <c r="R189" s="37"/>
      <c r="S189" s="37"/>
      <c r="T189" s="60" t="str">
        <f t="shared" si="6"/>
        <v/>
      </c>
      <c r="U189" s="38"/>
      <c r="V189" s="38"/>
      <c r="W189" s="38" t="str">
        <f>IF(B189="","",COUNTIFS(Ejecucion[No. Solicitud],Registro!B189,Ejecucion[Estado],"Finalizado"))</f>
        <v/>
      </c>
      <c r="X189" s="38" t="str">
        <f>IF(B189="","",COUNTIFS(Ejecucion[No. Solicitud],Registro!B189,Ejecucion[Estado],"No Iniciado"))</f>
        <v/>
      </c>
      <c r="Y189" s="64" t="str">
        <f>IF(B189="","",COUNTIFS(Ejecucion[No. Solicitud],Registro!B189,Ejecucion[Estado],"En Proceso"))</f>
        <v/>
      </c>
      <c r="Z189" s="64" t="str">
        <f t="shared" si="7"/>
        <v/>
      </c>
      <c r="AA189" s="64"/>
      <c r="AB189" s="64"/>
      <c r="AC189" s="64"/>
      <c r="AD189" s="102"/>
    </row>
    <row r="190" spans="2:30" s="15" customFormat="1">
      <c r="B190" s="36"/>
      <c r="C190" s="102"/>
      <c r="D190" s="36"/>
      <c r="E190" s="22"/>
      <c r="F190" s="83"/>
      <c r="G190" s="83"/>
      <c r="H190" s="25"/>
      <c r="I190" s="25"/>
      <c r="J190" s="25"/>
      <c r="K190" s="25"/>
      <c r="L190" s="54"/>
      <c r="M190" s="36"/>
      <c r="N190" s="36"/>
      <c r="O190" s="102"/>
      <c r="P190" s="36"/>
      <c r="Q190" s="36"/>
      <c r="R190" s="37"/>
      <c r="S190" s="37"/>
      <c r="T190" s="60" t="str">
        <f t="shared" si="6"/>
        <v/>
      </c>
      <c r="U190" s="38"/>
      <c r="V190" s="38"/>
      <c r="W190" s="38" t="str">
        <f>IF(B190="","",COUNTIFS(Ejecucion[No. Solicitud],Registro!B190,Ejecucion[Estado],"Finalizado"))</f>
        <v/>
      </c>
      <c r="X190" s="38" t="str">
        <f>IF(B190="","",COUNTIFS(Ejecucion[No. Solicitud],Registro!B190,Ejecucion[Estado],"No Iniciado"))</f>
        <v/>
      </c>
      <c r="Y190" s="64" t="str">
        <f>IF(B190="","",COUNTIFS(Ejecucion[No. Solicitud],Registro!B190,Ejecucion[Estado],"En Proceso"))</f>
        <v/>
      </c>
      <c r="Z190" s="64" t="str">
        <f t="shared" si="7"/>
        <v/>
      </c>
      <c r="AA190" s="64"/>
      <c r="AB190" s="64"/>
      <c r="AC190" s="64"/>
      <c r="AD190" s="102"/>
    </row>
    <row r="191" spans="2:30" s="15" customFormat="1">
      <c r="B191" s="36"/>
      <c r="C191" s="102"/>
      <c r="D191" s="36"/>
      <c r="E191" s="22"/>
      <c r="F191" s="83"/>
      <c r="G191" s="83"/>
      <c r="H191" s="25"/>
      <c r="I191" s="25"/>
      <c r="J191" s="25"/>
      <c r="K191" s="25"/>
      <c r="L191" s="54"/>
      <c r="M191" s="36"/>
      <c r="N191" s="36"/>
      <c r="O191" s="102"/>
      <c r="P191" s="36"/>
      <c r="Q191" s="36"/>
      <c r="R191" s="37"/>
      <c r="S191" s="37"/>
      <c r="T191" s="60" t="str">
        <f t="shared" si="6"/>
        <v/>
      </c>
      <c r="U191" s="38"/>
      <c r="V191" s="38"/>
      <c r="W191" s="38" t="str">
        <f>IF(B191="","",COUNTIFS(Ejecucion[No. Solicitud],Registro!B191,Ejecucion[Estado],"Finalizado"))</f>
        <v/>
      </c>
      <c r="X191" s="38" t="str">
        <f>IF(B191="","",COUNTIFS(Ejecucion[No. Solicitud],Registro!B191,Ejecucion[Estado],"No Iniciado"))</f>
        <v/>
      </c>
      <c r="Y191" s="64" t="str">
        <f>IF(B191="","",COUNTIFS(Ejecucion[No. Solicitud],Registro!B191,Ejecucion[Estado],"En Proceso"))</f>
        <v/>
      </c>
      <c r="Z191" s="64" t="str">
        <f t="shared" si="7"/>
        <v/>
      </c>
      <c r="AA191" s="64"/>
      <c r="AB191" s="64"/>
      <c r="AC191" s="64"/>
      <c r="AD191" s="102"/>
    </row>
    <row r="192" spans="2:30" s="15" customFormat="1">
      <c r="B192" s="36"/>
      <c r="C192" s="102"/>
      <c r="D192" s="36"/>
      <c r="E192" s="22"/>
      <c r="F192" s="83"/>
      <c r="G192" s="83"/>
      <c r="H192" s="25"/>
      <c r="I192" s="25"/>
      <c r="J192" s="25"/>
      <c r="K192" s="25"/>
      <c r="L192" s="54"/>
      <c r="M192" s="36"/>
      <c r="N192" s="36"/>
      <c r="O192" s="102"/>
      <c r="P192" s="36"/>
      <c r="Q192" s="36"/>
      <c r="R192" s="37"/>
      <c r="S192" s="37"/>
      <c r="T192" s="60" t="str">
        <f t="shared" si="6"/>
        <v/>
      </c>
      <c r="U192" s="38"/>
      <c r="V192" s="38"/>
      <c r="W192" s="38" t="str">
        <f>IF(B192="","",COUNTIFS(Ejecucion[No. Solicitud],Registro!B192,Ejecucion[Estado],"Finalizado"))</f>
        <v/>
      </c>
      <c r="X192" s="38" t="str">
        <f>IF(B192="","",COUNTIFS(Ejecucion[No. Solicitud],Registro!B192,Ejecucion[Estado],"No Iniciado"))</f>
        <v/>
      </c>
      <c r="Y192" s="64" t="str">
        <f>IF(B192="","",COUNTIFS(Ejecucion[No. Solicitud],Registro!B192,Ejecucion[Estado],"En Proceso"))</f>
        <v/>
      </c>
      <c r="Z192" s="64" t="str">
        <f t="shared" si="7"/>
        <v/>
      </c>
      <c r="AA192" s="64"/>
      <c r="AB192" s="64"/>
      <c r="AC192" s="64"/>
      <c r="AD192" s="102"/>
    </row>
    <row r="193" spans="2:30" s="15" customFormat="1">
      <c r="B193" s="36"/>
      <c r="C193" s="102"/>
      <c r="D193" s="36"/>
      <c r="E193" s="22"/>
      <c r="F193" s="83"/>
      <c r="G193" s="83"/>
      <c r="H193" s="25"/>
      <c r="I193" s="25"/>
      <c r="J193" s="25"/>
      <c r="K193" s="25"/>
      <c r="L193" s="54"/>
      <c r="M193" s="36"/>
      <c r="N193" s="36"/>
      <c r="O193" s="102"/>
      <c r="P193" s="36"/>
      <c r="Q193" s="36"/>
      <c r="R193" s="37"/>
      <c r="S193" s="37"/>
      <c r="T193" s="60" t="str">
        <f t="shared" si="6"/>
        <v/>
      </c>
      <c r="U193" s="38"/>
      <c r="V193" s="38"/>
      <c r="W193" s="38" t="str">
        <f>IF(B193="","",COUNTIFS(Ejecucion[No. Solicitud],Registro!B193,Ejecucion[Estado],"Finalizado"))</f>
        <v/>
      </c>
      <c r="X193" s="38" t="str">
        <f>IF(B193="","",COUNTIFS(Ejecucion[No. Solicitud],Registro!B193,Ejecucion[Estado],"No Iniciado"))</f>
        <v/>
      </c>
      <c r="Y193" s="64" t="str">
        <f>IF(B193="","",COUNTIFS(Ejecucion[No. Solicitud],Registro!B193,Ejecucion[Estado],"En Proceso"))</f>
        <v/>
      </c>
      <c r="Z193" s="64" t="str">
        <f t="shared" si="7"/>
        <v/>
      </c>
      <c r="AA193" s="64"/>
      <c r="AB193" s="64"/>
      <c r="AC193" s="64"/>
      <c r="AD193" s="102"/>
    </row>
    <row r="194" spans="2:30" s="15" customFormat="1">
      <c r="B194" s="36"/>
      <c r="C194" s="102"/>
      <c r="D194" s="36"/>
      <c r="E194" s="22"/>
      <c r="F194" s="83"/>
      <c r="G194" s="83"/>
      <c r="H194" s="25"/>
      <c r="I194" s="25"/>
      <c r="J194" s="25"/>
      <c r="K194" s="25"/>
      <c r="L194" s="54"/>
      <c r="M194" s="36"/>
      <c r="N194" s="36"/>
      <c r="O194" s="102"/>
      <c r="P194" s="36"/>
      <c r="Q194" s="36"/>
      <c r="R194" s="57"/>
      <c r="S194" s="57"/>
      <c r="T194" s="60" t="str">
        <f t="shared" si="6"/>
        <v/>
      </c>
      <c r="U194" s="38"/>
      <c r="V194" s="38"/>
      <c r="W194" s="38" t="str">
        <f>IF(B194="","",COUNTIFS(Ejecucion[No. Solicitud],Registro!B194,Ejecucion[Estado],"Finalizado"))</f>
        <v/>
      </c>
      <c r="X194" s="38" t="str">
        <f>IF(B194="","",COUNTIFS(Ejecucion[No. Solicitud],Registro!B194,Ejecucion[Estado],"No Iniciado"))</f>
        <v/>
      </c>
      <c r="Y194" s="64" t="str">
        <f>IF(B194="","",COUNTIFS(Ejecucion[No. Solicitud],Registro!B194,Ejecucion[Estado],"En Proceso"))</f>
        <v/>
      </c>
      <c r="Z194" s="64" t="str">
        <f t="shared" si="7"/>
        <v/>
      </c>
      <c r="AA194" s="64"/>
      <c r="AB194" s="64"/>
      <c r="AC194" s="64"/>
      <c r="AD194" s="102"/>
    </row>
    <row r="195" spans="2:30" s="15" customFormat="1">
      <c r="B195" s="36"/>
      <c r="C195" s="102"/>
      <c r="D195" s="36"/>
      <c r="E195" s="22"/>
      <c r="F195" s="83"/>
      <c r="G195" s="83"/>
      <c r="H195" s="25"/>
      <c r="I195" s="25"/>
      <c r="J195" s="25"/>
      <c r="K195" s="25"/>
      <c r="L195" s="54"/>
      <c r="M195" s="36"/>
      <c r="N195" s="36"/>
      <c r="O195" s="102"/>
      <c r="P195" s="36"/>
      <c r="Q195" s="36"/>
      <c r="R195" s="57"/>
      <c r="S195" s="57"/>
      <c r="T195" s="60" t="str">
        <f t="shared" si="6"/>
        <v/>
      </c>
      <c r="U195" s="38"/>
      <c r="V195" s="38"/>
      <c r="W195" s="38" t="str">
        <f>IF(B195="","",COUNTIFS(Ejecucion[No. Solicitud],Registro!B195,Ejecucion[Estado],"Finalizado"))</f>
        <v/>
      </c>
      <c r="X195" s="38" t="str">
        <f>IF(B195="","",COUNTIFS(Ejecucion[No. Solicitud],Registro!B195,Ejecucion[Estado],"No Iniciado"))</f>
        <v/>
      </c>
      <c r="Y195" s="64" t="str">
        <f>IF(B195="","",COUNTIFS(Ejecucion[No. Solicitud],Registro!B195,Ejecucion[Estado],"En Proceso"))</f>
        <v/>
      </c>
      <c r="Z195" s="64" t="str">
        <f t="shared" si="7"/>
        <v/>
      </c>
      <c r="AA195" s="64"/>
      <c r="AB195" s="64"/>
      <c r="AC195" s="64"/>
      <c r="AD195" s="102"/>
    </row>
    <row r="196" spans="2:30" s="15" customFormat="1">
      <c r="B196" s="36"/>
      <c r="C196" s="102"/>
      <c r="D196" s="36"/>
      <c r="E196" s="22"/>
      <c r="F196" s="83"/>
      <c r="G196" s="83"/>
      <c r="H196" s="25"/>
      <c r="I196" s="25"/>
      <c r="J196" s="25"/>
      <c r="K196" s="25"/>
      <c r="L196" s="54"/>
      <c r="M196" s="36"/>
      <c r="N196" s="36"/>
      <c r="O196" s="102"/>
      <c r="P196" s="36"/>
      <c r="Q196" s="36"/>
      <c r="R196" s="57"/>
      <c r="S196" s="57"/>
      <c r="T196" s="60" t="str">
        <f t="shared" si="6"/>
        <v/>
      </c>
      <c r="U196" s="38"/>
      <c r="V196" s="38"/>
      <c r="W196" s="38" t="str">
        <f>IF(B196="","",COUNTIFS(Ejecucion[No. Solicitud],Registro!B196,Ejecucion[Estado],"Finalizado"))</f>
        <v/>
      </c>
      <c r="X196" s="38" t="str">
        <f>IF(B196="","",COUNTIFS(Ejecucion[No. Solicitud],Registro!B196,Ejecucion[Estado],"No Iniciado"))</f>
        <v/>
      </c>
      <c r="Y196" s="64" t="str">
        <f>IF(B196="","",COUNTIFS(Ejecucion[No. Solicitud],Registro!B196,Ejecucion[Estado],"En Proceso"))</f>
        <v/>
      </c>
      <c r="Z196" s="64" t="str">
        <f t="shared" si="7"/>
        <v/>
      </c>
      <c r="AA196" s="64"/>
      <c r="AB196" s="64"/>
      <c r="AC196" s="64"/>
      <c r="AD196" s="102"/>
    </row>
    <row r="197" spans="2:30" s="15" customFormat="1">
      <c r="B197" s="36"/>
      <c r="C197" s="102"/>
      <c r="D197" s="36"/>
      <c r="E197" s="22"/>
      <c r="F197" s="83"/>
      <c r="G197" s="83"/>
      <c r="H197" s="25"/>
      <c r="I197" s="25"/>
      <c r="J197" s="25"/>
      <c r="K197" s="25"/>
      <c r="L197" s="54"/>
      <c r="M197" s="36"/>
      <c r="N197" s="36"/>
      <c r="O197" s="102"/>
      <c r="P197" s="36"/>
      <c r="Q197" s="36"/>
      <c r="R197" s="57"/>
      <c r="S197" s="57"/>
      <c r="T197" s="60" t="str">
        <f t="shared" si="6"/>
        <v/>
      </c>
      <c r="U197" s="38"/>
      <c r="V197" s="38"/>
      <c r="W197" s="38" t="str">
        <f>IF(B197="","",COUNTIFS(Ejecucion[No. Solicitud],Registro!B197,Ejecucion[Estado],"Finalizado"))</f>
        <v/>
      </c>
      <c r="X197" s="38" t="str">
        <f>IF(B197="","",COUNTIFS(Ejecucion[No. Solicitud],Registro!B197,Ejecucion[Estado],"No Iniciado"))</f>
        <v/>
      </c>
      <c r="Y197" s="64" t="str">
        <f>IF(B197="","",COUNTIFS(Ejecucion[No. Solicitud],Registro!B197,Ejecucion[Estado],"En Proceso"))</f>
        <v/>
      </c>
      <c r="Z197" s="64" t="str">
        <f t="shared" si="7"/>
        <v/>
      </c>
      <c r="AA197" s="64"/>
      <c r="AB197" s="64"/>
      <c r="AC197" s="64"/>
      <c r="AD197" s="102"/>
    </row>
    <row r="198" spans="2:30" s="15" customFormat="1">
      <c r="B198" s="36"/>
      <c r="C198" s="102"/>
      <c r="D198" s="36"/>
      <c r="E198" s="22"/>
      <c r="F198" s="83"/>
      <c r="G198" s="83"/>
      <c r="H198" s="25"/>
      <c r="I198" s="25"/>
      <c r="J198" s="25"/>
      <c r="K198" s="25"/>
      <c r="L198" s="54"/>
      <c r="M198" s="36"/>
      <c r="N198" s="36"/>
      <c r="O198" s="102"/>
      <c r="P198" s="36"/>
      <c r="Q198" s="36"/>
      <c r="R198" s="57"/>
      <c r="S198" s="57"/>
      <c r="T198" s="60" t="str">
        <f t="shared" si="6"/>
        <v/>
      </c>
      <c r="U198" s="38"/>
      <c r="V198" s="38"/>
      <c r="W198" s="38" t="str">
        <f>IF(B198="","",COUNTIFS(Ejecucion[No. Solicitud],Registro!B198,Ejecucion[Estado],"Finalizado"))</f>
        <v/>
      </c>
      <c r="X198" s="38" t="str">
        <f>IF(B198="","",COUNTIFS(Ejecucion[No. Solicitud],Registro!B198,Ejecucion[Estado],"No Iniciado"))</f>
        <v/>
      </c>
      <c r="Y198" s="64" t="str">
        <f>IF(B198="","",COUNTIFS(Ejecucion[No. Solicitud],Registro!B198,Ejecucion[Estado],"En Proceso"))</f>
        <v/>
      </c>
      <c r="Z198" s="64" t="str">
        <f t="shared" si="7"/>
        <v/>
      </c>
      <c r="AA198" s="64"/>
      <c r="AB198" s="64"/>
      <c r="AC198" s="64"/>
      <c r="AD198" s="102"/>
    </row>
    <row r="199" spans="2:30" s="15" customFormat="1">
      <c r="B199" s="36"/>
      <c r="C199" s="102"/>
      <c r="D199" s="36"/>
      <c r="E199" s="22"/>
      <c r="F199" s="83"/>
      <c r="G199" s="83"/>
      <c r="H199" s="25"/>
      <c r="I199" s="25"/>
      <c r="J199" s="25"/>
      <c r="K199" s="25"/>
      <c r="L199" s="54"/>
      <c r="M199" s="36"/>
      <c r="N199" s="36"/>
      <c r="O199" s="102"/>
      <c r="P199" s="36"/>
      <c r="Q199" s="36"/>
      <c r="R199" s="57"/>
      <c r="S199" s="57"/>
      <c r="T199" s="60" t="str">
        <f t="shared" si="6"/>
        <v/>
      </c>
      <c r="U199" s="38"/>
      <c r="V199" s="38"/>
      <c r="W199" s="38" t="str">
        <f>IF(B199="","",COUNTIFS(Ejecucion[No. Solicitud],Registro!B199,Ejecucion[Estado],"Finalizado"))</f>
        <v/>
      </c>
      <c r="X199" s="38" t="str">
        <f>IF(B199="","",COUNTIFS(Ejecucion[No. Solicitud],Registro!B199,Ejecucion[Estado],"No Iniciado"))</f>
        <v/>
      </c>
      <c r="Y199" s="64" t="str">
        <f>IF(B199="","",COUNTIFS(Ejecucion[No. Solicitud],Registro!B199,Ejecucion[Estado],"En Proceso"))</f>
        <v/>
      </c>
      <c r="Z199" s="64" t="str">
        <f t="shared" si="7"/>
        <v/>
      </c>
      <c r="AA199" s="64"/>
      <c r="AB199" s="64"/>
      <c r="AC199" s="64"/>
      <c r="AD199" s="102"/>
    </row>
    <row r="200" spans="2:30" s="15" customFormat="1">
      <c r="B200" s="36"/>
      <c r="C200" s="102"/>
      <c r="D200" s="36"/>
      <c r="E200" s="22"/>
      <c r="F200" s="83"/>
      <c r="G200" s="83"/>
      <c r="H200" s="25"/>
      <c r="I200" s="25"/>
      <c r="J200" s="25"/>
      <c r="K200" s="25"/>
      <c r="L200" s="54"/>
      <c r="M200" s="36"/>
      <c r="N200" s="36"/>
      <c r="O200" s="102"/>
      <c r="P200" s="36"/>
      <c r="Q200" s="36"/>
      <c r="R200" s="37"/>
      <c r="S200" s="37"/>
      <c r="T200" s="60" t="str">
        <f t="shared" ref="T200:T263" si="8">IF(U200="","",IF(U200=W200,1,0))</f>
        <v/>
      </c>
      <c r="U200" s="38"/>
      <c r="V200" s="38"/>
      <c r="W200" s="38" t="str">
        <f>IF(B200="","",COUNTIFS(Ejecucion[No. Solicitud],Registro!B200,Ejecucion[Estado],"Finalizado"))</f>
        <v/>
      </c>
      <c r="X200" s="38" t="str">
        <f>IF(B200="","",COUNTIFS(Ejecucion[No. Solicitud],Registro!B200,Ejecucion[Estado],"No Iniciado"))</f>
        <v/>
      </c>
      <c r="Y200" s="64" t="str">
        <f>IF(B200="","",COUNTIFS(Ejecucion[No. Solicitud],Registro!B200,Ejecucion[Estado],"En Proceso"))</f>
        <v/>
      </c>
      <c r="Z200" s="64" t="str">
        <f t="shared" si="7"/>
        <v/>
      </c>
      <c r="AA200" s="64"/>
      <c r="AB200" s="64"/>
      <c r="AC200" s="64"/>
      <c r="AD200" s="102"/>
    </row>
    <row r="201" spans="2:30" s="15" customFormat="1">
      <c r="B201" s="36"/>
      <c r="C201" s="102"/>
      <c r="D201" s="36"/>
      <c r="E201" s="22"/>
      <c r="F201" s="83"/>
      <c r="G201" s="83"/>
      <c r="H201" s="25"/>
      <c r="I201" s="25"/>
      <c r="J201" s="25"/>
      <c r="K201" s="25"/>
      <c r="L201" s="54"/>
      <c r="M201" s="36"/>
      <c r="N201" s="36"/>
      <c r="O201" s="102"/>
      <c r="P201" s="36"/>
      <c r="Q201" s="36"/>
      <c r="R201" s="37"/>
      <c r="S201" s="37"/>
      <c r="T201" s="60" t="str">
        <f t="shared" si="8"/>
        <v/>
      </c>
      <c r="U201" s="38"/>
      <c r="V201" s="38"/>
      <c r="W201" s="38" t="str">
        <f>IF(B201="","",COUNTIFS(Ejecucion[No. Solicitud],Registro!B201,Ejecucion[Estado],"Finalizado"))</f>
        <v/>
      </c>
      <c r="X201" s="38" t="str">
        <f>IF(B201="","",COUNTIFS(Ejecucion[No. Solicitud],Registro!B201,Ejecucion[Estado],"No Iniciado"))</f>
        <v/>
      </c>
      <c r="Y201" s="64" t="str">
        <f>IF(B201="","",COUNTIFS(Ejecucion[No. Solicitud],Registro!B201,Ejecucion[Estado],"En Proceso"))</f>
        <v/>
      </c>
      <c r="Z201" s="64" t="str">
        <f t="shared" si="7"/>
        <v/>
      </c>
      <c r="AA201" s="64"/>
      <c r="AB201" s="64"/>
      <c r="AC201" s="64"/>
      <c r="AD201" s="102"/>
    </row>
    <row r="202" spans="2:30" s="15" customFormat="1">
      <c r="B202" s="36"/>
      <c r="C202" s="102"/>
      <c r="D202" s="36"/>
      <c r="E202" s="22"/>
      <c r="F202" s="83"/>
      <c r="G202" s="83"/>
      <c r="H202" s="25"/>
      <c r="I202" s="25"/>
      <c r="J202" s="25"/>
      <c r="K202" s="25"/>
      <c r="L202" s="54"/>
      <c r="M202" s="36"/>
      <c r="N202" s="36"/>
      <c r="O202" s="102"/>
      <c r="P202" s="36"/>
      <c r="Q202" s="36"/>
      <c r="R202" s="57"/>
      <c r="S202" s="57"/>
      <c r="T202" s="60" t="str">
        <f t="shared" si="8"/>
        <v/>
      </c>
      <c r="U202" s="38"/>
      <c r="V202" s="38"/>
      <c r="W202" s="38" t="str">
        <f>IF(B202="","",COUNTIFS(Ejecucion[No. Solicitud],Registro!B202,Ejecucion[Estado],"Finalizado"))</f>
        <v/>
      </c>
      <c r="X202" s="38" t="str">
        <f>IF(B202="","",COUNTIFS(Ejecucion[No. Solicitud],Registro!B202,Ejecucion[Estado],"No Iniciado"))</f>
        <v/>
      </c>
      <c r="Y202" s="64" t="str">
        <f>IF(B202="","",COUNTIFS(Ejecucion[No. Solicitud],Registro!B202,Ejecucion[Estado],"En Proceso"))</f>
        <v/>
      </c>
      <c r="Z202" s="64" t="str">
        <f t="shared" si="7"/>
        <v/>
      </c>
      <c r="AA202" s="64"/>
      <c r="AB202" s="64"/>
      <c r="AC202" s="64"/>
      <c r="AD202" s="102"/>
    </row>
    <row r="203" spans="2:30" s="15" customFormat="1">
      <c r="B203" s="36"/>
      <c r="C203" s="102"/>
      <c r="D203" s="36"/>
      <c r="E203" s="22"/>
      <c r="F203" s="83"/>
      <c r="G203" s="83"/>
      <c r="H203" s="25"/>
      <c r="I203" s="25"/>
      <c r="J203" s="25"/>
      <c r="K203" s="25"/>
      <c r="L203" s="54"/>
      <c r="M203" s="36"/>
      <c r="N203" s="36"/>
      <c r="O203" s="102"/>
      <c r="P203" s="36"/>
      <c r="Q203" s="36"/>
      <c r="R203" s="37"/>
      <c r="S203" s="37"/>
      <c r="T203" s="60" t="str">
        <f t="shared" si="8"/>
        <v/>
      </c>
      <c r="U203" s="38"/>
      <c r="V203" s="38"/>
      <c r="W203" s="38" t="str">
        <f>IF(B203="","",COUNTIFS(Ejecucion[No. Solicitud],Registro!B203,Ejecucion[Estado],"Finalizado"))</f>
        <v/>
      </c>
      <c r="X203" s="38" t="str">
        <f>IF(B203="","",COUNTIFS(Ejecucion[No. Solicitud],Registro!B203,Ejecucion[Estado],"No Iniciado"))</f>
        <v/>
      </c>
      <c r="Y203" s="64" t="str">
        <f>IF(B203="","",COUNTIFS(Ejecucion[No. Solicitud],Registro!B203,Ejecucion[Estado],"En Proceso"))</f>
        <v/>
      </c>
      <c r="Z203" s="64" t="str">
        <f t="shared" si="7"/>
        <v/>
      </c>
      <c r="AA203" s="64"/>
      <c r="AB203" s="64"/>
      <c r="AC203" s="64"/>
      <c r="AD203" s="102"/>
    </row>
    <row r="204" spans="2:30" s="15" customFormat="1">
      <c r="B204" s="36"/>
      <c r="C204" s="102"/>
      <c r="D204" s="36"/>
      <c r="E204" s="22"/>
      <c r="F204" s="83"/>
      <c r="G204" s="83"/>
      <c r="H204" s="25"/>
      <c r="I204" s="25"/>
      <c r="J204" s="25"/>
      <c r="K204" s="25"/>
      <c r="L204" s="54"/>
      <c r="M204" s="36"/>
      <c r="N204" s="36"/>
      <c r="O204" s="102"/>
      <c r="P204" s="36"/>
      <c r="Q204" s="36"/>
      <c r="R204" s="37"/>
      <c r="S204" s="37"/>
      <c r="T204" s="60" t="str">
        <f t="shared" si="8"/>
        <v/>
      </c>
      <c r="U204" s="38"/>
      <c r="V204" s="38"/>
      <c r="W204" s="38" t="str">
        <f>IF(B204="","",COUNTIFS(Ejecucion[No. Solicitud],Registro!B204,Ejecucion[Estado],"Finalizado"))</f>
        <v/>
      </c>
      <c r="X204" s="38" t="str">
        <f>IF(B204="","",COUNTIFS(Ejecucion[No. Solicitud],Registro!B204,Ejecucion[Estado],"No Iniciado"))</f>
        <v/>
      </c>
      <c r="Y204" s="64" t="str">
        <f>IF(B204="","",COUNTIFS(Ejecucion[No. Solicitud],Registro!B204,Ejecucion[Estado],"En Proceso"))</f>
        <v/>
      </c>
      <c r="Z204" s="64" t="str">
        <f t="shared" si="7"/>
        <v/>
      </c>
      <c r="AA204" s="64"/>
      <c r="AB204" s="64"/>
      <c r="AC204" s="64"/>
      <c r="AD204" s="102"/>
    </row>
    <row r="205" spans="2:30" s="15" customFormat="1">
      <c r="B205" s="36"/>
      <c r="C205" s="102"/>
      <c r="D205" s="18"/>
      <c r="E205" s="22"/>
      <c r="F205" s="83"/>
      <c r="G205" s="83"/>
      <c r="H205" s="25"/>
      <c r="I205" s="25"/>
      <c r="J205" s="25"/>
      <c r="K205" s="25"/>
      <c r="L205" s="54"/>
      <c r="M205" s="36"/>
      <c r="N205" s="36"/>
      <c r="O205" s="102"/>
      <c r="P205" s="36"/>
      <c r="Q205" s="36"/>
      <c r="R205" s="37"/>
      <c r="S205" s="37"/>
      <c r="T205" s="60" t="str">
        <f t="shared" si="8"/>
        <v/>
      </c>
      <c r="U205" s="38"/>
      <c r="V205" s="38"/>
      <c r="W205" s="38" t="str">
        <f>IF(B205="","",COUNTIFS(Ejecucion[No. Solicitud],Registro!B205,Ejecucion[Estado],"Finalizado"))</f>
        <v/>
      </c>
      <c r="X205" s="38" t="str">
        <f>IF(B205="","",COUNTIFS(Ejecucion[No. Solicitud],Registro!B205,Ejecucion[Estado],"No Iniciado"))</f>
        <v/>
      </c>
      <c r="Y205" s="64" t="str">
        <f>IF(B205="","",COUNTIFS(Ejecucion[No. Solicitud],Registro!B205,Ejecucion[Estado],"En Proceso"))</f>
        <v/>
      </c>
      <c r="Z205" s="64" t="str">
        <f t="shared" si="7"/>
        <v/>
      </c>
      <c r="AA205" s="64"/>
      <c r="AB205" s="64"/>
      <c r="AC205" s="64"/>
      <c r="AD205" s="102"/>
    </row>
    <row r="206" spans="2:30" s="15" customFormat="1">
      <c r="B206" s="36"/>
      <c r="C206" s="102"/>
      <c r="D206" s="36"/>
      <c r="E206" s="22"/>
      <c r="F206" s="83"/>
      <c r="G206" s="83"/>
      <c r="H206" s="25"/>
      <c r="I206" s="25"/>
      <c r="J206" s="25"/>
      <c r="K206" s="25"/>
      <c r="L206" s="54"/>
      <c r="M206" s="36"/>
      <c r="N206" s="36"/>
      <c r="O206" s="102"/>
      <c r="P206" s="36"/>
      <c r="Q206" s="36"/>
      <c r="R206" s="37"/>
      <c r="S206" s="37"/>
      <c r="T206" s="60" t="str">
        <f t="shared" si="8"/>
        <v/>
      </c>
      <c r="U206" s="38"/>
      <c r="V206" s="38"/>
      <c r="W206" s="38" t="str">
        <f>IF(B206="","",COUNTIFS(Ejecucion[No. Solicitud],Registro!B206,Ejecucion[Estado],"Finalizado"))</f>
        <v/>
      </c>
      <c r="X206" s="38" t="str">
        <f>IF(B206="","",COUNTIFS(Ejecucion[No. Solicitud],Registro!B206,Ejecucion[Estado],"No Iniciado"))</f>
        <v/>
      </c>
      <c r="Y206" s="64" t="str">
        <f>IF(B206="","",COUNTIFS(Ejecucion[No. Solicitud],Registro!B206,Ejecucion[Estado],"En Proceso"))</f>
        <v/>
      </c>
      <c r="Z206" s="64" t="str">
        <f t="shared" si="7"/>
        <v/>
      </c>
      <c r="AA206" s="64"/>
      <c r="AB206" s="64"/>
      <c r="AC206" s="64"/>
      <c r="AD206" s="102"/>
    </row>
    <row r="207" spans="2:30" s="15" customFormat="1">
      <c r="B207" s="36"/>
      <c r="C207" s="102"/>
      <c r="D207" s="36"/>
      <c r="E207" s="22"/>
      <c r="F207" s="83"/>
      <c r="G207" s="83"/>
      <c r="H207" s="25"/>
      <c r="I207" s="25"/>
      <c r="J207" s="25"/>
      <c r="K207" s="25"/>
      <c r="L207" s="54"/>
      <c r="M207" s="36"/>
      <c r="N207" s="36"/>
      <c r="O207" s="102"/>
      <c r="P207" s="36"/>
      <c r="Q207" s="36"/>
      <c r="R207" s="37"/>
      <c r="S207" s="37"/>
      <c r="T207" s="60" t="str">
        <f t="shared" si="8"/>
        <v/>
      </c>
      <c r="U207" s="38"/>
      <c r="V207" s="38"/>
      <c r="W207" s="38" t="str">
        <f>IF(B207="","",COUNTIFS(Ejecucion[No. Solicitud],Registro!B207,Ejecucion[Estado],"Finalizado"))</f>
        <v/>
      </c>
      <c r="X207" s="38" t="str">
        <f>IF(B207="","",COUNTIFS(Ejecucion[No. Solicitud],Registro!B207,Ejecucion[Estado],"No Iniciado"))</f>
        <v/>
      </c>
      <c r="Y207" s="64" t="str">
        <f>IF(B207="","",COUNTIFS(Ejecucion[No. Solicitud],Registro!B207,Ejecucion[Estado],"En Proceso"))</f>
        <v/>
      </c>
      <c r="Z207" s="64" t="str">
        <f t="shared" si="7"/>
        <v/>
      </c>
      <c r="AA207" s="64"/>
      <c r="AB207" s="64"/>
      <c r="AC207" s="64"/>
      <c r="AD207" s="102"/>
    </row>
    <row r="208" spans="2:30" s="15" customFormat="1">
      <c r="B208" s="36"/>
      <c r="C208" s="102"/>
      <c r="D208" s="36"/>
      <c r="E208" s="22"/>
      <c r="F208" s="83"/>
      <c r="G208" s="83"/>
      <c r="H208" s="25"/>
      <c r="I208" s="25"/>
      <c r="J208" s="25"/>
      <c r="K208" s="25"/>
      <c r="L208" s="54"/>
      <c r="M208" s="36"/>
      <c r="N208" s="36"/>
      <c r="O208" s="102"/>
      <c r="P208" s="36"/>
      <c r="Q208" s="36"/>
      <c r="R208" s="37"/>
      <c r="S208" s="37"/>
      <c r="T208" s="60" t="str">
        <f t="shared" si="8"/>
        <v/>
      </c>
      <c r="U208" s="38"/>
      <c r="V208" s="38"/>
      <c r="W208" s="38" t="str">
        <f>IF(B208="","",COUNTIFS(Ejecucion[No. Solicitud],Registro!B208,Ejecucion[Estado],"Finalizado"))</f>
        <v/>
      </c>
      <c r="X208" s="38" t="str">
        <f>IF(B208="","",COUNTIFS(Ejecucion[No. Solicitud],Registro!B208,Ejecucion[Estado],"No Iniciado"))</f>
        <v/>
      </c>
      <c r="Y208" s="64" t="str">
        <f>IF(B208="","",COUNTIFS(Ejecucion[No. Solicitud],Registro!B208,Ejecucion[Estado],"En Proceso"))</f>
        <v/>
      </c>
      <c r="Z208" s="64" t="str">
        <f t="shared" si="7"/>
        <v/>
      </c>
      <c r="AA208" s="64"/>
      <c r="AB208" s="64"/>
      <c r="AC208" s="64"/>
      <c r="AD208" s="102"/>
    </row>
    <row r="209" spans="2:30" s="15" customFormat="1">
      <c r="B209" s="18"/>
      <c r="C209" s="25"/>
      <c r="D209" s="36"/>
      <c r="E209" s="22"/>
      <c r="F209" s="83"/>
      <c r="G209" s="83"/>
      <c r="H209" s="25"/>
      <c r="I209" s="25"/>
      <c r="J209" s="25"/>
      <c r="K209" s="25"/>
      <c r="L209" s="54"/>
      <c r="M209" s="36"/>
      <c r="N209" s="36"/>
      <c r="O209" s="102"/>
      <c r="P209" s="36"/>
      <c r="Q209" s="36"/>
      <c r="R209" s="37"/>
      <c r="S209" s="37"/>
      <c r="T209" s="60" t="str">
        <f t="shared" si="8"/>
        <v/>
      </c>
      <c r="U209" s="38"/>
      <c r="V209" s="38"/>
      <c r="W209" s="38" t="str">
        <f>IF(B209="","",COUNTIFS(Ejecucion[No. Solicitud],Registro!B209,Ejecucion[Estado],"Finalizado"))</f>
        <v/>
      </c>
      <c r="X209" s="38" t="str">
        <f>IF(B209="","",COUNTIFS(Ejecucion[No. Solicitud],Registro!B209,Ejecucion[Estado],"No Iniciado"))</f>
        <v/>
      </c>
      <c r="Y209" s="64" t="str">
        <f>IF(B209="","",COUNTIFS(Ejecucion[No. Solicitud],Registro!B209,Ejecucion[Estado],"En Proceso"))</f>
        <v/>
      </c>
      <c r="Z209" s="64" t="str">
        <f t="shared" si="7"/>
        <v/>
      </c>
      <c r="AA209" s="64"/>
      <c r="AB209" s="64"/>
      <c r="AC209" s="64"/>
      <c r="AD209" s="102"/>
    </row>
    <row r="210" spans="2:30" s="15" customFormat="1">
      <c r="B210" s="18"/>
      <c r="C210" s="25"/>
      <c r="D210" s="36"/>
      <c r="E210" s="22"/>
      <c r="F210" s="83"/>
      <c r="G210" s="83"/>
      <c r="H210" s="25"/>
      <c r="I210" s="25"/>
      <c r="J210" s="25"/>
      <c r="K210" s="25"/>
      <c r="L210" s="54"/>
      <c r="M210" s="36"/>
      <c r="N210" s="36"/>
      <c r="O210" s="102"/>
      <c r="P210" s="36"/>
      <c r="Q210" s="36"/>
      <c r="R210" s="37"/>
      <c r="S210" s="37"/>
      <c r="T210" s="60" t="str">
        <f t="shared" si="8"/>
        <v/>
      </c>
      <c r="U210" s="38"/>
      <c r="V210" s="38"/>
      <c r="W210" s="38" t="str">
        <f>IF(B210="","",COUNTIFS(Ejecucion[No. Solicitud],Registro!B210,Ejecucion[Estado],"Finalizado"))</f>
        <v/>
      </c>
      <c r="X210" s="38" t="str">
        <f>IF(B210="","",COUNTIFS(Ejecucion[No. Solicitud],Registro!B210,Ejecucion[Estado],"No Iniciado"))</f>
        <v/>
      </c>
      <c r="Y210" s="64" t="str">
        <f>IF(B210="","",COUNTIFS(Ejecucion[No. Solicitud],Registro!B210,Ejecucion[Estado],"En Proceso"))</f>
        <v/>
      </c>
      <c r="Z210" s="64" t="str">
        <f t="shared" si="7"/>
        <v/>
      </c>
      <c r="AA210" s="64"/>
      <c r="AB210" s="64"/>
      <c r="AC210" s="64"/>
      <c r="AD210" s="102"/>
    </row>
    <row r="211" spans="2:30" s="15" customFormat="1">
      <c r="B211" s="18"/>
      <c r="C211" s="25"/>
      <c r="D211" s="36"/>
      <c r="E211" s="22"/>
      <c r="F211" s="83"/>
      <c r="G211" s="83"/>
      <c r="H211" s="25"/>
      <c r="I211" s="25"/>
      <c r="J211" s="25"/>
      <c r="K211" s="25"/>
      <c r="L211" s="54"/>
      <c r="M211" s="36"/>
      <c r="N211" s="36"/>
      <c r="O211" s="102"/>
      <c r="P211" s="36"/>
      <c r="Q211" s="36"/>
      <c r="R211" s="37"/>
      <c r="S211" s="37"/>
      <c r="T211" s="60" t="str">
        <f t="shared" si="8"/>
        <v/>
      </c>
      <c r="U211" s="38"/>
      <c r="V211" s="38"/>
      <c r="W211" s="38" t="str">
        <f>IF(B211="","",COUNTIFS(Ejecucion[No. Solicitud],Registro!B211,Ejecucion[Estado],"Finalizado"))</f>
        <v/>
      </c>
      <c r="X211" s="38" t="str">
        <f>IF(B211="","",COUNTIFS(Ejecucion[No. Solicitud],Registro!B211,Ejecucion[Estado],"No Iniciado"))</f>
        <v/>
      </c>
      <c r="Y211" s="64" t="str">
        <f>IF(B211="","",COUNTIFS(Ejecucion[No. Solicitud],Registro!B211,Ejecucion[Estado],"En Proceso"))</f>
        <v/>
      </c>
      <c r="Z211" s="64" t="str">
        <f t="shared" si="7"/>
        <v/>
      </c>
      <c r="AA211" s="64"/>
      <c r="AB211" s="64"/>
      <c r="AC211" s="64"/>
      <c r="AD211" s="102"/>
    </row>
    <row r="212" spans="2:30" s="15" customFormat="1">
      <c r="B212" s="18"/>
      <c r="C212" s="25"/>
      <c r="D212" s="18"/>
      <c r="E212" s="22"/>
      <c r="F212" s="83"/>
      <c r="G212" s="83"/>
      <c r="H212" s="25"/>
      <c r="I212" s="25"/>
      <c r="J212" s="25"/>
      <c r="K212" s="25"/>
      <c r="L212" s="54"/>
      <c r="M212" s="36"/>
      <c r="N212" s="36"/>
      <c r="O212" s="102"/>
      <c r="P212" s="36"/>
      <c r="Q212" s="36"/>
      <c r="R212" s="37"/>
      <c r="S212" s="37"/>
      <c r="T212" s="60" t="str">
        <f t="shared" si="8"/>
        <v/>
      </c>
      <c r="U212" s="38"/>
      <c r="V212" s="38"/>
      <c r="W212" s="38" t="str">
        <f>IF(B212="","",COUNTIFS(Ejecucion[No. Solicitud],Registro!B212,Ejecucion[Estado],"Finalizado"))</f>
        <v/>
      </c>
      <c r="X212" s="38" t="str">
        <f>IF(B212="","",COUNTIFS(Ejecucion[No. Solicitud],Registro!B212,Ejecucion[Estado],"No Iniciado"))</f>
        <v/>
      </c>
      <c r="Y212" s="64" t="str">
        <f>IF(B212="","",COUNTIFS(Ejecucion[No. Solicitud],Registro!B212,Ejecucion[Estado],"En Proceso"))</f>
        <v/>
      </c>
      <c r="Z212" s="64" t="str">
        <f t="shared" si="7"/>
        <v/>
      </c>
      <c r="AA212" s="64"/>
      <c r="AB212" s="64"/>
      <c r="AC212" s="64"/>
      <c r="AD212" s="102"/>
    </row>
    <row r="213" spans="2:30" s="15" customFormat="1">
      <c r="B213" s="18"/>
      <c r="C213" s="25"/>
      <c r="D213" s="36"/>
      <c r="E213" s="22"/>
      <c r="F213" s="83"/>
      <c r="G213" s="83"/>
      <c r="H213" s="25"/>
      <c r="I213" s="25"/>
      <c r="J213" s="25"/>
      <c r="K213" s="25"/>
      <c r="L213" s="54"/>
      <c r="M213" s="36"/>
      <c r="N213" s="36"/>
      <c r="O213" s="102"/>
      <c r="P213" s="36"/>
      <c r="Q213" s="36"/>
      <c r="R213" s="37"/>
      <c r="S213" s="37"/>
      <c r="T213" s="60" t="str">
        <f t="shared" si="8"/>
        <v/>
      </c>
      <c r="U213" s="38"/>
      <c r="V213" s="38"/>
      <c r="W213" s="38" t="str">
        <f>IF(B213="","",COUNTIFS(Ejecucion[No. Solicitud],Registro!B213,Ejecucion[Estado],"Finalizado"))</f>
        <v/>
      </c>
      <c r="X213" s="38" t="str">
        <f>IF(B213="","",COUNTIFS(Ejecucion[No. Solicitud],Registro!B213,Ejecucion[Estado],"No Iniciado"))</f>
        <v/>
      </c>
      <c r="Y213" s="64" t="str">
        <f>IF(B213="","",COUNTIFS(Ejecucion[No. Solicitud],Registro!B213,Ejecucion[Estado],"En Proceso"))</f>
        <v/>
      </c>
      <c r="Z213" s="64" t="str">
        <f t="shared" si="7"/>
        <v/>
      </c>
      <c r="AA213" s="64"/>
      <c r="AB213" s="64"/>
      <c r="AC213" s="64"/>
      <c r="AD213" s="102"/>
    </row>
    <row r="214" spans="2:30" s="15" customFormat="1">
      <c r="B214" s="36"/>
      <c r="C214" s="102"/>
      <c r="D214" s="18"/>
      <c r="E214" s="22"/>
      <c r="F214" s="83"/>
      <c r="G214" s="83"/>
      <c r="H214" s="25"/>
      <c r="I214" s="25"/>
      <c r="J214" s="25"/>
      <c r="K214" s="25"/>
      <c r="L214" s="54"/>
      <c r="M214" s="36"/>
      <c r="N214" s="36"/>
      <c r="O214" s="102"/>
      <c r="P214" s="36"/>
      <c r="Q214" s="36"/>
      <c r="R214" s="37"/>
      <c r="S214" s="37"/>
      <c r="T214" s="60" t="str">
        <f t="shared" si="8"/>
        <v/>
      </c>
      <c r="U214" s="38"/>
      <c r="V214" s="38"/>
      <c r="W214" s="38" t="str">
        <f>IF(B214="","",COUNTIFS(Ejecucion[No. Solicitud],Registro!B214,Ejecucion[Estado],"Finalizado"))</f>
        <v/>
      </c>
      <c r="X214" s="38" t="str">
        <f>IF(B214="","",COUNTIFS(Ejecucion[No. Solicitud],Registro!B214,Ejecucion[Estado],"No Iniciado"))</f>
        <v/>
      </c>
      <c r="Y214" s="64" t="str">
        <f>IF(B214="","",COUNTIFS(Ejecucion[No. Solicitud],Registro!B214,Ejecucion[Estado],"En Proceso"))</f>
        <v/>
      </c>
      <c r="Z214" s="64" t="str">
        <f t="shared" si="7"/>
        <v/>
      </c>
      <c r="AA214" s="64"/>
      <c r="AB214" s="64"/>
      <c r="AC214" s="64"/>
      <c r="AD214" s="102"/>
    </row>
    <row r="215" spans="2:30" s="15" customFormat="1">
      <c r="B215" s="36"/>
      <c r="C215" s="102"/>
      <c r="D215" s="18"/>
      <c r="E215" s="22"/>
      <c r="F215" s="83"/>
      <c r="G215" s="83"/>
      <c r="H215" s="25"/>
      <c r="I215" s="25"/>
      <c r="J215" s="25"/>
      <c r="K215" s="25"/>
      <c r="L215" s="54"/>
      <c r="M215" s="36"/>
      <c r="N215" s="36"/>
      <c r="O215" s="102"/>
      <c r="P215" s="36"/>
      <c r="Q215" s="36"/>
      <c r="R215" s="37"/>
      <c r="S215" s="37"/>
      <c r="T215" s="60" t="str">
        <f t="shared" si="8"/>
        <v/>
      </c>
      <c r="U215" s="38"/>
      <c r="V215" s="38"/>
      <c r="W215" s="38" t="str">
        <f>IF(B215="","",COUNTIFS(Ejecucion[No. Solicitud],Registro!B215,Ejecucion[Estado],"Finalizado"))</f>
        <v/>
      </c>
      <c r="X215" s="38" t="str">
        <f>IF(B215="","",COUNTIFS(Ejecucion[No. Solicitud],Registro!B215,Ejecucion[Estado],"No Iniciado"))</f>
        <v/>
      </c>
      <c r="Y215" s="64" t="str">
        <f>IF(B215="","",COUNTIFS(Ejecucion[No. Solicitud],Registro!B215,Ejecucion[Estado],"En Proceso"))</f>
        <v/>
      </c>
      <c r="Z215" s="64" t="str">
        <f t="shared" si="7"/>
        <v/>
      </c>
      <c r="AA215" s="64"/>
      <c r="AB215" s="64"/>
      <c r="AC215" s="64"/>
      <c r="AD215" s="102"/>
    </row>
    <row r="216" spans="2:30" s="15" customFormat="1">
      <c r="B216" s="82"/>
      <c r="C216" s="129"/>
      <c r="D216" s="36"/>
      <c r="E216" s="22"/>
      <c r="F216" s="83"/>
      <c r="G216" s="83"/>
      <c r="H216" s="25"/>
      <c r="I216" s="25"/>
      <c r="J216" s="25"/>
      <c r="K216" s="25"/>
      <c r="L216" s="54"/>
      <c r="M216" s="36"/>
      <c r="N216" s="36"/>
      <c r="O216" s="102"/>
      <c r="P216" s="36"/>
      <c r="Q216" s="36"/>
      <c r="R216" s="37"/>
      <c r="S216" s="37"/>
      <c r="T216" s="60" t="str">
        <f t="shared" si="8"/>
        <v/>
      </c>
      <c r="U216" s="38"/>
      <c r="V216" s="38"/>
      <c r="W216" s="38" t="str">
        <f>IF(B216="","",COUNTIFS(Ejecucion[No. Solicitud],Registro!B216,Ejecucion[Estado],"Finalizado"))</f>
        <v/>
      </c>
      <c r="X216" s="38" t="str">
        <f>IF(B216="","",COUNTIFS(Ejecucion[No. Solicitud],Registro!B216,Ejecucion[Estado],"No Iniciado"))</f>
        <v/>
      </c>
      <c r="Y216" s="64" t="str">
        <f>IF(B216="","",COUNTIFS(Ejecucion[No. Solicitud],Registro!B216,Ejecucion[Estado],"En Proceso"))</f>
        <v/>
      </c>
      <c r="Z216" s="64" t="str">
        <f t="shared" si="7"/>
        <v/>
      </c>
      <c r="AA216" s="64"/>
      <c r="AB216" s="64"/>
      <c r="AC216" s="64"/>
      <c r="AD216" s="102"/>
    </row>
    <row r="217" spans="2:30" s="15" customFormat="1">
      <c r="B217" s="36"/>
      <c r="C217" s="102"/>
      <c r="D217" s="36"/>
      <c r="E217" s="22"/>
      <c r="F217" s="83"/>
      <c r="G217" s="83"/>
      <c r="H217" s="25"/>
      <c r="I217" s="25"/>
      <c r="J217" s="25"/>
      <c r="K217" s="25"/>
      <c r="L217" s="54"/>
      <c r="M217" s="36"/>
      <c r="N217" s="36"/>
      <c r="O217" s="102"/>
      <c r="P217" s="36"/>
      <c r="Q217" s="36"/>
      <c r="R217" s="37"/>
      <c r="S217" s="37"/>
      <c r="T217" s="60" t="str">
        <f t="shared" si="8"/>
        <v/>
      </c>
      <c r="U217" s="38"/>
      <c r="V217" s="38"/>
      <c r="W217" s="38" t="str">
        <f>IF(B217="","",COUNTIFS(Ejecucion[No. Solicitud],Registro!B217,Ejecucion[Estado],"Finalizado"))</f>
        <v/>
      </c>
      <c r="X217" s="38" t="str">
        <f>IF(B217="","",COUNTIFS(Ejecucion[No. Solicitud],Registro!B217,Ejecucion[Estado],"No Iniciado"))</f>
        <v/>
      </c>
      <c r="Y217" s="64" t="str">
        <f>IF(B217="","",COUNTIFS(Ejecucion[No. Solicitud],Registro!B217,Ejecucion[Estado],"En Proceso"))</f>
        <v/>
      </c>
      <c r="Z217" s="64" t="str">
        <f t="shared" si="7"/>
        <v/>
      </c>
      <c r="AA217" s="64"/>
      <c r="AB217" s="64"/>
      <c r="AC217" s="64"/>
      <c r="AD217" s="102"/>
    </row>
    <row r="218" spans="2:30" s="15" customFormat="1">
      <c r="B218" s="36"/>
      <c r="C218" s="102"/>
      <c r="D218" s="36"/>
      <c r="E218" s="22"/>
      <c r="F218" s="83"/>
      <c r="G218" s="83"/>
      <c r="H218" s="25"/>
      <c r="I218" s="25"/>
      <c r="J218" s="25"/>
      <c r="K218" s="25"/>
      <c r="L218" s="54"/>
      <c r="M218" s="36"/>
      <c r="N218" s="36"/>
      <c r="O218" s="102"/>
      <c r="P218" s="36"/>
      <c r="Q218" s="36"/>
      <c r="R218" s="37"/>
      <c r="S218" s="37"/>
      <c r="T218" s="60" t="str">
        <f t="shared" si="8"/>
        <v/>
      </c>
      <c r="U218" s="38"/>
      <c r="V218" s="38"/>
      <c r="W218" s="38" t="str">
        <f>IF(B218="","",COUNTIFS(Ejecucion[No. Solicitud],Registro!B218,Ejecucion[Estado],"Finalizado"))</f>
        <v/>
      </c>
      <c r="X218" s="38" t="str">
        <f>IF(B218="","",COUNTIFS(Ejecucion[No. Solicitud],Registro!B218,Ejecucion[Estado],"No Iniciado"))</f>
        <v/>
      </c>
      <c r="Y218" s="64" t="str">
        <f>IF(B218="","",COUNTIFS(Ejecucion[No. Solicitud],Registro!B218,Ejecucion[Estado],"En Proceso"))</f>
        <v/>
      </c>
      <c r="Z218" s="64" t="str">
        <f t="shared" ref="Z218:Z281" si="9">IF(U218="","",IF(F218="Virtual Asincrónico",1,V218*U218))</f>
        <v/>
      </c>
      <c r="AA218" s="64"/>
      <c r="AB218" s="64"/>
      <c r="AC218" s="64"/>
      <c r="AD218" s="102"/>
    </row>
    <row r="219" spans="2:30" s="15" customFormat="1">
      <c r="B219" s="36"/>
      <c r="C219" s="102"/>
      <c r="D219" s="18"/>
      <c r="E219" s="22"/>
      <c r="F219" s="83"/>
      <c r="G219" s="83"/>
      <c r="H219" s="25"/>
      <c r="I219" s="25"/>
      <c r="J219" s="25"/>
      <c r="K219" s="25"/>
      <c r="L219" s="54"/>
      <c r="M219" s="36"/>
      <c r="N219" s="36"/>
      <c r="O219" s="102"/>
      <c r="P219" s="36"/>
      <c r="Q219" s="36"/>
      <c r="R219" s="37"/>
      <c r="S219" s="37"/>
      <c r="T219" s="60" t="str">
        <f t="shared" si="8"/>
        <v/>
      </c>
      <c r="U219" s="38"/>
      <c r="V219" s="38"/>
      <c r="W219" s="38" t="str">
        <f>IF(B219="","",COUNTIFS(Ejecucion[No. Solicitud],Registro!B219,Ejecucion[Estado],"Finalizado"))</f>
        <v/>
      </c>
      <c r="X219" s="38" t="str">
        <f>IF(B219="","",COUNTIFS(Ejecucion[No. Solicitud],Registro!B219,Ejecucion[Estado],"No Iniciado"))</f>
        <v/>
      </c>
      <c r="Y219" s="64" t="str">
        <f>IF(B219="","",COUNTIFS(Ejecucion[No. Solicitud],Registro!B219,Ejecucion[Estado],"En Proceso"))</f>
        <v/>
      </c>
      <c r="Z219" s="64" t="str">
        <f t="shared" si="9"/>
        <v/>
      </c>
      <c r="AA219" s="64"/>
      <c r="AB219" s="64"/>
      <c r="AC219" s="64"/>
      <c r="AD219" s="102"/>
    </row>
    <row r="220" spans="2:30" s="15" customFormat="1">
      <c r="B220" s="36"/>
      <c r="C220" s="102"/>
      <c r="D220" s="18"/>
      <c r="E220" s="22"/>
      <c r="F220" s="83"/>
      <c r="G220" s="83"/>
      <c r="H220" s="25"/>
      <c r="I220" s="25"/>
      <c r="J220" s="25"/>
      <c r="K220" s="25"/>
      <c r="L220" s="54"/>
      <c r="M220" s="36"/>
      <c r="N220" s="36"/>
      <c r="O220" s="102"/>
      <c r="P220" s="36"/>
      <c r="Q220" s="36"/>
      <c r="R220" s="37"/>
      <c r="S220" s="37"/>
      <c r="T220" s="60" t="str">
        <f t="shared" si="8"/>
        <v/>
      </c>
      <c r="U220" s="38"/>
      <c r="V220" s="38"/>
      <c r="W220" s="38" t="str">
        <f>IF(B220="","",COUNTIFS(Ejecucion[No. Solicitud],Registro!B220,Ejecucion[Estado],"Finalizado"))</f>
        <v/>
      </c>
      <c r="X220" s="38" t="str">
        <f>IF(B220="","",COUNTIFS(Ejecucion[No. Solicitud],Registro!B220,Ejecucion[Estado],"No Iniciado"))</f>
        <v/>
      </c>
      <c r="Y220" s="64" t="str">
        <f>IF(B220="","",COUNTIFS(Ejecucion[No. Solicitud],Registro!B220,Ejecucion[Estado],"En Proceso"))</f>
        <v/>
      </c>
      <c r="Z220" s="64" t="str">
        <f t="shared" si="9"/>
        <v/>
      </c>
      <c r="AA220" s="64"/>
      <c r="AB220" s="64"/>
      <c r="AC220" s="64"/>
      <c r="AD220" s="102"/>
    </row>
    <row r="221" spans="2:30" s="15" customFormat="1">
      <c r="B221" s="36"/>
      <c r="C221" s="102"/>
      <c r="D221" s="18"/>
      <c r="E221" s="22"/>
      <c r="F221" s="83"/>
      <c r="G221" s="83"/>
      <c r="H221" s="25"/>
      <c r="I221" s="25"/>
      <c r="J221" s="25"/>
      <c r="K221" s="25"/>
      <c r="L221" s="54"/>
      <c r="M221" s="36"/>
      <c r="N221" s="36"/>
      <c r="O221" s="102"/>
      <c r="P221" s="36"/>
      <c r="Q221" s="36"/>
      <c r="R221" s="37"/>
      <c r="S221" s="37"/>
      <c r="T221" s="60" t="str">
        <f t="shared" si="8"/>
        <v/>
      </c>
      <c r="U221" s="38"/>
      <c r="V221" s="38"/>
      <c r="W221" s="38" t="str">
        <f>IF(B221="","",COUNTIFS(Ejecucion[No. Solicitud],Registro!B221,Ejecucion[Estado],"Finalizado"))</f>
        <v/>
      </c>
      <c r="X221" s="38" t="str">
        <f>IF(B221="","",COUNTIFS(Ejecucion[No. Solicitud],Registro!B221,Ejecucion[Estado],"No Iniciado"))</f>
        <v/>
      </c>
      <c r="Y221" s="64" t="str">
        <f>IF(B221="","",COUNTIFS(Ejecucion[No. Solicitud],Registro!B221,Ejecucion[Estado],"En Proceso"))</f>
        <v/>
      </c>
      <c r="Z221" s="64" t="str">
        <f t="shared" si="9"/>
        <v/>
      </c>
      <c r="AA221" s="64"/>
      <c r="AB221" s="64"/>
      <c r="AC221" s="64"/>
      <c r="AD221" s="102"/>
    </row>
    <row r="222" spans="2:30" s="15" customFormat="1">
      <c r="B222" s="36"/>
      <c r="C222" s="102"/>
      <c r="D222" s="36"/>
      <c r="E222" s="22"/>
      <c r="F222" s="83"/>
      <c r="G222" s="83"/>
      <c r="H222" s="25"/>
      <c r="I222" s="25"/>
      <c r="J222" s="25"/>
      <c r="K222" s="25"/>
      <c r="L222" s="54"/>
      <c r="M222" s="36"/>
      <c r="N222" s="36"/>
      <c r="O222" s="102"/>
      <c r="P222" s="36"/>
      <c r="Q222" s="36"/>
      <c r="R222" s="37"/>
      <c r="S222" s="37"/>
      <c r="T222" s="60" t="str">
        <f t="shared" si="8"/>
        <v/>
      </c>
      <c r="U222" s="38"/>
      <c r="V222" s="38"/>
      <c r="W222" s="38" t="str">
        <f>IF(B222="","",COUNTIFS(Ejecucion[No. Solicitud],Registro!B222,Ejecucion[Estado],"Finalizado"))</f>
        <v/>
      </c>
      <c r="X222" s="38" t="str">
        <f>IF(B222="","",COUNTIFS(Ejecucion[No. Solicitud],Registro!B222,Ejecucion[Estado],"No Iniciado"))</f>
        <v/>
      </c>
      <c r="Y222" s="64" t="str">
        <f>IF(B222="","",COUNTIFS(Ejecucion[No. Solicitud],Registro!B222,Ejecucion[Estado],"En Proceso"))</f>
        <v/>
      </c>
      <c r="Z222" s="64" t="str">
        <f t="shared" si="9"/>
        <v/>
      </c>
      <c r="AA222" s="64"/>
      <c r="AB222" s="64"/>
      <c r="AC222" s="64"/>
      <c r="AD222" s="102"/>
    </row>
    <row r="223" spans="2:30" s="15" customFormat="1">
      <c r="B223" s="36"/>
      <c r="C223" s="102"/>
      <c r="D223" s="36"/>
      <c r="E223" s="22"/>
      <c r="F223" s="83"/>
      <c r="G223" s="83"/>
      <c r="H223" s="25"/>
      <c r="I223" s="25"/>
      <c r="J223" s="25"/>
      <c r="K223" s="25"/>
      <c r="L223" s="54"/>
      <c r="M223" s="36"/>
      <c r="N223" s="36"/>
      <c r="O223" s="102"/>
      <c r="P223" s="36"/>
      <c r="Q223" s="36"/>
      <c r="R223" s="37"/>
      <c r="S223" s="37"/>
      <c r="T223" s="60" t="str">
        <f t="shared" si="8"/>
        <v/>
      </c>
      <c r="U223" s="38"/>
      <c r="V223" s="38"/>
      <c r="W223" s="38" t="str">
        <f>IF(B223="","",COUNTIFS(Ejecucion[No. Solicitud],Registro!B223,Ejecucion[Estado],"Finalizado"))</f>
        <v/>
      </c>
      <c r="X223" s="38" t="str">
        <f>IF(B223="","",COUNTIFS(Ejecucion[No. Solicitud],Registro!B223,Ejecucion[Estado],"No Iniciado"))</f>
        <v/>
      </c>
      <c r="Y223" s="64" t="str">
        <f>IF(B223="","",COUNTIFS(Ejecucion[No. Solicitud],Registro!B223,Ejecucion[Estado],"En Proceso"))</f>
        <v/>
      </c>
      <c r="Z223" s="64" t="str">
        <f t="shared" si="9"/>
        <v/>
      </c>
      <c r="AA223" s="64"/>
      <c r="AB223" s="64"/>
      <c r="AC223" s="64"/>
      <c r="AD223" s="102"/>
    </row>
    <row r="224" spans="2:30" s="15" customFormat="1">
      <c r="B224" s="36"/>
      <c r="C224" s="102"/>
      <c r="D224" s="36"/>
      <c r="E224" s="22"/>
      <c r="F224" s="83"/>
      <c r="G224" s="83"/>
      <c r="H224" s="25"/>
      <c r="I224" s="25"/>
      <c r="J224" s="25"/>
      <c r="K224" s="25"/>
      <c r="L224" s="54"/>
      <c r="M224" s="36"/>
      <c r="N224" s="36"/>
      <c r="O224" s="102"/>
      <c r="P224" s="36"/>
      <c r="Q224" s="36"/>
      <c r="R224" s="37"/>
      <c r="S224" s="37"/>
      <c r="T224" s="60" t="str">
        <f t="shared" si="8"/>
        <v/>
      </c>
      <c r="U224" s="38"/>
      <c r="V224" s="38"/>
      <c r="W224" s="38" t="str">
        <f>IF(B224="","",COUNTIFS(Ejecucion[No. Solicitud],Registro!B224,Ejecucion[Estado],"Finalizado"))</f>
        <v/>
      </c>
      <c r="X224" s="38" t="str">
        <f>IF(B224="","",COUNTIFS(Ejecucion[No. Solicitud],Registro!B224,Ejecucion[Estado],"No Iniciado"))</f>
        <v/>
      </c>
      <c r="Y224" s="64" t="str">
        <f>IF(B224="","",COUNTIFS(Ejecucion[No. Solicitud],Registro!B224,Ejecucion[Estado],"En Proceso"))</f>
        <v/>
      </c>
      <c r="Z224" s="64" t="str">
        <f t="shared" si="9"/>
        <v/>
      </c>
      <c r="AA224" s="64"/>
      <c r="AB224" s="64"/>
      <c r="AC224" s="64"/>
      <c r="AD224" s="102"/>
    </row>
    <row r="225" spans="2:30" s="15" customFormat="1">
      <c r="B225" s="36"/>
      <c r="C225" s="102"/>
      <c r="D225" s="36"/>
      <c r="E225" s="22"/>
      <c r="F225" s="83"/>
      <c r="G225" s="83"/>
      <c r="H225" s="25"/>
      <c r="I225" s="25"/>
      <c r="J225" s="25"/>
      <c r="K225" s="25"/>
      <c r="L225" s="54"/>
      <c r="M225" s="36"/>
      <c r="N225" s="36"/>
      <c r="O225" s="102"/>
      <c r="P225" s="36"/>
      <c r="Q225" s="36"/>
      <c r="R225" s="37"/>
      <c r="S225" s="37"/>
      <c r="T225" s="60" t="str">
        <f t="shared" si="8"/>
        <v/>
      </c>
      <c r="U225" s="38"/>
      <c r="V225" s="38"/>
      <c r="W225" s="38" t="str">
        <f>IF(B225="","",COUNTIFS(Ejecucion[No. Solicitud],Registro!B225,Ejecucion[Estado],"Finalizado"))</f>
        <v/>
      </c>
      <c r="X225" s="38" t="str">
        <f>IF(B225="","",COUNTIFS(Ejecucion[No. Solicitud],Registro!B225,Ejecucion[Estado],"No Iniciado"))</f>
        <v/>
      </c>
      <c r="Y225" s="64" t="str">
        <f>IF(B225="","",COUNTIFS(Ejecucion[No. Solicitud],Registro!B225,Ejecucion[Estado],"En Proceso"))</f>
        <v/>
      </c>
      <c r="Z225" s="64" t="str">
        <f t="shared" si="9"/>
        <v/>
      </c>
      <c r="AA225" s="64"/>
      <c r="AB225" s="64"/>
      <c r="AC225" s="64"/>
      <c r="AD225" s="102"/>
    </row>
    <row r="226" spans="2:30" s="15" customFormat="1">
      <c r="B226" s="36"/>
      <c r="C226" s="102"/>
      <c r="D226" s="36"/>
      <c r="E226" s="22"/>
      <c r="F226" s="83"/>
      <c r="G226" s="83"/>
      <c r="H226" s="25"/>
      <c r="I226" s="25"/>
      <c r="J226" s="25"/>
      <c r="K226" s="25"/>
      <c r="L226" s="54"/>
      <c r="M226" s="36"/>
      <c r="N226" s="36"/>
      <c r="O226" s="102"/>
      <c r="P226" s="36"/>
      <c r="Q226" s="36"/>
      <c r="R226" s="37"/>
      <c r="S226" s="37"/>
      <c r="T226" s="60" t="str">
        <f t="shared" si="8"/>
        <v/>
      </c>
      <c r="U226" s="38"/>
      <c r="V226" s="38"/>
      <c r="W226" s="38" t="str">
        <f>IF(B226="","",COUNTIFS(Ejecucion[No. Solicitud],Registro!B226,Ejecucion[Estado],"Finalizado"))</f>
        <v/>
      </c>
      <c r="X226" s="38" t="str">
        <f>IF(B226="","",COUNTIFS(Ejecucion[No. Solicitud],Registro!B226,Ejecucion[Estado],"No Iniciado"))</f>
        <v/>
      </c>
      <c r="Y226" s="64" t="str">
        <f>IF(B226="","",COUNTIFS(Ejecucion[No. Solicitud],Registro!B226,Ejecucion[Estado],"En Proceso"))</f>
        <v/>
      </c>
      <c r="Z226" s="64" t="str">
        <f t="shared" si="9"/>
        <v/>
      </c>
      <c r="AA226" s="64"/>
      <c r="AB226" s="64"/>
      <c r="AC226" s="64"/>
      <c r="AD226" s="102"/>
    </row>
    <row r="227" spans="2:30" s="15" customFormat="1">
      <c r="B227" s="36"/>
      <c r="C227" s="102"/>
      <c r="D227" s="36"/>
      <c r="E227" s="22"/>
      <c r="F227" s="83"/>
      <c r="G227" s="83"/>
      <c r="H227" s="25"/>
      <c r="I227" s="25"/>
      <c r="J227" s="25"/>
      <c r="K227" s="25"/>
      <c r="L227" s="54"/>
      <c r="M227" s="18"/>
      <c r="N227" s="18"/>
      <c r="O227" s="25"/>
      <c r="P227" s="18"/>
      <c r="Q227" s="18"/>
      <c r="R227" s="37"/>
      <c r="S227" s="37"/>
      <c r="T227" s="60" t="str">
        <f t="shared" si="8"/>
        <v/>
      </c>
      <c r="U227" s="38"/>
      <c r="V227" s="38"/>
      <c r="W227" s="38" t="str">
        <f>IF(B227="","",COUNTIFS(Ejecucion[No. Solicitud],Registro!B227,Ejecucion[Estado],"Finalizado"))</f>
        <v/>
      </c>
      <c r="X227" s="38" t="str">
        <f>IF(B227="","",COUNTIFS(Ejecucion[No. Solicitud],Registro!B227,Ejecucion[Estado],"No Iniciado"))</f>
        <v/>
      </c>
      <c r="Y227" s="64" t="str">
        <f>IF(B227="","",COUNTIFS(Ejecucion[No. Solicitud],Registro!B227,Ejecucion[Estado],"En Proceso"))</f>
        <v/>
      </c>
      <c r="Z227" s="64" t="str">
        <f t="shared" si="9"/>
        <v/>
      </c>
      <c r="AA227" s="64"/>
      <c r="AB227" s="64"/>
      <c r="AC227" s="64"/>
      <c r="AD227" s="102"/>
    </row>
    <row r="228" spans="2:30" s="15" customFormat="1">
      <c r="B228" s="36"/>
      <c r="C228" s="102"/>
      <c r="D228" s="36"/>
      <c r="E228" s="22"/>
      <c r="F228" s="83"/>
      <c r="G228" s="83"/>
      <c r="H228" s="25"/>
      <c r="I228" s="25"/>
      <c r="J228" s="25"/>
      <c r="K228" s="25"/>
      <c r="L228" s="54"/>
      <c r="M228" s="36"/>
      <c r="N228" s="36"/>
      <c r="O228" s="102"/>
      <c r="P228" s="36"/>
      <c r="Q228" s="36"/>
      <c r="R228" s="37"/>
      <c r="S228" s="37"/>
      <c r="T228" s="60" t="str">
        <f t="shared" si="8"/>
        <v/>
      </c>
      <c r="U228" s="38"/>
      <c r="V228" s="38"/>
      <c r="W228" s="38" t="str">
        <f>IF(B228="","",COUNTIFS(Ejecucion[No. Solicitud],Registro!B228,Ejecucion[Estado],"Finalizado"))</f>
        <v/>
      </c>
      <c r="X228" s="38" t="str">
        <f>IF(B228="","",COUNTIFS(Ejecucion[No. Solicitud],Registro!B228,Ejecucion[Estado],"No Iniciado"))</f>
        <v/>
      </c>
      <c r="Y228" s="64" t="str">
        <f>IF(B228="","",COUNTIFS(Ejecucion[No. Solicitud],Registro!B228,Ejecucion[Estado],"En Proceso"))</f>
        <v/>
      </c>
      <c r="Z228" s="64" t="str">
        <f t="shared" si="9"/>
        <v/>
      </c>
      <c r="AA228" s="64"/>
      <c r="AB228" s="64"/>
      <c r="AC228" s="64"/>
      <c r="AD228" s="102"/>
    </row>
    <row r="229" spans="2:30" s="15" customFormat="1">
      <c r="B229" s="36"/>
      <c r="C229" s="102"/>
      <c r="D229" s="36"/>
      <c r="E229" s="22"/>
      <c r="F229" s="83"/>
      <c r="G229" s="83"/>
      <c r="H229" s="25"/>
      <c r="I229" s="25"/>
      <c r="J229" s="25"/>
      <c r="K229" s="25"/>
      <c r="L229" s="54"/>
      <c r="M229" s="36"/>
      <c r="N229" s="36"/>
      <c r="O229" s="102"/>
      <c r="P229" s="36"/>
      <c r="Q229" s="36"/>
      <c r="R229" s="37"/>
      <c r="S229" s="37"/>
      <c r="T229" s="60" t="str">
        <f t="shared" si="8"/>
        <v/>
      </c>
      <c r="U229" s="38"/>
      <c r="V229" s="38"/>
      <c r="W229" s="38" t="str">
        <f>IF(B229="","",COUNTIFS(Ejecucion[No. Solicitud],Registro!B229,Ejecucion[Estado],"Finalizado"))</f>
        <v/>
      </c>
      <c r="X229" s="38" t="str">
        <f>IF(B229="","",COUNTIFS(Ejecucion[No. Solicitud],Registro!B229,Ejecucion[Estado],"No Iniciado"))</f>
        <v/>
      </c>
      <c r="Y229" s="64" t="str">
        <f>IF(B229="","",COUNTIFS(Ejecucion[No. Solicitud],Registro!B229,Ejecucion[Estado],"En Proceso"))</f>
        <v/>
      </c>
      <c r="Z229" s="64" t="str">
        <f t="shared" si="9"/>
        <v/>
      </c>
      <c r="AA229" s="64"/>
      <c r="AB229" s="64"/>
      <c r="AC229" s="64"/>
      <c r="AD229" s="102"/>
    </row>
    <row r="230" spans="2:30" s="15" customFormat="1">
      <c r="B230" s="36"/>
      <c r="C230" s="102"/>
      <c r="D230" s="36"/>
      <c r="E230" s="22"/>
      <c r="F230" s="83"/>
      <c r="G230" s="83"/>
      <c r="H230" s="25"/>
      <c r="I230" s="25"/>
      <c r="J230" s="25"/>
      <c r="K230" s="25"/>
      <c r="L230" s="54"/>
      <c r="M230" s="36"/>
      <c r="N230" s="36"/>
      <c r="O230" s="102"/>
      <c r="P230" s="36"/>
      <c r="Q230" s="36"/>
      <c r="R230" s="37"/>
      <c r="S230" s="37"/>
      <c r="T230" s="60" t="str">
        <f t="shared" si="8"/>
        <v/>
      </c>
      <c r="U230" s="38"/>
      <c r="V230" s="38"/>
      <c r="W230" s="38" t="str">
        <f>IF(B230="","",COUNTIFS(Ejecucion[No. Solicitud],Registro!B230,Ejecucion[Estado],"Finalizado"))</f>
        <v/>
      </c>
      <c r="X230" s="38" t="str">
        <f>IF(B230="","",COUNTIFS(Ejecucion[No. Solicitud],Registro!B230,Ejecucion[Estado],"No Iniciado"))</f>
        <v/>
      </c>
      <c r="Y230" s="64" t="str">
        <f>IF(B230="","",COUNTIFS(Ejecucion[No. Solicitud],Registro!B230,Ejecucion[Estado],"En Proceso"))</f>
        <v/>
      </c>
      <c r="Z230" s="64" t="str">
        <f t="shared" si="9"/>
        <v/>
      </c>
      <c r="AA230" s="64"/>
      <c r="AB230" s="64"/>
      <c r="AC230" s="64"/>
      <c r="AD230" s="102"/>
    </row>
    <row r="231" spans="2:30" s="15" customFormat="1">
      <c r="B231" s="18"/>
      <c r="C231" s="25"/>
      <c r="D231" s="18"/>
      <c r="E231" s="22"/>
      <c r="F231" s="83"/>
      <c r="G231" s="83"/>
      <c r="H231" s="25"/>
      <c r="I231" s="25"/>
      <c r="J231" s="25"/>
      <c r="K231" s="25"/>
      <c r="L231" s="54"/>
      <c r="M231" s="18"/>
      <c r="N231" s="18"/>
      <c r="O231" s="25"/>
      <c r="P231" s="18"/>
      <c r="Q231" s="18"/>
      <c r="R231" s="37"/>
      <c r="S231" s="37"/>
      <c r="T231" s="60" t="str">
        <f t="shared" si="8"/>
        <v/>
      </c>
      <c r="U231" s="38"/>
      <c r="V231" s="38"/>
      <c r="W231" s="38" t="str">
        <f>IF(B231="","",COUNTIFS(Ejecucion[No. Solicitud],Registro!B231,Ejecucion[Estado],"Finalizado"))</f>
        <v/>
      </c>
      <c r="X231" s="38" t="str">
        <f>IF(B231="","",COUNTIFS(Ejecucion[No. Solicitud],Registro!B231,Ejecucion[Estado],"No Iniciado"))</f>
        <v/>
      </c>
      <c r="Y231" s="64" t="str">
        <f>IF(B231="","",COUNTIFS(Ejecucion[No. Solicitud],Registro!B231,Ejecucion[Estado],"En Proceso"))</f>
        <v/>
      </c>
      <c r="Z231" s="64" t="str">
        <f t="shared" si="9"/>
        <v/>
      </c>
      <c r="AA231" s="64"/>
      <c r="AB231" s="64"/>
      <c r="AC231" s="64"/>
      <c r="AD231" s="102"/>
    </row>
    <row r="232" spans="2:30" s="15" customFormat="1">
      <c r="B232" s="36"/>
      <c r="C232" s="102"/>
      <c r="D232" s="36"/>
      <c r="E232" s="22"/>
      <c r="F232" s="83"/>
      <c r="G232" s="83"/>
      <c r="H232" s="25"/>
      <c r="I232" s="25"/>
      <c r="J232" s="25"/>
      <c r="K232" s="25"/>
      <c r="L232" s="54"/>
      <c r="M232" s="36"/>
      <c r="N232" s="36"/>
      <c r="O232" s="102"/>
      <c r="P232" s="36"/>
      <c r="Q232" s="36"/>
      <c r="R232" s="37"/>
      <c r="S232" s="37"/>
      <c r="T232" s="60" t="str">
        <f t="shared" si="8"/>
        <v/>
      </c>
      <c r="U232" s="38"/>
      <c r="V232" s="38"/>
      <c r="W232" s="38" t="str">
        <f>IF(B232="","",COUNTIFS(Ejecucion[No. Solicitud],Registro!B232,Ejecucion[Estado],"Finalizado"))</f>
        <v/>
      </c>
      <c r="X232" s="38" t="str">
        <f>IF(B232="","",COUNTIFS(Ejecucion[No. Solicitud],Registro!B232,Ejecucion[Estado],"No Iniciado"))</f>
        <v/>
      </c>
      <c r="Y232" s="64" t="str">
        <f>IF(B232="","",COUNTIFS(Ejecucion[No. Solicitud],Registro!B232,Ejecucion[Estado],"En Proceso"))</f>
        <v/>
      </c>
      <c r="Z232" s="64" t="str">
        <f t="shared" si="9"/>
        <v/>
      </c>
      <c r="AA232" s="64"/>
      <c r="AB232" s="64"/>
      <c r="AC232" s="64"/>
      <c r="AD232" s="102"/>
    </row>
    <row r="233" spans="2:30" s="15" customFormat="1">
      <c r="B233" s="36"/>
      <c r="C233" s="102"/>
      <c r="D233" s="18"/>
      <c r="E233" s="22"/>
      <c r="F233" s="83"/>
      <c r="G233" s="83"/>
      <c r="H233" s="25"/>
      <c r="I233" s="25"/>
      <c r="J233" s="25"/>
      <c r="K233" s="25"/>
      <c r="L233" s="54"/>
      <c r="M233" s="36"/>
      <c r="N233" s="36"/>
      <c r="O233" s="102"/>
      <c r="P233" s="36"/>
      <c r="Q233" s="36"/>
      <c r="R233" s="37"/>
      <c r="S233" s="37"/>
      <c r="T233" s="60" t="str">
        <f t="shared" si="8"/>
        <v/>
      </c>
      <c r="U233" s="38"/>
      <c r="V233" s="38"/>
      <c r="W233" s="38" t="str">
        <f>IF(B233="","",COUNTIFS(Ejecucion[No. Solicitud],Registro!B233,Ejecucion[Estado],"Finalizado"))</f>
        <v/>
      </c>
      <c r="X233" s="38" t="str">
        <f>IF(B233="","",COUNTIFS(Ejecucion[No. Solicitud],Registro!B233,Ejecucion[Estado],"No Iniciado"))</f>
        <v/>
      </c>
      <c r="Y233" s="64" t="str">
        <f>IF(B233="","",COUNTIFS(Ejecucion[No. Solicitud],Registro!B233,Ejecucion[Estado],"En Proceso"))</f>
        <v/>
      </c>
      <c r="Z233" s="64" t="str">
        <f t="shared" si="9"/>
        <v/>
      </c>
      <c r="AA233" s="64"/>
      <c r="AB233" s="64"/>
      <c r="AC233" s="64"/>
      <c r="AD233" s="102"/>
    </row>
    <row r="234" spans="2:30" s="15" customFormat="1">
      <c r="B234" s="36"/>
      <c r="C234" s="102"/>
      <c r="D234" s="18"/>
      <c r="E234" s="22"/>
      <c r="F234" s="83"/>
      <c r="G234" s="83"/>
      <c r="H234" s="25"/>
      <c r="I234" s="25"/>
      <c r="J234" s="25"/>
      <c r="K234" s="25"/>
      <c r="L234" s="54"/>
      <c r="M234" s="36"/>
      <c r="N234" s="36"/>
      <c r="O234" s="102"/>
      <c r="P234" s="36"/>
      <c r="Q234" s="36"/>
      <c r="R234" s="37"/>
      <c r="S234" s="37"/>
      <c r="T234" s="60" t="str">
        <f t="shared" si="8"/>
        <v/>
      </c>
      <c r="U234" s="38"/>
      <c r="V234" s="38"/>
      <c r="W234" s="38" t="str">
        <f>IF(B234="","",COUNTIFS(Ejecucion[No. Solicitud],Registro!B234,Ejecucion[Estado],"Finalizado"))</f>
        <v/>
      </c>
      <c r="X234" s="38" t="str">
        <f>IF(B234="","",COUNTIFS(Ejecucion[No. Solicitud],Registro!B234,Ejecucion[Estado],"No Iniciado"))</f>
        <v/>
      </c>
      <c r="Y234" s="64" t="str">
        <f>IF(B234="","",COUNTIFS(Ejecucion[No. Solicitud],Registro!B234,Ejecucion[Estado],"En Proceso"))</f>
        <v/>
      </c>
      <c r="Z234" s="64" t="str">
        <f t="shared" si="9"/>
        <v/>
      </c>
      <c r="AA234" s="64"/>
      <c r="AB234" s="64"/>
      <c r="AC234" s="64"/>
      <c r="AD234" s="102"/>
    </row>
    <row r="235" spans="2:30" s="15" customFormat="1">
      <c r="B235" s="36"/>
      <c r="C235" s="102"/>
      <c r="D235" s="18"/>
      <c r="E235" s="22"/>
      <c r="F235" s="83"/>
      <c r="G235" s="83"/>
      <c r="H235" s="25"/>
      <c r="I235" s="25"/>
      <c r="J235" s="25"/>
      <c r="K235" s="25"/>
      <c r="L235" s="54"/>
      <c r="M235" s="36"/>
      <c r="N235" s="36"/>
      <c r="O235" s="102"/>
      <c r="P235" s="36"/>
      <c r="Q235" s="36"/>
      <c r="R235" s="37"/>
      <c r="S235" s="37"/>
      <c r="T235" s="60" t="str">
        <f t="shared" si="8"/>
        <v/>
      </c>
      <c r="U235" s="38"/>
      <c r="V235" s="38"/>
      <c r="W235" s="38" t="str">
        <f>IF(B235="","",COUNTIFS(Ejecucion[No. Solicitud],Registro!B235,Ejecucion[Estado],"Finalizado"))</f>
        <v/>
      </c>
      <c r="X235" s="38" t="str">
        <f>IF(B235="","",COUNTIFS(Ejecucion[No. Solicitud],Registro!B235,Ejecucion[Estado],"No Iniciado"))</f>
        <v/>
      </c>
      <c r="Y235" s="64" t="str">
        <f>IF(B235="","",COUNTIFS(Ejecucion[No. Solicitud],Registro!B235,Ejecucion[Estado],"En Proceso"))</f>
        <v/>
      </c>
      <c r="Z235" s="64" t="str">
        <f t="shared" si="9"/>
        <v/>
      </c>
      <c r="AA235" s="64"/>
      <c r="AB235" s="64"/>
      <c r="AC235" s="64"/>
      <c r="AD235" s="102"/>
    </row>
    <row r="236" spans="2:30" s="15" customFormat="1">
      <c r="B236" s="36"/>
      <c r="C236" s="102"/>
      <c r="D236" s="18"/>
      <c r="E236" s="22"/>
      <c r="F236" s="83"/>
      <c r="G236" s="83"/>
      <c r="H236" s="25"/>
      <c r="I236" s="25"/>
      <c r="J236" s="25"/>
      <c r="K236" s="25"/>
      <c r="L236" s="54"/>
      <c r="M236" s="36"/>
      <c r="N236" s="36"/>
      <c r="O236" s="102"/>
      <c r="P236" s="36"/>
      <c r="Q236" s="36"/>
      <c r="R236" s="37"/>
      <c r="S236" s="37"/>
      <c r="T236" s="60" t="str">
        <f t="shared" si="8"/>
        <v/>
      </c>
      <c r="U236" s="38"/>
      <c r="V236" s="38"/>
      <c r="W236" s="38" t="str">
        <f>IF(B236="","",COUNTIFS(Ejecucion[No. Solicitud],Registro!B236,Ejecucion[Estado],"Finalizado"))</f>
        <v/>
      </c>
      <c r="X236" s="38" t="str">
        <f>IF(B236="","",COUNTIFS(Ejecucion[No. Solicitud],Registro!B236,Ejecucion[Estado],"No Iniciado"))</f>
        <v/>
      </c>
      <c r="Y236" s="64" t="str">
        <f>IF(B236="","",COUNTIFS(Ejecucion[No. Solicitud],Registro!B236,Ejecucion[Estado],"En Proceso"))</f>
        <v/>
      </c>
      <c r="Z236" s="64" t="str">
        <f t="shared" si="9"/>
        <v/>
      </c>
      <c r="AA236" s="64"/>
      <c r="AB236" s="64"/>
      <c r="AC236" s="64"/>
      <c r="AD236" s="102"/>
    </row>
    <row r="237" spans="2:30" s="15" customFormat="1">
      <c r="B237" s="36"/>
      <c r="C237" s="102"/>
      <c r="D237" s="18"/>
      <c r="E237" s="22"/>
      <c r="F237" s="83"/>
      <c r="G237" s="83"/>
      <c r="H237" s="25"/>
      <c r="I237" s="25"/>
      <c r="J237" s="25"/>
      <c r="K237" s="25"/>
      <c r="L237" s="54"/>
      <c r="M237" s="36"/>
      <c r="N237" s="36"/>
      <c r="O237" s="102"/>
      <c r="P237" s="36"/>
      <c r="Q237" s="36"/>
      <c r="R237" s="37"/>
      <c r="S237" s="37"/>
      <c r="T237" s="60" t="str">
        <f t="shared" si="8"/>
        <v/>
      </c>
      <c r="U237" s="38"/>
      <c r="V237" s="38"/>
      <c r="W237" s="38" t="str">
        <f>IF(B237="","",COUNTIFS(Ejecucion[No. Solicitud],Registro!B237,Ejecucion[Estado],"Finalizado"))</f>
        <v/>
      </c>
      <c r="X237" s="38" t="str">
        <f>IF(B237="","",COUNTIFS(Ejecucion[No. Solicitud],Registro!B237,Ejecucion[Estado],"No Iniciado"))</f>
        <v/>
      </c>
      <c r="Y237" s="64" t="str">
        <f>IF(B237="","",COUNTIFS(Ejecucion[No. Solicitud],Registro!B237,Ejecucion[Estado],"En Proceso"))</f>
        <v/>
      </c>
      <c r="Z237" s="64" t="str">
        <f t="shared" si="9"/>
        <v/>
      </c>
      <c r="AA237" s="64"/>
      <c r="AB237" s="64"/>
      <c r="AC237" s="64"/>
      <c r="AD237" s="102"/>
    </row>
    <row r="238" spans="2:30" s="15" customFormat="1">
      <c r="B238" s="36"/>
      <c r="C238" s="102"/>
      <c r="D238" s="36"/>
      <c r="E238" s="22"/>
      <c r="F238" s="83"/>
      <c r="G238" s="83"/>
      <c r="H238" s="25"/>
      <c r="I238" s="25"/>
      <c r="J238" s="25"/>
      <c r="K238" s="25"/>
      <c r="L238" s="54"/>
      <c r="M238" s="36"/>
      <c r="N238" s="36"/>
      <c r="O238" s="102"/>
      <c r="P238" s="36"/>
      <c r="Q238" s="36"/>
      <c r="R238" s="37"/>
      <c r="S238" s="37"/>
      <c r="T238" s="60" t="str">
        <f t="shared" si="8"/>
        <v/>
      </c>
      <c r="U238" s="38"/>
      <c r="V238" s="38"/>
      <c r="W238" s="38" t="str">
        <f>IF(B238="","",COUNTIFS(Ejecucion[No. Solicitud],Registro!B238,Ejecucion[Estado],"Finalizado"))</f>
        <v/>
      </c>
      <c r="X238" s="38" t="str">
        <f>IF(B238="","",COUNTIFS(Ejecucion[No. Solicitud],Registro!B238,Ejecucion[Estado],"No Iniciado"))</f>
        <v/>
      </c>
      <c r="Y238" s="64" t="str">
        <f>IF(B238="","",COUNTIFS(Ejecucion[No. Solicitud],Registro!B238,Ejecucion[Estado],"En Proceso"))</f>
        <v/>
      </c>
      <c r="Z238" s="64" t="str">
        <f t="shared" si="9"/>
        <v/>
      </c>
      <c r="AA238" s="64"/>
      <c r="AB238" s="64"/>
      <c r="AC238" s="64"/>
      <c r="AD238" s="102"/>
    </row>
    <row r="239" spans="2:30" s="15" customFormat="1">
      <c r="B239" s="36"/>
      <c r="C239" s="102"/>
      <c r="D239" s="36"/>
      <c r="E239" s="22"/>
      <c r="F239" s="83"/>
      <c r="G239" s="83"/>
      <c r="H239" s="25"/>
      <c r="I239" s="25"/>
      <c r="J239" s="25"/>
      <c r="K239" s="25"/>
      <c r="L239" s="54"/>
      <c r="M239" s="36"/>
      <c r="N239" s="36"/>
      <c r="O239" s="102"/>
      <c r="P239" s="36"/>
      <c r="Q239" s="36"/>
      <c r="R239" s="37"/>
      <c r="S239" s="37"/>
      <c r="T239" s="60" t="str">
        <f t="shared" si="8"/>
        <v/>
      </c>
      <c r="U239" s="38"/>
      <c r="V239" s="38"/>
      <c r="W239" s="38" t="str">
        <f>IF(B239="","",COUNTIFS(Ejecucion[No. Solicitud],Registro!B239,Ejecucion[Estado],"Finalizado"))</f>
        <v/>
      </c>
      <c r="X239" s="38" t="str">
        <f>IF(B239="","",COUNTIFS(Ejecucion[No. Solicitud],Registro!B239,Ejecucion[Estado],"No Iniciado"))</f>
        <v/>
      </c>
      <c r="Y239" s="64" t="str">
        <f>IF(B239="","",COUNTIFS(Ejecucion[No. Solicitud],Registro!B239,Ejecucion[Estado],"En Proceso"))</f>
        <v/>
      </c>
      <c r="Z239" s="64" t="str">
        <f t="shared" si="9"/>
        <v/>
      </c>
      <c r="AA239" s="64"/>
      <c r="AB239" s="64"/>
      <c r="AC239" s="64"/>
      <c r="AD239" s="102"/>
    </row>
    <row r="240" spans="2:30" s="15" customFormat="1">
      <c r="B240" s="36"/>
      <c r="C240" s="102"/>
      <c r="D240" s="36"/>
      <c r="E240" s="22"/>
      <c r="F240" s="83"/>
      <c r="G240" s="83"/>
      <c r="H240" s="25"/>
      <c r="I240" s="25"/>
      <c r="J240" s="25"/>
      <c r="K240" s="25"/>
      <c r="L240" s="54"/>
      <c r="M240" s="36"/>
      <c r="N240" s="36"/>
      <c r="O240" s="102"/>
      <c r="P240" s="36"/>
      <c r="Q240" s="36"/>
      <c r="R240" s="37"/>
      <c r="S240" s="37"/>
      <c r="T240" s="60" t="str">
        <f t="shared" si="8"/>
        <v/>
      </c>
      <c r="U240" s="38"/>
      <c r="V240" s="38"/>
      <c r="W240" s="38" t="str">
        <f>IF(B240="","",COUNTIFS(Ejecucion[No. Solicitud],Registro!B240,Ejecucion[Estado],"Finalizado"))</f>
        <v/>
      </c>
      <c r="X240" s="38" t="str">
        <f>IF(B240="","",COUNTIFS(Ejecucion[No. Solicitud],Registro!B240,Ejecucion[Estado],"No Iniciado"))</f>
        <v/>
      </c>
      <c r="Y240" s="64" t="str">
        <f>IF(B240="","",COUNTIFS(Ejecucion[No. Solicitud],Registro!B240,Ejecucion[Estado],"En Proceso"))</f>
        <v/>
      </c>
      <c r="Z240" s="64" t="str">
        <f t="shared" si="9"/>
        <v/>
      </c>
      <c r="AA240" s="64"/>
      <c r="AB240" s="64"/>
      <c r="AC240" s="64"/>
      <c r="AD240" s="102"/>
    </row>
    <row r="241" spans="2:30" s="15" customFormat="1">
      <c r="B241" s="36"/>
      <c r="C241" s="102"/>
      <c r="D241" s="36"/>
      <c r="E241" s="22"/>
      <c r="F241" s="83"/>
      <c r="G241" s="83"/>
      <c r="H241" s="25"/>
      <c r="I241" s="25"/>
      <c r="J241" s="25"/>
      <c r="K241" s="25"/>
      <c r="L241" s="54"/>
      <c r="M241" s="36"/>
      <c r="N241" s="36"/>
      <c r="O241" s="102"/>
      <c r="P241" s="36"/>
      <c r="Q241" s="36"/>
      <c r="R241" s="37"/>
      <c r="S241" s="37"/>
      <c r="T241" s="60" t="str">
        <f t="shared" si="8"/>
        <v/>
      </c>
      <c r="U241" s="38"/>
      <c r="V241" s="38"/>
      <c r="W241" s="38" t="str">
        <f>IF(B241="","",COUNTIFS(Ejecucion[No. Solicitud],Registro!B241,Ejecucion[Estado],"Finalizado"))</f>
        <v/>
      </c>
      <c r="X241" s="38" t="str">
        <f>IF(B241="","",COUNTIFS(Ejecucion[No. Solicitud],Registro!B241,Ejecucion[Estado],"No Iniciado"))</f>
        <v/>
      </c>
      <c r="Y241" s="64" t="str">
        <f>IF(B241="","",COUNTIFS(Ejecucion[No. Solicitud],Registro!B241,Ejecucion[Estado],"En Proceso"))</f>
        <v/>
      </c>
      <c r="Z241" s="64" t="str">
        <f t="shared" si="9"/>
        <v/>
      </c>
      <c r="AA241" s="64"/>
      <c r="AB241" s="64"/>
      <c r="AC241" s="64"/>
      <c r="AD241" s="102"/>
    </row>
    <row r="242" spans="2:30" s="15" customFormat="1">
      <c r="B242" s="36"/>
      <c r="C242" s="102"/>
      <c r="D242" s="36"/>
      <c r="E242" s="22"/>
      <c r="F242" s="83"/>
      <c r="G242" s="83"/>
      <c r="H242" s="25"/>
      <c r="I242" s="25"/>
      <c r="J242" s="25"/>
      <c r="K242" s="25"/>
      <c r="L242" s="54"/>
      <c r="M242" s="36"/>
      <c r="N242" s="36"/>
      <c r="O242" s="102"/>
      <c r="P242" s="36"/>
      <c r="Q242" s="36"/>
      <c r="R242" s="37"/>
      <c r="S242" s="37"/>
      <c r="T242" s="60" t="str">
        <f t="shared" si="8"/>
        <v/>
      </c>
      <c r="U242" s="38"/>
      <c r="V242" s="38"/>
      <c r="W242" s="38" t="str">
        <f>IF(B242="","",COUNTIFS(Ejecucion[No. Solicitud],Registro!B242,Ejecucion[Estado],"Finalizado"))</f>
        <v/>
      </c>
      <c r="X242" s="38" t="str">
        <f>IF(B242="","",COUNTIFS(Ejecucion[No. Solicitud],Registro!B242,Ejecucion[Estado],"No Iniciado"))</f>
        <v/>
      </c>
      <c r="Y242" s="64" t="str">
        <f>IF(B242="","",COUNTIFS(Ejecucion[No. Solicitud],Registro!B242,Ejecucion[Estado],"En Proceso"))</f>
        <v/>
      </c>
      <c r="Z242" s="64" t="str">
        <f t="shared" si="9"/>
        <v/>
      </c>
      <c r="AA242" s="64"/>
      <c r="AB242" s="64"/>
      <c r="AC242" s="64"/>
      <c r="AD242" s="102"/>
    </row>
    <row r="243" spans="2:30" s="15" customFormat="1">
      <c r="B243" s="36"/>
      <c r="C243" s="102"/>
      <c r="D243" s="36"/>
      <c r="E243" s="22"/>
      <c r="F243" s="83"/>
      <c r="G243" s="83"/>
      <c r="H243" s="25"/>
      <c r="I243" s="25"/>
      <c r="J243" s="25"/>
      <c r="K243" s="25"/>
      <c r="L243" s="63"/>
      <c r="M243" s="36"/>
      <c r="N243" s="36"/>
      <c r="O243" s="102"/>
      <c r="P243" s="36"/>
      <c r="Q243" s="36"/>
      <c r="R243" s="37"/>
      <c r="S243" s="37"/>
      <c r="T243" s="60" t="str">
        <f t="shared" si="8"/>
        <v/>
      </c>
      <c r="U243" s="38"/>
      <c r="V243" s="38"/>
      <c r="W243" s="38" t="str">
        <f>IF(B243="","",COUNTIFS(Ejecucion[No. Solicitud],Registro!B243,Ejecucion[Estado],"Finalizado"))</f>
        <v/>
      </c>
      <c r="X243" s="38" t="str">
        <f>IF(B243="","",COUNTIFS(Ejecucion[No. Solicitud],Registro!B243,Ejecucion[Estado],"No Iniciado"))</f>
        <v/>
      </c>
      <c r="Y243" s="64" t="str">
        <f>IF(B243="","",COUNTIFS(Ejecucion[No. Solicitud],Registro!B243,Ejecucion[Estado],"En Proceso"))</f>
        <v/>
      </c>
      <c r="Z243" s="64" t="str">
        <f t="shared" si="9"/>
        <v/>
      </c>
      <c r="AA243" s="64"/>
      <c r="AB243" s="64"/>
      <c r="AC243" s="64"/>
      <c r="AD243" s="102"/>
    </row>
    <row r="244" spans="2:30" s="15" customFormat="1">
      <c r="B244" s="36"/>
      <c r="C244" s="102"/>
      <c r="D244" s="36"/>
      <c r="E244" s="22"/>
      <c r="F244" s="83"/>
      <c r="G244" s="83"/>
      <c r="H244" s="25"/>
      <c r="I244" s="25"/>
      <c r="J244" s="25"/>
      <c r="K244" s="25"/>
      <c r="L244" s="54"/>
      <c r="M244" s="36"/>
      <c r="N244" s="36"/>
      <c r="O244" s="102"/>
      <c r="P244" s="36"/>
      <c r="Q244" s="36"/>
      <c r="R244" s="37"/>
      <c r="S244" s="37"/>
      <c r="T244" s="60" t="str">
        <f t="shared" si="8"/>
        <v/>
      </c>
      <c r="U244" s="38"/>
      <c r="V244" s="38"/>
      <c r="W244" s="38" t="str">
        <f>IF(B244="","",COUNTIFS(Ejecucion[No. Solicitud],Registro!B244,Ejecucion[Estado],"Finalizado"))</f>
        <v/>
      </c>
      <c r="X244" s="38" t="str">
        <f>IF(B244="","",COUNTIFS(Ejecucion[No. Solicitud],Registro!B244,Ejecucion[Estado],"No Iniciado"))</f>
        <v/>
      </c>
      <c r="Y244" s="64" t="str">
        <f>IF(B244="","",COUNTIFS(Ejecucion[No. Solicitud],Registro!B244,Ejecucion[Estado],"En Proceso"))</f>
        <v/>
      </c>
      <c r="Z244" s="64" t="str">
        <f t="shared" si="9"/>
        <v/>
      </c>
      <c r="AA244" s="64"/>
      <c r="AB244" s="64"/>
      <c r="AC244" s="64"/>
      <c r="AD244" s="102"/>
    </row>
    <row r="245" spans="2:30" s="15" customFormat="1">
      <c r="B245" s="36"/>
      <c r="C245" s="102"/>
      <c r="D245" s="36"/>
      <c r="E245" s="22"/>
      <c r="F245" s="83"/>
      <c r="G245" s="83"/>
      <c r="H245" s="25"/>
      <c r="I245" s="25"/>
      <c r="J245" s="25"/>
      <c r="K245" s="25"/>
      <c r="L245" s="54"/>
      <c r="M245" s="36"/>
      <c r="N245" s="36"/>
      <c r="O245" s="102"/>
      <c r="P245" s="36"/>
      <c r="Q245" s="36"/>
      <c r="R245" s="37"/>
      <c r="S245" s="37"/>
      <c r="T245" s="60" t="str">
        <f t="shared" si="8"/>
        <v/>
      </c>
      <c r="U245" s="38"/>
      <c r="V245" s="38"/>
      <c r="W245" s="38" t="str">
        <f>IF(B245="","",COUNTIFS(Ejecucion[No. Solicitud],Registro!B245,Ejecucion[Estado],"Finalizado"))</f>
        <v/>
      </c>
      <c r="X245" s="38" t="str">
        <f>IF(B245="","",COUNTIFS(Ejecucion[No. Solicitud],Registro!B245,Ejecucion[Estado],"No Iniciado"))</f>
        <v/>
      </c>
      <c r="Y245" s="64" t="str">
        <f>IF(B245="","",COUNTIFS(Ejecucion[No. Solicitud],Registro!B245,Ejecucion[Estado],"En Proceso"))</f>
        <v/>
      </c>
      <c r="Z245" s="64" t="str">
        <f t="shared" si="9"/>
        <v/>
      </c>
      <c r="AA245" s="64"/>
      <c r="AB245" s="64"/>
      <c r="AC245" s="64"/>
      <c r="AD245" s="102"/>
    </row>
    <row r="246" spans="2:30" s="15" customFormat="1">
      <c r="B246" s="36"/>
      <c r="C246" s="102"/>
      <c r="D246" s="36"/>
      <c r="E246" s="22"/>
      <c r="F246" s="83"/>
      <c r="G246" s="83"/>
      <c r="H246" s="25"/>
      <c r="I246" s="25"/>
      <c r="J246" s="25"/>
      <c r="K246" s="25"/>
      <c r="L246" s="54"/>
      <c r="M246" s="36"/>
      <c r="N246" s="36"/>
      <c r="O246" s="102"/>
      <c r="P246" s="36"/>
      <c r="Q246" s="36"/>
      <c r="R246" s="37"/>
      <c r="S246" s="37"/>
      <c r="T246" s="60" t="str">
        <f t="shared" si="8"/>
        <v/>
      </c>
      <c r="U246" s="38"/>
      <c r="V246" s="38"/>
      <c r="W246" s="38" t="str">
        <f>IF(B246="","",COUNTIFS(Ejecucion[No. Solicitud],Registro!B246,Ejecucion[Estado],"Finalizado"))</f>
        <v/>
      </c>
      <c r="X246" s="38" t="str">
        <f>IF(B246="","",COUNTIFS(Ejecucion[No. Solicitud],Registro!B246,Ejecucion[Estado],"No Iniciado"))</f>
        <v/>
      </c>
      <c r="Y246" s="64" t="str">
        <f>IF(B246="","",COUNTIFS(Ejecucion[No. Solicitud],Registro!B246,Ejecucion[Estado],"En Proceso"))</f>
        <v/>
      </c>
      <c r="Z246" s="64" t="str">
        <f t="shared" si="9"/>
        <v/>
      </c>
      <c r="AA246" s="64"/>
      <c r="AB246" s="64"/>
      <c r="AC246" s="64"/>
      <c r="AD246" s="102"/>
    </row>
    <row r="247" spans="2:30" s="15" customFormat="1">
      <c r="B247" s="36"/>
      <c r="C247" s="102"/>
      <c r="D247" s="36"/>
      <c r="E247" s="22"/>
      <c r="F247" s="83"/>
      <c r="G247" s="83"/>
      <c r="H247" s="25"/>
      <c r="I247" s="25"/>
      <c r="J247" s="25"/>
      <c r="K247" s="25"/>
      <c r="L247" s="54"/>
      <c r="M247" s="36"/>
      <c r="N247" s="36"/>
      <c r="O247" s="102"/>
      <c r="P247" s="36"/>
      <c r="Q247" s="36"/>
      <c r="R247" s="37"/>
      <c r="S247" s="37"/>
      <c r="T247" s="60" t="str">
        <f t="shared" si="8"/>
        <v/>
      </c>
      <c r="U247" s="38"/>
      <c r="V247" s="38"/>
      <c r="W247" s="38" t="str">
        <f>IF(B247="","",COUNTIFS(Ejecucion[No. Solicitud],Registro!B247,Ejecucion[Estado],"Finalizado"))</f>
        <v/>
      </c>
      <c r="X247" s="38" t="str">
        <f>IF(B247="","",COUNTIFS(Ejecucion[No. Solicitud],Registro!B247,Ejecucion[Estado],"No Iniciado"))</f>
        <v/>
      </c>
      <c r="Y247" s="64" t="str">
        <f>IF(B247="","",COUNTIFS(Ejecucion[No. Solicitud],Registro!B247,Ejecucion[Estado],"En Proceso"))</f>
        <v/>
      </c>
      <c r="Z247" s="64" t="str">
        <f t="shared" si="9"/>
        <v/>
      </c>
      <c r="AA247" s="64"/>
      <c r="AB247" s="64"/>
      <c r="AC247" s="64"/>
      <c r="AD247" s="102"/>
    </row>
    <row r="248" spans="2:30" s="15" customFormat="1">
      <c r="B248" s="36"/>
      <c r="C248" s="102"/>
      <c r="D248" s="36"/>
      <c r="E248" s="22"/>
      <c r="F248" s="83"/>
      <c r="G248" s="83"/>
      <c r="H248" s="25"/>
      <c r="I248" s="25"/>
      <c r="J248" s="25"/>
      <c r="K248" s="25"/>
      <c r="L248" s="54"/>
      <c r="M248" s="36"/>
      <c r="N248" s="36"/>
      <c r="O248" s="102"/>
      <c r="P248" s="36"/>
      <c r="Q248" s="36"/>
      <c r="R248" s="37"/>
      <c r="S248" s="37"/>
      <c r="T248" s="60" t="str">
        <f t="shared" si="8"/>
        <v/>
      </c>
      <c r="U248" s="38"/>
      <c r="V248" s="38"/>
      <c r="W248" s="38" t="str">
        <f>IF(B248="","",COUNTIFS(Ejecucion[No. Solicitud],Registro!B248,Ejecucion[Estado],"Finalizado"))</f>
        <v/>
      </c>
      <c r="X248" s="38" t="str">
        <f>IF(B248="","",COUNTIFS(Ejecucion[No. Solicitud],Registro!B248,Ejecucion[Estado],"No Iniciado"))</f>
        <v/>
      </c>
      <c r="Y248" s="64" t="str">
        <f>IF(B248="","",COUNTIFS(Ejecucion[No. Solicitud],Registro!B248,Ejecucion[Estado],"En Proceso"))</f>
        <v/>
      </c>
      <c r="Z248" s="64" t="str">
        <f t="shared" si="9"/>
        <v/>
      </c>
      <c r="AA248" s="64"/>
      <c r="AB248" s="64"/>
      <c r="AC248" s="64"/>
      <c r="AD248" s="102"/>
    </row>
    <row r="249" spans="2:30" s="15" customFormat="1">
      <c r="B249" s="36"/>
      <c r="C249" s="102"/>
      <c r="D249" s="36"/>
      <c r="E249" s="22"/>
      <c r="F249" s="83"/>
      <c r="G249" s="83"/>
      <c r="H249" s="25"/>
      <c r="I249" s="25"/>
      <c r="J249" s="25"/>
      <c r="K249" s="25"/>
      <c r="L249" s="54"/>
      <c r="M249" s="36"/>
      <c r="N249" s="36"/>
      <c r="O249" s="102"/>
      <c r="P249" s="36"/>
      <c r="Q249" s="36"/>
      <c r="R249" s="37"/>
      <c r="S249" s="37"/>
      <c r="T249" s="60" t="str">
        <f t="shared" si="8"/>
        <v/>
      </c>
      <c r="U249" s="38"/>
      <c r="V249" s="38"/>
      <c r="W249" s="38" t="str">
        <f>IF(B249="","",COUNTIFS(Ejecucion[No. Solicitud],Registro!B249,Ejecucion[Estado],"Finalizado"))</f>
        <v/>
      </c>
      <c r="X249" s="38" t="str">
        <f>IF(B249="","",COUNTIFS(Ejecucion[No. Solicitud],Registro!B249,Ejecucion[Estado],"No Iniciado"))</f>
        <v/>
      </c>
      <c r="Y249" s="64" t="str">
        <f>IF(B249="","",COUNTIFS(Ejecucion[No. Solicitud],Registro!B249,Ejecucion[Estado],"En Proceso"))</f>
        <v/>
      </c>
      <c r="Z249" s="64" t="str">
        <f t="shared" si="9"/>
        <v/>
      </c>
      <c r="AA249" s="64"/>
      <c r="AB249" s="64"/>
      <c r="AC249" s="64"/>
      <c r="AD249" s="102"/>
    </row>
    <row r="250" spans="2:30" s="15" customFormat="1">
      <c r="B250" s="36"/>
      <c r="C250" s="102"/>
      <c r="D250" s="18"/>
      <c r="E250" s="22"/>
      <c r="F250" s="83"/>
      <c r="G250" s="83"/>
      <c r="H250" s="25"/>
      <c r="I250" s="25"/>
      <c r="J250" s="25"/>
      <c r="K250" s="25"/>
      <c r="L250" s="54"/>
      <c r="M250" s="36"/>
      <c r="N250" s="36"/>
      <c r="O250" s="102"/>
      <c r="P250" s="36"/>
      <c r="Q250" s="36"/>
      <c r="R250" s="37"/>
      <c r="S250" s="37"/>
      <c r="T250" s="60" t="str">
        <f t="shared" si="8"/>
        <v/>
      </c>
      <c r="U250" s="38"/>
      <c r="V250" s="38"/>
      <c r="W250" s="38" t="str">
        <f>IF(B250="","",COUNTIFS(Ejecucion[No. Solicitud],Registro!B250,Ejecucion[Estado],"Finalizado"))</f>
        <v/>
      </c>
      <c r="X250" s="38" t="str">
        <f>IF(B250="","",COUNTIFS(Ejecucion[No. Solicitud],Registro!B250,Ejecucion[Estado],"No Iniciado"))</f>
        <v/>
      </c>
      <c r="Y250" s="64" t="str">
        <f>IF(B250="","",COUNTIFS(Ejecucion[No. Solicitud],Registro!B250,Ejecucion[Estado],"En Proceso"))</f>
        <v/>
      </c>
      <c r="Z250" s="64" t="str">
        <f t="shared" si="9"/>
        <v/>
      </c>
      <c r="AA250" s="64"/>
      <c r="AB250" s="64"/>
      <c r="AC250" s="64"/>
      <c r="AD250" s="102"/>
    </row>
    <row r="251" spans="2:30" s="15" customFormat="1">
      <c r="B251" s="36"/>
      <c r="C251" s="102"/>
      <c r="D251" s="18"/>
      <c r="E251" s="22"/>
      <c r="F251" s="83"/>
      <c r="G251" s="83"/>
      <c r="H251" s="25"/>
      <c r="I251" s="25"/>
      <c r="J251" s="25"/>
      <c r="K251" s="25"/>
      <c r="L251" s="54"/>
      <c r="M251" s="36"/>
      <c r="N251" s="36"/>
      <c r="O251" s="102"/>
      <c r="P251" s="36"/>
      <c r="Q251" s="36"/>
      <c r="R251" s="37"/>
      <c r="S251" s="37"/>
      <c r="T251" s="60" t="str">
        <f t="shared" si="8"/>
        <v/>
      </c>
      <c r="U251" s="38"/>
      <c r="V251" s="38"/>
      <c r="W251" s="38" t="str">
        <f>IF(B251="","",COUNTIFS(Ejecucion[No. Solicitud],Registro!B251,Ejecucion[Estado],"Finalizado"))</f>
        <v/>
      </c>
      <c r="X251" s="38" t="str">
        <f>IF(B251="","",COUNTIFS(Ejecucion[No. Solicitud],Registro!B251,Ejecucion[Estado],"No Iniciado"))</f>
        <v/>
      </c>
      <c r="Y251" s="64" t="str">
        <f>IF(B251="","",COUNTIFS(Ejecucion[No. Solicitud],Registro!B251,Ejecucion[Estado],"En Proceso"))</f>
        <v/>
      </c>
      <c r="Z251" s="64" t="str">
        <f t="shared" si="9"/>
        <v/>
      </c>
      <c r="AA251" s="64"/>
      <c r="AB251" s="64"/>
      <c r="AC251" s="64"/>
      <c r="AD251" s="102"/>
    </row>
    <row r="252" spans="2:30" s="15" customFormat="1">
      <c r="B252" s="36"/>
      <c r="C252" s="102"/>
      <c r="D252" s="18"/>
      <c r="E252" s="22"/>
      <c r="F252" s="83"/>
      <c r="G252" s="83"/>
      <c r="H252" s="25"/>
      <c r="I252" s="25"/>
      <c r="J252" s="25"/>
      <c r="K252" s="25"/>
      <c r="L252" s="54"/>
      <c r="M252" s="36"/>
      <c r="N252" s="36"/>
      <c r="O252" s="102"/>
      <c r="P252" s="36"/>
      <c r="Q252" s="36"/>
      <c r="R252" s="37"/>
      <c r="S252" s="37"/>
      <c r="T252" s="60" t="str">
        <f t="shared" si="8"/>
        <v/>
      </c>
      <c r="U252" s="38"/>
      <c r="V252" s="38"/>
      <c r="W252" s="38" t="str">
        <f>IF(B252="","",COUNTIFS(Ejecucion[No. Solicitud],Registro!B252,Ejecucion[Estado],"Finalizado"))</f>
        <v/>
      </c>
      <c r="X252" s="38" t="str">
        <f>IF(B252="","",COUNTIFS(Ejecucion[No. Solicitud],Registro!B252,Ejecucion[Estado],"No Iniciado"))</f>
        <v/>
      </c>
      <c r="Y252" s="64" t="str">
        <f>IF(B252="","",COUNTIFS(Ejecucion[No. Solicitud],Registro!B252,Ejecucion[Estado],"En Proceso"))</f>
        <v/>
      </c>
      <c r="Z252" s="64" t="str">
        <f t="shared" si="9"/>
        <v/>
      </c>
      <c r="AA252" s="64"/>
      <c r="AB252" s="64"/>
      <c r="AC252" s="64"/>
      <c r="AD252" s="102"/>
    </row>
    <row r="253" spans="2:30" s="15" customFormat="1">
      <c r="B253" s="36"/>
      <c r="C253" s="102"/>
      <c r="D253" s="18"/>
      <c r="E253" s="22"/>
      <c r="F253" s="83"/>
      <c r="G253" s="83"/>
      <c r="H253" s="25"/>
      <c r="I253" s="25"/>
      <c r="J253" s="25"/>
      <c r="K253" s="25"/>
      <c r="L253" s="54"/>
      <c r="M253" s="36"/>
      <c r="N253" s="36"/>
      <c r="O253" s="102"/>
      <c r="P253" s="36"/>
      <c r="Q253" s="36"/>
      <c r="R253" s="37"/>
      <c r="S253" s="37"/>
      <c r="T253" s="60" t="str">
        <f t="shared" si="8"/>
        <v/>
      </c>
      <c r="U253" s="38"/>
      <c r="V253" s="38"/>
      <c r="W253" s="38" t="str">
        <f>IF(B253="","",COUNTIFS(Ejecucion[No. Solicitud],Registro!B253,Ejecucion[Estado],"Finalizado"))</f>
        <v/>
      </c>
      <c r="X253" s="38" t="str">
        <f>IF(B253="","",COUNTIFS(Ejecucion[No. Solicitud],Registro!B253,Ejecucion[Estado],"No Iniciado"))</f>
        <v/>
      </c>
      <c r="Y253" s="64" t="str">
        <f>IF(B253="","",COUNTIFS(Ejecucion[No. Solicitud],Registro!B253,Ejecucion[Estado],"En Proceso"))</f>
        <v/>
      </c>
      <c r="Z253" s="64" t="str">
        <f t="shared" si="9"/>
        <v/>
      </c>
      <c r="AA253" s="64"/>
      <c r="AB253" s="64"/>
      <c r="AC253" s="64"/>
      <c r="AD253" s="102"/>
    </row>
    <row r="254" spans="2:30" s="15" customFormat="1">
      <c r="B254" s="36"/>
      <c r="C254" s="102"/>
      <c r="D254" s="18"/>
      <c r="E254" s="22"/>
      <c r="F254" s="83"/>
      <c r="G254" s="83"/>
      <c r="H254" s="25"/>
      <c r="I254" s="25"/>
      <c r="J254" s="25"/>
      <c r="K254" s="25"/>
      <c r="L254" s="54"/>
      <c r="M254" s="36"/>
      <c r="N254" s="36"/>
      <c r="O254" s="102"/>
      <c r="P254" s="36"/>
      <c r="Q254" s="36"/>
      <c r="R254" s="37"/>
      <c r="S254" s="37"/>
      <c r="T254" s="60" t="str">
        <f t="shared" si="8"/>
        <v/>
      </c>
      <c r="U254" s="38"/>
      <c r="V254" s="38"/>
      <c r="W254" s="38" t="str">
        <f>IF(B254="","",COUNTIFS(Ejecucion[No. Solicitud],Registro!B254,Ejecucion[Estado],"Finalizado"))</f>
        <v/>
      </c>
      <c r="X254" s="38" t="str">
        <f>IF(B254="","",COUNTIFS(Ejecucion[No. Solicitud],Registro!B254,Ejecucion[Estado],"No Iniciado"))</f>
        <v/>
      </c>
      <c r="Y254" s="64" t="str">
        <f>IF(B254="","",COUNTIFS(Ejecucion[No. Solicitud],Registro!B254,Ejecucion[Estado],"En Proceso"))</f>
        <v/>
      </c>
      <c r="Z254" s="64" t="str">
        <f t="shared" si="9"/>
        <v/>
      </c>
      <c r="AA254" s="64"/>
      <c r="AB254" s="64"/>
      <c r="AC254" s="64"/>
      <c r="AD254" s="102"/>
    </row>
    <row r="255" spans="2:30" s="15" customFormat="1">
      <c r="B255" s="36"/>
      <c r="C255" s="102"/>
      <c r="D255" s="36"/>
      <c r="E255" s="22"/>
      <c r="F255" s="83"/>
      <c r="G255" s="83"/>
      <c r="H255" s="25"/>
      <c r="I255" s="25"/>
      <c r="J255" s="25"/>
      <c r="K255" s="25"/>
      <c r="L255" s="54"/>
      <c r="M255" s="36"/>
      <c r="N255" s="36"/>
      <c r="O255" s="102"/>
      <c r="P255" s="36"/>
      <c r="Q255" s="36"/>
      <c r="R255" s="37"/>
      <c r="S255" s="37"/>
      <c r="T255" s="60" t="str">
        <f t="shared" si="8"/>
        <v/>
      </c>
      <c r="U255" s="38"/>
      <c r="V255" s="38"/>
      <c r="W255" s="38" t="str">
        <f>IF(B255="","",COUNTIFS(Ejecucion[No. Solicitud],Registro!B255,Ejecucion[Estado],"Finalizado"))</f>
        <v/>
      </c>
      <c r="X255" s="38" t="str">
        <f>IF(B255="","",COUNTIFS(Ejecucion[No. Solicitud],Registro!B255,Ejecucion[Estado],"No Iniciado"))</f>
        <v/>
      </c>
      <c r="Y255" s="64" t="str">
        <f>IF(B255="","",COUNTIFS(Ejecucion[No. Solicitud],Registro!B255,Ejecucion[Estado],"En Proceso"))</f>
        <v/>
      </c>
      <c r="Z255" s="64" t="str">
        <f t="shared" si="9"/>
        <v/>
      </c>
      <c r="AA255" s="64"/>
      <c r="AB255" s="64"/>
      <c r="AC255" s="64"/>
      <c r="AD255" s="102"/>
    </row>
    <row r="256" spans="2:30" s="15" customFormat="1">
      <c r="B256" s="36"/>
      <c r="C256" s="102"/>
      <c r="D256" s="36"/>
      <c r="E256" s="22"/>
      <c r="F256" s="83"/>
      <c r="G256" s="83"/>
      <c r="H256" s="25"/>
      <c r="I256" s="25"/>
      <c r="J256" s="25"/>
      <c r="K256" s="25"/>
      <c r="L256" s="54"/>
      <c r="M256" s="36"/>
      <c r="N256" s="36"/>
      <c r="O256" s="102"/>
      <c r="P256" s="36"/>
      <c r="Q256" s="36"/>
      <c r="R256" s="37"/>
      <c r="S256" s="37"/>
      <c r="T256" s="60" t="str">
        <f t="shared" si="8"/>
        <v/>
      </c>
      <c r="U256" s="38"/>
      <c r="V256" s="38"/>
      <c r="W256" s="38" t="str">
        <f>IF(B256="","",COUNTIFS(Ejecucion[No. Solicitud],Registro!B256,Ejecucion[Estado],"Finalizado"))</f>
        <v/>
      </c>
      <c r="X256" s="38" t="str">
        <f>IF(B256="","",COUNTIFS(Ejecucion[No. Solicitud],Registro!B256,Ejecucion[Estado],"No Iniciado"))</f>
        <v/>
      </c>
      <c r="Y256" s="64" t="str">
        <f>IF(B256="","",COUNTIFS(Ejecucion[No. Solicitud],Registro!B256,Ejecucion[Estado],"En Proceso"))</f>
        <v/>
      </c>
      <c r="Z256" s="64" t="str">
        <f t="shared" si="9"/>
        <v/>
      </c>
      <c r="AA256" s="64"/>
      <c r="AB256" s="64"/>
      <c r="AC256" s="64"/>
      <c r="AD256" s="102"/>
    </row>
    <row r="257" spans="2:30" s="15" customFormat="1">
      <c r="B257" s="36"/>
      <c r="C257" s="102"/>
      <c r="D257" s="36"/>
      <c r="E257" s="22"/>
      <c r="F257" s="83"/>
      <c r="G257" s="83"/>
      <c r="H257" s="25"/>
      <c r="I257" s="25"/>
      <c r="J257" s="25"/>
      <c r="K257" s="25"/>
      <c r="L257" s="54"/>
      <c r="M257" s="36"/>
      <c r="N257" s="36"/>
      <c r="O257" s="102"/>
      <c r="P257" s="36"/>
      <c r="Q257" s="36"/>
      <c r="R257" s="37"/>
      <c r="S257" s="37"/>
      <c r="T257" s="60" t="str">
        <f t="shared" si="8"/>
        <v/>
      </c>
      <c r="U257" s="38"/>
      <c r="V257" s="38"/>
      <c r="W257" s="38" t="str">
        <f>IF(B257="","",COUNTIFS(Ejecucion[No. Solicitud],Registro!B257,Ejecucion[Estado],"Finalizado"))</f>
        <v/>
      </c>
      <c r="X257" s="38" t="str">
        <f>IF(B257="","",COUNTIFS(Ejecucion[No. Solicitud],Registro!B257,Ejecucion[Estado],"No Iniciado"))</f>
        <v/>
      </c>
      <c r="Y257" s="64" t="str">
        <f>IF(B257="","",COUNTIFS(Ejecucion[No. Solicitud],Registro!B257,Ejecucion[Estado],"En Proceso"))</f>
        <v/>
      </c>
      <c r="Z257" s="64" t="str">
        <f t="shared" si="9"/>
        <v/>
      </c>
      <c r="AA257" s="64"/>
      <c r="AB257" s="64"/>
      <c r="AC257" s="64"/>
      <c r="AD257" s="102"/>
    </row>
    <row r="258" spans="2:30" s="15" customFormat="1">
      <c r="B258" s="36"/>
      <c r="C258" s="102"/>
      <c r="D258" s="36"/>
      <c r="E258" s="22"/>
      <c r="F258" s="83"/>
      <c r="G258" s="83"/>
      <c r="H258" s="25"/>
      <c r="I258" s="25"/>
      <c r="J258" s="25"/>
      <c r="K258" s="25"/>
      <c r="L258" s="54"/>
      <c r="M258" s="36"/>
      <c r="N258" s="36"/>
      <c r="O258" s="102"/>
      <c r="P258" s="36"/>
      <c r="Q258" s="36"/>
      <c r="R258" s="37"/>
      <c r="S258" s="37"/>
      <c r="T258" s="60" t="str">
        <f t="shared" si="8"/>
        <v/>
      </c>
      <c r="U258" s="38"/>
      <c r="V258" s="38"/>
      <c r="W258" s="38" t="str">
        <f>IF(B258="","",COUNTIFS(Ejecucion[No. Solicitud],Registro!B258,Ejecucion[Estado],"Finalizado"))</f>
        <v/>
      </c>
      <c r="X258" s="38" t="str">
        <f>IF(B258="","",COUNTIFS(Ejecucion[No. Solicitud],Registro!B258,Ejecucion[Estado],"No Iniciado"))</f>
        <v/>
      </c>
      <c r="Y258" s="64" t="str">
        <f>IF(B258="","",COUNTIFS(Ejecucion[No. Solicitud],Registro!B258,Ejecucion[Estado],"En Proceso"))</f>
        <v/>
      </c>
      <c r="Z258" s="64" t="str">
        <f t="shared" si="9"/>
        <v/>
      </c>
      <c r="AA258" s="64"/>
      <c r="AB258" s="64"/>
      <c r="AC258" s="64"/>
      <c r="AD258" s="102"/>
    </row>
    <row r="259" spans="2:30" s="15" customFormat="1">
      <c r="B259" s="36"/>
      <c r="C259" s="102"/>
      <c r="D259" s="36"/>
      <c r="E259" s="22"/>
      <c r="F259" s="83"/>
      <c r="G259" s="83"/>
      <c r="H259" s="25"/>
      <c r="I259" s="25"/>
      <c r="J259" s="25"/>
      <c r="K259" s="25"/>
      <c r="L259" s="54"/>
      <c r="M259" s="36"/>
      <c r="N259" s="36"/>
      <c r="O259" s="102"/>
      <c r="P259" s="36"/>
      <c r="Q259" s="36"/>
      <c r="R259" s="37"/>
      <c r="S259" s="37"/>
      <c r="T259" s="60" t="str">
        <f t="shared" si="8"/>
        <v/>
      </c>
      <c r="U259" s="38"/>
      <c r="V259" s="38"/>
      <c r="W259" s="38" t="str">
        <f>IF(B259="","",COUNTIFS(Ejecucion[No. Solicitud],Registro!B259,Ejecucion[Estado],"Finalizado"))</f>
        <v/>
      </c>
      <c r="X259" s="38" t="str">
        <f>IF(B259="","",COUNTIFS(Ejecucion[No. Solicitud],Registro!B259,Ejecucion[Estado],"No Iniciado"))</f>
        <v/>
      </c>
      <c r="Y259" s="64" t="str">
        <f>IF(B259="","",COUNTIFS(Ejecucion[No. Solicitud],Registro!B259,Ejecucion[Estado],"En Proceso"))</f>
        <v/>
      </c>
      <c r="Z259" s="64" t="str">
        <f t="shared" si="9"/>
        <v/>
      </c>
      <c r="AA259" s="64"/>
      <c r="AB259" s="64"/>
      <c r="AC259" s="64"/>
      <c r="AD259" s="102"/>
    </row>
    <row r="260" spans="2:30" s="15" customFormat="1">
      <c r="B260" s="36"/>
      <c r="C260" s="102"/>
      <c r="D260" s="36"/>
      <c r="E260" s="22"/>
      <c r="F260" s="83"/>
      <c r="G260" s="83"/>
      <c r="H260" s="25"/>
      <c r="I260" s="25"/>
      <c r="J260" s="25"/>
      <c r="K260" s="25"/>
      <c r="L260" s="54"/>
      <c r="M260" s="36"/>
      <c r="N260" s="36"/>
      <c r="O260" s="102"/>
      <c r="P260" s="36"/>
      <c r="Q260" s="36"/>
      <c r="R260" s="37"/>
      <c r="S260" s="37"/>
      <c r="T260" s="60" t="str">
        <f t="shared" si="8"/>
        <v/>
      </c>
      <c r="U260" s="38"/>
      <c r="V260" s="38"/>
      <c r="W260" s="38" t="str">
        <f>IF(B260="","",COUNTIFS(Ejecucion[No. Solicitud],Registro!B260,Ejecucion[Estado],"Finalizado"))</f>
        <v/>
      </c>
      <c r="X260" s="38" t="str">
        <f>IF(B260="","",COUNTIFS(Ejecucion[No. Solicitud],Registro!B260,Ejecucion[Estado],"No Iniciado"))</f>
        <v/>
      </c>
      <c r="Y260" s="64" t="str">
        <f>IF(B260="","",COUNTIFS(Ejecucion[No. Solicitud],Registro!B260,Ejecucion[Estado],"En Proceso"))</f>
        <v/>
      </c>
      <c r="Z260" s="64" t="str">
        <f t="shared" si="9"/>
        <v/>
      </c>
      <c r="AA260" s="64"/>
      <c r="AB260" s="64"/>
      <c r="AC260" s="64"/>
      <c r="AD260" s="102"/>
    </row>
    <row r="261" spans="2:30" s="15" customFormat="1">
      <c r="B261" s="36"/>
      <c r="C261" s="102"/>
      <c r="D261" s="36"/>
      <c r="E261" s="22"/>
      <c r="F261" s="83"/>
      <c r="G261" s="83"/>
      <c r="H261" s="25"/>
      <c r="I261" s="25"/>
      <c r="J261" s="25"/>
      <c r="K261" s="25"/>
      <c r="L261" s="54"/>
      <c r="M261" s="36"/>
      <c r="N261" s="36"/>
      <c r="O261" s="102"/>
      <c r="P261" s="36"/>
      <c r="Q261" s="36"/>
      <c r="R261" s="37"/>
      <c r="S261" s="37"/>
      <c r="T261" s="60" t="str">
        <f t="shared" si="8"/>
        <v/>
      </c>
      <c r="U261" s="38"/>
      <c r="V261" s="38"/>
      <c r="W261" s="38" t="str">
        <f>IF(B261="","",COUNTIFS(Ejecucion[No. Solicitud],Registro!B261,Ejecucion[Estado],"Finalizado"))</f>
        <v/>
      </c>
      <c r="X261" s="38" t="str">
        <f>IF(B261="","",COUNTIFS(Ejecucion[No. Solicitud],Registro!B261,Ejecucion[Estado],"No Iniciado"))</f>
        <v/>
      </c>
      <c r="Y261" s="64" t="str">
        <f>IF(B261="","",COUNTIFS(Ejecucion[No. Solicitud],Registro!B261,Ejecucion[Estado],"En Proceso"))</f>
        <v/>
      </c>
      <c r="Z261" s="64" t="str">
        <f t="shared" si="9"/>
        <v/>
      </c>
      <c r="AA261" s="64"/>
      <c r="AB261" s="64"/>
      <c r="AC261" s="64"/>
      <c r="AD261" s="102"/>
    </row>
    <row r="262" spans="2:30" s="15" customFormat="1">
      <c r="B262" s="18"/>
      <c r="C262" s="25"/>
      <c r="D262" s="36"/>
      <c r="E262" s="22"/>
      <c r="F262" s="83"/>
      <c r="G262" s="83"/>
      <c r="H262" s="25"/>
      <c r="I262" s="25"/>
      <c r="J262" s="25"/>
      <c r="K262" s="25"/>
      <c r="L262" s="54"/>
      <c r="M262" s="36"/>
      <c r="N262" s="36"/>
      <c r="O262" s="102"/>
      <c r="P262" s="36"/>
      <c r="Q262" s="36"/>
      <c r="R262" s="37"/>
      <c r="S262" s="37"/>
      <c r="T262" s="60" t="str">
        <f t="shared" si="8"/>
        <v/>
      </c>
      <c r="U262" s="38"/>
      <c r="V262" s="38"/>
      <c r="W262" s="38" t="str">
        <f>IF(B262="","",COUNTIFS(Ejecucion[No. Solicitud],Registro!B262,Ejecucion[Estado],"Finalizado"))</f>
        <v/>
      </c>
      <c r="X262" s="38" t="str">
        <f>IF(B262="","",COUNTIFS(Ejecucion[No. Solicitud],Registro!B262,Ejecucion[Estado],"No Iniciado"))</f>
        <v/>
      </c>
      <c r="Y262" s="64" t="str">
        <f>IF(B262="","",COUNTIFS(Ejecucion[No. Solicitud],Registro!B262,Ejecucion[Estado],"En Proceso"))</f>
        <v/>
      </c>
      <c r="Z262" s="64" t="str">
        <f t="shared" si="9"/>
        <v/>
      </c>
      <c r="AA262" s="64"/>
      <c r="AB262" s="64"/>
      <c r="AC262" s="64"/>
      <c r="AD262" s="102"/>
    </row>
    <row r="263" spans="2:30" s="15" customFormat="1">
      <c r="B263" s="18"/>
      <c r="C263" s="25"/>
      <c r="D263" s="36"/>
      <c r="E263" s="22"/>
      <c r="F263" s="83"/>
      <c r="G263" s="83"/>
      <c r="H263" s="25"/>
      <c r="I263" s="25"/>
      <c r="J263" s="25"/>
      <c r="K263" s="25"/>
      <c r="L263" s="54"/>
      <c r="M263" s="18"/>
      <c r="N263" s="18"/>
      <c r="O263" s="25"/>
      <c r="P263" s="18"/>
      <c r="Q263" s="18"/>
      <c r="R263" s="37"/>
      <c r="S263" s="37"/>
      <c r="T263" s="60" t="str">
        <f t="shared" si="8"/>
        <v/>
      </c>
      <c r="U263" s="38"/>
      <c r="V263" s="38"/>
      <c r="W263" s="38" t="str">
        <f>IF(B263="","",COUNTIFS(Ejecucion[No. Solicitud],Registro!B263,Ejecucion[Estado],"Finalizado"))</f>
        <v/>
      </c>
      <c r="X263" s="38" t="str">
        <f>IF(B263="","",COUNTIFS(Ejecucion[No. Solicitud],Registro!B263,Ejecucion[Estado],"No Iniciado"))</f>
        <v/>
      </c>
      <c r="Y263" s="64" t="str">
        <f>IF(B263="","",COUNTIFS(Ejecucion[No. Solicitud],Registro!B263,Ejecucion[Estado],"En Proceso"))</f>
        <v/>
      </c>
      <c r="Z263" s="64" t="str">
        <f t="shared" si="9"/>
        <v/>
      </c>
      <c r="AA263" s="64"/>
      <c r="AB263" s="64"/>
      <c r="AC263" s="64"/>
      <c r="AD263" s="102"/>
    </row>
    <row r="264" spans="2:30" s="15" customFormat="1">
      <c r="B264" s="18"/>
      <c r="C264" s="25"/>
      <c r="D264" s="36"/>
      <c r="E264" s="22"/>
      <c r="F264" s="83"/>
      <c r="G264" s="83"/>
      <c r="H264" s="25"/>
      <c r="I264" s="25"/>
      <c r="J264" s="25"/>
      <c r="K264" s="25"/>
      <c r="L264" s="54"/>
      <c r="M264" s="18"/>
      <c r="N264" s="18"/>
      <c r="O264" s="25"/>
      <c r="P264" s="18"/>
      <c r="Q264" s="18"/>
      <c r="R264" s="37"/>
      <c r="S264" s="37"/>
      <c r="T264" s="60" t="str">
        <f t="shared" ref="T264:T327" si="10">IF(U264="","",IF(U264=W264,1,0))</f>
        <v/>
      </c>
      <c r="U264" s="38"/>
      <c r="V264" s="38"/>
      <c r="W264" s="38" t="str">
        <f>IF(B264="","",COUNTIFS(Ejecucion[No. Solicitud],Registro!B264,Ejecucion[Estado],"Finalizado"))</f>
        <v/>
      </c>
      <c r="X264" s="38" t="str">
        <f>IF(B264="","",COUNTIFS(Ejecucion[No. Solicitud],Registro!B264,Ejecucion[Estado],"No Iniciado"))</f>
        <v/>
      </c>
      <c r="Y264" s="64" t="str">
        <f>IF(B264="","",COUNTIFS(Ejecucion[No. Solicitud],Registro!B264,Ejecucion[Estado],"En Proceso"))</f>
        <v/>
      </c>
      <c r="Z264" s="64" t="str">
        <f t="shared" si="9"/>
        <v/>
      </c>
      <c r="AA264" s="64"/>
      <c r="AB264" s="64"/>
      <c r="AC264" s="64"/>
      <c r="AD264" s="102"/>
    </row>
    <row r="265" spans="2:30" s="15" customFormat="1">
      <c r="B265" s="18"/>
      <c r="C265" s="25"/>
      <c r="D265" s="36"/>
      <c r="E265" s="22"/>
      <c r="F265" s="83"/>
      <c r="G265" s="83"/>
      <c r="H265" s="25"/>
      <c r="I265" s="25"/>
      <c r="J265" s="25"/>
      <c r="K265" s="25"/>
      <c r="L265" s="54"/>
      <c r="M265" s="18"/>
      <c r="N265" s="18"/>
      <c r="O265" s="25"/>
      <c r="P265" s="18"/>
      <c r="Q265" s="18"/>
      <c r="R265" s="37"/>
      <c r="S265" s="37"/>
      <c r="T265" s="60" t="str">
        <f t="shared" si="10"/>
        <v/>
      </c>
      <c r="U265" s="38"/>
      <c r="V265" s="38"/>
      <c r="W265" s="38" t="str">
        <f>IF(B265="","",COUNTIFS(Ejecucion[No. Solicitud],Registro!B265,Ejecucion[Estado],"Finalizado"))</f>
        <v/>
      </c>
      <c r="X265" s="38" t="str">
        <f>IF(B265="","",COUNTIFS(Ejecucion[No. Solicitud],Registro!B265,Ejecucion[Estado],"No Iniciado"))</f>
        <v/>
      </c>
      <c r="Y265" s="64" t="str">
        <f>IF(B265="","",COUNTIFS(Ejecucion[No. Solicitud],Registro!B265,Ejecucion[Estado],"En Proceso"))</f>
        <v/>
      </c>
      <c r="Z265" s="64" t="str">
        <f t="shared" si="9"/>
        <v/>
      </c>
      <c r="AA265" s="64"/>
      <c r="AB265" s="64"/>
      <c r="AC265" s="64"/>
      <c r="AD265" s="102"/>
    </row>
    <row r="266" spans="2:30" s="15" customFormat="1">
      <c r="B266" s="18"/>
      <c r="C266" s="25"/>
      <c r="D266" s="36"/>
      <c r="E266" s="22"/>
      <c r="F266" s="83"/>
      <c r="G266" s="83"/>
      <c r="H266" s="25"/>
      <c r="I266" s="25"/>
      <c r="J266" s="25"/>
      <c r="K266" s="25"/>
      <c r="L266" s="54"/>
      <c r="M266" s="18"/>
      <c r="N266" s="18"/>
      <c r="O266" s="25"/>
      <c r="P266" s="18"/>
      <c r="Q266" s="18"/>
      <c r="R266" s="37"/>
      <c r="S266" s="37"/>
      <c r="T266" s="60" t="str">
        <f t="shared" si="10"/>
        <v/>
      </c>
      <c r="U266" s="38"/>
      <c r="V266" s="38"/>
      <c r="W266" s="38" t="str">
        <f>IF(B266="","",COUNTIFS(Ejecucion[No. Solicitud],Registro!B266,Ejecucion[Estado],"Finalizado"))</f>
        <v/>
      </c>
      <c r="X266" s="38" t="str">
        <f>IF(B266="","",COUNTIFS(Ejecucion[No. Solicitud],Registro!B266,Ejecucion[Estado],"No Iniciado"))</f>
        <v/>
      </c>
      <c r="Y266" s="64" t="str">
        <f>IF(B266="","",COUNTIFS(Ejecucion[No. Solicitud],Registro!B266,Ejecucion[Estado],"En Proceso"))</f>
        <v/>
      </c>
      <c r="Z266" s="64" t="str">
        <f t="shared" si="9"/>
        <v/>
      </c>
      <c r="AA266" s="64"/>
      <c r="AB266" s="64"/>
      <c r="AC266" s="64"/>
      <c r="AD266" s="102"/>
    </row>
    <row r="267" spans="2:30" s="15" customFormat="1">
      <c r="B267" s="18"/>
      <c r="C267" s="25"/>
      <c r="D267" s="18"/>
      <c r="E267" s="22"/>
      <c r="F267" s="83"/>
      <c r="G267" s="83"/>
      <c r="H267" s="25"/>
      <c r="I267" s="25"/>
      <c r="J267" s="25"/>
      <c r="K267" s="25"/>
      <c r="L267" s="54"/>
      <c r="M267" s="18"/>
      <c r="N267" s="18"/>
      <c r="O267" s="25"/>
      <c r="P267" s="18"/>
      <c r="Q267" s="18"/>
      <c r="R267" s="37"/>
      <c r="S267" s="37"/>
      <c r="T267" s="60" t="str">
        <f t="shared" si="10"/>
        <v/>
      </c>
      <c r="U267" s="38"/>
      <c r="V267" s="38"/>
      <c r="W267" s="38" t="str">
        <f>IF(B267="","",COUNTIFS(Ejecucion[No. Solicitud],Registro!B267,Ejecucion[Estado],"Finalizado"))</f>
        <v/>
      </c>
      <c r="X267" s="38" t="str">
        <f>IF(B267="","",COUNTIFS(Ejecucion[No. Solicitud],Registro!B267,Ejecucion[Estado],"No Iniciado"))</f>
        <v/>
      </c>
      <c r="Y267" s="64" t="str">
        <f>IF(B267="","",COUNTIFS(Ejecucion[No. Solicitud],Registro!B267,Ejecucion[Estado],"En Proceso"))</f>
        <v/>
      </c>
      <c r="Z267" s="64" t="str">
        <f t="shared" si="9"/>
        <v/>
      </c>
      <c r="AA267" s="64"/>
      <c r="AB267" s="64"/>
      <c r="AC267" s="64"/>
      <c r="AD267" s="102"/>
    </row>
    <row r="268" spans="2:30" s="15" customFormat="1">
      <c r="B268" s="18"/>
      <c r="C268" s="25"/>
      <c r="D268" s="36"/>
      <c r="E268" s="22"/>
      <c r="F268" s="83"/>
      <c r="G268" s="83"/>
      <c r="H268" s="25"/>
      <c r="I268" s="25"/>
      <c r="J268" s="25"/>
      <c r="K268" s="25"/>
      <c r="L268" s="54"/>
      <c r="M268" s="18"/>
      <c r="N268" s="18"/>
      <c r="O268" s="25"/>
      <c r="P268" s="18"/>
      <c r="Q268" s="18"/>
      <c r="R268" s="37"/>
      <c r="S268" s="37"/>
      <c r="T268" s="60" t="str">
        <f t="shared" si="10"/>
        <v/>
      </c>
      <c r="U268" s="38"/>
      <c r="V268" s="38"/>
      <c r="W268" s="38" t="str">
        <f>IF(B268="","",COUNTIFS(Ejecucion[No. Solicitud],Registro!B268,Ejecucion[Estado],"Finalizado"))</f>
        <v/>
      </c>
      <c r="X268" s="38" t="str">
        <f>IF(B268="","",COUNTIFS(Ejecucion[No. Solicitud],Registro!B268,Ejecucion[Estado],"No Iniciado"))</f>
        <v/>
      </c>
      <c r="Y268" s="64" t="str">
        <f>IF(B268="","",COUNTIFS(Ejecucion[No. Solicitud],Registro!B268,Ejecucion[Estado],"En Proceso"))</f>
        <v/>
      </c>
      <c r="Z268" s="64" t="str">
        <f t="shared" si="9"/>
        <v/>
      </c>
      <c r="AA268" s="64"/>
      <c r="AB268" s="64"/>
      <c r="AC268" s="64"/>
      <c r="AD268" s="102"/>
    </row>
    <row r="269" spans="2:30" s="15" customFormat="1">
      <c r="B269" s="18"/>
      <c r="C269" s="25"/>
      <c r="D269" s="18"/>
      <c r="E269" s="22"/>
      <c r="F269" s="83"/>
      <c r="G269" s="83"/>
      <c r="H269" s="25"/>
      <c r="I269" s="25"/>
      <c r="J269" s="25"/>
      <c r="K269" s="25"/>
      <c r="L269" s="54"/>
      <c r="M269" s="18"/>
      <c r="N269" s="18"/>
      <c r="O269" s="25"/>
      <c r="P269" s="18"/>
      <c r="Q269" s="18"/>
      <c r="R269" s="37"/>
      <c r="S269" s="37"/>
      <c r="T269" s="60" t="str">
        <f t="shared" si="10"/>
        <v/>
      </c>
      <c r="U269" s="38"/>
      <c r="V269" s="38"/>
      <c r="W269" s="38" t="str">
        <f>IF(B269="","",COUNTIFS(Ejecucion[No. Solicitud],Registro!B269,Ejecucion[Estado],"Finalizado"))</f>
        <v/>
      </c>
      <c r="X269" s="38" t="str">
        <f>IF(B269="","",COUNTIFS(Ejecucion[No. Solicitud],Registro!B269,Ejecucion[Estado],"No Iniciado"))</f>
        <v/>
      </c>
      <c r="Y269" s="64" t="str">
        <f>IF(B269="","",COUNTIFS(Ejecucion[No. Solicitud],Registro!B269,Ejecucion[Estado],"En Proceso"))</f>
        <v/>
      </c>
      <c r="Z269" s="64" t="str">
        <f t="shared" si="9"/>
        <v/>
      </c>
      <c r="AA269" s="64"/>
      <c r="AB269" s="64"/>
      <c r="AC269" s="64"/>
      <c r="AD269" s="102"/>
    </row>
    <row r="270" spans="2:30" s="15" customFormat="1">
      <c r="B270" s="18"/>
      <c r="C270" s="25"/>
      <c r="D270" s="18"/>
      <c r="E270" s="22"/>
      <c r="F270" s="83"/>
      <c r="G270" s="83"/>
      <c r="H270" s="25"/>
      <c r="I270" s="25"/>
      <c r="J270" s="25"/>
      <c r="K270" s="25"/>
      <c r="L270" s="54"/>
      <c r="M270" s="18"/>
      <c r="N270" s="18"/>
      <c r="O270" s="25"/>
      <c r="P270" s="18"/>
      <c r="Q270" s="18"/>
      <c r="R270" s="37"/>
      <c r="S270" s="37"/>
      <c r="T270" s="60" t="str">
        <f t="shared" si="10"/>
        <v/>
      </c>
      <c r="U270" s="38"/>
      <c r="V270" s="38"/>
      <c r="W270" s="38" t="str">
        <f>IF(B270="","",COUNTIFS(Ejecucion[No. Solicitud],Registro!B270,Ejecucion[Estado],"Finalizado"))</f>
        <v/>
      </c>
      <c r="X270" s="38" t="str">
        <f>IF(B270="","",COUNTIFS(Ejecucion[No. Solicitud],Registro!B270,Ejecucion[Estado],"No Iniciado"))</f>
        <v/>
      </c>
      <c r="Y270" s="64" t="str">
        <f>IF(B270="","",COUNTIFS(Ejecucion[No. Solicitud],Registro!B270,Ejecucion[Estado],"En Proceso"))</f>
        <v/>
      </c>
      <c r="Z270" s="64" t="str">
        <f t="shared" si="9"/>
        <v/>
      </c>
      <c r="AA270" s="64"/>
      <c r="AB270" s="64"/>
      <c r="AC270" s="64"/>
      <c r="AD270" s="102"/>
    </row>
    <row r="271" spans="2:30" s="15" customFormat="1">
      <c r="B271" s="36"/>
      <c r="C271" s="102"/>
      <c r="D271" s="18"/>
      <c r="E271" s="22"/>
      <c r="F271" s="83"/>
      <c r="G271" s="83"/>
      <c r="H271" s="25"/>
      <c r="I271" s="25"/>
      <c r="J271" s="25"/>
      <c r="K271" s="25"/>
      <c r="L271" s="54"/>
      <c r="M271" s="18"/>
      <c r="N271" s="18"/>
      <c r="O271" s="25"/>
      <c r="P271" s="18"/>
      <c r="Q271" s="18"/>
      <c r="R271" s="37"/>
      <c r="S271" s="37"/>
      <c r="T271" s="60" t="str">
        <f t="shared" si="10"/>
        <v/>
      </c>
      <c r="U271" s="38"/>
      <c r="V271" s="38"/>
      <c r="W271" s="38" t="str">
        <f>IF(B271="","",COUNTIFS(Ejecucion[No. Solicitud],Registro!B271,Ejecucion[Estado],"Finalizado"))</f>
        <v/>
      </c>
      <c r="X271" s="38" t="str">
        <f>IF(B271="","",COUNTIFS(Ejecucion[No. Solicitud],Registro!B271,Ejecucion[Estado],"No Iniciado"))</f>
        <v/>
      </c>
      <c r="Y271" s="64" t="str">
        <f>IF(B271="","",COUNTIFS(Ejecucion[No. Solicitud],Registro!B271,Ejecucion[Estado],"En Proceso"))</f>
        <v/>
      </c>
      <c r="Z271" s="64" t="str">
        <f t="shared" si="9"/>
        <v/>
      </c>
      <c r="AA271" s="64"/>
      <c r="AB271" s="64"/>
      <c r="AC271" s="64"/>
      <c r="AD271" s="102"/>
    </row>
    <row r="272" spans="2:30" s="15" customFormat="1">
      <c r="B272" s="36"/>
      <c r="C272" s="102"/>
      <c r="D272" s="36"/>
      <c r="E272" s="22"/>
      <c r="F272" s="83"/>
      <c r="G272" s="83"/>
      <c r="H272" s="25"/>
      <c r="I272" s="25"/>
      <c r="J272" s="25"/>
      <c r="K272" s="25"/>
      <c r="L272" s="54"/>
      <c r="M272" s="18"/>
      <c r="N272" s="18"/>
      <c r="O272" s="25"/>
      <c r="P272" s="18"/>
      <c r="Q272" s="18"/>
      <c r="R272" s="37"/>
      <c r="S272" s="37"/>
      <c r="T272" s="60" t="str">
        <f t="shared" si="10"/>
        <v/>
      </c>
      <c r="U272" s="38"/>
      <c r="V272" s="38"/>
      <c r="W272" s="38" t="str">
        <f>IF(B272="","",COUNTIFS(Ejecucion[No. Solicitud],Registro!B272,Ejecucion[Estado],"Finalizado"))</f>
        <v/>
      </c>
      <c r="X272" s="38" t="str">
        <f>IF(B272="","",COUNTIFS(Ejecucion[No. Solicitud],Registro!B272,Ejecucion[Estado],"No Iniciado"))</f>
        <v/>
      </c>
      <c r="Y272" s="64" t="str">
        <f>IF(B272="","",COUNTIFS(Ejecucion[No. Solicitud],Registro!B272,Ejecucion[Estado],"En Proceso"))</f>
        <v/>
      </c>
      <c r="Z272" s="64" t="str">
        <f t="shared" si="9"/>
        <v/>
      </c>
      <c r="AA272" s="64"/>
      <c r="AB272" s="64"/>
      <c r="AC272" s="64"/>
      <c r="AD272" s="102"/>
    </row>
    <row r="273" spans="2:30" s="15" customFormat="1">
      <c r="B273" s="36"/>
      <c r="C273" s="102"/>
      <c r="D273" s="18"/>
      <c r="E273" s="22"/>
      <c r="F273" s="83"/>
      <c r="G273" s="83"/>
      <c r="H273" s="25"/>
      <c r="I273" s="25"/>
      <c r="J273" s="25"/>
      <c r="K273" s="25"/>
      <c r="L273" s="54"/>
      <c r="M273" s="18"/>
      <c r="N273" s="18"/>
      <c r="O273" s="25"/>
      <c r="P273" s="18"/>
      <c r="Q273" s="18"/>
      <c r="R273" s="37"/>
      <c r="S273" s="37"/>
      <c r="T273" s="60" t="str">
        <f t="shared" si="10"/>
        <v/>
      </c>
      <c r="U273" s="38"/>
      <c r="V273" s="38"/>
      <c r="W273" s="38" t="str">
        <f>IF(B273="","",COUNTIFS(Ejecucion[No. Solicitud],Registro!B273,Ejecucion[Estado],"Finalizado"))</f>
        <v/>
      </c>
      <c r="X273" s="38" t="str">
        <f>IF(B273="","",COUNTIFS(Ejecucion[No. Solicitud],Registro!B273,Ejecucion[Estado],"No Iniciado"))</f>
        <v/>
      </c>
      <c r="Y273" s="64" t="str">
        <f>IF(B273="","",COUNTIFS(Ejecucion[No. Solicitud],Registro!B273,Ejecucion[Estado],"En Proceso"))</f>
        <v/>
      </c>
      <c r="Z273" s="64" t="str">
        <f t="shared" si="9"/>
        <v/>
      </c>
      <c r="AA273" s="64"/>
      <c r="AB273" s="64"/>
      <c r="AC273" s="64"/>
      <c r="AD273" s="102"/>
    </row>
    <row r="274" spans="2:30" s="15" customFormat="1">
      <c r="B274" s="36"/>
      <c r="C274" s="102"/>
      <c r="D274" s="36"/>
      <c r="E274" s="22"/>
      <c r="F274" s="83"/>
      <c r="G274" s="83"/>
      <c r="H274" s="25"/>
      <c r="I274" s="25"/>
      <c r="J274" s="25"/>
      <c r="K274" s="25"/>
      <c r="L274" s="54"/>
      <c r="M274" s="18"/>
      <c r="N274" s="18"/>
      <c r="O274" s="25"/>
      <c r="P274" s="18"/>
      <c r="Q274" s="18"/>
      <c r="R274" s="37"/>
      <c r="S274" s="37"/>
      <c r="T274" s="60" t="str">
        <f t="shared" si="10"/>
        <v/>
      </c>
      <c r="U274" s="38"/>
      <c r="V274" s="38"/>
      <c r="W274" s="38" t="str">
        <f>IF(B274="","",COUNTIFS(Ejecucion[No. Solicitud],Registro!B274,Ejecucion[Estado],"Finalizado"))</f>
        <v/>
      </c>
      <c r="X274" s="38" t="str">
        <f>IF(B274="","",COUNTIFS(Ejecucion[No. Solicitud],Registro!B274,Ejecucion[Estado],"No Iniciado"))</f>
        <v/>
      </c>
      <c r="Y274" s="64" t="str">
        <f>IF(B274="","",COUNTIFS(Ejecucion[No. Solicitud],Registro!B274,Ejecucion[Estado],"En Proceso"))</f>
        <v/>
      </c>
      <c r="Z274" s="64" t="str">
        <f t="shared" si="9"/>
        <v/>
      </c>
      <c r="AA274" s="64"/>
      <c r="AB274" s="64"/>
      <c r="AC274" s="64"/>
      <c r="AD274" s="102"/>
    </row>
    <row r="275" spans="2:30" s="15" customFormat="1">
      <c r="B275" s="36"/>
      <c r="C275" s="102"/>
      <c r="D275" s="18"/>
      <c r="E275" s="22"/>
      <c r="F275" s="83"/>
      <c r="G275" s="83"/>
      <c r="H275" s="25"/>
      <c r="I275" s="25"/>
      <c r="J275" s="25"/>
      <c r="K275" s="25"/>
      <c r="L275" s="54"/>
      <c r="M275" s="18"/>
      <c r="N275" s="18"/>
      <c r="O275" s="25"/>
      <c r="P275" s="18"/>
      <c r="Q275" s="18"/>
      <c r="R275" s="37"/>
      <c r="S275" s="37"/>
      <c r="T275" s="60" t="str">
        <f t="shared" si="10"/>
        <v/>
      </c>
      <c r="U275" s="38"/>
      <c r="V275" s="38"/>
      <c r="W275" s="38" t="str">
        <f>IF(B275="","",COUNTIFS(Ejecucion[No. Solicitud],Registro!B275,Ejecucion[Estado],"Finalizado"))</f>
        <v/>
      </c>
      <c r="X275" s="38" t="str">
        <f>IF(B275="","",COUNTIFS(Ejecucion[No. Solicitud],Registro!B275,Ejecucion[Estado],"No Iniciado"))</f>
        <v/>
      </c>
      <c r="Y275" s="64" t="str">
        <f>IF(B275="","",COUNTIFS(Ejecucion[No. Solicitud],Registro!B275,Ejecucion[Estado],"En Proceso"))</f>
        <v/>
      </c>
      <c r="Z275" s="64" t="str">
        <f t="shared" si="9"/>
        <v/>
      </c>
      <c r="AA275" s="64"/>
      <c r="AB275" s="64"/>
      <c r="AC275" s="64"/>
      <c r="AD275" s="102"/>
    </row>
    <row r="276" spans="2:30" s="15" customFormat="1">
      <c r="B276" s="36"/>
      <c r="C276" s="102"/>
      <c r="D276" s="18"/>
      <c r="E276" s="22"/>
      <c r="F276" s="83"/>
      <c r="G276" s="83"/>
      <c r="H276" s="25"/>
      <c r="I276" s="25"/>
      <c r="J276" s="25"/>
      <c r="K276" s="25"/>
      <c r="L276" s="54"/>
      <c r="M276" s="18"/>
      <c r="N276" s="18"/>
      <c r="O276" s="25"/>
      <c r="P276" s="18"/>
      <c r="Q276" s="18"/>
      <c r="R276" s="37"/>
      <c r="S276" s="37"/>
      <c r="T276" s="60" t="str">
        <f t="shared" si="10"/>
        <v/>
      </c>
      <c r="U276" s="38"/>
      <c r="V276" s="38"/>
      <c r="W276" s="38" t="str">
        <f>IF(B276="","",COUNTIFS(Ejecucion[No. Solicitud],Registro!B276,Ejecucion[Estado],"Finalizado"))</f>
        <v/>
      </c>
      <c r="X276" s="38" t="str">
        <f>IF(B276="","",COUNTIFS(Ejecucion[No. Solicitud],Registro!B276,Ejecucion[Estado],"No Iniciado"))</f>
        <v/>
      </c>
      <c r="Y276" s="64" t="str">
        <f>IF(B276="","",COUNTIFS(Ejecucion[No. Solicitud],Registro!B276,Ejecucion[Estado],"En Proceso"))</f>
        <v/>
      </c>
      <c r="Z276" s="64" t="str">
        <f t="shared" si="9"/>
        <v/>
      </c>
      <c r="AA276" s="64"/>
      <c r="AB276" s="64"/>
      <c r="AC276" s="64"/>
      <c r="AD276" s="102"/>
    </row>
    <row r="277" spans="2:30" s="15" customFormat="1">
      <c r="B277" s="36"/>
      <c r="C277" s="102"/>
      <c r="D277" s="18"/>
      <c r="E277" s="22"/>
      <c r="F277" s="83"/>
      <c r="G277" s="83"/>
      <c r="H277" s="25"/>
      <c r="I277" s="25"/>
      <c r="J277" s="25"/>
      <c r="K277" s="25"/>
      <c r="L277" s="54"/>
      <c r="M277" s="18"/>
      <c r="N277" s="18"/>
      <c r="O277" s="25"/>
      <c r="P277" s="18"/>
      <c r="Q277" s="18"/>
      <c r="R277" s="37"/>
      <c r="S277" s="37"/>
      <c r="T277" s="60" t="str">
        <f t="shared" si="10"/>
        <v/>
      </c>
      <c r="U277" s="38"/>
      <c r="V277" s="38"/>
      <c r="W277" s="38" t="str">
        <f>IF(B277="","",COUNTIFS(Ejecucion[No. Solicitud],Registro!B277,Ejecucion[Estado],"Finalizado"))</f>
        <v/>
      </c>
      <c r="X277" s="38" t="str">
        <f>IF(B277="","",COUNTIFS(Ejecucion[No. Solicitud],Registro!B277,Ejecucion[Estado],"No Iniciado"))</f>
        <v/>
      </c>
      <c r="Y277" s="64" t="str">
        <f>IF(B277="","",COUNTIFS(Ejecucion[No. Solicitud],Registro!B277,Ejecucion[Estado],"En Proceso"))</f>
        <v/>
      </c>
      <c r="Z277" s="64" t="str">
        <f t="shared" si="9"/>
        <v/>
      </c>
      <c r="AA277" s="64"/>
      <c r="AB277" s="64"/>
      <c r="AC277" s="64"/>
      <c r="AD277" s="102"/>
    </row>
    <row r="278" spans="2:30" s="15" customFormat="1">
      <c r="B278" s="36"/>
      <c r="C278" s="102"/>
      <c r="D278" s="36"/>
      <c r="E278" s="22"/>
      <c r="F278" s="83"/>
      <c r="G278" s="83"/>
      <c r="H278" s="25"/>
      <c r="I278" s="25"/>
      <c r="J278" s="25"/>
      <c r="K278" s="25"/>
      <c r="L278" s="54"/>
      <c r="M278" s="36"/>
      <c r="N278" s="36"/>
      <c r="O278" s="102"/>
      <c r="P278" s="36"/>
      <c r="Q278" s="36"/>
      <c r="R278" s="37"/>
      <c r="S278" s="37"/>
      <c r="T278" s="60" t="str">
        <f t="shared" si="10"/>
        <v/>
      </c>
      <c r="U278" s="38"/>
      <c r="V278" s="38"/>
      <c r="W278" s="38" t="str">
        <f>IF(B278="","",COUNTIFS(Ejecucion[No. Solicitud],Registro!B278,Ejecucion[Estado],"Finalizado"))</f>
        <v/>
      </c>
      <c r="X278" s="38" t="str">
        <f>IF(B278="","",COUNTIFS(Ejecucion[No. Solicitud],Registro!B278,Ejecucion[Estado],"No Iniciado"))</f>
        <v/>
      </c>
      <c r="Y278" s="64" t="str">
        <f>IF(B278="","",COUNTIFS(Ejecucion[No. Solicitud],Registro!B278,Ejecucion[Estado],"En Proceso"))</f>
        <v/>
      </c>
      <c r="Z278" s="64" t="str">
        <f t="shared" si="9"/>
        <v/>
      </c>
      <c r="AA278" s="64"/>
      <c r="AB278" s="64"/>
      <c r="AC278" s="64"/>
      <c r="AD278" s="102"/>
    </row>
    <row r="279" spans="2:30" s="15" customFormat="1">
      <c r="B279" s="36"/>
      <c r="C279" s="102"/>
      <c r="D279" s="36"/>
      <c r="E279" s="22"/>
      <c r="F279" s="83"/>
      <c r="G279" s="83"/>
      <c r="H279" s="25"/>
      <c r="I279" s="25"/>
      <c r="J279" s="25"/>
      <c r="K279" s="25"/>
      <c r="L279" s="54"/>
      <c r="M279" s="36"/>
      <c r="N279" s="36"/>
      <c r="O279" s="102"/>
      <c r="P279" s="36"/>
      <c r="Q279" s="36"/>
      <c r="R279" s="37"/>
      <c r="S279" s="37"/>
      <c r="T279" s="60" t="str">
        <f t="shared" si="10"/>
        <v/>
      </c>
      <c r="U279" s="38"/>
      <c r="V279" s="38"/>
      <c r="W279" s="38" t="str">
        <f>IF(B279="","",COUNTIFS(Ejecucion[No. Solicitud],Registro!B279,Ejecucion[Estado],"Finalizado"))</f>
        <v/>
      </c>
      <c r="X279" s="38" t="str">
        <f>IF(B279="","",COUNTIFS(Ejecucion[No. Solicitud],Registro!B279,Ejecucion[Estado],"No Iniciado"))</f>
        <v/>
      </c>
      <c r="Y279" s="64" t="str">
        <f>IF(B279="","",COUNTIFS(Ejecucion[No. Solicitud],Registro!B279,Ejecucion[Estado],"En Proceso"))</f>
        <v/>
      </c>
      <c r="Z279" s="64" t="str">
        <f t="shared" si="9"/>
        <v/>
      </c>
      <c r="AA279" s="64"/>
      <c r="AB279" s="64"/>
      <c r="AC279" s="64"/>
      <c r="AD279" s="102"/>
    </row>
    <row r="280" spans="2:30" s="15" customFormat="1">
      <c r="B280" s="36"/>
      <c r="C280" s="102"/>
      <c r="D280" s="18"/>
      <c r="E280" s="22"/>
      <c r="F280" s="83"/>
      <c r="G280" s="83"/>
      <c r="H280" s="25"/>
      <c r="I280" s="25"/>
      <c r="J280" s="25"/>
      <c r="K280" s="25"/>
      <c r="L280" s="54"/>
      <c r="M280" s="36"/>
      <c r="N280" s="36"/>
      <c r="O280" s="102"/>
      <c r="P280" s="36"/>
      <c r="Q280" s="36"/>
      <c r="R280" s="37"/>
      <c r="S280" s="37"/>
      <c r="T280" s="60" t="str">
        <f t="shared" si="10"/>
        <v/>
      </c>
      <c r="U280" s="38"/>
      <c r="V280" s="38"/>
      <c r="W280" s="38" t="str">
        <f>IF(B280="","",COUNTIFS(Ejecucion[No. Solicitud],Registro!B280,Ejecucion[Estado],"Finalizado"))</f>
        <v/>
      </c>
      <c r="X280" s="38" t="str">
        <f>IF(B280="","",COUNTIFS(Ejecucion[No. Solicitud],Registro!B280,Ejecucion[Estado],"No Iniciado"))</f>
        <v/>
      </c>
      <c r="Y280" s="64" t="str">
        <f>IF(B280="","",COUNTIFS(Ejecucion[No. Solicitud],Registro!B280,Ejecucion[Estado],"En Proceso"))</f>
        <v/>
      </c>
      <c r="Z280" s="64" t="str">
        <f t="shared" si="9"/>
        <v/>
      </c>
      <c r="AA280" s="64"/>
      <c r="AB280" s="64"/>
      <c r="AC280" s="64"/>
      <c r="AD280" s="102"/>
    </row>
    <row r="281" spans="2:30" s="15" customFormat="1">
      <c r="B281" s="36"/>
      <c r="C281" s="102"/>
      <c r="D281" s="18"/>
      <c r="E281" s="22"/>
      <c r="F281" s="83"/>
      <c r="G281" s="83"/>
      <c r="H281" s="25"/>
      <c r="I281" s="25"/>
      <c r="J281" s="25"/>
      <c r="K281" s="25"/>
      <c r="L281" s="54"/>
      <c r="M281" s="36"/>
      <c r="N281" s="36"/>
      <c r="O281" s="102"/>
      <c r="P281" s="36"/>
      <c r="Q281" s="36"/>
      <c r="R281" s="37"/>
      <c r="S281" s="37"/>
      <c r="T281" s="60" t="str">
        <f t="shared" si="10"/>
        <v/>
      </c>
      <c r="U281" s="38"/>
      <c r="V281" s="38"/>
      <c r="W281" s="38" t="str">
        <f>IF(B281="","",COUNTIFS(Ejecucion[No. Solicitud],Registro!B281,Ejecucion[Estado],"Finalizado"))</f>
        <v/>
      </c>
      <c r="X281" s="38" t="str">
        <f>IF(B281="","",COUNTIFS(Ejecucion[No. Solicitud],Registro!B281,Ejecucion[Estado],"No Iniciado"))</f>
        <v/>
      </c>
      <c r="Y281" s="64" t="str">
        <f>IF(B281="","",COUNTIFS(Ejecucion[No. Solicitud],Registro!B281,Ejecucion[Estado],"En Proceso"))</f>
        <v/>
      </c>
      <c r="Z281" s="64" t="str">
        <f t="shared" si="9"/>
        <v/>
      </c>
      <c r="AA281" s="64"/>
      <c r="AB281" s="64"/>
      <c r="AC281" s="64"/>
      <c r="AD281" s="102"/>
    </row>
    <row r="282" spans="2:30" s="15" customFormat="1">
      <c r="B282" s="36"/>
      <c r="C282" s="102"/>
      <c r="D282" s="36"/>
      <c r="E282" s="22"/>
      <c r="F282" s="83"/>
      <c r="G282" s="83"/>
      <c r="H282" s="25"/>
      <c r="I282" s="25"/>
      <c r="J282" s="25"/>
      <c r="K282" s="25"/>
      <c r="L282" s="54"/>
      <c r="M282" s="36"/>
      <c r="N282" s="36"/>
      <c r="O282" s="102"/>
      <c r="P282" s="36"/>
      <c r="Q282" s="36"/>
      <c r="R282" s="37"/>
      <c r="S282" s="37"/>
      <c r="T282" s="60" t="str">
        <f t="shared" si="10"/>
        <v/>
      </c>
      <c r="U282" s="38"/>
      <c r="V282" s="38"/>
      <c r="W282" s="38" t="str">
        <f>IF(B282="","",COUNTIFS(Ejecucion[No. Solicitud],Registro!B282,Ejecucion[Estado],"Finalizado"))</f>
        <v/>
      </c>
      <c r="X282" s="38" t="str">
        <f>IF(B282="","",COUNTIFS(Ejecucion[No. Solicitud],Registro!B282,Ejecucion[Estado],"No Iniciado"))</f>
        <v/>
      </c>
      <c r="Y282" s="64" t="str">
        <f>IF(B282="","",COUNTIFS(Ejecucion[No. Solicitud],Registro!B282,Ejecucion[Estado],"En Proceso"))</f>
        <v/>
      </c>
      <c r="Z282" s="64" t="str">
        <f t="shared" ref="Z282:Z345" si="11">IF(U282="","",IF(F282="Virtual Asincrónico",1,V282*U282))</f>
        <v/>
      </c>
      <c r="AA282" s="64"/>
      <c r="AB282" s="64"/>
      <c r="AC282" s="64"/>
      <c r="AD282" s="102"/>
    </row>
    <row r="283" spans="2:30" s="15" customFormat="1">
      <c r="B283" s="36"/>
      <c r="C283" s="102"/>
      <c r="D283" s="36"/>
      <c r="E283" s="22"/>
      <c r="F283" s="83"/>
      <c r="G283" s="83"/>
      <c r="H283" s="25"/>
      <c r="I283" s="25"/>
      <c r="J283" s="25"/>
      <c r="K283" s="25"/>
      <c r="L283" s="54"/>
      <c r="M283" s="36"/>
      <c r="N283" s="36"/>
      <c r="O283" s="102"/>
      <c r="P283" s="36"/>
      <c r="Q283" s="36"/>
      <c r="R283" s="37"/>
      <c r="S283" s="37"/>
      <c r="T283" s="60" t="str">
        <f t="shared" si="10"/>
        <v/>
      </c>
      <c r="U283" s="38"/>
      <c r="V283" s="38"/>
      <c r="W283" s="38" t="str">
        <f>IF(B283="","",COUNTIFS(Ejecucion[No. Solicitud],Registro!B283,Ejecucion[Estado],"Finalizado"))</f>
        <v/>
      </c>
      <c r="X283" s="38" t="str">
        <f>IF(B283="","",COUNTIFS(Ejecucion[No. Solicitud],Registro!B283,Ejecucion[Estado],"No Iniciado"))</f>
        <v/>
      </c>
      <c r="Y283" s="64" t="str">
        <f>IF(B283="","",COUNTIFS(Ejecucion[No. Solicitud],Registro!B283,Ejecucion[Estado],"En Proceso"))</f>
        <v/>
      </c>
      <c r="Z283" s="64" t="str">
        <f t="shared" si="11"/>
        <v/>
      </c>
      <c r="AA283" s="64"/>
      <c r="AB283" s="64"/>
      <c r="AC283" s="64"/>
      <c r="AD283" s="102"/>
    </row>
    <row r="284" spans="2:30" s="15" customFormat="1">
      <c r="B284" s="36"/>
      <c r="C284" s="102"/>
      <c r="D284" s="36"/>
      <c r="E284" s="22"/>
      <c r="F284" s="83"/>
      <c r="G284" s="83"/>
      <c r="H284" s="25"/>
      <c r="I284" s="25"/>
      <c r="J284" s="25"/>
      <c r="K284" s="25"/>
      <c r="L284" s="54"/>
      <c r="M284" s="36"/>
      <c r="N284" s="36"/>
      <c r="O284" s="102"/>
      <c r="P284" s="36"/>
      <c r="Q284" s="36"/>
      <c r="R284" s="37"/>
      <c r="S284" s="37"/>
      <c r="T284" s="60" t="str">
        <f t="shared" si="10"/>
        <v/>
      </c>
      <c r="U284" s="38"/>
      <c r="V284" s="38"/>
      <c r="W284" s="38" t="str">
        <f>IF(B284="","",COUNTIFS(Ejecucion[No. Solicitud],Registro!B284,Ejecucion[Estado],"Finalizado"))</f>
        <v/>
      </c>
      <c r="X284" s="38" t="str">
        <f>IF(B284="","",COUNTIFS(Ejecucion[No. Solicitud],Registro!B284,Ejecucion[Estado],"No Iniciado"))</f>
        <v/>
      </c>
      <c r="Y284" s="64" t="str">
        <f>IF(B284="","",COUNTIFS(Ejecucion[No. Solicitud],Registro!B284,Ejecucion[Estado],"En Proceso"))</f>
        <v/>
      </c>
      <c r="Z284" s="64" t="str">
        <f t="shared" si="11"/>
        <v/>
      </c>
      <c r="AA284" s="64"/>
      <c r="AB284" s="64"/>
      <c r="AC284" s="64"/>
      <c r="AD284" s="102"/>
    </row>
    <row r="285" spans="2:30" s="15" customFormat="1">
      <c r="B285" s="36"/>
      <c r="C285" s="102"/>
      <c r="D285" s="36"/>
      <c r="E285" s="22"/>
      <c r="F285" s="83"/>
      <c r="G285" s="83"/>
      <c r="H285" s="25"/>
      <c r="I285" s="25"/>
      <c r="J285" s="25"/>
      <c r="K285" s="25"/>
      <c r="L285" s="54"/>
      <c r="M285" s="36"/>
      <c r="N285" s="36"/>
      <c r="O285" s="102"/>
      <c r="P285" s="36"/>
      <c r="Q285" s="36"/>
      <c r="R285" s="37"/>
      <c r="S285" s="37"/>
      <c r="T285" s="60" t="str">
        <f t="shared" si="10"/>
        <v/>
      </c>
      <c r="U285" s="38"/>
      <c r="V285" s="38"/>
      <c r="W285" s="38" t="str">
        <f>IF(B285="","",COUNTIFS(Ejecucion[No. Solicitud],Registro!B285,Ejecucion[Estado],"Finalizado"))</f>
        <v/>
      </c>
      <c r="X285" s="38" t="str">
        <f>IF(B285="","",COUNTIFS(Ejecucion[No. Solicitud],Registro!B285,Ejecucion[Estado],"No Iniciado"))</f>
        <v/>
      </c>
      <c r="Y285" s="64" t="str">
        <f>IF(B285="","",COUNTIFS(Ejecucion[No. Solicitud],Registro!B285,Ejecucion[Estado],"En Proceso"))</f>
        <v/>
      </c>
      <c r="Z285" s="64" t="str">
        <f t="shared" si="11"/>
        <v/>
      </c>
      <c r="AA285" s="64"/>
      <c r="AB285" s="64"/>
      <c r="AC285" s="64"/>
      <c r="AD285" s="102"/>
    </row>
    <row r="286" spans="2:30" s="15" customFormat="1">
      <c r="B286" s="36"/>
      <c r="C286" s="102"/>
      <c r="D286" s="36"/>
      <c r="E286" s="22"/>
      <c r="F286" s="83"/>
      <c r="G286" s="83"/>
      <c r="H286" s="25"/>
      <c r="I286" s="25"/>
      <c r="J286" s="25"/>
      <c r="K286" s="25"/>
      <c r="L286" s="54"/>
      <c r="M286" s="36"/>
      <c r="N286" s="36"/>
      <c r="O286" s="102"/>
      <c r="P286" s="36"/>
      <c r="Q286" s="36"/>
      <c r="R286" s="37"/>
      <c r="S286" s="37"/>
      <c r="T286" s="60" t="str">
        <f t="shared" si="10"/>
        <v/>
      </c>
      <c r="U286" s="38"/>
      <c r="V286" s="38"/>
      <c r="W286" s="38" t="str">
        <f>IF(B286="","",COUNTIFS(Ejecucion[No. Solicitud],Registro!B286,Ejecucion[Estado],"Finalizado"))</f>
        <v/>
      </c>
      <c r="X286" s="38" t="str">
        <f>IF(B286="","",COUNTIFS(Ejecucion[No. Solicitud],Registro!B286,Ejecucion[Estado],"No Iniciado"))</f>
        <v/>
      </c>
      <c r="Y286" s="64" t="str">
        <f>IF(B286="","",COUNTIFS(Ejecucion[No. Solicitud],Registro!B286,Ejecucion[Estado],"En Proceso"))</f>
        <v/>
      </c>
      <c r="Z286" s="64" t="str">
        <f t="shared" si="11"/>
        <v/>
      </c>
      <c r="AA286" s="64"/>
      <c r="AB286" s="64"/>
      <c r="AC286" s="64"/>
      <c r="AD286" s="102"/>
    </row>
    <row r="287" spans="2:30" s="15" customFormat="1">
      <c r="B287" s="36"/>
      <c r="C287" s="102"/>
      <c r="D287" s="36"/>
      <c r="E287" s="22"/>
      <c r="F287" s="83"/>
      <c r="G287" s="83"/>
      <c r="H287" s="25"/>
      <c r="I287" s="25"/>
      <c r="J287" s="25"/>
      <c r="K287" s="25"/>
      <c r="L287" s="54"/>
      <c r="M287" s="36"/>
      <c r="N287" s="36"/>
      <c r="O287" s="102"/>
      <c r="P287" s="36"/>
      <c r="Q287" s="36"/>
      <c r="R287" s="37"/>
      <c r="S287" s="37"/>
      <c r="T287" s="60" t="str">
        <f t="shared" si="10"/>
        <v/>
      </c>
      <c r="U287" s="38"/>
      <c r="V287" s="38"/>
      <c r="W287" s="38" t="str">
        <f>IF(B287="","",COUNTIFS(Ejecucion[No. Solicitud],Registro!B287,Ejecucion[Estado],"Finalizado"))</f>
        <v/>
      </c>
      <c r="X287" s="38" t="str">
        <f>IF(B287="","",COUNTIFS(Ejecucion[No. Solicitud],Registro!B287,Ejecucion[Estado],"No Iniciado"))</f>
        <v/>
      </c>
      <c r="Y287" s="64" t="str">
        <f>IF(B287="","",COUNTIFS(Ejecucion[No. Solicitud],Registro!B287,Ejecucion[Estado],"En Proceso"))</f>
        <v/>
      </c>
      <c r="Z287" s="64" t="str">
        <f t="shared" si="11"/>
        <v/>
      </c>
      <c r="AA287" s="64"/>
      <c r="AB287" s="64"/>
      <c r="AC287" s="64"/>
      <c r="AD287" s="102"/>
    </row>
    <row r="288" spans="2:30" s="15" customFormat="1">
      <c r="B288" s="36"/>
      <c r="C288" s="102"/>
      <c r="D288" s="36"/>
      <c r="E288" s="22"/>
      <c r="F288" s="83"/>
      <c r="G288" s="83"/>
      <c r="H288" s="25"/>
      <c r="I288" s="25"/>
      <c r="J288" s="25"/>
      <c r="K288" s="25"/>
      <c r="L288" s="54"/>
      <c r="M288" s="36"/>
      <c r="N288" s="36"/>
      <c r="O288" s="102"/>
      <c r="P288" s="36"/>
      <c r="Q288" s="36"/>
      <c r="R288" s="37"/>
      <c r="S288" s="37"/>
      <c r="T288" s="60" t="str">
        <f t="shared" si="10"/>
        <v/>
      </c>
      <c r="U288" s="38"/>
      <c r="V288" s="38"/>
      <c r="W288" s="38" t="str">
        <f>IF(B288="","",COUNTIFS(Ejecucion[No. Solicitud],Registro!B288,Ejecucion[Estado],"Finalizado"))</f>
        <v/>
      </c>
      <c r="X288" s="38" t="str">
        <f>IF(B288="","",COUNTIFS(Ejecucion[No. Solicitud],Registro!B288,Ejecucion[Estado],"No Iniciado"))</f>
        <v/>
      </c>
      <c r="Y288" s="64" t="str">
        <f>IF(B288="","",COUNTIFS(Ejecucion[No. Solicitud],Registro!B288,Ejecucion[Estado],"En Proceso"))</f>
        <v/>
      </c>
      <c r="Z288" s="64" t="str">
        <f t="shared" si="11"/>
        <v/>
      </c>
      <c r="AA288" s="64"/>
      <c r="AB288" s="64"/>
      <c r="AC288" s="64"/>
      <c r="AD288" s="102"/>
    </row>
    <row r="289" spans="2:30" s="15" customFormat="1">
      <c r="B289" s="36"/>
      <c r="C289" s="102"/>
      <c r="D289" s="36"/>
      <c r="E289" s="22"/>
      <c r="F289" s="83"/>
      <c r="G289" s="83"/>
      <c r="H289" s="25"/>
      <c r="I289" s="25"/>
      <c r="J289" s="25"/>
      <c r="K289" s="25"/>
      <c r="L289" s="54"/>
      <c r="M289" s="36"/>
      <c r="N289" s="36"/>
      <c r="O289" s="102"/>
      <c r="P289" s="36"/>
      <c r="Q289" s="36"/>
      <c r="R289" s="37"/>
      <c r="S289" s="37"/>
      <c r="T289" s="60" t="str">
        <f t="shared" si="10"/>
        <v/>
      </c>
      <c r="U289" s="38"/>
      <c r="V289" s="38"/>
      <c r="W289" s="38" t="str">
        <f>IF(B289="","",COUNTIFS(Ejecucion[No. Solicitud],Registro!B289,Ejecucion[Estado],"Finalizado"))</f>
        <v/>
      </c>
      <c r="X289" s="38" t="str">
        <f>IF(B289="","",COUNTIFS(Ejecucion[No. Solicitud],Registro!B289,Ejecucion[Estado],"No Iniciado"))</f>
        <v/>
      </c>
      <c r="Y289" s="64" t="str">
        <f>IF(B289="","",COUNTIFS(Ejecucion[No. Solicitud],Registro!B289,Ejecucion[Estado],"En Proceso"))</f>
        <v/>
      </c>
      <c r="Z289" s="64" t="str">
        <f t="shared" si="11"/>
        <v/>
      </c>
      <c r="AA289" s="64"/>
      <c r="AB289" s="64"/>
      <c r="AC289" s="64"/>
      <c r="AD289" s="102"/>
    </row>
    <row r="290" spans="2:30" s="15" customFormat="1">
      <c r="B290" s="36"/>
      <c r="C290" s="102"/>
      <c r="D290" s="36"/>
      <c r="E290" s="22"/>
      <c r="F290" s="83"/>
      <c r="G290" s="83"/>
      <c r="H290" s="25"/>
      <c r="I290" s="25"/>
      <c r="J290" s="25"/>
      <c r="K290" s="25"/>
      <c r="L290" s="54"/>
      <c r="M290" s="36"/>
      <c r="N290" s="36"/>
      <c r="O290" s="102"/>
      <c r="P290" s="36"/>
      <c r="Q290" s="36"/>
      <c r="R290" s="57"/>
      <c r="S290" s="57"/>
      <c r="T290" s="60" t="str">
        <f t="shared" si="10"/>
        <v/>
      </c>
      <c r="U290" s="65"/>
      <c r="V290" s="65"/>
      <c r="W290" s="38" t="str">
        <f>IF(B290="","",COUNTIFS(Ejecucion[No. Solicitud],Registro!B290,Ejecucion[Estado],"Finalizado"))</f>
        <v/>
      </c>
      <c r="X290" s="38" t="str">
        <f>IF(B290="","",COUNTIFS(Ejecucion[No. Solicitud],Registro!B290,Ejecucion[Estado],"No Iniciado"))</f>
        <v/>
      </c>
      <c r="Y290" s="64" t="str">
        <f>IF(B290="","",COUNTIFS(Ejecucion[No. Solicitud],Registro!B290,Ejecucion[Estado],"En Proceso"))</f>
        <v/>
      </c>
      <c r="Z290" s="64" t="str">
        <f t="shared" si="11"/>
        <v/>
      </c>
      <c r="AA290" s="64"/>
      <c r="AB290" s="64"/>
      <c r="AC290" s="64"/>
      <c r="AD290" s="102"/>
    </row>
    <row r="291" spans="2:30" s="15" customFormat="1">
      <c r="B291" s="36"/>
      <c r="C291" s="102"/>
      <c r="D291" s="36"/>
      <c r="E291" s="22"/>
      <c r="F291" s="83"/>
      <c r="G291" s="83"/>
      <c r="H291" s="25"/>
      <c r="I291" s="25"/>
      <c r="J291" s="25"/>
      <c r="K291" s="25"/>
      <c r="L291" s="54"/>
      <c r="M291" s="36"/>
      <c r="N291" s="36"/>
      <c r="O291" s="102"/>
      <c r="P291" s="36"/>
      <c r="Q291" s="36"/>
      <c r="R291" s="37"/>
      <c r="S291" s="37"/>
      <c r="T291" s="60" t="str">
        <f t="shared" si="10"/>
        <v/>
      </c>
      <c r="U291" s="38"/>
      <c r="V291" s="38"/>
      <c r="W291" s="38" t="str">
        <f>IF(B291="","",COUNTIFS(Ejecucion[No. Solicitud],Registro!B291,Ejecucion[Estado],"Finalizado"))</f>
        <v/>
      </c>
      <c r="X291" s="38" t="str">
        <f>IF(B291="","",COUNTIFS(Ejecucion[No. Solicitud],Registro!B291,Ejecucion[Estado],"No Iniciado"))</f>
        <v/>
      </c>
      <c r="Y291" s="64" t="str">
        <f>IF(B291="","",COUNTIFS(Ejecucion[No. Solicitud],Registro!B291,Ejecucion[Estado],"En Proceso"))</f>
        <v/>
      </c>
      <c r="Z291" s="64" t="str">
        <f t="shared" si="11"/>
        <v/>
      </c>
      <c r="AA291" s="64"/>
      <c r="AB291" s="64"/>
      <c r="AC291" s="64"/>
      <c r="AD291" s="102"/>
    </row>
    <row r="292" spans="2:30" s="15" customFormat="1">
      <c r="B292" s="36"/>
      <c r="C292" s="102"/>
      <c r="D292" s="36"/>
      <c r="E292" s="22"/>
      <c r="F292" s="83"/>
      <c r="G292" s="83"/>
      <c r="H292" s="25"/>
      <c r="I292" s="25"/>
      <c r="J292" s="25"/>
      <c r="K292" s="25"/>
      <c r="L292" s="54"/>
      <c r="M292" s="36"/>
      <c r="N292" s="36"/>
      <c r="O292" s="102"/>
      <c r="P292" s="36"/>
      <c r="Q292" s="36"/>
      <c r="R292" s="37"/>
      <c r="S292" s="37"/>
      <c r="T292" s="60" t="str">
        <f t="shared" si="10"/>
        <v/>
      </c>
      <c r="U292" s="38"/>
      <c r="V292" s="38"/>
      <c r="W292" s="38" t="str">
        <f>IF(B292="","",COUNTIFS(Ejecucion[No. Solicitud],Registro!B292,Ejecucion[Estado],"Finalizado"))</f>
        <v/>
      </c>
      <c r="X292" s="38" t="str">
        <f>IF(B292="","",COUNTIFS(Ejecucion[No. Solicitud],Registro!B292,Ejecucion[Estado],"No Iniciado"))</f>
        <v/>
      </c>
      <c r="Y292" s="64" t="str">
        <f>IF(B292="","",COUNTIFS(Ejecucion[No. Solicitud],Registro!B292,Ejecucion[Estado],"En Proceso"))</f>
        <v/>
      </c>
      <c r="Z292" s="64" t="str">
        <f t="shared" si="11"/>
        <v/>
      </c>
      <c r="AA292" s="64"/>
      <c r="AB292" s="64"/>
      <c r="AC292" s="64"/>
      <c r="AD292" s="102"/>
    </row>
    <row r="293" spans="2:30" s="15" customFormat="1">
      <c r="B293" s="36"/>
      <c r="C293" s="102"/>
      <c r="D293" s="36"/>
      <c r="E293" s="22"/>
      <c r="F293" s="83"/>
      <c r="G293" s="83"/>
      <c r="H293" s="25"/>
      <c r="I293" s="25"/>
      <c r="J293" s="25"/>
      <c r="K293" s="25"/>
      <c r="L293" s="54"/>
      <c r="M293" s="36"/>
      <c r="N293" s="36"/>
      <c r="O293" s="102"/>
      <c r="P293" s="36"/>
      <c r="Q293" s="36"/>
      <c r="R293" s="37"/>
      <c r="S293" s="37"/>
      <c r="T293" s="60" t="str">
        <f t="shared" si="10"/>
        <v/>
      </c>
      <c r="U293" s="38"/>
      <c r="V293" s="38"/>
      <c r="W293" s="38" t="str">
        <f>IF(B293="","",COUNTIFS(Ejecucion[No. Solicitud],Registro!B293,Ejecucion[Estado],"Finalizado"))</f>
        <v/>
      </c>
      <c r="X293" s="38" t="str">
        <f>IF(B293="","",COUNTIFS(Ejecucion[No. Solicitud],Registro!B293,Ejecucion[Estado],"No Iniciado"))</f>
        <v/>
      </c>
      <c r="Y293" s="64" t="str">
        <f>IF(B293="","",COUNTIFS(Ejecucion[No. Solicitud],Registro!B293,Ejecucion[Estado],"En Proceso"))</f>
        <v/>
      </c>
      <c r="Z293" s="64" t="str">
        <f t="shared" si="11"/>
        <v/>
      </c>
      <c r="AA293" s="64"/>
      <c r="AB293" s="64"/>
      <c r="AC293" s="64"/>
      <c r="AD293" s="102"/>
    </row>
    <row r="294" spans="2:30" s="15" customFormat="1">
      <c r="B294" s="36"/>
      <c r="C294" s="102"/>
      <c r="D294" s="36"/>
      <c r="E294" s="22"/>
      <c r="F294" s="83"/>
      <c r="G294" s="83"/>
      <c r="H294" s="25"/>
      <c r="I294" s="25"/>
      <c r="J294" s="25"/>
      <c r="K294" s="25"/>
      <c r="L294" s="54"/>
      <c r="M294" s="36"/>
      <c r="N294" s="36"/>
      <c r="O294" s="102"/>
      <c r="P294" s="36"/>
      <c r="Q294" s="36"/>
      <c r="R294" s="37"/>
      <c r="S294" s="37"/>
      <c r="T294" s="60" t="str">
        <f t="shared" si="10"/>
        <v/>
      </c>
      <c r="U294" s="38"/>
      <c r="V294" s="38"/>
      <c r="W294" s="38" t="str">
        <f>IF(B294="","",COUNTIFS(Ejecucion[No. Solicitud],Registro!B294,Ejecucion[Estado],"Finalizado"))</f>
        <v/>
      </c>
      <c r="X294" s="38" t="str">
        <f>IF(B294="","",COUNTIFS(Ejecucion[No. Solicitud],Registro!B294,Ejecucion[Estado],"No Iniciado"))</f>
        <v/>
      </c>
      <c r="Y294" s="64" t="str">
        <f>IF(B294="","",COUNTIFS(Ejecucion[No. Solicitud],Registro!B294,Ejecucion[Estado],"En Proceso"))</f>
        <v/>
      </c>
      <c r="Z294" s="64" t="str">
        <f t="shared" si="11"/>
        <v/>
      </c>
      <c r="AA294" s="64"/>
      <c r="AB294" s="64"/>
      <c r="AC294" s="64"/>
      <c r="AD294" s="102"/>
    </row>
    <row r="295" spans="2:30" s="15" customFormat="1">
      <c r="B295" s="36"/>
      <c r="C295" s="102"/>
      <c r="D295" s="36"/>
      <c r="E295" s="22"/>
      <c r="F295" s="83"/>
      <c r="G295" s="83"/>
      <c r="H295" s="25"/>
      <c r="I295" s="25"/>
      <c r="J295" s="25"/>
      <c r="K295" s="25"/>
      <c r="L295" s="54"/>
      <c r="M295" s="36"/>
      <c r="N295" s="36"/>
      <c r="O295" s="102"/>
      <c r="P295" s="36"/>
      <c r="Q295" s="36"/>
      <c r="R295" s="37"/>
      <c r="S295" s="37"/>
      <c r="T295" s="60" t="str">
        <f t="shared" si="10"/>
        <v/>
      </c>
      <c r="U295" s="38"/>
      <c r="V295" s="38"/>
      <c r="W295" s="38" t="str">
        <f>IF(B295="","",COUNTIFS(Ejecucion[No. Solicitud],Registro!B295,Ejecucion[Estado],"Finalizado"))</f>
        <v/>
      </c>
      <c r="X295" s="38" t="str">
        <f>IF(B295="","",COUNTIFS(Ejecucion[No. Solicitud],Registro!B295,Ejecucion[Estado],"No Iniciado"))</f>
        <v/>
      </c>
      <c r="Y295" s="64" t="str">
        <f>IF(B295="","",COUNTIFS(Ejecucion[No. Solicitud],Registro!B295,Ejecucion[Estado],"En Proceso"))</f>
        <v/>
      </c>
      <c r="Z295" s="64" t="str">
        <f t="shared" si="11"/>
        <v/>
      </c>
      <c r="AA295" s="64"/>
      <c r="AB295" s="64"/>
      <c r="AC295" s="64"/>
      <c r="AD295" s="102"/>
    </row>
    <row r="296" spans="2:30" s="15" customFormat="1">
      <c r="B296" s="36"/>
      <c r="C296" s="102"/>
      <c r="D296" s="36"/>
      <c r="E296" s="22"/>
      <c r="F296" s="83"/>
      <c r="G296" s="83"/>
      <c r="H296" s="25"/>
      <c r="I296" s="25"/>
      <c r="J296" s="25"/>
      <c r="K296" s="25"/>
      <c r="L296" s="54"/>
      <c r="M296" s="36"/>
      <c r="N296" s="36"/>
      <c r="O296" s="102"/>
      <c r="P296" s="36"/>
      <c r="Q296" s="36"/>
      <c r="R296" s="37"/>
      <c r="S296" s="37"/>
      <c r="T296" s="60" t="str">
        <f t="shared" si="10"/>
        <v/>
      </c>
      <c r="U296" s="38"/>
      <c r="V296" s="38"/>
      <c r="W296" s="38" t="str">
        <f>IF(B296="","",COUNTIFS(Ejecucion[No. Solicitud],Registro!B296,Ejecucion[Estado],"Finalizado"))</f>
        <v/>
      </c>
      <c r="X296" s="38" t="str">
        <f>IF(B296="","",COUNTIFS(Ejecucion[No. Solicitud],Registro!B296,Ejecucion[Estado],"No Iniciado"))</f>
        <v/>
      </c>
      <c r="Y296" s="64" t="str">
        <f>IF(B296="","",COUNTIFS(Ejecucion[No. Solicitud],Registro!B296,Ejecucion[Estado],"En Proceso"))</f>
        <v/>
      </c>
      <c r="Z296" s="64" t="str">
        <f t="shared" si="11"/>
        <v/>
      </c>
      <c r="AA296" s="64"/>
      <c r="AB296" s="64"/>
      <c r="AC296" s="64"/>
      <c r="AD296" s="102"/>
    </row>
    <row r="297" spans="2:30" s="15" customFormat="1">
      <c r="B297" s="36"/>
      <c r="C297" s="102"/>
      <c r="D297" s="36"/>
      <c r="E297" s="22"/>
      <c r="F297" s="83"/>
      <c r="G297" s="83"/>
      <c r="H297" s="25"/>
      <c r="I297" s="25"/>
      <c r="J297" s="25"/>
      <c r="K297" s="25"/>
      <c r="L297" s="54"/>
      <c r="M297" s="36"/>
      <c r="N297" s="36"/>
      <c r="O297" s="102"/>
      <c r="P297" s="36"/>
      <c r="Q297" s="36"/>
      <c r="R297" s="37"/>
      <c r="S297" s="37"/>
      <c r="T297" s="60" t="str">
        <f t="shared" si="10"/>
        <v/>
      </c>
      <c r="U297" s="38"/>
      <c r="V297" s="38"/>
      <c r="W297" s="38" t="str">
        <f>IF(B297="","",COUNTIFS(Ejecucion[No. Solicitud],Registro!B297,Ejecucion[Estado],"Finalizado"))</f>
        <v/>
      </c>
      <c r="X297" s="38" t="str">
        <f>IF(B297="","",COUNTIFS(Ejecucion[No. Solicitud],Registro!B297,Ejecucion[Estado],"No Iniciado"))</f>
        <v/>
      </c>
      <c r="Y297" s="64" t="str">
        <f>IF(B297="","",COUNTIFS(Ejecucion[No. Solicitud],Registro!B297,Ejecucion[Estado],"En Proceso"))</f>
        <v/>
      </c>
      <c r="Z297" s="64" t="str">
        <f t="shared" si="11"/>
        <v/>
      </c>
      <c r="AA297" s="64"/>
      <c r="AB297" s="64"/>
      <c r="AC297" s="64"/>
      <c r="AD297" s="102"/>
    </row>
    <row r="298" spans="2:30" s="15" customFormat="1">
      <c r="B298" s="36"/>
      <c r="C298" s="102"/>
      <c r="D298" s="36"/>
      <c r="E298" s="22"/>
      <c r="F298" s="83"/>
      <c r="G298" s="83"/>
      <c r="H298" s="25"/>
      <c r="I298" s="25"/>
      <c r="J298" s="25"/>
      <c r="K298" s="25"/>
      <c r="L298" s="54"/>
      <c r="M298" s="36"/>
      <c r="N298" s="36"/>
      <c r="O298" s="102"/>
      <c r="P298" s="36"/>
      <c r="Q298" s="36"/>
      <c r="R298" s="37"/>
      <c r="S298" s="37"/>
      <c r="T298" s="60" t="str">
        <f t="shared" si="10"/>
        <v/>
      </c>
      <c r="U298" s="38"/>
      <c r="V298" s="38"/>
      <c r="W298" s="38" t="str">
        <f>IF(B298="","",COUNTIFS(Ejecucion[No. Solicitud],Registro!B298,Ejecucion[Estado],"Finalizado"))</f>
        <v/>
      </c>
      <c r="X298" s="38" t="str">
        <f>IF(B298="","",COUNTIFS(Ejecucion[No. Solicitud],Registro!B298,Ejecucion[Estado],"No Iniciado"))</f>
        <v/>
      </c>
      <c r="Y298" s="64" t="str">
        <f>IF(B298="","",COUNTIFS(Ejecucion[No. Solicitud],Registro!B298,Ejecucion[Estado],"En Proceso"))</f>
        <v/>
      </c>
      <c r="Z298" s="64" t="str">
        <f t="shared" si="11"/>
        <v/>
      </c>
      <c r="AA298" s="64"/>
      <c r="AB298" s="64"/>
      <c r="AC298" s="64"/>
      <c r="AD298" s="102"/>
    </row>
    <row r="299" spans="2:30" s="15" customFormat="1">
      <c r="B299" s="36"/>
      <c r="C299" s="102"/>
      <c r="D299" s="36"/>
      <c r="E299" s="22"/>
      <c r="F299" s="83"/>
      <c r="G299" s="83"/>
      <c r="H299" s="25"/>
      <c r="I299" s="25"/>
      <c r="J299" s="25"/>
      <c r="K299" s="25"/>
      <c r="L299" s="54"/>
      <c r="M299" s="36"/>
      <c r="N299" s="36"/>
      <c r="O299" s="102"/>
      <c r="P299" s="36"/>
      <c r="Q299" s="36"/>
      <c r="R299" s="37"/>
      <c r="S299" s="37"/>
      <c r="T299" s="60" t="str">
        <f t="shared" si="10"/>
        <v/>
      </c>
      <c r="U299" s="38"/>
      <c r="V299" s="38"/>
      <c r="W299" s="38" t="str">
        <f>IF(B299="","",COUNTIFS(Ejecucion[No. Solicitud],Registro!B299,Ejecucion[Estado],"Finalizado"))</f>
        <v/>
      </c>
      <c r="X299" s="38" t="str">
        <f>IF(B299="","",COUNTIFS(Ejecucion[No. Solicitud],Registro!B299,Ejecucion[Estado],"No Iniciado"))</f>
        <v/>
      </c>
      <c r="Y299" s="64" t="str">
        <f>IF(B299="","",COUNTIFS(Ejecucion[No. Solicitud],Registro!B299,Ejecucion[Estado],"En Proceso"))</f>
        <v/>
      </c>
      <c r="Z299" s="64" t="str">
        <f t="shared" si="11"/>
        <v/>
      </c>
      <c r="AA299" s="64"/>
      <c r="AB299" s="64"/>
      <c r="AC299" s="64"/>
      <c r="AD299" s="102"/>
    </row>
    <row r="300" spans="2:30" s="15" customFormat="1">
      <c r="B300" s="36"/>
      <c r="C300" s="102"/>
      <c r="D300" s="36"/>
      <c r="E300" s="22"/>
      <c r="F300" s="83"/>
      <c r="G300" s="83"/>
      <c r="H300" s="25"/>
      <c r="I300" s="25"/>
      <c r="J300" s="25"/>
      <c r="K300" s="25"/>
      <c r="L300" s="54"/>
      <c r="M300" s="36"/>
      <c r="N300" s="36"/>
      <c r="O300" s="102"/>
      <c r="P300" s="36"/>
      <c r="Q300" s="36"/>
      <c r="R300" s="37"/>
      <c r="S300" s="37"/>
      <c r="T300" s="60" t="str">
        <f t="shared" si="10"/>
        <v/>
      </c>
      <c r="U300" s="38"/>
      <c r="V300" s="38"/>
      <c r="W300" s="38" t="str">
        <f>IF(B300="","",COUNTIFS(Ejecucion[No. Solicitud],Registro!B300,Ejecucion[Estado],"Finalizado"))</f>
        <v/>
      </c>
      <c r="X300" s="38" t="str">
        <f>IF(B300="","",COUNTIFS(Ejecucion[No. Solicitud],Registro!B300,Ejecucion[Estado],"No Iniciado"))</f>
        <v/>
      </c>
      <c r="Y300" s="64" t="str">
        <f>IF(B300="","",COUNTIFS(Ejecucion[No. Solicitud],Registro!B300,Ejecucion[Estado],"En Proceso"))</f>
        <v/>
      </c>
      <c r="Z300" s="64" t="str">
        <f t="shared" si="11"/>
        <v/>
      </c>
      <c r="AA300" s="64"/>
      <c r="AB300" s="64"/>
      <c r="AC300" s="64"/>
      <c r="AD300" s="102"/>
    </row>
    <row r="301" spans="2:30" s="15" customFormat="1">
      <c r="B301" s="36"/>
      <c r="C301" s="102"/>
      <c r="D301" s="36"/>
      <c r="E301" s="22"/>
      <c r="F301" s="83"/>
      <c r="G301" s="83"/>
      <c r="H301" s="25"/>
      <c r="I301" s="25"/>
      <c r="J301" s="25"/>
      <c r="K301" s="25"/>
      <c r="L301" s="54"/>
      <c r="M301" s="36"/>
      <c r="N301" s="36"/>
      <c r="O301" s="102"/>
      <c r="P301" s="36"/>
      <c r="Q301" s="36"/>
      <c r="R301" s="37"/>
      <c r="S301" s="37"/>
      <c r="T301" s="60" t="str">
        <f t="shared" si="10"/>
        <v/>
      </c>
      <c r="U301" s="38"/>
      <c r="V301" s="38"/>
      <c r="W301" s="38" t="str">
        <f>IF(B301="","",COUNTIFS(Ejecucion[No. Solicitud],Registro!B301,Ejecucion[Estado],"Finalizado"))</f>
        <v/>
      </c>
      <c r="X301" s="38" t="str">
        <f>IF(B301="","",COUNTIFS(Ejecucion[No. Solicitud],Registro!B301,Ejecucion[Estado],"No Iniciado"))</f>
        <v/>
      </c>
      <c r="Y301" s="64" t="str">
        <f>IF(B301="","",COUNTIFS(Ejecucion[No. Solicitud],Registro!B301,Ejecucion[Estado],"En Proceso"))</f>
        <v/>
      </c>
      <c r="Z301" s="64" t="str">
        <f t="shared" si="11"/>
        <v/>
      </c>
      <c r="AA301" s="64"/>
      <c r="AB301" s="64"/>
      <c r="AC301" s="64"/>
      <c r="AD301" s="102"/>
    </row>
    <row r="302" spans="2:30" s="15" customFormat="1">
      <c r="B302" s="36"/>
      <c r="C302" s="102"/>
      <c r="D302" s="36"/>
      <c r="E302" s="22"/>
      <c r="F302" s="83"/>
      <c r="G302" s="83"/>
      <c r="H302" s="25"/>
      <c r="I302" s="25"/>
      <c r="J302" s="25"/>
      <c r="K302" s="25"/>
      <c r="L302" s="54"/>
      <c r="M302" s="36"/>
      <c r="N302" s="36"/>
      <c r="O302" s="102"/>
      <c r="P302" s="36"/>
      <c r="Q302" s="36"/>
      <c r="R302" s="37"/>
      <c r="S302" s="37"/>
      <c r="T302" s="60" t="str">
        <f t="shared" si="10"/>
        <v/>
      </c>
      <c r="U302" s="38"/>
      <c r="V302" s="38"/>
      <c r="W302" s="38" t="str">
        <f>IF(B302="","",COUNTIFS(Ejecucion[No. Solicitud],Registro!B302,Ejecucion[Estado],"Finalizado"))</f>
        <v/>
      </c>
      <c r="X302" s="38" t="str">
        <f>IF(B302="","",COUNTIFS(Ejecucion[No. Solicitud],Registro!B302,Ejecucion[Estado],"No Iniciado"))</f>
        <v/>
      </c>
      <c r="Y302" s="64" t="str">
        <f>IF(B302="","",COUNTIFS(Ejecucion[No. Solicitud],Registro!B302,Ejecucion[Estado],"En Proceso"))</f>
        <v/>
      </c>
      <c r="Z302" s="64" t="str">
        <f t="shared" si="11"/>
        <v/>
      </c>
      <c r="AA302" s="64"/>
      <c r="AB302" s="64"/>
      <c r="AC302" s="64"/>
      <c r="AD302" s="102"/>
    </row>
    <row r="303" spans="2:30" s="15" customFormat="1">
      <c r="B303" s="36"/>
      <c r="C303" s="102"/>
      <c r="D303" s="36"/>
      <c r="E303" s="22"/>
      <c r="F303" s="83"/>
      <c r="G303" s="83"/>
      <c r="H303" s="25"/>
      <c r="I303" s="25"/>
      <c r="J303" s="25"/>
      <c r="K303" s="25"/>
      <c r="L303" s="54"/>
      <c r="M303" s="36"/>
      <c r="N303" s="36"/>
      <c r="O303" s="102"/>
      <c r="P303" s="36"/>
      <c r="Q303" s="36"/>
      <c r="R303" s="37"/>
      <c r="S303" s="37"/>
      <c r="T303" s="60" t="str">
        <f t="shared" si="10"/>
        <v/>
      </c>
      <c r="U303" s="38"/>
      <c r="V303" s="38"/>
      <c r="W303" s="38" t="str">
        <f>IF(B303="","",COUNTIFS(Ejecucion[No. Solicitud],Registro!B303,Ejecucion[Estado],"Finalizado"))</f>
        <v/>
      </c>
      <c r="X303" s="38" t="str">
        <f>IF(B303="","",COUNTIFS(Ejecucion[No. Solicitud],Registro!B303,Ejecucion[Estado],"No Iniciado"))</f>
        <v/>
      </c>
      <c r="Y303" s="64" t="str">
        <f>IF(B303="","",COUNTIFS(Ejecucion[No. Solicitud],Registro!B303,Ejecucion[Estado],"En Proceso"))</f>
        <v/>
      </c>
      <c r="Z303" s="64" t="str">
        <f t="shared" si="11"/>
        <v/>
      </c>
      <c r="AA303" s="64"/>
      <c r="AB303" s="64"/>
      <c r="AC303" s="64"/>
      <c r="AD303" s="102"/>
    </row>
    <row r="304" spans="2:30" s="15" customFormat="1">
      <c r="B304" s="36"/>
      <c r="C304" s="102"/>
      <c r="D304" s="36"/>
      <c r="E304" s="22"/>
      <c r="F304" s="83"/>
      <c r="G304" s="83"/>
      <c r="H304" s="25"/>
      <c r="I304" s="25"/>
      <c r="J304" s="25"/>
      <c r="K304" s="25"/>
      <c r="L304" s="54"/>
      <c r="M304" s="36"/>
      <c r="N304" s="36"/>
      <c r="O304" s="102"/>
      <c r="P304" s="36"/>
      <c r="Q304" s="36"/>
      <c r="R304" s="37"/>
      <c r="S304" s="37"/>
      <c r="T304" s="60" t="str">
        <f t="shared" si="10"/>
        <v/>
      </c>
      <c r="U304" s="38"/>
      <c r="V304" s="38"/>
      <c r="W304" s="38" t="str">
        <f>IF(B304="","",COUNTIFS(Ejecucion[No. Solicitud],Registro!B304,Ejecucion[Estado],"Finalizado"))</f>
        <v/>
      </c>
      <c r="X304" s="38" t="str">
        <f>IF(B304="","",COUNTIFS(Ejecucion[No. Solicitud],Registro!B304,Ejecucion[Estado],"No Iniciado"))</f>
        <v/>
      </c>
      <c r="Y304" s="64" t="str">
        <f>IF(B304="","",COUNTIFS(Ejecucion[No. Solicitud],Registro!B304,Ejecucion[Estado],"En Proceso"))</f>
        <v/>
      </c>
      <c r="Z304" s="64" t="str">
        <f t="shared" si="11"/>
        <v/>
      </c>
      <c r="AA304" s="64"/>
      <c r="AB304" s="64"/>
      <c r="AC304" s="64"/>
      <c r="AD304" s="102"/>
    </row>
    <row r="305" spans="2:30" s="15" customFormat="1">
      <c r="B305" s="36"/>
      <c r="C305" s="102"/>
      <c r="D305" s="36"/>
      <c r="E305" s="22"/>
      <c r="F305" s="83"/>
      <c r="G305" s="83"/>
      <c r="H305" s="25"/>
      <c r="I305" s="25"/>
      <c r="J305" s="25"/>
      <c r="K305" s="25"/>
      <c r="L305" s="54"/>
      <c r="M305" s="36"/>
      <c r="N305" s="36"/>
      <c r="O305" s="102"/>
      <c r="P305" s="36"/>
      <c r="Q305" s="36"/>
      <c r="R305" s="37"/>
      <c r="S305" s="37"/>
      <c r="T305" s="60" t="str">
        <f t="shared" si="10"/>
        <v/>
      </c>
      <c r="U305" s="38"/>
      <c r="V305" s="38"/>
      <c r="W305" s="38" t="str">
        <f>IF(B305="","",COUNTIFS(Ejecucion[No. Solicitud],Registro!B305,Ejecucion[Estado],"Finalizado"))</f>
        <v/>
      </c>
      <c r="X305" s="38" t="str">
        <f>IF(B305="","",COUNTIFS(Ejecucion[No. Solicitud],Registro!B305,Ejecucion[Estado],"No Iniciado"))</f>
        <v/>
      </c>
      <c r="Y305" s="64" t="str">
        <f>IF(B305="","",COUNTIFS(Ejecucion[No. Solicitud],Registro!B305,Ejecucion[Estado],"En Proceso"))</f>
        <v/>
      </c>
      <c r="Z305" s="64" t="str">
        <f t="shared" si="11"/>
        <v/>
      </c>
      <c r="AA305" s="64"/>
      <c r="AB305" s="64"/>
      <c r="AC305" s="64"/>
      <c r="AD305" s="102"/>
    </row>
    <row r="306" spans="2:30" s="15" customFormat="1">
      <c r="B306" s="36"/>
      <c r="C306" s="102"/>
      <c r="D306" s="36"/>
      <c r="E306" s="22"/>
      <c r="F306" s="83"/>
      <c r="G306" s="83"/>
      <c r="H306" s="25"/>
      <c r="I306" s="25"/>
      <c r="J306" s="25"/>
      <c r="K306" s="25"/>
      <c r="L306" s="54"/>
      <c r="M306" s="36"/>
      <c r="N306" s="36"/>
      <c r="O306" s="102"/>
      <c r="P306" s="36"/>
      <c r="Q306" s="36"/>
      <c r="R306" s="37"/>
      <c r="S306" s="37"/>
      <c r="T306" s="60" t="str">
        <f t="shared" si="10"/>
        <v/>
      </c>
      <c r="U306" s="38"/>
      <c r="V306" s="38"/>
      <c r="W306" s="38" t="str">
        <f>IF(B306="","",COUNTIFS(Ejecucion[No. Solicitud],Registro!B306,Ejecucion[Estado],"Finalizado"))</f>
        <v/>
      </c>
      <c r="X306" s="38" t="str">
        <f>IF(B306="","",COUNTIFS(Ejecucion[No. Solicitud],Registro!B306,Ejecucion[Estado],"No Iniciado"))</f>
        <v/>
      </c>
      <c r="Y306" s="64" t="str">
        <f>IF(B306="","",COUNTIFS(Ejecucion[No. Solicitud],Registro!B306,Ejecucion[Estado],"En Proceso"))</f>
        <v/>
      </c>
      <c r="Z306" s="64" t="str">
        <f t="shared" si="11"/>
        <v/>
      </c>
      <c r="AA306" s="64"/>
      <c r="AB306" s="64"/>
      <c r="AC306" s="64"/>
      <c r="AD306" s="102"/>
    </row>
    <row r="307" spans="2:30" s="15" customFormat="1">
      <c r="B307" s="36"/>
      <c r="C307" s="102"/>
      <c r="D307" s="36"/>
      <c r="E307" s="22"/>
      <c r="F307" s="83"/>
      <c r="G307" s="83"/>
      <c r="H307" s="25"/>
      <c r="I307" s="25"/>
      <c r="J307" s="25"/>
      <c r="K307" s="25"/>
      <c r="L307" s="54"/>
      <c r="M307" s="36"/>
      <c r="N307" s="36"/>
      <c r="O307" s="102"/>
      <c r="P307" s="36"/>
      <c r="Q307" s="36"/>
      <c r="R307" s="37"/>
      <c r="S307" s="37"/>
      <c r="T307" s="60" t="str">
        <f t="shared" si="10"/>
        <v/>
      </c>
      <c r="U307" s="38"/>
      <c r="V307" s="38"/>
      <c r="W307" s="38" t="str">
        <f>IF(B307="","",COUNTIFS(Ejecucion[No. Solicitud],Registro!B307,Ejecucion[Estado],"Finalizado"))</f>
        <v/>
      </c>
      <c r="X307" s="38" t="str">
        <f>IF(B307="","",COUNTIFS(Ejecucion[No. Solicitud],Registro!B307,Ejecucion[Estado],"No Iniciado"))</f>
        <v/>
      </c>
      <c r="Y307" s="64" t="str">
        <f>IF(B307="","",COUNTIFS(Ejecucion[No. Solicitud],Registro!B307,Ejecucion[Estado],"En Proceso"))</f>
        <v/>
      </c>
      <c r="Z307" s="64" t="str">
        <f t="shared" si="11"/>
        <v/>
      </c>
      <c r="AA307" s="64"/>
      <c r="AB307" s="64"/>
      <c r="AC307" s="64"/>
      <c r="AD307" s="102"/>
    </row>
    <row r="308" spans="2:30" s="15" customFormat="1">
      <c r="B308" s="36"/>
      <c r="C308" s="102"/>
      <c r="D308" s="36"/>
      <c r="E308" s="22"/>
      <c r="F308" s="83"/>
      <c r="G308" s="83"/>
      <c r="H308" s="25"/>
      <c r="I308" s="25"/>
      <c r="J308" s="25"/>
      <c r="K308" s="25"/>
      <c r="L308" s="54"/>
      <c r="M308" s="36"/>
      <c r="N308" s="36"/>
      <c r="O308" s="102"/>
      <c r="P308" s="36"/>
      <c r="Q308" s="36"/>
      <c r="R308" s="37"/>
      <c r="S308" s="37"/>
      <c r="T308" s="60" t="str">
        <f t="shared" si="10"/>
        <v/>
      </c>
      <c r="U308" s="38"/>
      <c r="V308" s="38"/>
      <c r="W308" s="38" t="str">
        <f>IF(B308="","",COUNTIFS(Ejecucion[No. Solicitud],Registro!B308,Ejecucion[Estado],"Finalizado"))</f>
        <v/>
      </c>
      <c r="X308" s="38" t="str">
        <f>IF(B308="","",COUNTIFS(Ejecucion[No. Solicitud],Registro!B308,Ejecucion[Estado],"No Iniciado"))</f>
        <v/>
      </c>
      <c r="Y308" s="64" t="str">
        <f>IF(B308="","",COUNTIFS(Ejecucion[No. Solicitud],Registro!B308,Ejecucion[Estado],"En Proceso"))</f>
        <v/>
      </c>
      <c r="Z308" s="64" t="str">
        <f t="shared" si="11"/>
        <v/>
      </c>
      <c r="AA308" s="64"/>
      <c r="AB308" s="64"/>
      <c r="AC308" s="64"/>
      <c r="AD308" s="102"/>
    </row>
    <row r="309" spans="2:30" s="15" customFormat="1">
      <c r="B309" s="36"/>
      <c r="C309" s="102"/>
      <c r="D309" s="36"/>
      <c r="E309" s="22"/>
      <c r="F309" s="83"/>
      <c r="G309" s="83"/>
      <c r="H309" s="25"/>
      <c r="I309" s="25"/>
      <c r="J309" s="25"/>
      <c r="K309" s="25"/>
      <c r="L309" s="54"/>
      <c r="M309" s="36"/>
      <c r="N309" s="36"/>
      <c r="O309" s="102"/>
      <c r="P309" s="36"/>
      <c r="Q309" s="36"/>
      <c r="R309" s="37"/>
      <c r="S309" s="37"/>
      <c r="T309" s="60" t="str">
        <f t="shared" si="10"/>
        <v/>
      </c>
      <c r="U309" s="38"/>
      <c r="V309" s="38"/>
      <c r="W309" s="38" t="str">
        <f>IF(B309="","",COUNTIFS(Ejecucion[No. Solicitud],Registro!B309,Ejecucion[Estado],"Finalizado"))</f>
        <v/>
      </c>
      <c r="X309" s="38" t="str">
        <f>IF(B309="","",COUNTIFS(Ejecucion[No. Solicitud],Registro!B309,Ejecucion[Estado],"No Iniciado"))</f>
        <v/>
      </c>
      <c r="Y309" s="64" t="str">
        <f>IF(B309="","",COUNTIFS(Ejecucion[No. Solicitud],Registro!B309,Ejecucion[Estado],"En Proceso"))</f>
        <v/>
      </c>
      <c r="Z309" s="64" t="str">
        <f t="shared" si="11"/>
        <v/>
      </c>
      <c r="AA309" s="64"/>
      <c r="AB309" s="64"/>
      <c r="AC309" s="64"/>
      <c r="AD309" s="102"/>
    </row>
    <row r="310" spans="2:30" s="15" customFormat="1">
      <c r="B310" s="36"/>
      <c r="C310" s="102"/>
      <c r="D310" s="36"/>
      <c r="E310" s="22"/>
      <c r="F310" s="83"/>
      <c r="G310" s="83"/>
      <c r="H310" s="25"/>
      <c r="I310" s="25"/>
      <c r="J310" s="25"/>
      <c r="K310" s="25"/>
      <c r="L310" s="54"/>
      <c r="M310" s="36"/>
      <c r="N310" s="36"/>
      <c r="O310" s="102"/>
      <c r="P310" s="36"/>
      <c r="Q310" s="36"/>
      <c r="R310" s="37"/>
      <c r="S310" s="37"/>
      <c r="T310" s="60" t="str">
        <f t="shared" si="10"/>
        <v/>
      </c>
      <c r="U310" s="38"/>
      <c r="V310" s="38"/>
      <c r="W310" s="38" t="str">
        <f>IF(B310="","",COUNTIFS(Ejecucion[No. Solicitud],Registro!B310,Ejecucion[Estado],"Finalizado"))</f>
        <v/>
      </c>
      <c r="X310" s="38" t="str">
        <f>IF(B310="","",COUNTIFS(Ejecucion[No. Solicitud],Registro!B310,Ejecucion[Estado],"No Iniciado"))</f>
        <v/>
      </c>
      <c r="Y310" s="64" t="str">
        <f>IF(B310="","",COUNTIFS(Ejecucion[No. Solicitud],Registro!B310,Ejecucion[Estado],"En Proceso"))</f>
        <v/>
      </c>
      <c r="Z310" s="64" t="str">
        <f t="shared" si="11"/>
        <v/>
      </c>
      <c r="AA310" s="64"/>
      <c r="AB310" s="64"/>
      <c r="AC310" s="64"/>
      <c r="AD310" s="102"/>
    </row>
    <row r="311" spans="2:30" s="15" customFormat="1">
      <c r="B311" s="36"/>
      <c r="C311" s="102"/>
      <c r="D311" s="36"/>
      <c r="E311" s="22"/>
      <c r="F311" s="83"/>
      <c r="G311" s="83"/>
      <c r="H311" s="25"/>
      <c r="I311" s="25"/>
      <c r="J311" s="25"/>
      <c r="K311" s="25"/>
      <c r="L311" s="54"/>
      <c r="M311" s="36"/>
      <c r="N311" s="36"/>
      <c r="O311" s="102"/>
      <c r="P311" s="36"/>
      <c r="Q311" s="36"/>
      <c r="R311" s="37"/>
      <c r="S311" s="37"/>
      <c r="T311" s="60" t="str">
        <f t="shared" si="10"/>
        <v/>
      </c>
      <c r="U311" s="38"/>
      <c r="V311" s="38"/>
      <c r="W311" s="38" t="str">
        <f>IF(B311="","",COUNTIFS(Ejecucion[No. Solicitud],Registro!B311,Ejecucion[Estado],"Finalizado"))</f>
        <v/>
      </c>
      <c r="X311" s="38" t="str">
        <f>IF(B311="","",COUNTIFS(Ejecucion[No. Solicitud],Registro!B311,Ejecucion[Estado],"No Iniciado"))</f>
        <v/>
      </c>
      <c r="Y311" s="64" t="str">
        <f>IF(B311="","",COUNTIFS(Ejecucion[No. Solicitud],Registro!B311,Ejecucion[Estado],"En Proceso"))</f>
        <v/>
      </c>
      <c r="Z311" s="64" t="str">
        <f t="shared" si="11"/>
        <v/>
      </c>
      <c r="AA311" s="64"/>
      <c r="AB311" s="64"/>
      <c r="AC311" s="64"/>
      <c r="AD311" s="102"/>
    </row>
    <row r="312" spans="2:30" s="15" customFormat="1">
      <c r="B312" s="36"/>
      <c r="C312" s="102"/>
      <c r="D312" s="36"/>
      <c r="E312" s="22"/>
      <c r="F312" s="83"/>
      <c r="G312" s="83"/>
      <c r="H312" s="25"/>
      <c r="I312" s="25"/>
      <c r="J312" s="25"/>
      <c r="K312" s="25"/>
      <c r="L312" s="54"/>
      <c r="M312" s="36"/>
      <c r="N312" s="36"/>
      <c r="O312" s="102"/>
      <c r="P312" s="36"/>
      <c r="Q312" s="36"/>
      <c r="R312" s="37"/>
      <c r="S312" s="37"/>
      <c r="T312" s="60" t="str">
        <f t="shared" si="10"/>
        <v/>
      </c>
      <c r="U312" s="38"/>
      <c r="V312" s="38"/>
      <c r="W312" s="38" t="str">
        <f>IF(B312="","",COUNTIFS(Ejecucion[No. Solicitud],Registro!B312,Ejecucion[Estado],"Finalizado"))</f>
        <v/>
      </c>
      <c r="X312" s="38" t="str">
        <f>IF(B312="","",COUNTIFS(Ejecucion[No. Solicitud],Registro!B312,Ejecucion[Estado],"No Iniciado"))</f>
        <v/>
      </c>
      <c r="Y312" s="64" t="str">
        <f>IF(B312="","",COUNTIFS(Ejecucion[No. Solicitud],Registro!B312,Ejecucion[Estado],"En Proceso"))</f>
        <v/>
      </c>
      <c r="Z312" s="64" t="str">
        <f t="shared" si="11"/>
        <v/>
      </c>
      <c r="AA312" s="64"/>
      <c r="AB312" s="64"/>
      <c r="AC312" s="64"/>
      <c r="AD312" s="102"/>
    </row>
    <row r="313" spans="2:30" s="15" customFormat="1">
      <c r="B313" s="36"/>
      <c r="C313" s="102"/>
      <c r="D313" s="36"/>
      <c r="E313" s="22"/>
      <c r="F313" s="83"/>
      <c r="G313" s="83"/>
      <c r="H313" s="25"/>
      <c r="I313" s="25"/>
      <c r="J313" s="25"/>
      <c r="K313" s="25"/>
      <c r="L313" s="54"/>
      <c r="M313" s="36"/>
      <c r="N313" s="36"/>
      <c r="O313" s="102"/>
      <c r="P313" s="36"/>
      <c r="Q313" s="36"/>
      <c r="R313" s="37"/>
      <c r="S313" s="37"/>
      <c r="T313" s="60" t="str">
        <f t="shared" si="10"/>
        <v/>
      </c>
      <c r="U313" s="38"/>
      <c r="V313" s="38"/>
      <c r="W313" s="38" t="str">
        <f>IF(B313="","",COUNTIFS(Ejecucion[No. Solicitud],Registro!B313,Ejecucion[Estado],"Finalizado"))</f>
        <v/>
      </c>
      <c r="X313" s="38" t="str">
        <f>IF(B313="","",COUNTIFS(Ejecucion[No. Solicitud],Registro!B313,Ejecucion[Estado],"No Iniciado"))</f>
        <v/>
      </c>
      <c r="Y313" s="64" t="str">
        <f>IF(B313="","",COUNTIFS(Ejecucion[No. Solicitud],Registro!B313,Ejecucion[Estado],"En Proceso"))</f>
        <v/>
      </c>
      <c r="Z313" s="64" t="str">
        <f t="shared" si="11"/>
        <v/>
      </c>
      <c r="AA313" s="64"/>
      <c r="AB313" s="64"/>
      <c r="AC313" s="64"/>
      <c r="AD313" s="102"/>
    </row>
    <row r="314" spans="2:30" s="15" customFormat="1">
      <c r="B314" s="36"/>
      <c r="C314" s="102"/>
      <c r="D314" s="36"/>
      <c r="E314" s="22"/>
      <c r="F314" s="83"/>
      <c r="G314" s="83"/>
      <c r="H314" s="25"/>
      <c r="I314" s="25"/>
      <c r="J314" s="25"/>
      <c r="K314" s="25"/>
      <c r="L314" s="54"/>
      <c r="M314" s="36"/>
      <c r="N314" s="36"/>
      <c r="O314" s="102"/>
      <c r="P314" s="36"/>
      <c r="Q314" s="36"/>
      <c r="R314" s="37"/>
      <c r="S314" s="37"/>
      <c r="T314" s="60" t="str">
        <f t="shared" si="10"/>
        <v/>
      </c>
      <c r="U314" s="38"/>
      <c r="V314" s="38"/>
      <c r="W314" s="38" t="str">
        <f>IF(B314="","",COUNTIFS(Ejecucion[No. Solicitud],Registro!B314,Ejecucion[Estado],"Finalizado"))</f>
        <v/>
      </c>
      <c r="X314" s="38" t="str">
        <f>IF(B314="","",COUNTIFS(Ejecucion[No. Solicitud],Registro!B314,Ejecucion[Estado],"No Iniciado"))</f>
        <v/>
      </c>
      <c r="Y314" s="64" t="str">
        <f>IF(B314="","",COUNTIFS(Ejecucion[No. Solicitud],Registro!B314,Ejecucion[Estado],"En Proceso"))</f>
        <v/>
      </c>
      <c r="Z314" s="64" t="str">
        <f t="shared" si="11"/>
        <v/>
      </c>
      <c r="AA314" s="64"/>
      <c r="AB314" s="64"/>
      <c r="AC314" s="64"/>
      <c r="AD314" s="102"/>
    </row>
    <row r="315" spans="2:30" s="15" customFormat="1">
      <c r="B315" s="36"/>
      <c r="C315" s="102"/>
      <c r="D315" s="36"/>
      <c r="E315" s="22"/>
      <c r="F315" s="83"/>
      <c r="G315" s="83"/>
      <c r="H315" s="25"/>
      <c r="I315" s="25"/>
      <c r="J315" s="25"/>
      <c r="K315" s="25"/>
      <c r="L315" s="54"/>
      <c r="M315" s="36"/>
      <c r="N315" s="36"/>
      <c r="O315" s="102"/>
      <c r="P315" s="36"/>
      <c r="Q315" s="36"/>
      <c r="R315" s="37"/>
      <c r="S315" s="37"/>
      <c r="T315" s="60" t="str">
        <f t="shared" si="10"/>
        <v/>
      </c>
      <c r="U315" s="38"/>
      <c r="V315" s="38"/>
      <c r="W315" s="38" t="str">
        <f>IF(B315="","",COUNTIFS(Ejecucion[No. Solicitud],Registro!B315,Ejecucion[Estado],"Finalizado"))</f>
        <v/>
      </c>
      <c r="X315" s="38" t="str">
        <f>IF(B315="","",COUNTIFS(Ejecucion[No. Solicitud],Registro!B315,Ejecucion[Estado],"No Iniciado"))</f>
        <v/>
      </c>
      <c r="Y315" s="64" t="str">
        <f>IF(B315="","",COUNTIFS(Ejecucion[No. Solicitud],Registro!B315,Ejecucion[Estado],"En Proceso"))</f>
        <v/>
      </c>
      <c r="Z315" s="64" t="str">
        <f t="shared" si="11"/>
        <v/>
      </c>
      <c r="AA315" s="64"/>
      <c r="AB315" s="64"/>
      <c r="AC315" s="64"/>
      <c r="AD315" s="102"/>
    </row>
    <row r="316" spans="2:30" s="15" customFormat="1">
      <c r="B316" s="36"/>
      <c r="C316" s="102"/>
      <c r="D316" s="36"/>
      <c r="E316" s="22"/>
      <c r="F316" s="83"/>
      <c r="G316" s="83"/>
      <c r="H316" s="25"/>
      <c r="I316" s="25"/>
      <c r="J316" s="25"/>
      <c r="K316" s="25"/>
      <c r="L316" s="54"/>
      <c r="M316" s="36"/>
      <c r="N316" s="36"/>
      <c r="O316" s="102"/>
      <c r="P316" s="36"/>
      <c r="Q316" s="36"/>
      <c r="R316" s="37"/>
      <c r="S316" s="37"/>
      <c r="T316" s="60" t="str">
        <f t="shared" si="10"/>
        <v/>
      </c>
      <c r="U316" s="38"/>
      <c r="V316" s="38"/>
      <c r="W316" s="38" t="str">
        <f>IF(B316="","",COUNTIFS(Ejecucion[No. Solicitud],Registro!B316,Ejecucion[Estado],"Finalizado"))</f>
        <v/>
      </c>
      <c r="X316" s="38" t="str">
        <f>IF(B316="","",COUNTIFS(Ejecucion[No. Solicitud],Registro!B316,Ejecucion[Estado],"No Iniciado"))</f>
        <v/>
      </c>
      <c r="Y316" s="64" t="str">
        <f>IF(B316="","",COUNTIFS(Ejecucion[No. Solicitud],Registro!B316,Ejecucion[Estado],"En Proceso"))</f>
        <v/>
      </c>
      <c r="Z316" s="64" t="str">
        <f t="shared" si="11"/>
        <v/>
      </c>
      <c r="AA316" s="64"/>
      <c r="AB316" s="64"/>
      <c r="AC316" s="64"/>
      <c r="AD316" s="102"/>
    </row>
    <row r="317" spans="2:30" s="15" customFormat="1">
      <c r="B317" s="36"/>
      <c r="C317" s="102"/>
      <c r="D317" s="36"/>
      <c r="E317" s="22"/>
      <c r="F317" s="83"/>
      <c r="G317" s="83"/>
      <c r="H317" s="25"/>
      <c r="I317" s="25"/>
      <c r="J317" s="25"/>
      <c r="K317" s="25"/>
      <c r="L317" s="54"/>
      <c r="M317" s="36"/>
      <c r="N317" s="36"/>
      <c r="O317" s="102"/>
      <c r="P317" s="36"/>
      <c r="Q317" s="36"/>
      <c r="R317" s="37"/>
      <c r="S317" s="37"/>
      <c r="T317" s="60" t="str">
        <f t="shared" si="10"/>
        <v/>
      </c>
      <c r="U317" s="38"/>
      <c r="V317" s="38"/>
      <c r="W317" s="38" t="str">
        <f>IF(B317="","",COUNTIFS(Ejecucion[No. Solicitud],Registro!B317,Ejecucion[Estado],"Finalizado"))</f>
        <v/>
      </c>
      <c r="X317" s="38" t="str">
        <f>IF(B317="","",COUNTIFS(Ejecucion[No. Solicitud],Registro!B317,Ejecucion[Estado],"No Iniciado"))</f>
        <v/>
      </c>
      <c r="Y317" s="64" t="str">
        <f>IF(B317="","",COUNTIFS(Ejecucion[No. Solicitud],Registro!B317,Ejecucion[Estado],"En Proceso"))</f>
        <v/>
      </c>
      <c r="Z317" s="64" t="str">
        <f t="shared" si="11"/>
        <v/>
      </c>
      <c r="AA317" s="64"/>
      <c r="AB317" s="64"/>
      <c r="AC317" s="64"/>
      <c r="AD317" s="102"/>
    </row>
    <row r="318" spans="2:30" s="15" customFormat="1">
      <c r="B318" s="36"/>
      <c r="C318" s="102"/>
      <c r="D318" s="36"/>
      <c r="E318" s="22"/>
      <c r="F318" s="83"/>
      <c r="G318" s="83"/>
      <c r="H318" s="25"/>
      <c r="I318" s="25"/>
      <c r="J318" s="25"/>
      <c r="K318" s="25"/>
      <c r="L318" s="54"/>
      <c r="M318" s="36"/>
      <c r="N318" s="36"/>
      <c r="O318" s="102"/>
      <c r="P318" s="36"/>
      <c r="Q318" s="36"/>
      <c r="R318" s="37"/>
      <c r="S318" s="37"/>
      <c r="T318" s="60" t="str">
        <f t="shared" si="10"/>
        <v/>
      </c>
      <c r="U318" s="38"/>
      <c r="V318" s="38"/>
      <c r="W318" s="38" t="str">
        <f>IF(B318="","",COUNTIFS(Ejecucion[No. Solicitud],Registro!B318,Ejecucion[Estado],"Finalizado"))</f>
        <v/>
      </c>
      <c r="X318" s="38" t="str">
        <f>IF(B318="","",COUNTIFS(Ejecucion[No. Solicitud],Registro!B318,Ejecucion[Estado],"No Iniciado"))</f>
        <v/>
      </c>
      <c r="Y318" s="64" t="str">
        <f>IF(B318="","",COUNTIFS(Ejecucion[No. Solicitud],Registro!B318,Ejecucion[Estado],"En Proceso"))</f>
        <v/>
      </c>
      <c r="Z318" s="64" t="str">
        <f t="shared" si="11"/>
        <v/>
      </c>
      <c r="AA318" s="64"/>
      <c r="AB318" s="64"/>
      <c r="AC318" s="64"/>
      <c r="AD318" s="102"/>
    </row>
    <row r="319" spans="2:30" s="15" customFormat="1">
      <c r="B319" s="36"/>
      <c r="C319" s="102"/>
      <c r="D319" s="36"/>
      <c r="E319" s="22"/>
      <c r="F319" s="83"/>
      <c r="G319" s="83"/>
      <c r="H319" s="25"/>
      <c r="I319" s="25"/>
      <c r="J319" s="25"/>
      <c r="K319" s="25"/>
      <c r="L319" s="54"/>
      <c r="M319" s="36"/>
      <c r="N319" s="36"/>
      <c r="O319" s="102"/>
      <c r="P319" s="36"/>
      <c r="Q319" s="36"/>
      <c r="R319" s="37"/>
      <c r="S319" s="37"/>
      <c r="T319" s="60" t="str">
        <f t="shared" si="10"/>
        <v/>
      </c>
      <c r="U319" s="38"/>
      <c r="V319" s="38"/>
      <c r="W319" s="38" t="str">
        <f>IF(B319="","",COUNTIFS(Ejecucion[No. Solicitud],Registro!B319,Ejecucion[Estado],"Finalizado"))</f>
        <v/>
      </c>
      <c r="X319" s="38" t="str">
        <f>IF(B319="","",COUNTIFS(Ejecucion[No. Solicitud],Registro!B319,Ejecucion[Estado],"No Iniciado"))</f>
        <v/>
      </c>
      <c r="Y319" s="64" t="str">
        <f>IF(B319="","",COUNTIFS(Ejecucion[No. Solicitud],Registro!B319,Ejecucion[Estado],"En Proceso"))</f>
        <v/>
      </c>
      <c r="Z319" s="64" t="str">
        <f t="shared" si="11"/>
        <v/>
      </c>
      <c r="AA319" s="64"/>
      <c r="AB319" s="64"/>
      <c r="AC319" s="64"/>
      <c r="AD319" s="102"/>
    </row>
    <row r="320" spans="2:30" s="15" customFormat="1">
      <c r="B320" s="36"/>
      <c r="C320" s="102"/>
      <c r="D320" s="36"/>
      <c r="E320" s="22"/>
      <c r="F320" s="83"/>
      <c r="G320" s="83"/>
      <c r="H320" s="25"/>
      <c r="I320" s="25"/>
      <c r="J320" s="25"/>
      <c r="K320" s="25"/>
      <c r="L320" s="54"/>
      <c r="M320" s="36"/>
      <c r="N320" s="36"/>
      <c r="O320" s="102"/>
      <c r="P320" s="36"/>
      <c r="Q320" s="36"/>
      <c r="R320" s="37"/>
      <c r="S320" s="37"/>
      <c r="T320" s="60" t="str">
        <f t="shared" si="10"/>
        <v/>
      </c>
      <c r="U320" s="38"/>
      <c r="V320" s="38"/>
      <c r="W320" s="38" t="str">
        <f>IF(B320="","",COUNTIFS(Ejecucion[No. Solicitud],Registro!B320,Ejecucion[Estado],"Finalizado"))</f>
        <v/>
      </c>
      <c r="X320" s="38" t="str">
        <f>IF(B320="","",COUNTIFS(Ejecucion[No. Solicitud],Registro!B320,Ejecucion[Estado],"No Iniciado"))</f>
        <v/>
      </c>
      <c r="Y320" s="64" t="str">
        <f>IF(B320="","",COUNTIFS(Ejecucion[No. Solicitud],Registro!B320,Ejecucion[Estado],"En Proceso"))</f>
        <v/>
      </c>
      <c r="Z320" s="64" t="str">
        <f t="shared" si="11"/>
        <v/>
      </c>
      <c r="AA320" s="64"/>
      <c r="AB320" s="64"/>
      <c r="AC320" s="64"/>
      <c r="AD320" s="102"/>
    </row>
    <row r="321" spans="2:30" s="15" customFormat="1">
      <c r="B321" s="36"/>
      <c r="C321" s="102"/>
      <c r="D321" s="36"/>
      <c r="E321" s="22"/>
      <c r="F321" s="83"/>
      <c r="G321" s="83"/>
      <c r="H321" s="25"/>
      <c r="I321" s="25"/>
      <c r="J321" s="25"/>
      <c r="K321" s="25"/>
      <c r="L321" s="54"/>
      <c r="M321" s="36"/>
      <c r="N321" s="36"/>
      <c r="O321" s="102"/>
      <c r="P321" s="36"/>
      <c r="Q321" s="36"/>
      <c r="R321" s="37"/>
      <c r="S321" s="37"/>
      <c r="T321" s="60" t="str">
        <f t="shared" si="10"/>
        <v/>
      </c>
      <c r="U321" s="38"/>
      <c r="V321" s="38"/>
      <c r="W321" s="38" t="str">
        <f>IF(B321="","",COUNTIFS(Ejecucion[No. Solicitud],Registro!B321,Ejecucion[Estado],"Finalizado"))</f>
        <v/>
      </c>
      <c r="X321" s="38" t="str">
        <f>IF(B321="","",COUNTIFS(Ejecucion[No. Solicitud],Registro!B321,Ejecucion[Estado],"No Iniciado"))</f>
        <v/>
      </c>
      <c r="Y321" s="64" t="str">
        <f>IF(B321="","",COUNTIFS(Ejecucion[No. Solicitud],Registro!B321,Ejecucion[Estado],"En Proceso"))</f>
        <v/>
      </c>
      <c r="Z321" s="64" t="str">
        <f t="shared" si="11"/>
        <v/>
      </c>
      <c r="AA321" s="64"/>
      <c r="AB321" s="64"/>
      <c r="AC321" s="64"/>
      <c r="AD321" s="102"/>
    </row>
    <row r="322" spans="2:30" s="15" customFormat="1">
      <c r="B322" s="36"/>
      <c r="C322" s="102"/>
      <c r="D322" s="36"/>
      <c r="E322" s="22"/>
      <c r="F322" s="83"/>
      <c r="G322" s="83"/>
      <c r="H322" s="25"/>
      <c r="I322" s="25"/>
      <c r="J322" s="25"/>
      <c r="K322" s="25"/>
      <c r="L322" s="54"/>
      <c r="M322" s="36"/>
      <c r="N322" s="36"/>
      <c r="O322" s="102"/>
      <c r="P322" s="36"/>
      <c r="Q322" s="36"/>
      <c r="R322" s="37"/>
      <c r="S322" s="37"/>
      <c r="T322" s="60" t="str">
        <f t="shared" si="10"/>
        <v/>
      </c>
      <c r="U322" s="38"/>
      <c r="V322" s="38"/>
      <c r="W322" s="38" t="str">
        <f>IF(B322="","",COUNTIFS(Ejecucion[No. Solicitud],Registro!B322,Ejecucion[Estado],"Finalizado"))</f>
        <v/>
      </c>
      <c r="X322" s="38" t="str">
        <f>IF(B322="","",COUNTIFS(Ejecucion[No. Solicitud],Registro!B322,Ejecucion[Estado],"No Iniciado"))</f>
        <v/>
      </c>
      <c r="Y322" s="64" t="str">
        <f>IF(B322="","",COUNTIFS(Ejecucion[No. Solicitud],Registro!B322,Ejecucion[Estado],"En Proceso"))</f>
        <v/>
      </c>
      <c r="Z322" s="64" t="str">
        <f t="shared" si="11"/>
        <v/>
      </c>
      <c r="AA322" s="64"/>
      <c r="AB322" s="64"/>
      <c r="AC322" s="64"/>
      <c r="AD322" s="102"/>
    </row>
    <row r="323" spans="2:30" s="15" customFormat="1">
      <c r="B323" s="36"/>
      <c r="C323" s="102"/>
      <c r="D323" s="18"/>
      <c r="E323" s="22"/>
      <c r="F323" s="83"/>
      <c r="G323" s="83"/>
      <c r="H323" s="25"/>
      <c r="I323" s="25"/>
      <c r="J323" s="25"/>
      <c r="K323" s="25"/>
      <c r="L323" s="54"/>
      <c r="M323" s="36"/>
      <c r="N323" s="36"/>
      <c r="O323" s="102"/>
      <c r="P323" s="36"/>
      <c r="Q323" s="36"/>
      <c r="R323" s="37"/>
      <c r="S323" s="37"/>
      <c r="T323" s="60" t="str">
        <f t="shared" si="10"/>
        <v/>
      </c>
      <c r="U323" s="38"/>
      <c r="V323" s="38"/>
      <c r="W323" s="38" t="str">
        <f>IF(B323="","",COUNTIFS(Ejecucion[No. Solicitud],Registro!B323,Ejecucion[Estado],"Finalizado"))</f>
        <v/>
      </c>
      <c r="X323" s="38" t="str">
        <f>IF(B323="","",COUNTIFS(Ejecucion[No. Solicitud],Registro!B323,Ejecucion[Estado],"No Iniciado"))</f>
        <v/>
      </c>
      <c r="Y323" s="64" t="str">
        <f>IF(B323="","",COUNTIFS(Ejecucion[No. Solicitud],Registro!B323,Ejecucion[Estado],"En Proceso"))</f>
        <v/>
      </c>
      <c r="Z323" s="64" t="str">
        <f t="shared" si="11"/>
        <v/>
      </c>
      <c r="AA323" s="64"/>
      <c r="AB323" s="64"/>
      <c r="AC323" s="64"/>
      <c r="AD323" s="102"/>
    </row>
    <row r="324" spans="2:30" s="15" customFormat="1">
      <c r="B324" s="36"/>
      <c r="C324" s="102"/>
      <c r="D324" s="18"/>
      <c r="E324" s="22"/>
      <c r="F324" s="83"/>
      <c r="G324" s="83"/>
      <c r="H324" s="25"/>
      <c r="I324" s="25"/>
      <c r="J324" s="25"/>
      <c r="K324" s="25"/>
      <c r="L324" s="54"/>
      <c r="M324" s="36"/>
      <c r="N324" s="36"/>
      <c r="O324" s="102"/>
      <c r="P324" s="36"/>
      <c r="Q324" s="36"/>
      <c r="R324" s="37"/>
      <c r="S324" s="37"/>
      <c r="T324" s="60" t="str">
        <f t="shared" si="10"/>
        <v/>
      </c>
      <c r="U324" s="38"/>
      <c r="V324" s="38"/>
      <c r="W324" s="38" t="str">
        <f>IF(B324="","",COUNTIFS(Ejecucion[No. Solicitud],Registro!B324,Ejecucion[Estado],"Finalizado"))</f>
        <v/>
      </c>
      <c r="X324" s="38" t="str">
        <f>IF(B324="","",COUNTIFS(Ejecucion[No. Solicitud],Registro!B324,Ejecucion[Estado],"No Iniciado"))</f>
        <v/>
      </c>
      <c r="Y324" s="64" t="str">
        <f>IF(B324="","",COUNTIFS(Ejecucion[No. Solicitud],Registro!B324,Ejecucion[Estado],"En Proceso"))</f>
        <v/>
      </c>
      <c r="Z324" s="64" t="str">
        <f t="shared" si="11"/>
        <v/>
      </c>
      <c r="AA324" s="64"/>
      <c r="AB324" s="64"/>
      <c r="AC324" s="64"/>
      <c r="AD324" s="102"/>
    </row>
    <row r="325" spans="2:30" s="15" customFormat="1">
      <c r="B325" s="36"/>
      <c r="C325" s="102"/>
      <c r="D325" s="18"/>
      <c r="E325" s="22"/>
      <c r="F325" s="83"/>
      <c r="G325" s="83"/>
      <c r="H325" s="25"/>
      <c r="I325" s="25"/>
      <c r="J325" s="25"/>
      <c r="K325" s="25"/>
      <c r="L325" s="54"/>
      <c r="M325" s="36"/>
      <c r="N325" s="36"/>
      <c r="O325" s="102"/>
      <c r="P325" s="36"/>
      <c r="Q325" s="36"/>
      <c r="R325" s="37"/>
      <c r="S325" s="37"/>
      <c r="T325" s="60" t="str">
        <f t="shared" si="10"/>
        <v/>
      </c>
      <c r="U325" s="38"/>
      <c r="V325" s="38"/>
      <c r="W325" s="38" t="str">
        <f>IF(B325="","",COUNTIFS(Ejecucion[No. Solicitud],Registro!B325,Ejecucion[Estado],"Finalizado"))</f>
        <v/>
      </c>
      <c r="X325" s="38" t="str">
        <f>IF(B325="","",COUNTIFS(Ejecucion[No. Solicitud],Registro!B325,Ejecucion[Estado],"No Iniciado"))</f>
        <v/>
      </c>
      <c r="Y325" s="64" t="str">
        <f>IF(B325="","",COUNTIFS(Ejecucion[No. Solicitud],Registro!B325,Ejecucion[Estado],"En Proceso"))</f>
        <v/>
      </c>
      <c r="Z325" s="64" t="str">
        <f t="shared" si="11"/>
        <v/>
      </c>
      <c r="AA325" s="64"/>
      <c r="AB325" s="64"/>
      <c r="AC325" s="64"/>
      <c r="AD325" s="102"/>
    </row>
    <row r="326" spans="2:30" s="15" customFormat="1">
      <c r="B326" s="36"/>
      <c r="C326" s="102"/>
      <c r="D326" s="36"/>
      <c r="E326" s="22"/>
      <c r="F326" s="83"/>
      <c r="G326" s="83"/>
      <c r="H326" s="25"/>
      <c r="I326" s="25"/>
      <c r="J326" s="25"/>
      <c r="K326" s="25"/>
      <c r="L326" s="54"/>
      <c r="M326" s="36"/>
      <c r="N326" s="36"/>
      <c r="O326" s="102"/>
      <c r="P326" s="36"/>
      <c r="Q326" s="36"/>
      <c r="R326" s="37"/>
      <c r="S326" s="37"/>
      <c r="T326" s="60" t="str">
        <f t="shared" si="10"/>
        <v/>
      </c>
      <c r="U326" s="38"/>
      <c r="V326" s="38"/>
      <c r="W326" s="38" t="str">
        <f>IF(B326="","",COUNTIFS(Ejecucion[No. Solicitud],Registro!B326,Ejecucion[Estado],"Finalizado"))</f>
        <v/>
      </c>
      <c r="X326" s="38" t="str">
        <f>IF(B326="","",COUNTIFS(Ejecucion[No. Solicitud],Registro!B326,Ejecucion[Estado],"No Iniciado"))</f>
        <v/>
      </c>
      <c r="Y326" s="64" t="str">
        <f>IF(B326="","",COUNTIFS(Ejecucion[No. Solicitud],Registro!B326,Ejecucion[Estado],"En Proceso"))</f>
        <v/>
      </c>
      <c r="Z326" s="64" t="str">
        <f t="shared" si="11"/>
        <v/>
      </c>
      <c r="AA326" s="64"/>
      <c r="AB326" s="64"/>
      <c r="AC326" s="64"/>
      <c r="AD326" s="102"/>
    </row>
    <row r="327" spans="2:30" s="15" customFormat="1">
      <c r="B327" s="36"/>
      <c r="C327" s="102"/>
      <c r="D327" s="36"/>
      <c r="E327" s="22"/>
      <c r="F327" s="83"/>
      <c r="G327" s="83"/>
      <c r="H327" s="25"/>
      <c r="I327" s="25"/>
      <c r="J327" s="25"/>
      <c r="K327" s="25"/>
      <c r="L327" s="54"/>
      <c r="M327" s="36"/>
      <c r="N327" s="36"/>
      <c r="O327" s="102"/>
      <c r="P327" s="36"/>
      <c r="Q327" s="36"/>
      <c r="R327" s="37"/>
      <c r="S327" s="37"/>
      <c r="T327" s="60" t="str">
        <f t="shared" si="10"/>
        <v/>
      </c>
      <c r="U327" s="38"/>
      <c r="V327" s="38"/>
      <c r="W327" s="38" t="str">
        <f>IF(B327="","",COUNTIFS(Ejecucion[No. Solicitud],Registro!B327,Ejecucion[Estado],"Finalizado"))</f>
        <v/>
      </c>
      <c r="X327" s="38" t="str">
        <f>IF(B327="","",COUNTIFS(Ejecucion[No. Solicitud],Registro!B327,Ejecucion[Estado],"No Iniciado"))</f>
        <v/>
      </c>
      <c r="Y327" s="64" t="str">
        <f>IF(B327="","",COUNTIFS(Ejecucion[No. Solicitud],Registro!B327,Ejecucion[Estado],"En Proceso"))</f>
        <v/>
      </c>
      <c r="Z327" s="64" t="str">
        <f t="shared" si="11"/>
        <v/>
      </c>
      <c r="AA327" s="64"/>
      <c r="AB327" s="64"/>
      <c r="AC327" s="64"/>
      <c r="AD327" s="102"/>
    </row>
    <row r="328" spans="2:30" s="15" customFormat="1">
      <c r="B328" s="36"/>
      <c r="C328" s="102"/>
      <c r="D328" s="36"/>
      <c r="E328" s="22"/>
      <c r="F328" s="83"/>
      <c r="G328" s="83"/>
      <c r="H328" s="25"/>
      <c r="I328" s="25"/>
      <c r="J328" s="25"/>
      <c r="K328" s="25"/>
      <c r="L328" s="54"/>
      <c r="M328" s="36"/>
      <c r="N328" s="36"/>
      <c r="O328" s="102"/>
      <c r="P328" s="36"/>
      <c r="Q328" s="36"/>
      <c r="R328" s="37"/>
      <c r="S328" s="37"/>
      <c r="T328" s="60" t="str">
        <f t="shared" ref="T328:T391" si="12">IF(U328="","",IF(U328=W328,1,0))</f>
        <v/>
      </c>
      <c r="U328" s="38"/>
      <c r="V328" s="38"/>
      <c r="W328" s="38" t="str">
        <f>IF(B328="","",COUNTIFS(Ejecucion[No. Solicitud],Registro!B328,Ejecucion[Estado],"Finalizado"))</f>
        <v/>
      </c>
      <c r="X328" s="38" t="str">
        <f>IF(B328="","",COUNTIFS(Ejecucion[No. Solicitud],Registro!B328,Ejecucion[Estado],"No Iniciado"))</f>
        <v/>
      </c>
      <c r="Y328" s="64" t="str">
        <f>IF(B328="","",COUNTIFS(Ejecucion[No. Solicitud],Registro!B328,Ejecucion[Estado],"En Proceso"))</f>
        <v/>
      </c>
      <c r="Z328" s="64" t="str">
        <f t="shared" si="11"/>
        <v/>
      </c>
      <c r="AA328" s="64"/>
      <c r="AB328" s="64"/>
      <c r="AC328" s="64"/>
      <c r="AD328" s="102"/>
    </row>
    <row r="329" spans="2:30" s="15" customFormat="1">
      <c r="B329" s="36"/>
      <c r="C329" s="102"/>
      <c r="D329" s="36"/>
      <c r="E329" s="22"/>
      <c r="F329" s="83"/>
      <c r="G329" s="83"/>
      <c r="H329" s="25"/>
      <c r="I329" s="25"/>
      <c r="J329" s="25"/>
      <c r="K329" s="25"/>
      <c r="L329" s="54"/>
      <c r="M329" s="36"/>
      <c r="N329" s="36"/>
      <c r="O329" s="102"/>
      <c r="P329" s="36"/>
      <c r="Q329" s="36"/>
      <c r="R329" s="37"/>
      <c r="S329" s="37"/>
      <c r="T329" s="60" t="str">
        <f t="shared" si="12"/>
        <v/>
      </c>
      <c r="U329" s="38"/>
      <c r="V329" s="38"/>
      <c r="W329" s="38" t="str">
        <f>IF(B329="","",COUNTIFS(Ejecucion[No. Solicitud],Registro!B329,Ejecucion[Estado],"Finalizado"))</f>
        <v/>
      </c>
      <c r="X329" s="38" t="str">
        <f>IF(B329="","",COUNTIFS(Ejecucion[No. Solicitud],Registro!B329,Ejecucion[Estado],"No Iniciado"))</f>
        <v/>
      </c>
      <c r="Y329" s="64" t="str">
        <f>IF(B329="","",COUNTIFS(Ejecucion[No. Solicitud],Registro!B329,Ejecucion[Estado],"En Proceso"))</f>
        <v/>
      </c>
      <c r="Z329" s="64" t="str">
        <f t="shared" si="11"/>
        <v/>
      </c>
      <c r="AA329" s="64"/>
      <c r="AB329" s="64"/>
      <c r="AC329" s="64"/>
      <c r="AD329" s="102"/>
    </row>
    <row r="330" spans="2:30" s="15" customFormat="1">
      <c r="B330" s="36"/>
      <c r="C330" s="102"/>
      <c r="D330" s="36"/>
      <c r="E330" s="22"/>
      <c r="F330" s="83"/>
      <c r="G330" s="83"/>
      <c r="H330" s="25"/>
      <c r="I330" s="25"/>
      <c r="J330" s="25"/>
      <c r="K330" s="25"/>
      <c r="L330" s="54"/>
      <c r="M330" s="36"/>
      <c r="N330" s="36"/>
      <c r="O330" s="102"/>
      <c r="P330" s="36"/>
      <c r="Q330" s="36"/>
      <c r="R330" s="37"/>
      <c r="S330" s="37"/>
      <c r="T330" s="60" t="str">
        <f t="shared" si="12"/>
        <v/>
      </c>
      <c r="U330" s="38"/>
      <c r="V330" s="38"/>
      <c r="W330" s="38" t="str">
        <f>IF(B330="","",COUNTIFS(Ejecucion[No. Solicitud],Registro!B330,Ejecucion[Estado],"Finalizado"))</f>
        <v/>
      </c>
      <c r="X330" s="38" t="str">
        <f>IF(B330="","",COUNTIFS(Ejecucion[No. Solicitud],Registro!B330,Ejecucion[Estado],"No Iniciado"))</f>
        <v/>
      </c>
      <c r="Y330" s="64" t="str">
        <f>IF(B330="","",COUNTIFS(Ejecucion[No. Solicitud],Registro!B330,Ejecucion[Estado],"En Proceso"))</f>
        <v/>
      </c>
      <c r="Z330" s="64" t="str">
        <f t="shared" si="11"/>
        <v/>
      </c>
      <c r="AA330" s="64"/>
      <c r="AB330" s="64"/>
      <c r="AC330" s="64"/>
      <c r="AD330" s="102"/>
    </row>
    <row r="331" spans="2:30" s="15" customFormat="1">
      <c r="B331" s="36"/>
      <c r="C331" s="102"/>
      <c r="D331" s="36"/>
      <c r="E331" s="22"/>
      <c r="F331" s="83"/>
      <c r="G331" s="83"/>
      <c r="H331" s="25"/>
      <c r="I331" s="25"/>
      <c r="J331" s="25"/>
      <c r="K331" s="25"/>
      <c r="L331" s="54"/>
      <c r="M331" s="36"/>
      <c r="N331" s="36"/>
      <c r="O331" s="102"/>
      <c r="P331" s="36"/>
      <c r="Q331" s="36"/>
      <c r="R331" s="37"/>
      <c r="S331" s="37"/>
      <c r="T331" s="60" t="str">
        <f t="shared" si="12"/>
        <v/>
      </c>
      <c r="U331" s="38"/>
      <c r="V331" s="38"/>
      <c r="W331" s="38" t="str">
        <f>IF(B331="","",COUNTIFS(Ejecucion[No. Solicitud],Registro!B331,Ejecucion[Estado],"Finalizado"))</f>
        <v/>
      </c>
      <c r="X331" s="38" t="str">
        <f>IF(B331="","",COUNTIFS(Ejecucion[No. Solicitud],Registro!B331,Ejecucion[Estado],"No Iniciado"))</f>
        <v/>
      </c>
      <c r="Y331" s="64" t="str">
        <f>IF(B331="","",COUNTIFS(Ejecucion[No. Solicitud],Registro!B331,Ejecucion[Estado],"En Proceso"))</f>
        <v/>
      </c>
      <c r="Z331" s="64" t="str">
        <f t="shared" si="11"/>
        <v/>
      </c>
      <c r="AA331" s="64"/>
      <c r="AB331" s="64"/>
      <c r="AC331" s="64"/>
      <c r="AD331" s="102"/>
    </row>
    <row r="332" spans="2:30" s="15" customFormat="1">
      <c r="B332" s="36"/>
      <c r="C332" s="102"/>
      <c r="D332" s="36"/>
      <c r="E332" s="22"/>
      <c r="F332" s="83"/>
      <c r="G332" s="83"/>
      <c r="H332" s="25"/>
      <c r="I332" s="25"/>
      <c r="J332" s="25"/>
      <c r="K332" s="25"/>
      <c r="L332" s="54"/>
      <c r="M332" s="36"/>
      <c r="N332" s="36"/>
      <c r="O332" s="102"/>
      <c r="P332" s="36"/>
      <c r="Q332" s="36"/>
      <c r="R332" s="37"/>
      <c r="S332" s="37"/>
      <c r="T332" s="60" t="str">
        <f t="shared" si="12"/>
        <v/>
      </c>
      <c r="U332" s="38"/>
      <c r="V332" s="38"/>
      <c r="W332" s="38" t="str">
        <f>IF(B332="","",COUNTIFS(Ejecucion[No. Solicitud],Registro!B332,Ejecucion[Estado],"Finalizado"))</f>
        <v/>
      </c>
      <c r="X332" s="38" t="str">
        <f>IF(B332="","",COUNTIFS(Ejecucion[No. Solicitud],Registro!B332,Ejecucion[Estado],"No Iniciado"))</f>
        <v/>
      </c>
      <c r="Y332" s="64" t="str">
        <f>IF(B332="","",COUNTIFS(Ejecucion[No. Solicitud],Registro!B332,Ejecucion[Estado],"En Proceso"))</f>
        <v/>
      </c>
      <c r="Z332" s="64" t="str">
        <f t="shared" si="11"/>
        <v/>
      </c>
      <c r="AA332" s="64"/>
      <c r="AB332" s="64"/>
      <c r="AC332" s="64"/>
      <c r="AD332" s="102"/>
    </row>
    <row r="333" spans="2:30" s="15" customFormat="1">
      <c r="B333" s="36"/>
      <c r="C333" s="102"/>
      <c r="D333" s="36"/>
      <c r="E333" s="22"/>
      <c r="F333" s="83"/>
      <c r="G333" s="83"/>
      <c r="H333" s="25"/>
      <c r="I333" s="25"/>
      <c r="J333" s="25"/>
      <c r="K333" s="25"/>
      <c r="L333" s="54"/>
      <c r="M333" s="36"/>
      <c r="N333" s="36"/>
      <c r="O333" s="102"/>
      <c r="P333" s="36"/>
      <c r="Q333" s="36"/>
      <c r="R333" s="37"/>
      <c r="S333" s="37"/>
      <c r="T333" s="60" t="str">
        <f t="shared" si="12"/>
        <v/>
      </c>
      <c r="U333" s="38"/>
      <c r="V333" s="38"/>
      <c r="W333" s="38" t="str">
        <f>IF(B333="","",COUNTIFS(Ejecucion[No. Solicitud],Registro!B333,Ejecucion[Estado],"Finalizado"))</f>
        <v/>
      </c>
      <c r="X333" s="38" t="str">
        <f>IF(B333="","",COUNTIFS(Ejecucion[No. Solicitud],Registro!B333,Ejecucion[Estado],"No Iniciado"))</f>
        <v/>
      </c>
      <c r="Y333" s="64" t="str">
        <f>IF(B333="","",COUNTIFS(Ejecucion[No. Solicitud],Registro!B333,Ejecucion[Estado],"En Proceso"))</f>
        <v/>
      </c>
      <c r="Z333" s="64" t="str">
        <f t="shared" si="11"/>
        <v/>
      </c>
      <c r="AA333" s="64"/>
      <c r="AB333" s="64"/>
      <c r="AC333" s="64"/>
      <c r="AD333" s="102"/>
    </row>
    <row r="334" spans="2:30" s="15" customFormat="1">
      <c r="B334" s="36"/>
      <c r="C334" s="102"/>
      <c r="D334" s="36"/>
      <c r="E334" s="22"/>
      <c r="F334" s="83"/>
      <c r="G334" s="83"/>
      <c r="H334" s="25"/>
      <c r="I334" s="25"/>
      <c r="J334" s="25"/>
      <c r="K334" s="25"/>
      <c r="L334" s="54"/>
      <c r="M334" s="36"/>
      <c r="N334" s="36"/>
      <c r="O334" s="102"/>
      <c r="P334" s="36"/>
      <c r="Q334" s="36"/>
      <c r="R334" s="37"/>
      <c r="S334" s="37"/>
      <c r="T334" s="60" t="str">
        <f t="shared" si="12"/>
        <v/>
      </c>
      <c r="U334" s="38"/>
      <c r="V334" s="38"/>
      <c r="W334" s="38" t="str">
        <f>IF(B334="","",COUNTIFS(Ejecucion[No. Solicitud],Registro!B334,Ejecucion[Estado],"Finalizado"))</f>
        <v/>
      </c>
      <c r="X334" s="38" t="str">
        <f>IF(B334="","",COUNTIFS(Ejecucion[No. Solicitud],Registro!B334,Ejecucion[Estado],"No Iniciado"))</f>
        <v/>
      </c>
      <c r="Y334" s="64" t="str">
        <f>IF(B334="","",COUNTIFS(Ejecucion[No. Solicitud],Registro!B334,Ejecucion[Estado],"En Proceso"))</f>
        <v/>
      </c>
      <c r="Z334" s="64" t="str">
        <f t="shared" si="11"/>
        <v/>
      </c>
      <c r="AA334" s="64"/>
      <c r="AB334" s="64"/>
      <c r="AC334" s="64"/>
      <c r="AD334" s="102"/>
    </row>
    <row r="335" spans="2:30" s="15" customFormat="1">
      <c r="B335" s="36"/>
      <c r="C335" s="102"/>
      <c r="D335" s="36"/>
      <c r="E335" s="22"/>
      <c r="F335" s="83"/>
      <c r="G335" s="83"/>
      <c r="H335" s="25"/>
      <c r="I335" s="25"/>
      <c r="J335" s="25"/>
      <c r="K335" s="25"/>
      <c r="L335" s="54"/>
      <c r="M335" s="36"/>
      <c r="N335" s="36"/>
      <c r="O335" s="102"/>
      <c r="P335" s="36"/>
      <c r="Q335" s="36"/>
      <c r="R335" s="37"/>
      <c r="S335" s="37"/>
      <c r="T335" s="60" t="str">
        <f t="shared" si="12"/>
        <v/>
      </c>
      <c r="U335" s="38"/>
      <c r="V335" s="38"/>
      <c r="W335" s="38" t="str">
        <f>IF(B335="","",COUNTIFS(Ejecucion[No. Solicitud],Registro!B335,Ejecucion[Estado],"Finalizado"))</f>
        <v/>
      </c>
      <c r="X335" s="38" t="str">
        <f>IF(B335="","",COUNTIFS(Ejecucion[No. Solicitud],Registro!B335,Ejecucion[Estado],"No Iniciado"))</f>
        <v/>
      </c>
      <c r="Y335" s="64" t="str">
        <f>IF(B335="","",COUNTIFS(Ejecucion[No. Solicitud],Registro!B335,Ejecucion[Estado],"En Proceso"))</f>
        <v/>
      </c>
      <c r="Z335" s="64" t="str">
        <f t="shared" si="11"/>
        <v/>
      </c>
      <c r="AA335" s="64"/>
      <c r="AB335" s="64"/>
      <c r="AC335" s="64"/>
      <c r="AD335" s="102"/>
    </row>
    <row r="336" spans="2:30" s="15" customFormat="1">
      <c r="B336" s="36"/>
      <c r="C336" s="102"/>
      <c r="D336" s="36"/>
      <c r="E336" s="22"/>
      <c r="F336" s="83"/>
      <c r="G336" s="83"/>
      <c r="H336" s="25"/>
      <c r="I336" s="25"/>
      <c r="J336" s="25"/>
      <c r="K336" s="25"/>
      <c r="L336" s="54"/>
      <c r="M336" s="36"/>
      <c r="N336" s="36"/>
      <c r="O336" s="102"/>
      <c r="P336" s="36"/>
      <c r="Q336" s="36"/>
      <c r="R336" s="37"/>
      <c r="S336" s="37"/>
      <c r="T336" s="60" t="str">
        <f t="shared" si="12"/>
        <v/>
      </c>
      <c r="U336" s="38"/>
      <c r="V336" s="38"/>
      <c r="W336" s="38" t="str">
        <f>IF(B336="","",COUNTIFS(Ejecucion[No. Solicitud],Registro!B336,Ejecucion[Estado],"Finalizado"))</f>
        <v/>
      </c>
      <c r="X336" s="38" t="str">
        <f>IF(B336="","",COUNTIFS(Ejecucion[No. Solicitud],Registro!B336,Ejecucion[Estado],"No Iniciado"))</f>
        <v/>
      </c>
      <c r="Y336" s="64" t="str">
        <f>IF(B336="","",COUNTIFS(Ejecucion[No. Solicitud],Registro!B336,Ejecucion[Estado],"En Proceso"))</f>
        <v/>
      </c>
      <c r="Z336" s="64" t="str">
        <f t="shared" si="11"/>
        <v/>
      </c>
      <c r="AA336" s="64"/>
      <c r="AB336" s="64"/>
      <c r="AC336" s="64"/>
      <c r="AD336" s="102"/>
    </row>
    <row r="337" spans="2:30" s="15" customFormat="1">
      <c r="B337" s="36"/>
      <c r="C337" s="102"/>
      <c r="D337" s="36"/>
      <c r="E337" s="22"/>
      <c r="F337" s="83"/>
      <c r="G337" s="83"/>
      <c r="H337" s="25"/>
      <c r="I337" s="25"/>
      <c r="J337" s="25"/>
      <c r="K337" s="25"/>
      <c r="L337" s="54"/>
      <c r="M337" s="36"/>
      <c r="N337" s="36"/>
      <c r="O337" s="102"/>
      <c r="P337" s="36"/>
      <c r="Q337" s="36"/>
      <c r="R337" s="37"/>
      <c r="S337" s="37"/>
      <c r="T337" s="60" t="str">
        <f t="shared" si="12"/>
        <v/>
      </c>
      <c r="U337" s="38"/>
      <c r="V337" s="38"/>
      <c r="W337" s="38" t="str">
        <f>IF(B337="","",COUNTIFS(Ejecucion[No. Solicitud],Registro!B337,Ejecucion[Estado],"Finalizado"))</f>
        <v/>
      </c>
      <c r="X337" s="38" t="str">
        <f>IF(B337="","",COUNTIFS(Ejecucion[No. Solicitud],Registro!B337,Ejecucion[Estado],"No Iniciado"))</f>
        <v/>
      </c>
      <c r="Y337" s="64" t="str">
        <f>IF(B337="","",COUNTIFS(Ejecucion[No. Solicitud],Registro!B337,Ejecucion[Estado],"En Proceso"))</f>
        <v/>
      </c>
      <c r="Z337" s="64" t="str">
        <f t="shared" si="11"/>
        <v/>
      </c>
      <c r="AA337" s="64"/>
      <c r="AB337" s="64"/>
      <c r="AC337" s="64"/>
      <c r="AD337" s="102"/>
    </row>
    <row r="338" spans="2:30" s="15" customFormat="1">
      <c r="B338" s="36"/>
      <c r="C338" s="102"/>
      <c r="D338" s="36"/>
      <c r="E338" s="22"/>
      <c r="F338" s="83"/>
      <c r="G338" s="83"/>
      <c r="H338" s="25"/>
      <c r="I338" s="25"/>
      <c r="J338" s="25"/>
      <c r="K338" s="25"/>
      <c r="L338" s="54"/>
      <c r="M338" s="36"/>
      <c r="N338" s="36"/>
      <c r="O338" s="102"/>
      <c r="P338" s="36"/>
      <c r="Q338" s="36"/>
      <c r="R338" s="37"/>
      <c r="S338" s="37"/>
      <c r="T338" s="60" t="str">
        <f t="shared" si="12"/>
        <v/>
      </c>
      <c r="U338" s="38"/>
      <c r="V338" s="38"/>
      <c r="W338" s="38" t="str">
        <f>IF(B338="","",COUNTIFS(Ejecucion[No. Solicitud],Registro!B338,Ejecucion[Estado],"Finalizado"))</f>
        <v/>
      </c>
      <c r="X338" s="38" t="str">
        <f>IF(B338="","",COUNTIFS(Ejecucion[No. Solicitud],Registro!B338,Ejecucion[Estado],"No Iniciado"))</f>
        <v/>
      </c>
      <c r="Y338" s="64" t="str">
        <f>IF(B338="","",COUNTIFS(Ejecucion[No. Solicitud],Registro!B338,Ejecucion[Estado],"En Proceso"))</f>
        <v/>
      </c>
      <c r="Z338" s="64" t="str">
        <f t="shared" si="11"/>
        <v/>
      </c>
      <c r="AA338" s="64"/>
      <c r="AB338" s="64"/>
      <c r="AC338" s="64"/>
      <c r="AD338" s="102"/>
    </row>
    <row r="339" spans="2:30" s="15" customFormat="1">
      <c r="B339" s="36"/>
      <c r="C339" s="102"/>
      <c r="D339" s="36"/>
      <c r="E339" s="22"/>
      <c r="F339" s="83"/>
      <c r="G339" s="83"/>
      <c r="H339" s="25"/>
      <c r="I339" s="25"/>
      <c r="J339" s="25"/>
      <c r="K339" s="25"/>
      <c r="L339" s="54"/>
      <c r="M339" s="36"/>
      <c r="N339" s="36"/>
      <c r="O339" s="102"/>
      <c r="P339" s="36"/>
      <c r="Q339" s="36"/>
      <c r="R339" s="37"/>
      <c r="S339" s="37"/>
      <c r="T339" s="60" t="str">
        <f t="shared" si="12"/>
        <v/>
      </c>
      <c r="U339" s="38"/>
      <c r="V339" s="38"/>
      <c r="W339" s="38" t="str">
        <f>IF(B339="","",COUNTIFS(Ejecucion[No. Solicitud],Registro!B339,Ejecucion[Estado],"Finalizado"))</f>
        <v/>
      </c>
      <c r="X339" s="38" t="str">
        <f>IF(B339="","",COUNTIFS(Ejecucion[No. Solicitud],Registro!B339,Ejecucion[Estado],"No Iniciado"))</f>
        <v/>
      </c>
      <c r="Y339" s="64" t="str">
        <f>IF(B339="","",COUNTIFS(Ejecucion[No. Solicitud],Registro!B339,Ejecucion[Estado],"En Proceso"))</f>
        <v/>
      </c>
      <c r="Z339" s="64" t="str">
        <f t="shared" si="11"/>
        <v/>
      </c>
      <c r="AA339" s="64"/>
      <c r="AB339" s="64"/>
      <c r="AC339" s="64"/>
      <c r="AD339" s="102"/>
    </row>
    <row r="340" spans="2:30" s="15" customFormat="1">
      <c r="B340" s="36"/>
      <c r="C340" s="102"/>
      <c r="D340" s="36"/>
      <c r="E340" s="22"/>
      <c r="F340" s="83"/>
      <c r="G340" s="83"/>
      <c r="H340" s="25"/>
      <c r="I340" s="25"/>
      <c r="J340" s="25"/>
      <c r="K340" s="25"/>
      <c r="L340" s="54"/>
      <c r="M340" s="36"/>
      <c r="N340" s="36"/>
      <c r="O340" s="102"/>
      <c r="P340" s="36"/>
      <c r="Q340" s="36"/>
      <c r="R340" s="37"/>
      <c r="S340" s="37"/>
      <c r="T340" s="60" t="str">
        <f t="shared" si="12"/>
        <v/>
      </c>
      <c r="U340" s="38"/>
      <c r="V340" s="38"/>
      <c r="W340" s="38" t="str">
        <f>IF(B340="","",COUNTIFS(Ejecucion[No. Solicitud],Registro!B340,Ejecucion[Estado],"Finalizado"))</f>
        <v/>
      </c>
      <c r="X340" s="38" t="str">
        <f>IF(B340="","",COUNTIFS(Ejecucion[No. Solicitud],Registro!B340,Ejecucion[Estado],"No Iniciado"))</f>
        <v/>
      </c>
      <c r="Y340" s="64" t="str">
        <f>IF(B340="","",COUNTIFS(Ejecucion[No. Solicitud],Registro!B340,Ejecucion[Estado],"En Proceso"))</f>
        <v/>
      </c>
      <c r="Z340" s="64" t="str">
        <f t="shared" si="11"/>
        <v/>
      </c>
      <c r="AA340" s="64"/>
      <c r="AB340" s="64"/>
      <c r="AC340" s="64"/>
      <c r="AD340" s="102"/>
    </row>
    <row r="341" spans="2:30" s="15" customFormat="1">
      <c r="B341" s="36"/>
      <c r="C341" s="102"/>
      <c r="D341" s="18"/>
      <c r="E341" s="22"/>
      <c r="F341" s="83"/>
      <c r="G341" s="83"/>
      <c r="H341" s="25"/>
      <c r="I341" s="25"/>
      <c r="J341" s="25"/>
      <c r="K341" s="25"/>
      <c r="L341" s="54"/>
      <c r="M341" s="36"/>
      <c r="N341" s="36"/>
      <c r="O341" s="102"/>
      <c r="P341" s="36"/>
      <c r="Q341" s="36"/>
      <c r="R341" s="37"/>
      <c r="S341" s="37"/>
      <c r="T341" s="60" t="str">
        <f t="shared" si="12"/>
        <v/>
      </c>
      <c r="U341" s="38"/>
      <c r="V341" s="38"/>
      <c r="W341" s="38" t="str">
        <f>IF(B341="","",COUNTIFS(Ejecucion[No. Solicitud],Registro!B341,Ejecucion[Estado],"Finalizado"))</f>
        <v/>
      </c>
      <c r="X341" s="38" t="str">
        <f>IF(B341="","",COUNTIFS(Ejecucion[No. Solicitud],Registro!B341,Ejecucion[Estado],"No Iniciado"))</f>
        <v/>
      </c>
      <c r="Y341" s="64" t="str">
        <f>IF(B341="","",COUNTIFS(Ejecucion[No. Solicitud],Registro!B341,Ejecucion[Estado],"En Proceso"))</f>
        <v/>
      </c>
      <c r="Z341" s="64" t="str">
        <f t="shared" si="11"/>
        <v/>
      </c>
      <c r="AA341" s="64"/>
      <c r="AB341" s="64"/>
      <c r="AC341" s="64"/>
      <c r="AD341" s="102"/>
    </row>
    <row r="342" spans="2:30" s="15" customFormat="1">
      <c r="B342" s="36"/>
      <c r="C342" s="102"/>
      <c r="D342" s="18"/>
      <c r="E342" s="22"/>
      <c r="F342" s="83"/>
      <c r="G342" s="83"/>
      <c r="H342" s="25"/>
      <c r="I342" s="25"/>
      <c r="J342" s="25"/>
      <c r="K342" s="25"/>
      <c r="L342" s="54"/>
      <c r="M342" s="36"/>
      <c r="N342" s="36"/>
      <c r="O342" s="102"/>
      <c r="P342" s="36"/>
      <c r="Q342" s="36"/>
      <c r="R342" s="37"/>
      <c r="S342" s="37"/>
      <c r="T342" s="60" t="str">
        <f t="shared" si="12"/>
        <v/>
      </c>
      <c r="U342" s="38"/>
      <c r="V342" s="38"/>
      <c r="W342" s="38" t="str">
        <f>IF(B342="","",COUNTIFS(Ejecucion[No. Solicitud],Registro!B342,Ejecucion[Estado],"Finalizado"))</f>
        <v/>
      </c>
      <c r="X342" s="38" t="str">
        <f>IF(B342="","",COUNTIFS(Ejecucion[No. Solicitud],Registro!B342,Ejecucion[Estado],"No Iniciado"))</f>
        <v/>
      </c>
      <c r="Y342" s="64" t="str">
        <f>IF(B342="","",COUNTIFS(Ejecucion[No. Solicitud],Registro!B342,Ejecucion[Estado],"En Proceso"))</f>
        <v/>
      </c>
      <c r="Z342" s="64" t="str">
        <f t="shared" si="11"/>
        <v/>
      </c>
      <c r="AA342" s="64"/>
      <c r="AB342" s="64"/>
      <c r="AC342" s="64"/>
      <c r="AD342" s="102"/>
    </row>
    <row r="343" spans="2:30" s="15" customFormat="1">
      <c r="B343" s="36"/>
      <c r="C343" s="102"/>
      <c r="D343" s="36"/>
      <c r="E343" s="22"/>
      <c r="F343" s="83"/>
      <c r="G343" s="83"/>
      <c r="H343" s="25"/>
      <c r="I343" s="25"/>
      <c r="J343" s="25"/>
      <c r="K343" s="25"/>
      <c r="L343" s="54"/>
      <c r="M343" s="36"/>
      <c r="N343" s="36"/>
      <c r="O343" s="102"/>
      <c r="P343" s="36"/>
      <c r="Q343" s="36"/>
      <c r="R343" s="37"/>
      <c r="S343" s="37"/>
      <c r="T343" s="60" t="str">
        <f t="shared" si="12"/>
        <v/>
      </c>
      <c r="U343" s="38"/>
      <c r="V343" s="38"/>
      <c r="W343" s="38" t="str">
        <f>IF(B343="","",COUNTIFS(Ejecucion[No. Solicitud],Registro!B343,Ejecucion[Estado],"Finalizado"))</f>
        <v/>
      </c>
      <c r="X343" s="38" t="str">
        <f>IF(B343="","",COUNTIFS(Ejecucion[No. Solicitud],Registro!B343,Ejecucion[Estado],"No Iniciado"))</f>
        <v/>
      </c>
      <c r="Y343" s="64" t="str">
        <f>IF(B343="","",COUNTIFS(Ejecucion[No. Solicitud],Registro!B343,Ejecucion[Estado],"En Proceso"))</f>
        <v/>
      </c>
      <c r="Z343" s="64" t="str">
        <f t="shared" si="11"/>
        <v/>
      </c>
      <c r="AA343" s="64"/>
      <c r="AB343" s="64"/>
      <c r="AC343" s="64"/>
      <c r="AD343" s="102"/>
    </row>
    <row r="344" spans="2:30" s="15" customFormat="1">
      <c r="B344" s="36"/>
      <c r="C344" s="102"/>
      <c r="D344" s="18"/>
      <c r="E344" s="22"/>
      <c r="F344" s="83"/>
      <c r="G344" s="83"/>
      <c r="H344" s="25"/>
      <c r="I344" s="25"/>
      <c r="J344" s="25"/>
      <c r="K344" s="25"/>
      <c r="L344" s="54"/>
      <c r="M344" s="36"/>
      <c r="N344" s="36"/>
      <c r="O344" s="102"/>
      <c r="P344" s="36"/>
      <c r="Q344" s="36"/>
      <c r="R344" s="37"/>
      <c r="S344" s="37"/>
      <c r="T344" s="60" t="str">
        <f t="shared" si="12"/>
        <v/>
      </c>
      <c r="U344" s="38"/>
      <c r="V344" s="38"/>
      <c r="W344" s="38" t="str">
        <f>IF(B344="","",COUNTIFS(Ejecucion[No. Solicitud],Registro!B344,Ejecucion[Estado],"Finalizado"))</f>
        <v/>
      </c>
      <c r="X344" s="38" t="str">
        <f>IF(B344="","",COUNTIFS(Ejecucion[No. Solicitud],Registro!B344,Ejecucion[Estado],"No Iniciado"))</f>
        <v/>
      </c>
      <c r="Y344" s="64" t="str">
        <f>IF(B344="","",COUNTIFS(Ejecucion[No. Solicitud],Registro!B344,Ejecucion[Estado],"En Proceso"))</f>
        <v/>
      </c>
      <c r="Z344" s="64" t="str">
        <f t="shared" si="11"/>
        <v/>
      </c>
      <c r="AA344" s="64"/>
      <c r="AB344" s="64"/>
      <c r="AC344" s="64"/>
      <c r="AD344" s="102"/>
    </row>
    <row r="345" spans="2:30" s="15" customFormat="1">
      <c r="B345" s="36"/>
      <c r="C345" s="102"/>
      <c r="D345" s="36"/>
      <c r="E345" s="22"/>
      <c r="F345" s="83"/>
      <c r="G345" s="83"/>
      <c r="H345" s="25"/>
      <c r="I345" s="25"/>
      <c r="J345" s="25"/>
      <c r="K345" s="25"/>
      <c r="L345" s="54"/>
      <c r="M345" s="36"/>
      <c r="N345" s="36"/>
      <c r="O345" s="102"/>
      <c r="P345" s="36"/>
      <c r="Q345" s="36"/>
      <c r="R345" s="37"/>
      <c r="S345" s="37"/>
      <c r="T345" s="60" t="str">
        <f t="shared" si="12"/>
        <v/>
      </c>
      <c r="U345" s="38"/>
      <c r="V345" s="38"/>
      <c r="W345" s="38" t="str">
        <f>IF(B345="","",COUNTIFS(Ejecucion[No. Solicitud],Registro!B345,Ejecucion[Estado],"Finalizado"))</f>
        <v/>
      </c>
      <c r="X345" s="38" t="str">
        <f>IF(B345="","",COUNTIFS(Ejecucion[No. Solicitud],Registro!B345,Ejecucion[Estado],"No Iniciado"))</f>
        <v/>
      </c>
      <c r="Y345" s="64" t="str">
        <f>IF(B345="","",COUNTIFS(Ejecucion[No. Solicitud],Registro!B345,Ejecucion[Estado],"En Proceso"))</f>
        <v/>
      </c>
      <c r="Z345" s="64" t="str">
        <f t="shared" si="11"/>
        <v/>
      </c>
      <c r="AA345" s="64"/>
      <c r="AB345" s="64"/>
      <c r="AC345" s="64"/>
      <c r="AD345" s="102"/>
    </row>
    <row r="346" spans="2:30" s="15" customFormat="1">
      <c r="B346" s="36"/>
      <c r="C346" s="102"/>
      <c r="D346" s="36"/>
      <c r="E346" s="22"/>
      <c r="F346" s="83"/>
      <c r="G346" s="83"/>
      <c r="H346" s="25"/>
      <c r="I346" s="25"/>
      <c r="J346" s="25"/>
      <c r="K346" s="25"/>
      <c r="L346" s="54"/>
      <c r="M346" s="36"/>
      <c r="N346" s="36"/>
      <c r="O346" s="102"/>
      <c r="P346" s="36"/>
      <c r="Q346" s="36"/>
      <c r="R346" s="37"/>
      <c r="S346" s="37"/>
      <c r="T346" s="60" t="str">
        <f t="shared" si="12"/>
        <v/>
      </c>
      <c r="U346" s="38"/>
      <c r="V346" s="38"/>
      <c r="W346" s="38" t="str">
        <f>IF(B346="","",COUNTIFS(Ejecucion[No. Solicitud],Registro!B346,Ejecucion[Estado],"Finalizado"))</f>
        <v/>
      </c>
      <c r="X346" s="38" t="str">
        <f>IF(B346="","",COUNTIFS(Ejecucion[No. Solicitud],Registro!B346,Ejecucion[Estado],"No Iniciado"))</f>
        <v/>
      </c>
      <c r="Y346" s="64" t="str">
        <f>IF(B346="","",COUNTIFS(Ejecucion[No. Solicitud],Registro!B346,Ejecucion[Estado],"En Proceso"))</f>
        <v/>
      </c>
      <c r="Z346" s="64" t="str">
        <f t="shared" ref="Z346:Z409" si="13">IF(U346="","",IF(F346="Virtual Asincrónico",1,V346*U346))</f>
        <v/>
      </c>
      <c r="AA346" s="64"/>
      <c r="AB346" s="64"/>
      <c r="AC346" s="64"/>
      <c r="AD346" s="102"/>
    </row>
    <row r="347" spans="2:30" s="15" customFormat="1">
      <c r="B347" s="36"/>
      <c r="C347" s="102"/>
      <c r="D347" s="36"/>
      <c r="E347" s="22"/>
      <c r="F347" s="83"/>
      <c r="G347" s="83"/>
      <c r="H347" s="25"/>
      <c r="I347" s="25"/>
      <c r="J347" s="25"/>
      <c r="K347" s="25"/>
      <c r="L347" s="54"/>
      <c r="M347" s="36"/>
      <c r="N347" s="36"/>
      <c r="O347" s="102"/>
      <c r="P347" s="36"/>
      <c r="Q347" s="36"/>
      <c r="R347" s="37"/>
      <c r="S347" s="37"/>
      <c r="T347" s="60" t="str">
        <f t="shared" si="12"/>
        <v/>
      </c>
      <c r="U347" s="38"/>
      <c r="V347" s="38"/>
      <c r="W347" s="38" t="str">
        <f>IF(B347="","",COUNTIFS(Ejecucion[No. Solicitud],Registro!B347,Ejecucion[Estado],"Finalizado"))</f>
        <v/>
      </c>
      <c r="X347" s="38" t="str">
        <f>IF(B347="","",COUNTIFS(Ejecucion[No. Solicitud],Registro!B347,Ejecucion[Estado],"No Iniciado"))</f>
        <v/>
      </c>
      <c r="Y347" s="64" t="str">
        <f>IF(B347="","",COUNTIFS(Ejecucion[No. Solicitud],Registro!B347,Ejecucion[Estado],"En Proceso"))</f>
        <v/>
      </c>
      <c r="Z347" s="64" t="str">
        <f t="shared" si="13"/>
        <v/>
      </c>
      <c r="AA347" s="64"/>
      <c r="AB347" s="64"/>
      <c r="AC347" s="64"/>
      <c r="AD347" s="102"/>
    </row>
    <row r="348" spans="2:30" s="15" customFormat="1">
      <c r="B348" s="36"/>
      <c r="C348" s="102"/>
      <c r="D348" s="36"/>
      <c r="E348" s="22"/>
      <c r="F348" s="83"/>
      <c r="G348" s="83"/>
      <c r="H348" s="25"/>
      <c r="I348" s="25"/>
      <c r="J348" s="25"/>
      <c r="K348" s="25"/>
      <c r="L348" s="54"/>
      <c r="M348" s="36"/>
      <c r="N348" s="36"/>
      <c r="O348" s="102"/>
      <c r="P348" s="36"/>
      <c r="Q348" s="36"/>
      <c r="R348" s="37"/>
      <c r="S348" s="37"/>
      <c r="T348" s="60" t="str">
        <f t="shared" si="12"/>
        <v/>
      </c>
      <c r="U348" s="38"/>
      <c r="V348" s="38"/>
      <c r="W348" s="38" t="str">
        <f>IF(B348="","",COUNTIFS(Ejecucion[No. Solicitud],Registro!B348,Ejecucion[Estado],"Finalizado"))</f>
        <v/>
      </c>
      <c r="X348" s="38" t="str">
        <f>IF(B348="","",COUNTIFS(Ejecucion[No. Solicitud],Registro!B348,Ejecucion[Estado],"No Iniciado"))</f>
        <v/>
      </c>
      <c r="Y348" s="64" t="str">
        <f>IF(B348="","",COUNTIFS(Ejecucion[No. Solicitud],Registro!B348,Ejecucion[Estado],"En Proceso"))</f>
        <v/>
      </c>
      <c r="Z348" s="64" t="str">
        <f t="shared" si="13"/>
        <v/>
      </c>
      <c r="AA348" s="64"/>
      <c r="AB348" s="64"/>
      <c r="AC348" s="64"/>
      <c r="AD348" s="102"/>
    </row>
    <row r="349" spans="2:30" s="15" customFormat="1">
      <c r="B349" s="36"/>
      <c r="C349" s="102"/>
      <c r="D349" s="18"/>
      <c r="E349" s="22"/>
      <c r="F349" s="83"/>
      <c r="G349" s="83"/>
      <c r="H349" s="25"/>
      <c r="I349" s="25"/>
      <c r="J349" s="25"/>
      <c r="K349" s="25"/>
      <c r="L349" s="54"/>
      <c r="M349" s="36"/>
      <c r="N349" s="36"/>
      <c r="O349" s="102"/>
      <c r="P349" s="36"/>
      <c r="Q349" s="36"/>
      <c r="R349" s="37"/>
      <c r="S349" s="37"/>
      <c r="T349" s="60" t="str">
        <f t="shared" si="12"/>
        <v/>
      </c>
      <c r="U349" s="38"/>
      <c r="V349" s="38"/>
      <c r="W349" s="38" t="str">
        <f>IF(B349="","",COUNTIFS(Ejecucion[No. Solicitud],Registro!B349,Ejecucion[Estado],"Finalizado"))</f>
        <v/>
      </c>
      <c r="X349" s="38" t="str">
        <f>IF(B349="","",COUNTIFS(Ejecucion[No. Solicitud],Registro!B349,Ejecucion[Estado],"No Iniciado"))</f>
        <v/>
      </c>
      <c r="Y349" s="64" t="str">
        <f>IF(B349="","",COUNTIFS(Ejecucion[No. Solicitud],Registro!B349,Ejecucion[Estado],"En Proceso"))</f>
        <v/>
      </c>
      <c r="Z349" s="64" t="str">
        <f t="shared" si="13"/>
        <v/>
      </c>
      <c r="AA349" s="64"/>
      <c r="AB349" s="64"/>
      <c r="AC349" s="64"/>
      <c r="AD349" s="102"/>
    </row>
    <row r="350" spans="2:30" s="15" customFormat="1">
      <c r="B350" s="36"/>
      <c r="C350" s="102"/>
      <c r="D350" s="36"/>
      <c r="E350" s="22"/>
      <c r="F350" s="83"/>
      <c r="G350" s="83"/>
      <c r="H350" s="25"/>
      <c r="I350" s="25"/>
      <c r="J350" s="25"/>
      <c r="K350" s="25"/>
      <c r="L350" s="54"/>
      <c r="M350" s="36"/>
      <c r="N350" s="36"/>
      <c r="O350" s="102"/>
      <c r="P350" s="36"/>
      <c r="Q350" s="36"/>
      <c r="R350" s="37"/>
      <c r="S350" s="37"/>
      <c r="T350" s="60" t="str">
        <f t="shared" si="12"/>
        <v/>
      </c>
      <c r="U350" s="38"/>
      <c r="V350" s="38"/>
      <c r="W350" s="38" t="str">
        <f>IF(B350="","",COUNTIFS(Ejecucion[No. Solicitud],Registro!B350,Ejecucion[Estado],"Finalizado"))</f>
        <v/>
      </c>
      <c r="X350" s="38" t="str">
        <f>IF(B350="","",COUNTIFS(Ejecucion[No. Solicitud],Registro!B350,Ejecucion[Estado],"No Iniciado"))</f>
        <v/>
      </c>
      <c r="Y350" s="64" t="str">
        <f>IF(B350="","",COUNTIFS(Ejecucion[No. Solicitud],Registro!B350,Ejecucion[Estado],"En Proceso"))</f>
        <v/>
      </c>
      <c r="Z350" s="64" t="str">
        <f t="shared" si="13"/>
        <v/>
      </c>
      <c r="AA350" s="64"/>
      <c r="AB350" s="64"/>
      <c r="AC350" s="64"/>
      <c r="AD350" s="102"/>
    </row>
    <row r="351" spans="2:30" s="15" customFormat="1">
      <c r="B351" s="36"/>
      <c r="C351" s="102"/>
      <c r="D351" s="18"/>
      <c r="E351" s="22"/>
      <c r="F351" s="83"/>
      <c r="G351" s="83"/>
      <c r="H351" s="25"/>
      <c r="I351" s="25"/>
      <c r="J351" s="25"/>
      <c r="K351" s="25"/>
      <c r="L351" s="54"/>
      <c r="M351" s="36"/>
      <c r="N351" s="36"/>
      <c r="O351" s="102"/>
      <c r="P351" s="36"/>
      <c r="Q351" s="36"/>
      <c r="R351" s="37"/>
      <c r="S351" s="37"/>
      <c r="T351" s="60" t="str">
        <f t="shared" si="12"/>
        <v/>
      </c>
      <c r="U351" s="38"/>
      <c r="V351" s="38"/>
      <c r="W351" s="38" t="str">
        <f>IF(B351="","",COUNTIFS(Ejecucion[No. Solicitud],Registro!B351,Ejecucion[Estado],"Finalizado"))</f>
        <v/>
      </c>
      <c r="X351" s="38" t="str">
        <f>IF(B351="","",COUNTIFS(Ejecucion[No. Solicitud],Registro!B351,Ejecucion[Estado],"No Iniciado"))</f>
        <v/>
      </c>
      <c r="Y351" s="64" t="str">
        <f>IF(B351="","",COUNTIFS(Ejecucion[No. Solicitud],Registro!B351,Ejecucion[Estado],"En Proceso"))</f>
        <v/>
      </c>
      <c r="Z351" s="64" t="str">
        <f t="shared" si="13"/>
        <v/>
      </c>
      <c r="AA351" s="64"/>
      <c r="AB351" s="64"/>
      <c r="AC351" s="64"/>
      <c r="AD351" s="102"/>
    </row>
    <row r="352" spans="2:30" s="15" customFormat="1">
      <c r="B352" s="36"/>
      <c r="C352" s="102"/>
      <c r="D352" s="18"/>
      <c r="E352" s="22"/>
      <c r="F352" s="83"/>
      <c r="G352" s="83"/>
      <c r="H352" s="25"/>
      <c r="I352" s="25"/>
      <c r="J352" s="25"/>
      <c r="K352" s="25"/>
      <c r="L352" s="54"/>
      <c r="M352" s="36"/>
      <c r="N352" s="36"/>
      <c r="O352" s="102"/>
      <c r="P352" s="36"/>
      <c r="Q352" s="36"/>
      <c r="R352" s="37"/>
      <c r="S352" s="37"/>
      <c r="T352" s="60" t="str">
        <f t="shared" si="12"/>
        <v/>
      </c>
      <c r="U352" s="38"/>
      <c r="V352" s="38"/>
      <c r="W352" s="38" t="str">
        <f>IF(B352="","",COUNTIFS(Ejecucion[No. Solicitud],Registro!B352,Ejecucion[Estado],"Finalizado"))</f>
        <v/>
      </c>
      <c r="X352" s="38" t="str">
        <f>IF(B352="","",COUNTIFS(Ejecucion[No. Solicitud],Registro!B352,Ejecucion[Estado],"No Iniciado"))</f>
        <v/>
      </c>
      <c r="Y352" s="64" t="str">
        <f>IF(B352="","",COUNTIFS(Ejecucion[No. Solicitud],Registro!B352,Ejecucion[Estado],"En Proceso"))</f>
        <v/>
      </c>
      <c r="Z352" s="64" t="str">
        <f t="shared" si="13"/>
        <v/>
      </c>
      <c r="AA352" s="64"/>
      <c r="AB352" s="64"/>
      <c r="AC352" s="64"/>
      <c r="AD352" s="102"/>
    </row>
    <row r="353" spans="2:30" s="15" customFormat="1">
      <c r="B353" s="36"/>
      <c r="C353" s="102"/>
      <c r="D353" s="18"/>
      <c r="E353" s="22"/>
      <c r="F353" s="83"/>
      <c r="G353" s="83"/>
      <c r="H353" s="25"/>
      <c r="I353" s="25"/>
      <c r="J353" s="25"/>
      <c r="K353" s="25"/>
      <c r="L353" s="54"/>
      <c r="M353" s="36"/>
      <c r="N353" s="36"/>
      <c r="O353" s="102"/>
      <c r="P353" s="36"/>
      <c r="Q353" s="36"/>
      <c r="R353" s="37"/>
      <c r="S353" s="37"/>
      <c r="T353" s="60" t="str">
        <f t="shared" si="12"/>
        <v/>
      </c>
      <c r="U353" s="38"/>
      <c r="V353" s="38"/>
      <c r="W353" s="38" t="str">
        <f>IF(B353="","",COUNTIFS(Ejecucion[No. Solicitud],Registro!B353,Ejecucion[Estado],"Finalizado"))</f>
        <v/>
      </c>
      <c r="X353" s="38" t="str">
        <f>IF(B353="","",COUNTIFS(Ejecucion[No. Solicitud],Registro!B353,Ejecucion[Estado],"No Iniciado"))</f>
        <v/>
      </c>
      <c r="Y353" s="64" t="str">
        <f>IF(B353="","",COUNTIFS(Ejecucion[No. Solicitud],Registro!B353,Ejecucion[Estado],"En Proceso"))</f>
        <v/>
      </c>
      <c r="Z353" s="64" t="str">
        <f t="shared" si="13"/>
        <v/>
      </c>
      <c r="AA353" s="64"/>
      <c r="AB353" s="64"/>
      <c r="AC353" s="64"/>
      <c r="AD353" s="102"/>
    </row>
    <row r="354" spans="2:30" s="15" customFormat="1">
      <c r="B354" s="36"/>
      <c r="C354" s="102"/>
      <c r="D354" s="18"/>
      <c r="E354" s="22"/>
      <c r="F354" s="83"/>
      <c r="G354" s="83"/>
      <c r="H354" s="25"/>
      <c r="I354" s="25"/>
      <c r="J354" s="25"/>
      <c r="K354" s="25"/>
      <c r="L354" s="54"/>
      <c r="M354" s="36"/>
      <c r="N354" s="36"/>
      <c r="O354" s="102"/>
      <c r="P354" s="36"/>
      <c r="Q354" s="36"/>
      <c r="R354" s="37"/>
      <c r="S354" s="37"/>
      <c r="T354" s="60" t="str">
        <f t="shared" si="12"/>
        <v/>
      </c>
      <c r="U354" s="38"/>
      <c r="V354" s="38"/>
      <c r="W354" s="38" t="str">
        <f>IF(B354="","",COUNTIFS(Ejecucion[No. Solicitud],Registro!B354,Ejecucion[Estado],"Finalizado"))</f>
        <v/>
      </c>
      <c r="X354" s="38" t="str">
        <f>IF(B354="","",COUNTIFS(Ejecucion[No. Solicitud],Registro!B354,Ejecucion[Estado],"No Iniciado"))</f>
        <v/>
      </c>
      <c r="Y354" s="64" t="str">
        <f>IF(B354="","",COUNTIFS(Ejecucion[No. Solicitud],Registro!B354,Ejecucion[Estado],"En Proceso"))</f>
        <v/>
      </c>
      <c r="Z354" s="64" t="str">
        <f t="shared" si="13"/>
        <v/>
      </c>
      <c r="AA354" s="64"/>
      <c r="AB354" s="64"/>
      <c r="AC354" s="64"/>
      <c r="AD354" s="102"/>
    </row>
    <row r="355" spans="2:30" s="15" customFormat="1">
      <c r="B355" s="36"/>
      <c r="C355" s="102"/>
      <c r="D355" s="18"/>
      <c r="E355" s="22"/>
      <c r="F355" s="83"/>
      <c r="G355" s="83"/>
      <c r="H355" s="25"/>
      <c r="I355" s="25"/>
      <c r="J355" s="25"/>
      <c r="K355" s="25"/>
      <c r="L355" s="54"/>
      <c r="M355" s="36"/>
      <c r="N355" s="36"/>
      <c r="O355" s="102"/>
      <c r="P355" s="36"/>
      <c r="Q355" s="36"/>
      <c r="R355" s="37"/>
      <c r="S355" s="37"/>
      <c r="T355" s="60" t="str">
        <f t="shared" si="12"/>
        <v/>
      </c>
      <c r="U355" s="38"/>
      <c r="V355" s="38"/>
      <c r="W355" s="38" t="str">
        <f>IF(B355="","",COUNTIFS(Ejecucion[No. Solicitud],Registro!B355,Ejecucion[Estado],"Finalizado"))</f>
        <v/>
      </c>
      <c r="X355" s="38" t="str">
        <f>IF(B355="","",COUNTIFS(Ejecucion[No. Solicitud],Registro!B355,Ejecucion[Estado],"No Iniciado"))</f>
        <v/>
      </c>
      <c r="Y355" s="64" t="str">
        <f>IF(B355="","",COUNTIFS(Ejecucion[No. Solicitud],Registro!B355,Ejecucion[Estado],"En Proceso"))</f>
        <v/>
      </c>
      <c r="Z355" s="64" t="str">
        <f t="shared" si="13"/>
        <v/>
      </c>
      <c r="AA355" s="64"/>
      <c r="AB355" s="64"/>
      <c r="AC355" s="64"/>
      <c r="AD355" s="102"/>
    </row>
    <row r="356" spans="2:30" s="15" customFormat="1">
      <c r="B356" s="36"/>
      <c r="C356" s="102"/>
      <c r="D356" s="18"/>
      <c r="E356" s="22"/>
      <c r="F356" s="83"/>
      <c r="G356" s="83"/>
      <c r="H356" s="25"/>
      <c r="I356" s="25"/>
      <c r="J356" s="25"/>
      <c r="K356" s="25"/>
      <c r="L356" s="54"/>
      <c r="M356" s="36"/>
      <c r="N356" s="36"/>
      <c r="O356" s="102"/>
      <c r="P356" s="36"/>
      <c r="Q356" s="36"/>
      <c r="R356" s="37"/>
      <c r="S356" s="37"/>
      <c r="T356" s="60" t="str">
        <f t="shared" si="12"/>
        <v/>
      </c>
      <c r="U356" s="38"/>
      <c r="V356" s="38"/>
      <c r="W356" s="38" t="str">
        <f>IF(B356="","",COUNTIFS(Ejecucion[No. Solicitud],Registro!B356,Ejecucion[Estado],"Finalizado"))</f>
        <v/>
      </c>
      <c r="X356" s="38" t="str">
        <f>IF(B356="","",COUNTIFS(Ejecucion[No. Solicitud],Registro!B356,Ejecucion[Estado],"No Iniciado"))</f>
        <v/>
      </c>
      <c r="Y356" s="64" t="str">
        <f>IF(B356="","",COUNTIFS(Ejecucion[No. Solicitud],Registro!B356,Ejecucion[Estado],"En Proceso"))</f>
        <v/>
      </c>
      <c r="Z356" s="64" t="str">
        <f t="shared" si="13"/>
        <v/>
      </c>
      <c r="AA356" s="64"/>
      <c r="AB356" s="64"/>
      <c r="AC356" s="64"/>
      <c r="AD356" s="102"/>
    </row>
    <row r="357" spans="2:30" s="15" customFormat="1">
      <c r="B357" s="36"/>
      <c r="C357" s="102"/>
      <c r="D357" s="18"/>
      <c r="E357" s="22"/>
      <c r="F357" s="83"/>
      <c r="G357" s="83"/>
      <c r="H357" s="25"/>
      <c r="I357" s="25"/>
      <c r="J357" s="25"/>
      <c r="K357" s="25"/>
      <c r="L357" s="54"/>
      <c r="M357" s="36"/>
      <c r="N357" s="36"/>
      <c r="O357" s="102"/>
      <c r="P357" s="36"/>
      <c r="Q357" s="36"/>
      <c r="R357" s="37"/>
      <c r="S357" s="37"/>
      <c r="T357" s="60" t="str">
        <f t="shared" si="12"/>
        <v/>
      </c>
      <c r="U357" s="38"/>
      <c r="V357" s="38"/>
      <c r="W357" s="38" t="str">
        <f>IF(B357="","",COUNTIFS(Ejecucion[No. Solicitud],Registro!B357,Ejecucion[Estado],"Finalizado"))</f>
        <v/>
      </c>
      <c r="X357" s="38" t="str">
        <f>IF(B357="","",COUNTIFS(Ejecucion[No. Solicitud],Registro!B357,Ejecucion[Estado],"No Iniciado"))</f>
        <v/>
      </c>
      <c r="Y357" s="64" t="str">
        <f>IF(B357="","",COUNTIFS(Ejecucion[No. Solicitud],Registro!B357,Ejecucion[Estado],"En Proceso"))</f>
        <v/>
      </c>
      <c r="Z357" s="64" t="str">
        <f t="shared" si="13"/>
        <v/>
      </c>
      <c r="AA357" s="64"/>
      <c r="AB357" s="64"/>
      <c r="AC357" s="64"/>
      <c r="AD357" s="102"/>
    </row>
    <row r="358" spans="2:30" s="15" customFormat="1">
      <c r="B358" s="36"/>
      <c r="C358" s="102"/>
      <c r="D358" s="18"/>
      <c r="E358" s="22"/>
      <c r="F358" s="83"/>
      <c r="G358" s="83"/>
      <c r="H358" s="25"/>
      <c r="I358" s="25"/>
      <c r="J358" s="25"/>
      <c r="K358" s="25"/>
      <c r="L358" s="54"/>
      <c r="M358" s="36"/>
      <c r="N358" s="36"/>
      <c r="O358" s="102"/>
      <c r="P358" s="36"/>
      <c r="Q358" s="36"/>
      <c r="R358" s="37"/>
      <c r="S358" s="37"/>
      <c r="T358" s="60" t="str">
        <f t="shared" si="12"/>
        <v/>
      </c>
      <c r="U358" s="38"/>
      <c r="V358" s="38"/>
      <c r="W358" s="38" t="str">
        <f>IF(B358="","",COUNTIFS(Ejecucion[No. Solicitud],Registro!B358,Ejecucion[Estado],"Finalizado"))</f>
        <v/>
      </c>
      <c r="X358" s="38" t="str">
        <f>IF(B358="","",COUNTIFS(Ejecucion[No. Solicitud],Registro!B358,Ejecucion[Estado],"No Iniciado"))</f>
        <v/>
      </c>
      <c r="Y358" s="64" t="str">
        <f>IF(B358="","",COUNTIFS(Ejecucion[No. Solicitud],Registro!B358,Ejecucion[Estado],"En Proceso"))</f>
        <v/>
      </c>
      <c r="Z358" s="64" t="str">
        <f t="shared" si="13"/>
        <v/>
      </c>
      <c r="AA358" s="64"/>
      <c r="AB358" s="64"/>
      <c r="AC358" s="64"/>
      <c r="AD358" s="102"/>
    </row>
    <row r="359" spans="2:30" s="15" customFormat="1">
      <c r="B359" s="36"/>
      <c r="C359" s="102"/>
      <c r="D359" s="18"/>
      <c r="E359" s="22"/>
      <c r="F359" s="83"/>
      <c r="G359" s="83"/>
      <c r="H359" s="25"/>
      <c r="I359" s="25"/>
      <c r="J359" s="25"/>
      <c r="K359" s="25"/>
      <c r="L359" s="54"/>
      <c r="M359" s="36"/>
      <c r="N359" s="36"/>
      <c r="O359" s="102"/>
      <c r="P359" s="36"/>
      <c r="Q359" s="36"/>
      <c r="R359" s="37"/>
      <c r="S359" s="37"/>
      <c r="T359" s="60" t="str">
        <f t="shared" si="12"/>
        <v/>
      </c>
      <c r="U359" s="38"/>
      <c r="V359" s="38"/>
      <c r="W359" s="38" t="str">
        <f>IF(B359="","",COUNTIFS(Ejecucion[No. Solicitud],Registro!B359,Ejecucion[Estado],"Finalizado"))</f>
        <v/>
      </c>
      <c r="X359" s="38" t="str">
        <f>IF(B359="","",COUNTIFS(Ejecucion[No. Solicitud],Registro!B359,Ejecucion[Estado],"No Iniciado"))</f>
        <v/>
      </c>
      <c r="Y359" s="64" t="str">
        <f>IF(B359="","",COUNTIFS(Ejecucion[No. Solicitud],Registro!B359,Ejecucion[Estado],"En Proceso"))</f>
        <v/>
      </c>
      <c r="Z359" s="64" t="str">
        <f t="shared" si="13"/>
        <v/>
      </c>
      <c r="AA359" s="64"/>
      <c r="AB359" s="64"/>
      <c r="AC359" s="64"/>
      <c r="AD359" s="102"/>
    </row>
    <row r="360" spans="2:30" s="15" customFormat="1">
      <c r="B360" s="36"/>
      <c r="C360" s="102"/>
      <c r="D360" s="18"/>
      <c r="E360" s="22"/>
      <c r="F360" s="83"/>
      <c r="G360" s="83"/>
      <c r="H360" s="25"/>
      <c r="I360" s="25"/>
      <c r="J360" s="25"/>
      <c r="K360" s="25"/>
      <c r="L360" s="54"/>
      <c r="M360" s="36"/>
      <c r="N360" s="36"/>
      <c r="O360" s="102"/>
      <c r="P360" s="36"/>
      <c r="Q360" s="36"/>
      <c r="R360" s="37"/>
      <c r="S360" s="37"/>
      <c r="T360" s="60" t="str">
        <f t="shared" si="12"/>
        <v/>
      </c>
      <c r="U360" s="38"/>
      <c r="V360" s="38"/>
      <c r="W360" s="38" t="str">
        <f>IF(B360="","",COUNTIFS(Ejecucion[No. Solicitud],Registro!B360,Ejecucion[Estado],"Finalizado"))</f>
        <v/>
      </c>
      <c r="X360" s="38" t="str">
        <f>IF(B360="","",COUNTIFS(Ejecucion[No. Solicitud],Registro!B360,Ejecucion[Estado],"No Iniciado"))</f>
        <v/>
      </c>
      <c r="Y360" s="64" t="str">
        <f>IF(B360="","",COUNTIFS(Ejecucion[No. Solicitud],Registro!B360,Ejecucion[Estado],"En Proceso"))</f>
        <v/>
      </c>
      <c r="Z360" s="64" t="str">
        <f t="shared" si="13"/>
        <v/>
      </c>
      <c r="AA360" s="64"/>
      <c r="AB360" s="64"/>
      <c r="AC360" s="64"/>
      <c r="AD360" s="102"/>
    </row>
    <row r="361" spans="2:30" s="15" customFormat="1">
      <c r="B361" s="36"/>
      <c r="C361" s="102"/>
      <c r="D361" s="18"/>
      <c r="E361" s="22"/>
      <c r="F361" s="83"/>
      <c r="G361" s="83"/>
      <c r="H361" s="25"/>
      <c r="I361" s="25"/>
      <c r="J361" s="25"/>
      <c r="K361" s="25"/>
      <c r="L361" s="54"/>
      <c r="M361" s="36"/>
      <c r="N361" s="36"/>
      <c r="O361" s="102"/>
      <c r="P361" s="36"/>
      <c r="Q361" s="36"/>
      <c r="R361" s="37"/>
      <c r="S361" s="37"/>
      <c r="T361" s="60" t="str">
        <f t="shared" si="12"/>
        <v/>
      </c>
      <c r="U361" s="38"/>
      <c r="V361" s="38"/>
      <c r="W361" s="38" t="str">
        <f>IF(B361="","",COUNTIFS(Ejecucion[No. Solicitud],Registro!B361,Ejecucion[Estado],"Finalizado"))</f>
        <v/>
      </c>
      <c r="X361" s="38" t="str">
        <f>IF(B361="","",COUNTIFS(Ejecucion[No. Solicitud],Registro!B361,Ejecucion[Estado],"No Iniciado"))</f>
        <v/>
      </c>
      <c r="Y361" s="64" t="str">
        <f>IF(B361="","",COUNTIFS(Ejecucion[No. Solicitud],Registro!B361,Ejecucion[Estado],"En Proceso"))</f>
        <v/>
      </c>
      <c r="Z361" s="64" t="str">
        <f t="shared" si="13"/>
        <v/>
      </c>
      <c r="AA361" s="64"/>
      <c r="AB361" s="64"/>
      <c r="AC361" s="64"/>
      <c r="AD361" s="102"/>
    </row>
    <row r="362" spans="2:30" s="15" customFormat="1">
      <c r="B362" s="36"/>
      <c r="C362" s="102"/>
      <c r="D362" s="18"/>
      <c r="E362" s="22"/>
      <c r="F362" s="83"/>
      <c r="G362" s="83"/>
      <c r="H362" s="25"/>
      <c r="I362" s="25"/>
      <c r="J362" s="25"/>
      <c r="K362" s="25"/>
      <c r="L362" s="54"/>
      <c r="M362" s="36"/>
      <c r="N362" s="36"/>
      <c r="O362" s="102"/>
      <c r="P362" s="36"/>
      <c r="Q362" s="36"/>
      <c r="R362" s="37"/>
      <c r="S362" s="37"/>
      <c r="T362" s="60" t="str">
        <f t="shared" si="12"/>
        <v/>
      </c>
      <c r="U362" s="38"/>
      <c r="V362" s="38"/>
      <c r="W362" s="38" t="str">
        <f>IF(B362="","",COUNTIFS(Ejecucion[No. Solicitud],Registro!B362,Ejecucion[Estado],"Finalizado"))</f>
        <v/>
      </c>
      <c r="X362" s="38" t="str">
        <f>IF(B362="","",COUNTIFS(Ejecucion[No. Solicitud],Registro!B362,Ejecucion[Estado],"No Iniciado"))</f>
        <v/>
      </c>
      <c r="Y362" s="64" t="str">
        <f>IF(B362="","",COUNTIFS(Ejecucion[No. Solicitud],Registro!B362,Ejecucion[Estado],"En Proceso"))</f>
        <v/>
      </c>
      <c r="Z362" s="64" t="str">
        <f t="shared" si="13"/>
        <v/>
      </c>
      <c r="AA362" s="64"/>
      <c r="AB362" s="64"/>
      <c r="AC362" s="64"/>
      <c r="AD362" s="102"/>
    </row>
    <row r="363" spans="2:30" s="15" customFormat="1">
      <c r="B363" s="36"/>
      <c r="C363" s="102"/>
      <c r="D363" s="18"/>
      <c r="E363" s="22"/>
      <c r="F363" s="83"/>
      <c r="G363" s="83"/>
      <c r="H363" s="25"/>
      <c r="I363" s="25"/>
      <c r="J363" s="25"/>
      <c r="K363" s="25"/>
      <c r="L363" s="54"/>
      <c r="M363" s="36"/>
      <c r="N363" s="36"/>
      <c r="O363" s="102"/>
      <c r="P363" s="36"/>
      <c r="Q363" s="36"/>
      <c r="R363" s="37"/>
      <c r="S363" s="37"/>
      <c r="T363" s="60" t="str">
        <f t="shared" si="12"/>
        <v/>
      </c>
      <c r="U363" s="38"/>
      <c r="V363" s="38"/>
      <c r="W363" s="38" t="str">
        <f>IF(B363="","",COUNTIFS(Ejecucion[No. Solicitud],Registro!B363,Ejecucion[Estado],"Finalizado"))</f>
        <v/>
      </c>
      <c r="X363" s="38" t="str">
        <f>IF(B363="","",COUNTIFS(Ejecucion[No. Solicitud],Registro!B363,Ejecucion[Estado],"No Iniciado"))</f>
        <v/>
      </c>
      <c r="Y363" s="64" t="str">
        <f>IF(B363="","",COUNTIFS(Ejecucion[No. Solicitud],Registro!B363,Ejecucion[Estado],"En Proceso"))</f>
        <v/>
      </c>
      <c r="Z363" s="64" t="str">
        <f t="shared" si="13"/>
        <v/>
      </c>
      <c r="AA363" s="64"/>
      <c r="AB363" s="64"/>
      <c r="AC363" s="64"/>
      <c r="AD363" s="102"/>
    </row>
    <row r="364" spans="2:30" s="15" customFormat="1">
      <c r="B364" s="36"/>
      <c r="C364" s="102"/>
      <c r="D364" s="18"/>
      <c r="E364" s="22"/>
      <c r="F364" s="83"/>
      <c r="G364" s="83"/>
      <c r="H364" s="25"/>
      <c r="I364" s="25"/>
      <c r="J364" s="25"/>
      <c r="K364" s="25"/>
      <c r="L364" s="54"/>
      <c r="M364" s="36"/>
      <c r="N364" s="36"/>
      <c r="O364" s="102"/>
      <c r="P364" s="36"/>
      <c r="Q364" s="36"/>
      <c r="R364" s="37"/>
      <c r="S364" s="37"/>
      <c r="T364" s="60" t="str">
        <f t="shared" si="12"/>
        <v/>
      </c>
      <c r="U364" s="38"/>
      <c r="V364" s="38"/>
      <c r="W364" s="38" t="str">
        <f>IF(B364="","",COUNTIFS(Ejecucion[No. Solicitud],Registro!B364,Ejecucion[Estado],"Finalizado"))</f>
        <v/>
      </c>
      <c r="X364" s="38" t="str">
        <f>IF(B364="","",COUNTIFS(Ejecucion[No. Solicitud],Registro!B364,Ejecucion[Estado],"No Iniciado"))</f>
        <v/>
      </c>
      <c r="Y364" s="64" t="str">
        <f>IF(B364="","",COUNTIFS(Ejecucion[No. Solicitud],Registro!B364,Ejecucion[Estado],"En Proceso"))</f>
        <v/>
      </c>
      <c r="Z364" s="64" t="str">
        <f t="shared" si="13"/>
        <v/>
      </c>
      <c r="AA364" s="64"/>
      <c r="AB364" s="64"/>
      <c r="AC364" s="64"/>
      <c r="AD364" s="102"/>
    </row>
    <row r="365" spans="2:30" s="15" customFormat="1">
      <c r="B365" s="36"/>
      <c r="C365" s="102"/>
      <c r="D365" s="18"/>
      <c r="E365" s="22"/>
      <c r="F365" s="83"/>
      <c r="G365" s="83"/>
      <c r="H365" s="25"/>
      <c r="I365" s="25"/>
      <c r="J365" s="25"/>
      <c r="K365" s="25"/>
      <c r="L365" s="54"/>
      <c r="M365" s="36"/>
      <c r="N365" s="36"/>
      <c r="O365" s="102"/>
      <c r="P365" s="36"/>
      <c r="Q365" s="36"/>
      <c r="R365" s="37"/>
      <c r="S365" s="37"/>
      <c r="T365" s="60" t="str">
        <f t="shared" si="12"/>
        <v/>
      </c>
      <c r="U365" s="38"/>
      <c r="V365" s="38"/>
      <c r="W365" s="38" t="str">
        <f>IF(B365="","",COUNTIFS(Ejecucion[No. Solicitud],Registro!B365,Ejecucion[Estado],"Finalizado"))</f>
        <v/>
      </c>
      <c r="X365" s="38" t="str">
        <f>IF(B365="","",COUNTIFS(Ejecucion[No. Solicitud],Registro!B365,Ejecucion[Estado],"No Iniciado"))</f>
        <v/>
      </c>
      <c r="Y365" s="64" t="str">
        <f>IF(B365="","",COUNTIFS(Ejecucion[No. Solicitud],Registro!B365,Ejecucion[Estado],"En Proceso"))</f>
        <v/>
      </c>
      <c r="Z365" s="64" t="str">
        <f t="shared" si="13"/>
        <v/>
      </c>
      <c r="AA365" s="64"/>
      <c r="AB365" s="64"/>
      <c r="AC365" s="64"/>
      <c r="AD365" s="102"/>
    </row>
    <row r="366" spans="2:30" s="15" customFormat="1">
      <c r="B366" s="36"/>
      <c r="C366" s="102"/>
      <c r="D366" s="18"/>
      <c r="E366" s="22"/>
      <c r="F366" s="83"/>
      <c r="G366" s="83"/>
      <c r="H366" s="25"/>
      <c r="I366" s="25"/>
      <c r="J366" s="25"/>
      <c r="K366" s="25"/>
      <c r="L366" s="54"/>
      <c r="M366" s="36"/>
      <c r="N366" s="36"/>
      <c r="O366" s="102"/>
      <c r="P366" s="36"/>
      <c r="Q366" s="36"/>
      <c r="R366" s="37"/>
      <c r="S366" s="37"/>
      <c r="T366" s="60" t="str">
        <f t="shared" si="12"/>
        <v/>
      </c>
      <c r="U366" s="38"/>
      <c r="V366" s="38"/>
      <c r="W366" s="38" t="str">
        <f>IF(B366="","",COUNTIFS(Ejecucion[No. Solicitud],Registro!B366,Ejecucion[Estado],"Finalizado"))</f>
        <v/>
      </c>
      <c r="X366" s="38" t="str">
        <f>IF(B366="","",COUNTIFS(Ejecucion[No. Solicitud],Registro!B366,Ejecucion[Estado],"No Iniciado"))</f>
        <v/>
      </c>
      <c r="Y366" s="64" t="str">
        <f>IF(B366="","",COUNTIFS(Ejecucion[No. Solicitud],Registro!B366,Ejecucion[Estado],"En Proceso"))</f>
        <v/>
      </c>
      <c r="Z366" s="64" t="str">
        <f t="shared" si="13"/>
        <v/>
      </c>
      <c r="AA366" s="64"/>
      <c r="AB366" s="64"/>
      <c r="AC366" s="64"/>
      <c r="AD366" s="102"/>
    </row>
    <row r="367" spans="2:30" s="15" customFormat="1">
      <c r="B367" s="18"/>
      <c r="C367" s="25"/>
      <c r="D367" s="18"/>
      <c r="E367" s="22"/>
      <c r="F367" s="83"/>
      <c r="G367" s="83"/>
      <c r="H367" s="25"/>
      <c r="I367" s="25"/>
      <c r="J367" s="25"/>
      <c r="K367" s="25"/>
      <c r="L367" s="54"/>
      <c r="M367" s="36"/>
      <c r="N367" s="36"/>
      <c r="O367" s="102"/>
      <c r="P367" s="36"/>
      <c r="Q367" s="36"/>
      <c r="R367" s="37"/>
      <c r="S367" s="37"/>
      <c r="T367" s="60" t="str">
        <f t="shared" si="12"/>
        <v/>
      </c>
      <c r="U367" s="38"/>
      <c r="V367" s="38"/>
      <c r="W367" s="38" t="str">
        <f>IF(B367="","",COUNTIFS(Ejecucion[No. Solicitud],Registro!B367,Ejecucion[Estado],"Finalizado"))</f>
        <v/>
      </c>
      <c r="X367" s="38" t="str">
        <f>IF(B367="","",COUNTIFS(Ejecucion[No. Solicitud],Registro!B367,Ejecucion[Estado],"No Iniciado"))</f>
        <v/>
      </c>
      <c r="Y367" s="64" t="str">
        <f>IF(B367="","",COUNTIFS(Ejecucion[No. Solicitud],Registro!B367,Ejecucion[Estado],"En Proceso"))</f>
        <v/>
      </c>
      <c r="Z367" s="64" t="str">
        <f t="shared" si="13"/>
        <v/>
      </c>
      <c r="AA367" s="64"/>
      <c r="AB367" s="64"/>
      <c r="AC367" s="64"/>
      <c r="AD367" s="102"/>
    </row>
    <row r="368" spans="2:30" s="15" customFormat="1">
      <c r="B368" s="18"/>
      <c r="C368" s="25"/>
      <c r="D368" s="18"/>
      <c r="E368" s="22"/>
      <c r="F368" s="83"/>
      <c r="G368" s="83"/>
      <c r="H368" s="25"/>
      <c r="I368" s="25"/>
      <c r="J368" s="25"/>
      <c r="K368" s="25"/>
      <c r="L368" s="54"/>
      <c r="M368" s="18"/>
      <c r="N368" s="18"/>
      <c r="O368" s="25"/>
      <c r="P368" s="18"/>
      <c r="Q368" s="18"/>
      <c r="R368" s="37"/>
      <c r="S368" s="37"/>
      <c r="T368" s="60" t="str">
        <f t="shared" si="12"/>
        <v/>
      </c>
      <c r="U368" s="38"/>
      <c r="V368" s="38"/>
      <c r="W368" s="38" t="str">
        <f>IF(B368="","",COUNTIFS(Ejecucion[No. Solicitud],Registro!B368,Ejecucion[Estado],"Finalizado"))</f>
        <v/>
      </c>
      <c r="X368" s="38" t="str">
        <f>IF(B368="","",COUNTIFS(Ejecucion[No. Solicitud],Registro!B368,Ejecucion[Estado],"No Iniciado"))</f>
        <v/>
      </c>
      <c r="Y368" s="64" t="str">
        <f>IF(B368="","",COUNTIFS(Ejecucion[No. Solicitud],Registro!B368,Ejecucion[Estado],"En Proceso"))</f>
        <v/>
      </c>
      <c r="Z368" s="64" t="str">
        <f t="shared" si="13"/>
        <v/>
      </c>
      <c r="AA368" s="64"/>
      <c r="AB368" s="64"/>
      <c r="AC368" s="64"/>
      <c r="AD368" s="102"/>
    </row>
    <row r="369" spans="2:30" s="15" customFormat="1">
      <c r="B369" s="18"/>
      <c r="C369" s="25"/>
      <c r="D369" s="18"/>
      <c r="E369" s="22"/>
      <c r="F369" s="83"/>
      <c r="G369" s="83"/>
      <c r="H369" s="25"/>
      <c r="I369" s="25"/>
      <c r="J369" s="25"/>
      <c r="K369" s="25"/>
      <c r="L369" s="54"/>
      <c r="M369" s="18"/>
      <c r="N369" s="18"/>
      <c r="O369" s="25"/>
      <c r="P369" s="18"/>
      <c r="Q369" s="18"/>
      <c r="R369" s="37"/>
      <c r="S369" s="37"/>
      <c r="T369" s="60" t="str">
        <f t="shared" si="12"/>
        <v/>
      </c>
      <c r="U369" s="38"/>
      <c r="V369" s="38"/>
      <c r="W369" s="38" t="str">
        <f>IF(B369="","",COUNTIFS(Ejecucion[No. Solicitud],Registro!B369,Ejecucion[Estado],"Finalizado"))</f>
        <v/>
      </c>
      <c r="X369" s="38" t="str">
        <f>IF(B369="","",COUNTIFS(Ejecucion[No. Solicitud],Registro!B369,Ejecucion[Estado],"No Iniciado"))</f>
        <v/>
      </c>
      <c r="Y369" s="64" t="str">
        <f>IF(B369="","",COUNTIFS(Ejecucion[No. Solicitud],Registro!B369,Ejecucion[Estado],"En Proceso"))</f>
        <v/>
      </c>
      <c r="Z369" s="64" t="str">
        <f t="shared" si="13"/>
        <v/>
      </c>
      <c r="AA369" s="64"/>
      <c r="AB369" s="64"/>
      <c r="AC369" s="64"/>
      <c r="AD369" s="102"/>
    </row>
    <row r="370" spans="2:30" s="15" customFormat="1">
      <c r="B370" s="18"/>
      <c r="C370" s="25"/>
      <c r="D370" s="18"/>
      <c r="E370" s="22"/>
      <c r="F370" s="83"/>
      <c r="G370" s="83"/>
      <c r="H370" s="25"/>
      <c r="I370" s="25"/>
      <c r="J370" s="25"/>
      <c r="K370" s="25"/>
      <c r="L370" s="54"/>
      <c r="M370" s="18"/>
      <c r="N370" s="18"/>
      <c r="O370" s="25"/>
      <c r="P370" s="18"/>
      <c r="Q370" s="18"/>
      <c r="R370" s="37"/>
      <c r="S370" s="37"/>
      <c r="T370" s="60" t="str">
        <f t="shared" si="12"/>
        <v/>
      </c>
      <c r="U370" s="38"/>
      <c r="V370" s="38"/>
      <c r="W370" s="38" t="str">
        <f>IF(B370="","",COUNTIFS(Ejecucion[No. Solicitud],Registro!B370,Ejecucion[Estado],"Finalizado"))</f>
        <v/>
      </c>
      <c r="X370" s="38" t="str">
        <f>IF(B370="","",COUNTIFS(Ejecucion[No. Solicitud],Registro!B370,Ejecucion[Estado],"No Iniciado"))</f>
        <v/>
      </c>
      <c r="Y370" s="64" t="str">
        <f>IF(B370="","",COUNTIFS(Ejecucion[No. Solicitud],Registro!B370,Ejecucion[Estado],"En Proceso"))</f>
        <v/>
      </c>
      <c r="Z370" s="64" t="str">
        <f t="shared" si="13"/>
        <v/>
      </c>
      <c r="AA370" s="64"/>
      <c r="AB370" s="64"/>
      <c r="AC370" s="64"/>
      <c r="AD370" s="102"/>
    </row>
    <row r="371" spans="2:30" s="15" customFormat="1">
      <c r="B371" s="18"/>
      <c r="C371" s="25"/>
      <c r="D371" s="18"/>
      <c r="E371" s="22"/>
      <c r="F371" s="83"/>
      <c r="G371" s="83"/>
      <c r="H371" s="25"/>
      <c r="I371" s="25"/>
      <c r="J371" s="25"/>
      <c r="K371" s="25"/>
      <c r="L371" s="54"/>
      <c r="M371" s="18"/>
      <c r="N371" s="18"/>
      <c r="O371" s="25"/>
      <c r="P371" s="18"/>
      <c r="Q371" s="18"/>
      <c r="R371" s="37"/>
      <c r="S371" s="37"/>
      <c r="T371" s="60" t="str">
        <f t="shared" si="12"/>
        <v/>
      </c>
      <c r="U371" s="38"/>
      <c r="V371" s="38"/>
      <c r="W371" s="38" t="str">
        <f>IF(B371="","",COUNTIFS(Ejecucion[No. Solicitud],Registro!B371,Ejecucion[Estado],"Finalizado"))</f>
        <v/>
      </c>
      <c r="X371" s="38" t="str">
        <f>IF(B371="","",COUNTIFS(Ejecucion[No. Solicitud],Registro!B371,Ejecucion[Estado],"No Iniciado"))</f>
        <v/>
      </c>
      <c r="Y371" s="64" t="str">
        <f>IF(B371="","",COUNTIFS(Ejecucion[No. Solicitud],Registro!B371,Ejecucion[Estado],"En Proceso"))</f>
        <v/>
      </c>
      <c r="Z371" s="64" t="str">
        <f t="shared" si="13"/>
        <v/>
      </c>
      <c r="AA371" s="64"/>
      <c r="AB371" s="64"/>
      <c r="AC371" s="64"/>
      <c r="AD371" s="102"/>
    </row>
    <row r="372" spans="2:30" s="15" customFormat="1">
      <c r="B372" s="18"/>
      <c r="C372" s="25"/>
      <c r="D372" s="18"/>
      <c r="E372" s="22"/>
      <c r="F372" s="83"/>
      <c r="G372" s="83"/>
      <c r="H372" s="25"/>
      <c r="I372" s="25"/>
      <c r="J372" s="25"/>
      <c r="K372" s="25"/>
      <c r="L372" s="54"/>
      <c r="M372" s="18"/>
      <c r="N372" s="18"/>
      <c r="O372" s="25"/>
      <c r="P372" s="18"/>
      <c r="Q372" s="18"/>
      <c r="R372" s="37"/>
      <c r="S372" s="37"/>
      <c r="T372" s="60" t="str">
        <f t="shared" si="12"/>
        <v/>
      </c>
      <c r="U372" s="38"/>
      <c r="V372" s="38"/>
      <c r="W372" s="38" t="str">
        <f>IF(B372="","",COUNTIFS(Ejecucion[No. Solicitud],Registro!B372,Ejecucion[Estado],"Finalizado"))</f>
        <v/>
      </c>
      <c r="X372" s="38" t="str">
        <f>IF(B372="","",COUNTIFS(Ejecucion[No. Solicitud],Registro!B372,Ejecucion[Estado],"No Iniciado"))</f>
        <v/>
      </c>
      <c r="Y372" s="64" t="str">
        <f>IF(B372="","",COUNTIFS(Ejecucion[No. Solicitud],Registro!B372,Ejecucion[Estado],"En Proceso"))</f>
        <v/>
      </c>
      <c r="Z372" s="64" t="str">
        <f t="shared" si="13"/>
        <v/>
      </c>
      <c r="AA372" s="64"/>
      <c r="AB372" s="64"/>
      <c r="AC372" s="64"/>
      <c r="AD372" s="102"/>
    </row>
    <row r="373" spans="2:30" s="15" customFormat="1">
      <c r="B373" s="18"/>
      <c r="C373" s="25"/>
      <c r="D373" s="36"/>
      <c r="E373" s="22"/>
      <c r="F373" s="83"/>
      <c r="G373" s="83"/>
      <c r="H373" s="25"/>
      <c r="I373" s="25"/>
      <c r="J373" s="25"/>
      <c r="K373" s="25"/>
      <c r="L373" s="54"/>
      <c r="M373" s="18"/>
      <c r="N373" s="18"/>
      <c r="O373" s="25"/>
      <c r="P373" s="18"/>
      <c r="Q373" s="18"/>
      <c r="R373" s="37"/>
      <c r="S373" s="37"/>
      <c r="T373" s="60" t="str">
        <f t="shared" si="12"/>
        <v/>
      </c>
      <c r="U373" s="38"/>
      <c r="V373" s="38"/>
      <c r="W373" s="38" t="str">
        <f>IF(B373="","",COUNTIFS(Ejecucion[No. Solicitud],Registro!B373,Ejecucion[Estado],"Finalizado"))</f>
        <v/>
      </c>
      <c r="X373" s="38" t="str">
        <f>IF(B373="","",COUNTIFS(Ejecucion[No. Solicitud],Registro!B373,Ejecucion[Estado],"No Iniciado"))</f>
        <v/>
      </c>
      <c r="Y373" s="64" t="str">
        <f>IF(B373="","",COUNTIFS(Ejecucion[No. Solicitud],Registro!B373,Ejecucion[Estado],"En Proceso"))</f>
        <v/>
      </c>
      <c r="Z373" s="64" t="str">
        <f t="shared" si="13"/>
        <v/>
      </c>
      <c r="AA373" s="64"/>
      <c r="AB373" s="64"/>
      <c r="AC373" s="64"/>
      <c r="AD373" s="102"/>
    </row>
    <row r="374" spans="2:30" s="15" customFormat="1">
      <c r="B374" s="18"/>
      <c r="C374" s="25"/>
      <c r="D374" s="18"/>
      <c r="E374" s="22"/>
      <c r="F374" s="83"/>
      <c r="G374" s="83"/>
      <c r="H374" s="25"/>
      <c r="I374" s="25"/>
      <c r="J374" s="25"/>
      <c r="K374" s="25"/>
      <c r="L374" s="54"/>
      <c r="M374" s="18"/>
      <c r="N374" s="18"/>
      <c r="O374" s="25"/>
      <c r="P374" s="18"/>
      <c r="Q374" s="18"/>
      <c r="R374" s="37"/>
      <c r="S374" s="37"/>
      <c r="T374" s="60" t="str">
        <f t="shared" si="12"/>
        <v/>
      </c>
      <c r="U374" s="38"/>
      <c r="V374" s="38"/>
      <c r="W374" s="38" t="str">
        <f>IF(B374="","",COUNTIFS(Ejecucion[No. Solicitud],Registro!B374,Ejecucion[Estado],"Finalizado"))</f>
        <v/>
      </c>
      <c r="X374" s="38" t="str">
        <f>IF(B374="","",COUNTIFS(Ejecucion[No. Solicitud],Registro!B374,Ejecucion[Estado],"No Iniciado"))</f>
        <v/>
      </c>
      <c r="Y374" s="64" t="str">
        <f>IF(B374="","",COUNTIFS(Ejecucion[No. Solicitud],Registro!B374,Ejecucion[Estado],"En Proceso"))</f>
        <v/>
      </c>
      <c r="Z374" s="64" t="str">
        <f t="shared" si="13"/>
        <v/>
      </c>
      <c r="AA374" s="64"/>
      <c r="AB374" s="64"/>
      <c r="AC374" s="64"/>
      <c r="AD374" s="102"/>
    </row>
    <row r="375" spans="2:30" s="15" customFormat="1">
      <c r="B375" s="36"/>
      <c r="C375" s="102"/>
      <c r="D375" s="18"/>
      <c r="E375" s="22"/>
      <c r="F375" s="83"/>
      <c r="G375" s="83"/>
      <c r="H375" s="25"/>
      <c r="I375" s="25"/>
      <c r="J375" s="25"/>
      <c r="K375" s="25"/>
      <c r="L375" s="54"/>
      <c r="M375" s="18"/>
      <c r="N375" s="18"/>
      <c r="O375" s="25"/>
      <c r="P375" s="18"/>
      <c r="Q375" s="18"/>
      <c r="R375" s="37"/>
      <c r="S375" s="37"/>
      <c r="T375" s="60" t="str">
        <f t="shared" si="12"/>
        <v/>
      </c>
      <c r="U375" s="38"/>
      <c r="V375" s="38"/>
      <c r="W375" s="38" t="str">
        <f>IF(B375="","",COUNTIFS(Ejecucion[No. Solicitud],Registro!B375,Ejecucion[Estado],"Finalizado"))</f>
        <v/>
      </c>
      <c r="X375" s="38" t="str">
        <f>IF(B375="","",COUNTIFS(Ejecucion[No. Solicitud],Registro!B375,Ejecucion[Estado],"No Iniciado"))</f>
        <v/>
      </c>
      <c r="Y375" s="64" t="str">
        <f>IF(B375="","",COUNTIFS(Ejecucion[No. Solicitud],Registro!B375,Ejecucion[Estado],"En Proceso"))</f>
        <v/>
      </c>
      <c r="Z375" s="64" t="str">
        <f t="shared" si="13"/>
        <v/>
      </c>
      <c r="AA375" s="64"/>
      <c r="AB375" s="64"/>
      <c r="AC375" s="64"/>
      <c r="AD375" s="102"/>
    </row>
    <row r="376" spans="2:30" s="15" customFormat="1">
      <c r="B376" s="36"/>
      <c r="C376" s="102"/>
      <c r="D376" s="18"/>
      <c r="E376" s="22"/>
      <c r="F376" s="83"/>
      <c r="G376" s="83"/>
      <c r="H376" s="25"/>
      <c r="I376" s="25"/>
      <c r="J376" s="25"/>
      <c r="K376" s="25"/>
      <c r="L376" s="54"/>
      <c r="M376" s="18"/>
      <c r="N376" s="18"/>
      <c r="O376" s="25"/>
      <c r="P376" s="18"/>
      <c r="Q376" s="18"/>
      <c r="R376" s="37"/>
      <c r="S376" s="37"/>
      <c r="T376" s="60" t="str">
        <f t="shared" si="12"/>
        <v/>
      </c>
      <c r="U376" s="38"/>
      <c r="V376" s="38"/>
      <c r="W376" s="38" t="str">
        <f>IF(B376="","",COUNTIFS(Ejecucion[No. Solicitud],Registro!B376,Ejecucion[Estado],"Finalizado"))</f>
        <v/>
      </c>
      <c r="X376" s="38" t="str">
        <f>IF(B376="","",COUNTIFS(Ejecucion[No. Solicitud],Registro!B376,Ejecucion[Estado],"No Iniciado"))</f>
        <v/>
      </c>
      <c r="Y376" s="64" t="str">
        <f>IF(B376="","",COUNTIFS(Ejecucion[No. Solicitud],Registro!B376,Ejecucion[Estado],"En Proceso"))</f>
        <v/>
      </c>
      <c r="Z376" s="64" t="str">
        <f t="shared" si="13"/>
        <v/>
      </c>
      <c r="AA376" s="64"/>
      <c r="AB376" s="64"/>
      <c r="AC376" s="64"/>
      <c r="AD376" s="102"/>
    </row>
    <row r="377" spans="2:30" s="15" customFormat="1">
      <c r="B377" s="18"/>
      <c r="C377" s="25"/>
      <c r="D377" s="36"/>
      <c r="E377" s="22"/>
      <c r="F377" s="83"/>
      <c r="G377" s="83"/>
      <c r="H377" s="25"/>
      <c r="I377" s="25"/>
      <c r="J377" s="25"/>
      <c r="K377" s="25"/>
      <c r="L377" s="54"/>
      <c r="M377" s="18"/>
      <c r="N377" s="18"/>
      <c r="O377" s="25"/>
      <c r="P377" s="18"/>
      <c r="Q377" s="18"/>
      <c r="R377" s="37"/>
      <c r="S377" s="37"/>
      <c r="T377" s="60" t="str">
        <f t="shared" si="12"/>
        <v/>
      </c>
      <c r="U377" s="38"/>
      <c r="V377" s="38"/>
      <c r="W377" s="38" t="str">
        <f>IF(B377="","",COUNTIFS(Ejecucion[No. Solicitud],Registro!B377,Ejecucion[Estado],"Finalizado"))</f>
        <v/>
      </c>
      <c r="X377" s="38" t="str">
        <f>IF(B377="","",COUNTIFS(Ejecucion[No. Solicitud],Registro!B377,Ejecucion[Estado],"No Iniciado"))</f>
        <v/>
      </c>
      <c r="Y377" s="64" t="str">
        <f>IF(B377="","",COUNTIFS(Ejecucion[No. Solicitud],Registro!B377,Ejecucion[Estado],"En Proceso"))</f>
        <v/>
      </c>
      <c r="Z377" s="64" t="str">
        <f t="shared" si="13"/>
        <v/>
      </c>
      <c r="AA377" s="64"/>
      <c r="AB377" s="64"/>
      <c r="AC377" s="64"/>
      <c r="AD377" s="102"/>
    </row>
    <row r="378" spans="2:30" s="15" customFormat="1">
      <c r="B378" s="18"/>
      <c r="C378" s="25"/>
      <c r="D378" s="18"/>
      <c r="E378" s="22"/>
      <c r="F378" s="83"/>
      <c r="G378" s="83"/>
      <c r="H378" s="25"/>
      <c r="I378" s="25"/>
      <c r="J378" s="25"/>
      <c r="K378" s="25"/>
      <c r="L378" s="54"/>
      <c r="M378" s="18"/>
      <c r="N378" s="18"/>
      <c r="O378" s="25"/>
      <c r="P378" s="18"/>
      <c r="Q378" s="18"/>
      <c r="R378" s="37"/>
      <c r="S378" s="37"/>
      <c r="T378" s="60" t="str">
        <f t="shared" si="12"/>
        <v/>
      </c>
      <c r="U378" s="38"/>
      <c r="V378" s="38"/>
      <c r="W378" s="38" t="str">
        <f>IF(B378="","",COUNTIFS(Ejecucion[No. Solicitud],Registro!B378,Ejecucion[Estado],"Finalizado"))</f>
        <v/>
      </c>
      <c r="X378" s="38" t="str">
        <f>IF(B378="","",COUNTIFS(Ejecucion[No. Solicitud],Registro!B378,Ejecucion[Estado],"No Iniciado"))</f>
        <v/>
      </c>
      <c r="Y378" s="64" t="str">
        <f>IF(B378="","",COUNTIFS(Ejecucion[No. Solicitud],Registro!B378,Ejecucion[Estado],"En Proceso"))</f>
        <v/>
      </c>
      <c r="Z378" s="64" t="str">
        <f t="shared" si="13"/>
        <v/>
      </c>
      <c r="AA378" s="64"/>
      <c r="AB378" s="64"/>
      <c r="AC378" s="64"/>
      <c r="AD378" s="102"/>
    </row>
    <row r="379" spans="2:30" s="15" customFormat="1">
      <c r="B379" s="18"/>
      <c r="C379" s="25"/>
      <c r="D379" s="18"/>
      <c r="E379" s="22"/>
      <c r="F379" s="83"/>
      <c r="G379" s="83"/>
      <c r="H379" s="25"/>
      <c r="I379" s="25"/>
      <c r="J379" s="25"/>
      <c r="K379" s="25"/>
      <c r="L379" s="54"/>
      <c r="M379" s="18"/>
      <c r="N379" s="18"/>
      <c r="O379" s="25"/>
      <c r="P379" s="18"/>
      <c r="Q379" s="18"/>
      <c r="R379" s="37"/>
      <c r="S379" s="37"/>
      <c r="T379" s="60" t="str">
        <f t="shared" si="12"/>
        <v/>
      </c>
      <c r="U379" s="38"/>
      <c r="V379" s="38"/>
      <c r="W379" s="38" t="str">
        <f>IF(B379="","",COUNTIFS(Ejecucion[No. Solicitud],Registro!B379,Ejecucion[Estado],"Finalizado"))</f>
        <v/>
      </c>
      <c r="X379" s="38" t="str">
        <f>IF(B379="","",COUNTIFS(Ejecucion[No. Solicitud],Registro!B379,Ejecucion[Estado],"No Iniciado"))</f>
        <v/>
      </c>
      <c r="Y379" s="64" t="str">
        <f>IF(B379="","",COUNTIFS(Ejecucion[No. Solicitud],Registro!B379,Ejecucion[Estado],"En Proceso"))</f>
        <v/>
      </c>
      <c r="Z379" s="64" t="str">
        <f t="shared" si="13"/>
        <v/>
      </c>
      <c r="AA379" s="64"/>
      <c r="AB379" s="64"/>
      <c r="AC379" s="64"/>
      <c r="AD379" s="102"/>
    </row>
    <row r="380" spans="2:30" s="15" customFormat="1">
      <c r="B380" s="18"/>
      <c r="C380" s="25"/>
      <c r="D380" s="18"/>
      <c r="E380" s="22"/>
      <c r="F380" s="83"/>
      <c r="G380" s="83"/>
      <c r="H380" s="25"/>
      <c r="I380" s="25"/>
      <c r="J380" s="25"/>
      <c r="K380" s="25"/>
      <c r="L380" s="54"/>
      <c r="M380" s="18"/>
      <c r="N380" s="18"/>
      <c r="O380" s="25"/>
      <c r="P380" s="18"/>
      <c r="Q380" s="18"/>
      <c r="R380" s="37"/>
      <c r="S380" s="37"/>
      <c r="T380" s="60" t="str">
        <f t="shared" si="12"/>
        <v/>
      </c>
      <c r="U380" s="38"/>
      <c r="V380" s="38"/>
      <c r="W380" s="38" t="str">
        <f>IF(B380="","",COUNTIFS(Ejecucion[No. Solicitud],Registro!B380,Ejecucion[Estado],"Finalizado"))</f>
        <v/>
      </c>
      <c r="X380" s="38" t="str">
        <f>IF(B380="","",COUNTIFS(Ejecucion[No. Solicitud],Registro!B380,Ejecucion[Estado],"No Iniciado"))</f>
        <v/>
      </c>
      <c r="Y380" s="64" t="str">
        <f>IF(B380="","",COUNTIFS(Ejecucion[No. Solicitud],Registro!B380,Ejecucion[Estado],"En Proceso"))</f>
        <v/>
      </c>
      <c r="Z380" s="64" t="str">
        <f t="shared" si="13"/>
        <v/>
      </c>
      <c r="AA380" s="64"/>
      <c r="AB380" s="64"/>
      <c r="AC380" s="64"/>
      <c r="AD380" s="102"/>
    </row>
    <row r="381" spans="2:30" s="15" customFormat="1">
      <c r="B381" s="18"/>
      <c r="C381" s="25"/>
      <c r="D381" s="18"/>
      <c r="E381" s="22"/>
      <c r="F381" s="83"/>
      <c r="G381" s="83"/>
      <c r="H381" s="25"/>
      <c r="I381" s="25"/>
      <c r="J381" s="25"/>
      <c r="K381" s="25"/>
      <c r="L381" s="63"/>
      <c r="M381" s="18"/>
      <c r="N381" s="18"/>
      <c r="O381" s="25"/>
      <c r="P381" s="18"/>
      <c r="Q381" s="18"/>
      <c r="R381" s="37"/>
      <c r="S381" s="37"/>
      <c r="T381" s="60" t="str">
        <f t="shared" si="12"/>
        <v/>
      </c>
      <c r="U381" s="38"/>
      <c r="V381" s="38"/>
      <c r="W381" s="38" t="str">
        <f>IF(B381="","",COUNTIFS(Ejecucion[No. Solicitud],Registro!B381,Ejecucion[Estado],"Finalizado"))</f>
        <v/>
      </c>
      <c r="X381" s="38" t="str">
        <f>IF(B381="","",COUNTIFS(Ejecucion[No. Solicitud],Registro!B381,Ejecucion[Estado],"No Iniciado"))</f>
        <v/>
      </c>
      <c r="Y381" s="64" t="str">
        <f>IF(B381="","",COUNTIFS(Ejecucion[No. Solicitud],Registro!B381,Ejecucion[Estado],"En Proceso"))</f>
        <v/>
      </c>
      <c r="Z381" s="64" t="str">
        <f t="shared" si="13"/>
        <v/>
      </c>
      <c r="AA381" s="64"/>
      <c r="AB381" s="64"/>
      <c r="AC381" s="64"/>
      <c r="AD381" s="102"/>
    </row>
    <row r="382" spans="2:30" s="15" customFormat="1">
      <c r="B382" s="18"/>
      <c r="C382" s="25"/>
      <c r="D382" s="18"/>
      <c r="E382" s="22"/>
      <c r="F382" s="83"/>
      <c r="G382" s="83"/>
      <c r="H382" s="25"/>
      <c r="I382" s="25"/>
      <c r="J382" s="25"/>
      <c r="K382" s="25"/>
      <c r="L382" s="63"/>
      <c r="M382" s="18"/>
      <c r="N382" s="18"/>
      <c r="O382" s="25"/>
      <c r="P382" s="18"/>
      <c r="Q382" s="18"/>
      <c r="R382" s="37"/>
      <c r="S382" s="37"/>
      <c r="T382" s="60" t="str">
        <f t="shared" si="12"/>
        <v/>
      </c>
      <c r="U382" s="38"/>
      <c r="V382" s="38"/>
      <c r="W382" s="38" t="str">
        <f>IF(B382="","",COUNTIFS(Ejecucion[No. Solicitud],Registro!B382,Ejecucion[Estado],"Finalizado"))</f>
        <v/>
      </c>
      <c r="X382" s="38" t="str">
        <f>IF(B382="","",COUNTIFS(Ejecucion[No. Solicitud],Registro!B382,Ejecucion[Estado],"No Iniciado"))</f>
        <v/>
      </c>
      <c r="Y382" s="64" t="str">
        <f>IF(B382="","",COUNTIFS(Ejecucion[No. Solicitud],Registro!B382,Ejecucion[Estado],"En Proceso"))</f>
        <v/>
      </c>
      <c r="Z382" s="64" t="str">
        <f t="shared" si="13"/>
        <v/>
      </c>
      <c r="AA382" s="64"/>
      <c r="AB382" s="64"/>
      <c r="AC382" s="64"/>
      <c r="AD382" s="102"/>
    </row>
    <row r="383" spans="2:30" s="15" customFormat="1">
      <c r="B383" s="18"/>
      <c r="C383" s="25"/>
      <c r="D383" s="18"/>
      <c r="E383" s="22"/>
      <c r="F383" s="83"/>
      <c r="G383" s="83"/>
      <c r="H383" s="25"/>
      <c r="I383" s="25"/>
      <c r="J383" s="25"/>
      <c r="K383" s="25"/>
      <c r="L383" s="63"/>
      <c r="M383" s="18"/>
      <c r="N383" s="18"/>
      <c r="O383" s="25"/>
      <c r="P383" s="18"/>
      <c r="Q383" s="18"/>
      <c r="R383" s="37"/>
      <c r="S383" s="37"/>
      <c r="T383" s="60" t="str">
        <f t="shared" si="12"/>
        <v/>
      </c>
      <c r="U383" s="38"/>
      <c r="V383" s="38"/>
      <c r="W383" s="38" t="str">
        <f>IF(B383="","",COUNTIFS(Ejecucion[No. Solicitud],Registro!B383,Ejecucion[Estado],"Finalizado"))</f>
        <v/>
      </c>
      <c r="X383" s="38" t="str">
        <f>IF(B383="","",COUNTIFS(Ejecucion[No. Solicitud],Registro!B383,Ejecucion[Estado],"No Iniciado"))</f>
        <v/>
      </c>
      <c r="Y383" s="64" t="str">
        <f>IF(B383="","",COUNTIFS(Ejecucion[No. Solicitud],Registro!B383,Ejecucion[Estado],"En Proceso"))</f>
        <v/>
      </c>
      <c r="Z383" s="64" t="str">
        <f t="shared" si="13"/>
        <v/>
      </c>
      <c r="AA383" s="64"/>
      <c r="AB383" s="64"/>
      <c r="AC383" s="64"/>
      <c r="AD383" s="102"/>
    </row>
    <row r="384" spans="2:30" s="15" customFormat="1">
      <c r="B384" s="18"/>
      <c r="C384" s="25"/>
      <c r="D384" s="18"/>
      <c r="E384" s="22"/>
      <c r="F384" s="83"/>
      <c r="G384" s="83"/>
      <c r="H384" s="25"/>
      <c r="I384" s="25"/>
      <c r="J384" s="25"/>
      <c r="K384" s="25"/>
      <c r="L384" s="63"/>
      <c r="M384" s="18"/>
      <c r="N384" s="18"/>
      <c r="O384" s="25"/>
      <c r="P384" s="18"/>
      <c r="Q384" s="18"/>
      <c r="R384" s="37"/>
      <c r="S384" s="37"/>
      <c r="T384" s="60" t="str">
        <f t="shared" si="12"/>
        <v/>
      </c>
      <c r="U384" s="38"/>
      <c r="V384" s="38"/>
      <c r="W384" s="38" t="str">
        <f>IF(B384="","",COUNTIFS(Ejecucion[No. Solicitud],Registro!B384,Ejecucion[Estado],"Finalizado"))</f>
        <v/>
      </c>
      <c r="X384" s="38" t="str">
        <f>IF(B384="","",COUNTIFS(Ejecucion[No. Solicitud],Registro!B384,Ejecucion[Estado],"No Iniciado"))</f>
        <v/>
      </c>
      <c r="Y384" s="64" t="str">
        <f>IF(B384="","",COUNTIFS(Ejecucion[No. Solicitud],Registro!B384,Ejecucion[Estado],"En Proceso"))</f>
        <v/>
      </c>
      <c r="Z384" s="64" t="str">
        <f t="shared" si="13"/>
        <v/>
      </c>
      <c r="AA384" s="64"/>
      <c r="AB384" s="64"/>
      <c r="AC384" s="64"/>
      <c r="AD384" s="102"/>
    </row>
    <row r="385" spans="2:30" s="15" customFormat="1">
      <c r="B385" s="36"/>
      <c r="C385" s="102"/>
      <c r="D385" s="36"/>
      <c r="E385" s="22"/>
      <c r="F385" s="83"/>
      <c r="G385" s="83"/>
      <c r="H385" s="25"/>
      <c r="I385" s="25"/>
      <c r="J385" s="25"/>
      <c r="K385" s="25"/>
      <c r="L385" s="54"/>
      <c r="M385" s="36"/>
      <c r="N385" s="36"/>
      <c r="O385" s="102"/>
      <c r="P385" s="36"/>
      <c r="Q385" s="36"/>
      <c r="R385" s="37"/>
      <c r="S385" s="37"/>
      <c r="T385" s="60" t="str">
        <f t="shared" si="12"/>
        <v/>
      </c>
      <c r="U385" s="38"/>
      <c r="V385" s="38"/>
      <c r="W385" s="38" t="str">
        <f>IF(B385="","",COUNTIFS(Ejecucion[No. Solicitud],Registro!B385,Ejecucion[Estado],"Finalizado"))</f>
        <v/>
      </c>
      <c r="X385" s="38" t="str">
        <f>IF(B385="","",COUNTIFS(Ejecucion[No. Solicitud],Registro!B385,Ejecucion[Estado],"No Iniciado"))</f>
        <v/>
      </c>
      <c r="Y385" s="64" t="str">
        <f>IF(B385="","",COUNTIFS(Ejecucion[No. Solicitud],Registro!B385,Ejecucion[Estado],"En Proceso"))</f>
        <v/>
      </c>
      <c r="Z385" s="64" t="str">
        <f t="shared" si="13"/>
        <v/>
      </c>
      <c r="AA385" s="64"/>
      <c r="AB385" s="64"/>
      <c r="AC385" s="64"/>
      <c r="AD385" s="102"/>
    </row>
    <row r="386" spans="2:30" s="15" customFormat="1">
      <c r="B386" s="36"/>
      <c r="C386" s="102"/>
      <c r="D386" s="18"/>
      <c r="E386" s="22"/>
      <c r="F386" s="83"/>
      <c r="G386" s="83"/>
      <c r="H386" s="25"/>
      <c r="I386" s="25"/>
      <c r="J386" s="25"/>
      <c r="K386" s="25"/>
      <c r="L386" s="54"/>
      <c r="M386" s="36"/>
      <c r="N386" s="36"/>
      <c r="O386" s="102"/>
      <c r="P386" s="36"/>
      <c r="Q386" s="36"/>
      <c r="R386" s="37"/>
      <c r="S386" s="37"/>
      <c r="T386" s="60" t="str">
        <f t="shared" si="12"/>
        <v/>
      </c>
      <c r="U386" s="38"/>
      <c r="V386" s="38"/>
      <c r="W386" s="38" t="str">
        <f>IF(B386="","",COUNTIFS(Ejecucion[No. Solicitud],Registro!B386,Ejecucion[Estado],"Finalizado"))</f>
        <v/>
      </c>
      <c r="X386" s="38" t="str">
        <f>IF(B386="","",COUNTIFS(Ejecucion[No. Solicitud],Registro!B386,Ejecucion[Estado],"No Iniciado"))</f>
        <v/>
      </c>
      <c r="Y386" s="64" t="str">
        <f>IF(B386="","",COUNTIFS(Ejecucion[No. Solicitud],Registro!B386,Ejecucion[Estado],"En Proceso"))</f>
        <v/>
      </c>
      <c r="Z386" s="64" t="str">
        <f t="shared" si="13"/>
        <v/>
      </c>
      <c r="AA386" s="64"/>
      <c r="AB386" s="64"/>
      <c r="AC386" s="64"/>
      <c r="AD386" s="102"/>
    </row>
    <row r="387" spans="2:30" s="15" customFormat="1">
      <c r="B387" s="36"/>
      <c r="C387" s="102"/>
      <c r="D387" s="18"/>
      <c r="E387" s="22"/>
      <c r="F387" s="83"/>
      <c r="G387" s="83"/>
      <c r="H387" s="25"/>
      <c r="I387" s="25"/>
      <c r="J387" s="25"/>
      <c r="K387" s="25"/>
      <c r="L387" s="54"/>
      <c r="M387" s="36"/>
      <c r="N387" s="36"/>
      <c r="O387" s="102"/>
      <c r="P387" s="36"/>
      <c r="Q387" s="36"/>
      <c r="R387" s="37"/>
      <c r="S387" s="37"/>
      <c r="T387" s="60" t="str">
        <f t="shared" si="12"/>
        <v/>
      </c>
      <c r="U387" s="38"/>
      <c r="V387" s="38"/>
      <c r="W387" s="38" t="str">
        <f>IF(B387="","",COUNTIFS(Ejecucion[No. Solicitud],Registro!B387,Ejecucion[Estado],"Finalizado"))</f>
        <v/>
      </c>
      <c r="X387" s="38" t="str">
        <f>IF(B387="","",COUNTIFS(Ejecucion[No. Solicitud],Registro!B387,Ejecucion[Estado],"No Iniciado"))</f>
        <v/>
      </c>
      <c r="Y387" s="64" t="str">
        <f>IF(B387="","",COUNTIFS(Ejecucion[No. Solicitud],Registro!B387,Ejecucion[Estado],"En Proceso"))</f>
        <v/>
      </c>
      <c r="Z387" s="64" t="str">
        <f t="shared" si="13"/>
        <v/>
      </c>
      <c r="AA387" s="64"/>
      <c r="AB387" s="64"/>
      <c r="AC387" s="64"/>
      <c r="AD387" s="102"/>
    </row>
    <row r="388" spans="2:30" s="15" customFormat="1">
      <c r="B388" s="36"/>
      <c r="C388" s="102"/>
      <c r="D388" s="18"/>
      <c r="E388" s="22"/>
      <c r="F388" s="83"/>
      <c r="G388" s="83"/>
      <c r="H388" s="25"/>
      <c r="I388" s="25"/>
      <c r="J388" s="25"/>
      <c r="K388" s="25"/>
      <c r="L388" s="54"/>
      <c r="M388" s="36"/>
      <c r="N388" s="36"/>
      <c r="O388" s="102"/>
      <c r="P388" s="36"/>
      <c r="Q388" s="36"/>
      <c r="R388" s="37"/>
      <c r="S388" s="37"/>
      <c r="T388" s="60" t="str">
        <f t="shared" si="12"/>
        <v/>
      </c>
      <c r="U388" s="38"/>
      <c r="V388" s="38"/>
      <c r="W388" s="38" t="str">
        <f>IF(B388="","",COUNTIFS(Ejecucion[No. Solicitud],Registro!B388,Ejecucion[Estado],"Finalizado"))</f>
        <v/>
      </c>
      <c r="X388" s="38" t="str">
        <f>IF(B388="","",COUNTIFS(Ejecucion[No. Solicitud],Registro!B388,Ejecucion[Estado],"No Iniciado"))</f>
        <v/>
      </c>
      <c r="Y388" s="64" t="str">
        <f>IF(B388="","",COUNTIFS(Ejecucion[No. Solicitud],Registro!B388,Ejecucion[Estado],"En Proceso"))</f>
        <v/>
      </c>
      <c r="Z388" s="64" t="str">
        <f t="shared" si="13"/>
        <v/>
      </c>
      <c r="AA388" s="64"/>
      <c r="AB388" s="64"/>
      <c r="AC388" s="64"/>
      <c r="AD388" s="102"/>
    </row>
    <row r="389" spans="2:30" s="15" customFormat="1">
      <c r="B389" s="36"/>
      <c r="C389" s="102"/>
      <c r="D389" s="18"/>
      <c r="E389" s="22"/>
      <c r="F389" s="83"/>
      <c r="G389" s="83"/>
      <c r="H389" s="25"/>
      <c r="I389" s="25"/>
      <c r="J389" s="25"/>
      <c r="K389" s="25"/>
      <c r="L389" s="54"/>
      <c r="M389" s="36"/>
      <c r="N389" s="36"/>
      <c r="O389" s="102"/>
      <c r="P389" s="36"/>
      <c r="Q389" s="36"/>
      <c r="R389" s="37"/>
      <c r="S389" s="37"/>
      <c r="T389" s="60" t="str">
        <f t="shared" si="12"/>
        <v/>
      </c>
      <c r="U389" s="38"/>
      <c r="V389" s="38"/>
      <c r="W389" s="38" t="str">
        <f>IF(B389="","",COUNTIFS(Ejecucion[No. Solicitud],Registro!B389,Ejecucion[Estado],"Finalizado"))</f>
        <v/>
      </c>
      <c r="X389" s="38" t="str">
        <f>IF(B389="","",COUNTIFS(Ejecucion[No. Solicitud],Registro!B389,Ejecucion[Estado],"No Iniciado"))</f>
        <v/>
      </c>
      <c r="Y389" s="64" t="str">
        <f>IF(B389="","",COUNTIFS(Ejecucion[No. Solicitud],Registro!B389,Ejecucion[Estado],"En Proceso"))</f>
        <v/>
      </c>
      <c r="Z389" s="64" t="str">
        <f t="shared" si="13"/>
        <v/>
      </c>
      <c r="AA389" s="64"/>
      <c r="AB389" s="64"/>
      <c r="AC389" s="64"/>
      <c r="AD389" s="102"/>
    </row>
    <row r="390" spans="2:30" s="15" customFormat="1">
      <c r="B390" s="36"/>
      <c r="C390" s="102"/>
      <c r="D390" s="18"/>
      <c r="E390" s="22"/>
      <c r="F390" s="83"/>
      <c r="G390" s="83"/>
      <c r="H390" s="25"/>
      <c r="I390" s="25"/>
      <c r="J390" s="25"/>
      <c r="K390" s="25"/>
      <c r="L390" s="54"/>
      <c r="M390" s="36"/>
      <c r="N390" s="36"/>
      <c r="O390" s="102"/>
      <c r="P390" s="36"/>
      <c r="Q390" s="36"/>
      <c r="R390" s="37"/>
      <c r="S390" s="37"/>
      <c r="T390" s="60" t="str">
        <f t="shared" si="12"/>
        <v/>
      </c>
      <c r="U390" s="38"/>
      <c r="V390" s="38"/>
      <c r="W390" s="38" t="str">
        <f>IF(B390="","",COUNTIFS(Ejecucion[No. Solicitud],Registro!B390,Ejecucion[Estado],"Finalizado"))</f>
        <v/>
      </c>
      <c r="X390" s="38" t="str">
        <f>IF(B390="","",COUNTIFS(Ejecucion[No. Solicitud],Registro!B390,Ejecucion[Estado],"No Iniciado"))</f>
        <v/>
      </c>
      <c r="Y390" s="64" t="str">
        <f>IF(B390="","",COUNTIFS(Ejecucion[No. Solicitud],Registro!B390,Ejecucion[Estado],"En Proceso"))</f>
        <v/>
      </c>
      <c r="Z390" s="64" t="str">
        <f t="shared" si="13"/>
        <v/>
      </c>
      <c r="AA390" s="64"/>
      <c r="AB390" s="64"/>
      <c r="AC390" s="64"/>
      <c r="AD390" s="102"/>
    </row>
    <row r="391" spans="2:30" s="15" customFormat="1">
      <c r="B391" s="36"/>
      <c r="C391" s="102"/>
      <c r="D391" s="36"/>
      <c r="E391" s="22"/>
      <c r="F391" s="83"/>
      <c r="G391" s="83"/>
      <c r="H391" s="25"/>
      <c r="I391" s="25"/>
      <c r="J391" s="25"/>
      <c r="K391" s="25"/>
      <c r="L391" s="54"/>
      <c r="M391" s="36"/>
      <c r="N391" s="36"/>
      <c r="O391" s="102"/>
      <c r="P391" s="36"/>
      <c r="Q391" s="36"/>
      <c r="R391" s="37"/>
      <c r="S391" s="37"/>
      <c r="T391" s="60" t="str">
        <f t="shared" si="12"/>
        <v/>
      </c>
      <c r="U391" s="38"/>
      <c r="V391" s="38"/>
      <c r="W391" s="38" t="str">
        <f>IF(B391="","",COUNTIFS(Ejecucion[No. Solicitud],Registro!B391,Ejecucion[Estado],"Finalizado"))</f>
        <v/>
      </c>
      <c r="X391" s="38" t="str">
        <f>IF(B391="","",COUNTIFS(Ejecucion[No. Solicitud],Registro!B391,Ejecucion[Estado],"No Iniciado"))</f>
        <v/>
      </c>
      <c r="Y391" s="64" t="str">
        <f>IF(B391="","",COUNTIFS(Ejecucion[No. Solicitud],Registro!B391,Ejecucion[Estado],"En Proceso"))</f>
        <v/>
      </c>
      <c r="Z391" s="64" t="str">
        <f t="shared" si="13"/>
        <v/>
      </c>
      <c r="AA391" s="64"/>
      <c r="AB391" s="64"/>
      <c r="AC391" s="64"/>
      <c r="AD391" s="102"/>
    </row>
    <row r="392" spans="2:30" s="15" customFormat="1">
      <c r="B392" s="36"/>
      <c r="C392" s="102"/>
      <c r="D392" s="36"/>
      <c r="E392" s="22"/>
      <c r="F392" s="83"/>
      <c r="G392" s="83"/>
      <c r="H392" s="25"/>
      <c r="I392" s="25"/>
      <c r="J392" s="25"/>
      <c r="K392" s="25"/>
      <c r="L392" s="54"/>
      <c r="M392" s="36"/>
      <c r="N392" s="36"/>
      <c r="O392" s="102"/>
      <c r="P392" s="36"/>
      <c r="Q392" s="36"/>
      <c r="R392" s="37"/>
      <c r="S392" s="37"/>
      <c r="T392" s="60" t="str">
        <f t="shared" ref="T392:T455" si="14">IF(U392="","",IF(U392=W392,1,0))</f>
        <v/>
      </c>
      <c r="U392" s="38"/>
      <c r="V392" s="38"/>
      <c r="W392" s="38" t="str">
        <f>IF(B392="","",COUNTIFS(Ejecucion[No. Solicitud],Registro!B392,Ejecucion[Estado],"Finalizado"))</f>
        <v/>
      </c>
      <c r="X392" s="38" t="str">
        <f>IF(B392="","",COUNTIFS(Ejecucion[No. Solicitud],Registro!B392,Ejecucion[Estado],"No Iniciado"))</f>
        <v/>
      </c>
      <c r="Y392" s="64" t="str">
        <f>IF(B392="","",COUNTIFS(Ejecucion[No. Solicitud],Registro!B392,Ejecucion[Estado],"En Proceso"))</f>
        <v/>
      </c>
      <c r="Z392" s="64" t="str">
        <f t="shared" si="13"/>
        <v/>
      </c>
      <c r="AA392" s="64"/>
      <c r="AB392" s="64"/>
      <c r="AC392" s="64"/>
      <c r="AD392" s="102"/>
    </row>
    <row r="393" spans="2:30" s="15" customFormat="1">
      <c r="B393" s="36"/>
      <c r="C393" s="102"/>
      <c r="D393" s="36"/>
      <c r="E393" s="22"/>
      <c r="F393" s="83"/>
      <c r="G393" s="83"/>
      <c r="H393" s="25"/>
      <c r="I393" s="25"/>
      <c r="J393" s="25"/>
      <c r="K393" s="25"/>
      <c r="L393" s="54"/>
      <c r="M393" s="36"/>
      <c r="N393" s="36"/>
      <c r="O393" s="102"/>
      <c r="P393" s="36"/>
      <c r="Q393" s="36"/>
      <c r="R393" s="37"/>
      <c r="S393" s="37"/>
      <c r="T393" s="60" t="str">
        <f t="shared" si="14"/>
        <v/>
      </c>
      <c r="U393" s="38"/>
      <c r="V393" s="38"/>
      <c r="W393" s="38" t="str">
        <f>IF(B393="","",COUNTIFS(Ejecucion[No. Solicitud],Registro!B393,Ejecucion[Estado],"Finalizado"))</f>
        <v/>
      </c>
      <c r="X393" s="38" t="str">
        <f>IF(B393="","",COUNTIFS(Ejecucion[No. Solicitud],Registro!B393,Ejecucion[Estado],"No Iniciado"))</f>
        <v/>
      </c>
      <c r="Y393" s="64" t="str">
        <f>IF(B393="","",COUNTIFS(Ejecucion[No. Solicitud],Registro!B393,Ejecucion[Estado],"En Proceso"))</f>
        <v/>
      </c>
      <c r="Z393" s="64" t="str">
        <f t="shared" si="13"/>
        <v/>
      </c>
      <c r="AA393" s="64"/>
      <c r="AB393" s="64"/>
      <c r="AC393" s="64"/>
      <c r="AD393" s="102"/>
    </row>
    <row r="394" spans="2:30" s="15" customFormat="1">
      <c r="B394" s="36"/>
      <c r="C394" s="102"/>
      <c r="D394" s="36"/>
      <c r="E394" s="22"/>
      <c r="F394" s="83"/>
      <c r="G394" s="83"/>
      <c r="H394" s="25"/>
      <c r="I394" s="25"/>
      <c r="J394" s="25"/>
      <c r="K394" s="25"/>
      <c r="L394" s="54"/>
      <c r="M394" s="36"/>
      <c r="N394" s="36"/>
      <c r="O394" s="102"/>
      <c r="P394" s="36"/>
      <c r="Q394" s="36"/>
      <c r="R394" s="37"/>
      <c r="S394" s="37"/>
      <c r="T394" s="60" t="str">
        <f t="shared" si="14"/>
        <v/>
      </c>
      <c r="U394" s="38"/>
      <c r="V394" s="38"/>
      <c r="W394" s="38" t="str">
        <f>IF(B394="","",COUNTIFS(Ejecucion[No. Solicitud],Registro!B394,Ejecucion[Estado],"Finalizado"))</f>
        <v/>
      </c>
      <c r="X394" s="38" t="str">
        <f>IF(B394="","",COUNTIFS(Ejecucion[No. Solicitud],Registro!B394,Ejecucion[Estado],"No Iniciado"))</f>
        <v/>
      </c>
      <c r="Y394" s="64" t="str">
        <f>IF(B394="","",COUNTIFS(Ejecucion[No. Solicitud],Registro!B394,Ejecucion[Estado],"En Proceso"))</f>
        <v/>
      </c>
      <c r="Z394" s="64" t="str">
        <f t="shared" si="13"/>
        <v/>
      </c>
      <c r="AA394" s="64"/>
      <c r="AB394" s="64"/>
      <c r="AC394" s="64"/>
      <c r="AD394" s="102"/>
    </row>
    <row r="395" spans="2:30" s="15" customFormat="1">
      <c r="B395" s="36"/>
      <c r="C395" s="102"/>
      <c r="D395" s="36"/>
      <c r="E395" s="22"/>
      <c r="F395" s="83"/>
      <c r="G395" s="83"/>
      <c r="H395" s="25"/>
      <c r="I395" s="25"/>
      <c r="J395" s="25"/>
      <c r="K395" s="25"/>
      <c r="L395" s="54"/>
      <c r="M395" s="36"/>
      <c r="N395" s="36"/>
      <c r="O395" s="102"/>
      <c r="P395" s="36"/>
      <c r="Q395" s="36"/>
      <c r="R395" s="37"/>
      <c r="S395" s="37"/>
      <c r="T395" s="60" t="str">
        <f t="shared" si="14"/>
        <v/>
      </c>
      <c r="U395" s="38"/>
      <c r="V395" s="38"/>
      <c r="W395" s="38" t="str">
        <f>IF(B395="","",COUNTIFS(Ejecucion[No. Solicitud],Registro!B395,Ejecucion[Estado],"Finalizado"))</f>
        <v/>
      </c>
      <c r="X395" s="38" t="str">
        <f>IF(B395="","",COUNTIFS(Ejecucion[No. Solicitud],Registro!B395,Ejecucion[Estado],"No Iniciado"))</f>
        <v/>
      </c>
      <c r="Y395" s="64" t="str">
        <f>IF(B395="","",COUNTIFS(Ejecucion[No. Solicitud],Registro!B395,Ejecucion[Estado],"En Proceso"))</f>
        <v/>
      </c>
      <c r="Z395" s="64" t="str">
        <f t="shared" si="13"/>
        <v/>
      </c>
      <c r="AA395" s="64"/>
      <c r="AB395" s="64"/>
      <c r="AC395" s="64"/>
      <c r="AD395" s="102"/>
    </row>
    <row r="396" spans="2:30" s="15" customFormat="1">
      <c r="B396" s="36"/>
      <c r="C396" s="102"/>
      <c r="D396" s="36"/>
      <c r="E396" s="22"/>
      <c r="F396" s="83"/>
      <c r="G396" s="83"/>
      <c r="H396" s="25"/>
      <c r="I396" s="25"/>
      <c r="J396" s="25"/>
      <c r="K396" s="25"/>
      <c r="L396" s="54"/>
      <c r="M396" s="36"/>
      <c r="N396" s="36"/>
      <c r="O396" s="102"/>
      <c r="P396" s="36"/>
      <c r="Q396" s="36"/>
      <c r="R396" s="37"/>
      <c r="S396" s="37"/>
      <c r="T396" s="60" t="str">
        <f t="shared" si="14"/>
        <v/>
      </c>
      <c r="U396" s="38"/>
      <c r="V396" s="38"/>
      <c r="W396" s="38" t="str">
        <f>IF(B396="","",COUNTIFS(Ejecucion[No. Solicitud],Registro!B396,Ejecucion[Estado],"Finalizado"))</f>
        <v/>
      </c>
      <c r="X396" s="38" t="str">
        <f>IF(B396="","",COUNTIFS(Ejecucion[No. Solicitud],Registro!B396,Ejecucion[Estado],"No Iniciado"))</f>
        <v/>
      </c>
      <c r="Y396" s="64" t="str">
        <f>IF(B396="","",COUNTIFS(Ejecucion[No. Solicitud],Registro!B396,Ejecucion[Estado],"En Proceso"))</f>
        <v/>
      </c>
      <c r="Z396" s="64" t="str">
        <f t="shared" si="13"/>
        <v/>
      </c>
      <c r="AA396" s="64"/>
      <c r="AB396" s="64"/>
      <c r="AC396" s="64"/>
      <c r="AD396" s="102"/>
    </row>
    <row r="397" spans="2:30" s="15" customFormat="1">
      <c r="B397" s="36"/>
      <c r="C397" s="102"/>
      <c r="D397" s="36"/>
      <c r="E397" s="22"/>
      <c r="F397" s="83"/>
      <c r="G397" s="83"/>
      <c r="H397" s="25"/>
      <c r="I397" s="25"/>
      <c r="J397" s="25"/>
      <c r="K397" s="25"/>
      <c r="L397" s="54"/>
      <c r="M397" s="36"/>
      <c r="N397" s="36"/>
      <c r="O397" s="102"/>
      <c r="P397" s="36"/>
      <c r="Q397" s="36"/>
      <c r="R397" s="37"/>
      <c r="S397" s="37"/>
      <c r="T397" s="60" t="str">
        <f t="shared" si="14"/>
        <v/>
      </c>
      <c r="U397" s="38"/>
      <c r="V397" s="38"/>
      <c r="W397" s="38" t="str">
        <f>IF(B397="","",COUNTIFS(Ejecucion[No. Solicitud],Registro!B397,Ejecucion[Estado],"Finalizado"))</f>
        <v/>
      </c>
      <c r="X397" s="38" t="str">
        <f>IF(B397="","",COUNTIFS(Ejecucion[No. Solicitud],Registro!B397,Ejecucion[Estado],"No Iniciado"))</f>
        <v/>
      </c>
      <c r="Y397" s="64" t="str">
        <f>IF(B397="","",COUNTIFS(Ejecucion[No. Solicitud],Registro!B397,Ejecucion[Estado],"En Proceso"))</f>
        <v/>
      </c>
      <c r="Z397" s="64" t="str">
        <f t="shared" si="13"/>
        <v/>
      </c>
      <c r="AA397" s="64"/>
      <c r="AB397" s="64"/>
      <c r="AC397" s="64"/>
      <c r="AD397" s="102"/>
    </row>
    <row r="398" spans="2:30" s="15" customFormat="1">
      <c r="B398" s="36"/>
      <c r="C398" s="102"/>
      <c r="D398" s="36"/>
      <c r="E398" s="22"/>
      <c r="F398" s="83"/>
      <c r="G398" s="83"/>
      <c r="H398" s="25"/>
      <c r="I398" s="25"/>
      <c r="J398" s="25"/>
      <c r="K398" s="25"/>
      <c r="L398" s="54"/>
      <c r="M398" s="36"/>
      <c r="N398" s="36"/>
      <c r="O398" s="102"/>
      <c r="P398" s="36"/>
      <c r="Q398" s="36"/>
      <c r="R398" s="37"/>
      <c r="S398" s="37"/>
      <c r="T398" s="60" t="str">
        <f t="shared" si="14"/>
        <v/>
      </c>
      <c r="U398" s="38"/>
      <c r="V398" s="38"/>
      <c r="W398" s="38" t="str">
        <f>IF(B398="","",COUNTIFS(Ejecucion[No. Solicitud],Registro!B398,Ejecucion[Estado],"Finalizado"))</f>
        <v/>
      </c>
      <c r="X398" s="38" t="str">
        <f>IF(B398="","",COUNTIFS(Ejecucion[No. Solicitud],Registro!B398,Ejecucion[Estado],"No Iniciado"))</f>
        <v/>
      </c>
      <c r="Y398" s="64" t="str">
        <f>IF(B398="","",COUNTIFS(Ejecucion[No. Solicitud],Registro!B398,Ejecucion[Estado],"En Proceso"))</f>
        <v/>
      </c>
      <c r="Z398" s="64" t="str">
        <f t="shared" si="13"/>
        <v/>
      </c>
      <c r="AA398" s="64"/>
      <c r="AB398" s="64"/>
      <c r="AC398" s="64"/>
      <c r="AD398" s="102"/>
    </row>
    <row r="399" spans="2:30" s="15" customFormat="1">
      <c r="B399" s="36"/>
      <c r="C399" s="102"/>
      <c r="D399" s="36"/>
      <c r="E399" s="22"/>
      <c r="F399" s="83"/>
      <c r="G399" s="83"/>
      <c r="H399" s="25"/>
      <c r="I399" s="25"/>
      <c r="J399" s="25"/>
      <c r="K399" s="25"/>
      <c r="L399" s="54"/>
      <c r="M399" s="36"/>
      <c r="N399" s="36"/>
      <c r="O399" s="102"/>
      <c r="P399" s="36"/>
      <c r="Q399" s="36"/>
      <c r="R399" s="37"/>
      <c r="S399" s="37"/>
      <c r="T399" s="60" t="str">
        <f t="shared" si="14"/>
        <v/>
      </c>
      <c r="U399" s="38"/>
      <c r="V399" s="38"/>
      <c r="W399" s="38" t="str">
        <f>IF(B399="","",COUNTIFS(Ejecucion[No. Solicitud],Registro!B399,Ejecucion[Estado],"Finalizado"))</f>
        <v/>
      </c>
      <c r="X399" s="38" t="str">
        <f>IF(B399="","",COUNTIFS(Ejecucion[No. Solicitud],Registro!B399,Ejecucion[Estado],"No Iniciado"))</f>
        <v/>
      </c>
      <c r="Y399" s="64" t="str">
        <f>IF(B399="","",COUNTIFS(Ejecucion[No. Solicitud],Registro!B399,Ejecucion[Estado],"En Proceso"))</f>
        <v/>
      </c>
      <c r="Z399" s="64" t="str">
        <f t="shared" si="13"/>
        <v/>
      </c>
      <c r="AA399" s="64"/>
      <c r="AB399" s="64"/>
      <c r="AC399" s="64"/>
      <c r="AD399" s="102"/>
    </row>
    <row r="400" spans="2:30" s="15" customFormat="1">
      <c r="B400" s="36"/>
      <c r="C400" s="102"/>
      <c r="D400" s="36"/>
      <c r="E400" s="22"/>
      <c r="F400" s="83"/>
      <c r="G400" s="83"/>
      <c r="H400" s="25"/>
      <c r="I400" s="25"/>
      <c r="J400" s="25"/>
      <c r="K400" s="25"/>
      <c r="L400" s="54"/>
      <c r="M400" s="36"/>
      <c r="N400" s="36"/>
      <c r="O400" s="102"/>
      <c r="P400" s="36"/>
      <c r="Q400" s="36"/>
      <c r="R400" s="37"/>
      <c r="S400" s="37"/>
      <c r="T400" s="60" t="str">
        <f t="shared" si="14"/>
        <v/>
      </c>
      <c r="U400" s="38"/>
      <c r="V400" s="38"/>
      <c r="W400" s="38" t="str">
        <f>IF(B400="","",COUNTIFS(Ejecucion[No. Solicitud],Registro!B400,Ejecucion[Estado],"Finalizado"))</f>
        <v/>
      </c>
      <c r="X400" s="38" t="str">
        <f>IF(B400="","",COUNTIFS(Ejecucion[No. Solicitud],Registro!B400,Ejecucion[Estado],"No Iniciado"))</f>
        <v/>
      </c>
      <c r="Y400" s="64" t="str">
        <f>IF(B400="","",COUNTIFS(Ejecucion[No. Solicitud],Registro!B400,Ejecucion[Estado],"En Proceso"))</f>
        <v/>
      </c>
      <c r="Z400" s="64" t="str">
        <f t="shared" si="13"/>
        <v/>
      </c>
      <c r="AA400" s="64"/>
      <c r="AB400" s="64"/>
      <c r="AC400" s="64"/>
      <c r="AD400" s="102"/>
    </row>
    <row r="401" spans="2:30" s="15" customFormat="1">
      <c r="B401" s="36"/>
      <c r="C401" s="102"/>
      <c r="D401" s="36"/>
      <c r="E401" s="22"/>
      <c r="F401" s="83"/>
      <c r="G401" s="83"/>
      <c r="H401" s="25"/>
      <c r="I401" s="25"/>
      <c r="J401" s="25"/>
      <c r="K401" s="25"/>
      <c r="L401" s="54"/>
      <c r="M401" s="36"/>
      <c r="N401" s="36"/>
      <c r="O401" s="102"/>
      <c r="P401" s="36"/>
      <c r="Q401" s="36"/>
      <c r="R401" s="37"/>
      <c r="S401" s="37"/>
      <c r="T401" s="60" t="str">
        <f t="shared" si="14"/>
        <v/>
      </c>
      <c r="U401" s="38"/>
      <c r="V401" s="38"/>
      <c r="W401" s="38" t="str">
        <f>IF(B401="","",COUNTIFS(Ejecucion[No. Solicitud],Registro!B401,Ejecucion[Estado],"Finalizado"))</f>
        <v/>
      </c>
      <c r="X401" s="38" t="str">
        <f>IF(B401="","",COUNTIFS(Ejecucion[No. Solicitud],Registro!B401,Ejecucion[Estado],"No Iniciado"))</f>
        <v/>
      </c>
      <c r="Y401" s="64" t="str">
        <f>IF(B401="","",COUNTIFS(Ejecucion[No. Solicitud],Registro!B401,Ejecucion[Estado],"En Proceso"))</f>
        <v/>
      </c>
      <c r="Z401" s="64" t="str">
        <f t="shared" si="13"/>
        <v/>
      </c>
      <c r="AA401" s="64"/>
      <c r="AB401" s="64"/>
      <c r="AC401" s="64"/>
      <c r="AD401" s="102"/>
    </row>
    <row r="402" spans="2:30" s="15" customFormat="1">
      <c r="B402" s="36"/>
      <c r="C402" s="102"/>
      <c r="D402" s="36"/>
      <c r="E402" s="22"/>
      <c r="F402" s="83"/>
      <c r="G402" s="83"/>
      <c r="H402" s="25"/>
      <c r="I402" s="25"/>
      <c r="J402" s="25"/>
      <c r="K402" s="25"/>
      <c r="L402" s="54"/>
      <c r="M402" s="36"/>
      <c r="N402" s="36"/>
      <c r="O402" s="102"/>
      <c r="P402" s="36"/>
      <c r="Q402" s="36"/>
      <c r="R402" s="37"/>
      <c r="S402" s="37"/>
      <c r="T402" s="60" t="str">
        <f t="shared" si="14"/>
        <v/>
      </c>
      <c r="U402" s="38"/>
      <c r="V402" s="38"/>
      <c r="W402" s="38" t="str">
        <f>IF(B402="","",COUNTIFS(Ejecucion[No. Solicitud],Registro!B402,Ejecucion[Estado],"Finalizado"))</f>
        <v/>
      </c>
      <c r="X402" s="38" t="str">
        <f>IF(B402="","",COUNTIFS(Ejecucion[No. Solicitud],Registro!B402,Ejecucion[Estado],"No Iniciado"))</f>
        <v/>
      </c>
      <c r="Y402" s="64" t="str">
        <f>IF(B402="","",COUNTIFS(Ejecucion[No. Solicitud],Registro!B402,Ejecucion[Estado],"En Proceso"))</f>
        <v/>
      </c>
      <c r="Z402" s="64" t="str">
        <f t="shared" si="13"/>
        <v/>
      </c>
      <c r="AA402" s="64"/>
      <c r="AB402" s="64"/>
      <c r="AC402" s="64"/>
      <c r="AD402" s="102"/>
    </row>
    <row r="403" spans="2:30" s="15" customFormat="1">
      <c r="B403" s="36"/>
      <c r="C403" s="102"/>
      <c r="D403" s="36"/>
      <c r="E403" s="22"/>
      <c r="F403" s="83"/>
      <c r="G403" s="83"/>
      <c r="H403" s="25"/>
      <c r="I403" s="25"/>
      <c r="J403" s="25"/>
      <c r="K403" s="25"/>
      <c r="L403" s="54"/>
      <c r="M403" s="36"/>
      <c r="N403" s="36"/>
      <c r="O403" s="102"/>
      <c r="P403" s="36"/>
      <c r="Q403" s="36"/>
      <c r="R403" s="37"/>
      <c r="S403" s="37"/>
      <c r="T403" s="60" t="str">
        <f t="shared" si="14"/>
        <v/>
      </c>
      <c r="U403" s="38"/>
      <c r="V403" s="38"/>
      <c r="W403" s="38" t="str">
        <f>IF(B403="","",COUNTIFS(Ejecucion[No. Solicitud],Registro!B403,Ejecucion[Estado],"Finalizado"))</f>
        <v/>
      </c>
      <c r="X403" s="38" t="str">
        <f>IF(B403="","",COUNTIFS(Ejecucion[No. Solicitud],Registro!B403,Ejecucion[Estado],"No Iniciado"))</f>
        <v/>
      </c>
      <c r="Y403" s="64" t="str">
        <f>IF(B403="","",COUNTIFS(Ejecucion[No. Solicitud],Registro!B403,Ejecucion[Estado],"En Proceso"))</f>
        <v/>
      </c>
      <c r="Z403" s="64" t="str">
        <f t="shared" si="13"/>
        <v/>
      </c>
      <c r="AA403" s="64"/>
      <c r="AB403" s="64"/>
      <c r="AC403" s="64"/>
      <c r="AD403" s="102"/>
    </row>
    <row r="404" spans="2:30" s="15" customFormat="1">
      <c r="B404" s="36"/>
      <c r="C404" s="102"/>
      <c r="D404" s="36"/>
      <c r="E404" s="22"/>
      <c r="F404" s="83"/>
      <c r="G404" s="83"/>
      <c r="H404" s="25"/>
      <c r="I404" s="25"/>
      <c r="J404" s="25"/>
      <c r="K404" s="25"/>
      <c r="L404" s="54"/>
      <c r="M404" s="36"/>
      <c r="N404" s="36"/>
      <c r="O404" s="102"/>
      <c r="P404" s="36"/>
      <c r="Q404" s="36"/>
      <c r="R404" s="37"/>
      <c r="S404" s="37"/>
      <c r="T404" s="60" t="str">
        <f t="shared" si="14"/>
        <v/>
      </c>
      <c r="U404" s="38"/>
      <c r="V404" s="38"/>
      <c r="W404" s="38" t="str">
        <f>IF(B404="","",COUNTIFS(Ejecucion[No. Solicitud],Registro!B404,Ejecucion[Estado],"Finalizado"))</f>
        <v/>
      </c>
      <c r="X404" s="38" t="str">
        <f>IF(B404="","",COUNTIFS(Ejecucion[No. Solicitud],Registro!B404,Ejecucion[Estado],"No Iniciado"))</f>
        <v/>
      </c>
      <c r="Y404" s="64" t="str">
        <f>IF(B404="","",COUNTIFS(Ejecucion[No. Solicitud],Registro!B404,Ejecucion[Estado],"En Proceso"))</f>
        <v/>
      </c>
      <c r="Z404" s="64" t="str">
        <f t="shared" si="13"/>
        <v/>
      </c>
      <c r="AA404" s="64"/>
      <c r="AB404" s="64"/>
      <c r="AC404" s="64"/>
      <c r="AD404" s="102"/>
    </row>
    <row r="405" spans="2:30" s="15" customFormat="1">
      <c r="B405" s="36"/>
      <c r="C405" s="102"/>
      <c r="D405" s="36"/>
      <c r="E405" s="22"/>
      <c r="F405" s="83"/>
      <c r="G405" s="83"/>
      <c r="H405" s="25"/>
      <c r="I405" s="25"/>
      <c r="J405" s="25"/>
      <c r="K405" s="25"/>
      <c r="L405" s="54"/>
      <c r="M405" s="36"/>
      <c r="N405" s="36"/>
      <c r="O405" s="102"/>
      <c r="P405" s="36"/>
      <c r="Q405" s="36"/>
      <c r="R405" s="37"/>
      <c r="S405" s="37"/>
      <c r="T405" s="60" t="str">
        <f t="shared" si="14"/>
        <v/>
      </c>
      <c r="U405" s="38"/>
      <c r="V405" s="38"/>
      <c r="W405" s="38" t="str">
        <f>IF(B405="","",COUNTIFS(Ejecucion[No. Solicitud],Registro!B405,Ejecucion[Estado],"Finalizado"))</f>
        <v/>
      </c>
      <c r="X405" s="38" t="str">
        <f>IF(B405="","",COUNTIFS(Ejecucion[No. Solicitud],Registro!B405,Ejecucion[Estado],"No Iniciado"))</f>
        <v/>
      </c>
      <c r="Y405" s="64" t="str">
        <f>IF(B405="","",COUNTIFS(Ejecucion[No. Solicitud],Registro!B405,Ejecucion[Estado],"En Proceso"))</f>
        <v/>
      </c>
      <c r="Z405" s="64" t="str">
        <f t="shared" si="13"/>
        <v/>
      </c>
      <c r="AA405" s="64"/>
      <c r="AB405" s="64"/>
      <c r="AC405" s="64"/>
      <c r="AD405" s="102"/>
    </row>
    <row r="406" spans="2:30" s="15" customFormat="1">
      <c r="B406" s="36"/>
      <c r="C406" s="102"/>
      <c r="D406" s="36"/>
      <c r="E406" s="22"/>
      <c r="F406" s="83"/>
      <c r="G406" s="83"/>
      <c r="H406" s="25"/>
      <c r="I406" s="25"/>
      <c r="J406" s="25"/>
      <c r="K406" s="25"/>
      <c r="L406" s="54"/>
      <c r="M406" s="36"/>
      <c r="N406" s="36"/>
      <c r="O406" s="102"/>
      <c r="P406" s="36"/>
      <c r="Q406" s="36"/>
      <c r="R406" s="37"/>
      <c r="S406" s="37"/>
      <c r="T406" s="60" t="str">
        <f t="shared" si="14"/>
        <v/>
      </c>
      <c r="U406" s="38"/>
      <c r="V406" s="38"/>
      <c r="W406" s="38" t="str">
        <f>IF(B406="","",COUNTIFS(Ejecucion[No. Solicitud],Registro!B406,Ejecucion[Estado],"Finalizado"))</f>
        <v/>
      </c>
      <c r="X406" s="38" t="str">
        <f>IF(B406="","",COUNTIFS(Ejecucion[No. Solicitud],Registro!B406,Ejecucion[Estado],"No Iniciado"))</f>
        <v/>
      </c>
      <c r="Y406" s="64" t="str">
        <f>IF(B406="","",COUNTIFS(Ejecucion[No. Solicitud],Registro!B406,Ejecucion[Estado],"En Proceso"))</f>
        <v/>
      </c>
      <c r="Z406" s="64" t="str">
        <f t="shared" si="13"/>
        <v/>
      </c>
      <c r="AA406" s="64"/>
      <c r="AB406" s="64"/>
      <c r="AC406" s="64"/>
      <c r="AD406" s="102"/>
    </row>
    <row r="407" spans="2:30" s="15" customFormat="1">
      <c r="B407" s="36"/>
      <c r="C407" s="102"/>
      <c r="D407" s="36"/>
      <c r="E407" s="22"/>
      <c r="F407" s="83"/>
      <c r="G407" s="83"/>
      <c r="H407" s="25"/>
      <c r="I407" s="25"/>
      <c r="J407" s="25"/>
      <c r="K407" s="25"/>
      <c r="L407" s="54"/>
      <c r="M407" s="36"/>
      <c r="N407" s="36"/>
      <c r="O407" s="102"/>
      <c r="P407" s="36"/>
      <c r="Q407" s="36"/>
      <c r="R407" s="37"/>
      <c r="S407" s="37"/>
      <c r="T407" s="60" t="str">
        <f t="shared" si="14"/>
        <v/>
      </c>
      <c r="U407" s="38"/>
      <c r="V407" s="38"/>
      <c r="W407" s="38" t="str">
        <f>IF(B407="","",COUNTIFS(Ejecucion[No. Solicitud],Registro!B407,Ejecucion[Estado],"Finalizado"))</f>
        <v/>
      </c>
      <c r="X407" s="38" t="str">
        <f>IF(B407="","",COUNTIFS(Ejecucion[No. Solicitud],Registro!B407,Ejecucion[Estado],"No Iniciado"))</f>
        <v/>
      </c>
      <c r="Y407" s="64" t="str">
        <f>IF(B407="","",COUNTIFS(Ejecucion[No. Solicitud],Registro!B407,Ejecucion[Estado],"En Proceso"))</f>
        <v/>
      </c>
      <c r="Z407" s="64" t="str">
        <f t="shared" si="13"/>
        <v/>
      </c>
      <c r="AA407" s="64"/>
      <c r="AB407" s="64"/>
      <c r="AC407" s="64"/>
      <c r="AD407" s="102"/>
    </row>
    <row r="408" spans="2:30" s="15" customFormat="1">
      <c r="B408" s="36"/>
      <c r="C408" s="102"/>
      <c r="D408" s="36"/>
      <c r="E408" s="22"/>
      <c r="F408" s="83"/>
      <c r="G408" s="83"/>
      <c r="H408" s="25"/>
      <c r="I408" s="25"/>
      <c r="J408" s="25"/>
      <c r="K408" s="25"/>
      <c r="L408" s="54"/>
      <c r="M408" s="36"/>
      <c r="N408" s="36"/>
      <c r="O408" s="102"/>
      <c r="P408" s="36"/>
      <c r="Q408" s="36"/>
      <c r="R408" s="37"/>
      <c r="S408" s="37"/>
      <c r="T408" s="60" t="str">
        <f t="shared" si="14"/>
        <v/>
      </c>
      <c r="U408" s="38"/>
      <c r="V408" s="38"/>
      <c r="W408" s="38" t="str">
        <f>IF(B408="","",COUNTIFS(Ejecucion[No. Solicitud],Registro!B408,Ejecucion[Estado],"Finalizado"))</f>
        <v/>
      </c>
      <c r="X408" s="38" t="str">
        <f>IF(B408="","",COUNTIFS(Ejecucion[No. Solicitud],Registro!B408,Ejecucion[Estado],"No Iniciado"))</f>
        <v/>
      </c>
      <c r="Y408" s="64" t="str">
        <f>IF(B408="","",COUNTIFS(Ejecucion[No. Solicitud],Registro!B408,Ejecucion[Estado],"En Proceso"))</f>
        <v/>
      </c>
      <c r="Z408" s="64" t="str">
        <f t="shared" si="13"/>
        <v/>
      </c>
      <c r="AA408" s="64"/>
      <c r="AB408" s="64"/>
      <c r="AC408" s="64"/>
      <c r="AD408" s="102"/>
    </row>
    <row r="409" spans="2:30" s="15" customFormat="1">
      <c r="B409" s="36"/>
      <c r="C409" s="102"/>
      <c r="D409" s="36"/>
      <c r="E409" s="22"/>
      <c r="F409" s="83"/>
      <c r="G409" s="83"/>
      <c r="H409" s="25"/>
      <c r="I409" s="25"/>
      <c r="J409" s="25"/>
      <c r="K409" s="25"/>
      <c r="L409" s="54"/>
      <c r="M409" s="36"/>
      <c r="N409" s="36"/>
      <c r="O409" s="102"/>
      <c r="P409" s="36"/>
      <c r="Q409" s="36"/>
      <c r="R409" s="37"/>
      <c r="S409" s="37"/>
      <c r="T409" s="60" t="str">
        <f t="shared" si="14"/>
        <v/>
      </c>
      <c r="U409" s="38"/>
      <c r="V409" s="38"/>
      <c r="W409" s="38" t="str">
        <f>IF(B409="","",COUNTIFS(Ejecucion[No. Solicitud],Registro!B409,Ejecucion[Estado],"Finalizado"))</f>
        <v/>
      </c>
      <c r="X409" s="38" t="str">
        <f>IF(B409="","",COUNTIFS(Ejecucion[No. Solicitud],Registro!B409,Ejecucion[Estado],"No Iniciado"))</f>
        <v/>
      </c>
      <c r="Y409" s="64" t="str">
        <f>IF(B409="","",COUNTIFS(Ejecucion[No. Solicitud],Registro!B409,Ejecucion[Estado],"En Proceso"))</f>
        <v/>
      </c>
      <c r="Z409" s="64" t="str">
        <f t="shared" si="13"/>
        <v/>
      </c>
      <c r="AA409" s="64"/>
      <c r="AB409" s="64"/>
      <c r="AC409" s="64"/>
      <c r="AD409" s="102"/>
    </row>
    <row r="410" spans="2:30" s="15" customFormat="1">
      <c r="B410" s="36"/>
      <c r="C410" s="102"/>
      <c r="D410" s="36"/>
      <c r="E410" s="22"/>
      <c r="F410" s="83"/>
      <c r="G410" s="83"/>
      <c r="H410" s="25"/>
      <c r="I410" s="25"/>
      <c r="J410" s="25"/>
      <c r="K410" s="25"/>
      <c r="L410" s="54"/>
      <c r="M410" s="36"/>
      <c r="N410" s="36"/>
      <c r="O410" s="102"/>
      <c r="P410" s="36"/>
      <c r="Q410" s="36"/>
      <c r="R410" s="37"/>
      <c r="S410" s="37"/>
      <c r="T410" s="60" t="str">
        <f t="shared" si="14"/>
        <v/>
      </c>
      <c r="U410" s="38"/>
      <c r="V410" s="38"/>
      <c r="W410" s="38" t="str">
        <f>IF(B410="","",COUNTIFS(Ejecucion[No. Solicitud],Registro!B410,Ejecucion[Estado],"Finalizado"))</f>
        <v/>
      </c>
      <c r="X410" s="38" t="str">
        <f>IF(B410="","",COUNTIFS(Ejecucion[No. Solicitud],Registro!B410,Ejecucion[Estado],"No Iniciado"))</f>
        <v/>
      </c>
      <c r="Y410" s="64" t="str">
        <f>IF(B410="","",COUNTIFS(Ejecucion[No. Solicitud],Registro!B410,Ejecucion[Estado],"En Proceso"))</f>
        <v/>
      </c>
      <c r="Z410" s="64" t="str">
        <f t="shared" ref="Z410:Z473" si="15">IF(U410="","",IF(F410="Virtual Asincrónico",1,V410*U410))</f>
        <v/>
      </c>
      <c r="AA410" s="64"/>
      <c r="AB410" s="64"/>
      <c r="AC410" s="64"/>
      <c r="AD410" s="102"/>
    </row>
    <row r="411" spans="2:30" s="15" customFormat="1">
      <c r="B411" s="18"/>
      <c r="C411" s="25"/>
      <c r="D411" s="18"/>
      <c r="E411" s="22"/>
      <c r="F411" s="83"/>
      <c r="G411" s="83"/>
      <c r="H411" s="25"/>
      <c r="I411" s="25"/>
      <c r="J411" s="25"/>
      <c r="K411" s="25"/>
      <c r="L411" s="54"/>
      <c r="M411" s="18"/>
      <c r="N411" s="18"/>
      <c r="O411" s="25"/>
      <c r="P411" s="18"/>
      <c r="Q411" s="18"/>
      <c r="R411" s="37"/>
      <c r="S411" s="37"/>
      <c r="T411" s="60" t="str">
        <f t="shared" si="14"/>
        <v/>
      </c>
      <c r="U411" s="38"/>
      <c r="V411" s="38"/>
      <c r="W411" s="38" t="str">
        <f>IF(B411="","",COUNTIFS(Ejecucion[No. Solicitud],Registro!B411,Ejecucion[Estado],"Finalizado"))</f>
        <v/>
      </c>
      <c r="X411" s="38" t="str">
        <f>IF(B411="","",COUNTIFS(Ejecucion[No. Solicitud],Registro!B411,Ejecucion[Estado],"No Iniciado"))</f>
        <v/>
      </c>
      <c r="Y411" s="64" t="str">
        <f>IF(B411="","",COUNTIFS(Ejecucion[No. Solicitud],Registro!B411,Ejecucion[Estado],"En Proceso"))</f>
        <v/>
      </c>
      <c r="Z411" s="64" t="str">
        <f t="shared" si="15"/>
        <v/>
      </c>
      <c r="AA411" s="64"/>
      <c r="AB411" s="64"/>
      <c r="AC411" s="64"/>
      <c r="AD411" s="102"/>
    </row>
    <row r="412" spans="2:30" s="15" customFormat="1">
      <c r="B412" s="18"/>
      <c r="C412" s="25"/>
      <c r="D412" s="18"/>
      <c r="E412" s="22"/>
      <c r="F412" s="83"/>
      <c r="G412" s="83"/>
      <c r="H412" s="25"/>
      <c r="I412" s="25"/>
      <c r="J412" s="25"/>
      <c r="K412" s="25"/>
      <c r="L412" s="54"/>
      <c r="M412" s="18"/>
      <c r="N412" s="18"/>
      <c r="O412" s="25"/>
      <c r="P412" s="18"/>
      <c r="Q412" s="18"/>
      <c r="R412" s="37"/>
      <c r="S412" s="37"/>
      <c r="T412" s="60" t="str">
        <f t="shared" si="14"/>
        <v/>
      </c>
      <c r="U412" s="38"/>
      <c r="V412" s="38"/>
      <c r="W412" s="38" t="str">
        <f>IF(B412="","",COUNTIFS(Ejecucion[No. Solicitud],Registro!B412,Ejecucion[Estado],"Finalizado"))</f>
        <v/>
      </c>
      <c r="X412" s="38" t="str">
        <f>IF(B412="","",COUNTIFS(Ejecucion[No. Solicitud],Registro!B412,Ejecucion[Estado],"No Iniciado"))</f>
        <v/>
      </c>
      <c r="Y412" s="64" t="str">
        <f>IF(B412="","",COUNTIFS(Ejecucion[No. Solicitud],Registro!B412,Ejecucion[Estado],"En Proceso"))</f>
        <v/>
      </c>
      <c r="Z412" s="64" t="str">
        <f t="shared" si="15"/>
        <v/>
      </c>
      <c r="AA412" s="64"/>
      <c r="AB412" s="64"/>
      <c r="AC412" s="64"/>
      <c r="AD412" s="102"/>
    </row>
    <row r="413" spans="2:30" s="15" customFormat="1">
      <c r="B413" s="18"/>
      <c r="C413" s="25"/>
      <c r="D413" s="18"/>
      <c r="E413" s="22"/>
      <c r="F413" s="83"/>
      <c r="G413" s="83"/>
      <c r="H413" s="25"/>
      <c r="I413" s="25"/>
      <c r="J413" s="25"/>
      <c r="K413" s="25"/>
      <c r="L413" s="54"/>
      <c r="M413" s="18"/>
      <c r="N413" s="18"/>
      <c r="O413" s="25"/>
      <c r="P413" s="18"/>
      <c r="Q413" s="18"/>
      <c r="R413" s="37"/>
      <c r="S413" s="37"/>
      <c r="T413" s="60" t="str">
        <f t="shared" si="14"/>
        <v/>
      </c>
      <c r="U413" s="38"/>
      <c r="V413" s="38"/>
      <c r="W413" s="38" t="str">
        <f>IF(B413="","",COUNTIFS(Ejecucion[No. Solicitud],Registro!B413,Ejecucion[Estado],"Finalizado"))</f>
        <v/>
      </c>
      <c r="X413" s="38" t="str">
        <f>IF(B413="","",COUNTIFS(Ejecucion[No. Solicitud],Registro!B413,Ejecucion[Estado],"No Iniciado"))</f>
        <v/>
      </c>
      <c r="Y413" s="64" t="str">
        <f>IF(B413="","",COUNTIFS(Ejecucion[No. Solicitud],Registro!B413,Ejecucion[Estado],"En Proceso"))</f>
        <v/>
      </c>
      <c r="Z413" s="64" t="str">
        <f t="shared" si="15"/>
        <v/>
      </c>
      <c r="AA413" s="64"/>
      <c r="AB413" s="64"/>
      <c r="AC413" s="64"/>
      <c r="AD413" s="102"/>
    </row>
    <row r="414" spans="2:30" s="15" customFormat="1">
      <c r="B414" s="18"/>
      <c r="C414" s="25"/>
      <c r="D414" s="18"/>
      <c r="E414" s="22"/>
      <c r="F414" s="83"/>
      <c r="G414" s="83"/>
      <c r="H414" s="25"/>
      <c r="I414" s="25"/>
      <c r="J414" s="25"/>
      <c r="K414" s="25"/>
      <c r="L414" s="36"/>
      <c r="M414" s="18"/>
      <c r="N414" s="18"/>
      <c r="O414" s="25"/>
      <c r="P414" s="18"/>
      <c r="Q414" s="18"/>
      <c r="R414" s="37"/>
      <c r="S414" s="37"/>
      <c r="T414" s="60" t="str">
        <f t="shared" si="14"/>
        <v/>
      </c>
      <c r="U414" s="38"/>
      <c r="V414" s="38"/>
      <c r="W414" s="38" t="str">
        <f>IF(B414="","",COUNTIFS(Ejecucion[No. Solicitud],Registro!B414,Ejecucion[Estado],"Finalizado"))</f>
        <v/>
      </c>
      <c r="X414" s="38" t="str">
        <f>IF(B414="","",COUNTIFS(Ejecucion[No. Solicitud],Registro!B414,Ejecucion[Estado],"No Iniciado"))</f>
        <v/>
      </c>
      <c r="Y414" s="64" t="str">
        <f>IF(B414="","",COUNTIFS(Ejecucion[No. Solicitud],Registro!B414,Ejecucion[Estado],"En Proceso"))</f>
        <v/>
      </c>
      <c r="Z414" s="64" t="str">
        <f t="shared" si="15"/>
        <v/>
      </c>
      <c r="AA414" s="64"/>
      <c r="AB414" s="64"/>
      <c r="AC414" s="64"/>
      <c r="AD414" s="102"/>
    </row>
    <row r="415" spans="2:30" s="15" customFormat="1">
      <c r="B415" s="18"/>
      <c r="C415" s="25"/>
      <c r="D415" s="18"/>
      <c r="E415" s="22"/>
      <c r="F415" s="83"/>
      <c r="G415" s="83"/>
      <c r="H415" s="25"/>
      <c r="I415" s="25"/>
      <c r="J415" s="25"/>
      <c r="K415" s="25"/>
      <c r="L415" s="36"/>
      <c r="M415" s="18"/>
      <c r="N415" s="18"/>
      <c r="O415" s="25"/>
      <c r="P415" s="18"/>
      <c r="Q415" s="18"/>
      <c r="R415" s="37"/>
      <c r="S415" s="37"/>
      <c r="T415" s="60" t="str">
        <f t="shared" si="14"/>
        <v/>
      </c>
      <c r="U415" s="38"/>
      <c r="V415" s="38"/>
      <c r="W415" s="38" t="str">
        <f>IF(B415="","",COUNTIFS(Ejecucion[No. Solicitud],Registro!B415,Ejecucion[Estado],"Finalizado"))</f>
        <v/>
      </c>
      <c r="X415" s="38" t="str">
        <f>IF(B415="","",COUNTIFS(Ejecucion[No. Solicitud],Registro!B415,Ejecucion[Estado],"No Iniciado"))</f>
        <v/>
      </c>
      <c r="Y415" s="64" t="str">
        <f>IF(B415="","",COUNTIFS(Ejecucion[No. Solicitud],Registro!B415,Ejecucion[Estado],"En Proceso"))</f>
        <v/>
      </c>
      <c r="Z415" s="64" t="str">
        <f t="shared" si="15"/>
        <v/>
      </c>
      <c r="AA415" s="64"/>
      <c r="AB415" s="64"/>
      <c r="AC415" s="64"/>
      <c r="AD415" s="102"/>
    </row>
    <row r="416" spans="2:30" s="15" customFormat="1">
      <c r="B416" s="18"/>
      <c r="C416" s="25"/>
      <c r="D416" s="18"/>
      <c r="E416" s="22"/>
      <c r="F416" s="83"/>
      <c r="G416" s="83"/>
      <c r="H416" s="25"/>
      <c r="I416" s="25"/>
      <c r="J416" s="25"/>
      <c r="K416" s="25"/>
      <c r="L416" s="36"/>
      <c r="M416" s="18"/>
      <c r="N416" s="18"/>
      <c r="O416" s="25"/>
      <c r="P416" s="18"/>
      <c r="Q416" s="18"/>
      <c r="R416" s="37"/>
      <c r="S416" s="37"/>
      <c r="T416" s="60" t="str">
        <f t="shared" si="14"/>
        <v/>
      </c>
      <c r="U416" s="38"/>
      <c r="V416" s="38"/>
      <c r="W416" s="38" t="str">
        <f>IF(B416="","",COUNTIFS(Ejecucion[No. Solicitud],Registro!B416,Ejecucion[Estado],"Finalizado"))</f>
        <v/>
      </c>
      <c r="X416" s="38" t="str">
        <f>IF(B416="","",COUNTIFS(Ejecucion[No. Solicitud],Registro!B416,Ejecucion[Estado],"No Iniciado"))</f>
        <v/>
      </c>
      <c r="Y416" s="64" t="str">
        <f>IF(B416="","",COUNTIFS(Ejecucion[No. Solicitud],Registro!B416,Ejecucion[Estado],"En Proceso"))</f>
        <v/>
      </c>
      <c r="Z416" s="64" t="str">
        <f t="shared" si="15"/>
        <v/>
      </c>
      <c r="AA416" s="64"/>
      <c r="AB416" s="64"/>
      <c r="AC416" s="64"/>
      <c r="AD416" s="102"/>
    </row>
    <row r="417" spans="2:30" s="15" customFormat="1">
      <c r="B417" s="18"/>
      <c r="C417" s="25"/>
      <c r="D417" s="18"/>
      <c r="E417" s="22"/>
      <c r="F417" s="83"/>
      <c r="G417" s="83"/>
      <c r="H417" s="25"/>
      <c r="I417" s="25"/>
      <c r="J417" s="25"/>
      <c r="K417" s="25"/>
      <c r="L417" s="36"/>
      <c r="M417" s="18"/>
      <c r="N417" s="18"/>
      <c r="O417" s="25"/>
      <c r="P417" s="18"/>
      <c r="Q417" s="18"/>
      <c r="R417" s="37"/>
      <c r="S417" s="37"/>
      <c r="T417" s="60" t="str">
        <f t="shared" si="14"/>
        <v/>
      </c>
      <c r="U417" s="38"/>
      <c r="V417" s="38"/>
      <c r="W417" s="38" t="str">
        <f>IF(B417="","",COUNTIFS(Ejecucion[No. Solicitud],Registro!B417,Ejecucion[Estado],"Finalizado"))</f>
        <v/>
      </c>
      <c r="X417" s="38" t="str">
        <f>IF(B417="","",COUNTIFS(Ejecucion[No. Solicitud],Registro!B417,Ejecucion[Estado],"No Iniciado"))</f>
        <v/>
      </c>
      <c r="Y417" s="64" t="str">
        <f>IF(B417="","",COUNTIFS(Ejecucion[No. Solicitud],Registro!B417,Ejecucion[Estado],"En Proceso"))</f>
        <v/>
      </c>
      <c r="Z417" s="64" t="str">
        <f t="shared" si="15"/>
        <v/>
      </c>
      <c r="AA417" s="64"/>
      <c r="AB417" s="64"/>
      <c r="AC417" s="64"/>
      <c r="AD417" s="102"/>
    </row>
    <row r="418" spans="2:30" s="15" customFormat="1">
      <c r="B418" s="18"/>
      <c r="C418" s="25"/>
      <c r="D418" s="18"/>
      <c r="E418" s="22"/>
      <c r="F418" s="83"/>
      <c r="G418" s="83"/>
      <c r="H418" s="25"/>
      <c r="I418" s="25"/>
      <c r="J418" s="25"/>
      <c r="K418" s="25"/>
      <c r="L418" s="36"/>
      <c r="M418" s="18"/>
      <c r="N418" s="18"/>
      <c r="O418" s="25"/>
      <c r="P418" s="18"/>
      <c r="Q418" s="18"/>
      <c r="R418" s="37"/>
      <c r="S418" s="37"/>
      <c r="T418" s="60" t="str">
        <f t="shared" si="14"/>
        <v/>
      </c>
      <c r="U418" s="38"/>
      <c r="V418" s="38"/>
      <c r="W418" s="38" t="str">
        <f>IF(B418="","",COUNTIFS(Ejecucion[No. Solicitud],Registro!B418,Ejecucion[Estado],"Finalizado"))</f>
        <v/>
      </c>
      <c r="X418" s="38" t="str">
        <f>IF(B418="","",COUNTIFS(Ejecucion[No. Solicitud],Registro!B418,Ejecucion[Estado],"No Iniciado"))</f>
        <v/>
      </c>
      <c r="Y418" s="64" t="str">
        <f>IF(B418="","",COUNTIFS(Ejecucion[No. Solicitud],Registro!B418,Ejecucion[Estado],"En Proceso"))</f>
        <v/>
      </c>
      <c r="Z418" s="64" t="str">
        <f t="shared" si="15"/>
        <v/>
      </c>
      <c r="AA418" s="64"/>
      <c r="AB418" s="64"/>
      <c r="AC418" s="64"/>
      <c r="AD418" s="102"/>
    </row>
    <row r="419" spans="2:30" s="15" customFormat="1">
      <c r="B419" s="18"/>
      <c r="C419" s="25"/>
      <c r="D419" s="18"/>
      <c r="E419" s="22"/>
      <c r="F419" s="83"/>
      <c r="G419" s="83"/>
      <c r="H419" s="25"/>
      <c r="I419" s="25"/>
      <c r="J419" s="25"/>
      <c r="K419" s="25"/>
      <c r="L419" s="36"/>
      <c r="M419" s="18"/>
      <c r="N419" s="18"/>
      <c r="O419" s="25"/>
      <c r="P419" s="18"/>
      <c r="Q419" s="18"/>
      <c r="R419" s="37"/>
      <c r="S419" s="37"/>
      <c r="T419" s="60" t="str">
        <f t="shared" si="14"/>
        <v/>
      </c>
      <c r="U419" s="38"/>
      <c r="V419" s="38"/>
      <c r="W419" s="38" t="str">
        <f>IF(B419="","",COUNTIFS(Ejecucion[No. Solicitud],Registro!B419,Ejecucion[Estado],"Finalizado"))</f>
        <v/>
      </c>
      <c r="X419" s="38" t="str">
        <f>IF(B419="","",COUNTIFS(Ejecucion[No. Solicitud],Registro!B419,Ejecucion[Estado],"No Iniciado"))</f>
        <v/>
      </c>
      <c r="Y419" s="64" t="str">
        <f>IF(B419="","",COUNTIFS(Ejecucion[No. Solicitud],Registro!B419,Ejecucion[Estado],"En Proceso"))</f>
        <v/>
      </c>
      <c r="Z419" s="64" t="str">
        <f t="shared" si="15"/>
        <v/>
      </c>
      <c r="AA419" s="64"/>
      <c r="AB419" s="64"/>
      <c r="AC419" s="64"/>
      <c r="AD419" s="102"/>
    </row>
    <row r="420" spans="2:30" s="15" customFormat="1">
      <c r="B420" s="18"/>
      <c r="C420" s="25"/>
      <c r="D420" s="18"/>
      <c r="E420" s="22"/>
      <c r="F420" s="83"/>
      <c r="G420" s="83"/>
      <c r="H420" s="25"/>
      <c r="I420" s="25"/>
      <c r="J420" s="25"/>
      <c r="K420" s="25"/>
      <c r="L420" s="36"/>
      <c r="M420" s="18"/>
      <c r="N420" s="18"/>
      <c r="O420" s="25"/>
      <c r="P420" s="18"/>
      <c r="Q420" s="18"/>
      <c r="R420" s="37"/>
      <c r="S420" s="37"/>
      <c r="T420" s="60" t="str">
        <f t="shared" si="14"/>
        <v/>
      </c>
      <c r="U420" s="38"/>
      <c r="V420" s="38"/>
      <c r="W420" s="38" t="str">
        <f>IF(B420="","",COUNTIFS(Ejecucion[No. Solicitud],Registro!B420,Ejecucion[Estado],"Finalizado"))</f>
        <v/>
      </c>
      <c r="X420" s="38" t="str">
        <f>IF(B420="","",COUNTIFS(Ejecucion[No. Solicitud],Registro!B420,Ejecucion[Estado],"No Iniciado"))</f>
        <v/>
      </c>
      <c r="Y420" s="64" t="str">
        <f>IF(B420="","",COUNTIFS(Ejecucion[No. Solicitud],Registro!B420,Ejecucion[Estado],"En Proceso"))</f>
        <v/>
      </c>
      <c r="Z420" s="64" t="str">
        <f t="shared" si="15"/>
        <v/>
      </c>
      <c r="AA420" s="64"/>
      <c r="AB420" s="64"/>
      <c r="AC420" s="64"/>
      <c r="AD420" s="102"/>
    </row>
    <row r="421" spans="2:30" s="15" customFormat="1">
      <c r="B421" s="18"/>
      <c r="C421" s="25"/>
      <c r="D421" s="18"/>
      <c r="E421" s="22"/>
      <c r="F421" s="83"/>
      <c r="G421" s="83"/>
      <c r="H421" s="25"/>
      <c r="I421" s="25"/>
      <c r="J421" s="25"/>
      <c r="K421" s="25"/>
      <c r="L421" s="36"/>
      <c r="M421" s="18"/>
      <c r="N421" s="18"/>
      <c r="O421" s="25"/>
      <c r="P421" s="18"/>
      <c r="Q421" s="18"/>
      <c r="R421" s="37"/>
      <c r="S421" s="37"/>
      <c r="T421" s="60" t="str">
        <f t="shared" si="14"/>
        <v/>
      </c>
      <c r="U421" s="38"/>
      <c r="V421" s="38"/>
      <c r="W421" s="38" t="str">
        <f>IF(B421="","",COUNTIFS(Ejecucion[No. Solicitud],Registro!B421,Ejecucion[Estado],"Finalizado"))</f>
        <v/>
      </c>
      <c r="X421" s="38" t="str">
        <f>IF(B421="","",COUNTIFS(Ejecucion[No. Solicitud],Registro!B421,Ejecucion[Estado],"No Iniciado"))</f>
        <v/>
      </c>
      <c r="Y421" s="64" t="str">
        <f>IF(B421="","",COUNTIFS(Ejecucion[No. Solicitud],Registro!B421,Ejecucion[Estado],"En Proceso"))</f>
        <v/>
      </c>
      <c r="Z421" s="64" t="str">
        <f t="shared" si="15"/>
        <v/>
      </c>
      <c r="AA421" s="64"/>
      <c r="AB421" s="64"/>
      <c r="AC421" s="64"/>
      <c r="AD421" s="102"/>
    </row>
    <row r="422" spans="2:30" s="15" customFormat="1">
      <c r="B422" s="36"/>
      <c r="C422" s="102"/>
      <c r="D422" s="36"/>
      <c r="E422" s="22"/>
      <c r="F422" s="83"/>
      <c r="G422" s="83"/>
      <c r="H422" s="25"/>
      <c r="I422" s="25"/>
      <c r="J422" s="25"/>
      <c r="K422" s="25"/>
      <c r="L422" s="36"/>
      <c r="M422" s="36"/>
      <c r="N422" s="36"/>
      <c r="O422" s="102"/>
      <c r="P422" s="36"/>
      <c r="Q422" s="36"/>
      <c r="R422" s="37"/>
      <c r="S422" s="37"/>
      <c r="T422" s="60" t="str">
        <f t="shared" si="14"/>
        <v/>
      </c>
      <c r="U422" s="38"/>
      <c r="V422" s="38"/>
      <c r="W422" s="38" t="str">
        <f>IF(B422="","",COUNTIFS(Ejecucion[No. Solicitud],Registro!B422,Ejecucion[Estado],"Finalizado"))</f>
        <v/>
      </c>
      <c r="X422" s="38" t="str">
        <f>IF(B422="","",COUNTIFS(Ejecucion[No. Solicitud],Registro!B422,Ejecucion[Estado],"No Iniciado"))</f>
        <v/>
      </c>
      <c r="Y422" s="64" t="str">
        <f>IF(B422="","",COUNTIFS(Ejecucion[No. Solicitud],Registro!B422,Ejecucion[Estado],"En Proceso"))</f>
        <v/>
      </c>
      <c r="Z422" s="64" t="str">
        <f t="shared" si="15"/>
        <v/>
      </c>
      <c r="AA422" s="64"/>
      <c r="AB422" s="64"/>
      <c r="AC422" s="64"/>
      <c r="AD422" s="102"/>
    </row>
    <row r="423" spans="2:30" s="15" customFormat="1">
      <c r="B423" s="36"/>
      <c r="C423" s="102"/>
      <c r="D423" s="36"/>
      <c r="E423" s="22"/>
      <c r="F423" s="83"/>
      <c r="G423" s="83"/>
      <c r="H423" s="25"/>
      <c r="I423" s="25"/>
      <c r="J423" s="25"/>
      <c r="K423" s="25"/>
      <c r="L423" s="36"/>
      <c r="M423" s="36"/>
      <c r="N423" s="36"/>
      <c r="O423" s="102"/>
      <c r="P423" s="36"/>
      <c r="Q423" s="36"/>
      <c r="R423" s="37"/>
      <c r="S423" s="37"/>
      <c r="T423" s="60" t="str">
        <f t="shared" si="14"/>
        <v/>
      </c>
      <c r="U423" s="38"/>
      <c r="V423" s="38"/>
      <c r="W423" s="38" t="str">
        <f>IF(B423="","",COUNTIFS(Ejecucion[No. Solicitud],Registro!B423,Ejecucion[Estado],"Finalizado"))</f>
        <v/>
      </c>
      <c r="X423" s="38" t="str">
        <f>IF(B423="","",COUNTIFS(Ejecucion[No. Solicitud],Registro!B423,Ejecucion[Estado],"No Iniciado"))</f>
        <v/>
      </c>
      <c r="Y423" s="64" t="str">
        <f>IF(B423="","",COUNTIFS(Ejecucion[No. Solicitud],Registro!B423,Ejecucion[Estado],"En Proceso"))</f>
        <v/>
      </c>
      <c r="Z423" s="64" t="str">
        <f t="shared" si="15"/>
        <v/>
      </c>
      <c r="AA423" s="64"/>
      <c r="AB423" s="64"/>
      <c r="AC423" s="64"/>
      <c r="AD423" s="102"/>
    </row>
    <row r="424" spans="2:30" s="15" customFormat="1">
      <c r="B424" s="36"/>
      <c r="C424" s="102"/>
      <c r="D424" s="36"/>
      <c r="E424" s="22"/>
      <c r="F424" s="83"/>
      <c r="G424" s="83"/>
      <c r="H424" s="25"/>
      <c r="I424" s="25"/>
      <c r="J424" s="25"/>
      <c r="K424" s="25"/>
      <c r="L424" s="36"/>
      <c r="M424" s="36"/>
      <c r="N424" s="36"/>
      <c r="O424" s="102"/>
      <c r="P424" s="36"/>
      <c r="Q424" s="36"/>
      <c r="R424" s="37"/>
      <c r="S424" s="37"/>
      <c r="T424" s="60" t="str">
        <f t="shared" si="14"/>
        <v/>
      </c>
      <c r="U424" s="38"/>
      <c r="V424" s="38"/>
      <c r="W424" s="38" t="str">
        <f>IF(B424="","",COUNTIFS(Ejecucion[No. Solicitud],Registro!B424,Ejecucion[Estado],"Finalizado"))</f>
        <v/>
      </c>
      <c r="X424" s="38" t="str">
        <f>IF(B424="","",COUNTIFS(Ejecucion[No. Solicitud],Registro!B424,Ejecucion[Estado],"No Iniciado"))</f>
        <v/>
      </c>
      <c r="Y424" s="64" t="str">
        <f>IF(B424="","",COUNTIFS(Ejecucion[No. Solicitud],Registro!B424,Ejecucion[Estado],"En Proceso"))</f>
        <v/>
      </c>
      <c r="Z424" s="64" t="str">
        <f t="shared" si="15"/>
        <v/>
      </c>
      <c r="AA424" s="64"/>
      <c r="AB424" s="64"/>
      <c r="AC424" s="64"/>
      <c r="AD424" s="102"/>
    </row>
    <row r="425" spans="2:30" s="15" customFormat="1">
      <c r="B425" s="36"/>
      <c r="C425" s="102"/>
      <c r="D425" s="36"/>
      <c r="E425" s="22"/>
      <c r="F425" s="83"/>
      <c r="G425" s="83"/>
      <c r="H425" s="25"/>
      <c r="I425" s="25"/>
      <c r="J425" s="25"/>
      <c r="K425" s="25"/>
      <c r="L425" s="36"/>
      <c r="M425" s="36"/>
      <c r="N425" s="36"/>
      <c r="O425" s="102"/>
      <c r="P425" s="36"/>
      <c r="Q425" s="36"/>
      <c r="R425" s="37"/>
      <c r="S425" s="37"/>
      <c r="T425" s="60" t="str">
        <f t="shared" si="14"/>
        <v/>
      </c>
      <c r="U425" s="38"/>
      <c r="V425" s="38"/>
      <c r="W425" s="38" t="str">
        <f>IF(B425="","",COUNTIFS(Ejecucion[No. Solicitud],Registro!B425,Ejecucion[Estado],"Finalizado"))</f>
        <v/>
      </c>
      <c r="X425" s="38" t="str">
        <f>IF(B425="","",COUNTIFS(Ejecucion[No. Solicitud],Registro!B425,Ejecucion[Estado],"No Iniciado"))</f>
        <v/>
      </c>
      <c r="Y425" s="64" t="str">
        <f>IF(B425="","",COUNTIFS(Ejecucion[No. Solicitud],Registro!B425,Ejecucion[Estado],"En Proceso"))</f>
        <v/>
      </c>
      <c r="Z425" s="64" t="str">
        <f t="shared" si="15"/>
        <v/>
      </c>
      <c r="AA425" s="64"/>
      <c r="AB425" s="64"/>
      <c r="AC425" s="64"/>
      <c r="AD425" s="102"/>
    </row>
    <row r="426" spans="2:30" s="15" customFormat="1">
      <c r="B426" s="36"/>
      <c r="C426" s="102"/>
      <c r="D426" s="36"/>
      <c r="E426" s="22"/>
      <c r="F426" s="83"/>
      <c r="G426" s="83"/>
      <c r="H426" s="25"/>
      <c r="I426" s="25"/>
      <c r="J426" s="25"/>
      <c r="K426" s="25"/>
      <c r="L426" s="36"/>
      <c r="M426" s="36"/>
      <c r="N426" s="36"/>
      <c r="O426" s="102"/>
      <c r="P426" s="36"/>
      <c r="Q426" s="36"/>
      <c r="R426" s="37"/>
      <c r="S426" s="37"/>
      <c r="T426" s="60" t="str">
        <f t="shared" si="14"/>
        <v/>
      </c>
      <c r="U426" s="38"/>
      <c r="V426" s="38"/>
      <c r="W426" s="38" t="str">
        <f>IF(B426="","",COUNTIFS(Ejecucion[No. Solicitud],Registro!B426,Ejecucion[Estado],"Finalizado"))</f>
        <v/>
      </c>
      <c r="X426" s="38" t="str">
        <f>IF(B426="","",COUNTIFS(Ejecucion[No. Solicitud],Registro!B426,Ejecucion[Estado],"No Iniciado"))</f>
        <v/>
      </c>
      <c r="Y426" s="64" t="str">
        <f>IF(B426="","",COUNTIFS(Ejecucion[No. Solicitud],Registro!B426,Ejecucion[Estado],"En Proceso"))</f>
        <v/>
      </c>
      <c r="Z426" s="64" t="str">
        <f t="shared" si="15"/>
        <v/>
      </c>
      <c r="AA426" s="64"/>
      <c r="AB426" s="64"/>
      <c r="AC426" s="64"/>
      <c r="AD426" s="102"/>
    </row>
    <row r="427" spans="2:30" s="15" customFormat="1">
      <c r="B427" s="36"/>
      <c r="C427" s="102"/>
      <c r="D427" s="36"/>
      <c r="E427" s="22"/>
      <c r="F427" s="83"/>
      <c r="G427" s="83"/>
      <c r="H427" s="25"/>
      <c r="I427" s="25"/>
      <c r="J427" s="25"/>
      <c r="K427" s="25"/>
      <c r="L427" s="36"/>
      <c r="M427" s="36"/>
      <c r="N427" s="36"/>
      <c r="O427" s="102"/>
      <c r="P427" s="36"/>
      <c r="Q427" s="36"/>
      <c r="R427" s="37"/>
      <c r="S427" s="37"/>
      <c r="T427" s="60" t="str">
        <f t="shared" si="14"/>
        <v/>
      </c>
      <c r="U427" s="38"/>
      <c r="V427" s="38"/>
      <c r="W427" s="38" t="str">
        <f>IF(B427="","",COUNTIFS(Ejecucion[No. Solicitud],Registro!B427,Ejecucion[Estado],"Finalizado"))</f>
        <v/>
      </c>
      <c r="X427" s="38" t="str">
        <f>IF(B427="","",COUNTIFS(Ejecucion[No. Solicitud],Registro!B427,Ejecucion[Estado],"No Iniciado"))</f>
        <v/>
      </c>
      <c r="Y427" s="64" t="str">
        <f>IF(B427="","",COUNTIFS(Ejecucion[No. Solicitud],Registro!B427,Ejecucion[Estado],"En Proceso"))</f>
        <v/>
      </c>
      <c r="Z427" s="64" t="str">
        <f t="shared" si="15"/>
        <v/>
      </c>
      <c r="AA427" s="64"/>
      <c r="AB427" s="64"/>
      <c r="AC427" s="64"/>
      <c r="AD427" s="102"/>
    </row>
    <row r="428" spans="2:30" s="15" customFormat="1">
      <c r="B428" s="36"/>
      <c r="C428" s="102"/>
      <c r="D428" s="36"/>
      <c r="E428" s="22"/>
      <c r="F428" s="83"/>
      <c r="G428" s="83"/>
      <c r="H428" s="25"/>
      <c r="I428" s="25"/>
      <c r="J428" s="25"/>
      <c r="K428" s="25"/>
      <c r="L428" s="36"/>
      <c r="M428" s="36"/>
      <c r="N428" s="36"/>
      <c r="O428" s="102"/>
      <c r="P428" s="36"/>
      <c r="Q428" s="36"/>
      <c r="R428" s="37"/>
      <c r="S428" s="37"/>
      <c r="T428" s="60" t="str">
        <f t="shared" si="14"/>
        <v/>
      </c>
      <c r="U428" s="38"/>
      <c r="V428" s="38"/>
      <c r="W428" s="38" t="str">
        <f>IF(B428="","",COUNTIFS(Ejecucion[No. Solicitud],Registro!B428,Ejecucion[Estado],"Finalizado"))</f>
        <v/>
      </c>
      <c r="X428" s="38" t="str">
        <f>IF(B428="","",COUNTIFS(Ejecucion[No. Solicitud],Registro!B428,Ejecucion[Estado],"No Iniciado"))</f>
        <v/>
      </c>
      <c r="Y428" s="64" t="str">
        <f>IF(B428="","",COUNTIFS(Ejecucion[No. Solicitud],Registro!B428,Ejecucion[Estado],"En Proceso"))</f>
        <v/>
      </c>
      <c r="Z428" s="64" t="str">
        <f t="shared" si="15"/>
        <v/>
      </c>
      <c r="AA428" s="64"/>
      <c r="AB428" s="64"/>
      <c r="AC428" s="64"/>
      <c r="AD428" s="102"/>
    </row>
    <row r="429" spans="2:30" s="15" customFormat="1">
      <c r="B429" s="36"/>
      <c r="C429" s="102"/>
      <c r="D429" s="36"/>
      <c r="E429" s="22"/>
      <c r="F429" s="83"/>
      <c r="G429" s="83"/>
      <c r="H429" s="25"/>
      <c r="I429" s="25"/>
      <c r="J429" s="25"/>
      <c r="K429" s="25"/>
      <c r="L429" s="36"/>
      <c r="M429" s="36"/>
      <c r="N429" s="36"/>
      <c r="O429" s="102"/>
      <c r="P429" s="36"/>
      <c r="Q429" s="36"/>
      <c r="R429" s="37"/>
      <c r="S429" s="37"/>
      <c r="T429" s="60" t="str">
        <f t="shared" si="14"/>
        <v/>
      </c>
      <c r="U429" s="38"/>
      <c r="V429" s="38"/>
      <c r="W429" s="38" t="str">
        <f>IF(B429="","",COUNTIFS(Ejecucion[No. Solicitud],Registro!B429,Ejecucion[Estado],"Finalizado"))</f>
        <v/>
      </c>
      <c r="X429" s="38" t="str">
        <f>IF(B429="","",COUNTIFS(Ejecucion[No. Solicitud],Registro!B429,Ejecucion[Estado],"No Iniciado"))</f>
        <v/>
      </c>
      <c r="Y429" s="64" t="str">
        <f>IF(B429="","",COUNTIFS(Ejecucion[No. Solicitud],Registro!B429,Ejecucion[Estado],"En Proceso"))</f>
        <v/>
      </c>
      <c r="Z429" s="64" t="str">
        <f t="shared" si="15"/>
        <v/>
      </c>
      <c r="AA429" s="64"/>
      <c r="AB429" s="64"/>
      <c r="AC429" s="64"/>
      <c r="AD429" s="102"/>
    </row>
    <row r="430" spans="2:30" s="15" customFormat="1">
      <c r="B430" s="36"/>
      <c r="C430" s="102"/>
      <c r="D430" s="36"/>
      <c r="E430" s="22"/>
      <c r="F430" s="83"/>
      <c r="G430" s="83"/>
      <c r="H430" s="25"/>
      <c r="I430" s="25"/>
      <c r="J430" s="25"/>
      <c r="K430" s="25"/>
      <c r="L430" s="36"/>
      <c r="M430" s="36"/>
      <c r="N430" s="36"/>
      <c r="O430" s="102"/>
      <c r="P430" s="36"/>
      <c r="Q430" s="36"/>
      <c r="R430" s="37"/>
      <c r="S430" s="37"/>
      <c r="T430" s="60" t="str">
        <f t="shared" si="14"/>
        <v/>
      </c>
      <c r="U430" s="38"/>
      <c r="V430" s="38"/>
      <c r="W430" s="38" t="str">
        <f>IF(B430="","",COUNTIFS(Ejecucion[No. Solicitud],Registro!B430,Ejecucion[Estado],"Finalizado"))</f>
        <v/>
      </c>
      <c r="X430" s="38" t="str">
        <f>IF(B430="","",COUNTIFS(Ejecucion[No. Solicitud],Registro!B430,Ejecucion[Estado],"No Iniciado"))</f>
        <v/>
      </c>
      <c r="Y430" s="64" t="str">
        <f>IF(B430="","",COUNTIFS(Ejecucion[No. Solicitud],Registro!B430,Ejecucion[Estado],"En Proceso"))</f>
        <v/>
      </c>
      <c r="Z430" s="64" t="str">
        <f t="shared" si="15"/>
        <v/>
      </c>
      <c r="AA430" s="64"/>
      <c r="AB430" s="64"/>
      <c r="AC430" s="64"/>
      <c r="AD430" s="102"/>
    </row>
    <row r="431" spans="2:30" s="15" customFormat="1">
      <c r="B431" s="36"/>
      <c r="C431" s="102"/>
      <c r="D431" s="36"/>
      <c r="E431" s="22"/>
      <c r="F431" s="83"/>
      <c r="G431" s="83"/>
      <c r="H431" s="25"/>
      <c r="I431" s="25"/>
      <c r="J431" s="25"/>
      <c r="K431" s="25"/>
      <c r="L431" s="36"/>
      <c r="M431" s="36"/>
      <c r="N431" s="36"/>
      <c r="O431" s="102"/>
      <c r="P431" s="36"/>
      <c r="Q431" s="36"/>
      <c r="R431" s="37"/>
      <c r="S431" s="37"/>
      <c r="T431" s="60" t="str">
        <f t="shared" si="14"/>
        <v/>
      </c>
      <c r="U431" s="38"/>
      <c r="V431" s="38"/>
      <c r="W431" s="38" t="str">
        <f>IF(B431="","",COUNTIFS(Ejecucion[No. Solicitud],Registro!B431,Ejecucion[Estado],"Finalizado"))</f>
        <v/>
      </c>
      <c r="X431" s="38" t="str">
        <f>IF(B431="","",COUNTIFS(Ejecucion[No. Solicitud],Registro!B431,Ejecucion[Estado],"No Iniciado"))</f>
        <v/>
      </c>
      <c r="Y431" s="64" t="str">
        <f>IF(B431="","",COUNTIFS(Ejecucion[No. Solicitud],Registro!B431,Ejecucion[Estado],"En Proceso"))</f>
        <v/>
      </c>
      <c r="Z431" s="64" t="str">
        <f t="shared" si="15"/>
        <v/>
      </c>
      <c r="AA431" s="64"/>
      <c r="AB431" s="64"/>
      <c r="AC431" s="64"/>
      <c r="AD431" s="102"/>
    </row>
    <row r="432" spans="2:30" s="15" customFormat="1">
      <c r="B432" s="36"/>
      <c r="C432" s="102"/>
      <c r="D432" s="36"/>
      <c r="E432" s="22"/>
      <c r="F432" s="83"/>
      <c r="G432" s="83"/>
      <c r="H432" s="25"/>
      <c r="I432" s="25"/>
      <c r="J432" s="25"/>
      <c r="K432" s="25"/>
      <c r="L432" s="36"/>
      <c r="M432" s="36"/>
      <c r="N432" s="36"/>
      <c r="O432" s="102"/>
      <c r="P432" s="36"/>
      <c r="Q432" s="36"/>
      <c r="R432" s="37"/>
      <c r="S432" s="37"/>
      <c r="T432" s="60" t="str">
        <f t="shared" si="14"/>
        <v/>
      </c>
      <c r="U432" s="38"/>
      <c r="V432" s="38"/>
      <c r="W432" s="38" t="str">
        <f>IF(B432="","",COUNTIFS(Ejecucion[No. Solicitud],Registro!B432,Ejecucion[Estado],"Finalizado"))</f>
        <v/>
      </c>
      <c r="X432" s="38" t="str">
        <f>IF(B432="","",COUNTIFS(Ejecucion[No. Solicitud],Registro!B432,Ejecucion[Estado],"No Iniciado"))</f>
        <v/>
      </c>
      <c r="Y432" s="64" t="str">
        <f>IF(B432="","",COUNTIFS(Ejecucion[No. Solicitud],Registro!B432,Ejecucion[Estado],"En Proceso"))</f>
        <v/>
      </c>
      <c r="Z432" s="64" t="str">
        <f t="shared" si="15"/>
        <v/>
      </c>
      <c r="AA432" s="64"/>
      <c r="AB432" s="64"/>
      <c r="AC432" s="64"/>
      <c r="AD432" s="102"/>
    </row>
    <row r="433" spans="2:30" s="15" customFormat="1">
      <c r="B433" s="36"/>
      <c r="C433" s="102"/>
      <c r="D433" s="36"/>
      <c r="E433" s="22"/>
      <c r="F433" s="83"/>
      <c r="G433" s="83"/>
      <c r="H433" s="25"/>
      <c r="I433" s="25"/>
      <c r="J433" s="25"/>
      <c r="K433" s="25"/>
      <c r="L433" s="36"/>
      <c r="M433" s="36"/>
      <c r="N433" s="36"/>
      <c r="O433" s="102"/>
      <c r="P433" s="36"/>
      <c r="Q433" s="36"/>
      <c r="R433" s="37"/>
      <c r="S433" s="37"/>
      <c r="T433" s="60" t="str">
        <f t="shared" si="14"/>
        <v/>
      </c>
      <c r="U433" s="38"/>
      <c r="V433" s="38"/>
      <c r="W433" s="38" t="str">
        <f>IF(B433="","",COUNTIFS(Ejecucion[No. Solicitud],Registro!B433,Ejecucion[Estado],"Finalizado"))</f>
        <v/>
      </c>
      <c r="X433" s="38" t="str">
        <f>IF(B433="","",COUNTIFS(Ejecucion[No. Solicitud],Registro!B433,Ejecucion[Estado],"No Iniciado"))</f>
        <v/>
      </c>
      <c r="Y433" s="64" t="str">
        <f>IF(B433="","",COUNTIFS(Ejecucion[No. Solicitud],Registro!B433,Ejecucion[Estado],"En Proceso"))</f>
        <v/>
      </c>
      <c r="Z433" s="64" t="str">
        <f t="shared" si="15"/>
        <v/>
      </c>
      <c r="AA433" s="64"/>
      <c r="AB433" s="64"/>
      <c r="AC433" s="64"/>
      <c r="AD433" s="102"/>
    </row>
    <row r="434" spans="2:30" s="15" customFormat="1">
      <c r="B434" s="36"/>
      <c r="C434" s="102"/>
      <c r="D434" s="36"/>
      <c r="E434" s="22"/>
      <c r="F434" s="83"/>
      <c r="G434" s="83"/>
      <c r="H434" s="25"/>
      <c r="I434" s="25"/>
      <c r="J434" s="25"/>
      <c r="K434" s="25"/>
      <c r="L434" s="36"/>
      <c r="M434" s="36"/>
      <c r="N434" s="36"/>
      <c r="O434" s="102"/>
      <c r="P434" s="36"/>
      <c r="Q434" s="36"/>
      <c r="R434" s="37"/>
      <c r="S434" s="37"/>
      <c r="T434" s="60" t="str">
        <f t="shared" si="14"/>
        <v/>
      </c>
      <c r="U434" s="38"/>
      <c r="V434" s="38"/>
      <c r="W434" s="38" t="str">
        <f>IF(B434="","",COUNTIFS(Ejecucion[No. Solicitud],Registro!B434,Ejecucion[Estado],"Finalizado"))</f>
        <v/>
      </c>
      <c r="X434" s="38" t="str">
        <f>IF(B434="","",COUNTIFS(Ejecucion[No. Solicitud],Registro!B434,Ejecucion[Estado],"No Iniciado"))</f>
        <v/>
      </c>
      <c r="Y434" s="64" t="str">
        <f>IF(B434="","",COUNTIFS(Ejecucion[No. Solicitud],Registro!B434,Ejecucion[Estado],"En Proceso"))</f>
        <v/>
      </c>
      <c r="Z434" s="64" t="str">
        <f t="shared" si="15"/>
        <v/>
      </c>
      <c r="AA434" s="64"/>
      <c r="AB434" s="64"/>
      <c r="AC434" s="64"/>
      <c r="AD434" s="102"/>
    </row>
    <row r="435" spans="2:30" s="15" customFormat="1">
      <c r="B435" s="36"/>
      <c r="C435" s="102"/>
      <c r="D435" s="36"/>
      <c r="E435" s="22"/>
      <c r="F435" s="83"/>
      <c r="G435" s="83"/>
      <c r="H435" s="25"/>
      <c r="I435" s="25"/>
      <c r="J435" s="25"/>
      <c r="K435" s="25"/>
      <c r="L435" s="36"/>
      <c r="M435" s="36"/>
      <c r="N435" s="36"/>
      <c r="O435" s="102"/>
      <c r="P435" s="36"/>
      <c r="Q435" s="36"/>
      <c r="R435" s="37"/>
      <c r="S435" s="37"/>
      <c r="T435" s="60" t="str">
        <f t="shared" si="14"/>
        <v/>
      </c>
      <c r="U435" s="38"/>
      <c r="V435" s="38"/>
      <c r="W435" s="38" t="str">
        <f>IF(B435="","",COUNTIFS(Ejecucion[No. Solicitud],Registro!B435,Ejecucion[Estado],"Finalizado"))</f>
        <v/>
      </c>
      <c r="X435" s="38" t="str">
        <f>IF(B435="","",COUNTIFS(Ejecucion[No. Solicitud],Registro!B435,Ejecucion[Estado],"No Iniciado"))</f>
        <v/>
      </c>
      <c r="Y435" s="64" t="str">
        <f>IF(B435="","",COUNTIFS(Ejecucion[No. Solicitud],Registro!B435,Ejecucion[Estado],"En Proceso"))</f>
        <v/>
      </c>
      <c r="Z435" s="64" t="str">
        <f t="shared" si="15"/>
        <v/>
      </c>
      <c r="AA435" s="64"/>
      <c r="AB435" s="64"/>
      <c r="AC435" s="64"/>
      <c r="AD435" s="102"/>
    </row>
    <row r="436" spans="2:30" s="15" customFormat="1">
      <c r="B436" s="36"/>
      <c r="C436" s="102"/>
      <c r="D436" s="36"/>
      <c r="E436" s="22"/>
      <c r="F436" s="83"/>
      <c r="G436" s="83"/>
      <c r="H436" s="25"/>
      <c r="I436" s="25"/>
      <c r="J436" s="25"/>
      <c r="K436" s="25"/>
      <c r="L436" s="36"/>
      <c r="M436" s="36"/>
      <c r="N436" s="36"/>
      <c r="O436" s="102"/>
      <c r="P436" s="36"/>
      <c r="Q436" s="36"/>
      <c r="R436" s="37"/>
      <c r="S436" s="37"/>
      <c r="T436" s="60" t="str">
        <f t="shared" si="14"/>
        <v/>
      </c>
      <c r="U436" s="38"/>
      <c r="V436" s="38"/>
      <c r="W436" s="38" t="str">
        <f>IF(B436="","",COUNTIFS(Ejecucion[No. Solicitud],Registro!B436,Ejecucion[Estado],"Finalizado"))</f>
        <v/>
      </c>
      <c r="X436" s="38" t="str">
        <f>IF(B436="","",COUNTIFS(Ejecucion[No. Solicitud],Registro!B436,Ejecucion[Estado],"No Iniciado"))</f>
        <v/>
      </c>
      <c r="Y436" s="64" t="str">
        <f>IF(B436="","",COUNTIFS(Ejecucion[No. Solicitud],Registro!B436,Ejecucion[Estado],"En Proceso"))</f>
        <v/>
      </c>
      <c r="Z436" s="64" t="str">
        <f t="shared" si="15"/>
        <v/>
      </c>
      <c r="AA436" s="64"/>
      <c r="AB436" s="64"/>
      <c r="AC436" s="64"/>
      <c r="AD436" s="102"/>
    </row>
    <row r="437" spans="2:30" s="15" customFormat="1">
      <c r="B437" s="36"/>
      <c r="C437" s="102"/>
      <c r="D437" s="36"/>
      <c r="E437" s="22"/>
      <c r="F437" s="83"/>
      <c r="G437" s="83"/>
      <c r="H437" s="25"/>
      <c r="I437" s="25"/>
      <c r="J437" s="25"/>
      <c r="K437" s="25"/>
      <c r="L437" s="36"/>
      <c r="M437" s="36"/>
      <c r="N437" s="36"/>
      <c r="O437" s="102"/>
      <c r="P437" s="36"/>
      <c r="Q437" s="36"/>
      <c r="R437" s="37"/>
      <c r="S437" s="37"/>
      <c r="T437" s="60" t="str">
        <f t="shared" si="14"/>
        <v/>
      </c>
      <c r="U437" s="38"/>
      <c r="V437" s="38"/>
      <c r="W437" s="38" t="str">
        <f>IF(B437="","",COUNTIFS(Ejecucion[No. Solicitud],Registro!B437,Ejecucion[Estado],"Finalizado"))</f>
        <v/>
      </c>
      <c r="X437" s="38" t="str">
        <f>IF(B437="","",COUNTIFS(Ejecucion[No. Solicitud],Registro!B437,Ejecucion[Estado],"No Iniciado"))</f>
        <v/>
      </c>
      <c r="Y437" s="64" t="str">
        <f>IF(B437="","",COUNTIFS(Ejecucion[No. Solicitud],Registro!B437,Ejecucion[Estado],"En Proceso"))</f>
        <v/>
      </c>
      <c r="Z437" s="64" t="str">
        <f t="shared" si="15"/>
        <v/>
      </c>
      <c r="AA437" s="64"/>
      <c r="AB437" s="64"/>
      <c r="AC437" s="64"/>
      <c r="AD437" s="102"/>
    </row>
    <row r="438" spans="2:30" s="15" customFormat="1">
      <c r="B438" s="36"/>
      <c r="C438" s="102"/>
      <c r="D438" s="36"/>
      <c r="E438" s="22"/>
      <c r="F438" s="83"/>
      <c r="G438" s="83"/>
      <c r="H438" s="25"/>
      <c r="I438" s="25"/>
      <c r="J438" s="25"/>
      <c r="K438" s="25"/>
      <c r="L438" s="36"/>
      <c r="M438" s="36"/>
      <c r="N438" s="36"/>
      <c r="O438" s="102"/>
      <c r="P438" s="36"/>
      <c r="Q438" s="36"/>
      <c r="R438" s="37"/>
      <c r="S438" s="37"/>
      <c r="T438" s="60" t="str">
        <f t="shared" si="14"/>
        <v/>
      </c>
      <c r="U438" s="38"/>
      <c r="V438" s="38"/>
      <c r="W438" s="38" t="str">
        <f>IF(B438="","",COUNTIFS(Ejecucion[No. Solicitud],Registro!B438,Ejecucion[Estado],"Finalizado"))</f>
        <v/>
      </c>
      <c r="X438" s="38" t="str">
        <f>IF(B438="","",COUNTIFS(Ejecucion[No. Solicitud],Registro!B438,Ejecucion[Estado],"No Iniciado"))</f>
        <v/>
      </c>
      <c r="Y438" s="64" t="str">
        <f>IF(B438="","",COUNTIFS(Ejecucion[No. Solicitud],Registro!B438,Ejecucion[Estado],"En Proceso"))</f>
        <v/>
      </c>
      <c r="Z438" s="64" t="str">
        <f t="shared" si="15"/>
        <v/>
      </c>
      <c r="AA438" s="64"/>
      <c r="AB438" s="64"/>
      <c r="AC438" s="64"/>
      <c r="AD438" s="102"/>
    </row>
    <row r="439" spans="2:30" s="15" customFormat="1">
      <c r="B439" s="36"/>
      <c r="C439" s="102"/>
      <c r="D439" s="36"/>
      <c r="E439" s="22"/>
      <c r="F439" s="83"/>
      <c r="G439" s="83"/>
      <c r="H439" s="25"/>
      <c r="I439" s="25"/>
      <c r="J439" s="25"/>
      <c r="K439" s="25"/>
      <c r="L439" s="36"/>
      <c r="M439" s="36"/>
      <c r="N439" s="36"/>
      <c r="O439" s="102"/>
      <c r="P439" s="36"/>
      <c r="Q439" s="36"/>
      <c r="R439" s="37"/>
      <c r="S439" s="37"/>
      <c r="T439" s="60" t="str">
        <f t="shared" si="14"/>
        <v/>
      </c>
      <c r="U439" s="38"/>
      <c r="V439" s="38"/>
      <c r="W439" s="38" t="str">
        <f>IF(B439="","",COUNTIFS(Ejecucion[No. Solicitud],Registro!B439,Ejecucion[Estado],"Finalizado"))</f>
        <v/>
      </c>
      <c r="X439" s="38" t="str">
        <f>IF(B439="","",COUNTIFS(Ejecucion[No. Solicitud],Registro!B439,Ejecucion[Estado],"No Iniciado"))</f>
        <v/>
      </c>
      <c r="Y439" s="64" t="str">
        <f>IF(B439="","",COUNTIFS(Ejecucion[No. Solicitud],Registro!B439,Ejecucion[Estado],"En Proceso"))</f>
        <v/>
      </c>
      <c r="Z439" s="64" t="str">
        <f t="shared" si="15"/>
        <v/>
      </c>
      <c r="AA439" s="64"/>
      <c r="AB439" s="64"/>
      <c r="AC439" s="64"/>
      <c r="AD439" s="102"/>
    </row>
    <row r="440" spans="2:30" s="15" customFormat="1">
      <c r="B440" s="36"/>
      <c r="C440" s="102"/>
      <c r="D440" s="36"/>
      <c r="E440" s="22"/>
      <c r="F440" s="83"/>
      <c r="G440" s="83"/>
      <c r="H440" s="25"/>
      <c r="I440" s="25"/>
      <c r="J440" s="25"/>
      <c r="K440" s="25"/>
      <c r="L440" s="36"/>
      <c r="M440" s="36"/>
      <c r="N440" s="36"/>
      <c r="O440" s="102"/>
      <c r="P440" s="36"/>
      <c r="Q440" s="36"/>
      <c r="R440" s="37"/>
      <c r="S440" s="37"/>
      <c r="T440" s="60" t="str">
        <f t="shared" si="14"/>
        <v/>
      </c>
      <c r="U440" s="38"/>
      <c r="V440" s="38"/>
      <c r="W440" s="38" t="str">
        <f>IF(B440="","",COUNTIFS(Ejecucion[No. Solicitud],Registro!B440,Ejecucion[Estado],"Finalizado"))</f>
        <v/>
      </c>
      <c r="X440" s="38" t="str">
        <f>IF(B440="","",COUNTIFS(Ejecucion[No. Solicitud],Registro!B440,Ejecucion[Estado],"No Iniciado"))</f>
        <v/>
      </c>
      <c r="Y440" s="64" t="str">
        <f>IF(B440="","",COUNTIFS(Ejecucion[No. Solicitud],Registro!B440,Ejecucion[Estado],"En Proceso"))</f>
        <v/>
      </c>
      <c r="Z440" s="64" t="str">
        <f t="shared" si="15"/>
        <v/>
      </c>
      <c r="AA440" s="64"/>
      <c r="AB440" s="64"/>
      <c r="AC440" s="64"/>
      <c r="AD440" s="102"/>
    </row>
    <row r="441" spans="2:30" s="15" customFormat="1">
      <c r="B441" s="36"/>
      <c r="C441" s="102"/>
      <c r="D441" s="36"/>
      <c r="E441" s="22"/>
      <c r="F441" s="83"/>
      <c r="G441" s="83"/>
      <c r="H441" s="25"/>
      <c r="I441" s="25"/>
      <c r="J441" s="25"/>
      <c r="K441" s="25"/>
      <c r="L441" s="36"/>
      <c r="M441" s="36"/>
      <c r="N441" s="36"/>
      <c r="O441" s="102"/>
      <c r="P441" s="36"/>
      <c r="Q441" s="36"/>
      <c r="R441" s="37"/>
      <c r="S441" s="37"/>
      <c r="T441" s="60" t="str">
        <f t="shared" si="14"/>
        <v/>
      </c>
      <c r="U441" s="38"/>
      <c r="V441" s="38"/>
      <c r="W441" s="38" t="str">
        <f>IF(B441="","",COUNTIFS(Ejecucion[No. Solicitud],Registro!B441,Ejecucion[Estado],"Finalizado"))</f>
        <v/>
      </c>
      <c r="X441" s="38" t="str">
        <f>IF(B441="","",COUNTIFS(Ejecucion[No. Solicitud],Registro!B441,Ejecucion[Estado],"No Iniciado"))</f>
        <v/>
      </c>
      <c r="Y441" s="64" t="str">
        <f>IF(B441="","",COUNTIFS(Ejecucion[No. Solicitud],Registro!B441,Ejecucion[Estado],"En Proceso"))</f>
        <v/>
      </c>
      <c r="Z441" s="64" t="str">
        <f t="shared" si="15"/>
        <v/>
      </c>
      <c r="AA441" s="64"/>
      <c r="AB441" s="64"/>
      <c r="AC441" s="64"/>
      <c r="AD441" s="102"/>
    </row>
    <row r="442" spans="2:30" s="15" customFormat="1">
      <c r="B442" s="36"/>
      <c r="C442" s="102"/>
      <c r="D442" s="36"/>
      <c r="E442" s="22"/>
      <c r="F442" s="83"/>
      <c r="G442" s="83"/>
      <c r="H442" s="25"/>
      <c r="I442" s="25"/>
      <c r="J442" s="25"/>
      <c r="K442" s="25"/>
      <c r="L442" s="36"/>
      <c r="M442" s="36"/>
      <c r="N442" s="36"/>
      <c r="O442" s="102"/>
      <c r="P442" s="36"/>
      <c r="Q442" s="36"/>
      <c r="R442" s="37"/>
      <c r="S442" s="37"/>
      <c r="T442" s="60" t="str">
        <f t="shared" si="14"/>
        <v/>
      </c>
      <c r="U442" s="38"/>
      <c r="V442" s="38"/>
      <c r="W442" s="38" t="str">
        <f>IF(B442="","",COUNTIFS(Ejecucion[No. Solicitud],Registro!B442,Ejecucion[Estado],"Finalizado"))</f>
        <v/>
      </c>
      <c r="X442" s="38" t="str">
        <f>IF(B442="","",COUNTIFS(Ejecucion[No. Solicitud],Registro!B442,Ejecucion[Estado],"No Iniciado"))</f>
        <v/>
      </c>
      <c r="Y442" s="64" t="str">
        <f>IF(B442="","",COUNTIFS(Ejecucion[No. Solicitud],Registro!B442,Ejecucion[Estado],"En Proceso"))</f>
        <v/>
      </c>
      <c r="Z442" s="64" t="str">
        <f t="shared" si="15"/>
        <v/>
      </c>
      <c r="AA442" s="64"/>
      <c r="AB442" s="64"/>
      <c r="AC442" s="64"/>
      <c r="AD442" s="102"/>
    </row>
    <row r="443" spans="2:30" s="15" customFormat="1">
      <c r="B443" s="36"/>
      <c r="C443" s="102"/>
      <c r="D443" s="36"/>
      <c r="E443" s="22"/>
      <c r="F443" s="83"/>
      <c r="G443" s="83"/>
      <c r="H443" s="25"/>
      <c r="I443" s="25"/>
      <c r="J443" s="25"/>
      <c r="K443" s="25"/>
      <c r="L443" s="36"/>
      <c r="M443" s="36"/>
      <c r="N443" s="36"/>
      <c r="O443" s="102"/>
      <c r="P443" s="36"/>
      <c r="Q443" s="36"/>
      <c r="R443" s="37"/>
      <c r="S443" s="37"/>
      <c r="T443" s="60" t="str">
        <f t="shared" si="14"/>
        <v/>
      </c>
      <c r="U443" s="38"/>
      <c r="V443" s="38"/>
      <c r="W443" s="38" t="str">
        <f>IF(B443="","",COUNTIFS(Ejecucion[No. Solicitud],Registro!B443,Ejecucion[Estado],"Finalizado"))</f>
        <v/>
      </c>
      <c r="X443" s="38" t="str">
        <f>IF(B443="","",COUNTIFS(Ejecucion[No. Solicitud],Registro!B443,Ejecucion[Estado],"No Iniciado"))</f>
        <v/>
      </c>
      <c r="Y443" s="64" t="str">
        <f>IF(B443="","",COUNTIFS(Ejecucion[No. Solicitud],Registro!B443,Ejecucion[Estado],"En Proceso"))</f>
        <v/>
      </c>
      <c r="Z443" s="64" t="str">
        <f t="shared" si="15"/>
        <v/>
      </c>
      <c r="AA443" s="64"/>
      <c r="AB443" s="64"/>
      <c r="AC443" s="64"/>
      <c r="AD443" s="102"/>
    </row>
    <row r="444" spans="2:30" s="15" customFormat="1">
      <c r="B444" s="36"/>
      <c r="C444" s="102"/>
      <c r="D444" s="36"/>
      <c r="E444" s="22"/>
      <c r="F444" s="83"/>
      <c r="G444" s="83"/>
      <c r="H444" s="25"/>
      <c r="I444" s="25"/>
      <c r="J444" s="25"/>
      <c r="K444" s="25"/>
      <c r="L444" s="36"/>
      <c r="M444" s="36"/>
      <c r="N444" s="36"/>
      <c r="O444" s="102"/>
      <c r="P444" s="36"/>
      <c r="Q444" s="36"/>
      <c r="R444" s="37"/>
      <c r="S444" s="37"/>
      <c r="T444" s="60" t="str">
        <f t="shared" si="14"/>
        <v/>
      </c>
      <c r="U444" s="38"/>
      <c r="V444" s="38"/>
      <c r="W444" s="38" t="str">
        <f>IF(B444="","",COUNTIFS(Ejecucion[No. Solicitud],Registro!B444,Ejecucion[Estado],"Finalizado"))</f>
        <v/>
      </c>
      <c r="X444" s="38" t="str">
        <f>IF(B444="","",COUNTIFS(Ejecucion[No. Solicitud],Registro!B444,Ejecucion[Estado],"No Iniciado"))</f>
        <v/>
      </c>
      <c r="Y444" s="64" t="str">
        <f>IF(B444="","",COUNTIFS(Ejecucion[No. Solicitud],Registro!B444,Ejecucion[Estado],"En Proceso"))</f>
        <v/>
      </c>
      <c r="Z444" s="64" t="str">
        <f t="shared" si="15"/>
        <v/>
      </c>
      <c r="AA444" s="64"/>
      <c r="AB444" s="64"/>
      <c r="AC444" s="64"/>
      <c r="AD444" s="102"/>
    </row>
    <row r="445" spans="2:30" s="15" customFormat="1">
      <c r="B445" s="36"/>
      <c r="C445" s="102"/>
      <c r="D445" s="36"/>
      <c r="E445" s="22"/>
      <c r="F445" s="83"/>
      <c r="G445" s="83"/>
      <c r="H445" s="25"/>
      <c r="I445" s="25"/>
      <c r="J445" s="25"/>
      <c r="K445" s="25"/>
      <c r="L445" s="36"/>
      <c r="M445" s="36"/>
      <c r="N445" s="36"/>
      <c r="O445" s="102"/>
      <c r="P445" s="36"/>
      <c r="Q445" s="36"/>
      <c r="R445" s="37"/>
      <c r="S445" s="37"/>
      <c r="T445" s="60" t="str">
        <f t="shared" si="14"/>
        <v/>
      </c>
      <c r="U445" s="38"/>
      <c r="V445" s="38"/>
      <c r="W445" s="38" t="str">
        <f>IF(B445="","",COUNTIFS(Ejecucion[No. Solicitud],Registro!B445,Ejecucion[Estado],"Finalizado"))</f>
        <v/>
      </c>
      <c r="X445" s="38" t="str">
        <f>IF(B445="","",COUNTIFS(Ejecucion[No. Solicitud],Registro!B445,Ejecucion[Estado],"No Iniciado"))</f>
        <v/>
      </c>
      <c r="Y445" s="64" t="str">
        <f>IF(B445="","",COUNTIFS(Ejecucion[No. Solicitud],Registro!B445,Ejecucion[Estado],"En Proceso"))</f>
        <v/>
      </c>
      <c r="Z445" s="64" t="str">
        <f t="shared" si="15"/>
        <v/>
      </c>
      <c r="AA445" s="64"/>
      <c r="AB445" s="64"/>
      <c r="AC445" s="64"/>
      <c r="AD445" s="102"/>
    </row>
    <row r="446" spans="2:30" s="15" customFormat="1">
      <c r="B446" s="36"/>
      <c r="C446" s="102"/>
      <c r="D446" s="36"/>
      <c r="E446" s="22"/>
      <c r="F446" s="83"/>
      <c r="G446" s="83"/>
      <c r="H446" s="25"/>
      <c r="I446" s="25"/>
      <c r="J446" s="25"/>
      <c r="K446" s="25"/>
      <c r="L446" s="36"/>
      <c r="M446" s="36"/>
      <c r="N446" s="36"/>
      <c r="O446" s="102"/>
      <c r="P446" s="36"/>
      <c r="Q446" s="36"/>
      <c r="R446" s="37"/>
      <c r="S446" s="37"/>
      <c r="T446" s="60" t="str">
        <f t="shared" si="14"/>
        <v/>
      </c>
      <c r="U446" s="38"/>
      <c r="V446" s="38"/>
      <c r="W446" s="38" t="str">
        <f>IF(B446="","",COUNTIFS(Ejecucion[No. Solicitud],Registro!B446,Ejecucion[Estado],"Finalizado"))</f>
        <v/>
      </c>
      <c r="X446" s="38" t="str">
        <f>IF(B446="","",COUNTIFS(Ejecucion[No. Solicitud],Registro!B446,Ejecucion[Estado],"No Iniciado"))</f>
        <v/>
      </c>
      <c r="Y446" s="64" t="str">
        <f>IF(B446="","",COUNTIFS(Ejecucion[No. Solicitud],Registro!B446,Ejecucion[Estado],"En Proceso"))</f>
        <v/>
      </c>
      <c r="Z446" s="64" t="str">
        <f t="shared" si="15"/>
        <v/>
      </c>
      <c r="AA446" s="64"/>
      <c r="AB446" s="64"/>
      <c r="AC446" s="64"/>
      <c r="AD446" s="102"/>
    </row>
    <row r="447" spans="2:30" s="15" customFormat="1">
      <c r="B447" s="36"/>
      <c r="C447" s="102"/>
      <c r="D447" s="36"/>
      <c r="E447" s="22"/>
      <c r="F447" s="83"/>
      <c r="G447" s="83"/>
      <c r="H447" s="25"/>
      <c r="I447" s="25"/>
      <c r="J447" s="25"/>
      <c r="K447" s="25"/>
      <c r="L447" s="36"/>
      <c r="M447" s="36"/>
      <c r="N447" s="36"/>
      <c r="O447" s="102"/>
      <c r="P447" s="36"/>
      <c r="Q447" s="36"/>
      <c r="R447" s="37"/>
      <c r="S447" s="37"/>
      <c r="T447" s="60" t="str">
        <f t="shared" si="14"/>
        <v/>
      </c>
      <c r="U447" s="38"/>
      <c r="V447" s="38"/>
      <c r="W447" s="38" t="str">
        <f>IF(B447="","",COUNTIFS(Ejecucion[No. Solicitud],Registro!B447,Ejecucion[Estado],"Finalizado"))</f>
        <v/>
      </c>
      <c r="X447" s="38" t="str">
        <f>IF(B447="","",COUNTIFS(Ejecucion[No. Solicitud],Registro!B447,Ejecucion[Estado],"No Iniciado"))</f>
        <v/>
      </c>
      <c r="Y447" s="64" t="str">
        <f>IF(B447="","",COUNTIFS(Ejecucion[No. Solicitud],Registro!B447,Ejecucion[Estado],"En Proceso"))</f>
        <v/>
      </c>
      <c r="Z447" s="64" t="str">
        <f t="shared" si="15"/>
        <v/>
      </c>
      <c r="AA447" s="64"/>
      <c r="AB447" s="64"/>
      <c r="AC447" s="64"/>
      <c r="AD447" s="102"/>
    </row>
    <row r="448" spans="2:30" s="15" customFormat="1">
      <c r="B448" s="36"/>
      <c r="C448" s="102"/>
      <c r="D448" s="36"/>
      <c r="E448" s="22"/>
      <c r="F448" s="83"/>
      <c r="G448" s="83"/>
      <c r="H448" s="25"/>
      <c r="I448" s="25"/>
      <c r="J448" s="25"/>
      <c r="K448" s="25"/>
      <c r="L448" s="36"/>
      <c r="M448" s="36"/>
      <c r="N448" s="36"/>
      <c r="O448" s="102"/>
      <c r="P448" s="36"/>
      <c r="Q448" s="36"/>
      <c r="R448" s="37"/>
      <c r="S448" s="37"/>
      <c r="T448" s="60" t="str">
        <f t="shared" si="14"/>
        <v/>
      </c>
      <c r="U448" s="38"/>
      <c r="V448" s="38"/>
      <c r="W448" s="38" t="str">
        <f>IF(B448="","",COUNTIFS(Ejecucion[No. Solicitud],Registro!B448,Ejecucion[Estado],"Finalizado"))</f>
        <v/>
      </c>
      <c r="X448" s="38" t="str">
        <f>IF(B448="","",COUNTIFS(Ejecucion[No. Solicitud],Registro!B448,Ejecucion[Estado],"No Iniciado"))</f>
        <v/>
      </c>
      <c r="Y448" s="64" t="str">
        <f>IF(B448="","",COUNTIFS(Ejecucion[No. Solicitud],Registro!B448,Ejecucion[Estado],"En Proceso"))</f>
        <v/>
      </c>
      <c r="Z448" s="64" t="str">
        <f t="shared" si="15"/>
        <v/>
      </c>
      <c r="AA448" s="64"/>
      <c r="AB448" s="64"/>
      <c r="AC448" s="64"/>
      <c r="AD448" s="102"/>
    </row>
    <row r="449" spans="2:30" s="15" customFormat="1">
      <c r="B449" s="36"/>
      <c r="C449" s="102"/>
      <c r="D449" s="36"/>
      <c r="E449" s="22"/>
      <c r="F449" s="83"/>
      <c r="G449" s="83"/>
      <c r="H449" s="25"/>
      <c r="I449" s="25"/>
      <c r="J449" s="25"/>
      <c r="K449" s="25"/>
      <c r="L449" s="36"/>
      <c r="M449" s="36"/>
      <c r="N449" s="36"/>
      <c r="O449" s="102"/>
      <c r="P449" s="36"/>
      <c r="Q449" s="36"/>
      <c r="R449" s="37"/>
      <c r="S449" s="37"/>
      <c r="T449" s="60" t="str">
        <f t="shared" si="14"/>
        <v/>
      </c>
      <c r="U449" s="38"/>
      <c r="V449" s="38"/>
      <c r="W449" s="38" t="str">
        <f>IF(B449="","",COUNTIFS(Ejecucion[No. Solicitud],Registro!B449,Ejecucion[Estado],"Finalizado"))</f>
        <v/>
      </c>
      <c r="X449" s="38" t="str">
        <f>IF(B449="","",COUNTIFS(Ejecucion[No. Solicitud],Registro!B449,Ejecucion[Estado],"No Iniciado"))</f>
        <v/>
      </c>
      <c r="Y449" s="64" t="str">
        <f>IF(B449="","",COUNTIFS(Ejecucion[No. Solicitud],Registro!B449,Ejecucion[Estado],"En Proceso"))</f>
        <v/>
      </c>
      <c r="Z449" s="64" t="str">
        <f t="shared" si="15"/>
        <v/>
      </c>
      <c r="AA449" s="64"/>
      <c r="AB449" s="64"/>
      <c r="AC449" s="64"/>
      <c r="AD449" s="102"/>
    </row>
    <row r="450" spans="2:30" s="15" customFormat="1">
      <c r="B450" s="36"/>
      <c r="C450" s="102"/>
      <c r="D450" s="36"/>
      <c r="E450" s="22"/>
      <c r="F450" s="83"/>
      <c r="G450" s="83"/>
      <c r="H450" s="25"/>
      <c r="I450" s="25"/>
      <c r="J450" s="25"/>
      <c r="K450" s="25"/>
      <c r="L450" s="36"/>
      <c r="M450" s="36"/>
      <c r="N450" s="36"/>
      <c r="O450" s="102"/>
      <c r="P450" s="36"/>
      <c r="Q450" s="36"/>
      <c r="R450" s="37"/>
      <c r="S450" s="37"/>
      <c r="T450" s="60" t="str">
        <f t="shared" si="14"/>
        <v/>
      </c>
      <c r="U450" s="38"/>
      <c r="V450" s="38"/>
      <c r="W450" s="38" t="str">
        <f>IF(B450="","",COUNTIFS(Ejecucion[No. Solicitud],Registro!B450,Ejecucion[Estado],"Finalizado"))</f>
        <v/>
      </c>
      <c r="X450" s="38" t="str">
        <f>IF(B450="","",COUNTIFS(Ejecucion[No. Solicitud],Registro!B450,Ejecucion[Estado],"No Iniciado"))</f>
        <v/>
      </c>
      <c r="Y450" s="64" t="str">
        <f>IF(B450="","",COUNTIFS(Ejecucion[No. Solicitud],Registro!B450,Ejecucion[Estado],"En Proceso"))</f>
        <v/>
      </c>
      <c r="Z450" s="64" t="str">
        <f t="shared" si="15"/>
        <v/>
      </c>
      <c r="AA450" s="64"/>
      <c r="AB450" s="64"/>
      <c r="AC450" s="64"/>
      <c r="AD450" s="102"/>
    </row>
    <row r="451" spans="2:30" s="15" customFormat="1">
      <c r="B451" s="36"/>
      <c r="C451" s="102"/>
      <c r="D451" s="36"/>
      <c r="E451" s="22"/>
      <c r="F451" s="83"/>
      <c r="G451" s="83"/>
      <c r="H451" s="25"/>
      <c r="I451" s="25"/>
      <c r="J451" s="25"/>
      <c r="K451" s="25"/>
      <c r="L451" s="36"/>
      <c r="M451" s="36"/>
      <c r="N451" s="36"/>
      <c r="O451" s="102"/>
      <c r="P451" s="36"/>
      <c r="Q451" s="36"/>
      <c r="R451" s="37"/>
      <c r="S451" s="37"/>
      <c r="T451" s="60" t="str">
        <f t="shared" si="14"/>
        <v/>
      </c>
      <c r="U451" s="38"/>
      <c r="V451" s="38"/>
      <c r="W451" s="38" t="str">
        <f>IF(B451="","",COUNTIFS(Ejecucion[No. Solicitud],Registro!B451,Ejecucion[Estado],"Finalizado"))</f>
        <v/>
      </c>
      <c r="X451" s="38" t="str">
        <f>IF(B451="","",COUNTIFS(Ejecucion[No. Solicitud],Registro!B451,Ejecucion[Estado],"No Iniciado"))</f>
        <v/>
      </c>
      <c r="Y451" s="64" t="str">
        <f>IF(B451="","",COUNTIFS(Ejecucion[No. Solicitud],Registro!B451,Ejecucion[Estado],"En Proceso"))</f>
        <v/>
      </c>
      <c r="Z451" s="64" t="str">
        <f t="shared" si="15"/>
        <v/>
      </c>
      <c r="AA451" s="64"/>
      <c r="AB451" s="64"/>
      <c r="AC451" s="64"/>
      <c r="AD451" s="102"/>
    </row>
    <row r="452" spans="2:30" s="15" customFormat="1">
      <c r="B452" s="36"/>
      <c r="C452" s="102"/>
      <c r="D452" s="36"/>
      <c r="E452" s="22"/>
      <c r="F452" s="83"/>
      <c r="G452" s="83"/>
      <c r="H452" s="25"/>
      <c r="I452" s="25"/>
      <c r="J452" s="25"/>
      <c r="K452" s="25"/>
      <c r="L452" s="36"/>
      <c r="M452" s="36"/>
      <c r="N452" s="36"/>
      <c r="O452" s="102"/>
      <c r="P452" s="36"/>
      <c r="Q452" s="36"/>
      <c r="R452" s="37"/>
      <c r="S452" s="37"/>
      <c r="T452" s="60" t="str">
        <f t="shared" si="14"/>
        <v/>
      </c>
      <c r="U452" s="38"/>
      <c r="V452" s="38"/>
      <c r="W452" s="38" t="str">
        <f>IF(B452="","",COUNTIFS(Ejecucion[No. Solicitud],Registro!B452,Ejecucion[Estado],"Finalizado"))</f>
        <v/>
      </c>
      <c r="X452" s="38" t="str">
        <f>IF(B452="","",COUNTIFS(Ejecucion[No. Solicitud],Registro!B452,Ejecucion[Estado],"No Iniciado"))</f>
        <v/>
      </c>
      <c r="Y452" s="64" t="str">
        <f>IF(B452="","",COUNTIFS(Ejecucion[No. Solicitud],Registro!B452,Ejecucion[Estado],"En Proceso"))</f>
        <v/>
      </c>
      <c r="Z452" s="64" t="str">
        <f t="shared" si="15"/>
        <v/>
      </c>
      <c r="AA452" s="64"/>
      <c r="AB452" s="64"/>
      <c r="AC452" s="64"/>
      <c r="AD452" s="102"/>
    </row>
    <row r="453" spans="2:30" s="15" customFormat="1">
      <c r="B453" s="36"/>
      <c r="C453" s="102"/>
      <c r="D453" s="36"/>
      <c r="E453" s="22"/>
      <c r="F453" s="83"/>
      <c r="G453" s="83"/>
      <c r="H453" s="25"/>
      <c r="I453" s="25"/>
      <c r="J453" s="25"/>
      <c r="K453" s="25"/>
      <c r="L453" s="36"/>
      <c r="M453" s="36"/>
      <c r="N453" s="36"/>
      <c r="O453" s="102"/>
      <c r="P453" s="36"/>
      <c r="Q453" s="36"/>
      <c r="R453" s="37"/>
      <c r="S453" s="37"/>
      <c r="T453" s="60" t="str">
        <f t="shared" si="14"/>
        <v/>
      </c>
      <c r="U453" s="38"/>
      <c r="V453" s="38"/>
      <c r="W453" s="38" t="str">
        <f>IF(B453="","",COUNTIFS(Ejecucion[No. Solicitud],Registro!B453,Ejecucion[Estado],"Finalizado"))</f>
        <v/>
      </c>
      <c r="X453" s="38" t="str">
        <f>IF(B453="","",COUNTIFS(Ejecucion[No. Solicitud],Registro!B453,Ejecucion[Estado],"No Iniciado"))</f>
        <v/>
      </c>
      <c r="Y453" s="64" t="str">
        <f>IF(B453="","",COUNTIFS(Ejecucion[No. Solicitud],Registro!B453,Ejecucion[Estado],"En Proceso"))</f>
        <v/>
      </c>
      <c r="Z453" s="64" t="str">
        <f t="shared" si="15"/>
        <v/>
      </c>
      <c r="AA453" s="64"/>
      <c r="AB453" s="64"/>
      <c r="AC453" s="64"/>
      <c r="AD453" s="102"/>
    </row>
    <row r="454" spans="2:30" s="15" customFormat="1">
      <c r="B454" s="36"/>
      <c r="C454" s="102"/>
      <c r="D454" s="36"/>
      <c r="E454" s="22"/>
      <c r="F454" s="83"/>
      <c r="G454" s="83"/>
      <c r="H454" s="25"/>
      <c r="I454" s="25"/>
      <c r="J454" s="25"/>
      <c r="K454" s="25"/>
      <c r="L454" s="36"/>
      <c r="M454" s="36"/>
      <c r="N454" s="36"/>
      <c r="O454" s="102"/>
      <c r="P454" s="36"/>
      <c r="Q454" s="36"/>
      <c r="R454" s="37"/>
      <c r="S454" s="37"/>
      <c r="T454" s="60" t="str">
        <f t="shared" si="14"/>
        <v/>
      </c>
      <c r="U454" s="38"/>
      <c r="V454" s="38"/>
      <c r="W454" s="38" t="str">
        <f>IF(B454="","",COUNTIFS(Ejecucion[No. Solicitud],Registro!B454,Ejecucion[Estado],"Finalizado"))</f>
        <v/>
      </c>
      <c r="X454" s="38" t="str">
        <f>IF(B454="","",COUNTIFS(Ejecucion[No. Solicitud],Registro!B454,Ejecucion[Estado],"No Iniciado"))</f>
        <v/>
      </c>
      <c r="Y454" s="64" t="str">
        <f>IF(B454="","",COUNTIFS(Ejecucion[No. Solicitud],Registro!B454,Ejecucion[Estado],"En Proceso"))</f>
        <v/>
      </c>
      <c r="Z454" s="64" t="str">
        <f t="shared" si="15"/>
        <v/>
      </c>
      <c r="AA454" s="64"/>
      <c r="AB454" s="64"/>
      <c r="AC454" s="64"/>
      <c r="AD454" s="102"/>
    </row>
    <row r="455" spans="2:30" s="15" customFormat="1">
      <c r="B455" s="36"/>
      <c r="C455" s="102"/>
      <c r="D455" s="36"/>
      <c r="E455" s="22"/>
      <c r="F455" s="83"/>
      <c r="G455" s="83"/>
      <c r="H455" s="25"/>
      <c r="I455" s="25"/>
      <c r="J455" s="25"/>
      <c r="K455" s="25"/>
      <c r="L455" s="36"/>
      <c r="M455" s="36"/>
      <c r="N455" s="36"/>
      <c r="O455" s="102"/>
      <c r="P455" s="36"/>
      <c r="Q455" s="36"/>
      <c r="R455" s="37"/>
      <c r="S455" s="37"/>
      <c r="T455" s="60" t="str">
        <f t="shared" si="14"/>
        <v/>
      </c>
      <c r="U455" s="38"/>
      <c r="V455" s="38"/>
      <c r="W455" s="38" t="str">
        <f>IF(B455="","",COUNTIFS(Ejecucion[No. Solicitud],Registro!B455,Ejecucion[Estado],"Finalizado"))</f>
        <v/>
      </c>
      <c r="X455" s="38" t="str">
        <f>IF(B455="","",COUNTIFS(Ejecucion[No. Solicitud],Registro!B455,Ejecucion[Estado],"No Iniciado"))</f>
        <v/>
      </c>
      <c r="Y455" s="64" t="str">
        <f>IF(B455="","",COUNTIFS(Ejecucion[No. Solicitud],Registro!B455,Ejecucion[Estado],"En Proceso"))</f>
        <v/>
      </c>
      <c r="Z455" s="64" t="str">
        <f t="shared" si="15"/>
        <v/>
      </c>
      <c r="AA455" s="64"/>
      <c r="AB455" s="64"/>
      <c r="AC455" s="64"/>
      <c r="AD455" s="102"/>
    </row>
    <row r="456" spans="2:30" s="15" customFormat="1">
      <c r="B456" s="36"/>
      <c r="C456" s="102"/>
      <c r="D456" s="36"/>
      <c r="E456" s="22"/>
      <c r="F456" s="83"/>
      <c r="G456" s="83"/>
      <c r="H456" s="25"/>
      <c r="I456" s="25"/>
      <c r="J456" s="25"/>
      <c r="K456" s="25"/>
      <c r="L456" s="36"/>
      <c r="M456" s="36"/>
      <c r="N456" s="36"/>
      <c r="O456" s="102"/>
      <c r="P456" s="36"/>
      <c r="Q456" s="36"/>
      <c r="R456" s="37"/>
      <c r="S456" s="37"/>
      <c r="T456" s="60" t="str">
        <f t="shared" ref="T456:T519" si="16">IF(U456="","",IF(U456=W456,1,0))</f>
        <v/>
      </c>
      <c r="U456" s="38"/>
      <c r="V456" s="38"/>
      <c r="W456" s="38" t="str">
        <f>IF(B456="","",COUNTIFS(Ejecucion[No. Solicitud],Registro!B456,Ejecucion[Estado],"Finalizado"))</f>
        <v/>
      </c>
      <c r="X456" s="38" t="str">
        <f>IF(B456="","",COUNTIFS(Ejecucion[No. Solicitud],Registro!B456,Ejecucion[Estado],"No Iniciado"))</f>
        <v/>
      </c>
      <c r="Y456" s="64" t="str">
        <f>IF(B456="","",COUNTIFS(Ejecucion[No. Solicitud],Registro!B456,Ejecucion[Estado],"En Proceso"))</f>
        <v/>
      </c>
      <c r="Z456" s="64" t="str">
        <f t="shared" si="15"/>
        <v/>
      </c>
      <c r="AA456" s="64"/>
      <c r="AB456" s="64"/>
      <c r="AC456" s="64"/>
      <c r="AD456" s="102"/>
    </row>
    <row r="457" spans="2:30" s="15" customFormat="1">
      <c r="B457" s="36"/>
      <c r="C457" s="102"/>
      <c r="D457" s="36"/>
      <c r="E457" s="22"/>
      <c r="F457" s="83"/>
      <c r="G457" s="83"/>
      <c r="H457" s="25"/>
      <c r="I457" s="25"/>
      <c r="J457" s="25"/>
      <c r="K457" s="25"/>
      <c r="L457" s="36"/>
      <c r="M457" s="36"/>
      <c r="N457" s="36"/>
      <c r="O457" s="102"/>
      <c r="P457" s="36"/>
      <c r="Q457" s="36"/>
      <c r="R457" s="37"/>
      <c r="S457" s="37"/>
      <c r="T457" s="60" t="str">
        <f t="shared" si="16"/>
        <v/>
      </c>
      <c r="U457" s="38"/>
      <c r="V457" s="38"/>
      <c r="W457" s="38" t="str">
        <f>IF(B457="","",COUNTIFS(Ejecucion[No. Solicitud],Registro!B457,Ejecucion[Estado],"Finalizado"))</f>
        <v/>
      </c>
      <c r="X457" s="38" t="str">
        <f>IF(B457="","",COUNTIFS(Ejecucion[No. Solicitud],Registro!B457,Ejecucion[Estado],"No Iniciado"))</f>
        <v/>
      </c>
      <c r="Y457" s="64" t="str">
        <f>IF(B457="","",COUNTIFS(Ejecucion[No. Solicitud],Registro!B457,Ejecucion[Estado],"En Proceso"))</f>
        <v/>
      </c>
      <c r="Z457" s="64" t="str">
        <f t="shared" si="15"/>
        <v/>
      </c>
      <c r="AA457" s="64"/>
      <c r="AB457" s="64"/>
      <c r="AC457" s="64"/>
      <c r="AD457" s="102"/>
    </row>
    <row r="458" spans="2:30" s="15" customFormat="1">
      <c r="B458" s="36"/>
      <c r="C458" s="102"/>
      <c r="D458" s="36"/>
      <c r="E458" s="22"/>
      <c r="F458" s="83"/>
      <c r="G458" s="83"/>
      <c r="H458" s="25"/>
      <c r="I458" s="25"/>
      <c r="J458" s="25"/>
      <c r="K458" s="25"/>
      <c r="L458" s="36"/>
      <c r="M458" s="36"/>
      <c r="N458" s="36"/>
      <c r="O458" s="102"/>
      <c r="P458" s="36"/>
      <c r="Q458" s="36"/>
      <c r="R458" s="37"/>
      <c r="S458" s="37"/>
      <c r="T458" s="60" t="str">
        <f t="shared" si="16"/>
        <v/>
      </c>
      <c r="U458" s="38"/>
      <c r="V458" s="38"/>
      <c r="W458" s="38" t="str">
        <f>IF(B458="","",COUNTIFS(Ejecucion[No. Solicitud],Registro!B458,Ejecucion[Estado],"Finalizado"))</f>
        <v/>
      </c>
      <c r="X458" s="38" t="str">
        <f>IF(B458="","",COUNTIFS(Ejecucion[No. Solicitud],Registro!B458,Ejecucion[Estado],"No Iniciado"))</f>
        <v/>
      </c>
      <c r="Y458" s="64" t="str">
        <f>IF(B458="","",COUNTIFS(Ejecucion[No. Solicitud],Registro!B458,Ejecucion[Estado],"En Proceso"))</f>
        <v/>
      </c>
      <c r="Z458" s="64" t="str">
        <f t="shared" si="15"/>
        <v/>
      </c>
      <c r="AA458" s="64"/>
      <c r="AB458" s="64"/>
      <c r="AC458" s="64"/>
      <c r="AD458" s="102"/>
    </row>
    <row r="459" spans="2:30" s="15" customFormat="1">
      <c r="B459" s="36"/>
      <c r="C459" s="102"/>
      <c r="D459" s="36"/>
      <c r="E459" s="22"/>
      <c r="F459" s="83"/>
      <c r="G459" s="83"/>
      <c r="H459" s="25"/>
      <c r="I459" s="25"/>
      <c r="J459" s="25"/>
      <c r="K459" s="25"/>
      <c r="L459" s="36"/>
      <c r="M459" s="36"/>
      <c r="N459" s="36"/>
      <c r="O459" s="102"/>
      <c r="P459" s="36"/>
      <c r="Q459" s="36"/>
      <c r="R459" s="37"/>
      <c r="S459" s="37"/>
      <c r="T459" s="60" t="str">
        <f t="shared" si="16"/>
        <v/>
      </c>
      <c r="U459" s="38"/>
      <c r="V459" s="38"/>
      <c r="W459" s="38" t="str">
        <f>IF(B459="","",COUNTIFS(Ejecucion[No. Solicitud],Registro!B459,Ejecucion[Estado],"Finalizado"))</f>
        <v/>
      </c>
      <c r="X459" s="38" t="str">
        <f>IF(B459="","",COUNTIFS(Ejecucion[No. Solicitud],Registro!B459,Ejecucion[Estado],"No Iniciado"))</f>
        <v/>
      </c>
      <c r="Y459" s="64" t="str">
        <f>IF(B459="","",COUNTIFS(Ejecucion[No. Solicitud],Registro!B459,Ejecucion[Estado],"En Proceso"))</f>
        <v/>
      </c>
      <c r="Z459" s="64" t="str">
        <f t="shared" si="15"/>
        <v/>
      </c>
      <c r="AA459" s="64"/>
      <c r="AB459" s="64"/>
      <c r="AC459" s="64"/>
      <c r="AD459" s="102"/>
    </row>
    <row r="460" spans="2:30" s="15" customFormat="1">
      <c r="B460" s="36"/>
      <c r="C460" s="102"/>
      <c r="D460" s="36"/>
      <c r="E460" s="22"/>
      <c r="F460" s="83"/>
      <c r="G460" s="83"/>
      <c r="H460" s="25"/>
      <c r="I460" s="25"/>
      <c r="J460" s="25"/>
      <c r="K460" s="25"/>
      <c r="L460" s="36"/>
      <c r="M460" s="36"/>
      <c r="N460" s="36"/>
      <c r="O460" s="102"/>
      <c r="P460" s="36"/>
      <c r="Q460" s="36"/>
      <c r="R460" s="37"/>
      <c r="S460" s="37"/>
      <c r="T460" s="60" t="str">
        <f t="shared" si="16"/>
        <v/>
      </c>
      <c r="U460" s="38"/>
      <c r="V460" s="38"/>
      <c r="W460" s="38" t="str">
        <f>IF(B460="","",COUNTIFS(Ejecucion[No. Solicitud],Registro!B460,Ejecucion[Estado],"Finalizado"))</f>
        <v/>
      </c>
      <c r="X460" s="38" t="str">
        <f>IF(B460="","",COUNTIFS(Ejecucion[No. Solicitud],Registro!B460,Ejecucion[Estado],"No Iniciado"))</f>
        <v/>
      </c>
      <c r="Y460" s="64" t="str">
        <f>IF(B460="","",COUNTIFS(Ejecucion[No. Solicitud],Registro!B460,Ejecucion[Estado],"En Proceso"))</f>
        <v/>
      </c>
      <c r="Z460" s="64" t="str">
        <f t="shared" si="15"/>
        <v/>
      </c>
      <c r="AA460" s="64"/>
      <c r="AB460" s="64"/>
      <c r="AC460" s="64"/>
      <c r="AD460" s="102"/>
    </row>
    <row r="461" spans="2:30" s="15" customFormat="1">
      <c r="B461" s="36"/>
      <c r="C461" s="102"/>
      <c r="D461" s="36"/>
      <c r="E461" s="22"/>
      <c r="F461" s="83"/>
      <c r="G461" s="83"/>
      <c r="H461" s="25"/>
      <c r="I461" s="25"/>
      <c r="J461" s="25"/>
      <c r="K461" s="25"/>
      <c r="L461" s="36"/>
      <c r="M461" s="36"/>
      <c r="N461" s="36"/>
      <c r="O461" s="102"/>
      <c r="P461" s="36"/>
      <c r="Q461" s="36"/>
      <c r="R461" s="37"/>
      <c r="S461" s="37"/>
      <c r="T461" s="60" t="str">
        <f t="shared" si="16"/>
        <v/>
      </c>
      <c r="U461" s="38"/>
      <c r="V461" s="38"/>
      <c r="W461" s="38" t="str">
        <f>IF(B461="","",COUNTIFS(Ejecucion[No. Solicitud],Registro!B461,Ejecucion[Estado],"Finalizado"))</f>
        <v/>
      </c>
      <c r="X461" s="38" t="str">
        <f>IF(B461="","",COUNTIFS(Ejecucion[No. Solicitud],Registro!B461,Ejecucion[Estado],"No Iniciado"))</f>
        <v/>
      </c>
      <c r="Y461" s="64" t="str">
        <f>IF(B461="","",COUNTIFS(Ejecucion[No. Solicitud],Registro!B461,Ejecucion[Estado],"En Proceso"))</f>
        <v/>
      </c>
      <c r="Z461" s="64" t="str">
        <f t="shared" si="15"/>
        <v/>
      </c>
      <c r="AA461" s="64"/>
      <c r="AB461" s="64"/>
      <c r="AC461" s="64"/>
      <c r="AD461" s="102"/>
    </row>
    <row r="462" spans="2:30" s="15" customFormat="1">
      <c r="B462" s="36"/>
      <c r="C462" s="102"/>
      <c r="D462" s="36"/>
      <c r="E462" s="22"/>
      <c r="F462" s="83"/>
      <c r="G462" s="83"/>
      <c r="H462" s="25"/>
      <c r="I462" s="25"/>
      <c r="J462" s="25"/>
      <c r="K462" s="25"/>
      <c r="L462" s="36"/>
      <c r="M462" s="36"/>
      <c r="N462" s="36"/>
      <c r="O462" s="102"/>
      <c r="P462" s="36"/>
      <c r="Q462" s="36"/>
      <c r="R462" s="37"/>
      <c r="S462" s="37"/>
      <c r="T462" s="60" t="str">
        <f t="shared" si="16"/>
        <v/>
      </c>
      <c r="U462" s="38"/>
      <c r="V462" s="38"/>
      <c r="W462" s="38" t="str">
        <f>IF(B462="","",COUNTIFS(Ejecucion[No. Solicitud],Registro!B462,Ejecucion[Estado],"Finalizado"))</f>
        <v/>
      </c>
      <c r="X462" s="38" t="str">
        <f>IF(B462="","",COUNTIFS(Ejecucion[No. Solicitud],Registro!B462,Ejecucion[Estado],"No Iniciado"))</f>
        <v/>
      </c>
      <c r="Y462" s="64" t="str">
        <f>IF(B462="","",COUNTIFS(Ejecucion[No. Solicitud],Registro!B462,Ejecucion[Estado],"En Proceso"))</f>
        <v/>
      </c>
      <c r="Z462" s="64" t="str">
        <f t="shared" si="15"/>
        <v/>
      </c>
      <c r="AA462" s="64"/>
      <c r="AB462" s="64"/>
      <c r="AC462" s="64"/>
      <c r="AD462" s="102"/>
    </row>
    <row r="463" spans="2:30" s="15" customFormat="1">
      <c r="B463" s="36"/>
      <c r="C463" s="102"/>
      <c r="D463" s="36"/>
      <c r="E463" s="22"/>
      <c r="F463" s="83"/>
      <c r="G463" s="83"/>
      <c r="H463" s="25"/>
      <c r="I463" s="25"/>
      <c r="J463" s="25"/>
      <c r="K463" s="25"/>
      <c r="L463" s="36"/>
      <c r="M463" s="36"/>
      <c r="N463" s="36"/>
      <c r="O463" s="102"/>
      <c r="P463" s="36"/>
      <c r="Q463" s="36"/>
      <c r="R463" s="37"/>
      <c r="S463" s="37"/>
      <c r="T463" s="60" t="str">
        <f t="shared" si="16"/>
        <v/>
      </c>
      <c r="U463" s="38"/>
      <c r="V463" s="38"/>
      <c r="W463" s="38" t="str">
        <f>IF(B463="","",COUNTIFS(Ejecucion[No. Solicitud],Registro!B463,Ejecucion[Estado],"Finalizado"))</f>
        <v/>
      </c>
      <c r="X463" s="38" t="str">
        <f>IF(B463="","",COUNTIFS(Ejecucion[No. Solicitud],Registro!B463,Ejecucion[Estado],"No Iniciado"))</f>
        <v/>
      </c>
      <c r="Y463" s="64" t="str">
        <f>IF(B463="","",COUNTIFS(Ejecucion[No. Solicitud],Registro!B463,Ejecucion[Estado],"En Proceso"))</f>
        <v/>
      </c>
      <c r="Z463" s="64" t="str">
        <f t="shared" si="15"/>
        <v/>
      </c>
      <c r="AA463" s="64"/>
      <c r="AB463" s="64"/>
      <c r="AC463" s="64"/>
      <c r="AD463" s="102"/>
    </row>
    <row r="464" spans="2:30" s="15" customFormat="1">
      <c r="B464" s="36"/>
      <c r="C464" s="102"/>
      <c r="D464" s="36"/>
      <c r="E464" s="22"/>
      <c r="F464" s="83"/>
      <c r="G464" s="83"/>
      <c r="H464" s="25"/>
      <c r="I464" s="25"/>
      <c r="J464" s="25"/>
      <c r="K464" s="25"/>
      <c r="L464" s="36"/>
      <c r="M464" s="36"/>
      <c r="N464" s="36"/>
      <c r="O464" s="102"/>
      <c r="P464" s="36"/>
      <c r="Q464" s="36"/>
      <c r="R464" s="37"/>
      <c r="S464" s="37"/>
      <c r="T464" s="60" t="str">
        <f t="shared" si="16"/>
        <v/>
      </c>
      <c r="U464" s="38"/>
      <c r="V464" s="38"/>
      <c r="W464" s="38" t="str">
        <f>IF(B464="","",COUNTIFS(Ejecucion[No. Solicitud],Registro!B464,Ejecucion[Estado],"Finalizado"))</f>
        <v/>
      </c>
      <c r="X464" s="38" t="str">
        <f>IF(B464="","",COUNTIFS(Ejecucion[No. Solicitud],Registro!B464,Ejecucion[Estado],"No Iniciado"))</f>
        <v/>
      </c>
      <c r="Y464" s="64" t="str">
        <f>IF(B464="","",COUNTIFS(Ejecucion[No. Solicitud],Registro!B464,Ejecucion[Estado],"En Proceso"))</f>
        <v/>
      </c>
      <c r="Z464" s="64" t="str">
        <f t="shared" si="15"/>
        <v/>
      </c>
      <c r="AA464" s="64"/>
      <c r="AB464" s="64"/>
      <c r="AC464" s="64"/>
      <c r="AD464" s="102"/>
    </row>
    <row r="465" spans="2:30" s="15" customFormat="1">
      <c r="B465" s="36"/>
      <c r="C465" s="102"/>
      <c r="D465" s="36"/>
      <c r="E465" s="22"/>
      <c r="F465" s="83"/>
      <c r="G465" s="83"/>
      <c r="H465" s="25"/>
      <c r="I465" s="25"/>
      <c r="J465" s="25"/>
      <c r="K465" s="25"/>
      <c r="L465" s="36"/>
      <c r="M465" s="36"/>
      <c r="N465" s="36"/>
      <c r="O465" s="102"/>
      <c r="P465" s="36"/>
      <c r="Q465" s="36"/>
      <c r="R465" s="37"/>
      <c r="S465" s="37"/>
      <c r="T465" s="60" t="str">
        <f t="shared" si="16"/>
        <v/>
      </c>
      <c r="U465" s="38"/>
      <c r="V465" s="38"/>
      <c r="W465" s="38" t="str">
        <f>IF(B465="","",COUNTIFS(Ejecucion[No. Solicitud],Registro!B465,Ejecucion[Estado],"Finalizado"))</f>
        <v/>
      </c>
      <c r="X465" s="38" t="str">
        <f>IF(B465="","",COUNTIFS(Ejecucion[No. Solicitud],Registro!B465,Ejecucion[Estado],"No Iniciado"))</f>
        <v/>
      </c>
      <c r="Y465" s="64" t="str">
        <f>IF(B465="","",COUNTIFS(Ejecucion[No. Solicitud],Registro!B465,Ejecucion[Estado],"En Proceso"))</f>
        <v/>
      </c>
      <c r="Z465" s="64" t="str">
        <f t="shared" si="15"/>
        <v/>
      </c>
      <c r="AA465" s="64"/>
      <c r="AB465" s="64"/>
      <c r="AC465" s="64"/>
      <c r="AD465" s="102"/>
    </row>
    <row r="466" spans="2:30" s="15" customFormat="1">
      <c r="B466" s="36"/>
      <c r="C466" s="102"/>
      <c r="D466" s="36"/>
      <c r="E466" s="22"/>
      <c r="F466" s="83"/>
      <c r="G466" s="83"/>
      <c r="H466" s="25"/>
      <c r="I466" s="25"/>
      <c r="J466" s="25"/>
      <c r="K466" s="25"/>
      <c r="L466" s="36"/>
      <c r="M466" s="36"/>
      <c r="N466" s="36"/>
      <c r="O466" s="102"/>
      <c r="P466" s="36"/>
      <c r="Q466" s="36"/>
      <c r="R466" s="37"/>
      <c r="S466" s="37"/>
      <c r="T466" s="60" t="str">
        <f t="shared" si="16"/>
        <v/>
      </c>
      <c r="U466" s="38"/>
      <c r="V466" s="38"/>
      <c r="W466" s="38" t="str">
        <f>IF(B466="","",COUNTIFS(Ejecucion[No. Solicitud],Registro!B466,Ejecucion[Estado],"Finalizado"))</f>
        <v/>
      </c>
      <c r="X466" s="38" t="str">
        <f>IF(B466="","",COUNTIFS(Ejecucion[No. Solicitud],Registro!B466,Ejecucion[Estado],"No Iniciado"))</f>
        <v/>
      </c>
      <c r="Y466" s="64" t="str">
        <f>IF(B466="","",COUNTIFS(Ejecucion[No. Solicitud],Registro!B466,Ejecucion[Estado],"En Proceso"))</f>
        <v/>
      </c>
      <c r="Z466" s="64" t="str">
        <f t="shared" si="15"/>
        <v/>
      </c>
      <c r="AA466" s="64"/>
      <c r="AB466" s="64"/>
      <c r="AC466" s="64"/>
      <c r="AD466" s="102"/>
    </row>
    <row r="467" spans="2:30" s="15" customFormat="1">
      <c r="B467" s="36"/>
      <c r="C467" s="102"/>
      <c r="D467" s="36"/>
      <c r="E467" s="22"/>
      <c r="F467" s="83"/>
      <c r="G467" s="83"/>
      <c r="H467" s="25"/>
      <c r="I467" s="25"/>
      <c r="J467" s="25"/>
      <c r="K467" s="25"/>
      <c r="L467" s="36"/>
      <c r="M467" s="36"/>
      <c r="N467" s="36"/>
      <c r="O467" s="102"/>
      <c r="P467" s="36"/>
      <c r="Q467" s="36"/>
      <c r="R467" s="37"/>
      <c r="S467" s="37"/>
      <c r="T467" s="60" t="str">
        <f t="shared" si="16"/>
        <v/>
      </c>
      <c r="U467" s="38"/>
      <c r="V467" s="38"/>
      <c r="W467" s="38" t="str">
        <f>IF(B467="","",COUNTIFS(Ejecucion[No. Solicitud],Registro!B467,Ejecucion[Estado],"Finalizado"))</f>
        <v/>
      </c>
      <c r="X467" s="38" t="str">
        <f>IF(B467="","",COUNTIFS(Ejecucion[No. Solicitud],Registro!B467,Ejecucion[Estado],"No Iniciado"))</f>
        <v/>
      </c>
      <c r="Y467" s="64" t="str">
        <f>IF(B467="","",COUNTIFS(Ejecucion[No. Solicitud],Registro!B467,Ejecucion[Estado],"En Proceso"))</f>
        <v/>
      </c>
      <c r="Z467" s="64" t="str">
        <f t="shared" si="15"/>
        <v/>
      </c>
      <c r="AA467" s="64"/>
      <c r="AB467" s="64"/>
      <c r="AC467" s="64"/>
      <c r="AD467" s="102"/>
    </row>
    <row r="468" spans="2:30" s="15" customFormat="1">
      <c r="B468" s="36"/>
      <c r="C468" s="102"/>
      <c r="D468" s="36"/>
      <c r="E468" s="22"/>
      <c r="F468" s="83"/>
      <c r="G468" s="83"/>
      <c r="H468" s="25"/>
      <c r="I468" s="25"/>
      <c r="J468" s="25"/>
      <c r="K468" s="25"/>
      <c r="L468" s="36"/>
      <c r="M468" s="36"/>
      <c r="N468" s="36"/>
      <c r="O468" s="102"/>
      <c r="P468" s="36"/>
      <c r="Q468" s="36"/>
      <c r="R468" s="37"/>
      <c r="S468" s="37"/>
      <c r="T468" s="60" t="str">
        <f t="shared" si="16"/>
        <v/>
      </c>
      <c r="U468" s="38"/>
      <c r="V468" s="38"/>
      <c r="W468" s="38" t="str">
        <f>IF(B468="","",COUNTIFS(Ejecucion[No. Solicitud],Registro!B468,Ejecucion[Estado],"Finalizado"))</f>
        <v/>
      </c>
      <c r="X468" s="38" t="str">
        <f>IF(B468="","",COUNTIFS(Ejecucion[No. Solicitud],Registro!B468,Ejecucion[Estado],"No Iniciado"))</f>
        <v/>
      </c>
      <c r="Y468" s="64" t="str">
        <f>IF(B468="","",COUNTIFS(Ejecucion[No. Solicitud],Registro!B468,Ejecucion[Estado],"En Proceso"))</f>
        <v/>
      </c>
      <c r="Z468" s="64" t="str">
        <f t="shared" si="15"/>
        <v/>
      </c>
      <c r="AA468" s="64"/>
      <c r="AB468" s="64"/>
      <c r="AC468" s="64"/>
      <c r="AD468" s="102"/>
    </row>
    <row r="469" spans="2:30" s="15" customFormat="1">
      <c r="B469" s="36"/>
      <c r="C469" s="102"/>
      <c r="D469" s="36"/>
      <c r="E469" s="22"/>
      <c r="F469" s="83"/>
      <c r="G469" s="83"/>
      <c r="H469" s="25"/>
      <c r="I469" s="25"/>
      <c r="J469" s="25"/>
      <c r="K469" s="25"/>
      <c r="L469" s="36"/>
      <c r="M469" s="36"/>
      <c r="N469" s="36"/>
      <c r="O469" s="102"/>
      <c r="P469" s="36"/>
      <c r="Q469" s="36"/>
      <c r="R469" s="37"/>
      <c r="S469" s="37"/>
      <c r="T469" s="60" t="str">
        <f t="shared" si="16"/>
        <v/>
      </c>
      <c r="U469" s="38"/>
      <c r="V469" s="38"/>
      <c r="W469" s="38" t="str">
        <f>IF(B469="","",COUNTIFS(Ejecucion[No. Solicitud],Registro!B469,Ejecucion[Estado],"Finalizado"))</f>
        <v/>
      </c>
      <c r="X469" s="38" t="str">
        <f>IF(B469="","",COUNTIFS(Ejecucion[No. Solicitud],Registro!B469,Ejecucion[Estado],"No Iniciado"))</f>
        <v/>
      </c>
      <c r="Y469" s="64" t="str">
        <f>IF(B469="","",COUNTIFS(Ejecucion[No. Solicitud],Registro!B469,Ejecucion[Estado],"En Proceso"))</f>
        <v/>
      </c>
      <c r="Z469" s="64" t="str">
        <f t="shared" si="15"/>
        <v/>
      </c>
      <c r="AA469" s="64"/>
      <c r="AB469" s="64"/>
      <c r="AC469" s="64"/>
      <c r="AD469" s="102"/>
    </row>
    <row r="470" spans="2:30" s="15" customFormat="1">
      <c r="B470" s="36"/>
      <c r="C470" s="102"/>
      <c r="D470" s="36"/>
      <c r="E470" s="22"/>
      <c r="F470" s="83"/>
      <c r="G470" s="83"/>
      <c r="H470" s="25"/>
      <c r="I470" s="25"/>
      <c r="J470" s="25"/>
      <c r="K470" s="25"/>
      <c r="L470" s="36"/>
      <c r="M470" s="36"/>
      <c r="N470" s="36"/>
      <c r="O470" s="102"/>
      <c r="P470" s="36"/>
      <c r="Q470" s="36"/>
      <c r="R470" s="37"/>
      <c r="S470" s="37"/>
      <c r="T470" s="60" t="str">
        <f t="shared" si="16"/>
        <v/>
      </c>
      <c r="U470" s="38"/>
      <c r="V470" s="38"/>
      <c r="W470" s="38" t="str">
        <f>IF(B470="","",COUNTIFS(Ejecucion[No. Solicitud],Registro!B470,Ejecucion[Estado],"Finalizado"))</f>
        <v/>
      </c>
      <c r="X470" s="38" t="str">
        <f>IF(B470="","",COUNTIFS(Ejecucion[No. Solicitud],Registro!B470,Ejecucion[Estado],"No Iniciado"))</f>
        <v/>
      </c>
      <c r="Y470" s="64" t="str">
        <f>IF(B470="","",COUNTIFS(Ejecucion[No. Solicitud],Registro!B470,Ejecucion[Estado],"En Proceso"))</f>
        <v/>
      </c>
      <c r="Z470" s="64" t="str">
        <f t="shared" si="15"/>
        <v/>
      </c>
      <c r="AA470" s="64"/>
      <c r="AB470" s="64"/>
      <c r="AC470" s="64"/>
      <c r="AD470" s="102"/>
    </row>
    <row r="471" spans="2:30" s="15" customFormat="1">
      <c r="B471" s="36"/>
      <c r="C471" s="102"/>
      <c r="D471" s="36"/>
      <c r="E471" s="22"/>
      <c r="F471" s="83"/>
      <c r="G471" s="83"/>
      <c r="H471" s="25"/>
      <c r="I471" s="25"/>
      <c r="J471" s="25"/>
      <c r="K471" s="25"/>
      <c r="L471" s="36"/>
      <c r="M471" s="36"/>
      <c r="N471" s="36"/>
      <c r="O471" s="102"/>
      <c r="P471" s="36"/>
      <c r="Q471" s="36"/>
      <c r="R471" s="37"/>
      <c r="S471" s="37"/>
      <c r="T471" s="60" t="str">
        <f t="shared" si="16"/>
        <v/>
      </c>
      <c r="U471" s="38"/>
      <c r="V471" s="38"/>
      <c r="W471" s="38" t="str">
        <f>IF(B471="","",COUNTIFS(Ejecucion[No. Solicitud],Registro!B471,Ejecucion[Estado],"Finalizado"))</f>
        <v/>
      </c>
      <c r="X471" s="38" t="str">
        <f>IF(B471="","",COUNTIFS(Ejecucion[No. Solicitud],Registro!B471,Ejecucion[Estado],"No Iniciado"))</f>
        <v/>
      </c>
      <c r="Y471" s="64" t="str">
        <f>IF(B471="","",COUNTIFS(Ejecucion[No. Solicitud],Registro!B471,Ejecucion[Estado],"En Proceso"))</f>
        <v/>
      </c>
      <c r="Z471" s="64" t="str">
        <f t="shared" si="15"/>
        <v/>
      </c>
      <c r="AA471" s="64"/>
      <c r="AB471" s="64"/>
      <c r="AC471" s="64"/>
      <c r="AD471" s="102"/>
    </row>
    <row r="472" spans="2:30" s="15" customFormat="1">
      <c r="B472" s="36"/>
      <c r="C472" s="102"/>
      <c r="D472" s="36"/>
      <c r="E472" s="22"/>
      <c r="F472" s="83"/>
      <c r="G472" s="83"/>
      <c r="H472" s="25"/>
      <c r="I472" s="25"/>
      <c r="J472" s="25"/>
      <c r="K472" s="25"/>
      <c r="L472" s="36"/>
      <c r="M472" s="36"/>
      <c r="N472" s="36"/>
      <c r="O472" s="102"/>
      <c r="P472" s="36"/>
      <c r="Q472" s="36"/>
      <c r="R472" s="37"/>
      <c r="S472" s="37"/>
      <c r="T472" s="60" t="str">
        <f t="shared" si="16"/>
        <v/>
      </c>
      <c r="U472" s="38"/>
      <c r="V472" s="38"/>
      <c r="W472" s="38" t="str">
        <f>IF(B472="","",COUNTIFS(Ejecucion[No. Solicitud],Registro!B472,Ejecucion[Estado],"Finalizado"))</f>
        <v/>
      </c>
      <c r="X472" s="38" t="str">
        <f>IF(B472="","",COUNTIFS(Ejecucion[No. Solicitud],Registro!B472,Ejecucion[Estado],"No Iniciado"))</f>
        <v/>
      </c>
      <c r="Y472" s="64" t="str">
        <f>IF(B472="","",COUNTIFS(Ejecucion[No. Solicitud],Registro!B472,Ejecucion[Estado],"En Proceso"))</f>
        <v/>
      </c>
      <c r="Z472" s="64" t="str">
        <f t="shared" si="15"/>
        <v/>
      </c>
      <c r="AA472" s="64"/>
      <c r="AB472" s="64"/>
      <c r="AC472" s="64"/>
      <c r="AD472" s="102"/>
    </row>
    <row r="473" spans="2:30" s="15" customFormat="1">
      <c r="B473" s="36"/>
      <c r="C473" s="102"/>
      <c r="D473" s="36"/>
      <c r="E473" s="22"/>
      <c r="F473" s="83"/>
      <c r="G473" s="83"/>
      <c r="H473" s="25"/>
      <c r="I473" s="25"/>
      <c r="J473" s="25"/>
      <c r="K473" s="25"/>
      <c r="L473" s="36"/>
      <c r="M473" s="36"/>
      <c r="N473" s="36"/>
      <c r="O473" s="102"/>
      <c r="P473" s="36"/>
      <c r="Q473" s="36"/>
      <c r="R473" s="37"/>
      <c r="S473" s="37"/>
      <c r="T473" s="60" t="str">
        <f t="shared" si="16"/>
        <v/>
      </c>
      <c r="U473" s="38"/>
      <c r="V473" s="38"/>
      <c r="W473" s="38" t="str">
        <f>IF(B473="","",COUNTIFS(Ejecucion[No. Solicitud],Registro!B473,Ejecucion[Estado],"Finalizado"))</f>
        <v/>
      </c>
      <c r="X473" s="38" t="str">
        <f>IF(B473="","",COUNTIFS(Ejecucion[No. Solicitud],Registro!B473,Ejecucion[Estado],"No Iniciado"))</f>
        <v/>
      </c>
      <c r="Y473" s="64" t="str">
        <f>IF(B473="","",COUNTIFS(Ejecucion[No. Solicitud],Registro!B473,Ejecucion[Estado],"En Proceso"))</f>
        <v/>
      </c>
      <c r="Z473" s="64" t="str">
        <f t="shared" si="15"/>
        <v/>
      </c>
      <c r="AA473" s="64"/>
      <c r="AB473" s="64"/>
      <c r="AC473" s="64"/>
      <c r="AD473" s="102"/>
    </row>
    <row r="474" spans="2:30" s="15" customFormat="1">
      <c r="B474" s="36"/>
      <c r="C474" s="102"/>
      <c r="D474" s="36"/>
      <c r="E474" s="22"/>
      <c r="F474" s="83"/>
      <c r="G474" s="83"/>
      <c r="H474" s="25"/>
      <c r="I474" s="25"/>
      <c r="J474" s="25"/>
      <c r="K474" s="25"/>
      <c r="L474" s="36"/>
      <c r="M474" s="36"/>
      <c r="N474" s="36"/>
      <c r="O474" s="102"/>
      <c r="P474" s="36"/>
      <c r="Q474" s="36"/>
      <c r="R474" s="37"/>
      <c r="S474" s="37"/>
      <c r="T474" s="60" t="str">
        <f t="shared" si="16"/>
        <v/>
      </c>
      <c r="U474" s="38"/>
      <c r="V474" s="38"/>
      <c r="W474" s="38" t="str">
        <f>IF(B474="","",COUNTIFS(Ejecucion[No. Solicitud],Registro!B474,Ejecucion[Estado],"Finalizado"))</f>
        <v/>
      </c>
      <c r="X474" s="38" t="str">
        <f>IF(B474="","",COUNTIFS(Ejecucion[No. Solicitud],Registro!B474,Ejecucion[Estado],"No Iniciado"))</f>
        <v/>
      </c>
      <c r="Y474" s="64" t="str">
        <f>IF(B474="","",COUNTIFS(Ejecucion[No. Solicitud],Registro!B474,Ejecucion[Estado],"En Proceso"))</f>
        <v/>
      </c>
      <c r="Z474" s="64" t="str">
        <f t="shared" ref="Z474:Z537" si="17">IF(U474="","",IF(F474="Virtual Asincrónico",1,V474*U474))</f>
        <v/>
      </c>
      <c r="AA474" s="64"/>
      <c r="AB474" s="64"/>
      <c r="AC474" s="64"/>
      <c r="AD474" s="102"/>
    </row>
    <row r="475" spans="2:30" s="15" customFormat="1">
      <c r="B475" s="36"/>
      <c r="C475" s="102"/>
      <c r="D475" s="36"/>
      <c r="E475" s="22"/>
      <c r="F475" s="83"/>
      <c r="G475" s="83"/>
      <c r="H475" s="25"/>
      <c r="I475" s="25"/>
      <c r="J475" s="25"/>
      <c r="K475" s="25"/>
      <c r="L475" s="36"/>
      <c r="M475" s="36"/>
      <c r="N475" s="36"/>
      <c r="O475" s="102"/>
      <c r="P475" s="36"/>
      <c r="Q475" s="36"/>
      <c r="R475" s="37"/>
      <c r="S475" s="37"/>
      <c r="T475" s="60" t="str">
        <f t="shared" si="16"/>
        <v/>
      </c>
      <c r="U475" s="38"/>
      <c r="V475" s="38"/>
      <c r="W475" s="38" t="str">
        <f>IF(B475="","",COUNTIFS(Ejecucion[No. Solicitud],Registro!B475,Ejecucion[Estado],"Finalizado"))</f>
        <v/>
      </c>
      <c r="X475" s="38" t="str">
        <f>IF(B475="","",COUNTIFS(Ejecucion[No. Solicitud],Registro!B475,Ejecucion[Estado],"No Iniciado"))</f>
        <v/>
      </c>
      <c r="Y475" s="64" t="str">
        <f>IF(B475="","",COUNTIFS(Ejecucion[No. Solicitud],Registro!B475,Ejecucion[Estado],"En Proceso"))</f>
        <v/>
      </c>
      <c r="Z475" s="64" t="str">
        <f t="shared" si="17"/>
        <v/>
      </c>
      <c r="AA475" s="64"/>
      <c r="AB475" s="64"/>
      <c r="AC475" s="64"/>
      <c r="AD475" s="102"/>
    </row>
    <row r="476" spans="2:30" s="15" customFormat="1">
      <c r="B476" s="36"/>
      <c r="C476" s="102"/>
      <c r="D476" s="36"/>
      <c r="E476" s="22"/>
      <c r="F476" s="83"/>
      <c r="G476" s="83"/>
      <c r="H476" s="25"/>
      <c r="I476" s="25"/>
      <c r="J476" s="25"/>
      <c r="K476" s="25"/>
      <c r="L476" s="36"/>
      <c r="M476" s="36"/>
      <c r="N476" s="36"/>
      <c r="O476" s="102"/>
      <c r="P476" s="36"/>
      <c r="Q476" s="36"/>
      <c r="R476" s="37"/>
      <c r="S476" s="37"/>
      <c r="T476" s="60" t="str">
        <f t="shared" si="16"/>
        <v/>
      </c>
      <c r="U476" s="38"/>
      <c r="V476" s="38"/>
      <c r="W476" s="38" t="str">
        <f>IF(B476="","",COUNTIFS(Ejecucion[No. Solicitud],Registro!B476,Ejecucion[Estado],"Finalizado"))</f>
        <v/>
      </c>
      <c r="X476" s="38" t="str">
        <f>IF(B476="","",COUNTIFS(Ejecucion[No. Solicitud],Registro!B476,Ejecucion[Estado],"No Iniciado"))</f>
        <v/>
      </c>
      <c r="Y476" s="64" t="str">
        <f>IF(B476="","",COUNTIFS(Ejecucion[No. Solicitud],Registro!B476,Ejecucion[Estado],"En Proceso"))</f>
        <v/>
      </c>
      <c r="Z476" s="64" t="str">
        <f t="shared" si="17"/>
        <v/>
      </c>
      <c r="AA476" s="64"/>
      <c r="AB476" s="64"/>
      <c r="AC476" s="64"/>
      <c r="AD476" s="102"/>
    </row>
    <row r="477" spans="2:30" s="15" customFormat="1">
      <c r="B477" s="36"/>
      <c r="C477" s="102"/>
      <c r="D477" s="36"/>
      <c r="E477" s="22"/>
      <c r="F477" s="83"/>
      <c r="G477" s="83"/>
      <c r="H477" s="25"/>
      <c r="I477" s="25"/>
      <c r="J477" s="25"/>
      <c r="K477" s="25"/>
      <c r="L477" s="36"/>
      <c r="M477" s="36"/>
      <c r="N477" s="36"/>
      <c r="O477" s="102"/>
      <c r="P477" s="36"/>
      <c r="Q477" s="36"/>
      <c r="R477" s="37"/>
      <c r="S477" s="37"/>
      <c r="T477" s="60" t="str">
        <f t="shared" si="16"/>
        <v/>
      </c>
      <c r="U477" s="38"/>
      <c r="V477" s="38"/>
      <c r="W477" s="38" t="str">
        <f>IF(B477="","",COUNTIFS(Ejecucion[No. Solicitud],Registro!B477,Ejecucion[Estado],"Finalizado"))</f>
        <v/>
      </c>
      <c r="X477" s="38" t="str">
        <f>IF(B477="","",COUNTIFS(Ejecucion[No. Solicitud],Registro!B477,Ejecucion[Estado],"No Iniciado"))</f>
        <v/>
      </c>
      <c r="Y477" s="64" t="str">
        <f>IF(B477="","",COUNTIFS(Ejecucion[No. Solicitud],Registro!B477,Ejecucion[Estado],"En Proceso"))</f>
        <v/>
      </c>
      <c r="Z477" s="64" t="str">
        <f t="shared" si="17"/>
        <v/>
      </c>
      <c r="AA477" s="64"/>
      <c r="AB477" s="64"/>
      <c r="AC477" s="64"/>
      <c r="AD477" s="102"/>
    </row>
    <row r="478" spans="2:30" s="15" customFormat="1">
      <c r="B478" s="36"/>
      <c r="C478" s="102"/>
      <c r="D478" s="36"/>
      <c r="E478" s="22"/>
      <c r="F478" s="83"/>
      <c r="G478" s="83"/>
      <c r="H478" s="25"/>
      <c r="I478" s="25"/>
      <c r="J478" s="25"/>
      <c r="K478" s="25"/>
      <c r="L478" s="36"/>
      <c r="M478" s="36"/>
      <c r="N478" s="36"/>
      <c r="O478" s="102"/>
      <c r="P478" s="36"/>
      <c r="Q478" s="36"/>
      <c r="R478" s="37"/>
      <c r="S478" s="37"/>
      <c r="T478" s="60" t="str">
        <f t="shared" si="16"/>
        <v/>
      </c>
      <c r="U478" s="38"/>
      <c r="V478" s="38"/>
      <c r="W478" s="38" t="str">
        <f>IF(B478="","",COUNTIFS(Ejecucion[No. Solicitud],Registro!B478,Ejecucion[Estado],"Finalizado"))</f>
        <v/>
      </c>
      <c r="X478" s="38" t="str">
        <f>IF(B478="","",COUNTIFS(Ejecucion[No. Solicitud],Registro!B478,Ejecucion[Estado],"No Iniciado"))</f>
        <v/>
      </c>
      <c r="Y478" s="64" t="str">
        <f>IF(B478="","",COUNTIFS(Ejecucion[No. Solicitud],Registro!B478,Ejecucion[Estado],"En Proceso"))</f>
        <v/>
      </c>
      <c r="Z478" s="64" t="str">
        <f t="shared" si="17"/>
        <v/>
      </c>
      <c r="AA478" s="64"/>
      <c r="AB478" s="64"/>
      <c r="AC478" s="64"/>
      <c r="AD478" s="102"/>
    </row>
    <row r="479" spans="2:30" s="15" customFormat="1">
      <c r="B479" s="36"/>
      <c r="C479" s="102"/>
      <c r="D479" s="36"/>
      <c r="E479" s="22"/>
      <c r="F479" s="83"/>
      <c r="G479" s="83"/>
      <c r="H479" s="25"/>
      <c r="I479" s="25"/>
      <c r="J479" s="25"/>
      <c r="K479" s="25"/>
      <c r="L479" s="36"/>
      <c r="M479" s="36"/>
      <c r="N479" s="36"/>
      <c r="O479" s="102"/>
      <c r="P479" s="36"/>
      <c r="Q479" s="36"/>
      <c r="R479" s="37"/>
      <c r="S479" s="37"/>
      <c r="T479" s="60" t="str">
        <f t="shared" si="16"/>
        <v/>
      </c>
      <c r="U479" s="38"/>
      <c r="V479" s="38"/>
      <c r="W479" s="38" t="str">
        <f>IF(B479="","",COUNTIFS(Ejecucion[No. Solicitud],Registro!B479,Ejecucion[Estado],"Finalizado"))</f>
        <v/>
      </c>
      <c r="X479" s="38" t="str">
        <f>IF(B479="","",COUNTIFS(Ejecucion[No. Solicitud],Registro!B479,Ejecucion[Estado],"No Iniciado"))</f>
        <v/>
      </c>
      <c r="Y479" s="64" t="str">
        <f>IF(B479="","",COUNTIFS(Ejecucion[No. Solicitud],Registro!B479,Ejecucion[Estado],"En Proceso"))</f>
        <v/>
      </c>
      <c r="Z479" s="64" t="str">
        <f t="shared" si="17"/>
        <v/>
      </c>
      <c r="AA479" s="64"/>
      <c r="AB479" s="64"/>
      <c r="AC479" s="64"/>
      <c r="AD479" s="102"/>
    </row>
    <row r="480" spans="2:30" s="15" customFormat="1">
      <c r="B480" s="36"/>
      <c r="C480" s="102"/>
      <c r="D480" s="36"/>
      <c r="E480" s="22"/>
      <c r="F480" s="83"/>
      <c r="G480" s="83"/>
      <c r="H480" s="25"/>
      <c r="I480" s="25"/>
      <c r="J480" s="25"/>
      <c r="K480" s="25"/>
      <c r="L480" s="36"/>
      <c r="M480" s="36"/>
      <c r="N480" s="36"/>
      <c r="O480" s="102"/>
      <c r="P480" s="36"/>
      <c r="Q480" s="36"/>
      <c r="R480" s="37"/>
      <c r="S480" s="37"/>
      <c r="T480" s="60" t="str">
        <f t="shared" si="16"/>
        <v/>
      </c>
      <c r="U480" s="38"/>
      <c r="V480" s="38"/>
      <c r="W480" s="38" t="str">
        <f>IF(B480="","",COUNTIFS(Ejecucion[No. Solicitud],Registro!B480,Ejecucion[Estado],"Finalizado"))</f>
        <v/>
      </c>
      <c r="X480" s="38" t="str">
        <f>IF(B480="","",COUNTIFS(Ejecucion[No. Solicitud],Registro!B480,Ejecucion[Estado],"No Iniciado"))</f>
        <v/>
      </c>
      <c r="Y480" s="64" t="str">
        <f>IF(B480="","",COUNTIFS(Ejecucion[No. Solicitud],Registro!B480,Ejecucion[Estado],"En Proceso"))</f>
        <v/>
      </c>
      <c r="Z480" s="64" t="str">
        <f t="shared" si="17"/>
        <v/>
      </c>
      <c r="AA480" s="64"/>
      <c r="AB480" s="64"/>
      <c r="AC480" s="64"/>
      <c r="AD480" s="102"/>
    </row>
    <row r="481" spans="2:30" s="15" customFormat="1">
      <c r="B481" s="36"/>
      <c r="C481" s="102"/>
      <c r="D481" s="36"/>
      <c r="E481" s="22"/>
      <c r="F481" s="83"/>
      <c r="G481" s="83"/>
      <c r="H481" s="25"/>
      <c r="I481" s="25"/>
      <c r="J481" s="25"/>
      <c r="K481" s="25"/>
      <c r="L481" s="36"/>
      <c r="M481" s="36"/>
      <c r="N481" s="36"/>
      <c r="O481" s="102"/>
      <c r="P481" s="36"/>
      <c r="Q481" s="36"/>
      <c r="R481" s="37"/>
      <c r="S481" s="37"/>
      <c r="T481" s="60" t="str">
        <f t="shared" si="16"/>
        <v/>
      </c>
      <c r="U481" s="38"/>
      <c r="V481" s="38"/>
      <c r="W481" s="38" t="str">
        <f>IF(B481="","",COUNTIFS(Ejecucion[No. Solicitud],Registro!B481,Ejecucion[Estado],"Finalizado"))</f>
        <v/>
      </c>
      <c r="X481" s="38" t="str">
        <f>IF(B481="","",COUNTIFS(Ejecucion[No. Solicitud],Registro!B481,Ejecucion[Estado],"No Iniciado"))</f>
        <v/>
      </c>
      <c r="Y481" s="64" t="str">
        <f>IF(B481="","",COUNTIFS(Ejecucion[No. Solicitud],Registro!B481,Ejecucion[Estado],"En Proceso"))</f>
        <v/>
      </c>
      <c r="Z481" s="64" t="str">
        <f t="shared" si="17"/>
        <v/>
      </c>
      <c r="AA481" s="64"/>
      <c r="AB481" s="64"/>
      <c r="AC481" s="64"/>
      <c r="AD481" s="102"/>
    </row>
    <row r="482" spans="2:30" s="15" customFormat="1">
      <c r="B482" s="36"/>
      <c r="C482" s="102"/>
      <c r="D482" s="36"/>
      <c r="E482" s="22"/>
      <c r="F482" s="83"/>
      <c r="G482" s="83"/>
      <c r="H482" s="25"/>
      <c r="I482" s="25"/>
      <c r="J482" s="25"/>
      <c r="K482" s="25"/>
      <c r="L482" s="36"/>
      <c r="M482" s="36"/>
      <c r="N482" s="36"/>
      <c r="O482" s="102"/>
      <c r="P482" s="36"/>
      <c r="Q482" s="36"/>
      <c r="R482" s="37"/>
      <c r="S482" s="37"/>
      <c r="T482" s="60" t="str">
        <f t="shared" si="16"/>
        <v/>
      </c>
      <c r="U482" s="38"/>
      <c r="V482" s="38"/>
      <c r="W482" s="38" t="str">
        <f>IF(B482="","",COUNTIFS(Ejecucion[No. Solicitud],Registro!B482,Ejecucion[Estado],"Finalizado"))</f>
        <v/>
      </c>
      <c r="X482" s="38" t="str">
        <f>IF(B482="","",COUNTIFS(Ejecucion[No. Solicitud],Registro!B482,Ejecucion[Estado],"No Iniciado"))</f>
        <v/>
      </c>
      <c r="Y482" s="64" t="str">
        <f>IF(B482="","",COUNTIFS(Ejecucion[No. Solicitud],Registro!B482,Ejecucion[Estado],"En Proceso"))</f>
        <v/>
      </c>
      <c r="Z482" s="64" t="str">
        <f t="shared" si="17"/>
        <v/>
      </c>
      <c r="AA482" s="64"/>
      <c r="AB482" s="64"/>
      <c r="AC482" s="64"/>
      <c r="AD482" s="102"/>
    </row>
    <row r="483" spans="2:30" s="15" customFormat="1">
      <c r="B483" s="36"/>
      <c r="C483" s="102"/>
      <c r="D483" s="36"/>
      <c r="E483" s="22"/>
      <c r="F483" s="83"/>
      <c r="G483" s="83"/>
      <c r="H483" s="25"/>
      <c r="I483" s="25"/>
      <c r="J483" s="25"/>
      <c r="K483" s="25"/>
      <c r="L483" s="36"/>
      <c r="M483" s="36"/>
      <c r="N483" s="36"/>
      <c r="O483" s="102"/>
      <c r="P483" s="36"/>
      <c r="Q483" s="36"/>
      <c r="R483" s="37"/>
      <c r="S483" s="37"/>
      <c r="T483" s="60" t="str">
        <f t="shared" si="16"/>
        <v/>
      </c>
      <c r="U483" s="38"/>
      <c r="V483" s="38"/>
      <c r="W483" s="38" t="str">
        <f>IF(B483="","",COUNTIFS(Ejecucion[No. Solicitud],Registro!B483,Ejecucion[Estado],"Finalizado"))</f>
        <v/>
      </c>
      <c r="X483" s="38" t="str">
        <f>IF(B483="","",COUNTIFS(Ejecucion[No. Solicitud],Registro!B483,Ejecucion[Estado],"No Iniciado"))</f>
        <v/>
      </c>
      <c r="Y483" s="64" t="str">
        <f>IF(B483="","",COUNTIFS(Ejecucion[No. Solicitud],Registro!B483,Ejecucion[Estado],"En Proceso"))</f>
        <v/>
      </c>
      <c r="Z483" s="64" t="str">
        <f t="shared" si="17"/>
        <v/>
      </c>
      <c r="AA483" s="64"/>
      <c r="AB483" s="64"/>
      <c r="AC483" s="64"/>
      <c r="AD483" s="102"/>
    </row>
    <row r="484" spans="2:30" s="15" customFormat="1">
      <c r="B484" s="36"/>
      <c r="C484" s="102"/>
      <c r="D484" s="36"/>
      <c r="E484" s="22"/>
      <c r="F484" s="83"/>
      <c r="G484" s="83"/>
      <c r="H484" s="25"/>
      <c r="I484" s="25"/>
      <c r="J484" s="25"/>
      <c r="K484" s="25"/>
      <c r="L484" s="36"/>
      <c r="M484" s="36"/>
      <c r="N484" s="36"/>
      <c r="O484" s="102"/>
      <c r="P484" s="36"/>
      <c r="Q484" s="36"/>
      <c r="R484" s="37"/>
      <c r="S484" s="37"/>
      <c r="T484" s="60" t="str">
        <f t="shared" si="16"/>
        <v/>
      </c>
      <c r="U484" s="38"/>
      <c r="V484" s="38"/>
      <c r="W484" s="38" t="str">
        <f>IF(B484="","",COUNTIFS(Ejecucion[No. Solicitud],Registro!B484,Ejecucion[Estado],"Finalizado"))</f>
        <v/>
      </c>
      <c r="X484" s="38" t="str">
        <f>IF(B484="","",COUNTIFS(Ejecucion[No. Solicitud],Registro!B484,Ejecucion[Estado],"No Iniciado"))</f>
        <v/>
      </c>
      <c r="Y484" s="64" t="str">
        <f>IF(B484="","",COUNTIFS(Ejecucion[No. Solicitud],Registro!B484,Ejecucion[Estado],"En Proceso"))</f>
        <v/>
      </c>
      <c r="Z484" s="64" t="str">
        <f t="shared" si="17"/>
        <v/>
      </c>
      <c r="AA484" s="64"/>
      <c r="AB484" s="64"/>
      <c r="AC484" s="64"/>
      <c r="AD484" s="102"/>
    </row>
    <row r="485" spans="2:30" s="15" customFormat="1">
      <c r="B485" s="36"/>
      <c r="C485" s="102"/>
      <c r="D485" s="36"/>
      <c r="E485" s="22"/>
      <c r="F485" s="83"/>
      <c r="G485" s="83"/>
      <c r="H485" s="25"/>
      <c r="I485" s="25"/>
      <c r="J485" s="25"/>
      <c r="K485" s="25"/>
      <c r="L485" s="36"/>
      <c r="M485" s="36"/>
      <c r="N485" s="36"/>
      <c r="O485" s="102"/>
      <c r="P485" s="36"/>
      <c r="Q485" s="36"/>
      <c r="R485" s="37"/>
      <c r="S485" s="37"/>
      <c r="T485" s="60" t="str">
        <f t="shared" si="16"/>
        <v/>
      </c>
      <c r="U485" s="38"/>
      <c r="V485" s="38"/>
      <c r="W485" s="38" t="str">
        <f>IF(B485="","",COUNTIFS(Ejecucion[No. Solicitud],Registro!B485,Ejecucion[Estado],"Finalizado"))</f>
        <v/>
      </c>
      <c r="X485" s="38" t="str">
        <f>IF(B485="","",COUNTIFS(Ejecucion[No. Solicitud],Registro!B485,Ejecucion[Estado],"No Iniciado"))</f>
        <v/>
      </c>
      <c r="Y485" s="64" t="str">
        <f>IF(B485="","",COUNTIFS(Ejecucion[No. Solicitud],Registro!B485,Ejecucion[Estado],"En Proceso"))</f>
        <v/>
      </c>
      <c r="Z485" s="64" t="str">
        <f t="shared" si="17"/>
        <v/>
      </c>
      <c r="AA485" s="64"/>
      <c r="AB485" s="64"/>
      <c r="AC485" s="64"/>
      <c r="AD485" s="102"/>
    </row>
    <row r="486" spans="2:30" s="15" customFormat="1">
      <c r="B486" s="36"/>
      <c r="C486" s="102"/>
      <c r="D486" s="36"/>
      <c r="E486" s="22"/>
      <c r="F486" s="83"/>
      <c r="G486" s="83"/>
      <c r="H486" s="25"/>
      <c r="I486" s="25"/>
      <c r="J486" s="25"/>
      <c r="K486" s="25"/>
      <c r="L486" s="36"/>
      <c r="M486" s="36"/>
      <c r="N486" s="36"/>
      <c r="O486" s="102"/>
      <c r="P486" s="36"/>
      <c r="Q486" s="36"/>
      <c r="R486" s="37"/>
      <c r="S486" s="37"/>
      <c r="T486" s="60" t="str">
        <f t="shared" si="16"/>
        <v/>
      </c>
      <c r="U486" s="38"/>
      <c r="V486" s="38"/>
      <c r="W486" s="38" t="str">
        <f>IF(B486="","",COUNTIFS(Ejecucion[No. Solicitud],Registro!B486,Ejecucion[Estado],"Finalizado"))</f>
        <v/>
      </c>
      <c r="X486" s="38" t="str">
        <f>IF(B486="","",COUNTIFS(Ejecucion[No. Solicitud],Registro!B486,Ejecucion[Estado],"No Iniciado"))</f>
        <v/>
      </c>
      <c r="Y486" s="64" t="str">
        <f>IF(B486="","",COUNTIFS(Ejecucion[No. Solicitud],Registro!B486,Ejecucion[Estado],"En Proceso"))</f>
        <v/>
      </c>
      <c r="Z486" s="64" t="str">
        <f t="shared" si="17"/>
        <v/>
      </c>
      <c r="AA486" s="64"/>
      <c r="AB486" s="64"/>
      <c r="AC486" s="64"/>
      <c r="AD486" s="102"/>
    </row>
    <row r="487" spans="2:30" s="15" customFormat="1">
      <c r="B487" s="36"/>
      <c r="C487" s="102"/>
      <c r="D487" s="36"/>
      <c r="E487" s="22"/>
      <c r="F487" s="83"/>
      <c r="G487" s="83"/>
      <c r="H487" s="25"/>
      <c r="I487" s="25"/>
      <c r="J487" s="25"/>
      <c r="K487" s="25"/>
      <c r="L487" s="36"/>
      <c r="M487" s="36"/>
      <c r="N487" s="36"/>
      <c r="O487" s="102"/>
      <c r="P487" s="36"/>
      <c r="Q487" s="36"/>
      <c r="R487" s="37"/>
      <c r="S487" s="37"/>
      <c r="T487" s="60" t="str">
        <f t="shared" si="16"/>
        <v/>
      </c>
      <c r="U487" s="38"/>
      <c r="V487" s="38"/>
      <c r="W487" s="38" t="str">
        <f>IF(B487="","",COUNTIFS(Ejecucion[No. Solicitud],Registro!B487,Ejecucion[Estado],"Finalizado"))</f>
        <v/>
      </c>
      <c r="X487" s="38" t="str">
        <f>IF(B487="","",COUNTIFS(Ejecucion[No. Solicitud],Registro!B487,Ejecucion[Estado],"No Iniciado"))</f>
        <v/>
      </c>
      <c r="Y487" s="64" t="str">
        <f>IF(B487="","",COUNTIFS(Ejecucion[No. Solicitud],Registro!B487,Ejecucion[Estado],"En Proceso"))</f>
        <v/>
      </c>
      <c r="Z487" s="64" t="str">
        <f t="shared" si="17"/>
        <v/>
      </c>
      <c r="AA487" s="64"/>
      <c r="AB487" s="64"/>
      <c r="AC487" s="64"/>
      <c r="AD487" s="102"/>
    </row>
    <row r="488" spans="2:30" s="15" customFormat="1">
      <c r="B488" s="36"/>
      <c r="C488" s="102"/>
      <c r="D488" s="36"/>
      <c r="E488" s="22"/>
      <c r="F488" s="83"/>
      <c r="G488" s="83"/>
      <c r="H488" s="25"/>
      <c r="I488" s="25"/>
      <c r="J488" s="25"/>
      <c r="K488" s="25"/>
      <c r="L488" s="36"/>
      <c r="M488" s="36"/>
      <c r="N488" s="36"/>
      <c r="O488" s="102"/>
      <c r="P488" s="36"/>
      <c r="Q488" s="36"/>
      <c r="R488" s="37"/>
      <c r="S488" s="37"/>
      <c r="T488" s="60" t="str">
        <f t="shared" si="16"/>
        <v/>
      </c>
      <c r="U488" s="38"/>
      <c r="V488" s="38"/>
      <c r="W488" s="38" t="str">
        <f>IF(B488="","",COUNTIFS(Ejecucion[No. Solicitud],Registro!B488,Ejecucion[Estado],"Finalizado"))</f>
        <v/>
      </c>
      <c r="X488" s="38" t="str">
        <f>IF(B488="","",COUNTIFS(Ejecucion[No. Solicitud],Registro!B488,Ejecucion[Estado],"No Iniciado"))</f>
        <v/>
      </c>
      <c r="Y488" s="64" t="str">
        <f>IF(B488="","",COUNTIFS(Ejecucion[No. Solicitud],Registro!B488,Ejecucion[Estado],"En Proceso"))</f>
        <v/>
      </c>
      <c r="Z488" s="64" t="str">
        <f t="shared" si="17"/>
        <v/>
      </c>
      <c r="AA488" s="64"/>
      <c r="AB488" s="64"/>
      <c r="AC488" s="64"/>
      <c r="AD488" s="102"/>
    </row>
    <row r="489" spans="2:30" s="15" customFormat="1">
      <c r="B489" s="36"/>
      <c r="C489" s="102"/>
      <c r="D489" s="36"/>
      <c r="E489" s="22"/>
      <c r="F489" s="83"/>
      <c r="G489" s="83"/>
      <c r="H489" s="25"/>
      <c r="I489" s="25"/>
      <c r="J489" s="25"/>
      <c r="K489" s="25"/>
      <c r="L489" s="36"/>
      <c r="M489" s="36"/>
      <c r="N489" s="36"/>
      <c r="O489" s="102"/>
      <c r="P489" s="36"/>
      <c r="Q489" s="36"/>
      <c r="R489" s="37"/>
      <c r="S489" s="37"/>
      <c r="T489" s="60" t="str">
        <f t="shared" si="16"/>
        <v/>
      </c>
      <c r="U489" s="38"/>
      <c r="V489" s="38"/>
      <c r="W489" s="38" t="str">
        <f>IF(B489="","",COUNTIFS(Ejecucion[No. Solicitud],Registro!B489,Ejecucion[Estado],"Finalizado"))</f>
        <v/>
      </c>
      <c r="X489" s="38" t="str">
        <f>IF(B489="","",COUNTIFS(Ejecucion[No. Solicitud],Registro!B489,Ejecucion[Estado],"No Iniciado"))</f>
        <v/>
      </c>
      <c r="Y489" s="64" t="str">
        <f>IF(B489="","",COUNTIFS(Ejecucion[No. Solicitud],Registro!B489,Ejecucion[Estado],"En Proceso"))</f>
        <v/>
      </c>
      <c r="Z489" s="64" t="str">
        <f t="shared" si="17"/>
        <v/>
      </c>
      <c r="AA489" s="64"/>
      <c r="AB489" s="64"/>
      <c r="AC489" s="64"/>
      <c r="AD489" s="102"/>
    </row>
    <row r="490" spans="2:30" s="15" customFormat="1">
      <c r="B490" s="36"/>
      <c r="C490" s="102"/>
      <c r="D490" s="36"/>
      <c r="E490" s="22"/>
      <c r="F490" s="83"/>
      <c r="G490" s="83"/>
      <c r="H490" s="25"/>
      <c r="I490" s="25"/>
      <c r="J490" s="25"/>
      <c r="K490" s="25"/>
      <c r="L490" s="36"/>
      <c r="M490" s="36"/>
      <c r="N490" s="36"/>
      <c r="O490" s="102"/>
      <c r="P490" s="36"/>
      <c r="Q490" s="36"/>
      <c r="R490" s="37"/>
      <c r="S490" s="37"/>
      <c r="T490" s="60" t="str">
        <f t="shared" si="16"/>
        <v/>
      </c>
      <c r="U490" s="38"/>
      <c r="V490" s="38"/>
      <c r="W490" s="38" t="str">
        <f>IF(B490="","",COUNTIFS(Ejecucion[No. Solicitud],Registro!B490,Ejecucion[Estado],"Finalizado"))</f>
        <v/>
      </c>
      <c r="X490" s="38" t="str">
        <f>IF(B490="","",COUNTIFS(Ejecucion[No. Solicitud],Registro!B490,Ejecucion[Estado],"No Iniciado"))</f>
        <v/>
      </c>
      <c r="Y490" s="64" t="str">
        <f>IF(B490="","",COUNTIFS(Ejecucion[No. Solicitud],Registro!B490,Ejecucion[Estado],"En Proceso"))</f>
        <v/>
      </c>
      <c r="Z490" s="64" t="str">
        <f t="shared" si="17"/>
        <v/>
      </c>
      <c r="AA490" s="64"/>
      <c r="AB490" s="64"/>
      <c r="AC490" s="64"/>
      <c r="AD490" s="102"/>
    </row>
    <row r="491" spans="2:30" s="15" customFormat="1">
      <c r="B491" s="36"/>
      <c r="C491" s="102"/>
      <c r="D491" s="36"/>
      <c r="E491" s="22"/>
      <c r="F491" s="83"/>
      <c r="G491" s="83"/>
      <c r="H491" s="25"/>
      <c r="I491" s="25"/>
      <c r="J491" s="25"/>
      <c r="K491" s="25"/>
      <c r="L491" s="36"/>
      <c r="M491" s="36"/>
      <c r="N491" s="36"/>
      <c r="O491" s="102"/>
      <c r="P491" s="36"/>
      <c r="Q491" s="36"/>
      <c r="R491" s="37"/>
      <c r="S491" s="37"/>
      <c r="T491" s="60" t="str">
        <f t="shared" si="16"/>
        <v/>
      </c>
      <c r="U491" s="38"/>
      <c r="V491" s="38"/>
      <c r="W491" s="38" t="str">
        <f>IF(B491="","",COUNTIFS(Ejecucion[No. Solicitud],Registro!B491,Ejecucion[Estado],"Finalizado"))</f>
        <v/>
      </c>
      <c r="X491" s="38" t="str">
        <f>IF(B491="","",COUNTIFS(Ejecucion[No. Solicitud],Registro!B491,Ejecucion[Estado],"No Iniciado"))</f>
        <v/>
      </c>
      <c r="Y491" s="64" t="str">
        <f>IF(B491="","",COUNTIFS(Ejecucion[No. Solicitud],Registro!B491,Ejecucion[Estado],"En Proceso"))</f>
        <v/>
      </c>
      <c r="Z491" s="64" t="str">
        <f t="shared" si="17"/>
        <v/>
      </c>
      <c r="AA491" s="64"/>
      <c r="AB491" s="64"/>
      <c r="AC491" s="64"/>
      <c r="AD491" s="102"/>
    </row>
    <row r="492" spans="2:30" s="15" customFormat="1">
      <c r="B492" s="36"/>
      <c r="C492" s="102"/>
      <c r="D492" s="36"/>
      <c r="E492" s="22"/>
      <c r="F492" s="83"/>
      <c r="G492" s="83"/>
      <c r="H492" s="25"/>
      <c r="I492" s="25"/>
      <c r="J492" s="25"/>
      <c r="K492" s="25"/>
      <c r="L492" s="36"/>
      <c r="M492" s="36"/>
      <c r="N492" s="36"/>
      <c r="O492" s="102"/>
      <c r="P492" s="36"/>
      <c r="Q492" s="36"/>
      <c r="R492" s="37"/>
      <c r="S492" s="37"/>
      <c r="T492" s="60" t="str">
        <f t="shared" si="16"/>
        <v/>
      </c>
      <c r="U492" s="38"/>
      <c r="V492" s="38"/>
      <c r="W492" s="38" t="str">
        <f>IF(B492="","",COUNTIFS(Ejecucion[No. Solicitud],Registro!B492,Ejecucion[Estado],"Finalizado"))</f>
        <v/>
      </c>
      <c r="X492" s="38" t="str">
        <f>IF(B492="","",COUNTIFS(Ejecucion[No. Solicitud],Registro!B492,Ejecucion[Estado],"No Iniciado"))</f>
        <v/>
      </c>
      <c r="Y492" s="64" t="str">
        <f>IF(B492="","",COUNTIFS(Ejecucion[No. Solicitud],Registro!B492,Ejecucion[Estado],"En Proceso"))</f>
        <v/>
      </c>
      <c r="Z492" s="64" t="str">
        <f t="shared" si="17"/>
        <v/>
      </c>
      <c r="AA492" s="64"/>
      <c r="AB492" s="64"/>
      <c r="AC492" s="64"/>
      <c r="AD492" s="102"/>
    </row>
    <row r="493" spans="2:30" s="15" customFormat="1">
      <c r="B493" s="36"/>
      <c r="C493" s="102"/>
      <c r="D493" s="36"/>
      <c r="E493" s="22"/>
      <c r="F493" s="83"/>
      <c r="G493" s="83"/>
      <c r="H493" s="25"/>
      <c r="I493" s="25"/>
      <c r="J493" s="25"/>
      <c r="K493" s="25"/>
      <c r="L493" s="36"/>
      <c r="M493" s="36"/>
      <c r="N493" s="36"/>
      <c r="O493" s="102"/>
      <c r="P493" s="36"/>
      <c r="Q493" s="36"/>
      <c r="R493" s="37"/>
      <c r="S493" s="37"/>
      <c r="T493" s="60" t="str">
        <f t="shared" si="16"/>
        <v/>
      </c>
      <c r="U493" s="38"/>
      <c r="V493" s="38"/>
      <c r="W493" s="38" t="str">
        <f>IF(B493="","",COUNTIFS(Ejecucion[No. Solicitud],Registro!B493,Ejecucion[Estado],"Finalizado"))</f>
        <v/>
      </c>
      <c r="X493" s="38" t="str">
        <f>IF(B493="","",COUNTIFS(Ejecucion[No. Solicitud],Registro!B493,Ejecucion[Estado],"No Iniciado"))</f>
        <v/>
      </c>
      <c r="Y493" s="64" t="str">
        <f>IF(B493="","",COUNTIFS(Ejecucion[No. Solicitud],Registro!B493,Ejecucion[Estado],"En Proceso"))</f>
        <v/>
      </c>
      <c r="Z493" s="64" t="str">
        <f t="shared" si="17"/>
        <v/>
      </c>
      <c r="AA493" s="64"/>
      <c r="AB493" s="64"/>
      <c r="AC493" s="64"/>
      <c r="AD493" s="102"/>
    </row>
    <row r="494" spans="2:30" s="15" customFormat="1">
      <c r="B494" s="36"/>
      <c r="C494" s="102"/>
      <c r="D494" s="36"/>
      <c r="E494" s="22"/>
      <c r="F494" s="83"/>
      <c r="G494" s="83"/>
      <c r="H494" s="25"/>
      <c r="I494" s="25"/>
      <c r="J494" s="25"/>
      <c r="K494" s="25"/>
      <c r="L494" s="36"/>
      <c r="M494" s="36"/>
      <c r="N494" s="36"/>
      <c r="O494" s="102"/>
      <c r="P494" s="36"/>
      <c r="Q494" s="36"/>
      <c r="R494" s="37"/>
      <c r="S494" s="37"/>
      <c r="T494" s="60" t="str">
        <f t="shared" si="16"/>
        <v/>
      </c>
      <c r="U494" s="38"/>
      <c r="V494" s="38"/>
      <c r="W494" s="38" t="str">
        <f>IF(B494="","",COUNTIFS(Ejecucion[No. Solicitud],Registro!B494,Ejecucion[Estado],"Finalizado"))</f>
        <v/>
      </c>
      <c r="X494" s="38" t="str">
        <f>IF(B494="","",COUNTIFS(Ejecucion[No. Solicitud],Registro!B494,Ejecucion[Estado],"No Iniciado"))</f>
        <v/>
      </c>
      <c r="Y494" s="64" t="str">
        <f>IF(B494="","",COUNTIFS(Ejecucion[No. Solicitud],Registro!B494,Ejecucion[Estado],"En Proceso"))</f>
        <v/>
      </c>
      <c r="Z494" s="64" t="str">
        <f t="shared" si="17"/>
        <v/>
      </c>
      <c r="AA494" s="64"/>
      <c r="AB494" s="64"/>
      <c r="AC494" s="64"/>
      <c r="AD494" s="102"/>
    </row>
    <row r="495" spans="2:30" s="15" customFormat="1">
      <c r="B495" s="36"/>
      <c r="C495" s="102"/>
      <c r="D495" s="36"/>
      <c r="E495" s="22"/>
      <c r="F495" s="83"/>
      <c r="G495" s="83"/>
      <c r="H495" s="25"/>
      <c r="I495" s="25"/>
      <c r="J495" s="25"/>
      <c r="K495" s="25"/>
      <c r="L495" s="36"/>
      <c r="M495" s="36"/>
      <c r="N495" s="36"/>
      <c r="O495" s="102"/>
      <c r="P495" s="36"/>
      <c r="Q495" s="36"/>
      <c r="R495" s="37"/>
      <c r="S495" s="37"/>
      <c r="T495" s="60" t="str">
        <f t="shared" si="16"/>
        <v/>
      </c>
      <c r="U495" s="38"/>
      <c r="V495" s="38"/>
      <c r="W495" s="38" t="str">
        <f>IF(B495="","",COUNTIFS(Ejecucion[No. Solicitud],Registro!B495,Ejecucion[Estado],"Finalizado"))</f>
        <v/>
      </c>
      <c r="X495" s="38" t="str">
        <f>IF(B495="","",COUNTIFS(Ejecucion[No. Solicitud],Registro!B495,Ejecucion[Estado],"No Iniciado"))</f>
        <v/>
      </c>
      <c r="Y495" s="64" t="str">
        <f>IF(B495="","",COUNTIFS(Ejecucion[No. Solicitud],Registro!B495,Ejecucion[Estado],"En Proceso"))</f>
        <v/>
      </c>
      <c r="Z495" s="64" t="str">
        <f t="shared" si="17"/>
        <v/>
      </c>
      <c r="AA495" s="64"/>
      <c r="AB495" s="64"/>
      <c r="AC495" s="64"/>
      <c r="AD495" s="102"/>
    </row>
    <row r="496" spans="2:30" s="15" customFormat="1">
      <c r="B496" s="36"/>
      <c r="C496" s="102"/>
      <c r="D496" s="36"/>
      <c r="E496" s="22"/>
      <c r="F496" s="83"/>
      <c r="G496" s="83"/>
      <c r="H496" s="25"/>
      <c r="I496" s="25"/>
      <c r="J496" s="25"/>
      <c r="K496" s="25"/>
      <c r="L496" s="36"/>
      <c r="M496" s="36"/>
      <c r="N496" s="36"/>
      <c r="O496" s="102"/>
      <c r="P496" s="36"/>
      <c r="Q496" s="36"/>
      <c r="R496" s="37"/>
      <c r="S496" s="37"/>
      <c r="T496" s="60" t="str">
        <f t="shared" si="16"/>
        <v/>
      </c>
      <c r="U496" s="38"/>
      <c r="V496" s="38"/>
      <c r="W496" s="38" t="str">
        <f>IF(B496="","",COUNTIFS(Ejecucion[No. Solicitud],Registro!B496,Ejecucion[Estado],"Finalizado"))</f>
        <v/>
      </c>
      <c r="X496" s="38" t="str">
        <f>IF(B496="","",COUNTIFS(Ejecucion[No. Solicitud],Registro!B496,Ejecucion[Estado],"No Iniciado"))</f>
        <v/>
      </c>
      <c r="Y496" s="64" t="str">
        <f>IF(B496="","",COUNTIFS(Ejecucion[No. Solicitud],Registro!B496,Ejecucion[Estado],"En Proceso"))</f>
        <v/>
      </c>
      <c r="Z496" s="64" t="str">
        <f t="shared" si="17"/>
        <v/>
      </c>
      <c r="AA496" s="64"/>
      <c r="AB496" s="64"/>
      <c r="AC496" s="64"/>
      <c r="AD496" s="102"/>
    </row>
    <row r="497" spans="2:30" s="15" customFormat="1">
      <c r="B497" s="36"/>
      <c r="C497" s="102"/>
      <c r="D497" s="36"/>
      <c r="E497" s="22"/>
      <c r="F497" s="83"/>
      <c r="G497" s="83"/>
      <c r="H497" s="25"/>
      <c r="I497" s="25"/>
      <c r="J497" s="25"/>
      <c r="K497" s="25"/>
      <c r="L497" s="36"/>
      <c r="M497" s="36"/>
      <c r="N497" s="36"/>
      <c r="O497" s="102"/>
      <c r="P497" s="36"/>
      <c r="Q497" s="36"/>
      <c r="R497" s="37"/>
      <c r="S497" s="37"/>
      <c r="T497" s="60" t="str">
        <f t="shared" si="16"/>
        <v/>
      </c>
      <c r="U497" s="38"/>
      <c r="V497" s="38"/>
      <c r="W497" s="38" t="str">
        <f>IF(B497="","",COUNTIFS(Ejecucion[No. Solicitud],Registro!B497,Ejecucion[Estado],"Finalizado"))</f>
        <v/>
      </c>
      <c r="X497" s="38" t="str">
        <f>IF(B497="","",COUNTIFS(Ejecucion[No. Solicitud],Registro!B497,Ejecucion[Estado],"No Iniciado"))</f>
        <v/>
      </c>
      <c r="Y497" s="64" t="str">
        <f>IF(B497="","",COUNTIFS(Ejecucion[No. Solicitud],Registro!B497,Ejecucion[Estado],"En Proceso"))</f>
        <v/>
      </c>
      <c r="Z497" s="64" t="str">
        <f t="shared" si="17"/>
        <v/>
      </c>
      <c r="AA497" s="64"/>
      <c r="AB497" s="64"/>
      <c r="AC497" s="64"/>
      <c r="AD497" s="102"/>
    </row>
    <row r="498" spans="2:30" s="15" customFormat="1">
      <c r="B498" s="36"/>
      <c r="C498" s="102"/>
      <c r="D498" s="36"/>
      <c r="E498" s="22"/>
      <c r="F498" s="83"/>
      <c r="G498" s="83"/>
      <c r="H498" s="25"/>
      <c r="I498" s="25"/>
      <c r="J498" s="25"/>
      <c r="K498" s="25"/>
      <c r="L498" s="36"/>
      <c r="M498" s="36"/>
      <c r="N498" s="36"/>
      <c r="O498" s="102"/>
      <c r="P498" s="36"/>
      <c r="Q498" s="36"/>
      <c r="R498" s="37"/>
      <c r="S498" s="37"/>
      <c r="T498" s="60" t="str">
        <f t="shared" si="16"/>
        <v/>
      </c>
      <c r="U498" s="38"/>
      <c r="V498" s="38"/>
      <c r="W498" s="38" t="str">
        <f>IF(B498="","",COUNTIFS(Ejecucion[No. Solicitud],Registro!B498,Ejecucion[Estado],"Finalizado"))</f>
        <v/>
      </c>
      <c r="X498" s="38" t="str">
        <f>IF(B498="","",COUNTIFS(Ejecucion[No. Solicitud],Registro!B498,Ejecucion[Estado],"No Iniciado"))</f>
        <v/>
      </c>
      <c r="Y498" s="64" t="str">
        <f>IF(B498="","",COUNTIFS(Ejecucion[No. Solicitud],Registro!B498,Ejecucion[Estado],"En Proceso"))</f>
        <v/>
      </c>
      <c r="Z498" s="64" t="str">
        <f t="shared" si="17"/>
        <v/>
      </c>
      <c r="AA498" s="64"/>
      <c r="AB498" s="64"/>
      <c r="AC498" s="64"/>
      <c r="AD498" s="102"/>
    </row>
    <row r="499" spans="2:30" s="15" customFormat="1">
      <c r="B499" s="36"/>
      <c r="C499" s="102"/>
      <c r="D499" s="36"/>
      <c r="E499" s="22"/>
      <c r="F499" s="83"/>
      <c r="G499" s="83"/>
      <c r="H499" s="25"/>
      <c r="I499" s="25"/>
      <c r="J499" s="25"/>
      <c r="K499" s="25"/>
      <c r="L499" s="36"/>
      <c r="M499" s="36"/>
      <c r="N499" s="36"/>
      <c r="O499" s="102"/>
      <c r="P499" s="36"/>
      <c r="Q499" s="36"/>
      <c r="R499" s="37"/>
      <c r="S499" s="37"/>
      <c r="T499" s="60" t="str">
        <f t="shared" si="16"/>
        <v/>
      </c>
      <c r="U499" s="38"/>
      <c r="V499" s="38"/>
      <c r="W499" s="38" t="str">
        <f>IF(B499="","",COUNTIFS(Ejecucion[No. Solicitud],Registro!B499,Ejecucion[Estado],"Finalizado"))</f>
        <v/>
      </c>
      <c r="X499" s="38" t="str">
        <f>IF(B499="","",COUNTIFS(Ejecucion[No. Solicitud],Registro!B499,Ejecucion[Estado],"No Iniciado"))</f>
        <v/>
      </c>
      <c r="Y499" s="64" t="str">
        <f>IF(B499="","",COUNTIFS(Ejecucion[No. Solicitud],Registro!B499,Ejecucion[Estado],"En Proceso"))</f>
        <v/>
      </c>
      <c r="Z499" s="64" t="str">
        <f t="shared" si="17"/>
        <v/>
      </c>
      <c r="AA499" s="64"/>
      <c r="AB499" s="64"/>
      <c r="AC499" s="64"/>
      <c r="AD499" s="102"/>
    </row>
    <row r="500" spans="2:30" s="15" customFormat="1">
      <c r="B500" s="36"/>
      <c r="C500" s="102"/>
      <c r="D500" s="36"/>
      <c r="E500" s="22"/>
      <c r="F500" s="83"/>
      <c r="G500" s="83"/>
      <c r="H500" s="25"/>
      <c r="I500" s="25"/>
      <c r="J500" s="25"/>
      <c r="K500" s="25"/>
      <c r="L500" s="36"/>
      <c r="M500" s="36"/>
      <c r="N500" s="36"/>
      <c r="O500" s="102"/>
      <c r="P500" s="36"/>
      <c r="Q500" s="36"/>
      <c r="R500" s="37"/>
      <c r="S500" s="37"/>
      <c r="T500" s="60" t="str">
        <f t="shared" si="16"/>
        <v/>
      </c>
      <c r="U500" s="38"/>
      <c r="V500" s="38"/>
      <c r="W500" s="38" t="str">
        <f>IF(B500="","",COUNTIFS(Ejecucion[No. Solicitud],Registro!B500,Ejecucion[Estado],"Finalizado"))</f>
        <v/>
      </c>
      <c r="X500" s="38" t="str">
        <f>IF(B500="","",COUNTIFS(Ejecucion[No. Solicitud],Registro!B500,Ejecucion[Estado],"No Iniciado"))</f>
        <v/>
      </c>
      <c r="Y500" s="64" t="str">
        <f>IF(B500="","",COUNTIFS(Ejecucion[No. Solicitud],Registro!B500,Ejecucion[Estado],"En Proceso"))</f>
        <v/>
      </c>
      <c r="Z500" s="64" t="str">
        <f t="shared" si="17"/>
        <v/>
      </c>
      <c r="AA500" s="64"/>
      <c r="AB500" s="64"/>
      <c r="AC500" s="64"/>
      <c r="AD500" s="102"/>
    </row>
    <row r="501" spans="2:30" s="15" customFormat="1">
      <c r="B501" s="36"/>
      <c r="C501" s="102"/>
      <c r="D501" s="36"/>
      <c r="E501" s="22"/>
      <c r="F501" s="83"/>
      <c r="G501" s="83"/>
      <c r="H501" s="25"/>
      <c r="I501" s="25"/>
      <c r="J501" s="25"/>
      <c r="K501" s="25"/>
      <c r="L501" s="36"/>
      <c r="M501" s="36"/>
      <c r="N501" s="36"/>
      <c r="O501" s="102"/>
      <c r="P501" s="36"/>
      <c r="Q501" s="36"/>
      <c r="R501" s="37"/>
      <c r="S501" s="37"/>
      <c r="T501" s="60" t="str">
        <f t="shared" si="16"/>
        <v/>
      </c>
      <c r="U501" s="38"/>
      <c r="V501" s="38"/>
      <c r="W501" s="38" t="str">
        <f>IF(B501="","",COUNTIFS(Ejecucion[No. Solicitud],Registro!B501,Ejecucion[Estado],"Finalizado"))</f>
        <v/>
      </c>
      <c r="X501" s="38" t="str">
        <f>IF(B501="","",COUNTIFS(Ejecucion[No. Solicitud],Registro!B501,Ejecucion[Estado],"No Iniciado"))</f>
        <v/>
      </c>
      <c r="Y501" s="64" t="str">
        <f>IF(B501="","",COUNTIFS(Ejecucion[No. Solicitud],Registro!B501,Ejecucion[Estado],"En Proceso"))</f>
        <v/>
      </c>
      <c r="Z501" s="64" t="str">
        <f t="shared" si="17"/>
        <v/>
      </c>
      <c r="AA501" s="64"/>
      <c r="AB501" s="64"/>
      <c r="AC501" s="64"/>
      <c r="AD501" s="102"/>
    </row>
    <row r="502" spans="2:30" s="15" customFormat="1">
      <c r="B502" s="36"/>
      <c r="C502" s="102"/>
      <c r="D502" s="36"/>
      <c r="E502" s="22"/>
      <c r="F502" s="83"/>
      <c r="G502" s="83"/>
      <c r="H502" s="25"/>
      <c r="I502" s="25"/>
      <c r="J502" s="25"/>
      <c r="K502" s="25"/>
      <c r="L502" s="36"/>
      <c r="M502" s="36"/>
      <c r="N502" s="36"/>
      <c r="O502" s="102"/>
      <c r="P502" s="36"/>
      <c r="Q502" s="36"/>
      <c r="R502" s="37"/>
      <c r="S502" s="37"/>
      <c r="T502" s="60" t="str">
        <f t="shared" si="16"/>
        <v/>
      </c>
      <c r="U502" s="38"/>
      <c r="V502" s="38"/>
      <c r="W502" s="38" t="str">
        <f>IF(B502="","",COUNTIFS(Ejecucion[No. Solicitud],Registro!B502,Ejecucion[Estado],"Finalizado"))</f>
        <v/>
      </c>
      <c r="X502" s="38" t="str">
        <f>IF(B502="","",COUNTIFS(Ejecucion[No. Solicitud],Registro!B502,Ejecucion[Estado],"No Iniciado"))</f>
        <v/>
      </c>
      <c r="Y502" s="64" t="str">
        <f>IF(B502="","",COUNTIFS(Ejecucion[No. Solicitud],Registro!B502,Ejecucion[Estado],"En Proceso"))</f>
        <v/>
      </c>
      <c r="Z502" s="64" t="str">
        <f t="shared" si="17"/>
        <v/>
      </c>
      <c r="AA502" s="64"/>
      <c r="AB502" s="64"/>
      <c r="AC502" s="64"/>
      <c r="AD502" s="102"/>
    </row>
    <row r="503" spans="2:30" s="15" customFormat="1">
      <c r="B503" s="36"/>
      <c r="C503" s="102"/>
      <c r="D503" s="36"/>
      <c r="E503" s="22"/>
      <c r="F503" s="83"/>
      <c r="G503" s="83"/>
      <c r="H503" s="25"/>
      <c r="I503" s="25"/>
      <c r="J503" s="25"/>
      <c r="K503" s="25"/>
      <c r="L503" s="36"/>
      <c r="M503" s="36"/>
      <c r="N503" s="36"/>
      <c r="O503" s="102"/>
      <c r="P503" s="36"/>
      <c r="Q503" s="36"/>
      <c r="R503" s="37"/>
      <c r="S503" s="37"/>
      <c r="T503" s="60" t="str">
        <f t="shared" si="16"/>
        <v/>
      </c>
      <c r="U503" s="38"/>
      <c r="V503" s="38"/>
      <c r="W503" s="38" t="str">
        <f>IF(B503="","",COUNTIFS(Ejecucion[No. Solicitud],Registro!B503,Ejecucion[Estado],"Finalizado"))</f>
        <v/>
      </c>
      <c r="X503" s="38" t="str">
        <f>IF(B503="","",COUNTIFS(Ejecucion[No. Solicitud],Registro!B503,Ejecucion[Estado],"No Iniciado"))</f>
        <v/>
      </c>
      <c r="Y503" s="64" t="str">
        <f>IF(B503="","",COUNTIFS(Ejecucion[No. Solicitud],Registro!B503,Ejecucion[Estado],"En Proceso"))</f>
        <v/>
      </c>
      <c r="Z503" s="64" t="str">
        <f t="shared" si="17"/>
        <v/>
      </c>
      <c r="AA503" s="64"/>
      <c r="AB503" s="64"/>
      <c r="AC503" s="64"/>
      <c r="AD503" s="102"/>
    </row>
    <row r="504" spans="2:30" s="15" customFormat="1">
      <c r="B504" s="36"/>
      <c r="C504" s="102"/>
      <c r="D504" s="36"/>
      <c r="E504" s="22"/>
      <c r="F504" s="83"/>
      <c r="G504" s="83"/>
      <c r="H504" s="25"/>
      <c r="I504" s="25"/>
      <c r="J504" s="25"/>
      <c r="K504" s="25"/>
      <c r="L504" s="36"/>
      <c r="M504" s="36"/>
      <c r="N504" s="36"/>
      <c r="O504" s="102"/>
      <c r="P504" s="36"/>
      <c r="Q504" s="36"/>
      <c r="R504" s="37"/>
      <c r="S504" s="37"/>
      <c r="T504" s="60" t="str">
        <f t="shared" si="16"/>
        <v/>
      </c>
      <c r="U504" s="38"/>
      <c r="V504" s="38"/>
      <c r="W504" s="38" t="str">
        <f>IF(B504="","",COUNTIFS(Ejecucion[No. Solicitud],Registro!B504,Ejecucion[Estado],"Finalizado"))</f>
        <v/>
      </c>
      <c r="X504" s="38" t="str">
        <f>IF(B504="","",COUNTIFS(Ejecucion[No. Solicitud],Registro!B504,Ejecucion[Estado],"No Iniciado"))</f>
        <v/>
      </c>
      <c r="Y504" s="64" t="str">
        <f>IF(B504="","",COUNTIFS(Ejecucion[No. Solicitud],Registro!B504,Ejecucion[Estado],"En Proceso"))</f>
        <v/>
      </c>
      <c r="Z504" s="64" t="str">
        <f t="shared" si="17"/>
        <v/>
      </c>
      <c r="AA504" s="64"/>
      <c r="AB504" s="64"/>
      <c r="AC504" s="64"/>
      <c r="AD504" s="102"/>
    </row>
    <row r="505" spans="2:30" s="15" customFormat="1">
      <c r="B505" s="36"/>
      <c r="C505" s="102"/>
      <c r="D505" s="36"/>
      <c r="E505" s="22"/>
      <c r="F505" s="83"/>
      <c r="G505" s="83"/>
      <c r="H505" s="25"/>
      <c r="I505" s="25"/>
      <c r="J505" s="25"/>
      <c r="K505" s="25"/>
      <c r="L505" s="36"/>
      <c r="M505" s="36"/>
      <c r="N505" s="36"/>
      <c r="O505" s="102"/>
      <c r="P505" s="36"/>
      <c r="Q505" s="36"/>
      <c r="R505" s="37"/>
      <c r="S505" s="37"/>
      <c r="T505" s="60" t="str">
        <f t="shared" si="16"/>
        <v/>
      </c>
      <c r="U505" s="38"/>
      <c r="V505" s="38"/>
      <c r="W505" s="38" t="str">
        <f>IF(B505="","",COUNTIFS(Ejecucion[No. Solicitud],Registro!B505,Ejecucion[Estado],"Finalizado"))</f>
        <v/>
      </c>
      <c r="X505" s="38" t="str">
        <f>IF(B505="","",COUNTIFS(Ejecucion[No. Solicitud],Registro!B505,Ejecucion[Estado],"No Iniciado"))</f>
        <v/>
      </c>
      <c r="Y505" s="64" t="str">
        <f>IF(B505="","",COUNTIFS(Ejecucion[No. Solicitud],Registro!B505,Ejecucion[Estado],"En Proceso"))</f>
        <v/>
      </c>
      <c r="Z505" s="64" t="str">
        <f t="shared" si="17"/>
        <v/>
      </c>
      <c r="AA505" s="64"/>
      <c r="AB505" s="64"/>
      <c r="AC505" s="64"/>
      <c r="AD505" s="102"/>
    </row>
    <row r="506" spans="2:30" s="15" customFormat="1">
      <c r="B506" s="36"/>
      <c r="C506" s="102"/>
      <c r="D506" s="36"/>
      <c r="E506" s="22"/>
      <c r="F506" s="83"/>
      <c r="G506" s="83"/>
      <c r="H506" s="25"/>
      <c r="I506" s="25"/>
      <c r="J506" s="25"/>
      <c r="K506" s="25"/>
      <c r="L506" s="36"/>
      <c r="M506" s="36"/>
      <c r="N506" s="36"/>
      <c r="O506" s="102"/>
      <c r="P506" s="36"/>
      <c r="Q506" s="36"/>
      <c r="R506" s="37"/>
      <c r="S506" s="37"/>
      <c r="T506" s="60" t="str">
        <f t="shared" si="16"/>
        <v/>
      </c>
      <c r="U506" s="38"/>
      <c r="V506" s="38"/>
      <c r="W506" s="38" t="str">
        <f>IF(B506="","",COUNTIFS(Ejecucion[No. Solicitud],Registro!B506,Ejecucion[Estado],"Finalizado"))</f>
        <v/>
      </c>
      <c r="X506" s="38" t="str">
        <f>IF(B506="","",COUNTIFS(Ejecucion[No. Solicitud],Registro!B506,Ejecucion[Estado],"No Iniciado"))</f>
        <v/>
      </c>
      <c r="Y506" s="64" t="str">
        <f>IF(B506="","",COUNTIFS(Ejecucion[No. Solicitud],Registro!B506,Ejecucion[Estado],"En Proceso"))</f>
        <v/>
      </c>
      <c r="Z506" s="64" t="str">
        <f t="shared" si="17"/>
        <v/>
      </c>
      <c r="AA506" s="64"/>
      <c r="AB506" s="64"/>
      <c r="AC506" s="64"/>
      <c r="AD506" s="102"/>
    </row>
    <row r="507" spans="2:30" s="15" customFormat="1">
      <c r="B507" s="36"/>
      <c r="C507" s="102"/>
      <c r="D507" s="36"/>
      <c r="E507" s="22"/>
      <c r="F507" s="83"/>
      <c r="G507" s="83"/>
      <c r="H507" s="25"/>
      <c r="I507" s="25"/>
      <c r="J507" s="25"/>
      <c r="K507" s="25"/>
      <c r="L507" s="36"/>
      <c r="M507" s="36"/>
      <c r="N507" s="36"/>
      <c r="O507" s="102"/>
      <c r="P507" s="36"/>
      <c r="Q507" s="36"/>
      <c r="R507" s="37"/>
      <c r="S507" s="37"/>
      <c r="T507" s="60" t="str">
        <f t="shared" si="16"/>
        <v/>
      </c>
      <c r="U507" s="38"/>
      <c r="V507" s="38"/>
      <c r="W507" s="38" t="str">
        <f>IF(B507="","",COUNTIFS(Ejecucion[No. Solicitud],Registro!B507,Ejecucion[Estado],"Finalizado"))</f>
        <v/>
      </c>
      <c r="X507" s="38" t="str">
        <f>IF(B507="","",COUNTIFS(Ejecucion[No. Solicitud],Registro!B507,Ejecucion[Estado],"No Iniciado"))</f>
        <v/>
      </c>
      <c r="Y507" s="64" t="str">
        <f>IF(B507="","",COUNTIFS(Ejecucion[No. Solicitud],Registro!B507,Ejecucion[Estado],"En Proceso"))</f>
        <v/>
      </c>
      <c r="Z507" s="64" t="str">
        <f t="shared" si="17"/>
        <v/>
      </c>
      <c r="AA507" s="64"/>
      <c r="AB507" s="64"/>
      <c r="AC507" s="64"/>
      <c r="AD507" s="102"/>
    </row>
    <row r="508" spans="2:30" s="15" customFormat="1">
      <c r="B508" s="36"/>
      <c r="C508" s="102"/>
      <c r="D508" s="36"/>
      <c r="E508" s="22"/>
      <c r="F508" s="83"/>
      <c r="G508" s="83"/>
      <c r="H508" s="25"/>
      <c r="I508" s="25"/>
      <c r="J508" s="25"/>
      <c r="K508" s="25"/>
      <c r="L508" s="36"/>
      <c r="M508" s="36"/>
      <c r="N508" s="36"/>
      <c r="O508" s="102"/>
      <c r="P508" s="36"/>
      <c r="Q508" s="36"/>
      <c r="R508" s="37"/>
      <c r="S508" s="37"/>
      <c r="T508" s="60" t="str">
        <f t="shared" si="16"/>
        <v/>
      </c>
      <c r="U508" s="38"/>
      <c r="V508" s="38"/>
      <c r="W508" s="38" t="str">
        <f>IF(B508="","",COUNTIFS(Ejecucion[No. Solicitud],Registro!B508,Ejecucion[Estado],"Finalizado"))</f>
        <v/>
      </c>
      <c r="X508" s="38" t="str">
        <f>IF(B508="","",COUNTIFS(Ejecucion[No. Solicitud],Registro!B508,Ejecucion[Estado],"No Iniciado"))</f>
        <v/>
      </c>
      <c r="Y508" s="64" t="str">
        <f>IF(B508="","",COUNTIFS(Ejecucion[No. Solicitud],Registro!B508,Ejecucion[Estado],"En Proceso"))</f>
        <v/>
      </c>
      <c r="Z508" s="64" t="str">
        <f t="shared" si="17"/>
        <v/>
      </c>
      <c r="AA508" s="64"/>
      <c r="AB508" s="64"/>
      <c r="AC508" s="64"/>
      <c r="AD508" s="102"/>
    </row>
    <row r="509" spans="2:30" s="15" customFormat="1">
      <c r="B509" s="36"/>
      <c r="C509" s="102"/>
      <c r="D509" s="36"/>
      <c r="E509" s="22"/>
      <c r="F509" s="83"/>
      <c r="G509" s="83"/>
      <c r="H509" s="25"/>
      <c r="I509" s="25"/>
      <c r="J509" s="25"/>
      <c r="K509" s="25"/>
      <c r="L509" s="36"/>
      <c r="M509" s="36"/>
      <c r="N509" s="36"/>
      <c r="O509" s="102"/>
      <c r="P509" s="36"/>
      <c r="Q509" s="36"/>
      <c r="R509" s="37"/>
      <c r="S509" s="37"/>
      <c r="T509" s="60" t="str">
        <f t="shared" si="16"/>
        <v/>
      </c>
      <c r="U509" s="38"/>
      <c r="V509" s="38"/>
      <c r="W509" s="38" t="str">
        <f>IF(B509="","",COUNTIFS(Ejecucion[No. Solicitud],Registro!B509,Ejecucion[Estado],"Finalizado"))</f>
        <v/>
      </c>
      <c r="X509" s="38" t="str">
        <f>IF(B509="","",COUNTIFS(Ejecucion[No. Solicitud],Registro!B509,Ejecucion[Estado],"No Iniciado"))</f>
        <v/>
      </c>
      <c r="Y509" s="64" t="str">
        <f>IF(B509="","",COUNTIFS(Ejecucion[No. Solicitud],Registro!B509,Ejecucion[Estado],"En Proceso"))</f>
        <v/>
      </c>
      <c r="Z509" s="64" t="str">
        <f t="shared" si="17"/>
        <v/>
      </c>
      <c r="AA509" s="64"/>
      <c r="AB509" s="64"/>
      <c r="AC509" s="64"/>
      <c r="AD509" s="102"/>
    </row>
    <row r="510" spans="2:30" s="15" customFormat="1">
      <c r="B510" s="36"/>
      <c r="C510" s="102"/>
      <c r="D510" s="36"/>
      <c r="E510" s="22"/>
      <c r="F510" s="83"/>
      <c r="G510" s="83"/>
      <c r="H510" s="25"/>
      <c r="I510" s="25"/>
      <c r="J510" s="25"/>
      <c r="K510" s="25"/>
      <c r="L510" s="36"/>
      <c r="M510" s="36"/>
      <c r="N510" s="36"/>
      <c r="O510" s="102"/>
      <c r="P510" s="36"/>
      <c r="Q510" s="36"/>
      <c r="R510" s="37"/>
      <c r="S510" s="37"/>
      <c r="T510" s="60" t="str">
        <f t="shared" si="16"/>
        <v/>
      </c>
      <c r="U510" s="38"/>
      <c r="V510" s="38"/>
      <c r="W510" s="38" t="str">
        <f>IF(B510="","",COUNTIFS(Ejecucion[No. Solicitud],Registro!B510,Ejecucion[Estado],"Finalizado"))</f>
        <v/>
      </c>
      <c r="X510" s="38" t="str">
        <f>IF(B510="","",COUNTIFS(Ejecucion[No. Solicitud],Registro!B510,Ejecucion[Estado],"No Iniciado"))</f>
        <v/>
      </c>
      <c r="Y510" s="64" t="str">
        <f>IF(B510="","",COUNTIFS(Ejecucion[No. Solicitud],Registro!B510,Ejecucion[Estado],"En Proceso"))</f>
        <v/>
      </c>
      <c r="Z510" s="64" t="str">
        <f t="shared" si="17"/>
        <v/>
      </c>
      <c r="AA510" s="64"/>
      <c r="AB510" s="64"/>
      <c r="AC510" s="64"/>
      <c r="AD510" s="102"/>
    </row>
    <row r="511" spans="2:30" s="15" customFormat="1">
      <c r="B511" s="36"/>
      <c r="C511" s="102"/>
      <c r="D511" s="36"/>
      <c r="E511" s="22"/>
      <c r="F511" s="83"/>
      <c r="G511" s="83"/>
      <c r="H511" s="25"/>
      <c r="I511" s="25"/>
      <c r="J511" s="25"/>
      <c r="K511" s="25"/>
      <c r="L511" s="36"/>
      <c r="M511" s="36"/>
      <c r="N511" s="36"/>
      <c r="O511" s="102"/>
      <c r="P511" s="36"/>
      <c r="Q511" s="36"/>
      <c r="R511" s="37"/>
      <c r="S511" s="37"/>
      <c r="T511" s="60" t="str">
        <f t="shared" si="16"/>
        <v/>
      </c>
      <c r="U511" s="38"/>
      <c r="V511" s="38"/>
      <c r="W511" s="38" t="str">
        <f>IF(B511="","",COUNTIFS(Ejecucion[No. Solicitud],Registro!B511,Ejecucion[Estado],"Finalizado"))</f>
        <v/>
      </c>
      <c r="X511" s="38" t="str">
        <f>IF(B511="","",COUNTIFS(Ejecucion[No. Solicitud],Registro!B511,Ejecucion[Estado],"No Iniciado"))</f>
        <v/>
      </c>
      <c r="Y511" s="64" t="str">
        <f>IF(B511="","",COUNTIFS(Ejecucion[No. Solicitud],Registro!B511,Ejecucion[Estado],"En Proceso"))</f>
        <v/>
      </c>
      <c r="Z511" s="64" t="str">
        <f t="shared" si="17"/>
        <v/>
      </c>
      <c r="AA511" s="64"/>
      <c r="AB511" s="64"/>
      <c r="AC511" s="64"/>
      <c r="AD511" s="102"/>
    </row>
    <row r="512" spans="2:30" s="15" customFormat="1">
      <c r="B512" s="36"/>
      <c r="C512" s="102"/>
      <c r="D512" s="36"/>
      <c r="E512" s="22"/>
      <c r="F512" s="83"/>
      <c r="G512" s="83"/>
      <c r="H512" s="25"/>
      <c r="I512" s="25"/>
      <c r="J512" s="25"/>
      <c r="K512" s="25"/>
      <c r="L512" s="36"/>
      <c r="M512" s="36"/>
      <c r="N512" s="36"/>
      <c r="O512" s="102"/>
      <c r="P512" s="36"/>
      <c r="Q512" s="36"/>
      <c r="R512" s="37"/>
      <c r="S512" s="37"/>
      <c r="T512" s="60" t="str">
        <f t="shared" si="16"/>
        <v/>
      </c>
      <c r="U512" s="38"/>
      <c r="V512" s="38"/>
      <c r="W512" s="38" t="str">
        <f>IF(B512="","",COUNTIFS(Ejecucion[No. Solicitud],Registro!B512,Ejecucion[Estado],"Finalizado"))</f>
        <v/>
      </c>
      <c r="X512" s="38" t="str">
        <f>IF(B512="","",COUNTIFS(Ejecucion[No. Solicitud],Registro!B512,Ejecucion[Estado],"No Iniciado"))</f>
        <v/>
      </c>
      <c r="Y512" s="64" t="str">
        <f>IF(B512="","",COUNTIFS(Ejecucion[No. Solicitud],Registro!B512,Ejecucion[Estado],"En Proceso"))</f>
        <v/>
      </c>
      <c r="Z512" s="64" t="str">
        <f t="shared" si="17"/>
        <v/>
      </c>
      <c r="AA512" s="64"/>
      <c r="AB512" s="64"/>
      <c r="AC512" s="64"/>
      <c r="AD512" s="102"/>
    </row>
    <row r="513" spans="2:30" s="15" customFormat="1">
      <c r="B513" s="36"/>
      <c r="C513" s="102"/>
      <c r="D513" s="36"/>
      <c r="E513" s="22"/>
      <c r="F513" s="83"/>
      <c r="G513" s="83"/>
      <c r="H513" s="25"/>
      <c r="I513" s="25"/>
      <c r="J513" s="25"/>
      <c r="K513" s="25"/>
      <c r="L513" s="36"/>
      <c r="M513" s="36"/>
      <c r="N513" s="36"/>
      <c r="O513" s="102"/>
      <c r="P513" s="36"/>
      <c r="Q513" s="36"/>
      <c r="R513" s="37"/>
      <c r="S513" s="37"/>
      <c r="T513" s="60" t="str">
        <f t="shared" si="16"/>
        <v/>
      </c>
      <c r="U513" s="38"/>
      <c r="V513" s="38"/>
      <c r="W513" s="38" t="str">
        <f>IF(B513="","",COUNTIFS(Ejecucion[No. Solicitud],Registro!B513,Ejecucion[Estado],"Finalizado"))</f>
        <v/>
      </c>
      <c r="X513" s="38" t="str">
        <f>IF(B513="","",COUNTIFS(Ejecucion[No. Solicitud],Registro!B513,Ejecucion[Estado],"No Iniciado"))</f>
        <v/>
      </c>
      <c r="Y513" s="64" t="str">
        <f>IF(B513="","",COUNTIFS(Ejecucion[No. Solicitud],Registro!B513,Ejecucion[Estado],"En Proceso"))</f>
        <v/>
      </c>
      <c r="Z513" s="64" t="str">
        <f t="shared" si="17"/>
        <v/>
      </c>
      <c r="AA513" s="64"/>
      <c r="AB513" s="64"/>
      <c r="AC513" s="64"/>
      <c r="AD513" s="102"/>
    </row>
    <row r="514" spans="2:30" s="15" customFormat="1">
      <c r="B514" s="36"/>
      <c r="C514" s="102"/>
      <c r="D514" s="36"/>
      <c r="E514" s="22"/>
      <c r="F514" s="83"/>
      <c r="G514" s="83"/>
      <c r="H514" s="25"/>
      <c r="I514" s="25"/>
      <c r="J514" s="25"/>
      <c r="K514" s="25"/>
      <c r="L514" s="36"/>
      <c r="M514" s="36"/>
      <c r="N514" s="36"/>
      <c r="O514" s="102"/>
      <c r="P514" s="36"/>
      <c r="Q514" s="36"/>
      <c r="R514" s="37"/>
      <c r="S514" s="37"/>
      <c r="T514" s="60" t="str">
        <f t="shared" si="16"/>
        <v/>
      </c>
      <c r="U514" s="38"/>
      <c r="V514" s="38"/>
      <c r="W514" s="38" t="str">
        <f>IF(B514="","",COUNTIFS(Ejecucion[No. Solicitud],Registro!B514,Ejecucion[Estado],"Finalizado"))</f>
        <v/>
      </c>
      <c r="X514" s="38" t="str">
        <f>IF(B514="","",COUNTIFS(Ejecucion[No. Solicitud],Registro!B514,Ejecucion[Estado],"No Iniciado"))</f>
        <v/>
      </c>
      <c r="Y514" s="64" t="str">
        <f>IF(B514="","",COUNTIFS(Ejecucion[No. Solicitud],Registro!B514,Ejecucion[Estado],"En Proceso"))</f>
        <v/>
      </c>
      <c r="Z514" s="64" t="str">
        <f t="shared" si="17"/>
        <v/>
      </c>
      <c r="AA514" s="64"/>
      <c r="AB514" s="64"/>
      <c r="AC514" s="64"/>
      <c r="AD514" s="102"/>
    </row>
    <row r="515" spans="2:30" s="15" customFormat="1">
      <c r="B515" s="36"/>
      <c r="C515" s="102"/>
      <c r="D515" s="36"/>
      <c r="E515" s="22"/>
      <c r="F515" s="83"/>
      <c r="G515" s="83"/>
      <c r="H515" s="25"/>
      <c r="I515" s="25"/>
      <c r="J515" s="25"/>
      <c r="K515" s="25"/>
      <c r="L515" s="36"/>
      <c r="M515" s="36"/>
      <c r="N515" s="36"/>
      <c r="O515" s="102"/>
      <c r="P515" s="36"/>
      <c r="Q515" s="36"/>
      <c r="R515" s="37"/>
      <c r="S515" s="37"/>
      <c r="T515" s="60" t="str">
        <f t="shared" si="16"/>
        <v/>
      </c>
      <c r="U515" s="38"/>
      <c r="V515" s="38"/>
      <c r="W515" s="38" t="str">
        <f>IF(B515="","",COUNTIFS(Ejecucion[No. Solicitud],Registro!B515,Ejecucion[Estado],"Finalizado"))</f>
        <v/>
      </c>
      <c r="X515" s="38" t="str">
        <f>IF(B515="","",COUNTIFS(Ejecucion[No. Solicitud],Registro!B515,Ejecucion[Estado],"No Iniciado"))</f>
        <v/>
      </c>
      <c r="Y515" s="64" t="str">
        <f>IF(B515="","",COUNTIFS(Ejecucion[No. Solicitud],Registro!B515,Ejecucion[Estado],"En Proceso"))</f>
        <v/>
      </c>
      <c r="Z515" s="64" t="str">
        <f t="shared" si="17"/>
        <v/>
      </c>
      <c r="AA515" s="64"/>
      <c r="AB515" s="64"/>
      <c r="AC515" s="64"/>
      <c r="AD515" s="102"/>
    </row>
    <row r="516" spans="2:30" s="15" customFormat="1">
      <c r="B516" s="36"/>
      <c r="C516" s="102"/>
      <c r="D516" s="36"/>
      <c r="E516" s="22"/>
      <c r="F516" s="83"/>
      <c r="G516" s="83"/>
      <c r="H516" s="25"/>
      <c r="I516" s="25"/>
      <c r="J516" s="25"/>
      <c r="K516" s="25"/>
      <c r="L516" s="36"/>
      <c r="M516" s="36"/>
      <c r="N516" s="36"/>
      <c r="O516" s="102"/>
      <c r="P516" s="36"/>
      <c r="Q516" s="36"/>
      <c r="R516" s="37"/>
      <c r="S516" s="37"/>
      <c r="T516" s="60" t="str">
        <f t="shared" si="16"/>
        <v/>
      </c>
      <c r="U516" s="38"/>
      <c r="V516" s="38"/>
      <c r="W516" s="38" t="str">
        <f>IF(B516="","",COUNTIFS(Ejecucion[No. Solicitud],Registro!B516,Ejecucion[Estado],"Finalizado"))</f>
        <v/>
      </c>
      <c r="X516" s="38" t="str">
        <f>IF(B516="","",COUNTIFS(Ejecucion[No. Solicitud],Registro!B516,Ejecucion[Estado],"No Iniciado"))</f>
        <v/>
      </c>
      <c r="Y516" s="64" t="str">
        <f>IF(B516="","",COUNTIFS(Ejecucion[No. Solicitud],Registro!B516,Ejecucion[Estado],"En Proceso"))</f>
        <v/>
      </c>
      <c r="Z516" s="64" t="str">
        <f t="shared" si="17"/>
        <v/>
      </c>
      <c r="AA516" s="64"/>
      <c r="AB516" s="64"/>
      <c r="AC516" s="64"/>
      <c r="AD516" s="102"/>
    </row>
    <row r="517" spans="2:30" s="15" customFormat="1">
      <c r="B517" s="36"/>
      <c r="C517" s="102"/>
      <c r="D517" s="36"/>
      <c r="E517" s="22"/>
      <c r="F517" s="83"/>
      <c r="G517" s="83"/>
      <c r="H517" s="25"/>
      <c r="I517" s="25"/>
      <c r="J517" s="25"/>
      <c r="K517" s="25"/>
      <c r="L517" s="36"/>
      <c r="M517" s="36"/>
      <c r="N517" s="36"/>
      <c r="O517" s="102"/>
      <c r="P517" s="36"/>
      <c r="Q517" s="36"/>
      <c r="R517" s="37"/>
      <c r="S517" s="37"/>
      <c r="T517" s="60" t="str">
        <f t="shared" si="16"/>
        <v/>
      </c>
      <c r="U517" s="38"/>
      <c r="V517" s="38"/>
      <c r="W517" s="38" t="str">
        <f>IF(B517="","",COUNTIFS(Ejecucion[No. Solicitud],Registro!B517,Ejecucion[Estado],"Finalizado"))</f>
        <v/>
      </c>
      <c r="X517" s="38" t="str">
        <f>IF(B517="","",COUNTIFS(Ejecucion[No. Solicitud],Registro!B517,Ejecucion[Estado],"No Iniciado"))</f>
        <v/>
      </c>
      <c r="Y517" s="64" t="str">
        <f>IF(B517="","",COUNTIFS(Ejecucion[No. Solicitud],Registro!B517,Ejecucion[Estado],"En Proceso"))</f>
        <v/>
      </c>
      <c r="Z517" s="64" t="str">
        <f t="shared" si="17"/>
        <v/>
      </c>
      <c r="AA517" s="64"/>
      <c r="AB517" s="64"/>
      <c r="AC517" s="64"/>
      <c r="AD517" s="102"/>
    </row>
    <row r="518" spans="2:30" s="15" customFormat="1">
      <c r="B518" s="36"/>
      <c r="C518" s="102"/>
      <c r="D518" s="36"/>
      <c r="E518" s="22"/>
      <c r="F518" s="83"/>
      <c r="G518" s="83"/>
      <c r="H518" s="25"/>
      <c r="I518" s="25"/>
      <c r="J518" s="25"/>
      <c r="K518" s="25"/>
      <c r="L518" s="36"/>
      <c r="M518" s="36"/>
      <c r="N518" s="36"/>
      <c r="O518" s="102"/>
      <c r="P518" s="36"/>
      <c r="Q518" s="36"/>
      <c r="R518" s="37"/>
      <c r="S518" s="37"/>
      <c r="T518" s="60" t="str">
        <f t="shared" si="16"/>
        <v/>
      </c>
      <c r="U518" s="38"/>
      <c r="V518" s="38"/>
      <c r="W518" s="38" t="str">
        <f>IF(B518="","",COUNTIFS(Ejecucion[No. Solicitud],Registro!B518,Ejecucion[Estado],"Finalizado"))</f>
        <v/>
      </c>
      <c r="X518" s="38" t="str">
        <f>IF(B518="","",COUNTIFS(Ejecucion[No. Solicitud],Registro!B518,Ejecucion[Estado],"No Iniciado"))</f>
        <v/>
      </c>
      <c r="Y518" s="64" t="str">
        <f>IF(B518="","",COUNTIFS(Ejecucion[No. Solicitud],Registro!B518,Ejecucion[Estado],"En Proceso"))</f>
        <v/>
      </c>
      <c r="Z518" s="64" t="str">
        <f t="shared" si="17"/>
        <v/>
      </c>
      <c r="AA518" s="64"/>
      <c r="AB518" s="64"/>
      <c r="AC518" s="64"/>
      <c r="AD518" s="102"/>
    </row>
    <row r="519" spans="2:30" s="15" customFormat="1">
      <c r="B519" s="36"/>
      <c r="C519" s="102"/>
      <c r="D519" s="36"/>
      <c r="E519" s="22"/>
      <c r="F519" s="83"/>
      <c r="G519" s="83"/>
      <c r="H519" s="25"/>
      <c r="I519" s="25"/>
      <c r="J519" s="25"/>
      <c r="K519" s="25"/>
      <c r="L519" s="36"/>
      <c r="M519" s="36"/>
      <c r="N519" s="36"/>
      <c r="O519" s="102"/>
      <c r="P519" s="36"/>
      <c r="Q519" s="36"/>
      <c r="R519" s="37"/>
      <c r="S519" s="37"/>
      <c r="T519" s="60" t="str">
        <f t="shared" si="16"/>
        <v/>
      </c>
      <c r="U519" s="38"/>
      <c r="V519" s="38"/>
      <c r="W519" s="38" t="str">
        <f>IF(B519="","",COUNTIFS(Ejecucion[No. Solicitud],Registro!B519,Ejecucion[Estado],"Finalizado"))</f>
        <v/>
      </c>
      <c r="X519" s="38" t="str">
        <f>IF(B519="","",COUNTIFS(Ejecucion[No. Solicitud],Registro!B519,Ejecucion[Estado],"No Iniciado"))</f>
        <v/>
      </c>
      <c r="Y519" s="64" t="str">
        <f>IF(B519="","",COUNTIFS(Ejecucion[No. Solicitud],Registro!B519,Ejecucion[Estado],"En Proceso"))</f>
        <v/>
      </c>
      <c r="Z519" s="64" t="str">
        <f t="shared" si="17"/>
        <v/>
      </c>
      <c r="AA519" s="64"/>
      <c r="AB519" s="64"/>
      <c r="AC519" s="64"/>
      <c r="AD519" s="102"/>
    </row>
    <row r="520" spans="2:30" s="15" customFormat="1">
      <c r="B520" s="36"/>
      <c r="C520" s="102"/>
      <c r="D520" s="36"/>
      <c r="E520" s="22"/>
      <c r="F520" s="83"/>
      <c r="G520" s="83"/>
      <c r="H520" s="25"/>
      <c r="I520" s="25"/>
      <c r="J520" s="25"/>
      <c r="K520" s="25"/>
      <c r="L520" s="36"/>
      <c r="M520" s="36"/>
      <c r="N520" s="36"/>
      <c r="O520" s="102"/>
      <c r="P520" s="36"/>
      <c r="Q520" s="36"/>
      <c r="R520" s="37"/>
      <c r="S520" s="37"/>
      <c r="T520" s="60" t="str">
        <f t="shared" ref="T520:T583" si="18">IF(U520="","",IF(U520=W520,1,0))</f>
        <v/>
      </c>
      <c r="U520" s="38"/>
      <c r="V520" s="38"/>
      <c r="W520" s="38" t="str">
        <f>IF(B520="","",COUNTIFS(Ejecucion[No. Solicitud],Registro!B520,Ejecucion[Estado],"Finalizado"))</f>
        <v/>
      </c>
      <c r="X520" s="38" t="str">
        <f>IF(B520="","",COUNTIFS(Ejecucion[No. Solicitud],Registro!B520,Ejecucion[Estado],"No Iniciado"))</f>
        <v/>
      </c>
      <c r="Y520" s="64" t="str">
        <f>IF(B520="","",COUNTIFS(Ejecucion[No. Solicitud],Registro!B520,Ejecucion[Estado],"En Proceso"))</f>
        <v/>
      </c>
      <c r="Z520" s="64" t="str">
        <f t="shared" si="17"/>
        <v/>
      </c>
      <c r="AA520" s="64"/>
      <c r="AB520" s="64"/>
      <c r="AC520" s="64"/>
      <c r="AD520" s="102"/>
    </row>
    <row r="521" spans="2:30" s="15" customFormat="1">
      <c r="B521" s="36"/>
      <c r="C521" s="102"/>
      <c r="D521" s="36"/>
      <c r="E521" s="22"/>
      <c r="F521" s="83"/>
      <c r="G521" s="83"/>
      <c r="H521" s="25"/>
      <c r="I521" s="25"/>
      <c r="J521" s="25"/>
      <c r="K521" s="25"/>
      <c r="L521" s="36"/>
      <c r="M521" s="36"/>
      <c r="N521" s="36"/>
      <c r="O521" s="102"/>
      <c r="P521" s="36"/>
      <c r="Q521" s="36"/>
      <c r="R521" s="37"/>
      <c r="S521" s="37"/>
      <c r="T521" s="60" t="str">
        <f t="shared" si="18"/>
        <v/>
      </c>
      <c r="U521" s="38"/>
      <c r="V521" s="38"/>
      <c r="W521" s="38" t="str">
        <f>IF(B521="","",COUNTIFS(Ejecucion[No. Solicitud],Registro!B521,Ejecucion[Estado],"Finalizado"))</f>
        <v/>
      </c>
      <c r="X521" s="38" t="str">
        <f>IF(B521="","",COUNTIFS(Ejecucion[No. Solicitud],Registro!B521,Ejecucion[Estado],"No Iniciado"))</f>
        <v/>
      </c>
      <c r="Y521" s="64" t="str">
        <f>IF(B521="","",COUNTIFS(Ejecucion[No. Solicitud],Registro!B521,Ejecucion[Estado],"En Proceso"))</f>
        <v/>
      </c>
      <c r="Z521" s="64" t="str">
        <f t="shared" si="17"/>
        <v/>
      </c>
      <c r="AA521" s="64"/>
      <c r="AB521" s="64"/>
      <c r="AC521" s="64"/>
      <c r="AD521" s="102"/>
    </row>
    <row r="522" spans="2:30" s="15" customFormat="1">
      <c r="B522" s="36"/>
      <c r="C522" s="102"/>
      <c r="D522" s="36"/>
      <c r="E522" s="22"/>
      <c r="F522" s="83"/>
      <c r="G522" s="83"/>
      <c r="H522" s="25"/>
      <c r="I522" s="25"/>
      <c r="J522" s="25"/>
      <c r="K522" s="25"/>
      <c r="L522" s="36"/>
      <c r="M522" s="36"/>
      <c r="N522" s="36"/>
      <c r="O522" s="102"/>
      <c r="P522" s="36"/>
      <c r="Q522" s="36"/>
      <c r="R522" s="37"/>
      <c r="S522" s="37"/>
      <c r="T522" s="60" t="str">
        <f t="shared" si="18"/>
        <v/>
      </c>
      <c r="U522" s="38"/>
      <c r="V522" s="38"/>
      <c r="W522" s="38" t="str">
        <f>IF(B522="","",COUNTIFS(Ejecucion[No. Solicitud],Registro!B522,Ejecucion[Estado],"Finalizado"))</f>
        <v/>
      </c>
      <c r="X522" s="38" t="str">
        <f>IF(B522="","",COUNTIFS(Ejecucion[No. Solicitud],Registro!B522,Ejecucion[Estado],"No Iniciado"))</f>
        <v/>
      </c>
      <c r="Y522" s="64" t="str">
        <f>IF(B522="","",COUNTIFS(Ejecucion[No. Solicitud],Registro!B522,Ejecucion[Estado],"En Proceso"))</f>
        <v/>
      </c>
      <c r="Z522" s="64" t="str">
        <f t="shared" si="17"/>
        <v/>
      </c>
      <c r="AA522" s="64"/>
      <c r="AB522" s="64"/>
      <c r="AC522" s="64"/>
      <c r="AD522" s="102"/>
    </row>
    <row r="523" spans="2:30" s="15" customFormat="1">
      <c r="B523" s="36"/>
      <c r="C523" s="102"/>
      <c r="D523" s="36"/>
      <c r="E523" s="22"/>
      <c r="F523" s="83"/>
      <c r="G523" s="83"/>
      <c r="H523" s="25"/>
      <c r="I523" s="25"/>
      <c r="J523" s="25"/>
      <c r="K523" s="25"/>
      <c r="L523" s="36"/>
      <c r="M523" s="36"/>
      <c r="N523" s="36"/>
      <c r="O523" s="102"/>
      <c r="P523" s="36"/>
      <c r="Q523" s="36"/>
      <c r="R523" s="37"/>
      <c r="S523" s="37"/>
      <c r="T523" s="60" t="str">
        <f t="shared" si="18"/>
        <v/>
      </c>
      <c r="U523" s="38"/>
      <c r="V523" s="38"/>
      <c r="W523" s="38" t="str">
        <f>IF(B523="","",COUNTIFS(Ejecucion[No. Solicitud],Registro!B523,Ejecucion[Estado],"Finalizado"))</f>
        <v/>
      </c>
      <c r="X523" s="38" t="str">
        <f>IF(B523="","",COUNTIFS(Ejecucion[No. Solicitud],Registro!B523,Ejecucion[Estado],"No Iniciado"))</f>
        <v/>
      </c>
      <c r="Y523" s="64" t="str">
        <f>IF(B523="","",COUNTIFS(Ejecucion[No. Solicitud],Registro!B523,Ejecucion[Estado],"En Proceso"))</f>
        <v/>
      </c>
      <c r="Z523" s="64" t="str">
        <f t="shared" si="17"/>
        <v/>
      </c>
      <c r="AA523" s="64"/>
      <c r="AB523" s="64"/>
      <c r="AC523" s="64"/>
      <c r="AD523" s="102"/>
    </row>
    <row r="524" spans="2:30" s="15" customFormat="1">
      <c r="B524" s="36"/>
      <c r="C524" s="102"/>
      <c r="D524" s="36"/>
      <c r="E524" s="22"/>
      <c r="F524" s="83"/>
      <c r="G524" s="83"/>
      <c r="H524" s="25"/>
      <c r="I524" s="25"/>
      <c r="J524" s="25"/>
      <c r="K524" s="25"/>
      <c r="L524" s="36"/>
      <c r="M524" s="36"/>
      <c r="N524" s="36"/>
      <c r="O524" s="102"/>
      <c r="P524" s="36"/>
      <c r="Q524" s="36"/>
      <c r="R524" s="37"/>
      <c r="S524" s="37"/>
      <c r="T524" s="60" t="str">
        <f t="shared" si="18"/>
        <v/>
      </c>
      <c r="U524" s="38"/>
      <c r="V524" s="38"/>
      <c r="W524" s="38" t="str">
        <f>IF(B524="","",COUNTIFS(Ejecucion[No. Solicitud],Registro!B524,Ejecucion[Estado],"Finalizado"))</f>
        <v/>
      </c>
      <c r="X524" s="38" t="str">
        <f>IF(B524="","",COUNTIFS(Ejecucion[No. Solicitud],Registro!B524,Ejecucion[Estado],"No Iniciado"))</f>
        <v/>
      </c>
      <c r="Y524" s="64" t="str">
        <f>IF(B524="","",COUNTIFS(Ejecucion[No. Solicitud],Registro!B524,Ejecucion[Estado],"En Proceso"))</f>
        <v/>
      </c>
      <c r="Z524" s="64" t="str">
        <f t="shared" si="17"/>
        <v/>
      </c>
      <c r="AA524" s="64"/>
      <c r="AB524" s="64"/>
      <c r="AC524" s="64"/>
      <c r="AD524" s="102"/>
    </row>
    <row r="525" spans="2:30" s="15" customFormat="1">
      <c r="B525" s="36"/>
      <c r="C525" s="102"/>
      <c r="D525" s="36"/>
      <c r="E525" s="22"/>
      <c r="F525" s="83"/>
      <c r="G525" s="83"/>
      <c r="H525" s="25"/>
      <c r="I525" s="25"/>
      <c r="J525" s="25"/>
      <c r="K525" s="25"/>
      <c r="L525" s="36"/>
      <c r="M525" s="36"/>
      <c r="N525" s="36"/>
      <c r="O525" s="102"/>
      <c r="P525" s="36"/>
      <c r="Q525" s="36"/>
      <c r="R525" s="37"/>
      <c r="S525" s="37"/>
      <c r="T525" s="60" t="str">
        <f t="shared" si="18"/>
        <v/>
      </c>
      <c r="U525" s="38"/>
      <c r="V525" s="38"/>
      <c r="W525" s="38" t="str">
        <f>IF(B525="","",COUNTIFS(Ejecucion[No. Solicitud],Registro!B525,Ejecucion[Estado],"Finalizado"))</f>
        <v/>
      </c>
      <c r="X525" s="38" t="str">
        <f>IF(B525="","",COUNTIFS(Ejecucion[No. Solicitud],Registro!B525,Ejecucion[Estado],"No Iniciado"))</f>
        <v/>
      </c>
      <c r="Y525" s="64" t="str">
        <f>IF(B525="","",COUNTIFS(Ejecucion[No. Solicitud],Registro!B525,Ejecucion[Estado],"En Proceso"))</f>
        <v/>
      </c>
      <c r="Z525" s="64" t="str">
        <f t="shared" si="17"/>
        <v/>
      </c>
      <c r="AA525" s="64"/>
      <c r="AB525" s="64"/>
      <c r="AC525" s="64"/>
      <c r="AD525" s="102"/>
    </row>
    <row r="526" spans="2:30" s="15" customFormat="1">
      <c r="B526" s="36"/>
      <c r="C526" s="102"/>
      <c r="D526" s="36"/>
      <c r="E526" s="22"/>
      <c r="F526" s="83"/>
      <c r="G526" s="83"/>
      <c r="H526" s="25"/>
      <c r="I526" s="25"/>
      <c r="J526" s="25"/>
      <c r="K526" s="25"/>
      <c r="L526" s="36"/>
      <c r="M526" s="36"/>
      <c r="N526" s="36"/>
      <c r="O526" s="102"/>
      <c r="P526" s="36"/>
      <c r="Q526" s="36"/>
      <c r="R526" s="37"/>
      <c r="S526" s="37"/>
      <c r="T526" s="60" t="str">
        <f t="shared" si="18"/>
        <v/>
      </c>
      <c r="U526" s="38"/>
      <c r="V526" s="38"/>
      <c r="W526" s="38" t="str">
        <f>IF(B526="","",COUNTIFS(Ejecucion[No. Solicitud],Registro!B526,Ejecucion[Estado],"Finalizado"))</f>
        <v/>
      </c>
      <c r="X526" s="38" t="str">
        <f>IF(B526="","",COUNTIFS(Ejecucion[No. Solicitud],Registro!B526,Ejecucion[Estado],"No Iniciado"))</f>
        <v/>
      </c>
      <c r="Y526" s="64" t="str">
        <f>IF(B526="","",COUNTIFS(Ejecucion[No. Solicitud],Registro!B526,Ejecucion[Estado],"En Proceso"))</f>
        <v/>
      </c>
      <c r="Z526" s="64" t="str">
        <f t="shared" si="17"/>
        <v/>
      </c>
      <c r="AA526" s="64"/>
      <c r="AB526" s="64"/>
      <c r="AC526" s="64"/>
      <c r="AD526" s="102"/>
    </row>
    <row r="527" spans="2:30" s="15" customFormat="1">
      <c r="B527" s="36"/>
      <c r="C527" s="102"/>
      <c r="D527" s="36"/>
      <c r="E527" s="22"/>
      <c r="F527" s="83"/>
      <c r="G527" s="83"/>
      <c r="H527" s="25"/>
      <c r="I527" s="25"/>
      <c r="J527" s="25"/>
      <c r="K527" s="25"/>
      <c r="L527" s="36"/>
      <c r="M527" s="36"/>
      <c r="N527" s="36"/>
      <c r="O527" s="102"/>
      <c r="P527" s="36"/>
      <c r="Q527" s="36"/>
      <c r="R527" s="37"/>
      <c r="S527" s="37"/>
      <c r="T527" s="60" t="str">
        <f t="shared" si="18"/>
        <v/>
      </c>
      <c r="U527" s="38"/>
      <c r="V527" s="38"/>
      <c r="W527" s="38" t="str">
        <f>IF(B527="","",COUNTIFS(Ejecucion[No. Solicitud],Registro!B527,Ejecucion[Estado],"Finalizado"))</f>
        <v/>
      </c>
      <c r="X527" s="38" t="str">
        <f>IF(B527="","",COUNTIFS(Ejecucion[No. Solicitud],Registro!B527,Ejecucion[Estado],"No Iniciado"))</f>
        <v/>
      </c>
      <c r="Y527" s="64" t="str">
        <f>IF(B527="","",COUNTIFS(Ejecucion[No. Solicitud],Registro!B527,Ejecucion[Estado],"En Proceso"))</f>
        <v/>
      </c>
      <c r="Z527" s="64" t="str">
        <f t="shared" si="17"/>
        <v/>
      </c>
      <c r="AA527" s="64"/>
      <c r="AB527" s="64"/>
      <c r="AC527" s="64"/>
      <c r="AD527" s="102"/>
    </row>
    <row r="528" spans="2:30" s="15" customFormat="1">
      <c r="B528" s="36"/>
      <c r="C528" s="102"/>
      <c r="D528" s="36"/>
      <c r="E528" s="22"/>
      <c r="F528" s="83"/>
      <c r="G528" s="83"/>
      <c r="H528" s="25"/>
      <c r="I528" s="25"/>
      <c r="J528" s="25"/>
      <c r="K528" s="25"/>
      <c r="L528" s="36"/>
      <c r="M528" s="36"/>
      <c r="N528" s="36"/>
      <c r="O528" s="102"/>
      <c r="P528" s="36"/>
      <c r="Q528" s="36"/>
      <c r="R528" s="37"/>
      <c r="S528" s="37"/>
      <c r="T528" s="60" t="str">
        <f t="shared" si="18"/>
        <v/>
      </c>
      <c r="U528" s="38"/>
      <c r="V528" s="38"/>
      <c r="W528" s="38" t="str">
        <f>IF(B528="","",COUNTIFS(Ejecucion[No. Solicitud],Registro!B528,Ejecucion[Estado],"Finalizado"))</f>
        <v/>
      </c>
      <c r="X528" s="38" t="str">
        <f>IF(B528="","",COUNTIFS(Ejecucion[No. Solicitud],Registro!B528,Ejecucion[Estado],"No Iniciado"))</f>
        <v/>
      </c>
      <c r="Y528" s="64" t="str">
        <f>IF(B528="","",COUNTIFS(Ejecucion[No. Solicitud],Registro!B528,Ejecucion[Estado],"En Proceso"))</f>
        <v/>
      </c>
      <c r="Z528" s="64" t="str">
        <f t="shared" si="17"/>
        <v/>
      </c>
      <c r="AA528" s="64"/>
      <c r="AB528" s="64"/>
      <c r="AC528" s="64"/>
      <c r="AD528" s="102"/>
    </row>
    <row r="529" spans="2:30" s="15" customFormat="1">
      <c r="B529" s="36"/>
      <c r="C529" s="102"/>
      <c r="D529" s="36"/>
      <c r="E529" s="22"/>
      <c r="F529" s="83"/>
      <c r="G529" s="83"/>
      <c r="H529" s="25"/>
      <c r="I529" s="25"/>
      <c r="J529" s="25"/>
      <c r="K529" s="25"/>
      <c r="L529" s="36"/>
      <c r="M529" s="36"/>
      <c r="N529" s="36"/>
      <c r="O529" s="102"/>
      <c r="P529" s="36"/>
      <c r="Q529" s="36"/>
      <c r="R529" s="37"/>
      <c r="S529" s="37"/>
      <c r="T529" s="60" t="str">
        <f t="shared" si="18"/>
        <v/>
      </c>
      <c r="U529" s="38"/>
      <c r="V529" s="38"/>
      <c r="W529" s="38" t="str">
        <f>IF(B529="","",COUNTIFS(Ejecucion[No. Solicitud],Registro!B529,Ejecucion[Estado],"Finalizado"))</f>
        <v/>
      </c>
      <c r="X529" s="38" t="str">
        <f>IF(B529="","",COUNTIFS(Ejecucion[No. Solicitud],Registro!B529,Ejecucion[Estado],"No Iniciado"))</f>
        <v/>
      </c>
      <c r="Y529" s="64" t="str">
        <f>IF(B529="","",COUNTIFS(Ejecucion[No. Solicitud],Registro!B529,Ejecucion[Estado],"En Proceso"))</f>
        <v/>
      </c>
      <c r="Z529" s="64" t="str">
        <f t="shared" si="17"/>
        <v/>
      </c>
      <c r="AA529" s="64"/>
      <c r="AB529" s="64"/>
      <c r="AC529" s="64"/>
      <c r="AD529" s="102"/>
    </row>
    <row r="530" spans="2:30" s="15" customFormat="1">
      <c r="B530" s="36"/>
      <c r="C530" s="102"/>
      <c r="D530" s="36"/>
      <c r="E530" s="22"/>
      <c r="F530" s="83"/>
      <c r="G530" s="83"/>
      <c r="H530" s="25"/>
      <c r="I530" s="25"/>
      <c r="J530" s="25"/>
      <c r="K530" s="25"/>
      <c r="L530" s="36"/>
      <c r="M530" s="36"/>
      <c r="N530" s="36"/>
      <c r="O530" s="102"/>
      <c r="P530" s="36"/>
      <c r="Q530" s="36"/>
      <c r="R530" s="37"/>
      <c r="S530" s="37"/>
      <c r="T530" s="60" t="str">
        <f t="shared" si="18"/>
        <v/>
      </c>
      <c r="U530" s="38"/>
      <c r="V530" s="38"/>
      <c r="W530" s="38" t="str">
        <f>IF(B530="","",COUNTIFS(Ejecucion[No. Solicitud],Registro!B530,Ejecucion[Estado],"Finalizado"))</f>
        <v/>
      </c>
      <c r="X530" s="38" t="str">
        <f>IF(B530="","",COUNTIFS(Ejecucion[No. Solicitud],Registro!B530,Ejecucion[Estado],"No Iniciado"))</f>
        <v/>
      </c>
      <c r="Y530" s="64" t="str">
        <f>IF(B530="","",COUNTIFS(Ejecucion[No. Solicitud],Registro!B530,Ejecucion[Estado],"En Proceso"))</f>
        <v/>
      </c>
      <c r="Z530" s="64" t="str">
        <f t="shared" si="17"/>
        <v/>
      </c>
      <c r="AA530" s="64"/>
      <c r="AB530" s="64"/>
      <c r="AC530" s="64"/>
      <c r="AD530" s="102"/>
    </row>
    <row r="531" spans="2:30" s="15" customFormat="1">
      <c r="B531" s="36"/>
      <c r="C531" s="102"/>
      <c r="D531" s="36"/>
      <c r="E531" s="22"/>
      <c r="F531" s="83"/>
      <c r="G531" s="83"/>
      <c r="H531" s="25"/>
      <c r="I531" s="25"/>
      <c r="J531" s="25"/>
      <c r="K531" s="25"/>
      <c r="L531" s="36"/>
      <c r="M531" s="36"/>
      <c r="N531" s="36"/>
      <c r="O531" s="102"/>
      <c r="P531" s="36"/>
      <c r="Q531" s="36"/>
      <c r="R531" s="37"/>
      <c r="S531" s="37"/>
      <c r="T531" s="60" t="str">
        <f t="shared" si="18"/>
        <v/>
      </c>
      <c r="U531" s="38"/>
      <c r="V531" s="38"/>
      <c r="W531" s="38" t="str">
        <f>IF(B531="","",COUNTIFS(Ejecucion[No. Solicitud],Registro!B531,Ejecucion[Estado],"Finalizado"))</f>
        <v/>
      </c>
      <c r="X531" s="38" t="str">
        <f>IF(B531="","",COUNTIFS(Ejecucion[No. Solicitud],Registro!B531,Ejecucion[Estado],"No Iniciado"))</f>
        <v/>
      </c>
      <c r="Y531" s="64" t="str">
        <f>IF(B531="","",COUNTIFS(Ejecucion[No. Solicitud],Registro!B531,Ejecucion[Estado],"En Proceso"))</f>
        <v/>
      </c>
      <c r="Z531" s="64" t="str">
        <f t="shared" si="17"/>
        <v/>
      </c>
      <c r="AA531" s="64"/>
      <c r="AB531" s="64"/>
      <c r="AC531" s="64"/>
      <c r="AD531" s="102"/>
    </row>
    <row r="532" spans="2:30" s="15" customFormat="1">
      <c r="B532" s="36"/>
      <c r="C532" s="102"/>
      <c r="D532" s="36"/>
      <c r="E532" s="22"/>
      <c r="F532" s="83"/>
      <c r="G532" s="83"/>
      <c r="H532" s="25"/>
      <c r="I532" s="25"/>
      <c r="J532" s="25"/>
      <c r="K532" s="25"/>
      <c r="L532" s="36"/>
      <c r="M532" s="36"/>
      <c r="N532" s="36"/>
      <c r="O532" s="102"/>
      <c r="P532" s="36"/>
      <c r="Q532" s="36"/>
      <c r="R532" s="37"/>
      <c r="S532" s="37"/>
      <c r="T532" s="60" t="str">
        <f t="shared" si="18"/>
        <v/>
      </c>
      <c r="U532" s="38"/>
      <c r="V532" s="38"/>
      <c r="W532" s="38" t="str">
        <f>IF(B532="","",COUNTIFS(Ejecucion[No. Solicitud],Registro!B532,Ejecucion[Estado],"Finalizado"))</f>
        <v/>
      </c>
      <c r="X532" s="38" t="str">
        <f>IF(B532="","",COUNTIFS(Ejecucion[No. Solicitud],Registro!B532,Ejecucion[Estado],"No Iniciado"))</f>
        <v/>
      </c>
      <c r="Y532" s="64" t="str">
        <f>IF(B532="","",COUNTIFS(Ejecucion[No. Solicitud],Registro!B532,Ejecucion[Estado],"En Proceso"))</f>
        <v/>
      </c>
      <c r="Z532" s="64" t="str">
        <f t="shared" si="17"/>
        <v/>
      </c>
      <c r="AA532" s="64"/>
      <c r="AB532" s="64"/>
      <c r="AC532" s="64"/>
      <c r="AD532" s="102"/>
    </row>
    <row r="533" spans="2:30" s="15" customFormat="1">
      <c r="B533" s="36"/>
      <c r="C533" s="102"/>
      <c r="D533" s="36"/>
      <c r="E533" s="22"/>
      <c r="F533" s="83"/>
      <c r="G533" s="83"/>
      <c r="H533" s="25"/>
      <c r="I533" s="25"/>
      <c r="J533" s="25"/>
      <c r="K533" s="25"/>
      <c r="L533" s="36"/>
      <c r="M533" s="36"/>
      <c r="N533" s="36"/>
      <c r="O533" s="102"/>
      <c r="P533" s="36"/>
      <c r="Q533" s="36"/>
      <c r="R533" s="37"/>
      <c r="S533" s="37"/>
      <c r="T533" s="60" t="str">
        <f t="shared" si="18"/>
        <v/>
      </c>
      <c r="U533" s="38"/>
      <c r="V533" s="38"/>
      <c r="W533" s="38" t="str">
        <f>IF(B533="","",COUNTIFS(Ejecucion[No. Solicitud],Registro!B533,Ejecucion[Estado],"Finalizado"))</f>
        <v/>
      </c>
      <c r="X533" s="38" t="str">
        <f>IF(B533="","",COUNTIFS(Ejecucion[No. Solicitud],Registro!B533,Ejecucion[Estado],"No Iniciado"))</f>
        <v/>
      </c>
      <c r="Y533" s="64" t="str">
        <f>IF(B533="","",COUNTIFS(Ejecucion[No. Solicitud],Registro!B533,Ejecucion[Estado],"En Proceso"))</f>
        <v/>
      </c>
      <c r="Z533" s="64" t="str">
        <f t="shared" si="17"/>
        <v/>
      </c>
      <c r="AA533" s="64"/>
      <c r="AB533" s="64"/>
      <c r="AC533" s="64"/>
      <c r="AD533" s="102"/>
    </row>
    <row r="534" spans="2:30" s="15" customFormat="1">
      <c r="B534" s="36"/>
      <c r="C534" s="102"/>
      <c r="D534" s="36"/>
      <c r="E534" s="22"/>
      <c r="F534" s="83"/>
      <c r="G534" s="83"/>
      <c r="H534" s="25"/>
      <c r="I534" s="25"/>
      <c r="J534" s="25"/>
      <c r="K534" s="25"/>
      <c r="L534" s="36"/>
      <c r="M534" s="36"/>
      <c r="N534" s="36"/>
      <c r="O534" s="102"/>
      <c r="P534" s="36"/>
      <c r="Q534" s="36"/>
      <c r="R534" s="37"/>
      <c r="S534" s="37"/>
      <c r="T534" s="60" t="str">
        <f t="shared" si="18"/>
        <v/>
      </c>
      <c r="U534" s="38"/>
      <c r="V534" s="38"/>
      <c r="W534" s="38" t="str">
        <f>IF(B534="","",COUNTIFS(Ejecucion[No. Solicitud],Registro!B534,Ejecucion[Estado],"Finalizado"))</f>
        <v/>
      </c>
      <c r="X534" s="38" t="str">
        <f>IF(B534="","",COUNTIFS(Ejecucion[No. Solicitud],Registro!B534,Ejecucion[Estado],"No Iniciado"))</f>
        <v/>
      </c>
      <c r="Y534" s="64" t="str">
        <f>IF(B534="","",COUNTIFS(Ejecucion[No. Solicitud],Registro!B534,Ejecucion[Estado],"En Proceso"))</f>
        <v/>
      </c>
      <c r="Z534" s="64" t="str">
        <f t="shared" si="17"/>
        <v/>
      </c>
      <c r="AA534" s="64"/>
      <c r="AB534" s="64"/>
      <c r="AC534" s="64"/>
      <c r="AD534" s="102"/>
    </row>
    <row r="535" spans="2:30" s="15" customFormat="1">
      <c r="B535" s="36"/>
      <c r="C535" s="102"/>
      <c r="D535" s="36"/>
      <c r="E535" s="22"/>
      <c r="F535" s="83"/>
      <c r="G535" s="83"/>
      <c r="H535" s="25"/>
      <c r="I535" s="25"/>
      <c r="J535" s="25"/>
      <c r="K535" s="25"/>
      <c r="L535" s="36"/>
      <c r="M535" s="36"/>
      <c r="N535" s="36"/>
      <c r="O535" s="102"/>
      <c r="P535" s="36"/>
      <c r="Q535" s="36"/>
      <c r="R535" s="37"/>
      <c r="S535" s="37"/>
      <c r="T535" s="60" t="str">
        <f t="shared" si="18"/>
        <v/>
      </c>
      <c r="U535" s="38"/>
      <c r="V535" s="38"/>
      <c r="W535" s="38" t="str">
        <f>IF(B535="","",COUNTIFS(Ejecucion[No. Solicitud],Registro!B535,Ejecucion[Estado],"Finalizado"))</f>
        <v/>
      </c>
      <c r="X535" s="38" t="str">
        <f>IF(B535="","",COUNTIFS(Ejecucion[No. Solicitud],Registro!B535,Ejecucion[Estado],"No Iniciado"))</f>
        <v/>
      </c>
      <c r="Y535" s="64" t="str">
        <f>IF(B535="","",COUNTIFS(Ejecucion[No. Solicitud],Registro!B535,Ejecucion[Estado],"En Proceso"))</f>
        <v/>
      </c>
      <c r="Z535" s="64" t="str">
        <f t="shared" si="17"/>
        <v/>
      </c>
      <c r="AA535" s="64"/>
      <c r="AB535" s="64"/>
      <c r="AC535" s="64"/>
      <c r="AD535" s="102"/>
    </row>
    <row r="536" spans="2:30" s="15" customFormat="1">
      <c r="B536" s="36"/>
      <c r="C536" s="102"/>
      <c r="D536" s="36"/>
      <c r="E536" s="22"/>
      <c r="F536" s="83"/>
      <c r="G536" s="83"/>
      <c r="H536" s="25"/>
      <c r="I536" s="25"/>
      <c r="J536" s="25"/>
      <c r="K536" s="25"/>
      <c r="L536" s="36"/>
      <c r="M536" s="36"/>
      <c r="N536" s="36"/>
      <c r="O536" s="102"/>
      <c r="P536" s="36"/>
      <c r="Q536" s="36"/>
      <c r="R536" s="37"/>
      <c r="S536" s="37"/>
      <c r="T536" s="60" t="str">
        <f t="shared" si="18"/>
        <v/>
      </c>
      <c r="U536" s="38"/>
      <c r="V536" s="38"/>
      <c r="W536" s="38" t="str">
        <f>IF(B536="","",COUNTIFS(Ejecucion[No. Solicitud],Registro!B536,Ejecucion[Estado],"Finalizado"))</f>
        <v/>
      </c>
      <c r="X536" s="38" t="str">
        <f>IF(B536="","",COUNTIFS(Ejecucion[No. Solicitud],Registro!B536,Ejecucion[Estado],"No Iniciado"))</f>
        <v/>
      </c>
      <c r="Y536" s="64" t="str">
        <f>IF(B536="","",COUNTIFS(Ejecucion[No. Solicitud],Registro!B536,Ejecucion[Estado],"En Proceso"))</f>
        <v/>
      </c>
      <c r="Z536" s="64" t="str">
        <f t="shared" si="17"/>
        <v/>
      </c>
      <c r="AA536" s="64"/>
      <c r="AB536" s="64"/>
      <c r="AC536" s="64"/>
      <c r="AD536" s="102"/>
    </row>
    <row r="537" spans="2:30" s="15" customFormat="1">
      <c r="B537" s="36"/>
      <c r="C537" s="102"/>
      <c r="D537" s="36"/>
      <c r="E537" s="22"/>
      <c r="F537" s="83"/>
      <c r="G537" s="83"/>
      <c r="H537" s="25"/>
      <c r="I537" s="25"/>
      <c r="J537" s="25"/>
      <c r="K537" s="25"/>
      <c r="L537" s="36"/>
      <c r="M537" s="36"/>
      <c r="N537" s="36"/>
      <c r="O537" s="102"/>
      <c r="P537" s="36"/>
      <c r="Q537" s="36"/>
      <c r="R537" s="37"/>
      <c r="S537" s="37"/>
      <c r="T537" s="60" t="str">
        <f t="shared" si="18"/>
        <v/>
      </c>
      <c r="U537" s="38"/>
      <c r="V537" s="38"/>
      <c r="W537" s="38" t="str">
        <f>IF(B537="","",COUNTIFS(Ejecucion[No. Solicitud],Registro!B537,Ejecucion[Estado],"Finalizado"))</f>
        <v/>
      </c>
      <c r="X537" s="38" t="str">
        <f>IF(B537="","",COUNTIFS(Ejecucion[No. Solicitud],Registro!B537,Ejecucion[Estado],"No Iniciado"))</f>
        <v/>
      </c>
      <c r="Y537" s="64" t="str">
        <f>IF(B537="","",COUNTIFS(Ejecucion[No. Solicitud],Registro!B537,Ejecucion[Estado],"En Proceso"))</f>
        <v/>
      </c>
      <c r="Z537" s="64" t="str">
        <f t="shared" si="17"/>
        <v/>
      </c>
      <c r="AA537" s="64"/>
      <c r="AB537" s="64"/>
      <c r="AC537" s="64"/>
      <c r="AD537" s="102"/>
    </row>
    <row r="538" spans="2:30" s="15" customFormat="1">
      <c r="B538" s="36"/>
      <c r="C538" s="102"/>
      <c r="D538" s="36"/>
      <c r="E538" s="22"/>
      <c r="F538" s="83"/>
      <c r="G538" s="83"/>
      <c r="H538" s="25"/>
      <c r="I538" s="25"/>
      <c r="J538" s="25"/>
      <c r="K538" s="25"/>
      <c r="L538" s="36"/>
      <c r="M538" s="36"/>
      <c r="N538" s="36"/>
      <c r="O538" s="102"/>
      <c r="P538" s="36"/>
      <c r="Q538" s="36"/>
      <c r="R538" s="37"/>
      <c r="S538" s="37"/>
      <c r="T538" s="60" t="str">
        <f t="shared" si="18"/>
        <v/>
      </c>
      <c r="U538" s="38"/>
      <c r="V538" s="38"/>
      <c r="W538" s="38" t="str">
        <f>IF(B538="","",COUNTIFS(Ejecucion[No. Solicitud],Registro!B538,Ejecucion[Estado],"Finalizado"))</f>
        <v/>
      </c>
      <c r="X538" s="38" t="str">
        <f>IF(B538="","",COUNTIFS(Ejecucion[No. Solicitud],Registro!B538,Ejecucion[Estado],"No Iniciado"))</f>
        <v/>
      </c>
      <c r="Y538" s="64" t="str">
        <f>IF(B538="","",COUNTIFS(Ejecucion[No. Solicitud],Registro!B538,Ejecucion[Estado],"En Proceso"))</f>
        <v/>
      </c>
      <c r="Z538" s="64" t="str">
        <f t="shared" ref="Z538:Z601" si="19">IF(U538="","",IF(F538="Virtual Asincrónico",1,V538*U538))</f>
        <v/>
      </c>
      <c r="AA538" s="64"/>
      <c r="AB538" s="64"/>
      <c r="AC538" s="64"/>
      <c r="AD538" s="102"/>
    </row>
    <row r="539" spans="2:30" s="15" customFormat="1">
      <c r="B539" s="36"/>
      <c r="C539" s="102"/>
      <c r="D539" s="36"/>
      <c r="E539" s="22"/>
      <c r="F539" s="83"/>
      <c r="G539" s="83"/>
      <c r="H539" s="25"/>
      <c r="I539" s="25"/>
      <c r="J539" s="25"/>
      <c r="K539" s="25"/>
      <c r="L539" s="36"/>
      <c r="M539" s="36"/>
      <c r="N539" s="36"/>
      <c r="O539" s="102"/>
      <c r="P539" s="36"/>
      <c r="Q539" s="36"/>
      <c r="R539" s="37"/>
      <c r="S539" s="37"/>
      <c r="T539" s="60" t="str">
        <f t="shared" si="18"/>
        <v/>
      </c>
      <c r="U539" s="38"/>
      <c r="V539" s="38"/>
      <c r="W539" s="38" t="str">
        <f>IF(B539="","",COUNTIFS(Ejecucion[No. Solicitud],Registro!B539,Ejecucion[Estado],"Finalizado"))</f>
        <v/>
      </c>
      <c r="X539" s="38" t="str">
        <f>IF(B539="","",COUNTIFS(Ejecucion[No. Solicitud],Registro!B539,Ejecucion[Estado],"No Iniciado"))</f>
        <v/>
      </c>
      <c r="Y539" s="64" t="str">
        <f>IF(B539="","",COUNTIFS(Ejecucion[No. Solicitud],Registro!B539,Ejecucion[Estado],"En Proceso"))</f>
        <v/>
      </c>
      <c r="Z539" s="64" t="str">
        <f t="shared" si="19"/>
        <v/>
      </c>
      <c r="AA539" s="64"/>
      <c r="AB539" s="64"/>
      <c r="AC539" s="64"/>
      <c r="AD539" s="102"/>
    </row>
    <row r="540" spans="2:30" s="15" customFormat="1">
      <c r="B540" s="36"/>
      <c r="C540" s="102"/>
      <c r="D540" s="36"/>
      <c r="E540" s="22"/>
      <c r="F540" s="83"/>
      <c r="G540" s="83"/>
      <c r="H540" s="25"/>
      <c r="I540" s="25"/>
      <c r="J540" s="25"/>
      <c r="K540" s="25"/>
      <c r="L540" s="36"/>
      <c r="M540" s="36"/>
      <c r="N540" s="36"/>
      <c r="O540" s="102"/>
      <c r="P540" s="36"/>
      <c r="Q540" s="36"/>
      <c r="R540" s="37"/>
      <c r="S540" s="37"/>
      <c r="T540" s="60" t="str">
        <f t="shared" si="18"/>
        <v/>
      </c>
      <c r="U540" s="38"/>
      <c r="V540" s="38"/>
      <c r="W540" s="38" t="str">
        <f>IF(B540="","",COUNTIFS(Ejecucion[No. Solicitud],Registro!B540,Ejecucion[Estado],"Finalizado"))</f>
        <v/>
      </c>
      <c r="X540" s="38" t="str">
        <f>IF(B540="","",COUNTIFS(Ejecucion[No. Solicitud],Registro!B540,Ejecucion[Estado],"No Iniciado"))</f>
        <v/>
      </c>
      <c r="Y540" s="64" t="str">
        <f>IF(B540="","",COUNTIFS(Ejecucion[No. Solicitud],Registro!B540,Ejecucion[Estado],"En Proceso"))</f>
        <v/>
      </c>
      <c r="Z540" s="64" t="str">
        <f t="shared" si="19"/>
        <v/>
      </c>
      <c r="AA540" s="64"/>
      <c r="AB540" s="64"/>
      <c r="AC540" s="64"/>
      <c r="AD540" s="102"/>
    </row>
    <row r="541" spans="2:30" s="15" customFormat="1">
      <c r="B541" s="36"/>
      <c r="C541" s="102"/>
      <c r="D541" s="36"/>
      <c r="E541" s="22"/>
      <c r="F541" s="83"/>
      <c r="G541" s="83"/>
      <c r="H541" s="25"/>
      <c r="I541" s="25"/>
      <c r="J541" s="25"/>
      <c r="K541" s="25"/>
      <c r="L541" s="36"/>
      <c r="M541" s="36"/>
      <c r="N541" s="36"/>
      <c r="O541" s="102"/>
      <c r="P541" s="36"/>
      <c r="Q541" s="36"/>
      <c r="R541" s="37"/>
      <c r="S541" s="37"/>
      <c r="T541" s="60" t="str">
        <f t="shared" si="18"/>
        <v/>
      </c>
      <c r="U541" s="38"/>
      <c r="V541" s="38"/>
      <c r="W541" s="38" t="str">
        <f>IF(B541="","",COUNTIFS(Ejecucion[No. Solicitud],Registro!B541,Ejecucion[Estado],"Finalizado"))</f>
        <v/>
      </c>
      <c r="X541" s="38" t="str">
        <f>IF(B541="","",COUNTIFS(Ejecucion[No. Solicitud],Registro!B541,Ejecucion[Estado],"No Iniciado"))</f>
        <v/>
      </c>
      <c r="Y541" s="64" t="str">
        <f>IF(B541="","",COUNTIFS(Ejecucion[No. Solicitud],Registro!B541,Ejecucion[Estado],"En Proceso"))</f>
        <v/>
      </c>
      <c r="Z541" s="64" t="str">
        <f t="shared" si="19"/>
        <v/>
      </c>
      <c r="AA541" s="64"/>
      <c r="AB541" s="64"/>
      <c r="AC541" s="64"/>
      <c r="AD541" s="102"/>
    </row>
    <row r="542" spans="2:30" s="15" customFormat="1">
      <c r="B542" s="36"/>
      <c r="C542" s="102"/>
      <c r="D542" s="36"/>
      <c r="E542" s="22"/>
      <c r="F542" s="83"/>
      <c r="G542" s="83"/>
      <c r="H542" s="25"/>
      <c r="I542" s="25"/>
      <c r="J542" s="25"/>
      <c r="K542" s="25"/>
      <c r="L542" s="36"/>
      <c r="M542" s="36"/>
      <c r="N542" s="36"/>
      <c r="O542" s="102"/>
      <c r="P542" s="36"/>
      <c r="Q542" s="36"/>
      <c r="R542" s="37"/>
      <c r="S542" s="37"/>
      <c r="T542" s="60" t="str">
        <f t="shared" si="18"/>
        <v/>
      </c>
      <c r="U542" s="38"/>
      <c r="V542" s="38"/>
      <c r="W542" s="38" t="str">
        <f>IF(B542="","",COUNTIFS(Ejecucion[No. Solicitud],Registro!B542,Ejecucion[Estado],"Finalizado"))</f>
        <v/>
      </c>
      <c r="X542" s="38" t="str">
        <f>IF(B542="","",COUNTIFS(Ejecucion[No. Solicitud],Registro!B542,Ejecucion[Estado],"No Iniciado"))</f>
        <v/>
      </c>
      <c r="Y542" s="64" t="str">
        <f>IF(B542="","",COUNTIFS(Ejecucion[No. Solicitud],Registro!B542,Ejecucion[Estado],"En Proceso"))</f>
        <v/>
      </c>
      <c r="Z542" s="64" t="str">
        <f t="shared" si="19"/>
        <v/>
      </c>
      <c r="AA542" s="64"/>
      <c r="AB542" s="64"/>
      <c r="AC542" s="64"/>
      <c r="AD542" s="102"/>
    </row>
    <row r="543" spans="2:30" s="15" customFormat="1">
      <c r="B543" s="36"/>
      <c r="C543" s="102"/>
      <c r="D543" s="36"/>
      <c r="E543" s="22"/>
      <c r="F543" s="83"/>
      <c r="G543" s="83"/>
      <c r="H543" s="25"/>
      <c r="I543" s="25"/>
      <c r="J543" s="25"/>
      <c r="K543" s="25"/>
      <c r="L543" s="36"/>
      <c r="M543" s="36"/>
      <c r="N543" s="36"/>
      <c r="O543" s="102"/>
      <c r="P543" s="36"/>
      <c r="Q543" s="36"/>
      <c r="R543" s="37"/>
      <c r="S543" s="37"/>
      <c r="T543" s="60" t="str">
        <f t="shared" si="18"/>
        <v/>
      </c>
      <c r="U543" s="38"/>
      <c r="V543" s="38"/>
      <c r="W543" s="38" t="str">
        <f>IF(B543="","",COUNTIFS(Ejecucion[No. Solicitud],Registro!B543,Ejecucion[Estado],"Finalizado"))</f>
        <v/>
      </c>
      <c r="X543" s="38" t="str">
        <f>IF(B543="","",COUNTIFS(Ejecucion[No. Solicitud],Registro!B543,Ejecucion[Estado],"No Iniciado"))</f>
        <v/>
      </c>
      <c r="Y543" s="64" t="str">
        <f>IF(B543="","",COUNTIFS(Ejecucion[No. Solicitud],Registro!B543,Ejecucion[Estado],"En Proceso"))</f>
        <v/>
      </c>
      <c r="Z543" s="64" t="str">
        <f t="shared" si="19"/>
        <v/>
      </c>
      <c r="AA543" s="64"/>
      <c r="AB543" s="64"/>
      <c r="AC543" s="64"/>
      <c r="AD543" s="102"/>
    </row>
    <row r="544" spans="2:30" s="15" customFormat="1">
      <c r="B544" s="36"/>
      <c r="C544" s="102"/>
      <c r="D544" s="36"/>
      <c r="E544" s="22"/>
      <c r="F544" s="83"/>
      <c r="G544" s="83"/>
      <c r="H544" s="25"/>
      <c r="I544" s="25"/>
      <c r="J544" s="25"/>
      <c r="K544" s="25"/>
      <c r="L544" s="36"/>
      <c r="M544" s="36"/>
      <c r="N544" s="36"/>
      <c r="O544" s="102"/>
      <c r="P544" s="36"/>
      <c r="Q544" s="36"/>
      <c r="R544" s="37"/>
      <c r="S544" s="37"/>
      <c r="T544" s="60" t="str">
        <f t="shared" si="18"/>
        <v/>
      </c>
      <c r="U544" s="38"/>
      <c r="V544" s="38"/>
      <c r="W544" s="38" t="str">
        <f>IF(B544="","",COUNTIFS(Ejecucion[No. Solicitud],Registro!B544,Ejecucion[Estado],"Finalizado"))</f>
        <v/>
      </c>
      <c r="X544" s="38" t="str">
        <f>IF(B544="","",COUNTIFS(Ejecucion[No. Solicitud],Registro!B544,Ejecucion[Estado],"No Iniciado"))</f>
        <v/>
      </c>
      <c r="Y544" s="64" t="str">
        <f>IF(B544="","",COUNTIFS(Ejecucion[No. Solicitud],Registro!B544,Ejecucion[Estado],"En Proceso"))</f>
        <v/>
      </c>
      <c r="Z544" s="64" t="str">
        <f t="shared" si="19"/>
        <v/>
      </c>
      <c r="AA544" s="64"/>
      <c r="AB544" s="64"/>
      <c r="AC544" s="64"/>
      <c r="AD544" s="102"/>
    </row>
    <row r="545" spans="2:30" s="15" customFormat="1">
      <c r="B545" s="36"/>
      <c r="C545" s="102"/>
      <c r="D545" s="36"/>
      <c r="E545" s="22"/>
      <c r="F545" s="83"/>
      <c r="G545" s="83"/>
      <c r="H545" s="25"/>
      <c r="I545" s="25"/>
      <c r="J545" s="25"/>
      <c r="K545" s="25"/>
      <c r="L545" s="36"/>
      <c r="M545" s="36"/>
      <c r="N545" s="36"/>
      <c r="O545" s="102"/>
      <c r="P545" s="36"/>
      <c r="Q545" s="36"/>
      <c r="R545" s="37"/>
      <c r="S545" s="37"/>
      <c r="T545" s="60" t="str">
        <f t="shared" si="18"/>
        <v/>
      </c>
      <c r="U545" s="38"/>
      <c r="V545" s="38"/>
      <c r="W545" s="38" t="str">
        <f>IF(B545="","",COUNTIFS(Ejecucion[No. Solicitud],Registro!B545,Ejecucion[Estado],"Finalizado"))</f>
        <v/>
      </c>
      <c r="X545" s="38" t="str">
        <f>IF(B545="","",COUNTIFS(Ejecucion[No. Solicitud],Registro!B545,Ejecucion[Estado],"No Iniciado"))</f>
        <v/>
      </c>
      <c r="Y545" s="64" t="str">
        <f>IF(B545="","",COUNTIFS(Ejecucion[No. Solicitud],Registro!B545,Ejecucion[Estado],"En Proceso"))</f>
        <v/>
      </c>
      <c r="Z545" s="64" t="str">
        <f t="shared" si="19"/>
        <v/>
      </c>
      <c r="AA545" s="64"/>
      <c r="AB545" s="64"/>
      <c r="AC545" s="64"/>
      <c r="AD545" s="102"/>
    </row>
    <row r="546" spans="2:30" s="15" customFormat="1">
      <c r="B546" s="36"/>
      <c r="C546" s="102"/>
      <c r="D546" s="36"/>
      <c r="E546" s="22"/>
      <c r="F546" s="83"/>
      <c r="G546" s="83"/>
      <c r="H546" s="25"/>
      <c r="I546" s="25"/>
      <c r="J546" s="25"/>
      <c r="K546" s="25"/>
      <c r="L546" s="36"/>
      <c r="M546" s="36"/>
      <c r="N546" s="36"/>
      <c r="O546" s="102"/>
      <c r="P546" s="36"/>
      <c r="Q546" s="36"/>
      <c r="R546" s="37"/>
      <c r="S546" s="37"/>
      <c r="T546" s="60" t="str">
        <f t="shared" si="18"/>
        <v/>
      </c>
      <c r="U546" s="38"/>
      <c r="V546" s="38"/>
      <c r="W546" s="38" t="str">
        <f>IF(B546="","",COUNTIFS(Ejecucion[No. Solicitud],Registro!B546,Ejecucion[Estado],"Finalizado"))</f>
        <v/>
      </c>
      <c r="X546" s="38" t="str">
        <f>IF(B546="","",COUNTIFS(Ejecucion[No. Solicitud],Registro!B546,Ejecucion[Estado],"No Iniciado"))</f>
        <v/>
      </c>
      <c r="Y546" s="64" t="str">
        <f>IF(B546="","",COUNTIFS(Ejecucion[No. Solicitud],Registro!B546,Ejecucion[Estado],"En Proceso"))</f>
        <v/>
      </c>
      <c r="Z546" s="64" t="str">
        <f t="shared" si="19"/>
        <v/>
      </c>
      <c r="AA546" s="64"/>
      <c r="AB546" s="64"/>
      <c r="AC546" s="64"/>
      <c r="AD546" s="102"/>
    </row>
    <row r="547" spans="2:30" s="15" customFormat="1">
      <c r="B547" s="36"/>
      <c r="C547" s="102"/>
      <c r="D547" s="36"/>
      <c r="E547" s="22"/>
      <c r="F547" s="83"/>
      <c r="G547" s="83"/>
      <c r="H547" s="25"/>
      <c r="I547" s="25"/>
      <c r="J547" s="25"/>
      <c r="K547" s="25"/>
      <c r="L547" s="36"/>
      <c r="M547" s="36"/>
      <c r="N547" s="36"/>
      <c r="O547" s="102"/>
      <c r="P547" s="36"/>
      <c r="Q547" s="36"/>
      <c r="R547" s="37"/>
      <c r="S547" s="37"/>
      <c r="T547" s="60" t="str">
        <f t="shared" si="18"/>
        <v/>
      </c>
      <c r="U547" s="38"/>
      <c r="V547" s="38"/>
      <c r="W547" s="38" t="str">
        <f>IF(B547="","",COUNTIFS(Ejecucion[No. Solicitud],Registro!B547,Ejecucion[Estado],"Finalizado"))</f>
        <v/>
      </c>
      <c r="X547" s="38" t="str">
        <f>IF(B547="","",COUNTIFS(Ejecucion[No. Solicitud],Registro!B547,Ejecucion[Estado],"No Iniciado"))</f>
        <v/>
      </c>
      <c r="Y547" s="64" t="str">
        <f>IF(B547="","",COUNTIFS(Ejecucion[No. Solicitud],Registro!B547,Ejecucion[Estado],"En Proceso"))</f>
        <v/>
      </c>
      <c r="Z547" s="64" t="str">
        <f t="shared" si="19"/>
        <v/>
      </c>
      <c r="AA547" s="64"/>
      <c r="AB547" s="64"/>
      <c r="AC547" s="64"/>
      <c r="AD547" s="102"/>
    </row>
    <row r="548" spans="2:30" s="15" customFormat="1">
      <c r="B548" s="36"/>
      <c r="C548" s="102"/>
      <c r="D548" s="36"/>
      <c r="E548" s="22"/>
      <c r="F548" s="83"/>
      <c r="G548" s="83"/>
      <c r="H548" s="25"/>
      <c r="I548" s="25"/>
      <c r="J548" s="25"/>
      <c r="K548" s="25"/>
      <c r="L548" s="36"/>
      <c r="M548" s="36"/>
      <c r="N548" s="36"/>
      <c r="O548" s="102"/>
      <c r="P548" s="36"/>
      <c r="Q548" s="36"/>
      <c r="R548" s="37"/>
      <c r="S548" s="37"/>
      <c r="T548" s="60" t="str">
        <f t="shared" si="18"/>
        <v/>
      </c>
      <c r="U548" s="38"/>
      <c r="V548" s="38"/>
      <c r="W548" s="38" t="str">
        <f>IF(B548="","",COUNTIFS(Ejecucion[No. Solicitud],Registro!B548,Ejecucion[Estado],"Finalizado"))</f>
        <v/>
      </c>
      <c r="X548" s="38" t="str">
        <f>IF(B548="","",COUNTIFS(Ejecucion[No. Solicitud],Registro!B548,Ejecucion[Estado],"No Iniciado"))</f>
        <v/>
      </c>
      <c r="Y548" s="64" t="str">
        <f>IF(B548="","",COUNTIFS(Ejecucion[No. Solicitud],Registro!B548,Ejecucion[Estado],"En Proceso"))</f>
        <v/>
      </c>
      <c r="Z548" s="64" t="str">
        <f t="shared" si="19"/>
        <v/>
      </c>
      <c r="AA548" s="64"/>
      <c r="AB548" s="64"/>
      <c r="AC548" s="64"/>
      <c r="AD548" s="102"/>
    </row>
    <row r="549" spans="2:30" s="15" customFormat="1">
      <c r="B549" s="36"/>
      <c r="C549" s="102"/>
      <c r="D549" s="36"/>
      <c r="E549" s="22"/>
      <c r="F549" s="83"/>
      <c r="G549" s="83"/>
      <c r="H549" s="25"/>
      <c r="I549" s="25"/>
      <c r="J549" s="25"/>
      <c r="K549" s="25"/>
      <c r="L549" s="36"/>
      <c r="M549" s="36"/>
      <c r="N549" s="36"/>
      <c r="O549" s="102"/>
      <c r="P549" s="36"/>
      <c r="Q549" s="36"/>
      <c r="R549" s="37"/>
      <c r="S549" s="37"/>
      <c r="T549" s="60" t="str">
        <f t="shared" si="18"/>
        <v/>
      </c>
      <c r="U549" s="38"/>
      <c r="V549" s="38"/>
      <c r="W549" s="38" t="str">
        <f>IF(B549="","",COUNTIFS(Ejecucion[No. Solicitud],Registro!B549,Ejecucion[Estado],"Finalizado"))</f>
        <v/>
      </c>
      <c r="X549" s="38" t="str">
        <f>IF(B549="","",COUNTIFS(Ejecucion[No. Solicitud],Registro!B549,Ejecucion[Estado],"No Iniciado"))</f>
        <v/>
      </c>
      <c r="Y549" s="64" t="str">
        <f>IF(B549="","",COUNTIFS(Ejecucion[No. Solicitud],Registro!B549,Ejecucion[Estado],"En Proceso"))</f>
        <v/>
      </c>
      <c r="Z549" s="64" t="str">
        <f t="shared" si="19"/>
        <v/>
      </c>
      <c r="AA549" s="64"/>
      <c r="AB549" s="64"/>
      <c r="AC549" s="64"/>
      <c r="AD549" s="102"/>
    </row>
    <row r="550" spans="2:30" s="15" customFormat="1">
      <c r="B550" s="36"/>
      <c r="C550" s="102"/>
      <c r="D550" s="36"/>
      <c r="E550" s="22"/>
      <c r="F550" s="83"/>
      <c r="G550" s="83"/>
      <c r="H550" s="25"/>
      <c r="I550" s="25"/>
      <c r="J550" s="25"/>
      <c r="K550" s="25"/>
      <c r="L550" s="36"/>
      <c r="M550" s="36"/>
      <c r="N550" s="36"/>
      <c r="O550" s="102"/>
      <c r="P550" s="36"/>
      <c r="Q550" s="36"/>
      <c r="R550" s="37"/>
      <c r="S550" s="37"/>
      <c r="T550" s="60" t="str">
        <f t="shared" si="18"/>
        <v/>
      </c>
      <c r="U550" s="38"/>
      <c r="V550" s="38"/>
      <c r="W550" s="38" t="str">
        <f>IF(B550="","",COUNTIFS(Ejecucion[No. Solicitud],Registro!B550,Ejecucion[Estado],"Finalizado"))</f>
        <v/>
      </c>
      <c r="X550" s="38" t="str">
        <f>IF(B550="","",COUNTIFS(Ejecucion[No. Solicitud],Registro!B550,Ejecucion[Estado],"No Iniciado"))</f>
        <v/>
      </c>
      <c r="Y550" s="64" t="str">
        <f>IF(B550="","",COUNTIFS(Ejecucion[No. Solicitud],Registro!B550,Ejecucion[Estado],"En Proceso"))</f>
        <v/>
      </c>
      <c r="Z550" s="64" t="str">
        <f t="shared" si="19"/>
        <v/>
      </c>
      <c r="AA550" s="64"/>
      <c r="AB550" s="64"/>
      <c r="AC550" s="64"/>
      <c r="AD550" s="102"/>
    </row>
    <row r="551" spans="2:30" s="15" customFormat="1">
      <c r="B551" s="36"/>
      <c r="C551" s="102"/>
      <c r="D551" s="36"/>
      <c r="E551" s="22"/>
      <c r="F551" s="83"/>
      <c r="G551" s="83"/>
      <c r="H551" s="25"/>
      <c r="I551" s="25"/>
      <c r="J551" s="25"/>
      <c r="K551" s="25"/>
      <c r="L551" s="36"/>
      <c r="M551" s="36"/>
      <c r="N551" s="36"/>
      <c r="O551" s="102"/>
      <c r="P551" s="36"/>
      <c r="Q551" s="36"/>
      <c r="R551" s="37"/>
      <c r="S551" s="37"/>
      <c r="T551" s="60" t="str">
        <f t="shared" si="18"/>
        <v/>
      </c>
      <c r="U551" s="38"/>
      <c r="V551" s="38"/>
      <c r="W551" s="38" t="str">
        <f>IF(B551="","",COUNTIFS(Ejecucion[No. Solicitud],Registro!B551,Ejecucion[Estado],"Finalizado"))</f>
        <v/>
      </c>
      <c r="X551" s="38" t="str">
        <f>IF(B551="","",COUNTIFS(Ejecucion[No. Solicitud],Registro!B551,Ejecucion[Estado],"No Iniciado"))</f>
        <v/>
      </c>
      <c r="Y551" s="64" t="str">
        <f>IF(B551="","",COUNTIFS(Ejecucion[No. Solicitud],Registro!B551,Ejecucion[Estado],"En Proceso"))</f>
        <v/>
      </c>
      <c r="Z551" s="64" t="str">
        <f t="shared" si="19"/>
        <v/>
      </c>
      <c r="AA551" s="64"/>
      <c r="AB551" s="64"/>
      <c r="AC551" s="64"/>
      <c r="AD551" s="102"/>
    </row>
    <row r="552" spans="2:30" s="15" customFormat="1">
      <c r="B552" s="36"/>
      <c r="C552" s="102"/>
      <c r="D552" s="36"/>
      <c r="E552" s="22"/>
      <c r="F552" s="83"/>
      <c r="G552" s="83"/>
      <c r="H552" s="25"/>
      <c r="I552" s="25"/>
      <c r="J552" s="25"/>
      <c r="K552" s="25"/>
      <c r="L552" s="36"/>
      <c r="M552" s="36"/>
      <c r="N552" s="36"/>
      <c r="O552" s="102"/>
      <c r="P552" s="36"/>
      <c r="Q552" s="36"/>
      <c r="R552" s="37"/>
      <c r="S552" s="37"/>
      <c r="T552" s="60" t="str">
        <f t="shared" si="18"/>
        <v/>
      </c>
      <c r="U552" s="38"/>
      <c r="V552" s="38"/>
      <c r="W552" s="38" t="str">
        <f>IF(B552="","",COUNTIFS(Ejecucion[No. Solicitud],Registro!B552,Ejecucion[Estado],"Finalizado"))</f>
        <v/>
      </c>
      <c r="X552" s="38" t="str">
        <f>IF(B552="","",COUNTIFS(Ejecucion[No. Solicitud],Registro!B552,Ejecucion[Estado],"No Iniciado"))</f>
        <v/>
      </c>
      <c r="Y552" s="64" t="str">
        <f>IF(B552="","",COUNTIFS(Ejecucion[No. Solicitud],Registro!B552,Ejecucion[Estado],"En Proceso"))</f>
        <v/>
      </c>
      <c r="Z552" s="64" t="str">
        <f t="shared" si="19"/>
        <v/>
      </c>
      <c r="AA552" s="64"/>
      <c r="AB552" s="64"/>
      <c r="AC552" s="64"/>
      <c r="AD552" s="102"/>
    </row>
    <row r="553" spans="2:30" s="15" customFormat="1">
      <c r="B553" s="36"/>
      <c r="C553" s="102"/>
      <c r="D553" s="36"/>
      <c r="E553" s="22"/>
      <c r="F553" s="83"/>
      <c r="G553" s="83"/>
      <c r="H553" s="25"/>
      <c r="I553" s="25"/>
      <c r="J553" s="25"/>
      <c r="K553" s="25"/>
      <c r="L553" s="36"/>
      <c r="M553" s="36"/>
      <c r="N553" s="36"/>
      <c r="O553" s="102"/>
      <c r="P553" s="36"/>
      <c r="Q553" s="36"/>
      <c r="R553" s="37"/>
      <c r="S553" s="37"/>
      <c r="T553" s="60" t="str">
        <f t="shared" si="18"/>
        <v/>
      </c>
      <c r="U553" s="38"/>
      <c r="V553" s="38"/>
      <c r="W553" s="38" t="str">
        <f>IF(B553="","",COUNTIFS(Ejecucion[No. Solicitud],Registro!B553,Ejecucion[Estado],"Finalizado"))</f>
        <v/>
      </c>
      <c r="X553" s="38" t="str">
        <f>IF(B553="","",COUNTIFS(Ejecucion[No. Solicitud],Registro!B553,Ejecucion[Estado],"No Iniciado"))</f>
        <v/>
      </c>
      <c r="Y553" s="64" t="str">
        <f>IF(B553="","",COUNTIFS(Ejecucion[No. Solicitud],Registro!B553,Ejecucion[Estado],"En Proceso"))</f>
        <v/>
      </c>
      <c r="Z553" s="64" t="str">
        <f t="shared" si="19"/>
        <v/>
      </c>
      <c r="AA553" s="64"/>
      <c r="AB553" s="64"/>
      <c r="AC553" s="64"/>
      <c r="AD553" s="102"/>
    </row>
    <row r="554" spans="2:30" s="15" customFormat="1">
      <c r="B554" s="36"/>
      <c r="C554" s="102"/>
      <c r="D554" s="36"/>
      <c r="E554" s="22"/>
      <c r="F554" s="83"/>
      <c r="G554" s="83"/>
      <c r="H554" s="25"/>
      <c r="I554" s="25"/>
      <c r="J554" s="25"/>
      <c r="K554" s="25"/>
      <c r="L554" s="36"/>
      <c r="M554" s="36"/>
      <c r="N554" s="36"/>
      <c r="O554" s="102"/>
      <c r="P554" s="36"/>
      <c r="Q554" s="36"/>
      <c r="R554" s="37"/>
      <c r="S554" s="37"/>
      <c r="T554" s="60" t="str">
        <f t="shared" si="18"/>
        <v/>
      </c>
      <c r="U554" s="38"/>
      <c r="V554" s="38"/>
      <c r="W554" s="38" t="str">
        <f>IF(B554="","",COUNTIFS(Ejecucion[No. Solicitud],Registro!B554,Ejecucion[Estado],"Finalizado"))</f>
        <v/>
      </c>
      <c r="X554" s="38" t="str">
        <f>IF(B554="","",COUNTIFS(Ejecucion[No. Solicitud],Registro!B554,Ejecucion[Estado],"No Iniciado"))</f>
        <v/>
      </c>
      <c r="Y554" s="64" t="str">
        <f>IF(B554="","",COUNTIFS(Ejecucion[No. Solicitud],Registro!B554,Ejecucion[Estado],"En Proceso"))</f>
        <v/>
      </c>
      <c r="Z554" s="64" t="str">
        <f t="shared" si="19"/>
        <v/>
      </c>
      <c r="AA554" s="64"/>
      <c r="AB554" s="64"/>
      <c r="AC554" s="64"/>
      <c r="AD554" s="102"/>
    </row>
    <row r="555" spans="2:30" s="15" customFormat="1">
      <c r="B555" s="36"/>
      <c r="C555" s="102"/>
      <c r="D555" s="36"/>
      <c r="E555" s="22"/>
      <c r="F555" s="83"/>
      <c r="G555" s="83"/>
      <c r="H555" s="25"/>
      <c r="I555" s="25"/>
      <c r="J555" s="25"/>
      <c r="K555" s="25"/>
      <c r="L555" s="36"/>
      <c r="M555" s="36"/>
      <c r="N555" s="36"/>
      <c r="O555" s="102"/>
      <c r="P555" s="36"/>
      <c r="Q555" s="36"/>
      <c r="R555" s="37"/>
      <c r="S555" s="37"/>
      <c r="T555" s="60" t="str">
        <f t="shared" si="18"/>
        <v/>
      </c>
      <c r="U555" s="38"/>
      <c r="V555" s="38"/>
      <c r="W555" s="38" t="str">
        <f>IF(B555="","",COUNTIFS(Ejecucion[No. Solicitud],Registro!B555,Ejecucion[Estado],"Finalizado"))</f>
        <v/>
      </c>
      <c r="X555" s="38" t="str">
        <f>IF(B555="","",COUNTIFS(Ejecucion[No. Solicitud],Registro!B555,Ejecucion[Estado],"No Iniciado"))</f>
        <v/>
      </c>
      <c r="Y555" s="64" t="str">
        <f>IF(B555="","",COUNTIFS(Ejecucion[No. Solicitud],Registro!B555,Ejecucion[Estado],"En Proceso"))</f>
        <v/>
      </c>
      <c r="Z555" s="64" t="str">
        <f t="shared" si="19"/>
        <v/>
      </c>
      <c r="AA555" s="64"/>
      <c r="AB555" s="64"/>
      <c r="AC555" s="64"/>
      <c r="AD555" s="102"/>
    </row>
    <row r="556" spans="2:30" s="15" customFormat="1">
      <c r="B556" s="36"/>
      <c r="C556" s="102"/>
      <c r="D556" s="36"/>
      <c r="E556" s="22"/>
      <c r="F556" s="83"/>
      <c r="G556" s="83"/>
      <c r="H556" s="25"/>
      <c r="I556" s="25"/>
      <c r="J556" s="25"/>
      <c r="K556" s="25"/>
      <c r="L556" s="36"/>
      <c r="M556" s="36"/>
      <c r="N556" s="36"/>
      <c r="O556" s="102"/>
      <c r="P556" s="36"/>
      <c r="Q556" s="36"/>
      <c r="R556" s="37"/>
      <c r="S556" s="37"/>
      <c r="T556" s="60" t="str">
        <f t="shared" si="18"/>
        <v/>
      </c>
      <c r="U556" s="38"/>
      <c r="V556" s="38"/>
      <c r="W556" s="38" t="str">
        <f>IF(B556="","",COUNTIFS(Ejecucion[No. Solicitud],Registro!B556,Ejecucion[Estado],"Finalizado"))</f>
        <v/>
      </c>
      <c r="X556" s="38" t="str">
        <f>IF(B556="","",COUNTIFS(Ejecucion[No. Solicitud],Registro!B556,Ejecucion[Estado],"No Iniciado"))</f>
        <v/>
      </c>
      <c r="Y556" s="64" t="str">
        <f>IF(B556="","",COUNTIFS(Ejecucion[No. Solicitud],Registro!B556,Ejecucion[Estado],"En Proceso"))</f>
        <v/>
      </c>
      <c r="Z556" s="64" t="str">
        <f t="shared" si="19"/>
        <v/>
      </c>
      <c r="AA556" s="64"/>
      <c r="AB556" s="64"/>
      <c r="AC556" s="64"/>
      <c r="AD556" s="102"/>
    </row>
    <row r="557" spans="2:30" s="15" customFormat="1">
      <c r="B557" s="36"/>
      <c r="C557" s="102"/>
      <c r="D557" s="36"/>
      <c r="E557" s="22"/>
      <c r="F557" s="83"/>
      <c r="G557" s="83"/>
      <c r="H557" s="25"/>
      <c r="I557" s="25"/>
      <c r="J557" s="25"/>
      <c r="K557" s="25"/>
      <c r="L557" s="36"/>
      <c r="M557" s="36"/>
      <c r="N557" s="36"/>
      <c r="O557" s="102"/>
      <c r="P557" s="36"/>
      <c r="Q557" s="36"/>
      <c r="R557" s="37"/>
      <c r="S557" s="37"/>
      <c r="T557" s="60" t="str">
        <f t="shared" si="18"/>
        <v/>
      </c>
      <c r="U557" s="38"/>
      <c r="V557" s="38"/>
      <c r="W557" s="38" t="str">
        <f>IF(B557="","",COUNTIFS(Ejecucion[No. Solicitud],Registro!B557,Ejecucion[Estado],"Finalizado"))</f>
        <v/>
      </c>
      <c r="X557" s="38" t="str">
        <f>IF(B557="","",COUNTIFS(Ejecucion[No. Solicitud],Registro!B557,Ejecucion[Estado],"No Iniciado"))</f>
        <v/>
      </c>
      <c r="Y557" s="64" t="str">
        <f>IF(B557="","",COUNTIFS(Ejecucion[No. Solicitud],Registro!B557,Ejecucion[Estado],"En Proceso"))</f>
        <v/>
      </c>
      <c r="Z557" s="64" t="str">
        <f t="shared" si="19"/>
        <v/>
      </c>
      <c r="AA557" s="64"/>
      <c r="AB557" s="64"/>
      <c r="AC557" s="64"/>
      <c r="AD557" s="102"/>
    </row>
    <row r="558" spans="2:30" s="15" customFormat="1">
      <c r="B558" s="36"/>
      <c r="C558" s="102"/>
      <c r="D558" s="36"/>
      <c r="E558" s="22"/>
      <c r="F558" s="83"/>
      <c r="G558" s="83"/>
      <c r="H558" s="25"/>
      <c r="I558" s="25"/>
      <c r="J558" s="25"/>
      <c r="K558" s="25"/>
      <c r="L558" s="36"/>
      <c r="M558" s="36"/>
      <c r="N558" s="36"/>
      <c r="O558" s="102"/>
      <c r="P558" s="36"/>
      <c r="Q558" s="36"/>
      <c r="R558" s="37"/>
      <c r="S558" s="37"/>
      <c r="T558" s="60" t="str">
        <f t="shared" si="18"/>
        <v/>
      </c>
      <c r="U558" s="38"/>
      <c r="V558" s="38"/>
      <c r="W558" s="38" t="str">
        <f>IF(B558="","",COUNTIFS(Ejecucion[No. Solicitud],Registro!B558,Ejecucion[Estado],"Finalizado"))</f>
        <v/>
      </c>
      <c r="X558" s="38" t="str">
        <f>IF(B558="","",COUNTIFS(Ejecucion[No. Solicitud],Registro!B558,Ejecucion[Estado],"No Iniciado"))</f>
        <v/>
      </c>
      <c r="Y558" s="64" t="str">
        <f>IF(B558="","",COUNTIFS(Ejecucion[No. Solicitud],Registro!B558,Ejecucion[Estado],"En Proceso"))</f>
        <v/>
      </c>
      <c r="Z558" s="64" t="str">
        <f t="shared" si="19"/>
        <v/>
      </c>
      <c r="AA558" s="64"/>
      <c r="AB558" s="64"/>
      <c r="AC558" s="64"/>
      <c r="AD558" s="102"/>
    </row>
    <row r="559" spans="2:30" s="15" customFormat="1">
      <c r="B559" s="36"/>
      <c r="C559" s="102"/>
      <c r="D559" s="36"/>
      <c r="E559" s="22"/>
      <c r="F559" s="83"/>
      <c r="G559" s="83"/>
      <c r="H559" s="25"/>
      <c r="I559" s="25"/>
      <c r="J559" s="25"/>
      <c r="K559" s="25"/>
      <c r="L559" s="36"/>
      <c r="M559" s="36"/>
      <c r="N559" s="36"/>
      <c r="O559" s="102"/>
      <c r="P559" s="36"/>
      <c r="Q559" s="36"/>
      <c r="R559" s="37"/>
      <c r="S559" s="37"/>
      <c r="T559" s="60" t="str">
        <f t="shared" si="18"/>
        <v/>
      </c>
      <c r="U559" s="38"/>
      <c r="V559" s="38"/>
      <c r="W559" s="38" t="str">
        <f>IF(B559="","",COUNTIFS(Ejecucion[No. Solicitud],Registro!B559,Ejecucion[Estado],"Finalizado"))</f>
        <v/>
      </c>
      <c r="X559" s="38" t="str">
        <f>IF(B559="","",COUNTIFS(Ejecucion[No. Solicitud],Registro!B559,Ejecucion[Estado],"No Iniciado"))</f>
        <v/>
      </c>
      <c r="Y559" s="64" t="str">
        <f>IF(B559="","",COUNTIFS(Ejecucion[No. Solicitud],Registro!B559,Ejecucion[Estado],"En Proceso"))</f>
        <v/>
      </c>
      <c r="Z559" s="64" t="str">
        <f t="shared" si="19"/>
        <v/>
      </c>
      <c r="AA559" s="64"/>
      <c r="AB559" s="64"/>
      <c r="AC559" s="64"/>
      <c r="AD559" s="102"/>
    </row>
    <row r="560" spans="2:30" s="15" customFormat="1">
      <c r="B560" s="36"/>
      <c r="C560" s="102"/>
      <c r="D560" s="36"/>
      <c r="E560" s="22"/>
      <c r="F560" s="83"/>
      <c r="G560" s="83"/>
      <c r="H560" s="25"/>
      <c r="I560" s="25"/>
      <c r="J560" s="25"/>
      <c r="K560" s="25"/>
      <c r="L560" s="36"/>
      <c r="M560" s="36"/>
      <c r="N560" s="36"/>
      <c r="O560" s="102"/>
      <c r="P560" s="36"/>
      <c r="Q560" s="36"/>
      <c r="R560" s="37"/>
      <c r="S560" s="37"/>
      <c r="T560" s="60" t="str">
        <f t="shared" si="18"/>
        <v/>
      </c>
      <c r="U560" s="38"/>
      <c r="V560" s="38"/>
      <c r="W560" s="38" t="str">
        <f>IF(B560="","",COUNTIFS(Ejecucion[No. Solicitud],Registro!B560,Ejecucion[Estado],"Finalizado"))</f>
        <v/>
      </c>
      <c r="X560" s="38" t="str">
        <f>IF(B560="","",COUNTIFS(Ejecucion[No. Solicitud],Registro!B560,Ejecucion[Estado],"No Iniciado"))</f>
        <v/>
      </c>
      <c r="Y560" s="64" t="str">
        <f>IF(B560="","",COUNTIFS(Ejecucion[No. Solicitud],Registro!B560,Ejecucion[Estado],"En Proceso"))</f>
        <v/>
      </c>
      <c r="Z560" s="64" t="str">
        <f t="shared" si="19"/>
        <v/>
      </c>
      <c r="AA560" s="64"/>
      <c r="AB560" s="64"/>
      <c r="AC560" s="64"/>
      <c r="AD560" s="102"/>
    </row>
    <row r="561" spans="2:30" s="15" customFormat="1">
      <c r="B561" s="36"/>
      <c r="C561" s="102"/>
      <c r="D561" s="36"/>
      <c r="E561" s="22"/>
      <c r="F561" s="83"/>
      <c r="G561" s="83"/>
      <c r="H561" s="25"/>
      <c r="I561" s="25"/>
      <c r="J561" s="25"/>
      <c r="K561" s="25"/>
      <c r="L561" s="36"/>
      <c r="M561" s="36"/>
      <c r="N561" s="36"/>
      <c r="O561" s="102"/>
      <c r="P561" s="36"/>
      <c r="Q561" s="36"/>
      <c r="R561" s="37"/>
      <c r="S561" s="37"/>
      <c r="T561" s="60" t="str">
        <f t="shared" si="18"/>
        <v/>
      </c>
      <c r="U561" s="38"/>
      <c r="V561" s="38"/>
      <c r="W561" s="38" t="str">
        <f>IF(B561="","",COUNTIFS(Ejecucion[No. Solicitud],Registro!B561,Ejecucion[Estado],"Finalizado"))</f>
        <v/>
      </c>
      <c r="X561" s="38" t="str">
        <f>IF(B561="","",COUNTIFS(Ejecucion[No. Solicitud],Registro!B561,Ejecucion[Estado],"No Iniciado"))</f>
        <v/>
      </c>
      <c r="Y561" s="64" t="str">
        <f>IF(B561="","",COUNTIFS(Ejecucion[No. Solicitud],Registro!B561,Ejecucion[Estado],"En Proceso"))</f>
        <v/>
      </c>
      <c r="Z561" s="64" t="str">
        <f t="shared" si="19"/>
        <v/>
      </c>
      <c r="AA561" s="64"/>
      <c r="AB561" s="64"/>
      <c r="AC561" s="64"/>
      <c r="AD561" s="102"/>
    </row>
    <row r="562" spans="2:30" s="15" customFormat="1">
      <c r="B562" s="36"/>
      <c r="C562" s="102"/>
      <c r="D562" s="36"/>
      <c r="E562" s="22"/>
      <c r="F562" s="83"/>
      <c r="G562" s="83"/>
      <c r="H562" s="25"/>
      <c r="I562" s="25"/>
      <c r="J562" s="25"/>
      <c r="K562" s="25"/>
      <c r="L562" s="36"/>
      <c r="M562" s="36"/>
      <c r="N562" s="36"/>
      <c r="O562" s="102"/>
      <c r="P562" s="36"/>
      <c r="Q562" s="36"/>
      <c r="R562" s="37"/>
      <c r="S562" s="37"/>
      <c r="T562" s="60" t="str">
        <f t="shared" si="18"/>
        <v/>
      </c>
      <c r="U562" s="38"/>
      <c r="V562" s="38"/>
      <c r="W562" s="38" t="str">
        <f>IF(B562="","",COUNTIFS(Ejecucion[No. Solicitud],Registro!B562,Ejecucion[Estado],"Finalizado"))</f>
        <v/>
      </c>
      <c r="X562" s="38" t="str">
        <f>IF(B562="","",COUNTIFS(Ejecucion[No. Solicitud],Registro!B562,Ejecucion[Estado],"No Iniciado"))</f>
        <v/>
      </c>
      <c r="Y562" s="64" t="str">
        <f>IF(B562="","",COUNTIFS(Ejecucion[No. Solicitud],Registro!B562,Ejecucion[Estado],"En Proceso"))</f>
        <v/>
      </c>
      <c r="Z562" s="64" t="str">
        <f t="shared" si="19"/>
        <v/>
      </c>
      <c r="AA562" s="64"/>
      <c r="AB562" s="64"/>
      <c r="AC562" s="64"/>
      <c r="AD562" s="102"/>
    </row>
    <row r="563" spans="2:30" s="15" customFormat="1">
      <c r="B563" s="36"/>
      <c r="C563" s="102"/>
      <c r="D563" s="36"/>
      <c r="E563" s="22"/>
      <c r="F563" s="83"/>
      <c r="G563" s="83"/>
      <c r="H563" s="25"/>
      <c r="I563" s="25"/>
      <c r="J563" s="25"/>
      <c r="K563" s="25"/>
      <c r="L563" s="36"/>
      <c r="M563" s="36"/>
      <c r="N563" s="36"/>
      <c r="O563" s="102"/>
      <c r="P563" s="36"/>
      <c r="Q563" s="36"/>
      <c r="R563" s="37"/>
      <c r="S563" s="37"/>
      <c r="T563" s="60" t="str">
        <f t="shared" si="18"/>
        <v/>
      </c>
      <c r="U563" s="38"/>
      <c r="V563" s="38"/>
      <c r="W563" s="38" t="str">
        <f>IF(B563="","",COUNTIFS(Ejecucion[No. Solicitud],Registro!B563,Ejecucion[Estado],"Finalizado"))</f>
        <v/>
      </c>
      <c r="X563" s="38" t="str">
        <f>IF(B563="","",COUNTIFS(Ejecucion[No. Solicitud],Registro!B563,Ejecucion[Estado],"No Iniciado"))</f>
        <v/>
      </c>
      <c r="Y563" s="64" t="str">
        <f>IF(B563="","",COUNTIFS(Ejecucion[No. Solicitud],Registro!B563,Ejecucion[Estado],"En Proceso"))</f>
        <v/>
      </c>
      <c r="Z563" s="64" t="str">
        <f t="shared" si="19"/>
        <v/>
      </c>
      <c r="AA563" s="64"/>
      <c r="AB563" s="64"/>
      <c r="AC563" s="64"/>
      <c r="AD563" s="102"/>
    </row>
    <row r="564" spans="2:30" s="15" customFormat="1">
      <c r="B564" s="36"/>
      <c r="C564" s="102"/>
      <c r="D564" s="36"/>
      <c r="E564" s="22"/>
      <c r="F564" s="83"/>
      <c r="G564" s="83"/>
      <c r="H564" s="25"/>
      <c r="I564" s="25"/>
      <c r="J564" s="25"/>
      <c r="K564" s="25"/>
      <c r="L564" s="36"/>
      <c r="M564" s="36"/>
      <c r="N564" s="36"/>
      <c r="O564" s="102"/>
      <c r="P564" s="36"/>
      <c r="Q564" s="36"/>
      <c r="R564" s="37"/>
      <c r="S564" s="37"/>
      <c r="T564" s="60" t="str">
        <f t="shared" si="18"/>
        <v/>
      </c>
      <c r="U564" s="38"/>
      <c r="V564" s="38"/>
      <c r="W564" s="38" t="str">
        <f>IF(B564="","",COUNTIFS(Ejecucion[No. Solicitud],Registro!B564,Ejecucion[Estado],"Finalizado"))</f>
        <v/>
      </c>
      <c r="X564" s="38" t="str">
        <f>IF(B564="","",COUNTIFS(Ejecucion[No. Solicitud],Registro!B564,Ejecucion[Estado],"No Iniciado"))</f>
        <v/>
      </c>
      <c r="Y564" s="64" t="str">
        <f>IF(B564="","",COUNTIFS(Ejecucion[No. Solicitud],Registro!B564,Ejecucion[Estado],"En Proceso"))</f>
        <v/>
      </c>
      <c r="Z564" s="64" t="str">
        <f t="shared" si="19"/>
        <v/>
      </c>
      <c r="AA564" s="64"/>
      <c r="AB564" s="64"/>
      <c r="AC564" s="64"/>
      <c r="AD564" s="102"/>
    </row>
    <row r="565" spans="2:30" s="15" customFormat="1">
      <c r="B565" s="36"/>
      <c r="C565" s="102"/>
      <c r="D565" s="36"/>
      <c r="E565" s="22"/>
      <c r="F565" s="83"/>
      <c r="G565" s="83"/>
      <c r="H565" s="25"/>
      <c r="I565" s="25"/>
      <c r="J565" s="25"/>
      <c r="K565" s="25"/>
      <c r="L565" s="36"/>
      <c r="M565" s="36"/>
      <c r="N565" s="36"/>
      <c r="O565" s="102"/>
      <c r="P565" s="36"/>
      <c r="Q565" s="36"/>
      <c r="R565" s="37"/>
      <c r="S565" s="37"/>
      <c r="T565" s="60" t="str">
        <f t="shared" si="18"/>
        <v/>
      </c>
      <c r="U565" s="38"/>
      <c r="V565" s="38"/>
      <c r="W565" s="38" t="str">
        <f>IF(B565="","",COUNTIFS(Ejecucion[No. Solicitud],Registro!B565,Ejecucion[Estado],"Finalizado"))</f>
        <v/>
      </c>
      <c r="X565" s="38" t="str">
        <f>IF(B565="","",COUNTIFS(Ejecucion[No. Solicitud],Registro!B565,Ejecucion[Estado],"No Iniciado"))</f>
        <v/>
      </c>
      <c r="Y565" s="64" t="str">
        <f>IF(B565="","",COUNTIFS(Ejecucion[No. Solicitud],Registro!B565,Ejecucion[Estado],"En Proceso"))</f>
        <v/>
      </c>
      <c r="Z565" s="64" t="str">
        <f t="shared" si="19"/>
        <v/>
      </c>
      <c r="AA565" s="64"/>
      <c r="AB565" s="64"/>
      <c r="AC565" s="64"/>
      <c r="AD565" s="102"/>
    </row>
    <row r="566" spans="2:30" s="15" customFormat="1">
      <c r="B566" s="36"/>
      <c r="C566" s="102"/>
      <c r="D566" s="36"/>
      <c r="E566" s="22"/>
      <c r="F566" s="83"/>
      <c r="G566" s="83"/>
      <c r="H566" s="25"/>
      <c r="I566" s="25"/>
      <c r="J566" s="25"/>
      <c r="K566" s="25"/>
      <c r="L566" s="36"/>
      <c r="M566" s="36"/>
      <c r="N566" s="36"/>
      <c r="O566" s="102"/>
      <c r="P566" s="36"/>
      <c r="Q566" s="36"/>
      <c r="R566" s="37"/>
      <c r="S566" s="37"/>
      <c r="T566" s="60" t="str">
        <f t="shared" si="18"/>
        <v/>
      </c>
      <c r="U566" s="38"/>
      <c r="V566" s="38"/>
      <c r="W566" s="38" t="str">
        <f>IF(B566="","",COUNTIFS(Ejecucion[No. Solicitud],Registro!B566,Ejecucion[Estado],"Finalizado"))</f>
        <v/>
      </c>
      <c r="X566" s="38" t="str">
        <f>IF(B566="","",COUNTIFS(Ejecucion[No. Solicitud],Registro!B566,Ejecucion[Estado],"No Iniciado"))</f>
        <v/>
      </c>
      <c r="Y566" s="64" t="str">
        <f>IF(B566="","",COUNTIFS(Ejecucion[No. Solicitud],Registro!B566,Ejecucion[Estado],"En Proceso"))</f>
        <v/>
      </c>
      <c r="Z566" s="64" t="str">
        <f t="shared" si="19"/>
        <v/>
      </c>
      <c r="AA566" s="64"/>
      <c r="AB566" s="64"/>
      <c r="AC566" s="64"/>
      <c r="AD566" s="102"/>
    </row>
    <row r="567" spans="2:30" s="15" customFormat="1">
      <c r="B567" s="36"/>
      <c r="C567" s="102"/>
      <c r="D567" s="36"/>
      <c r="E567" s="22"/>
      <c r="F567" s="83"/>
      <c r="G567" s="83"/>
      <c r="H567" s="25"/>
      <c r="I567" s="25"/>
      <c r="J567" s="25"/>
      <c r="K567" s="25"/>
      <c r="L567" s="36"/>
      <c r="M567" s="36"/>
      <c r="N567" s="36"/>
      <c r="O567" s="102"/>
      <c r="P567" s="36"/>
      <c r="Q567" s="36"/>
      <c r="R567" s="37"/>
      <c r="S567" s="37"/>
      <c r="T567" s="60" t="str">
        <f t="shared" si="18"/>
        <v/>
      </c>
      <c r="U567" s="38"/>
      <c r="V567" s="38"/>
      <c r="W567" s="38" t="str">
        <f>IF(B567="","",COUNTIFS(Ejecucion[No. Solicitud],Registro!B567,Ejecucion[Estado],"Finalizado"))</f>
        <v/>
      </c>
      <c r="X567" s="38" t="str">
        <f>IF(B567="","",COUNTIFS(Ejecucion[No. Solicitud],Registro!B567,Ejecucion[Estado],"No Iniciado"))</f>
        <v/>
      </c>
      <c r="Y567" s="64" t="str">
        <f>IF(B567="","",COUNTIFS(Ejecucion[No. Solicitud],Registro!B567,Ejecucion[Estado],"En Proceso"))</f>
        <v/>
      </c>
      <c r="Z567" s="64" t="str">
        <f t="shared" si="19"/>
        <v/>
      </c>
      <c r="AA567" s="64"/>
      <c r="AB567" s="64"/>
      <c r="AC567" s="64"/>
      <c r="AD567" s="102"/>
    </row>
    <row r="568" spans="2:30" s="15" customFormat="1">
      <c r="B568" s="36"/>
      <c r="C568" s="102"/>
      <c r="D568" s="36"/>
      <c r="E568" s="22"/>
      <c r="F568" s="83"/>
      <c r="G568" s="83"/>
      <c r="H568" s="25"/>
      <c r="I568" s="25"/>
      <c r="J568" s="25"/>
      <c r="K568" s="25"/>
      <c r="L568" s="36"/>
      <c r="M568" s="36"/>
      <c r="N568" s="36"/>
      <c r="O568" s="102"/>
      <c r="P568" s="36"/>
      <c r="Q568" s="36"/>
      <c r="R568" s="37"/>
      <c r="S568" s="37"/>
      <c r="T568" s="60" t="str">
        <f t="shared" si="18"/>
        <v/>
      </c>
      <c r="U568" s="38"/>
      <c r="V568" s="38"/>
      <c r="W568" s="38" t="str">
        <f>IF(B568="","",COUNTIFS(Ejecucion[No. Solicitud],Registro!B568,Ejecucion[Estado],"Finalizado"))</f>
        <v/>
      </c>
      <c r="X568" s="38" t="str">
        <f>IF(B568="","",COUNTIFS(Ejecucion[No. Solicitud],Registro!B568,Ejecucion[Estado],"No Iniciado"))</f>
        <v/>
      </c>
      <c r="Y568" s="64" t="str">
        <f>IF(B568="","",COUNTIFS(Ejecucion[No. Solicitud],Registro!B568,Ejecucion[Estado],"En Proceso"))</f>
        <v/>
      </c>
      <c r="Z568" s="64" t="str">
        <f t="shared" si="19"/>
        <v/>
      </c>
      <c r="AA568" s="64"/>
      <c r="AB568" s="64"/>
      <c r="AC568" s="64"/>
      <c r="AD568" s="102"/>
    </row>
    <row r="569" spans="2:30" s="15" customFormat="1">
      <c r="B569" s="36"/>
      <c r="C569" s="102"/>
      <c r="D569" s="36"/>
      <c r="E569" s="22"/>
      <c r="F569" s="83"/>
      <c r="G569" s="83"/>
      <c r="H569" s="25"/>
      <c r="I569" s="25"/>
      <c r="J569" s="25"/>
      <c r="K569" s="25"/>
      <c r="L569" s="36"/>
      <c r="M569" s="36"/>
      <c r="N569" s="36"/>
      <c r="O569" s="102"/>
      <c r="P569" s="36"/>
      <c r="Q569" s="36"/>
      <c r="R569" s="37"/>
      <c r="S569" s="37"/>
      <c r="T569" s="60" t="str">
        <f t="shared" si="18"/>
        <v/>
      </c>
      <c r="U569" s="38"/>
      <c r="V569" s="38"/>
      <c r="W569" s="38" t="str">
        <f>IF(B569="","",COUNTIFS(Ejecucion[No. Solicitud],Registro!B569,Ejecucion[Estado],"Finalizado"))</f>
        <v/>
      </c>
      <c r="X569" s="38" t="str">
        <f>IF(B569="","",COUNTIFS(Ejecucion[No. Solicitud],Registro!B569,Ejecucion[Estado],"No Iniciado"))</f>
        <v/>
      </c>
      <c r="Y569" s="64" t="str">
        <f>IF(B569="","",COUNTIFS(Ejecucion[No. Solicitud],Registro!B569,Ejecucion[Estado],"En Proceso"))</f>
        <v/>
      </c>
      <c r="Z569" s="64" t="str">
        <f t="shared" si="19"/>
        <v/>
      </c>
      <c r="AA569" s="64"/>
      <c r="AB569" s="64"/>
      <c r="AC569" s="64"/>
      <c r="AD569" s="102"/>
    </row>
    <row r="570" spans="2:30" s="15" customFormat="1">
      <c r="B570" s="36"/>
      <c r="C570" s="102"/>
      <c r="D570" s="36"/>
      <c r="E570" s="22"/>
      <c r="F570" s="83"/>
      <c r="G570" s="83"/>
      <c r="H570" s="25"/>
      <c r="I570" s="25"/>
      <c r="J570" s="25"/>
      <c r="K570" s="25"/>
      <c r="L570" s="36"/>
      <c r="M570" s="36"/>
      <c r="N570" s="36"/>
      <c r="O570" s="102"/>
      <c r="P570" s="36"/>
      <c r="Q570" s="36"/>
      <c r="R570" s="37"/>
      <c r="S570" s="37"/>
      <c r="T570" s="60" t="str">
        <f t="shared" si="18"/>
        <v/>
      </c>
      <c r="U570" s="38"/>
      <c r="V570" s="38"/>
      <c r="W570" s="38" t="str">
        <f>IF(B570="","",COUNTIFS(Ejecucion[No. Solicitud],Registro!B570,Ejecucion[Estado],"Finalizado"))</f>
        <v/>
      </c>
      <c r="X570" s="38" t="str">
        <f>IF(B570="","",COUNTIFS(Ejecucion[No. Solicitud],Registro!B570,Ejecucion[Estado],"No Iniciado"))</f>
        <v/>
      </c>
      <c r="Y570" s="64" t="str">
        <f>IF(B570="","",COUNTIFS(Ejecucion[No. Solicitud],Registro!B570,Ejecucion[Estado],"En Proceso"))</f>
        <v/>
      </c>
      <c r="Z570" s="64" t="str">
        <f t="shared" si="19"/>
        <v/>
      </c>
      <c r="AA570" s="64"/>
      <c r="AB570" s="64"/>
      <c r="AC570" s="64"/>
      <c r="AD570" s="102"/>
    </row>
    <row r="571" spans="2:30" s="15" customFormat="1">
      <c r="B571" s="36"/>
      <c r="C571" s="102"/>
      <c r="D571" s="36"/>
      <c r="E571" s="22"/>
      <c r="F571" s="83"/>
      <c r="G571" s="83"/>
      <c r="H571" s="25"/>
      <c r="I571" s="25"/>
      <c r="J571" s="25"/>
      <c r="K571" s="25"/>
      <c r="L571" s="36"/>
      <c r="M571" s="36"/>
      <c r="N571" s="36"/>
      <c r="O571" s="102"/>
      <c r="P571" s="36"/>
      <c r="Q571" s="36"/>
      <c r="R571" s="37"/>
      <c r="S571" s="37"/>
      <c r="T571" s="60" t="str">
        <f t="shared" si="18"/>
        <v/>
      </c>
      <c r="U571" s="38"/>
      <c r="V571" s="38"/>
      <c r="W571" s="38" t="str">
        <f>IF(B571="","",COUNTIFS(Ejecucion[No. Solicitud],Registro!B571,Ejecucion[Estado],"Finalizado"))</f>
        <v/>
      </c>
      <c r="X571" s="38" t="str">
        <f>IF(B571="","",COUNTIFS(Ejecucion[No. Solicitud],Registro!B571,Ejecucion[Estado],"No Iniciado"))</f>
        <v/>
      </c>
      <c r="Y571" s="64" t="str">
        <f>IF(B571="","",COUNTIFS(Ejecucion[No. Solicitud],Registro!B571,Ejecucion[Estado],"En Proceso"))</f>
        <v/>
      </c>
      <c r="Z571" s="64" t="str">
        <f t="shared" si="19"/>
        <v/>
      </c>
      <c r="AA571" s="64"/>
      <c r="AB571" s="64"/>
      <c r="AC571" s="64"/>
      <c r="AD571" s="102"/>
    </row>
    <row r="572" spans="2:30" s="15" customFormat="1">
      <c r="B572" s="36"/>
      <c r="C572" s="102"/>
      <c r="D572" s="36"/>
      <c r="E572" s="22"/>
      <c r="F572" s="83"/>
      <c r="G572" s="83"/>
      <c r="H572" s="25"/>
      <c r="I572" s="25"/>
      <c r="J572" s="25"/>
      <c r="K572" s="25"/>
      <c r="L572" s="36"/>
      <c r="M572" s="36"/>
      <c r="N572" s="36"/>
      <c r="O572" s="102"/>
      <c r="P572" s="36"/>
      <c r="Q572" s="36"/>
      <c r="R572" s="37"/>
      <c r="S572" s="37"/>
      <c r="T572" s="60" t="str">
        <f t="shared" si="18"/>
        <v/>
      </c>
      <c r="U572" s="38"/>
      <c r="V572" s="38"/>
      <c r="W572" s="38" t="str">
        <f>IF(B572="","",COUNTIFS(Ejecucion[No. Solicitud],Registro!B572,Ejecucion[Estado],"Finalizado"))</f>
        <v/>
      </c>
      <c r="X572" s="38" t="str">
        <f>IF(B572="","",COUNTIFS(Ejecucion[No. Solicitud],Registro!B572,Ejecucion[Estado],"No Iniciado"))</f>
        <v/>
      </c>
      <c r="Y572" s="64" t="str">
        <f>IF(B572="","",COUNTIFS(Ejecucion[No. Solicitud],Registro!B572,Ejecucion[Estado],"En Proceso"))</f>
        <v/>
      </c>
      <c r="Z572" s="64" t="str">
        <f t="shared" si="19"/>
        <v/>
      </c>
      <c r="AA572" s="64"/>
      <c r="AB572" s="64"/>
      <c r="AC572" s="64"/>
      <c r="AD572" s="102"/>
    </row>
    <row r="573" spans="2:30" s="15" customFormat="1">
      <c r="B573" s="36"/>
      <c r="C573" s="102"/>
      <c r="D573" s="36"/>
      <c r="E573" s="22"/>
      <c r="F573" s="83"/>
      <c r="G573" s="83"/>
      <c r="H573" s="25"/>
      <c r="I573" s="25"/>
      <c r="J573" s="25"/>
      <c r="K573" s="25"/>
      <c r="L573" s="36"/>
      <c r="M573" s="36"/>
      <c r="N573" s="36"/>
      <c r="O573" s="102"/>
      <c r="P573" s="36"/>
      <c r="Q573" s="36"/>
      <c r="R573" s="37"/>
      <c r="S573" s="37"/>
      <c r="T573" s="60" t="str">
        <f t="shared" si="18"/>
        <v/>
      </c>
      <c r="U573" s="38"/>
      <c r="V573" s="38"/>
      <c r="W573" s="38" t="str">
        <f>IF(B573="","",COUNTIFS(Ejecucion[No. Solicitud],Registro!B573,Ejecucion[Estado],"Finalizado"))</f>
        <v/>
      </c>
      <c r="X573" s="38" t="str">
        <f>IF(B573="","",COUNTIFS(Ejecucion[No. Solicitud],Registro!B573,Ejecucion[Estado],"No Iniciado"))</f>
        <v/>
      </c>
      <c r="Y573" s="64" t="str">
        <f>IF(B573="","",COUNTIFS(Ejecucion[No. Solicitud],Registro!B573,Ejecucion[Estado],"En Proceso"))</f>
        <v/>
      </c>
      <c r="Z573" s="64" t="str">
        <f t="shared" si="19"/>
        <v/>
      </c>
      <c r="AA573" s="64"/>
      <c r="AB573" s="64"/>
      <c r="AC573" s="64"/>
      <c r="AD573" s="102"/>
    </row>
    <row r="574" spans="2:30" s="15" customFormat="1">
      <c r="B574" s="36"/>
      <c r="C574" s="102"/>
      <c r="D574" s="36"/>
      <c r="E574" s="22"/>
      <c r="F574" s="83"/>
      <c r="G574" s="83"/>
      <c r="H574" s="25"/>
      <c r="I574" s="25"/>
      <c r="J574" s="25"/>
      <c r="K574" s="25"/>
      <c r="L574" s="36"/>
      <c r="M574" s="36"/>
      <c r="N574" s="36"/>
      <c r="O574" s="102"/>
      <c r="P574" s="36"/>
      <c r="Q574" s="36"/>
      <c r="R574" s="37"/>
      <c r="S574" s="37"/>
      <c r="T574" s="60" t="str">
        <f t="shared" si="18"/>
        <v/>
      </c>
      <c r="U574" s="38"/>
      <c r="V574" s="38"/>
      <c r="W574" s="38" t="str">
        <f>IF(B574="","",COUNTIFS(Ejecucion[No. Solicitud],Registro!B574,Ejecucion[Estado],"Finalizado"))</f>
        <v/>
      </c>
      <c r="X574" s="38" t="str">
        <f>IF(B574="","",COUNTIFS(Ejecucion[No. Solicitud],Registro!B574,Ejecucion[Estado],"No Iniciado"))</f>
        <v/>
      </c>
      <c r="Y574" s="64" t="str">
        <f>IF(B574="","",COUNTIFS(Ejecucion[No. Solicitud],Registro!B574,Ejecucion[Estado],"En Proceso"))</f>
        <v/>
      </c>
      <c r="Z574" s="64" t="str">
        <f t="shared" si="19"/>
        <v/>
      </c>
      <c r="AA574" s="64"/>
      <c r="AB574" s="64"/>
      <c r="AC574" s="64"/>
      <c r="AD574" s="102"/>
    </row>
    <row r="575" spans="2:30" s="15" customFormat="1">
      <c r="B575" s="36"/>
      <c r="C575" s="102"/>
      <c r="D575" s="36"/>
      <c r="E575" s="22"/>
      <c r="F575" s="83"/>
      <c r="G575" s="83"/>
      <c r="H575" s="25"/>
      <c r="I575" s="25"/>
      <c r="J575" s="25"/>
      <c r="K575" s="25"/>
      <c r="L575" s="36"/>
      <c r="M575" s="36"/>
      <c r="N575" s="36"/>
      <c r="O575" s="102"/>
      <c r="P575" s="36"/>
      <c r="Q575" s="36"/>
      <c r="R575" s="37"/>
      <c r="S575" s="37"/>
      <c r="T575" s="60" t="str">
        <f t="shared" si="18"/>
        <v/>
      </c>
      <c r="U575" s="38"/>
      <c r="V575" s="38"/>
      <c r="W575" s="38" t="str">
        <f>IF(B575="","",COUNTIFS(Ejecucion[No. Solicitud],Registro!B575,Ejecucion[Estado],"Finalizado"))</f>
        <v/>
      </c>
      <c r="X575" s="38" t="str">
        <f>IF(B575="","",COUNTIFS(Ejecucion[No. Solicitud],Registro!B575,Ejecucion[Estado],"No Iniciado"))</f>
        <v/>
      </c>
      <c r="Y575" s="64" t="str">
        <f>IF(B575="","",COUNTIFS(Ejecucion[No. Solicitud],Registro!B575,Ejecucion[Estado],"En Proceso"))</f>
        <v/>
      </c>
      <c r="Z575" s="64" t="str">
        <f t="shared" si="19"/>
        <v/>
      </c>
      <c r="AA575" s="64"/>
      <c r="AB575" s="64"/>
      <c r="AC575" s="64"/>
      <c r="AD575" s="102"/>
    </row>
    <row r="576" spans="2:30" s="15" customFormat="1">
      <c r="B576" s="36"/>
      <c r="C576" s="102"/>
      <c r="D576" s="36"/>
      <c r="E576" s="22"/>
      <c r="F576" s="83"/>
      <c r="G576" s="83"/>
      <c r="H576" s="25"/>
      <c r="I576" s="25"/>
      <c r="J576" s="25"/>
      <c r="K576" s="25"/>
      <c r="L576" s="36"/>
      <c r="M576" s="36"/>
      <c r="N576" s="36"/>
      <c r="O576" s="102"/>
      <c r="P576" s="36"/>
      <c r="Q576" s="36"/>
      <c r="R576" s="37"/>
      <c r="S576" s="37"/>
      <c r="T576" s="60" t="str">
        <f t="shared" si="18"/>
        <v/>
      </c>
      <c r="U576" s="38"/>
      <c r="V576" s="38"/>
      <c r="W576" s="38" t="str">
        <f>IF(B576="","",COUNTIFS(Ejecucion[No. Solicitud],Registro!B576,Ejecucion[Estado],"Finalizado"))</f>
        <v/>
      </c>
      <c r="X576" s="38" t="str">
        <f>IF(B576="","",COUNTIFS(Ejecucion[No. Solicitud],Registro!B576,Ejecucion[Estado],"No Iniciado"))</f>
        <v/>
      </c>
      <c r="Y576" s="64" t="str">
        <f>IF(B576="","",COUNTIFS(Ejecucion[No. Solicitud],Registro!B576,Ejecucion[Estado],"En Proceso"))</f>
        <v/>
      </c>
      <c r="Z576" s="64" t="str">
        <f t="shared" si="19"/>
        <v/>
      </c>
      <c r="AA576" s="64"/>
      <c r="AB576" s="64"/>
      <c r="AC576" s="64"/>
      <c r="AD576" s="102"/>
    </row>
    <row r="577" spans="2:30" s="15" customFormat="1">
      <c r="B577" s="36"/>
      <c r="C577" s="102"/>
      <c r="D577" s="36"/>
      <c r="E577" s="22"/>
      <c r="F577" s="83"/>
      <c r="G577" s="83"/>
      <c r="H577" s="25"/>
      <c r="I577" s="25"/>
      <c r="J577" s="25"/>
      <c r="K577" s="25"/>
      <c r="L577" s="36"/>
      <c r="M577" s="36"/>
      <c r="N577" s="36"/>
      <c r="O577" s="102"/>
      <c r="P577" s="36"/>
      <c r="Q577" s="36"/>
      <c r="R577" s="37"/>
      <c r="S577" s="37"/>
      <c r="T577" s="60" t="str">
        <f t="shared" si="18"/>
        <v/>
      </c>
      <c r="U577" s="38"/>
      <c r="V577" s="38"/>
      <c r="W577" s="38" t="str">
        <f>IF(B577="","",COUNTIFS(Ejecucion[No. Solicitud],Registro!B577,Ejecucion[Estado],"Finalizado"))</f>
        <v/>
      </c>
      <c r="X577" s="38" t="str">
        <f>IF(B577="","",COUNTIFS(Ejecucion[No. Solicitud],Registro!B577,Ejecucion[Estado],"No Iniciado"))</f>
        <v/>
      </c>
      <c r="Y577" s="64" t="str">
        <f>IF(B577="","",COUNTIFS(Ejecucion[No. Solicitud],Registro!B577,Ejecucion[Estado],"En Proceso"))</f>
        <v/>
      </c>
      <c r="Z577" s="64" t="str">
        <f t="shared" si="19"/>
        <v/>
      </c>
      <c r="AA577" s="64"/>
      <c r="AB577" s="64"/>
      <c r="AC577" s="64"/>
      <c r="AD577" s="102"/>
    </row>
    <row r="578" spans="2:30" s="15" customFormat="1">
      <c r="B578" s="36"/>
      <c r="C578" s="102"/>
      <c r="D578" s="36"/>
      <c r="E578" s="22"/>
      <c r="F578" s="83"/>
      <c r="G578" s="83"/>
      <c r="H578" s="25"/>
      <c r="I578" s="25"/>
      <c r="J578" s="25"/>
      <c r="K578" s="25"/>
      <c r="L578" s="36"/>
      <c r="M578" s="36"/>
      <c r="N578" s="36"/>
      <c r="O578" s="102"/>
      <c r="P578" s="36"/>
      <c r="Q578" s="36"/>
      <c r="R578" s="37"/>
      <c r="S578" s="37"/>
      <c r="T578" s="60" t="str">
        <f t="shared" si="18"/>
        <v/>
      </c>
      <c r="U578" s="38"/>
      <c r="V578" s="38"/>
      <c r="W578" s="38" t="str">
        <f>IF(B578="","",COUNTIFS(Ejecucion[No. Solicitud],Registro!B578,Ejecucion[Estado],"Finalizado"))</f>
        <v/>
      </c>
      <c r="X578" s="38" t="str">
        <f>IF(B578="","",COUNTIFS(Ejecucion[No. Solicitud],Registro!B578,Ejecucion[Estado],"No Iniciado"))</f>
        <v/>
      </c>
      <c r="Y578" s="64" t="str">
        <f>IF(B578="","",COUNTIFS(Ejecucion[No. Solicitud],Registro!B578,Ejecucion[Estado],"En Proceso"))</f>
        <v/>
      </c>
      <c r="Z578" s="64" t="str">
        <f t="shared" si="19"/>
        <v/>
      </c>
      <c r="AA578" s="64"/>
      <c r="AB578" s="64"/>
      <c r="AC578" s="64"/>
      <c r="AD578" s="102"/>
    </row>
    <row r="579" spans="2:30" s="15" customFormat="1">
      <c r="B579" s="36"/>
      <c r="C579" s="102"/>
      <c r="D579" s="36"/>
      <c r="E579" s="22"/>
      <c r="F579" s="83"/>
      <c r="G579" s="83"/>
      <c r="H579" s="25"/>
      <c r="I579" s="25"/>
      <c r="J579" s="25"/>
      <c r="K579" s="25"/>
      <c r="L579" s="36"/>
      <c r="M579" s="36"/>
      <c r="N579" s="36"/>
      <c r="O579" s="102"/>
      <c r="P579" s="36"/>
      <c r="Q579" s="36"/>
      <c r="R579" s="37"/>
      <c r="S579" s="37"/>
      <c r="T579" s="60" t="str">
        <f t="shared" si="18"/>
        <v/>
      </c>
      <c r="U579" s="38"/>
      <c r="V579" s="38"/>
      <c r="W579" s="38" t="str">
        <f>IF(B579="","",COUNTIFS(Ejecucion[No. Solicitud],Registro!B579,Ejecucion[Estado],"Finalizado"))</f>
        <v/>
      </c>
      <c r="X579" s="38" t="str">
        <f>IF(B579="","",COUNTIFS(Ejecucion[No. Solicitud],Registro!B579,Ejecucion[Estado],"No Iniciado"))</f>
        <v/>
      </c>
      <c r="Y579" s="64" t="str">
        <f>IF(B579="","",COUNTIFS(Ejecucion[No. Solicitud],Registro!B579,Ejecucion[Estado],"En Proceso"))</f>
        <v/>
      </c>
      <c r="Z579" s="64" t="str">
        <f t="shared" si="19"/>
        <v/>
      </c>
      <c r="AA579" s="64"/>
      <c r="AB579" s="64"/>
      <c r="AC579" s="64"/>
      <c r="AD579" s="102"/>
    </row>
    <row r="580" spans="2:30" s="15" customFormat="1">
      <c r="B580" s="36"/>
      <c r="C580" s="102"/>
      <c r="D580" s="36"/>
      <c r="E580" s="22"/>
      <c r="F580" s="83"/>
      <c r="G580" s="83"/>
      <c r="H580" s="25"/>
      <c r="I580" s="25"/>
      <c r="J580" s="25"/>
      <c r="K580" s="25"/>
      <c r="L580" s="36"/>
      <c r="M580" s="36"/>
      <c r="N580" s="36"/>
      <c r="O580" s="102"/>
      <c r="P580" s="36"/>
      <c r="Q580" s="36"/>
      <c r="R580" s="37"/>
      <c r="S580" s="37"/>
      <c r="T580" s="60" t="str">
        <f t="shared" si="18"/>
        <v/>
      </c>
      <c r="U580" s="38"/>
      <c r="V580" s="38"/>
      <c r="W580" s="38" t="str">
        <f>IF(B580="","",COUNTIFS(Ejecucion[No. Solicitud],Registro!B580,Ejecucion[Estado],"Finalizado"))</f>
        <v/>
      </c>
      <c r="X580" s="38" t="str">
        <f>IF(B580="","",COUNTIFS(Ejecucion[No. Solicitud],Registro!B580,Ejecucion[Estado],"No Iniciado"))</f>
        <v/>
      </c>
      <c r="Y580" s="64" t="str">
        <f>IF(B580="","",COUNTIFS(Ejecucion[No. Solicitud],Registro!B580,Ejecucion[Estado],"En Proceso"))</f>
        <v/>
      </c>
      <c r="Z580" s="64" t="str">
        <f t="shared" si="19"/>
        <v/>
      </c>
      <c r="AA580" s="64"/>
      <c r="AB580" s="64"/>
      <c r="AC580" s="64"/>
      <c r="AD580" s="102"/>
    </row>
    <row r="581" spans="2:30" s="15" customFormat="1">
      <c r="B581" s="36"/>
      <c r="C581" s="102"/>
      <c r="D581" s="36"/>
      <c r="E581" s="22"/>
      <c r="F581" s="83"/>
      <c r="G581" s="83"/>
      <c r="H581" s="25"/>
      <c r="I581" s="25"/>
      <c r="J581" s="25"/>
      <c r="K581" s="25"/>
      <c r="L581" s="36"/>
      <c r="M581" s="36"/>
      <c r="N581" s="36"/>
      <c r="O581" s="102"/>
      <c r="P581" s="36"/>
      <c r="Q581" s="36"/>
      <c r="R581" s="37"/>
      <c r="S581" s="37"/>
      <c r="T581" s="60" t="str">
        <f t="shared" si="18"/>
        <v/>
      </c>
      <c r="U581" s="38"/>
      <c r="V581" s="38"/>
      <c r="W581" s="38" t="str">
        <f>IF(B581="","",COUNTIFS(Ejecucion[No. Solicitud],Registro!B581,Ejecucion[Estado],"Finalizado"))</f>
        <v/>
      </c>
      <c r="X581" s="38" t="str">
        <f>IF(B581="","",COUNTIFS(Ejecucion[No. Solicitud],Registro!B581,Ejecucion[Estado],"No Iniciado"))</f>
        <v/>
      </c>
      <c r="Y581" s="64" t="str">
        <f>IF(B581="","",COUNTIFS(Ejecucion[No. Solicitud],Registro!B581,Ejecucion[Estado],"En Proceso"))</f>
        <v/>
      </c>
      <c r="Z581" s="64" t="str">
        <f t="shared" si="19"/>
        <v/>
      </c>
      <c r="AA581" s="64"/>
      <c r="AB581" s="64"/>
      <c r="AC581" s="64"/>
      <c r="AD581" s="102"/>
    </row>
    <row r="582" spans="2:30" s="15" customFormat="1">
      <c r="B582" s="36"/>
      <c r="C582" s="102"/>
      <c r="D582" s="36"/>
      <c r="E582" s="22"/>
      <c r="F582" s="83"/>
      <c r="G582" s="83"/>
      <c r="H582" s="25"/>
      <c r="I582" s="25"/>
      <c r="J582" s="25"/>
      <c r="K582" s="25"/>
      <c r="L582" s="36"/>
      <c r="M582" s="36"/>
      <c r="N582" s="36"/>
      <c r="O582" s="102"/>
      <c r="P582" s="36"/>
      <c r="Q582" s="36"/>
      <c r="R582" s="37"/>
      <c r="S582" s="37"/>
      <c r="T582" s="60" t="str">
        <f t="shared" si="18"/>
        <v/>
      </c>
      <c r="U582" s="38"/>
      <c r="V582" s="38"/>
      <c r="W582" s="38" t="str">
        <f>IF(B582="","",COUNTIFS(Ejecucion[No. Solicitud],Registro!B582,Ejecucion[Estado],"Finalizado"))</f>
        <v/>
      </c>
      <c r="X582" s="38" t="str">
        <f>IF(B582="","",COUNTIFS(Ejecucion[No. Solicitud],Registro!B582,Ejecucion[Estado],"No Iniciado"))</f>
        <v/>
      </c>
      <c r="Y582" s="64" t="str">
        <f>IF(B582="","",COUNTIFS(Ejecucion[No. Solicitud],Registro!B582,Ejecucion[Estado],"En Proceso"))</f>
        <v/>
      </c>
      <c r="Z582" s="64" t="str">
        <f t="shared" si="19"/>
        <v/>
      </c>
      <c r="AA582" s="64"/>
      <c r="AB582" s="64"/>
      <c r="AC582" s="64"/>
      <c r="AD582" s="102"/>
    </row>
    <row r="583" spans="2:30" s="15" customFormat="1">
      <c r="B583" s="36"/>
      <c r="C583" s="102"/>
      <c r="D583" s="36"/>
      <c r="E583" s="22"/>
      <c r="F583" s="83"/>
      <c r="G583" s="83"/>
      <c r="H583" s="25"/>
      <c r="I583" s="25"/>
      <c r="J583" s="25"/>
      <c r="K583" s="25"/>
      <c r="L583" s="36"/>
      <c r="M583" s="36"/>
      <c r="N583" s="36"/>
      <c r="O583" s="102"/>
      <c r="P583" s="36"/>
      <c r="Q583" s="36"/>
      <c r="R583" s="37"/>
      <c r="S583" s="37"/>
      <c r="T583" s="60" t="str">
        <f t="shared" si="18"/>
        <v/>
      </c>
      <c r="U583" s="38"/>
      <c r="V583" s="38"/>
      <c r="W583" s="38" t="str">
        <f>IF(B583="","",COUNTIFS(Ejecucion[No. Solicitud],Registro!B583,Ejecucion[Estado],"Finalizado"))</f>
        <v/>
      </c>
      <c r="X583" s="38" t="str">
        <f>IF(B583="","",COUNTIFS(Ejecucion[No. Solicitud],Registro!B583,Ejecucion[Estado],"No Iniciado"))</f>
        <v/>
      </c>
      <c r="Y583" s="64" t="str">
        <f>IF(B583="","",COUNTIFS(Ejecucion[No. Solicitud],Registro!B583,Ejecucion[Estado],"En Proceso"))</f>
        <v/>
      </c>
      <c r="Z583" s="64" t="str">
        <f t="shared" si="19"/>
        <v/>
      </c>
      <c r="AA583" s="64"/>
      <c r="AB583" s="64"/>
      <c r="AC583" s="64"/>
      <c r="AD583" s="102"/>
    </row>
    <row r="584" spans="2:30" s="15" customFormat="1">
      <c r="B584" s="36"/>
      <c r="C584" s="102"/>
      <c r="D584" s="36"/>
      <c r="E584" s="22"/>
      <c r="F584" s="83"/>
      <c r="G584" s="83"/>
      <c r="H584" s="25"/>
      <c r="I584" s="25"/>
      <c r="J584" s="25"/>
      <c r="K584" s="25"/>
      <c r="L584" s="36"/>
      <c r="M584" s="36"/>
      <c r="N584" s="36"/>
      <c r="O584" s="102"/>
      <c r="P584" s="36"/>
      <c r="Q584" s="36"/>
      <c r="R584" s="37"/>
      <c r="S584" s="37"/>
      <c r="T584" s="60" t="str">
        <f t="shared" ref="T584:T647" si="20">IF(U584="","",IF(U584=W584,1,0))</f>
        <v/>
      </c>
      <c r="U584" s="38"/>
      <c r="V584" s="38"/>
      <c r="W584" s="38" t="str">
        <f>IF(B584="","",COUNTIFS(Ejecucion[No. Solicitud],Registro!B584,Ejecucion[Estado],"Finalizado"))</f>
        <v/>
      </c>
      <c r="X584" s="38" t="str">
        <f>IF(B584="","",COUNTIFS(Ejecucion[No. Solicitud],Registro!B584,Ejecucion[Estado],"No Iniciado"))</f>
        <v/>
      </c>
      <c r="Y584" s="64" t="str">
        <f>IF(B584="","",COUNTIFS(Ejecucion[No. Solicitud],Registro!B584,Ejecucion[Estado],"En Proceso"))</f>
        <v/>
      </c>
      <c r="Z584" s="64" t="str">
        <f t="shared" si="19"/>
        <v/>
      </c>
      <c r="AA584" s="64"/>
      <c r="AB584" s="64"/>
      <c r="AC584" s="64"/>
      <c r="AD584" s="102"/>
    </row>
    <row r="585" spans="2:30" s="15" customFormat="1">
      <c r="B585" s="36"/>
      <c r="C585" s="102"/>
      <c r="D585" s="36"/>
      <c r="E585" s="22"/>
      <c r="F585" s="83"/>
      <c r="G585" s="83"/>
      <c r="H585" s="25"/>
      <c r="I585" s="25"/>
      <c r="J585" s="25"/>
      <c r="K585" s="25"/>
      <c r="L585" s="36"/>
      <c r="M585" s="36"/>
      <c r="N585" s="36"/>
      <c r="O585" s="102"/>
      <c r="P585" s="36"/>
      <c r="Q585" s="36"/>
      <c r="R585" s="37"/>
      <c r="S585" s="37"/>
      <c r="T585" s="60" t="str">
        <f t="shared" si="20"/>
        <v/>
      </c>
      <c r="U585" s="38"/>
      <c r="V585" s="38"/>
      <c r="W585" s="38" t="str">
        <f>IF(B585="","",COUNTIFS(Ejecucion[No. Solicitud],Registro!B585,Ejecucion[Estado],"Finalizado"))</f>
        <v/>
      </c>
      <c r="X585" s="38" t="str">
        <f>IF(B585="","",COUNTIFS(Ejecucion[No. Solicitud],Registro!B585,Ejecucion[Estado],"No Iniciado"))</f>
        <v/>
      </c>
      <c r="Y585" s="64" t="str">
        <f>IF(B585="","",COUNTIFS(Ejecucion[No. Solicitud],Registro!B585,Ejecucion[Estado],"En Proceso"))</f>
        <v/>
      </c>
      <c r="Z585" s="64" t="str">
        <f t="shared" si="19"/>
        <v/>
      </c>
      <c r="AA585" s="64"/>
      <c r="AB585" s="64"/>
      <c r="AC585" s="64"/>
      <c r="AD585" s="102"/>
    </row>
    <row r="586" spans="2:30" s="15" customFormat="1">
      <c r="B586" s="36"/>
      <c r="C586" s="102"/>
      <c r="D586" s="36"/>
      <c r="E586" s="22"/>
      <c r="F586" s="83"/>
      <c r="G586" s="83"/>
      <c r="H586" s="25"/>
      <c r="I586" s="25"/>
      <c r="J586" s="25"/>
      <c r="K586" s="25"/>
      <c r="L586" s="36"/>
      <c r="M586" s="36"/>
      <c r="N586" s="36"/>
      <c r="O586" s="102"/>
      <c r="P586" s="36"/>
      <c r="Q586" s="36"/>
      <c r="R586" s="37"/>
      <c r="S586" s="37"/>
      <c r="T586" s="60" t="str">
        <f t="shared" si="20"/>
        <v/>
      </c>
      <c r="U586" s="38"/>
      <c r="V586" s="38"/>
      <c r="W586" s="38" t="str">
        <f>IF(B586="","",COUNTIFS(Ejecucion[No. Solicitud],Registro!B586,Ejecucion[Estado],"Finalizado"))</f>
        <v/>
      </c>
      <c r="X586" s="38" t="str">
        <f>IF(B586="","",COUNTIFS(Ejecucion[No. Solicitud],Registro!B586,Ejecucion[Estado],"No Iniciado"))</f>
        <v/>
      </c>
      <c r="Y586" s="64" t="str">
        <f>IF(B586="","",COUNTIFS(Ejecucion[No. Solicitud],Registro!B586,Ejecucion[Estado],"En Proceso"))</f>
        <v/>
      </c>
      <c r="Z586" s="64" t="str">
        <f t="shared" si="19"/>
        <v/>
      </c>
      <c r="AA586" s="64"/>
      <c r="AB586" s="64"/>
      <c r="AC586" s="64"/>
      <c r="AD586" s="102"/>
    </row>
    <row r="587" spans="2:30" s="15" customFormat="1">
      <c r="B587" s="36"/>
      <c r="C587" s="102"/>
      <c r="D587" s="36"/>
      <c r="E587" s="22"/>
      <c r="F587" s="83"/>
      <c r="G587" s="83"/>
      <c r="H587" s="25"/>
      <c r="I587" s="25"/>
      <c r="J587" s="25"/>
      <c r="K587" s="25"/>
      <c r="L587" s="36"/>
      <c r="M587" s="36"/>
      <c r="N587" s="36"/>
      <c r="O587" s="102"/>
      <c r="P587" s="36"/>
      <c r="Q587" s="36"/>
      <c r="R587" s="37"/>
      <c r="S587" s="37"/>
      <c r="T587" s="60" t="str">
        <f t="shared" si="20"/>
        <v/>
      </c>
      <c r="U587" s="38"/>
      <c r="V587" s="38"/>
      <c r="W587" s="38" t="str">
        <f>IF(B587="","",COUNTIFS(Ejecucion[No. Solicitud],Registro!B587,Ejecucion[Estado],"Finalizado"))</f>
        <v/>
      </c>
      <c r="X587" s="38" t="str">
        <f>IF(B587="","",COUNTIFS(Ejecucion[No. Solicitud],Registro!B587,Ejecucion[Estado],"No Iniciado"))</f>
        <v/>
      </c>
      <c r="Y587" s="64" t="str">
        <f>IF(B587="","",COUNTIFS(Ejecucion[No. Solicitud],Registro!B587,Ejecucion[Estado],"En Proceso"))</f>
        <v/>
      </c>
      <c r="Z587" s="64" t="str">
        <f t="shared" si="19"/>
        <v/>
      </c>
      <c r="AA587" s="64"/>
      <c r="AB587" s="64"/>
      <c r="AC587" s="64"/>
      <c r="AD587" s="102"/>
    </row>
    <row r="588" spans="2:30" s="15" customFormat="1">
      <c r="B588" s="36"/>
      <c r="C588" s="102"/>
      <c r="D588" s="36"/>
      <c r="E588" s="22"/>
      <c r="F588" s="83"/>
      <c r="G588" s="83"/>
      <c r="H588" s="25"/>
      <c r="I588" s="25"/>
      <c r="J588" s="25"/>
      <c r="K588" s="25"/>
      <c r="L588" s="36"/>
      <c r="M588" s="36"/>
      <c r="N588" s="36"/>
      <c r="O588" s="102"/>
      <c r="P588" s="36"/>
      <c r="Q588" s="36"/>
      <c r="R588" s="37"/>
      <c r="S588" s="37"/>
      <c r="T588" s="60" t="str">
        <f t="shared" si="20"/>
        <v/>
      </c>
      <c r="U588" s="38"/>
      <c r="V588" s="38"/>
      <c r="W588" s="38" t="str">
        <f>IF(B588="","",COUNTIFS(Ejecucion[No. Solicitud],Registro!B588,Ejecucion[Estado],"Finalizado"))</f>
        <v/>
      </c>
      <c r="X588" s="38" t="str">
        <f>IF(B588="","",COUNTIFS(Ejecucion[No. Solicitud],Registro!B588,Ejecucion[Estado],"No Iniciado"))</f>
        <v/>
      </c>
      <c r="Y588" s="64" t="str">
        <f>IF(B588="","",COUNTIFS(Ejecucion[No. Solicitud],Registro!B588,Ejecucion[Estado],"En Proceso"))</f>
        <v/>
      </c>
      <c r="Z588" s="64" t="str">
        <f t="shared" si="19"/>
        <v/>
      </c>
      <c r="AA588" s="64"/>
      <c r="AB588" s="64"/>
      <c r="AC588" s="64"/>
      <c r="AD588" s="102"/>
    </row>
    <row r="589" spans="2:30" s="15" customFormat="1">
      <c r="B589" s="36"/>
      <c r="C589" s="102"/>
      <c r="D589" s="36"/>
      <c r="E589" s="22"/>
      <c r="F589" s="83"/>
      <c r="G589" s="83"/>
      <c r="H589" s="25"/>
      <c r="I589" s="25"/>
      <c r="J589" s="25"/>
      <c r="K589" s="25"/>
      <c r="L589" s="36"/>
      <c r="M589" s="36"/>
      <c r="N589" s="36"/>
      <c r="O589" s="102"/>
      <c r="P589" s="36"/>
      <c r="Q589" s="36"/>
      <c r="R589" s="37"/>
      <c r="S589" s="37"/>
      <c r="T589" s="60" t="str">
        <f t="shared" si="20"/>
        <v/>
      </c>
      <c r="U589" s="38"/>
      <c r="V589" s="38"/>
      <c r="W589" s="38" t="str">
        <f>IF(B589="","",COUNTIFS(Ejecucion[No. Solicitud],Registro!B589,Ejecucion[Estado],"Finalizado"))</f>
        <v/>
      </c>
      <c r="X589" s="38" t="str">
        <f>IF(B589="","",COUNTIFS(Ejecucion[No. Solicitud],Registro!B589,Ejecucion[Estado],"No Iniciado"))</f>
        <v/>
      </c>
      <c r="Y589" s="64" t="str">
        <f>IF(B589="","",COUNTIFS(Ejecucion[No. Solicitud],Registro!B589,Ejecucion[Estado],"En Proceso"))</f>
        <v/>
      </c>
      <c r="Z589" s="64" t="str">
        <f t="shared" si="19"/>
        <v/>
      </c>
      <c r="AA589" s="64"/>
      <c r="AB589" s="64"/>
      <c r="AC589" s="64"/>
      <c r="AD589" s="102"/>
    </row>
    <row r="590" spans="2:30" s="15" customFormat="1">
      <c r="B590" s="36"/>
      <c r="C590" s="102"/>
      <c r="D590" s="36"/>
      <c r="E590" s="22"/>
      <c r="F590" s="83"/>
      <c r="G590" s="83"/>
      <c r="H590" s="25"/>
      <c r="I590" s="25"/>
      <c r="J590" s="25"/>
      <c r="K590" s="25"/>
      <c r="L590" s="36"/>
      <c r="M590" s="36"/>
      <c r="N590" s="36"/>
      <c r="O590" s="102"/>
      <c r="P590" s="36"/>
      <c r="Q590" s="36"/>
      <c r="R590" s="37"/>
      <c r="S590" s="37"/>
      <c r="T590" s="60" t="str">
        <f t="shared" si="20"/>
        <v/>
      </c>
      <c r="U590" s="38"/>
      <c r="V590" s="38"/>
      <c r="W590" s="38" t="str">
        <f>IF(B590="","",COUNTIFS(Ejecucion[No. Solicitud],Registro!B590,Ejecucion[Estado],"Finalizado"))</f>
        <v/>
      </c>
      <c r="X590" s="38" t="str">
        <f>IF(B590="","",COUNTIFS(Ejecucion[No. Solicitud],Registro!B590,Ejecucion[Estado],"No Iniciado"))</f>
        <v/>
      </c>
      <c r="Y590" s="64" t="str">
        <f>IF(B590="","",COUNTIFS(Ejecucion[No. Solicitud],Registro!B590,Ejecucion[Estado],"En Proceso"))</f>
        <v/>
      </c>
      <c r="Z590" s="64" t="str">
        <f t="shared" si="19"/>
        <v/>
      </c>
      <c r="AA590" s="64"/>
      <c r="AB590" s="64"/>
      <c r="AC590" s="64"/>
      <c r="AD590" s="102"/>
    </row>
    <row r="591" spans="2:30" s="15" customFormat="1">
      <c r="B591" s="36"/>
      <c r="C591" s="102"/>
      <c r="D591" s="36"/>
      <c r="E591" s="22"/>
      <c r="F591" s="83"/>
      <c r="G591" s="83"/>
      <c r="H591" s="25"/>
      <c r="I591" s="25"/>
      <c r="J591" s="25"/>
      <c r="K591" s="25"/>
      <c r="L591" s="36"/>
      <c r="M591" s="36"/>
      <c r="N591" s="36"/>
      <c r="O591" s="102"/>
      <c r="P591" s="36"/>
      <c r="Q591" s="36"/>
      <c r="R591" s="37"/>
      <c r="S591" s="37"/>
      <c r="T591" s="60" t="str">
        <f t="shared" si="20"/>
        <v/>
      </c>
      <c r="U591" s="38"/>
      <c r="V591" s="38"/>
      <c r="W591" s="38" t="str">
        <f>IF(B591="","",COUNTIFS(Ejecucion[No. Solicitud],Registro!B591,Ejecucion[Estado],"Finalizado"))</f>
        <v/>
      </c>
      <c r="X591" s="38" t="str">
        <f>IF(B591="","",COUNTIFS(Ejecucion[No. Solicitud],Registro!B591,Ejecucion[Estado],"No Iniciado"))</f>
        <v/>
      </c>
      <c r="Y591" s="64" t="str">
        <f>IF(B591="","",COUNTIFS(Ejecucion[No. Solicitud],Registro!B591,Ejecucion[Estado],"En Proceso"))</f>
        <v/>
      </c>
      <c r="Z591" s="64" t="str">
        <f t="shared" si="19"/>
        <v/>
      </c>
      <c r="AA591" s="64"/>
      <c r="AB591" s="64"/>
      <c r="AC591" s="64"/>
      <c r="AD591" s="102"/>
    </row>
    <row r="592" spans="2:30" s="15" customFormat="1">
      <c r="B592" s="36"/>
      <c r="C592" s="102"/>
      <c r="D592" s="36"/>
      <c r="E592" s="22"/>
      <c r="F592" s="83"/>
      <c r="G592" s="83"/>
      <c r="H592" s="25"/>
      <c r="I592" s="25"/>
      <c r="J592" s="25"/>
      <c r="K592" s="25"/>
      <c r="L592" s="36"/>
      <c r="M592" s="36"/>
      <c r="N592" s="36"/>
      <c r="O592" s="102"/>
      <c r="P592" s="36"/>
      <c r="Q592" s="36"/>
      <c r="R592" s="37"/>
      <c r="S592" s="37"/>
      <c r="T592" s="60" t="str">
        <f t="shared" si="20"/>
        <v/>
      </c>
      <c r="U592" s="38"/>
      <c r="V592" s="38"/>
      <c r="W592" s="38" t="str">
        <f>IF(B592="","",COUNTIFS(Ejecucion[No. Solicitud],Registro!B592,Ejecucion[Estado],"Finalizado"))</f>
        <v/>
      </c>
      <c r="X592" s="38" t="str">
        <f>IF(B592="","",COUNTIFS(Ejecucion[No. Solicitud],Registro!B592,Ejecucion[Estado],"No Iniciado"))</f>
        <v/>
      </c>
      <c r="Y592" s="64" t="str">
        <f>IF(B592="","",COUNTIFS(Ejecucion[No. Solicitud],Registro!B592,Ejecucion[Estado],"En Proceso"))</f>
        <v/>
      </c>
      <c r="Z592" s="64" t="str">
        <f t="shared" si="19"/>
        <v/>
      </c>
      <c r="AA592" s="64"/>
      <c r="AB592" s="64"/>
      <c r="AC592" s="64"/>
      <c r="AD592" s="102"/>
    </row>
    <row r="593" spans="2:30" s="15" customFormat="1">
      <c r="B593" s="36"/>
      <c r="C593" s="102"/>
      <c r="D593" s="36"/>
      <c r="E593" s="22"/>
      <c r="F593" s="83"/>
      <c r="G593" s="83"/>
      <c r="H593" s="25"/>
      <c r="I593" s="25"/>
      <c r="J593" s="25"/>
      <c r="K593" s="25"/>
      <c r="L593" s="36"/>
      <c r="M593" s="36"/>
      <c r="N593" s="36"/>
      <c r="O593" s="102"/>
      <c r="P593" s="36"/>
      <c r="Q593" s="36"/>
      <c r="R593" s="37"/>
      <c r="S593" s="37"/>
      <c r="T593" s="60" t="str">
        <f t="shared" si="20"/>
        <v/>
      </c>
      <c r="U593" s="38"/>
      <c r="V593" s="38"/>
      <c r="W593" s="38" t="str">
        <f>IF(B593="","",COUNTIFS(Ejecucion[No. Solicitud],Registro!B593,Ejecucion[Estado],"Finalizado"))</f>
        <v/>
      </c>
      <c r="X593" s="38" t="str">
        <f>IF(B593="","",COUNTIFS(Ejecucion[No. Solicitud],Registro!B593,Ejecucion[Estado],"No Iniciado"))</f>
        <v/>
      </c>
      <c r="Y593" s="64" t="str">
        <f>IF(B593="","",COUNTIFS(Ejecucion[No. Solicitud],Registro!B593,Ejecucion[Estado],"En Proceso"))</f>
        <v/>
      </c>
      <c r="Z593" s="64" t="str">
        <f t="shared" si="19"/>
        <v/>
      </c>
      <c r="AA593" s="64"/>
      <c r="AB593" s="64"/>
      <c r="AC593" s="64"/>
      <c r="AD593" s="102"/>
    </row>
    <row r="594" spans="2:30" s="15" customFormat="1">
      <c r="B594" s="36"/>
      <c r="C594" s="102"/>
      <c r="D594" s="36"/>
      <c r="E594" s="22"/>
      <c r="F594" s="83"/>
      <c r="G594" s="83"/>
      <c r="H594" s="25"/>
      <c r="I594" s="25"/>
      <c r="J594" s="25"/>
      <c r="K594" s="25"/>
      <c r="L594" s="36"/>
      <c r="M594" s="36"/>
      <c r="N594" s="36"/>
      <c r="O594" s="102"/>
      <c r="P594" s="36"/>
      <c r="Q594" s="36"/>
      <c r="R594" s="37"/>
      <c r="S594" s="37"/>
      <c r="T594" s="60" t="str">
        <f t="shared" si="20"/>
        <v/>
      </c>
      <c r="U594" s="38"/>
      <c r="V594" s="38"/>
      <c r="W594" s="38" t="str">
        <f>IF(B594="","",COUNTIFS(Ejecucion[No. Solicitud],Registro!B594,Ejecucion[Estado],"Finalizado"))</f>
        <v/>
      </c>
      <c r="X594" s="38" t="str">
        <f>IF(B594="","",COUNTIFS(Ejecucion[No. Solicitud],Registro!B594,Ejecucion[Estado],"No Iniciado"))</f>
        <v/>
      </c>
      <c r="Y594" s="64" t="str">
        <f>IF(B594="","",COUNTIFS(Ejecucion[No. Solicitud],Registro!B594,Ejecucion[Estado],"En Proceso"))</f>
        <v/>
      </c>
      <c r="Z594" s="64" t="str">
        <f t="shared" si="19"/>
        <v/>
      </c>
      <c r="AA594" s="64"/>
      <c r="AB594" s="64"/>
      <c r="AC594" s="64"/>
      <c r="AD594" s="102"/>
    </row>
    <row r="595" spans="2:30" s="15" customFormat="1">
      <c r="B595" s="36"/>
      <c r="C595" s="102"/>
      <c r="D595" s="36"/>
      <c r="E595" s="22"/>
      <c r="F595" s="83"/>
      <c r="G595" s="83"/>
      <c r="H595" s="25"/>
      <c r="I595" s="25"/>
      <c r="J595" s="25"/>
      <c r="K595" s="25"/>
      <c r="L595" s="36"/>
      <c r="M595" s="36"/>
      <c r="N595" s="36"/>
      <c r="O595" s="102"/>
      <c r="P595" s="36"/>
      <c r="Q595" s="36"/>
      <c r="R595" s="37"/>
      <c r="S595" s="37"/>
      <c r="T595" s="60" t="str">
        <f t="shared" si="20"/>
        <v/>
      </c>
      <c r="U595" s="38"/>
      <c r="V595" s="38"/>
      <c r="W595" s="38" t="str">
        <f>IF(B595="","",COUNTIFS(Ejecucion[No. Solicitud],Registro!B595,Ejecucion[Estado],"Finalizado"))</f>
        <v/>
      </c>
      <c r="X595" s="38" t="str">
        <f>IF(B595="","",COUNTIFS(Ejecucion[No. Solicitud],Registro!B595,Ejecucion[Estado],"No Iniciado"))</f>
        <v/>
      </c>
      <c r="Y595" s="64" t="str">
        <f>IF(B595="","",COUNTIFS(Ejecucion[No. Solicitud],Registro!B595,Ejecucion[Estado],"En Proceso"))</f>
        <v/>
      </c>
      <c r="Z595" s="64" t="str">
        <f t="shared" si="19"/>
        <v/>
      </c>
      <c r="AA595" s="64"/>
      <c r="AB595" s="64"/>
      <c r="AC595" s="64"/>
      <c r="AD595" s="102"/>
    </row>
    <row r="596" spans="2:30" s="15" customFormat="1">
      <c r="B596" s="36"/>
      <c r="C596" s="102"/>
      <c r="D596" s="36"/>
      <c r="E596" s="22"/>
      <c r="F596" s="83"/>
      <c r="G596" s="83"/>
      <c r="H596" s="25"/>
      <c r="I596" s="25"/>
      <c r="J596" s="25"/>
      <c r="K596" s="25"/>
      <c r="L596" s="36"/>
      <c r="M596" s="36"/>
      <c r="N596" s="36"/>
      <c r="O596" s="102"/>
      <c r="P596" s="36"/>
      <c r="Q596" s="36"/>
      <c r="R596" s="37"/>
      <c r="S596" s="37"/>
      <c r="T596" s="60" t="str">
        <f t="shared" si="20"/>
        <v/>
      </c>
      <c r="U596" s="38"/>
      <c r="V596" s="38"/>
      <c r="W596" s="38" t="str">
        <f>IF(B596="","",COUNTIFS(Ejecucion[No. Solicitud],Registro!B596,Ejecucion[Estado],"Finalizado"))</f>
        <v/>
      </c>
      <c r="X596" s="38" t="str">
        <f>IF(B596="","",COUNTIFS(Ejecucion[No. Solicitud],Registro!B596,Ejecucion[Estado],"No Iniciado"))</f>
        <v/>
      </c>
      <c r="Y596" s="64" t="str">
        <f>IF(B596="","",COUNTIFS(Ejecucion[No. Solicitud],Registro!B596,Ejecucion[Estado],"En Proceso"))</f>
        <v/>
      </c>
      <c r="Z596" s="64" t="str">
        <f t="shared" si="19"/>
        <v/>
      </c>
      <c r="AA596" s="64"/>
      <c r="AB596" s="64"/>
      <c r="AC596" s="64"/>
      <c r="AD596" s="102"/>
    </row>
    <row r="597" spans="2:30" s="15" customFormat="1">
      <c r="B597" s="36"/>
      <c r="C597" s="102"/>
      <c r="D597" s="36"/>
      <c r="E597" s="22"/>
      <c r="F597" s="83"/>
      <c r="G597" s="83"/>
      <c r="H597" s="25"/>
      <c r="I597" s="25"/>
      <c r="J597" s="25"/>
      <c r="K597" s="25"/>
      <c r="L597" s="36"/>
      <c r="M597" s="36"/>
      <c r="N597" s="36"/>
      <c r="O597" s="102"/>
      <c r="P597" s="36"/>
      <c r="Q597" s="36"/>
      <c r="R597" s="37"/>
      <c r="S597" s="37"/>
      <c r="T597" s="60" t="str">
        <f t="shared" si="20"/>
        <v/>
      </c>
      <c r="U597" s="38"/>
      <c r="V597" s="38"/>
      <c r="W597" s="38" t="str">
        <f>IF(B597="","",COUNTIFS(Ejecucion[No. Solicitud],Registro!B597,Ejecucion[Estado],"Finalizado"))</f>
        <v/>
      </c>
      <c r="X597" s="38" t="str">
        <f>IF(B597="","",COUNTIFS(Ejecucion[No. Solicitud],Registro!B597,Ejecucion[Estado],"No Iniciado"))</f>
        <v/>
      </c>
      <c r="Y597" s="64" t="str">
        <f>IF(B597="","",COUNTIFS(Ejecucion[No. Solicitud],Registro!B597,Ejecucion[Estado],"En Proceso"))</f>
        <v/>
      </c>
      <c r="Z597" s="64" t="str">
        <f t="shared" si="19"/>
        <v/>
      </c>
      <c r="AA597" s="64"/>
      <c r="AB597" s="64"/>
      <c r="AC597" s="64"/>
      <c r="AD597" s="102"/>
    </row>
    <row r="598" spans="2:30" s="15" customFormat="1">
      <c r="B598" s="36"/>
      <c r="C598" s="102"/>
      <c r="D598" s="36"/>
      <c r="E598" s="22"/>
      <c r="F598" s="83"/>
      <c r="G598" s="83"/>
      <c r="H598" s="25"/>
      <c r="I598" s="25"/>
      <c r="J598" s="25"/>
      <c r="K598" s="25"/>
      <c r="L598" s="36"/>
      <c r="M598" s="36"/>
      <c r="N598" s="36"/>
      <c r="O598" s="102"/>
      <c r="P598" s="36"/>
      <c r="Q598" s="36"/>
      <c r="R598" s="37"/>
      <c r="S598" s="37"/>
      <c r="T598" s="60" t="str">
        <f t="shared" si="20"/>
        <v/>
      </c>
      <c r="U598" s="38"/>
      <c r="V598" s="38"/>
      <c r="W598" s="38" t="str">
        <f>IF(B598="","",COUNTIFS(Ejecucion[No. Solicitud],Registro!B598,Ejecucion[Estado],"Finalizado"))</f>
        <v/>
      </c>
      <c r="X598" s="38" t="str">
        <f>IF(B598="","",COUNTIFS(Ejecucion[No. Solicitud],Registro!B598,Ejecucion[Estado],"No Iniciado"))</f>
        <v/>
      </c>
      <c r="Y598" s="64" t="str">
        <f>IF(B598="","",COUNTIFS(Ejecucion[No. Solicitud],Registro!B598,Ejecucion[Estado],"En Proceso"))</f>
        <v/>
      </c>
      <c r="Z598" s="64" t="str">
        <f t="shared" si="19"/>
        <v/>
      </c>
      <c r="AA598" s="64"/>
      <c r="AB598" s="64"/>
      <c r="AC598" s="64"/>
      <c r="AD598" s="102"/>
    </row>
    <row r="599" spans="2:30" s="15" customFormat="1">
      <c r="B599" s="36"/>
      <c r="C599" s="102"/>
      <c r="D599" s="36"/>
      <c r="E599" s="22"/>
      <c r="F599" s="83"/>
      <c r="G599" s="83"/>
      <c r="H599" s="25"/>
      <c r="I599" s="25"/>
      <c r="J599" s="25"/>
      <c r="K599" s="25"/>
      <c r="L599" s="36"/>
      <c r="M599" s="36"/>
      <c r="N599" s="36"/>
      <c r="O599" s="102"/>
      <c r="P599" s="36"/>
      <c r="Q599" s="36"/>
      <c r="R599" s="37"/>
      <c r="S599" s="37"/>
      <c r="T599" s="60" t="str">
        <f t="shared" si="20"/>
        <v/>
      </c>
      <c r="U599" s="38"/>
      <c r="V599" s="38"/>
      <c r="W599" s="38" t="str">
        <f>IF(B599="","",COUNTIFS(Ejecucion[No. Solicitud],Registro!B599,Ejecucion[Estado],"Finalizado"))</f>
        <v/>
      </c>
      <c r="X599" s="38" t="str">
        <f>IF(B599="","",COUNTIFS(Ejecucion[No. Solicitud],Registro!B599,Ejecucion[Estado],"No Iniciado"))</f>
        <v/>
      </c>
      <c r="Y599" s="64" t="str">
        <f>IF(B599="","",COUNTIFS(Ejecucion[No. Solicitud],Registro!B599,Ejecucion[Estado],"En Proceso"))</f>
        <v/>
      </c>
      <c r="Z599" s="64" t="str">
        <f t="shared" si="19"/>
        <v/>
      </c>
      <c r="AA599" s="64"/>
      <c r="AB599" s="64"/>
      <c r="AC599" s="64"/>
      <c r="AD599" s="102"/>
    </row>
    <row r="600" spans="2:30" s="15" customFormat="1">
      <c r="B600" s="36"/>
      <c r="C600" s="102"/>
      <c r="D600" s="36"/>
      <c r="E600" s="22"/>
      <c r="F600" s="83"/>
      <c r="G600" s="83"/>
      <c r="H600" s="25"/>
      <c r="I600" s="25"/>
      <c r="J600" s="25"/>
      <c r="K600" s="25"/>
      <c r="L600" s="36"/>
      <c r="M600" s="36"/>
      <c r="N600" s="36"/>
      <c r="O600" s="102"/>
      <c r="P600" s="36"/>
      <c r="Q600" s="36"/>
      <c r="R600" s="37"/>
      <c r="S600" s="37"/>
      <c r="T600" s="60" t="str">
        <f t="shared" si="20"/>
        <v/>
      </c>
      <c r="U600" s="38"/>
      <c r="V600" s="38"/>
      <c r="W600" s="38" t="str">
        <f>IF(B600="","",COUNTIFS(Ejecucion[No. Solicitud],Registro!B600,Ejecucion[Estado],"Finalizado"))</f>
        <v/>
      </c>
      <c r="X600" s="38" t="str">
        <f>IF(B600="","",COUNTIFS(Ejecucion[No. Solicitud],Registro!B600,Ejecucion[Estado],"No Iniciado"))</f>
        <v/>
      </c>
      <c r="Y600" s="64" t="str">
        <f>IF(B600="","",COUNTIFS(Ejecucion[No. Solicitud],Registro!B600,Ejecucion[Estado],"En Proceso"))</f>
        <v/>
      </c>
      <c r="Z600" s="64" t="str">
        <f t="shared" si="19"/>
        <v/>
      </c>
      <c r="AA600" s="64"/>
      <c r="AB600" s="64"/>
      <c r="AC600" s="64"/>
      <c r="AD600" s="102"/>
    </row>
    <row r="601" spans="2:30" s="15" customFormat="1">
      <c r="B601" s="36"/>
      <c r="C601" s="102"/>
      <c r="D601" s="36"/>
      <c r="E601" s="22"/>
      <c r="F601" s="83"/>
      <c r="G601" s="83"/>
      <c r="H601" s="25"/>
      <c r="I601" s="25"/>
      <c r="J601" s="25"/>
      <c r="K601" s="25"/>
      <c r="L601" s="36"/>
      <c r="M601" s="36"/>
      <c r="N601" s="36"/>
      <c r="O601" s="102"/>
      <c r="P601" s="36"/>
      <c r="Q601" s="36"/>
      <c r="R601" s="37"/>
      <c r="S601" s="37"/>
      <c r="T601" s="60" t="str">
        <f t="shared" si="20"/>
        <v/>
      </c>
      <c r="U601" s="38"/>
      <c r="V601" s="38"/>
      <c r="W601" s="38" t="str">
        <f>IF(B601="","",COUNTIFS(Ejecucion[No. Solicitud],Registro!B601,Ejecucion[Estado],"Finalizado"))</f>
        <v/>
      </c>
      <c r="X601" s="38" t="str">
        <f>IF(B601="","",COUNTIFS(Ejecucion[No. Solicitud],Registro!B601,Ejecucion[Estado],"No Iniciado"))</f>
        <v/>
      </c>
      <c r="Y601" s="64" t="str">
        <f>IF(B601="","",COUNTIFS(Ejecucion[No. Solicitud],Registro!B601,Ejecucion[Estado],"En Proceso"))</f>
        <v/>
      </c>
      <c r="Z601" s="64" t="str">
        <f t="shared" si="19"/>
        <v/>
      </c>
      <c r="AA601" s="64"/>
      <c r="AB601" s="64"/>
      <c r="AC601" s="64"/>
      <c r="AD601" s="102"/>
    </row>
    <row r="602" spans="2:30" s="15" customFormat="1">
      <c r="B602" s="36"/>
      <c r="C602" s="102"/>
      <c r="D602" s="36"/>
      <c r="E602" s="22"/>
      <c r="F602" s="83"/>
      <c r="G602" s="83"/>
      <c r="H602" s="25"/>
      <c r="I602" s="25"/>
      <c r="J602" s="25"/>
      <c r="K602" s="25"/>
      <c r="L602" s="36"/>
      <c r="M602" s="36"/>
      <c r="N602" s="36"/>
      <c r="O602" s="102"/>
      <c r="P602" s="36"/>
      <c r="Q602" s="36"/>
      <c r="R602" s="37"/>
      <c r="S602" s="37"/>
      <c r="T602" s="60" t="str">
        <f t="shared" si="20"/>
        <v/>
      </c>
      <c r="U602" s="38"/>
      <c r="V602" s="38"/>
      <c r="W602" s="38" t="str">
        <f>IF(B602="","",COUNTIFS(Ejecucion[No. Solicitud],Registro!B602,Ejecucion[Estado],"Finalizado"))</f>
        <v/>
      </c>
      <c r="X602" s="38" t="str">
        <f>IF(B602="","",COUNTIFS(Ejecucion[No. Solicitud],Registro!B602,Ejecucion[Estado],"No Iniciado"))</f>
        <v/>
      </c>
      <c r="Y602" s="64" t="str">
        <f>IF(B602="","",COUNTIFS(Ejecucion[No. Solicitud],Registro!B602,Ejecucion[Estado],"En Proceso"))</f>
        <v/>
      </c>
      <c r="Z602" s="64" t="str">
        <f t="shared" ref="Z602:Z665" si="21">IF(U602="","",IF(F602="Virtual Asincrónico",1,V602*U602))</f>
        <v/>
      </c>
      <c r="AA602" s="64"/>
      <c r="AB602" s="64"/>
      <c r="AC602" s="64"/>
      <c r="AD602" s="102"/>
    </row>
    <row r="603" spans="2:30" s="15" customFormat="1">
      <c r="B603" s="36"/>
      <c r="C603" s="102"/>
      <c r="D603" s="36"/>
      <c r="E603" s="22"/>
      <c r="F603" s="83"/>
      <c r="G603" s="83"/>
      <c r="H603" s="25"/>
      <c r="I603" s="25"/>
      <c r="J603" s="25"/>
      <c r="K603" s="25"/>
      <c r="L603" s="36"/>
      <c r="M603" s="36"/>
      <c r="N603" s="36"/>
      <c r="O603" s="102"/>
      <c r="P603" s="36"/>
      <c r="Q603" s="36"/>
      <c r="R603" s="37"/>
      <c r="S603" s="37"/>
      <c r="T603" s="60" t="str">
        <f t="shared" si="20"/>
        <v/>
      </c>
      <c r="U603" s="38"/>
      <c r="V603" s="38"/>
      <c r="W603" s="38" t="str">
        <f>IF(B603="","",COUNTIFS(Ejecucion[No. Solicitud],Registro!B603,Ejecucion[Estado],"Finalizado"))</f>
        <v/>
      </c>
      <c r="X603" s="38" t="str">
        <f>IF(B603="","",COUNTIFS(Ejecucion[No. Solicitud],Registro!B603,Ejecucion[Estado],"No Iniciado"))</f>
        <v/>
      </c>
      <c r="Y603" s="64" t="str">
        <f>IF(B603="","",COUNTIFS(Ejecucion[No. Solicitud],Registro!B603,Ejecucion[Estado],"En Proceso"))</f>
        <v/>
      </c>
      <c r="Z603" s="64" t="str">
        <f t="shared" si="21"/>
        <v/>
      </c>
      <c r="AA603" s="64"/>
      <c r="AB603" s="64"/>
      <c r="AC603" s="64"/>
      <c r="AD603" s="102"/>
    </row>
    <row r="604" spans="2:30" s="15" customFormat="1">
      <c r="B604" s="36"/>
      <c r="C604" s="102"/>
      <c r="D604" s="36"/>
      <c r="E604" s="22"/>
      <c r="F604" s="83"/>
      <c r="G604" s="83"/>
      <c r="H604" s="25"/>
      <c r="I604" s="25"/>
      <c r="J604" s="25"/>
      <c r="K604" s="25"/>
      <c r="L604" s="36"/>
      <c r="M604" s="36"/>
      <c r="N604" s="36"/>
      <c r="O604" s="102"/>
      <c r="P604" s="36"/>
      <c r="Q604" s="36"/>
      <c r="R604" s="37"/>
      <c r="S604" s="37"/>
      <c r="T604" s="60" t="str">
        <f t="shared" si="20"/>
        <v/>
      </c>
      <c r="U604" s="38"/>
      <c r="V604" s="38"/>
      <c r="W604" s="38" t="str">
        <f>IF(B604="","",COUNTIFS(Ejecucion[No. Solicitud],Registro!B604,Ejecucion[Estado],"Finalizado"))</f>
        <v/>
      </c>
      <c r="X604" s="38" t="str">
        <f>IF(B604="","",COUNTIFS(Ejecucion[No. Solicitud],Registro!B604,Ejecucion[Estado],"No Iniciado"))</f>
        <v/>
      </c>
      <c r="Y604" s="64" t="str">
        <f>IF(B604="","",COUNTIFS(Ejecucion[No. Solicitud],Registro!B604,Ejecucion[Estado],"En Proceso"))</f>
        <v/>
      </c>
      <c r="Z604" s="64" t="str">
        <f t="shared" si="21"/>
        <v/>
      </c>
      <c r="AA604" s="64"/>
      <c r="AB604" s="64"/>
      <c r="AC604" s="64"/>
      <c r="AD604" s="102"/>
    </row>
    <row r="605" spans="2:30" s="15" customFormat="1">
      <c r="B605" s="36"/>
      <c r="C605" s="102"/>
      <c r="D605" s="36"/>
      <c r="E605" s="22"/>
      <c r="F605" s="83"/>
      <c r="G605" s="83"/>
      <c r="H605" s="25"/>
      <c r="I605" s="25"/>
      <c r="J605" s="25"/>
      <c r="K605" s="25"/>
      <c r="L605" s="36"/>
      <c r="M605" s="36"/>
      <c r="N605" s="36"/>
      <c r="O605" s="102"/>
      <c r="P605" s="36"/>
      <c r="Q605" s="36"/>
      <c r="R605" s="37"/>
      <c r="S605" s="37"/>
      <c r="T605" s="60" t="str">
        <f t="shared" si="20"/>
        <v/>
      </c>
      <c r="U605" s="38"/>
      <c r="V605" s="38"/>
      <c r="W605" s="38" t="str">
        <f>IF(B605="","",COUNTIFS(Ejecucion[No. Solicitud],Registro!B605,Ejecucion[Estado],"Finalizado"))</f>
        <v/>
      </c>
      <c r="X605" s="38" t="str">
        <f>IF(B605="","",COUNTIFS(Ejecucion[No. Solicitud],Registro!B605,Ejecucion[Estado],"No Iniciado"))</f>
        <v/>
      </c>
      <c r="Y605" s="64" t="str">
        <f>IF(B605="","",COUNTIFS(Ejecucion[No. Solicitud],Registro!B605,Ejecucion[Estado],"En Proceso"))</f>
        <v/>
      </c>
      <c r="Z605" s="64" t="str">
        <f t="shared" si="21"/>
        <v/>
      </c>
      <c r="AA605" s="64"/>
      <c r="AB605" s="64"/>
      <c r="AC605" s="64"/>
      <c r="AD605" s="102"/>
    </row>
    <row r="606" spans="2:30" s="15" customFormat="1">
      <c r="B606" s="36"/>
      <c r="C606" s="102"/>
      <c r="D606" s="36"/>
      <c r="E606" s="22"/>
      <c r="F606" s="83"/>
      <c r="G606" s="83"/>
      <c r="H606" s="25"/>
      <c r="I606" s="25"/>
      <c r="J606" s="25"/>
      <c r="K606" s="25"/>
      <c r="L606" s="36"/>
      <c r="M606" s="36"/>
      <c r="N606" s="36"/>
      <c r="O606" s="102"/>
      <c r="P606" s="36"/>
      <c r="Q606" s="36"/>
      <c r="R606" s="37"/>
      <c r="S606" s="37"/>
      <c r="T606" s="60" t="str">
        <f t="shared" si="20"/>
        <v/>
      </c>
      <c r="U606" s="38"/>
      <c r="V606" s="38"/>
      <c r="W606" s="38" t="str">
        <f>IF(B606="","",COUNTIFS(Ejecucion[No. Solicitud],Registro!B606,Ejecucion[Estado],"Finalizado"))</f>
        <v/>
      </c>
      <c r="X606" s="38" t="str">
        <f>IF(B606="","",COUNTIFS(Ejecucion[No. Solicitud],Registro!B606,Ejecucion[Estado],"No Iniciado"))</f>
        <v/>
      </c>
      <c r="Y606" s="64" t="str">
        <f>IF(B606="","",COUNTIFS(Ejecucion[No. Solicitud],Registro!B606,Ejecucion[Estado],"En Proceso"))</f>
        <v/>
      </c>
      <c r="Z606" s="64" t="str">
        <f t="shared" si="21"/>
        <v/>
      </c>
      <c r="AA606" s="64"/>
      <c r="AB606" s="64"/>
      <c r="AC606" s="64"/>
      <c r="AD606" s="102"/>
    </row>
    <row r="607" spans="2:30" s="15" customFormat="1">
      <c r="B607" s="36"/>
      <c r="C607" s="102"/>
      <c r="D607" s="36"/>
      <c r="E607" s="22"/>
      <c r="F607" s="83"/>
      <c r="G607" s="83"/>
      <c r="H607" s="25"/>
      <c r="I607" s="25"/>
      <c r="J607" s="25"/>
      <c r="K607" s="25"/>
      <c r="L607" s="36"/>
      <c r="M607" s="36"/>
      <c r="N607" s="36"/>
      <c r="O607" s="102"/>
      <c r="P607" s="36"/>
      <c r="Q607" s="36"/>
      <c r="R607" s="37"/>
      <c r="S607" s="37"/>
      <c r="T607" s="60" t="str">
        <f t="shared" si="20"/>
        <v/>
      </c>
      <c r="U607" s="38"/>
      <c r="V607" s="38"/>
      <c r="W607" s="38" t="str">
        <f>IF(B607="","",COUNTIFS(Ejecucion[No. Solicitud],Registro!B607,Ejecucion[Estado],"Finalizado"))</f>
        <v/>
      </c>
      <c r="X607" s="38" t="str">
        <f>IF(B607="","",COUNTIFS(Ejecucion[No. Solicitud],Registro!B607,Ejecucion[Estado],"No Iniciado"))</f>
        <v/>
      </c>
      <c r="Y607" s="64" t="str">
        <f>IF(B607="","",COUNTIFS(Ejecucion[No. Solicitud],Registro!B607,Ejecucion[Estado],"En Proceso"))</f>
        <v/>
      </c>
      <c r="Z607" s="64" t="str">
        <f t="shared" si="21"/>
        <v/>
      </c>
      <c r="AA607" s="64"/>
      <c r="AB607" s="64"/>
      <c r="AC607" s="64"/>
      <c r="AD607" s="102"/>
    </row>
    <row r="608" spans="2:30" s="15" customFormat="1">
      <c r="B608" s="36"/>
      <c r="C608" s="102"/>
      <c r="D608" s="36"/>
      <c r="E608" s="22"/>
      <c r="F608" s="83"/>
      <c r="G608" s="83"/>
      <c r="H608" s="25"/>
      <c r="I608" s="25"/>
      <c r="J608" s="25"/>
      <c r="K608" s="25"/>
      <c r="L608" s="36"/>
      <c r="M608" s="36"/>
      <c r="N608" s="36"/>
      <c r="O608" s="102"/>
      <c r="P608" s="36"/>
      <c r="Q608" s="36"/>
      <c r="R608" s="37"/>
      <c r="S608" s="37"/>
      <c r="T608" s="60" t="str">
        <f t="shared" si="20"/>
        <v/>
      </c>
      <c r="U608" s="38"/>
      <c r="V608" s="38"/>
      <c r="W608" s="38" t="str">
        <f>IF(B608="","",COUNTIFS(Ejecucion[No. Solicitud],Registro!B608,Ejecucion[Estado],"Finalizado"))</f>
        <v/>
      </c>
      <c r="X608" s="38" t="str">
        <f>IF(B608="","",COUNTIFS(Ejecucion[No. Solicitud],Registro!B608,Ejecucion[Estado],"No Iniciado"))</f>
        <v/>
      </c>
      <c r="Y608" s="64" t="str">
        <f>IF(B608="","",COUNTIFS(Ejecucion[No. Solicitud],Registro!B608,Ejecucion[Estado],"En Proceso"))</f>
        <v/>
      </c>
      <c r="Z608" s="64" t="str">
        <f t="shared" si="21"/>
        <v/>
      </c>
      <c r="AA608" s="64"/>
      <c r="AB608" s="64"/>
      <c r="AC608" s="64"/>
      <c r="AD608" s="102"/>
    </row>
    <row r="609" spans="2:30" s="15" customFormat="1">
      <c r="B609" s="36"/>
      <c r="C609" s="102"/>
      <c r="D609" s="36"/>
      <c r="E609" s="22"/>
      <c r="F609" s="83"/>
      <c r="G609" s="83"/>
      <c r="H609" s="25"/>
      <c r="I609" s="25"/>
      <c r="J609" s="25"/>
      <c r="K609" s="25"/>
      <c r="L609" s="36"/>
      <c r="M609" s="36"/>
      <c r="N609" s="36"/>
      <c r="O609" s="102"/>
      <c r="P609" s="36"/>
      <c r="Q609" s="36"/>
      <c r="R609" s="37"/>
      <c r="S609" s="37"/>
      <c r="T609" s="60" t="str">
        <f t="shared" si="20"/>
        <v/>
      </c>
      <c r="U609" s="38"/>
      <c r="V609" s="38"/>
      <c r="W609" s="38" t="str">
        <f>IF(B609="","",COUNTIFS(Ejecucion[No. Solicitud],Registro!B609,Ejecucion[Estado],"Finalizado"))</f>
        <v/>
      </c>
      <c r="X609" s="38" t="str">
        <f>IF(B609="","",COUNTIFS(Ejecucion[No. Solicitud],Registro!B609,Ejecucion[Estado],"No Iniciado"))</f>
        <v/>
      </c>
      <c r="Y609" s="64" t="str">
        <f>IF(B609="","",COUNTIFS(Ejecucion[No. Solicitud],Registro!B609,Ejecucion[Estado],"En Proceso"))</f>
        <v/>
      </c>
      <c r="Z609" s="64" t="str">
        <f t="shared" si="21"/>
        <v/>
      </c>
      <c r="AA609" s="64"/>
      <c r="AB609" s="64"/>
      <c r="AC609" s="64"/>
      <c r="AD609" s="102"/>
    </row>
    <row r="610" spans="2:30" s="15" customFormat="1">
      <c r="B610" s="36"/>
      <c r="C610" s="102"/>
      <c r="D610" s="36"/>
      <c r="E610" s="22"/>
      <c r="F610" s="83"/>
      <c r="G610" s="83"/>
      <c r="H610" s="25"/>
      <c r="I610" s="25"/>
      <c r="J610" s="25"/>
      <c r="K610" s="25"/>
      <c r="L610" s="36"/>
      <c r="M610" s="36"/>
      <c r="N610" s="36"/>
      <c r="O610" s="102"/>
      <c r="P610" s="36"/>
      <c r="Q610" s="36"/>
      <c r="R610" s="37"/>
      <c r="S610" s="37"/>
      <c r="T610" s="60" t="str">
        <f t="shared" si="20"/>
        <v/>
      </c>
      <c r="U610" s="38"/>
      <c r="V610" s="38"/>
      <c r="W610" s="38" t="str">
        <f>IF(B610="","",COUNTIFS(Ejecucion[No. Solicitud],Registro!B610,Ejecucion[Estado],"Finalizado"))</f>
        <v/>
      </c>
      <c r="X610" s="38" t="str">
        <f>IF(B610="","",COUNTIFS(Ejecucion[No. Solicitud],Registro!B610,Ejecucion[Estado],"No Iniciado"))</f>
        <v/>
      </c>
      <c r="Y610" s="64" t="str">
        <f>IF(B610="","",COUNTIFS(Ejecucion[No. Solicitud],Registro!B610,Ejecucion[Estado],"En Proceso"))</f>
        <v/>
      </c>
      <c r="Z610" s="64" t="str">
        <f t="shared" si="21"/>
        <v/>
      </c>
      <c r="AA610" s="64"/>
      <c r="AB610" s="64"/>
      <c r="AC610" s="64"/>
      <c r="AD610" s="102"/>
    </row>
    <row r="611" spans="2:30" s="15" customFormat="1">
      <c r="B611" s="36"/>
      <c r="C611" s="102"/>
      <c r="D611" s="36"/>
      <c r="E611" s="22"/>
      <c r="F611" s="83"/>
      <c r="G611" s="83"/>
      <c r="H611" s="25"/>
      <c r="I611" s="25"/>
      <c r="J611" s="25"/>
      <c r="K611" s="25"/>
      <c r="L611" s="36"/>
      <c r="M611" s="36"/>
      <c r="N611" s="36"/>
      <c r="O611" s="102"/>
      <c r="P611" s="36"/>
      <c r="Q611" s="36"/>
      <c r="R611" s="37"/>
      <c r="S611" s="37"/>
      <c r="T611" s="60" t="str">
        <f t="shared" si="20"/>
        <v/>
      </c>
      <c r="U611" s="38"/>
      <c r="V611" s="38"/>
      <c r="W611" s="38" t="str">
        <f>IF(B611="","",COUNTIFS(Ejecucion[No. Solicitud],Registro!B611,Ejecucion[Estado],"Finalizado"))</f>
        <v/>
      </c>
      <c r="X611" s="38" t="str">
        <f>IF(B611="","",COUNTIFS(Ejecucion[No. Solicitud],Registro!B611,Ejecucion[Estado],"No Iniciado"))</f>
        <v/>
      </c>
      <c r="Y611" s="64" t="str">
        <f>IF(B611="","",COUNTIFS(Ejecucion[No. Solicitud],Registro!B611,Ejecucion[Estado],"En Proceso"))</f>
        <v/>
      </c>
      <c r="Z611" s="64" t="str">
        <f t="shared" si="21"/>
        <v/>
      </c>
      <c r="AA611" s="64"/>
      <c r="AB611" s="64"/>
      <c r="AC611" s="64"/>
      <c r="AD611" s="102"/>
    </row>
    <row r="612" spans="2:30" s="15" customFormat="1">
      <c r="B612" s="36"/>
      <c r="C612" s="102"/>
      <c r="D612" s="36"/>
      <c r="E612" s="22"/>
      <c r="F612" s="83"/>
      <c r="G612" s="83"/>
      <c r="H612" s="25"/>
      <c r="I612" s="25"/>
      <c r="J612" s="25"/>
      <c r="K612" s="25"/>
      <c r="L612" s="36"/>
      <c r="M612" s="36"/>
      <c r="N612" s="36"/>
      <c r="O612" s="102"/>
      <c r="P612" s="36"/>
      <c r="Q612" s="36"/>
      <c r="R612" s="37"/>
      <c r="S612" s="37"/>
      <c r="T612" s="60" t="str">
        <f t="shared" si="20"/>
        <v/>
      </c>
      <c r="U612" s="38"/>
      <c r="V612" s="38"/>
      <c r="W612" s="38" t="str">
        <f>IF(B612="","",COUNTIFS(Ejecucion[No. Solicitud],Registro!B612,Ejecucion[Estado],"Finalizado"))</f>
        <v/>
      </c>
      <c r="X612" s="38" t="str">
        <f>IF(B612="","",COUNTIFS(Ejecucion[No. Solicitud],Registro!B612,Ejecucion[Estado],"No Iniciado"))</f>
        <v/>
      </c>
      <c r="Y612" s="64" t="str">
        <f>IF(B612="","",COUNTIFS(Ejecucion[No. Solicitud],Registro!B612,Ejecucion[Estado],"En Proceso"))</f>
        <v/>
      </c>
      <c r="Z612" s="64" t="str">
        <f t="shared" si="21"/>
        <v/>
      </c>
      <c r="AA612" s="64"/>
      <c r="AB612" s="64"/>
      <c r="AC612" s="64"/>
      <c r="AD612" s="102"/>
    </row>
    <row r="613" spans="2:30" s="15" customFormat="1">
      <c r="B613" s="36"/>
      <c r="C613" s="102"/>
      <c r="D613" s="36"/>
      <c r="E613" s="22"/>
      <c r="F613" s="83"/>
      <c r="G613" s="83"/>
      <c r="H613" s="25"/>
      <c r="I613" s="25"/>
      <c r="J613" s="25"/>
      <c r="K613" s="25"/>
      <c r="L613" s="36"/>
      <c r="M613" s="36"/>
      <c r="N613" s="36"/>
      <c r="O613" s="102"/>
      <c r="P613" s="36"/>
      <c r="Q613" s="36"/>
      <c r="R613" s="37"/>
      <c r="S613" s="37"/>
      <c r="T613" s="60" t="str">
        <f t="shared" si="20"/>
        <v/>
      </c>
      <c r="U613" s="38"/>
      <c r="V613" s="38"/>
      <c r="W613" s="38" t="str">
        <f>IF(B613="","",COUNTIFS(Ejecucion[No. Solicitud],Registro!B613,Ejecucion[Estado],"Finalizado"))</f>
        <v/>
      </c>
      <c r="X613" s="38" t="str">
        <f>IF(B613="","",COUNTIFS(Ejecucion[No. Solicitud],Registro!B613,Ejecucion[Estado],"No Iniciado"))</f>
        <v/>
      </c>
      <c r="Y613" s="64" t="str">
        <f>IF(B613="","",COUNTIFS(Ejecucion[No. Solicitud],Registro!B613,Ejecucion[Estado],"En Proceso"))</f>
        <v/>
      </c>
      <c r="Z613" s="64" t="str">
        <f t="shared" si="21"/>
        <v/>
      </c>
      <c r="AA613" s="64"/>
      <c r="AB613" s="64"/>
      <c r="AC613" s="64"/>
      <c r="AD613" s="102"/>
    </row>
    <row r="614" spans="2:30" s="15" customFormat="1">
      <c r="B614" s="36"/>
      <c r="C614" s="102"/>
      <c r="D614" s="36"/>
      <c r="E614" s="22"/>
      <c r="F614" s="83"/>
      <c r="G614" s="83"/>
      <c r="H614" s="25"/>
      <c r="I614" s="25"/>
      <c r="J614" s="25"/>
      <c r="K614" s="25"/>
      <c r="L614" s="36"/>
      <c r="M614" s="36"/>
      <c r="N614" s="36"/>
      <c r="O614" s="102"/>
      <c r="P614" s="36"/>
      <c r="Q614" s="36"/>
      <c r="R614" s="37"/>
      <c r="S614" s="37"/>
      <c r="T614" s="60" t="str">
        <f t="shared" si="20"/>
        <v/>
      </c>
      <c r="U614" s="38"/>
      <c r="V614" s="38"/>
      <c r="W614" s="38" t="str">
        <f>IF(B614="","",COUNTIFS(Ejecucion[No. Solicitud],Registro!B614,Ejecucion[Estado],"Finalizado"))</f>
        <v/>
      </c>
      <c r="X614" s="38" t="str">
        <f>IF(B614="","",COUNTIFS(Ejecucion[No. Solicitud],Registro!B614,Ejecucion[Estado],"No Iniciado"))</f>
        <v/>
      </c>
      <c r="Y614" s="64" t="str">
        <f>IF(B614="","",COUNTIFS(Ejecucion[No. Solicitud],Registro!B614,Ejecucion[Estado],"En Proceso"))</f>
        <v/>
      </c>
      <c r="Z614" s="64" t="str">
        <f t="shared" si="21"/>
        <v/>
      </c>
      <c r="AA614" s="64"/>
      <c r="AB614" s="64"/>
      <c r="AC614" s="64"/>
      <c r="AD614" s="102"/>
    </row>
    <row r="615" spans="2:30" s="15" customFormat="1">
      <c r="B615" s="36"/>
      <c r="C615" s="102"/>
      <c r="D615" s="36"/>
      <c r="E615" s="22"/>
      <c r="F615" s="83"/>
      <c r="G615" s="83"/>
      <c r="H615" s="25"/>
      <c r="I615" s="25"/>
      <c r="J615" s="25"/>
      <c r="K615" s="25"/>
      <c r="L615" s="36"/>
      <c r="M615" s="36"/>
      <c r="N615" s="36"/>
      <c r="O615" s="102"/>
      <c r="P615" s="36"/>
      <c r="Q615" s="36"/>
      <c r="R615" s="37"/>
      <c r="S615" s="37"/>
      <c r="T615" s="60" t="str">
        <f t="shared" si="20"/>
        <v/>
      </c>
      <c r="U615" s="38"/>
      <c r="V615" s="38"/>
      <c r="W615" s="38" t="str">
        <f>IF(B615="","",COUNTIFS(Ejecucion[No. Solicitud],Registro!B615,Ejecucion[Estado],"Finalizado"))</f>
        <v/>
      </c>
      <c r="X615" s="38" t="str">
        <f>IF(B615="","",COUNTIFS(Ejecucion[No. Solicitud],Registro!B615,Ejecucion[Estado],"No Iniciado"))</f>
        <v/>
      </c>
      <c r="Y615" s="64" t="str">
        <f>IF(B615="","",COUNTIFS(Ejecucion[No. Solicitud],Registro!B615,Ejecucion[Estado],"En Proceso"))</f>
        <v/>
      </c>
      <c r="Z615" s="64" t="str">
        <f t="shared" si="21"/>
        <v/>
      </c>
      <c r="AA615" s="64"/>
      <c r="AB615" s="64"/>
      <c r="AC615" s="64"/>
      <c r="AD615" s="102"/>
    </row>
    <row r="616" spans="2:30" s="15" customFormat="1">
      <c r="B616" s="36"/>
      <c r="C616" s="102"/>
      <c r="D616" s="36"/>
      <c r="E616" s="22"/>
      <c r="F616" s="83"/>
      <c r="G616" s="83"/>
      <c r="H616" s="25"/>
      <c r="I616" s="25"/>
      <c r="J616" s="25"/>
      <c r="K616" s="25"/>
      <c r="L616" s="36"/>
      <c r="M616" s="36"/>
      <c r="N616" s="36"/>
      <c r="O616" s="102"/>
      <c r="P616" s="36"/>
      <c r="Q616" s="36"/>
      <c r="R616" s="37"/>
      <c r="S616" s="37"/>
      <c r="T616" s="60" t="str">
        <f t="shared" si="20"/>
        <v/>
      </c>
      <c r="U616" s="38"/>
      <c r="V616" s="38"/>
      <c r="W616" s="38" t="str">
        <f>IF(B616="","",COUNTIFS(Ejecucion[No. Solicitud],Registro!B616,Ejecucion[Estado],"Finalizado"))</f>
        <v/>
      </c>
      <c r="X616" s="38" t="str">
        <f>IF(B616="","",COUNTIFS(Ejecucion[No. Solicitud],Registro!B616,Ejecucion[Estado],"No Iniciado"))</f>
        <v/>
      </c>
      <c r="Y616" s="64" t="str">
        <f>IF(B616="","",COUNTIFS(Ejecucion[No. Solicitud],Registro!B616,Ejecucion[Estado],"En Proceso"))</f>
        <v/>
      </c>
      <c r="Z616" s="64" t="str">
        <f t="shared" si="21"/>
        <v/>
      </c>
      <c r="AA616" s="64"/>
      <c r="AB616" s="64"/>
      <c r="AC616" s="64"/>
      <c r="AD616" s="102"/>
    </row>
    <row r="617" spans="2:30" s="15" customFormat="1">
      <c r="B617" s="36"/>
      <c r="C617" s="102"/>
      <c r="D617" s="36"/>
      <c r="E617" s="22"/>
      <c r="F617" s="83"/>
      <c r="G617" s="83"/>
      <c r="H617" s="25"/>
      <c r="I617" s="25"/>
      <c r="J617" s="25"/>
      <c r="K617" s="25"/>
      <c r="L617" s="36"/>
      <c r="M617" s="36"/>
      <c r="N617" s="36"/>
      <c r="O617" s="102"/>
      <c r="P617" s="36"/>
      <c r="Q617" s="36"/>
      <c r="R617" s="37"/>
      <c r="S617" s="37"/>
      <c r="T617" s="60" t="str">
        <f t="shared" si="20"/>
        <v/>
      </c>
      <c r="U617" s="38"/>
      <c r="V617" s="38"/>
      <c r="W617" s="38" t="str">
        <f>IF(B617="","",COUNTIFS(Ejecucion[No. Solicitud],Registro!B617,Ejecucion[Estado],"Finalizado"))</f>
        <v/>
      </c>
      <c r="X617" s="38" t="str">
        <f>IF(B617="","",COUNTIFS(Ejecucion[No. Solicitud],Registro!B617,Ejecucion[Estado],"No Iniciado"))</f>
        <v/>
      </c>
      <c r="Y617" s="64" t="str">
        <f>IF(B617="","",COUNTIFS(Ejecucion[No. Solicitud],Registro!B617,Ejecucion[Estado],"En Proceso"))</f>
        <v/>
      </c>
      <c r="Z617" s="64" t="str">
        <f t="shared" si="21"/>
        <v/>
      </c>
      <c r="AA617" s="64"/>
      <c r="AB617" s="64"/>
      <c r="AC617" s="64"/>
      <c r="AD617" s="102"/>
    </row>
    <row r="618" spans="2:30" s="15" customFormat="1">
      <c r="B618" s="36"/>
      <c r="C618" s="102"/>
      <c r="D618" s="36"/>
      <c r="E618" s="22"/>
      <c r="F618" s="83"/>
      <c r="G618" s="83"/>
      <c r="H618" s="25"/>
      <c r="I618" s="25"/>
      <c r="J618" s="25"/>
      <c r="K618" s="25"/>
      <c r="L618" s="36"/>
      <c r="M618" s="36"/>
      <c r="N618" s="36"/>
      <c r="O618" s="102"/>
      <c r="P618" s="36"/>
      <c r="Q618" s="36"/>
      <c r="R618" s="37"/>
      <c r="S618" s="37"/>
      <c r="T618" s="60" t="str">
        <f t="shared" si="20"/>
        <v/>
      </c>
      <c r="U618" s="38"/>
      <c r="V618" s="38"/>
      <c r="W618" s="38" t="str">
        <f>IF(B618="","",COUNTIFS(Ejecucion[No. Solicitud],Registro!B618,Ejecucion[Estado],"Finalizado"))</f>
        <v/>
      </c>
      <c r="X618" s="38" t="str">
        <f>IF(B618="","",COUNTIFS(Ejecucion[No. Solicitud],Registro!B618,Ejecucion[Estado],"No Iniciado"))</f>
        <v/>
      </c>
      <c r="Y618" s="64" t="str">
        <f>IF(B618="","",COUNTIFS(Ejecucion[No. Solicitud],Registro!B618,Ejecucion[Estado],"En Proceso"))</f>
        <v/>
      </c>
      <c r="Z618" s="64" t="str">
        <f t="shared" si="21"/>
        <v/>
      </c>
      <c r="AA618" s="64"/>
      <c r="AB618" s="64"/>
      <c r="AC618" s="64"/>
      <c r="AD618" s="102"/>
    </row>
    <row r="619" spans="2:30" s="15" customFormat="1">
      <c r="B619" s="36"/>
      <c r="C619" s="102"/>
      <c r="D619" s="36"/>
      <c r="E619" s="22"/>
      <c r="F619" s="83"/>
      <c r="G619" s="83"/>
      <c r="H619" s="25"/>
      <c r="I619" s="25"/>
      <c r="J619" s="25"/>
      <c r="K619" s="25"/>
      <c r="L619" s="36"/>
      <c r="M619" s="36"/>
      <c r="N619" s="36"/>
      <c r="O619" s="102"/>
      <c r="P619" s="36"/>
      <c r="Q619" s="36"/>
      <c r="R619" s="37"/>
      <c r="S619" s="37"/>
      <c r="T619" s="60" t="str">
        <f t="shared" si="20"/>
        <v/>
      </c>
      <c r="U619" s="38"/>
      <c r="V619" s="38"/>
      <c r="W619" s="38" t="str">
        <f>IF(B619="","",COUNTIFS(Ejecucion[No. Solicitud],Registro!B619,Ejecucion[Estado],"Finalizado"))</f>
        <v/>
      </c>
      <c r="X619" s="38" t="str">
        <f>IF(B619="","",COUNTIFS(Ejecucion[No. Solicitud],Registro!B619,Ejecucion[Estado],"No Iniciado"))</f>
        <v/>
      </c>
      <c r="Y619" s="64" t="str">
        <f>IF(B619="","",COUNTIFS(Ejecucion[No. Solicitud],Registro!B619,Ejecucion[Estado],"En Proceso"))</f>
        <v/>
      </c>
      <c r="Z619" s="64" t="str">
        <f t="shared" si="21"/>
        <v/>
      </c>
      <c r="AA619" s="64"/>
      <c r="AB619" s="64"/>
      <c r="AC619" s="64"/>
      <c r="AD619" s="102"/>
    </row>
    <row r="620" spans="2:30" s="15" customFormat="1">
      <c r="B620" s="36"/>
      <c r="C620" s="102"/>
      <c r="D620" s="36"/>
      <c r="E620" s="22"/>
      <c r="F620" s="83"/>
      <c r="G620" s="83"/>
      <c r="H620" s="25"/>
      <c r="I620" s="25"/>
      <c r="J620" s="25"/>
      <c r="K620" s="25"/>
      <c r="L620" s="36"/>
      <c r="M620" s="36"/>
      <c r="N620" s="36"/>
      <c r="O620" s="102"/>
      <c r="P620" s="36"/>
      <c r="Q620" s="36"/>
      <c r="R620" s="37"/>
      <c r="S620" s="37"/>
      <c r="T620" s="60" t="str">
        <f t="shared" si="20"/>
        <v/>
      </c>
      <c r="U620" s="38"/>
      <c r="V620" s="38"/>
      <c r="W620" s="38" t="str">
        <f>IF(B620="","",COUNTIFS(Ejecucion[No. Solicitud],Registro!B620,Ejecucion[Estado],"Finalizado"))</f>
        <v/>
      </c>
      <c r="X620" s="38" t="str">
        <f>IF(B620="","",COUNTIFS(Ejecucion[No. Solicitud],Registro!B620,Ejecucion[Estado],"No Iniciado"))</f>
        <v/>
      </c>
      <c r="Y620" s="64" t="str">
        <f>IF(B620="","",COUNTIFS(Ejecucion[No. Solicitud],Registro!B620,Ejecucion[Estado],"En Proceso"))</f>
        <v/>
      </c>
      <c r="Z620" s="64" t="str">
        <f t="shared" si="21"/>
        <v/>
      </c>
      <c r="AA620" s="64"/>
      <c r="AB620" s="64"/>
      <c r="AC620" s="64"/>
      <c r="AD620" s="102"/>
    </row>
    <row r="621" spans="2:30" s="15" customFormat="1">
      <c r="B621" s="36"/>
      <c r="C621" s="102"/>
      <c r="D621" s="36"/>
      <c r="E621" s="22"/>
      <c r="F621" s="83"/>
      <c r="G621" s="83"/>
      <c r="H621" s="25"/>
      <c r="I621" s="25"/>
      <c r="J621" s="25"/>
      <c r="K621" s="25"/>
      <c r="L621" s="36"/>
      <c r="M621" s="36"/>
      <c r="N621" s="36"/>
      <c r="O621" s="102"/>
      <c r="P621" s="36"/>
      <c r="Q621" s="36"/>
      <c r="R621" s="37"/>
      <c r="S621" s="37"/>
      <c r="T621" s="60" t="str">
        <f t="shared" si="20"/>
        <v/>
      </c>
      <c r="U621" s="38"/>
      <c r="V621" s="38"/>
      <c r="W621" s="38" t="str">
        <f>IF(B621="","",COUNTIFS(Ejecucion[No. Solicitud],Registro!B621,Ejecucion[Estado],"Finalizado"))</f>
        <v/>
      </c>
      <c r="X621" s="38" t="str">
        <f>IF(B621="","",COUNTIFS(Ejecucion[No. Solicitud],Registro!B621,Ejecucion[Estado],"No Iniciado"))</f>
        <v/>
      </c>
      <c r="Y621" s="64" t="str">
        <f>IF(B621="","",COUNTIFS(Ejecucion[No. Solicitud],Registro!B621,Ejecucion[Estado],"En Proceso"))</f>
        <v/>
      </c>
      <c r="Z621" s="64" t="str">
        <f t="shared" si="21"/>
        <v/>
      </c>
      <c r="AA621" s="64"/>
      <c r="AB621" s="64"/>
      <c r="AC621" s="64"/>
      <c r="AD621" s="102"/>
    </row>
    <row r="622" spans="2:30" s="15" customFormat="1">
      <c r="B622" s="36"/>
      <c r="C622" s="102"/>
      <c r="D622" s="36"/>
      <c r="E622" s="22"/>
      <c r="F622" s="83"/>
      <c r="G622" s="83"/>
      <c r="H622" s="25"/>
      <c r="I622" s="25"/>
      <c r="J622" s="25"/>
      <c r="K622" s="25"/>
      <c r="L622" s="36"/>
      <c r="M622" s="36"/>
      <c r="N622" s="36"/>
      <c r="O622" s="102"/>
      <c r="P622" s="36"/>
      <c r="Q622" s="36"/>
      <c r="R622" s="37"/>
      <c r="S622" s="37"/>
      <c r="T622" s="60" t="str">
        <f t="shared" si="20"/>
        <v/>
      </c>
      <c r="U622" s="38"/>
      <c r="V622" s="38"/>
      <c r="W622" s="38" t="str">
        <f>IF(B622="","",COUNTIFS(Ejecucion[No. Solicitud],Registro!B622,Ejecucion[Estado],"Finalizado"))</f>
        <v/>
      </c>
      <c r="X622" s="38" t="str">
        <f>IF(B622="","",COUNTIFS(Ejecucion[No. Solicitud],Registro!B622,Ejecucion[Estado],"No Iniciado"))</f>
        <v/>
      </c>
      <c r="Y622" s="64" t="str">
        <f>IF(B622="","",COUNTIFS(Ejecucion[No. Solicitud],Registro!B622,Ejecucion[Estado],"En Proceso"))</f>
        <v/>
      </c>
      <c r="Z622" s="64" t="str">
        <f t="shared" si="21"/>
        <v/>
      </c>
      <c r="AA622" s="64"/>
      <c r="AB622" s="64"/>
      <c r="AC622" s="64"/>
      <c r="AD622" s="102"/>
    </row>
    <row r="623" spans="2:30" s="15" customFormat="1">
      <c r="B623" s="36"/>
      <c r="C623" s="102"/>
      <c r="D623" s="36"/>
      <c r="E623" s="22"/>
      <c r="F623" s="83"/>
      <c r="G623" s="83"/>
      <c r="H623" s="25"/>
      <c r="I623" s="25"/>
      <c r="J623" s="25"/>
      <c r="K623" s="25"/>
      <c r="L623" s="36"/>
      <c r="M623" s="36"/>
      <c r="N623" s="36"/>
      <c r="O623" s="102"/>
      <c r="P623" s="36"/>
      <c r="Q623" s="36"/>
      <c r="R623" s="37"/>
      <c r="S623" s="37"/>
      <c r="T623" s="60" t="str">
        <f t="shared" si="20"/>
        <v/>
      </c>
      <c r="U623" s="38"/>
      <c r="V623" s="38"/>
      <c r="W623" s="38" t="str">
        <f>IF(B623="","",COUNTIFS(Ejecucion[No. Solicitud],Registro!B623,Ejecucion[Estado],"Finalizado"))</f>
        <v/>
      </c>
      <c r="X623" s="38" t="str">
        <f>IF(B623="","",COUNTIFS(Ejecucion[No. Solicitud],Registro!B623,Ejecucion[Estado],"No Iniciado"))</f>
        <v/>
      </c>
      <c r="Y623" s="64" t="str">
        <f>IF(B623="","",COUNTIFS(Ejecucion[No. Solicitud],Registro!B623,Ejecucion[Estado],"En Proceso"))</f>
        <v/>
      </c>
      <c r="Z623" s="64" t="str">
        <f t="shared" si="21"/>
        <v/>
      </c>
      <c r="AA623" s="64"/>
      <c r="AB623" s="64"/>
      <c r="AC623" s="64"/>
      <c r="AD623" s="102"/>
    </row>
    <row r="624" spans="2:30" s="15" customFormat="1">
      <c r="B624" s="36"/>
      <c r="C624" s="102"/>
      <c r="D624" s="36"/>
      <c r="E624" s="22"/>
      <c r="F624" s="83"/>
      <c r="G624" s="83"/>
      <c r="H624" s="25"/>
      <c r="I624" s="25"/>
      <c r="J624" s="25"/>
      <c r="K624" s="25"/>
      <c r="L624" s="36"/>
      <c r="M624" s="36"/>
      <c r="N624" s="36"/>
      <c r="O624" s="102"/>
      <c r="P624" s="36"/>
      <c r="Q624" s="36"/>
      <c r="R624" s="37"/>
      <c r="S624" s="37"/>
      <c r="T624" s="60" t="str">
        <f t="shared" si="20"/>
        <v/>
      </c>
      <c r="U624" s="38"/>
      <c r="V624" s="38"/>
      <c r="W624" s="38" t="str">
        <f>IF(B624="","",COUNTIFS(Ejecucion[No. Solicitud],Registro!B624,Ejecucion[Estado],"Finalizado"))</f>
        <v/>
      </c>
      <c r="X624" s="38" t="str">
        <f>IF(B624="","",COUNTIFS(Ejecucion[No. Solicitud],Registro!B624,Ejecucion[Estado],"No Iniciado"))</f>
        <v/>
      </c>
      <c r="Y624" s="64" t="str">
        <f>IF(B624="","",COUNTIFS(Ejecucion[No. Solicitud],Registro!B624,Ejecucion[Estado],"En Proceso"))</f>
        <v/>
      </c>
      <c r="Z624" s="64" t="str">
        <f t="shared" si="21"/>
        <v/>
      </c>
      <c r="AA624" s="64"/>
      <c r="AB624" s="64"/>
      <c r="AC624" s="64"/>
      <c r="AD624" s="102"/>
    </row>
    <row r="625" spans="2:30" s="15" customFormat="1">
      <c r="B625" s="36"/>
      <c r="C625" s="102"/>
      <c r="D625" s="36"/>
      <c r="E625" s="22"/>
      <c r="F625" s="83"/>
      <c r="G625" s="83"/>
      <c r="H625" s="25"/>
      <c r="I625" s="25"/>
      <c r="J625" s="25"/>
      <c r="K625" s="25"/>
      <c r="L625" s="36"/>
      <c r="M625" s="36"/>
      <c r="N625" s="36"/>
      <c r="O625" s="102"/>
      <c r="P625" s="36"/>
      <c r="Q625" s="36"/>
      <c r="R625" s="37"/>
      <c r="S625" s="37"/>
      <c r="T625" s="60" t="str">
        <f t="shared" si="20"/>
        <v/>
      </c>
      <c r="U625" s="38"/>
      <c r="V625" s="38"/>
      <c r="W625" s="38" t="str">
        <f>IF(B625="","",COUNTIFS(Ejecucion[No. Solicitud],Registro!B625,Ejecucion[Estado],"Finalizado"))</f>
        <v/>
      </c>
      <c r="X625" s="38" t="str">
        <f>IF(B625="","",COUNTIFS(Ejecucion[No. Solicitud],Registro!B625,Ejecucion[Estado],"No Iniciado"))</f>
        <v/>
      </c>
      <c r="Y625" s="64" t="str">
        <f>IF(B625="","",COUNTIFS(Ejecucion[No. Solicitud],Registro!B625,Ejecucion[Estado],"En Proceso"))</f>
        <v/>
      </c>
      <c r="Z625" s="64" t="str">
        <f t="shared" si="21"/>
        <v/>
      </c>
      <c r="AA625" s="64"/>
      <c r="AB625" s="64"/>
      <c r="AC625" s="64"/>
      <c r="AD625" s="102"/>
    </row>
    <row r="626" spans="2:30" s="15" customFormat="1">
      <c r="B626" s="36"/>
      <c r="C626" s="102"/>
      <c r="D626" s="36"/>
      <c r="E626" s="22"/>
      <c r="F626" s="83"/>
      <c r="G626" s="83"/>
      <c r="H626" s="25"/>
      <c r="I626" s="25"/>
      <c r="J626" s="25"/>
      <c r="K626" s="25"/>
      <c r="L626" s="36"/>
      <c r="M626" s="36"/>
      <c r="N626" s="36"/>
      <c r="O626" s="102"/>
      <c r="P626" s="36"/>
      <c r="Q626" s="36"/>
      <c r="R626" s="37"/>
      <c r="S626" s="37"/>
      <c r="T626" s="60" t="str">
        <f t="shared" si="20"/>
        <v/>
      </c>
      <c r="U626" s="38"/>
      <c r="V626" s="38"/>
      <c r="W626" s="38" t="str">
        <f>IF(B626="","",COUNTIFS(Ejecucion[No. Solicitud],Registro!B626,Ejecucion[Estado],"Finalizado"))</f>
        <v/>
      </c>
      <c r="X626" s="38" t="str">
        <f>IF(B626="","",COUNTIFS(Ejecucion[No. Solicitud],Registro!B626,Ejecucion[Estado],"No Iniciado"))</f>
        <v/>
      </c>
      <c r="Y626" s="64" t="str">
        <f>IF(B626="","",COUNTIFS(Ejecucion[No. Solicitud],Registro!B626,Ejecucion[Estado],"En Proceso"))</f>
        <v/>
      </c>
      <c r="Z626" s="64" t="str">
        <f t="shared" si="21"/>
        <v/>
      </c>
      <c r="AA626" s="64"/>
      <c r="AB626" s="64"/>
      <c r="AC626" s="64"/>
      <c r="AD626" s="102"/>
    </row>
    <row r="627" spans="2:30" s="15" customFormat="1">
      <c r="B627" s="36"/>
      <c r="C627" s="102"/>
      <c r="D627" s="36"/>
      <c r="E627" s="22"/>
      <c r="F627" s="83"/>
      <c r="G627" s="83"/>
      <c r="H627" s="25"/>
      <c r="I627" s="25"/>
      <c r="J627" s="25"/>
      <c r="K627" s="25"/>
      <c r="L627" s="36"/>
      <c r="M627" s="36"/>
      <c r="N627" s="36"/>
      <c r="O627" s="102"/>
      <c r="P627" s="36"/>
      <c r="Q627" s="36"/>
      <c r="R627" s="37"/>
      <c r="S627" s="37"/>
      <c r="T627" s="60" t="str">
        <f t="shared" si="20"/>
        <v/>
      </c>
      <c r="U627" s="38"/>
      <c r="V627" s="38"/>
      <c r="W627" s="38" t="str">
        <f>IF(B627="","",COUNTIFS(Ejecucion[No. Solicitud],Registro!B627,Ejecucion[Estado],"Finalizado"))</f>
        <v/>
      </c>
      <c r="X627" s="38" t="str">
        <f>IF(B627="","",COUNTIFS(Ejecucion[No. Solicitud],Registro!B627,Ejecucion[Estado],"No Iniciado"))</f>
        <v/>
      </c>
      <c r="Y627" s="64" t="str">
        <f>IF(B627="","",COUNTIFS(Ejecucion[No. Solicitud],Registro!B627,Ejecucion[Estado],"En Proceso"))</f>
        <v/>
      </c>
      <c r="Z627" s="64" t="str">
        <f t="shared" si="21"/>
        <v/>
      </c>
      <c r="AA627" s="64"/>
      <c r="AB627" s="64"/>
      <c r="AC627" s="64"/>
      <c r="AD627" s="102"/>
    </row>
    <row r="628" spans="2:30" s="15" customFormat="1">
      <c r="B628" s="36"/>
      <c r="C628" s="102"/>
      <c r="D628" s="36"/>
      <c r="E628" s="22"/>
      <c r="F628" s="83"/>
      <c r="G628" s="83"/>
      <c r="H628" s="25"/>
      <c r="I628" s="25"/>
      <c r="J628" s="25"/>
      <c r="K628" s="25"/>
      <c r="L628" s="36"/>
      <c r="M628" s="36"/>
      <c r="N628" s="36"/>
      <c r="O628" s="102"/>
      <c r="P628" s="36"/>
      <c r="Q628" s="36"/>
      <c r="R628" s="37"/>
      <c r="S628" s="37"/>
      <c r="T628" s="60" t="str">
        <f t="shared" si="20"/>
        <v/>
      </c>
      <c r="U628" s="38"/>
      <c r="V628" s="38"/>
      <c r="W628" s="38" t="str">
        <f>IF(B628="","",COUNTIFS(Ejecucion[No. Solicitud],Registro!B628,Ejecucion[Estado],"Finalizado"))</f>
        <v/>
      </c>
      <c r="X628" s="38" t="str">
        <f>IF(B628="","",COUNTIFS(Ejecucion[No. Solicitud],Registro!B628,Ejecucion[Estado],"No Iniciado"))</f>
        <v/>
      </c>
      <c r="Y628" s="64" t="str">
        <f>IF(B628="","",COUNTIFS(Ejecucion[No. Solicitud],Registro!B628,Ejecucion[Estado],"En Proceso"))</f>
        <v/>
      </c>
      <c r="Z628" s="64" t="str">
        <f t="shared" si="21"/>
        <v/>
      </c>
      <c r="AA628" s="64"/>
      <c r="AB628" s="64"/>
      <c r="AC628" s="64"/>
      <c r="AD628" s="102"/>
    </row>
    <row r="629" spans="2:30" s="15" customFormat="1">
      <c r="B629" s="36"/>
      <c r="C629" s="102"/>
      <c r="D629" s="36"/>
      <c r="E629" s="22"/>
      <c r="F629" s="83"/>
      <c r="G629" s="83"/>
      <c r="H629" s="25"/>
      <c r="I629" s="25"/>
      <c r="J629" s="25"/>
      <c r="K629" s="25"/>
      <c r="L629" s="36"/>
      <c r="M629" s="36"/>
      <c r="N629" s="36"/>
      <c r="O629" s="102"/>
      <c r="P629" s="36"/>
      <c r="Q629" s="36"/>
      <c r="R629" s="37"/>
      <c r="S629" s="37"/>
      <c r="T629" s="60" t="str">
        <f t="shared" si="20"/>
        <v/>
      </c>
      <c r="U629" s="38"/>
      <c r="V629" s="38"/>
      <c r="W629" s="38" t="str">
        <f>IF(B629="","",COUNTIFS(Ejecucion[No. Solicitud],Registro!B629,Ejecucion[Estado],"Finalizado"))</f>
        <v/>
      </c>
      <c r="X629" s="38" t="str">
        <f>IF(B629="","",COUNTIFS(Ejecucion[No. Solicitud],Registro!B629,Ejecucion[Estado],"No Iniciado"))</f>
        <v/>
      </c>
      <c r="Y629" s="64" t="str">
        <f>IF(B629="","",COUNTIFS(Ejecucion[No. Solicitud],Registro!B629,Ejecucion[Estado],"En Proceso"))</f>
        <v/>
      </c>
      <c r="Z629" s="64" t="str">
        <f t="shared" si="21"/>
        <v/>
      </c>
      <c r="AA629" s="64"/>
      <c r="AB629" s="64"/>
      <c r="AC629" s="64"/>
      <c r="AD629" s="102"/>
    </row>
    <row r="630" spans="2:30" s="15" customFormat="1">
      <c r="B630" s="36"/>
      <c r="C630" s="102"/>
      <c r="D630" s="36"/>
      <c r="E630" s="22"/>
      <c r="F630" s="83"/>
      <c r="G630" s="83"/>
      <c r="H630" s="25"/>
      <c r="I630" s="25"/>
      <c r="J630" s="25"/>
      <c r="K630" s="25"/>
      <c r="L630" s="36"/>
      <c r="M630" s="36"/>
      <c r="N630" s="36"/>
      <c r="O630" s="102"/>
      <c r="P630" s="36"/>
      <c r="Q630" s="36"/>
      <c r="R630" s="37"/>
      <c r="S630" s="37"/>
      <c r="T630" s="60" t="str">
        <f t="shared" si="20"/>
        <v/>
      </c>
      <c r="U630" s="38"/>
      <c r="V630" s="38"/>
      <c r="W630" s="38" t="str">
        <f>IF(B630="","",COUNTIFS(Ejecucion[No. Solicitud],Registro!B630,Ejecucion[Estado],"Finalizado"))</f>
        <v/>
      </c>
      <c r="X630" s="38" t="str">
        <f>IF(B630="","",COUNTIFS(Ejecucion[No. Solicitud],Registro!B630,Ejecucion[Estado],"No Iniciado"))</f>
        <v/>
      </c>
      <c r="Y630" s="64" t="str">
        <f>IF(B630="","",COUNTIFS(Ejecucion[No. Solicitud],Registro!B630,Ejecucion[Estado],"En Proceso"))</f>
        <v/>
      </c>
      <c r="Z630" s="64" t="str">
        <f t="shared" si="21"/>
        <v/>
      </c>
      <c r="AA630" s="64"/>
      <c r="AB630" s="64"/>
      <c r="AC630" s="64"/>
      <c r="AD630" s="102"/>
    </row>
    <row r="631" spans="2:30" s="15" customFormat="1">
      <c r="B631" s="36"/>
      <c r="C631" s="102"/>
      <c r="D631" s="36"/>
      <c r="E631" s="22"/>
      <c r="F631" s="83"/>
      <c r="G631" s="83"/>
      <c r="H631" s="25"/>
      <c r="I631" s="25"/>
      <c r="J631" s="25"/>
      <c r="K631" s="25"/>
      <c r="L631" s="36"/>
      <c r="M631" s="36"/>
      <c r="N631" s="36"/>
      <c r="O631" s="102"/>
      <c r="P631" s="36"/>
      <c r="Q631" s="36"/>
      <c r="R631" s="37"/>
      <c r="S631" s="37"/>
      <c r="T631" s="60" t="str">
        <f t="shared" si="20"/>
        <v/>
      </c>
      <c r="U631" s="38"/>
      <c r="V631" s="38"/>
      <c r="W631" s="38" t="str">
        <f>IF(B631="","",COUNTIFS(Ejecucion[No. Solicitud],Registro!B631,Ejecucion[Estado],"Finalizado"))</f>
        <v/>
      </c>
      <c r="X631" s="38" t="str">
        <f>IF(B631="","",COUNTIFS(Ejecucion[No. Solicitud],Registro!B631,Ejecucion[Estado],"No Iniciado"))</f>
        <v/>
      </c>
      <c r="Y631" s="64" t="str">
        <f>IF(B631="","",COUNTIFS(Ejecucion[No. Solicitud],Registro!B631,Ejecucion[Estado],"En Proceso"))</f>
        <v/>
      </c>
      <c r="Z631" s="64" t="str">
        <f t="shared" si="21"/>
        <v/>
      </c>
      <c r="AA631" s="64"/>
      <c r="AB631" s="64"/>
      <c r="AC631" s="64"/>
      <c r="AD631" s="102"/>
    </row>
    <row r="632" spans="2:30" s="15" customFormat="1">
      <c r="B632" s="36"/>
      <c r="C632" s="102"/>
      <c r="D632" s="36"/>
      <c r="E632" s="22"/>
      <c r="F632" s="83"/>
      <c r="G632" s="83"/>
      <c r="H632" s="25"/>
      <c r="I632" s="25"/>
      <c r="J632" s="25"/>
      <c r="K632" s="25"/>
      <c r="L632" s="36"/>
      <c r="M632" s="36"/>
      <c r="N632" s="36"/>
      <c r="O632" s="102"/>
      <c r="P632" s="36"/>
      <c r="Q632" s="36"/>
      <c r="R632" s="37"/>
      <c r="S632" s="37"/>
      <c r="T632" s="60" t="str">
        <f t="shared" si="20"/>
        <v/>
      </c>
      <c r="U632" s="38"/>
      <c r="V632" s="38"/>
      <c r="W632" s="38" t="str">
        <f>IF(B632="","",COUNTIFS(Ejecucion[No. Solicitud],Registro!B632,Ejecucion[Estado],"Finalizado"))</f>
        <v/>
      </c>
      <c r="X632" s="38" t="str">
        <f>IF(B632="","",COUNTIFS(Ejecucion[No. Solicitud],Registro!B632,Ejecucion[Estado],"No Iniciado"))</f>
        <v/>
      </c>
      <c r="Y632" s="64" t="str">
        <f>IF(B632="","",COUNTIFS(Ejecucion[No. Solicitud],Registro!B632,Ejecucion[Estado],"En Proceso"))</f>
        <v/>
      </c>
      <c r="Z632" s="64" t="str">
        <f t="shared" si="21"/>
        <v/>
      </c>
      <c r="AA632" s="64"/>
      <c r="AB632" s="64"/>
      <c r="AC632" s="64"/>
      <c r="AD632" s="102"/>
    </row>
    <row r="633" spans="2:30" s="15" customFormat="1">
      <c r="B633" s="36"/>
      <c r="C633" s="102"/>
      <c r="D633" s="36"/>
      <c r="E633" s="22"/>
      <c r="F633" s="83"/>
      <c r="G633" s="83"/>
      <c r="H633" s="25"/>
      <c r="I633" s="25"/>
      <c r="J633" s="25"/>
      <c r="K633" s="25"/>
      <c r="L633" s="36"/>
      <c r="M633" s="36"/>
      <c r="N633" s="36"/>
      <c r="O633" s="102"/>
      <c r="P633" s="36"/>
      <c r="Q633" s="36"/>
      <c r="R633" s="37"/>
      <c r="S633" s="37"/>
      <c r="T633" s="60" t="str">
        <f t="shared" si="20"/>
        <v/>
      </c>
      <c r="U633" s="38"/>
      <c r="V633" s="38"/>
      <c r="W633" s="38" t="str">
        <f>IF(B633="","",COUNTIFS(Ejecucion[No. Solicitud],Registro!B633,Ejecucion[Estado],"Finalizado"))</f>
        <v/>
      </c>
      <c r="X633" s="38" t="str">
        <f>IF(B633="","",COUNTIFS(Ejecucion[No. Solicitud],Registro!B633,Ejecucion[Estado],"No Iniciado"))</f>
        <v/>
      </c>
      <c r="Y633" s="64" t="str">
        <f>IF(B633="","",COUNTIFS(Ejecucion[No. Solicitud],Registro!B633,Ejecucion[Estado],"En Proceso"))</f>
        <v/>
      </c>
      <c r="Z633" s="64" t="str">
        <f t="shared" si="21"/>
        <v/>
      </c>
      <c r="AA633" s="64"/>
      <c r="AB633" s="64"/>
      <c r="AC633" s="64"/>
      <c r="AD633" s="102"/>
    </row>
    <row r="634" spans="2:30" s="15" customFormat="1">
      <c r="B634" s="36"/>
      <c r="C634" s="102"/>
      <c r="D634" s="36"/>
      <c r="E634" s="22"/>
      <c r="F634" s="83"/>
      <c r="G634" s="83"/>
      <c r="H634" s="25"/>
      <c r="I634" s="25"/>
      <c r="J634" s="25"/>
      <c r="K634" s="25"/>
      <c r="L634" s="36"/>
      <c r="M634" s="36"/>
      <c r="N634" s="36"/>
      <c r="O634" s="102"/>
      <c r="P634" s="36"/>
      <c r="Q634" s="36"/>
      <c r="R634" s="37"/>
      <c r="S634" s="37"/>
      <c r="T634" s="60" t="str">
        <f t="shared" si="20"/>
        <v/>
      </c>
      <c r="U634" s="38"/>
      <c r="V634" s="38"/>
      <c r="W634" s="38" t="str">
        <f>IF(B634="","",COUNTIFS(Ejecucion[No. Solicitud],Registro!B634,Ejecucion[Estado],"Finalizado"))</f>
        <v/>
      </c>
      <c r="X634" s="38" t="str">
        <f>IF(B634="","",COUNTIFS(Ejecucion[No. Solicitud],Registro!B634,Ejecucion[Estado],"No Iniciado"))</f>
        <v/>
      </c>
      <c r="Y634" s="64" t="str">
        <f>IF(B634="","",COUNTIFS(Ejecucion[No. Solicitud],Registro!B634,Ejecucion[Estado],"En Proceso"))</f>
        <v/>
      </c>
      <c r="Z634" s="64" t="str">
        <f t="shared" si="21"/>
        <v/>
      </c>
      <c r="AA634" s="64"/>
      <c r="AB634" s="64"/>
      <c r="AC634" s="64"/>
      <c r="AD634" s="102"/>
    </row>
    <row r="635" spans="2:30" s="15" customFormat="1">
      <c r="B635" s="36"/>
      <c r="C635" s="102"/>
      <c r="D635" s="36"/>
      <c r="E635" s="22"/>
      <c r="F635" s="83"/>
      <c r="G635" s="83"/>
      <c r="H635" s="25"/>
      <c r="I635" s="25"/>
      <c r="J635" s="25"/>
      <c r="K635" s="25"/>
      <c r="L635" s="36"/>
      <c r="M635" s="36"/>
      <c r="N635" s="36"/>
      <c r="O635" s="102"/>
      <c r="P635" s="36"/>
      <c r="Q635" s="36"/>
      <c r="R635" s="37"/>
      <c r="S635" s="37"/>
      <c r="T635" s="60" t="str">
        <f t="shared" si="20"/>
        <v/>
      </c>
      <c r="U635" s="38"/>
      <c r="V635" s="38"/>
      <c r="W635" s="38" t="str">
        <f>IF(B635="","",COUNTIFS(Ejecucion[No. Solicitud],Registro!B635,Ejecucion[Estado],"Finalizado"))</f>
        <v/>
      </c>
      <c r="X635" s="38" t="str">
        <f>IF(B635="","",COUNTIFS(Ejecucion[No. Solicitud],Registro!B635,Ejecucion[Estado],"No Iniciado"))</f>
        <v/>
      </c>
      <c r="Y635" s="64" t="str">
        <f>IF(B635="","",COUNTIFS(Ejecucion[No. Solicitud],Registro!B635,Ejecucion[Estado],"En Proceso"))</f>
        <v/>
      </c>
      <c r="Z635" s="64" t="str">
        <f t="shared" si="21"/>
        <v/>
      </c>
      <c r="AA635" s="64"/>
      <c r="AB635" s="64"/>
      <c r="AC635" s="64"/>
      <c r="AD635" s="102"/>
    </row>
    <row r="636" spans="2:30" s="15" customFormat="1">
      <c r="B636" s="36"/>
      <c r="C636" s="102"/>
      <c r="D636" s="36"/>
      <c r="E636" s="22"/>
      <c r="F636" s="83"/>
      <c r="G636" s="83"/>
      <c r="H636" s="25"/>
      <c r="I636" s="25"/>
      <c r="J636" s="25"/>
      <c r="K636" s="25"/>
      <c r="L636" s="36"/>
      <c r="M636" s="36"/>
      <c r="N636" s="36"/>
      <c r="O636" s="102"/>
      <c r="P636" s="36"/>
      <c r="Q636" s="36"/>
      <c r="R636" s="37"/>
      <c r="S636" s="37"/>
      <c r="T636" s="60" t="str">
        <f t="shared" si="20"/>
        <v/>
      </c>
      <c r="U636" s="38"/>
      <c r="V636" s="38"/>
      <c r="W636" s="38" t="str">
        <f>IF(B636="","",COUNTIFS(Ejecucion[No. Solicitud],Registro!B636,Ejecucion[Estado],"Finalizado"))</f>
        <v/>
      </c>
      <c r="X636" s="38" t="str">
        <f>IF(B636="","",COUNTIFS(Ejecucion[No. Solicitud],Registro!B636,Ejecucion[Estado],"No Iniciado"))</f>
        <v/>
      </c>
      <c r="Y636" s="64" t="str">
        <f>IF(B636="","",COUNTIFS(Ejecucion[No. Solicitud],Registro!B636,Ejecucion[Estado],"En Proceso"))</f>
        <v/>
      </c>
      <c r="Z636" s="64" t="str">
        <f t="shared" si="21"/>
        <v/>
      </c>
      <c r="AA636" s="64"/>
      <c r="AB636" s="64"/>
      <c r="AC636" s="64"/>
      <c r="AD636" s="102"/>
    </row>
    <row r="637" spans="2:30" s="15" customFormat="1">
      <c r="B637" s="36"/>
      <c r="C637" s="102"/>
      <c r="D637" s="36"/>
      <c r="E637" s="22"/>
      <c r="F637" s="83"/>
      <c r="G637" s="83"/>
      <c r="H637" s="25"/>
      <c r="I637" s="25"/>
      <c r="J637" s="25"/>
      <c r="K637" s="25"/>
      <c r="L637" s="36"/>
      <c r="M637" s="36"/>
      <c r="N637" s="36"/>
      <c r="O637" s="102"/>
      <c r="P637" s="36"/>
      <c r="Q637" s="36"/>
      <c r="R637" s="37"/>
      <c r="S637" s="37"/>
      <c r="T637" s="60" t="str">
        <f t="shared" si="20"/>
        <v/>
      </c>
      <c r="U637" s="38"/>
      <c r="V637" s="38"/>
      <c r="W637" s="38" t="str">
        <f>IF(B637="","",COUNTIFS(Ejecucion[No. Solicitud],Registro!B637,Ejecucion[Estado],"Finalizado"))</f>
        <v/>
      </c>
      <c r="X637" s="38" t="str">
        <f>IF(B637="","",COUNTIFS(Ejecucion[No. Solicitud],Registro!B637,Ejecucion[Estado],"No Iniciado"))</f>
        <v/>
      </c>
      <c r="Y637" s="64" t="str">
        <f>IF(B637="","",COUNTIFS(Ejecucion[No. Solicitud],Registro!B637,Ejecucion[Estado],"En Proceso"))</f>
        <v/>
      </c>
      <c r="Z637" s="64" t="str">
        <f t="shared" si="21"/>
        <v/>
      </c>
      <c r="AA637" s="64"/>
      <c r="AB637" s="64"/>
      <c r="AC637" s="64"/>
      <c r="AD637" s="102"/>
    </row>
    <row r="638" spans="2:30" s="15" customFormat="1">
      <c r="B638" s="36"/>
      <c r="C638" s="102"/>
      <c r="D638" s="36"/>
      <c r="E638" s="22"/>
      <c r="F638" s="83"/>
      <c r="G638" s="83"/>
      <c r="H638" s="25"/>
      <c r="I638" s="25"/>
      <c r="J638" s="25"/>
      <c r="K638" s="25"/>
      <c r="L638" s="36"/>
      <c r="M638" s="36"/>
      <c r="N638" s="36"/>
      <c r="O638" s="102"/>
      <c r="P638" s="36"/>
      <c r="Q638" s="36"/>
      <c r="R638" s="37"/>
      <c r="S638" s="37"/>
      <c r="T638" s="60" t="str">
        <f t="shared" si="20"/>
        <v/>
      </c>
      <c r="U638" s="38"/>
      <c r="V638" s="38"/>
      <c r="W638" s="38" t="str">
        <f>IF(B638="","",COUNTIFS(Ejecucion[No. Solicitud],Registro!B638,Ejecucion[Estado],"Finalizado"))</f>
        <v/>
      </c>
      <c r="X638" s="38" t="str">
        <f>IF(B638="","",COUNTIFS(Ejecucion[No. Solicitud],Registro!B638,Ejecucion[Estado],"No Iniciado"))</f>
        <v/>
      </c>
      <c r="Y638" s="64" t="str">
        <f>IF(B638="","",COUNTIFS(Ejecucion[No. Solicitud],Registro!B638,Ejecucion[Estado],"En Proceso"))</f>
        <v/>
      </c>
      <c r="Z638" s="64" t="str">
        <f t="shared" si="21"/>
        <v/>
      </c>
      <c r="AA638" s="64"/>
      <c r="AB638" s="64"/>
      <c r="AC638" s="64"/>
      <c r="AD638" s="102"/>
    </row>
    <row r="639" spans="2:30" s="15" customFormat="1">
      <c r="B639" s="36"/>
      <c r="C639" s="102"/>
      <c r="D639" s="36"/>
      <c r="E639" s="22"/>
      <c r="F639" s="83"/>
      <c r="G639" s="83"/>
      <c r="H639" s="25"/>
      <c r="I639" s="25"/>
      <c r="J639" s="25"/>
      <c r="K639" s="25"/>
      <c r="L639" s="36"/>
      <c r="M639" s="36"/>
      <c r="N639" s="36"/>
      <c r="O639" s="102"/>
      <c r="P639" s="36"/>
      <c r="Q639" s="36"/>
      <c r="R639" s="37"/>
      <c r="S639" s="37"/>
      <c r="T639" s="60" t="str">
        <f t="shared" si="20"/>
        <v/>
      </c>
      <c r="U639" s="38"/>
      <c r="V639" s="38"/>
      <c r="W639" s="38" t="str">
        <f>IF(B639="","",COUNTIFS(Ejecucion[No. Solicitud],Registro!B639,Ejecucion[Estado],"Finalizado"))</f>
        <v/>
      </c>
      <c r="X639" s="38" t="str">
        <f>IF(B639="","",COUNTIFS(Ejecucion[No. Solicitud],Registro!B639,Ejecucion[Estado],"No Iniciado"))</f>
        <v/>
      </c>
      <c r="Y639" s="64" t="str">
        <f>IF(B639="","",COUNTIFS(Ejecucion[No. Solicitud],Registro!B639,Ejecucion[Estado],"En Proceso"))</f>
        <v/>
      </c>
      <c r="Z639" s="64" t="str">
        <f t="shared" si="21"/>
        <v/>
      </c>
      <c r="AA639" s="64"/>
      <c r="AB639" s="64"/>
      <c r="AC639" s="64"/>
      <c r="AD639" s="102"/>
    </row>
    <row r="640" spans="2:30" s="15" customFormat="1">
      <c r="B640" s="36"/>
      <c r="C640" s="102"/>
      <c r="D640" s="36"/>
      <c r="E640" s="22"/>
      <c r="F640" s="83"/>
      <c r="G640" s="83"/>
      <c r="H640" s="25"/>
      <c r="I640" s="25"/>
      <c r="J640" s="25"/>
      <c r="K640" s="25"/>
      <c r="L640" s="36"/>
      <c r="M640" s="36"/>
      <c r="N640" s="36"/>
      <c r="O640" s="102"/>
      <c r="P640" s="36"/>
      <c r="Q640" s="36"/>
      <c r="R640" s="37"/>
      <c r="S640" s="37"/>
      <c r="T640" s="60" t="str">
        <f t="shared" si="20"/>
        <v/>
      </c>
      <c r="U640" s="38"/>
      <c r="V640" s="38"/>
      <c r="W640" s="38" t="str">
        <f>IF(B640="","",COUNTIFS(Ejecucion[No. Solicitud],Registro!B640,Ejecucion[Estado],"Finalizado"))</f>
        <v/>
      </c>
      <c r="X640" s="38" t="str">
        <f>IF(B640="","",COUNTIFS(Ejecucion[No. Solicitud],Registro!B640,Ejecucion[Estado],"No Iniciado"))</f>
        <v/>
      </c>
      <c r="Y640" s="64" t="str">
        <f>IF(B640="","",COUNTIFS(Ejecucion[No. Solicitud],Registro!B640,Ejecucion[Estado],"En Proceso"))</f>
        <v/>
      </c>
      <c r="Z640" s="64" t="str">
        <f t="shared" si="21"/>
        <v/>
      </c>
      <c r="AA640" s="64"/>
      <c r="AB640" s="64"/>
      <c r="AC640" s="64"/>
      <c r="AD640" s="102"/>
    </row>
    <row r="641" spans="2:30" s="15" customFormat="1">
      <c r="B641" s="36"/>
      <c r="C641" s="102"/>
      <c r="D641" s="36"/>
      <c r="E641" s="22"/>
      <c r="F641" s="83"/>
      <c r="G641" s="83"/>
      <c r="H641" s="25"/>
      <c r="I641" s="25"/>
      <c r="J641" s="25"/>
      <c r="K641" s="25"/>
      <c r="L641" s="36"/>
      <c r="M641" s="36"/>
      <c r="N641" s="36"/>
      <c r="O641" s="102"/>
      <c r="P641" s="36"/>
      <c r="Q641" s="36"/>
      <c r="R641" s="37"/>
      <c r="S641" s="37"/>
      <c r="T641" s="60" t="str">
        <f t="shared" si="20"/>
        <v/>
      </c>
      <c r="U641" s="38"/>
      <c r="V641" s="38"/>
      <c r="W641" s="38" t="str">
        <f>IF(B641="","",COUNTIFS(Ejecucion[No. Solicitud],Registro!B641,Ejecucion[Estado],"Finalizado"))</f>
        <v/>
      </c>
      <c r="X641" s="38" t="str">
        <f>IF(B641="","",COUNTIFS(Ejecucion[No. Solicitud],Registro!B641,Ejecucion[Estado],"No Iniciado"))</f>
        <v/>
      </c>
      <c r="Y641" s="64" t="str">
        <f>IF(B641="","",COUNTIFS(Ejecucion[No. Solicitud],Registro!B641,Ejecucion[Estado],"En Proceso"))</f>
        <v/>
      </c>
      <c r="Z641" s="64" t="str">
        <f t="shared" si="21"/>
        <v/>
      </c>
      <c r="AA641" s="64"/>
      <c r="AB641" s="64"/>
      <c r="AC641" s="64"/>
      <c r="AD641" s="102"/>
    </row>
    <row r="642" spans="2:30" s="15" customFormat="1">
      <c r="B642" s="36"/>
      <c r="C642" s="102"/>
      <c r="D642" s="36"/>
      <c r="E642" s="22"/>
      <c r="F642" s="83"/>
      <c r="G642" s="83"/>
      <c r="H642" s="25"/>
      <c r="I642" s="25"/>
      <c r="J642" s="25"/>
      <c r="K642" s="25"/>
      <c r="L642" s="36"/>
      <c r="M642" s="36"/>
      <c r="N642" s="36"/>
      <c r="O642" s="102"/>
      <c r="P642" s="36"/>
      <c r="Q642" s="36"/>
      <c r="R642" s="37"/>
      <c r="S642" s="37"/>
      <c r="T642" s="60" t="str">
        <f t="shared" si="20"/>
        <v/>
      </c>
      <c r="U642" s="38"/>
      <c r="V642" s="38"/>
      <c r="W642" s="38" t="str">
        <f>IF(B642="","",COUNTIFS(Ejecucion[No. Solicitud],Registro!B642,Ejecucion[Estado],"Finalizado"))</f>
        <v/>
      </c>
      <c r="X642" s="38" t="str">
        <f>IF(B642="","",COUNTIFS(Ejecucion[No. Solicitud],Registro!B642,Ejecucion[Estado],"No Iniciado"))</f>
        <v/>
      </c>
      <c r="Y642" s="64" t="str">
        <f>IF(B642="","",COUNTIFS(Ejecucion[No. Solicitud],Registro!B642,Ejecucion[Estado],"En Proceso"))</f>
        <v/>
      </c>
      <c r="Z642" s="64" t="str">
        <f t="shared" si="21"/>
        <v/>
      </c>
      <c r="AA642" s="64"/>
      <c r="AB642" s="64"/>
      <c r="AC642" s="64"/>
      <c r="AD642" s="102"/>
    </row>
    <row r="643" spans="2:30" s="15" customFormat="1">
      <c r="B643" s="36"/>
      <c r="C643" s="102"/>
      <c r="D643" s="36"/>
      <c r="E643" s="22"/>
      <c r="F643" s="83"/>
      <c r="G643" s="83"/>
      <c r="H643" s="25"/>
      <c r="I643" s="25"/>
      <c r="J643" s="25"/>
      <c r="K643" s="25"/>
      <c r="L643" s="36"/>
      <c r="M643" s="36"/>
      <c r="N643" s="36"/>
      <c r="O643" s="102"/>
      <c r="P643" s="36"/>
      <c r="Q643" s="36"/>
      <c r="R643" s="37"/>
      <c r="S643" s="37"/>
      <c r="T643" s="60" t="str">
        <f t="shared" si="20"/>
        <v/>
      </c>
      <c r="U643" s="38"/>
      <c r="V643" s="38"/>
      <c r="W643" s="38" t="str">
        <f>IF(B643="","",COUNTIFS(Ejecucion[No. Solicitud],Registro!B643,Ejecucion[Estado],"Finalizado"))</f>
        <v/>
      </c>
      <c r="X643" s="38" t="str">
        <f>IF(B643="","",COUNTIFS(Ejecucion[No. Solicitud],Registro!B643,Ejecucion[Estado],"No Iniciado"))</f>
        <v/>
      </c>
      <c r="Y643" s="64" t="str">
        <f>IF(B643="","",COUNTIFS(Ejecucion[No. Solicitud],Registro!B643,Ejecucion[Estado],"En Proceso"))</f>
        <v/>
      </c>
      <c r="Z643" s="64" t="str">
        <f t="shared" si="21"/>
        <v/>
      </c>
      <c r="AA643" s="64"/>
      <c r="AB643" s="64"/>
      <c r="AC643" s="64"/>
      <c r="AD643" s="102"/>
    </row>
    <row r="644" spans="2:30" s="15" customFormat="1">
      <c r="B644" s="36"/>
      <c r="C644" s="102"/>
      <c r="D644" s="36"/>
      <c r="E644" s="22"/>
      <c r="F644" s="83"/>
      <c r="G644" s="83"/>
      <c r="H644" s="25"/>
      <c r="I644" s="25"/>
      <c r="J644" s="25"/>
      <c r="K644" s="25"/>
      <c r="L644" s="36"/>
      <c r="M644" s="36"/>
      <c r="N644" s="36"/>
      <c r="O644" s="102"/>
      <c r="P644" s="36"/>
      <c r="Q644" s="36"/>
      <c r="R644" s="37"/>
      <c r="S644" s="37"/>
      <c r="T644" s="60" t="str">
        <f t="shared" si="20"/>
        <v/>
      </c>
      <c r="U644" s="38"/>
      <c r="V644" s="38"/>
      <c r="W644" s="38" t="str">
        <f>IF(B644="","",COUNTIFS(Ejecucion[No. Solicitud],Registro!B644,Ejecucion[Estado],"Finalizado"))</f>
        <v/>
      </c>
      <c r="X644" s="38" t="str">
        <f>IF(B644="","",COUNTIFS(Ejecucion[No. Solicitud],Registro!B644,Ejecucion[Estado],"No Iniciado"))</f>
        <v/>
      </c>
      <c r="Y644" s="64" t="str">
        <f>IF(B644="","",COUNTIFS(Ejecucion[No. Solicitud],Registro!B644,Ejecucion[Estado],"En Proceso"))</f>
        <v/>
      </c>
      <c r="Z644" s="64" t="str">
        <f t="shared" si="21"/>
        <v/>
      </c>
      <c r="AA644" s="64"/>
      <c r="AB644" s="64"/>
      <c r="AC644" s="64"/>
      <c r="AD644" s="102"/>
    </row>
    <row r="645" spans="2:30" s="15" customFormat="1">
      <c r="B645" s="36"/>
      <c r="C645" s="102"/>
      <c r="D645" s="36"/>
      <c r="E645" s="22"/>
      <c r="F645" s="83"/>
      <c r="G645" s="83"/>
      <c r="H645" s="25"/>
      <c r="I645" s="25"/>
      <c r="J645" s="25"/>
      <c r="K645" s="25"/>
      <c r="L645" s="36"/>
      <c r="M645" s="36"/>
      <c r="N645" s="36"/>
      <c r="O645" s="102"/>
      <c r="P645" s="36"/>
      <c r="Q645" s="36"/>
      <c r="R645" s="37"/>
      <c r="S645" s="37"/>
      <c r="T645" s="60" t="str">
        <f t="shared" si="20"/>
        <v/>
      </c>
      <c r="U645" s="38"/>
      <c r="V645" s="38"/>
      <c r="W645" s="38" t="str">
        <f>IF(B645="","",COUNTIFS(Ejecucion[No. Solicitud],Registro!B645,Ejecucion[Estado],"Finalizado"))</f>
        <v/>
      </c>
      <c r="X645" s="38" t="str">
        <f>IF(B645="","",COUNTIFS(Ejecucion[No. Solicitud],Registro!B645,Ejecucion[Estado],"No Iniciado"))</f>
        <v/>
      </c>
      <c r="Y645" s="64" t="str">
        <f>IF(B645="","",COUNTIFS(Ejecucion[No. Solicitud],Registro!B645,Ejecucion[Estado],"En Proceso"))</f>
        <v/>
      </c>
      <c r="Z645" s="64" t="str">
        <f t="shared" si="21"/>
        <v/>
      </c>
      <c r="AA645" s="64"/>
      <c r="AB645" s="64"/>
      <c r="AC645" s="64"/>
      <c r="AD645" s="102"/>
    </row>
    <row r="646" spans="2:30" s="15" customFormat="1">
      <c r="B646" s="36"/>
      <c r="C646" s="102"/>
      <c r="D646" s="36"/>
      <c r="E646" s="22"/>
      <c r="F646" s="83"/>
      <c r="G646" s="83"/>
      <c r="H646" s="25"/>
      <c r="I646" s="25"/>
      <c r="J646" s="25"/>
      <c r="K646" s="25"/>
      <c r="L646" s="36"/>
      <c r="M646" s="36"/>
      <c r="N646" s="36"/>
      <c r="O646" s="102"/>
      <c r="P646" s="36"/>
      <c r="Q646" s="36"/>
      <c r="R646" s="37"/>
      <c r="S646" s="37"/>
      <c r="T646" s="60" t="str">
        <f t="shared" si="20"/>
        <v/>
      </c>
      <c r="U646" s="38"/>
      <c r="V646" s="38"/>
      <c r="W646" s="38" t="str">
        <f>IF(B646="","",COUNTIFS(Ejecucion[No. Solicitud],Registro!B646,Ejecucion[Estado],"Finalizado"))</f>
        <v/>
      </c>
      <c r="X646" s="38" t="str">
        <f>IF(B646="","",COUNTIFS(Ejecucion[No. Solicitud],Registro!B646,Ejecucion[Estado],"No Iniciado"))</f>
        <v/>
      </c>
      <c r="Y646" s="64" t="str">
        <f>IF(B646="","",COUNTIFS(Ejecucion[No. Solicitud],Registro!B646,Ejecucion[Estado],"En Proceso"))</f>
        <v/>
      </c>
      <c r="Z646" s="64" t="str">
        <f t="shared" si="21"/>
        <v/>
      </c>
      <c r="AA646" s="64"/>
      <c r="AB646" s="64"/>
      <c r="AC646" s="64"/>
      <c r="AD646" s="102"/>
    </row>
    <row r="647" spans="2:30" s="15" customFormat="1">
      <c r="B647" s="36"/>
      <c r="C647" s="102"/>
      <c r="D647" s="36"/>
      <c r="E647" s="22"/>
      <c r="F647" s="83"/>
      <c r="G647" s="83"/>
      <c r="H647" s="25"/>
      <c r="I647" s="25"/>
      <c r="J647" s="25"/>
      <c r="K647" s="25"/>
      <c r="L647" s="36"/>
      <c r="M647" s="36"/>
      <c r="N647" s="36"/>
      <c r="O647" s="102"/>
      <c r="P647" s="36"/>
      <c r="Q647" s="36"/>
      <c r="R647" s="37"/>
      <c r="S647" s="37"/>
      <c r="T647" s="60" t="str">
        <f t="shared" si="20"/>
        <v/>
      </c>
      <c r="U647" s="38"/>
      <c r="V647" s="38"/>
      <c r="W647" s="38" t="str">
        <f>IF(B647="","",COUNTIFS(Ejecucion[No. Solicitud],Registro!B647,Ejecucion[Estado],"Finalizado"))</f>
        <v/>
      </c>
      <c r="X647" s="38" t="str">
        <f>IF(B647="","",COUNTIFS(Ejecucion[No. Solicitud],Registro!B647,Ejecucion[Estado],"No Iniciado"))</f>
        <v/>
      </c>
      <c r="Y647" s="64" t="str">
        <f>IF(B647="","",COUNTIFS(Ejecucion[No. Solicitud],Registro!B647,Ejecucion[Estado],"En Proceso"))</f>
        <v/>
      </c>
      <c r="Z647" s="64" t="str">
        <f t="shared" si="21"/>
        <v/>
      </c>
      <c r="AA647" s="64"/>
      <c r="AB647" s="64"/>
      <c r="AC647" s="64"/>
      <c r="AD647" s="102"/>
    </row>
    <row r="648" spans="2:30" s="15" customFormat="1">
      <c r="B648" s="36"/>
      <c r="C648" s="102"/>
      <c r="D648" s="36"/>
      <c r="E648" s="22"/>
      <c r="F648" s="83"/>
      <c r="G648" s="83"/>
      <c r="H648" s="25"/>
      <c r="I648" s="25"/>
      <c r="J648" s="25"/>
      <c r="K648" s="25"/>
      <c r="L648" s="36"/>
      <c r="M648" s="36"/>
      <c r="N648" s="36"/>
      <c r="O648" s="102"/>
      <c r="P648" s="36"/>
      <c r="Q648" s="36"/>
      <c r="R648" s="37"/>
      <c r="S648" s="37"/>
      <c r="T648" s="60" t="str">
        <f t="shared" ref="T648:T711" si="22">IF(U648="","",IF(U648=W648,1,0))</f>
        <v/>
      </c>
      <c r="U648" s="38"/>
      <c r="V648" s="38"/>
      <c r="W648" s="38" t="str">
        <f>IF(B648="","",COUNTIFS(Ejecucion[No. Solicitud],Registro!B648,Ejecucion[Estado],"Finalizado"))</f>
        <v/>
      </c>
      <c r="X648" s="38" t="str">
        <f>IF(B648="","",COUNTIFS(Ejecucion[No. Solicitud],Registro!B648,Ejecucion[Estado],"No Iniciado"))</f>
        <v/>
      </c>
      <c r="Y648" s="64" t="str">
        <f>IF(B648="","",COUNTIFS(Ejecucion[No. Solicitud],Registro!B648,Ejecucion[Estado],"En Proceso"))</f>
        <v/>
      </c>
      <c r="Z648" s="64" t="str">
        <f t="shared" si="21"/>
        <v/>
      </c>
      <c r="AA648" s="64"/>
      <c r="AB648" s="64"/>
      <c r="AC648" s="64"/>
      <c r="AD648" s="102"/>
    </row>
    <row r="649" spans="2:30" s="15" customFormat="1">
      <c r="B649" s="36"/>
      <c r="C649" s="102"/>
      <c r="D649" s="36"/>
      <c r="E649" s="22"/>
      <c r="F649" s="83"/>
      <c r="G649" s="83"/>
      <c r="H649" s="25"/>
      <c r="I649" s="25"/>
      <c r="J649" s="25"/>
      <c r="K649" s="25"/>
      <c r="L649" s="36"/>
      <c r="M649" s="36"/>
      <c r="N649" s="36"/>
      <c r="O649" s="102"/>
      <c r="P649" s="36"/>
      <c r="Q649" s="36"/>
      <c r="R649" s="37"/>
      <c r="S649" s="37"/>
      <c r="T649" s="60" t="str">
        <f t="shared" si="22"/>
        <v/>
      </c>
      <c r="U649" s="38"/>
      <c r="V649" s="38"/>
      <c r="W649" s="38" t="str">
        <f>IF(B649="","",COUNTIFS(Ejecucion[No. Solicitud],Registro!B649,Ejecucion[Estado],"Finalizado"))</f>
        <v/>
      </c>
      <c r="X649" s="38" t="str">
        <f>IF(B649="","",COUNTIFS(Ejecucion[No. Solicitud],Registro!B649,Ejecucion[Estado],"No Iniciado"))</f>
        <v/>
      </c>
      <c r="Y649" s="64" t="str">
        <f>IF(B649="","",COUNTIFS(Ejecucion[No. Solicitud],Registro!B649,Ejecucion[Estado],"En Proceso"))</f>
        <v/>
      </c>
      <c r="Z649" s="64" t="str">
        <f t="shared" si="21"/>
        <v/>
      </c>
      <c r="AA649" s="64"/>
      <c r="AB649" s="64"/>
      <c r="AC649" s="64"/>
      <c r="AD649" s="102"/>
    </row>
    <row r="650" spans="2:30" s="15" customFormat="1">
      <c r="B650" s="36"/>
      <c r="C650" s="102"/>
      <c r="D650" s="36"/>
      <c r="E650" s="22"/>
      <c r="F650" s="83"/>
      <c r="G650" s="83"/>
      <c r="H650" s="25"/>
      <c r="I650" s="25"/>
      <c r="J650" s="25"/>
      <c r="K650" s="25"/>
      <c r="L650" s="36"/>
      <c r="M650" s="36"/>
      <c r="N650" s="36"/>
      <c r="O650" s="102"/>
      <c r="P650" s="36"/>
      <c r="Q650" s="36"/>
      <c r="R650" s="37"/>
      <c r="S650" s="37"/>
      <c r="T650" s="60" t="str">
        <f t="shared" si="22"/>
        <v/>
      </c>
      <c r="U650" s="38"/>
      <c r="V650" s="38"/>
      <c r="W650" s="38" t="str">
        <f>IF(B650="","",COUNTIFS(Ejecucion[No. Solicitud],Registro!B650,Ejecucion[Estado],"Finalizado"))</f>
        <v/>
      </c>
      <c r="X650" s="38" t="str">
        <f>IF(B650="","",COUNTIFS(Ejecucion[No. Solicitud],Registro!B650,Ejecucion[Estado],"No Iniciado"))</f>
        <v/>
      </c>
      <c r="Y650" s="64" t="str">
        <f>IF(B650="","",COUNTIFS(Ejecucion[No. Solicitud],Registro!B650,Ejecucion[Estado],"En Proceso"))</f>
        <v/>
      </c>
      <c r="Z650" s="64" t="str">
        <f t="shared" si="21"/>
        <v/>
      </c>
      <c r="AA650" s="64"/>
      <c r="AB650" s="64"/>
      <c r="AC650" s="64"/>
      <c r="AD650" s="102"/>
    </row>
    <row r="651" spans="2:30" s="15" customFormat="1">
      <c r="B651" s="36"/>
      <c r="C651" s="102"/>
      <c r="D651" s="36"/>
      <c r="E651" s="22"/>
      <c r="F651" s="83"/>
      <c r="G651" s="83"/>
      <c r="H651" s="25"/>
      <c r="I651" s="25"/>
      <c r="J651" s="25"/>
      <c r="K651" s="25"/>
      <c r="L651" s="36"/>
      <c r="M651" s="36"/>
      <c r="N651" s="36"/>
      <c r="O651" s="102"/>
      <c r="P651" s="36"/>
      <c r="Q651" s="36"/>
      <c r="R651" s="37"/>
      <c r="S651" s="37"/>
      <c r="T651" s="60" t="str">
        <f t="shared" si="22"/>
        <v/>
      </c>
      <c r="U651" s="38"/>
      <c r="V651" s="38"/>
      <c r="W651" s="38" t="str">
        <f>IF(B651="","",COUNTIFS(Ejecucion[No. Solicitud],Registro!B651,Ejecucion[Estado],"Finalizado"))</f>
        <v/>
      </c>
      <c r="X651" s="38" t="str">
        <f>IF(B651="","",COUNTIFS(Ejecucion[No. Solicitud],Registro!B651,Ejecucion[Estado],"No Iniciado"))</f>
        <v/>
      </c>
      <c r="Y651" s="64" t="str">
        <f>IF(B651="","",COUNTIFS(Ejecucion[No. Solicitud],Registro!B651,Ejecucion[Estado],"En Proceso"))</f>
        <v/>
      </c>
      <c r="Z651" s="64" t="str">
        <f t="shared" si="21"/>
        <v/>
      </c>
      <c r="AA651" s="64"/>
      <c r="AB651" s="64"/>
      <c r="AC651" s="64"/>
      <c r="AD651" s="102"/>
    </row>
    <row r="652" spans="2:30" s="15" customFormat="1">
      <c r="B652" s="36"/>
      <c r="C652" s="102"/>
      <c r="D652" s="36"/>
      <c r="E652" s="22"/>
      <c r="F652" s="83"/>
      <c r="G652" s="83"/>
      <c r="H652" s="25"/>
      <c r="I652" s="25"/>
      <c r="J652" s="25"/>
      <c r="K652" s="25"/>
      <c r="L652" s="36"/>
      <c r="M652" s="36"/>
      <c r="N652" s="36"/>
      <c r="O652" s="102"/>
      <c r="P652" s="36"/>
      <c r="Q652" s="36"/>
      <c r="R652" s="37"/>
      <c r="S652" s="37"/>
      <c r="T652" s="60" t="str">
        <f t="shared" si="22"/>
        <v/>
      </c>
      <c r="U652" s="38"/>
      <c r="V652" s="38"/>
      <c r="W652" s="38" t="str">
        <f>IF(B652="","",COUNTIFS(Ejecucion[No. Solicitud],Registro!B652,Ejecucion[Estado],"Finalizado"))</f>
        <v/>
      </c>
      <c r="X652" s="38" t="str">
        <f>IF(B652="","",COUNTIFS(Ejecucion[No. Solicitud],Registro!B652,Ejecucion[Estado],"No Iniciado"))</f>
        <v/>
      </c>
      <c r="Y652" s="64" t="str">
        <f>IF(B652="","",COUNTIFS(Ejecucion[No. Solicitud],Registro!B652,Ejecucion[Estado],"En Proceso"))</f>
        <v/>
      </c>
      <c r="Z652" s="64" t="str">
        <f t="shared" si="21"/>
        <v/>
      </c>
      <c r="AA652" s="64"/>
      <c r="AB652" s="64"/>
      <c r="AC652" s="64"/>
      <c r="AD652" s="102"/>
    </row>
    <row r="653" spans="2:30" s="15" customFormat="1">
      <c r="B653" s="36"/>
      <c r="C653" s="102"/>
      <c r="D653" s="36"/>
      <c r="E653" s="22"/>
      <c r="F653" s="83"/>
      <c r="G653" s="83"/>
      <c r="H653" s="25"/>
      <c r="I653" s="25"/>
      <c r="J653" s="25"/>
      <c r="K653" s="25"/>
      <c r="L653" s="36"/>
      <c r="M653" s="36"/>
      <c r="N653" s="36"/>
      <c r="O653" s="102"/>
      <c r="P653" s="36"/>
      <c r="Q653" s="36"/>
      <c r="R653" s="37"/>
      <c r="S653" s="37"/>
      <c r="T653" s="60" t="str">
        <f t="shared" si="22"/>
        <v/>
      </c>
      <c r="U653" s="38"/>
      <c r="V653" s="38"/>
      <c r="W653" s="38" t="str">
        <f>IF(B653="","",COUNTIFS(Ejecucion[No. Solicitud],Registro!B653,Ejecucion[Estado],"Finalizado"))</f>
        <v/>
      </c>
      <c r="X653" s="38" t="str">
        <f>IF(B653="","",COUNTIFS(Ejecucion[No. Solicitud],Registro!B653,Ejecucion[Estado],"No Iniciado"))</f>
        <v/>
      </c>
      <c r="Y653" s="64" t="str">
        <f>IF(B653="","",COUNTIFS(Ejecucion[No. Solicitud],Registro!B653,Ejecucion[Estado],"En Proceso"))</f>
        <v/>
      </c>
      <c r="Z653" s="64" t="str">
        <f t="shared" si="21"/>
        <v/>
      </c>
      <c r="AA653" s="64"/>
      <c r="AB653" s="64"/>
      <c r="AC653" s="64"/>
      <c r="AD653" s="102"/>
    </row>
    <row r="654" spans="2:30" s="15" customFormat="1">
      <c r="B654" s="36"/>
      <c r="C654" s="102"/>
      <c r="D654" s="36"/>
      <c r="E654" s="22"/>
      <c r="F654" s="83"/>
      <c r="G654" s="83"/>
      <c r="H654" s="25"/>
      <c r="I654" s="25"/>
      <c r="J654" s="25"/>
      <c r="K654" s="25"/>
      <c r="L654" s="36"/>
      <c r="M654" s="36"/>
      <c r="N654" s="36"/>
      <c r="O654" s="102"/>
      <c r="P654" s="36"/>
      <c r="Q654" s="36"/>
      <c r="R654" s="37"/>
      <c r="S654" s="37"/>
      <c r="T654" s="60" t="str">
        <f t="shared" si="22"/>
        <v/>
      </c>
      <c r="U654" s="38"/>
      <c r="V654" s="38"/>
      <c r="W654" s="38" t="str">
        <f>IF(B654="","",COUNTIFS(Ejecucion[No. Solicitud],Registro!B654,Ejecucion[Estado],"Finalizado"))</f>
        <v/>
      </c>
      <c r="X654" s="38" t="str">
        <f>IF(B654="","",COUNTIFS(Ejecucion[No. Solicitud],Registro!B654,Ejecucion[Estado],"No Iniciado"))</f>
        <v/>
      </c>
      <c r="Y654" s="64" t="str">
        <f>IF(B654="","",COUNTIFS(Ejecucion[No. Solicitud],Registro!B654,Ejecucion[Estado],"En Proceso"))</f>
        <v/>
      </c>
      <c r="Z654" s="64" t="str">
        <f t="shared" si="21"/>
        <v/>
      </c>
      <c r="AA654" s="64"/>
      <c r="AB654" s="64"/>
      <c r="AC654" s="64"/>
      <c r="AD654" s="102"/>
    </row>
    <row r="655" spans="2:30" s="15" customFormat="1">
      <c r="B655" s="36"/>
      <c r="C655" s="102"/>
      <c r="D655" s="36"/>
      <c r="E655" s="22"/>
      <c r="F655" s="83"/>
      <c r="G655" s="83"/>
      <c r="H655" s="25"/>
      <c r="I655" s="25"/>
      <c r="J655" s="25"/>
      <c r="K655" s="25"/>
      <c r="L655" s="36"/>
      <c r="M655" s="36"/>
      <c r="N655" s="36"/>
      <c r="O655" s="102"/>
      <c r="P655" s="36"/>
      <c r="Q655" s="36"/>
      <c r="R655" s="37"/>
      <c r="S655" s="37"/>
      <c r="T655" s="60" t="str">
        <f t="shared" si="22"/>
        <v/>
      </c>
      <c r="U655" s="38"/>
      <c r="V655" s="38"/>
      <c r="W655" s="38" t="str">
        <f>IF(B655="","",COUNTIFS(Ejecucion[No. Solicitud],Registro!B655,Ejecucion[Estado],"Finalizado"))</f>
        <v/>
      </c>
      <c r="X655" s="38" t="str">
        <f>IF(B655="","",COUNTIFS(Ejecucion[No. Solicitud],Registro!B655,Ejecucion[Estado],"No Iniciado"))</f>
        <v/>
      </c>
      <c r="Y655" s="64" t="str">
        <f>IF(B655="","",COUNTIFS(Ejecucion[No. Solicitud],Registro!B655,Ejecucion[Estado],"En Proceso"))</f>
        <v/>
      </c>
      <c r="Z655" s="64" t="str">
        <f t="shared" si="21"/>
        <v/>
      </c>
      <c r="AA655" s="64"/>
      <c r="AB655" s="64"/>
      <c r="AC655" s="64"/>
      <c r="AD655" s="102"/>
    </row>
    <row r="656" spans="2:30" s="15" customFormat="1">
      <c r="B656" s="36"/>
      <c r="C656" s="102"/>
      <c r="D656" s="36"/>
      <c r="E656" s="22"/>
      <c r="F656" s="83"/>
      <c r="G656" s="83"/>
      <c r="H656" s="25"/>
      <c r="I656" s="25"/>
      <c r="J656" s="25"/>
      <c r="K656" s="25"/>
      <c r="L656" s="36"/>
      <c r="M656" s="36"/>
      <c r="N656" s="36"/>
      <c r="O656" s="102"/>
      <c r="P656" s="36"/>
      <c r="Q656" s="36"/>
      <c r="R656" s="37"/>
      <c r="S656" s="37"/>
      <c r="T656" s="60" t="str">
        <f t="shared" si="22"/>
        <v/>
      </c>
      <c r="U656" s="38"/>
      <c r="V656" s="38"/>
      <c r="W656" s="38" t="str">
        <f>IF(B656="","",COUNTIFS(Ejecucion[No. Solicitud],Registro!B656,Ejecucion[Estado],"Finalizado"))</f>
        <v/>
      </c>
      <c r="X656" s="38" t="str">
        <f>IF(B656="","",COUNTIFS(Ejecucion[No. Solicitud],Registro!B656,Ejecucion[Estado],"No Iniciado"))</f>
        <v/>
      </c>
      <c r="Y656" s="64" t="str">
        <f>IF(B656="","",COUNTIFS(Ejecucion[No. Solicitud],Registro!B656,Ejecucion[Estado],"En Proceso"))</f>
        <v/>
      </c>
      <c r="Z656" s="64" t="str">
        <f t="shared" si="21"/>
        <v/>
      </c>
      <c r="AA656" s="64"/>
      <c r="AB656" s="64"/>
      <c r="AC656" s="64"/>
      <c r="AD656" s="102"/>
    </row>
    <row r="657" spans="2:30" s="15" customFormat="1">
      <c r="B657" s="36"/>
      <c r="C657" s="102"/>
      <c r="D657" s="36"/>
      <c r="E657" s="22"/>
      <c r="F657" s="83"/>
      <c r="G657" s="83"/>
      <c r="H657" s="25"/>
      <c r="I657" s="25"/>
      <c r="J657" s="25"/>
      <c r="K657" s="25"/>
      <c r="L657" s="36"/>
      <c r="M657" s="36"/>
      <c r="N657" s="36"/>
      <c r="O657" s="102"/>
      <c r="P657" s="36"/>
      <c r="Q657" s="36"/>
      <c r="R657" s="37"/>
      <c r="S657" s="37"/>
      <c r="T657" s="60" t="str">
        <f t="shared" si="22"/>
        <v/>
      </c>
      <c r="U657" s="38"/>
      <c r="V657" s="38"/>
      <c r="W657" s="38" t="str">
        <f>IF(B657="","",COUNTIFS(Ejecucion[No. Solicitud],Registro!B657,Ejecucion[Estado],"Finalizado"))</f>
        <v/>
      </c>
      <c r="X657" s="38" t="str">
        <f>IF(B657="","",COUNTIFS(Ejecucion[No. Solicitud],Registro!B657,Ejecucion[Estado],"No Iniciado"))</f>
        <v/>
      </c>
      <c r="Y657" s="64" t="str">
        <f>IF(B657="","",COUNTIFS(Ejecucion[No. Solicitud],Registro!B657,Ejecucion[Estado],"En Proceso"))</f>
        <v/>
      </c>
      <c r="Z657" s="64" t="str">
        <f t="shared" si="21"/>
        <v/>
      </c>
      <c r="AA657" s="64"/>
      <c r="AB657" s="64"/>
      <c r="AC657" s="64"/>
      <c r="AD657" s="102"/>
    </row>
    <row r="658" spans="2:30" s="15" customFormat="1">
      <c r="B658" s="36"/>
      <c r="C658" s="102"/>
      <c r="D658" s="36"/>
      <c r="E658" s="22"/>
      <c r="F658" s="83"/>
      <c r="G658" s="83"/>
      <c r="H658" s="25"/>
      <c r="I658" s="25"/>
      <c r="J658" s="25"/>
      <c r="K658" s="25"/>
      <c r="L658" s="36"/>
      <c r="M658" s="36"/>
      <c r="N658" s="36"/>
      <c r="O658" s="102"/>
      <c r="P658" s="36"/>
      <c r="Q658" s="36"/>
      <c r="R658" s="37"/>
      <c r="S658" s="37"/>
      <c r="T658" s="60" t="str">
        <f t="shared" si="22"/>
        <v/>
      </c>
      <c r="U658" s="38"/>
      <c r="V658" s="38"/>
      <c r="W658" s="38" t="str">
        <f>IF(B658="","",COUNTIFS(Ejecucion[No. Solicitud],Registro!B658,Ejecucion[Estado],"Finalizado"))</f>
        <v/>
      </c>
      <c r="X658" s="38" t="str">
        <f>IF(B658="","",COUNTIFS(Ejecucion[No. Solicitud],Registro!B658,Ejecucion[Estado],"No Iniciado"))</f>
        <v/>
      </c>
      <c r="Y658" s="64" t="str">
        <f>IF(B658="","",COUNTIFS(Ejecucion[No. Solicitud],Registro!B658,Ejecucion[Estado],"En Proceso"))</f>
        <v/>
      </c>
      <c r="Z658" s="64" t="str">
        <f t="shared" si="21"/>
        <v/>
      </c>
      <c r="AA658" s="64"/>
      <c r="AB658" s="64"/>
      <c r="AC658" s="64"/>
      <c r="AD658" s="102"/>
    </row>
    <row r="659" spans="2:30" s="15" customFormat="1">
      <c r="B659" s="36"/>
      <c r="C659" s="102"/>
      <c r="D659" s="36"/>
      <c r="E659" s="22"/>
      <c r="F659" s="83"/>
      <c r="G659" s="83"/>
      <c r="H659" s="25"/>
      <c r="I659" s="25"/>
      <c r="J659" s="25"/>
      <c r="K659" s="25"/>
      <c r="L659" s="36"/>
      <c r="M659" s="36"/>
      <c r="N659" s="36"/>
      <c r="O659" s="102"/>
      <c r="P659" s="36"/>
      <c r="Q659" s="36"/>
      <c r="R659" s="37"/>
      <c r="S659" s="37"/>
      <c r="T659" s="60" t="str">
        <f t="shared" si="22"/>
        <v/>
      </c>
      <c r="U659" s="38"/>
      <c r="V659" s="38"/>
      <c r="W659" s="38" t="str">
        <f>IF(B659="","",COUNTIFS(Ejecucion[No. Solicitud],Registro!B659,Ejecucion[Estado],"Finalizado"))</f>
        <v/>
      </c>
      <c r="X659" s="38" t="str">
        <f>IF(B659="","",COUNTIFS(Ejecucion[No. Solicitud],Registro!B659,Ejecucion[Estado],"No Iniciado"))</f>
        <v/>
      </c>
      <c r="Y659" s="64" t="str">
        <f>IF(B659="","",COUNTIFS(Ejecucion[No. Solicitud],Registro!B659,Ejecucion[Estado],"En Proceso"))</f>
        <v/>
      </c>
      <c r="Z659" s="64" t="str">
        <f t="shared" si="21"/>
        <v/>
      </c>
      <c r="AA659" s="64"/>
      <c r="AB659" s="64"/>
      <c r="AC659" s="64"/>
      <c r="AD659" s="102"/>
    </row>
    <row r="660" spans="2:30" s="15" customFormat="1">
      <c r="B660" s="36"/>
      <c r="C660" s="102"/>
      <c r="D660" s="36"/>
      <c r="E660" s="22"/>
      <c r="F660" s="83"/>
      <c r="G660" s="83"/>
      <c r="H660" s="25"/>
      <c r="I660" s="25"/>
      <c r="J660" s="25"/>
      <c r="K660" s="25"/>
      <c r="L660" s="36"/>
      <c r="M660" s="36"/>
      <c r="N660" s="36"/>
      <c r="O660" s="102"/>
      <c r="P660" s="36"/>
      <c r="Q660" s="36"/>
      <c r="R660" s="37"/>
      <c r="S660" s="37"/>
      <c r="T660" s="60" t="str">
        <f t="shared" si="22"/>
        <v/>
      </c>
      <c r="U660" s="38"/>
      <c r="V660" s="38"/>
      <c r="W660" s="38" t="str">
        <f>IF(B660="","",COUNTIFS(Ejecucion[No. Solicitud],Registro!B660,Ejecucion[Estado],"Finalizado"))</f>
        <v/>
      </c>
      <c r="X660" s="38" t="str">
        <f>IF(B660="","",COUNTIFS(Ejecucion[No. Solicitud],Registro!B660,Ejecucion[Estado],"No Iniciado"))</f>
        <v/>
      </c>
      <c r="Y660" s="64" t="str">
        <f>IF(B660="","",COUNTIFS(Ejecucion[No. Solicitud],Registro!B660,Ejecucion[Estado],"En Proceso"))</f>
        <v/>
      </c>
      <c r="Z660" s="64" t="str">
        <f t="shared" si="21"/>
        <v/>
      </c>
      <c r="AA660" s="64"/>
      <c r="AB660" s="64"/>
      <c r="AC660" s="64"/>
      <c r="AD660" s="102"/>
    </row>
    <row r="661" spans="2:30" s="15" customFormat="1">
      <c r="B661" s="36"/>
      <c r="C661" s="102"/>
      <c r="D661" s="36"/>
      <c r="E661" s="22"/>
      <c r="F661" s="83"/>
      <c r="G661" s="83"/>
      <c r="H661" s="25"/>
      <c r="I661" s="25"/>
      <c r="J661" s="25"/>
      <c r="K661" s="25"/>
      <c r="L661" s="36"/>
      <c r="M661" s="36"/>
      <c r="N661" s="36"/>
      <c r="O661" s="102"/>
      <c r="P661" s="36"/>
      <c r="Q661" s="36"/>
      <c r="R661" s="37"/>
      <c r="S661" s="37"/>
      <c r="T661" s="60" t="str">
        <f t="shared" si="22"/>
        <v/>
      </c>
      <c r="U661" s="38"/>
      <c r="V661" s="38"/>
      <c r="W661" s="38" t="str">
        <f>IF(B661="","",COUNTIFS(Ejecucion[No. Solicitud],Registro!B661,Ejecucion[Estado],"Finalizado"))</f>
        <v/>
      </c>
      <c r="X661" s="38" t="str">
        <f>IF(B661="","",COUNTIFS(Ejecucion[No. Solicitud],Registro!B661,Ejecucion[Estado],"No Iniciado"))</f>
        <v/>
      </c>
      <c r="Y661" s="64" t="str">
        <f>IF(B661="","",COUNTIFS(Ejecucion[No. Solicitud],Registro!B661,Ejecucion[Estado],"En Proceso"))</f>
        <v/>
      </c>
      <c r="Z661" s="64" t="str">
        <f t="shared" si="21"/>
        <v/>
      </c>
      <c r="AA661" s="64"/>
      <c r="AB661" s="64"/>
      <c r="AC661" s="64"/>
      <c r="AD661" s="102"/>
    </row>
    <row r="662" spans="2:30" s="15" customFormat="1">
      <c r="B662" s="36"/>
      <c r="C662" s="102"/>
      <c r="D662" s="36"/>
      <c r="E662" s="22"/>
      <c r="F662" s="83"/>
      <c r="G662" s="83"/>
      <c r="H662" s="25"/>
      <c r="I662" s="25"/>
      <c r="J662" s="25"/>
      <c r="K662" s="25"/>
      <c r="L662" s="36"/>
      <c r="M662" s="36"/>
      <c r="N662" s="36"/>
      <c r="O662" s="102"/>
      <c r="P662" s="36"/>
      <c r="Q662" s="36"/>
      <c r="R662" s="37"/>
      <c r="S662" s="37"/>
      <c r="T662" s="60" t="str">
        <f t="shared" si="22"/>
        <v/>
      </c>
      <c r="U662" s="38"/>
      <c r="V662" s="38"/>
      <c r="W662" s="38" t="str">
        <f>IF(B662="","",COUNTIFS(Ejecucion[No. Solicitud],Registro!B662,Ejecucion[Estado],"Finalizado"))</f>
        <v/>
      </c>
      <c r="X662" s="38" t="str">
        <f>IF(B662="","",COUNTIFS(Ejecucion[No. Solicitud],Registro!B662,Ejecucion[Estado],"No Iniciado"))</f>
        <v/>
      </c>
      <c r="Y662" s="64" t="str">
        <f>IF(B662="","",COUNTIFS(Ejecucion[No. Solicitud],Registro!B662,Ejecucion[Estado],"En Proceso"))</f>
        <v/>
      </c>
      <c r="Z662" s="64" t="str">
        <f t="shared" si="21"/>
        <v/>
      </c>
      <c r="AA662" s="64"/>
      <c r="AB662" s="64"/>
      <c r="AC662" s="64"/>
      <c r="AD662" s="102"/>
    </row>
    <row r="663" spans="2:30" s="15" customFormat="1">
      <c r="B663" s="36"/>
      <c r="C663" s="102"/>
      <c r="D663" s="36"/>
      <c r="E663" s="22"/>
      <c r="F663" s="83"/>
      <c r="G663" s="83"/>
      <c r="H663" s="25"/>
      <c r="I663" s="25"/>
      <c r="J663" s="25"/>
      <c r="K663" s="25"/>
      <c r="L663" s="36"/>
      <c r="M663" s="36"/>
      <c r="N663" s="36"/>
      <c r="O663" s="102"/>
      <c r="P663" s="36"/>
      <c r="Q663" s="36"/>
      <c r="R663" s="37"/>
      <c r="S663" s="37"/>
      <c r="T663" s="60" t="str">
        <f t="shared" si="22"/>
        <v/>
      </c>
      <c r="U663" s="38"/>
      <c r="V663" s="38"/>
      <c r="W663" s="38" t="str">
        <f>IF(B663="","",COUNTIFS(Ejecucion[No. Solicitud],Registro!B663,Ejecucion[Estado],"Finalizado"))</f>
        <v/>
      </c>
      <c r="X663" s="38" t="str">
        <f>IF(B663="","",COUNTIFS(Ejecucion[No. Solicitud],Registro!B663,Ejecucion[Estado],"No Iniciado"))</f>
        <v/>
      </c>
      <c r="Y663" s="64" t="str">
        <f>IF(B663="","",COUNTIFS(Ejecucion[No. Solicitud],Registro!B663,Ejecucion[Estado],"En Proceso"))</f>
        <v/>
      </c>
      <c r="Z663" s="64" t="str">
        <f t="shared" si="21"/>
        <v/>
      </c>
      <c r="AA663" s="64"/>
      <c r="AB663" s="64"/>
      <c r="AC663" s="64"/>
      <c r="AD663" s="102"/>
    </row>
    <row r="664" spans="2:30" s="15" customFormat="1">
      <c r="B664" s="36"/>
      <c r="C664" s="102"/>
      <c r="D664" s="36"/>
      <c r="E664" s="22"/>
      <c r="F664" s="83"/>
      <c r="G664" s="83"/>
      <c r="H664" s="25"/>
      <c r="I664" s="25"/>
      <c r="J664" s="25"/>
      <c r="K664" s="25"/>
      <c r="L664" s="36"/>
      <c r="M664" s="36"/>
      <c r="N664" s="36"/>
      <c r="O664" s="102"/>
      <c r="P664" s="36"/>
      <c r="Q664" s="36"/>
      <c r="R664" s="37"/>
      <c r="S664" s="37"/>
      <c r="T664" s="60" t="str">
        <f t="shared" si="22"/>
        <v/>
      </c>
      <c r="U664" s="38"/>
      <c r="V664" s="38"/>
      <c r="W664" s="38" t="str">
        <f>IF(B664="","",COUNTIFS(Ejecucion[No. Solicitud],Registro!B664,Ejecucion[Estado],"Finalizado"))</f>
        <v/>
      </c>
      <c r="X664" s="38" t="str">
        <f>IF(B664="","",COUNTIFS(Ejecucion[No. Solicitud],Registro!B664,Ejecucion[Estado],"No Iniciado"))</f>
        <v/>
      </c>
      <c r="Y664" s="64" t="str">
        <f>IF(B664="","",COUNTIFS(Ejecucion[No. Solicitud],Registro!B664,Ejecucion[Estado],"En Proceso"))</f>
        <v/>
      </c>
      <c r="Z664" s="64" t="str">
        <f t="shared" si="21"/>
        <v/>
      </c>
      <c r="AA664" s="64"/>
      <c r="AB664" s="64"/>
      <c r="AC664" s="64"/>
      <c r="AD664" s="102"/>
    </row>
    <row r="665" spans="2:30" s="15" customFormat="1">
      <c r="B665" s="36"/>
      <c r="C665" s="102"/>
      <c r="D665" s="36"/>
      <c r="E665" s="22"/>
      <c r="F665" s="83"/>
      <c r="G665" s="83"/>
      <c r="H665" s="25"/>
      <c r="I665" s="25"/>
      <c r="J665" s="25"/>
      <c r="K665" s="25"/>
      <c r="L665" s="36"/>
      <c r="M665" s="36"/>
      <c r="N665" s="36"/>
      <c r="O665" s="102"/>
      <c r="P665" s="36"/>
      <c r="Q665" s="36"/>
      <c r="R665" s="37"/>
      <c r="S665" s="37"/>
      <c r="T665" s="60" t="str">
        <f t="shared" si="22"/>
        <v/>
      </c>
      <c r="U665" s="38"/>
      <c r="V665" s="38"/>
      <c r="W665" s="38" t="str">
        <f>IF(B665="","",COUNTIFS(Ejecucion[No. Solicitud],Registro!B665,Ejecucion[Estado],"Finalizado"))</f>
        <v/>
      </c>
      <c r="X665" s="38" t="str">
        <f>IF(B665="","",COUNTIFS(Ejecucion[No. Solicitud],Registro!B665,Ejecucion[Estado],"No Iniciado"))</f>
        <v/>
      </c>
      <c r="Y665" s="64" t="str">
        <f>IF(B665="","",COUNTIFS(Ejecucion[No. Solicitud],Registro!B665,Ejecucion[Estado],"En Proceso"))</f>
        <v/>
      </c>
      <c r="Z665" s="64" t="str">
        <f t="shared" si="21"/>
        <v/>
      </c>
      <c r="AA665" s="64"/>
      <c r="AB665" s="64"/>
      <c r="AC665" s="64"/>
      <c r="AD665" s="102"/>
    </row>
    <row r="666" spans="2:30" s="15" customFormat="1">
      <c r="B666" s="36"/>
      <c r="C666" s="102"/>
      <c r="D666" s="36"/>
      <c r="E666" s="22"/>
      <c r="F666" s="83"/>
      <c r="G666" s="83"/>
      <c r="H666" s="25"/>
      <c r="I666" s="25"/>
      <c r="J666" s="25"/>
      <c r="K666" s="25"/>
      <c r="L666" s="36"/>
      <c r="M666" s="36"/>
      <c r="N666" s="36"/>
      <c r="O666" s="102"/>
      <c r="P666" s="36"/>
      <c r="Q666" s="36"/>
      <c r="R666" s="37"/>
      <c r="S666" s="37"/>
      <c r="T666" s="60" t="str">
        <f t="shared" si="22"/>
        <v/>
      </c>
      <c r="U666" s="38"/>
      <c r="V666" s="38"/>
      <c r="W666" s="38" t="str">
        <f>IF(B666="","",COUNTIFS(Ejecucion[No. Solicitud],Registro!B666,Ejecucion[Estado],"Finalizado"))</f>
        <v/>
      </c>
      <c r="X666" s="38" t="str">
        <f>IF(B666="","",COUNTIFS(Ejecucion[No. Solicitud],Registro!B666,Ejecucion[Estado],"No Iniciado"))</f>
        <v/>
      </c>
      <c r="Y666" s="64" t="str">
        <f>IF(B666="","",COUNTIFS(Ejecucion[No. Solicitud],Registro!B666,Ejecucion[Estado],"En Proceso"))</f>
        <v/>
      </c>
      <c r="Z666" s="64" t="str">
        <f t="shared" ref="Z666:Z729" si="23">IF(U666="","",IF(F666="Virtual Asincrónico",1,V666*U666))</f>
        <v/>
      </c>
      <c r="AA666" s="64"/>
      <c r="AB666" s="64"/>
      <c r="AC666" s="64"/>
      <c r="AD666" s="102"/>
    </row>
    <row r="667" spans="2:30" s="15" customFormat="1">
      <c r="B667" s="36"/>
      <c r="C667" s="102"/>
      <c r="D667" s="36"/>
      <c r="E667" s="22"/>
      <c r="F667" s="83"/>
      <c r="G667" s="83"/>
      <c r="H667" s="25"/>
      <c r="I667" s="25"/>
      <c r="J667" s="25"/>
      <c r="K667" s="25"/>
      <c r="L667" s="36"/>
      <c r="M667" s="36"/>
      <c r="N667" s="36"/>
      <c r="O667" s="102"/>
      <c r="P667" s="36"/>
      <c r="Q667" s="36"/>
      <c r="R667" s="37"/>
      <c r="S667" s="37"/>
      <c r="T667" s="60" t="str">
        <f t="shared" si="22"/>
        <v/>
      </c>
      <c r="U667" s="38"/>
      <c r="V667" s="38"/>
      <c r="W667" s="38" t="str">
        <f>IF(B667="","",COUNTIFS(Ejecucion[No. Solicitud],Registro!B667,Ejecucion[Estado],"Finalizado"))</f>
        <v/>
      </c>
      <c r="X667" s="38" t="str">
        <f>IF(B667="","",COUNTIFS(Ejecucion[No. Solicitud],Registro!B667,Ejecucion[Estado],"No Iniciado"))</f>
        <v/>
      </c>
      <c r="Y667" s="64" t="str">
        <f>IF(B667="","",COUNTIFS(Ejecucion[No. Solicitud],Registro!B667,Ejecucion[Estado],"En Proceso"))</f>
        <v/>
      </c>
      <c r="Z667" s="64" t="str">
        <f t="shared" si="23"/>
        <v/>
      </c>
      <c r="AA667" s="64"/>
      <c r="AB667" s="64"/>
      <c r="AC667" s="64"/>
      <c r="AD667" s="102"/>
    </row>
    <row r="668" spans="2:30" s="15" customFormat="1">
      <c r="B668" s="36"/>
      <c r="C668" s="102"/>
      <c r="D668" s="36"/>
      <c r="E668" s="22"/>
      <c r="F668" s="83"/>
      <c r="G668" s="83"/>
      <c r="H668" s="25"/>
      <c r="I668" s="25"/>
      <c r="J668" s="25"/>
      <c r="K668" s="25"/>
      <c r="L668" s="36"/>
      <c r="M668" s="36"/>
      <c r="N668" s="36"/>
      <c r="O668" s="102"/>
      <c r="P668" s="36"/>
      <c r="Q668" s="36"/>
      <c r="R668" s="37"/>
      <c r="S668" s="37"/>
      <c r="T668" s="60" t="str">
        <f t="shared" si="22"/>
        <v/>
      </c>
      <c r="U668" s="38"/>
      <c r="V668" s="38"/>
      <c r="W668" s="38" t="str">
        <f>IF(B668="","",COUNTIFS(Ejecucion[No. Solicitud],Registro!B668,Ejecucion[Estado],"Finalizado"))</f>
        <v/>
      </c>
      <c r="X668" s="38" t="str">
        <f>IF(B668="","",COUNTIFS(Ejecucion[No. Solicitud],Registro!B668,Ejecucion[Estado],"No Iniciado"))</f>
        <v/>
      </c>
      <c r="Y668" s="64" t="str">
        <f>IF(B668="","",COUNTIFS(Ejecucion[No. Solicitud],Registro!B668,Ejecucion[Estado],"En Proceso"))</f>
        <v/>
      </c>
      <c r="Z668" s="64" t="str">
        <f t="shared" si="23"/>
        <v/>
      </c>
      <c r="AA668" s="64"/>
      <c r="AB668" s="64"/>
      <c r="AC668" s="64"/>
      <c r="AD668" s="102"/>
    </row>
    <row r="669" spans="2:30" s="15" customFormat="1">
      <c r="B669" s="36"/>
      <c r="C669" s="102"/>
      <c r="D669" s="36"/>
      <c r="E669" s="22"/>
      <c r="F669" s="83"/>
      <c r="G669" s="83"/>
      <c r="H669" s="25"/>
      <c r="I669" s="25"/>
      <c r="J669" s="25"/>
      <c r="K669" s="25"/>
      <c r="L669" s="36"/>
      <c r="M669" s="36"/>
      <c r="N669" s="36"/>
      <c r="O669" s="102"/>
      <c r="P669" s="36"/>
      <c r="Q669" s="36"/>
      <c r="R669" s="37"/>
      <c r="S669" s="37"/>
      <c r="T669" s="60" t="str">
        <f t="shared" si="22"/>
        <v/>
      </c>
      <c r="U669" s="38"/>
      <c r="V669" s="38"/>
      <c r="W669" s="38" t="str">
        <f>IF(B669="","",COUNTIFS(Ejecucion[No. Solicitud],Registro!B669,Ejecucion[Estado],"Finalizado"))</f>
        <v/>
      </c>
      <c r="X669" s="38" t="str">
        <f>IF(B669="","",COUNTIFS(Ejecucion[No. Solicitud],Registro!B669,Ejecucion[Estado],"No Iniciado"))</f>
        <v/>
      </c>
      <c r="Y669" s="64" t="str">
        <f>IF(B669="","",COUNTIFS(Ejecucion[No. Solicitud],Registro!B669,Ejecucion[Estado],"En Proceso"))</f>
        <v/>
      </c>
      <c r="Z669" s="64" t="str">
        <f t="shared" si="23"/>
        <v/>
      </c>
      <c r="AA669" s="64"/>
      <c r="AB669" s="64"/>
      <c r="AC669" s="64"/>
      <c r="AD669" s="102"/>
    </row>
    <row r="670" spans="2:30" s="15" customFormat="1">
      <c r="B670" s="36"/>
      <c r="C670" s="102"/>
      <c r="D670" s="36"/>
      <c r="E670" s="22"/>
      <c r="F670" s="83"/>
      <c r="G670" s="83"/>
      <c r="H670" s="25"/>
      <c r="I670" s="25"/>
      <c r="J670" s="25"/>
      <c r="K670" s="25"/>
      <c r="L670" s="36"/>
      <c r="M670" s="36"/>
      <c r="N670" s="36"/>
      <c r="O670" s="102"/>
      <c r="P670" s="36"/>
      <c r="Q670" s="36"/>
      <c r="R670" s="37"/>
      <c r="S670" s="37"/>
      <c r="T670" s="60" t="str">
        <f t="shared" si="22"/>
        <v/>
      </c>
      <c r="U670" s="38"/>
      <c r="V670" s="38"/>
      <c r="W670" s="38" t="str">
        <f>IF(B670="","",COUNTIFS(Ejecucion[No. Solicitud],Registro!B670,Ejecucion[Estado],"Finalizado"))</f>
        <v/>
      </c>
      <c r="X670" s="38" t="str">
        <f>IF(B670="","",COUNTIFS(Ejecucion[No. Solicitud],Registro!B670,Ejecucion[Estado],"No Iniciado"))</f>
        <v/>
      </c>
      <c r="Y670" s="64" t="str">
        <f>IF(B670="","",COUNTIFS(Ejecucion[No. Solicitud],Registro!B670,Ejecucion[Estado],"En Proceso"))</f>
        <v/>
      </c>
      <c r="Z670" s="64" t="str">
        <f t="shared" si="23"/>
        <v/>
      </c>
      <c r="AA670" s="64"/>
      <c r="AB670" s="64"/>
      <c r="AC670" s="64"/>
      <c r="AD670" s="102"/>
    </row>
    <row r="671" spans="2:30" s="15" customFormat="1">
      <c r="B671" s="36"/>
      <c r="C671" s="102"/>
      <c r="D671" s="36"/>
      <c r="E671" s="22"/>
      <c r="F671" s="83"/>
      <c r="G671" s="83"/>
      <c r="H671" s="25"/>
      <c r="I671" s="25"/>
      <c r="J671" s="25"/>
      <c r="K671" s="25"/>
      <c r="L671" s="36"/>
      <c r="M671" s="36"/>
      <c r="N671" s="36"/>
      <c r="O671" s="102"/>
      <c r="P671" s="36"/>
      <c r="Q671" s="36"/>
      <c r="R671" s="37"/>
      <c r="S671" s="37"/>
      <c r="T671" s="60" t="str">
        <f t="shared" si="22"/>
        <v/>
      </c>
      <c r="U671" s="38"/>
      <c r="V671" s="38"/>
      <c r="W671" s="38" t="str">
        <f>IF(B671="","",COUNTIFS(Ejecucion[No. Solicitud],Registro!B671,Ejecucion[Estado],"Finalizado"))</f>
        <v/>
      </c>
      <c r="X671" s="38" t="str">
        <f>IF(B671="","",COUNTIFS(Ejecucion[No. Solicitud],Registro!B671,Ejecucion[Estado],"No Iniciado"))</f>
        <v/>
      </c>
      <c r="Y671" s="64" t="str">
        <f>IF(B671="","",COUNTIFS(Ejecucion[No. Solicitud],Registro!B671,Ejecucion[Estado],"En Proceso"))</f>
        <v/>
      </c>
      <c r="Z671" s="64" t="str">
        <f t="shared" si="23"/>
        <v/>
      </c>
      <c r="AA671" s="64"/>
      <c r="AB671" s="64"/>
      <c r="AC671" s="64"/>
      <c r="AD671" s="102"/>
    </row>
    <row r="672" spans="2:30" s="15" customFormat="1">
      <c r="B672" s="36"/>
      <c r="C672" s="102"/>
      <c r="D672" s="36"/>
      <c r="E672" s="22"/>
      <c r="F672" s="83"/>
      <c r="G672" s="83"/>
      <c r="H672" s="25"/>
      <c r="I672" s="25"/>
      <c r="J672" s="25"/>
      <c r="K672" s="25"/>
      <c r="L672" s="36"/>
      <c r="M672" s="36"/>
      <c r="N672" s="36"/>
      <c r="O672" s="102"/>
      <c r="P672" s="36"/>
      <c r="Q672" s="36"/>
      <c r="R672" s="37"/>
      <c r="S672" s="37"/>
      <c r="T672" s="60" t="str">
        <f t="shared" si="22"/>
        <v/>
      </c>
      <c r="U672" s="38"/>
      <c r="V672" s="38"/>
      <c r="W672" s="38" t="str">
        <f>IF(B672="","",COUNTIFS(Ejecucion[No. Solicitud],Registro!B672,Ejecucion[Estado],"Finalizado"))</f>
        <v/>
      </c>
      <c r="X672" s="38" t="str">
        <f>IF(B672="","",COUNTIFS(Ejecucion[No. Solicitud],Registro!B672,Ejecucion[Estado],"No Iniciado"))</f>
        <v/>
      </c>
      <c r="Y672" s="64" t="str">
        <f>IF(B672="","",COUNTIFS(Ejecucion[No. Solicitud],Registro!B672,Ejecucion[Estado],"En Proceso"))</f>
        <v/>
      </c>
      <c r="Z672" s="64" t="str">
        <f t="shared" si="23"/>
        <v/>
      </c>
      <c r="AA672" s="64"/>
      <c r="AB672" s="64"/>
      <c r="AC672" s="64"/>
      <c r="AD672" s="102"/>
    </row>
    <row r="673" spans="2:30" s="15" customFormat="1">
      <c r="B673" s="36"/>
      <c r="C673" s="102"/>
      <c r="D673" s="36"/>
      <c r="E673" s="22"/>
      <c r="F673" s="83"/>
      <c r="G673" s="83"/>
      <c r="H673" s="25"/>
      <c r="I673" s="25"/>
      <c r="J673" s="25"/>
      <c r="K673" s="25"/>
      <c r="L673" s="36"/>
      <c r="M673" s="36"/>
      <c r="N673" s="36"/>
      <c r="O673" s="102"/>
      <c r="P673" s="36"/>
      <c r="Q673" s="36"/>
      <c r="R673" s="37"/>
      <c r="S673" s="37"/>
      <c r="T673" s="60" t="str">
        <f t="shared" si="22"/>
        <v/>
      </c>
      <c r="U673" s="38"/>
      <c r="V673" s="38"/>
      <c r="W673" s="38" t="str">
        <f>IF(B673="","",COUNTIFS(Ejecucion[No. Solicitud],Registro!B673,Ejecucion[Estado],"Finalizado"))</f>
        <v/>
      </c>
      <c r="X673" s="38" t="str">
        <f>IF(B673="","",COUNTIFS(Ejecucion[No. Solicitud],Registro!B673,Ejecucion[Estado],"No Iniciado"))</f>
        <v/>
      </c>
      <c r="Y673" s="64" t="str">
        <f>IF(B673="","",COUNTIFS(Ejecucion[No. Solicitud],Registro!B673,Ejecucion[Estado],"En Proceso"))</f>
        <v/>
      </c>
      <c r="Z673" s="64" t="str">
        <f t="shared" si="23"/>
        <v/>
      </c>
      <c r="AA673" s="64"/>
      <c r="AB673" s="64"/>
      <c r="AC673" s="64"/>
      <c r="AD673" s="102"/>
    </row>
    <row r="674" spans="2:30" s="15" customFormat="1">
      <c r="B674" s="36"/>
      <c r="C674" s="102"/>
      <c r="D674" s="36"/>
      <c r="E674" s="22"/>
      <c r="F674" s="83"/>
      <c r="G674" s="83"/>
      <c r="H674" s="25"/>
      <c r="I674" s="25"/>
      <c r="J674" s="25"/>
      <c r="K674" s="25"/>
      <c r="L674" s="36"/>
      <c r="M674" s="36"/>
      <c r="N674" s="36"/>
      <c r="O674" s="102"/>
      <c r="P674" s="36"/>
      <c r="Q674" s="36"/>
      <c r="R674" s="37"/>
      <c r="S674" s="37"/>
      <c r="T674" s="60" t="str">
        <f t="shared" si="22"/>
        <v/>
      </c>
      <c r="U674" s="38"/>
      <c r="V674" s="38"/>
      <c r="W674" s="38" t="str">
        <f>IF(B674="","",COUNTIFS(Ejecucion[No. Solicitud],Registro!B674,Ejecucion[Estado],"Finalizado"))</f>
        <v/>
      </c>
      <c r="X674" s="38" t="str">
        <f>IF(B674="","",COUNTIFS(Ejecucion[No. Solicitud],Registro!B674,Ejecucion[Estado],"No Iniciado"))</f>
        <v/>
      </c>
      <c r="Y674" s="64" t="str">
        <f>IF(B674="","",COUNTIFS(Ejecucion[No. Solicitud],Registro!B674,Ejecucion[Estado],"En Proceso"))</f>
        <v/>
      </c>
      <c r="Z674" s="64" t="str">
        <f t="shared" si="23"/>
        <v/>
      </c>
      <c r="AA674" s="64"/>
      <c r="AB674" s="64"/>
      <c r="AC674" s="64"/>
      <c r="AD674" s="102"/>
    </row>
    <row r="675" spans="2:30" s="15" customFormat="1">
      <c r="B675" s="36"/>
      <c r="C675" s="102"/>
      <c r="D675" s="36"/>
      <c r="E675" s="22"/>
      <c r="F675" s="83"/>
      <c r="G675" s="83"/>
      <c r="H675" s="25"/>
      <c r="I675" s="25"/>
      <c r="J675" s="25"/>
      <c r="K675" s="25"/>
      <c r="L675" s="36"/>
      <c r="M675" s="36"/>
      <c r="N675" s="36"/>
      <c r="O675" s="102"/>
      <c r="P675" s="36"/>
      <c r="Q675" s="36"/>
      <c r="R675" s="37"/>
      <c r="S675" s="37"/>
      <c r="T675" s="60" t="str">
        <f t="shared" si="22"/>
        <v/>
      </c>
      <c r="U675" s="38"/>
      <c r="V675" s="38"/>
      <c r="W675" s="38" t="str">
        <f>IF(B675="","",COUNTIFS(Ejecucion[No. Solicitud],Registro!B675,Ejecucion[Estado],"Finalizado"))</f>
        <v/>
      </c>
      <c r="X675" s="38" t="str">
        <f>IF(B675="","",COUNTIFS(Ejecucion[No. Solicitud],Registro!B675,Ejecucion[Estado],"No Iniciado"))</f>
        <v/>
      </c>
      <c r="Y675" s="64" t="str">
        <f>IF(B675="","",COUNTIFS(Ejecucion[No. Solicitud],Registro!B675,Ejecucion[Estado],"En Proceso"))</f>
        <v/>
      </c>
      <c r="Z675" s="64" t="str">
        <f t="shared" si="23"/>
        <v/>
      </c>
      <c r="AA675" s="64"/>
      <c r="AB675" s="64"/>
      <c r="AC675" s="64"/>
      <c r="AD675" s="102"/>
    </row>
    <row r="676" spans="2:30" s="15" customFormat="1">
      <c r="B676" s="36"/>
      <c r="C676" s="102"/>
      <c r="D676" s="36"/>
      <c r="E676" s="22"/>
      <c r="F676" s="83"/>
      <c r="G676" s="83"/>
      <c r="H676" s="25"/>
      <c r="I676" s="25"/>
      <c r="J676" s="25"/>
      <c r="K676" s="25"/>
      <c r="L676" s="36"/>
      <c r="M676" s="36"/>
      <c r="N676" s="36"/>
      <c r="O676" s="102"/>
      <c r="P676" s="36"/>
      <c r="Q676" s="36"/>
      <c r="R676" s="37"/>
      <c r="S676" s="37"/>
      <c r="T676" s="60" t="str">
        <f t="shared" si="22"/>
        <v/>
      </c>
      <c r="U676" s="38"/>
      <c r="V676" s="38"/>
      <c r="W676" s="38" t="str">
        <f>IF(B676="","",COUNTIFS(Ejecucion[No. Solicitud],Registro!B676,Ejecucion[Estado],"Finalizado"))</f>
        <v/>
      </c>
      <c r="X676" s="38" t="str">
        <f>IF(B676="","",COUNTIFS(Ejecucion[No. Solicitud],Registro!B676,Ejecucion[Estado],"No Iniciado"))</f>
        <v/>
      </c>
      <c r="Y676" s="64" t="str">
        <f>IF(B676="","",COUNTIFS(Ejecucion[No. Solicitud],Registro!B676,Ejecucion[Estado],"En Proceso"))</f>
        <v/>
      </c>
      <c r="Z676" s="64" t="str">
        <f t="shared" si="23"/>
        <v/>
      </c>
      <c r="AA676" s="64"/>
      <c r="AB676" s="64"/>
      <c r="AC676" s="64"/>
      <c r="AD676" s="102"/>
    </row>
    <row r="677" spans="2:30" s="15" customFormat="1">
      <c r="B677" s="36"/>
      <c r="C677" s="102"/>
      <c r="D677" s="36"/>
      <c r="E677" s="22"/>
      <c r="F677" s="83"/>
      <c r="G677" s="83"/>
      <c r="H677" s="25"/>
      <c r="I677" s="25"/>
      <c r="J677" s="25"/>
      <c r="K677" s="25"/>
      <c r="L677" s="36"/>
      <c r="M677" s="36"/>
      <c r="N677" s="36"/>
      <c r="O677" s="102"/>
      <c r="P677" s="36"/>
      <c r="Q677" s="36"/>
      <c r="R677" s="37"/>
      <c r="S677" s="37"/>
      <c r="T677" s="60" t="str">
        <f t="shared" si="22"/>
        <v/>
      </c>
      <c r="U677" s="38"/>
      <c r="V677" s="38"/>
      <c r="W677" s="38" t="str">
        <f>IF(B677="","",COUNTIFS(Ejecucion[No. Solicitud],Registro!B677,Ejecucion[Estado],"Finalizado"))</f>
        <v/>
      </c>
      <c r="X677" s="38" t="str">
        <f>IF(B677="","",COUNTIFS(Ejecucion[No. Solicitud],Registro!B677,Ejecucion[Estado],"No Iniciado"))</f>
        <v/>
      </c>
      <c r="Y677" s="64" t="str">
        <f>IF(B677="","",COUNTIFS(Ejecucion[No. Solicitud],Registro!B677,Ejecucion[Estado],"En Proceso"))</f>
        <v/>
      </c>
      <c r="Z677" s="64" t="str">
        <f t="shared" si="23"/>
        <v/>
      </c>
      <c r="AA677" s="64"/>
      <c r="AB677" s="64"/>
      <c r="AC677" s="64"/>
      <c r="AD677" s="102"/>
    </row>
    <row r="678" spans="2:30" s="15" customFormat="1">
      <c r="B678" s="36"/>
      <c r="C678" s="102"/>
      <c r="D678" s="36"/>
      <c r="E678" s="22"/>
      <c r="F678" s="83"/>
      <c r="G678" s="83"/>
      <c r="H678" s="25"/>
      <c r="I678" s="25"/>
      <c r="J678" s="25"/>
      <c r="K678" s="25"/>
      <c r="L678" s="36"/>
      <c r="M678" s="36"/>
      <c r="N678" s="36"/>
      <c r="O678" s="102"/>
      <c r="P678" s="36"/>
      <c r="Q678" s="36"/>
      <c r="R678" s="37"/>
      <c r="S678" s="37"/>
      <c r="T678" s="60" t="str">
        <f t="shared" si="22"/>
        <v/>
      </c>
      <c r="U678" s="38"/>
      <c r="V678" s="38"/>
      <c r="W678" s="38" t="str">
        <f>IF(B678="","",COUNTIFS(Ejecucion[No. Solicitud],Registro!B678,Ejecucion[Estado],"Finalizado"))</f>
        <v/>
      </c>
      <c r="X678" s="38" t="str">
        <f>IF(B678="","",COUNTIFS(Ejecucion[No. Solicitud],Registro!B678,Ejecucion[Estado],"No Iniciado"))</f>
        <v/>
      </c>
      <c r="Y678" s="64" t="str">
        <f>IF(B678="","",COUNTIFS(Ejecucion[No. Solicitud],Registro!B678,Ejecucion[Estado],"En Proceso"))</f>
        <v/>
      </c>
      <c r="Z678" s="64" t="str">
        <f t="shared" si="23"/>
        <v/>
      </c>
      <c r="AA678" s="64"/>
      <c r="AB678" s="64"/>
      <c r="AC678" s="64"/>
      <c r="AD678" s="102"/>
    </row>
    <row r="679" spans="2:30" s="15" customFormat="1">
      <c r="B679" s="36"/>
      <c r="C679" s="102"/>
      <c r="D679" s="36"/>
      <c r="E679" s="22"/>
      <c r="F679" s="83"/>
      <c r="G679" s="83"/>
      <c r="H679" s="25"/>
      <c r="I679" s="25"/>
      <c r="J679" s="25"/>
      <c r="K679" s="25"/>
      <c r="L679" s="36"/>
      <c r="M679" s="36"/>
      <c r="N679" s="36"/>
      <c r="O679" s="102"/>
      <c r="P679" s="36"/>
      <c r="Q679" s="36"/>
      <c r="R679" s="37"/>
      <c r="S679" s="37"/>
      <c r="T679" s="60" t="str">
        <f t="shared" si="22"/>
        <v/>
      </c>
      <c r="U679" s="38"/>
      <c r="V679" s="38"/>
      <c r="W679" s="38" t="str">
        <f>IF(B679="","",COUNTIFS(Ejecucion[No. Solicitud],Registro!B679,Ejecucion[Estado],"Finalizado"))</f>
        <v/>
      </c>
      <c r="X679" s="38" t="str">
        <f>IF(B679="","",COUNTIFS(Ejecucion[No. Solicitud],Registro!B679,Ejecucion[Estado],"No Iniciado"))</f>
        <v/>
      </c>
      <c r="Y679" s="64" t="str">
        <f>IF(B679="","",COUNTIFS(Ejecucion[No. Solicitud],Registro!B679,Ejecucion[Estado],"En Proceso"))</f>
        <v/>
      </c>
      <c r="Z679" s="64" t="str">
        <f t="shared" si="23"/>
        <v/>
      </c>
      <c r="AA679" s="64"/>
      <c r="AB679" s="64"/>
      <c r="AC679" s="64"/>
      <c r="AD679" s="102"/>
    </row>
    <row r="680" spans="2:30" s="15" customFormat="1">
      <c r="B680" s="36"/>
      <c r="C680" s="102"/>
      <c r="D680" s="36"/>
      <c r="E680" s="22"/>
      <c r="F680" s="83"/>
      <c r="G680" s="83"/>
      <c r="H680" s="25"/>
      <c r="I680" s="25"/>
      <c r="J680" s="25"/>
      <c r="K680" s="25"/>
      <c r="L680" s="36"/>
      <c r="M680" s="36"/>
      <c r="N680" s="36"/>
      <c r="O680" s="102"/>
      <c r="P680" s="36"/>
      <c r="Q680" s="36"/>
      <c r="R680" s="37"/>
      <c r="S680" s="37"/>
      <c r="T680" s="60" t="str">
        <f t="shared" si="22"/>
        <v/>
      </c>
      <c r="U680" s="38"/>
      <c r="V680" s="38"/>
      <c r="W680" s="38" t="str">
        <f>IF(B680="","",COUNTIFS(Ejecucion[No. Solicitud],Registro!B680,Ejecucion[Estado],"Finalizado"))</f>
        <v/>
      </c>
      <c r="X680" s="38" t="str">
        <f>IF(B680="","",COUNTIFS(Ejecucion[No. Solicitud],Registro!B680,Ejecucion[Estado],"No Iniciado"))</f>
        <v/>
      </c>
      <c r="Y680" s="64" t="str">
        <f>IF(B680="","",COUNTIFS(Ejecucion[No. Solicitud],Registro!B680,Ejecucion[Estado],"En Proceso"))</f>
        <v/>
      </c>
      <c r="Z680" s="64" t="str">
        <f t="shared" si="23"/>
        <v/>
      </c>
      <c r="AA680" s="64"/>
      <c r="AB680" s="64"/>
      <c r="AC680" s="64"/>
      <c r="AD680" s="102"/>
    </row>
    <row r="681" spans="2:30" s="15" customFormat="1">
      <c r="B681" s="36"/>
      <c r="C681" s="102"/>
      <c r="D681" s="36"/>
      <c r="E681" s="22"/>
      <c r="F681" s="83"/>
      <c r="G681" s="83"/>
      <c r="H681" s="25"/>
      <c r="I681" s="25"/>
      <c r="J681" s="25"/>
      <c r="K681" s="25"/>
      <c r="L681" s="36"/>
      <c r="M681" s="36"/>
      <c r="N681" s="36"/>
      <c r="O681" s="102"/>
      <c r="P681" s="36"/>
      <c r="Q681" s="36"/>
      <c r="R681" s="37"/>
      <c r="S681" s="37"/>
      <c r="T681" s="60" t="str">
        <f t="shared" si="22"/>
        <v/>
      </c>
      <c r="U681" s="38"/>
      <c r="V681" s="38"/>
      <c r="W681" s="38" t="str">
        <f>IF(B681="","",COUNTIFS(Ejecucion[No. Solicitud],Registro!B681,Ejecucion[Estado],"Finalizado"))</f>
        <v/>
      </c>
      <c r="X681" s="38" t="str">
        <f>IF(B681="","",COUNTIFS(Ejecucion[No. Solicitud],Registro!B681,Ejecucion[Estado],"No Iniciado"))</f>
        <v/>
      </c>
      <c r="Y681" s="64" t="str">
        <f>IF(B681="","",COUNTIFS(Ejecucion[No. Solicitud],Registro!B681,Ejecucion[Estado],"En Proceso"))</f>
        <v/>
      </c>
      <c r="Z681" s="64" t="str">
        <f t="shared" si="23"/>
        <v/>
      </c>
      <c r="AA681" s="64"/>
      <c r="AB681" s="64"/>
      <c r="AC681" s="64"/>
      <c r="AD681" s="102"/>
    </row>
    <row r="682" spans="2:30" s="15" customFormat="1">
      <c r="B682" s="36"/>
      <c r="C682" s="102"/>
      <c r="D682" s="36"/>
      <c r="E682" s="22"/>
      <c r="F682" s="83"/>
      <c r="G682" s="83"/>
      <c r="H682" s="25"/>
      <c r="I682" s="25"/>
      <c r="J682" s="25"/>
      <c r="K682" s="25"/>
      <c r="L682" s="36"/>
      <c r="M682" s="36"/>
      <c r="N682" s="36"/>
      <c r="O682" s="102"/>
      <c r="P682" s="36"/>
      <c r="Q682" s="36"/>
      <c r="R682" s="37"/>
      <c r="S682" s="37"/>
      <c r="T682" s="60" t="str">
        <f t="shared" si="22"/>
        <v/>
      </c>
      <c r="U682" s="38"/>
      <c r="V682" s="38"/>
      <c r="W682" s="38" t="str">
        <f>IF(B682="","",COUNTIFS(Ejecucion[No. Solicitud],Registro!B682,Ejecucion[Estado],"Finalizado"))</f>
        <v/>
      </c>
      <c r="X682" s="38" t="str">
        <f>IF(B682="","",COUNTIFS(Ejecucion[No. Solicitud],Registro!B682,Ejecucion[Estado],"No Iniciado"))</f>
        <v/>
      </c>
      <c r="Y682" s="64" t="str">
        <f>IF(B682="","",COUNTIFS(Ejecucion[No. Solicitud],Registro!B682,Ejecucion[Estado],"En Proceso"))</f>
        <v/>
      </c>
      <c r="Z682" s="64" t="str">
        <f t="shared" si="23"/>
        <v/>
      </c>
      <c r="AA682" s="64"/>
      <c r="AB682" s="64"/>
      <c r="AC682" s="64"/>
      <c r="AD682" s="102"/>
    </row>
    <row r="683" spans="2:30" s="15" customFormat="1">
      <c r="B683" s="36"/>
      <c r="C683" s="102"/>
      <c r="D683" s="36"/>
      <c r="E683" s="22"/>
      <c r="F683" s="83"/>
      <c r="G683" s="83"/>
      <c r="H683" s="25"/>
      <c r="I683" s="25"/>
      <c r="J683" s="25"/>
      <c r="K683" s="25"/>
      <c r="L683" s="36"/>
      <c r="M683" s="36"/>
      <c r="N683" s="36"/>
      <c r="O683" s="102"/>
      <c r="P683" s="36"/>
      <c r="Q683" s="36"/>
      <c r="R683" s="37"/>
      <c r="S683" s="37"/>
      <c r="T683" s="60" t="str">
        <f t="shared" si="22"/>
        <v/>
      </c>
      <c r="U683" s="38"/>
      <c r="V683" s="38"/>
      <c r="W683" s="38" t="str">
        <f>IF(B683="","",COUNTIFS(Ejecucion[No. Solicitud],Registro!B683,Ejecucion[Estado],"Finalizado"))</f>
        <v/>
      </c>
      <c r="X683" s="38" t="str">
        <f>IF(B683="","",COUNTIFS(Ejecucion[No. Solicitud],Registro!B683,Ejecucion[Estado],"No Iniciado"))</f>
        <v/>
      </c>
      <c r="Y683" s="64" t="str">
        <f>IF(B683="","",COUNTIFS(Ejecucion[No. Solicitud],Registro!B683,Ejecucion[Estado],"En Proceso"))</f>
        <v/>
      </c>
      <c r="Z683" s="64" t="str">
        <f t="shared" si="23"/>
        <v/>
      </c>
      <c r="AA683" s="64"/>
      <c r="AB683" s="64"/>
      <c r="AC683" s="64"/>
      <c r="AD683" s="102"/>
    </row>
    <row r="684" spans="2:30" s="15" customFormat="1">
      <c r="B684" s="36"/>
      <c r="C684" s="102"/>
      <c r="D684" s="36"/>
      <c r="E684" s="22"/>
      <c r="F684" s="83"/>
      <c r="G684" s="83"/>
      <c r="H684" s="25"/>
      <c r="I684" s="25"/>
      <c r="J684" s="25"/>
      <c r="K684" s="25"/>
      <c r="L684" s="36"/>
      <c r="M684" s="36"/>
      <c r="N684" s="36"/>
      <c r="O684" s="102"/>
      <c r="P684" s="36"/>
      <c r="Q684" s="36"/>
      <c r="R684" s="37"/>
      <c r="S684" s="37"/>
      <c r="T684" s="60" t="str">
        <f t="shared" si="22"/>
        <v/>
      </c>
      <c r="U684" s="38"/>
      <c r="V684" s="38"/>
      <c r="W684" s="38" t="str">
        <f>IF(B684="","",COUNTIFS(Ejecucion[No. Solicitud],Registro!B684,Ejecucion[Estado],"Finalizado"))</f>
        <v/>
      </c>
      <c r="X684" s="38" t="str">
        <f>IF(B684="","",COUNTIFS(Ejecucion[No. Solicitud],Registro!B684,Ejecucion[Estado],"No Iniciado"))</f>
        <v/>
      </c>
      <c r="Y684" s="64" t="str">
        <f>IF(B684="","",COUNTIFS(Ejecucion[No. Solicitud],Registro!B684,Ejecucion[Estado],"En Proceso"))</f>
        <v/>
      </c>
      <c r="Z684" s="64" t="str">
        <f t="shared" si="23"/>
        <v/>
      </c>
      <c r="AA684" s="64"/>
      <c r="AB684" s="64"/>
      <c r="AC684" s="64"/>
      <c r="AD684" s="102"/>
    </row>
    <row r="685" spans="2:30" s="15" customFormat="1">
      <c r="B685" s="36"/>
      <c r="C685" s="102"/>
      <c r="D685" s="36"/>
      <c r="E685" s="22"/>
      <c r="F685" s="83"/>
      <c r="G685" s="83"/>
      <c r="H685" s="25"/>
      <c r="I685" s="25"/>
      <c r="J685" s="25"/>
      <c r="K685" s="25"/>
      <c r="L685" s="36"/>
      <c r="M685" s="36"/>
      <c r="N685" s="36"/>
      <c r="O685" s="102"/>
      <c r="P685" s="36"/>
      <c r="Q685" s="36"/>
      <c r="R685" s="37"/>
      <c r="S685" s="37"/>
      <c r="T685" s="60" t="str">
        <f t="shared" si="22"/>
        <v/>
      </c>
      <c r="U685" s="38"/>
      <c r="V685" s="38"/>
      <c r="W685" s="38" t="str">
        <f>IF(B685="","",COUNTIFS(Ejecucion[No. Solicitud],Registro!B685,Ejecucion[Estado],"Finalizado"))</f>
        <v/>
      </c>
      <c r="X685" s="38" t="str">
        <f>IF(B685="","",COUNTIFS(Ejecucion[No. Solicitud],Registro!B685,Ejecucion[Estado],"No Iniciado"))</f>
        <v/>
      </c>
      <c r="Y685" s="64" t="str">
        <f>IF(B685="","",COUNTIFS(Ejecucion[No. Solicitud],Registro!B685,Ejecucion[Estado],"En Proceso"))</f>
        <v/>
      </c>
      <c r="Z685" s="64" t="str">
        <f t="shared" si="23"/>
        <v/>
      </c>
      <c r="AA685" s="64"/>
      <c r="AB685" s="64"/>
      <c r="AC685" s="64"/>
      <c r="AD685" s="102"/>
    </row>
    <row r="686" spans="2:30" s="15" customFormat="1">
      <c r="B686" s="36"/>
      <c r="C686" s="102"/>
      <c r="D686" s="36"/>
      <c r="E686" s="22"/>
      <c r="F686" s="83"/>
      <c r="G686" s="83"/>
      <c r="H686" s="25"/>
      <c r="I686" s="25"/>
      <c r="J686" s="25"/>
      <c r="K686" s="25"/>
      <c r="L686" s="36"/>
      <c r="M686" s="36"/>
      <c r="N686" s="36"/>
      <c r="O686" s="102"/>
      <c r="P686" s="36"/>
      <c r="Q686" s="36"/>
      <c r="R686" s="37"/>
      <c r="S686" s="37"/>
      <c r="T686" s="60" t="str">
        <f t="shared" si="22"/>
        <v/>
      </c>
      <c r="U686" s="38"/>
      <c r="V686" s="38"/>
      <c r="W686" s="38" t="str">
        <f>IF(B686="","",COUNTIFS(Ejecucion[No. Solicitud],Registro!B686,Ejecucion[Estado],"Finalizado"))</f>
        <v/>
      </c>
      <c r="X686" s="38" t="str">
        <f>IF(B686="","",COUNTIFS(Ejecucion[No. Solicitud],Registro!B686,Ejecucion[Estado],"No Iniciado"))</f>
        <v/>
      </c>
      <c r="Y686" s="64" t="str">
        <f>IF(B686="","",COUNTIFS(Ejecucion[No. Solicitud],Registro!B686,Ejecucion[Estado],"En Proceso"))</f>
        <v/>
      </c>
      <c r="Z686" s="64" t="str">
        <f t="shared" si="23"/>
        <v/>
      </c>
      <c r="AA686" s="64"/>
      <c r="AB686" s="64"/>
      <c r="AC686" s="64"/>
      <c r="AD686" s="102"/>
    </row>
    <row r="687" spans="2:30" s="15" customFormat="1">
      <c r="B687" s="36"/>
      <c r="C687" s="102"/>
      <c r="D687" s="36"/>
      <c r="E687" s="22"/>
      <c r="F687" s="83"/>
      <c r="G687" s="83"/>
      <c r="H687" s="25"/>
      <c r="I687" s="25"/>
      <c r="J687" s="25"/>
      <c r="K687" s="25"/>
      <c r="L687" s="36"/>
      <c r="M687" s="36"/>
      <c r="N687" s="36"/>
      <c r="O687" s="102"/>
      <c r="P687" s="36"/>
      <c r="Q687" s="36"/>
      <c r="R687" s="37"/>
      <c r="S687" s="37"/>
      <c r="T687" s="60" t="str">
        <f t="shared" si="22"/>
        <v/>
      </c>
      <c r="U687" s="38"/>
      <c r="V687" s="38"/>
      <c r="W687" s="38" t="str">
        <f>IF(B687="","",COUNTIFS(Ejecucion[No. Solicitud],Registro!B687,Ejecucion[Estado],"Finalizado"))</f>
        <v/>
      </c>
      <c r="X687" s="38" t="str">
        <f>IF(B687="","",COUNTIFS(Ejecucion[No. Solicitud],Registro!B687,Ejecucion[Estado],"No Iniciado"))</f>
        <v/>
      </c>
      <c r="Y687" s="64" t="str">
        <f>IF(B687="","",COUNTIFS(Ejecucion[No. Solicitud],Registro!B687,Ejecucion[Estado],"En Proceso"))</f>
        <v/>
      </c>
      <c r="Z687" s="64" t="str">
        <f t="shared" si="23"/>
        <v/>
      </c>
      <c r="AA687" s="64"/>
      <c r="AB687" s="64"/>
      <c r="AC687" s="64"/>
      <c r="AD687" s="102"/>
    </row>
    <row r="688" spans="2:30" s="15" customFormat="1">
      <c r="B688" s="36"/>
      <c r="C688" s="102"/>
      <c r="D688" s="36"/>
      <c r="E688" s="22"/>
      <c r="F688" s="83"/>
      <c r="G688" s="83"/>
      <c r="H688" s="25"/>
      <c r="I688" s="25"/>
      <c r="J688" s="25"/>
      <c r="K688" s="25"/>
      <c r="L688" s="36"/>
      <c r="M688" s="36"/>
      <c r="N688" s="36"/>
      <c r="O688" s="102"/>
      <c r="P688" s="36"/>
      <c r="Q688" s="36"/>
      <c r="R688" s="37"/>
      <c r="S688" s="37"/>
      <c r="T688" s="60" t="str">
        <f t="shared" si="22"/>
        <v/>
      </c>
      <c r="U688" s="38"/>
      <c r="V688" s="38"/>
      <c r="W688" s="38" t="str">
        <f>IF(B688="","",COUNTIFS(Ejecucion[No. Solicitud],Registro!B688,Ejecucion[Estado],"Finalizado"))</f>
        <v/>
      </c>
      <c r="X688" s="38" t="str">
        <f>IF(B688="","",COUNTIFS(Ejecucion[No. Solicitud],Registro!B688,Ejecucion[Estado],"No Iniciado"))</f>
        <v/>
      </c>
      <c r="Y688" s="64" t="str">
        <f>IF(B688="","",COUNTIFS(Ejecucion[No. Solicitud],Registro!B688,Ejecucion[Estado],"En Proceso"))</f>
        <v/>
      </c>
      <c r="Z688" s="64" t="str">
        <f t="shared" si="23"/>
        <v/>
      </c>
      <c r="AA688" s="64"/>
      <c r="AB688" s="64"/>
      <c r="AC688" s="64"/>
      <c r="AD688" s="102"/>
    </row>
    <row r="689" spans="2:30" s="15" customFormat="1">
      <c r="B689" s="36"/>
      <c r="C689" s="102"/>
      <c r="D689" s="36"/>
      <c r="E689" s="22"/>
      <c r="F689" s="83"/>
      <c r="G689" s="83"/>
      <c r="H689" s="25"/>
      <c r="I689" s="25"/>
      <c r="J689" s="25"/>
      <c r="K689" s="25"/>
      <c r="L689" s="36"/>
      <c r="M689" s="36"/>
      <c r="N689" s="36"/>
      <c r="O689" s="102"/>
      <c r="P689" s="36"/>
      <c r="Q689" s="36"/>
      <c r="R689" s="37"/>
      <c r="S689" s="37"/>
      <c r="T689" s="60" t="str">
        <f t="shared" si="22"/>
        <v/>
      </c>
      <c r="U689" s="38"/>
      <c r="V689" s="38"/>
      <c r="W689" s="38" t="str">
        <f>IF(B689="","",COUNTIFS(Ejecucion[No. Solicitud],Registro!B689,Ejecucion[Estado],"Finalizado"))</f>
        <v/>
      </c>
      <c r="X689" s="38" t="str">
        <f>IF(B689="","",COUNTIFS(Ejecucion[No. Solicitud],Registro!B689,Ejecucion[Estado],"No Iniciado"))</f>
        <v/>
      </c>
      <c r="Y689" s="64" t="str">
        <f>IF(B689="","",COUNTIFS(Ejecucion[No. Solicitud],Registro!B689,Ejecucion[Estado],"En Proceso"))</f>
        <v/>
      </c>
      <c r="Z689" s="64" t="str">
        <f t="shared" si="23"/>
        <v/>
      </c>
      <c r="AA689" s="64"/>
      <c r="AB689" s="64"/>
      <c r="AC689" s="64"/>
      <c r="AD689" s="102"/>
    </row>
    <row r="690" spans="2:30" s="15" customFormat="1">
      <c r="B690" s="36"/>
      <c r="C690" s="102"/>
      <c r="D690" s="36"/>
      <c r="E690" s="22"/>
      <c r="F690" s="83"/>
      <c r="G690" s="83"/>
      <c r="H690" s="25"/>
      <c r="I690" s="25"/>
      <c r="J690" s="25"/>
      <c r="K690" s="25"/>
      <c r="L690" s="36"/>
      <c r="M690" s="36"/>
      <c r="N690" s="36"/>
      <c r="O690" s="102"/>
      <c r="P690" s="36"/>
      <c r="Q690" s="36"/>
      <c r="R690" s="37"/>
      <c r="S690" s="37"/>
      <c r="T690" s="60" t="str">
        <f t="shared" si="22"/>
        <v/>
      </c>
      <c r="U690" s="38"/>
      <c r="V690" s="38"/>
      <c r="W690" s="38" t="str">
        <f>IF(B690="","",COUNTIFS(Ejecucion[No. Solicitud],Registro!B690,Ejecucion[Estado],"Finalizado"))</f>
        <v/>
      </c>
      <c r="X690" s="38" t="str">
        <f>IF(B690="","",COUNTIFS(Ejecucion[No. Solicitud],Registro!B690,Ejecucion[Estado],"No Iniciado"))</f>
        <v/>
      </c>
      <c r="Y690" s="64" t="str">
        <f>IF(B690="","",COUNTIFS(Ejecucion[No. Solicitud],Registro!B690,Ejecucion[Estado],"En Proceso"))</f>
        <v/>
      </c>
      <c r="Z690" s="64" t="str">
        <f t="shared" si="23"/>
        <v/>
      </c>
      <c r="AA690" s="64"/>
      <c r="AB690" s="64"/>
      <c r="AC690" s="64"/>
      <c r="AD690" s="102"/>
    </row>
    <row r="691" spans="2:30" s="15" customFormat="1">
      <c r="B691" s="36"/>
      <c r="C691" s="102"/>
      <c r="D691" s="36"/>
      <c r="E691" s="22"/>
      <c r="F691" s="83"/>
      <c r="G691" s="83"/>
      <c r="H691" s="25"/>
      <c r="I691" s="25"/>
      <c r="J691" s="25"/>
      <c r="K691" s="25"/>
      <c r="L691" s="36"/>
      <c r="M691" s="36"/>
      <c r="N691" s="36"/>
      <c r="O691" s="102"/>
      <c r="P691" s="36"/>
      <c r="Q691" s="36"/>
      <c r="R691" s="37"/>
      <c r="S691" s="37"/>
      <c r="T691" s="60" t="str">
        <f t="shared" si="22"/>
        <v/>
      </c>
      <c r="U691" s="38"/>
      <c r="V691" s="38"/>
      <c r="W691" s="38" t="str">
        <f>IF(B691="","",COUNTIFS(Ejecucion[No. Solicitud],Registro!B691,Ejecucion[Estado],"Finalizado"))</f>
        <v/>
      </c>
      <c r="X691" s="38" t="str">
        <f>IF(B691="","",COUNTIFS(Ejecucion[No. Solicitud],Registro!B691,Ejecucion[Estado],"No Iniciado"))</f>
        <v/>
      </c>
      <c r="Y691" s="64" t="str">
        <f>IF(B691="","",COUNTIFS(Ejecucion[No. Solicitud],Registro!B691,Ejecucion[Estado],"En Proceso"))</f>
        <v/>
      </c>
      <c r="Z691" s="64" t="str">
        <f t="shared" si="23"/>
        <v/>
      </c>
      <c r="AA691" s="64"/>
      <c r="AB691" s="64"/>
      <c r="AC691" s="64"/>
      <c r="AD691" s="102"/>
    </row>
    <row r="692" spans="2:30" s="15" customFormat="1">
      <c r="B692" s="36"/>
      <c r="C692" s="102"/>
      <c r="D692" s="36"/>
      <c r="E692" s="22"/>
      <c r="F692" s="83"/>
      <c r="G692" s="83"/>
      <c r="H692" s="25"/>
      <c r="I692" s="25"/>
      <c r="J692" s="25"/>
      <c r="K692" s="25"/>
      <c r="L692" s="36"/>
      <c r="M692" s="36"/>
      <c r="N692" s="36"/>
      <c r="O692" s="102"/>
      <c r="P692" s="36"/>
      <c r="Q692" s="36"/>
      <c r="R692" s="37"/>
      <c r="S692" s="37"/>
      <c r="T692" s="60" t="str">
        <f t="shared" si="22"/>
        <v/>
      </c>
      <c r="U692" s="38"/>
      <c r="V692" s="38"/>
      <c r="W692" s="38" t="str">
        <f>IF(B692="","",COUNTIFS(Ejecucion[No. Solicitud],Registro!B692,Ejecucion[Estado],"Finalizado"))</f>
        <v/>
      </c>
      <c r="X692" s="38" t="str">
        <f>IF(B692="","",COUNTIFS(Ejecucion[No. Solicitud],Registro!B692,Ejecucion[Estado],"No Iniciado"))</f>
        <v/>
      </c>
      <c r="Y692" s="64" t="str">
        <f>IF(B692="","",COUNTIFS(Ejecucion[No. Solicitud],Registro!B692,Ejecucion[Estado],"En Proceso"))</f>
        <v/>
      </c>
      <c r="Z692" s="64" t="str">
        <f t="shared" si="23"/>
        <v/>
      </c>
      <c r="AA692" s="64"/>
      <c r="AB692" s="64"/>
      <c r="AC692" s="64"/>
      <c r="AD692" s="102"/>
    </row>
    <row r="693" spans="2:30" s="15" customFormat="1">
      <c r="B693" s="36"/>
      <c r="C693" s="102"/>
      <c r="D693" s="36"/>
      <c r="E693" s="22"/>
      <c r="F693" s="83"/>
      <c r="G693" s="83"/>
      <c r="H693" s="25"/>
      <c r="I693" s="25"/>
      <c r="J693" s="25"/>
      <c r="K693" s="25"/>
      <c r="L693" s="36"/>
      <c r="M693" s="36"/>
      <c r="N693" s="36"/>
      <c r="O693" s="102"/>
      <c r="P693" s="36"/>
      <c r="Q693" s="36"/>
      <c r="R693" s="37"/>
      <c r="S693" s="37"/>
      <c r="T693" s="60" t="str">
        <f t="shared" si="22"/>
        <v/>
      </c>
      <c r="U693" s="38"/>
      <c r="V693" s="38"/>
      <c r="W693" s="38" t="str">
        <f>IF(B693="","",COUNTIFS(Ejecucion[No. Solicitud],Registro!B693,Ejecucion[Estado],"Finalizado"))</f>
        <v/>
      </c>
      <c r="X693" s="38" t="str">
        <f>IF(B693="","",COUNTIFS(Ejecucion[No. Solicitud],Registro!B693,Ejecucion[Estado],"No Iniciado"))</f>
        <v/>
      </c>
      <c r="Y693" s="64" t="str">
        <f>IF(B693="","",COUNTIFS(Ejecucion[No. Solicitud],Registro!B693,Ejecucion[Estado],"En Proceso"))</f>
        <v/>
      </c>
      <c r="Z693" s="64" t="str">
        <f t="shared" si="23"/>
        <v/>
      </c>
      <c r="AA693" s="64"/>
      <c r="AB693" s="64"/>
      <c r="AC693" s="64"/>
      <c r="AD693" s="102"/>
    </row>
    <row r="694" spans="2:30" s="15" customFormat="1">
      <c r="B694" s="36"/>
      <c r="C694" s="102"/>
      <c r="D694" s="36"/>
      <c r="E694" s="22"/>
      <c r="F694" s="83"/>
      <c r="G694" s="83"/>
      <c r="H694" s="25"/>
      <c r="I694" s="25"/>
      <c r="J694" s="25"/>
      <c r="K694" s="25"/>
      <c r="L694" s="36"/>
      <c r="M694" s="36"/>
      <c r="N694" s="36"/>
      <c r="O694" s="102"/>
      <c r="P694" s="36"/>
      <c r="Q694" s="36"/>
      <c r="R694" s="37"/>
      <c r="S694" s="37"/>
      <c r="T694" s="60" t="str">
        <f t="shared" si="22"/>
        <v/>
      </c>
      <c r="U694" s="38"/>
      <c r="V694" s="38"/>
      <c r="W694" s="38" t="str">
        <f>IF(B694="","",COUNTIFS(Ejecucion[No. Solicitud],Registro!B694,Ejecucion[Estado],"Finalizado"))</f>
        <v/>
      </c>
      <c r="X694" s="38" t="str">
        <f>IF(B694="","",COUNTIFS(Ejecucion[No. Solicitud],Registro!B694,Ejecucion[Estado],"No Iniciado"))</f>
        <v/>
      </c>
      <c r="Y694" s="64" t="str">
        <f>IF(B694="","",COUNTIFS(Ejecucion[No. Solicitud],Registro!B694,Ejecucion[Estado],"En Proceso"))</f>
        <v/>
      </c>
      <c r="Z694" s="64" t="str">
        <f t="shared" si="23"/>
        <v/>
      </c>
      <c r="AA694" s="64"/>
      <c r="AB694" s="64"/>
      <c r="AC694" s="64"/>
      <c r="AD694" s="102"/>
    </row>
    <row r="695" spans="2:30" s="15" customFormat="1">
      <c r="B695" s="36"/>
      <c r="C695" s="102"/>
      <c r="D695" s="36"/>
      <c r="E695" s="22"/>
      <c r="F695" s="83"/>
      <c r="G695" s="83"/>
      <c r="H695" s="25"/>
      <c r="I695" s="25"/>
      <c r="J695" s="25"/>
      <c r="K695" s="25"/>
      <c r="L695" s="36"/>
      <c r="M695" s="36"/>
      <c r="N695" s="36"/>
      <c r="O695" s="102"/>
      <c r="P695" s="36"/>
      <c r="Q695" s="36"/>
      <c r="R695" s="37"/>
      <c r="S695" s="37"/>
      <c r="T695" s="60" t="str">
        <f t="shared" si="22"/>
        <v/>
      </c>
      <c r="U695" s="38"/>
      <c r="V695" s="38"/>
      <c r="W695" s="38" t="str">
        <f>IF(B695="","",COUNTIFS(Ejecucion[No. Solicitud],Registro!B695,Ejecucion[Estado],"Finalizado"))</f>
        <v/>
      </c>
      <c r="X695" s="38" t="str">
        <f>IF(B695="","",COUNTIFS(Ejecucion[No. Solicitud],Registro!B695,Ejecucion[Estado],"No Iniciado"))</f>
        <v/>
      </c>
      <c r="Y695" s="64" t="str">
        <f>IF(B695="","",COUNTIFS(Ejecucion[No. Solicitud],Registro!B695,Ejecucion[Estado],"En Proceso"))</f>
        <v/>
      </c>
      <c r="Z695" s="64" t="str">
        <f t="shared" si="23"/>
        <v/>
      </c>
      <c r="AA695" s="64"/>
      <c r="AB695" s="64"/>
      <c r="AC695" s="64"/>
      <c r="AD695" s="102"/>
    </row>
    <row r="696" spans="2:30" s="15" customFormat="1">
      <c r="B696" s="36"/>
      <c r="C696" s="102"/>
      <c r="D696" s="36"/>
      <c r="E696" s="22"/>
      <c r="F696" s="83"/>
      <c r="G696" s="83"/>
      <c r="H696" s="25"/>
      <c r="I696" s="25"/>
      <c r="J696" s="25"/>
      <c r="K696" s="25"/>
      <c r="L696" s="36"/>
      <c r="M696" s="36"/>
      <c r="N696" s="36"/>
      <c r="O696" s="102"/>
      <c r="P696" s="36"/>
      <c r="Q696" s="36"/>
      <c r="R696" s="37"/>
      <c r="S696" s="37"/>
      <c r="T696" s="60" t="str">
        <f t="shared" si="22"/>
        <v/>
      </c>
      <c r="U696" s="38"/>
      <c r="V696" s="38"/>
      <c r="W696" s="38" t="str">
        <f>IF(B696="","",COUNTIFS(Ejecucion[No. Solicitud],Registro!B696,Ejecucion[Estado],"Finalizado"))</f>
        <v/>
      </c>
      <c r="X696" s="38" t="str">
        <f>IF(B696="","",COUNTIFS(Ejecucion[No. Solicitud],Registro!B696,Ejecucion[Estado],"No Iniciado"))</f>
        <v/>
      </c>
      <c r="Y696" s="64" t="str">
        <f>IF(B696="","",COUNTIFS(Ejecucion[No. Solicitud],Registro!B696,Ejecucion[Estado],"En Proceso"))</f>
        <v/>
      </c>
      <c r="Z696" s="64" t="str">
        <f t="shared" si="23"/>
        <v/>
      </c>
      <c r="AA696" s="64"/>
      <c r="AB696" s="64"/>
      <c r="AC696" s="64"/>
      <c r="AD696" s="102"/>
    </row>
    <row r="697" spans="2:30" s="15" customFormat="1">
      <c r="B697" s="36"/>
      <c r="C697" s="102"/>
      <c r="D697" s="36"/>
      <c r="E697" s="22"/>
      <c r="F697" s="83"/>
      <c r="G697" s="83"/>
      <c r="H697" s="25"/>
      <c r="I697" s="25"/>
      <c r="J697" s="25"/>
      <c r="K697" s="25"/>
      <c r="L697" s="36"/>
      <c r="M697" s="36"/>
      <c r="N697" s="36"/>
      <c r="O697" s="102"/>
      <c r="P697" s="36"/>
      <c r="Q697" s="36"/>
      <c r="R697" s="37"/>
      <c r="S697" s="37"/>
      <c r="T697" s="60" t="str">
        <f t="shared" si="22"/>
        <v/>
      </c>
      <c r="U697" s="38"/>
      <c r="V697" s="38"/>
      <c r="W697" s="38" t="str">
        <f>IF(B697="","",COUNTIFS(Ejecucion[No. Solicitud],Registro!B697,Ejecucion[Estado],"Finalizado"))</f>
        <v/>
      </c>
      <c r="X697" s="38" t="str">
        <f>IF(B697="","",COUNTIFS(Ejecucion[No. Solicitud],Registro!B697,Ejecucion[Estado],"No Iniciado"))</f>
        <v/>
      </c>
      <c r="Y697" s="64" t="str">
        <f>IF(B697="","",COUNTIFS(Ejecucion[No. Solicitud],Registro!B697,Ejecucion[Estado],"En Proceso"))</f>
        <v/>
      </c>
      <c r="Z697" s="64" t="str">
        <f t="shared" si="23"/>
        <v/>
      </c>
      <c r="AA697" s="64"/>
      <c r="AB697" s="64"/>
      <c r="AC697" s="64"/>
      <c r="AD697" s="102"/>
    </row>
    <row r="698" spans="2:30" s="15" customFormat="1">
      <c r="B698" s="36"/>
      <c r="C698" s="102"/>
      <c r="D698" s="36"/>
      <c r="E698" s="22"/>
      <c r="F698" s="83"/>
      <c r="G698" s="83"/>
      <c r="H698" s="25"/>
      <c r="I698" s="25"/>
      <c r="J698" s="25"/>
      <c r="K698" s="25"/>
      <c r="L698" s="36"/>
      <c r="M698" s="36"/>
      <c r="N698" s="36"/>
      <c r="O698" s="102"/>
      <c r="P698" s="36"/>
      <c r="Q698" s="36"/>
      <c r="R698" s="37"/>
      <c r="S698" s="37"/>
      <c r="T698" s="60" t="str">
        <f t="shared" si="22"/>
        <v/>
      </c>
      <c r="U698" s="38"/>
      <c r="V698" s="38"/>
      <c r="W698" s="38" t="str">
        <f>IF(B698="","",COUNTIFS(Ejecucion[No. Solicitud],Registro!B698,Ejecucion[Estado],"Finalizado"))</f>
        <v/>
      </c>
      <c r="X698" s="38" t="str">
        <f>IF(B698="","",COUNTIFS(Ejecucion[No. Solicitud],Registro!B698,Ejecucion[Estado],"No Iniciado"))</f>
        <v/>
      </c>
      <c r="Y698" s="64" t="str">
        <f>IF(B698="","",COUNTIFS(Ejecucion[No. Solicitud],Registro!B698,Ejecucion[Estado],"En Proceso"))</f>
        <v/>
      </c>
      <c r="Z698" s="64" t="str">
        <f t="shared" si="23"/>
        <v/>
      </c>
      <c r="AA698" s="64"/>
      <c r="AB698" s="64"/>
      <c r="AC698" s="64"/>
      <c r="AD698" s="102"/>
    </row>
    <row r="699" spans="2:30" s="15" customFormat="1">
      <c r="B699" s="36"/>
      <c r="C699" s="102"/>
      <c r="D699" s="36"/>
      <c r="E699" s="22"/>
      <c r="F699" s="83"/>
      <c r="G699" s="83"/>
      <c r="H699" s="25"/>
      <c r="I699" s="25"/>
      <c r="J699" s="25"/>
      <c r="K699" s="25"/>
      <c r="L699" s="36"/>
      <c r="M699" s="36"/>
      <c r="N699" s="36"/>
      <c r="O699" s="102"/>
      <c r="P699" s="36"/>
      <c r="Q699" s="36"/>
      <c r="R699" s="37"/>
      <c r="S699" s="37"/>
      <c r="T699" s="60" t="str">
        <f t="shared" si="22"/>
        <v/>
      </c>
      <c r="U699" s="38"/>
      <c r="V699" s="38"/>
      <c r="W699" s="38" t="str">
        <f>IF(B699="","",COUNTIFS(Ejecucion[No. Solicitud],Registro!B699,Ejecucion[Estado],"Finalizado"))</f>
        <v/>
      </c>
      <c r="X699" s="38" t="str">
        <f>IF(B699="","",COUNTIFS(Ejecucion[No. Solicitud],Registro!B699,Ejecucion[Estado],"No Iniciado"))</f>
        <v/>
      </c>
      <c r="Y699" s="64" t="str">
        <f>IF(B699="","",COUNTIFS(Ejecucion[No. Solicitud],Registro!B699,Ejecucion[Estado],"En Proceso"))</f>
        <v/>
      </c>
      <c r="Z699" s="64" t="str">
        <f t="shared" si="23"/>
        <v/>
      </c>
      <c r="AA699" s="64"/>
      <c r="AB699" s="64"/>
      <c r="AC699" s="64"/>
      <c r="AD699" s="102"/>
    </row>
    <row r="700" spans="2:30" s="15" customFormat="1">
      <c r="B700" s="36"/>
      <c r="C700" s="102"/>
      <c r="D700" s="36"/>
      <c r="E700" s="22"/>
      <c r="F700" s="83"/>
      <c r="G700" s="83"/>
      <c r="H700" s="25"/>
      <c r="I700" s="25"/>
      <c r="J700" s="25"/>
      <c r="K700" s="25"/>
      <c r="L700" s="36"/>
      <c r="M700" s="36"/>
      <c r="N700" s="36"/>
      <c r="O700" s="102"/>
      <c r="P700" s="36"/>
      <c r="Q700" s="36"/>
      <c r="R700" s="37"/>
      <c r="S700" s="37"/>
      <c r="T700" s="60" t="str">
        <f t="shared" si="22"/>
        <v/>
      </c>
      <c r="U700" s="38"/>
      <c r="V700" s="38"/>
      <c r="W700" s="38" t="str">
        <f>IF(B700="","",COUNTIFS(Ejecucion[No. Solicitud],Registro!B700,Ejecucion[Estado],"Finalizado"))</f>
        <v/>
      </c>
      <c r="X700" s="38" t="str">
        <f>IF(B700="","",COUNTIFS(Ejecucion[No. Solicitud],Registro!B700,Ejecucion[Estado],"No Iniciado"))</f>
        <v/>
      </c>
      <c r="Y700" s="64" t="str">
        <f>IF(B700="","",COUNTIFS(Ejecucion[No. Solicitud],Registro!B700,Ejecucion[Estado],"En Proceso"))</f>
        <v/>
      </c>
      <c r="Z700" s="64" t="str">
        <f t="shared" si="23"/>
        <v/>
      </c>
      <c r="AA700" s="64"/>
      <c r="AB700" s="64"/>
      <c r="AC700" s="64"/>
      <c r="AD700" s="102"/>
    </row>
    <row r="701" spans="2:30" s="15" customFormat="1">
      <c r="B701" s="36"/>
      <c r="C701" s="102"/>
      <c r="D701" s="36"/>
      <c r="E701" s="22"/>
      <c r="F701" s="83"/>
      <c r="G701" s="83"/>
      <c r="H701" s="25"/>
      <c r="I701" s="25"/>
      <c r="J701" s="25"/>
      <c r="K701" s="25"/>
      <c r="L701" s="36"/>
      <c r="M701" s="36"/>
      <c r="N701" s="36"/>
      <c r="O701" s="102"/>
      <c r="P701" s="36"/>
      <c r="Q701" s="36"/>
      <c r="R701" s="37"/>
      <c r="S701" s="37"/>
      <c r="T701" s="60" t="str">
        <f t="shared" si="22"/>
        <v/>
      </c>
      <c r="U701" s="38"/>
      <c r="V701" s="38"/>
      <c r="W701" s="38" t="str">
        <f>IF(B701="","",COUNTIFS(Ejecucion[No. Solicitud],Registro!B701,Ejecucion[Estado],"Finalizado"))</f>
        <v/>
      </c>
      <c r="X701" s="38" t="str">
        <f>IF(B701="","",COUNTIFS(Ejecucion[No. Solicitud],Registro!B701,Ejecucion[Estado],"No Iniciado"))</f>
        <v/>
      </c>
      <c r="Y701" s="64" t="str">
        <f>IF(B701="","",COUNTIFS(Ejecucion[No. Solicitud],Registro!B701,Ejecucion[Estado],"En Proceso"))</f>
        <v/>
      </c>
      <c r="Z701" s="64" t="str">
        <f t="shared" si="23"/>
        <v/>
      </c>
      <c r="AA701" s="64"/>
      <c r="AB701" s="64"/>
      <c r="AC701" s="64"/>
      <c r="AD701" s="102"/>
    </row>
    <row r="702" spans="2:30" s="15" customFormat="1">
      <c r="B702" s="36"/>
      <c r="C702" s="102"/>
      <c r="D702" s="36"/>
      <c r="E702" s="22"/>
      <c r="F702" s="83"/>
      <c r="G702" s="83"/>
      <c r="H702" s="25"/>
      <c r="I702" s="25"/>
      <c r="J702" s="25"/>
      <c r="K702" s="25"/>
      <c r="L702" s="36"/>
      <c r="M702" s="36"/>
      <c r="N702" s="36"/>
      <c r="O702" s="102"/>
      <c r="P702" s="36"/>
      <c r="Q702" s="36"/>
      <c r="R702" s="37"/>
      <c r="S702" s="37"/>
      <c r="T702" s="60" t="str">
        <f t="shared" si="22"/>
        <v/>
      </c>
      <c r="U702" s="38"/>
      <c r="V702" s="38"/>
      <c r="W702" s="38" t="str">
        <f>IF(B702="","",COUNTIFS(Ejecucion[No. Solicitud],Registro!B702,Ejecucion[Estado],"Finalizado"))</f>
        <v/>
      </c>
      <c r="X702" s="38" t="str">
        <f>IF(B702="","",COUNTIFS(Ejecucion[No. Solicitud],Registro!B702,Ejecucion[Estado],"No Iniciado"))</f>
        <v/>
      </c>
      <c r="Y702" s="64" t="str">
        <f>IF(B702="","",COUNTIFS(Ejecucion[No. Solicitud],Registro!B702,Ejecucion[Estado],"En Proceso"))</f>
        <v/>
      </c>
      <c r="Z702" s="64" t="str">
        <f t="shared" si="23"/>
        <v/>
      </c>
      <c r="AA702" s="64"/>
      <c r="AB702" s="64"/>
      <c r="AC702" s="64"/>
      <c r="AD702" s="102"/>
    </row>
    <row r="703" spans="2:30" s="15" customFormat="1">
      <c r="B703" s="36"/>
      <c r="C703" s="102"/>
      <c r="D703" s="36"/>
      <c r="E703" s="22"/>
      <c r="F703" s="83"/>
      <c r="G703" s="83"/>
      <c r="H703" s="25"/>
      <c r="I703" s="25"/>
      <c r="J703" s="25"/>
      <c r="K703" s="25"/>
      <c r="L703" s="36"/>
      <c r="M703" s="36"/>
      <c r="N703" s="36"/>
      <c r="O703" s="102"/>
      <c r="P703" s="36"/>
      <c r="Q703" s="36"/>
      <c r="R703" s="37"/>
      <c r="S703" s="37"/>
      <c r="T703" s="60" t="str">
        <f t="shared" si="22"/>
        <v/>
      </c>
      <c r="U703" s="38"/>
      <c r="V703" s="38"/>
      <c r="W703" s="38" t="str">
        <f>IF(B703="","",COUNTIFS(Ejecucion[No. Solicitud],Registro!B703,Ejecucion[Estado],"Finalizado"))</f>
        <v/>
      </c>
      <c r="X703" s="38" t="str">
        <f>IF(B703="","",COUNTIFS(Ejecucion[No. Solicitud],Registro!B703,Ejecucion[Estado],"No Iniciado"))</f>
        <v/>
      </c>
      <c r="Y703" s="64" t="str">
        <f>IF(B703="","",COUNTIFS(Ejecucion[No. Solicitud],Registro!B703,Ejecucion[Estado],"En Proceso"))</f>
        <v/>
      </c>
      <c r="Z703" s="64" t="str">
        <f t="shared" si="23"/>
        <v/>
      </c>
      <c r="AA703" s="64"/>
      <c r="AB703" s="64"/>
      <c r="AC703" s="64"/>
      <c r="AD703" s="102"/>
    </row>
    <row r="704" spans="2:30" s="15" customFormat="1">
      <c r="B704" s="36"/>
      <c r="C704" s="102"/>
      <c r="D704" s="36"/>
      <c r="E704" s="22"/>
      <c r="F704" s="83"/>
      <c r="G704" s="83"/>
      <c r="H704" s="25"/>
      <c r="I704" s="25"/>
      <c r="J704" s="25"/>
      <c r="K704" s="25"/>
      <c r="L704" s="36"/>
      <c r="M704" s="36"/>
      <c r="N704" s="36"/>
      <c r="O704" s="102"/>
      <c r="P704" s="36"/>
      <c r="Q704" s="36"/>
      <c r="R704" s="37"/>
      <c r="S704" s="37"/>
      <c r="T704" s="60" t="str">
        <f t="shared" si="22"/>
        <v/>
      </c>
      <c r="U704" s="38"/>
      <c r="V704" s="38"/>
      <c r="W704" s="38" t="str">
        <f>IF(B704="","",COUNTIFS(Ejecucion[No. Solicitud],Registro!B704,Ejecucion[Estado],"Finalizado"))</f>
        <v/>
      </c>
      <c r="X704" s="38" t="str">
        <f>IF(B704="","",COUNTIFS(Ejecucion[No. Solicitud],Registro!B704,Ejecucion[Estado],"No Iniciado"))</f>
        <v/>
      </c>
      <c r="Y704" s="64" t="str">
        <f>IF(B704="","",COUNTIFS(Ejecucion[No. Solicitud],Registro!B704,Ejecucion[Estado],"En Proceso"))</f>
        <v/>
      </c>
      <c r="Z704" s="64" t="str">
        <f t="shared" si="23"/>
        <v/>
      </c>
      <c r="AA704" s="64"/>
      <c r="AB704" s="64"/>
      <c r="AC704" s="64"/>
      <c r="AD704" s="102"/>
    </row>
    <row r="705" spans="2:30" s="15" customFormat="1">
      <c r="B705" s="36"/>
      <c r="C705" s="102"/>
      <c r="D705" s="36"/>
      <c r="E705" s="22"/>
      <c r="F705" s="83"/>
      <c r="G705" s="83"/>
      <c r="H705" s="25"/>
      <c r="I705" s="25"/>
      <c r="J705" s="25"/>
      <c r="K705" s="25"/>
      <c r="L705" s="36"/>
      <c r="M705" s="36"/>
      <c r="N705" s="36"/>
      <c r="O705" s="102"/>
      <c r="P705" s="36"/>
      <c r="Q705" s="36"/>
      <c r="R705" s="37"/>
      <c r="S705" s="37"/>
      <c r="T705" s="60" t="str">
        <f t="shared" si="22"/>
        <v/>
      </c>
      <c r="U705" s="38"/>
      <c r="V705" s="38"/>
      <c r="W705" s="38" t="str">
        <f>IF(B705="","",COUNTIFS(Ejecucion[No. Solicitud],Registro!B705,Ejecucion[Estado],"Finalizado"))</f>
        <v/>
      </c>
      <c r="X705" s="38" t="str">
        <f>IF(B705="","",COUNTIFS(Ejecucion[No. Solicitud],Registro!B705,Ejecucion[Estado],"No Iniciado"))</f>
        <v/>
      </c>
      <c r="Y705" s="64" t="str">
        <f>IF(B705="","",COUNTIFS(Ejecucion[No. Solicitud],Registro!B705,Ejecucion[Estado],"En Proceso"))</f>
        <v/>
      </c>
      <c r="Z705" s="64" t="str">
        <f t="shared" si="23"/>
        <v/>
      </c>
      <c r="AA705" s="64"/>
      <c r="AB705" s="64"/>
      <c r="AC705" s="64"/>
      <c r="AD705" s="102"/>
    </row>
    <row r="706" spans="2:30" s="15" customFormat="1">
      <c r="B706" s="36"/>
      <c r="C706" s="102"/>
      <c r="D706" s="36"/>
      <c r="E706" s="22"/>
      <c r="F706" s="83"/>
      <c r="G706" s="83"/>
      <c r="H706" s="25"/>
      <c r="I706" s="25"/>
      <c r="J706" s="25"/>
      <c r="K706" s="25"/>
      <c r="L706" s="36"/>
      <c r="M706" s="36"/>
      <c r="N706" s="36"/>
      <c r="O706" s="102"/>
      <c r="P706" s="36"/>
      <c r="Q706" s="36"/>
      <c r="R706" s="37"/>
      <c r="S706" s="37"/>
      <c r="T706" s="60" t="str">
        <f t="shared" si="22"/>
        <v/>
      </c>
      <c r="U706" s="38"/>
      <c r="V706" s="38"/>
      <c r="W706" s="38" t="str">
        <f>IF(B706="","",COUNTIFS(Ejecucion[No. Solicitud],Registro!B706,Ejecucion[Estado],"Finalizado"))</f>
        <v/>
      </c>
      <c r="X706" s="38" t="str">
        <f>IF(B706="","",COUNTIFS(Ejecucion[No. Solicitud],Registro!B706,Ejecucion[Estado],"No Iniciado"))</f>
        <v/>
      </c>
      <c r="Y706" s="64" t="str">
        <f>IF(B706="","",COUNTIFS(Ejecucion[No. Solicitud],Registro!B706,Ejecucion[Estado],"En Proceso"))</f>
        <v/>
      </c>
      <c r="Z706" s="64" t="str">
        <f t="shared" si="23"/>
        <v/>
      </c>
      <c r="AA706" s="64"/>
      <c r="AB706" s="64"/>
      <c r="AC706" s="64"/>
      <c r="AD706" s="102"/>
    </row>
    <row r="707" spans="2:30" s="15" customFormat="1">
      <c r="B707" s="36"/>
      <c r="C707" s="102"/>
      <c r="D707" s="36"/>
      <c r="E707" s="22"/>
      <c r="F707" s="83"/>
      <c r="G707" s="83"/>
      <c r="H707" s="25"/>
      <c r="I707" s="25"/>
      <c r="J707" s="25"/>
      <c r="K707" s="25"/>
      <c r="L707" s="36"/>
      <c r="M707" s="36"/>
      <c r="N707" s="36"/>
      <c r="O707" s="102"/>
      <c r="P707" s="36"/>
      <c r="Q707" s="36"/>
      <c r="R707" s="37"/>
      <c r="S707" s="37"/>
      <c r="T707" s="60" t="str">
        <f t="shared" si="22"/>
        <v/>
      </c>
      <c r="U707" s="38"/>
      <c r="V707" s="38"/>
      <c r="W707" s="38" t="str">
        <f>IF(B707="","",COUNTIFS(Ejecucion[No. Solicitud],Registro!B707,Ejecucion[Estado],"Finalizado"))</f>
        <v/>
      </c>
      <c r="X707" s="38" t="str">
        <f>IF(B707="","",COUNTIFS(Ejecucion[No. Solicitud],Registro!B707,Ejecucion[Estado],"No Iniciado"))</f>
        <v/>
      </c>
      <c r="Y707" s="64" t="str">
        <f>IF(B707="","",COUNTIFS(Ejecucion[No. Solicitud],Registro!B707,Ejecucion[Estado],"En Proceso"))</f>
        <v/>
      </c>
      <c r="Z707" s="64" t="str">
        <f t="shared" si="23"/>
        <v/>
      </c>
      <c r="AA707" s="64"/>
      <c r="AB707" s="64"/>
      <c r="AC707" s="64"/>
      <c r="AD707" s="102"/>
    </row>
    <row r="708" spans="2:30" s="15" customFormat="1">
      <c r="B708" s="36"/>
      <c r="C708" s="102"/>
      <c r="D708" s="36"/>
      <c r="E708" s="22"/>
      <c r="F708" s="83"/>
      <c r="G708" s="83"/>
      <c r="H708" s="25"/>
      <c r="I708" s="25"/>
      <c r="J708" s="25"/>
      <c r="K708" s="25"/>
      <c r="L708" s="36"/>
      <c r="M708" s="36"/>
      <c r="N708" s="36"/>
      <c r="O708" s="102"/>
      <c r="P708" s="36"/>
      <c r="Q708" s="36"/>
      <c r="R708" s="37"/>
      <c r="S708" s="37"/>
      <c r="T708" s="60" t="str">
        <f t="shared" si="22"/>
        <v/>
      </c>
      <c r="U708" s="38"/>
      <c r="V708" s="38"/>
      <c r="W708" s="38" t="str">
        <f>IF(B708="","",COUNTIFS(Ejecucion[No. Solicitud],Registro!B708,Ejecucion[Estado],"Finalizado"))</f>
        <v/>
      </c>
      <c r="X708" s="38" t="str">
        <f>IF(B708="","",COUNTIFS(Ejecucion[No. Solicitud],Registro!B708,Ejecucion[Estado],"No Iniciado"))</f>
        <v/>
      </c>
      <c r="Y708" s="64" t="str">
        <f>IF(B708="","",COUNTIFS(Ejecucion[No. Solicitud],Registro!B708,Ejecucion[Estado],"En Proceso"))</f>
        <v/>
      </c>
      <c r="Z708" s="64" t="str">
        <f t="shared" si="23"/>
        <v/>
      </c>
      <c r="AA708" s="64"/>
      <c r="AB708" s="64"/>
      <c r="AC708" s="64"/>
      <c r="AD708" s="102"/>
    </row>
    <row r="709" spans="2:30" s="15" customFormat="1">
      <c r="B709" s="36"/>
      <c r="C709" s="102"/>
      <c r="D709" s="36"/>
      <c r="E709" s="22"/>
      <c r="F709" s="83"/>
      <c r="G709" s="83"/>
      <c r="H709" s="25"/>
      <c r="I709" s="25"/>
      <c r="J709" s="25"/>
      <c r="K709" s="25"/>
      <c r="L709" s="36"/>
      <c r="M709" s="36"/>
      <c r="N709" s="36"/>
      <c r="O709" s="102"/>
      <c r="P709" s="36"/>
      <c r="Q709" s="36"/>
      <c r="R709" s="37"/>
      <c r="S709" s="37"/>
      <c r="T709" s="60" t="str">
        <f t="shared" si="22"/>
        <v/>
      </c>
      <c r="U709" s="38"/>
      <c r="V709" s="38"/>
      <c r="W709" s="38" t="str">
        <f>IF(B709="","",COUNTIFS(Ejecucion[No. Solicitud],Registro!B709,Ejecucion[Estado],"Finalizado"))</f>
        <v/>
      </c>
      <c r="X709" s="38" t="str">
        <f>IF(B709="","",COUNTIFS(Ejecucion[No. Solicitud],Registro!B709,Ejecucion[Estado],"No Iniciado"))</f>
        <v/>
      </c>
      <c r="Y709" s="64" t="str">
        <f>IF(B709="","",COUNTIFS(Ejecucion[No. Solicitud],Registro!B709,Ejecucion[Estado],"En Proceso"))</f>
        <v/>
      </c>
      <c r="Z709" s="64" t="str">
        <f t="shared" si="23"/>
        <v/>
      </c>
      <c r="AA709" s="64"/>
      <c r="AB709" s="64"/>
      <c r="AC709" s="64"/>
      <c r="AD709" s="102"/>
    </row>
    <row r="710" spans="2:30" s="15" customFormat="1">
      <c r="B710" s="36"/>
      <c r="C710" s="102"/>
      <c r="D710" s="36"/>
      <c r="E710" s="22"/>
      <c r="F710" s="83"/>
      <c r="G710" s="83"/>
      <c r="H710" s="25"/>
      <c r="I710" s="25"/>
      <c r="J710" s="25"/>
      <c r="K710" s="25"/>
      <c r="L710" s="36"/>
      <c r="M710" s="36"/>
      <c r="N710" s="36"/>
      <c r="O710" s="102"/>
      <c r="P710" s="36"/>
      <c r="Q710" s="36"/>
      <c r="R710" s="37"/>
      <c r="S710" s="37"/>
      <c r="T710" s="60" t="str">
        <f t="shared" si="22"/>
        <v/>
      </c>
      <c r="U710" s="38"/>
      <c r="V710" s="38"/>
      <c r="W710" s="38" t="str">
        <f>IF(B710="","",COUNTIFS(Ejecucion[No. Solicitud],Registro!B710,Ejecucion[Estado],"Finalizado"))</f>
        <v/>
      </c>
      <c r="X710" s="38" t="str">
        <f>IF(B710="","",COUNTIFS(Ejecucion[No. Solicitud],Registro!B710,Ejecucion[Estado],"No Iniciado"))</f>
        <v/>
      </c>
      <c r="Y710" s="64" t="str">
        <f>IF(B710="","",COUNTIFS(Ejecucion[No. Solicitud],Registro!B710,Ejecucion[Estado],"En Proceso"))</f>
        <v/>
      </c>
      <c r="Z710" s="64" t="str">
        <f t="shared" si="23"/>
        <v/>
      </c>
      <c r="AA710" s="64"/>
      <c r="AB710" s="64"/>
      <c r="AC710" s="64"/>
      <c r="AD710" s="102"/>
    </row>
    <row r="711" spans="2:30" s="15" customFormat="1">
      <c r="B711" s="36"/>
      <c r="C711" s="102"/>
      <c r="D711" s="36"/>
      <c r="E711" s="22"/>
      <c r="F711" s="83"/>
      <c r="G711" s="83"/>
      <c r="H711" s="25"/>
      <c r="I711" s="25"/>
      <c r="J711" s="25"/>
      <c r="K711" s="25"/>
      <c r="L711" s="36"/>
      <c r="M711" s="36"/>
      <c r="N711" s="36"/>
      <c r="O711" s="102"/>
      <c r="P711" s="36"/>
      <c r="Q711" s="36"/>
      <c r="R711" s="37"/>
      <c r="S711" s="37"/>
      <c r="T711" s="60" t="str">
        <f t="shared" si="22"/>
        <v/>
      </c>
      <c r="U711" s="38"/>
      <c r="V711" s="38"/>
      <c r="W711" s="38" t="str">
        <f>IF(B711="","",COUNTIFS(Ejecucion[No. Solicitud],Registro!B711,Ejecucion[Estado],"Finalizado"))</f>
        <v/>
      </c>
      <c r="X711" s="38" t="str">
        <f>IF(B711="","",COUNTIFS(Ejecucion[No. Solicitud],Registro!B711,Ejecucion[Estado],"No Iniciado"))</f>
        <v/>
      </c>
      <c r="Y711" s="64" t="str">
        <f>IF(B711="","",COUNTIFS(Ejecucion[No. Solicitud],Registro!B711,Ejecucion[Estado],"En Proceso"))</f>
        <v/>
      </c>
      <c r="Z711" s="64" t="str">
        <f t="shared" si="23"/>
        <v/>
      </c>
      <c r="AA711" s="64"/>
      <c r="AB711" s="64"/>
      <c r="AC711" s="64"/>
      <c r="AD711" s="102"/>
    </row>
    <row r="712" spans="2:30" s="15" customFormat="1">
      <c r="B712" s="36"/>
      <c r="C712" s="102"/>
      <c r="D712" s="36"/>
      <c r="E712" s="22"/>
      <c r="F712" s="83"/>
      <c r="G712" s="83"/>
      <c r="H712" s="25"/>
      <c r="I712" s="25"/>
      <c r="J712" s="25"/>
      <c r="K712" s="25"/>
      <c r="L712" s="36"/>
      <c r="M712" s="36"/>
      <c r="N712" s="36"/>
      <c r="O712" s="102"/>
      <c r="P712" s="36"/>
      <c r="Q712" s="36"/>
      <c r="R712" s="37"/>
      <c r="S712" s="37"/>
      <c r="T712" s="60" t="str">
        <f t="shared" ref="T712:T775" si="24">IF(U712="","",IF(U712=W712,1,0))</f>
        <v/>
      </c>
      <c r="U712" s="38"/>
      <c r="V712" s="38"/>
      <c r="W712" s="38" t="str">
        <f>IF(B712="","",COUNTIFS(Ejecucion[No. Solicitud],Registro!B712,Ejecucion[Estado],"Finalizado"))</f>
        <v/>
      </c>
      <c r="X712" s="38" t="str">
        <f>IF(B712="","",COUNTIFS(Ejecucion[No. Solicitud],Registro!B712,Ejecucion[Estado],"No Iniciado"))</f>
        <v/>
      </c>
      <c r="Y712" s="64" t="str">
        <f>IF(B712="","",COUNTIFS(Ejecucion[No. Solicitud],Registro!B712,Ejecucion[Estado],"En Proceso"))</f>
        <v/>
      </c>
      <c r="Z712" s="64" t="str">
        <f t="shared" si="23"/>
        <v/>
      </c>
      <c r="AA712" s="64"/>
      <c r="AB712" s="64"/>
      <c r="AC712" s="64"/>
      <c r="AD712" s="102"/>
    </row>
    <row r="713" spans="2:30" s="15" customFormat="1">
      <c r="B713" s="36"/>
      <c r="C713" s="102"/>
      <c r="D713" s="36"/>
      <c r="E713" s="22"/>
      <c r="F713" s="83"/>
      <c r="G713" s="83"/>
      <c r="H713" s="25"/>
      <c r="I713" s="25"/>
      <c r="J713" s="25"/>
      <c r="K713" s="25"/>
      <c r="L713" s="36"/>
      <c r="M713" s="36"/>
      <c r="N713" s="36"/>
      <c r="O713" s="102"/>
      <c r="P713" s="36"/>
      <c r="Q713" s="36"/>
      <c r="R713" s="37"/>
      <c r="S713" s="37"/>
      <c r="T713" s="60" t="str">
        <f t="shared" si="24"/>
        <v/>
      </c>
      <c r="U713" s="38"/>
      <c r="V713" s="38"/>
      <c r="W713" s="38" t="str">
        <f>IF(B713="","",COUNTIFS(Ejecucion[No. Solicitud],Registro!B713,Ejecucion[Estado],"Finalizado"))</f>
        <v/>
      </c>
      <c r="X713" s="38" t="str">
        <f>IF(B713="","",COUNTIFS(Ejecucion[No. Solicitud],Registro!B713,Ejecucion[Estado],"No Iniciado"))</f>
        <v/>
      </c>
      <c r="Y713" s="64" t="str">
        <f>IF(B713="","",COUNTIFS(Ejecucion[No. Solicitud],Registro!B713,Ejecucion[Estado],"En Proceso"))</f>
        <v/>
      </c>
      <c r="Z713" s="64" t="str">
        <f t="shared" si="23"/>
        <v/>
      </c>
      <c r="AA713" s="64"/>
      <c r="AB713" s="64"/>
      <c r="AC713" s="64"/>
      <c r="AD713" s="102"/>
    </row>
    <row r="714" spans="2:30" s="15" customFormat="1">
      <c r="B714" s="36"/>
      <c r="C714" s="102"/>
      <c r="D714" s="36"/>
      <c r="E714" s="22"/>
      <c r="F714" s="83"/>
      <c r="G714" s="83"/>
      <c r="H714" s="25"/>
      <c r="I714" s="25"/>
      <c r="J714" s="25"/>
      <c r="K714" s="25"/>
      <c r="L714" s="36"/>
      <c r="M714" s="36"/>
      <c r="N714" s="36"/>
      <c r="O714" s="102"/>
      <c r="P714" s="36"/>
      <c r="Q714" s="36"/>
      <c r="R714" s="37"/>
      <c r="S714" s="37"/>
      <c r="T714" s="60" t="str">
        <f t="shared" si="24"/>
        <v/>
      </c>
      <c r="U714" s="38"/>
      <c r="V714" s="38"/>
      <c r="W714" s="38" t="str">
        <f>IF(B714="","",COUNTIFS(Ejecucion[No. Solicitud],Registro!B714,Ejecucion[Estado],"Finalizado"))</f>
        <v/>
      </c>
      <c r="X714" s="38" t="str">
        <f>IF(B714="","",COUNTIFS(Ejecucion[No. Solicitud],Registro!B714,Ejecucion[Estado],"No Iniciado"))</f>
        <v/>
      </c>
      <c r="Y714" s="64" t="str">
        <f>IF(B714="","",COUNTIFS(Ejecucion[No. Solicitud],Registro!B714,Ejecucion[Estado],"En Proceso"))</f>
        <v/>
      </c>
      <c r="Z714" s="64" t="str">
        <f t="shared" si="23"/>
        <v/>
      </c>
      <c r="AA714" s="64"/>
      <c r="AB714" s="64"/>
      <c r="AC714" s="64"/>
      <c r="AD714" s="102"/>
    </row>
    <row r="715" spans="2:30" s="15" customFormat="1">
      <c r="B715" s="36"/>
      <c r="C715" s="102"/>
      <c r="D715" s="36"/>
      <c r="E715" s="22"/>
      <c r="F715" s="83"/>
      <c r="G715" s="83"/>
      <c r="H715" s="25"/>
      <c r="I715" s="25"/>
      <c r="J715" s="25"/>
      <c r="K715" s="25"/>
      <c r="L715" s="36"/>
      <c r="M715" s="36"/>
      <c r="N715" s="36"/>
      <c r="O715" s="102"/>
      <c r="P715" s="36"/>
      <c r="Q715" s="36"/>
      <c r="R715" s="37"/>
      <c r="S715" s="37"/>
      <c r="T715" s="60" t="str">
        <f t="shared" si="24"/>
        <v/>
      </c>
      <c r="U715" s="38"/>
      <c r="V715" s="38"/>
      <c r="W715" s="38" t="str">
        <f>IF(B715="","",COUNTIFS(Ejecucion[No. Solicitud],Registro!B715,Ejecucion[Estado],"Finalizado"))</f>
        <v/>
      </c>
      <c r="X715" s="38" t="str">
        <f>IF(B715="","",COUNTIFS(Ejecucion[No. Solicitud],Registro!B715,Ejecucion[Estado],"No Iniciado"))</f>
        <v/>
      </c>
      <c r="Y715" s="64" t="str">
        <f>IF(B715="","",COUNTIFS(Ejecucion[No. Solicitud],Registro!B715,Ejecucion[Estado],"En Proceso"))</f>
        <v/>
      </c>
      <c r="Z715" s="64" t="str">
        <f t="shared" si="23"/>
        <v/>
      </c>
      <c r="AA715" s="64"/>
      <c r="AB715" s="64"/>
      <c r="AC715" s="64"/>
      <c r="AD715" s="102"/>
    </row>
    <row r="716" spans="2:30" s="15" customFormat="1">
      <c r="B716" s="36"/>
      <c r="C716" s="102"/>
      <c r="D716" s="36"/>
      <c r="E716" s="22"/>
      <c r="F716" s="83"/>
      <c r="G716" s="83"/>
      <c r="H716" s="25"/>
      <c r="I716" s="25"/>
      <c r="J716" s="25"/>
      <c r="K716" s="25"/>
      <c r="L716" s="36"/>
      <c r="M716" s="36"/>
      <c r="N716" s="36"/>
      <c r="O716" s="102"/>
      <c r="P716" s="36"/>
      <c r="Q716" s="36"/>
      <c r="R716" s="37"/>
      <c r="S716" s="37"/>
      <c r="T716" s="60" t="str">
        <f t="shared" si="24"/>
        <v/>
      </c>
      <c r="U716" s="38"/>
      <c r="V716" s="38"/>
      <c r="W716" s="38" t="str">
        <f>IF(B716="","",COUNTIFS(Ejecucion[No. Solicitud],Registro!B716,Ejecucion[Estado],"Finalizado"))</f>
        <v/>
      </c>
      <c r="X716" s="38" t="str">
        <f>IF(B716="","",COUNTIFS(Ejecucion[No. Solicitud],Registro!B716,Ejecucion[Estado],"No Iniciado"))</f>
        <v/>
      </c>
      <c r="Y716" s="64" t="str">
        <f>IF(B716="","",COUNTIFS(Ejecucion[No. Solicitud],Registro!B716,Ejecucion[Estado],"En Proceso"))</f>
        <v/>
      </c>
      <c r="Z716" s="64" t="str">
        <f t="shared" si="23"/>
        <v/>
      </c>
      <c r="AA716" s="64"/>
      <c r="AB716" s="64"/>
      <c r="AC716" s="64"/>
      <c r="AD716" s="102"/>
    </row>
    <row r="717" spans="2:30" s="15" customFormat="1">
      <c r="B717" s="36"/>
      <c r="C717" s="102"/>
      <c r="D717" s="36"/>
      <c r="E717" s="22"/>
      <c r="F717" s="83"/>
      <c r="G717" s="83"/>
      <c r="H717" s="25"/>
      <c r="I717" s="25"/>
      <c r="J717" s="25"/>
      <c r="K717" s="25"/>
      <c r="L717" s="36"/>
      <c r="M717" s="36"/>
      <c r="N717" s="36"/>
      <c r="O717" s="102"/>
      <c r="P717" s="36"/>
      <c r="Q717" s="36"/>
      <c r="R717" s="37"/>
      <c r="S717" s="37"/>
      <c r="T717" s="60" t="str">
        <f t="shared" si="24"/>
        <v/>
      </c>
      <c r="U717" s="38"/>
      <c r="V717" s="38"/>
      <c r="W717" s="38" t="str">
        <f>IF(B717="","",COUNTIFS(Ejecucion[No. Solicitud],Registro!B717,Ejecucion[Estado],"Finalizado"))</f>
        <v/>
      </c>
      <c r="X717" s="38" t="str">
        <f>IF(B717="","",COUNTIFS(Ejecucion[No. Solicitud],Registro!B717,Ejecucion[Estado],"No Iniciado"))</f>
        <v/>
      </c>
      <c r="Y717" s="64" t="str">
        <f>IF(B717="","",COUNTIFS(Ejecucion[No. Solicitud],Registro!B717,Ejecucion[Estado],"En Proceso"))</f>
        <v/>
      </c>
      <c r="Z717" s="64" t="str">
        <f t="shared" si="23"/>
        <v/>
      </c>
      <c r="AA717" s="64"/>
      <c r="AB717" s="64"/>
      <c r="AC717" s="64"/>
      <c r="AD717" s="102"/>
    </row>
    <row r="718" spans="2:30" s="15" customFormat="1">
      <c r="B718" s="36"/>
      <c r="C718" s="102"/>
      <c r="D718" s="36"/>
      <c r="E718" s="22"/>
      <c r="F718" s="83"/>
      <c r="G718" s="83"/>
      <c r="H718" s="25"/>
      <c r="I718" s="25"/>
      <c r="J718" s="25"/>
      <c r="K718" s="25"/>
      <c r="L718" s="36"/>
      <c r="M718" s="36"/>
      <c r="N718" s="36"/>
      <c r="O718" s="102"/>
      <c r="P718" s="36"/>
      <c r="Q718" s="36"/>
      <c r="R718" s="37"/>
      <c r="S718" s="37"/>
      <c r="T718" s="60" t="str">
        <f t="shared" si="24"/>
        <v/>
      </c>
      <c r="U718" s="38"/>
      <c r="V718" s="38"/>
      <c r="W718" s="38" t="str">
        <f>IF(B718="","",COUNTIFS(Ejecucion[No. Solicitud],Registro!B718,Ejecucion[Estado],"Finalizado"))</f>
        <v/>
      </c>
      <c r="X718" s="38" t="str">
        <f>IF(B718="","",COUNTIFS(Ejecucion[No. Solicitud],Registro!B718,Ejecucion[Estado],"No Iniciado"))</f>
        <v/>
      </c>
      <c r="Y718" s="64" t="str">
        <f>IF(B718="","",COUNTIFS(Ejecucion[No. Solicitud],Registro!B718,Ejecucion[Estado],"En Proceso"))</f>
        <v/>
      </c>
      <c r="Z718" s="64" t="str">
        <f t="shared" si="23"/>
        <v/>
      </c>
      <c r="AA718" s="64"/>
      <c r="AB718" s="64"/>
      <c r="AC718" s="64"/>
      <c r="AD718" s="102"/>
    </row>
    <row r="719" spans="2:30" s="15" customFormat="1">
      <c r="B719" s="36"/>
      <c r="C719" s="102"/>
      <c r="D719" s="36"/>
      <c r="E719" s="22"/>
      <c r="F719" s="83"/>
      <c r="G719" s="83"/>
      <c r="H719" s="25"/>
      <c r="I719" s="25"/>
      <c r="J719" s="25"/>
      <c r="K719" s="25"/>
      <c r="L719" s="36"/>
      <c r="M719" s="36"/>
      <c r="N719" s="36"/>
      <c r="O719" s="102"/>
      <c r="P719" s="36"/>
      <c r="Q719" s="36"/>
      <c r="R719" s="37"/>
      <c r="S719" s="37"/>
      <c r="T719" s="60" t="str">
        <f t="shared" si="24"/>
        <v/>
      </c>
      <c r="U719" s="38"/>
      <c r="V719" s="38"/>
      <c r="W719" s="38" t="str">
        <f>IF(B719="","",COUNTIFS(Ejecucion[No. Solicitud],Registro!B719,Ejecucion[Estado],"Finalizado"))</f>
        <v/>
      </c>
      <c r="X719" s="38" t="str">
        <f>IF(B719="","",COUNTIFS(Ejecucion[No. Solicitud],Registro!B719,Ejecucion[Estado],"No Iniciado"))</f>
        <v/>
      </c>
      <c r="Y719" s="64" t="str">
        <f>IF(B719="","",COUNTIFS(Ejecucion[No. Solicitud],Registro!B719,Ejecucion[Estado],"En Proceso"))</f>
        <v/>
      </c>
      <c r="Z719" s="64" t="str">
        <f t="shared" si="23"/>
        <v/>
      </c>
      <c r="AA719" s="64"/>
      <c r="AB719" s="64"/>
      <c r="AC719" s="64"/>
      <c r="AD719" s="102"/>
    </row>
    <row r="720" spans="2:30" s="15" customFormat="1">
      <c r="B720" s="36"/>
      <c r="C720" s="102"/>
      <c r="D720" s="36"/>
      <c r="E720" s="22"/>
      <c r="F720" s="83"/>
      <c r="G720" s="83"/>
      <c r="H720" s="25"/>
      <c r="I720" s="25"/>
      <c r="J720" s="25"/>
      <c r="K720" s="25"/>
      <c r="L720" s="36"/>
      <c r="M720" s="36"/>
      <c r="N720" s="36"/>
      <c r="O720" s="102"/>
      <c r="P720" s="36"/>
      <c r="Q720" s="36"/>
      <c r="R720" s="37"/>
      <c r="S720" s="37"/>
      <c r="T720" s="60" t="str">
        <f t="shared" si="24"/>
        <v/>
      </c>
      <c r="U720" s="38"/>
      <c r="V720" s="38"/>
      <c r="W720" s="38" t="str">
        <f>IF(B720="","",COUNTIFS(Ejecucion[No. Solicitud],Registro!B720,Ejecucion[Estado],"Finalizado"))</f>
        <v/>
      </c>
      <c r="X720" s="38" t="str">
        <f>IF(B720="","",COUNTIFS(Ejecucion[No. Solicitud],Registro!B720,Ejecucion[Estado],"No Iniciado"))</f>
        <v/>
      </c>
      <c r="Y720" s="64" t="str">
        <f>IF(B720="","",COUNTIFS(Ejecucion[No. Solicitud],Registro!B720,Ejecucion[Estado],"En Proceso"))</f>
        <v/>
      </c>
      <c r="Z720" s="64" t="str">
        <f t="shared" si="23"/>
        <v/>
      </c>
      <c r="AA720" s="64"/>
      <c r="AB720" s="64"/>
      <c r="AC720" s="64"/>
      <c r="AD720" s="102"/>
    </row>
    <row r="721" spans="2:30" s="15" customFormat="1">
      <c r="B721" s="36"/>
      <c r="C721" s="102"/>
      <c r="D721" s="36"/>
      <c r="E721" s="22"/>
      <c r="F721" s="83"/>
      <c r="G721" s="83"/>
      <c r="H721" s="25"/>
      <c r="I721" s="25"/>
      <c r="J721" s="25"/>
      <c r="K721" s="25"/>
      <c r="L721" s="36"/>
      <c r="M721" s="36"/>
      <c r="N721" s="36"/>
      <c r="O721" s="102"/>
      <c r="P721" s="36"/>
      <c r="Q721" s="36"/>
      <c r="R721" s="37"/>
      <c r="S721" s="37"/>
      <c r="T721" s="60" t="str">
        <f t="shared" si="24"/>
        <v/>
      </c>
      <c r="U721" s="38"/>
      <c r="V721" s="38"/>
      <c r="W721" s="38" t="str">
        <f>IF(B721="","",COUNTIFS(Ejecucion[No. Solicitud],Registro!B721,Ejecucion[Estado],"Finalizado"))</f>
        <v/>
      </c>
      <c r="X721" s="38" t="str">
        <f>IF(B721="","",COUNTIFS(Ejecucion[No. Solicitud],Registro!B721,Ejecucion[Estado],"No Iniciado"))</f>
        <v/>
      </c>
      <c r="Y721" s="64" t="str">
        <f>IF(B721="","",COUNTIFS(Ejecucion[No. Solicitud],Registro!B721,Ejecucion[Estado],"En Proceso"))</f>
        <v/>
      </c>
      <c r="Z721" s="64" t="str">
        <f t="shared" si="23"/>
        <v/>
      </c>
      <c r="AA721" s="64"/>
      <c r="AB721" s="64"/>
      <c r="AC721" s="64"/>
      <c r="AD721" s="102"/>
    </row>
    <row r="722" spans="2:30" s="15" customFormat="1">
      <c r="B722" s="36"/>
      <c r="C722" s="102"/>
      <c r="D722" s="36"/>
      <c r="E722" s="22"/>
      <c r="F722" s="83"/>
      <c r="G722" s="83"/>
      <c r="H722" s="25"/>
      <c r="I722" s="25"/>
      <c r="J722" s="25"/>
      <c r="K722" s="25"/>
      <c r="L722" s="36"/>
      <c r="M722" s="36"/>
      <c r="N722" s="36"/>
      <c r="O722" s="102"/>
      <c r="P722" s="36"/>
      <c r="Q722" s="36"/>
      <c r="R722" s="37"/>
      <c r="S722" s="37"/>
      <c r="T722" s="60" t="str">
        <f t="shared" si="24"/>
        <v/>
      </c>
      <c r="U722" s="38"/>
      <c r="V722" s="38"/>
      <c r="W722" s="38" t="str">
        <f>IF(B722="","",COUNTIFS(Ejecucion[No. Solicitud],Registro!B722,Ejecucion[Estado],"Finalizado"))</f>
        <v/>
      </c>
      <c r="X722" s="38" t="str">
        <f>IF(B722="","",COUNTIFS(Ejecucion[No. Solicitud],Registro!B722,Ejecucion[Estado],"No Iniciado"))</f>
        <v/>
      </c>
      <c r="Y722" s="64" t="str">
        <f>IF(B722="","",COUNTIFS(Ejecucion[No. Solicitud],Registro!B722,Ejecucion[Estado],"En Proceso"))</f>
        <v/>
      </c>
      <c r="Z722" s="64" t="str">
        <f t="shared" si="23"/>
        <v/>
      </c>
      <c r="AA722" s="64"/>
      <c r="AB722" s="64"/>
      <c r="AC722" s="64"/>
      <c r="AD722" s="102"/>
    </row>
    <row r="723" spans="2:30" s="15" customFormat="1">
      <c r="B723" s="36"/>
      <c r="C723" s="102"/>
      <c r="D723" s="36"/>
      <c r="E723" s="22"/>
      <c r="F723" s="83"/>
      <c r="G723" s="83"/>
      <c r="H723" s="25"/>
      <c r="I723" s="25"/>
      <c r="J723" s="25"/>
      <c r="K723" s="25"/>
      <c r="L723" s="36"/>
      <c r="M723" s="36"/>
      <c r="N723" s="36"/>
      <c r="O723" s="102"/>
      <c r="P723" s="36"/>
      <c r="Q723" s="36"/>
      <c r="R723" s="37"/>
      <c r="S723" s="37"/>
      <c r="T723" s="60" t="str">
        <f t="shared" si="24"/>
        <v/>
      </c>
      <c r="U723" s="38"/>
      <c r="V723" s="38"/>
      <c r="W723" s="38" t="str">
        <f>IF(B723="","",COUNTIFS(Ejecucion[No. Solicitud],Registro!B723,Ejecucion[Estado],"Finalizado"))</f>
        <v/>
      </c>
      <c r="X723" s="38" t="str">
        <f>IF(B723="","",COUNTIFS(Ejecucion[No. Solicitud],Registro!B723,Ejecucion[Estado],"No Iniciado"))</f>
        <v/>
      </c>
      <c r="Y723" s="64" t="str">
        <f>IF(B723="","",COUNTIFS(Ejecucion[No. Solicitud],Registro!B723,Ejecucion[Estado],"En Proceso"))</f>
        <v/>
      </c>
      <c r="Z723" s="64" t="str">
        <f t="shared" si="23"/>
        <v/>
      </c>
      <c r="AA723" s="64"/>
      <c r="AB723" s="64"/>
      <c r="AC723" s="64"/>
      <c r="AD723" s="102"/>
    </row>
    <row r="724" spans="2:30" s="15" customFormat="1">
      <c r="B724" s="36"/>
      <c r="C724" s="102"/>
      <c r="D724" s="36"/>
      <c r="E724" s="22"/>
      <c r="F724" s="83"/>
      <c r="G724" s="83"/>
      <c r="H724" s="25"/>
      <c r="I724" s="25"/>
      <c r="J724" s="25"/>
      <c r="K724" s="25"/>
      <c r="L724" s="36"/>
      <c r="M724" s="36"/>
      <c r="N724" s="36"/>
      <c r="O724" s="102"/>
      <c r="P724" s="36"/>
      <c r="Q724" s="36"/>
      <c r="R724" s="37"/>
      <c r="S724" s="37"/>
      <c r="T724" s="60" t="str">
        <f t="shared" si="24"/>
        <v/>
      </c>
      <c r="U724" s="38"/>
      <c r="V724" s="38"/>
      <c r="W724" s="38" t="str">
        <f>IF(B724="","",COUNTIFS(Ejecucion[No. Solicitud],Registro!B724,Ejecucion[Estado],"Finalizado"))</f>
        <v/>
      </c>
      <c r="X724" s="38" t="str">
        <f>IF(B724="","",COUNTIFS(Ejecucion[No. Solicitud],Registro!B724,Ejecucion[Estado],"No Iniciado"))</f>
        <v/>
      </c>
      <c r="Y724" s="64" t="str">
        <f>IF(B724="","",COUNTIFS(Ejecucion[No. Solicitud],Registro!B724,Ejecucion[Estado],"En Proceso"))</f>
        <v/>
      </c>
      <c r="Z724" s="64" t="str">
        <f t="shared" si="23"/>
        <v/>
      </c>
      <c r="AA724" s="64"/>
      <c r="AB724" s="64"/>
      <c r="AC724" s="64"/>
      <c r="AD724" s="102"/>
    </row>
    <row r="725" spans="2:30" s="15" customFormat="1">
      <c r="B725" s="36"/>
      <c r="C725" s="102"/>
      <c r="D725" s="36"/>
      <c r="E725" s="22"/>
      <c r="F725" s="83"/>
      <c r="G725" s="83"/>
      <c r="H725" s="25"/>
      <c r="I725" s="25"/>
      <c r="J725" s="25"/>
      <c r="K725" s="25"/>
      <c r="L725" s="36"/>
      <c r="M725" s="36"/>
      <c r="N725" s="36"/>
      <c r="O725" s="102"/>
      <c r="P725" s="36"/>
      <c r="Q725" s="36"/>
      <c r="R725" s="37"/>
      <c r="S725" s="37"/>
      <c r="T725" s="60" t="str">
        <f t="shared" si="24"/>
        <v/>
      </c>
      <c r="U725" s="38"/>
      <c r="V725" s="38"/>
      <c r="W725" s="38" t="str">
        <f>IF(B725="","",COUNTIFS(Ejecucion[No. Solicitud],Registro!B725,Ejecucion[Estado],"Finalizado"))</f>
        <v/>
      </c>
      <c r="X725" s="38" t="str">
        <f>IF(B725="","",COUNTIFS(Ejecucion[No. Solicitud],Registro!B725,Ejecucion[Estado],"No Iniciado"))</f>
        <v/>
      </c>
      <c r="Y725" s="64" t="str">
        <f>IF(B725="","",COUNTIFS(Ejecucion[No. Solicitud],Registro!B725,Ejecucion[Estado],"En Proceso"))</f>
        <v/>
      </c>
      <c r="Z725" s="64" t="str">
        <f t="shared" si="23"/>
        <v/>
      </c>
      <c r="AA725" s="64"/>
      <c r="AB725" s="64"/>
      <c r="AC725" s="64"/>
      <c r="AD725" s="102"/>
    </row>
    <row r="726" spans="2:30" s="15" customFormat="1">
      <c r="B726" s="36"/>
      <c r="C726" s="102"/>
      <c r="D726" s="36"/>
      <c r="E726" s="22"/>
      <c r="F726" s="83"/>
      <c r="G726" s="83"/>
      <c r="H726" s="25"/>
      <c r="I726" s="25"/>
      <c r="J726" s="25"/>
      <c r="K726" s="25"/>
      <c r="L726" s="36"/>
      <c r="M726" s="36"/>
      <c r="N726" s="36"/>
      <c r="O726" s="102"/>
      <c r="P726" s="36"/>
      <c r="Q726" s="36"/>
      <c r="R726" s="37"/>
      <c r="S726" s="37"/>
      <c r="T726" s="60" t="str">
        <f t="shared" si="24"/>
        <v/>
      </c>
      <c r="U726" s="38"/>
      <c r="V726" s="38"/>
      <c r="W726" s="38" t="str">
        <f>IF(B726="","",COUNTIFS(Ejecucion[No. Solicitud],Registro!B726,Ejecucion[Estado],"Finalizado"))</f>
        <v/>
      </c>
      <c r="X726" s="38" t="str">
        <f>IF(B726="","",COUNTIFS(Ejecucion[No. Solicitud],Registro!B726,Ejecucion[Estado],"No Iniciado"))</f>
        <v/>
      </c>
      <c r="Y726" s="64" t="str">
        <f>IF(B726="","",COUNTIFS(Ejecucion[No. Solicitud],Registro!B726,Ejecucion[Estado],"En Proceso"))</f>
        <v/>
      </c>
      <c r="Z726" s="64" t="str">
        <f t="shared" si="23"/>
        <v/>
      </c>
      <c r="AA726" s="64"/>
      <c r="AB726" s="64"/>
      <c r="AC726" s="64"/>
      <c r="AD726" s="102"/>
    </row>
    <row r="727" spans="2:30" s="15" customFormat="1">
      <c r="B727" s="36"/>
      <c r="C727" s="102"/>
      <c r="D727" s="36"/>
      <c r="E727" s="22"/>
      <c r="F727" s="83"/>
      <c r="G727" s="83"/>
      <c r="H727" s="25"/>
      <c r="I727" s="25"/>
      <c r="J727" s="25"/>
      <c r="K727" s="25"/>
      <c r="L727" s="36"/>
      <c r="M727" s="36"/>
      <c r="N727" s="36"/>
      <c r="O727" s="102"/>
      <c r="P727" s="36"/>
      <c r="Q727" s="36"/>
      <c r="R727" s="37"/>
      <c r="S727" s="37"/>
      <c r="T727" s="60" t="str">
        <f t="shared" si="24"/>
        <v/>
      </c>
      <c r="U727" s="38"/>
      <c r="V727" s="38"/>
      <c r="W727" s="38" t="str">
        <f>IF(B727="","",COUNTIFS(Ejecucion[No. Solicitud],Registro!B727,Ejecucion[Estado],"Finalizado"))</f>
        <v/>
      </c>
      <c r="X727" s="38" t="str">
        <f>IF(B727="","",COUNTIFS(Ejecucion[No. Solicitud],Registro!B727,Ejecucion[Estado],"No Iniciado"))</f>
        <v/>
      </c>
      <c r="Y727" s="64" t="str">
        <f>IF(B727="","",COUNTIFS(Ejecucion[No. Solicitud],Registro!B727,Ejecucion[Estado],"En Proceso"))</f>
        <v/>
      </c>
      <c r="Z727" s="64" t="str">
        <f t="shared" si="23"/>
        <v/>
      </c>
      <c r="AA727" s="64"/>
      <c r="AB727" s="64"/>
      <c r="AC727" s="64"/>
      <c r="AD727" s="102"/>
    </row>
    <row r="728" spans="2:30" s="15" customFormat="1">
      <c r="B728" s="36"/>
      <c r="C728" s="102"/>
      <c r="D728" s="36"/>
      <c r="E728" s="22"/>
      <c r="F728" s="83"/>
      <c r="G728" s="83"/>
      <c r="H728" s="25"/>
      <c r="I728" s="25"/>
      <c r="J728" s="25"/>
      <c r="K728" s="25"/>
      <c r="L728" s="36"/>
      <c r="M728" s="36"/>
      <c r="N728" s="36"/>
      <c r="O728" s="102"/>
      <c r="P728" s="36"/>
      <c r="Q728" s="36"/>
      <c r="R728" s="37"/>
      <c r="S728" s="37"/>
      <c r="T728" s="60" t="str">
        <f t="shared" si="24"/>
        <v/>
      </c>
      <c r="U728" s="38"/>
      <c r="V728" s="38"/>
      <c r="W728" s="38" t="str">
        <f>IF(B728="","",COUNTIFS(Ejecucion[No. Solicitud],Registro!B728,Ejecucion[Estado],"Finalizado"))</f>
        <v/>
      </c>
      <c r="X728" s="38" t="str">
        <f>IF(B728="","",COUNTIFS(Ejecucion[No. Solicitud],Registro!B728,Ejecucion[Estado],"No Iniciado"))</f>
        <v/>
      </c>
      <c r="Y728" s="64" t="str">
        <f>IF(B728="","",COUNTIFS(Ejecucion[No. Solicitud],Registro!B728,Ejecucion[Estado],"En Proceso"))</f>
        <v/>
      </c>
      <c r="Z728" s="64" t="str">
        <f t="shared" si="23"/>
        <v/>
      </c>
      <c r="AA728" s="64"/>
      <c r="AB728" s="64"/>
      <c r="AC728" s="64"/>
      <c r="AD728" s="102"/>
    </row>
    <row r="729" spans="2:30" s="15" customFormat="1">
      <c r="B729" s="36"/>
      <c r="C729" s="102"/>
      <c r="D729" s="36"/>
      <c r="E729" s="22"/>
      <c r="F729" s="83"/>
      <c r="G729" s="83"/>
      <c r="H729" s="25"/>
      <c r="I729" s="25"/>
      <c r="J729" s="25"/>
      <c r="K729" s="25"/>
      <c r="L729" s="36"/>
      <c r="M729" s="36"/>
      <c r="N729" s="36"/>
      <c r="O729" s="102"/>
      <c r="P729" s="36"/>
      <c r="Q729" s="36"/>
      <c r="R729" s="37"/>
      <c r="S729" s="37"/>
      <c r="T729" s="60" t="str">
        <f t="shared" si="24"/>
        <v/>
      </c>
      <c r="U729" s="38"/>
      <c r="V729" s="38"/>
      <c r="W729" s="38" t="str">
        <f>IF(B729="","",COUNTIFS(Ejecucion[No. Solicitud],Registro!B729,Ejecucion[Estado],"Finalizado"))</f>
        <v/>
      </c>
      <c r="X729" s="38" t="str">
        <f>IF(B729="","",COUNTIFS(Ejecucion[No. Solicitud],Registro!B729,Ejecucion[Estado],"No Iniciado"))</f>
        <v/>
      </c>
      <c r="Y729" s="64" t="str">
        <f>IF(B729="","",COUNTIFS(Ejecucion[No. Solicitud],Registro!B729,Ejecucion[Estado],"En Proceso"))</f>
        <v/>
      </c>
      <c r="Z729" s="64" t="str">
        <f t="shared" si="23"/>
        <v/>
      </c>
      <c r="AA729" s="64"/>
      <c r="AB729" s="64"/>
      <c r="AC729" s="64"/>
      <c r="AD729" s="102"/>
    </row>
    <row r="730" spans="2:30" s="15" customFormat="1">
      <c r="B730" s="36"/>
      <c r="C730" s="102"/>
      <c r="D730" s="36"/>
      <c r="E730" s="22"/>
      <c r="F730" s="83"/>
      <c r="G730" s="83"/>
      <c r="H730" s="25"/>
      <c r="I730" s="25"/>
      <c r="J730" s="25"/>
      <c r="K730" s="25"/>
      <c r="L730" s="36"/>
      <c r="M730" s="36"/>
      <c r="N730" s="36"/>
      <c r="O730" s="102"/>
      <c r="P730" s="36"/>
      <c r="Q730" s="36"/>
      <c r="R730" s="37"/>
      <c r="S730" s="37"/>
      <c r="T730" s="60" t="str">
        <f t="shared" si="24"/>
        <v/>
      </c>
      <c r="U730" s="38"/>
      <c r="V730" s="38"/>
      <c r="W730" s="38" t="str">
        <f>IF(B730="","",COUNTIFS(Ejecucion[No. Solicitud],Registro!B730,Ejecucion[Estado],"Finalizado"))</f>
        <v/>
      </c>
      <c r="X730" s="38" t="str">
        <f>IF(B730="","",COUNTIFS(Ejecucion[No. Solicitud],Registro!B730,Ejecucion[Estado],"No Iniciado"))</f>
        <v/>
      </c>
      <c r="Y730" s="64" t="str">
        <f>IF(B730="","",COUNTIFS(Ejecucion[No. Solicitud],Registro!B730,Ejecucion[Estado],"En Proceso"))</f>
        <v/>
      </c>
      <c r="Z730" s="64" t="str">
        <f t="shared" ref="Z730:Z793" si="25">IF(U730="","",IF(F730="Virtual Asincrónico",1,V730*U730))</f>
        <v/>
      </c>
      <c r="AA730" s="64"/>
      <c r="AB730" s="64"/>
      <c r="AC730" s="64"/>
      <c r="AD730" s="102"/>
    </row>
    <row r="731" spans="2:30" s="15" customFormat="1">
      <c r="B731" s="36"/>
      <c r="C731" s="102"/>
      <c r="D731" s="36"/>
      <c r="E731" s="22"/>
      <c r="F731" s="83"/>
      <c r="G731" s="83"/>
      <c r="H731" s="25"/>
      <c r="I731" s="25"/>
      <c r="J731" s="25"/>
      <c r="K731" s="25"/>
      <c r="L731" s="36"/>
      <c r="M731" s="36"/>
      <c r="N731" s="36"/>
      <c r="O731" s="102"/>
      <c r="P731" s="36"/>
      <c r="Q731" s="36"/>
      <c r="R731" s="37"/>
      <c r="S731" s="37"/>
      <c r="T731" s="60" t="str">
        <f t="shared" si="24"/>
        <v/>
      </c>
      <c r="U731" s="38"/>
      <c r="V731" s="38"/>
      <c r="W731" s="38" t="str">
        <f>IF(B731="","",COUNTIFS(Ejecucion[No. Solicitud],Registro!B731,Ejecucion[Estado],"Finalizado"))</f>
        <v/>
      </c>
      <c r="X731" s="38" t="str">
        <f>IF(B731="","",COUNTIFS(Ejecucion[No. Solicitud],Registro!B731,Ejecucion[Estado],"No Iniciado"))</f>
        <v/>
      </c>
      <c r="Y731" s="64" t="str">
        <f>IF(B731="","",COUNTIFS(Ejecucion[No. Solicitud],Registro!B731,Ejecucion[Estado],"En Proceso"))</f>
        <v/>
      </c>
      <c r="Z731" s="64" t="str">
        <f t="shared" si="25"/>
        <v/>
      </c>
      <c r="AA731" s="64"/>
      <c r="AB731" s="64"/>
      <c r="AC731" s="64"/>
      <c r="AD731" s="102"/>
    </row>
    <row r="732" spans="2:30" s="15" customFormat="1">
      <c r="B732" s="36"/>
      <c r="C732" s="102"/>
      <c r="D732" s="36"/>
      <c r="E732" s="22"/>
      <c r="F732" s="83"/>
      <c r="G732" s="83"/>
      <c r="H732" s="25"/>
      <c r="I732" s="25"/>
      <c r="J732" s="25"/>
      <c r="K732" s="25"/>
      <c r="L732" s="36"/>
      <c r="M732" s="36"/>
      <c r="N732" s="36"/>
      <c r="O732" s="102"/>
      <c r="P732" s="36"/>
      <c r="Q732" s="36"/>
      <c r="R732" s="37"/>
      <c r="S732" s="37"/>
      <c r="T732" s="60" t="str">
        <f t="shared" si="24"/>
        <v/>
      </c>
      <c r="U732" s="38"/>
      <c r="V732" s="38"/>
      <c r="W732" s="38" t="str">
        <f>IF(B732="","",COUNTIFS(Ejecucion[No. Solicitud],Registro!B732,Ejecucion[Estado],"Finalizado"))</f>
        <v/>
      </c>
      <c r="X732" s="38" t="str">
        <f>IF(B732="","",COUNTIFS(Ejecucion[No. Solicitud],Registro!B732,Ejecucion[Estado],"No Iniciado"))</f>
        <v/>
      </c>
      <c r="Y732" s="64" t="str">
        <f>IF(B732="","",COUNTIFS(Ejecucion[No. Solicitud],Registro!B732,Ejecucion[Estado],"En Proceso"))</f>
        <v/>
      </c>
      <c r="Z732" s="64" t="str">
        <f t="shared" si="25"/>
        <v/>
      </c>
      <c r="AA732" s="64"/>
      <c r="AB732" s="64"/>
      <c r="AC732" s="64"/>
      <c r="AD732" s="102"/>
    </row>
    <row r="733" spans="2:30" s="15" customFormat="1">
      <c r="B733" s="36"/>
      <c r="C733" s="102"/>
      <c r="D733" s="36"/>
      <c r="E733" s="22"/>
      <c r="F733" s="83"/>
      <c r="G733" s="83"/>
      <c r="H733" s="25"/>
      <c r="I733" s="25"/>
      <c r="J733" s="25"/>
      <c r="K733" s="25"/>
      <c r="L733" s="36"/>
      <c r="M733" s="36"/>
      <c r="N733" s="36"/>
      <c r="O733" s="102"/>
      <c r="P733" s="36"/>
      <c r="Q733" s="36"/>
      <c r="R733" s="37"/>
      <c r="S733" s="37"/>
      <c r="T733" s="60" t="str">
        <f t="shared" si="24"/>
        <v/>
      </c>
      <c r="U733" s="38"/>
      <c r="V733" s="38"/>
      <c r="W733" s="38" t="str">
        <f>IF(B733="","",COUNTIFS(Ejecucion[No. Solicitud],Registro!B733,Ejecucion[Estado],"Finalizado"))</f>
        <v/>
      </c>
      <c r="X733" s="38" t="str">
        <f>IF(B733="","",COUNTIFS(Ejecucion[No. Solicitud],Registro!B733,Ejecucion[Estado],"No Iniciado"))</f>
        <v/>
      </c>
      <c r="Y733" s="64" t="str">
        <f>IF(B733="","",COUNTIFS(Ejecucion[No. Solicitud],Registro!B733,Ejecucion[Estado],"En Proceso"))</f>
        <v/>
      </c>
      <c r="Z733" s="64" t="str">
        <f t="shared" si="25"/>
        <v/>
      </c>
      <c r="AA733" s="64"/>
      <c r="AB733" s="64"/>
      <c r="AC733" s="64"/>
      <c r="AD733" s="102"/>
    </row>
    <row r="734" spans="2:30" s="15" customFormat="1">
      <c r="B734" s="36"/>
      <c r="C734" s="102"/>
      <c r="D734" s="36"/>
      <c r="E734" s="22"/>
      <c r="F734" s="83"/>
      <c r="G734" s="83"/>
      <c r="H734" s="25"/>
      <c r="I734" s="25"/>
      <c r="J734" s="25"/>
      <c r="K734" s="25"/>
      <c r="L734" s="36"/>
      <c r="M734" s="36"/>
      <c r="N734" s="36"/>
      <c r="O734" s="102"/>
      <c r="P734" s="36"/>
      <c r="Q734" s="36"/>
      <c r="R734" s="37"/>
      <c r="S734" s="37"/>
      <c r="T734" s="60" t="str">
        <f t="shared" si="24"/>
        <v/>
      </c>
      <c r="U734" s="38"/>
      <c r="V734" s="38"/>
      <c r="W734" s="38" t="str">
        <f>IF(B734="","",COUNTIFS(Ejecucion[No. Solicitud],Registro!B734,Ejecucion[Estado],"Finalizado"))</f>
        <v/>
      </c>
      <c r="X734" s="38" t="str">
        <f>IF(B734="","",COUNTIFS(Ejecucion[No. Solicitud],Registro!B734,Ejecucion[Estado],"No Iniciado"))</f>
        <v/>
      </c>
      <c r="Y734" s="64" t="str">
        <f>IF(B734="","",COUNTIFS(Ejecucion[No. Solicitud],Registro!B734,Ejecucion[Estado],"En Proceso"))</f>
        <v/>
      </c>
      <c r="Z734" s="64" t="str">
        <f t="shared" si="25"/>
        <v/>
      </c>
      <c r="AA734" s="64"/>
      <c r="AB734" s="64"/>
      <c r="AC734" s="64"/>
      <c r="AD734" s="102"/>
    </row>
    <row r="735" spans="2:30" s="15" customFormat="1">
      <c r="B735" s="36"/>
      <c r="C735" s="102"/>
      <c r="D735" s="36"/>
      <c r="E735" s="22"/>
      <c r="F735" s="83"/>
      <c r="G735" s="83"/>
      <c r="H735" s="25"/>
      <c r="I735" s="25"/>
      <c r="J735" s="25"/>
      <c r="K735" s="25"/>
      <c r="L735" s="36"/>
      <c r="M735" s="36"/>
      <c r="N735" s="36"/>
      <c r="O735" s="102"/>
      <c r="P735" s="36"/>
      <c r="Q735" s="36"/>
      <c r="R735" s="37"/>
      <c r="S735" s="37"/>
      <c r="T735" s="60" t="str">
        <f t="shared" si="24"/>
        <v/>
      </c>
      <c r="U735" s="38"/>
      <c r="V735" s="38"/>
      <c r="W735" s="38" t="str">
        <f>IF(B735="","",COUNTIFS(Ejecucion[No. Solicitud],Registro!B735,Ejecucion[Estado],"Finalizado"))</f>
        <v/>
      </c>
      <c r="X735" s="38" t="str">
        <f>IF(B735="","",COUNTIFS(Ejecucion[No. Solicitud],Registro!B735,Ejecucion[Estado],"No Iniciado"))</f>
        <v/>
      </c>
      <c r="Y735" s="64" t="str">
        <f>IF(B735="","",COUNTIFS(Ejecucion[No. Solicitud],Registro!B735,Ejecucion[Estado],"En Proceso"))</f>
        <v/>
      </c>
      <c r="Z735" s="64" t="str">
        <f t="shared" si="25"/>
        <v/>
      </c>
      <c r="AA735" s="64"/>
      <c r="AB735" s="64"/>
      <c r="AC735" s="64"/>
      <c r="AD735" s="102"/>
    </row>
    <row r="736" spans="2:30" s="15" customFormat="1">
      <c r="B736" s="36"/>
      <c r="C736" s="102"/>
      <c r="D736" s="36"/>
      <c r="E736" s="22"/>
      <c r="F736" s="83"/>
      <c r="G736" s="83"/>
      <c r="H736" s="25"/>
      <c r="I736" s="25"/>
      <c r="J736" s="25"/>
      <c r="K736" s="25"/>
      <c r="L736" s="36"/>
      <c r="M736" s="36"/>
      <c r="N736" s="36"/>
      <c r="O736" s="102"/>
      <c r="P736" s="36"/>
      <c r="Q736" s="36"/>
      <c r="R736" s="37"/>
      <c r="S736" s="37"/>
      <c r="T736" s="60" t="str">
        <f t="shared" si="24"/>
        <v/>
      </c>
      <c r="U736" s="38"/>
      <c r="V736" s="38"/>
      <c r="W736" s="38" t="str">
        <f>IF(B736="","",COUNTIFS(Ejecucion[No. Solicitud],Registro!B736,Ejecucion[Estado],"Finalizado"))</f>
        <v/>
      </c>
      <c r="X736" s="38" t="str">
        <f>IF(B736="","",COUNTIFS(Ejecucion[No. Solicitud],Registro!B736,Ejecucion[Estado],"No Iniciado"))</f>
        <v/>
      </c>
      <c r="Y736" s="64" t="str">
        <f>IF(B736="","",COUNTIFS(Ejecucion[No. Solicitud],Registro!B736,Ejecucion[Estado],"En Proceso"))</f>
        <v/>
      </c>
      <c r="Z736" s="64" t="str">
        <f t="shared" si="25"/>
        <v/>
      </c>
      <c r="AA736" s="64"/>
      <c r="AB736" s="64"/>
      <c r="AC736" s="64"/>
      <c r="AD736" s="102"/>
    </row>
    <row r="737" spans="2:30" s="15" customFormat="1">
      <c r="B737" s="36"/>
      <c r="C737" s="102"/>
      <c r="D737" s="36"/>
      <c r="E737" s="22"/>
      <c r="F737" s="83"/>
      <c r="G737" s="83"/>
      <c r="H737" s="25"/>
      <c r="I737" s="25"/>
      <c r="J737" s="25"/>
      <c r="K737" s="25"/>
      <c r="L737" s="36"/>
      <c r="M737" s="36"/>
      <c r="N737" s="36"/>
      <c r="O737" s="102"/>
      <c r="P737" s="36"/>
      <c r="Q737" s="36"/>
      <c r="R737" s="37"/>
      <c r="S737" s="37"/>
      <c r="T737" s="60" t="str">
        <f t="shared" si="24"/>
        <v/>
      </c>
      <c r="U737" s="38"/>
      <c r="V737" s="38"/>
      <c r="W737" s="38" t="str">
        <f>IF(B737="","",COUNTIFS(Ejecucion[No. Solicitud],Registro!B737,Ejecucion[Estado],"Finalizado"))</f>
        <v/>
      </c>
      <c r="X737" s="38" t="str">
        <f>IF(B737="","",COUNTIFS(Ejecucion[No. Solicitud],Registro!B737,Ejecucion[Estado],"No Iniciado"))</f>
        <v/>
      </c>
      <c r="Y737" s="64" t="str">
        <f>IF(B737="","",COUNTIFS(Ejecucion[No. Solicitud],Registro!B737,Ejecucion[Estado],"En Proceso"))</f>
        <v/>
      </c>
      <c r="Z737" s="64" t="str">
        <f t="shared" si="25"/>
        <v/>
      </c>
      <c r="AA737" s="64"/>
      <c r="AB737" s="64"/>
      <c r="AC737" s="64"/>
      <c r="AD737" s="102"/>
    </row>
    <row r="738" spans="2:30" s="15" customFormat="1">
      <c r="B738" s="36"/>
      <c r="C738" s="102"/>
      <c r="D738" s="36"/>
      <c r="E738" s="22"/>
      <c r="F738" s="83"/>
      <c r="G738" s="83"/>
      <c r="H738" s="25"/>
      <c r="I738" s="25"/>
      <c r="J738" s="25"/>
      <c r="K738" s="25"/>
      <c r="L738" s="36"/>
      <c r="M738" s="36"/>
      <c r="N738" s="36"/>
      <c r="O738" s="102"/>
      <c r="P738" s="36"/>
      <c r="Q738" s="36"/>
      <c r="R738" s="37"/>
      <c r="S738" s="37"/>
      <c r="T738" s="60" t="str">
        <f t="shared" si="24"/>
        <v/>
      </c>
      <c r="U738" s="38"/>
      <c r="V738" s="38"/>
      <c r="W738" s="38" t="str">
        <f>IF(B738="","",COUNTIFS(Ejecucion[No. Solicitud],Registro!B738,Ejecucion[Estado],"Finalizado"))</f>
        <v/>
      </c>
      <c r="X738" s="38" t="str">
        <f>IF(B738="","",COUNTIFS(Ejecucion[No. Solicitud],Registro!B738,Ejecucion[Estado],"No Iniciado"))</f>
        <v/>
      </c>
      <c r="Y738" s="64" t="str">
        <f>IF(B738="","",COUNTIFS(Ejecucion[No. Solicitud],Registro!B738,Ejecucion[Estado],"En Proceso"))</f>
        <v/>
      </c>
      <c r="Z738" s="64" t="str">
        <f t="shared" si="25"/>
        <v/>
      </c>
      <c r="AA738" s="64"/>
      <c r="AB738" s="64"/>
      <c r="AC738" s="64"/>
      <c r="AD738" s="102"/>
    </row>
    <row r="739" spans="2:30" s="15" customFormat="1">
      <c r="B739" s="36"/>
      <c r="C739" s="102"/>
      <c r="D739" s="36"/>
      <c r="E739" s="22"/>
      <c r="F739" s="83"/>
      <c r="G739" s="83"/>
      <c r="H739" s="25"/>
      <c r="I739" s="25"/>
      <c r="J739" s="25"/>
      <c r="K739" s="25"/>
      <c r="L739" s="36"/>
      <c r="M739" s="36"/>
      <c r="N739" s="36"/>
      <c r="O739" s="102"/>
      <c r="P739" s="36"/>
      <c r="Q739" s="36"/>
      <c r="R739" s="37"/>
      <c r="S739" s="37"/>
      <c r="T739" s="60" t="str">
        <f t="shared" si="24"/>
        <v/>
      </c>
      <c r="U739" s="38"/>
      <c r="V739" s="38"/>
      <c r="W739" s="38" t="str">
        <f>IF(B739="","",COUNTIFS(Ejecucion[No. Solicitud],Registro!B739,Ejecucion[Estado],"Finalizado"))</f>
        <v/>
      </c>
      <c r="X739" s="38" t="str">
        <f>IF(B739="","",COUNTIFS(Ejecucion[No. Solicitud],Registro!B739,Ejecucion[Estado],"No Iniciado"))</f>
        <v/>
      </c>
      <c r="Y739" s="64" t="str">
        <f>IF(B739="","",COUNTIFS(Ejecucion[No. Solicitud],Registro!B739,Ejecucion[Estado],"En Proceso"))</f>
        <v/>
      </c>
      <c r="Z739" s="64" t="str">
        <f t="shared" si="25"/>
        <v/>
      </c>
      <c r="AA739" s="64"/>
      <c r="AB739" s="64"/>
      <c r="AC739" s="64"/>
      <c r="AD739" s="102"/>
    </row>
    <row r="740" spans="2:30" s="15" customFormat="1">
      <c r="B740" s="36"/>
      <c r="C740" s="102"/>
      <c r="D740" s="36"/>
      <c r="E740" s="22"/>
      <c r="F740" s="83"/>
      <c r="G740" s="83"/>
      <c r="H740" s="25"/>
      <c r="I740" s="25"/>
      <c r="J740" s="25"/>
      <c r="K740" s="25"/>
      <c r="L740" s="36"/>
      <c r="M740" s="36"/>
      <c r="N740" s="36"/>
      <c r="O740" s="102"/>
      <c r="P740" s="36"/>
      <c r="Q740" s="36"/>
      <c r="R740" s="37"/>
      <c r="S740" s="37"/>
      <c r="T740" s="60" t="str">
        <f t="shared" si="24"/>
        <v/>
      </c>
      <c r="U740" s="38"/>
      <c r="V740" s="38"/>
      <c r="W740" s="38" t="str">
        <f>IF(B740="","",COUNTIFS(Ejecucion[No. Solicitud],Registro!B740,Ejecucion[Estado],"Finalizado"))</f>
        <v/>
      </c>
      <c r="X740" s="38" t="str">
        <f>IF(B740="","",COUNTIFS(Ejecucion[No. Solicitud],Registro!B740,Ejecucion[Estado],"No Iniciado"))</f>
        <v/>
      </c>
      <c r="Y740" s="64" t="str">
        <f>IF(B740="","",COUNTIFS(Ejecucion[No. Solicitud],Registro!B740,Ejecucion[Estado],"En Proceso"))</f>
        <v/>
      </c>
      <c r="Z740" s="64" t="str">
        <f t="shared" si="25"/>
        <v/>
      </c>
      <c r="AA740" s="64"/>
      <c r="AB740" s="64"/>
      <c r="AC740" s="64"/>
      <c r="AD740" s="102"/>
    </row>
    <row r="741" spans="2:30" s="15" customFormat="1">
      <c r="B741" s="36"/>
      <c r="C741" s="102"/>
      <c r="D741" s="36"/>
      <c r="E741" s="22"/>
      <c r="F741" s="83"/>
      <c r="G741" s="83"/>
      <c r="H741" s="25"/>
      <c r="I741" s="25"/>
      <c r="J741" s="25"/>
      <c r="K741" s="25"/>
      <c r="L741" s="36"/>
      <c r="M741" s="36"/>
      <c r="N741" s="36"/>
      <c r="O741" s="102"/>
      <c r="P741" s="36"/>
      <c r="Q741" s="36"/>
      <c r="R741" s="37"/>
      <c r="S741" s="37"/>
      <c r="T741" s="60" t="str">
        <f t="shared" si="24"/>
        <v/>
      </c>
      <c r="U741" s="38"/>
      <c r="V741" s="38"/>
      <c r="W741" s="38" t="str">
        <f>IF(B741="","",COUNTIFS(Ejecucion[No. Solicitud],Registro!B741,Ejecucion[Estado],"Finalizado"))</f>
        <v/>
      </c>
      <c r="X741" s="38" t="str">
        <f>IF(B741="","",COUNTIFS(Ejecucion[No. Solicitud],Registro!B741,Ejecucion[Estado],"No Iniciado"))</f>
        <v/>
      </c>
      <c r="Y741" s="64" t="str">
        <f>IF(B741="","",COUNTIFS(Ejecucion[No. Solicitud],Registro!B741,Ejecucion[Estado],"En Proceso"))</f>
        <v/>
      </c>
      <c r="Z741" s="64" t="str">
        <f t="shared" si="25"/>
        <v/>
      </c>
      <c r="AA741" s="64"/>
      <c r="AB741" s="64"/>
      <c r="AC741" s="64"/>
      <c r="AD741" s="102"/>
    </row>
    <row r="742" spans="2:30" s="15" customFormat="1">
      <c r="B742" s="36"/>
      <c r="C742" s="102"/>
      <c r="D742" s="36"/>
      <c r="E742" s="22"/>
      <c r="F742" s="83"/>
      <c r="G742" s="83"/>
      <c r="H742" s="25"/>
      <c r="I742" s="25"/>
      <c r="J742" s="25"/>
      <c r="K742" s="25"/>
      <c r="L742" s="36"/>
      <c r="M742" s="36"/>
      <c r="N742" s="36"/>
      <c r="O742" s="102"/>
      <c r="P742" s="36"/>
      <c r="Q742" s="36"/>
      <c r="R742" s="37"/>
      <c r="S742" s="37"/>
      <c r="T742" s="60" t="str">
        <f t="shared" si="24"/>
        <v/>
      </c>
      <c r="U742" s="38"/>
      <c r="V742" s="38"/>
      <c r="W742" s="38" t="str">
        <f>IF(B742="","",COUNTIFS(Ejecucion[No. Solicitud],Registro!B742,Ejecucion[Estado],"Finalizado"))</f>
        <v/>
      </c>
      <c r="X742" s="38" t="str">
        <f>IF(B742="","",COUNTIFS(Ejecucion[No. Solicitud],Registro!B742,Ejecucion[Estado],"No Iniciado"))</f>
        <v/>
      </c>
      <c r="Y742" s="64" t="str">
        <f>IF(B742="","",COUNTIFS(Ejecucion[No. Solicitud],Registro!B742,Ejecucion[Estado],"En Proceso"))</f>
        <v/>
      </c>
      <c r="Z742" s="64" t="str">
        <f t="shared" si="25"/>
        <v/>
      </c>
      <c r="AA742" s="64"/>
      <c r="AB742" s="64"/>
      <c r="AC742" s="64"/>
      <c r="AD742" s="102"/>
    </row>
    <row r="743" spans="2:30" s="15" customFormat="1">
      <c r="B743" s="36"/>
      <c r="C743" s="102"/>
      <c r="D743" s="36"/>
      <c r="E743" s="22"/>
      <c r="F743" s="83"/>
      <c r="G743" s="83"/>
      <c r="H743" s="25"/>
      <c r="I743" s="25"/>
      <c r="J743" s="25"/>
      <c r="K743" s="25"/>
      <c r="L743" s="36"/>
      <c r="M743" s="36"/>
      <c r="N743" s="36"/>
      <c r="O743" s="102"/>
      <c r="P743" s="36"/>
      <c r="Q743" s="36"/>
      <c r="R743" s="37"/>
      <c r="S743" s="37"/>
      <c r="T743" s="60" t="str">
        <f t="shared" si="24"/>
        <v/>
      </c>
      <c r="U743" s="38"/>
      <c r="V743" s="38"/>
      <c r="W743" s="38" t="str">
        <f>IF(B743="","",COUNTIFS(Ejecucion[No. Solicitud],Registro!B743,Ejecucion[Estado],"Finalizado"))</f>
        <v/>
      </c>
      <c r="X743" s="38" t="str">
        <f>IF(B743="","",COUNTIFS(Ejecucion[No. Solicitud],Registro!B743,Ejecucion[Estado],"No Iniciado"))</f>
        <v/>
      </c>
      <c r="Y743" s="64" t="str">
        <f>IF(B743="","",COUNTIFS(Ejecucion[No. Solicitud],Registro!B743,Ejecucion[Estado],"En Proceso"))</f>
        <v/>
      </c>
      <c r="Z743" s="64" t="str">
        <f t="shared" si="25"/>
        <v/>
      </c>
      <c r="AA743" s="64"/>
      <c r="AB743" s="64"/>
      <c r="AC743" s="64"/>
      <c r="AD743" s="102"/>
    </row>
    <row r="744" spans="2:30" s="15" customFormat="1">
      <c r="B744" s="36"/>
      <c r="C744" s="102"/>
      <c r="D744" s="36"/>
      <c r="E744" s="22"/>
      <c r="F744" s="83"/>
      <c r="G744" s="83"/>
      <c r="H744" s="25"/>
      <c r="I744" s="25"/>
      <c r="J744" s="25"/>
      <c r="K744" s="25"/>
      <c r="L744" s="36"/>
      <c r="M744" s="36"/>
      <c r="N744" s="36"/>
      <c r="O744" s="102"/>
      <c r="P744" s="36"/>
      <c r="Q744" s="36"/>
      <c r="R744" s="37"/>
      <c r="S744" s="37"/>
      <c r="T744" s="60" t="str">
        <f t="shared" si="24"/>
        <v/>
      </c>
      <c r="U744" s="38"/>
      <c r="V744" s="38"/>
      <c r="W744" s="38" t="str">
        <f>IF(B744="","",COUNTIFS(Ejecucion[No. Solicitud],Registro!B744,Ejecucion[Estado],"Finalizado"))</f>
        <v/>
      </c>
      <c r="X744" s="38" t="str">
        <f>IF(B744="","",COUNTIFS(Ejecucion[No. Solicitud],Registro!B744,Ejecucion[Estado],"No Iniciado"))</f>
        <v/>
      </c>
      <c r="Y744" s="64" t="str">
        <f>IF(B744="","",COUNTIFS(Ejecucion[No. Solicitud],Registro!B744,Ejecucion[Estado],"En Proceso"))</f>
        <v/>
      </c>
      <c r="Z744" s="64" t="str">
        <f t="shared" si="25"/>
        <v/>
      </c>
      <c r="AA744" s="64"/>
      <c r="AB744" s="64"/>
      <c r="AC744" s="64"/>
      <c r="AD744" s="102"/>
    </row>
    <row r="745" spans="2:30" s="15" customFormat="1">
      <c r="B745" s="36"/>
      <c r="C745" s="102"/>
      <c r="D745" s="36"/>
      <c r="E745" s="22"/>
      <c r="F745" s="83"/>
      <c r="G745" s="83"/>
      <c r="H745" s="25"/>
      <c r="I745" s="25"/>
      <c r="J745" s="25"/>
      <c r="K745" s="25"/>
      <c r="L745" s="36"/>
      <c r="M745" s="36"/>
      <c r="N745" s="36"/>
      <c r="O745" s="102"/>
      <c r="P745" s="36"/>
      <c r="Q745" s="36"/>
      <c r="R745" s="37"/>
      <c r="S745" s="37"/>
      <c r="T745" s="60" t="str">
        <f t="shared" si="24"/>
        <v/>
      </c>
      <c r="U745" s="38"/>
      <c r="V745" s="38"/>
      <c r="W745" s="38" t="str">
        <f>IF(B745="","",COUNTIFS(Ejecucion[No. Solicitud],Registro!B745,Ejecucion[Estado],"Finalizado"))</f>
        <v/>
      </c>
      <c r="X745" s="38" t="str">
        <f>IF(B745="","",COUNTIFS(Ejecucion[No. Solicitud],Registro!B745,Ejecucion[Estado],"No Iniciado"))</f>
        <v/>
      </c>
      <c r="Y745" s="64" t="str">
        <f>IF(B745="","",COUNTIFS(Ejecucion[No. Solicitud],Registro!B745,Ejecucion[Estado],"En Proceso"))</f>
        <v/>
      </c>
      <c r="Z745" s="64" t="str">
        <f t="shared" si="25"/>
        <v/>
      </c>
      <c r="AA745" s="64"/>
      <c r="AB745" s="64"/>
      <c r="AC745" s="64"/>
      <c r="AD745" s="102"/>
    </row>
    <row r="746" spans="2:30" s="15" customFormat="1">
      <c r="B746" s="36"/>
      <c r="C746" s="102"/>
      <c r="D746" s="36"/>
      <c r="E746" s="22"/>
      <c r="F746" s="83"/>
      <c r="G746" s="83"/>
      <c r="H746" s="25"/>
      <c r="I746" s="25"/>
      <c r="J746" s="25"/>
      <c r="K746" s="25"/>
      <c r="L746" s="36"/>
      <c r="M746" s="36"/>
      <c r="N746" s="36"/>
      <c r="O746" s="102"/>
      <c r="P746" s="36"/>
      <c r="Q746" s="36"/>
      <c r="R746" s="37"/>
      <c r="S746" s="37"/>
      <c r="T746" s="60" t="str">
        <f t="shared" si="24"/>
        <v/>
      </c>
      <c r="U746" s="38"/>
      <c r="V746" s="38"/>
      <c r="W746" s="38" t="str">
        <f>IF(B746="","",COUNTIFS(Ejecucion[No. Solicitud],Registro!B746,Ejecucion[Estado],"Finalizado"))</f>
        <v/>
      </c>
      <c r="X746" s="38" t="str">
        <f>IF(B746="","",COUNTIFS(Ejecucion[No. Solicitud],Registro!B746,Ejecucion[Estado],"No Iniciado"))</f>
        <v/>
      </c>
      <c r="Y746" s="64" t="str">
        <f>IF(B746="","",COUNTIFS(Ejecucion[No. Solicitud],Registro!B746,Ejecucion[Estado],"En Proceso"))</f>
        <v/>
      </c>
      <c r="Z746" s="64" t="str">
        <f t="shared" si="25"/>
        <v/>
      </c>
      <c r="AA746" s="64"/>
      <c r="AB746" s="64"/>
      <c r="AC746" s="64"/>
      <c r="AD746" s="102"/>
    </row>
    <row r="747" spans="2:30" s="15" customFormat="1">
      <c r="B747" s="36"/>
      <c r="C747" s="102"/>
      <c r="D747" s="36"/>
      <c r="E747" s="22"/>
      <c r="F747" s="83"/>
      <c r="G747" s="83"/>
      <c r="H747" s="25"/>
      <c r="I747" s="25"/>
      <c r="J747" s="25"/>
      <c r="K747" s="25"/>
      <c r="L747" s="36"/>
      <c r="M747" s="36"/>
      <c r="N747" s="36"/>
      <c r="O747" s="102"/>
      <c r="P747" s="36"/>
      <c r="Q747" s="36"/>
      <c r="R747" s="37"/>
      <c r="S747" s="37"/>
      <c r="T747" s="60" t="str">
        <f t="shared" si="24"/>
        <v/>
      </c>
      <c r="U747" s="38"/>
      <c r="V747" s="38"/>
      <c r="W747" s="38" t="str">
        <f>IF(B747="","",COUNTIFS(Ejecucion[No. Solicitud],Registro!B747,Ejecucion[Estado],"Finalizado"))</f>
        <v/>
      </c>
      <c r="X747" s="38" t="str">
        <f>IF(B747="","",COUNTIFS(Ejecucion[No. Solicitud],Registro!B747,Ejecucion[Estado],"No Iniciado"))</f>
        <v/>
      </c>
      <c r="Y747" s="64" t="str">
        <f>IF(B747="","",COUNTIFS(Ejecucion[No. Solicitud],Registro!B747,Ejecucion[Estado],"En Proceso"))</f>
        <v/>
      </c>
      <c r="Z747" s="64" t="str">
        <f t="shared" si="25"/>
        <v/>
      </c>
      <c r="AA747" s="64"/>
      <c r="AB747" s="64"/>
      <c r="AC747" s="64"/>
      <c r="AD747" s="102"/>
    </row>
    <row r="748" spans="2:30" s="15" customFormat="1">
      <c r="B748" s="36"/>
      <c r="C748" s="102"/>
      <c r="D748" s="36"/>
      <c r="E748" s="22"/>
      <c r="F748" s="83"/>
      <c r="G748" s="83"/>
      <c r="H748" s="25"/>
      <c r="I748" s="25"/>
      <c r="J748" s="25"/>
      <c r="K748" s="25"/>
      <c r="L748" s="36"/>
      <c r="M748" s="36"/>
      <c r="N748" s="36"/>
      <c r="O748" s="102"/>
      <c r="P748" s="36"/>
      <c r="Q748" s="36"/>
      <c r="R748" s="37"/>
      <c r="S748" s="37"/>
      <c r="T748" s="60" t="str">
        <f t="shared" si="24"/>
        <v/>
      </c>
      <c r="U748" s="38"/>
      <c r="V748" s="38"/>
      <c r="W748" s="38" t="str">
        <f>IF(B748="","",COUNTIFS(Ejecucion[No. Solicitud],Registro!B748,Ejecucion[Estado],"Finalizado"))</f>
        <v/>
      </c>
      <c r="X748" s="38" t="str">
        <f>IF(B748="","",COUNTIFS(Ejecucion[No. Solicitud],Registro!B748,Ejecucion[Estado],"No Iniciado"))</f>
        <v/>
      </c>
      <c r="Y748" s="64" t="str">
        <f>IF(B748="","",COUNTIFS(Ejecucion[No. Solicitud],Registro!B748,Ejecucion[Estado],"En Proceso"))</f>
        <v/>
      </c>
      <c r="Z748" s="64" t="str">
        <f t="shared" si="25"/>
        <v/>
      </c>
      <c r="AA748" s="64"/>
      <c r="AB748" s="64"/>
      <c r="AC748" s="64"/>
      <c r="AD748" s="102"/>
    </row>
    <row r="749" spans="2:30" s="15" customFormat="1">
      <c r="B749" s="36"/>
      <c r="C749" s="102"/>
      <c r="D749" s="36"/>
      <c r="E749" s="22"/>
      <c r="F749" s="83"/>
      <c r="G749" s="83"/>
      <c r="H749" s="25"/>
      <c r="I749" s="25"/>
      <c r="J749" s="25"/>
      <c r="K749" s="25"/>
      <c r="L749" s="36"/>
      <c r="M749" s="36"/>
      <c r="N749" s="36"/>
      <c r="O749" s="102"/>
      <c r="P749" s="36"/>
      <c r="Q749" s="36"/>
      <c r="R749" s="37"/>
      <c r="S749" s="37"/>
      <c r="T749" s="60" t="str">
        <f t="shared" si="24"/>
        <v/>
      </c>
      <c r="U749" s="38"/>
      <c r="V749" s="38"/>
      <c r="W749" s="38" t="str">
        <f>IF(B749="","",COUNTIFS(Ejecucion[No. Solicitud],Registro!B749,Ejecucion[Estado],"Finalizado"))</f>
        <v/>
      </c>
      <c r="X749" s="38" t="str">
        <f>IF(B749="","",COUNTIFS(Ejecucion[No. Solicitud],Registro!B749,Ejecucion[Estado],"No Iniciado"))</f>
        <v/>
      </c>
      <c r="Y749" s="64" t="str">
        <f>IF(B749="","",COUNTIFS(Ejecucion[No. Solicitud],Registro!B749,Ejecucion[Estado],"En Proceso"))</f>
        <v/>
      </c>
      <c r="Z749" s="64" t="str">
        <f t="shared" si="25"/>
        <v/>
      </c>
      <c r="AA749" s="64"/>
      <c r="AB749" s="64"/>
      <c r="AC749" s="64"/>
      <c r="AD749" s="102"/>
    </row>
    <row r="750" spans="2:30" s="15" customFormat="1">
      <c r="B750" s="36"/>
      <c r="C750" s="102"/>
      <c r="D750" s="36"/>
      <c r="E750" s="22"/>
      <c r="F750" s="83"/>
      <c r="G750" s="83"/>
      <c r="H750" s="25"/>
      <c r="I750" s="25"/>
      <c r="J750" s="25"/>
      <c r="K750" s="25"/>
      <c r="L750" s="36"/>
      <c r="M750" s="36"/>
      <c r="N750" s="36"/>
      <c r="O750" s="102"/>
      <c r="P750" s="36"/>
      <c r="Q750" s="36"/>
      <c r="R750" s="37"/>
      <c r="S750" s="37"/>
      <c r="T750" s="60" t="str">
        <f t="shared" si="24"/>
        <v/>
      </c>
      <c r="U750" s="38"/>
      <c r="V750" s="38"/>
      <c r="W750" s="38" t="str">
        <f>IF(B750="","",COUNTIFS(Ejecucion[No. Solicitud],Registro!B750,Ejecucion[Estado],"Finalizado"))</f>
        <v/>
      </c>
      <c r="X750" s="38" t="str">
        <f>IF(B750="","",COUNTIFS(Ejecucion[No. Solicitud],Registro!B750,Ejecucion[Estado],"No Iniciado"))</f>
        <v/>
      </c>
      <c r="Y750" s="64" t="str">
        <f>IF(B750="","",COUNTIFS(Ejecucion[No. Solicitud],Registro!B750,Ejecucion[Estado],"En Proceso"))</f>
        <v/>
      </c>
      <c r="Z750" s="64" t="str">
        <f t="shared" si="25"/>
        <v/>
      </c>
      <c r="AA750" s="64"/>
      <c r="AB750" s="64"/>
      <c r="AC750" s="64"/>
      <c r="AD750" s="102"/>
    </row>
    <row r="751" spans="2:30" s="15" customFormat="1">
      <c r="B751" s="36"/>
      <c r="C751" s="102"/>
      <c r="D751" s="36"/>
      <c r="E751" s="22"/>
      <c r="F751" s="83"/>
      <c r="G751" s="83"/>
      <c r="H751" s="25"/>
      <c r="I751" s="25"/>
      <c r="J751" s="25"/>
      <c r="K751" s="25"/>
      <c r="L751" s="36"/>
      <c r="M751" s="36"/>
      <c r="N751" s="36"/>
      <c r="O751" s="102"/>
      <c r="P751" s="36"/>
      <c r="Q751" s="36"/>
      <c r="R751" s="37"/>
      <c r="S751" s="37"/>
      <c r="T751" s="60" t="str">
        <f t="shared" si="24"/>
        <v/>
      </c>
      <c r="U751" s="38"/>
      <c r="V751" s="38"/>
      <c r="W751" s="38" t="str">
        <f>IF(B751="","",COUNTIFS(Ejecucion[No. Solicitud],Registro!B751,Ejecucion[Estado],"Finalizado"))</f>
        <v/>
      </c>
      <c r="X751" s="38" t="str">
        <f>IF(B751="","",COUNTIFS(Ejecucion[No. Solicitud],Registro!B751,Ejecucion[Estado],"No Iniciado"))</f>
        <v/>
      </c>
      <c r="Y751" s="64" t="str">
        <f>IF(B751="","",COUNTIFS(Ejecucion[No. Solicitud],Registro!B751,Ejecucion[Estado],"En Proceso"))</f>
        <v/>
      </c>
      <c r="Z751" s="64" t="str">
        <f t="shared" si="25"/>
        <v/>
      </c>
      <c r="AA751" s="64"/>
      <c r="AB751" s="64"/>
      <c r="AC751" s="64"/>
      <c r="AD751" s="102"/>
    </row>
    <row r="752" spans="2:30" s="15" customFormat="1">
      <c r="B752" s="36"/>
      <c r="C752" s="102"/>
      <c r="D752" s="36"/>
      <c r="E752" s="22"/>
      <c r="F752" s="83"/>
      <c r="G752" s="83"/>
      <c r="H752" s="25"/>
      <c r="I752" s="25"/>
      <c r="J752" s="25"/>
      <c r="K752" s="25"/>
      <c r="L752" s="36"/>
      <c r="M752" s="36"/>
      <c r="N752" s="36"/>
      <c r="O752" s="102"/>
      <c r="P752" s="36"/>
      <c r="Q752" s="36"/>
      <c r="R752" s="37"/>
      <c r="S752" s="37"/>
      <c r="T752" s="60" t="str">
        <f t="shared" si="24"/>
        <v/>
      </c>
      <c r="U752" s="38"/>
      <c r="V752" s="38"/>
      <c r="W752" s="38" t="str">
        <f>IF(B752="","",COUNTIFS(Ejecucion[No. Solicitud],Registro!B752,Ejecucion[Estado],"Finalizado"))</f>
        <v/>
      </c>
      <c r="X752" s="38" t="str">
        <f>IF(B752="","",COUNTIFS(Ejecucion[No. Solicitud],Registro!B752,Ejecucion[Estado],"No Iniciado"))</f>
        <v/>
      </c>
      <c r="Y752" s="64" t="str">
        <f>IF(B752="","",COUNTIFS(Ejecucion[No. Solicitud],Registro!B752,Ejecucion[Estado],"En Proceso"))</f>
        <v/>
      </c>
      <c r="Z752" s="64" t="str">
        <f t="shared" si="25"/>
        <v/>
      </c>
      <c r="AA752" s="64"/>
      <c r="AB752" s="64"/>
      <c r="AC752" s="64"/>
      <c r="AD752" s="102"/>
    </row>
    <row r="753" spans="2:30" s="15" customFormat="1">
      <c r="B753" s="36"/>
      <c r="C753" s="102"/>
      <c r="D753" s="36"/>
      <c r="E753" s="22"/>
      <c r="F753" s="83"/>
      <c r="G753" s="83"/>
      <c r="H753" s="25"/>
      <c r="I753" s="25"/>
      <c r="J753" s="25"/>
      <c r="K753" s="25"/>
      <c r="L753" s="36"/>
      <c r="M753" s="36"/>
      <c r="N753" s="36"/>
      <c r="O753" s="102"/>
      <c r="P753" s="36"/>
      <c r="Q753" s="36"/>
      <c r="R753" s="37"/>
      <c r="S753" s="37"/>
      <c r="T753" s="60" t="str">
        <f t="shared" si="24"/>
        <v/>
      </c>
      <c r="U753" s="38"/>
      <c r="V753" s="38"/>
      <c r="W753" s="38" t="str">
        <f>IF(B753="","",COUNTIFS(Ejecucion[No. Solicitud],Registro!B753,Ejecucion[Estado],"Finalizado"))</f>
        <v/>
      </c>
      <c r="X753" s="38" t="str">
        <f>IF(B753="","",COUNTIFS(Ejecucion[No. Solicitud],Registro!B753,Ejecucion[Estado],"No Iniciado"))</f>
        <v/>
      </c>
      <c r="Y753" s="64" t="str">
        <f>IF(B753="","",COUNTIFS(Ejecucion[No. Solicitud],Registro!B753,Ejecucion[Estado],"En Proceso"))</f>
        <v/>
      </c>
      <c r="Z753" s="64" t="str">
        <f t="shared" si="25"/>
        <v/>
      </c>
      <c r="AA753" s="64"/>
      <c r="AB753" s="64"/>
      <c r="AC753" s="64"/>
      <c r="AD753" s="102"/>
    </row>
    <row r="754" spans="2:30" s="15" customFormat="1">
      <c r="B754" s="36"/>
      <c r="C754" s="102"/>
      <c r="D754" s="36"/>
      <c r="E754" s="22"/>
      <c r="F754" s="83"/>
      <c r="G754" s="83"/>
      <c r="H754" s="25"/>
      <c r="I754" s="25"/>
      <c r="J754" s="25"/>
      <c r="K754" s="25"/>
      <c r="L754" s="36"/>
      <c r="M754" s="36"/>
      <c r="N754" s="36"/>
      <c r="O754" s="102"/>
      <c r="P754" s="36"/>
      <c r="Q754" s="36"/>
      <c r="R754" s="37"/>
      <c r="S754" s="37"/>
      <c r="T754" s="60" t="str">
        <f t="shared" si="24"/>
        <v/>
      </c>
      <c r="U754" s="38"/>
      <c r="V754" s="38"/>
      <c r="W754" s="38" t="str">
        <f>IF(B754="","",COUNTIFS(Ejecucion[No. Solicitud],Registro!B754,Ejecucion[Estado],"Finalizado"))</f>
        <v/>
      </c>
      <c r="X754" s="38" t="str">
        <f>IF(B754="","",COUNTIFS(Ejecucion[No. Solicitud],Registro!B754,Ejecucion[Estado],"No Iniciado"))</f>
        <v/>
      </c>
      <c r="Y754" s="64" t="str">
        <f>IF(B754="","",COUNTIFS(Ejecucion[No. Solicitud],Registro!B754,Ejecucion[Estado],"En Proceso"))</f>
        <v/>
      </c>
      <c r="Z754" s="64" t="str">
        <f t="shared" si="25"/>
        <v/>
      </c>
      <c r="AA754" s="64"/>
      <c r="AB754" s="64"/>
      <c r="AC754" s="64"/>
      <c r="AD754" s="102"/>
    </row>
    <row r="755" spans="2:30" s="15" customFormat="1">
      <c r="B755" s="36"/>
      <c r="C755" s="102"/>
      <c r="D755" s="36"/>
      <c r="E755" s="22"/>
      <c r="F755" s="83"/>
      <c r="G755" s="83"/>
      <c r="H755" s="25"/>
      <c r="I755" s="25"/>
      <c r="J755" s="25"/>
      <c r="K755" s="25"/>
      <c r="L755" s="36"/>
      <c r="M755" s="36"/>
      <c r="N755" s="36"/>
      <c r="O755" s="102"/>
      <c r="P755" s="36"/>
      <c r="Q755" s="36"/>
      <c r="R755" s="37"/>
      <c r="S755" s="37"/>
      <c r="T755" s="60" t="str">
        <f t="shared" si="24"/>
        <v/>
      </c>
      <c r="U755" s="38"/>
      <c r="V755" s="38"/>
      <c r="W755" s="38" t="str">
        <f>IF(B755="","",COUNTIFS(Ejecucion[No. Solicitud],Registro!B755,Ejecucion[Estado],"Finalizado"))</f>
        <v/>
      </c>
      <c r="X755" s="38" t="str">
        <f>IF(B755="","",COUNTIFS(Ejecucion[No. Solicitud],Registro!B755,Ejecucion[Estado],"No Iniciado"))</f>
        <v/>
      </c>
      <c r="Y755" s="64" t="str">
        <f>IF(B755="","",COUNTIFS(Ejecucion[No. Solicitud],Registro!B755,Ejecucion[Estado],"En Proceso"))</f>
        <v/>
      </c>
      <c r="Z755" s="64" t="str">
        <f t="shared" si="25"/>
        <v/>
      </c>
      <c r="AA755" s="64"/>
      <c r="AB755" s="64"/>
      <c r="AC755" s="64"/>
      <c r="AD755" s="102"/>
    </row>
    <row r="756" spans="2:30" s="15" customFormat="1">
      <c r="B756" s="36"/>
      <c r="C756" s="102"/>
      <c r="D756" s="36"/>
      <c r="E756" s="22"/>
      <c r="F756" s="83"/>
      <c r="G756" s="83"/>
      <c r="H756" s="25"/>
      <c r="I756" s="25"/>
      <c r="J756" s="25"/>
      <c r="K756" s="25"/>
      <c r="L756" s="36"/>
      <c r="M756" s="36"/>
      <c r="N756" s="36"/>
      <c r="O756" s="102"/>
      <c r="P756" s="36"/>
      <c r="Q756" s="36"/>
      <c r="R756" s="37"/>
      <c r="S756" s="37"/>
      <c r="T756" s="60" t="str">
        <f t="shared" si="24"/>
        <v/>
      </c>
      <c r="U756" s="38"/>
      <c r="V756" s="38"/>
      <c r="W756" s="38" t="str">
        <f>IF(B756="","",COUNTIFS(Ejecucion[No. Solicitud],Registro!B756,Ejecucion[Estado],"Finalizado"))</f>
        <v/>
      </c>
      <c r="X756" s="38" t="str">
        <f>IF(B756="","",COUNTIFS(Ejecucion[No. Solicitud],Registro!B756,Ejecucion[Estado],"No Iniciado"))</f>
        <v/>
      </c>
      <c r="Y756" s="64" t="str">
        <f>IF(B756="","",COUNTIFS(Ejecucion[No. Solicitud],Registro!B756,Ejecucion[Estado],"En Proceso"))</f>
        <v/>
      </c>
      <c r="Z756" s="64" t="str">
        <f t="shared" si="25"/>
        <v/>
      </c>
      <c r="AA756" s="64"/>
      <c r="AB756" s="64"/>
      <c r="AC756" s="64"/>
      <c r="AD756" s="102"/>
    </row>
    <row r="757" spans="2:30" s="15" customFormat="1">
      <c r="B757" s="36"/>
      <c r="C757" s="102"/>
      <c r="D757" s="36"/>
      <c r="E757" s="22"/>
      <c r="F757" s="83"/>
      <c r="G757" s="83"/>
      <c r="H757" s="25"/>
      <c r="I757" s="25"/>
      <c r="J757" s="25"/>
      <c r="K757" s="25"/>
      <c r="L757" s="36"/>
      <c r="M757" s="36"/>
      <c r="N757" s="36"/>
      <c r="O757" s="102"/>
      <c r="P757" s="36"/>
      <c r="Q757" s="36"/>
      <c r="R757" s="37"/>
      <c r="S757" s="37"/>
      <c r="T757" s="60" t="str">
        <f t="shared" si="24"/>
        <v/>
      </c>
      <c r="U757" s="38"/>
      <c r="V757" s="38"/>
      <c r="W757" s="38" t="str">
        <f>IF(B757="","",COUNTIFS(Ejecucion[No. Solicitud],Registro!B757,Ejecucion[Estado],"Finalizado"))</f>
        <v/>
      </c>
      <c r="X757" s="38" t="str">
        <f>IF(B757="","",COUNTIFS(Ejecucion[No. Solicitud],Registro!B757,Ejecucion[Estado],"No Iniciado"))</f>
        <v/>
      </c>
      <c r="Y757" s="64" t="str">
        <f>IF(B757="","",COUNTIFS(Ejecucion[No. Solicitud],Registro!B757,Ejecucion[Estado],"En Proceso"))</f>
        <v/>
      </c>
      <c r="Z757" s="64" t="str">
        <f t="shared" si="25"/>
        <v/>
      </c>
      <c r="AA757" s="64"/>
      <c r="AB757" s="64"/>
      <c r="AC757" s="64"/>
      <c r="AD757" s="102"/>
    </row>
    <row r="758" spans="2:30" s="15" customFormat="1">
      <c r="B758" s="36"/>
      <c r="C758" s="102"/>
      <c r="D758" s="36"/>
      <c r="E758" s="22"/>
      <c r="F758" s="83"/>
      <c r="G758" s="83"/>
      <c r="H758" s="25"/>
      <c r="I758" s="25"/>
      <c r="J758" s="25"/>
      <c r="K758" s="25"/>
      <c r="L758" s="36"/>
      <c r="M758" s="36"/>
      <c r="N758" s="36"/>
      <c r="O758" s="102"/>
      <c r="P758" s="36"/>
      <c r="Q758" s="36"/>
      <c r="R758" s="37"/>
      <c r="S758" s="37"/>
      <c r="T758" s="60" t="str">
        <f t="shared" si="24"/>
        <v/>
      </c>
      <c r="U758" s="38"/>
      <c r="V758" s="38"/>
      <c r="W758" s="38" t="str">
        <f>IF(B758="","",COUNTIFS(Ejecucion[No. Solicitud],Registro!B758,Ejecucion[Estado],"Finalizado"))</f>
        <v/>
      </c>
      <c r="X758" s="38" t="str">
        <f>IF(B758="","",COUNTIFS(Ejecucion[No. Solicitud],Registro!B758,Ejecucion[Estado],"No Iniciado"))</f>
        <v/>
      </c>
      <c r="Y758" s="64" t="str">
        <f>IF(B758="","",COUNTIFS(Ejecucion[No. Solicitud],Registro!B758,Ejecucion[Estado],"En Proceso"))</f>
        <v/>
      </c>
      <c r="Z758" s="64" t="str">
        <f t="shared" si="25"/>
        <v/>
      </c>
      <c r="AA758" s="64"/>
      <c r="AB758" s="64"/>
      <c r="AC758" s="64"/>
      <c r="AD758" s="102"/>
    </row>
    <row r="759" spans="2:30" s="15" customFormat="1">
      <c r="B759" s="36"/>
      <c r="C759" s="102"/>
      <c r="D759" s="36"/>
      <c r="E759" s="22"/>
      <c r="F759" s="83"/>
      <c r="G759" s="83"/>
      <c r="H759" s="25"/>
      <c r="I759" s="25"/>
      <c r="J759" s="25"/>
      <c r="K759" s="25"/>
      <c r="L759" s="36"/>
      <c r="M759" s="36"/>
      <c r="N759" s="36"/>
      <c r="O759" s="102"/>
      <c r="P759" s="36"/>
      <c r="Q759" s="36"/>
      <c r="R759" s="37"/>
      <c r="S759" s="37"/>
      <c r="T759" s="60" t="str">
        <f t="shared" si="24"/>
        <v/>
      </c>
      <c r="U759" s="38"/>
      <c r="V759" s="38"/>
      <c r="W759" s="38" t="str">
        <f>IF(B759="","",COUNTIFS(Ejecucion[No. Solicitud],Registro!B759,Ejecucion[Estado],"Finalizado"))</f>
        <v/>
      </c>
      <c r="X759" s="38" t="str">
        <f>IF(B759="","",COUNTIFS(Ejecucion[No. Solicitud],Registro!B759,Ejecucion[Estado],"No Iniciado"))</f>
        <v/>
      </c>
      <c r="Y759" s="64" t="str">
        <f>IF(B759="","",COUNTIFS(Ejecucion[No. Solicitud],Registro!B759,Ejecucion[Estado],"En Proceso"))</f>
        <v/>
      </c>
      <c r="Z759" s="64" t="str">
        <f t="shared" si="25"/>
        <v/>
      </c>
      <c r="AA759" s="64"/>
      <c r="AB759" s="64"/>
      <c r="AC759" s="64"/>
      <c r="AD759" s="102"/>
    </row>
    <row r="760" spans="2:30" s="15" customFormat="1">
      <c r="B760" s="36"/>
      <c r="C760" s="102"/>
      <c r="D760" s="36"/>
      <c r="E760" s="22"/>
      <c r="F760" s="83"/>
      <c r="G760" s="83"/>
      <c r="H760" s="25"/>
      <c r="I760" s="25"/>
      <c r="J760" s="25"/>
      <c r="K760" s="25"/>
      <c r="L760" s="36"/>
      <c r="M760" s="36"/>
      <c r="N760" s="36"/>
      <c r="O760" s="102"/>
      <c r="P760" s="36"/>
      <c r="Q760" s="36"/>
      <c r="R760" s="37"/>
      <c r="S760" s="37"/>
      <c r="T760" s="60" t="str">
        <f t="shared" si="24"/>
        <v/>
      </c>
      <c r="U760" s="38"/>
      <c r="V760" s="38"/>
      <c r="W760" s="38" t="str">
        <f>IF(B760="","",COUNTIFS(Ejecucion[No. Solicitud],Registro!B760,Ejecucion[Estado],"Finalizado"))</f>
        <v/>
      </c>
      <c r="X760" s="38" t="str">
        <f>IF(B760="","",COUNTIFS(Ejecucion[No. Solicitud],Registro!B760,Ejecucion[Estado],"No Iniciado"))</f>
        <v/>
      </c>
      <c r="Y760" s="64" t="str">
        <f>IF(B760="","",COUNTIFS(Ejecucion[No. Solicitud],Registro!B760,Ejecucion[Estado],"En Proceso"))</f>
        <v/>
      </c>
      <c r="Z760" s="64" t="str">
        <f t="shared" si="25"/>
        <v/>
      </c>
      <c r="AA760" s="64"/>
      <c r="AB760" s="64"/>
      <c r="AC760" s="64"/>
      <c r="AD760" s="102"/>
    </row>
    <row r="761" spans="2:30" s="15" customFormat="1">
      <c r="B761" s="36"/>
      <c r="C761" s="102"/>
      <c r="D761" s="36"/>
      <c r="E761" s="22"/>
      <c r="F761" s="83"/>
      <c r="G761" s="83"/>
      <c r="H761" s="25"/>
      <c r="I761" s="25"/>
      <c r="J761" s="25"/>
      <c r="K761" s="25"/>
      <c r="L761" s="36"/>
      <c r="M761" s="36"/>
      <c r="N761" s="36"/>
      <c r="O761" s="102"/>
      <c r="P761" s="36"/>
      <c r="Q761" s="36"/>
      <c r="R761" s="37"/>
      <c r="S761" s="37"/>
      <c r="T761" s="60" t="str">
        <f t="shared" si="24"/>
        <v/>
      </c>
      <c r="U761" s="38"/>
      <c r="V761" s="38"/>
      <c r="W761" s="38" t="str">
        <f>IF(B761="","",COUNTIFS(Ejecucion[No. Solicitud],Registro!B761,Ejecucion[Estado],"Finalizado"))</f>
        <v/>
      </c>
      <c r="X761" s="38" t="str">
        <f>IF(B761="","",COUNTIFS(Ejecucion[No. Solicitud],Registro!B761,Ejecucion[Estado],"No Iniciado"))</f>
        <v/>
      </c>
      <c r="Y761" s="64" t="str">
        <f>IF(B761="","",COUNTIFS(Ejecucion[No. Solicitud],Registro!B761,Ejecucion[Estado],"En Proceso"))</f>
        <v/>
      </c>
      <c r="Z761" s="64" t="str">
        <f t="shared" si="25"/>
        <v/>
      </c>
      <c r="AA761" s="64"/>
      <c r="AB761" s="64"/>
      <c r="AC761" s="64"/>
      <c r="AD761" s="102"/>
    </row>
    <row r="762" spans="2:30" s="15" customFormat="1">
      <c r="B762" s="36"/>
      <c r="C762" s="102"/>
      <c r="D762" s="36"/>
      <c r="E762" s="22"/>
      <c r="F762" s="83"/>
      <c r="G762" s="83"/>
      <c r="H762" s="25"/>
      <c r="I762" s="25"/>
      <c r="J762" s="25"/>
      <c r="K762" s="25"/>
      <c r="L762" s="36"/>
      <c r="M762" s="36"/>
      <c r="N762" s="36"/>
      <c r="O762" s="102"/>
      <c r="P762" s="36"/>
      <c r="Q762" s="36"/>
      <c r="R762" s="37"/>
      <c r="S762" s="37"/>
      <c r="T762" s="60" t="str">
        <f t="shared" si="24"/>
        <v/>
      </c>
      <c r="U762" s="38"/>
      <c r="V762" s="38"/>
      <c r="W762" s="38" t="str">
        <f>IF(B762="","",COUNTIFS(Ejecucion[No. Solicitud],Registro!B762,Ejecucion[Estado],"Finalizado"))</f>
        <v/>
      </c>
      <c r="X762" s="38" t="str">
        <f>IF(B762="","",COUNTIFS(Ejecucion[No. Solicitud],Registro!B762,Ejecucion[Estado],"No Iniciado"))</f>
        <v/>
      </c>
      <c r="Y762" s="64" t="str">
        <f>IF(B762="","",COUNTIFS(Ejecucion[No. Solicitud],Registro!B762,Ejecucion[Estado],"En Proceso"))</f>
        <v/>
      </c>
      <c r="Z762" s="64" t="str">
        <f t="shared" si="25"/>
        <v/>
      </c>
      <c r="AA762" s="64"/>
      <c r="AB762" s="64"/>
      <c r="AC762" s="64"/>
      <c r="AD762" s="102"/>
    </row>
    <row r="763" spans="2:30" s="15" customFormat="1">
      <c r="B763" s="36"/>
      <c r="C763" s="102"/>
      <c r="D763" s="36"/>
      <c r="E763" s="22"/>
      <c r="F763" s="83"/>
      <c r="G763" s="83"/>
      <c r="H763" s="25"/>
      <c r="I763" s="25"/>
      <c r="J763" s="25"/>
      <c r="K763" s="25"/>
      <c r="L763" s="36"/>
      <c r="M763" s="36"/>
      <c r="N763" s="36"/>
      <c r="O763" s="102"/>
      <c r="P763" s="36"/>
      <c r="Q763" s="36"/>
      <c r="R763" s="37"/>
      <c r="S763" s="37"/>
      <c r="T763" s="60" t="str">
        <f t="shared" si="24"/>
        <v/>
      </c>
      <c r="U763" s="38"/>
      <c r="V763" s="38"/>
      <c r="W763" s="38" t="str">
        <f>IF(B763="","",COUNTIFS(Ejecucion[No. Solicitud],Registro!B763,Ejecucion[Estado],"Finalizado"))</f>
        <v/>
      </c>
      <c r="X763" s="38" t="str">
        <f>IF(B763="","",COUNTIFS(Ejecucion[No. Solicitud],Registro!B763,Ejecucion[Estado],"No Iniciado"))</f>
        <v/>
      </c>
      <c r="Y763" s="64" t="str">
        <f>IF(B763="","",COUNTIFS(Ejecucion[No. Solicitud],Registro!B763,Ejecucion[Estado],"En Proceso"))</f>
        <v/>
      </c>
      <c r="Z763" s="64" t="str">
        <f t="shared" si="25"/>
        <v/>
      </c>
      <c r="AA763" s="64"/>
      <c r="AB763" s="64"/>
      <c r="AC763" s="64"/>
      <c r="AD763" s="102"/>
    </row>
    <row r="764" spans="2:30" s="15" customFormat="1">
      <c r="B764" s="36"/>
      <c r="C764" s="102"/>
      <c r="D764" s="36"/>
      <c r="E764" s="22"/>
      <c r="F764" s="83"/>
      <c r="G764" s="83"/>
      <c r="H764" s="25"/>
      <c r="I764" s="25"/>
      <c r="J764" s="25"/>
      <c r="K764" s="25"/>
      <c r="L764" s="36"/>
      <c r="M764" s="36"/>
      <c r="N764" s="36"/>
      <c r="O764" s="102"/>
      <c r="P764" s="36"/>
      <c r="Q764" s="36"/>
      <c r="R764" s="37"/>
      <c r="S764" s="37"/>
      <c r="T764" s="60" t="str">
        <f t="shared" si="24"/>
        <v/>
      </c>
      <c r="U764" s="38"/>
      <c r="V764" s="38"/>
      <c r="W764" s="38" t="str">
        <f>IF(B764="","",COUNTIFS(Ejecucion[No. Solicitud],Registro!B764,Ejecucion[Estado],"Finalizado"))</f>
        <v/>
      </c>
      <c r="X764" s="38" t="str">
        <f>IF(B764="","",COUNTIFS(Ejecucion[No. Solicitud],Registro!B764,Ejecucion[Estado],"No Iniciado"))</f>
        <v/>
      </c>
      <c r="Y764" s="64" t="str">
        <f>IF(B764="","",COUNTIFS(Ejecucion[No. Solicitud],Registro!B764,Ejecucion[Estado],"En Proceso"))</f>
        <v/>
      </c>
      <c r="Z764" s="64" t="str">
        <f t="shared" si="25"/>
        <v/>
      </c>
      <c r="AA764" s="64"/>
      <c r="AB764" s="64"/>
      <c r="AC764" s="64"/>
      <c r="AD764" s="102"/>
    </row>
    <row r="765" spans="2:30" s="15" customFormat="1">
      <c r="B765" s="36"/>
      <c r="C765" s="102"/>
      <c r="D765" s="36"/>
      <c r="E765" s="22"/>
      <c r="F765" s="83"/>
      <c r="G765" s="83"/>
      <c r="H765" s="25"/>
      <c r="I765" s="25"/>
      <c r="J765" s="25"/>
      <c r="K765" s="25"/>
      <c r="L765" s="36"/>
      <c r="M765" s="36"/>
      <c r="N765" s="36"/>
      <c r="O765" s="102"/>
      <c r="P765" s="36"/>
      <c r="Q765" s="36"/>
      <c r="R765" s="37"/>
      <c r="S765" s="37"/>
      <c r="T765" s="60" t="str">
        <f t="shared" si="24"/>
        <v/>
      </c>
      <c r="U765" s="38"/>
      <c r="V765" s="38"/>
      <c r="W765" s="38" t="str">
        <f>IF(B765="","",COUNTIFS(Ejecucion[No. Solicitud],Registro!B765,Ejecucion[Estado],"Finalizado"))</f>
        <v/>
      </c>
      <c r="X765" s="38" t="str">
        <f>IF(B765="","",COUNTIFS(Ejecucion[No. Solicitud],Registro!B765,Ejecucion[Estado],"No Iniciado"))</f>
        <v/>
      </c>
      <c r="Y765" s="64" t="str">
        <f>IF(B765="","",COUNTIFS(Ejecucion[No. Solicitud],Registro!B765,Ejecucion[Estado],"En Proceso"))</f>
        <v/>
      </c>
      <c r="Z765" s="64" t="str">
        <f t="shared" si="25"/>
        <v/>
      </c>
      <c r="AA765" s="64"/>
      <c r="AB765" s="64"/>
      <c r="AC765" s="64"/>
      <c r="AD765" s="102"/>
    </row>
    <row r="766" spans="2:30" s="15" customFormat="1">
      <c r="B766" s="36"/>
      <c r="C766" s="102"/>
      <c r="D766" s="36"/>
      <c r="E766" s="22"/>
      <c r="F766" s="83"/>
      <c r="G766" s="83"/>
      <c r="H766" s="25"/>
      <c r="I766" s="25"/>
      <c r="J766" s="25"/>
      <c r="K766" s="25"/>
      <c r="L766" s="36"/>
      <c r="M766" s="36"/>
      <c r="N766" s="36"/>
      <c r="O766" s="102"/>
      <c r="P766" s="36"/>
      <c r="Q766" s="36"/>
      <c r="R766" s="37"/>
      <c r="S766" s="37"/>
      <c r="T766" s="60" t="str">
        <f t="shared" si="24"/>
        <v/>
      </c>
      <c r="U766" s="38"/>
      <c r="V766" s="38"/>
      <c r="W766" s="38" t="str">
        <f>IF(B766="","",COUNTIFS(Ejecucion[No. Solicitud],Registro!B766,Ejecucion[Estado],"Finalizado"))</f>
        <v/>
      </c>
      <c r="X766" s="38" t="str">
        <f>IF(B766="","",COUNTIFS(Ejecucion[No. Solicitud],Registro!B766,Ejecucion[Estado],"No Iniciado"))</f>
        <v/>
      </c>
      <c r="Y766" s="64" t="str">
        <f>IF(B766="","",COUNTIFS(Ejecucion[No. Solicitud],Registro!B766,Ejecucion[Estado],"En Proceso"))</f>
        <v/>
      </c>
      <c r="Z766" s="64" t="str">
        <f t="shared" si="25"/>
        <v/>
      </c>
      <c r="AA766" s="64"/>
      <c r="AB766" s="64"/>
      <c r="AC766" s="64"/>
      <c r="AD766" s="102"/>
    </row>
    <row r="767" spans="2:30" s="15" customFormat="1">
      <c r="B767" s="36"/>
      <c r="C767" s="102"/>
      <c r="D767" s="36"/>
      <c r="E767" s="22"/>
      <c r="F767" s="83"/>
      <c r="G767" s="83"/>
      <c r="H767" s="25"/>
      <c r="I767" s="25"/>
      <c r="J767" s="25"/>
      <c r="K767" s="25"/>
      <c r="L767" s="36"/>
      <c r="M767" s="36"/>
      <c r="N767" s="36"/>
      <c r="O767" s="102"/>
      <c r="P767" s="36"/>
      <c r="Q767" s="36"/>
      <c r="R767" s="37"/>
      <c r="S767" s="37"/>
      <c r="T767" s="60" t="str">
        <f t="shared" si="24"/>
        <v/>
      </c>
      <c r="U767" s="38"/>
      <c r="V767" s="38"/>
      <c r="W767" s="38" t="str">
        <f>IF(B767="","",COUNTIFS(Ejecucion[No. Solicitud],Registro!B767,Ejecucion[Estado],"Finalizado"))</f>
        <v/>
      </c>
      <c r="X767" s="38" t="str">
        <f>IF(B767="","",COUNTIFS(Ejecucion[No. Solicitud],Registro!B767,Ejecucion[Estado],"No Iniciado"))</f>
        <v/>
      </c>
      <c r="Y767" s="64" t="str">
        <f>IF(B767="","",COUNTIFS(Ejecucion[No. Solicitud],Registro!B767,Ejecucion[Estado],"En Proceso"))</f>
        <v/>
      </c>
      <c r="Z767" s="64" t="str">
        <f t="shared" si="25"/>
        <v/>
      </c>
      <c r="AA767" s="64"/>
      <c r="AB767" s="64"/>
      <c r="AC767" s="64"/>
      <c r="AD767" s="102"/>
    </row>
    <row r="768" spans="2:30" s="15" customFormat="1">
      <c r="B768" s="36"/>
      <c r="C768" s="102"/>
      <c r="D768" s="36"/>
      <c r="E768" s="22"/>
      <c r="F768" s="83"/>
      <c r="G768" s="83"/>
      <c r="H768" s="25"/>
      <c r="I768" s="25"/>
      <c r="J768" s="25"/>
      <c r="K768" s="25"/>
      <c r="L768" s="36"/>
      <c r="M768" s="36"/>
      <c r="N768" s="36"/>
      <c r="O768" s="102"/>
      <c r="P768" s="36"/>
      <c r="Q768" s="36"/>
      <c r="R768" s="37"/>
      <c r="S768" s="37"/>
      <c r="T768" s="60" t="str">
        <f t="shared" si="24"/>
        <v/>
      </c>
      <c r="U768" s="38"/>
      <c r="V768" s="38"/>
      <c r="W768" s="38" t="str">
        <f>IF(B768="","",COUNTIFS(Ejecucion[No. Solicitud],Registro!B768,Ejecucion[Estado],"Finalizado"))</f>
        <v/>
      </c>
      <c r="X768" s="38" t="str">
        <f>IF(B768="","",COUNTIFS(Ejecucion[No. Solicitud],Registro!B768,Ejecucion[Estado],"No Iniciado"))</f>
        <v/>
      </c>
      <c r="Y768" s="64" t="str">
        <f>IF(B768="","",COUNTIFS(Ejecucion[No. Solicitud],Registro!B768,Ejecucion[Estado],"En Proceso"))</f>
        <v/>
      </c>
      <c r="Z768" s="64" t="str">
        <f t="shared" si="25"/>
        <v/>
      </c>
      <c r="AA768" s="64"/>
      <c r="AB768" s="64"/>
      <c r="AC768" s="64"/>
      <c r="AD768" s="102"/>
    </row>
    <row r="769" spans="2:30" s="15" customFormat="1">
      <c r="B769" s="36"/>
      <c r="C769" s="102"/>
      <c r="D769" s="36"/>
      <c r="E769" s="22"/>
      <c r="F769" s="83"/>
      <c r="G769" s="83"/>
      <c r="H769" s="25"/>
      <c r="I769" s="25"/>
      <c r="J769" s="25"/>
      <c r="K769" s="25"/>
      <c r="L769" s="36"/>
      <c r="M769" s="36"/>
      <c r="N769" s="36"/>
      <c r="O769" s="102"/>
      <c r="P769" s="36"/>
      <c r="Q769" s="36"/>
      <c r="R769" s="37"/>
      <c r="S769" s="37"/>
      <c r="T769" s="60" t="str">
        <f t="shared" si="24"/>
        <v/>
      </c>
      <c r="U769" s="38"/>
      <c r="V769" s="38"/>
      <c r="W769" s="38" t="str">
        <f>IF(B769="","",COUNTIFS(Ejecucion[No. Solicitud],Registro!B769,Ejecucion[Estado],"Finalizado"))</f>
        <v/>
      </c>
      <c r="X769" s="38" t="str">
        <f>IF(B769="","",COUNTIFS(Ejecucion[No. Solicitud],Registro!B769,Ejecucion[Estado],"No Iniciado"))</f>
        <v/>
      </c>
      <c r="Y769" s="64" t="str">
        <f>IF(B769="","",COUNTIFS(Ejecucion[No. Solicitud],Registro!B769,Ejecucion[Estado],"En Proceso"))</f>
        <v/>
      </c>
      <c r="Z769" s="64" t="str">
        <f t="shared" si="25"/>
        <v/>
      </c>
      <c r="AA769" s="64"/>
      <c r="AB769" s="64"/>
      <c r="AC769" s="64"/>
      <c r="AD769" s="102"/>
    </row>
    <row r="770" spans="2:30" s="15" customFormat="1">
      <c r="B770" s="36"/>
      <c r="C770" s="102"/>
      <c r="D770" s="36"/>
      <c r="E770" s="22"/>
      <c r="F770" s="83"/>
      <c r="G770" s="83"/>
      <c r="H770" s="25"/>
      <c r="I770" s="25"/>
      <c r="J770" s="25"/>
      <c r="K770" s="25"/>
      <c r="L770" s="36"/>
      <c r="M770" s="36"/>
      <c r="N770" s="36"/>
      <c r="O770" s="102"/>
      <c r="P770" s="36"/>
      <c r="Q770" s="36"/>
      <c r="R770" s="37"/>
      <c r="S770" s="37"/>
      <c r="T770" s="60" t="str">
        <f t="shared" si="24"/>
        <v/>
      </c>
      <c r="U770" s="38"/>
      <c r="V770" s="38"/>
      <c r="W770" s="38" t="str">
        <f>IF(B770="","",COUNTIFS(Ejecucion[No. Solicitud],Registro!B770,Ejecucion[Estado],"Finalizado"))</f>
        <v/>
      </c>
      <c r="X770" s="38" t="str">
        <f>IF(B770="","",COUNTIFS(Ejecucion[No. Solicitud],Registro!B770,Ejecucion[Estado],"No Iniciado"))</f>
        <v/>
      </c>
      <c r="Y770" s="64" t="str">
        <f>IF(B770="","",COUNTIFS(Ejecucion[No. Solicitud],Registro!B770,Ejecucion[Estado],"En Proceso"))</f>
        <v/>
      </c>
      <c r="Z770" s="64" t="str">
        <f t="shared" si="25"/>
        <v/>
      </c>
      <c r="AA770" s="64"/>
      <c r="AB770" s="64"/>
      <c r="AC770" s="64"/>
      <c r="AD770" s="102"/>
    </row>
    <row r="771" spans="2:30" s="15" customFormat="1">
      <c r="B771" s="36"/>
      <c r="C771" s="102"/>
      <c r="D771" s="36"/>
      <c r="E771" s="22"/>
      <c r="F771" s="83"/>
      <c r="G771" s="83"/>
      <c r="H771" s="25"/>
      <c r="I771" s="25"/>
      <c r="J771" s="25"/>
      <c r="K771" s="25"/>
      <c r="L771" s="36"/>
      <c r="M771" s="36"/>
      <c r="N771" s="36"/>
      <c r="O771" s="102"/>
      <c r="P771" s="36"/>
      <c r="Q771" s="36"/>
      <c r="R771" s="37"/>
      <c r="S771" s="37"/>
      <c r="T771" s="60" t="str">
        <f t="shared" si="24"/>
        <v/>
      </c>
      <c r="U771" s="38"/>
      <c r="V771" s="38"/>
      <c r="W771" s="38" t="str">
        <f>IF(B771="","",COUNTIFS(Ejecucion[No. Solicitud],Registro!B771,Ejecucion[Estado],"Finalizado"))</f>
        <v/>
      </c>
      <c r="X771" s="38" t="str">
        <f>IF(B771="","",COUNTIFS(Ejecucion[No. Solicitud],Registro!B771,Ejecucion[Estado],"No Iniciado"))</f>
        <v/>
      </c>
      <c r="Y771" s="64" t="str">
        <f>IF(B771="","",COUNTIFS(Ejecucion[No. Solicitud],Registro!B771,Ejecucion[Estado],"En Proceso"))</f>
        <v/>
      </c>
      <c r="Z771" s="64" t="str">
        <f t="shared" si="25"/>
        <v/>
      </c>
      <c r="AA771" s="64"/>
      <c r="AB771" s="64"/>
      <c r="AC771" s="64"/>
      <c r="AD771" s="102"/>
    </row>
    <row r="772" spans="2:30" s="15" customFormat="1">
      <c r="B772" s="36"/>
      <c r="C772" s="102"/>
      <c r="D772" s="36"/>
      <c r="E772" s="22"/>
      <c r="F772" s="83"/>
      <c r="G772" s="83"/>
      <c r="H772" s="25"/>
      <c r="I772" s="25"/>
      <c r="J772" s="25"/>
      <c r="K772" s="25"/>
      <c r="L772" s="36"/>
      <c r="M772" s="36"/>
      <c r="N772" s="36"/>
      <c r="O772" s="102"/>
      <c r="P772" s="36"/>
      <c r="Q772" s="36"/>
      <c r="R772" s="37"/>
      <c r="S772" s="37"/>
      <c r="T772" s="60" t="str">
        <f t="shared" si="24"/>
        <v/>
      </c>
      <c r="U772" s="38"/>
      <c r="V772" s="38"/>
      <c r="W772" s="38" t="str">
        <f>IF(B772="","",COUNTIFS(Ejecucion[No. Solicitud],Registro!B772,Ejecucion[Estado],"Finalizado"))</f>
        <v/>
      </c>
      <c r="X772" s="38" t="str">
        <f>IF(B772="","",COUNTIFS(Ejecucion[No. Solicitud],Registro!B772,Ejecucion[Estado],"No Iniciado"))</f>
        <v/>
      </c>
      <c r="Y772" s="64" t="str">
        <f>IF(B772="","",COUNTIFS(Ejecucion[No. Solicitud],Registro!B772,Ejecucion[Estado],"En Proceso"))</f>
        <v/>
      </c>
      <c r="Z772" s="64" t="str">
        <f t="shared" si="25"/>
        <v/>
      </c>
      <c r="AA772" s="64"/>
      <c r="AB772" s="64"/>
      <c r="AC772" s="64"/>
      <c r="AD772" s="102"/>
    </row>
    <row r="773" spans="2:30" s="15" customFormat="1">
      <c r="B773" s="36"/>
      <c r="C773" s="102"/>
      <c r="D773" s="36"/>
      <c r="E773" s="22"/>
      <c r="F773" s="83"/>
      <c r="G773" s="83"/>
      <c r="H773" s="25"/>
      <c r="I773" s="25"/>
      <c r="J773" s="25"/>
      <c r="K773" s="25"/>
      <c r="L773" s="36"/>
      <c r="M773" s="36"/>
      <c r="N773" s="36"/>
      <c r="O773" s="102"/>
      <c r="P773" s="36"/>
      <c r="Q773" s="36"/>
      <c r="R773" s="37"/>
      <c r="S773" s="37"/>
      <c r="T773" s="60" t="str">
        <f t="shared" si="24"/>
        <v/>
      </c>
      <c r="U773" s="38"/>
      <c r="V773" s="38"/>
      <c r="W773" s="38" t="str">
        <f>IF(B773="","",COUNTIFS(Ejecucion[No. Solicitud],Registro!B773,Ejecucion[Estado],"Finalizado"))</f>
        <v/>
      </c>
      <c r="X773" s="38" t="str">
        <f>IF(B773="","",COUNTIFS(Ejecucion[No. Solicitud],Registro!B773,Ejecucion[Estado],"No Iniciado"))</f>
        <v/>
      </c>
      <c r="Y773" s="64" t="str">
        <f>IF(B773="","",COUNTIFS(Ejecucion[No. Solicitud],Registro!B773,Ejecucion[Estado],"En Proceso"))</f>
        <v/>
      </c>
      <c r="Z773" s="64" t="str">
        <f t="shared" si="25"/>
        <v/>
      </c>
      <c r="AA773" s="64"/>
      <c r="AB773" s="64"/>
      <c r="AC773" s="64"/>
      <c r="AD773" s="102"/>
    </row>
    <row r="774" spans="2:30" s="15" customFormat="1">
      <c r="B774" s="36"/>
      <c r="C774" s="102"/>
      <c r="D774" s="36"/>
      <c r="E774" s="22"/>
      <c r="F774" s="83"/>
      <c r="G774" s="83"/>
      <c r="H774" s="25"/>
      <c r="I774" s="25"/>
      <c r="J774" s="25"/>
      <c r="K774" s="25"/>
      <c r="L774" s="36"/>
      <c r="M774" s="36"/>
      <c r="N774" s="36"/>
      <c r="O774" s="102"/>
      <c r="P774" s="36"/>
      <c r="Q774" s="36"/>
      <c r="R774" s="37"/>
      <c r="S774" s="37"/>
      <c r="T774" s="60" t="str">
        <f t="shared" si="24"/>
        <v/>
      </c>
      <c r="U774" s="38"/>
      <c r="V774" s="38"/>
      <c r="W774" s="38" t="str">
        <f>IF(B774="","",COUNTIFS(Ejecucion[No. Solicitud],Registro!B774,Ejecucion[Estado],"Finalizado"))</f>
        <v/>
      </c>
      <c r="X774" s="38" t="str">
        <f>IF(B774="","",COUNTIFS(Ejecucion[No. Solicitud],Registro!B774,Ejecucion[Estado],"No Iniciado"))</f>
        <v/>
      </c>
      <c r="Y774" s="64" t="str">
        <f>IF(B774="","",COUNTIFS(Ejecucion[No. Solicitud],Registro!B774,Ejecucion[Estado],"En Proceso"))</f>
        <v/>
      </c>
      <c r="Z774" s="64" t="str">
        <f t="shared" si="25"/>
        <v/>
      </c>
      <c r="AA774" s="64"/>
      <c r="AB774" s="64"/>
      <c r="AC774" s="64"/>
      <c r="AD774" s="102"/>
    </row>
    <row r="775" spans="2:30" s="15" customFormat="1">
      <c r="B775" s="36"/>
      <c r="C775" s="102"/>
      <c r="D775" s="36"/>
      <c r="E775" s="22"/>
      <c r="F775" s="83"/>
      <c r="G775" s="83"/>
      <c r="H775" s="25"/>
      <c r="I775" s="25"/>
      <c r="J775" s="25"/>
      <c r="K775" s="25"/>
      <c r="L775" s="36"/>
      <c r="M775" s="36"/>
      <c r="N775" s="36"/>
      <c r="O775" s="102"/>
      <c r="P775" s="36"/>
      <c r="Q775" s="36"/>
      <c r="R775" s="37"/>
      <c r="S775" s="37"/>
      <c r="T775" s="60" t="str">
        <f t="shared" si="24"/>
        <v/>
      </c>
      <c r="U775" s="38"/>
      <c r="V775" s="38"/>
      <c r="W775" s="38" t="str">
        <f>IF(B775="","",COUNTIFS(Ejecucion[No. Solicitud],Registro!B775,Ejecucion[Estado],"Finalizado"))</f>
        <v/>
      </c>
      <c r="X775" s="38" t="str">
        <f>IF(B775="","",COUNTIFS(Ejecucion[No. Solicitud],Registro!B775,Ejecucion[Estado],"No Iniciado"))</f>
        <v/>
      </c>
      <c r="Y775" s="64" t="str">
        <f>IF(B775="","",COUNTIFS(Ejecucion[No. Solicitud],Registro!B775,Ejecucion[Estado],"En Proceso"))</f>
        <v/>
      </c>
      <c r="Z775" s="64" t="str">
        <f t="shared" si="25"/>
        <v/>
      </c>
      <c r="AA775" s="64"/>
      <c r="AB775" s="64"/>
      <c r="AC775" s="64"/>
      <c r="AD775" s="102"/>
    </row>
    <row r="776" spans="2:30" s="15" customFormat="1">
      <c r="B776" s="36"/>
      <c r="C776" s="102"/>
      <c r="D776" s="36"/>
      <c r="E776" s="22"/>
      <c r="F776" s="83"/>
      <c r="G776" s="83"/>
      <c r="H776" s="25"/>
      <c r="I776" s="25"/>
      <c r="J776" s="25"/>
      <c r="K776" s="25"/>
      <c r="L776" s="36"/>
      <c r="M776" s="36"/>
      <c r="N776" s="36"/>
      <c r="O776" s="102"/>
      <c r="P776" s="36"/>
      <c r="Q776" s="36"/>
      <c r="R776" s="37"/>
      <c r="S776" s="37"/>
      <c r="T776" s="60" t="str">
        <f t="shared" ref="T776:T839" si="26">IF(U776="","",IF(U776=W776,1,0))</f>
        <v/>
      </c>
      <c r="U776" s="38"/>
      <c r="V776" s="38"/>
      <c r="W776" s="38" t="str">
        <f>IF(B776="","",COUNTIFS(Ejecucion[No. Solicitud],Registro!B776,Ejecucion[Estado],"Finalizado"))</f>
        <v/>
      </c>
      <c r="X776" s="38" t="str">
        <f>IF(B776="","",COUNTIFS(Ejecucion[No. Solicitud],Registro!B776,Ejecucion[Estado],"No Iniciado"))</f>
        <v/>
      </c>
      <c r="Y776" s="64" t="str">
        <f>IF(B776="","",COUNTIFS(Ejecucion[No. Solicitud],Registro!B776,Ejecucion[Estado],"En Proceso"))</f>
        <v/>
      </c>
      <c r="Z776" s="64" t="str">
        <f t="shared" si="25"/>
        <v/>
      </c>
      <c r="AA776" s="64"/>
      <c r="AB776" s="64"/>
      <c r="AC776" s="64"/>
      <c r="AD776" s="102"/>
    </row>
    <row r="777" spans="2:30" s="15" customFormat="1">
      <c r="B777" s="36"/>
      <c r="C777" s="102"/>
      <c r="D777" s="36"/>
      <c r="E777" s="22"/>
      <c r="F777" s="83"/>
      <c r="G777" s="83"/>
      <c r="H777" s="25"/>
      <c r="I777" s="25"/>
      <c r="J777" s="25"/>
      <c r="K777" s="25"/>
      <c r="L777" s="36"/>
      <c r="M777" s="36"/>
      <c r="N777" s="36"/>
      <c r="O777" s="102"/>
      <c r="P777" s="36"/>
      <c r="Q777" s="36"/>
      <c r="R777" s="37"/>
      <c r="S777" s="37"/>
      <c r="T777" s="60" t="str">
        <f t="shared" si="26"/>
        <v/>
      </c>
      <c r="U777" s="38"/>
      <c r="V777" s="38"/>
      <c r="W777" s="38" t="str">
        <f>IF(B777="","",COUNTIFS(Ejecucion[No. Solicitud],Registro!B777,Ejecucion[Estado],"Finalizado"))</f>
        <v/>
      </c>
      <c r="X777" s="38" t="str">
        <f>IF(B777="","",COUNTIFS(Ejecucion[No. Solicitud],Registro!B777,Ejecucion[Estado],"No Iniciado"))</f>
        <v/>
      </c>
      <c r="Y777" s="64" t="str">
        <f>IF(B777="","",COUNTIFS(Ejecucion[No. Solicitud],Registro!B777,Ejecucion[Estado],"En Proceso"))</f>
        <v/>
      </c>
      <c r="Z777" s="64" t="str">
        <f t="shared" si="25"/>
        <v/>
      </c>
      <c r="AA777" s="64"/>
      <c r="AB777" s="64"/>
      <c r="AC777" s="64"/>
      <c r="AD777" s="102"/>
    </row>
    <row r="778" spans="2:30" s="15" customFormat="1">
      <c r="B778" s="36"/>
      <c r="C778" s="102"/>
      <c r="D778" s="36"/>
      <c r="E778" s="22"/>
      <c r="F778" s="83"/>
      <c r="G778" s="83"/>
      <c r="H778" s="25"/>
      <c r="I778" s="25"/>
      <c r="J778" s="25"/>
      <c r="K778" s="25"/>
      <c r="L778" s="36"/>
      <c r="M778" s="36"/>
      <c r="N778" s="36"/>
      <c r="O778" s="102"/>
      <c r="P778" s="36"/>
      <c r="Q778" s="36"/>
      <c r="R778" s="37"/>
      <c r="S778" s="37"/>
      <c r="T778" s="60" t="str">
        <f t="shared" si="26"/>
        <v/>
      </c>
      <c r="U778" s="38"/>
      <c r="V778" s="38"/>
      <c r="W778" s="38" t="str">
        <f>IF(B778="","",COUNTIFS(Ejecucion[No. Solicitud],Registro!B778,Ejecucion[Estado],"Finalizado"))</f>
        <v/>
      </c>
      <c r="X778" s="38" t="str">
        <f>IF(B778="","",COUNTIFS(Ejecucion[No. Solicitud],Registro!B778,Ejecucion[Estado],"No Iniciado"))</f>
        <v/>
      </c>
      <c r="Y778" s="64" t="str">
        <f>IF(B778="","",COUNTIFS(Ejecucion[No. Solicitud],Registro!B778,Ejecucion[Estado],"En Proceso"))</f>
        <v/>
      </c>
      <c r="Z778" s="64" t="str">
        <f t="shared" si="25"/>
        <v/>
      </c>
      <c r="AA778" s="64"/>
      <c r="AB778" s="64"/>
      <c r="AC778" s="64"/>
      <c r="AD778" s="102"/>
    </row>
    <row r="779" spans="2:30" s="15" customFormat="1">
      <c r="B779" s="36"/>
      <c r="C779" s="102"/>
      <c r="D779" s="36"/>
      <c r="E779" s="22"/>
      <c r="F779" s="83"/>
      <c r="G779" s="83"/>
      <c r="H779" s="25"/>
      <c r="I779" s="25"/>
      <c r="J779" s="25"/>
      <c r="K779" s="25"/>
      <c r="L779" s="36"/>
      <c r="M779" s="36"/>
      <c r="N779" s="36"/>
      <c r="O779" s="102"/>
      <c r="P779" s="36"/>
      <c r="Q779" s="36"/>
      <c r="R779" s="37"/>
      <c r="S779" s="37"/>
      <c r="T779" s="60" t="str">
        <f t="shared" si="26"/>
        <v/>
      </c>
      <c r="U779" s="38"/>
      <c r="V779" s="38"/>
      <c r="W779" s="38" t="str">
        <f>IF(B779="","",COUNTIFS(Ejecucion[No. Solicitud],Registro!B779,Ejecucion[Estado],"Finalizado"))</f>
        <v/>
      </c>
      <c r="X779" s="38" t="str">
        <f>IF(B779="","",COUNTIFS(Ejecucion[No. Solicitud],Registro!B779,Ejecucion[Estado],"No Iniciado"))</f>
        <v/>
      </c>
      <c r="Y779" s="64" t="str">
        <f>IF(B779="","",COUNTIFS(Ejecucion[No. Solicitud],Registro!B779,Ejecucion[Estado],"En Proceso"))</f>
        <v/>
      </c>
      <c r="Z779" s="64" t="str">
        <f t="shared" si="25"/>
        <v/>
      </c>
      <c r="AA779" s="64"/>
      <c r="AB779" s="64"/>
      <c r="AC779" s="64"/>
      <c r="AD779" s="102"/>
    </row>
    <row r="780" spans="2:30" s="15" customFormat="1">
      <c r="B780" s="36"/>
      <c r="C780" s="102"/>
      <c r="D780" s="36"/>
      <c r="E780" s="22"/>
      <c r="F780" s="83"/>
      <c r="G780" s="83"/>
      <c r="H780" s="25"/>
      <c r="I780" s="25"/>
      <c r="J780" s="25"/>
      <c r="K780" s="25"/>
      <c r="L780" s="36"/>
      <c r="M780" s="36"/>
      <c r="N780" s="36"/>
      <c r="O780" s="102"/>
      <c r="P780" s="36"/>
      <c r="Q780" s="36"/>
      <c r="R780" s="37"/>
      <c r="S780" s="37"/>
      <c r="T780" s="60" t="str">
        <f t="shared" si="26"/>
        <v/>
      </c>
      <c r="U780" s="38"/>
      <c r="V780" s="38"/>
      <c r="W780" s="38" t="str">
        <f>IF(B780="","",COUNTIFS(Ejecucion[No. Solicitud],Registro!B780,Ejecucion[Estado],"Finalizado"))</f>
        <v/>
      </c>
      <c r="X780" s="38" t="str">
        <f>IF(B780="","",COUNTIFS(Ejecucion[No. Solicitud],Registro!B780,Ejecucion[Estado],"No Iniciado"))</f>
        <v/>
      </c>
      <c r="Y780" s="64" t="str">
        <f>IF(B780="","",COUNTIFS(Ejecucion[No. Solicitud],Registro!B780,Ejecucion[Estado],"En Proceso"))</f>
        <v/>
      </c>
      <c r="Z780" s="64" t="str">
        <f t="shared" si="25"/>
        <v/>
      </c>
      <c r="AA780" s="64"/>
      <c r="AB780" s="64"/>
      <c r="AC780" s="64"/>
      <c r="AD780" s="102"/>
    </row>
    <row r="781" spans="2:30" s="15" customFormat="1">
      <c r="B781" s="36"/>
      <c r="C781" s="102"/>
      <c r="D781" s="36"/>
      <c r="E781" s="22"/>
      <c r="F781" s="83"/>
      <c r="G781" s="83"/>
      <c r="H781" s="25"/>
      <c r="I781" s="25"/>
      <c r="J781" s="25"/>
      <c r="K781" s="25"/>
      <c r="L781" s="36"/>
      <c r="M781" s="36"/>
      <c r="N781" s="36"/>
      <c r="O781" s="102"/>
      <c r="P781" s="36"/>
      <c r="Q781" s="36"/>
      <c r="R781" s="37"/>
      <c r="S781" s="37"/>
      <c r="T781" s="60" t="str">
        <f t="shared" si="26"/>
        <v/>
      </c>
      <c r="U781" s="38"/>
      <c r="V781" s="38"/>
      <c r="W781" s="38" t="str">
        <f>IF(B781="","",COUNTIFS(Ejecucion[No. Solicitud],Registro!B781,Ejecucion[Estado],"Finalizado"))</f>
        <v/>
      </c>
      <c r="X781" s="38" t="str">
        <f>IF(B781="","",COUNTIFS(Ejecucion[No. Solicitud],Registro!B781,Ejecucion[Estado],"No Iniciado"))</f>
        <v/>
      </c>
      <c r="Y781" s="64" t="str">
        <f>IF(B781="","",COUNTIFS(Ejecucion[No. Solicitud],Registro!B781,Ejecucion[Estado],"En Proceso"))</f>
        <v/>
      </c>
      <c r="Z781" s="64" t="str">
        <f t="shared" si="25"/>
        <v/>
      </c>
      <c r="AA781" s="64"/>
      <c r="AB781" s="64"/>
      <c r="AC781" s="64"/>
      <c r="AD781" s="102"/>
    </row>
    <row r="782" spans="2:30" s="15" customFormat="1">
      <c r="B782" s="36"/>
      <c r="C782" s="102"/>
      <c r="D782" s="36"/>
      <c r="E782" s="22"/>
      <c r="F782" s="83"/>
      <c r="G782" s="83"/>
      <c r="H782" s="25"/>
      <c r="I782" s="25"/>
      <c r="J782" s="25"/>
      <c r="K782" s="25"/>
      <c r="L782" s="36"/>
      <c r="M782" s="36"/>
      <c r="N782" s="36"/>
      <c r="O782" s="102"/>
      <c r="P782" s="36"/>
      <c r="Q782" s="36"/>
      <c r="R782" s="37"/>
      <c r="S782" s="37"/>
      <c r="T782" s="60" t="str">
        <f t="shared" si="26"/>
        <v/>
      </c>
      <c r="U782" s="38"/>
      <c r="V782" s="38"/>
      <c r="W782" s="38" t="str">
        <f>IF(B782="","",COUNTIFS(Ejecucion[No. Solicitud],Registro!B782,Ejecucion[Estado],"Finalizado"))</f>
        <v/>
      </c>
      <c r="X782" s="38" t="str">
        <f>IF(B782="","",COUNTIFS(Ejecucion[No. Solicitud],Registro!B782,Ejecucion[Estado],"No Iniciado"))</f>
        <v/>
      </c>
      <c r="Y782" s="64" t="str">
        <f>IF(B782="","",COUNTIFS(Ejecucion[No. Solicitud],Registro!B782,Ejecucion[Estado],"En Proceso"))</f>
        <v/>
      </c>
      <c r="Z782" s="64" t="str">
        <f t="shared" si="25"/>
        <v/>
      </c>
      <c r="AA782" s="64"/>
      <c r="AB782" s="64"/>
      <c r="AC782" s="64"/>
      <c r="AD782" s="102"/>
    </row>
    <row r="783" spans="2:30" s="15" customFormat="1">
      <c r="B783" s="36"/>
      <c r="C783" s="102"/>
      <c r="D783" s="36"/>
      <c r="E783" s="22"/>
      <c r="F783" s="83"/>
      <c r="G783" s="83"/>
      <c r="H783" s="25"/>
      <c r="I783" s="25"/>
      <c r="J783" s="25"/>
      <c r="K783" s="25"/>
      <c r="L783" s="36"/>
      <c r="M783" s="36"/>
      <c r="N783" s="36"/>
      <c r="O783" s="102"/>
      <c r="P783" s="36"/>
      <c r="Q783" s="36"/>
      <c r="R783" s="37"/>
      <c r="S783" s="37"/>
      <c r="T783" s="60" t="str">
        <f t="shared" si="26"/>
        <v/>
      </c>
      <c r="U783" s="38"/>
      <c r="V783" s="38"/>
      <c r="W783" s="38" t="str">
        <f>IF(B783="","",COUNTIFS(Ejecucion[No. Solicitud],Registro!B783,Ejecucion[Estado],"Finalizado"))</f>
        <v/>
      </c>
      <c r="X783" s="38" t="str">
        <f>IF(B783="","",COUNTIFS(Ejecucion[No. Solicitud],Registro!B783,Ejecucion[Estado],"No Iniciado"))</f>
        <v/>
      </c>
      <c r="Y783" s="64" t="str">
        <f>IF(B783="","",COUNTIFS(Ejecucion[No. Solicitud],Registro!B783,Ejecucion[Estado],"En Proceso"))</f>
        <v/>
      </c>
      <c r="Z783" s="64" t="str">
        <f t="shared" si="25"/>
        <v/>
      </c>
      <c r="AA783" s="64"/>
      <c r="AB783" s="64"/>
      <c r="AC783" s="64"/>
      <c r="AD783" s="102"/>
    </row>
    <row r="784" spans="2:30" s="15" customFormat="1">
      <c r="B784" s="36"/>
      <c r="C784" s="102"/>
      <c r="D784" s="36"/>
      <c r="E784" s="22"/>
      <c r="F784" s="83"/>
      <c r="G784" s="83"/>
      <c r="H784" s="25"/>
      <c r="I784" s="25"/>
      <c r="J784" s="25"/>
      <c r="K784" s="25"/>
      <c r="L784" s="36"/>
      <c r="M784" s="36"/>
      <c r="N784" s="36"/>
      <c r="O784" s="102"/>
      <c r="P784" s="36"/>
      <c r="Q784" s="36"/>
      <c r="R784" s="37"/>
      <c r="S784" s="37"/>
      <c r="T784" s="60" t="str">
        <f t="shared" si="26"/>
        <v/>
      </c>
      <c r="U784" s="38"/>
      <c r="V784" s="38"/>
      <c r="W784" s="38" t="str">
        <f>IF(B784="","",COUNTIFS(Ejecucion[No. Solicitud],Registro!B784,Ejecucion[Estado],"Finalizado"))</f>
        <v/>
      </c>
      <c r="X784" s="38" t="str">
        <f>IF(B784="","",COUNTIFS(Ejecucion[No. Solicitud],Registro!B784,Ejecucion[Estado],"No Iniciado"))</f>
        <v/>
      </c>
      <c r="Y784" s="64" t="str">
        <f>IF(B784="","",COUNTIFS(Ejecucion[No. Solicitud],Registro!B784,Ejecucion[Estado],"En Proceso"))</f>
        <v/>
      </c>
      <c r="Z784" s="64" t="str">
        <f t="shared" si="25"/>
        <v/>
      </c>
      <c r="AA784" s="64"/>
      <c r="AB784" s="64"/>
      <c r="AC784" s="64"/>
      <c r="AD784" s="102"/>
    </row>
    <row r="785" spans="2:30" s="15" customFormat="1">
      <c r="B785" s="36"/>
      <c r="C785" s="102"/>
      <c r="D785" s="36"/>
      <c r="E785" s="22"/>
      <c r="F785" s="83"/>
      <c r="G785" s="83"/>
      <c r="H785" s="25"/>
      <c r="I785" s="25"/>
      <c r="J785" s="25"/>
      <c r="K785" s="25"/>
      <c r="L785" s="36"/>
      <c r="M785" s="36"/>
      <c r="N785" s="36"/>
      <c r="O785" s="102"/>
      <c r="P785" s="36"/>
      <c r="Q785" s="36"/>
      <c r="R785" s="37"/>
      <c r="S785" s="37"/>
      <c r="T785" s="60" t="str">
        <f t="shared" si="26"/>
        <v/>
      </c>
      <c r="U785" s="38"/>
      <c r="V785" s="38"/>
      <c r="W785" s="38" t="str">
        <f>IF(B785="","",COUNTIFS(Ejecucion[No. Solicitud],Registro!B785,Ejecucion[Estado],"Finalizado"))</f>
        <v/>
      </c>
      <c r="X785" s="38" t="str">
        <f>IF(B785="","",COUNTIFS(Ejecucion[No. Solicitud],Registro!B785,Ejecucion[Estado],"No Iniciado"))</f>
        <v/>
      </c>
      <c r="Y785" s="64" t="str">
        <f>IF(B785="","",COUNTIFS(Ejecucion[No. Solicitud],Registro!B785,Ejecucion[Estado],"En Proceso"))</f>
        <v/>
      </c>
      <c r="Z785" s="64" t="str">
        <f t="shared" si="25"/>
        <v/>
      </c>
      <c r="AA785" s="64"/>
      <c r="AB785" s="64"/>
      <c r="AC785" s="64"/>
      <c r="AD785" s="102"/>
    </row>
    <row r="786" spans="2:30" s="15" customFormat="1">
      <c r="B786" s="36"/>
      <c r="C786" s="102"/>
      <c r="D786" s="36"/>
      <c r="E786" s="22"/>
      <c r="F786" s="83"/>
      <c r="G786" s="83"/>
      <c r="H786" s="25"/>
      <c r="I786" s="25"/>
      <c r="J786" s="25"/>
      <c r="K786" s="25"/>
      <c r="L786" s="36"/>
      <c r="M786" s="36"/>
      <c r="N786" s="36"/>
      <c r="O786" s="102"/>
      <c r="P786" s="36"/>
      <c r="Q786" s="36"/>
      <c r="R786" s="37"/>
      <c r="S786" s="37"/>
      <c r="T786" s="60" t="str">
        <f t="shared" si="26"/>
        <v/>
      </c>
      <c r="U786" s="38"/>
      <c r="V786" s="38"/>
      <c r="W786" s="38" t="str">
        <f>IF(B786="","",COUNTIFS(Ejecucion[No. Solicitud],Registro!B786,Ejecucion[Estado],"Finalizado"))</f>
        <v/>
      </c>
      <c r="X786" s="38" t="str">
        <f>IF(B786="","",COUNTIFS(Ejecucion[No. Solicitud],Registro!B786,Ejecucion[Estado],"No Iniciado"))</f>
        <v/>
      </c>
      <c r="Y786" s="64" t="str">
        <f>IF(B786="","",COUNTIFS(Ejecucion[No. Solicitud],Registro!B786,Ejecucion[Estado],"En Proceso"))</f>
        <v/>
      </c>
      <c r="Z786" s="64" t="str">
        <f t="shared" si="25"/>
        <v/>
      </c>
      <c r="AA786" s="64"/>
      <c r="AB786" s="64"/>
      <c r="AC786" s="64"/>
      <c r="AD786" s="102"/>
    </row>
    <row r="787" spans="2:30" s="15" customFormat="1">
      <c r="B787" s="36"/>
      <c r="C787" s="102"/>
      <c r="D787" s="36"/>
      <c r="E787" s="22"/>
      <c r="F787" s="83"/>
      <c r="G787" s="83"/>
      <c r="H787" s="25"/>
      <c r="I787" s="25"/>
      <c r="J787" s="25"/>
      <c r="K787" s="25"/>
      <c r="L787" s="36"/>
      <c r="M787" s="36"/>
      <c r="N787" s="36"/>
      <c r="O787" s="102"/>
      <c r="P787" s="36"/>
      <c r="Q787" s="36"/>
      <c r="R787" s="37"/>
      <c r="S787" s="37"/>
      <c r="T787" s="60" t="str">
        <f t="shared" si="26"/>
        <v/>
      </c>
      <c r="U787" s="38"/>
      <c r="V787" s="38"/>
      <c r="W787" s="38" t="str">
        <f>IF(B787="","",COUNTIFS(Ejecucion[No. Solicitud],Registro!B787,Ejecucion[Estado],"Finalizado"))</f>
        <v/>
      </c>
      <c r="X787" s="38" t="str">
        <f>IF(B787="","",COUNTIFS(Ejecucion[No. Solicitud],Registro!B787,Ejecucion[Estado],"No Iniciado"))</f>
        <v/>
      </c>
      <c r="Y787" s="64" t="str">
        <f>IF(B787="","",COUNTIFS(Ejecucion[No. Solicitud],Registro!B787,Ejecucion[Estado],"En Proceso"))</f>
        <v/>
      </c>
      <c r="Z787" s="64" t="str">
        <f t="shared" si="25"/>
        <v/>
      </c>
      <c r="AA787" s="64"/>
      <c r="AB787" s="64"/>
      <c r="AC787" s="64"/>
      <c r="AD787" s="102"/>
    </row>
    <row r="788" spans="2:30" s="15" customFormat="1">
      <c r="B788" s="36"/>
      <c r="C788" s="102"/>
      <c r="D788" s="36"/>
      <c r="E788" s="22"/>
      <c r="F788" s="83"/>
      <c r="G788" s="83"/>
      <c r="H788" s="25"/>
      <c r="I788" s="25"/>
      <c r="J788" s="25"/>
      <c r="K788" s="25"/>
      <c r="L788" s="36"/>
      <c r="M788" s="36"/>
      <c r="N788" s="36"/>
      <c r="O788" s="102"/>
      <c r="P788" s="36"/>
      <c r="Q788" s="36"/>
      <c r="R788" s="37"/>
      <c r="S788" s="37"/>
      <c r="T788" s="60" t="str">
        <f t="shared" si="26"/>
        <v/>
      </c>
      <c r="U788" s="38"/>
      <c r="V788" s="38"/>
      <c r="W788" s="38" t="str">
        <f>IF(B788="","",COUNTIFS(Ejecucion[No. Solicitud],Registro!B788,Ejecucion[Estado],"Finalizado"))</f>
        <v/>
      </c>
      <c r="X788" s="38" t="str">
        <f>IF(B788="","",COUNTIFS(Ejecucion[No. Solicitud],Registro!B788,Ejecucion[Estado],"No Iniciado"))</f>
        <v/>
      </c>
      <c r="Y788" s="64" t="str">
        <f>IF(B788="","",COUNTIFS(Ejecucion[No. Solicitud],Registro!B788,Ejecucion[Estado],"En Proceso"))</f>
        <v/>
      </c>
      <c r="Z788" s="64" t="str">
        <f t="shared" si="25"/>
        <v/>
      </c>
      <c r="AA788" s="64"/>
      <c r="AB788" s="64"/>
      <c r="AC788" s="64"/>
      <c r="AD788" s="102"/>
    </row>
    <row r="789" spans="2:30" s="15" customFormat="1">
      <c r="B789" s="36"/>
      <c r="C789" s="102"/>
      <c r="D789" s="36"/>
      <c r="E789" s="22"/>
      <c r="F789" s="83"/>
      <c r="G789" s="83"/>
      <c r="H789" s="25"/>
      <c r="I789" s="25"/>
      <c r="J789" s="25"/>
      <c r="K789" s="25"/>
      <c r="L789" s="36"/>
      <c r="M789" s="36"/>
      <c r="N789" s="36"/>
      <c r="O789" s="102"/>
      <c r="P789" s="36"/>
      <c r="Q789" s="36"/>
      <c r="R789" s="37"/>
      <c r="S789" s="37"/>
      <c r="T789" s="60" t="str">
        <f t="shared" si="26"/>
        <v/>
      </c>
      <c r="U789" s="38"/>
      <c r="V789" s="38"/>
      <c r="W789" s="38" t="str">
        <f>IF(B789="","",COUNTIFS(Ejecucion[No. Solicitud],Registro!B789,Ejecucion[Estado],"Finalizado"))</f>
        <v/>
      </c>
      <c r="X789" s="38" t="str">
        <f>IF(B789="","",COUNTIFS(Ejecucion[No. Solicitud],Registro!B789,Ejecucion[Estado],"No Iniciado"))</f>
        <v/>
      </c>
      <c r="Y789" s="64" t="str">
        <f>IF(B789="","",COUNTIFS(Ejecucion[No. Solicitud],Registro!B789,Ejecucion[Estado],"En Proceso"))</f>
        <v/>
      </c>
      <c r="Z789" s="64" t="str">
        <f t="shared" si="25"/>
        <v/>
      </c>
      <c r="AA789" s="64"/>
      <c r="AB789" s="64"/>
      <c r="AC789" s="64"/>
      <c r="AD789" s="102"/>
    </row>
    <row r="790" spans="2:30" s="15" customFormat="1">
      <c r="B790" s="36"/>
      <c r="C790" s="102"/>
      <c r="D790" s="36"/>
      <c r="E790" s="22"/>
      <c r="F790" s="83"/>
      <c r="G790" s="83"/>
      <c r="H790" s="25"/>
      <c r="I790" s="25"/>
      <c r="J790" s="25"/>
      <c r="K790" s="25"/>
      <c r="L790" s="36"/>
      <c r="M790" s="36"/>
      <c r="N790" s="36"/>
      <c r="O790" s="102"/>
      <c r="P790" s="36"/>
      <c r="Q790" s="36"/>
      <c r="R790" s="37"/>
      <c r="S790" s="37"/>
      <c r="T790" s="60" t="str">
        <f t="shared" si="26"/>
        <v/>
      </c>
      <c r="U790" s="38"/>
      <c r="V790" s="38"/>
      <c r="W790" s="38" t="str">
        <f>IF(B790="","",COUNTIFS(Ejecucion[No. Solicitud],Registro!B790,Ejecucion[Estado],"Finalizado"))</f>
        <v/>
      </c>
      <c r="X790" s="38" t="str">
        <f>IF(B790="","",COUNTIFS(Ejecucion[No. Solicitud],Registro!B790,Ejecucion[Estado],"No Iniciado"))</f>
        <v/>
      </c>
      <c r="Y790" s="64" t="str">
        <f>IF(B790="","",COUNTIFS(Ejecucion[No. Solicitud],Registro!B790,Ejecucion[Estado],"En Proceso"))</f>
        <v/>
      </c>
      <c r="Z790" s="64" t="str">
        <f t="shared" si="25"/>
        <v/>
      </c>
      <c r="AA790" s="64"/>
      <c r="AB790" s="64"/>
      <c r="AC790" s="64"/>
      <c r="AD790" s="102"/>
    </row>
    <row r="791" spans="2:30" s="15" customFormat="1">
      <c r="B791" s="36"/>
      <c r="C791" s="102"/>
      <c r="D791" s="36"/>
      <c r="E791" s="22"/>
      <c r="F791" s="83"/>
      <c r="G791" s="83"/>
      <c r="H791" s="25"/>
      <c r="I791" s="25"/>
      <c r="J791" s="25"/>
      <c r="K791" s="25"/>
      <c r="L791" s="36"/>
      <c r="M791" s="36"/>
      <c r="N791" s="36"/>
      <c r="O791" s="102"/>
      <c r="P791" s="36"/>
      <c r="Q791" s="36"/>
      <c r="R791" s="37"/>
      <c r="S791" s="37"/>
      <c r="T791" s="60" t="str">
        <f t="shared" si="26"/>
        <v/>
      </c>
      <c r="U791" s="38"/>
      <c r="V791" s="38"/>
      <c r="W791" s="38" t="str">
        <f>IF(B791="","",COUNTIFS(Ejecucion[No. Solicitud],Registro!B791,Ejecucion[Estado],"Finalizado"))</f>
        <v/>
      </c>
      <c r="X791" s="38" t="str">
        <f>IF(B791="","",COUNTIFS(Ejecucion[No. Solicitud],Registro!B791,Ejecucion[Estado],"No Iniciado"))</f>
        <v/>
      </c>
      <c r="Y791" s="64" t="str">
        <f>IF(B791="","",COUNTIFS(Ejecucion[No. Solicitud],Registro!B791,Ejecucion[Estado],"En Proceso"))</f>
        <v/>
      </c>
      <c r="Z791" s="64" t="str">
        <f t="shared" si="25"/>
        <v/>
      </c>
      <c r="AA791" s="64"/>
      <c r="AB791" s="64"/>
      <c r="AC791" s="64"/>
      <c r="AD791" s="102"/>
    </row>
    <row r="792" spans="2:30" s="15" customFormat="1">
      <c r="B792" s="36"/>
      <c r="C792" s="102"/>
      <c r="D792" s="36"/>
      <c r="E792" s="22"/>
      <c r="F792" s="83"/>
      <c r="G792" s="83"/>
      <c r="H792" s="25"/>
      <c r="I792" s="25"/>
      <c r="J792" s="25"/>
      <c r="K792" s="25"/>
      <c r="L792" s="36"/>
      <c r="M792" s="36"/>
      <c r="N792" s="36"/>
      <c r="O792" s="102"/>
      <c r="P792" s="36"/>
      <c r="Q792" s="36"/>
      <c r="R792" s="37"/>
      <c r="S792" s="37"/>
      <c r="T792" s="60" t="str">
        <f t="shared" si="26"/>
        <v/>
      </c>
      <c r="U792" s="38"/>
      <c r="V792" s="38"/>
      <c r="W792" s="38" t="str">
        <f>IF(B792="","",COUNTIFS(Ejecucion[No. Solicitud],Registro!B792,Ejecucion[Estado],"Finalizado"))</f>
        <v/>
      </c>
      <c r="X792" s="38" t="str">
        <f>IF(B792="","",COUNTIFS(Ejecucion[No. Solicitud],Registro!B792,Ejecucion[Estado],"No Iniciado"))</f>
        <v/>
      </c>
      <c r="Y792" s="64" t="str">
        <f>IF(B792="","",COUNTIFS(Ejecucion[No. Solicitud],Registro!B792,Ejecucion[Estado],"En Proceso"))</f>
        <v/>
      </c>
      <c r="Z792" s="64" t="str">
        <f t="shared" si="25"/>
        <v/>
      </c>
      <c r="AA792" s="64"/>
      <c r="AB792" s="64"/>
      <c r="AC792" s="64"/>
      <c r="AD792" s="102"/>
    </row>
    <row r="793" spans="2:30" s="15" customFormat="1">
      <c r="B793" s="36"/>
      <c r="C793" s="102"/>
      <c r="D793" s="36"/>
      <c r="E793" s="22"/>
      <c r="F793" s="83"/>
      <c r="G793" s="83"/>
      <c r="H793" s="25"/>
      <c r="I793" s="25"/>
      <c r="J793" s="25"/>
      <c r="K793" s="25"/>
      <c r="L793" s="36"/>
      <c r="M793" s="36"/>
      <c r="N793" s="36"/>
      <c r="O793" s="102"/>
      <c r="P793" s="36"/>
      <c r="Q793" s="36"/>
      <c r="R793" s="37"/>
      <c r="S793" s="37"/>
      <c r="T793" s="60" t="str">
        <f t="shared" si="26"/>
        <v/>
      </c>
      <c r="U793" s="38"/>
      <c r="V793" s="38"/>
      <c r="W793" s="38" t="str">
        <f>IF(B793="","",COUNTIFS(Ejecucion[No. Solicitud],Registro!B793,Ejecucion[Estado],"Finalizado"))</f>
        <v/>
      </c>
      <c r="X793" s="38" t="str">
        <f>IF(B793="","",COUNTIFS(Ejecucion[No. Solicitud],Registro!B793,Ejecucion[Estado],"No Iniciado"))</f>
        <v/>
      </c>
      <c r="Y793" s="64" t="str">
        <f>IF(B793="","",COUNTIFS(Ejecucion[No. Solicitud],Registro!B793,Ejecucion[Estado],"En Proceso"))</f>
        <v/>
      </c>
      <c r="Z793" s="64" t="str">
        <f t="shared" si="25"/>
        <v/>
      </c>
      <c r="AA793" s="64"/>
      <c r="AB793" s="64"/>
      <c r="AC793" s="64"/>
      <c r="AD793" s="102"/>
    </row>
    <row r="794" spans="2:30" s="15" customFormat="1">
      <c r="B794" s="36"/>
      <c r="C794" s="102"/>
      <c r="D794" s="36"/>
      <c r="E794" s="22"/>
      <c r="F794" s="83"/>
      <c r="G794" s="83"/>
      <c r="H794" s="25"/>
      <c r="I794" s="25"/>
      <c r="J794" s="25"/>
      <c r="K794" s="25"/>
      <c r="L794" s="36"/>
      <c r="M794" s="36"/>
      <c r="N794" s="36"/>
      <c r="O794" s="102"/>
      <c r="P794" s="36"/>
      <c r="Q794" s="36"/>
      <c r="R794" s="37"/>
      <c r="S794" s="37"/>
      <c r="T794" s="60" t="str">
        <f t="shared" si="26"/>
        <v/>
      </c>
      <c r="U794" s="38"/>
      <c r="V794" s="38"/>
      <c r="W794" s="38" t="str">
        <f>IF(B794="","",COUNTIFS(Ejecucion[No. Solicitud],Registro!B794,Ejecucion[Estado],"Finalizado"))</f>
        <v/>
      </c>
      <c r="X794" s="38" t="str">
        <f>IF(B794="","",COUNTIFS(Ejecucion[No. Solicitud],Registro!B794,Ejecucion[Estado],"No Iniciado"))</f>
        <v/>
      </c>
      <c r="Y794" s="64" t="str">
        <f>IF(B794="","",COUNTIFS(Ejecucion[No. Solicitud],Registro!B794,Ejecucion[Estado],"En Proceso"))</f>
        <v/>
      </c>
      <c r="Z794" s="64" t="str">
        <f t="shared" ref="Z794:Z857" si="27">IF(U794="","",IF(F794="Virtual Asincrónico",1,V794*U794))</f>
        <v/>
      </c>
      <c r="AA794" s="64"/>
      <c r="AB794" s="64"/>
      <c r="AC794" s="64"/>
      <c r="AD794" s="102"/>
    </row>
    <row r="795" spans="2:30" s="15" customFormat="1">
      <c r="B795" s="36"/>
      <c r="C795" s="102"/>
      <c r="D795" s="36"/>
      <c r="E795" s="22"/>
      <c r="F795" s="83"/>
      <c r="G795" s="83"/>
      <c r="H795" s="25"/>
      <c r="I795" s="25"/>
      <c r="J795" s="25"/>
      <c r="K795" s="25"/>
      <c r="L795" s="36"/>
      <c r="M795" s="36"/>
      <c r="N795" s="36"/>
      <c r="O795" s="102"/>
      <c r="P795" s="36"/>
      <c r="Q795" s="36"/>
      <c r="R795" s="37"/>
      <c r="S795" s="37"/>
      <c r="T795" s="60" t="str">
        <f t="shared" si="26"/>
        <v/>
      </c>
      <c r="U795" s="38"/>
      <c r="V795" s="38"/>
      <c r="W795" s="38" t="str">
        <f>IF(B795="","",COUNTIFS(Ejecucion[No. Solicitud],Registro!B795,Ejecucion[Estado],"Finalizado"))</f>
        <v/>
      </c>
      <c r="X795" s="38" t="str">
        <f>IF(B795="","",COUNTIFS(Ejecucion[No. Solicitud],Registro!B795,Ejecucion[Estado],"No Iniciado"))</f>
        <v/>
      </c>
      <c r="Y795" s="64" t="str">
        <f>IF(B795="","",COUNTIFS(Ejecucion[No. Solicitud],Registro!B795,Ejecucion[Estado],"En Proceso"))</f>
        <v/>
      </c>
      <c r="Z795" s="64" t="str">
        <f t="shared" si="27"/>
        <v/>
      </c>
      <c r="AA795" s="64"/>
      <c r="AB795" s="64"/>
      <c r="AC795" s="64"/>
      <c r="AD795" s="102"/>
    </row>
    <row r="796" spans="2:30" s="15" customFormat="1">
      <c r="B796" s="36"/>
      <c r="C796" s="102"/>
      <c r="D796" s="36"/>
      <c r="E796" s="22"/>
      <c r="F796" s="83"/>
      <c r="G796" s="83"/>
      <c r="H796" s="25"/>
      <c r="I796" s="25"/>
      <c r="J796" s="25"/>
      <c r="K796" s="25"/>
      <c r="L796" s="36"/>
      <c r="M796" s="36"/>
      <c r="N796" s="36"/>
      <c r="O796" s="102"/>
      <c r="P796" s="36"/>
      <c r="Q796" s="36"/>
      <c r="R796" s="37"/>
      <c r="S796" s="37"/>
      <c r="T796" s="60" t="str">
        <f t="shared" si="26"/>
        <v/>
      </c>
      <c r="U796" s="38"/>
      <c r="V796" s="38"/>
      <c r="W796" s="38" t="str">
        <f>IF(B796="","",COUNTIFS(Ejecucion[No. Solicitud],Registro!B796,Ejecucion[Estado],"Finalizado"))</f>
        <v/>
      </c>
      <c r="X796" s="38" t="str">
        <f>IF(B796="","",COUNTIFS(Ejecucion[No. Solicitud],Registro!B796,Ejecucion[Estado],"No Iniciado"))</f>
        <v/>
      </c>
      <c r="Y796" s="64" t="str">
        <f>IF(B796="","",COUNTIFS(Ejecucion[No. Solicitud],Registro!B796,Ejecucion[Estado],"En Proceso"))</f>
        <v/>
      </c>
      <c r="Z796" s="64" t="str">
        <f t="shared" si="27"/>
        <v/>
      </c>
      <c r="AA796" s="64"/>
      <c r="AB796" s="64"/>
      <c r="AC796" s="64"/>
      <c r="AD796" s="102"/>
    </row>
    <row r="797" spans="2:30" s="15" customFormat="1">
      <c r="B797" s="36"/>
      <c r="C797" s="102"/>
      <c r="D797" s="36"/>
      <c r="E797" s="22"/>
      <c r="F797" s="83"/>
      <c r="G797" s="83"/>
      <c r="H797" s="25"/>
      <c r="I797" s="25"/>
      <c r="J797" s="25"/>
      <c r="K797" s="25"/>
      <c r="L797" s="36"/>
      <c r="M797" s="36"/>
      <c r="N797" s="36"/>
      <c r="O797" s="102"/>
      <c r="P797" s="36"/>
      <c r="Q797" s="36"/>
      <c r="R797" s="37"/>
      <c r="S797" s="37"/>
      <c r="T797" s="60" t="str">
        <f t="shared" si="26"/>
        <v/>
      </c>
      <c r="U797" s="38"/>
      <c r="V797" s="38"/>
      <c r="W797" s="38" t="str">
        <f>IF(B797="","",COUNTIFS(Ejecucion[No. Solicitud],Registro!B797,Ejecucion[Estado],"Finalizado"))</f>
        <v/>
      </c>
      <c r="X797" s="38" t="str">
        <f>IF(B797="","",COUNTIFS(Ejecucion[No. Solicitud],Registro!B797,Ejecucion[Estado],"No Iniciado"))</f>
        <v/>
      </c>
      <c r="Y797" s="64" t="str">
        <f>IF(B797="","",COUNTIFS(Ejecucion[No. Solicitud],Registro!B797,Ejecucion[Estado],"En Proceso"))</f>
        <v/>
      </c>
      <c r="Z797" s="64" t="str">
        <f t="shared" si="27"/>
        <v/>
      </c>
      <c r="AA797" s="64"/>
      <c r="AB797" s="64"/>
      <c r="AC797" s="64"/>
      <c r="AD797" s="102"/>
    </row>
    <row r="798" spans="2:30" s="15" customFormat="1">
      <c r="B798" s="36"/>
      <c r="C798" s="102"/>
      <c r="D798" s="36"/>
      <c r="E798" s="22"/>
      <c r="F798" s="83"/>
      <c r="G798" s="83"/>
      <c r="H798" s="25"/>
      <c r="I798" s="25"/>
      <c r="J798" s="25"/>
      <c r="K798" s="25"/>
      <c r="L798" s="36"/>
      <c r="M798" s="36"/>
      <c r="N798" s="36"/>
      <c r="O798" s="102"/>
      <c r="P798" s="36"/>
      <c r="Q798" s="36"/>
      <c r="R798" s="37"/>
      <c r="S798" s="37"/>
      <c r="T798" s="60" t="str">
        <f t="shared" si="26"/>
        <v/>
      </c>
      <c r="U798" s="38"/>
      <c r="V798" s="38"/>
      <c r="W798" s="38" t="str">
        <f>IF(B798="","",COUNTIFS(Ejecucion[No. Solicitud],Registro!B798,Ejecucion[Estado],"Finalizado"))</f>
        <v/>
      </c>
      <c r="X798" s="38" t="str">
        <f>IF(B798="","",COUNTIFS(Ejecucion[No. Solicitud],Registro!B798,Ejecucion[Estado],"No Iniciado"))</f>
        <v/>
      </c>
      <c r="Y798" s="64" t="str">
        <f>IF(B798="","",COUNTIFS(Ejecucion[No. Solicitud],Registro!B798,Ejecucion[Estado],"En Proceso"))</f>
        <v/>
      </c>
      <c r="Z798" s="64" t="str">
        <f t="shared" si="27"/>
        <v/>
      </c>
      <c r="AA798" s="64"/>
      <c r="AB798" s="64"/>
      <c r="AC798" s="64"/>
      <c r="AD798" s="102"/>
    </row>
    <row r="799" spans="2:30" s="15" customFormat="1">
      <c r="B799" s="36"/>
      <c r="C799" s="102"/>
      <c r="D799" s="36"/>
      <c r="E799" s="22"/>
      <c r="F799" s="83"/>
      <c r="G799" s="83"/>
      <c r="H799" s="25"/>
      <c r="I799" s="25"/>
      <c r="J799" s="25"/>
      <c r="K799" s="25"/>
      <c r="L799" s="36"/>
      <c r="M799" s="36"/>
      <c r="N799" s="36"/>
      <c r="O799" s="102"/>
      <c r="P799" s="36"/>
      <c r="Q799" s="36"/>
      <c r="R799" s="37"/>
      <c r="S799" s="37"/>
      <c r="T799" s="60" t="str">
        <f t="shared" si="26"/>
        <v/>
      </c>
      <c r="U799" s="38"/>
      <c r="V799" s="38"/>
      <c r="W799" s="38" t="str">
        <f>IF(B799="","",COUNTIFS(Ejecucion[No. Solicitud],Registro!B799,Ejecucion[Estado],"Finalizado"))</f>
        <v/>
      </c>
      <c r="X799" s="38" t="str">
        <f>IF(B799="","",COUNTIFS(Ejecucion[No. Solicitud],Registro!B799,Ejecucion[Estado],"No Iniciado"))</f>
        <v/>
      </c>
      <c r="Y799" s="64" t="str">
        <f>IF(B799="","",COUNTIFS(Ejecucion[No. Solicitud],Registro!B799,Ejecucion[Estado],"En Proceso"))</f>
        <v/>
      </c>
      <c r="Z799" s="64" t="str">
        <f t="shared" si="27"/>
        <v/>
      </c>
      <c r="AA799" s="64"/>
      <c r="AB799" s="64"/>
      <c r="AC799" s="64"/>
      <c r="AD799" s="102"/>
    </row>
    <row r="800" spans="2:30" s="15" customFormat="1">
      <c r="B800" s="36"/>
      <c r="C800" s="102"/>
      <c r="D800" s="36"/>
      <c r="E800" s="22"/>
      <c r="F800" s="83"/>
      <c r="G800" s="83"/>
      <c r="H800" s="25"/>
      <c r="I800" s="25"/>
      <c r="J800" s="25"/>
      <c r="K800" s="25"/>
      <c r="L800" s="36"/>
      <c r="M800" s="36"/>
      <c r="N800" s="36"/>
      <c r="O800" s="102"/>
      <c r="P800" s="36"/>
      <c r="Q800" s="36"/>
      <c r="R800" s="37"/>
      <c r="S800" s="37"/>
      <c r="T800" s="60" t="str">
        <f t="shared" si="26"/>
        <v/>
      </c>
      <c r="U800" s="38"/>
      <c r="V800" s="38"/>
      <c r="W800" s="38" t="str">
        <f>IF(B800="","",COUNTIFS(Ejecucion[No. Solicitud],Registro!B800,Ejecucion[Estado],"Finalizado"))</f>
        <v/>
      </c>
      <c r="X800" s="38" t="str">
        <f>IF(B800="","",COUNTIFS(Ejecucion[No. Solicitud],Registro!B800,Ejecucion[Estado],"No Iniciado"))</f>
        <v/>
      </c>
      <c r="Y800" s="64" t="str">
        <f>IF(B800="","",COUNTIFS(Ejecucion[No. Solicitud],Registro!B800,Ejecucion[Estado],"En Proceso"))</f>
        <v/>
      </c>
      <c r="Z800" s="64" t="str">
        <f t="shared" si="27"/>
        <v/>
      </c>
      <c r="AA800" s="64"/>
      <c r="AB800" s="64"/>
      <c r="AC800" s="64"/>
      <c r="AD800" s="102"/>
    </row>
    <row r="801" spans="2:30" s="15" customFormat="1">
      <c r="B801" s="36"/>
      <c r="C801" s="102"/>
      <c r="D801" s="36"/>
      <c r="E801" s="22"/>
      <c r="F801" s="83"/>
      <c r="G801" s="83"/>
      <c r="H801" s="25"/>
      <c r="I801" s="25"/>
      <c r="J801" s="25"/>
      <c r="K801" s="25"/>
      <c r="L801" s="36"/>
      <c r="M801" s="36"/>
      <c r="N801" s="36"/>
      <c r="O801" s="102"/>
      <c r="P801" s="36"/>
      <c r="Q801" s="36"/>
      <c r="R801" s="37"/>
      <c r="S801" s="37"/>
      <c r="T801" s="60" t="str">
        <f t="shared" si="26"/>
        <v/>
      </c>
      <c r="U801" s="38"/>
      <c r="V801" s="38"/>
      <c r="W801" s="38" t="str">
        <f>IF(B801="","",COUNTIFS(Ejecucion[No. Solicitud],Registro!B801,Ejecucion[Estado],"Finalizado"))</f>
        <v/>
      </c>
      <c r="X801" s="38" t="str">
        <f>IF(B801="","",COUNTIFS(Ejecucion[No. Solicitud],Registro!B801,Ejecucion[Estado],"No Iniciado"))</f>
        <v/>
      </c>
      <c r="Y801" s="64" t="str">
        <f>IF(B801="","",COUNTIFS(Ejecucion[No. Solicitud],Registro!B801,Ejecucion[Estado],"En Proceso"))</f>
        <v/>
      </c>
      <c r="Z801" s="64" t="str">
        <f t="shared" si="27"/>
        <v/>
      </c>
      <c r="AA801" s="64"/>
      <c r="AB801" s="64"/>
      <c r="AC801" s="64"/>
      <c r="AD801" s="102"/>
    </row>
    <row r="802" spans="2:30" s="15" customFormat="1">
      <c r="B802" s="36"/>
      <c r="C802" s="102"/>
      <c r="D802" s="36"/>
      <c r="E802" s="22"/>
      <c r="F802" s="83"/>
      <c r="G802" s="83"/>
      <c r="H802" s="25"/>
      <c r="I802" s="25"/>
      <c r="J802" s="25"/>
      <c r="K802" s="25"/>
      <c r="L802" s="36"/>
      <c r="M802" s="36"/>
      <c r="N802" s="36"/>
      <c r="O802" s="102"/>
      <c r="P802" s="36"/>
      <c r="Q802" s="36"/>
      <c r="R802" s="37"/>
      <c r="S802" s="37"/>
      <c r="T802" s="60" t="str">
        <f t="shared" si="26"/>
        <v/>
      </c>
      <c r="U802" s="38"/>
      <c r="V802" s="38"/>
      <c r="W802" s="38" t="str">
        <f>IF(B802="","",COUNTIFS(Ejecucion[No. Solicitud],Registro!B802,Ejecucion[Estado],"Finalizado"))</f>
        <v/>
      </c>
      <c r="X802" s="38" t="str">
        <f>IF(B802="","",COUNTIFS(Ejecucion[No. Solicitud],Registro!B802,Ejecucion[Estado],"No Iniciado"))</f>
        <v/>
      </c>
      <c r="Y802" s="64" t="str">
        <f>IF(B802="","",COUNTIFS(Ejecucion[No. Solicitud],Registro!B802,Ejecucion[Estado],"En Proceso"))</f>
        <v/>
      </c>
      <c r="Z802" s="64" t="str">
        <f t="shared" si="27"/>
        <v/>
      </c>
      <c r="AA802" s="64"/>
      <c r="AB802" s="64"/>
      <c r="AC802" s="64"/>
      <c r="AD802" s="102"/>
    </row>
    <row r="803" spans="2:30" s="15" customFormat="1">
      <c r="B803" s="36"/>
      <c r="C803" s="102"/>
      <c r="D803" s="36"/>
      <c r="E803" s="22"/>
      <c r="F803" s="83"/>
      <c r="G803" s="83"/>
      <c r="H803" s="25"/>
      <c r="I803" s="25"/>
      <c r="J803" s="25"/>
      <c r="K803" s="25"/>
      <c r="L803" s="36"/>
      <c r="M803" s="36"/>
      <c r="N803" s="36"/>
      <c r="O803" s="102"/>
      <c r="P803" s="36"/>
      <c r="Q803" s="36"/>
      <c r="R803" s="37"/>
      <c r="S803" s="37"/>
      <c r="T803" s="60" t="str">
        <f t="shared" si="26"/>
        <v/>
      </c>
      <c r="U803" s="38"/>
      <c r="V803" s="38"/>
      <c r="W803" s="38" t="str">
        <f>IF(B803="","",COUNTIFS(Ejecucion[No. Solicitud],Registro!B803,Ejecucion[Estado],"Finalizado"))</f>
        <v/>
      </c>
      <c r="X803" s="38" t="str">
        <f>IF(B803="","",COUNTIFS(Ejecucion[No. Solicitud],Registro!B803,Ejecucion[Estado],"No Iniciado"))</f>
        <v/>
      </c>
      <c r="Y803" s="64" t="str">
        <f>IF(B803="","",COUNTIFS(Ejecucion[No. Solicitud],Registro!B803,Ejecucion[Estado],"En Proceso"))</f>
        <v/>
      </c>
      <c r="Z803" s="64" t="str">
        <f t="shared" si="27"/>
        <v/>
      </c>
      <c r="AA803" s="64"/>
      <c r="AB803" s="64"/>
      <c r="AC803" s="64"/>
      <c r="AD803" s="102"/>
    </row>
    <row r="804" spans="2:30" s="15" customFormat="1">
      <c r="B804" s="36"/>
      <c r="C804" s="102"/>
      <c r="D804" s="36"/>
      <c r="E804" s="22"/>
      <c r="F804" s="83"/>
      <c r="G804" s="83"/>
      <c r="H804" s="25"/>
      <c r="I804" s="25"/>
      <c r="J804" s="25"/>
      <c r="K804" s="25"/>
      <c r="L804" s="36"/>
      <c r="M804" s="36"/>
      <c r="N804" s="36"/>
      <c r="O804" s="102"/>
      <c r="P804" s="36"/>
      <c r="Q804" s="36"/>
      <c r="R804" s="37"/>
      <c r="S804" s="37"/>
      <c r="T804" s="60" t="str">
        <f t="shared" si="26"/>
        <v/>
      </c>
      <c r="U804" s="38"/>
      <c r="V804" s="38"/>
      <c r="W804" s="38" t="str">
        <f>IF(B804="","",COUNTIFS(Ejecucion[No. Solicitud],Registro!B804,Ejecucion[Estado],"Finalizado"))</f>
        <v/>
      </c>
      <c r="X804" s="38" t="str">
        <f>IF(B804="","",COUNTIFS(Ejecucion[No. Solicitud],Registro!B804,Ejecucion[Estado],"No Iniciado"))</f>
        <v/>
      </c>
      <c r="Y804" s="64" t="str">
        <f>IF(B804="","",COUNTIFS(Ejecucion[No. Solicitud],Registro!B804,Ejecucion[Estado],"En Proceso"))</f>
        <v/>
      </c>
      <c r="Z804" s="64" t="str">
        <f t="shared" si="27"/>
        <v/>
      </c>
      <c r="AA804" s="64"/>
      <c r="AB804" s="64"/>
      <c r="AC804" s="64"/>
      <c r="AD804" s="102"/>
    </row>
    <row r="805" spans="2:30" s="15" customFormat="1">
      <c r="B805" s="36"/>
      <c r="C805" s="102"/>
      <c r="D805" s="36"/>
      <c r="E805" s="22"/>
      <c r="F805" s="83"/>
      <c r="G805" s="83"/>
      <c r="H805" s="25"/>
      <c r="I805" s="25"/>
      <c r="J805" s="25"/>
      <c r="K805" s="25"/>
      <c r="L805" s="36"/>
      <c r="M805" s="36"/>
      <c r="N805" s="36"/>
      <c r="O805" s="102"/>
      <c r="P805" s="36"/>
      <c r="Q805" s="36"/>
      <c r="R805" s="37"/>
      <c r="S805" s="37"/>
      <c r="T805" s="60" t="str">
        <f t="shared" si="26"/>
        <v/>
      </c>
      <c r="U805" s="38"/>
      <c r="V805" s="38"/>
      <c r="W805" s="38" t="str">
        <f>IF(B805="","",COUNTIFS(Ejecucion[No. Solicitud],Registro!B805,Ejecucion[Estado],"Finalizado"))</f>
        <v/>
      </c>
      <c r="X805" s="38" t="str">
        <f>IF(B805="","",COUNTIFS(Ejecucion[No. Solicitud],Registro!B805,Ejecucion[Estado],"No Iniciado"))</f>
        <v/>
      </c>
      <c r="Y805" s="64" t="str">
        <f>IF(B805="","",COUNTIFS(Ejecucion[No. Solicitud],Registro!B805,Ejecucion[Estado],"En Proceso"))</f>
        <v/>
      </c>
      <c r="Z805" s="64" t="str">
        <f t="shared" si="27"/>
        <v/>
      </c>
      <c r="AA805" s="64"/>
      <c r="AB805" s="64"/>
      <c r="AC805" s="64"/>
      <c r="AD805" s="102"/>
    </row>
    <row r="806" spans="2:30" s="15" customFormat="1">
      <c r="B806" s="36"/>
      <c r="C806" s="102"/>
      <c r="D806" s="36"/>
      <c r="E806" s="22"/>
      <c r="F806" s="83"/>
      <c r="G806" s="83"/>
      <c r="H806" s="25"/>
      <c r="I806" s="25"/>
      <c r="J806" s="25"/>
      <c r="K806" s="25"/>
      <c r="L806" s="36"/>
      <c r="M806" s="36"/>
      <c r="N806" s="36"/>
      <c r="O806" s="102"/>
      <c r="P806" s="36"/>
      <c r="Q806" s="36"/>
      <c r="R806" s="37"/>
      <c r="S806" s="37"/>
      <c r="T806" s="60" t="str">
        <f t="shared" si="26"/>
        <v/>
      </c>
      <c r="U806" s="38"/>
      <c r="V806" s="38"/>
      <c r="W806" s="38" t="str">
        <f>IF(B806="","",COUNTIFS(Ejecucion[No. Solicitud],Registro!B806,Ejecucion[Estado],"Finalizado"))</f>
        <v/>
      </c>
      <c r="X806" s="38" t="str">
        <f>IF(B806="","",COUNTIFS(Ejecucion[No. Solicitud],Registro!B806,Ejecucion[Estado],"No Iniciado"))</f>
        <v/>
      </c>
      <c r="Y806" s="64" t="str">
        <f>IF(B806="","",COUNTIFS(Ejecucion[No. Solicitud],Registro!B806,Ejecucion[Estado],"En Proceso"))</f>
        <v/>
      </c>
      <c r="Z806" s="64" t="str">
        <f t="shared" si="27"/>
        <v/>
      </c>
      <c r="AA806" s="64"/>
      <c r="AB806" s="64"/>
      <c r="AC806" s="64"/>
      <c r="AD806" s="102"/>
    </row>
    <row r="807" spans="2:30" s="15" customFormat="1">
      <c r="B807" s="36"/>
      <c r="C807" s="102"/>
      <c r="D807" s="36"/>
      <c r="E807" s="22"/>
      <c r="F807" s="83"/>
      <c r="G807" s="83"/>
      <c r="H807" s="25"/>
      <c r="I807" s="25"/>
      <c r="J807" s="25"/>
      <c r="K807" s="25"/>
      <c r="L807" s="36"/>
      <c r="M807" s="36"/>
      <c r="N807" s="36"/>
      <c r="O807" s="102"/>
      <c r="P807" s="36"/>
      <c r="Q807" s="36"/>
      <c r="R807" s="37"/>
      <c r="S807" s="37"/>
      <c r="T807" s="60" t="str">
        <f t="shared" si="26"/>
        <v/>
      </c>
      <c r="U807" s="38"/>
      <c r="V807" s="38"/>
      <c r="W807" s="38" t="str">
        <f>IF(B807="","",COUNTIFS(Ejecucion[No. Solicitud],Registro!B807,Ejecucion[Estado],"Finalizado"))</f>
        <v/>
      </c>
      <c r="X807" s="38" t="str">
        <f>IF(B807="","",COUNTIFS(Ejecucion[No. Solicitud],Registro!B807,Ejecucion[Estado],"No Iniciado"))</f>
        <v/>
      </c>
      <c r="Y807" s="64" t="str">
        <f>IF(B807="","",COUNTIFS(Ejecucion[No. Solicitud],Registro!B807,Ejecucion[Estado],"En Proceso"))</f>
        <v/>
      </c>
      <c r="Z807" s="64" t="str">
        <f t="shared" si="27"/>
        <v/>
      </c>
      <c r="AA807" s="64"/>
      <c r="AB807" s="64"/>
      <c r="AC807" s="64"/>
      <c r="AD807" s="102"/>
    </row>
    <row r="808" spans="2:30" s="15" customFormat="1">
      <c r="B808" s="36"/>
      <c r="C808" s="102"/>
      <c r="D808" s="36"/>
      <c r="E808" s="22"/>
      <c r="F808" s="83"/>
      <c r="G808" s="83"/>
      <c r="H808" s="25"/>
      <c r="I808" s="25"/>
      <c r="J808" s="25"/>
      <c r="K808" s="25"/>
      <c r="L808" s="36"/>
      <c r="M808" s="36"/>
      <c r="N808" s="36"/>
      <c r="O808" s="102"/>
      <c r="P808" s="36"/>
      <c r="Q808" s="36"/>
      <c r="R808" s="37"/>
      <c r="S808" s="37"/>
      <c r="T808" s="60" t="str">
        <f t="shared" si="26"/>
        <v/>
      </c>
      <c r="U808" s="38"/>
      <c r="V808" s="38"/>
      <c r="W808" s="38" t="str">
        <f>IF(B808="","",COUNTIFS(Ejecucion[No. Solicitud],Registro!B808,Ejecucion[Estado],"Finalizado"))</f>
        <v/>
      </c>
      <c r="X808" s="38" t="str">
        <f>IF(B808="","",COUNTIFS(Ejecucion[No. Solicitud],Registro!B808,Ejecucion[Estado],"No Iniciado"))</f>
        <v/>
      </c>
      <c r="Y808" s="64" t="str">
        <f>IF(B808="","",COUNTIFS(Ejecucion[No. Solicitud],Registro!B808,Ejecucion[Estado],"En Proceso"))</f>
        <v/>
      </c>
      <c r="Z808" s="64" t="str">
        <f t="shared" si="27"/>
        <v/>
      </c>
      <c r="AA808" s="64"/>
      <c r="AB808" s="64"/>
      <c r="AC808" s="64"/>
      <c r="AD808" s="102"/>
    </row>
    <row r="809" spans="2:30" s="15" customFormat="1">
      <c r="B809" s="36"/>
      <c r="C809" s="102"/>
      <c r="D809" s="36"/>
      <c r="E809" s="22"/>
      <c r="F809" s="83"/>
      <c r="G809" s="83"/>
      <c r="H809" s="25"/>
      <c r="I809" s="25"/>
      <c r="J809" s="25"/>
      <c r="K809" s="25"/>
      <c r="L809" s="36"/>
      <c r="M809" s="36"/>
      <c r="N809" s="36"/>
      <c r="O809" s="102"/>
      <c r="P809" s="36"/>
      <c r="Q809" s="36"/>
      <c r="R809" s="37"/>
      <c r="S809" s="37"/>
      <c r="T809" s="60" t="str">
        <f t="shared" si="26"/>
        <v/>
      </c>
      <c r="U809" s="38"/>
      <c r="V809" s="38"/>
      <c r="W809" s="38" t="str">
        <f>IF(B809="","",COUNTIFS(Ejecucion[No. Solicitud],Registro!B809,Ejecucion[Estado],"Finalizado"))</f>
        <v/>
      </c>
      <c r="X809" s="38" t="str">
        <f>IF(B809="","",COUNTIFS(Ejecucion[No. Solicitud],Registro!B809,Ejecucion[Estado],"No Iniciado"))</f>
        <v/>
      </c>
      <c r="Y809" s="64" t="str">
        <f>IF(B809="","",COUNTIFS(Ejecucion[No. Solicitud],Registro!B809,Ejecucion[Estado],"En Proceso"))</f>
        <v/>
      </c>
      <c r="Z809" s="64" t="str">
        <f t="shared" si="27"/>
        <v/>
      </c>
      <c r="AA809" s="64"/>
      <c r="AB809" s="64"/>
      <c r="AC809" s="64"/>
      <c r="AD809" s="102"/>
    </row>
    <row r="810" spans="2:30" s="15" customFormat="1">
      <c r="B810" s="36"/>
      <c r="C810" s="102"/>
      <c r="D810" s="36"/>
      <c r="E810" s="22"/>
      <c r="F810" s="83"/>
      <c r="G810" s="83"/>
      <c r="H810" s="25"/>
      <c r="I810" s="25"/>
      <c r="J810" s="25"/>
      <c r="K810" s="25"/>
      <c r="L810" s="36"/>
      <c r="M810" s="36"/>
      <c r="N810" s="36"/>
      <c r="O810" s="102"/>
      <c r="P810" s="36"/>
      <c r="Q810" s="36"/>
      <c r="R810" s="37"/>
      <c r="S810" s="37"/>
      <c r="T810" s="60" t="str">
        <f t="shared" si="26"/>
        <v/>
      </c>
      <c r="U810" s="38"/>
      <c r="V810" s="38"/>
      <c r="W810" s="38" t="str">
        <f>IF(B810="","",COUNTIFS(Ejecucion[No. Solicitud],Registro!B810,Ejecucion[Estado],"Finalizado"))</f>
        <v/>
      </c>
      <c r="X810" s="38" t="str">
        <f>IF(B810="","",COUNTIFS(Ejecucion[No. Solicitud],Registro!B810,Ejecucion[Estado],"No Iniciado"))</f>
        <v/>
      </c>
      <c r="Y810" s="64" t="str">
        <f>IF(B810="","",COUNTIFS(Ejecucion[No. Solicitud],Registro!B810,Ejecucion[Estado],"En Proceso"))</f>
        <v/>
      </c>
      <c r="Z810" s="64" t="str">
        <f t="shared" si="27"/>
        <v/>
      </c>
      <c r="AA810" s="64"/>
      <c r="AB810" s="64"/>
      <c r="AC810" s="64"/>
      <c r="AD810" s="102"/>
    </row>
    <row r="811" spans="2:30" s="15" customFormat="1">
      <c r="B811" s="36"/>
      <c r="C811" s="102"/>
      <c r="D811" s="36"/>
      <c r="E811" s="22"/>
      <c r="F811" s="83"/>
      <c r="G811" s="83"/>
      <c r="H811" s="25"/>
      <c r="I811" s="25"/>
      <c r="J811" s="25"/>
      <c r="K811" s="25"/>
      <c r="L811" s="36"/>
      <c r="M811" s="36"/>
      <c r="N811" s="36"/>
      <c r="O811" s="102"/>
      <c r="P811" s="36"/>
      <c r="Q811" s="36"/>
      <c r="R811" s="37"/>
      <c r="S811" s="37"/>
      <c r="T811" s="60" t="str">
        <f t="shared" si="26"/>
        <v/>
      </c>
      <c r="U811" s="38"/>
      <c r="V811" s="38"/>
      <c r="W811" s="38" t="str">
        <f>IF(B811="","",COUNTIFS(Ejecucion[No. Solicitud],Registro!B811,Ejecucion[Estado],"Finalizado"))</f>
        <v/>
      </c>
      <c r="X811" s="38" t="str">
        <f>IF(B811="","",COUNTIFS(Ejecucion[No. Solicitud],Registro!B811,Ejecucion[Estado],"No Iniciado"))</f>
        <v/>
      </c>
      <c r="Y811" s="64" t="str">
        <f>IF(B811="","",COUNTIFS(Ejecucion[No. Solicitud],Registro!B811,Ejecucion[Estado],"En Proceso"))</f>
        <v/>
      </c>
      <c r="Z811" s="64" t="str">
        <f t="shared" si="27"/>
        <v/>
      </c>
      <c r="AA811" s="64"/>
      <c r="AB811" s="64"/>
      <c r="AC811" s="64"/>
      <c r="AD811" s="102"/>
    </row>
    <row r="812" spans="2:30" s="15" customFormat="1">
      <c r="B812" s="36"/>
      <c r="C812" s="102"/>
      <c r="D812" s="36"/>
      <c r="E812" s="22"/>
      <c r="F812" s="83"/>
      <c r="G812" s="83"/>
      <c r="H812" s="25"/>
      <c r="I812" s="25"/>
      <c r="J812" s="25"/>
      <c r="K812" s="25"/>
      <c r="L812" s="36"/>
      <c r="M812" s="36"/>
      <c r="N812" s="36"/>
      <c r="O812" s="102"/>
      <c r="P812" s="36"/>
      <c r="Q812" s="36"/>
      <c r="R812" s="37"/>
      <c r="S812" s="37"/>
      <c r="T812" s="60" t="str">
        <f t="shared" si="26"/>
        <v/>
      </c>
      <c r="U812" s="38"/>
      <c r="V812" s="38"/>
      <c r="W812" s="38" t="str">
        <f>IF(B812="","",COUNTIFS(Ejecucion[No. Solicitud],Registro!B812,Ejecucion[Estado],"Finalizado"))</f>
        <v/>
      </c>
      <c r="X812" s="38" t="str">
        <f>IF(B812="","",COUNTIFS(Ejecucion[No. Solicitud],Registro!B812,Ejecucion[Estado],"No Iniciado"))</f>
        <v/>
      </c>
      <c r="Y812" s="64" t="str">
        <f>IF(B812="","",COUNTIFS(Ejecucion[No. Solicitud],Registro!B812,Ejecucion[Estado],"En Proceso"))</f>
        <v/>
      </c>
      <c r="Z812" s="64" t="str">
        <f t="shared" si="27"/>
        <v/>
      </c>
      <c r="AA812" s="64"/>
      <c r="AB812" s="64"/>
      <c r="AC812" s="64"/>
      <c r="AD812" s="102"/>
    </row>
    <row r="813" spans="2:30" s="15" customFormat="1">
      <c r="B813" s="36"/>
      <c r="C813" s="102"/>
      <c r="D813" s="36"/>
      <c r="E813" s="22"/>
      <c r="F813" s="83"/>
      <c r="G813" s="83"/>
      <c r="H813" s="25"/>
      <c r="I813" s="25"/>
      <c r="J813" s="25"/>
      <c r="K813" s="25"/>
      <c r="L813" s="36"/>
      <c r="M813" s="36"/>
      <c r="N813" s="36"/>
      <c r="O813" s="102"/>
      <c r="P813" s="36"/>
      <c r="Q813" s="36"/>
      <c r="R813" s="37"/>
      <c r="S813" s="37"/>
      <c r="T813" s="60" t="str">
        <f t="shared" si="26"/>
        <v/>
      </c>
      <c r="U813" s="38"/>
      <c r="V813" s="38"/>
      <c r="W813" s="38" t="str">
        <f>IF(B813="","",COUNTIFS(Ejecucion[No. Solicitud],Registro!B813,Ejecucion[Estado],"Finalizado"))</f>
        <v/>
      </c>
      <c r="X813" s="38" t="str">
        <f>IF(B813="","",COUNTIFS(Ejecucion[No. Solicitud],Registro!B813,Ejecucion[Estado],"No Iniciado"))</f>
        <v/>
      </c>
      <c r="Y813" s="64" t="str">
        <f>IF(B813="","",COUNTIFS(Ejecucion[No. Solicitud],Registro!B813,Ejecucion[Estado],"En Proceso"))</f>
        <v/>
      </c>
      <c r="Z813" s="64" t="str">
        <f t="shared" si="27"/>
        <v/>
      </c>
      <c r="AA813" s="64"/>
      <c r="AB813" s="64"/>
      <c r="AC813" s="64"/>
      <c r="AD813" s="102"/>
    </row>
    <row r="814" spans="2:30" s="15" customFormat="1">
      <c r="B814" s="36"/>
      <c r="C814" s="102"/>
      <c r="D814" s="36"/>
      <c r="E814" s="22"/>
      <c r="F814" s="83"/>
      <c r="G814" s="83"/>
      <c r="H814" s="25"/>
      <c r="I814" s="25"/>
      <c r="J814" s="25"/>
      <c r="K814" s="25"/>
      <c r="L814" s="36"/>
      <c r="M814" s="36"/>
      <c r="N814" s="36"/>
      <c r="O814" s="102"/>
      <c r="P814" s="36"/>
      <c r="Q814" s="36"/>
      <c r="R814" s="37"/>
      <c r="S814" s="37"/>
      <c r="T814" s="60" t="str">
        <f t="shared" si="26"/>
        <v/>
      </c>
      <c r="U814" s="38"/>
      <c r="V814" s="38"/>
      <c r="W814" s="38" t="str">
        <f>IF(B814="","",COUNTIFS(Ejecucion[No. Solicitud],Registro!B814,Ejecucion[Estado],"Finalizado"))</f>
        <v/>
      </c>
      <c r="X814" s="38" t="str">
        <f>IF(B814="","",COUNTIFS(Ejecucion[No. Solicitud],Registro!B814,Ejecucion[Estado],"No Iniciado"))</f>
        <v/>
      </c>
      <c r="Y814" s="64" t="str">
        <f>IF(B814="","",COUNTIFS(Ejecucion[No. Solicitud],Registro!B814,Ejecucion[Estado],"En Proceso"))</f>
        <v/>
      </c>
      <c r="Z814" s="64" t="str">
        <f t="shared" si="27"/>
        <v/>
      </c>
      <c r="AA814" s="64"/>
      <c r="AB814" s="64"/>
      <c r="AC814" s="64"/>
      <c r="AD814" s="102"/>
    </row>
    <row r="815" spans="2:30" s="15" customFormat="1">
      <c r="B815" s="36"/>
      <c r="C815" s="102"/>
      <c r="D815" s="36"/>
      <c r="E815" s="22"/>
      <c r="F815" s="83"/>
      <c r="G815" s="83"/>
      <c r="H815" s="25"/>
      <c r="I815" s="25"/>
      <c r="J815" s="25"/>
      <c r="K815" s="25"/>
      <c r="L815" s="36"/>
      <c r="M815" s="36"/>
      <c r="N815" s="36"/>
      <c r="O815" s="102"/>
      <c r="P815" s="36"/>
      <c r="Q815" s="36"/>
      <c r="R815" s="37"/>
      <c r="S815" s="37"/>
      <c r="T815" s="60" t="str">
        <f t="shared" si="26"/>
        <v/>
      </c>
      <c r="U815" s="38"/>
      <c r="V815" s="38"/>
      <c r="W815" s="38" t="str">
        <f>IF(B815="","",COUNTIFS(Ejecucion[No. Solicitud],Registro!B815,Ejecucion[Estado],"Finalizado"))</f>
        <v/>
      </c>
      <c r="X815" s="38" t="str">
        <f>IF(B815="","",COUNTIFS(Ejecucion[No. Solicitud],Registro!B815,Ejecucion[Estado],"No Iniciado"))</f>
        <v/>
      </c>
      <c r="Y815" s="64" t="str">
        <f>IF(B815="","",COUNTIFS(Ejecucion[No. Solicitud],Registro!B815,Ejecucion[Estado],"En Proceso"))</f>
        <v/>
      </c>
      <c r="Z815" s="64" t="str">
        <f t="shared" si="27"/>
        <v/>
      </c>
      <c r="AA815" s="64"/>
      <c r="AB815" s="64"/>
      <c r="AC815" s="64"/>
      <c r="AD815" s="102"/>
    </row>
    <row r="816" spans="2:30" s="15" customFormat="1">
      <c r="B816" s="36"/>
      <c r="C816" s="102"/>
      <c r="D816" s="36"/>
      <c r="E816" s="22"/>
      <c r="F816" s="83"/>
      <c r="G816" s="83"/>
      <c r="H816" s="25"/>
      <c r="I816" s="25"/>
      <c r="J816" s="25"/>
      <c r="K816" s="25"/>
      <c r="L816" s="36"/>
      <c r="M816" s="36"/>
      <c r="N816" s="36"/>
      <c r="O816" s="102"/>
      <c r="P816" s="36"/>
      <c r="Q816" s="36"/>
      <c r="R816" s="37"/>
      <c r="S816" s="37"/>
      <c r="T816" s="60" t="str">
        <f t="shared" si="26"/>
        <v/>
      </c>
      <c r="U816" s="38"/>
      <c r="V816" s="38"/>
      <c r="W816" s="38" t="str">
        <f>IF(B816="","",COUNTIFS(Ejecucion[No. Solicitud],Registro!B816,Ejecucion[Estado],"Finalizado"))</f>
        <v/>
      </c>
      <c r="X816" s="38" t="str">
        <f>IF(B816="","",COUNTIFS(Ejecucion[No. Solicitud],Registro!B816,Ejecucion[Estado],"No Iniciado"))</f>
        <v/>
      </c>
      <c r="Y816" s="64" t="str">
        <f>IF(B816="","",COUNTIFS(Ejecucion[No. Solicitud],Registro!B816,Ejecucion[Estado],"En Proceso"))</f>
        <v/>
      </c>
      <c r="Z816" s="64" t="str">
        <f t="shared" si="27"/>
        <v/>
      </c>
      <c r="AA816" s="64"/>
      <c r="AB816" s="64"/>
      <c r="AC816" s="64"/>
      <c r="AD816" s="102"/>
    </row>
    <row r="817" spans="2:30" s="15" customFormat="1">
      <c r="B817" s="36"/>
      <c r="C817" s="102"/>
      <c r="D817" s="36"/>
      <c r="E817" s="22"/>
      <c r="F817" s="83"/>
      <c r="G817" s="83"/>
      <c r="H817" s="25"/>
      <c r="I817" s="25"/>
      <c r="J817" s="25"/>
      <c r="K817" s="25"/>
      <c r="L817" s="36"/>
      <c r="M817" s="36"/>
      <c r="N817" s="36"/>
      <c r="O817" s="102"/>
      <c r="P817" s="36"/>
      <c r="Q817" s="36"/>
      <c r="R817" s="37"/>
      <c r="S817" s="37"/>
      <c r="T817" s="60" t="str">
        <f t="shared" si="26"/>
        <v/>
      </c>
      <c r="U817" s="38"/>
      <c r="V817" s="38"/>
      <c r="W817" s="38" t="str">
        <f>IF(B817="","",COUNTIFS(Ejecucion[No. Solicitud],Registro!B817,Ejecucion[Estado],"Finalizado"))</f>
        <v/>
      </c>
      <c r="X817" s="38" t="str">
        <f>IF(B817="","",COUNTIFS(Ejecucion[No. Solicitud],Registro!B817,Ejecucion[Estado],"No Iniciado"))</f>
        <v/>
      </c>
      <c r="Y817" s="64" t="str">
        <f>IF(B817="","",COUNTIFS(Ejecucion[No. Solicitud],Registro!B817,Ejecucion[Estado],"En Proceso"))</f>
        <v/>
      </c>
      <c r="Z817" s="64" t="str">
        <f t="shared" si="27"/>
        <v/>
      </c>
      <c r="AA817" s="64"/>
      <c r="AB817" s="64"/>
      <c r="AC817" s="64"/>
      <c r="AD817" s="102"/>
    </row>
    <row r="818" spans="2:30" s="15" customFormat="1">
      <c r="B818" s="36"/>
      <c r="C818" s="102"/>
      <c r="D818" s="36"/>
      <c r="E818" s="22"/>
      <c r="F818" s="83"/>
      <c r="G818" s="83"/>
      <c r="H818" s="25"/>
      <c r="I818" s="25"/>
      <c r="J818" s="25"/>
      <c r="K818" s="25"/>
      <c r="L818" s="36"/>
      <c r="M818" s="36"/>
      <c r="N818" s="36"/>
      <c r="O818" s="102"/>
      <c r="P818" s="36"/>
      <c r="Q818" s="36"/>
      <c r="R818" s="37"/>
      <c r="S818" s="37"/>
      <c r="T818" s="60" t="str">
        <f t="shared" si="26"/>
        <v/>
      </c>
      <c r="U818" s="38"/>
      <c r="V818" s="38"/>
      <c r="W818" s="38" t="str">
        <f>IF(B818="","",COUNTIFS(Ejecucion[No. Solicitud],Registro!B818,Ejecucion[Estado],"Finalizado"))</f>
        <v/>
      </c>
      <c r="X818" s="38" t="str">
        <f>IF(B818="","",COUNTIFS(Ejecucion[No. Solicitud],Registro!B818,Ejecucion[Estado],"No Iniciado"))</f>
        <v/>
      </c>
      <c r="Y818" s="64" t="str">
        <f>IF(B818="","",COUNTIFS(Ejecucion[No. Solicitud],Registro!B818,Ejecucion[Estado],"En Proceso"))</f>
        <v/>
      </c>
      <c r="Z818" s="64" t="str">
        <f t="shared" si="27"/>
        <v/>
      </c>
      <c r="AA818" s="64"/>
      <c r="AB818" s="64"/>
      <c r="AC818" s="64"/>
      <c r="AD818" s="102"/>
    </row>
    <row r="819" spans="2:30" s="15" customFormat="1">
      <c r="B819" s="36"/>
      <c r="C819" s="102"/>
      <c r="D819" s="36"/>
      <c r="E819" s="22"/>
      <c r="F819" s="83"/>
      <c r="G819" s="83"/>
      <c r="H819" s="25"/>
      <c r="I819" s="25"/>
      <c r="J819" s="25"/>
      <c r="K819" s="25"/>
      <c r="L819" s="36"/>
      <c r="M819" s="36"/>
      <c r="N819" s="36"/>
      <c r="O819" s="102"/>
      <c r="P819" s="36"/>
      <c r="Q819" s="36"/>
      <c r="R819" s="37"/>
      <c r="S819" s="37"/>
      <c r="T819" s="60" t="str">
        <f t="shared" si="26"/>
        <v/>
      </c>
      <c r="U819" s="38"/>
      <c r="V819" s="38"/>
      <c r="W819" s="38" t="str">
        <f>IF(B819="","",COUNTIFS(Ejecucion[No. Solicitud],Registro!B819,Ejecucion[Estado],"Finalizado"))</f>
        <v/>
      </c>
      <c r="X819" s="38" t="str">
        <f>IF(B819="","",COUNTIFS(Ejecucion[No. Solicitud],Registro!B819,Ejecucion[Estado],"No Iniciado"))</f>
        <v/>
      </c>
      <c r="Y819" s="64" t="str">
        <f>IF(B819="","",COUNTIFS(Ejecucion[No. Solicitud],Registro!B819,Ejecucion[Estado],"En Proceso"))</f>
        <v/>
      </c>
      <c r="Z819" s="64" t="str">
        <f t="shared" si="27"/>
        <v/>
      </c>
      <c r="AA819" s="64"/>
      <c r="AB819" s="64"/>
      <c r="AC819" s="64"/>
      <c r="AD819" s="102"/>
    </row>
    <row r="820" spans="2:30" s="15" customFormat="1">
      <c r="B820" s="36"/>
      <c r="C820" s="102"/>
      <c r="D820" s="36"/>
      <c r="E820" s="22"/>
      <c r="F820" s="83"/>
      <c r="G820" s="83"/>
      <c r="H820" s="25"/>
      <c r="I820" s="25"/>
      <c r="J820" s="25"/>
      <c r="K820" s="25"/>
      <c r="L820" s="36"/>
      <c r="M820" s="36"/>
      <c r="N820" s="36"/>
      <c r="O820" s="102"/>
      <c r="P820" s="36"/>
      <c r="Q820" s="36"/>
      <c r="R820" s="37"/>
      <c r="S820" s="37"/>
      <c r="T820" s="60" t="str">
        <f t="shared" si="26"/>
        <v/>
      </c>
      <c r="U820" s="38"/>
      <c r="V820" s="38"/>
      <c r="W820" s="38" t="str">
        <f>IF(B820="","",COUNTIFS(Ejecucion[No. Solicitud],Registro!B820,Ejecucion[Estado],"Finalizado"))</f>
        <v/>
      </c>
      <c r="X820" s="38" t="str">
        <f>IF(B820="","",COUNTIFS(Ejecucion[No. Solicitud],Registro!B820,Ejecucion[Estado],"No Iniciado"))</f>
        <v/>
      </c>
      <c r="Y820" s="64" t="str">
        <f>IF(B820="","",COUNTIFS(Ejecucion[No. Solicitud],Registro!B820,Ejecucion[Estado],"En Proceso"))</f>
        <v/>
      </c>
      <c r="Z820" s="64" t="str">
        <f t="shared" si="27"/>
        <v/>
      </c>
      <c r="AA820" s="64"/>
      <c r="AB820" s="64"/>
      <c r="AC820" s="64"/>
      <c r="AD820" s="102"/>
    </row>
    <row r="821" spans="2:30" s="15" customFormat="1">
      <c r="B821" s="36"/>
      <c r="C821" s="102"/>
      <c r="D821" s="36"/>
      <c r="E821" s="22"/>
      <c r="F821" s="83"/>
      <c r="G821" s="83"/>
      <c r="H821" s="25"/>
      <c r="I821" s="25"/>
      <c r="J821" s="25"/>
      <c r="K821" s="25"/>
      <c r="L821" s="36"/>
      <c r="M821" s="36"/>
      <c r="N821" s="36"/>
      <c r="O821" s="102"/>
      <c r="P821" s="36"/>
      <c r="Q821" s="36"/>
      <c r="R821" s="37"/>
      <c r="S821" s="37"/>
      <c r="T821" s="60" t="str">
        <f t="shared" si="26"/>
        <v/>
      </c>
      <c r="U821" s="38"/>
      <c r="V821" s="38"/>
      <c r="W821" s="38" t="str">
        <f>IF(B821="","",COUNTIFS(Ejecucion[No. Solicitud],Registro!B821,Ejecucion[Estado],"Finalizado"))</f>
        <v/>
      </c>
      <c r="X821" s="38" t="str">
        <f>IF(B821="","",COUNTIFS(Ejecucion[No. Solicitud],Registro!B821,Ejecucion[Estado],"No Iniciado"))</f>
        <v/>
      </c>
      <c r="Y821" s="64" t="str">
        <f>IF(B821="","",COUNTIFS(Ejecucion[No. Solicitud],Registro!B821,Ejecucion[Estado],"En Proceso"))</f>
        <v/>
      </c>
      <c r="Z821" s="64" t="str">
        <f t="shared" si="27"/>
        <v/>
      </c>
      <c r="AA821" s="64"/>
      <c r="AB821" s="64"/>
      <c r="AC821" s="64"/>
      <c r="AD821" s="102"/>
    </row>
    <row r="822" spans="2:30" s="15" customFormat="1">
      <c r="B822" s="36"/>
      <c r="C822" s="102"/>
      <c r="D822" s="36"/>
      <c r="E822" s="22"/>
      <c r="F822" s="83"/>
      <c r="G822" s="83"/>
      <c r="H822" s="25"/>
      <c r="I822" s="25"/>
      <c r="J822" s="25"/>
      <c r="K822" s="25"/>
      <c r="L822" s="36"/>
      <c r="M822" s="36"/>
      <c r="N822" s="36"/>
      <c r="O822" s="102"/>
      <c r="P822" s="36"/>
      <c r="Q822" s="36"/>
      <c r="R822" s="37"/>
      <c r="S822" s="37"/>
      <c r="T822" s="60" t="str">
        <f t="shared" si="26"/>
        <v/>
      </c>
      <c r="U822" s="38"/>
      <c r="V822" s="38"/>
      <c r="W822" s="38" t="str">
        <f>IF(B822="","",COUNTIFS(Ejecucion[No. Solicitud],Registro!B822,Ejecucion[Estado],"Finalizado"))</f>
        <v/>
      </c>
      <c r="X822" s="38" t="str">
        <f>IF(B822="","",COUNTIFS(Ejecucion[No. Solicitud],Registro!B822,Ejecucion[Estado],"No Iniciado"))</f>
        <v/>
      </c>
      <c r="Y822" s="64" t="str">
        <f>IF(B822="","",COUNTIFS(Ejecucion[No. Solicitud],Registro!B822,Ejecucion[Estado],"En Proceso"))</f>
        <v/>
      </c>
      <c r="Z822" s="64" t="str">
        <f t="shared" si="27"/>
        <v/>
      </c>
      <c r="AA822" s="64"/>
      <c r="AB822" s="64"/>
      <c r="AC822" s="64"/>
      <c r="AD822" s="102"/>
    </row>
    <row r="823" spans="2:30" s="15" customFormat="1">
      <c r="B823" s="36"/>
      <c r="C823" s="102"/>
      <c r="D823" s="36"/>
      <c r="E823" s="22"/>
      <c r="F823" s="83"/>
      <c r="G823" s="83"/>
      <c r="H823" s="25"/>
      <c r="I823" s="25"/>
      <c r="J823" s="25"/>
      <c r="K823" s="25"/>
      <c r="L823" s="36"/>
      <c r="M823" s="36"/>
      <c r="N823" s="36"/>
      <c r="O823" s="102"/>
      <c r="P823" s="36"/>
      <c r="Q823" s="36"/>
      <c r="R823" s="37"/>
      <c r="S823" s="37"/>
      <c r="T823" s="60" t="str">
        <f t="shared" si="26"/>
        <v/>
      </c>
      <c r="U823" s="38"/>
      <c r="V823" s="38"/>
      <c r="W823" s="38" t="str">
        <f>IF(B823="","",COUNTIFS(Ejecucion[No. Solicitud],Registro!B823,Ejecucion[Estado],"Finalizado"))</f>
        <v/>
      </c>
      <c r="X823" s="38" t="str">
        <f>IF(B823="","",COUNTIFS(Ejecucion[No. Solicitud],Registro!B823,Ejecucion[Estado],"No Iniciado"))</f>
        <v/>
      </c>
      <c r="Y823" s="64" t="str">
        <f>IF(B823="","",COUNTIFS(Ejecucion[No. Solicitud],Registro!B823,Ejecucion[Estado],"En Proceso"))</f>
        <v/>
      </c>
      <c r="Z823" s="64" t="str">
        <f t="shared" si="27"/>
        <v/>
      </c>
      <c r="AA823" s="64"/>
      <c r="AB823" s="64"/>
      <c r="AC823" s="64"/>
      <c r="AD823" s="102"/>
    </row>
    <row r="824" spans="2:30" s="15" customFormat="1">
      <c r="B824" s="36"/>
      <c r="C824" s="102"/>
      <c r="D824" s="36"/>
      <c r="E824" s="22"/>
      <c r="F824" s="83"/>
      <c r="G824" s="83"/>
      <c r="H824" s="25"/>
      <c r="I824" s="25"/>
      <c r="J824" s="25"/>
      <c r="K824" s="25"/>
      <c r="L824" s="36"/>
      <c r="M824" s="36"/>
      <c r="N824" s="36"/>
      <c r="O824" s="102"/>
      <c r="P824" s="36"/>
      <c r="Q824" s="36"/>
      <c r="R824" s="37"/>
      <c r="S824" s="37"/>
      <c r="T824" s="60" t="str">
        <f t="shared" si="26"/>
        <v/>
      </c>
      <c r="U824" s="38"/>
      <c r="V824" s="38"/>
      <c r="W824" s="38" t="str">
        <f>IF(B824="","",COUNTIFS(Ejecucion[No. Solicitud],Registro!B824,Ejecucion[Estado],"Finalizado"))</f>
        <v/>
      </c>
      <c r="X824" s="38" t="str">
        <f>IF(B824="","",COUNTIFS(Ejecucion[No. Solicitud],Registro!B824,Ejecucion[Estado],"No Iniciado"))</f>
        <v/>
      </c>
      <c r="Y824" s="64" t="str">
        <f>IF(B824="","",COUNTIFS(Ejecucion[No. Solicitud],Registro!B824,Ejecucion[Estado],"En Proceso"))</f>
        <v/>
      </c>
      <c r="Z824" s="64" t="str">
        <f t="shared" si="27"/>
        <v/>
      </c>
      <c r="AA824" s="64"/>
      <c r="AB824" s="64"/>
      <c r="AC824" s="64"/>
      <c r="AD824" s="102"/>
    </row>
    <row r="825" spans="2:30" s="15" customFormat="1">
      <c r="B825" s="36"/>
      <c r="C825" s="102"/>
      <c r="D825" s="36"/>
      <c r="E825" s="22"/>
      <c r="F825" s="83"/>
      <c r="G825" s="83"/>
      <c r="H825" s="25"/>
      <c r="I825" s="25"/>
      <c r="J825" s="25"/>
      <c r="K825" s="25"/>
      <c r="L825" s="36"/>
      <c r="M825" s="36"/>
      <c r="N825" s="36"/>
      <c r="O825" s="102"/>
      <c r="P825" s="36"/>
      <c r="Q825" s="36"/>
      <c r="R825" s="37"/>
      <c r="S825" s="37"/>
      <c r="T825" s="60" t="str">
        <f t="shared" si="26"/>
        <v/>
      </c>
      <c r="U825" s="38"/>
      <c r="V825" s="38"/>
      <c r="W825" s="38" t="str">
        <f>IF(B825="","",COUNTIFS(Ejecucion[No. Solicitud],Registro!B825,Ejecucion[Estado],"Finalizado"))</f>
        <v/>
      </c>
      <c r="X825" s="38" t="str">
        <f>IF(B825="","",COUNTIFS(Ejecucion[No. Solicitud],Registro!B825,Ejecucion[Estado],"No Iniciado"))</f>
        <v/>
      </c>
      <c r="Y825" s="64" t="str">
        <f>IF(B825="","",COUNTIFS(Ejecucion[No. Solicitud],Registro!B825,Ejecucion[Estado],"En Proceso"))</f>
        <v/>
      </c>
      <c r="Z825" s="64" t="str">
        <f t="shared" si="27"/>
        <v/>
      </c>
      <c r="AA825" s="64"/>
      <c r="AB825" s="64"/>
      <c r="AC825" s="64"/>
      <c r="AD825" s="102"/>
    </row>
    <row r="826" spans="2:30" s="15" customFormat="1">
      <c r="B826" s="36"/>
      <c r="C826" s="102"/>
      <c r="D826" s="36"/>
      <c r="E826" s="22"/>
      <c r="F826" s="83"/>
      <c r="G826" s="83"/>
      <c r="H826" s="25"/>
      <c r="I826" s="25"/>
      <c r="J826" s="25"/>
      <c r="K826" s="25"/>
      <c r="L826" s="36"/>
      <c r="M826" s="36"/>
      <c r="N826" s="36"/>
      <c r="O826" s="102"/>
      <c r="P826" s="36"/>
      <c r="Q826" s="36"/>
      <c r="R826" s="37"/>
      <c r="S826" s="37"/>
      <c r="T826" s="60" t="str">
        <f t="shared" si="26"/>
        <v/>
      </c>
      <c r="U826" s="38"/>
      <c r="V826" s="38"/>
      <c r="W826" s="38" t="str">
        <f>IF(B826="","",COUNTIFS(Ejecucion[No. Solicitud],Registro!B826,Ejecucion[Estado],"Finalizado"))</f>
        <v/>
      </c>
      <c r="X826" s="38" t="str">
        <f>IF(B826="","",COUNTIFS(Ejecucion[No. Solicitud],Registro!B826,Ejecucion[Estado],"No Iniciado"))</f>
        <v/>
      </c>
      <c r="Y826" s="64" t="str">
        <f>IF(B826="","",COUNTIFS(Ejecucion[No. Solicitud],Registro!B826,Ejecucion[Estado],"En Proceso"))</f>
        <v/>
      </c>
      <c r="Z826" s="64" t="str">
        <f t="shared" si="27"/>
        <v/>
      </c>
      <c r="AA826" s="64"/>
      <c r="AB826" s="64"/>
      <c r="AC826" s="64"/>
      <c r="AD826" s="102"/>
    </row>
    <row r="827" spans="2:30" s="15" customFormat="1">
      <c r="B827" s="36"/>
      <c r="C827" s="102"/>
      <c r="D827" s="36"/>
      <c r="E827" s="22"/>
      <c r="F827" s="83"/>
      <c r="G827" s="83"/>
      <c r="H827" s="25"/>
      <c r="I827" s="25"/>
      <c r="J827" s="25"/>
      <c r="K827" s="25"/>
      <c r="L827" s="36"/>
      <c r="M827" s="36"/>
      <c r="N827" s="36"/>
      <c r="O827" s="102"/>
      <c r="P827" s="36"/>
      <c r="Q827" s="36"/>
      <c r="R827" s="37"/>
      <c r="S827" s="37"/>
      <c r="T827" s="60" t="str">
        <f t="shared" si="26"/>
        <v/>
      </c>
      <c r="U827" s="38"/>
      <c r="V827" s="38"/>
      <c r="W827" s="38" t="str">
        <f>IF(B827="","",COUNTIFS(Ejecucion[No. Solicitud],Registro!B827,Ejecucion[Estado],"Finalizado"))</f>
        <v/>
      </c>
      <c r="X827" s="38" t="str">
        <f>IF(B827="","",COUNTIFS(Ejecucion[No. Solicitud],Registro!B827,Ejecucion[Estado],"No Iniciado"))</f>
        <v/>
      </c>
      <c r="Y827" s="64" t="str">
        <f>IF(B827="","",COUNTIFS(Ejecucion[No. Solicitud],Registro!B827,Ejecucion[Estado],"En Proceso"))</f>
        <v/>
      </c>
      <c r="Z827" s="64" t="str">
        <f t="shared" si="27"/>
        <v/>
      </c>
      <c r="AA827" s="64"/>
      <c r="AB827" s="64"/>
      <c r="AC827" s="64"/>
      <c r="AD827" s="102"/>
    </row>
    <row r="828" spans="2:30" s="15" customFormat="1">
      <c r="B828" s="36"/>
      <c r="C828" s="102"/>
      <c r="D828" s="36"/>
      <c r="E828" s="22"/>
      <c r="F828" s="83"/>
      <c r="G828" s="83"/>
      <c r="H828" s="25"/>
      <c r="I828" s="25"/>
      <c r="J828" s="25"/>
      <c r="K828" s="25"/>
      <c r="L828" s="36"/>
      <c r="M828" s="36"/>
      <c r="N828" s="36"/>
      <c r="O828" s="102"/>
      <c r="P828" s="36"/>
      <c r="Q828" s="36"/>
      <c r="R828" s="37"/>
      <c r="S828" s="37"/>
      <c r="T828" s="60" t="str">
        <f t="shared" si="26"/>
        <v/>
      </c>
      <c r="U828" s="38"/>
      <c r="V828" s="38"/>
      <c r="W828" s="38" t="str">
        <f>IF(B828="","",COUNTIFS(Ejecucion[No. Solicitud],Registro!B828,Ejecucion[Estado],"Finalizado"))</f>
        <v/>
      </c>
      <c r="X828" s="38" t="str">
        <f>IF(B828="","",COUNTIFS(Ejecucion[No. Solicitud],Registro!B828,Ejecucion[Estado],"No Iniciado"))</f>
        <v/>
      </c>
      <c r="Y828" s="64" t="str">
        <f>IF(B828="","",COUNTIFS(Ejecucion[No. Solicitud],Registro!B828,Ejecucion[Estado],"En Proceso"))</f>
        <v/>
      </c>
      <c r="Z828" s="64" t="str">
        <f t="shared" si="27"/>
        <v/>
      </c>
      <c r="AA828" s="64"/>
      <c r="AB828" s="64"/>
      <c r="AC828" s="64"/>
      <c r="AD828" s="102"/>
    </row>
    <row r="829" spans="2:30" s="15" customFormat="1">
      <c r="B829" s="36"/>
      <c r="C829" s="102"/>
      <c r="D829" s="36"/>
      <c r="E829" s="22"/>
      <c r="F829" s="83"/>
      <c r="G829" s="83"/>
      <c r="H829" s="25"/>
      <c r="I829" s="25"/>
      <c r="J829" s="25"/>
      <c r="K829" s="25"/>
      <c r="L829" s="36"/>
      <c r="M829" s="36"/>
      <c r="N829" s="36"/>
      <c r="O829" s="102"/>
      <c r="P829" s="36"/>
      <c r="Q829" s="36"/>
      <c r="R829" s="37"/>
      <c r="S829" s="37"/>
      <c r="T829" s="60" t="str">
        <f t="shared" si="26"/>
        <v/>
      </c>
      <c r="U829" s="38"/>
      <c r="V829" s="38"/>
      <c r="W829" s="38" t="str">
        <f>IF(B829="","",COUNTIFS(Ejecucion[No. Solicitud],Registro!B829,Ejecucion[Estado],"Finalizado"))</f>
        <v/>
      </c>
      <c r="X829" s="38" t="str">
        <f>IF(B829="","",COUNTIFS(Ejecucion[No. Solicitud],Registro!B829,Ejecucion[Estado],"No Iniciado"))</f>
        <v/>
      </c>
      <c r="Y829" s="64" t="str">
        <f>IF(B829="","",COUNTIFS(Ejecucion[No. Solicitud],Registro!B829,Ejecucion[Estado],"En Proceso"))</f>
        <v/>
      </c>
      <c r="Z829" s="64" t="str">
        <f t="shared" si="27"/>
        <v/>
      </c>
      <c r="AA829" s="64"/>
      <c r="AB829" s="64"/>
      <c r="AC829" s="64"/>
      <c r="AD829" s="102"/>
    </row>
    <row r="830" spans="2:30" s="15" customFormat="1">
      <c r="B830" s="36"/>
      <c r="C830" s="102"/>
      <c r="D830" s="36"/>
      <c r="E830" s="22"/>
      <c r="F830" s="83"/>
      <c r="G830" s="83"/>
      <c r="H830" s="25"/>
      <c r="I830" s="25"/>
      <c r="J830" s="25"/>
      <c r="K830" s="25"/>
      <c r="L830" s="36"/>
      <c r="M830" s="36"/>
      <c r="N830" s="36"/>
      <c r="O830" s="102"/>
      <c r="P830" s="36"/>
      <c r="Q830" s="36"/>
      <c r="R830" s="37"/>
      <c r="S830" s="37"/>
      <c r="T830" s="60" t="str">
        <f t="shared" si="26"/>
        <v/>
      </c>
      <c r="U830" s="38"/>
      <c r="V830" s="38"/>
      <c r="W830" s="38" t="str">
        <f>IF(B830="","",COUNTIFS(Ejecucion[No. Solicitud],Registro!B830,Ejecucion[Estado],"Finalizado"))</f>
        <v/>
      </c>
      <c r="X830" s="38" t="str">
        <f>IF(B830="","",COUNTIFS(Ejecucion[No. Solicitud],Registro!B830,Ejecucion[Estado],"No Iniciado"))</f>
        <v/>
      </c>
      <c r="Y830" s="64" t="str">
        <f>IF(B830="","",COUNTIFS(Ejecucion[No. Solicitud],Registro!B830,Ejecucion[Estado],"En Proceso"))</f>
        <v/>
      </c>
      <c r="Z830" s="64" t="str">
        <f t="shared" si="27"/>
        <v/>
      </c>
      <c r="AA830" s="64"/>
      <c r="AB830" s="64"/>
      <c r="AC830" s="64"/>
      <c r="AD830" s="102"/>
    </row>
    <row r="831" spans="2:30" s="15" customFormat="1">
      <c r="B831" s="36"/>
      <c r="C831" s="102"/>
      <c r="D831" s="36"/>
      <c r="E831" s="22"/>
      <c r="F831" s="83"/>
      <c r="G831" s="83"/>
      <c r="H831" s="25"/>
      <c r="I831" s="25"/>
      <c r="J831" s="25"/>
      <c r="K831" s="25"/>
      <c r="L831" s="36"/>
      <c r="M831" s="36"/>
      <c r="N831" s="36"/>
      <c r="O831" s="102"/>
      <c r="P831" s="36"/>
      <c r="Q831" s="36"/>
      <c r="R831" s="37"/>
      <c r="S831" s="37"/>
      <c r="T831" s="60" t="str">
        <f t="shared" si="26"/>
        <v/>
      </c>
      <c r="U831" s="38"/>
      <c r="V831" s="38"/>
      <c r="W831" s="38" t="str">
        <f>IF(B831="","",COUNTIFS(Ejecucion[No. Solicitud],Registro!B831,Ejecucion[Estado],"Finalizado"))</f>
        <v/>
      </c>
      <c r="X831" s="38" t="str">
        <f>IF(B831="","",COUNTIFS(Ejecucion[No. Solicitud],Registro!B831,Ejecucion[Estado],"No Iniciado"))</f>
        <v/>
      </c>
      <c r="Y831" s="64" t="str">
        <f>IF(B831="","",COUNTIFS(Ejecucion[No. Solicitud],Registro!B831,Ejecucion[Estado],"En Proceso"))</f>
        <v/>
      </c>
      <c r="Z831" s="64" t="str">
        <f t="shared" si="27"/>
        <v/>
      </c>
      <c r="AA831" s="64"/>
      <c r="AB831" s="64"/>
      <c r="AC831" s="64"/>
      <c r="AD831" s="102"/>
    </row>
    <row r="832" spans="2:30" s="15" customFormat="1">
      <c r="B832" s="36"/>
      <c r="C832" s="102"/>
      <c r="D832" s="36"/>
      <c r="E832" s="22"/>
      <c r="F832" s="83"/>
      <c r="G832" s="83"/>
      <c r="H832" s="25"/>
      <c r="I832" s="25"/>
      <c r="J832" s="25"/>
      <c r="K832" s="25"/>
      <c r="L832" s="36"/>
      <c r="M832" s="36"/>
      <c r="N832" s="36"/>
      <c r="O832" s="102"/>
      <c r="P832" s="36"/>
      <c r="Q832" s="36"/>
      <c r="R832" s="37"/>
      <c r="S832" s="37"/>
      <c r="T832" s="60" t="str">
        <f t="shared" si="26"/>
        <v/>
      </c>
      <c r="U832" s="38"/>
      <c r="V832" s="38"/>
      <c r="W832" s="38" t="str">
        <f>IF(B832="","",COUNTIFS(Ejecucion[No. Solicitud],Registro!B832,Ejecucion[Estado],"Finalizado"))</f>
        <v/>
      </c>
      <c r="X832" s="38" t="str">
        <f>IF(B832="","",COUNTIFS(Ejecucion[No. Solicitud],Registro!B832,Ejecucion[Estado],"No Iniciado"))</f>
        <v/>
      </c>
      <c r="Y832" s="64" t="str">
        <f>IF(B832="","",COUNTIFS(Ejecucion[No. Solicitud],Registro!B832,Ejecucion[Estado],"En Proceso"))</f>
        <v/>
      </c>
      <c r="Z832" s="64" t="str">
        <f t="shared" si="27"/>
        <v/>
      </c>
      <c r="AA832" s="64"/>
      <c r="AB832" s="64"/>
      <c r="AC832" s="64"/>
      <c r="AD832" s="102"/>
    </row>
    <row r="833" spans="2:30" s="15" customFormat="1">
      <c r="B833" s="36"/>
      <c r="C833" s="102"/>
      <c r="D833" s="36"/>
      <c r="E833" s="22"/>
      <c r="F833" s="83"/>
      <c r="G833" s="83"/>
      <c r="H833" s="25"/>
      <c r="I833" s="25"/>
      <c r="J833" s="25"/>
      <c r="K833" s="25"/>
      <c r="L833" s="36"/>
      <c r="M833" s="36"/>
      <c r="N833" s="36"/>
      <c r="O833" s="102"/>
      <c r="P833" s="36"/>
      <c r="Q833" s="36"/>
      <c r="R833" s="37"/>
      <c r="S833" s="37"/>
      <c r="T833" s="60" t="str">
        <f t="shared" si="26"/>
        <v/>
      </c>
      <c r="U833" s="38"/>
      <c r="V833" s="38"/>
      <c r="W833" s="38" t="str">
        <f>IF(B833="","",COUNTIFS(Ejecucion[No. Solicitud],Registro!B833,Ejecucion[Estado],"Finalizado"))</f>
        <v/>
      </c>
      <c r="X833" s="38" t="str">
        <f>IF(B833="","",COUNTIFS(Ejecucion[No. Solicitud],Registro!B833,Ejecucion[Estado],"No Iniciado"))</f>
        <v/>
      </c>
      <c r="Y833" s="64" t="str">
        <f>IF(B833="","",COUNTIFS(Ejecucion[No. Solicitud],Registro!B833,Ejecucion[Estado],"En Proceso"))</f>
        <v/>
      </c>
      <c r="Z833" s="64" t="str">
        <f t="shared" si="27"/>
        <v/>
      </c>
      <c r="AA833" s="64"/>
      <c r="AB833" s="64"/>
      <c r="AC833" s="64"/>
      <c r="AD833" s="102"/>
    </row>
    <row r="834" spans="2:30" s="15" customFormat="1">
      <c r="B834" s="36"/>
      <c r="C834" s="102"/>
      <c r="D834" s="36"/>
      <c r="E834" s="22"/>
      <c r="F834" s="83"/>
      <c r="G834" s="83"/>
      <c r="H834" s="25"/>
      <c r="I834" s="25"/>
      <c r="J834" s="25"/>
      <c r="K834" s="25"/>
      <c r="L834" s="36"/>
      <c r="M834" s="36"/>
      <c r="N834" s="36"/>
      <c r="O834" s="102"/>
      <c r="P834" s="36"/>
      <c r="Q834" s="36"/>
      <c r="R834" s="37"/>
      <c r="S834" s="37"/>
      <c r="T834" s="60" t="str">
        <f t="shared" si="26"/>
        <v/>
      </c>
      <c r="U834" s="38"/>
      <c r="V834" s="38"/>
      <c r="W834" s="38" t="str">
        <f>IF(B834="","",COUNTIFS(Ejecucion[No. Solicitud],Registro!B834,Ejecucion[Estado],"Finalizado"))</f>
        <v/>
      </c>
      <c r="X834" s="38" t="str">
        <f>IF(B834="","",COUNTIFS(Ejecucion[No. Solicitud],Registro!B834,Ejecucion[Estado],"No Iniciado"))</f>
        <v/>
      </c>
      <c r="Y834" s="64" t="str">
        <f>IF(B834="","",COUNTIFS(Ejecucion[No. Solicitud],Registro!B834,Ejecucion[Estado],"En Proceso"))</f>
        <v/>
      </c>
      <c r="Z834" s="64" t="str">
        <f t="shared" si="27"/>
        <v/>
      </c>
      <c r="AA834" s="64"/>
      <c r="AB834" s="64"/>
      <c r="AC834" s="64"/>
      <c r="AD834" s="102"/>
    </row>
    <row r="835" spans="2:30" s="15" customFormat="1">
      <c r="B835" s="36"/>
      <c r="C835" s="102"/>
      <c r="D835" s="36"/>
      <c r="E835" s="22"/>
      <c r="F835" s="83"/>
      <c r="G835" s="83"/>
      <c r="H835" s="25"/>
      <c r="I835" s="25"/>
      <c r="J835" s="25"/>
      <c r="K835" s="25"/>
      <c r="L835" s="36"/>
      <c r="M835" s="36"/>
      <c r="N835" s="36"/>
      <c r="O835" s="102"/>
      <c r="P835" s="36"/>
      <c r="Q835" s="36"/>
      <c r="R835" s="37"/>
      <c r="S835" s="37"/>
      <c r="T835" s="60" t="str">
        <f t="shared" si="26"/>
        <v/>
      </c>
      <c r="U835" s="38"/>
      <c r="V835" s="38"/>
      <c r="W835" s="38" t="str">
        <f>IF(B835="","",COUNTIFS(Ejecucion[No. Solicitud],Registro!B835,Ejecucion[Estado],"Finalizado"))</f>
        <v/>
      </c>
      <c r="X835" s="38" t="str">
        <f>IF(B835="","",COUNTIFS(Ejecucion[No. Solicitud],Registro!B835,Ejecucion[Estado],"No Iniciado"))</f>
        <v/>
      </c>
      <c r="Y835" s="64" t="str">
        <f>IF(B835="","",COUNTIFS(Ejecucion[No. Solicitud],Registro!B835,Ejecucion[Estado],"En Proceso"))</f>
        <v/>
      </c>
      <c r="Z835" s="64" t="str">
        <f t="shared" si="27"/>
        <v/>
      </c>
      <c r="AA835" s="64"/>
      <c r="AB835" s="64"/>
      <c r="AC835" s="64"/>
      <c r="AD835" s="102"/>
    </row>
    <row r="836" spans="2:30" s="15" customFormat="1">
      <c r="B836" s="36"/>
      <c r="C836" s="102"/>
      <c r="D836" s="36"/>
      <c r="E836" s="22"/>
      <c r="F836" s="83"/>
      <c r="G836" s="83"/>
      <c r="H836" s="25"/>
      <c r="I836" s="25"/>
      <c r="J836" s="25"/>
      <c r="K836" s="25"/>
      <c r="L836" s="36"/>
      <c r="M836" s="36"/>
      <c r="N836" s="36"/>
      <c r="O836" s="102"/>
      <c r="P836" s="36"/>
      <c r="Q836" s="36"/>
      <c r="R836" s="37"/>
      <c r="S836" s="37"/>
      <c r="T836" s="60" t="str">
        <f t="shared" si="26"/>
        <v/>
      </c>
      <c r="U836" s="38"/>
      <c r="V836" s="38"/>
      <c r="W836" s="38" t="str">
        <f>IF(B836="","",COUNTIFS(Ejecucion[No. Solicitud],Registro!B836,Ejecucion[Estado],"Finalizado"))</f>
        <v/>
      </c>
      <c r="X836" s="38" t="str">
        <f>IF(B836="","",COUNTIFS(Ejecucion[No. Solicitud],Registro!B836,Ejecucion[Estado],"No Iniciado"))</f>
        <v/>
      </c>
      <c r="Y836" s="64" t="str">
        <f>IF(B836="","",COUNTIFS(Ejecucion[No. Solicitud],Registro!B836,Ejecucion[Estado],"En Proceso"))</f>
        <v/>
      </c>
      <c r="Z836" s="64" t="str">
        <f t="shared" si="27"/>
        <v/>
      </c>
      <c r="AA836" s="64"/>
      <c r="AB836" s="64"/>
      <c r="AC836" s="64"/>
      <c r="AD836" s="102"/>
    </row>
    <row r="837" spans="2:30" s="15" customFormat="1">
      <c r="B837" s="36"/>
      <c r="C837" s="102"/>
      <c r="D837" s="36"/>
      <c r="E837" s="22"/>
      <c r="F837" s="83"/>
      <c r="G837" s="83"/>
      <c r="H837" s="25"/>
      <c r="I837" s="25"/>
      <c r="J837" s="25"/>
      <c r="K837" s="25"/>
      <c r="L837" s="36"/>
      <c r="M837" s="36"/>
      <c r="N837" s="36"/>
      <c r="O837" s="102"/>
      <c r="P837" s="36"/>
      <c r="Q837" s="36"/>
      <c r="R837" s="37"/>
      <c r="S837" s="37"/>
      <c r="T837" s="60" t="str">
        <f t="shared" si="26"/>
        <v/>
      </c>
      <c r="U837" s="38"/>
      <c r="V837" s="38"/>
      <c r="W837" s="38" t="str">
        <f>IF(B837="","",COUNTIFS(Ejecucion[No. Solicitud],Registro!B837,Ejecucion[Estado],"Finalizado"))</f>
        <v/>
      </c>
      <c r="X837" s="38" t="str">
        <f>IF(B837="","",COUNTIFS(Ejecucion[No. Solicitud],Registro!B837,Ejecucion[Estado],"No Iniciado"))</f>
        <v/>
      </c>
      <c r="Y837" s="64" t="str">
        <f>IF(B837="","",COUNTIFS(Ejecucion[No. Solicitud],Registro!B837,Ejecucion[Estado],"En Proceso"))</f>
        <v/>
      </c>
      <c r="Z837" s="64" t="str">
        <f t="shared" si="27"/>
        <v/>
      </c>
      <c r="AA837" s="64"/>
      <c r="AB837" s="64"/>
      <c r="AC837" s="64"/>
      <c r="AD837" s="102"/>
    </row>
    <row r="838" spans="2:30" s="15" customFormat="1">
      <c r="B838" s="36"/>
      <c r="C838" s="102"/>
      <c r="D838" s="36"/>
      <c r="E838" s="22"/>
      <c r="F838" s="83"/>
      <c r="G838" s="83"/>
      <c r="H838" s="25"/>
      <c r="I838" s="25"/>
      <c r="J838" s="25"/>
      <c r="K838" s="25"/>
      <c r="L838" s="36"/>
      <c r="M838" s="36"/>
      <c r="N838" s="36"/>
      <c r="O838" s="102"/>
      <c r="P838" s="36"/>
      <c r="Q838" s="36"/>
      <c r="R838" s="37"/>
      <c r="S838" s="37"/>
      <c r="T838" s="60" t="str">
        <f t="shared" si="26"/>
        <v/>
      </c>
      <c r="U838" s="38"/>
      <c r="V838" s="38"/>
      <c r="W838" s="38" t="str">
        <f>IF(B838="","",COUNTIFS(Ejecucion[No. Solicitud],Registro!B838,Ejecucion[Estado],"Finalizado"))</f>
        <v/>
      </c>
      <c r="X838" s="38" t="str">
        <f>IF(B838="","",COUNTIFS(Ejecucion[No. Solicitud],Registro!B838,Ejecucion[Estado],"No Iniciado"))</f>
        <v/>
      </c>
      <c r="Y838" s="64" t="str">
        <f>IF(B838="","",COUNTIFS(Ejecucion[No. Solicitud],Registro!B838,Ejecucion[Estado],"En Proceso"))</f>
        <v/>
      </c>
      <c r="Z838" s="64" t="str">
        <f t="shared" si="27"/>
        <v/>
      </c>
      <c r="AA838" s="64"/>
      <c r="AB838" s="64"/>
      <c r="AC838" s="64"/>
      <c r="AD838" s="102"/>
    </row>
    <row r="839" spans="2:30" s="15" customFormat="1">
      <c r="B839" s="36"/>
      <c r="C839" s="102"/>
      <c r="D839" s="36"/>
      <c r="E839" s="22"/>
      <c r="F839" s="83"/>
      <c r="G839" s="83"/>
      <c r="H839" s="25"/>
      <c r="I839" s="25"/>
      <c r="J839" s="25"/>
      <c r="K839" s="25"/>
      <c r="L839" s="36"/>
      <c r="M839" s="36"/>
      <c r="N839" s="36"/>
      <c r="O839" s="102"/>
      <c r="P839" s="36"/>
      <c r="Q839" s="36"/>
      <c r="R839" s="37"/>
      <c r="S839" s="37"/>
      <c r="T839" s="60" t="str">
        <f t="shared" si="26"/>
        <v/>
      </c>
      <c r="U839" s="38"/>
      <c r="V839" s="38"/>
      <c r="W839" s="38" t="str">
        <f>IF(B839="","",COUNTIFS(Ejecucion[No. Solicitud],Registro!B839,Ejecucion[Estado],"Finalizado"))</f>
        <v/>
      </c>
      <c r="X839" s="38" t="str">
        <f>IF(B839="","",COUNTIFS(Ejecucion[No. Solicitud],Registro!B839,Ejecucion[Estado],"No Iniciado"))</f>
        <v/>
      </c>
      <c r="Y839" s="64" t="str">
        <f>IF(B839="","",COUNTIFS(Ejecucion[No. Solicitud],Registro!B839,Ejecucion[Estado],"En Proceso"))</f>
        <v/>
      </c>
      <c r="Z839" s="64" t="str">
        <f t="shared" si="27"/>
        <v/>
      </c>
      <c r="AA839" s="64"/>
      <c r="AB839" s="64"/>
      <c r="AC839" s="64"/>
      <c r="AD839" s="102"/>
    </row>
    <row r="840" spans="2:30" s="15" customFormat="1">
      <c r="B840" s="36"/>
      <c r="C840" s="102"/>
      <c r="D840" s="36"/>
      <c r="E840" s="22"/>
      <c r="F840" s="83"/>
      <c r="G840" s="83"/>
      <c r="H840" s="25"/>
      <c r="I840" s="25"/>
      <c r="J840" s="25"/>
      <c r="K840" s="25"/>
      <c r="L840" s="36"/>
      <c r="M840" s="36"/>
      <c r="N840" s="36"/>
      <c r="O840" s="102"/>
      <c r="P840" s="36"/>
      <c r="Q840" s="36"/>
      <c r="R840" s="37"/>
      <c r="S840" s="37"/>
      <c r="T840" s="60" t="str">
        <f t="shared" ref="T840:T903" si="28">IF(U840="","",IF(U840=W840,1,0))</f>
        <v/>
      </c>
      <c r="U840" s="38"/>
      <c r="V840" s="38"/>
      <c r="W840" s="38" t="str">
        <f>IF(B840="","",COUNTIFS(Ejecucion[No. Solicitud],Registro!B840,Ejecucion[Estado],"Finalizado"))</f>
        <v/>
      </c>
      <c r="X840" s="38" t="str">
        <f>IF(B840="","",COUNTIFS(Ejecucion[No. Solicitud],Registro!B840,Ejecucion[Estado],"No Iniciado"))</f>
        <v/>
      </c>
      <c r="Y840" s="64" t="str">
        <f>IF(B840="","",COUNTIFS(Ejecucion[No. Solicitud],Registro!B840,Ejecucion[Estado],"En Proceso"))</f>
        <v/>
      </c>
      <c r="Z840" s="64" t="str">
        <f t="shared" si="27"/>
        <v/>
      </c>
      <c r="AA840" s="64"/>
      <c r="AB840" s="64"/>
      <c r="AC840" s="64"/>
      <c r="AD840" s="102"/>
    </row>
    <row r="841" spans="2:30" s="15" customFormat="1">
      <c r="B841" s="36"/>
      <c r="C841" s="102"/>
      <c r="D841" s="36"/>
      <c r="E841" s="22"/>
      <c r="F841" s="83"/>
      <c r="G841" s="83"/>
      <c r="H841" s="25"/>
      <c r="I841" s="25"/>
      <c r="J841" s="25"/>
      <c r="K841" s="25"/>
      <c r="L841" s="36"/>
      <c r="M841" s="36"/>
      <c r="N841" s="36"/>
      <c r="O841" s="102"/>
      <c r="P841" s="36"/>
      <c r="Q841" s="36"/>
      <c r="R841" s="37"/>
      <c r="S841" s="37"/>
      <c r="T841" s="60" t="str">
        <f t="shared" si="28"/>
        <v/>
      </c>
      <c r="U841" s="38"/>
      <c r="V841" s="38"/>
      <c r="W841" s="38" t="str">
        <f>IF(B841="","",COUNTIFS(Ejecucion[No. Solicitud],Registro!B841,Ejecucion[Estado],"Finalizado"))</f>
        <v/>
      </c>
      <c r="X841" s="38" t="str">
        <f>IF(B841="","",COUNTIFS(Ejecucion[No. Solicitud],Registro!B841,Ejecucion[Estado],"No Iniciado"))</f>
        <v/>
      </c>
      <c r="Y841" s="64" t="str">
        <f>IF(B841="","",COUNTIFS(Ejecucion[No. Solicitud],Registro!B841,Ejecucion[Estado],"En Proceso"))</f>
        <v/>
      </c>
      <c r="Z841" s="64" t="str">
        <f t="shared" si="27"/>
        <v/>
      </c>
      <c r="AA841" s="64"/>
      <c r="AB841" s="64"/>
      <c r="AC841" s="64"/>
      <c r="AD841" s="102"/>
    </row>
    <row r="842" spans="2:30" s="15" customFormat="1">
      <c r="B842" s="36"/>
      <c r="C842" s="102"/>
      <c r="D842" s="36"/>
      <c r="E842" s="22"/>
      <c r="F842" s="83"/>
      <c r="G842" s="83"/>
      <c r="H842" s="25"/>
      <c r="I842" s="25"/>
      <c r="J842" s="25"/>
      <c r="K842" s="25"/>
      <c r="L842" s="36"/>
      <c r="M842" s="36"/>
      <c r="N842" s="36"/>
      <c r="O842" s="102"/>
      <c r="P842" s="36"/>
      <c r="Q842" s="36"/>
      <c r="R842" s="37"/>
      <c r="S842" s="37"/>
      <c r="T842" s="60" t="str">
        <f t="shared" si="28"/>
        <v/>
      </c>
      <c r="U842" s="38"/>
      <c r="V842" s="38"/>
      <c r="W842" s="38" t="str">
        <f>IF(B842="","",COUNTIFS(Ejecucion[No. Solicitud],Registro!B842,Ejecucion[Estado],"Finalizado"))</f>
        <v/>
      </c>
      <c r="X842" s="38" t="str">
        <f>IF(B842="","",COUNTIFS(Ejecucion[No. Solicitud],Registro!B842,Ejecucion[Estado],"No Iniciado"))</f>
        <v/>
      </c>
      <c r="Y842" s="64" t="str">
        <f>IF(B842="","",COUNTIFS(Ejecucion[No. Solicitud],Registro!B842,Ejecucion[Estado],"En Proceso"))</f>
        <v/>
      </c>
      <c r="Z842" s="64" t="str">
        <f t="shared" si="27"/>
        <v/>
      </c>
      <c r="AA842" s="64"/>
      <c r="AB842" s="64"/>
      <c r="AC842" s="64"/>
      <c r="AD842" s="102"/>
    </row>
    <row r="843" spans="2:30" s="15" customFormat="1">
      <c r="B843" s="36"/>
      <c r="C843" s="102"/>
      <c r="D843" s="36"/>
      <c r="E843" s="22"/>
      <c r="F843" s="83"/>
      <c r="G843" s="83"/>
      <c r="H843" s="25"/>
      <c r="I843" s="25"/>
      <c r="J843" s="25"/>
      <c r="K843" s="25"/>
      <c r="L843" s="36"/>
      <c r="M843" s="36"/>
      <c r="N843" s="36"/>
      <c r="O843" s="102"/>
      <c r="P843" s="36"/>
      <c r="Q843" s="36"/>
      <c r="R843" s="37"/>
      <c r="S843" s="37"/>
      <c r="T843" s="60" t="str">
        <f t="shared" si="28"/>
        <v/>
      </c>
      <c r="U843" s="38"/>
      <c r="V843" s="38"/>
      <c r="W843" s="38" t="str">
        <f>IF(B843="","",COUNTIFS(Ejecucion[No. Solicitud],Registro!B843,Ejecucion[Estado],"Finalizado"))</f>
        <v/>
      </c>
      <c r="X843" s="38" t="str">
        <f>IF(B843="","",COUNTIFS(Ejecucion[No. Solicitud],Registro!B843,Ejecucion[Estado],"No Iniciado"))</f>
        <v/>
      </c>
      <c r="Y843" s="64" t="str">
        <f>IF(B843="","",COUNTIFS(Ejecucion[No. Solicitud],Registro!B843,Ejecucion[Estado],"En Proceso"))</f>
        <v/>
      </c>
      <c r="Z843" s="64" t="str">
        <f t="shared" si="27"/>
        <v/>
      </c>
      <c r="AA843" s="64"/>
      <c r="AB843" s="64"/>
      <c r="AC843" s="64"/>
      <c r="AD843" s="102"/>
    </row>
    <row r="844" spans="2:30" s="15" customFormat="1">
      <c r="B844" s="36"/>
      <c r="C844" s="102"/>
      <c r="D844" s="36"/>
      <c r="E844" s="22"/>
      <c r="F844" s="83"/>
      <c r="G844" s="83"/>
      <c r="H844" s="25"/>
      <c r="I844" s="25"/>
      <c r="J844" s="25"/>
      <c r="K844" s="25"/>
      <c r="L844" s="36"/>
      <c r="M844" s="36"/>
      <c r="N844" s="36"/>
      <c r="O844" s="102"/>
      <c r="P844" s="36"/>
      <c r="Q844" s="36"/>
      <c r="R844" s="37"/>
      <c r="S844" s="37"/>
      <c r="T844" s="60" t="str">
        <f t="shared" si="28"/>
        <v/>
      </c>
      <c r="U844" s="38"/>
      <c r="V844" s="38"/>
      <c r="W844" s="38" t="str">
        <f>IF(B844="","",COUNTIFS(Ejecucion[No. Solicitud],Registro!B844,Ejecucion[Estado],"Finalizado"))</f>
        <v/>
      </c>
      <c r="X844" s="38" t="str">
        <f>IF(B844="","",COUNTIFS(Ejecucion[No. Solicitud],Registro!B844,Ejecucion[Estado],"No Iniciado"))</f>
        <v/>
      </c>
      <c r="Y844" s="64" t="str">
        <f>IF(B844="","",COUNTIFS(Ejecucion[No. Solicitud],Registro!B844,Ejecucion[Estado],"En Proceso"))</f>
        <v/>
      </c>
      <c r="Z844" s="64" t="str">
        <f t="shared" si="27"/>
        <v/>
      </c>
      <c r="AA844" s="64"/>
      <c r="AB844" s="64"/>
      <c r="AC844" s="64"/>
      <c r="AD844" s="102"/>
    </row>
    <row r="845" spans="2:30" s="15" customFormat="1">
      <c r="B845" s="36"/>
      <c r="C845" s="102"/>
      <c r="D845" s="36"/>
      <c r="E845" s="22"/>
      <c r="F845" s="83"/>
      <c r="G845" s="83"/>
      <c r="H845" s="25"/>
      <c r="I845" s="25"/>
      <c r="J845" s="25"/>
      <c r="K845" s="25"/>
      <c r="L845" s="36"/>
      <c r="M845" s="36"/>
      <c r="N845" s="36"/>
      <c r="O845" s="102"/>
      <c r="P845" s="36"/>
      <c r="Q845" s="36"/>
      <c r="R845" s="37"/>
      <c r="S845" s="37"/>
      <c r="T845" s="60" t="str">
        <f t="shared" si="28"/>
        <v/>
      </c>
      <c r="U845" s="38"/>
      <c r="V845" s="38"/>
      <c r="W845" s="38" t="str">
        <f>IF(B845="","",COUNTIFS(Ejecucion[No. Solicitud],Registro!B845,Ejecucion[Estado],"Finalizado"))</f>
        <v/>
      </c>
      <c r="X845" s="38" t="str">
        <f>IF(B845="","",COUNTIFS(Ejecucion[No. Solicitud],Registro!B845,Ejecucion[Estado],"No Iniciado"))</f>
        <v/>
      </c>
      <c r="Y845" s="64" t="str">
        <f>IF(B845="","",COUNTIFS(Ejecucion[No. Solicitud],Registro!B845,Ejecucion[Estado],"En Proceso"))</f>
        <v/>
      </c>
      <c r="Z845" s="64" t="str">
        <f t="shared" si="27"/>
        <v/>
      </c>
      <c r="AA845" s="64"/>
      <c r="AB845" s="64"/>
      <c r="AC845" s="64"/>
      <c r="AD845" s="102"/>
    </row>
    <row r="846" spans="2:30" s="15" customFormat="1">
      <c r="B846" s="36"/>
      <c r="C846" s="102"/>
      <c r="D846" s="36"/>
      <c r="E846" s="22"/>
      <c r="F846" s="83"/>
      <c r="G846" s="83"/>
      <c r="H846" s="25"/>
      <c r="I846" s="25"/>
      <c r="J846" s="25"/>
      <c r="K846" s="25"/>
      <c r="L846" s="36"/>
      <c r="M846" s="36"/>
      <c r="N846" s="36"/>
      <c r="O846" s="102"/>
      <c r="P846" s="36"/>
      <c r="Q846" s="36"/>
      <c r="R846" s="37"/>
      <c r="S846" s="37"/>
      <c r="T846" s="60" t="str">
        <f t="shared" si="28"/>
        <v/>
      </c>
      <c r="U846" s="38"/>
      <c r="V846" s="38"/>
      <c r="W846" s="38" t="str">
        <f>IF(B846="","",COUNTIFS(Ejecucion[No. Solicitud],Registro!B846,Ejecucion[Estado],"Finalizado"))</f>
        <v/>
      </c>
      <c r="X846" s="38" t="str">
        <f>IF(B846="","",COUNTIFS(Ejecucion[No. Solicitud],Registro!B846,Ejecucion[Estado],"No Iniciado"))</f>
        <v/>
      </c>
      <c r="Y846" s="64" t="str">
        <f>IF(B846="","",COUNTIFS(Ejecucion[No. Solicitud],Registro!B846,Ejecucion[Estado],"En Proceso"))</f>
        <v/>
      </c>
      <c r="Z846" s="64" t="str">
        <f t="shared" si="27"/>
        <v/>
      </c>
      <c r="AA846" s="64"/>
      <c r="AB846" s="64"/>
      <c r="AC846" s="64"/>
      <c r="AD846" s="102"/>
    </row>
    <row r="847" spans="2:30" s="15" customFormat="1">
      <c r="B847" s="36"/>
      <c r="C847" s="102"/>
      <c r="D847" s="36"/>
      <c r="E847" s="22"/>
      <c r="F847" s="83"/>
      <c r="G847" s="83"/>
      <c r="H847" s="25"/>
      <c r="I847" s="25"/>
      <c r="J847" s="25"/>
      <c r="K847" s="25"/>
      <c r="L847" s="36"/>
      <c r="M847" s="36"/>
      <c r="N847" s="36"/>
      <c r="O847" s="102"/>
      <c r="P847" s="36"/>
      <c r="Q847" s="36"/>
      <c r="R847" s="37"/>
      <c r="S847" s="37"/>
      <c r="T847" s="60" t="str">
        <f t="shared" si="28"/>
        <v/>
      </c>
      <c r="U847" s="38"/>
      <c r="V847" s="38"/>
      <c r="W847" s="38" t="str">
        <f>IF(B847="","",COUNTIFS(Ejecucion[No. Solicitud],Registro!B847,Ejecucion[Estado],"Finalizado"))</f>
        <v/>
      </c>
      <c r="X847" s="38" t="str">
        <f>IF(B847="","",COUNTIFS(Ejecucion[No. Solicitud],Registro!B847,Ejecucion[Estado],"No Iniciado"))</f>
        <v/>
      </c>
      <c r="Y847" s="64" t="str">
        <f>IF(B847="","",COUNTIFS(Ejecucion[No. Solicitud],Registro!B847,Ejecucion[Estado],"En Proceso"))</f>
        <v/>
      </c>
      <c r="Z847" s="64" t="str">
        <f t="shared" si="27"/>
        <v/>
      </c>
      <c r="AA847" s="64"/>
      <c r="AB847" s="64"/>
      <c r="AC847" s="64"/>
      <c r="AD847" s="102"/>
    </row>
    <row r="848" spans="2:30" s="15" customFormat="1">
      <c r="B848" s="36"/>
      <c r="C848" s="102"/>
      <c r="D848" s="36"/>
      <c r="E848" s="22"/>
      <c r="F848" s="83"/>
      <c r="G848" s="83"/>
      <c r="H848" s="25"/>
      <c r="I848" s="25"/>
      <c r="J848" s="25"/>
      <c r="K848" s="25"/>
      <c r="L848" s="36"/>
      <c r="M848" s="36"/>
      <c r="N848" s="36"/>
      <c r="O848" s="102"/>
      <c r="P848" s="36"/>
      <c r="Q848" s="36"/>
      <c r="R848" s="37"/>
      <c r="S848" s="37"/>
      <c r="T848" s="60" t="str">
        <f t="shared" si="28"/>
        <v/>
      </c>
      <c r="U848" s="38"/>
      <c r="V848" s="38"/>
      <c r="W848" s="38" t="str">
        <f>IF(B848="","",COUNTIFS(Ejecucion[No. Solicitud],Registro!B848,Ejecucion[Estado],"Finalizado"))</f>
        <v/>
      </c>
      <c r="X848" s="38" t="str">
        <f>IF(B848="","",COUNTIFS(Ejecucion[No. Solicitud],Registro!B848,Ejecucion[Estado],"No Iniciado"))</f>
        <v/>
      </c>
      <c r="Y848" s="64" t="str">
        <f>IF(B848="","",COUNTIFS(Ejecucion[No. Solicitud],Registro!B848,Ejecucion[Estado],"En Proceso"))</f>
        <v/>
      </c>
      <c r="Z848" s="64" t="str">
        <f t="shared" si="27"/>
        <v/>
      </c>
      <c r="AA848" s="64"/>
      <c r="AB848" s="64"/>
      <c r="AC848" s="64"/>
      <c r="AD848" s="102"/>
    </row>
    <row r="849" spans="2:30" s="15" customFormat="1">
      <c r="B849" s="36"/>
      <c r="C849" s="102"/>
      <c r="D849" s="36"/>
      <c r="E849" s="22"/>
      <c r="F849" s="83"/>
      <c r="G849" s="83"/>
      <c r="H849" s="25"/>
      <c r="I849" s="25"/>
      <c r="J849" s="25"/>
      <c r="K849" s="25"/>
      <c r="L849" s="36"/>
      <c r="M849" s="36"/>
      <c r="N849" s="36"/>
      <c r="O849" s="102"/>
      <c r="P849" s="36"/>
      <c r="Q849" s="36"/>
      <c r="R849" s="37"/>
      <c r="S849" s="37"/>
      <c r="T849" s="60" t="str">
        <f t="shared" si="28"/>
        <v/>
      </c>
      <c r="U849" s="38"/>
      <c r="V849" s="38"/>
      <c r="W849" s="38" t="str">
        <f>IF(B849="","",COUNTIFS(Ejecucion[No. Solicitud],Registro!B849,Ejecucion[Estado],"Finalizado"))</f>
        <v/>
      </c>
      <c r="X849" s="38" t="str">
        <f>IF(B849="","",COUNTIFS(Ejecucion[No. Solicitud],Registro!B849,Ejecucion[Estado],"No Iniciado"))</f>
        <v/>
      </c>
      <c r="Y849" s="64" t="str">
        <f>IF(B849="","",COUNTIFS(Ejecucion[No. Solicitud],Registro!B849,Ejecucion[Estado],"En Proceso"))</f>
        <v/>
      </c>
      <c r="Z849" s="64" t="str">
        <f t="shared" si="27"/>
        <v/>
      </c>
      <c r="AA849" s="64"/>
      <c r="AB849" s="64"/>
      <c r="AC849" s="64"/>
      <c r="AD849" s="102"/>
    </row>
    <row r="850" spans="2:30" s="15" customFormat="1">
      <c r="B850" s="36"/>
      <c r="C850" s="102"/>
      <c r="D850" s="36"/>
      <c r="E850" s="22"/>
      <c r="F850" s="83"/>
      <c r="G850" s="83"/>
      <c r="H850" s="25"/>
      <c r="I850" s="25"/>
      <c r="J850" s="25"/>
      <c r="K850" s="25"/>
      <c r="L850" s="36"/>
      <c r="M850" s="36"/>
      <c r="N850" s="36"/>
      <c r="O850" s="102"/>
      <c r="P850" s="36"/>
      <c r="Q850" s="36"/>
      <c r="R850" s="37"/>
      <c r="S850" s="37"/>
      <c r="T850" s="60" t="str">
        <f t="shared" si="28"/>
        <v/>
      </c>
      <c r="U850" s="38"/>
      <c r="V850" s="38"/>
      <c r="W850" s="38" t="str">
        <f>IF(B850="","",COUNTIFS(Ejecucion[No. Solicitud],Registro!B850,Ejecucion[Estado],"Finalizado"))</f>
        <v/>
      </c>
      <c r="X850" s="38" t="str">
        <f>IF(B850="","",COUNTIFS(Ejecucion[No. Solicitud],Registro!B850,Ejecucion[Estado],"No Iniciado"))</f>
        <v/>
      </c>
      <c r="Y850" s="64" t="str">
        <f>IF(B850="","",COUNTIFS(Ejecucion[No. Solicitud],Registro!B850,Ejecucion[Estado],"En Proceso"))</f>
        <v/>
      </c>
      <c r="Z850" s="64" t="str">
        <f t="shared" si="27"/>
        <v/>
      </c>
      <c r="AA850" s="64"/>
      <c r="AB850" s="64"/>
      <c r="AC850" s="64"/>
      <c r="AD850" s="102"/>
    </row>
    <row r="851" spans="2:30" s="15" customFormat="1">
      <c r="B851" s="36"/>
      <c r="C851" s="102"/>
      <c r="D851" s="36"/>
      <c r="E851" s="22"/>
      <c r="F851" s="83"/>
      <c r="G851" s="83"/>
      <c r="H851" s="25"/>
      <c r="I851" s="25"/>
      <c r="J851" s="25"/>
      <c r="K851" s="25"/>
      <c r="L851" s="36"/>
      <c r="M851" s="36"/>
      <c r="N851" s="36"/>
      <c r="O851" s="102"/>
      <c r="P851" s="36"/>
      <c r="Q851" s="36"/>
      <c r="R851" s="37"/>
      <c r="S851" s="37"/>
      <c r="T851" s="60" t="str">
        <f t="shared" si="28"/>
        <v/>
      </c>
      <c r="U851" s="38"/>
      <c r="V851" s="38"/>
      <c r="W851" s="38" t="str">
        <f>IF(B851="","",COUNTIFS(Ejecucion[No. Solicitud],Registro!B851,Ejecucion[Estado],"Finalizado"))</f>
        <v/>
      </c>
      <c r="X851" s="38" t="str">
        <f>IF(B851="","",COUNTIFS(Ejecucion[No. Solicitud],Registro!B851,Ejecucion[Estado],"No Iniciado"))</f>
        <v/>
      </c>
      <c r="Y851" s="64" t="str">
        <f>IF(B851="","",COUNTIFS(Ejecucion[No. Solicitud],Registro!B851,Ejecucion[Estado],"En Proceso"))</f>
        <v/>
      </c>
      <c r="Z851" s="64" t="str">
        <f t="shared" si="27"/>
        <v/>
      </c>
      <c r="AA851" s="64"/>
      <c r="AB851" s="64"/>
      <c r="AC851" s="64"/>
      <c r="AD851" s="102"/>
    </row>
    <row r="852" spans="2:30" s="15" customFormat="1">
      <c r="B852" s="36"/>
      <c r="C852" s="102"/>
      <c r="D852" s="36"/>
      <c r="E852" s="22"/>
      <c r="F852" s="83"/>
      <c r="G852" s="83"/>
      <c r="H852" s="25"/>
      <c r="I852" s="25"/>
      <c r="J852" s="25"/>
      <c r="K852" s="25"/>
      <c r="L852" s="36"/>
      <c r="M852" s="36"/>
      <c r="N852" s="36"/>
      <c r="O852" s="102"/>
      <c r="P852" s="36"/>
      <c r="Q852" s="36"/>
      <c r="R852" s="37"/>
      <c r="S852" s="37"/>
      <c r="T852" s="60" t="str">
        <f t="shared" si="28"/>
        <v/>
      </c>
      <c r="U852" s="38"/>
      <c r="V852" s="38"/>
      <c r="W852" s="38" t="str">
        <f>IF(B852="","",COUNTIFS(Ejecucion[No. Solicitud],Registro!B852,Ejecucion[Estado],"Finalizado"))</f>
        <v/>
      </c>
      <c r="X852" s="38" t="str">
        <f>IF(B852="","",COUNTIFS(Ejecucion[No. Solicitud],Registro!B852,Ejecucion[Estado],"No Iniciado"))</f>
        <v/>
      </c>
      <c r="Y852" s="64" t="str">
        <f>IF(B852="","",COUNTIFS(Ejecucion[No. Solicitud],Registro!B852,Ejecucion[Estado],"En Proceso"))</f>
        <v/>
      </c>
      <c r="Z852" s="64" t="str">
        <f t="shared" si="27"/>
        <v/>
      </c>
      <c r="AA852" s="64"/>
      <c r="AB852" s="64"/>
      <c r="AC852" s="64"/>
      <c r="AD852" s="102"/>
    </row>
    <row r="853" spans="2:30" s="15" customFormat="1">
      <c r="B853" s="36"/>
      <c r="C853" s="102"/>
      <c r="D853" s="36"/>
      <c r="E853" s="22"/>
      <c r="F853" s="83"/>
      <c r="G853" s="83"/>
      <c r="H853" s="25"/>
      <c r="I853" s="25"/>
      <c r="J853" s="25"/>
      <c r="K853" s="25"/>
      <c r="L853" s="36"/>
      <c r="M853" s="36"/>
      <c r="N853" s="36"/>
      <c r="O853" s="102"/>
      <c r="P853" s="36"/>
      <c r="Q853" s="36"/>
      <c r="R853" s="37"/>
      <c r="S853" s="37"/>
      <c r="T853" s="60" t="str">
        <f t="shared" si="28"/>
        <v/>
      </c>
      <c r="U853" s="38"/>
      <c r="V853" s="38"/>
      <c r="W853" s="38" t="str">
        <f>IF(B853="","",COUNTIFS(Ejecucion[No. Solicitud],Registro!B853,Ejecucion[Estado],"Finalizado"))</f>
        <v/>
      </c>
      <c r="X853" s="38" t="str">
        <f>IF(B853="","",COUNTIFS(Ejecucion[No. Solicitud],Registro!B853,Ejecucion[Estado],"No Iniciado"))</f>
        <v/>
      </c>
      <c r="Y853" s="64" t="str">
        <f>IF(B853="","",COUNTIFS(Ejecucion[No. Solicitud],Registro!B853,Ejecucion[Estado],"En Proceso"))</f>
        <v/>
      </c>
      <c r="Z853" s="64" t="str">
        <f t="shared" si="27"/>
        <v/>
      </c>
      <c r="AA853" s="64"/>
      <c r="AB853" s="64"/>
      <c r="AC853" s="64"/>
      <c r="AD853" s="102"/>
    </row>
    <row r="854" spans="2:30" s="15" customFormat="1">
      <c r="B854" s="36"/>
      <c r="C854" s="102"/>
      <c r="D854" s="36"/>
      <c r="E854" s="22"/>
      <c r="F854" s="83"/>
      <c r="G854" s="83"/>
      <c r="H854" s="25"/>
      <c r="I854" s="25"/>
      <c r="J854" s="25"/>
      <c r="K854" s="25"/>
      <c r="L854" s="36"/>
      <c r="M854" s="36"/>
      <c r="N854" s="36"/>
      <c r="O854" s="102"/>
      <c r="P854" s="36"/>
      <c r="Q854" s="36"/>
      <c r="R854" s="37"/>
      <c r="S854" s="37"/>
      <c r="T854" s="60" t="str">
        <f t="shared" si="28"/>
        <v/>
      </c>
      <c r="U854" s="38"/>
      <c r="V854" s="38"/>
      <c r="W854" s="38" t="str">
        <f>IF(B854="","",COUNTIFS(Ejecucion[No. Solicitud],Registro!B854,Ejecucion[Estado],"Finalizado"))</f>
        <v/>
      </c>
      <c r="X854" s="38" t="str">
        <f>IF(B854="","",COUNTIFS(Ejecucion[No. Solicitud],Registro!B854,Ejecucion[Estado],"No Iniciado"))</f>
        <v/>
      </c>
      <c r="Y854" s="64" t="str">
        <f>IF(B854="","",COUNTIFS(Ejecucion[No. Solicitud],Registro!B854,Ejecucion[Estado],"En Proceso"))</f>
        <v/>
      </c>
      <c r="Z854" s="64" t="str">
        <f t="shared" si="27"/>
        <v/>
      </c>
      <c r="AA854" s="64"/>
      <c r="AB854" s="64"/>
      <c r="AC854" s="64"/>
      <c r="AD854" s="102"/>
    </row>
    <row r="855" spans="2:30" s="15" customFormat="1">
      <c r="B855" s="36"/>
      <c r="C855" s="102"/>
      <c r="D855" s="36"/>
      <c r="E855" s="22"/>
      <c r="F855" s="83"/>
      <c r="G855" s="83"/>
      <c r="H855" s="25"/>
      <c r="I855" s="25"/>
      <c r="J855" s="25"/>
      <c r="K855" s="25"/>
      <c r="L855" s="36"/>
      <c r="M855" s="36"/>
      <c r="N855" s="36"/>
      <c r="O855" s="102"/>
      <c r="P855" s="36"/>
      <c r="Q855" s="36"/>
      <c r="R855" s="37"/>
      <c r="S855" s="37"/>
      <c r="T855" s="60" t="str">
        <f t="shared" si="28"/>
        <v/>
      </c>
      <c r="U855" s="38"/>
      <c r="V855" s="38"/>
      <c r="W855" s="38" t="str">
        <f>IF(B855="","",COUNTIFS(Ejecucion[No. Solicitud],Registro!B855,Ejecucion[Estado],"Finalizado"))</f>
        <v/>
      </c>
      <c r="X855" s="38" t="str">
        <f>IF(B855="","",COUNTIFS(Ejecucion[No. Solicitud],Registro!B855,Ejecucion[Estado],"No Iniciado"))</f>
        <v/>
      </c>
      <c r="Y855" s="64" t="str">
        <f>IF(B855="","",COUNTIFS(Ejecucion[No. Solicitud],Registro!B855,Ejecucion[Estado],"En Proceso"))</f>
        <v/>
      </c>
      <c r="Z855" s="64" t="str">
        <f t="shared" si="27"/>
        <v/>
      </c>
      <c r="AA855" s="64"/>
      <c r="AB855" s="64"/>
      <c r="AC855" s="64"/>
      <c r="AD855" s="102"/>
    </row>
    <row r="856" spans="2:30" s="15" customFormat="1">
      <c r="B856" s="36"/>
      <c r="C856" s="102"/>
      <c r="D856" s="36"/>
      <c r="E856" s="22"/>
      <c r="F856" s="83"/>
      <c r="G856" s="83"/>
      <c r="H856" s="25"/>
      <c r="I856" s="25"/>
      <c r="J856" s="25"/>
      <c r="K856" s="25"/>
      <c r="L856" s="36"/>
      <c r="M856" s="36"/>
      <c r="N856" s="36"/>
      <c r="O856" s="102"/>
      <c r="P856" s="36"/>
      <c r="Q856" s="36"/>
      <c r="R856" s="37"/>
      <c r="S856" s="37"/>
      <c r="T856" s="60" t="str">
        <f t="shared" si="28"/>
        <v/>
      </c>
      <c r="U856" s="38"/>
      <c r="V856" s="38"/>
      <c r="W856" s="38" t="str">
        <f>IF(B856="","",COUNTIFS(Ejecucion[No. Solicitud],Registro!B856,Ejecucion[Estado],"Finalizado"))</f>
        <v/>
      </c>
      <c r="X856" s="38" t="str">
        <f>IF(B856="","",COUNTIFS(Ejecucion[No. Solicitud],Registro!B856,Ejecucion[Estado],"No Iniciado"))</f>
        <v/>
      </c>
      <c r="Y856" s="64" t="str">
        <f>IF(B856="","",COUNTIFS(Ejecucion[No. Solicitud],Registro!B856,Ejecucion[Estado],"En Proceso"))</f>
        <v/>
      </c>
      <c r="Z856" s="64" t="str">
        <f t="shared" si="27"/>
        <v/>
      </c>
      <c r="AA856" s="64"/>
      <c r="AB856" s="64"/>
      <c r="AC856" s="64"/>
      <c r="AD856" s="102"/>
    </row>
    <row r="857" spans="2:30" s="15" customFormat="1">
      <c r="B857" s="36"/>
      <c r="C857" s="102"/>
      <c r="D857" s="36"/>
      <c r="E857" s="22"/>
      <c r="F857" s="83"/>
      <c r="G857" s="83"/>
      <c r="H857" s="25"/>
      <c r="I857" s="25"/>
      <c r="J857" s="25"/>
      <c r="K857" s="25"/>
      <c r="L857" s="36"/>
      <c r="M857" s="36"/>
      <c r="N857" s="36"/>
      <c r="O857" s="102"/>
      <c r="P857" s="36"/>
      <c r="Q857" s="36"/>
      <c r="R857" s="37"/>
      <c r="S857" s="37"/>
      <c r="T857" s="60" t="str">
        <f t="shared" si="28"/>
        <v/>
      </c>
      <c r="U857" s="38"/>
      <c r="V857" s="38"/>
      <c r="W857" s="38" t="str">
        <f>IF(B857="","",COUNTIFS(Ejecucion[No. Solicitud],Registro!B857,Ejecucion[Estado],"Finalizado"))</f>
        <v/>
      </c>
      <c r="X857" s="38" t="str">
        <f>IF(B857="","",COUNTIFS(Ejecucion[No. Solicitud],Registro!B857,Ejecucion[Estado],"No Iniciado"))</f>
        <v/>
      </c>
      <c r="Y857" s="64" t="str">
        <f>IF(B857="","",COUNTIFS(Ejecucion[No. Solicitud],Registro!B857,Ejecucion[Estado],"En Proceso"))</f>
        <v/>
      </c>
      <c r="Z857" s="64" t="str">
        <f t="shared" si="27"/>
        <v/>
      </c>
      <c r="AA857" s="64"/>
      <c r="AB857" s="64"/>
      <c r="AC857" s="64"/>
      <c r="AD857" s="102"/>
    </row>
    <row r="858" spans="2:30" s="15" customFormat="1">
      <c r="B858" s="36"/>
      <c r="C858" s="102"/>
      <c r="D858" s="36"/>
      <c r="E858" s="22"/>
      <c r="F858" s="83"/>
      <c r="G858" s="83"/>
      <c r="H858" s="25"/>
      <c r="I858" s="25"/>
      <c r="J858" s="25"/>
      <c r="K858" s="25"/>
      <c r="L858" s="36"/>
      <c r="M858" s="36"/>
      <c r="N858" s="36"/>
      <c r="O858" s="102"/>
      <c r="P858" s="36"/>
      <c r="Q858" s="36"/>
      <c r="R858" s="37"/>
      <c r="S858" s="37"/>
      <c r="T858" s="60" t="str">
        <f t="shared" si="28"/>
        <v/>
      </c>
      <c r="U858" s="38"/>
      <c r="V858" s="38"/>
      <c r="W858" s="38" t="str">
        <f>IF(B858="","",COUNTIFS(Ejecucion[No. Solicitud],Registro!B858,Ejecucion[Estado],"Finalizado"))</f>
        <v/>
      </c>
      <c r="X858" s="38" t="str">
        <f>IF(B858="","",COUNTIFS(Ejecucion[No. Solicitud],Registro!B858,Ejecucion[Estado],"No Iniciado"))</f>
        <v/>
      </c>
      <c r="Y858" s="64" t="str">
        <f>IF(B858="","",COUNTIFS(Ejecucion[No. Solicitud],Registro!B858,Ejecucion[Estado],"En Proceso"))</f>
        <v/>
      </c>
      <c r="Z858" s="64" t="str">
        <f t="shared" ref="Z858:Z921" si="29">IF(U858="","",IF(F858="Virtual Asincrónico",1,V858*U858))</f>
        <v/>
      </c>
      <c r="AA858" s="64"/>
      <c r="AB858" s="64"/>
      <c r="AC858" s="64"/>
      <c r="AD858" s="102"/>
    </row>
    <row r="859" spans="2:30" s="15" customFormat="1">
      <c r="B859" s="36"/>
      <c r="C859" s="102"/>
      <c r="D859" s="36"/>
      <c r="E859" s="22"/>
      <c r="F859" s="83"/>
      <c r="G859" s="83"/>
      <c r="H859" s="25"/>
      <c r="I859" s="25"/>
      <c r="J859" s="25"/>
      <c r="K859" s="25"/>
      <c r="L859" s="36"/>
      <c r="M859" s="36"/>
      <c r="N859" s="36"/>
      <c r="O859" s="102"/>
      <c r="P859" s="36"/>
      <c r="Q859" s="36"/>
      <c r="R859" s="37"/>
      <c r="S859" s="37"/>
      <c r="T859" s="60" t="str">
        <f t="shared" si="28"/>
        <v/>
      </c>
      <c r="U859" s="38"/>
      <c r="V859" s="38"/>
      <c r="W859" s="38" t="str">
        <f>IF(B859="","",COUNTIFS(Ejecucion[No. Solicitud],Registro!B859,Ejecucion[Estado],"Finalizado"))</f>
        <v/>
      </c>
      <c r="X859" s="38" t="str">
        <f>IF(B859="","",COUNTIFS(Ejecucion[No. Solicitud],Registro!B859,Ejecucion[Estado],"No Iniciado"))</f>
        <v/>
      </c>
      <c r="Y859" s="64" t="str">
        <f>IF(B859="","",COUNTIFS(Ejecucion[No. Solicitud],Registro!B859,Ejecucion[Estado],"En Proceso"))</f>
        <v/>
      </c>
      <c r="Z859" s="64" t="str">
        <f t="shared" si="29"/>
        <v/>
      </c>
      <c r="AA859" s="64"/>
      <c r="AB859" s="64"/>
      <c r="AC859" s="64"/>
      <c r="AD859" s="102"/>
    </row>
    <row r="860" spans="2:30" s="15" customFormat="1">
      <c r="B860" s="36"/>
      <c r="C860" s="102"/>
      <c r="D860" s="36"/>
      <c r="E860" s="22"/>
      <c r="F860" s="83"/>
      <c r="G860" s="83"/>
      <c r="H860" s="25"/>
      <c r="I860" s="25"/>
      <c r="J860" s="25"/>
      <c r="K860" s="25"/>
      <c r="L860" s="36"/>
      <c r="M860" s="36"/>
      <c r="N860" s="36"/>
      <c r="O860" s="102"/>
      <c r="P860" s="36"/>
      <c r="Q860" s="36"/>
      <c r="R860" s="37"/>
      <c r="S860" s="37"/>
      <c r="T860" s="60" t="str">
        <f t="shared" si="28"/>
        <v/>
      </c>
      <c r="U860" s="38"/>
      <c r="V860" s="38"/>
      <c r="W860" s="38" t="str">
        <f>IF(B860="","",COUNTIFS(Ejecucion[No. Solicitud],Registro!B860,Ejecucion[Estado],"Finalizado"))</f>
        <v/>
      </c>
      <c r="X860" s="38" t="str">
        <f>IF(B860="","",COUNTIFS(Ejecucion[No. Solicitud],Registro!B860,Ejecucion[Estado],"No Iniciado"))</f>
        <v/>
      </c>
      <c r="Y860" s="64" t="str">
        <f>IF(B860="","",COUNTIFS(Ejecucion[No. Solicitud],Registro!B860,Ejecucion[Estado],"En Proceso"))</f>
        <v/>
      </c>
      <c r="Z860" s="64" t="str">
        <f t="shared" si="29"/>
        <v/>
      </c>
      <c r="AA860" s="64"/>
      <c r="AB860" s="64"/>
      <c r="AC860" s="64"/>
      <c r="AD860" s="102"/>
    </row>
    <row r="861" spans="2:30" s="15" customFormat="1">
      <c r="B861" s="36"/>
      <c r="C861" s="102"/>
      <c r="D861" s="36"/>
      <c r="E861" s="22"/>
      <c r="F861" s="83"/>
      <c r="G861" s="83"/>
      <c r="H861" s="25"/>
      <c r="I861" s="25"/>
      <c r="J861" s="25"/>
      <c r="K861" s="25"/>
      <c r="L861" s="36"/>
      <c r="M861" s="36"/>
      <c r="N861" s="36"/>
      <c r="O861" s="102"/>
      <c r="P861" s="36"/>
      <c r="Q861" s="36"/>
      <c r="R861" s="37"/>
      <c r="S861" s="37"/>
      <c r="T861" s="60" t="str">
        <f t="shared" si="28"/>
        <v/>
      </c>
      <c r="U861" s="38"/>
      <c r="V861" s="38"/>
      <c r="W861" s="38" t="str">
        <f>IF(B861="","",COUNTIFS(Ejecucion[No. Solicitud],Registro!B861,Ejecucion[Estado],"Finalizado"))</f>
        <v/>
      </c>
      <c r="X861" s="38" t="str">
        <f>IF(B861="","",COUNTIFS(Ejecucion[No. Solicitud],Registro!B861,Ejecucion[Estado],"No Iniciado"))</f>
        <v/>
      </c>
      <c r="Y861" s="64" t="str">
        <f>IF(B861="","",COUNTIFS(Ejecucion[No. Solicitud],Registro!B861,Ejecucion[Estado],"En Proceso"))</f>
        <v/>
      </c>
      <c r="Z861" s="64" t="str">
        <f t="shared" si="29"/>
        <v/>
      </c>
      <c r="AA861" s="64"/>
      <c r="AB861" s="64"/>
      <c r="AC861" s="64"/>
      <c r="AD861" s="102"/>
    </row>
    <row r="862" spans="2:30" s="15" customFormat="1">
      <c r="B862" s="36"/>
      <c r="C862" s="102"/>
      <c r="D862" s="36"/>
      <c r="E862" s="22"/>
      <c r="F862" s="83"/>
      <c r="G862" s="83"/>
      <c r="H862" s="25"/>
      <c r="I862" s="25"/>
      <c r="J862" s="25"/>
      <c r="K862" s="25"/>
      <c r="L862" s="36"/>
      <c r="M862" s="36"/>
      <c r="N862" s="36"/>
      <c r="O862" s="102"/>
      <c r="P862" s="36"/>
      <c r="Q862" s="36"/>
      <c r="R862" s="37"/>
      <c r="S862" s="37"/>
      <c r="T862" s="60" t="str">
        <f t="shared" si="28"/>
        <v/>
      </c>
      <c r="U862" s="38"/>
      <c r="V862" s="38"/>
      <c r="W862" s="38" t="str">
        <f>IF(B862="","",COUNTIFS(Ejecucion[No. Solicitud],Registro!B862,Ejecucion[Estado],"Finalizado"))</f>
        <v/>
      </c>
      <c r="X862" s="38" t="str">
        <f>IF(B862="","",COUNTIFS(Ejecucion[No. Solicitud],Registro!B862,Ejecucion[Estado],"No Iniciado"))</f>
        <v/>
      </c>
      <c r="Y862" s="64" t="str">
        <f>IF(B862="","",COUNTIFS(Ejecucion[No. Solicitud],Registro!B862,Ejecucion[Estado],"En Proceso"))</f>
        <v/>
      </c>
      <c r="Z862" s="64" t="str">
        <f t="shared" si="29"/>
        <v/>
      </c>
      <c r="AA862" s="64"/>
      <c r="AB862" s="64"/>
      <c r="AC862" s="64"/>
      <c r="AD862" s="102"/>
    </row>
    <row r="863" spans="2:30" s="15" customFormat="1">
      <c r="B863" s="36"/>
      <c r="C863" s="102"/>
      <c r="D863" s="36"/>
      <c r="E863" s="22"/>
      <c r="F863" s="83"/>
      <c r="G863" s="83"/>
      <c r="H863" s="25"/>
      <c r="I863" s="25"/>
      <c r="J863" s="25"/>
      <c r="K863" s="25"/>
      <c r="L863" s="36"/>
      <c r="M863" s="36"/>
      <c r="N863" s="36"/>
      <c r="O863" s="102"/>
      <c r="P863" s="36"/>
      <c r="Q863" s="36"/>
      <c r="R863" s="37"/>
      <c r="S863" s="37"/>
      <c r="T863" s="60" t="str">
        <f t="shared" si="28"/>
        <v/>
      </c>
      <c r="U863" s="38"/>
      <c r="V863" s="38"/>
      <c r="W863" s="38" t="str">
        <f>IF(B863="","",COUNTIFS(Ejecucion[No. Solicitud],Registro!B863,Ejecucion[Estado],"Finalizado"))</f>
        <v/>
      </c>
      <c r="X863" s="38" t="str">
        <f>IF(B863="","",COUNTIFS(Ejecucion[No. Solicitud],Registro!B863,Ejecucion[Estado],"No Iniciado"))</f>
        <v/>
      </c>
      <c r="Y863" s="64" t="str">
        <f>IF(B863="","",COUNTIFS(Ejecucion[No. Solicitud],Registro!B863,Ejecucion[Estado],"En Proceso"))</f>
        <v/>
      </c>
      <c r="Z863" s="64" t="str">
        <f t="shared" si="29"/>
        <v/>
      </c>
      <c r="AA863" s="64"/>
      <c r="AB863" s="64"/>
      <c r="AC863" s="64"/>
      <c r="AD863" s="102"/>
    </row>
    <row r="864" spans="2:30" s="15" customFormat="1">
      <c r="B864" s="36"/>
      <c r="C864" s="102"/>
      <c r="D864" s="36"/>
      <c r="E864" s="22"/>
      <c r="F864" s="83"/>
      <c r="G864" s="83"/>
      <c r="H864" s="25"/>
      <c r="I864" s="25"/>
      <c r="J864" s="25"/>
      <c r="K864" s="25"/>
      <c r="L864" s="36"/>
      <c r="M864" s="36"/>
      <c r="N864" s="36"/>
      <c r="O864" s="102"/>
      <c r="P864" s="36"/>
      <c r="Q864" s="36"/>
      <c r="R864" s="37"/>
      <c r="S864" s="37"/>
      <c r="T864" s="60" t="str">
        <f t="shared" si="28"/>
        <v/>
      </c>
      <c r="U864" s="38"/>
      <c r="V864" s="38"/>
      <c r="W864" s="38" t="str">
        <f>IF(B864="","",COUNTIFS(Ejecucion[No. Solicitud],Registro!B864,Ejecucion[Estado],"Finalizado"))</f>
        <v/>
      </c>
      <c r="X864" s="38" t="str">
        <f>IF(B864="","",COUNTIFS(Ejecucion[No. Solicitud],Registro!B864,Ejecucion[Estado],"No Iniciado"))</f>
        <v/>
      </c>
      <c r="Y864" s="64" t="str">
        <f>IF(B864="","",COUNTIFS(Ejecucion[No. Solicitud],Registro!B864,Ejecucion[Estado],"En Proceso"))</f>
        <v/>
      </c>
      <c r="Z864" s="64" t="str">
        <f t="shared" si="29"/>
        <v/>
      </c>
      <c r="AA864" s="64"/>
      <c r="AB864" s="64"/>
      <c r="AC864" s="64"/>
      <c r="AD864" s="102"/>
    </row>
    <row r="865" spans="2:30" s="15" customFormat="1">
      <c r="B865" s="36"/>
      <c r="C865" s="102"/>
      <c r="D865" s="36"/>
      <c r="E865" s="22"/>
      <c r="F865" s="83"/>
      <c r="G865" s="83"/>
      <c r="H865" s="25"/>
      <c r="I865" s="25"/>
      <c r="J865" s="25"/>
      <c r="K865" s="25"/>
      <c r="L865" s="36"/>
      <c r="M865" s="36"/>
      <c r="N865" s="36"/>
      <c r="O865" s="102"/>
      <c r="P865" s="36"/>
      <c r="Q865" s="36"/>
      <c r="R865" s="37"/>
      <c r="S865" s="37"/>
      <c r="T865" s="60" t="str">
        <f t="shared" si="28"/>
        <v/>
      </c>
      <c r="U865" s="38"/>
      <c r="V865" s="38"/>
      <c r="W865" s="38" t="str">
        <f>IF(B865="","",COUNTIFS(Ejecucion[No. Solicitud],Registro!B865,Ejecucion[Estado],"Finalizado"))</f>
        <v/>
      </c>
      <c r="X865" s="38" t="str">
        <f>IF(B865="","",COUNTIFS(Ejecucion[No. Solicitud],Registro!B865,Ejecucion[Estado],"No Iniciado"))</f>
        <v/>
      </c>
      <c r="Y865" s="64" t="str">
        <f>IF(B865="","",COUNTIFS(Ejecucion[No. Solicitud],Registro!B865,Ejecucion[Estado],"En Proceso"))</f>
        <v/>
      </c>
      <c r="Z865" s="64" t="str">
        <f t="shared" si="29"/>
        <v/>
      </c>
      <c r="AA865" s="64"/>
      <c r="AB865" s="64"/>
      <c r="AC865" s="64"/>
      <c r="AD865" s="102"/>
    </row>
    <row r="866" spans="2:30" s="15" customFormat="1">
      <c r="B866" s="36"/>
      <c r="C866" s="102"/>
      <c r="D866" s="36"/>
      <c r="E866" s="22"/>
      <c r="F866" s="83"/>
      <c r="G866" s="83"/>
      <c r="H866" s="25"/>
      <c r="I866" s="25"/>
      <c r="J866" s="25"/>
      <c r="K866" s="25"/>
      <c r="L866" s="36"/>
      <c r="M866" s="36"/>
      <c r="N866" s="36"/>
      <c r="O866" s="102"/>
      <c r="P866" s="36"/>
      <c r="Q866" s="36"/>
      <c r="R866" s="37"/>
      <c r="S866" s="37"/>
      <c r="T866" s="60" t="str">
        <f t="shared" si="28"/>
        <v/>
      </c>
      <c r="U866" s="38"/>
      <c r="V866" s="38"/>
      <c r="W866" s="38" t="str">
        <f>IF(B866="","",COUNTIFS(Ejecucion[No. Solicitud],Registro!B866,Ejecucion[Estado],"Finalizado"))</f>
        <v/>
      </c>
      <c r="X866" s="38" t="str">
        <f>IF(B866="","",COUNTIFS(Ejecucion[No. Solicitud],Registro!B866,Ejecucion[Estado],"No Iniciado"))</f>
        <v/>
      </c>
      <c r="Y866" s="64" t="str">
        <f>IF(B866="","",COUNTIFS(Ejecucion[No. Solicitud],Registro!B866,Ejecucion[Estado],"En Proceso"))</f>
        <v/>
      </c>
      <c r="Z866" s="64" t="str">
        <f t="shared" si="29"/>
        <v/>
      </c>
      <c r="AA866" s="64"/>
      <c r="AB866" s="64"/>
      <c r="AC866" s="64"/>
      <c r="AD866" s="102"/>
    </row>
    <row r="867" spans="2:30" s="15" customFormat="1">
      <c r="B867" s="36"/>
      <c r="C867" s="102"/>
      <c r="D867" s="36"/>
      <c r="E867" s="22"/>
      <c r="F867" s="83"/>
      <c r="G867" s="83"/>
      <c r="H867" s="25"/>
      <c r="I867" s="25"/>
      <c r="J867" s="25"/>
      <c r="K867" s="25"/>
      <c r="L867" s="36"/>
      <c r="M867" s="36"/>
      <c r="N867" s="36"/>
      <c r="O867" s="102"/>
      <c r="P867" s="36"/>
      <c r="Q867" s="36"/>
      <c r="R867" s="37"/>
      <c r="S867" s="37"/>
      <c r="T867" s="60" t="str">
        <f t="shared" si="28"/>
        <v/>
      </c>
      <c r="U867" s="38"/>
      <c r="V867" s="38"/>
      <c r="W867" s="38" t="str">
        <f>IF(B867="","",COUNTIFS(Ejecucion[No. Solicitud],Registro!B867,Ejecucion[Estado],"Finalizado"))</f>
        <v/>
      </c>
      <c r="X867" s="38" t="str">
        <f>IF(B867="","",COUNTIFS(Ejecucion[No. Solicitud],Registro!B867,Ejecucion[Estado],"No Iniciado"))</f>
        <v/>
      </c>
      <c r="Y867" s="64" t="str">
        <f>IF(B867="","",COUNTIFS(Ejecucion[No. Solicitud],Registro!B867,Ejecucion[Estado],"En Proceso"))</f>
        <v/>
      </c>
      <c r="Z867" s="64" t="str">
        <f t="shared" si="29"/>
        <v/>
      </c>
      <c r="AA867" s="64"/>
      <c r="AB867" s="64"/>
      <c r="AC867" s="64"/>
      <c r="AD867" s="102"/>
    </row>
    <row r="868" spans="2:30" s="15" customFormat="1">
      <c r="B868" s="36"/>
      <c r="C868" s="102"/>
      <c r="D868" s="36"/>
      <c r="E868" s="22"/>
      <c r="F868" s="83"/>
      <c r="G868" s="83"/>
      <c r="H868" s="25"/>
      <c r="I868" s="25"/>
      <c r="J868" s="25"/>
      <c r="K868" s="25"/>
      <c r="L868" s="36"/>
      <c r="M868" s="36"/>
      <c r="N868" s="36"/>
      <c r="O868" s="102"/>
      <c r="P868" s="36"/>
      <c r="Q868" s="36"/>
      <c r="R868" s="37"/>
      <c r="S868" s="37"/>
      <c r="T868" s="60" t="str">
        <f t="shared" si="28"/>
        <v/>
      </c>
      <c r="U868" s="38"/>
      <c r="V868" s="38"/>
      <c r="W868" s="38" t="str">
        <f>IF(B868="","",COUNTIFS(Ejecucion[No. Solicitud],Registro!B868,Ejecucion[Estado],"Finalizado"))</f>
        <v/>
      </c>
      <c r="X868" s="38" t="str">
        <f>IF(B868="","",COUNTIFS(Ejecucion[No. Solicitud],Registro!B868,Ejecucion[Estado],"No Iniciado"))</f>
        <v/>
      </c>
      <c r="Y868" s="64" t="str">
        <f>IF(B868="","",COUNTIFS(Ejecucion[No. Solicitud],Registro!B868,Ejecucion[Estado],"En Proceso"))</f>
        <v/>
      </c>
      <c r="Z868" s="64" t="str">
        <f t="shared" si="29"/>
        <v/>
      </c>
      <c r="AA868" s="64"/>
      <c r="AB868" s="64"/>
      <c r="AC868" s="64"/>
      <c r="AD868" s="102"/>
    </row>
    <row r="869" spans="2:30" s="15" customFormat="1">
      <c r="B869" s="36"/>
      <c r="C869" s="102"/>
      <c r="D869" s="36"/>
      <c r="E869" s="22"/>
      <c r="F869" s="83"/>
      <c r="G869" s="83"/>
      <c r="H869" s="25"/>
      <c r="I869" s="25"/>
      <c r="J869" s="25"/>
      <c r="K869" s="25"/>
      <c r="L869" s="36"/>
      <c r="M869" s="36"/>
      <c r="N869" s="36"/>
      <c r="O869" s="102"/>
      <c r="P869" s="36"/>
      <c r="Q869" s="36"/>
      <c r="R869" s="37"/>
      <c r="S869" s="37"/>
      <c r="T869" s="60" t="str">
        <f t="shared" si="28"/>
        <v/>
      </c>
      <c r="U869" s="38"/>
      <c r="V869" s="38"/>
      <c r="W869" s="38" t="str">
        <f>IF(B869="","",COUNTIFS(Ejecucion[No. Solicitud],Registro!B869,Ejecucion[Estado],"Finalizado"))</f>
        <v/>
      </c>
      <c r="X869" s="38" t="str">
        <f>IF(B869="","",COUNTIFS(Ejecucion[No. Solicitud],Registro!B869,Ejecucion[Estado],"No Iniciado"))</f>
        <v/>
      </c>
      <c r="Y869" s="64" t="str">
        <f>IF(B869="","",COUNTIFS(Ejecucion[No. Solicitud],Registro!B869,Ejecucion[Estado],"En Proceso"))</f>
        <v/>
      </c>
      <c r="Z869" s="64" t="str">
        <f t="shared" si="29"/>
        <v/>
      </c>
      <c r="AA869" s="64"/>
      <c r="AB869" s="64"/>
      <c r="AC869" s="64"/>
      <c r="AD869" s="102"/>
    </row>
    <row r="870" spans="2:30" s="15" customFormat="1">
      <c r="B870" s="36"/>
      <c r="C870" s="102"/>
      <c r="D870" s="36"/>
      <c r="E870" s="22"/>
      <c r="F870" s="83"/>
      <c r="G870" s="83"/>
      <c r="H870" s="25"/>
      <c r="I870" s="25"/>
      <c r="J870" s="25"/>
      <c r="K870" s="25"/>
      <c r="L870" s="36"/>
      <c r="M870" s="36"/>
      <c r="N870" s="36"/>
      <c r="O870" s="102"/>
      <c r="P870" s="36"/>
      <c r="Q870" s="36"/>
      <c r="R870" s="37"/>
      <c r="S870" s="37"/>
      <c r="T870" s="60" t="str">
        <f t="shared" si="28"/>
        <v/>
      </c>
      <c r="U870" s="38"/>
      <c r="V870" s="38"/>
      <c r="W870" s="38" t="str">
        <f>IF(B870="","",COUNTIFS(Ejecucion[No. Solicitud],Registro!B870,Ejecucion[Estado],"Finalizado"))</f>
        <v/>
      </c>
      <c r="X870" s="38" t="str">
        <f>IF(B870="","",COUNTIFS(Ejecucion[No. Solicitud],Registro!B870,Ejecucion[Estado],"No Iniciado"))</f>
        <v/>
      </c>
      <c r="Y870" s="64" t="str">
        <f>IF(B870="","",COUNTIFS(Ejecucion[No. Solicitud],Registro!B870,Ejecucion[Estado],"En Proceso"))</f>
        <v/>
      </c>
      <c r="Z870" s="64" t="str">
        <f t="shared" si="29"/>
        <v/>
      </c>
      <c r="AA870" s="64"/>
      <c r="AB870" s="64"/>
      <c r="AC870" s="64"/>
      <c r="AD870" s="102"/>
    </row>
    <row r="871" spans="2:30" s="15" customFormat="1">
      <c r="B871" s="36"/>
      <c r="C871" s="102"/>
      <c r="D871" s="36"/>
      <c r="E871" s="22"/>
      <c r="F871" s="83"/>
      <c r="G871" s="83"/>
      <c r="H871" s="25"/>
      <c r="I871" s="25"/>
      <c r="J871" s="25"/>
      <c r="K871" s="25"/>
      <c r="L871" s="36"/>
      <c r="M871" s="36"/>
      <c r="N871" s="36"/>
      <c r="O871" s="102"/>
      <c r="P871" s="36"/>
      <c r="Q871" s="36"/>
      <c r="R871" s="37"/>
      <c r="S871" s="37"/>
      <c r="T871" s="60" t="str">
        <f t="shared" si="28"/>
        <v/>
      </c>
      <c r="U871" s="38"/>
      <c r="V871" s="38"/>
      <c r="W871" s="38" t="str">
        <f>IF(B871="","",COUNTIFS(Ejecucion[No. Solicitud],Registro!B871,Ejecucion[Estado],"Finalizado"))</f>
        <v/>
      </c>
      <c r="X871" s="38" t="str">
        <f>IF(B871="","",COUNTIFS(Ejecucion[No. Solicitud],Registro!B871,Ejecucion[Estado],"No Iniciado"))</f>
        <v/>
      </c>
      <c r="Y871" s="64" t="str">
        <f>IF(B871="","",COUNTIFS(Ejecucion[No. Solicitud],Registro!B871,Ejecucion[Estado],"En Proceso"))</f>
        <v/>
      </c>
      <c r="Z871" s="64" t="str">
        <f t="shared" si="29"/>
        <v/>
      </c>
      <c r="AA871" s="64"/>
      <c r="AB871" s="64"/>
      <c r="AC871" s="64"/>
      <c r="AD871" s="102"/>
    </row>
    <row r="872" spans="2:30" s="15" customFormat="1">
      <c r="B872" s="36"/>
      <c r="C872" s="102"/>
      <c r="D872" s="36"/>
      <c r="E872" s="22"/>
      <c r="F872" s="83"/>
      <c r="G872" s="83"/>
      <c r="H872" s="25"/>
      <c r="I872" s="25"/>
      <c r="J872" s="25"/>
      <c r="K872" s="25"/>
      <c r="L872" s="36"/>
      <c r="M872" s="36"/>
      <c r="N872" s="36"/>
      <c r="O872" s="102"/>
      <c r="P872" s="36"/>
      <c r="Q872" s="36"/>
      <c r="R872" s="37"/>
      <c r="S872" s="37"/>
      <c r="T872" s="60" t="str">
        <f t="shared" si="28"/>
        <v/>
      </c>
      <c r="U872" s="38"/>
      <c r="V872" s="38"/>
      <c r="W872" s="38" t="str">
        <f>IF(B872="","",COUNTIFS(Ejecucion[No. Solicitud],Registro!B872,Ejecucion[Estado],"Finalizado"))</f>
        <v/>
      </c>
      <c r="X872" s="38" t="str">
        <f>IF(B872="","",COUNTIFS(Ejecucion[No. Solicitud],Registro!B872,Ejecucion[Estado],"No Iniciado"))</f>
        <v/>
      </c>
      <c r="Y872" s="64" t="str">
        <f>IF(B872="","",COUNTIFS(Ejecucion[No. Solicitud],Registro!B872,Ejecucion[Estado],"En Proceso"))</f>
        <v/>
      </c>
      <c r="Z872" s="64" t="str">
        <f t="shared" si="29"/>
        <v/>
      </c>
      <c r="AA872" s="64"/>
      <c r="AB872" s="64"/>
      <c r="AC872" s="64"/>
      <c r="AD872" s="102"/>
    </row>
    <row r="873" spans="2:30" s="15" customFormat="1">
      <c r="B873" s="36"/>
      <c r="C873" s="102"/>
      <c r="D873" s="36"/>
      <c r="E873" s="22"/>
      <c r="F873" s="83"/>
      <c r="G873" s="83"/>
      <c r="H873" s="25"/>
      <c r="I873" s="25"/>
      <c r="J873" s="25"/>
      <c r="K873" s="25"/>
      <c r="L873" s="36"/>
      <c r="M873" s="36"/>
      <c r="N873" s="36"/>
      <c r="O873" s="102"/>
      <c r="P873" s="36"/>
      <c r="Q873" s="36"/>
      <c r="R873" s="37"/>
      <c r="S873" s="37"/>
      <c r="T873" s="60" t="str">
        <f t="shared" si="28"/>
        <v/>
      </c>
      <c r="U873" s="38"/>
      <c r="V873" s="38"/>
      <c r="W873" s="38" t="str">
        <f>IF(B873="","",COUNTIFS(Ejecucion[No. Solicitud],Registro!B873,Ejecucion[Estado],"Finalizado"))</f>
        <v/>
      </c>
      <c r="X873" s="38" t="str">
        <f>IF(B873="","",COUNTIFS(Ejecucion[No. Solicitud],Registro!B873,Ejecucion[Estado],"No Iniciado"))</f>
        <v/>
      </c>
      <c r="Y873" s="64" t="str">
        <f>IF(B873="","",COUNTIFS(Ejecucion[No. Solicitud],Registro!B873,Ejecucion[Estado],"En Proceso"))</f>
        <v/>
      </c>
      <c r="Z873" s="64" t="str">
        <f t="shared" si="29"/>
        <v/>
      </c>
      <c r="AA873" s="64"/>
      <c r="AB873" s="64"/>
      <c r="AC873" s="64"/>
      <c r="AD873" s="102"/>
    </row>
    <row r="874" spans="2:30" s="15" customFormat="1">
      <c r="B874" s="36"/>
      <c r="C874" s="102"/>
      <c r="D874" s="36"/>
      <c r="E874" s="22"/>
      <c r="F874" s="83"/>
      <c r="G874" s="83"/>
      <c r="H874" s="25"/>
      <c r="I874" s="25"/>
      <c r="J874" s="25"/>
      <c r="K874" s="25"/>
      <c r="L874" s="36"/>
      <c r="M874" s="36"/>
      <c r="N874" s="36"/>
      <c r="O874" s="102"/>
      <c r="P874" s="36"/>
      <c r="Q874" s="36"/>
      <c r="R874" s="37"/>
      <c r="S874" s="37"/>
      <c r="T874" s="60" t="str">
        <f t="shared" si="28"/>
        <v/>
      </c>
      <c r="U874" s="38"/>
      <c r="V874" s="38"/>
      <c r="W874" s="38" t="str">
        <f>IF(B874="","",COUNTIFS(Ejecucion[No. Solicitud],Registro!B874,Ejecucion[Estado],"Finalizado"))</f>
        <v/>
      </c>
      <c r="X874" s="38" t="str">
        <f>IF(B874="","",COUNTIFS(Ejecucion[No. Solicitud],Registro!B874,Ejecucion[Estado],"No Iniciado"))</f>
        <v/>
      </c>
      <c r="Y874" s="64" t="str">
        <f>IF(B874="","",COUNTIFS(Ejecucion[No. Solicitud],Registro!B874,Ejecucion[Estado],"En Proceso"))</f>
        <v/>
      </c>
      <c r="Z874" s="64" t="str">
        <f t="shared" si="29"/>
        <v/>
      </c>
      <c r="AA874" s="64"/>
      <c r="AB874" s="64"/>
      <c r="AC874" s="64"/>
      <c r="AD874" s="102"/>
    </row>
    <row r="875" spans="2:30" s="15" customFormat="1">
      <c r="B875" s="36"/>
      <c r="C875" s="102"/>
      <c r="D875" s="36"/>
      <c r="E875" s="22"/>
      <c r="F875" s="83"/>
      <c r="G875" s="83"/>
      <c r="H875" s="25"/>
      <c r="I875" s="25"/>
      <c r="J875" s="25"/>
      <c r="K875" s="25"/>
      <c r="L875" s="36"/>
      <c r="M875" s="36"/>
      <c r="N875" s="36"/>
      <c r="O875" s="102"/>
      <c r="P875" s="36"/>
      <c r="Q875" s="36"/>
      <c r="R875" s="37"/>
      <c r="S875" s="37"/>
      <c r="T875" s="60" t="str">
        <f t="shared" si="28"/>
        <v/>
      </c>
      <c r="U875" s="38"/>
      <c r="V875" s="38"/>
      <c r="W875" s="38" t="str">
        <f>IF(B875="","",COUNTIFS(Ejecucion[No. Solicitud],Registro!B875,Ejecucion[Estado],"Finalizado"))</f>
        <v/>
      </c>
      <c r="X875" s="38" t="str">
        <f>IF(B875="","",COUNTIFS(Ejecucion[No. Solicitud],Registro!B875,Ejecucion[Estado],"No Iniciado"))</f>
        <v/>
      </c>
      <c r="Y875" s="64" t="str">
        <f>IF(B875="","",COUNTIFS(Ejecucion[No. Solicitud],Registro!B875,Ejecucion[Estado],"En Proceso"))</f>
        <v/>
      </c>
      <c r="Z875" s="64" t="str">
        <f t="shared" si="29"/>
        <v/>
      </c>
      <c r="AA875" s="64"/>
      <c r="AB875" s="64"/>
      <c r="AC875" s="64"/>
      <c r="AD875" s="102"/>
    </row>
    <row r="876" spans="2:30" s="15" customFormat="1">
      <c r="B876" s="36"/>
      <c r="C876" s="102"/>
      <c r="D876" s="36"/>
      <c r="E876" s="22"/>
      <c r="F876" s="83"/>
      <c r="G876" s="83"/>
      <c r="H876" s="25"/>
      <c r="I876" s="25"/>
      <c r="J876" s="25"/>
      <c r="K876" s="25"/>
      <c r="L876" s="36"/>
      <c r="M876" s="36"/>
      <c r="N876" s="36"/>
      <c r="O876" s="102"/>
      <c r="P876" s="36"/>
      <c r="Q876" s="36"/>
      <c r="R876" s="37"/>
      <c r="S876" s="37"/>
      <c r="T876" s="60" t="str">
        <f t="shared" si="28"/>
        <v/>
      </c>
      <c r="U876" s="38"/>
      <c r="V876" s="38"/>
      <c r="W876" s="38" t="str">
        <f>IF(B876="","",COUNTIFS(Ejecucion[No. Solicitud],Registro!B876,Ejecucion[Estado],"Finalizado"))</f>
        <v/>
      </c>
      <c r="X876" s="38" t="str">
        <f>IF(B876="","",COUNTIFS(Ejecucion[No. Solicitud],Registro!B876,Ejecucion[Estado],"No Iniciado"))</f>
        <v/>
      </c>
      <c r="Y876" s="64" t="str">
        <f>IF(B876="","",COUNTIFS(Ejecucion[No. Solicitud],Registro!B876,Ejecucion[Estado],"En Proceso"))</f>
        <v/>
      </c>
      <c r="Z876" s="64" t="str">
        <f t="shared" si="29"/>
        <v/>
      </c>
      <c r="AA876" s="64"/>
      <c r="AB876" s="64"/>
      <c r="AC876" s="64"/>
      <c r="AD876" s="102"/>
    </row>
    <row r="877" spans="2:30" s="15" customFormat="1">
      <c r="B877" s="36"/>
      <c r="C877" s="102"/>
      <c r="D877" s="36"/>
      <c r="E877" s="22"/>
      <c r="F877" s="83"/>
      <c r="G877" s="83"/>
      <c r="H877" s="25"/>
      <c r="I877" s="25"/>
      <c r="J877" s="25"/>
      <c r="K877" s="25"/>
      <c r="L877" s="36"/>
      <c r="M877" s="36"/>
      <c r="N877" s="36"/>
      <c r="O877" s="102"/>
      <c r="P877" s="36"/>
      <c r="Q877" s="36"/>
      <c r="R877" s="37"/>
      <c r="S877" s="37"/>
      <c r="T877" s="60" t="str">
        <f t="shared" si="28"/>
        <v/>
      </c>
      <c r="U877" s="38"/>
      <c r="V877" s="38"/>
      <c r="W877" s="38" t="str">
        <f>IF(B877="","",COUNTIFS(Ejecucion[No. Solicitud],Registro!B877,Ejecucion[Estado],"Finalizado"))</f>
        <v/>
      </c>
      <c r="X877" s="38" t="str">
        <f>IF(B877="","",COUNTIFS(Ejecucion[No. Solicitud],Registro!B877,Ejecucion[Estado],"No Iniciado"))</f>
        <v/>
      </c>
      <c r="Y877" s="64" t="str">
        <f>IF(B877="","",COUNTIFS(Ejecucion[No. Solicitud],Registro!B877,Ejecucion[Estado],"En Proceso"))</f>
        <v/>
      </c>
      <c r="Z877" s="64" t="str">
        <f t="shared" si="29"/>
        <v/>
      </c>
      <c r="AA877" s="64"/>
      <c r="AB877" s="64"/>
      <c r="AC877" s="64"/>
      <c r="AD877" s="102"/>
    </row>
    <row r="878" spans="2:30" s="15" customFormat="1">
      <c r="B878" s="36"/>
      <c r="C878" s="102"/>
      <c r="D878" s="36"/>
      <c r="E878" s="22"/>
      <c r="F878" s="83"/>
      <c r="G878" s="83"/>
      <c r="H878" s="25"/>
      <c r="I878" s="25"/>
      <c r="J878" s="25"/>
      <c r="K878" s="25"/>
      <c r="L878" s="36"/>
      <c r="M878" s="36"/>
      <c r="N878" s="36"/>
      <c r="O878" s="102"/>
      <c r="P878" s="36"/>
      <c r="Q878" s="36"/>
      <c r="R878" s="37"/>
      <c r="S878" s="37"/>
      <c r="T878" s="60" t="str">
        <f t="shared" si="28"/>
        <v/>
      </c>
      <c r="U878" s="38"/>
      <c r="V878" s="38"/>
      <c r="W878" s="38" t="str">
        <f>IF(B878="","",COUNTIFS(Ejecucion[No. Solicitud],Registro!B878,Ejecucion[Estado],"Finalizado"))</f>
        <v/>
      </c>
      <c r="X878" s="38" t="str">
        <f>IF(B878="","",COUNTIFS(Ejecucion[No. Solicitud],Registro!B878,Ejecucion[Estado],"No Iniciado"))</f>
        <v/>
      </c>
      <c r="Y878" s="64" t="str">
        <f>IF(B878="","",COUNTIFS(Ejecucion[No. Solicitud],Registro!B878,Ejecucion[Estado],"En Proceso"))</f>
        <v/>
      </c>
      <c r="Z878" s="64" t="str">
        <f t="shared" si="29"/>
        <v/>
      </c>
      <c r="AA878" s="64"/>
      <c r="AB878" s="64"/>
      <c r="AC878" s="64"/>
      <c r="AD878" s="102"/>
    </row>
    <row r="879" spans="2:30" s="15" customFormat="1">
      <c r="B879" s="36"/>
      <c r="C879" s="102"/>
      <c r="D879" s="36"/>
      <c r="E879" s="22"/>
      <c r="F879" s="83"/>
      <c r="G879" s="83"/>
      <c r="H879" s="25"/>
      <c r="I879" s="25"/>
      <c r="J879" s="25"/>
      <c r="K879" s="25"/>
      <c r="L879" s="36"/>
      <c r="M879" s="36"/>
      <c r="N879" s="36"/>
      <c r="O879" s="102"/>
      <c r="P879" s="36"/>
      <c r="Q879" s="36"/>
      <c r="R879" s="37"/>
      <c r="S879" s="37"/>
      <c r="T879" s="60" t="str">
        <f t="shared" si="28"/>
        <v/>
      </c>
      <c r="U879" s="38"/>
      <c r="V879" s="38"/>
      <c r="W879" s="38" t="str">
        <f>IF(B879="","",COUNTIFS(Ejecucion[No. Solicitud],Registro!B879,Ejecucion[Estado],"Finalizado"))</f>
        <v/>
      </c>
      <c r="X879" s="38" t="str">
        <f>IF(B879="","",COUNTIFS(Ejecucion[No. Solicitud],Registro!B879,Ejecucion[Estado],"No Iniciado"))</f>
        <v/>
      </c>
      <c r="Y879" s="64" t="str">
        <f>IF(B879="","",COUNTIFS(Ejecucion[No. Solicitud],Registro!B879,Ejecucion[Estado],"En Proceso"))</f>
        <v/>
      </c>
      <c r="Z879" s="64" t="str">
        <f t="shared" si="29"/>
        <v/>
      </c>
      <c r="AA879" s="64"/>
      <c r="AB879" s="64"/>
      <c r="AC879" s="64"/>
      <c r="AD879" s="102"/>
    </row>
    <row r="880" spans="2:30" s="15" customFormat="1">
      <c r="B880" s="36"/>
      <c r="C880" s="102"/>
      <c r="D880" s="36"/>
      <c r="E880" s="22"/>
      <c r="F880" s="83"/>
      <c r="G880" s="83"/>
      <c r="H880" s="25"/>
      <c r="I880" s="25"/>
      <c r="J880" s="25"/>
      <c r="K880" s="25"/>
      <c r="L880" s="36"/>
      <c r="M880" s="36"/>
      <c r="N880" s="36"/>
      <c r="O880" s="102"/>
      <c r="P880" s="36"/>
      <c r="Q880" s="36"/>
      <c r="R880" s="37"/>
      <c r="S880" s="37"/>
      <c r="T880" s="60" t="str">
        <f t="shared" si="28"/>
        <v/>
      </c>
      <c r="U880" s="38"/>
      <c r="V880" s="38"/>
      <c r="W880" s="38" t="str">
        <f>IF(B880="","",COUNTIFS(Ejecucion[No. Solicitud],Registro!B880,Ejecucion[Estado],"Finalizado"))</f>
        <v/>
      </c>
      <c r="X880" s="38" t="str">
        <f>IF(B880="","",COUNTIFS(Ejecucion[No. Solicitud],Registro!B880,Ejecucion[Estado],"No Iniciado"))</f>
        <v/>
      </c>
      <c r="Y880" s="64" t="str">
        <f>IF(B880="","",COUNTIFS(Ejecucion[No. Solicitud],Registro!B880,Ejecucion[Estado],"En Proceso"))</f>
        <v/>
      </c>
      <c r="Z880" s="64" t="str">
        <f t="shared" si="29"/>
        <v/>
      </c>
      <c r="AA880" s="64"/>
      <c r="AB880" s="64"/>
      <c r="AC880" s="64"/>
      <c r="AD880" s="102"/>
    </row>
    <row r="881" spans="2:30" s="15" customFormat="1">
      <c r="B881" s="36"/>
      <c r="C881" s="102"/>
      <c r="D881" s="36"/>
      <c r="E881" s="22"/>
      <c r="F881" s="83"/>
      <c r="G881" s="83"/>
      <c r="H881" s="25"/>
      <c r="I881" s="25"/>
      <c r="J881" s="25"/>
      <c r="K881" s="25"/>
      <c r="L881" s="36"/>
      <c r="M881" s="36"/>
      <c r="N881" s="36"/>
      <c r="O881" s="102"/>
      <c r="P881" s="36"/>
      <c r="Q881" s="36"/>
      <c r="R881" s="37"/>
      <c r="S881" s="37"/>
      <c r="T881" s="60" t="str">
        <f t="shared" si="28"/>
        <v/>
      </c>
      <c r="U881" s="38"/>
      <c r="V881" s="38"/>
      <c r="W881" s="38" t="str">
        <f>IF(B881="","",COUNTIFS(Ejecucion[No. Solicitud],Registro!B881,Ejecucion[Estado],"Finalizado"))</f>
        <v/>
      </c>
      <c r="X881" s="38" t="str">
        <f>IF(B881="","",COUNTIFS(Ejecucion[No. Solicitud],Registro!B881,Ejecucion[Estado],"No Iniciado"))</f>
        <v/>
      </c>
      <c r="Y881" s="64" t="str">
        <f>IF(B881="","",COUNTIFS(Ejecucion[No. Solicitud],Registro!B881,Ejecucion[Estado],"En Proceso"))</f>
        <v/>
      </c>
      <c r="Z881" s="64" t="str">
        <f t="shared" si="29"/>
        <v/>
      </c>
      <c r="AA881" s="64"/>
      <c r="AB881" s="64"/>
      <c r="AC881" s="64"/>
      <c r="AD881" s="102"/>
    </row>
    <row r="882" spans="2:30" s="15" customFormat="1">
      <c r="B882" s="36"/>
      <c r="C882" s="102"/>
      <c r="D882" s="36"/>
      <c r="E882" s="22"/>
      <c r="F882" s="83"/>
      <c r="G882" s="83"/>
      <c r="H882" s="25"/>
      <c r="I882" s="25"/>
      <c r="J882" s="25"/>
      <c r="K882" s="25"/>
      <c r="L882" s="36"/>
      <c r="M882" s="36"/>
      <c r="N882" s="36"/>
      <c r="O882" s="102"/>
      <c r="P882" s="36"/>
      <c r="Q882" s="36"/>
      <c r="R882" s="37"/>
      <c r="S882" s="37"/>
      <c r="T882" s="60" t="str">
        <f t="shared" si="28"/>
        <v/>
      </c>
      <c r="U882" s="38"/>
      <c r="V882" s="38"/>
      <c r="W882" s="38" t="str">
        <f>IF(B882="","",COUNTIFS(Ejecucion[No. Solicitud],Registro!B882,Ejecucion[Estado],"Finalizado"))</f>
        <v/>
      </c>
      <c r="X882" s="38" t="str">
        <f>IF(B882="","",COUNTIFS(Ejecucion[No. Solicitud],Registro!B882,Ejecucion[Estado],"No Iniciado"))</f>
        <v/>
      </c>
      <c r="Y882" s="64" t="str">
        <f>IF(B882="","",COUNTIFS(Ejecucion[No. Solicitud],Registro!B882,Ejecucion[Estado],"En Proceso"))</f>
        <v/>
      </c>
      <c r="Z882" s="64" t="str">
        <f t="shared" si="29"/>
        <v/>
      </c>
      <c r="AA882" s="64"/>
      <c r="AB882" s="64"/>
      <c r="AC882" s="64"/>
      <c r="AD882" s="102"/>
    </row>
    <row r="883" spans="2:30" s="15" customFormat="1">
      <c r="B883" s="36"/>
      <c r="C883" s="102"/>
      <c r="D883" s="36"/>
      <c r="E883" s="22"/>
      <c r="F883" s="83"/>
      <c r="G883" s="83"/>
      <c r="H883" s="25"/>
      <c r="I883" s="25"/>
      <c r="J883" s="25"/>
      <c r="K883" s="25"/>
      <c r="L883" s="36"/>
      <c r="M883" s="36"/>
      <c r="N883" s="36"/>
      <c r="O883" s="102"/>
      <c r="P883" s="36"/>
      <c r="Q883" s="36"/>
      <c r="R883" s="37"/>
      <c r="S883" s="37"/>
      <c r="T883" s="60" t="str">
        <f t="shared" si="28"/>
        <v/>
      </c>
      <c r="U883" s="38"/>
      <c r="V883" s="38"/>
      <c r="W883" s="38" t="str">
        <f>IF(B883="","",COUNTIFS(Ejecucion[No. Solicitud],Registro!B883,Ejecucion[Estado],"Finalizado"))</f>
        <v/>
      </c>
      <c r="X883" s="38" t="str">
        <f>IF(B883="","",COUNTIFS(Ejecucion[No. Solicitud],Registro!B883,Ejecucion[Estado],"No Iniciado"))</f>
        <v/>
      </c>
      <c r="Y883" s="64" t="str">
        <f>IF(B883="","",COUNTIFS(Ejecucion[No. Solicitud],Registro!B883,Ejecucion[Estado],"En Proceso"))</f>
        <v/>
      </c>
      <c r="Z883" s="64" t="str">
        <f t="shared" si="29"/>
        <v/>
      </c>
      <c r="AA883" s="64"/>
      <c r="AB883" s="64"/>
      <c r="AC883" s="64"/>
      <c r="AD883" s="102"/>
    </row>
    <row r="884" spans="2:30" s="15" customFormat="1">
      <c r="B884" s="36"/>
      <c r="C884" s="102"/>
      <c r="D884" s="36"/>
      <c r="E884" s="22"/>
      <c r="F884" s="83"/>
      <c r="G884" s="83"/>
      <c r="H884" s="25"/>
      <c r="I884" s="25"/>
      <c r="J884" s="25"/>
      <c r="K884" s="25"/>
      <c r="L884" s="36"/>
      <c r="M884" s="36"/>
      <c r="N884" s="36"/>
      <c r="O884" s="102"/>
      <c r="P884" s="36"/>
      <c r="Q884" s="36"/>
      <c r="R884" s="37"/>
      <c r="S884" s="37"/>
      <c r="T884" s="60" t="str">
        <f t="shared" si="28"/>
        <v/>
      </c>
      <c r="U884" s="38"/>
      <c r="V884" s="38"/>
      <c r="W884" s="38" t="str">
        <f>IF(B884="","",COUNTIFS(Ejecucion[No. Solicitud],Registro!B884,Ejecucion[Estado],"Finalizado"))</f>
        <v/>
      </c>
      <c r="X884" s="38" t="str">
        <f>IF(B884="","",COUNTIFS(Ejecucion[No. Solicitud],Registro!B884,Ejecucion[Estado],"No Iniciado"))</f>
        <v/>
      </c>
      <c r="Y884" s="64" t="str">
        <f>IF(B884="","",COUNTIFS(Ejecucion[No. Solicitud],Registro!B884,Ejecucion[Estado],"En Proceso"))</f>
        <v/>
      </c>
      <c r="Z884" s="64" t="str">
        <f t="shared" si="29"/>
        <v/>
      </c>
      <c r="AA884" s="64"/>
      <c r="AB884" s="64"/>
      <c r="AC884" s="64"/>
      <c r="AD884" s="102"/>
    </row>
    <row r="885" spans="2:30" s="15" customFormat="1">
      <c r="B885" s="36"/>
      <c r="C885" s="102"/>
      <c r="D885" s="36"/>
      <c r="E885" s="22"/>
      <c r="F885" s="83"/>
      <c r="G885" s="83"/>
      <c r="H885" s="25"/>
      <c r="I885" s="25"/>
      <c r="J885" s="25"/>
      <c r="K885" s="25"/>
      <c r="L885" s="36"/>
      <c r="M885" s="36"/>
      <c r="N885" s="36"/>
      <c r="O885" s="102"/>
      <c r="P885" s="36"/>
      <c r="Q885" s="36"/>
      <c r="R885" s="37"/>
      <c r="S885" s="37"/>
      <c r="T885" s="60" t="str">
        <f t="shared" si="28"/>
        <v/>
      </c>
      <c r="U885" s="38"/>
      <c r="V885" s="38"/>
      <c r="W885" s="38" t="str">
        <f>IF(B885="","",COUNTIFS(Ejecucion[No. Solicitud],Registro!B885,Ejecucion[Estado],"Finalizado"))</f>
        <v/>
      </c>
      <c r="X885" s="38" t="str">
        <f>IF(B885="","",COUNTIFS(Ejecucion[No. Solicitud],Registro!B885,Ejecucion[Estado],"No Iniciado"))</f>
        <v/>
      </c>
      <c r="Y885" s="64" t="str">
        <f>IF(B885="","",COUNTIFS(Ejecucion[No. Solicitud],Registro!B885,Ejecucion[Estado],"En Proceso"))</f>
        <v/>
      </c>
      <c r="Z885" s="64" t="str">
        <f t="shared" si="29"/>
        <v/>
      </c>
      <c r="AA885" s="64"/>
      <c r="AB885" s="64"/>
      <c r="AC885" s="64"/>
      <c r="AD885" s="102"/>
    </row>
    <row r="886" spans="2:30" s="15" customFormat="1">
      <c r="B886" s="36"/>
      <c r="C886" s="102"/>
      <c r="D886" s="36"/>
      <c r="E886" s="22"/>
      <c r="F886" s="83"/>
      <c r="G886" s="83"/>
      <c r="H886" s="25"/>
      <c r="I886" s="25"/>
      <c r="J886" s="25"/>
      <c r="K886" s="25"/>
      <c r="L886" s="36"/>
      <c r="M886" s="36"/>
      <c r="N886" s="36"/>
      <c r="O886" s="102"/>
      <c r="P886" s="36"/>
      <c r="Q886" s="36"/>
      <c r="R886" s="37"/>
      <c r="S886" s="37"/>
      <c r="T886" s="60" t="str">
        <f t="shared" si="28"/>
        <v/>
      </c>
      <c r="U886" s="38"/>
      <c r="V886" s="38"/>
      <c r="W886" s="38" t="str">
        <f>IF(B886="","",COUNTIFS(Ejecucion[No. Solicitud],Registro!B886,Ejecucion[Estado],"Finalizado"))</f>
        <v/>
      </c>
      <c r="X886" s="38" t="str">
        <f>IF(B886="","",COUNTIFS(Ejecucion[No. Solicitud],Registro!B886,Ejecucion[Estado],"No Iniciado"))</f>
        <v/>
      </c>
      <c r="Y886" s="64" t="str">
        <f>IF(B886="","",COUNTIFS(Ejecucion[No. Solicitud],Registro!B886,Ejecucion[Estado],"En Proceso"))</f>
        <v/>
      </c>
      <c r="Z886" s="64" t="str">
        <f t="shared" si="29"/>
        <v/>
      </c>
      <c r="AA886" s="64"/>
      <c r="AB886" s="64"/>
      <c r="AC886" s="64"/>
      <c r="AD886" s="102"/>
    </row>
    <row r="887" spans="2:30" s="15" customFormat="1">
      <c r="B887" s="36"/>
      <c r="C887" s="102"/>
      <c r="D887" s="36"/>
      <c r="E887" s="22"/>
      <c r="F887" s="83"/>
      <c r="G887" s="83"/>
      <c r="H887" s="25"/>
      <c r="I887" s="25"/>
      <c r="J887" s="25"/>
      <c r="K887" s="25"/>
      <c r="L887" s="36"/>
      <c r="M887" s="36"/>
      <c r="N887" s="36"/>
      <c r="O887" s="102"/>
      <c r="P887" s="36"/>
      <c r="Q887" s="36"/>
      <c r="R887" s="37"/>
      <c r="S887" s="37"/>
      <c r="T887" s="60" t="str">
        <f t="shared" si="28"/>
        <v/>
      </c>
      <c r="U887" s="38"/>
      <c r="V887" s="38"/>
      <c r="W887" s="38" t="str">
        <f>IF(B887="","",COUNTIFS(Ejecucion[No. Solicitud],Registro!B887,Ejecucion[Estado],"Finalizado"))</f>
        <v/>
      </c>
      <c r="X887" s="38" t="str">
        <f>IF(B887="","",COUNTIFS(Ejecucion[No. Solicitud],Registro!B887,Ejecucion[Estado],"No Iniciado"))</f>
        <v/>
      </c>
      <c r="Y887" s="64" t="str">
        <f>IF(B887="","",COUNTIFS(Ejecucion[No. Solicitud],Registro!B887,Ejecucion[Estado],"En Proceso"))</f>
        <v/>
      </c>
      <c r="Z887" s="64" t="str">
        <f t="shared" si="29"/>
        <v/>
      </c>
      <c r="AA887" s="64"/>
      <c r="AB887" s="64"/>
      <c r="AC887" s="64"/>
      <c r="AD887" s="102"/>
    </row>
    <row r="888" spans="2:30" s="15" customFormat="1">
      <c r="B888" s="36"/>
      <c r="C888" s="102"/>
      <c r="D888" s="36"/>
      <c r="E888" s="22"/>
      <c r="F888" s="83"/>
      <c r="G888" s="83"/>
      <c r="H888" s="25"/>
      <c r="I888" s="25"/>
      <c r="J888" s="25"/>
      <c r="K888" s="25"/>
      <c r="L888" s="36"/>
      <c r="M888" s="36"/>
      <c r="N888" s="36"/>
      <c r="O888" s="102"/>
      <c r="P888" s="36"/>
      <c r="Q888" s="36"/>
      <c r="R888" s="37"/>
      <c r="S888" s="37"/>
      <c r="T888" s="60" t="str">
        <f t="shared" si="28"/>
        <v/>
      </c>
      <c r="U888" s="38"/>
      <c r="V888" s="38"/>
      <c r="W888" s="38" t="str">
        <f>IF(B888="","",COUNTIFS(Ejecucion[No. Solicitud],Registro!B888,Ejecucion[Estado],"Finalizado"))</f>
        <v/>
      </c>
      <c r="X888" s="38" t="str">
        <f>IF(B888="","",COUNTIFS(Ejecucion[No. Solicitud],Registro!B888,Ejecucion[Estado],"No Iniciado"))</f>
        <v/>
      </c>
      <c r="Y888" s="64" t="str">
        <f>IF(B888="","",COUNTIFS(Ejecucion[No. Solicitud],Registro!B888,Ejecucion[Estado],"En Proceso"))</f>
        <v/>
      </c>
      <c r="Z888" s="64" t="str">
        <f t="shared" si="29"/>
        <v/>
      </c>
      <c r="AA888" s="64"/>
      <c r="AB888" s="64"/>
      <c r="AC888" s="64"/>
      <c r="AD888" s="102"/>
    </row>
    <row r="889" spans="2:30" s="15" customFormat="1">
      <c r="B889" s="36"/>
      <c r="C889" s="102"/>
      <c r="D889" s="36"/>
      <c r="E889" s="22"/>
      <c r="F889" s="83"/>
      <c r="G889" s="83"/>
      <c r="H889" s="25"/>
      <c r="I889" s="25"/>
      <c r="J889" s="25"/>
      <c r="K889" s="25"/>
      <c r="L889" s="36"/>
      <c r="M889" s="36"/>
      <c r="N889" s="36"/>
      <c r="O889" s="102"/>
      <c r="P889" s="36"/>
      <c r="Q889" s="36"/>
      <c r="R889" s="37"/>
      <c r="S889" s="37"/>
      <c r="T889" s="60" t="str">
        <f t="shared" si="28"/>
        <v/>
      </c>
      <c r="U889" s="38"/>
      <c r="V889" s="38"/>
      <c r="W889" s="38" t="str">
        <f>IF(B889="","",COUNTIFS(Ejecucion[No. Solicitud],Registro!B889,Ejecucion[Estado],"Finalizado"))</f>
        <v/>
      </c>
      <c r="X889" s="38" t="str">
        <f>IF(B889="","",COUNTIFS(Ejecucion[No. Solicitud],Registro!B889,Ejecucion[Estado],"No Iniciado"))</f>
        <v/>
      </c>
      <c r="Y889" s="64" t="str">
        <f>IF(B889="","",COUNTIFS(Ejecucion[No. Solicitud],Registro!B889,Ejecucion[Estado],"En Proceso"))</f>
        <v/>
      </c>
      <c r="Z889" s="64" t="str">
        <f t="shared" si="29"/>
        <v/>
      </c>
      <c r="AA889" s="64"/>
      <c r="AB889" s="64"/>
      <c r="AC889" s="64"/>
      <c r="AD889" s="102"/>
    </row>
    <row r="890" spans="2:30" s="15" customFormat="1">
      <c r="B890" s="36"/>
      <c r="C890" s="102"/>
      <c r="D890" s="36"/>
      <c r="E890" s="22"/>
      <c r="F890" s="83"/>
      <c r="G890" s="83"/>
      <c r="H890" s="25"/>
      <c r="I890" s="25"/>
      <c r="J890" s="25"/>
      <c r="K890" s="25"/>
      <c r="L890" s="36"/>
      <c r="M890" s="36"/>
      <c r="N890" s="36"/>
      <c r="O890" s="102"/>
      <c r="P890" s="36"/>
      <c r="Q890" s="36"/>
      <c r="R890" s="37"/>
      <c r="S890" s="37"/>
      <c r="T890" s="60" t="str">
        <f t="shared" si="28"/>
        <v/>
      </c>
      <c r="U890" s="38"/>
      <c r="V890" s="38"/>
      <c r="W890" s="38" t="str">
        <f>IF(B890="","",COUNTIFS(Ejecucion[No. Solicitud],Registro!B890,Ejecucion[Estado],"Finalizado"))</f>
        <v/>
      </c>
      <c r="X890" s="38" t="str">
        <f>IF(B890="","",COUNTIFS(Ejecucion[No. Solicitud],Registro!B890,Ejecucion[Estado],"No Iniciado"))</f>
        <v/>
      </c>
      <c r="Y890" s="64" t="str">
        <f>IF(B890="","",COUNTIFS(Ejecucion[No. Solicitud],Registro!B890,Ejecucion[Estado],"En Proceso"))</f>
        <v/>
      </c>
      <c r="Z890" s="64" t="str">
        <f t="shared" si="29"/>
        <v/>
      </c>
      <c r="AA890" s="64"/>
      <c r="AB890" s="64"/>
      <c r="AC890" s="64"/>
      <c r="AD890" s="102"/>
    </row>
    <row r="891" spans="2:30" s="15" customFormat="1">
      <c r="B891" s="36"/>
      <c r="C891" s="102"/>
      <c r="D891" s="36"/>
      <c r="E891" s="22"/>
      <c r="F891" s="83"/>
      <c r="G891" s="83"/>
      <c r="H891" s="25"/>
      <c r="I891" s="25"/>
      <c r="J891" s="25"/>
      <c r="K891" s="25"/>
      <c r="L891" s="36"/>
      <c r="M891" s="36"/>
      <c r="N891" s="36"/>
      <c r="O891" s="102"/>
      <c r="P891" s="36"/>
      <c r="Q891" s="36"/>
      <c r="R891" s="37"/>
      <c r="S891" s="37"/>
      <c r="T891" s="60" t="str">
        <f t="shared" si="28"/>
        <v/>
      </c>
      <c r="U891" s="38"/>
      <c r="V891" s="38"/>
      <c r="W891" s="38" t="str">
        <f>IF(B891="","",COUNTIFS(Ejecucion[No. Solicitud],Registro!B891,Ejecucion[Estado],"Finalizado"))</f>
        <v/>
      </c>
      <c r="X891" s="38" t="str">
        <f>IF(B891="","",COUNTIFS(Ejecucion[No. Solicitud],Registro!B891,Ejecucion[Estado],"No Iniciado"))</f>
        <v/>
      </c>
      <c r="Y891" s="64" t="str">
        <f>IF(B891="","",COUNTIFS(Ejecucion[No. Solicitud],Registro!B891,Ejecucion[Estado],"En Proceso"))</f>
        <v/>
      </c>
      <c r="Z891" s="64" t="str">
        <f t="shared" si="29"/>
        <v/>
      </c>
      <c r="AA891" s="64"/>
      <c r="AB891" s="64"/>
      <c r="AC891" s="64"/>
      <c r="AD891" s="102"/>
    </row>
    <row r="892" spans="2:30" s="15" customFormat="1">
      <c r="B892" s="36"/>
      <c r="C892" s="102"/>
      <c r="D892" s="36"/>
      <c r="E892" s="22"/>
      <c r="F892" s="83"/>
      <c r="G892" s="83"/>
      <c r="H892" s="25"/>
      <c r="I892" s="25"/>
      <c r="J892" s="25"/>
      <c r="K892" s="25"/>
      <c r="L892" s="36"/>
      <c r="M892" s="36"/>
      <c r="N892" s="36"/>
      <c r="O892" s="102"/>
      <c r="P892" s="36"/>
      <c r="Q892" s="36"/>
      <c r="R892" s="37"/>
      <c r="S892" s="37"/>
      <c r="T892" s="60" t="str">
        <f t="shared" si="28"/>
        <v/>
      </c>
      <c r="U892" s="38"/>
      <c r="V892" s="38"/>
      <c r="W892" s="38" t="str">
        <f>IF(B892="","",COUNTIFS(Ejecucion[No. Solicitud],Registro!B892,Ejecucion[Estado],"Finalizado"))</f>
        <v/>
      </c>
      <c r="X892" s="38" t="str">
        <f>IF(B892="","",COUNTIFS(Ejecucion[No. Solicitud],Registro!B892,Ejecucion[Estado],"No Iniciado"))</f>
        <v/>
      </c>
      <c r="Y892" s="64" t="str">
        <f>IF(B892="","",COUNTIFS(Ejecucion[No. Solicitud],Registro!B892,Ejecucion[Estado],"En Proceso"))</f>
        <v/>
      </c>
      <c r="Z892" s="64" t="str">
        <f t="shared" si="29"/>
        <v/>
      </c>
      <c r="AA892" s="64"/>
      <c r="AB892" s="64"/>
      <c r="AC892" s="64"/>
      <c r="AD892" s="102"/>
    </row>
    <row r="893" spans="2:30" s="15" customFormat="1">
      <c r="B893" s="36"/>
      <c r="C893" s="102"/>
      <c r="D893" s="36"/>
      <c r="E893" s="22"/>
      <c r="F893" s="83"/>
      <c r="G893" s="83"/>
      <c r="H893" s="25"/>
      <c r="I893" s="25"/>
      <c r="J893" s="25"/>
      <c r="K893" s="25"/>
      <c r="L893" s="36"/>
      <c r="M893" s="36"/>
      <c r="N893" s="36"/>
      <c r="O893" s="102"/>
      <c r="P893" s="36"/>
      <c r="Q893" s="36"/>
      <c r="R893" s="37"/>
      <c r="S893" s="37"/>
      <c r="T893" s="60" t="str">
        <f t="shared" si="28"/>
        <v/>
      </c>
      <c r="U893" s="38"/>
      <c r="V893" s="38"/>
      <c r="W893" s="38" t="str">
        <f>IF(B893="","",COUNTIFS(Ejecucion[No. Solicitud],Registro!B893,Ejecucion[Estado],"Finalizado"))</f>
        <v/>
      </c>
      <c r="X893" s="38" t="str">
        <f>IF(B893="","",COUNTIFS(Ejecucion[No. Solicitud],Registro!B893,Ejecucion[Estado],"No Iniciado"))</f>
        <v/>
      </c>
      <c r="Y893" s="64" t="str">
        <f>IF(B893="","",COUNTIFS(Ejecucion[No. Solicitud],Registro!B893,Ejecucion[Estado],"En Proceso"))</f>
        <v/>
      </c>
      <c r="Z893" s="64" t="str">
        <f t="shared" si="29"/>
        <v/>
      </c>
      <c r="AA893" s="64"/>
      <c r="AB893" s="64"/>
      <c r="AC893" s="64"/>
      <c r="AD893" s="102"/>
    </row>
    <row r="894" spans="2:30" s="15" customFormat="1">
      <c r="B894" s="36"/>
      <c r="C894" s="102"/>
      <c r="D894" s="36"/>
      <c r="E894" s="22"/>
      <c r="F894" s="83"/>
      <c r="G894" s="83"/>
      <c r="H894" s="25"/>
      <c r="I894" s="25"/>
      <c r="J894" s="25"/>
      <c r="K894" s="25"/>
      <c r="L894" s="36"/>
      <c r="M894" s="36"/>
      <c r="N894" s="36"/>
      <c r="O894" s="102"/>
      <c r="P894" s="36"/>
      <c r="Q894" s="36"/>
      <c r="R894" s="37"/>
      <c r="S894" s="37"/>
      <c r="T894" s="60" t="str">
        <f t="shared" si="28"/>
        <v/>
      </c>
      <c r="U894" s="38"/>
      <c r="V894" s="38"/>
      <c r="W894" s="38" t="str">
        <f>IF(B894="","",COUNTIFS(Ejecucion[No. Solicitud],Registro!B894,Ejecucion[Estado],"Finalizado"))</f>
        <v/>
      </c>
      <c r="X894" s="38" t="str">
        <f>IF(B894="","",COUNTIFS(Ejecucion[No. Solicitud],Registro!B894,Ejecucion[Estado],"No Iniciado"))</f>
        <v/>
      </c>
      <c r="Y894" s="64" t="str">
        <f>IF(B894="","",COUNTIFS(Ejecucion[No. Solicitud],Registro!B894,Ejecucion[Estado],"En Proceso"))</f>
        <v/>
      </c>
      <c r="Z894" s="64" t="str">
        <f t="shared" si="29"/>
        <v/>
      </c>
      <c r="AA894" s="64"/>
      <c r="AB894" s="64"/>
      <c r="AC894" s="64"/>
      <c r="AD894" s="102"/>
    </row>
    <row r="895" spans="2:30" s="15" customFormat="1">
      <c r="B895" s="36"/>
      <c r="C895" s="102"/>
      <c r="D895" s="36"/>
      <c r="E895" s="22"/>
      <c r="F895" s="83"/>
      <c r="G895" s="83"/>
      <c r="H895" s="25"/>
      <c r="I895" s="25"/>
      <c r="J895" s="25"/>
      <c r="K895" s="25"/>
      <c r="L895" s="36"/>
      <c r="M895" s="36"/>
      <c r="N895" s="36"/>
      <c r="O895" s="102"/>
      <c r="P895" s="36"/>
      <c r="Q895" s="36"/>
      <c r="R895" s="37"/>
      <c r="S895" s="37"/>
      <c r="T895" s="60" t="str">
        <f t="shared" si="28"/>
        <v/>
      </c>
      <c r="U895" s="38"/>
      <c r="V895" s="38"/>
      <c r="W895" s="38" t="str">
        <f>IF(B895="","",COUNTIFS(Ejecucion[No. Solicitud],Registro!B895,Ejecucion[Estado],"Finalizado"))</f>
        <v/>
      </c>
      <c r="X895" s="38" t="str">
        <f>IF(B895="","",COUNTIFS(Ejecucion[No. Solicitud],Registro!B895,Ejecucion[Estado],"No Iniciado"))</f>
        <v/>
      </c>
      <c r="Y895" s="64" t="str">
        <f>IF(B895="","",COUNTIFS(Ejecucion[No. Solicitud],Registro!B895,Ejecucion[Estado],"En Proceso"))</f>
        <v/>
      </c>
      <c r="Z895" s="64" t="str">
        <f t="shared" si="29"/>
        <v/>
      </c>
      <c r="AA895" s="64"/>
      <c r="AB895" s="64"/>
      <c r="AC895" s="64"/>
      <c r="AD895" s="102"/>
    </row>
    <row r="896" spans="2:30" s="15" customFormat="1">
      <c r="B896" s="36"/>
      <c r="C896" s="102"/>
      <c r="D896" s="36"/>
      <c r="E896" s="22"/>
      <c r="F896" s="83"/>
      <c r="G896" s="83"/>
      <c r="H896" s="25"/>
      <c r="I896" s="25"/>
      <c r="J896" s="25"/>
      <c r="K896" s="25"/>
      <c r="L896" s="36"/>
      <c r="M896" s="36"/>
      <c r="N896" s="36"/>
      <c r="O896" s="102"/>
      <c r="P896" s="36"/>
      <c r="Q896" s="36"/>
      <c r="R896" s="37"/>
      <c r="S896" s="37"/>
      <c r="T896" s="60" t="str">
        <f t="shared" si="28"/>
        <v/>
      </c>
      <c r="U896" s="38"/>
      <c r="V896" s="38"/>
      <c r="W896" s="38" t="str">
        <f>IF(B896="","",COUNTIFS(Ejecucion[No. Solicitud],Registro!B896,Ejecucion[Estado],"Finalizado"))</f>
        <v/>
      </c>
      <c r="X896" s="38" t="str">
        <f>IF(B896="","",COUNTIFS(Ejecucion[No. Solicitud],Registro!B896,Ejecucion[Estado],"No Iniciado"))</f>
        <v/>
      </c>
      <c r="Y896" s="64" t="str">
        <f>IF(B896="","",COUNTIFS(Ejecucion[No. Solicitud],Registro!B896,Ejecucion[Estado],"En Proceso"))</f>
        <v/>
      </c>
      <c r="Z896" s="64" t="str">
        <f t="shared" si="29"/>
        <v/>
      </c>
      <c r="AA896" s="64"/>
      <c r="AB896" s="64"/>
      <c r="AC896" s="64"/>
      <c r="AD896" s="102"/>
    </row>
    <row r="897" spans="2:30" s="15" customFormat="1">
      <c r="B897" s="36"/>
      <c r="C897" s="102"/>
      <c r="D897" s="36"/>
      <c r="E897" s="22"/>
      <c r="F897" s="83"/>
      <c r="G897" s="83"/>
      <c r="H897" s="25"/>
      <c r="I897" s="25"/>
      <c r="J897" s="25"/>
      <c r="K897" s="25"/>
      <c r="L897" s="36"/>
      <c r="M897" s="36"/>
      <c r="N897" s="36"/>
      <c r="O897" s="102"/>
      <c r="P897" s="36"/>
      <c r="Q897" s="36"/>
      <c r="R897" s="37"/>
      <c r="S897" s="37"/>
      <c r="T897" s="60" t="str">
        <f t="shared" si="28"/>
        <v/>
      </c>
      <c r="U897" s="38"/>
      <c r="V897" s="38"/>
      <c r="W897" s="38" t="str">
        <f>IF(B897="","",COUNTIFS(Ejecucion[No. Solicitud],Registro!B897,Ejecucion[Estado],"Finalizado"))</f>
        <v/>
      </c>
      <c r="X897" s="38" t="str">
        <f>IF(B897="","",COUNTIFS(Ejecucion[No. Solicitud],Registro!B897,Ejecucion[Estado],"No Iniciado"))</f>
        <v/>
      </c>
      <c r="Y897" s="64" t="str">
        <f>IF(B897="","",COUNTIFS(Ejecucion[No. Solicitud],Registro!B897,Ejecucion[Estado],"En Proceso"))</f>
        <v/>
      </c>
      <c r="Z897" s="64" t="str">
        <f t="shared" si="29"/>
        <v/>
      </c>
      <c r="AA897" s="64"/>
      <c r="AB897" s="64"/>
      <c r="AC897" s="64"/>
      <c r="AD897" s="102"/>
    </row>
    <row r="898" spans="2:30" s="15" customFormat="1">
      <c r="B898" s="36"/>
      <c r="C898" s="102"/>
      <c r="D898" s="36"/>
      <c r="E898" s="22"/>
      <c r="F898" s="83"/>
      <c r="G898" s="83"/>
      <c r="H898" s="25"/>
      <c r="I898" s="25"/>
      <c r="J898" s="25"/>
      <c r="K898" s="25"/>
      <c r="L898" s="36"/>
      <c r="M898" s="36"/>
      <c r="N898" s="36"/>
      <c r="O898" s="102"/>
      <c r="P898" s="36"/>
      <c r="Q898" s="36"/>
      <c r="R898" s="37"/>
      <c r="S898" s="37"/>
      <c r="T898" s="60" t="str">
        <f t="shared" si="28"/>
        <v/>
      </c>
      <c r="U898" s="38"/>
      <c r="V898" s="38"/>
      <c r="W898" s="38" t="str">
        <f>IF(B898="","",COUNTIFS(Ejecucion[No. Solicitud],Registro!B898,Ejecucion[Estado],"Finalizado"))</f>
        <v/>
      </c>
      <c r="X898" s="38" t="str">
        <f>IF(B898="","",COUNTIFS(Ejecucion[No. Solicitud],Registro!B898,Ejecucion[Estado],"No Iniciado"))</f>
        <v/>
      </c>
      <c r="Y898" s="64" t="str">
        <f>IF(B898="","",COUNTIFS(Ejecucion[No. Solicitud],Registro!B898,Ejecucion[Estado],"En Proceso"))</f>
        <v/>
      </c>
      <c r="Z898" s="64" t="str">
        <f t="shared" si="29"/>
        <v/>
      </c>
      <c r="AA898" s="64"/>
      <c r="AB898" s="64"/>
      <c r="AC898" s="64"/>
      <c r="AD898" s="102"/>
    </row>
    <row r="899" spans="2:30" s="15" customFormat="1">
      <c r="B899" s="36"/>
      <c r="C899" s="102"/>
      <c r="D899" s="36"/>
      <c r="E899" s="22"/>
      <c r="F899" s="83"/>
      <c r="G899" s="83"/>
      <c r="H899" s="25"/>
      <c r="I899" s="25"/>
      <c r="J899" s="25"/>
      <c r="K899" s="25"/>
      <c r="L899" s="36"/>
      <c r="M899" s="36"/>
      <c r="N899" s="36"/>
      <c r="O899" s="102"/>
      <c r="P899" s="36"/>
      <c r="Q899" s="36"/>
      <c r="R899" s="37"/>
      <c r="S899" s="37"/>
      <c r="T899" s="60" t="str">
        <f t="shared" si="28"/>
        <v/>
      </c>
      <c r="U899" s="38"/>
      <c r="V899" s="38"/>
      <c r="W899" s="38" t="str">
        <f>IF(B899="","",COUNTIFS(Ejecucion[No. Solicitud],Registro!B899,Ejecucion[Estado],"Finalizado"))</f>
        <v/>
      </c>
      <c r="X899" s="38" t="str">
        <f>IF(B899="","",COUNTIFS(Ejecucion[No. Solicitud],Registro!B899,Ejecucion[Estado],"No Iniciado"))</f>
        <v/>
      </c>
      <c r="Y899" s="64" t="str">
        <f>IF(B899="","",COUNTIFS(Ejecucion[No. Solicitud],Registro!B899,Ejecucion[Estado],"En Proceso"))</f>
        <v/>
      </c>
      <c r="Z899" s="64" t="str">
        <f t="shared" si="29"/>
        <v/>
      </c>
      <c r="AA899" s="64"/>
      <c r="AB899" s="64"/>
      <c r="AC899" s="64"/>
      <c r="AD899" s="102"/>
    </row>
    <row r="900" spans="2:30" s="15" customFormat="1">
      <c r="B900" s="36"/>
      <c r="C900" s="102"/>
      <c r="D900" s="36"/>
      <c r="E900" s="22"/>
      <c r="F900" s="83"/>
      <c r="G900" s="83"/>
      <c r="H900" s="25"/>
      <c r="I900" s="25"/>
      <c r="J900" s="25"/>
      <c r="K900" s="25"/>
      <c r="L900" s="36"/>
      <c r="M900" s="36"/>
      <c r="N900" s="36"/>
      <c r="O900" s="102"/>
      <c r="P900" s="36"/>
      <c r="Q900" s="36"/>
      <c r="R900" s="37"/>
      <c r="S900" s="37"/>
      <c r="T900" s="60" t="str">
        <f t="shared" si="28"/>
        <v/>
      </c>
      <c r="U900" s="38"/>
      <c r="V900" s="38"/>
      <c r="W900" s="38" t="str">
        <f>IF(B900="","",COUNTIFS(Ejecucion[No. Solicitud],Registro!B900,Ejecucion[Estado],"Finalizado"))</f>
        <v/>
      </c>
      <c r="X900" s="38" t="str">
        <f>IF(B900="","",COUNTIFS(Ejecucion[No. Solicitud],Registro!B900,Ejecucion[Estado],"No Iniciado"))</f>
        <v/>
      </c>
      <c r="Y900" s="64" t="str">
        <f>IF(B900="","",COUNTIFS(Ejecucion[No. Solicitud],Registro!B900,Ejecucion[Estado],"En Proceso"))</f>
        <v/>
      </c>
      <c r="Z900" s="64" t="str">
        <f t="shared" si="29"/>
        <v/>
      </c>
      <c r="AA900" s="64"/>
      <c r="AB900" s="64"/>
      <c r="AC900" s="64"/>
      <c r="AD900" s="102"/>
    </row>
    <row r="901" spans="2:30" s="15" customFormat="1">
      <c r="B901" s="36"/>
      <c r="C901" s="102"/>
      <c r="D901" s="36"/>
      <c r="E901" s="22"/>
      <c r="F901" s="83"/>
      <c r="G901" s="83"/>
      <c r="H901" s="25"/>
      <c r="I901" s="25"/>
      <c r="J901" s="25"/>
      <c r="K901" s="25"/>
      <c r="L901" s="36"/>
      <c r="M901" s="36"/>
      <c r="N901" s="36"/>
      <c r="O901" s="102"/>
      <c r="P901" s="36"/>
      <c r="Q901" s="36"/>
      <c r="R901" s="37"/>
      <c r="S901" s="37"/>
      <c r="T901" s="60" t="str">
        <f t="shared" si="28"/>
        <v/>
      </c>
      <c r="U901" s="38"/>
      <c r="V901" s="38"/>
      <c r="W901" s="38" t="str">
        <f>IF(B901="","",COUNTIFS(Ejecucion[No. Solicitud],Registro!B901,Ejecucion[Estado],"Finalizado"))</f>
        <v/>
      </c>
      <c r="X901" s="38" t="str">
        <f>IF(B901="","",COUNTIFS(Ejecucion[No. Solicitud],Registro!B901,Ejecucion[Estado],"No Iniciado"))</f>
        <v/>
      </c>
      <c r="Y901" s="64" t="str">
        <f>IF(B901="","",COUNTIFS(Ejecucion[No. Solicitud],Registro!B901,Ejecucion[Estado],"En Proceso"))</f>
        <v/>
      </c>
      <c r="Z901" s="64" t="str">
        <f t="shared" si="29"/>
        <v/>
      </c>
      <c r="AA901" s="64"/>
      <c r="AB901" s="64"/>
      <c r="AC901" s="64"/>
      <c r="AD901" s="102"/>
    </row>
    <row r="902" spans="2:30" s="15" customFormat="1">
      <c r="B902" s="36"/>
      <c r="C902" s="102"/>
      <c r="D902" s="36"/>
      <c r="E902" s="22"/>
      <c r="F902" s="83"/>
      <c r="G902" s="83"/>
      <c r="H902" s="25"/>
      <c r="I902" s="25"/>
      <c r="J902" s="25"/>
      <c r="K902" s="25"/>
      <c r="L902" s="36"/>
      <c r="M902" s="36"/>
      <c r="N902" s="36"/>
      <c r="O902" s="102"/>
      <c r="P902" s="36"/>
      <c r="Q902" s="36"/>
      <c r="R902" s="37"/>
      <c r="S902" s="37"/>
      <c r="T902" s="60" t="str">
        <f t="shared" si="28"/>
        <v/>
      </c>
      <c r="U902" s="38"/>
      <c r="V902" s="38"/>
      <c r="W902" s="38" t="str">
        <f>IF(B902="","",COUNTIFS(Ejecucion[No. Solicitud],Registro!B902,Ejecucion[Estado],"Finalizado"))</f>
        <v/>
      </c>
      <c r="X902" s="38" t="str">
        <f>IF(B902="","",COUNTIFS(Ejecucion[No. Solicitud],Registro!B902,Ejecucion[Estado],"No Iniciado"))</f>
        <v/>
      </c>
      <c r="Y902" s="64" t="str">
        <f>IF(B902="","",COUNTIFS(Ejecucion[No. Solicitud],Registro!B902,Ejecucion[Estado],"En Proceso"))</f>
        <v/>
      </c>
      <c r="Z902" s="64" t="str">
        <f t="shared" si="29"/>
        <v/>
      </c>
      <c r="AA902" s="64"/>
      <c r="AB902" s="64"/>
      <c r="AC902" s="64"/>
      <c r="AD902" s="102"/>
    </row>
    <row r="903" spans="2:30" s="15" customFormat="1">
      <c r="B903" s="36"/>
      <c r="C903" s="102"/>
      <c r="D903" s="36"/>
      <c r="E903" s="22"/>
      <c r="F903" s="83"/>
      <c r="G903" s="83"/>
      <c r="H903" s="25"/>
      <c r="I903" s="25"/>
      <c r="J903" s="25"/>
      <c r="K903" s="25"/>
      <c r="L903" s="36"/>
      <c r="M903" s="36"/>
      <c r="N903" s="36"/>
      <c r="O903" s="102"/>
      <c r="P903" s="36"/>
      <c r="Q903" s="36"/>
      <c r="R903" s="37"/>
      <c r="S903" s="37"/>
      <c r="T903" s="60" t="str">
        <f t="shared" si="28"/>
        <v/>
      </c>
      <c r="U903" s="38"/>
      <c r="V903" s="38"/>
      <c r="W903" s="38" t="str">
        <f>IF(B903="","",COUNTIFS(Ejecucion[No. Solicitud],Registro!B903,Ejecucion[Estado],"Finalizado"))</f>
        <v/>
      </c>
      <c r="X903" s="38" t="str">
        <f>IF(B903="","",COUNTIFS(Ejecucion[No. Solicitud],Registro!B903,Ejecucion[Estado],"No Iniciado"))</f>
        <v/>
      </c>
      <c r="Y903" s="64" t="str">
        <f>IF(B903="","",COUNTIFS(Ejecucion[No. Solicitud],Registro!B903,Ejecucion[Estado],"En Proceso"))</f>
        <v/>
      </c>
      <c r="Z903" s="64" t="str">
        <f t="shared" si="29"/>
        <v/>
      </c>
      <c r="AA903" s="64"/>
      <c r="AB903" s="64"/>
      <c r="AC903" s="64"/>
      <c r="AD903" s="102"/>
    </row>
    <row r="904" spans="2:30" s="15" customFormat="1">
      <c r="B904" s="36"/>
      <c r="C904" s="102"/>
      <c r="D904" s="36"/>
      <c r="E904" s="22"/>
      <c r="F904" s="83"/>
      <c r="G904" s="83"/>
      <c r="H904" s="25"/>
      <c r="I904" s="25"/>
      <c r="J904" s="25"/>
      <c r="K904" s="25"/>
      <c r="L904" s="36"/>
      <c r="M904" s="36"/>
      <c r="N904" s="36"/>
      <c r="O904" s="102"/>
      <c r="P904" s="36"/>
      <c r="Q904" s="36"/>
      <c r="R904" s="37"/>
      <c r="S904" s="37"/>
      <c r="T904" s="60" t="str">
        <f t="shared" ref="T904:T967" si="30">IF(U904="","",IF(U904=W904,1,0))</f>
        <v/>
      </c>
      <c r="U904" s="38"/>
      <c r="V904" s="38"/>
      <c r="W904" s="38" t="str">
        <f>IF(B904="","",COUNTIFS(Ejecucion[No. Solicitud],Registro!B904,Ejecucion[Estado],"Finalizado"))</f>
        <v/>
      </c>
      <c r="X904" s="38" t="str">
        <f>IF(B904="","",COUNTIFS(Ejecucion[No. Solicitud],Registro!B904,Ejecucion[Estado],"No Iniciado"))</f>
        <v/>
      </c>
      <c r="Y904" s="64" t="str">
        <f>IF(B904="","",COUNTIFS(Ejecucion[No. Solicitud],Registro!B904,Ejecucion[Estado],"En Proceso"))</f>
        <v/>
      </c>
      <c r="Z904" s="64" t="str">
        <f t="shared" si="29"/>
        <v/>
      </c>
      <c r="AA904" s="64"/>
      <c r="AB904" s="64"/>
      <c r="AC904" s="64"/>
      <c r="AD904" s="102"/>
    </row>
    <row r="905" spans="2:30" s="15" customFormat="1">
      <c r="B905" s="36"/>
      <c r="C905" s="102"/>
      <c r="D905" s="36"/>
      <c r="E905" s="22"/>
      <c r="F905" s="83"/>
      <c r="G905" s="83"/>
      <c r="H905" s="25"/>
      <c r="I905" s="25"/>
      <c r="J905" s="25"/>
      <c r="K905" s="25"/>
      <c r="L905" s="36"/>
      <c r="M905" s="36"/>
      <c r="N905" s="36"/>
      <c r="O905" s="102"/>
      <c r="P905" s="36"/>
      <c r="Q905" s="36"/>
      <c r="R905" s="37"/>
      <c r="S905" s="37"/>
      <c r="T905" s="60" t="str">
        <f t="shared" si="30"/>
        <v/>
      </c>
      <c r="U905" s="38"/>
      <c r="V905" s="38"/>
      <c r="W905" s="38" t="str">
        <f>IF(B905="","",COUNTIFS(Ejecucion[No. Solicitud],Registro!B905,Ejecucion[Estado],"Finalizado"))</f>
        <v/>
      </c>
      <c r="X905" s="38" t="str">
        <f>IF(B905="","",COUNTIFS(Ejecucion[No. Solicitud],Registro!B905,Ejecucion[Estado],"No Iniciado"))</f>
        <v/>
      </c>
      <c r="Y905" s="64" t="str">
        <f>IF(B905="","",COUNTIFS(Ejecucion[No. Solicitud],Registro!B905,Ejecucion[Estado],"En Proceso"))</f>
        <v/>
      </c>
      <c r="Z905" s="64" t="str">
        <f t="shared" si="29"/>
        <v/>
      </c>
      <c r="AA905" s="64"/>
      <c r="AB905" s="64"/>
      <c r="AC905" s="64"/>
      <c r="AD905" s="102"/>
    </row>
    <row r="906" spans="2:30" s="15" customFormat="1">
      <c r="B906" s="36"/>
      <c r="C906" s="102"/>
      <c r="D906" s="36"/>
      <c r="E906" s="22"/>
      <c r="F906" s="83"/>
      <c r="G906" s="83"/>
      <c r="H906" s="25"/>
      <c r="I906" s="25"/>
      <c r="J906" s="25"/>
      <c r="K906" s="25"/>
      <c r="L906" s="36"/>
      <c r="M906" s="36"/>
      <c r="N906" s="36"/>
      <c r="O906" s="102"/>
      <c r="P906" s="36"/>
      <c r="Q906" s="36"/>
      <c r="R906" s="37"/>
      <c r="S906" s="37"/>
      <c r="T906" s="60" t="str">
        <f t="shared" si="30"/>
        <v/>
      </c>
      <c r="U906" s="38"/>
      <c r="V906" s="38"/>
      <c r="W906" s="38" t="str">
        <f>IF(B906="","",COUNTIFS(Ejecucion[No. Solicitud],Registro!B906,Ejecucion[Estado],"Finalizado"))</f>
        <v/>
      </c>
      <c r="X906" s="38" t="str">
        <f>IF(B906="","",COUNTIFS(Ejecucion[No. Solicitud],Registro!B906,Ejecucion[Estado],"No Iniciado"))</f>
        <v/>
      </c>
      <c r="Y906" s="64" t="str">
        <f>IF(B906="","",COUNTIFS(Ejecucion[No. Solicitud],Registro!B906,Ejecucion[Estado],"En Proceso"))</f>
        <v/>
      </c>
      <c r="Z906" s="64" t="str">
        <f t="shared" si="29"/>
        <v/>
      </c>
      <c r="AA906" s="64"/>
      <c r="AB906" s="64"/>
      <c r="AC906" s="64"/>
      <c r="AD906" s="102"/>
    </row>
    <row r="907" spans="2:30" s="15" customFormat="1">
      <c r="B907" s="36"/>
      <c r="C907" s="102"/>
      <c r="D907" s="36"/>
      <c r="E907" s="22"/>
      <c r="F907" s="83"/>
      <c r="G907" s="83"/>
      <c r="H907" s="25"/>
      <c r="I907" s="25"/>
      <c r="J907" s="25"/>
      <c r="K907" s="25"/>
      <c r="L907" s="36"/>
      <c r="M907" s="36"/>
      <c r="N907" s="36"/>
      <c r="O907" s="102"/>
      <c r="P907" s="36"/>
      <c r="Q907" s="36"/>
      <c r="R907" s="37"/>
      <c r="S907" s="37"/>
      <c r="T907" s="60" t="str">
        <f t="shared" si="30"/>
        <v/>
      </c>
      <c r="U907" s="38"/>
      <c r="V907" s="38"/>
      <c r="W907" s="38" t="str">
        <f>IF(B907="","",COUNTIFS(Ejecucion[No. Solicitud],Registro!B907,Ejecucion[Estado],"Finalizado"))</f>
        <v/>
      </c>
      <c r="X907" s="38" t="str">
        <f>IF(B907="","",COUNTIFS(Ejecucion[No. Solicitud],Registro!B907,Ejecucion[Estado],"No Iniciado"))</f>
        <v/>
      </c>
      <c r="Y907" s="64" t="str">
        <f>IF(B907="","",COUNTIFS(Ejecucion[No. Solicitud],Registro!B907,Ejecucion[Estado],"En Proceso"))</f>
        <v/>
      </c>
      <c r="Z907" s="64" t="str">
        <f t="shared" si="29"/>
        <v/>
      </c>
      <c r="AA907" s="64"/>
      <c r="AB907" s="64"/>
      <c r="AC907" s="64"/>
      <c r="AD907" s="102"/>
    </row>
    <row r="908" spans="2:30" s="15" customFormat="1">
      <c r="B908" s="36"/>
      <c r="C908" s="102"/>
      <c r="D908" s="36"/>
      <c r="E908" s="22"/>
      <c r="F908" s="83"/>
      <c r="G908" s="83"/>
      <c r="H908" s="25"/>
      <c r="I908" s="25"/>
      <c r="J908" s="25"/>
      <c r="K908" s="25"/>
      <c r="L908" s="36"/>
      <c r="M908" s="36"/>
      <c r="N908" s="36"/>
      <c r="O908" s="102"/>
      <c r="P908" s="36"/>
      <c r="Q908" s="36"/>
      <c r="R908" s="37"/>
      <c r="S908" s="37"/>
      <c r="T908" s="60" t="str">
        <f t="shared" si="30"/>
        <v/>
      </c>
      <c r="U908" s="38"/>
      <c r="V908" s="38"/>
      <c r="W908" s="38" t="str">
        <f>IF(B908="","",COUNTIFS(Ejecucion[No. Solicitud],Registro!B908,Ejecucion[Estado],"Finalizado"))</f>
        <v/>
      </c>
      <c r="X908" s="38" t="str">
        <f>IF(B908="","",COUNTIFS(Ejecucion[No. Solicitud],Registro!B908,Ejecucion[Estado],"No Iniciado"))</f>
        <v/>
      </c>
      <c r="Y908" s="64" t="str">
        <f>IF(B908="","",COUNTIFS(Ejecucion[No. Solicitud],Registro!B908,Ejecucion[Estado],"En Proceso"))</f>
        <v/>
      </c>
      <c r="Z908" s="64" t="str">
        <f t="shared" si="29"/>
        <v/>
      </c>
      <c r="AA908" s="64"/>
      <c r="AB908" s="64"/>
      <c r="AC908" s="64"/>
      <c r="AD908" s="102"/>
    </row>
    <row r="909" spans="2:30" s="15" customFormat="1">
      <c r="B909" s="36"/>
      <c r="C909" s="102"/>
      <c r="D909" s="36"/>
      <c r="E909" s="22"/>
      <c r="F909" s="83"/>
      <c r="G909" s="83"/>
      <c r="H909" s="25"/>
      <c r="I909" s="25"/>
      <c r="J909" s="25"/>
      <c r="K909" s="25"/>
      <c r="L909" s="36"/>
      <c r="M909" s="36"/>
      <c r="N909" s="36"/>
      <c r="O909" s="102"/>
      <c r="P909" s="36"/>
      <c r="Q909" s="36"/>
      <c r="R909" s="37"/>
      <c r="S909" s="37"/>
      <c r="T909" s="60" t="str">
        <f t="shared" si="30"/>
        <v/>
      </c>
      <c r="U909" s="38"/>
      <c r="V909" s="38"/>
      <c r="W909" s="38" t="str">
        <f>IF(B909="","",COUNTIFS(Ejecucion[No. Solicitud],Registro!B909,Ejecucion[Estado],"Finalizado"))</f>
        <v/>
      </c>
      <c r="X909" s="38" t="str">
        <f>IF(B909="","",COUNTIFS(Ejecucion[No. Solicitud],Registro!B909,Ejecucion[Estado],"No Iniciado"))</f>
        <v/>
      </c>
      <c r="Y909" s="64" t="str">
        <f>IF(B909="","",COUNTIFS(Ejecucion[No. Solicitud],Registro!B909,Ejecucion[Estado],"En Proceso"))</f>
        <v/>
      </c>
      <c r="Z909" s="64" t="str">
        <f t="shared" si="29"/>
        <v/>
      </c>
      <c r="AA909" s="64"/>
      <c r="AB909" s="64"/>
      <c r="AC909" s="64"/>
      <c r="AD909" s="102"/>
    </row>
    <row r="910" spans="2:30" s="15" customFormat="1">
      <c r="B910" s="36"/>
      <c r="C910" s="102"/>
      <c r="D910" s="36"/>
      <c r="E910" s="22"/>
      <c r="F910" s="83"/>
      <c r="G910" s="83"/>
      <c r="H910" s="25"/>
      <c r="I910" s="25"/>
      <c r="J910" s="25"/>
      <c r="K910" s="25"/>
      <c r="L910" s="36"/>
      <c r="M910" s="36"/>
      <c r="N910" s="36"/>
      <c r="O910" s="102"/>
      <c r="P910" s="36"/>
      <c r="Q910" s="36"/>
      <c r="R910" s="37"/>
      <c r="S910" s="37"/>
      <c r="T910" s="60" t="str">
        <f t="shared" si="30"/>
        <v/>
      </c>
      <c r="U910" s="38"/>
      <c r="V910" s="38"/>
      <c r="W910" s="38" t="str">
        <f>IF(B910="","",COUNTIFS(Ejecucion[No. Solicitud],Registro!B910,Ejecucion[Estado],"Finalizado"))</f>
        <v/>
      </c>
      <c r="X910" s="38" t="str">
        <f>IF(B910="","",COUNTIFS(Ejecucion[No. Solicitud],Registro!B910,Ejecucion[Estado],"No Iniciado"))</f>
        <v/>
      </c>
      <c r="Y910" s="64" t="str">
        <f>IF(B910="","",COUNTIFS(Ejecucion[No. Solicitud],Registro!B910,Ejecucion[Estado],"En Proceso"))</f>
        <v/>
      </c>
      <c r="Z910" s="64" t="str">
        <f t="shared" si="29"/>
        <v/>
      </c>
      <c r="AA910" s="64"/>
      <c r="AB910" s="64"/>
      <c r="AC910" s="64"/>
      <c r="AD910" s="102"/>
    </row>
    <row r="911" spans="2:30" s="15" customFormat="1">
      <c r="B911" s="36"/>
      <c r="C911" s="102"/>
      <c r="D911" s="36"/>
      <c r="E911" s="22"/>
      <c r="F911" s="83"/>
      <c r="G911" s="83"/>
      <c r="H911" s="25"/>
      <c r="I911" s="25"/>
      <c r="J911" s="25"/>
      <c r="K911" s="25"/>
      <c r="L911" s="36"/>
      <c r="M911" s="36"/>
      <c r="N911" s="36"/>
      <c r="O911" s="102"/>
      <c r="P911" s="36"/>
      <c r="Q911" s="36"/>
      <c r="R911" s="37"/>
      <c r="S911" s="37"/>
      <c r="T911" s="60" t="str">
        <f t="shared" si="30"/>
        <v/>
      </c>
      <c r="U911" s="38"/>
      <c r="V911" s="38"/>
      <c r="W911" s="38" t="str">
        <f>IF(B911="","",COUNTIFS(Ejecucion[No. Solicitud],Registro!B911,Ejecucion[Estado],"Finalizado"))</f>
        <v/>
      </c>
      <c r="X911" s="38" t="str">
        <f>IF(B911="","",COUNTIFS(Ejecucion[No. Solicitud],Registro!B911,Ejecucion[Estado],"No Iniciado"))</f>
        <v/>
      </c>
      <c r="Y911" s="64" t="str">
        <f>IF(B911="","",COUNTIFS(Ejecucion[No. Solicitud],Registro!B911,Ejecucion[Estado],"En Proceso"))</f>
        <v/>
      </c>
      <c r="Z911" s="64" t="str">
        <f t="shared" si="29"/>
        <v/>
      </c>
      <c r="AA911" s="64"/>
      <c r="AB911" s="64"/>
      <c r="AC911" s="64"/>
      <c r="AD911" s="102"/>
    </row>
    <row r="912" spans="2:30" s="15" customFormat="1">
      <c r="B912" s="36"/>
      <c r="C912" s="102"/>
      <c r="D912" s="36"/>
      <c r="E912" s="22"/>
      <c r="F912" s="83"/>
      <c r="G912" s="83"/>
      <c r="H912" s="25"/>
      <c r="I912" s="25"/>
      <c r="J912" s="25"/>
      <c r="K912" s="25"/>
      <c r="L912" s="36"/>
      <c r="M912" s="36"/>
      <c r="N912" s="36"/>
      <c r="O912" s="102"/>
      <c r="P912" s="36"/>
      <c r="Q912" s="36"/>
      <c r="R912" s="37"/>
      <c r="S912" s="37"/>
      <c r="T912" s="60" t="str">
        <f t="shared" si="30"/>
        <v/>
      </c>
      <c r="U912" s="38"/>
      <c r="V912" s="38"/>
      <c r="W912" s="38" t="str">
        <f>IF(B912="","",COUNTIFS(Ejecucion[No. Solicitud],Registro!B912,Ejecucion[Estado],"Finalizado"))</f>
        <v/>
      </c>
      <c r="X912" s="38" t="str">
        <f>IF(B912="","",COUNTIFS(Ejecucion[No. Solicitud],Registro!B912,Ejecucion[Estado],"No Iniciado"))</f>
        <v/>
      </c>
      <c r="Y912" s="64" t="str">
        <f>IF(B912="","",COUNTIFS(Ejecucion[No. Solicitud],Registro!B912,Ejecucion[Estado],"En Proceso"))</f>
        <v/>
      </c>
      <c r="Z912" s="64" t="str">
        <f t="shared" si="29"/>
        <v/>
      </c>
      <c r="AA912" s="64"/>
      <c r="AB912" s="64"/>
      <c r="AC912" s="64"/>
      <c r="AD912" s="102"/>
    </row>
    <row r="913" spans="2:30" s="15" customFormat="1">
      <c r="B913" s="36"/>
      <c r="C913" s="102"/>
      <c r="D913" s="36"/>
      <c r="E913" s="22"/>
      <c r="F913" s="83"/>
      <c r="G913" s="83"/>
      <c r="H913" s="25"/>
      <c r="I913" s="25"/>
      <c r="J913" s="25"/>
      <c r="K913" s="25"/>
      <c r="L913" s="36"/>
      <c r="M913" s="36"/>
      <c r="N913" s="36"/>
      <c r="O913" s="102"/>
      <c r="P913" s="36"/>
      <c r="Q913" s="36"/>
      <c r="R913" s="37"/>
      <c r="S913" s="37"/>
      <c r="T913" s="60" t="str">
        <f t="shared" si="30"/>
        <v/>
      </c>
      <c r="U913" s="38"/>
      <c r="V913" s="38"/>
      <c r="W913" s="38" t="str">
        <f>IF(B913="","",COUNTIFS(Ejecucion[No. Solicitud],Registro!B913,Ejecucion[Estado],"Finalizado"))</f>
        <v/>
      </c>
      <c r="X913" s="38" t="str">
        <f>IF(B913="","",COUNTIFS(Ejecucion[No. Solicitud],Registro!B913,Ejecucion[Estado],"No Iniciado"))</f>
        <v/>
      </c>
      <c r="Y913" s="64" t="str">
        <f>IF(B913="","",COUNTIFS(Ejecucion[No. Solicitud],Registro!B913,Ejecucion[Estado],"En Proceso"))</f>
        <v/>
      </c>
      <c r="Z913" s="64" t="str">
        <f t="shared" si="29"/>
        <v/>
      </c>
      <c r="AA913" s="64"/>
      <c r="AB913" s="64"/>
      <c r="AC913" s="64"/>
      <c r="AD913" s="102"/>
    </row>
    <row r="914" spans="2:30" s="15" customFormat="1">
      <c r="B914" s="36"/>
      <c r="C914" s="102"/>
      <c r="D914" s="36"/>
      <c r="E914" s="22"/>
      <c r="F914" s="83"/>
      <c r="G914" s="83"/>
      <c r="H914" s="25"/>
      <c r="I914" s="25"/>
      <c r="J914" s="25"/>
      <c r="K914" s="25"/>
      <c r="L914" s="36"/>
      <c r="M914" s="36"/>
      <c r="N914" s="36"/>
      <c r="O914" s="102"/>
      <c r="P914" s="36"/>
      <c r="Q914" s="36"/>
      <c r="R914" s="37"/>
      <c r="S914" s="37"/>
      <c r="T914" s="60" t="str">
        <f t="shared" si="30"/>
        <v/>
      </c>
      <c r="U914" s="38"/>
      <c r="V914" s="38"/>
      <c r="W914" s="38" t="str">
        <f>IF(B914="","",COUNTIFS(Ejecucion[No. Solicitud],Registro!B914,Ejecucion[Estado],"Finalizado"))</f>
        <v/>
      </c>
      <c r="X914" s="38" t="str">
        <f>IF(B914="","",COUNTIFS(Ejecucion[No. Solicitud],Registro!B914,Ejecucion[Estado],"No Iniciado"))</f>
        <v/>
      </c>
      <c r="Y914" s="64" t="str">
        <f>IF(B914="","",COUNTIFS(Ejecucion[No. Solicitud],Registro!B914,Ejecucion[Estado],"En Proceso"))</f>
        <v/>
      </c>
      <c r="Z914" s="64" t="str">
        <f t="shared" si="29"/>
        <v/>
      </c>
      <c r="AA914" s="64"/>
      <c r="AB914" s="64"/>
      <c r="AC914" s="64"/>
      <c r="AD914" s="102"/>
    </row>
    <row r="915" spans="2:30" s="15" customFormat="1">
      <c r="B915" s="36"/>
      <c r="C915" s="102"/>
      <c r="D915" s="36"/>
      <c r="E915" s="22"/>
      <c r="F915" s="83"/>
      <c r="G915" s="83"/>
      <c r="H915" s="25"/>
      <c r="I915" s="25"/>
      <c r="J915" s="25"/>
      <c r="K915" s="25"/>
      <c r="L915" s="36"/>
      <c r="M915" s="36"/>
      <c r="N915" s="36"/>
      <c r="O915" s="102"/>
      <c r="P915" s="36"/>
      <c r="Q915" s="36"/>
      <c r="R915" s="37"/>
      <c r="S915" s="37"/>
      <c r="T915" s="60" t="str">
        <f t="shared" si="30"/>
        <v/>
      </c>
      <c r="U915" s="38"/>
      <c r="V915" s="38"/>
      <c r="W915" s="38" t="str">
        <f>IF(B915="","",COUNTIFS(Ejecucion[No. Solicitud],Registro!B915,Ejecucion[Estado],"Finalizado"))</f>
        <v/>
      </c>
      <c r="X915" s="38" t="str">
        <f>IF(B915="","",COUNTIFS(Ejecucion[No. Solicitud],Registro!B915,Ejecucion[Estado],"No Iniciado"))</f>
        <v/>
      </c>
      <c r="Y915" s="64" t="str">
        <f>IF(B915="","",COUNTIFS(Ejecucion[No. Solicitud],Registro!B915,Ejecucion[Estado],"En Proceso"))</f>
        <v/>
      </c>
      <c r="Z915" s="64" t="str">
        <f t="shared" si="29"/>
        <v/>
      </c>
      <c r="AA915" s="64"/>
      <c r="AB915" s="64"/>
      <c r="AC915" s="64"/>
      <c r="AD915" s="102"/>
    </row>
    <row r="916" spans="2:30" s="15" customFormat="1">
      <c r="B916" s="36"/>
      <c r="C916" s="102"/>
      <c r="D916" s="36"/>
      <c r="E916" s="22"/>
      <c r="F916" s="83"/>
      <c r="G916" s="83"/>
      <c r="H916" s="25"/>
      <c r="I916" s="25"/>
      <c r="J916" s="25"/>
      <c r="K916" s="25"/>
      <c r="L916" s="36"/>
      <c r="M916" s="36"/>
      <c r="N916" s="36"/>
      <c r="O916" s="102"/>
      <c r="P916" s="36"/>
      <c r="Q916" s="36"/>
      <c r="R916" s="37"/>
      <c r="S916" s="37"/>
      <c r="T916" s="60" t="str">
        <f t="shared" si="30"/>
        <v/>
      </c>
      <c r="U916" s="38"/>
      <c r="V916" s="38"/>
      <c r="W916" s="38" t="str">
        <f>IF(B916="","",COUNTIFS(Ejecucion[No. Solicitud],Registro!B916,Ejecucion[Estado],"Finalizado"))</f>
        <v/>
      </c>
      <c r="X916" s="38" t="str">
        <f>IF(B916="","",COUNTIFS(Ejecucion[No. Solicitud],Registro!B916,Ejecucion[Estado],"No Iniciado"))</f>
        <v/>
      </c>
      <c r="Y916" s="64" t="str">
        <f>IF(B916="","",COUNTIFS(Ejecucion[No. Solicitud],Registro!B916,Ejecucion[Estado],"En Proceso"))</f>
        <v/>
      </c>
      <c r="Z916" s="64" t="str">
        <f t="shared" si="29"/>
        <v/>
      </c>
      <c r="AA916" s="64"/>
      <c r="AB916" s="64"/>
      <c r="AC916" s="64"/>
      <c r="AD916" s="102"/>
    </row>
    <row r="917" spans="2:30" s="15" customFormat="1">
      <c r="B917" s="36"/>
      <c r="C917" s="102"/>
      <c r="D917" s="36"/>
      <c r="E917" s="22"/>
      <c r="F917" s="83"/>
      <c r="G917" s="83"/>
      <c r="H917" s="25"/>
      <c r="I917" s="25"/>
      <c r="J917" s="25"/>
      <c r="K917" s="25"/>
      <c r="L917" s="36"/>
      <c r="M917" s="36"/>
      <c r="N917" s="36"/>
      <c r="O917" s="102"/>
      <c r="P917" s="36"/>
      <c r="Q917" s="36"/>
      <c r="R917" s="37"/>
      <c r="S917" s="37"/>
      <c r="T917" s="60" t="str">
        <f t="shared" si="30"/>
        <v/>
      </c>
      <c r="U917" s="38"/>
      <c r="V917" s="38"/>
      <c r="W917" s="38" t="str">
        <f>IF(B917="","",COUNTIFS(Ejecucion[No. Solicitud],Registro!B917,Ejecucion[Estado],"Finalizado"))</f>
        <v/>
      </c>
      <c r="X917" s="38" t="str">
        <f>IF(B917="","",COUNTIFS(Ejecucion[No. Solicitud],Registro!B917,Ejecucion[Estado],"No Iniciado"))</f>
        <v/>
      </c>
      <c r="Y917" s="64" t="str">
        <f>IF(B917="","",COUNTIFS(Ejecucion[No. Solicitud],Registro!B917,Ejecucion[Estado],"En Proceso"))</f>
        <v/>
      </c>
      <c r="Z917" s="64" t="str">
        <f t="shared" si="29"/>
        <v/>
      </c>
      <c r="AA917" s="64"/>
      <c r="AB917" s="64"/>
      <c r="AC917" s="64"/>
      <c r="AD917" s="102"/>
    </row>
    <row r="918" spans="2:30" s="15" customFormat="1">
      <c r="B918" s="36"/>
      <c r="C918" s="102"/>
      <c r="D918" s="36"/>
      <c r="E918" s="22"/>
      <c r="F918" s="83"/>
      <c r="G918" s="83"/>
      <c r="H918" s="25"/>
      <c r="I918" s="25"/>
      <c r="J918" s="25"/>
      <c r="K918" s="25"/>
      <c r="L918" s="36"/>
      <c r="M918" s="36"/>
      <c r="N918" s="36"/>
      <c r="O918" s="102"/>
      <c r="P918" s="36"/>
      <c r="Q918" s="36"/>
      <c r="R918" s="37"/>
      <c r="S918" s="37"/>
      <c r="T918" s="60" t="str">
        <f t="shared" si="30"/>
        <v/>
      </c>
      <c r="U918" s="38"/>
      <c r="V918" s="38"/>
      <c r="W918" s="38" t="str">
        <f>IF(B918="","",COUNTIFS(Ejecucion[No. Solicitud],Registro!B918,Ejecucion[Estado],"Finalizado"))</f>
        <v/>
      </c>
      <c r="X918" s="38" t="str">
        <f>IF(B918="","",COUNTIFS(Ejecucion[No. Solicitud],Registro!B918,Ejecucion[Estado],"No Iniciado"))</f>
        <v/>
      </c>
      <c r="Y918" s="64" t="str">
        <f>IF(B918="","",COUNTIFS(Ejecucion[No. Solicitud],Registro!B918,Ejecucion[Estado],"En Proceso"))</f>
        <v/>
      </c>
      <c r="Z918" s="64" t="str">
        <f t="shared" si="29"/>
        <v/>
      </c>
      <c r="AA918" s="64"/>
      <c r="AB918" s="64"/>
      <c r="AC918" s="64"/>
      <c r="AD918" s="102"/>
    </row>
    <row r="919" spans="2:30" s="15" customFormat="1">
      <c r="B919" s="36"/>
      <c r="C919" s="102"/>
      <c r="D919" s="36"/>
      <c r="E919" s="22"/>
      <c r="F919" s="83"/>
      <c r="G919" s="83"/>
      <c r="H919" s="25"/>
      <c r="I919" s="25"/>
      <c r="J919" s="25"/>
      <c r="K919" s="25"/>
      <c r="L919" s="36"/>
      <c r="M919" s="36"/>
      <c r="N919" s="36"/>
      <c r="O919" s="102"/>
      <c r="P919" s="36"/>
      <c r="Q919" s="36"/>
      <c r="R919" s="37"/>
      <c r="S919" s="37"/>
      <c r="T919" s="60" t="str">
        <f t="shared" si="30"/>
        <v/>
      </c>
      <c r="U919" s="38"/>
      <c r="V919" s="38"/>
      <c r="W919" s="38" t="str">
        <f>IF(B919="","",COUNTIFS(Ejecucion[No. Solicitud],Registro!B919,Ejecucion[Estado],"Finalizado"))</f>
        <v/>
      </c>
      <c r="X919" s="38" t="str">
        <f>IF(B919="","",COUNTIFS(Ejecucion[No. Solicitud],Registro!B919,Ejecucion[Estado],"No Iniciado"))</f>
        <v/>
      </c>
      <c r="Y919" s="64" t="str">
        <f>IF(B919="","",COUNTIFS(Ejecucion[No. Solicitud],Registro!B919,Ejecucion[Estado],"En Proceso"))</f>
        <v/>
      </c>
      <c r="Z919" s="64" t="str">
        <f t="shared" si="29"/>
        <v/>
      </c>
      <c r="AA919" s="64"/>
      <c r="AB919" s="64"/>
      <c r="AC919" s="64"/>
      <c r="AD919" s="102"/>
    </row>
    <row r="920" spans="2:30" s="15" customFormat="1">
      <c r="B920" s="36"/>
      <c r="C920" s="102"/>
      <c r="D920" s="36"/>
      <c r="E920" s="22"/>
      <c r="F920" s="83"/>
      <c r="G920" s="83"/>
      <c r="H920" s="25"/>
      <c r="I920" s="25"/>
      <c r="J920" s="25"/>
      <c r="K920" s="25"/>
      <c r="L920" s="36"/>
      <c r="M920" s="36"/>
      <c r="N920" s="36"/>
      <c r="O920" s="102"/>
      <c r="P920" s="36"/>
      <c r="Q920" s="36"/>
      <c r="R920" s="37"/>
      <c r="S920" s="37"/>
      <c r="T920" s="60" t="str">
        <f t="shared" si="30"/>
        <v/>
      </c>
      <c r="U920" s="38"/>
      <c r="V920" s="38"/>
      <c r="W920" s="38" t="str">
        <f>IF(B920="","",COUNTIFS(Ejecucion[No. Solicitud],Registro!B920,Ejecucion[Estado],"Finalizado"))</f>
        <v/>
      </c>
      <c r="X920" s="38" t="str">
        <f>IF(B920="","",COUNTIFS(Ejecucion[No. Solicitud],Registro!B920,Ejecucion[Estado],"No Iniciado"))</f>
        <v/>
      </c>
      <c r="Y920" s="64" t="str">
        <f>IF(B920="","",COUNTIFS(Ejecucion[No. Solicitud],Registro!B920,Ejecucion[Estado],"En Proceso"))</f>
        <v/>
      </c>
      <c r="Z920" s="64" t="str">
        <f t="shared" si="29"/>
        <v/>
      </c>
      <c r="AA920" s="64"/>
      <c r="AB920" s="64"/>
      <c r="AC920" s="64"/>
      <c r="AD920" s="102"/>
    </row>
    <row r="921" spans="2:30" s="15" customFormat="1">
      <c r="B921" s="36"/>
      <c r="C921" s="102"/>
      <c r="D921" s="36"/>
      <c r="E921" s="22"/>
      <c r="F921" s="83"/>
      <c r="G921" s="83"/>
      <c r="H921" s="25"/>
      <c r="I921" s="25"/>
      <c r="J921" s="25"/>
      <c r="K921" s="25"/>
      <c r="L921" s="36"/>
      <c r="M921" s="36"/>
      <c r="N921" s="36"/>
      <c r="O921" s="102"/>
      <c r="P921" s="36"/>
      <c r="Q921" s="36"/>
      <c r="R921" s="37"/>
      <c r="S921" s="37"/>
      <c r="T921" s="60" t="str">
        <f t="shared" si="30"/>
        <v/>
      </c>
      <c r="U921" s="38"/>
      <c r="V921" s="38"/>
      <c r="W921" s="38" t="str">
        <f>IF(B921="","",COUNTIFS(Ejecucion[No. Solicitud],Registro!B921,Ejecucion[Estado],"Finalizado"))</f>
        <v/>
      </c>
      <c r="X921" s="38" t="str">
        <f>IF(B921="","",COUNTIFS(Ejecucion[No. Solicitud],Registro!B921,Ejecucion[Estado],"No Iniciado"))</f>
        <v/>
      </c>
      <c r="Y921" s="64" t="str">
        <f>IF(B921="","",COUNTIFS(Ejecucion[No. Solicitud],Registro!B921,Ejecucion[Estado],"En Proceso"))</f>
        <v/>
      </c>
      <c r="Z921" s="64" t="str">
        <f t="shared" si="29"/>
        <v/>
      </c>
      <c r="AA921" s="64"/>
      <c r="AB921" s="64"/>
      <c r="AC921" s="64"/>
      <c r="AD921" s="102"/>
    </row>
    <row r="922" spans="2:30" s="15" customFormat="1">
      <c r="B922" s="36"/>
      <c r="C922" s="102"/>
      <c r="D922" s="36"/>
      <c r="E922" s="22"/>
      <c r="F922" s="83"/>
      <c r="G922" s="83"/>
      <c r="H922" s="25"/>
      <c r="I922" s="25"/>
      <c r="J922" s="25"/>
      <c r="K922" s="25"/>
      <c r="L922" s="36"/>
      <c r="M922" s="36"/>
      <c r="N922" s="36"/>
      <c r="O922" s="102"/>
      <c r="P922" s="36"/>
      <c r="Q922" s="36"/>
      <c r="R922" s="37"/>
      <c r="S922" s="37"/>
      <c r="T922" s="60" t="str">
        <f t="shared" si="30"/>
        <v/>
      </c>
      <c r="U922" s="38"/>
      <c r="V922" s="38"/>
      <c r="W922" s="38" t="str">
        <f>IF(B922="","",COUNTIFS(Ejecucion[No. Solicitud],Registro!B922,Ejecucion[Estado],"Finalizado"))</f>
        <v/>
      </c>
      <c r="X922" s="38" t="str">
        <f>IF(B922="","",COUNTIFS(Ejecucion[No. Solicitud],Registro!B922,Ejecucion[Estado],"No Iniciado"))</f>
        <v/>
      </c>
      <c r="Y922" s="64" t="str">
        <f>IF(B922="","",COUNTIFS(Ejecucion[No. Solicitud],Registro!B922,Ejecucion[Estado],"En Proceso"))</f>
        <v/>
      </c>
      <c r="Z922" s="64" t="str">
        <f t="shared" ref="Z922:Z985" si="31">IF(U922="","",IF(F922="Virtual Asincrónico",1,V922*U922))</f>
        <v/>
      </c>
      <c r="AA922" s="64"/>
      <c r="AB922" s="64"/>
      <c r="AC922" s="64"/>
      <c r="AD922" s="102"/>
    </row>
    <row r="923" spans="2:30" s="15" customFormat="1">
      <c r="B923" s="36"/>
      <c r="C923" s="102"/>
      <c r="D923" s="36"/>
      <c r="E923" s="22"/>
      <c r="F923" s="83"/>
      <c r="G923" s="83"/>
      <c r="H923" s="25"/>
      <c r="I923" s="25"/>
      <c r="J923" s="25"/>
      <c r="K923" s="25"/>
      <c r="L923" s="36"/>
      <c r="M923" s="36"/>
      <c r="N923" s="36"/>
      <c r="O923" s="102"/>
      <c r="P923" s="36"/>
      <c r="Q923" s="36"/>
      <c r="R923" s="37"/>
      <c r="S923" s="37"/>
      <c r="T923" s="60" t="str">
        <f t="shared" si="30"/>
        <v/>
      </c>
      <c r="U923" s="38"/>
      <c r="V923" s="38"/>
      <c r="W923" s="38" t="str">
        <f>IF(B923="","",COUNTIFS(Ejecucion[No. Solicitud],Registro!B923,Ejecucion[Estado],"Finalizado"))</f>
        <v/>
      </c>
      <c r="X923" s="38" t="str">
        <f>IF(B923="","",COUNTIFS(Ejecucion[No. Solicitud],Registro!B923,Ejecucion[Estado],"No Iniciado"))</f>
        <v/>
      </c>
      <c r="Y923" s="64" t="str">
        <f>IF(B923="","",COUNTIFS(Ejecucion[No. Solicitud],Registro!B923,Ejecucion[Estado],"En Proceso"))</f>
        <v/>
      </c>
      <c r="Z923" s="64" t="str">
        <f t="shared" si="31"/>
        <v/>
      </c>
      <c r="AA923" s="64"/>
      <c r="AB923" s="64"/>
      <c r="AC923" s="64"/>
      <c r="AD923" s="102"/>
    </row>
    <row r="924" spans="2:30" s="15" customFormat="1">
      <c r="B924" s="36"/>
      <c r="C924" s="102"/>
      <c r="D924" s="36"/>
      <c r="E924" s="22"/>
      <c r="F924" s="83"/>
      <c r="G924" s="83"/>
      <c r="H924" s="25"/>
      <c r="I924" s="25"/>
      <c r="J924" s="25"/>
      <c r="K924" s="25"/>
      <c r="L924" s="36"/>
      <c r="M924" s="36"/>
      <c r="N924" s="36"/>
      <c r="O924" s="102"/>
      <c r="P924" s="36"/>
      <c r="Q924" s="36"/>
      <c r="R924" s="37"/>
      <c r="S924" s="37"/>
      <c r="T924" s="60" t="str">
        <f t="shared" si="30"/>
        <v/>
      </c>
      <c r="U924" s="38"/>
      <c r="V924" s="38"/>
      <c r="W924" s="38" t="str">
        <f>IF(B924="","",COUNTIFS(Ejecucion[No. Solicitud],Registro!B924,Ejecucion[Estado],"Finalizado"))</f>
        <v/>
      </c>
      <c r="X924" s="38" t="str">
        <f>IF(B924="","",COUNTIFS(Ejecucion[No. Solicitud],Registro!B924,Ejecucion[Estado],"No Iniciado"))</f>
        <v/>
      </c>
      <c r="Y924" s="64" t="str">
        <f>IF(B924="","",COUNTIFS(Ejecucion[No. Solicitud],Registro!B924,Ejecucion[Estado],"En Proceso"))</f>
        <v/>
      </c>
      <c r="Z924" s="64" t="str">
        <f t="shared" si="31"/>
        <v/>
      </c>
      <c r="AA924" s="64"/>
      <c r="AB924" s="64"/>
      <c r="AC924" s="64"/>
      <c r="AD924" s="102"/>
    </row>
    <row r="925" spans="2:30" s="15" customFormat="1">
      <c r="B925" s="36"/>
      <c r="C925" s="102"/>
      <c r="D925" s="36"/>
      <c r="E925" s="22"/>
      <c r="F925" s="83"/>
      <c r="G925" s="83"/>
      <c r="H925" s="25"/>
      <c r="I925" s="25"/>
      <c r="J925" s="25"/>
      <c r="K925" s="25"/>
      <c r="L925" s="36"/>
      <c r="M925" s="36"/>
      <c r="N925" s="36"/>
      <c r="O925" s="102"/>
      <c r="P925" s="36"/>
      <c r="Q925" s="36"/>
      <c r="R925" s="37"/>
      <c r="S925" s="37"/>
      <c r="T925" s="60" t="str">
        <f t="shared" si="30"/>
        <v/>
      </c>
      <c r="U925" s="38"/>
      <c r="V925" s="38"/>
      <c r="W925" s="38" t="str">
        <f>IF(B925="","",COUNTIFS(Ejecucion[No. Solicitud],Registro!B925,Ejecucion[Estado],"Finalizado"))</f>
        <v/>
      </c>
      <c r="X925" s="38" t="str">
        <f>IF(B925="","",COUNTIFS(Ejecucion[No. Solicitud],Registro!B925,Ejecucion[Estado],"No Iniciado"))</f>
        <v/>
      </c>
      <c r="Y925" s="64" t="str">
        <f>IF(B925="","",COUNTIFS(Ejecucion[No. Solicitud],Registro!B925,Ejecucion[Estado],"En Proceso"))</f>
        <v/>
      </c>
      <c r="Z925" s="64" t="str">
        <f t="shared" si="31"/>
        <v/>
      </c>
      <c r="AA925" s="64"/>
      <c r="AB925" s="64"/>
      <c r="AC925" s="64"/>
      <c r="AD925" s="102"/>
    </row>
    <row r="926" spans="2:30" s="15" customFormat="1">
      <c r="B926" s="36"/>
      <c r="C926" s="102"/>
      <c r="D926" s="36"/>
      <c r="E926" s="22"/>
      <c r="F926" s="83"/>
      <c r="G926" s="83"/>
      <c r="H926" s="25"/>
      <c r="I926" s="25"/>
      <c r="J926" s="25"/>
      <c r="K926" s="25"/>
      <c r="L926" s="36"/>
      <c r="M926" s="36"/>
      <c r="N926" s="36"/>
      <c r="O926" s="102"/>
      <c r="P926" s="36"/>
      <c r="Q926" s="36"/>
      <c r="R926" s="37"/>
      <c r="S926" s="37"/>
      <c r="T926" s="60" t="str">
        <f t="shared" si="30"/>
        <v/>
      </c>
      <c r="U926" s="38"/>
      <c r="V926" s="38"/>
      <c r="W926" s="38" t="str">
        <f>IF(B926="","",COUNTIFS(Ejecucion[No. Solicitud],Registro!B926,Ejecucion[Estado],"Finalizado"))</f>
        <v/>
      </c>
      <c r="X926" s="38" t="str">
        <f>IF(B926="","",COUNTIFS(Ejecucion[No. Solicitud],Registro!B926,Ejecucion[Estado],"No Iniciado"))</f>
        <v/>
      </c>
      <c r="Y926" s="64" t="str">
        <f>IF(B926="","",COUNTIFS(Ejecucion[No. Solicitud],Registro!B926,Ejecucion[Estado],"En Proceso"))</f>
        <v/>
      </c>
      <c r="Z926" s="64" t="str">
        <f t="shared" si="31"/>
        <v/>
      </c>
      <c r="AA926" s="64"/>
      <c r="AB926" s="64"/>
      <c r="AC926" s="64"/>
      <c r="AD926" s="102"/>
    </row>
    <row r="927" spans="2:30" s="15" customFormat="1">
      <c r="B927" s="36"/>
      <c r="C927" s="102"/>
      <c r="D927" s="36"/>
      <c r="E927" s="22"/>
      <c r="F927" s="83"/>
      <c r="G927" s="83"/>
      <c r="H927" s="25"/>
      <c r="I927" s="25"/>
      <c r="J927" s="25"/>
      <c r="K927" s="25"/>
      <c r="L927" s="36"/>
      <c r="M927" s="36"/>
      <c r="N927" s="36"/>
      <c r="O927" s="102"/>
      <c r="P927" s="36"/>
      <c r="Q927" s="36"/>
      <c r="R927" s="37"/>
      <c r="S927" s="37"/>
      <c r="T927" s="60" t="str">
        <f t="shared" si="30"/>
        <v/>
      </c>
      <c r="U927" s="38"/>
      <c r="V927" s="38"/>
      <c r="W927" s="38" t="str">
        <f>IF(B927="","",COUNTIFS(Ejecucion[No. Solicitud],Registro!B927,Ejecucion[Estado],"Finalizado"))</f>
        <v/>
      </c>
      <c r="X927" s="38" t="str">
        <f>IF(B927="","",COUNTIFS(Ejecucion[No. Solicitud],Registro!B927,Ejecucion[Estado],"No Iniciado"))</f>
        <v/>
      </c>
      <c r="Y927" s="64" t="str">
        <f>IF(B927="","",COUNTIFS(Ejecucion[No. Solicitud],Registro!B927,Ejecucion[Estado],"En Proceso"))</f>
        <v/>
      </c>
      <c r="Z927" s="64" t="str">
        <f t="shared" si="31"/>
        <v/>
      </c>
      <c r="AA927" s="64"/>
      <c r="AB927" s="64"/>
      <c r="AC927" s="64"/>
      <c r="AD927" s="102"/>
    </row>
    <row r="928" spans="2:30" s="15" customFormat="1">
      <c r="B928" s="36"/>
      <c r="C928" s="102"/>
      <c r="D928" s="36"/>
      <c r="E928" s="22"/>
      <c r="F928" s="83"/>
      <c r="G928" s="83"/>
      <c r="H928" s="25"/>
      <c r="I928" s="25"/>
      <c r="J928" s="25"/>
      <c r="K928" s="25"/>
      <c r="L928" s="36"/>
      <c r="M928" s="36"/>
      <c r="N928" s="36"/>
      <c r="O928" s="102"/>
      <c r="P928" s="36"/>
      <c r="Q928" s="36"/>
      <c r="R928" s="37"/>
      <c r="S928" s="37"/>
      <c r="T928" s="60" t="str">
        <f t="shared" si="30"/>
        <v/>
      </c>
      <c r="U928" s="38"/>
      <c r="V928" s="38"/>
      <c r="W928" s="38" t="str">
        <f>IF(B928="","",COUNTIFS(Ejecucion[No. Solicitud],Registro!B928,Ejecucion[Estado],"Finalizado"))</f>
        <v/>
      </c>
      <c r="X928" s="38" t="str">
        <f>IF(B928="","",COUNTIFS(Ejecucion[No. Solicitud],Registro!B928,Ejecucion[Estado],"No Iniciado"))</f>
        <v/>
      </c>
      <c r="Y928" s="64" t="str">
        <f>IF(B928="","",COUNTIFS(Ejecucion[No. Solicitud],Registro!B928,Ejecucion[Estado],"En Proceso"))</f>
        <v/>
      </c>
      <c r="Z928" s="64" t="str">
        <f t="shared" si="31"/>
        <v/>
      </c>
      <c r="AA928" s="64"/>
      <c r="AB928" s="64"/>
      <c r="AC928" s="64"/>
      <c r="AD928" s="102"/>
    </row>
    <row r="929" spans="2:30" s="15" customFormat="1">
      <c r="B929" s="36"/>
      <c r="C929" s="102"/>
      <c r="D929" s="36"/>
      <c r="E929" s="22"/>
      <c r="F929" s="83"/>
      <c r="G929" s="83"/>
      <c r="H929" s="25"/>
      <c r="I929" s="25"/>
      <c r="J929" s="25"/>
      <c r="K929" s="25"/>
      <c r="L929" s="36"/>
      <c r="M929" s="36"/>
      <c r="N929" s="36"/>
      <c r="O929" s="102"/>
      <c r="P929" s="36"/>
      <c r="Q929" s="36"/>
      <c r="R929" s="37"/>
      <c r="S929" s="37"/>
      <c r="T929" s="60" t="str">
        <f t="shared" si="30"/>
        <v/>
      </c>
      <c r="U929" s="38"/>
      <c r="V929" s="38"/>
      <c r="W929" s="38" t="str">
        <f>IF(B929="","",COUNTIFS(Ejecucion[No. Solicitud],Registro!B929,Ejecucion[Estado],"Finalizado"))</f>
        <v/>
      </c>
      <c r="X929" s="38" t="str">
        <f>IF(B929="","",COUNTIFS(Ejecucion[No. Solicitud],Registro!B929,Ejecucion[Estado],"No Iniciado"))</f>
        <v/>
      </c>
      <c r="Y929" s="64" t="str">
        <f>IF(B929="","",COUNTIFS(Ejecucion[No. Solicitud],Registro!B929,Ejecucion[Estado],"En Proceso"))</f>
        <v/>
      </c>
      <c r="Z929" s="64" t="str">
        <f t="shared" si="31"/>
        <v/>
      </c>
      <c r="AA929" s="64"/>
      <c r="AB929" s="64"/>
      <c r="AC929" s="64"/>
      <c r="AD929" s="102"/>
    </row>
    <row r="930" spans="2:30" s="15" customFormat="1">
      <c r="B930" s="36"/>
      <c r="C930" s="102"/>
      <c r="D930" s="36"/>
      <c r="E930" s="22"/>
      <c r="F930" s="83"/>
      <c r="G930" s="83"/>
      <c r="H930" s="25"/>
      <c r="I930" s="25"/>
      <c r="J930" s="25"/>
      <c r="K930" s="25"/>
      <c r="L930" s="36"/>
      <c r="M930" s="36"/>
      <c r="N930" s="36"/>
      <c r="O930" s="102"/>
      <c r="P930" s="36"/>
      <c r="Q930" s="36"/>
      <c r="R930" s="37"/>
      <c r="S930" s="37"/>
      <c r="T930" s="60" t="str">
        <f t="shared" si="30"/>
        <v/>
      </c>
      <c r="U930" s="38"/>
      <c r="V930" s="38"/>
      <c r="W930" s="38" t="str">
        <f>IF(B930="","",COUNTIFS(Ejecucion[No. Solicitud],Registro!B930,Ejecucion[Estado],"Finalizado"))</f>
        <v/>
      </c>
      <c r="X930" s="38" t="str">
        <f>IF(B930="","",COUNTIFS(Ejecucion[No. Solicitud],Registro!B930,Ejecucion[Estado],"No Iniciado"))</f>
        <v/>
      </c>
      <c r="Y930" s="64" t="str">
        <f>IF(B930="","",COUNTIFS(Ejecucion[No. Solicitud],Registro!B930,Ejecucion[Estado],"En Proceso"))</f>
        <v/>
      </c>
      <c r="Z930" s="64" t="str">
        <f t="shared" si="31"/>
        <v/>
      </c>
      <c r="AA930" s="64"/>
      <c r="AB930" s="64"/>
      <c r="AC930" s="64"/>
      <c r="AD930" s="102"/>
    </row>
    <row r="931" spans="2:30" s="15" customFormat="1">
      <c r="B931" s="36"/>
      <c r="C931" s="102"/>
      <c r="D931" s="36"/>
      <c r="E931" s="22"/>
      <c r="F931" s="83"/>
      <c r="G931" s="83"/>
      <c r="H931" s="25"/>
      <c r="I931" s="25"/>
      <c r="J931" s="25"/>
      <c r="K931" s="25"/>
      <c r="L931" s="36"/>
      <c r="M931" s="36"/>
      <c r="N931" s="36"/>
      <c r="O931" s="102"/>
      <c r="P931" s="36"/>
      <c r="Q931" s="36"/>
      <c r="R931" s="37"/>
      <c r="S931" s="37"/>
      <c r="T931" s="60" t="str">
        <f t="shared" si="30"/>
        <v/>
      </c>
      <c r="U931" s="38"/>
      <c r="V931" s="38"/>
      <c r="W931" s="38" t="str">
        <f>IF(B931="","",COUNTIFS(Ejecucion[No. Solicitud],Registro!B931,Ejecucion[Estado],"Finalizado"))</f>
        <v/>
      </c>
      <c r="X931" s="38" t="str">
        <f>IF(B931="","",COUNTIFS(Ejecucion[No. Solicitud],Registro!B931,Ejecucion[Estado],"No Iniciado"))</f>
        <v/>
      </c>
      <c r="Y931" s="64" t="str">
        <f>IF(B931="","",COUNTIFS(Ejecucion[No. Solicitud],Registro!B931,Ejecucion[Estado],"En Proceso"))</f>
        <v/>
      </c>
      <c r="Z931" s="64" t="str">
        <f t="shared" si="31"/>
        <v/>
      </c>
      <c r="AA931" s="64"/>
      <c r="AB931" s="64"/>
      <c r="AC931" s="64"/>
      <c r="AD931" s="102"/>
    </row>
    <row r="932" spans="2:30" s="15" customFormat="1">
      <c r="B932" s="36"/>
      <c r="C932" s="102"/>
      <c r="D932" s="36"/>
      <c r="E932" s="22"/>
      <c r="F932" s="83"/>
      <c r="G932" s="83"/>
      <c r="H932" s="25"/>
      <c r="I932" s="25"/>
      <c r="J932" s="25"/>
      <c r="K932" s="25"/>
      <c r="L932" s="36"/>
      <c r="M932" s="36"/>
      <c r="N932" s="36"/>
      <c r="O932" s="102"/>
      <c r="P932" s="36"/>
      <c r="Q932" s="36"/>
      <c r="R932" s="37"/>
      <c r="S932" s="37"/>
      <c r="T932" s="60" t="str">
        <f t="shared" si="30"/>
        <v/>
      </c>
      <c r="U932" s="38"/>
      <c r="V932" s="38"/>
      <c r="W932" s="38" t="str">
        <f>IF(B932="","",COUNTIFS(Ejecucion[No. Solicitud],Registro!B932,Ejecucion[Estado],"Finalizado"))</f>
        <v/>
      </c>
      <c r="X932" s="38" t="str">
        <f>IF(B932="","",COUNTIFS(Ejecucion[No. Solicitud],Registro!B932,Ejecucion[Estado],"No Iniciado"))</f>
        <v/>
      </c>
      <c r="Y932" s="64" t="str">
        <f>IF(B932="","",COUNTIFS(Ejecucion[No. Solicitud],Registro!B932,Ejecucion[Estado],"En Proceso"))</f>
        <v/>
      </c>
      <c r="Z932" s="64" t="str">
        <f t="shared" si="31"/>
        <v/>
      </c>
      <c r="AA932" s="64"/>
      <c r="AB932" s="64"/>
      <c r="AC932" s="64"/>
      <c r="AD932" s="102"/>
    </row>
    <row r="933" spans="2:30" s="15" customFormat="1">
      <c r="B933" s="36"/>
      <c r="C933" s="102"/>
      <c r="D933" s="36"/>
      <c r="E933" s="22"/>
      <c r="F933" s="83"/>
      <c r="G933" s="83"/>
      <c r="H933" s="25"/>
      <c r="I933" s="25"/>
      <c r="J933" s="25"/>
      <c r="K933" s="25"/>
      <c r="L933" s="36"/>
      <c r="M933" s="36"/>
      <c r="N933" s="36"/>
      <c r="O933" s="102"/>
      <c r="P933" s="36"/>
      <c r="Q933" s="36"/>
      <c r="R933" s="37"/>
      <c r="S933" s="37"/>
      <c r="T933" s="60" t="str">
        <f t="shared" si="30"/>
        <v/>
      </c>
      <c r="U933" s="38"/>
      <c r="V933" s="38"/>
      <c r="W933" s="38" t="str">
        <f>IF(B933="","",COUNTIFS(Ejecucion[No. Solicitud],Registro!B933,Ejecucion[Estado],"Finalizado"))</f>
        <v/>
      </c>
      <c r="X933" s="38" t="str">
        <f>IF(B933="","",COUNTIFS(Ejecucion[No. Solicitud],Registro!B933,Ejecucion[Estado],"No Iniciado"))</f>
        <v/>
      </c>
      <c r="Y933" s="64" t="str">
        <f>IF(B933="","",COUNTIFS(Ejecucion[No. Solicitud],Registro!B933,Ejecucion[Estado],"En Proceso"))</f>
        <v/>
      </c>
      <c r="Z933" s="64" t="str">
        <f t="shared" si="31"/>
        <v/>
      </c>
      <c r="AA933" s="64"/>
      <c r="AB933" s="64"/>
      <c r="AC933" s="64"/>
      <c r="AD933" s="102"/>
    </row>
    <row r="934" spans="2:30" s="15" customFormat="1">
      <c r="B934" s="36"/>
      <c r="C934" s="102"/>
      <c r="D934" s="36"/>
      <c r="E934" s="22"/>
      <c r="F934" s="83"/>
      <c r="G934" s="83"/>
      <c r="H934" s="25"/>
      <c r="I934" s="25"/>
      <c r="J934" s="25"/>
      <c r="K934" s="25"/>
      <c r="L934" s="36"/>
      <c r="M934" s="36"/>
      <c r="N934" s="36"/>
      <c r="O934" s="102"/>
      <c r="P934" s="36"/>
      <c r="Q934" s="36"/>
      <c r="R934" s="37"/>
      <c r="S934" s="37"/>
      <c r="T934" s="60" t="str">
        <f t="shared" si="30"/>
        <v/>
      </c>
      <c r="U934" s="38"/>
      <c r="V934" s="38"/>
      <c r="W934" s="38" t="str">
        <f>IF(B934="","",COUNTIFS(Ejecucion[No. Solicitud],Registro!B934,Ejecucion[Estado],"Finalizado"))</f>
        <v/>
      </c>
      <c r="X934" s="38" t="str">
        <f>IF(B934="","",COUNTIFS(Ejecucion[No. Solicitud],Registro!B934,Ejecucion[Estado],"No Iniciado"))</f>
        <v/>
      </c>
      <c r="Y934" s="64" t="str">
        <f>IF(B934="","",COUNTIFS(Ejecucion[No. Solicitud],Registro!B934,Ejecucion[Estado],"En Proceso"))</f>
        <v/>
      </c>
      <c r="Z934" s="64" t="str">
        <f t="shared" si="31"/>
        <v/>
      </c>
      <c r="AA934" s="64"/>
      <c r="AB934" s="64"/>
      <c r="AC934" s="64"/>
      <c r="AD934" s="102"/>
    </row>
    <row r="935" spans="2:30" s="15" customFormat="1">
      <c r="B935" s="36"/>
      <c r="C935" s="102"/>
      <c r="D935" s="36"/>
      <c r="E935" s="22"/>
      <c r="F935" s="83"/>
      <c r="G935" s="83"/>
      <c r="H935" s="25"/>
      <c r="I935" s="25"/>
      <c r="J935" s="25"/>
      <c r="K935" s="25"/>
      <c r="L935" s="36"/>
      <c r="M935" s="36"/>
      <c r="N935" s="36"/>
      <c r="O935" s="102"/>
      <c r="P935" s="36"/>
      <c r="Q935" s="36"/>
      <c r="R935" s="37"/>
      <c r="S935" s="37"/>
      <c r="T935" s="60" t="str">
        <f t="shared" si="30"/>
        <v/>
      </c>
      <c r="U935" s="38"/>
      <c r="V935" s="38"/>
      <c r="W935" s="38" t="str">
        <f>IF(B935="","",COUNTIFS(Ejecucion[No. Solicitud],Registro!B935,Ejecucion[Estado],"Finalizado"))</f>
        <v/>
      </c>
      <c r="X935" s="38" t="str">
        <f>IF(B935="","",COUNTIFS(Ejecucion[No. Solicitud],Registro!B935,Ejecucion[Estado],"No Iniciado"))</f>
        <v/>
      </c>
      <c r="Y935" s="64" t="str">
        <f>IF(B935="","",COUNTIFS(Ejecucion[No. Solicitud],Registro!B935,Ejecucion[Estado],"En Proceso"))</f>
        <v/>
      </c>
      <c r="Z935" s="64" t="str">
        <f t="shared" si="31"/>
        <v/>
      </c>
      <c r="AA935" s="64"/>
      <c r="AB935" s="64"/>
      <c r="AC935" s="64"/>
      <c r="AD935" s="102"/>
    </row>
    <row r="936" spans="2:30" s="15" customFormat="1">
      <c r="B936" s="36"/>
      <c r="C936" s="102"/>
      <c r="D936" s="36"/>
      <c r="E936" s="22"/>
      <c r="F936" s="83"/>
      <c r="G936" s="83"/>
      <c r="H936" s="25"/>
      <c r="I936" s="25"/>
      <c r="J936" s="25"/>
      <c r="K936" s="25"/>
      <c r="L936" s="36"/>
      <c r="M936" s="36"/>
      <c r="N936" s="36"/>
      <c r="O936" s="102"/>
      <c r="P936" s="36"/>
      <c r="Q936" s="36"/>
      <c r="R936" s="37"/>
      <c r="S936" s="37"/>
      <c r="T936" s="60" t="str">
        <f t="shared" si="30"/>
        <v/>
      </c>
      <c r="U936" s="38"/>
      <c r="V936" s="38"/>
      <c r="W936" s="38" t="str">
        <f>IF(B936="","",COUNTIFS(Ejecucion[No. Solicitud],Registro!B936,Ejecucion[Estado],"Finalizado"))</f>
        <v/>
      </c>
      <c r="X936" s="38" t="str">
        <f>IF(B936="","",COUNTIFS(Ejecucion[No. Solicitud],Registro!B936,Ejecucion[Estado],"No Iniciado"))</f>
        <v/>
      </c>
      <c r="Y936" s="64" t="str">
        <f>IF(B936="","",COUNTIFS(Ejecucion[No. Solicitud],Registro!B936,Ejecucion[Estado],"En Proceso"))</f>
        <v/>
      </c>
      <c r="Z936" s="64" t="str">
        <f t="shared" si="31"/>
        <v/>
      </c>
      <c r="AA936" s="64"/>
      <c r="AB936" s="64"/>
      <c r="AC936" s="64"/>
      <c r="AD936" s="102"/>
    </row>
    <row r="937" spans="2:30" s="15" customFormat="1">
      <c r="B937" s="36"/>
      <c r="C937" s="102"/>
      <c r="D937" s="36"/>
      <c r="E937" s="22"/>
      <c r="F937" s="83"/>
      <c r="G937" s="83"/>
      <c r="H937" s="25"/>
      <c r="I937" s="25"/>
      <c r="J937" s="25"/>
      <c r="K937" s="25"/>
      <c r="L937" s="36"/>
      <c r="M937" s="36"/>
      <c r="N937" s="36"/>
      <c r="O937" s="102"/>
      <c r="P937" s="36"/>
      <c r="Q937" s="36"/>
      <c r="R937" s="37"/>
      <c r="S937" s="37"/>
      <c r="T937" s="60" t="str">
        <f t="shared" si="30"/>
        <v/>
      </c>
      <c r="U937" s="38"/>
      <c r="V937" s="38"/>
      <c r="W937" s="38" t="str">
        <f>IF(B937="","",COUNTIFS(Ejecucion[No. Solicitud],Registro!B937,Ejecucion[Estado],"Finalizado"))</f>
        <v/>
      </c>
      <c r="X937" s="38" t="str">
        <f>IF(B937="","",COUNTIFS(Ejecucion[No. Solicitud],Registro!B937,Ejecucion[Estado],"No Iniciado"))</f>
        <v/>
      </c>
      <c r="Y937" s="64" t="str">
        <f>IF(B937="","",COUNTIFS(Ejecucion[No. Solicitud],Registro!B937,Ejecucion[Estado],"En Proceso"))</f>
        <v/>
      </c>
      <c r="Z937" s="64" t="str">
        <f t="shared" si="31"/>
        <v/>
      </c>
      <c r="AA937" s="64"/>
      <c r="AB937" s="64"/>
      <c r="AC937" s="64"/>
      <c r="AD937" s="102"/>
    </row>
    <row r="938" spans="2:30" s="15" customFormat="1">
      <c r="B938" s="36"/>
      <c r="C938" s="102"/>
      <c r="D938" s="36"/>
      <c r="E938" s="22"/>
      <c r="F938" s="83"/>
      <c r="G938" s="83"/>
      <c r="H938" s="25"/>
      <c r="I938" s="25"/>
      <c r="J938" s="25"/>
      <c r="K938" s="25"/>
      <c r="L938" s="36"/>
      <c r="M938" s="36"/>
      <c r="N938" s="36"/>
      <c r="O938" s="102"/>
      <c r="P938" s="36"/>
      <c r="Q938" s="36"/>
      <c r="R938" s="37"/>
      <c r="S938" s="37"/>
      <c r="T938" s="60" t="str">
        <f t="shared" si="30"/>
        <v/>
      </c>
      <c r="U938" s="38"/>
      <c r="V938" s="38"/>
      <c r="W938" s="38" t="str">
        <f>IF(B938="","",COUNTIFS(Ejecucion[No. Solicitud],Registro!B938,Ejecucion[Estado],"Finalizado"))</f>
        <v/>
      </c>
      <c r="X938" s="38" t="str">
        <f>IF(B938="","",COUNTIFS(Ejecucion[No. Solicitud],Registro!B938,Ejecucion[Estado],"No Iniciado"))</f>
        <v/>
      </c>
      <c r="Y938" s="64" t="str">
        <f>IF(B938="","",COUNTIFS(Ejecucion[No. Solicitud],Registro!B938,Ejecucion[Estado],"En Proceso"))</f>
        <v/>
      </c>
      <c r="Z938" s="64" t="str">
        <f t="shared" si="31"/>
        <v/>
      </c>
      <c r="AA938" s="64"/>
      <c r="AB938" s="64"/>
      <c r="AC938" s="64"/>
      <c r="AD938" s="102"/>
    </row>
    <row r="939" spans="2:30" s="15" customFormat="1">
      <c r="B939" s="36"/>
      <c r="C939" s="102"/>
      <c r="D939" s="36"/>
      <c r="E939" s="22"/>
      <c r="F939" s="83"/>
      <c r="G939" s="83"/>
      <c r="H939" s="25"/>
      <c r="I939" s="25"/>
      <c r="J939" s="25"/>
      <c r="K939" s="25"/>
      <c r="L939" s="36"/>
      <c r="M939" s="36"/>
      <c r="N939" s="36"/>
      <c r="O939" s="102"/>
      <c r="P939" s="36"/>
      <c r="Q939" s="36"/>
      <c r="R939" s="37"/>
      <c r="S939" s="37"/>
      <c r="T939" s="60" t="str">
        <f t="shared" si="30"/>
        <v/>
      </c>
      <c r="U939" s="38"/>
      <c r="V939" s="38"/>
      <c r="W939" s="38" t="str">
        <f>IF(B939="","",COUNTIFS(Ejecucion[No. Solicitud],Registro!B939,Ejecucion[Estado],"Finalizado"))</f>
        <v/>
      </c>
      <c r="X939" s="38" t="str">
        <f>IF(B939="","",COUNTIFS(Ejecucion[No. Solicitud],Registro!B939,Ejecucion[Estado],"No Iniciado"))</f>
        <v/>
      </c>
      <c r="Y939" s="64" t="str">
        <f>IF(B939="","",COUNTIFS(Ejecucion[No. Solicitud],Registro!B939,Ejecucion[Estado],"En Proceso"))</f>
        <v/>
      </c>
      <c r="Z939" s="64" t="str">
        <f t="shared" si="31"/>
        <v/>
      </c>
      <c r="AA939" s="64"/>
      <c r="AB939" s="64"/>
      <c r="AC939" s="64"/>
      <c r="AD939" s="102"/>
    </row>
    <row r="940" spans="2:30" s="15" customFormat="1">
      <c r="B940" s="36"/>
      <c r="C940" s="102"/>
      <c r="D940" s="36"/>
      <c r="E940" s="22"/>
      <c r="F940" s="83"/>
      <c r="G940" s="83"/>
      <c r="H940" s="25"/>
      <c r="I940" s="25"/>
      <c r="J940" s="25"/>
      <c r="K940" s="25"/>
      <c r="L940" s="36"/>
      <c r="M940" s="36"/>
      <c r="N940" s="36"/>
      <c r="O940" s="102"/>
      <c r="P940" s="36"/>
      <c r="Q940" s="36"/>
      <c r="R940" s="37"/>
      <c r="S940" s="37"/>
      <c r="T940" s="60" t="str">
        <f t="shared" si="30"/>
        <v/>
      </c>
      <c r="U940" s="38"/>
      <c r="V940" s="38"/>
      <c r="W940" s="38" t="str">
        <f>IF(B940="","",COUNTIFS(Ejecucion[No. Solicitud],Registro!B940,Ejecucion[Estado],"Finalizado"))</f>
        <v/>
      </c>
      <c r="X940" s="38" t="str">
        <f>IF(B940="","",COUNTIFS(Ejecucion[No. Solicitud],Registro!B940,Ejecucion[Estado],"No Iniciado"))</f>
        <v/>
      </c>
      <c r="Y940" s="64" t="str">
        <f>IF(B940="","",COUNTIFS(Ejecucion[No. Solicitud],Registro!B940,Ejecucion[Estado],"En Proceso"))</f>
        <v/>
      </c>
      <c r="Z940" s="64" t="str">
        <f t="shared" si="31"/>
        <v/>
      </c>
      <c r="AA940" s="64"/>
      <c r="AB940" s="64"/>
      <c r="AC940" s="64"/>
      <c r="AD940" s="102"/>
    </row>
    <row r="941" spans="2:30" s="15" customFormat="1">
      <c r="B941" s="36"/>
      <c r="C941" s="102"/>
      <c r="D941" s="36"/>
      <c r="E941" s="22"/>
      <c r="F941" s="83"/>
      <c r="G941" s="83"/>
      <c r="H941" s="25"/>
      <c r="I941" s="25"/>
      <c r="J941" s="25"/>
      <c r="K941" s="25"/>
      <c r="L941" s="36"/>
      <c r="M941" s="36"/>
      <c r="N941" s="36"/>
      <c r="O941" s="102"/>
      <c r="P941" s="36"/>
      <c r="Q941" s="36"/>
      <c r="R941" s="37"/>
      <c r="S941" s="37"/>
      <c r="T941" s="60" t="str">
        <f t="shared" si="30"/>
        <v/>
      </c>
      <c r="U941" s="38"/>
      <c r="V941" s="38"/>
      <c r="W941" s="38" t="str">
        <f>IF(B941="","",COUNTIFS(Ejecucion[No. Solicitud],Registro!B941,Ejecucion[Estado],"Finalizado"))</f>
        <v/>
      </c>
      <c r="X941" s="38" t="str">
        <f>IF(B941="","",COUNTIFS(Ejecucion[No. Solicitud],Registro!B941,Ejecucion[Estado],"No Iniciado"))</f>
        <v/>
      </c>
      <c r="Y941" s="64" t="str">
        <f>IF(B941="","",COUNTIFS(Ejecucion[No. Solicitud],Registro!B941,Ejecucion[Estado],"En Proceso"))</f>
        <v/>
      </c>
      <c r="Z941" s="64" t="str">
        <f t="shared" si="31"/>
        <v/>
      </c>
      <c r="AA941" s="64"/>
      <c r="AB941" s="64"/>
      <c r="AC941" s="64"/>
      <c r="AD941" s="102"/>
    </row>
    <row r="942" spans="2:30" s="15" customFormat="1">
      <c r="B942" s="36"/>
      <c r="C942" s="102"/>
      <c r="D942" s="36"/>
      <c r="E942" s="22"/>
      <c r="F942" s="83"/>
      <c r="G942" s="83"/>
      <c r="H942" s="25"/>
      <c r="I942" s="25"/>
      <c r="J942" s="25"/>
      <c r="K942" s="25"/>
      <c r="L942" s="36"/>
      <c r="M942" s="36"/>
      <c r="N942" s="36"/>
      <c r="O942" s="102"/>
      <c r="P942" s="36"/>
      <c r="Q942" s="36"/>
      <c r="R942" s="37"/>
      <c r="S942" s="37"/>
      <c r="T942" s="60" t="str">
        <f t="shared" si="30"/>
        <v/>
      </c>
      <c r="U942" s="38"/>
      <c r="V942" s="38"/>
      <c r="W942" s="38" t="str">
        <f>IF(B942="","",COUNTIFS(Ejecucion[No. Solicitud],Registro!B942,Ejecucion[Estado],"Finalizado"))</f>
        <v/>
      </c>
      <c r="X942" s="38" t="str">
        <f>IF(B942="","",COUNTIFS(Ejecucion[No. Solicitud],Registro!B942,Ejecucion[Estado],"No Iniciado"))</f>
        <v/>
      </c>
      <c r="Y942" s="64" t="str">
        <f>IF(B942="","",COUNTIFS(Ejecucion[No. Solicitud],Registro!B942,Ejecucion[Estado],"En Proceso"))</f>
        <v/>
      </c>
      <c r="Z942" s="64" t="str">
        <f t="shared" si="31"/>
        <v/>
      </c>
      <c r="AA942" s="64"/>
      <c r="AB942" s="64"/>
      <c r="AC942" s="64"/>
      <c r="AD942" s="102"/>
    </row>
    <row r="943" spans="2:30" s="15" customFormat="1">
      <c r="B943" s="36"/>
      <c r="C943" s="102"/>
      <c r="D943" s="36"/>
      <c r="E943" s="22"/>
      <c r="F943" s="83"/>
      <c r="G943" s="83"/>
      <c r="H943" s="25"/>
      <c r="I943" s="25"/>
      <c r="J943" s="25"/>
      <c r="K943" s="25"/>
      <c r="L943" s="36"/>
      <c r="M943" s="36"/>
      <c r="N943" s="36"/>
      <c r="O943" s="102"/>
      <c r="P943" s="36"/>
      <c r="Q943" s="36"/>
      <c r="R943" s="37"/>
      <c r="S943" s="37"/>
      <c r="T943" s="60" t="str">
        <f t="shared" si="30"/>
        <v/>
      </c>
      <c r="U943" s="38"/>
      <c r="V943" s="38"/>
      <c r="W943" s="38" t="str">
        <f>IF(B943="","",COUNTIFS(Ejecucion[No. Solicitud],Registro!B943,Ejecucion[Estado],"Finalizado"))</f>
        <v/>
      </c>
      <c r="X943" s="38" t="str">
        <f>IF(B943="","",COUNTIFS(Ejecucion[No. Solicitud],Registro!B943,Ejecucion[Estado],"No Iniciado"))</f>
        <v/>
      </c>
      <c r="Y943" s="64" t="str">
        <f>IF(B943="","",COUNTIFS(Ejecucion[No. Solicitud],Registro!B943,Ejecucion[Estado],"En Proceso"))</f>
        <v/>
      </c>
      <c r="Z943" s="64" t="str">
        <f t="shared" si="31"/>
        <v/>
      </c>
      <c r="AA943" s="64"/>
      <c r="AB943" s="64"/>
      <c r="AC943" s="64"/>
      <c r="AD943" s="102"/>
    </row>
    <row r="944" spans="2:30" s="15" customFormat="1">
      <c r="B944" s="36"/>
      <c r="C944" s="102"/>
      <c r="D944" s="36"/>
      <c r="E944" s="22"/>
      <c r="F944" s="83"/>
      <c r="G944" s="83"/>
      <c r="H944" s="25"/>
      <c r="I944" s="25"/>
      <c r="J944" s="25"/>
      <c r="K944" s="25"/>
      <c r="L944" s="36"/>
      <c r="M944" s="36"/>
      <c r="N944" s="36"/>
      <c r="O944" s="102"/>
      <c r="P944" s="36"/>
      <c r="Q944" s="36"/>
      <c r="R944" s="37"/>
      <c r="S944" s="37"/>
      <c r="T944" s="60" t="str">
        <f t="shared" si="30"/>
        <v/>
      </c>
      <c r="U944" s="38"/>
      <c r="V944" s="38"/>
      <c r="W944" s="38" t="str">
        <f>IF(B944="","",COUNTIFS(Ejecucion[No. Solicitud],Registro!B944,Ejecucion[Estado],"Finalizado"))</f>
        <v/>
      </c>
      <c r="X944" s="38" t="str">
        <f>IF(B944="","",COUNTIFS(Ejecucion[No. Solicitud],Registro!B944,Ejecucion[Estado],"No Iniciado"))</f>
        <v/>
      </c>
      <c r="Y944" s="64" t="str">
        <f>IF(B944="","",COUNTIFS(Ejecucion[No. Solicitud],Registro!B944,Ejecucion[Estado],"En Proceso"))</f>
        <v/>
      </c>
      <c r="Z944" s="64" t="str">
        <f t="shared" si="31"/>
        <v/>
      </c>
      <c r="AA944" s="64"/>
      <c r="AB944" s="64"/>
      <c r="AC944" s="64"/>
      <c r="AD944" s="102"/>
    </row>
    <row r="945" spans="2:30" s="15" customFormat="1">
      <c r="B945" s="36"/>
      <c r="C945" s="102"/>
      <c r="D945" s="36"/>
      <c r="E945" s="22"/>
      <c r="F945" s="83"/>
      <c r="G945" s="83"/>
      <c r="H945" s="25"/>
      <c r="I945" s="25"/>
      <c r="J945" s="25"/>
      <c r="K945" s="25"/>
      <c r="L945" s="36"/>
      <c r="M945" s="36"/>
      <c r="N945" s="36"/>
      <c r="O945" s="102"/>
      <c r="P945" s="36"/>
      <c r="Q945" s="36"/>
      <c r="R945" s="37"/>
      <c r="S945" s="37"/>
      <c r="T945" s="60" t="str">
        <f t="shared" si="30"/>
        <v/>
      </c>
      <c r="U945" s="38"/>
      <c r="V945" s="38"/>
      <c r="W945" s="38" t="str">
        <f>IF(B945="","",COUNTIFS(Ejecucion[No. Solicitud],Registro!B945,Ejecucion[Estado],"Finalizado"))</f>
        <v/>
      </c>
      <c r="X945" s="38" t="str">
        <f>IF(B945="","",COUNTIFS(Ejecucion[No. Solicitud],Registro!B945,Ejecucion[Estado],"No Iniciado"))</f>
        <v/>
      </c>
      <c r="Y945" s="64" t="str">
        <f>IF(B945="","",COUNTIFS(Ejecucion[No. Solicitud],Registro!B945,Ejecucion[Estado],"En Proceso"))</f>
        <v/>
      </c>
      <c r="Z945" s="64" t="str">
        <f t="shared" si="31"/>
        <v/>
      </c>
      <c r="AA945" s="64"/>
      <c r="AB945" s="64"/>
      <c r="AC945" s="64"/>
      <c r="AD945" s="102"/>
    </row>
    <row r="946" spans="2:30" s="15" customFormat="1">
      <c r="B946" s="36"/>
      <c r="C946" s="102"/>
      <c r="D946" s="36"/>
      <c r="E946" s="22"/>
      <c r="F946" s="83"/>
      <c r="G946" s="83"/>
      <c r="H946" s="25"/>
      <c r="I946" s="25"/>
      <c r="J946" s="25"/>
      <c r="K946" s="25"/>
      <c r="L946" s="36"/>
      <c r="M946" s="36"/>
      <c r="N946" s="36"/>
      <c r="O946" s="102"/>
      <c r="P946" s="36"/>
      <c r="Q946" s="36"/>
      <c r="R946" s="37"/>
      <c r="S946" s="37"/>
      <c r="T946" s="60" t="str">
        <f t="shared" si="30"/>
        <v/>
      </c>
      <c r="U946" s="38"/>
      <c r="V946" s="38"/>
      <c r="W946" s="38" t="str">
        <f>IF(B946="","",COUNTIFS(Ejecucion[No. Solicitud],Registro!B946,Ejecucion[Estado],"Finalizado"))</f>
        <v/>
      </c>
      <c r="X946" s="38" t="str">
        <f>IF(B946="","",COUNTIFS(Ejecucion[No. Solicitud],Registro!B946,Ejecucion[Estado],"No Iniciado"))</f>
        <v/>
      </c>
      <c r="Y946" s="64" t="str">
        <f>IF(B946="","",COUNTIFS(Ejecucion[No. Solicitud],Registro!B946,Ejecucion[Estado],"En Proceso"))</f>
        <v/>
      </c>
      <c r="Z946" s="64" t="str">
        <f t="shared" si="31"/>
        <v/>
      </c>
      <c r="AA946" s="64"/>
      <c r="AB946" s="64"/>
      <c r="AC946" s="64"/>
      <c r="AD946" s="102"/>
    </row>
    <row r="947" spans="2:30" s="15" customFormat="1">
      <c r="B947" s="36"/>
      <c r="C947" s="102"/>
      <c r="D947" s="36"/>
      <c r="E947" s="22"/>
      <c r="F947" s="83"/>
      <c r="G947" s="83"/>
      <c r="H947" s="25"/>
      <c r="I947" s="25"/>
      <c r="J947" s="25"/>
      <c r="K947" s="25"/>
      <c r="L947" s="36"/>
      <c r="M947" s="36"/>
      <c r="N947" s="36"/>
      <c r="O947" s="102"/>
      <c r="P947" s="36"/>
      <c r="Q947" s="36"/>
      <c r="R947" s="37"/>
      <c r="S947" s="37"/>
      <c r="T947" s="60" t="str">
        <f t="shared" si="30"/>
        <v/>
      </c>
      <c r="U947" s="38"/>
      <c r="V947" s="38"/>
      <c r="W947" s="38" t="str">
        <f>IF(B947="","",COUNTIFS(Ejecucion[No. Solicitud],Registro!B947,Ejecucion[Estado],"Finalizado"))</f>
        <v/>
      </c>
      <c r="X947" s="38" t="str">
        <f>IF(B947="","",COUNTIFS(Ejecucion[No. Solicitud],Registro!B947,Ejecucion[Estado],"No Iniciado"))</f>
        <v/>
      </c>
      <c r="Y947" s="64" t="str">
        <f>IF(B947="","",COUNTIFS(Ejecucion[No. Solicitud],Registro!B947,Ejecucion[Estado],"En Proceso"))</f>
        <v/>
      </c>
      <c r="Z947" s="64" t="str">
        <f t="shared" si="31"/>
        <v/>
      </c>
      <c r="AA947" s="64"/>
      <c r="AB947" s="64"/>
      <c r="AC947" s="64"/>
      <c r="AD947" s="102"/>
    </row>
    <row r="948" spans="2:30" s="15" customFormat="1">
      <c r="B948" s="36"/>
      <c r="C948" s="102"/>
      <c r="D948" s="36"/>
      <c r="E948" s="22"/>
      <c r="F948" s="83"/>
      <c r="G948" s="83"/>
      <c r="H948" s="25"/>
      <c r="I948" s="25"/>
      <c r="J948" s="25"/>
      <c r="K948" s="25"/>
      <c r="L948" s="36"/>
      <c r="M948" s="36"/>
      <c r="N948" s="36"/>
      <c r="O948" s="102"/>
      <c r="P948" s="36"/>
      <c r="Q948" s="36"/>
      <c r="R948" s="37"/>
      <c r="S948" s="37"/>
      <c r="T948" s="60" t="str">
        <f t="shared" si="30"/>
        <v/>
      </c>
      <c r="U948" s="38"/>
      <c r="V948" s="38"/>
      <c r="W948" s="38" t="str">
        <f>IF(B948="","",COUNTIFS(Ejecucion[No. Solicitud],Registro!B948,Ejecucion[Estado],"Finalizado"))</f>
        <v/>
      </c>
      <c r="X948" s="38" t="str">
        <f>IF(B948="","",COUNTIFS(Ejecucion[No. Solicitud],Registro!B948,Ejecucion[Estado],"No Iniciado"))</f>
        <v/>
      </c>
      <c r="Y948" s="64" t="str">
        <f>IF(B948="","",COUNTIFS(Ejecucion[No. Solicitud],Registro!B948,Ejecucion[Estado],"En Proceso"))</f>
        <v/>
      </c>
      <c r="Z948" s="64" t="str">
        <f t="shared" si="31"/>
        <v/>
      </c>
      <c r="AA948" s="64"/>
      <c r="AB948" s="64"/>
      <c r="AC948" s="64"/>
      <c r="AD948" s="102"/>
    </row>
    <row r="949" spans="2:30" s="15" customFormat="1">
      <c r="B949" s="36"/>
      <c r="C949" s="102"/>
      <c r="D949" s="36"/>
      <c r="E949" s="22"/>
      <c r="F949" s="83"/>
      <c r="G949" s="83"/>
      <c r="H949" s="25"/>
      <c r="I949" s="25"/>
      <c r="J949" s="25"/>
      <c r="K949" s="25"/>
      <c r="L949" s="36"/>
      <c r="M949" s="36"/>
      <c r="N949" s="36"/>
      <c r="O949" s="102"/>
      <c r="P949" s="36"/>
      <c r="Q949" s="36"/>
      <c r="R949" s="37"/>
      <c r="S949" s="37"/>
      <c r="T949" s="60" t="str">
        <f t="shared" si="30"/>
        <v/>
      </c>
      <c r="U949" s="38"/>
      <c r="V949" s="38"/>
      <c r="W949" s="38" t="str">
        <f>IF(B949="","",COUNTIFS(Ejecucion[No. Solicitud],Registro!B949,Ejecucion[Estado],"Finalizado"))</f>
        <v/>
      </c>
      <c r="X949" s="38" t="str">
        <f>IF(B949="","",COUNTIFS(Ejecucion[No. Solicitud],Registro!B949,Ejecucion[Estado],"No Iniciado"))</f>
        <v/>
      </c>
      <c r="Y949" s="64" t="str">
        <f>IF(B949="","",COUNTIFS(Ejecucion[No. Solicitud],Registro!B949,Ejecucion[Estado],"En Proceso"))</f>
        <v/>
      </c>
      <c r="Z949" s="64" t="str">
        <f t="shared" si="31"/>
        <v/>
      </c>
      <c r="AA949" s="64"/>
      <c r="AB949" s="64"/>
      <c r="AC949" s="64"/>
      <c r="AD949" s="102"/>
    </row>
    <row r="950" spans="2:30" s="15" customFormat="1">
      <c r="B950" s="36"/>
      <c r="C950" s="102"/>
      <c r="D950" s="36"/>
      <c r="E950" s="22"/>
      <c r="F950" s="83"/>
      <c r="G950" s="83"/>
      <c r="H950" s="25"/>
      <c r="I950" s="25"/>
      <c r="J950" s="25"/>
      <c r="K950" s="25"/>
      <c r="L950" s="36"/>
      <c r="M950" s="36"/>
      <c r="N950" s="36"/>
      <c r="O950" s="102"/>
      <c r="P950" s="36"/>
      <c r="Q950" s="36"/>
      <c r="R950" s="37"/>
      <c r="S950" s="37"/>
      <c r="T950" s="60" t="str">
        <f t="shared" si="30"/>
        <v/>
      </c>
      <c r="U950" s="38"/>
      <c r="V950" s="38"/>
      <c r="W950" s="38" t="str">
        <f>IF(B950="","",COUNTIFS(Ejecucion[No. Solicitud],Registro!B950,Ejecucion[Estado],"Finalizado"))</f>
        <v/>
      </c>
      <c r="X950" s="38" t="str">
        <f>IF(B950="","",COUNTIFS(Ejecucion[No. Solicitud],Registro!B950,Ejecucion[Estado],"No Iniciado"))</f>
        <v/>
      </c>
      <c r="Y950" s="64" t="str">
        <f>IF(B950="","",COUNTIFS(Ejecucion[No. Solicitud],Registro!B950,Ejecucion[Estado],"En Proceso"))</f>
        <v/>
      </c>
      <c r="Z950" s="64" t="str">
        <f t="shared" si="31"/>
        <v/>
      </c>
      <c r="AA950" s="64"/>
      <c r="AB950" s="64"/>
      <c r="AC950" s="64"/>
      <c r="AD950" s="102"/>
    </row>
    <row r="951" spans="2:30" s="15" customFormat="1">
      <c r="B951" s="36"/>
      <c r="C951" s="102"/>
      <c r="D951" s="36"/>
      <c r="E951" s="22"/>
      <c r="F951" s="83"/>
      <c r="G951" s="83"/>
      <c r="H951" s="25"/>
      <c r="I951" s="25"/>
      <c r="J951" s="25"/>
      <c r="K951" s="25"/>
      <c r="L951" s="36"/>
      <c r="M951" s="36"/>
      <c r="N951" s="36"/>
      <c r="O951" s="102"/>
      <c r="P951" s="36"/>
      <c r="Q951" s="36"/>
      <c r="R951" s="37"/>
      <c r="S951" s="37"/>
      <c r="T951" s="60" t="str">
        <f t="shared" si="30"/>
        <v/>
      </c>
      <c r="U951" s="38"/>
      <c r="V951" s="38"/>
      <c r="W951" s="38" t="str">
        <f>IF(B951="","",COUNTIFS(Ejecucion[No. Solicitud],Registro!B951,Ejecucion[Estado],"Finalizado"))</f>
        <v/>
      </c>
      <c r="X951" s="38" t="str">
        <f>IF(B951="","",COUNTIFS(Ejecucion[No. Solicitud],Registro!B951,Ejecucion[Estado],"No Iniciado"))</f>
        <v/>
      </c>
      <c r="Y951" s="64" t="str">
        <f>IF(B951="","",COUNTIFS(Ejecucion[No. Solicitud],Registro!B951,Ejecucion[Estado],"En Proceso"))</f>
        <v/>
      </c>
      <c r="Z951" s="64" t="str">
        <f t="shared" si="31"/>
        <v/>
      </c>
      <c r="AA951" s="64"/>
      <c r="AB951" s="64"/>
      <c r="AC951" s="64"/>
      <c r="AD951" s="102"/>
    </row>
    <row r="952" spans="2:30" s="15" customFormat="1">
      <c r="B952" s="36"/>
      <c r="C952" s="102"/>
      <c r="D952" s="36"/>
      <c r="E952" s="22"/>
      <c r="F952" s="83"/>
      <c r="G952" s="83"/>
      <c r="H952" s="25"/>
      <c r="I952" s="25"/>
      <c r="J952" s="25"/>
      <c r="K952" s="25"/>
      <c r="L952" s="36"/>
      <c r="M952" s="36"/>
      <c r="N952" s="36"/>
      <c r="O952" s="102"/>
      <c r="P952" s="36"/>
      <c r="Q952" s="36"/>
      <c r="R952" s="37"/>
      <c r="S952" s="37"/>
      <c r="T952" s="60" t="str">
        <f t="shared" si="30"/>
        <v/>
      </c>
      <c r="U952" s="38"/>
      <c r="V952" s="38"/>
      <c r="W952" s="38" t="str">
        <f>IF(B952="","",COUNTIFS(Ejecucion[No. Solicitud],Registro!B952,Ejecucion[Estado],"Finalizado"))</f>
        <v/>
      </c>
      <c r="X952" s="38" t="str">
        <f>IF(B952="","",COUNTIFS(Ejecucion[No. Solicitud],Registro!B952,Ejecucion[Estado],"No Iniciado"))</f>
        <v/>
      </c>
      <c r="Y952" s="64" t="str">
        <f>IF(B952="","",COUNTIFS(Ejecucion[No. Solicitud],Registro!B952,Ejecucion[Estado],"En Proceso"))</f>
        <v/>
      </c>
      <c r="Z952" s="64" t="str">
        <f t="shared" si="31"/>
        <v/>
      </c>
      <c r="AA952" s="64"/>
      <c r="AB952" s="64"/>
      <c r="AC952" s="64"/>
      <c r="AD952" s="102"/>
    </row>
    <row r="953" spans="2:30" s="15" customFormat="1">
      <c r="B953" s="36"/>
      <c r="C953" s="102"/>
      <c r="D953" s="36"/>
      <c r="E953" s="22"/>
      <c r="F953" s="83"/>
      <c r="G953" s="83"/>
      <c r="H953" s="25"/>
      <c r="I953" s="25"/>
      <c r="J953" s="25"/>
      <c r="K953" s="25"/>
      <c r="L953" s="36"/>
      <c r="M953" s="36"/>
      <c r="N953" s="36"/>
      <c r="O953" s="102"/>
      <c r="P953" s="36"/>
      <c r="Q953" s="36"/>
      <c r="R953" s="37"/>
      <c r="S953" s="37"/>
      <c r="T953" s="60" t="str">
        <f t="shared" si="30"/>
        <v/>
      </c>
      <c r="U953" s="38"/>
      <c r="V953" s="38"/>
      <c r="W953" s="38" t="str">
        <f>IF(B953="","",COUNTIFS(Ejecucion[No. Solicitud],Registro!B953,Ejecucion[Estado],"Finalizado"))</f>
        <v/>
      </c>
      <c r="X953" s="38" t="str">
        <f>IF(B953="","",COUNTIFS(Ejecucion[No. Solicitud],Registro!B953,Ejecucion[Estado],"No Iniciado"))</f>
        <v/>
      </c>
      <c r="Y953" s="64" t="str">
        <f>IF(B953="","",COUNTIFS(Ejecucion[No. Solicitud],Registro!B953,Ejecucion[Estado],"En Proceso"))</f>
        <v/>
      </c>
      <c r="Z953" s="64" t="str">
        <f t="shared" si="31"/>
        <v/>
      </c>
      <c r="AA953" s="64"/>
      <c r="AB953" s="64"/>
      <c r="AC953" s="64"/>
      <c r="AD953" s="102"/>
    </row>
    <row r="954" spans="2:30" s="15" customFormat="1">
      <c r="B954" s="36"/>
      <c r="C954" s="102"/>
      <c r="D954" s="36"/>
      <c r="E954" s="22"/>
      <c r="F954" s="83"/>
      <c r="G954" s="83"/>
      <c r="H954" s="25"/>
      <c r="I954" s="25"/>
      <c r="J954" s="25"/>
      <c r="K954" s="25"/>
      <c r="L954" s="36"/>
      <c r="M954" s="36"/>
      <c r="N954" s="36"/>
      <c r="O954" s="102"/>
      <c r="P954" s="36"/>
      <c r="Q954" s="36"/>
      <c r="R954" s="37"/>
      <c r="S954" s="37"/>
      <c r="T954" s="60" t="str">
        <f t="shared" si="30"/>
        <v/>
      </c>
      <c r="U954" s="38"/>
      <c r="V954" s="38"/>
      <c r="W954" s="38" t="str">
        <f>IF(B954="","",COUNTIFS(Ejecucion[No. Solicitud],Registro!B954,Ejecucion[Estado],"Finalizado"))</f>
        <v/>
      </c>
      <c r="X954" s="38" t="str">
        <f>IF(B954="","",COUNTIFS(Ejecucion[No. Solicitud],Registro!B954,Ejecucion[Estado],"No Iniciado"))</f>
        <v/>
      </c>
      <c r="Y954" s="64" t="str">
        <f>IF(B954="","",COUNTIFS(Ejecucion[No. Solicitud],Registro!B954,Ejecucion[Estado],"En Proceso"))</f>
        <v/>
      </c>
      <c r="Z954" s="64" t="str">
        <f t="shared" si="31"/>
        <v/>
      </c>
      <c r="AA954" s="64"/>
      <c r="AB954" s="64"/>
      <c r="AC954" s="64"/>
      <c r="AD954" s="102"/>
    </row>
    <row r="955" spans="2:30" s="15" customFormat="1">
      <c r="B955" s="36"/>
      <c r="C955" s="102"/>
      <c r="D955" s="36"/>
      <c r="E955" s="22"/>
      <c r="F955" s="83"/>
      <c r="G955" s="83"/>
      <c r="H955" s="25"/>
      <c r="I955" s="25"/>
      <c r="J955" s="25"/>
      <c r="K955" s="25"/>
      <c r="L955" s="36"/>
      <c r="M955" s="36"/>
      <c r="N955" s="36"/>
      <c r="O955" s="102"/>
      <c r="P955" s="36"/>
      <c r="Q955" s="36"/>
      <c r="R955" s="37"/>
      <c r="S955" s="37"/>
      <c r="T955" s="60" t="str">
        <f t="shared" si="30"/>
        <v/>
      </c>
      <c r="U955" s="38"/>
      <c r="V955" s="38"/>
      <c r="W955" s="38" t="str">
        <f>IF(B955="","",COUNTIFS(Ejecucion[No. Solicitud],Registro!B955,Ejecucion[Estado],"Finalizado"))</f>
        <v/>
      </c>
      <c r="X955" s="38" t="str">
        <f>IF(B955="","",COUNTIFS(Ejecucion[No. Solicitud],Registro!B955,Ejecucion[Estado],"No Iniciado"))</f>
        <v/>
      </c>
      <c r="Y955" s="64" t="str">
        <f>IF(B955="","",COUNTIFS(Ejecucion[No. Solicitud],Registro!B955,Ejecucion[Estado],"En Proceso"))</f>
        <v/>
      </c>
      <c r="Z955" s="64" t="str">
        <f t="shared" si="31"/>
        <v/>
      </c>
      <c r="AA955" s="64"/>
      <c r="AB955" s="64"/>
      <c r="AC955" s="64"/>
      <c r="AD955" s="102"/>
    </row>
    <row r="956" spans="2:30" s="15" customFormat="1">
      <c r="B956" s="36"/>
      <c r="C956" s="102"/>
      <c r="D956" s="36"/>
      <c r="E956" s="22"/>
      <c r="F956" s="83"/>
      <c r="G956" s="83"/>
      <c r="H956" s="25"/>
      <c r="I956" s="25"/>
      <c r="J956" s="25"/>
      <c r="K956" s="25"/>
      <c r="L956" s="36"/>
      <c r="M956" s="36"/>
      <c r="N956" s="36"/>
      <c r="O956" s="102"/>
      <c r="P956" s="36"/>
      <c r="Q956" s="36"/>
      <c r="R956" s="37"/>
      <c r="S956" s="37"/>
      <c r="T956" s="60" t="str">
        <f t="shared" si="30"/>
        <v/>
      </c>
      <c r="U956" s="38"/>
      <c r="V956" s="38"/>
      <c r="W956" s="38" t="str">
        <f>IF(B956="","",COUNTIFS(Ejecucion[No. Solicitud],Registro!B956,Ejecucion[Estado],"Finalizado"))</f>
        <v/>
      </c>
      <c r="X956" s="38" t="str">
        <f>IF(B956="","",COUNTIFS(Ejecucion[No. Solicitud],Registro!B956,Ejecucion[Estado],"No Iniciado"))</f>
        <v/>
      </c>
      <c r="Y956" s="64" t="str">
        <f>IF(B956="","",COUNTIFS(Ejecucion[No. Solicitud],Registro!B956,Ejecucion[Estado],"En Proceso"))</f>
        <v/>
      </c>
      <c r="Z956" s="64" t="str">
        <f t="shared" si="31"/>
        <v/>
      </c>
      <c r="AA956" s="64"/>
      <c r="AB956" s="64"/>
      <c r="AC956" s="64"/>
      <c r="AD956" s="102"/>
    </row>
    <row r="957" spans="2:30" s="15" customFormat="1">
      <c r="B957" s="36"/>
      <c r="C957" s="102"/>
      <c r="D957" s="36"/>
      <c r="E957" s="22"/>
      <c r="F957" s="83"/>
      <c r="G957" s="83"/>
      <c r="H957" s="25"/>
      <c r="I957" s="25"/>
      <c r="J957" s="25"/>
      <c r="K957" s="25"/>
      <c r="L957" s="36"/>
      <c r="M957" s="36"/>
      <c r="N957" s="36"/>
      <c r="O957" s="102"/>
      <c r="P957" s="36"/>
      <c r="Q957" s="36"/>
      <c r="R957" s="37"/>
      <c r="S957" s="37"/>
      <c r="T957" s="60" t="str">
        <f t="shared" si="30"/>
        <v/>
      </c>
      <c r="U957" s="38"/>
      <c r="V957" s="38"/>
      <c r="W957" s="38" t="str">
        <f>IF(B957="","",COUNTIFS(Ejecucion[No. Solicitud],Registro!B957,Ejecucion[Estado],"Finalizado"))</f>
        <v/>
      </c>
      <c r="X957" s="38" t="str">
        <f>IF(B957="","",COUNTIFS(Ejecucion[No. Solicitud],Registro!B957,Ejecucion[Estado],"No Iniciado"))</f>
        <v/>
      </c>
      <c r="Y957" s="64" t="str">
        <f>IF(B957="","",COUNTIFS(Ejecucion[No. Solicitud],Registro!B957,Ejecucion[Estado],"En Proceso"))</f>
        <v/>
      </c>
      <c r="Z957" s="64" t="str">
        <f t="shared" si="31"/>
        <v/>
      </c>
      <c r="AA957" s="64"/>
      <c r="AB957" s="64"/>
      <c r="AC957" s="64"/>
      <c r="AD957" s="102"/>
    </row>
    <row r="958" spans="2:30" s="15" customFormat="1">
      <c r="B958" s="36"/>
      <c r="C958" s="102"/>
      <c r="D958" s="36"/>
      <c r="E958" s="22"/>
      <c r="F958" s="83"/>
      <c r="G958" s="83"/>
      <c r="H958" s="25"/>
      <c r="I958" s="25"/>
      <c r="J958" s="25"/>
      <c r="K958" s="25"/>
      <c r="L958" s="36"/>
      <c r="M958" s="36"/>
      <c r="N958" s="36"/>
      <c r="O958" s="102"/>
      <c r="P958" s="36"/>
      <c r="Q958" s="36"/>
      <c r="R958" s="37"/>
      <c r="S958" s="37"/>
      <c r="T958" s="60" t="str">
        <f t="shared" si="30"/>
        <v/>
      </c>
      <c r="U958" s="38"/>
      <c r="V958" s="38"/>
      <c r="W958" s="38" t="str">
        <f>IF(B958="","",COUNTIFS(Ejecucion[No. Solicitud],Registro!B958,Ejecucion[Estado],"Finalizado"))</f>
        <v/>
      </c>
      <c r="X958" s="38" t="str">
        <f>IF(B958="","",COUNTIFS(Ejecucion[No. Solicitud],Registro!B958,Ejecucion[Estado],"No Iniciado"))</f>
        <v/>
      </c>
      <c r="Y958" s="64" t="str">
        <f>IF(B958="","",COUNTIFS(Ejecucion[No. Solicitud],Registro!B958,Ejecucion[Estado],"En Proceso"))</f>
        <v/>
      </c>
      <c r="Z958" s="64" t="str">
        <f t="shared" si="31"/>
        <v/>
      </c>
      <c r="AA958" s="64"/>
      <c r="AB958" s="64"/>
      <c r="AC958" s="64"/>
      <c r="AD958" s="102"/>
    </row>
    <row r="959" spans="2:30" s="15" customFormat="1">
      <c r="B959" s="36"/>
      <c r="C959" s="102"/>
      <c r="D959" s="36"/>
      <c r="E959" s="22"/>
      <c r="F959" s="83"/>
      <c r="G959" s="83"/>
      <c r="H959" s="25"/>
      <c r="I959" s="25"/>
      <c r="J959" s="25"/>
      <c r="K959" s="25"/>
      <c r="L959" s="36"/>
      <c r="M959" s="36"/>
      <c r="N959" s="36"/>
      <c r="O959" s="102"/>
      <c r="P959" s="36"/>
      <c r="Q959" s="36"/>
      <c r="R959" s="37"/>
      <c r="S959" s="37"/>
      <c r="T959" s="60" t="str">
        <f t="shared" si="30"/>
        <v/>
      </c>
      <c r="U959" s="38"/>
      <c r="V959" s="38"/>
      <c r="W959" s="38" t="str">
        <f>IF(B959="","",COUNTIFS(Ejecucion[No. Solicitud],Registro!B959,Ejecucion[Estado],"Finalizado"))</f>
        <v/>
      </c>
      <c r="X959" s="38" t="str">
        <f>IF(B959="","",COUNTIFS(Ejecucion[No. Solicitud],Registro!B959,Ejecucion[Estado],"No Iniciado"))</f>
        <v/>
      </c>
      <c r="Y959" s="64" t="str">
        <f>IF(B959="","",COUNTIFS(Ejecucion[No. Solicitud],Registro!B959,Ejecucion[Estado],"En Proceso"))</f>
        <v/>
      </c>
      <c r="Z959" s="64" t="str">
        <f t="shared" si="31"/>
        <v/>
      </c>
      <c r="AA959" s="64"/>
      <c r="AB959" s="64"/>
      <c r="AC959" s="64"/>
      <c r="AD959" s="102"/>
    </row>
    <row r="960" spans="2:30" s="15" customFormat="1">
      <c r="B960" s="36"/>
      <c r="C960" s="102"/>
      <c r="D960" s="36"/>
      <c r="E960" s="22"/>
      <c r="F960" s="83"/>
      <c r="G960" s="83"/>
      <c r="H960" s="25"/>
      <c r="I960" s="25"/>
      <c r="J960" s="25"/>
      <c r="K960" s="25"/>
      <c r="L960" s="36"/>
      <c r="M960" s="36"/>
      <c r="N960" s="36"/>
      <c r="O960" s="102"/>
      <c r="P960" s="36"/>
      <c r="Q960" s="36"/>
      <c r="R960" s="37"/>
      <c r="S960" s="37"/>
      <c r="T960" s="60" t="str">
        <f t="shared" si="30"/>
        <v/>
      </c>
      <c r="U960" s="38"/>
      <c r="V960" s="38"/>
      <c r="W960" s="38" t="str">
        <f>IF(B960="","",COUNTIFS(Ejecucion[No. Solicitud],Registro!B960,Ejecucion[Estado],"Finalizado"))</f>
        <v/>
      </c>
      <c r="X960" s="38" t="str">
        <f>IF(B960="","",COUNTIFS(Ejecucion[No. Solicitud],Registro!B960,Ejecucion[Estado],"No Iniciado"))</f>
        <v/>
      </c>
      <c r="Y960" s="64" t="str">
        <f>IF(B960="","",COUNTIFS(Ejecucion[No. Solicitud],Registro!B960,Ejecucion[Estado],"En Proceso"))</f>
        <v/>
      </c>
      <c r="Z960" s="64" t="str">
        <f t="shared" si="31"/>
        <v/>
      </c>
      <c r="AA960" s="64"/>
      <c r="AB960" s="64"/>
      <c r="AC960" s="64"/>
      <c r="AD960" s="102"/>
    </row>
    <row r="961" spans="2:30" s="15" customFormat="1">
      <c r="B961" s="36"/>
      <c r="C961" s="102"/>
      <c r="D961" s="36"/>
      <c r="E961" s="22"/>
      <c r="F961" s="83"/>
      <c r="G961" s="83"/>
      <c r="H961" s="25"/>
      <c r="I961" s="25"/>
      <c r="J961" s="25"/>
      <c r="K961" s="25"/>
      <c r="L961" s="36"/>
      <c r="M961" s="36"/>
      <c r="N961" s="36"/>
      <c r="O961" s="102"/>
      <c r="P961" s="36"/>
      <c r="Q961" s="36"/>
      <c r="R961" s="37"/>
      <c r="S961" s="37"/>
      <c r="T961" s="60" t="str">
        <f t="shared" si="30"/>
        <v/>
      </c>
      <c r="U961" s="38"/>
      <c r="V961" s="38"/>
      <c r="W961" s="38" t="str">
        <f>IF(B961="","",COUNTIFS(Ejecucion[No. Solicitud],Registro!B961,Ejecucion[Estado],"Finalizado"))</f>
        <v/>
      </c>
      <c r="X961" s="38" t="str">
        <f>IF(B961="","",COUNTIFS(Ejecucion[No. Solicitud],Registro!B961,Ejecucion[Estado],"No Iniciado"))</f>
        <v/>
      </c>
      <c r="Y961" s="64" t="str">
        <f>IF(B961="","",COUNTIFS(Ejecucion[No. Solicitud],Registro!B961,Ejecucion[Estado],"En Proceso"))</f>
        <v/>
      </c>
      <c r="Z961" s="64" t="str">
        <f t="shared" si="31"/>
        <v/>
      </c>
      <c r="AA961" s="64"/>
      <c r="AB961" s="64"/>
      <c r="AC961" s="64"/>
      <c r="AD961" s="102"/>
    </row>
    <row r="962" spans="2:30" s="15" customFormat="1">
      <c r="B962" s="36"/>
      <c r="C962" s="102"/>
      <c r="D962" s="36"/>
      <c r="E962" s="22"/>
      <c r="F962" s="83"/>
      <c r="G962" s="83"/>
      <c r="H962" s="25"/>
      <c r="I962" s="25"/>
      <c r="J962" s="25"/>
      <c r="K962" s="25"/>
      <c r="L962" s="36"/>
      <c r="M962" s="36"/>
      <c r="N962" s="36"/>
      <c r="O962" s="102"/>
      <c r="P962" s="36"/>
      <c r="Q962" s="36"/>
      <c r="R962" s="37"/>
      <c r="S962" s="37"/>
      <c r="T962" s="60" t="str">
        <f t="shared" si="30"/>
        <v/>
      </c>
      <c r="U962" s="38"/>
      <c r="V962" s="38"/>
      <c r="W962" s="38" t="str">
        <f>IF(B962="","",COUNTIFS(Ejecucion[No. Solicitud],Registro!B962,Ejecucion[Estado],"Finalizado"))</f>
        <v/>
      </c>
      <c r="X962" s="38" t="str">
        <f>IF(B962="","",COUNTIFS(Ejecucion[No. Solicitud],Registro!B962,Ejecucion[Estado],"No Iniciado"))</f>
        <v/>
      </c>
      <c r="Y962" s="64" t="str">
        <f>IF(B962="","",COUNTIFS(Ejecucion[No. Solicitud],Registro!B962,Ejecucion[Estado],"En Proceso"))</f>
        <v/>
      </c>
      <c r="Z962" s="64" t="str">
        <f t="shared" si="31"/>
        <v/>
      </c>
      <c r="AA962" s="64"/>
      <c r="AB962" s="64"/>
      <c r="AC962" s="64"/>
      <c r="AD962" s="102"/>
    </row>
    <row r="963" spans="2:30" s="15" customFormat="1">
      <c r="B963" s="36"/>
      <c r="C963" s="102"/>
      <c r="D963" s="36"/>
      <c r="E963" s="22"/>
      <c r="F963" s="83"/>
      <c r="G963" s="83"/>
      <c r="H963" s="25"/>
      <c r="I963" s="25"/>
      <c r="J963" s="25"/>
      <c r="K963" s="25"/>
      <c r="L963" s="36"/>
      <c r="M963" s="36"/>
      <c r="N963" s="36"/>
      <c r="O963" s="102"/>
      <c r="P963" s="36"/>
      <c r="Q963" s="36"/>
      <c r="R963" s="37"/>
      <c r="S963" s="37"/>
      <c r="T963" s="60" t="str">
        <f t="shared" si="30"/>
        <v/>
      </c>
      <c r="U963" s="38"/>
      <c r="V963" s="38"/>
      <c r="W963" s="38" t="str">
        <f>IF(B963="","",COUNTIFS(Ejecucion[No. Solicitud],Registro!B963,Ejecucion[Estado],"Finalizado"))</f>
        <v/>
      </c>
      <c r="X963" s="38" t="str">
        <f>IF(B963="","",COUNTIFS(Ejecucion[No. Solicitud],Registro!B963,Ejecucion[Estado],"No Iniciado"))</f>
        <v/>
      </c>
      <c r="Y963" s="64" t="str">
        <f>IF(B963="","",COUNTIFS(Ejecucion[No. Solicitud],Registro!B963,Ejecucion[Estado],"En Proceso"))</f>
        <v/>
      </c>
      <c r="Z963" s="64" t="str">
        <f t="shared" si="31"/>
        <v/>
      </c>
      <c r="AA963" s="64"/>
      <c r="AB963" s="64"/>
      <c r="AC963" s="64"/>
      <c r="AD963" s="102"/>
    </row>
    <row r="964" spans="2:30" s="15" customFormat="1">
      <c r="B964" s="36"/>
      <c r="C964" s="102"/>
      <c r="D964" s="36"/>
      <c r="E964" s="22"/>
      <c r="F964" s="83"/>
      <c r="G964" s="83"/>
      <c r="H964" s="25"/>
      <c r="I964" s="25"/>
      <c r="J964" s="25"/>
      <c r="K964" s="25"/>
      <c r="L964" s="36"/>
      <c r="M964" s="36"/>
      <c r="N964" s="36"/>
      <c r="O964" s="102"/>
      <c r="P964" s="36"/>
      <c r="Q964" s="36"/>
      <c r="R964" s="37"/>
      <c r="S964" s="37"/>
      <c r="T964" s="60" t="str">
        <f t="shared" si="30"/>
        <v/>
      </c>
      <c r="U964" s="38"/>
      <c r="V964" s="38"/>
      <c r="W964" s="38" t="str">
        <f>IF(B964="","",COUNTIFS(Ejecucion[No. Solicitud],Registro!B964,Ejecucion[Estado],"Finalizado"))</f>
        <v/>
      </c>
      <c r="X964" s="38" t="str">
        <f>IF(B964="","",COUNTIFS(Ejecucion[No. Solicitud],Registro!B964,Ejecucion[Estado],"No Iniciado"))</f>
        <v/>
      </c>
      <c r="Y964" s="64" t="str">
        <f>IF(B964="","",COUNTIFS(Ejecucion[No. Solicitud],Registro!B964,Ejecucion[Estado],"En Proceso"))</f>
        <v/>
      </c>
      <c r="Z964" s="64" t="str">
        <f t="shared" si="31"/>
        <v/>
      </c>
      <c r="AA964" s="64"/>
      <c r="AB964" s="64"/>
      <c r="AC964" s="64"/>
      <c r="AD964" s="102"/>
    </row>
    <row r="965" spans="2:30" s="15" customFormat="1">
      <c r="B965" s="36"/>
      <c r="C965" s="102"/>
      <c r="D965" s="36"/>
      <c r="E965" s="22"/>
      <c r="F965" s="83"/>
      <c r="G965" s="83"/>
      <c r="H965" s="25"/>
      <c r="I965" s="25"/>
      <c r="J965" s="25"/>
      <c r="K965" s="25"/>
      <c r="L965" s="36"/>
      <c r="M965" s="36"/>
      <c r="N965" s="36"/>
      <c r="O965" s="102"/>
      <c r="P965" s="36"/>
      <c r="Q965" s="36"/>
      <c r="R965" s="37"/>
      <c r="S965" s="37"/>
      <c r="T965" s="60" t="str">
        <f t="shared" si="30"/>
        <v/>
      </c>
      <c r="U965" s="38"/>
      <c r="V965" s="38"/>
      <c r="W965" s="38" t="str">
        <f>IF(B965="","",COUNTIFS(Ejecucion[No. Solicitud],Registro!B965,Ejecucion[Estado],"Finalizado"))</f>
        <v/>
      </c>
      <c r="X965" s="38" t="str">
        <f>IF(B965="","",COUNTIFS(Ejecucion[No. Solicitud],Registro!B965,Ejecucion[Estado],"No Iniciado"))</f>
        <v/>
      </c>
      <c r="Y965" s="64" t="str">
        <f>IF(B965="","",COUNTIFS(Ejecucion[No. Solicitud],Registro!B965,Ejecucion[Estado],"En Proceso"))</f>
        <v/>
      </c>
      <c r="Z965" s="64" t="str">
        <f t="shared" si="31"/>
        <v/>
      </c>
      <c r="AA965" s="64"/>
      <c r="AB965" s="64"/>
      <c r="AC965" s="64"/>
      <c r="AD965" s="102"/>
    </row>
    <row r="966" spans="2:30" s="15" customFormat="1">
      <c r="B966" s="36"/>
      <c r="C966" s="102"/>
      <c r="D966" s="36"/>
      <c r="E966" s="22"/>
      <c r="F966" s="83"/>
      <c r="G966" s="83"/>
      <c r="H966" s="25"/>
      <c r="I966" s="25"/>
      <c r="J966" s="25"/>
      <c r="K966" s="25"/>
      <c r="L966" s="36"/>
      <c r="M966" s="36"/>
      <c r="N966" s="36"/>
      <c r="O966" s="102"/>
      <c r="P966" s="36"/>
      <c r="Q966" s="36"/>
      <c r="R966" s="37"/>
      <c r="S966" s="37"/>
      <c r="T966" s="60" t="str">
        <f t="shared" si="30"/>
        <v/>
      </c>
      <c r="U966" s="38"/>
      <c r="V966" s="38"/>
      <c r="W966" s="38" t="str">
        <f>IF(B966="","",COUNTIFS(Ejecucion[No. Solicitud],Registro!B966,Ejecucion[Estado],"Finalizado"))</f>
        <v/>
      </c>
      <c r="X966" s="38" t="str">
        <f>IF(B966="","",COUNTIFS(Ejecucion[No. Solicitud],Registro!B966,Ejecucion[Estado],"No Iniciado"))</f>
        <v/>
      </c>
      <c r="Y966" s="64" t="str">
        <f>IF(B966="","",COUNTIFS(Ejecucion[No. Solicitud],Registro!B966,Ejecucion[Estado],"En Proceso"))</f>
        <v/>
      </c>
      <c r="Z966" s="64" t="str">
        <f t="shared" si="31"/>
        <v/>
      </c>
      <c r="AA966" s="64"/>
      <c r="AB966" s="64"/>
      <c r="AC966" s="64"/>
      <c r="AD966" s="102"/>
    </row>
    <row r="967" spans="2:30" s="15" customFormat="1">
      <c r="B967" s="36"/>
      <c r="C967" s="102"/>
      <c r="D967" s="36"/>
      <c r="E967" s="22"/>
      <c r="F967" s="83"/>
      <c r="G967" s="83"/>
      <c r="H967" s="25"/>
      <c r="I967" s="25"/>
      <c r="J967" s="25"/>
      <c r="K967" s="25"/>
      <c r="L967" s="36"/>
      <c r="M967" s="36"/>
      <c r="N967" s="36"/>
      <c r="O967" s="102"/>
      <c r="P967" s="36"/>
      <c r="Q967" s="36"/>
      <c r="R967" s="37"/>
      <c r="S967" s="37"/>
      <c r="T967" s="60" t="str">
        <f t="shared" si="30"/>
        <v/>
      </c>
      <c r="U967" s="38"/>
      <c r="V967" s="38"/>
      <c r="W967" s="38" t="str">
        <f>IF(B967="","",COUNTIFS(Ejecucion[No. Solicitud],Registro!B967,Ejecucion[Estado],"Finalizado"))</f>
        <v/>
      </c>
      <c r="X967" s="38" t="str">
        <f>IF(B967="","",COUNTIFS(Ejecucion[No. Solicitud],Registro!B967,Ejecucion[Estado],"No Iniciado"))</f>
        <v/>
      </c>
      <c r="Y967" s="64" t="str">
        <f>IF(B967="","",COUNTIFS(Ejecucion[No. Solicitud],Registro!B967,Ejecucion[Estado],"En Proceso"))</f>
        <v/>
      </c>
      <c r="Z967" s="64" t="str">
        <f t="shared" si="31"/>
        <v/>
      </c>
      <c r="AA967" s="64"/>
      <c r="AB967" s="64"/>
      <c r="AC967" s="64"/>
      <c r="AD967" s="102"/>
    </row>
    <row r="968" spans="2:30" s="15" customFormat="1">
      <c r="B968" s="36"/>
      <c r="C968" s="102"/>
      <c r="D968" s="36"/>
      <c r="E968" s="22"/>
      <c r="F968" s="83"/>
      <c r="G968" s="83"/>
      <c r="H968" s="25"/>
      <c r="I968" s="25"/>
      <c r="J968" s="25"/>
      <c r="K968" s="25"/>
      <c r="L968" s="36"/>
      <c r="M968" s="36"/>
      <c r="N968" s="36"/>
      <c r="O968" s="102"/>
      <c r="P968" s="36"/>
      <c r="Q968" s="36"/>
      <c r="R968" s="37"/>
      <c r="S968" s="37"/>
      <c r="T968" s="60" t="str">
        <f t="shared" ref="T968:T1031" si="32">IF(U968="","",IF(U968=W968,1,0))</f>
        <v/>
      </c>
      <c r="U968" s="38"/>
      <c r="V968" s="38"/>
      <c r="W968" s="38" t="str">
        <f>IF(B968="","",COUNTIFS(Ejecucion[No. Solicitud],Registro!B968,Ejecucion[Estado],"Finalizado"))</f>
        <v/>
      </c>
      <c r="X968" s="38" t="str">
        <f>IF(B968="","",COUNTIFS(Ejecucion[No. Solicitud],Registro!B968,Ejecucion[Estado],"No Iniciado"))</f>
        <v/>
      </c>
      <c r="Y968" s="64" t="str">
        <f>IF(B968="","",COUNTIFS(Ejecucion[No. Solicitud],Registro!B968,Ejecucion[Estado],"En Proceso"))</f>
        <v/>
      </c>
      <c r="Z968" s="64" t="str">
        <f t="shared" si="31"/>
        <v/>
      </c>
      <c r="AA968" s="64"/>
      <c r="AB968" s="64"/>
      <c r="AC968" s="64"/>
      <c r="AD968" s="102"/>
    </row>
    <row r="969" spans="2:30" s="15" customFormat="1">
      <c r="B969" s="36"/>
      <c r="C969" s="102"/>
      <c r="D969" s="36"/>
      <c r="E969" s="22"/>
      <c r="F969" s="83"/>
      <c r="G969" s="83"/>
      <c r="H969" s="25"/>
      <c r="I969" s="25"/>
      <c r="J969" s="25"/>
      <c r="K969" s="25"/>
      <c r="L969" s="36"/>
      <c r="M969" s="36"/>
      <c r="N969" s="36"/>
      <c r="O969" s="102"/>
      <c r="P969" s="36"/>
      <c r="Q969" s="36"/>
      <c r="R969" s="37"/>
      <c r="S969" s="37"/>
      <c r="T969" s="60" t="str">
        <f t="shared" si="32"/>
        <v/>
      </c>
      <c r="U969" s="38"/>
      <c r="V969" s="38"/>
      <c r="W969" s="38" t="str">
        <f>IF(B969="","",COUNTIFS(Ejecucion[No. Solicitud],Registro!B969,Ejecucion[Estado],"Finalizado"))</f>
        <v/>
      </c>
      <c r="X969" s="38" t="str">
        <f>IF(B969="","",COUNTIFS(Ejecucion[No. Solicitud],Registro!B969,Ejecucion[Estado],"No Iniciado"))</f>
        <v/>
      </c>
      <c r="Y969" s="64" t="str">
        <f>IF(B969="","",COUNTIFS(Ejecucion[No. Solicitud],Registro!B969,Ejecucion[Estado],"En Proceso"))</f>
        <v/>
      </c>
      <c r="Z969" s="64" t="str">
        <f t="shared" si="31"/>
        <v/>
      </c>
      <c r="AA969" s="64"/>
      <c r="AB969" s="64"/>
      <c r="AC969" s="64"/>
      <c r="AD969" s="102"/>
    </row>
    <row r="970" spans="2:30" s="15" customFormat="1">
      <c r="B970" s="36"/>
      <c r="C970" s="102"/>
      <c r="D970" s="36"/>
      <c r="E970" s="22"/>
      <c r="F970" s="83"/>
      <c r="G970" s="83"/>
      <c r="H970" s="25"/>
      <c r="I970" s="25"/>
      <c r="J970" s="25"/>
      <c r="K970" s="25"/>
      <c r="L970" s="36"/>
      <c r="M970" s="36"/>
      <c r="N970" s="36"/>
      <c r="O970" s="102"/>
      <c r="P970" s="36"/>
      <c r="Q970" s="36"/>
      <c r="R970" s="37"/>
      <c r="S970" s="37"/>
      <c r="T970" s="60" t="str">
        <f t="shared" si="32"/>
        <v/>
      </c>
      <c r="U970" s="38"/>
      <c r="V970" s="38"/>
      <c r="W970" s="38" t="str">
        <f>IF(B970="","",COUNTIFS(Ejecucion[No. Solicitud],Registro!B970,Ejecucion[Estado],"Finalizado"))</f>
        <v/>
      </c>
      <c r="X970" s="38" t="str">
        <f>IF(B970="","",COUNTIFS(Ejecucion[No. Solicitud],Registro!B970,Ejecucion[Estado],"No Iniciado"))</f>
        <v/>
      </c>
      <c r="Y970" s="64" t="str">
        <f>IF(B970="","",COUNTIFS(Ejecucion[No. Solicitud],Registro!B970,Ejecucion[Estado],"En Proceso"))</f>
        <v/>
      </c>
      <c r="Z970" s="64" t="str">
        <f t="shared" si="31"/>
        <v/>
      </c>
      <c r="AA970" s="64"/>
      <c r="AB970" s="64"/>
      <c r="AC970" s="64"/>
      <c r="AD970" s="102"/>
    </row>
    <row r="971" spans="2:30" s="15" customFormat="1">
      <c r="B971" s="36"/>
      <c r="C971" s="102"/>
      <c r="D971" s="36"/>
      <c r="E971" s="22"/>
      <c r="F971" s="83"/>
      <c r="G971" s="83"/>
      <c r="H971" s="25"/>
      <c r="I971" s="25"/>
      <c r="J971" s="25"/>
      <c r="K971" s="25"/>
      <c r="L971" s="36"/>
      <c r="M971" s="36"/>
      <c r="N971" s="36"/>
      <c r="O971" s="102"/>
      <c r="P971" s="36"/>
      <c r="Q971" s="36"/>
      <c r="R971" s="37"/>
      <c r="S971" s="37"/>
      <c r="T971" s="60" t="str">
        <f t="shared" si="32"/>
        <v/>
      </c>
      <c r="U971" s="38"/>
      <c r="V971" s="38"/>
      <c r="W971" s="38" t="str">
        <f>IF(B971="","",COUNTIFS(Ejecucion[No. Solicitud],Registro!B971,Ejecucion[Estado],"Finalizado"))</f>
        <v/>
      </c>
      <c r="X971" s="38" t="str">
        <f>IF(B971="","",COUNTIFS(Ejecucion[No. Solicitud],Registro!B971,Ejecucion[Estado],"No Iniciado"))</f>
        <v/>
      </c>
      <c r="Y971" s="64" t="str">
        <f>IF(B971="","",COUNTIFS(Ejecucion[No. Solicitud],Registro!B971,Ejecucion[Estado],"En Proceso"))</f>
        <v/>
      </c>
      <c r="Z971" s="64" t="str">
        <f t="shared" si="31"/>
        <v/>
      </c>
      <c r="AA971" s="64"/>
      <c r="AB971" s="64"/>
      <c r="AC971" s="64"/>
      <c r="AD971" s="102"/>
    </row>
    <row r="972" spans="2:30" s="15" customFormat="1">
      <c r="B972" s="36"/>
      <c r="C972" s="102"/>
      <c r="D972" s="36"/>
      <c r="E972" s="22"/>
      <c r="F972" s="83"/>
      <c r="G972" s="83"/>
      <c r="H972" s="25"/>
      <c r="I972" s="25"/>
      <c r="J972" s="25"/>
      <c r="K972" s="25"/>
      <c r="L972" s="36"/>
      <c r="M972" s="36"/>
      <c r="N972" s="36"/>
      <c r="O972" s="102"/>
      <c r="P972" s="36"/>
      <c r="Q972" s="36"/>
      <c r="R972" s="37"/>
      <c r="S972" s="37"/>
      <c r="T972" s="60" t="str">
        <f t="shared" si="32"/>
        <v/>
      </c>
      <c r="U972" s="38"/>
      <c r="V972" s="38"/>
      <c r="W972" s="38" t="str">
        <f>IF(B972="","",COUNTIFS(Ejecucion[No. Solicitud],Registro!B972,Ejecucion[Estado],"Finalizado"))</f>
        <v/>
      </c>
      <c r="X972" s="38" t="str">
        <f>IF(B972="","",COUNTIFS(Ejecucion[No. Solicitud],Registro!B972,Ejecucion[Estado],"No Iniciado"))</f>
        <v/>
      </c>
      <c r="Y972" s="64" t="str">
        <f>IF(B972="","",COUNTIFS(Ejecucion[No. Solicitud],Registro!B972,Ejecucion[Estado],"En Proceso"))</f>
        <v/>
      </c>
      <c r="Z972" s="64" t="str">
        <f t="shared" si="31"/>
        <v/>
      </c>
      <c r="AA972" s="64"/>
      <c r="AB972" s="64"/>
      <c r="AC972" s="64"/>
      <c r="AD972" s="102"/>
    </row>
    <row r="973" spans="2:30" s="15" customFormat="1">
      <c r="B973" s="36"/>
      <c r="C973" s="102"/>
      <c r="D973" s="36"/>
      <c r="E973" s="22"/>
      <c r="F973" s="83"/>
      <c r="G973" s="83"/>
      <c r="H973" s="25"/>
      <c r="I973" s="25"/>
      <c r="J973" s="25"/>
      <c r="K973" s="25"/>
      <c r="L973" s="36"/>
      <c r="M973" s="36"/>
      <c r="N973" s="36"/>
      <c r="O973" s="102"/>
      <c r="P973" s="36"/>
      <c r="Q973" s="36"/>
      <c r="R973" s="37"/>
      <c r="S973" s="37"/>
      <c r="T973" s="60" t="str">
        <f t="shared" si="32"/>
        <v/>
      </c>
      <c r="U973" s="38"/>
      <c r="V973" s="38"/>
      <c r="W973" s="38" t="str">
        <f>IF(B973="","",COUNTIFS(Ejecucion[No. Solicitud],Registro!B973,Ejecucion[Estado],"Finalizado"))</f>
        <v/>
      </c>
      <c r="X973" s="38" t="str">
        <f>IF(B973="","",COUNTIFS(Ejecucion[No. Solicitud],Registro!B973,Ejecucion[Estado],"No Iniciado"))</f>
        <v/>
      </c>
      <c r="Y973" s="64" t="str">
        <f>IF(B973="","",COUNTIFS(Ejecucion[No. Solicitud],Registro!B973,Ejecucion[Estado],"En Proceso"))</f>
        <v/>
      </c>
      <c r="Z973" s="64" t="str">
        <f t="shared" si="31"/>
        <v/>
      </c>
      <c r="AA973" s="64"/>
      <c r="AB973" s="64"/>
      <c r="AC973" s="64"/>
      <c r="AD973" s="102"/>
    </row>
    <row r="974" spans="2:30" s="15" customFormat="1">
      <c r="B974" s="36"/>
      <c r="C974" s="102"/>
      <c r="D974" s="36"/>
      <c r="E974" s="22"/>
      <c r="F974" s="83"/>
      <c r="G974" s="83"/>
      <c r="H974" s="25"/>
      <c r="I974" s="25"/>
      <c r="J974" s="25"/>
      <c r="K974" s="25"/>
      <c r="L974" s="36"/>
      <c r="M974" s="36"/>
      <c r="N974" s="36"/>
      <c r="O974" s="102"/>
      <c r="P974" s="36"/>
      <c r="Q974" s="36"/>
      <c r="R974" s="37"/>
      <c r="S974" s="37"/>
      <c r="T974" s="60" t="str">
        <f t="shared" si="32"/>
        <v/>
      </c>
      <c r="U974" s="38"/>
      <c r="V974" s="38"/>
      <c r="W974" s="38" t="str">
        <f>IF(B974="","",COUNTIFS(Ejecucion[No. Solicitud],Registro!B974,Ejecucion[Estado],"Finalizado"))</f>
        <v/>
      </c>
      <c r="X974" s="38" t="str">
        <f>IF(B974="","",COUNTIFS(Ejecucion[No. Solicitud],Registro!B974,Ejecucion[Estado],"No Iniciado"))</f>
        <v/>
      </c>
      <c r="Y974" s="64" t="str">
        <f>IF(B974="","",COUNTIFS(Ejecucion[No. Solicitud],Registro!B974,Ejecucion[Estado],"En Proceso"))</f>
        <v/>
      </c>
      <c r="Z974" s="64" t="str">
        <f t="shared" si="31"/>
        <v/>
      </c>
      <c r="AA974" s="64"/>
      <c r="AB974" s="64"/>
      <c r="AC974" s="64"/>
      <c r="AD974" s="102"/>
    </row>
    <row r="975" spans="2:30" s="15" customFormat="1">
      <c r="B975" s="36"/>
      <c r="C975" s="102"/>
      <c r="D975" s="36"/>
      <c r="E975" s="22"/>
      <c r="F975" s="83"/>
      <c r="G975" s="83"/>
      <c r="H975" s="25"/>
      <c r="I975" s="25"/>
      <c r="J975" s="25"/>
      <c r="K975" s="25"/>
      <c r="L975" s="36"/>
      <c r="M975" s="36"/>
      <c r="N975" s="36"/>
      <c r="O975" s="102"/>
      <c r="P975" s="36"/>
      <c r="Q975" s="36"/>
      <c r="R975" s="37"/>
      <c r="S975" s="37"/>
      <c r="T975" s="60" t="str">
        <f t="shared" si="32"/>
        <v/>
      </c>
      <c r="U975" s="38"/>
      <c r="V975" s="38"/>
      <c r="W975" s="38" t="str">
        <f>IF(B975="","",COUNTIFS(Ejecucion[No. Solicitud],Registro!B975,Ejecucion[Estado],"Finalizado"))</f>
        <v/>
      </c>
      <c r="X975" s="38" t="str">
        <f>IF(B975="","",COUNTIFS(Ejecucion[No. Solicitud],Registro!B975,Ejecucion[Estado],"No Iniciado"))</f>
        <v/>
      </c>
      <c r="Y975" s="64" t="str">
        <f>IF(B975="","",COUNTIFS(Ejecucion[No. Solicitud],Registro!B975,Ejecucion[Estado],"En Proceso"))</f>
        <v/>
      </c>
      <c r="Z975" s="64" t="str">
        <f t="shared" si="31"/>
        <v/>
      </c>
      <c r="AA975" s="64"/>
      <c r="AB975" s="64"/>
      <c r="AC975" s="64"/>
      <c r="AD975" s="102"/>
    </row>
    <row r="976" spans="2:30" s="15" customFormat="1">
      <c r="B976" s="36"/>
      <c r="C976" s="102"/>
      <c r="D976" s="36"/>
      <c r="E976" s="22"/>
      <c r="F976" s="83"/>
      <c r="G976" s="83"/>
      <c r="H976" s="25"/>
      <c r="I976" s="25"/>
      <c r="J976" s="25"/>
      <c r="K976" s="25"/>
      <c r="L976" s="36"/>
      <c r="M976" s="36"/>
      <c r="N976" s="36"/>
      <c r="O976" s="102"/>
      <c r="P976" s="36"/>
      <c r="Q976" s="36"/>
      <c r="R976" s="37"/>
      <c r="S976" s="37"/>
      <c r="T976" s="60" t="str">
        <f t="shared" si="32"/>
        <v/>
      </c>
      <c r="U976" s="38"/>
      <c r="V976" s="38"/>
      <c r="W976" s="38" t="str">
        <f>IF(B976="","",COUNTIFS(Ejecucion[No. Solicitud],Registro!B976,Ejecucion[Estado],"Finalizado"))</f>
        <v/>
      </c>
      <c r="X976" s="38" t="str">
        <f>IF(B976="","",COUNTIFS(Ejecucion[No. Solicitud],Registro!B976,Ejecucion[Estado],"No Iniciado"))</f>
        <v/>
      </c>
      <c r="Y976" s="64" t="str">
        <f>IF(B976="","",COUNTIFS(Ejecucion[No. Solicitud],Registro!B976,Ejecucion[Estado],"En Proceso"))</f>
        <v/>
      </c>
      <c r="Z976" s="64" t="str">
        <f t="shared" si="31"/>
        <v/>
      </c>
      <c r="AA976" s="64"/>
      <c r="AB976" s="64"/>
      <c r="AC976" s="64"/>
      <c r="AD976" s="102"/>
    </row>
    <row r="977" spans="2:30" s="15" customFormat="1">
      <c r="B977" s="36"/>
      <c r="C977" s="102"/>
      <c r="D977" s="36"/>
      <c r="E977" s="22"/>
      <c r="F977" s="83"/>
      <c r="G977" s="83"/>
      <c r="H977" s="25"/>
      <c r="I977" s="25"/>
      <c r="J977" s="25"/>
      <c r="K977" s="25"/>
      <c r="L977" s="36"/>
      <c r="M977" s="36"/>
      <c r="N977" s="36"/>
      <c r="O977" s="102"/>
      <c r="P977" s="36"/>
      <c r="Q977" s="36"/>
      <c r="R977" s="37"/>
      <c r="S977" s="37"/>
      <c r="T977" s="60" t="str">
        <f t="shared" si="32"/>
        <v/>
      </c>
      <c r="U977" s="38"/>
      <c r="V977" s="38"/>
      <c r="W977" s="38" t="str">
        <f>IF(B977="","",COUNTIFS(Ejecucion[No. Solicitud],Registro!B977,Ejecucion[Estado],"Finalizado"))</f>
        <v/>
      </c>
      <c r="X977" s="38" t="str">
        <f>IF(B977="","",COUNTIFS(Ejecucion[No. Solicitud],Registro!B977,Ejecucion[Estado],"No Iniciado"))</f>
        <v/>
      </c>
      <c r="Y977" s="64" t="str">
        <f>IF(B977="","",COUNTIFS(Ejecucion[No. Solicitud],Registro!B977,Ejecucion[Estado],"En Proceso"))</f>
        <v/>
      </c>
      <c r="Z977" s="64" t="str">
        <f t="shared" si="31"/>
        <v/>
      </c>
      <c r="AA977" s="64"/>
      <c r="AB977" s="64"/>
      <c r="AC977" s="64"/>
      <c r="AD977" s="102"/>
    </row>
    <row r="978" spans="2:30" s="15" customFormat="1">
      <c r="B978" s="36"/>
      <c r="C978" s="102"/>
      <c r="D978" s="36"/>
      <c r="E978" s="22"/>
      <c r="F978" s="83"/>
      <c r="G978" s="83"/>
      <c r="H978" s="25"/>
      <c r="I978" s="25"/>
      <c r="J978" s="25"/>
      <c r="K978" s="25"/>
      <c r="L978" s="36"/>
      <c r="M978" s="36"/>
      <c r="N978" s="36"/>
      <c r="O978" s="102"/>
      <c r="P978" s="36"/>
      <c r="Q978" s="36"/>
      <c r="R978" s="37"/>
      <c r="S978" s="37"/>
      <c r="T978" s="60" t="str">
        <f t="shared" si="32"/>
        <v/>
      </c>
      <c r="U978" s="38"/>
      <c r="V978" s="38"/>
      <c r="W978" s="38" t="str">
        <f>IF(B978="","",COUNTIFS(Ejecucion[No. Solicitud],Registro!B978,Ejecucion[Estado],"Finalizado"))</f>
        <v/>
      </c>
      <c r="X978" s="38" t="str">
        <f>IF(B978="","",COUNTIFS(Ejecucion[No. Solicitud],Registro!B978,Ejecucion[Estado],"No Iniciado"))</f>
        <v/>
      </c>
      <c r="Y978" s="64" t="str">
        <f>IF(B978="","",COUNTIFS(Ejecucion[No. Solicitud],Registro!B978,Ejecucion[Estado],"En Proceso"))</f>
        <v/>
      </c>
      <c r="Z978" s="64" t="str">
        <f t="shared" si="31"/>
        <v/>
      </c>
      <c r="AA978" s="64"/>
      <c r="AB978" s="64"/>
      <c r="AC978" s="64"/>
      <c r="AD978" s="102"/>
    </row>
    <row r="979" spans="2:30" s="15" customFormat="1">
      <c r="B979" s="36"/>
      <c r="C979" s="102"/>
      <c r="D979" s="36"/>
      <c r="E979" s="22"/>
      <c r="F979" s="83"/>
      <c r="G979" s="83"/>
      <c r="H979" s="25"/>
      <c r="I979" s="25"/>
      <c r="J979" s="25"/>
      <c r="K979" s="25"/>
      <c r="L979" s="36"/>
      <c r="M979" s="36"/>
      <c r="N979" s="36"/>
      <c r="O979" s="102"/>
      <c r="P979" s="36"/>
      <c r="Q979" s="36"/>
      <c r="R979" s="37"/>
      <c r="S979" s="37"/>
      <c r="T979" s="60" t="str">
        <f t="shared" si="32"/>
        <v/>
      </c>
      <c r="U979" s="38"/>
      <c r="V979" s="38"/>
      <c r="W979" s="38" t="str">
        <f>IF(B979="","",COUNTIFS(Ejecucion[No. Solicitud],Registro!B979,Ejecucion[Estado],"Finalizado"))</f>
        <v/>
      </c>
      <c r="X979" s="38" t="str">
        <f>IF(B979="","",COUNTIFS(Ejecucion[No. Solicitud],Registro!B979,Ejecucion[Estado],"No Iniciado"))</f>
        <v/>
      </c>
      <c r="Y979" s="64" t="str">
        <f>IF(B979="","",COUNTIFS(Ejecucion[No. Solicitud],Registro!B979,Ejecucion[Estado],"En Proceso"))</f>
        <v/>
      </c>
      <c r="Z979" s="64" t="str">
        <f t="shared" si="31"/>
        <v/>
      </c>
      <c r="AA979" s="64"/>
      <c r="AB979" s="64"/>
      <c r="AC979" s="64"/>
      <c r="AD979" s="102"/>
    </row>
    <row r="980" spans="2:30" s="15" customFormat="1">
      <c r="B980" s="36"/>
      <c r="C980" s="102"/>
      <c r="D980" s="36"/>
      <c r="E980" s="22"/>
      <c r="F980" s="83"/>
      <c r="G980" s="83"/>
      <c r="H980" s="25"/>
      <c r="I980" s="25"/>
      <c r="J980" s="25"/>
      <c r="K980" s="25"/>
      <c r="L980" s="36"/>
      <c r="M980" s="36"/>
      <c r="N980" s="36"/>
      <c r="O980" s="102"/>
      <c r="P980" s="36"/>
      <c r="Q980" s="36"/>
      <c r="R980" s="37"/>
      <c r="S980" s="37"/>
      <c r="T980" s="60" t="str">
        <f t="shared" si="32"/>
        <v/>
      </c>
      <c r="U980" s="38"/>
      <c r="V980" s="38"/>
      <c r="W980" s="38" t="str">
        <f>IF(B980="","",COUNTIFS(Ejecucion[No. Solicitud],Registro!B980,Ejecucion[Estado],"Finalizado"))</f>
        <v/>
      </c>
      <c r="X980" s="38" t="str">
        <f>IF(B980="","",COUNTIFS(Ejecucion[No. Solicitud],Registro!B980,Ejecucion[Estado],"No Iniciado"))</f>
        <v/>
      </c>
      <c r="Y980" s="64" t="str">
        <f>IF(B980="","",COUNTIFS(Ejecucion[No. Solicitud],Registro!B980,Ejecucion[Estado],"En Proceso"))</f>
        <v/>
      </c>
      <c r="Z980" s="64" t="str">
        <f t="shared" si="31"/>
        <v/>
      </c>
      <c r="AA980" s="64"/>
      <c r="AB980" s="64"/>
      <c r="AC980" s="64"/>
      <c r="AD980" s="102"/>
    </row>
    <row r="981" spans="2:30" s="15" customFormat="1">
      <c r="B981" s="36"/>
      <c r="C981" s="102"/>
      <c r="D981" s="36"/>
      <c r="E981" s="22"/>
      <c r="F981" s="83"/>
      <c r="G981" s="83"/>
      <c r="H981" s="25"/>
      <c r="I981" s="25"/>
      <c r="J981" s="25"/>
      <c r="K981" s="25"/>
      <c r="L981" s="36"/>
      <c r="M981" s="36"/>
      <c r="N981" s="36"/>
      <c r="O981" s="102"/>
      <c r="P981" s="36"/>
      <c r="Q981" s="36"/>
      <c r="R981" s="37"/>
      <c r="S981" s="37"/>
      <c r="T981" s="60" t="str">
        <f t="shared" si="32"/>
        <v/>
      </c>
      <c r="U981" s="38"/>
      <c r="V981" s="38"/>
      <c r="W981" s="38" t="str">
        <f>IF(B981="","",COUNTIFS(Ejecucion[No. Solicitud],Registro!B981,Ejecucion[Estado],"Finalizado"))</f>
        <v/>
      </c>
      <c r="X981" s="38" t="str">
        <f>IF(B981="","",COUNTIFS(Ejecucion[No. Solicitud],Registro!B981,Ejecucion[Estado],"No Iniciado"))</f>
        <v/>
      </c>
      <c r="Y981" s="64" t="str">
        <f>IF(B981="","",COUNTIFS(Ejecucion[No. Solicitud],Registro!B981,Ejecucion[Estado],"En Proceso"))</f>
        <v/>
      </c>
      <c r="Z981" s="64" t="str">
        <f t="shared" si="31"/>
        <v/>
      </c>
      <c r="AA981" s="64"/>
      <c r="AB981" s="64"/>
      <c r="AC981" s="64"/>
      <c r="AD981" s="102"/>
    </row>
    <row r="982" spans="2:30" s="15" customFormat="1">
      <c r="B982" s="36"/>
      <c r="C982" s="102"/>
      <c r="D982" s="36"/>
      <c r="E982" s="22"/>
      <c r="F982" s="83"/>
      <c r="G982" s="83"/>
      <c r="H982" s="25"/>
      <c r="I982" s="25"/>
      <c r="J982" s="25"/>
      <c r="K982" s="25"/>
      <c r="L982" s="36"/>
      <c r="M982" s="36"/>
      <c r="N982" s="36"/>
      <c r="O982" s="102"/>
      <c r="P982" s="36"/>
      <c r="Q982" s="36"/>
      <c r="R982" s="37"/>
      <c r="S982" s="37"/>
      <c r="T982" s="60" t="str">
        <f t="shared" si="32"/>
        <v/>
      </c>
      <c r="U982" s="38"/>
      <c r="V982" s="38"/>
      <c r="W982" s="38" t="str">
        <f>IF(B982="","",COUNTIFS(Ejecucion[No. Solicitud],Registro!B982,Ejecucion[Estado],"Finalizado"))</f>
        <v/>
      </c>
      <c r="X982" s="38" t="str">
        <f>IF(B982="","",COUNTIFS(Ejecucion[No. Solicitud],Registro!B982,Ejecucion[Estado],"No Iniciado"))</f>
        <v/>
      </c>
      <c r="Y982" s="64" t="str">
        <f>IF(B982="","",COUNTIFS(Ejecucion[No. Solicitud],Registro!B982,Ejecucion[Estado],"En Proceso"))</f>
        <v/>
      </c>
      <c r="Z982" s="64" t="str">
        <f t="shared" si="31"/>
        <v/>
      </c>
      <c r="AA982" s="64"/>
      <c r="AB982" s="64"/>
      <c r="AC982" s="64"/>
      <c r="AD982" s="102"/>
    </row>
    <row r="983" spans="2:30" s="15" customFormat="1">
      <c r="B983" s="36"/>
      <c r="C983" s="102"/>
      <c r="D983" s="36"/>
      <c r="E983" s="22"/>
      <c r="F983" s="83"/>
      <c r="G983" s="83"/>
      <c r="H983" s="25"/>
      <c r="I983" s="25"/>
      <c r="J983" s="25"/>
      <c r="K983" s="25"/>
      <c r="L983" s="36"/>
      <c r="M983" s="36"/>
      <c r="N983" s="36"/>
      <c r="O983" s="102"/>
      <c r="P983" s="36"/>
      <c r="Q983" s="36"/>
      <c r="R983" s="37"/>
      <c r="S983" s="37"/>
      <c r="T983" s="60" t="str">
        <f t="shared" si="32"/>
        <v/>
      </c>
      <c r="U983" s="38"/>
      <c r="V983" s="38"/>
      <c r="W983" s="38" t="str">
        <f>IF(B983="","",COUNTIFS(Ejecucion[No. Solicitud],Registro!B983,Ejecucion[Estado],"Finalizado"))</f>
        <v/>
      </c>
      <c r="X983" s="38" t="str">
        <f>IF(B983="","",COUNTIFS(Ejecucion[No. Solicitud],Registro!B983,Ejecucion[Estado],"No Iniciado"))</f>
        <v/>
      </c>
      <c r="Y983" s="64" t="str">
        <f>IF(B983="","",COUNTIFS(Ejecucion[No. Solicitud],Registro!B983,Ejecucion[Estado],"En Proceso"))</f>
        <v/>
      </c>
      <c r="Z983" s="64" t="str">
        <f t="shared" si="31"/>
        <v/>
      </c>
      <c r="AA983" s="64"/>
      <c r="AB983" s="64"/>
      <c r="AC983" s="64"/>
      <c r="AD983" s="102"/>
    </row>
    <row r="984" spans="2:30" s="15" customFormat="1">
      <c r="B984" s="36"/>
      <c r="C984" s="102"/>
      <c r="D984" s="36"/>
      <c r="E984" s="22"/>
      <c r="F984" s="83"/>
      <c r="G984" s="83"/>
      <c r="H984" s="25"/>
      <c r="I984" s="25"/>
      <c r="J984" s="25"/>
      <c r="K984" s="25"/>
      <c r="L984" s="36"/>
      <c r="M984" s="36"/>
      <c r="N984" s="36"/>
      <c r="O984" s="102"/>
      <c r="P984" s="36"/>
      <c r="Q984" s="36"/>
      <c r="R984" s="37"/>
      <c r="S984" s="37"/>
      <c r="T984" s="60" t="str">
        <f t="shared" si="32"/>
        <v/>
      </c>
      <c r="U984" s="38"/>
      <c r="V984" s="38"/>
      <c r="W984" s="38" t="str">
        <f>IF(B984="","",COUNTIFS(Ejecucion[No. Solicitud],Registro!B984,Ejecucion[Estado],"Finalizado"))</f>
        <v/>
      </c>
      <c r="X984" s="38" t="str">
        <f>IF(B984="","",COUNTIFS(Ejecucion[No. Solicitud],Registro!B984,Ejecucion[Estado],"No Iniciado"))</f>
        <v/>
      </c>
      <c r="Y984" s="64" t="str">
        <f>IF(B984="","",COUNTIFS(Ejecucion[No. Solicitud],Registro!B984,Ejecucion[Estado],"En Proceso"))</f>
        <v/>
      </c>
      <c r="Z984" s="64" t="str">
        <f t="shared" si="31"/>
        <v/>
      </c>
      <c r="AA984" s="64"/>
      <c r="AB984" s="64"/>
      <c r="AC984" s="64"/>
      <c r="AD984" s="102"/>
    </row>
    <row r="985" spans="2:30" s="15" customFormat="1">
      <c r="B985" s="36"/>
      <c r="C985" s="102"/>
      <c r="D985" s="36"/>
      <c r="E985" s="22"/>
      <c r="F985" s="83"/>
      <c r="G985" s="83"/>
      <c r="H985" s="25"/>
      <c r="I985" s="25"/>
      <c r="J985" s="25"/>
      <c r="K985" s="25"/>
      <c r="L985" s="36"/>
      <c r="M985" s="36"/>
      <c r="N985" s="36"/>
      <c r="O985" s="102"/>
      <c r="P985" s="36"/>
      <c r="Q985" s="36"/>
      <c r="R985" s="37"/>
      <c r="S985" s="37"/>
      <c r="T985" s="60" t="str">
        <f t="shared" si="32"/>
        <v/>
      </c>
      <c r="U985" s="38"/>
      <c r="V985" s="38"/>
      <c r="W985" s="38" t="str">
        <f>IF(B985="","",COUNTIFS(Ejecucion[No. Solicitud],Registro!B985,Ejecucion[Estado],"Finalizado"))</f>
        <v/>
      </c>
      <c r="X985" s="38" t="str">
        <f>IF(B985="","",COUNTIFS(Ejecucion[No. Solicitud],Registro!B985,Ejecucion[Estado],"No Iniciado"))</f>
        <v/>
      </c>
      <c r="Y985" s="64" t="str">
        <f>IF(B985="","",COUNTIFS(Ejecucion[No. Solicitud],Registro!B985,Ejecucion[Estado],"En Proceso"))</f>
        <v/>
      </c>
      <c r="Z985" s="64" t="str">
        <f t="shared" si="31"/>
        <v/>
      </c>
      <c r="AA985" s="64"/>
      <c r="AB985" s="64"/>
      <c r="AC985" s="64"/>
      <c r="AD985" s="102"/>
    </row>
    <row r="986" spans="2:30" s="15" customFormat="1">
      <c r="B986" s="36"/>
      <c r="C986" s="102"/>
      <c r="D986" s="36"/>
      <c r="E986" s="22"/>
      <c r="F986" s="83"/>
      <c r="G986" s="83"/>
      <c r="H986" s="25"/>
      <c r="I986" s="25"/>
      <c r="J986" s="25"/>
      <c r="K986" s="25"/>
      <c r="L986" s="36"/>
      <c r="M986" s="36"/>
      <c r="N986" s="36"/>
      <c r="O986" s="102"/>
      <c r="P986" s="36"/>
      <c r="Q986" s="36"/>
      <c r="R986" s="37"/>
      <c r="S986" s="37"/>
      <c r="T986" s="60" t="str">
        <f t="shared" si="32"/>
        <v/>
      </c>
      <c r="U986" s="38"/>
      <c r="V986" s="38"/>
      <c r="W986" s="38" t="str">
        <f>IF(B986="","",COUNTIFS(Ejecucion[No. Solicitud],Registro!B986,Ejecucion[Estado],"Finalizado"))</f>
        <v/>
      </c>
      <c r="X986" s="38" t="str">
        <f>IF(B986="","",COUNTIFS(Ejecucion[No. Solicitud],Registro!B986,Ejecucion[Estado],"No Iniciado"))</f>
        <v/>
      </c>
      <c r="Y986" s="64" t="str">
        <f>IF(B986="","",COUNTIFS(Ejecucion[No. Solicitud],Registro!B986,Ejecucion[Estado],"En Proceso"))</f>
        <v/>
      </c>
      <c r="Z986" s="64" t="str">
        <f t="shared" ref="Z986:Z997" si="33">IF(U986="","",IF(F986="Virtual Asincrónico",1,V986*U986))</f>
        <v/>
      </c>
      <c r="AA986" s="64"/>
      <c r="AB986" s="64"/>
      <c r="AC986" s="64"/>
      <c r="AD986" s="102"/>
    </row>
    <row r="987" spans="2:30" s="15" customFormat="1">
      <c r="B987" s="36"/>
      <c r="C987" s="102"/>
      <c r="D987" s="36"/>
      <c r="E987" s="22"/>
      <c r="F987" s="83"/>
      <c r="G987" s="83"/>
      <c r="H987" s="25"/>
      <c r="I987" s="25"/>
      <c r="J987" s="25"/>
      <c r="K987" s="25"/>
      <c r="L987" s="36"/>
      <c r="M987" s="36"/>
      <c r="N987" s="36"/>
      <c r="O987" s="102"/>
      <c r="P987" s="36"/>
      <c r="Q987" s="36"/>
      <c r="R987" s="37"/>
      <c r="S987" s="37"/>
      <c r="T987" s="60" t="str">
        <f t="shared" si="32"/>
        <v/>
      </c>
      <c r="U987" s="38"/>
      <c r="V987" s="38"/>
      <c r="W987" s="38" t="str">
        <f>IF(B987="","",COUNTIFS(Ejecucion[No. Solicitud],Registro!B987,Ejecucion[Estado],"Finalizado"))</f>
        <v/>
      </c>
      <c r="X987" s="38" t="str">
        <f>IF(B987="","",COUNTIFS(Ejecucion[No. Solicitud],Registro!B987,Ejecucion[Estado],"No Iniciado"))</f>
        <v/>
      </c>
      <c r="Y987" s="64" t="str">
        <f>IF(B987="","",COUNTIFS(Ejecucion[No. Solicitud],Registro!B987,Ejecucion[Estado],"En Proceso"))</f>
        <v/>
      </c>
      <c r="Z987" s="64" t="str">
        <f t="shared" si="33"/>
        <v/>
      </c>
      <c r="AA987" s="64"/>
      <c r="AB987" s="64"/>
      <c r="AC987" s="64"/>
      <c r="AD987" s="102"/>
    </row>
    <row r="988" spans="2:30" s="15" customFormat="1">
      <c r="B988" s="36"/>
      <c r="C988" s="102"/>
      <c r="D988" s="36"/>
      <c r="E988" s="22"/>
      <c r="F988" s="83"/>
      <c r="G988" s="83"/>
      <c r="H988" s="25"/>
      <c r="I988" s="25"/>
      <c r="J988" s="25"/>
      <c r="K988" s="25"/>
      <c r="L988" s="36"/>
      <c r="M988" s="36"/>
      <c r="N988" s="36"/>
      <c r="O988" s="102"/>
      <c r="P988" s="36"/>
      <c r="Q988" s="36"/>
      <c r="R988" s="37"/>
      <c r="S988" s="37"/>
      <c r="T988" s="60" t="str">
        <f t="shared" si="32"/>
        <v/>
      </c>
      <c r="U988" s="38"/>
      <c r="V988" s="38"/>
      <c r="W988" s="38" t="str">
        <f>IF(B988="","",COUNTIFS(Ejecucion[No. Solicitud],Registro!B988,Ejecucion[Estado],"Finalizado"))</f>
        <v/>
      </c>
      <c r="X988" s="38" t="str">
        <f>IF(B988="","",COUNTIFS(Ejecucion[No. Solicitud],Registro!B988,Ejecucion[Estado],"No Iniciado"))</f>
        <v/>
      </c>
      <c r="Y988" s="64" t="str">
        <f>IF(B988="","",COUNTIFS(Ejecucion[No. Solicitud],Registro!B988,Ejecucion[Estado],"En Proceso"))</f>
        <v/>
      </c>
      <c r="Z988" s="64" t="str">
        <f t="shared" si="33"/>
        <v/>
      </c>
      <c r="AA988" s="64"/>
      <c r="AB988" s="64"/>
      <c r="AC988" s="64"/>
      <c r="AD988" s="102"/>
    </row>
    <row r="989" spans="2:30" s="15" customFormat="1">
      <c r="B989" s="36"/>
      <c r="C989" s="102"/>
      <c r="D989" s="36"/>
      <c r="E989" s="22"/>
      <c r="F989" s="83"/>
      <c r="G989" s="83"/>
      <c r="H989" s="25"/>
      <c r="I989" s="25"/>
      <c r="J989" s="25"/>
      <c r="K989" s="25"/>
      <c r="L989" s="36"/>
      <c r="M989" s="36"/>
      <c r="N989" s="36"/>
      <c r="O989" s="102"/>
      <c r="P989" s="36"/>
      <c r="Q989" s="36"/>
      <c r="R989" s="37"/>
      <c r="S989" s="37"/>
      <c r="T989" s="60" t="str">
        <f t="shared" si="32"/>
        <v/>
      </c>
      <c r="U989" s="38"/>
      <c r="V989" s="38"/>
      <c r="W989" s="38" t="str">
        <f>IF(B989="","",COUNTIFS(Ejecucion[No. Solicitud],Registro!B989,Ejecucion[Estado],"Finalizado"))</f>
        <v/>
      </c>
      <c r="X989" s="38" t="str">
        <f>IF(B989="","",COUNTIFS(Ejecucion[No. Solicitud],Registro!B989,Ejecucion[Estado],"No Iniciado"))</f>
        <v/>
      </c>
      <c r="Y989" s="64" t="str">
        <f>IF(B989="","",COUNTIFS(Ejecucion[No. Solicitud],Registro!B989,Ejecucion[Estado],"En Proceso"))</f>
        <v/>
      </c>
      <c r="Z989" s="64" t="str">
        <f t="shared" si="33"/>
        <v/>
      </c>
      <c r="AA989" s="64"/>
      <c r="AB989" s="64"/>
      <c r="AC989" s="64"/>
      <c r="AD989" s="102"/>
    </row>
    <row r="990" spans="2:30" s="15" customFormat="1">
      <c r="B990" s="36"/>
      <c r="C990" s="102"/>
      <c r="D990" s="36"/>
      <c r="E990" s="22"/>
      <c r="F990" s="83"/>
      <c r="G990" s="83"/>
      <c r="H990" s="25"/>
      <c r="I990" s="25"/>
      <c r="J990" s="25"/>
      <c r="K990" s="25"/>
      <c r="L990" s="36"/>
      <c r="M990" s="36"/>
      <c r="N990" s="36"/>
      <c r="O990" s="102"/>
      <c r="P990" s="36"/>
      <c r="Q990" s="36"/>
      <c r="R990" s="37"/>
      <c r="S990" s="37"/>
      <c r="T990" s="60" t="str">
        <f t="shared" si="32"/>
        <v/>
      </c>
      <c r="U990" s="38"/>
      <c r="V990" s="38"/>
      <c r="W990" s="38" t="str">
        <f>IF(B990="","",COUNTIFS(Ejecucion[No. Solicitud],Registro!B990,Ejecucion[Estado],"Finalizado"))</f>
        <v/>
      </c>
      <c r="X990" s="38" t="str">
        <f>IF(B990="","",COUNTIFS(Ejecucion[No. Solicitud],Registro!B990,Ejecucion[Estado],"No Iniciado"))</f>
        <v/>
      </c>
      <c r="Y990" s="64" t="str">
        <f>IF(B990="","",COUNTIFS(Ejecucion[No. Solicitud],Registro!B990,Ejecucion[Estado],"En Proceso"))</f>
        <v/>
      </c>
      <c r="Z990" s="64" t="str">
        <f t="shared" si="33"/>
        <v/>
      </c>
      <c r="AA990" s="64"/>
      <c r="AB990" s="64"/>
      <c r="AC990" s="64"/>
      <c r="AD990" s="102"/>
    </row>
    <row r="991" spans="2:30" s="15" customFormat="1">
      <c r="B991" s="36"/>
      <c r="C991" s="102"/>
      <c r="D991" s="36"/>
      <c r="E991" s="22"/>
      <c r="F991" s="83"/>
      <c r="G991" s="83"/>
      <c r="H991" s="25"/>
      <c r="I991" s="25"/>
      <c r="J991" s="25"/>
      <c r="K991" s="25"/>
      <c r="L991" s="36"/>
      <c r="M991" s="36"/>
      <c r="N991" s="36"/>
      <c r="O991" s="102"/>
      <c r="P991" s="36"/>
      <c r="Q991" s="36"/>
      <c r="R991" s="37"/>
      <c r="S991" s="37"/>
      <c r="T991" s="60" t="str">
        <f t="shared" si="32"/>
        <v/>
      </c>
      <c r="U991" s="38"/>
      <c r="V991" s="38"/>
      <c r="W991" s="38" t="str">
        <f>IF(B991="","",COUNTIFS(Ejecucion[No. Solicitud],Registro!B991,Ejecucion[Estado],"Finalizado"))</f>
        <v/>
      </c>
      <c r="X991" s="38" t="str">
        <f>IF(B991="","",COUNTIFS(Ejecucion[No. Solicitud],Registro!B991,Ejecucion[Estado],"No Iniciado"))</f>
        <v/>
      </c>
      <c r="Y991" s="64" t="str">
        <f>IF(B991="","",COUNTIFS(Ejecucion[No. Solicitud],Registro!B991,Ejecucion[Estado],"En Proceso"))</f>
        <v/>
      </c>
      <c r="Z991" s="64" t="str">
        <f t="shared" si="33"/>
        <v/>
      </c>
      <c r="AA991" s="64"/>
      <c r="AB991" s="64"/>
      <c r="AC991" s="64"/>
      <c r="AD991" s="102"/>
    </row>
    <row r="992" spans="2:30" s="15" customFormat="1">
      <c r="B992" s="36"/>
      <c r="C992" s="102"/>
      <c r="D992" s="36"/>
      <c r="E992" s="22"/>
      <c r="F992" s="83"/>
      <c r="G992" s="83"/>
      <c r="H992" s="25"/>
      <c r="I992" s="25"/>
      <c r="J992" s="25"/>
      <c r="K992" s="25"/>
      <c r="L992" s="36"/>
      <c r="M992" s="36"/>
      <c r="N992" s="36"/>
      <c r="O992" s="102"/>
      <c r="P992" s="36"/>
      <c r="Q992" s="36"/>
      <c r="R992" s="37"/>
      <c r="S992" s="37"/>
      <c r="T992" s="60" t="str">
        <f t="shared" si="32"/>
        <v/>
      </c>
      <c r="U992" s="38"/>
      <c r="V992" s="38"/>
      <c r="W992" s="38" t="str">
        <f>IF(B992="","",COUNTIFS(Ejecucion[No. Solicitud],Registro!B992,Ejecucion[Estado],"Finalizado"))</f>
        <v/>
      </c>
      <c r="X992" s="38" t="str">
        <f>IF(B992="","",COUNTIFS(Ejecucion[No. Solicitud],Registro!B992,Ejecucion[Estado],"No Iniciado"))</f>
        <v/>
      </c>
      <c r="Y992" s="64" t="str">
        <f>IF(B992="","",COUNTIFS(Ejecucion[No. Solicitud],Registro!B992,Ejecucion[Estado],"En Proceso"))</f>
        <v/>
      </c>
      <c r="Z992" s="64" t="str">
        <f t="shared" si="33"/>
        <v/>
      </c>
      <c r="AA992" s="64"/>
      <c r="AB992" s="64"/>
      <c r="AC992" s="64"/>
      <c r="AD992" s="102"/>
    </row>
    <row r="993" spans="2:30" s="15" customFormat="1">
      <c r="B993" s="36"/>
      <c r="C993" s="102"/>
      <c r="D993" s="36"/>
      <c r="E993" s="22"/>
      <c r="F993" s="83"/>
      <c r="G993" s="83"/>
      <c r="H993" s="25"/>
      <c r="I993" s="25"/>
      <c r="J993" s="25"/>
      <c r="K993" s="25"/>
      <c r="L993" s="36"/>
      <c r="M993" s="36"/>
      <c r="N993" s="36"/>
      <c r="O993" s="102"/>
      <c r="P993" s="36"/>
      <c r="Q993" s="36"/>
      <c r="R993" s="37"/>
      <c r="S993" s="37"/>
      <c r="T993" s="60" t="str">
        <f t="shared" si="32"/>
        <v/>
      </c>
      <c r="U993" s="38"/>
      <c r="V993" s="38"/>
      <c r="W993" s="38" t="str">
        <f>IF(B993="","",COUNTIFS(Ejecucion[No. Solicitud],Registro!B993,Ejecucion[Estado],"Finalizado"))</f>
        <v/>
      </c>
      <c r="X993" s="38" t="str">
        <f>IF(B993="","",COUNTIFS(Ejecucion[No. Solicitud],Registro!B993,Ejecucion[Estado],"No Iniciado"))</f>
        <v/>
      </c>
      <c r="Y993" s="64" t="str">
        <f>IF(B993="","",COUNTIFS(Ejecucion[No. Solicitud],Registro!B993,Ejecucion[Estado],"En Proceso"))</f>
        <v/>
      </c>
      <c r="Z993" s="64" t="str">
        <f t="shared" si="33"/>
        <v/>
      </c>
      <c r="AA993" s="64"/>
      <c r="AB993" s="64"/>
      <c r="AC993" s="64"/>
      <c r="AD993" s="102"/>
    </row>
    <row r="994" spans="2:30" s="15" customFormat="1">
      <c r="B994" s="36"/>
      <c r="C994" s="102"/>
      <c r="D994" s="36"/>
      <c r="E994" s="22"/>
      <c r="F994" s="83"/>
      <c r="G994" s="83"/>
      <c r="H994" s="25"/>
      <c r="I994" s="25"/>
      <c r="J994" s="25"/>
      <c r="K994" s="25"/>
      <c r="L994" s="36"/>
      <c r="M994" s="36"/>
      <c r="N994" s="36"/>
      <c r="O994" s="102"/>
      <c r="P994" s="36"/>
      <c r="Q994" s="36"/>
      <c r="R994" s="37"/>
      <c r="S994" s="37"/>
      <c r="T994" s="60" t="str">
        <f t="shared" si="32"/>
        <v/>
      </c>
      <c r="U994" s="38"/>
      <c r="V994" s="38"/>
      <c r="W994" s="38" t="str">
        <f>IF(B994="","",COUNTIFS(Ejecucion[No. Solicitud],Registro!B994,Ejecucion[Estado],"Finalizado"))</f>
        <v/>
      </c>
      <c r="X994" s="38" t="str">
        <f>IF(B994="","",COUNTIFS(Ejecucion[No. Solicitud],Registro!B994,Ejecucion[Estado],"No Iniciado"))</f>
        <v/>
      </c>
      <c r="Y994" s="64" t="str">
        <f>IF(B994="","",COUNTIFS(Ejecucion[No. Solicitud],Registro!B994,Ejecucion[Estado],"En Proceso"))</f>
        <v/>
      </c>
      <c r="Z994" s="64" t="str">
        <f t="shared" si="33"/>
        <v/>
      </c>
      <c r="AA994" s="64"/>
      <c r="AB994" s="64"/>
      <c r="AC994" s="64"/>
      <c r="AD994" s="102"/>
    </row>
    <row r="995" spans="2:30" s="15" customFormat="1">
      <c r="B995" s="36"/>
      <c r="C995" s="102"/>
      <c r="D995" s="36"/>
      <c r="E995" s="22"/>
      <c r="F995" s="83"/>
      <c r="G995" s="83"/>
      <c r="H995" s="25"/>
      <c r="I995" s="25"/>
      <c r="J995" s="25"/>
      <c r="K995" s="25"/>
      <c r="L995" s="36"/>
      <c r="M995" s="36"/>
      <c r="N995" s="36"/>
      <c r="O995" s="102"/>
      <c r="P995" s="36"/>
      <c r="Q995" s="36"/>
      <c r="R995" s="37"/>
      <c r="S995" s="37"/>
      <c r="T995" s="60" t="str">
        <f t="shared" si="32"/>
        <v/>
      </c>
      <c r="U995" s="38"/>
      <c r="V995" s="38"/>
      <c r="W995" s="38" t="str">
        <f>IF(B995="","",COUNTIFS(Ejecucion[No. Solicitud],Registro!B995,Ejecucion[Estado],"Finalizado"))</f>
        <v/>
      </c>
      <c r="X995" s="38" t="str">
        <f>IF(B995="","",COUNTIFS(Ejecucion[No. Solicitud],Registro!B995,Ejecucion[Estado],"No Iniciado"))</f>
        <v/>
      </c>
      <c r="Y995" s="64" t="str">
        <f>IF(B995="","",COUNTIFS(Ejecucion[No. Solicitud],Registro!B995,Ejecucion[Estado],"En Proceso"))</f>
        <v/>
      </c>
      <c r="Z995" s="64" t="str">
        <f t="shared" si="33"/>
        <v/>
      </c>
      <c r="AA995" s="64"/>
      <c r="AB995" s="64"/>
      <c r="AC995" s="64"/>
      <c r="AD995" s="102"/>
    </row>
    <row r="996" spans="2:30" s="15" customFormat="1">
      <c r="B996" s="36"/>
      <c r="C996" s="102"/>
      <c r="D996" s="36"/>
      <c r="E996" s="22"/>
      <c r="F996" s="83"/>
      <c r="G996" s="83"/>
      <c r="H996" s="25"/>
      <c r="I996" s="25"/>
      <c r="J996" s="25"/>
      <c r="K996" s="25"/>
      <c r="L996" s="36"/>
      <c r="M996" s="36"/>
      <c r="N996" s="36"/>
      <c r="O996" s="102"/>
      <c r="P996" s="36"/>
      <c r="Q996" s="36"/>
      <c r="R996" s="37"/>
      <c r="S996" s="37"/>
      <c r="T996" s="60" t="str">
        <f t="shared" si="32"/>
        <v/>
      </c>
      <c r="U996" s="38"/>
      <c r="V996" s="38"/>
      <c r="W996" s="38" t="str">
        <f>IF(B996="","",COUNTIFS(Ejecucion[No. Solicitud],Registro!B996,Ejecucion[Estado],"Finalizado"))</f>
        <v/>
      </c>
      <c r="X996" s="38" t="str">
        <f>IF(B996="","",COUNTIFS(Ejecucion[No. Solicitud],Registro!B996,Ejecucion[Estado],"No Iniciado"))</f>
        <v/>
      </c>
      <c r="Y996" s="64" t="str">
        <f>IF(B996="","",COUNTIFS(Ejecucion[No. Solicitud],Registro!B996,Ejecucion[Estado],"En Proceso"))</f>
        <v/>
      </c>
      <c r="Z996" s="64" t="str">
        <f t="shared" si="33"/>
        <v/>
      </c>
      <c r="AA996" s="64"/>
      <c r="AB996" s="64"/>
      <c r="AC996" s="64"/>
      <c r="AD996" s="102"/>
    </row>
    <row r="997" spans="2:30" s="15" customFormat="1">
      <c r="B997" s="36"/>
      <c r="C997" s="102"/>
      <c r="D997" s="36"/>
      <c r="E997" s="22"/>
      <c r="F997" s="83"/>
      <c r="G997" s="83"/>
      <c r="H997" s="25"/>
      <c r="I997" s="25"/>
      <c r="J997" s="25"/>
      <c r="K997" s="25"/>
      <c r="L997" s="36"/>
      <c r="M997" s="36"/>
      <c r="N997" s="36"/>
      <c r="O997" s="102"/>
      <c r="P997" s="36"/>
      <c r="Q997" s="36"/>
      <c r="R997" s="37"/>
      <c r="S997" s="37"/>
      <c r="T997" s="60" t="str">
        <f t="shared" si="32"/>
        <v/>
      </c>
      <c r="U997" s="38"/>
      <c r="V997" s="38"/>
      <c r="W997" s="38" t="str">
        <f>IF(B997="","",COUNTIFS(Ejecucion[No. Solicitud],Registro!B997,Ejecucion[Estado],"Finalizado"))</f>
        <v/>
      </c>
      <c r="X997" s="38" t="str">
        <f>IF(B997="","",COUNTIFS(Ejecucion[No. Solicitud],Registro!B997,Ejecucion[Estado],"No Iniciado"))</f>
        <v/>
      </c>
      <c r="Y997" s="64" t="str">
        <f>IF(B997="","",COUNTIFS(Ejecucion[No. Solicitud],Registro!B997,Ejecucion[Estado],"En Proceso"))</f>
        <v/>
      </c>
      <c r="Z997" s="64" t="str">
        <f t="shared" si="33"/>
        <v/>
      </c>
      <c r="AA997" s="64"/>
      <c r="AB997" s="64"/>
      <c r="AC997" s="64"/>
      <c r="AD997" s="102"/>
    </row>
  </sheetData>
  <sheetProtection formatCells="0" formatColumns="0" formatRows="0" insertColumns="0" insertHyperlinks="0" deleteColumns="0" sort="0" autoFilter="0" pivotTables="0"/>
  <autoFilter ref="B7:AD997" xr:uid="{00000000-0009-0000-0000-000003000000}"/>
  <mergeCells count="1">
    <mergeCell ref="B1:AD1"/>
  </mergeCells>
  <phoneticPr fontId="30" type="noConversion"/>
  <conditionalFormatting sqref="B8:C12 B19:C49 B50:B58 B59:C70 B72:C161 B164:C164 B166:C172 B174:C216 B218:C998 C71">
    <cfRule type="duplicateValues" dxfId="51" priority="25"/>
  </conditionalFormatting>
  <conditionalFormatting sqref="B13:C18">
    <cfRule type="duplicateValues" dxfId="50" priority="12"/>
  </conditionalFormatting>
  <conditionalFormatting sqref="B162:C162">
    <cfRule type="duplicateValues" dxfId="49" priority="11"/>
  </conditionalFormatting>
  <conditionalFormatting sqref="B163:C163">
    <cfRule type="duplicateValues" dxfId="48" priority="10"/>
  </conditionalFormatting>
  <conditionalFormatting sqref="B165:C165">
    <cfRule type="duplicateValues" dxfId="47" priority="9"/>
  </conditionalFormatting>
  <conditionalFormatting sqref="B173:C173">
    <cfRule type="duplicateValues" dxfId="46" priority="8"/>
  </conditionalFormatting>
  <conditionalFormatting sqref="B217:C217">
    <cfRule type="duplicateValues" dxfId="45" priority="7"/>
  </conditionalFormatting>
  <conditionalFormatting sqref="D8:D998">
    <cfRule type="cellIs" dxfId="44" priority="15" operator="equal">
      <formula>"Cancelado"</formula>
    </cfRule>
    <cfRule type="cellIs" dxfId="43" priority="18" operator="equal">
      <formula>"Resuelto"</formula>
    </cfRule>
  </conditionalFormatting>
  <conditionalFormatting sqref="E8:G49 E50:F50 E51:G998">
    <cfRule type="cellIs" dxfId="42" priority="21" operator="equal">
      <formula>"Baja"</formula>
    </cfRule>
    <cfRule type="cellIs" dxfId="41" priority="22" operator="equal">
      <formula>"Media"</formula>
    </cfRule>
    <cfRule type="cellIs" dxfId="40" priority="23" operator="equal">
      <formula>"Alta"</formula>
    </cfRule>
    <cfRule type="cellIs" dxfId="39" priority="24" operator="equal">
      <formula>"Urgente"</formula>
    </cfRule>
  </conditionalFormatting>
  <conditionalFormatting sqref="T8:T412">
    <cfRule type="colorScale" priority="20">
      <colorScale>
        <cfvo type="num" val="0"/>
        <cfvo type="num" val="1"/>
        <color rgb="FFFF0000"/>
        <color rgb="FF00B050"/>
      </colorScale>
    </cfRule>
  </conditionalFormatting>
  <conditionalFormatting sqref="T413"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T414:T998">
    <cfRule type="colorScale" priority="14">
      <colorScale>
        <cfvo type="num" val="0"/>
        <cfvo type="num" val="1"/>
        <color rgb="FFFF0000"/>
        <color rgb="FF00B050"/>
      </colorScale>
    </cfRule>
  </conditionalFormatting>
  <dataValidations count="2">
    <dataValidation type="list" allowBlank="1" showInputMessage="1" showErrorMessage="1" sqref="D8:D997" xr:uid="{00000000-0002-0000-0300-000000000000}">
      <formula1>"Abierto,Resuelto,Cancelado"</formula1>
    </dataValidation>
    <dataValidation type="list" allowBlank="1" showInputMessage="1" showErrorMessage="1" sqref="E8:E997" xr:uid="{00000000-0002-0000-0300-000001000000}">
      <formula1>"Urgente,Alta,Media,Baja"</formula1>
    </dataValidation>
  </dataValidations>
  <hyperlinks>
    <hyperlink ref="C8" r:id="rId1" xr:uid="{00000000-0004-0000-0300-000000000000}"/>
    <hyperlink ref="C9" r:id="rId2" xr:uid="{00000000-0004-0000-0300-000001000000}"/>
    <hyperlink ref="C10" r:id="rId3" xr:uid="{00000000-0004-0000-0300-000002000000}"/>
    <hyperlink ref="C11" r:id="rId4" xr:uid="{00000000-0004-0000-0300-000003000000}"/>
    <hyperlink ref="C12" r:id="rId5" xr:uid="{00000000-0004-0000-0300-000004000000}"/>
    <hyperlink ref="C13" r:id="rId6" xr:uid="{00000000-0004-0000-0300-000005000000}"/>
    <hyperlink ref="C14" r:id="rId7" location="note" xr:uid="{00000000-0004-0000-0300-000006000000}"/>
    <hyperlink ref="C15" r:id="rId8" location="note" xr:uid="{00000000-0004-0000-0300-000007000000}"/>
    <hyperlink ref="C16" r:id="rId9" xr:uid="{00000000-0004-0000-0300-000008000000}"/>
    <hyperlink ref="C17" r:id="rId10" xr:uid="{00000000-0004-0000-0300-000009000000}"/>
    <hyperlink ref="C18" r:id="rId11" xr:uid="{00000000-0004-0000-0300-00000A000000}"/>
    <hyperlink ref="C19" r:id="rId12" xr:uid="{00000000-0004-0000-0300-00000B000000}"/>
    <hyperlink ref="C20" r:id="rId13" location="note" xr:uid="{00000000-0004-0000-0300-00000C000000}"/>
    <hyperlink ref="C21" r:id="rId14" location="note" xr:uid="{00000000-0004-0000-0300-00000D000000}"/>
    <hyperlink ref="C22" r:id="rId15" xr:uid="{00000000-0004-0000-0300-00000E000000}"/>
    <hyperlink ref="C23" r:id="rId16" location="note" xr:uid="{00000000-0004-0000-0300-00000F000000}"/>
    <hyperlink ref="C24" r:id="rId17" location="note" xr:uid="{00000000-0004-0000-0300-000010000000}"/>
    <hyperlink ref="C25" r:id="rId18" xr:uid="{00000000-0004-0000-0300-000011000000}"/>
    <hyperlink ref="C26" r:id="rId19" xr:uid="{00000000-0004-0000-0300-000012000000}"/>
    <hyperlink ref="C27" r:id="rId20" location="note" xr:uid="{00000000-0004-0000-0300-000013000000}"/>
    <hyperlink ref="C28" r:id="rId21" location="note" xr:uid="{00000000-0004-0000-0300-000014000000}"/>
    <hyperlink ref="C29" r:id="rId22" location="note" xr:uid="{00000000-0004-0000-0300-000015000000}"/>
    <hyperlink ref="C30" r:id="rId23" location="note" xr:uid="{00000000-0004-0000-0300-000016000000}"/>
    <hyperlink ref="C31" r:id="rId24" location="note" xr:uid="{00000000-0004-0000-0300-000017000000}"/>
    <hyperlink ref="C32" r:id="rId25" location="note" xr:uid="{00000000-0004-0000-0300-000018000000}"/>
    <hyperlink ref="C33" r:id="rId26" location="note" xr:uid="{00000000-0004-0000-0300-000019000000}"/>
    <hyperlink ref="C34" r:id="rId27" location="note" xr:uid="{00000000-0004-0000-0300-00001A000000}"/>
    <hyperlink ref="C35" r:id="rId28" location="note" xr:uid="{00000000-0004-0000-0300-00001B000000}"/>
    <hyperlink ref="C36" r:id="rId29" location="note" xr:uid="{00000000-0004-0000-0300-00001C000000}"/>
    <hyperlink ref="C37" r:id="rId30" xr:uid="{00000000-0004-0000-0300-00001D000000}"/>
    <hyperlink ref="C38" r:id="rId31" location="note" xr:uid="{00000000-0004-0000-0300-00001E000000}"/>
    <hyperlink ref="C39" r:id="rId32" xr:uid="{00000000-0004-0000-0300-00001F000000}"/>
    <hyperlink ref="C40" r:id="rId33" location="note" xr:uid="{00000000-0004-0000-0300-000020000000}"/>
    <hyperlink ref="C41" r:id="rId34" xr:uid="{00000000-0004-0000-0300-000021000000}"/>
    <hyperlink ref="C42" r:id="rId35" xr:uid="{00000000-0004-0000-0300-000022000000}"/>
    <hyperlink ref="C43" r:id="rId36" xr:uid="{00000000-0004-0000-0300-000023000000}"/>
    <hyperlink ref="C44" r:id="rId37" location="note" xr:uid="{00000000-0004-0000-0300-000024000000}"/>
    <hyperlink ref="C45" r:id="rId38" xr:uid="{00000000-0004-0000-0300-000025000000}"/>
    <hyperlink ref="C46" r:id="rId39" xr:uid="{00000000-0004-0000-0300-000026000000}"/>
    <hyperlink ref="C47" r:id="rId40" xr:uid="{00000000-0004-0000-0300-000027000000}"/>
    <hyperlink ref="C48" r:id="rId41" location="note" xr:uid="{00000000-0004-0000-0300-000028000000}"/>
    <hyperlink ref="B49" r:id="rId42" xr:uid="{00000000-0004-0000-0300-000029000000}"/>
    <hyperlink ref="C49" r:id="rId43" xr:uid="{00000000-0004-0000-0300-00002A000000}"/>
    <hyperlink ref="C50" r:id="rId44" xr:uid="{00000000-0004-0000-0300-00002B000000}"/>
    <hyperlink ref="C51" r:id="rId45" xr:uid="{00000000-0004-0000-0300-00002C000000}"/>
    <hyperlink ref="C52" r:id="rId46" xr:uid="{00000000-0004-0000-0300-00002D000000}"/>
    <hyperlink ref="C53" r:id="rId47" xr:uid="{00000000-0004-0000-0300-00002E000000}"/>
    <hyperlink ref="C54" r:id="rId48" xr:uid="{00000000-0004-0000-0300-00002F000000}"/>
    <hyperlink ref="C55" r:id="rId49" xr:uid="{00000000-0004-0000-0300-000030000000}"/>
    <hyperlink ref="C56" r:id="rId50" xr:uid="{00000000-0004-0000-0300-000031000000}"/>
    <hyperlink ref="C57" r:id="rId51" xr:uid="{00000000-0004-0000-0300-000032000000}"/>
    <hyperlink ref="C58" r:id="rId52" xr:uid="{00000000-0004-0000-0300-000033000000}"/>
    <hyperlink ref="C59" r:id="rId53" xr:uid="{00000000-0004-0000-0300-000034000000}"/>
    <hyperlink ref="C60" r:id="rId54" xr:uid="{00000000-0004-0000-0300-000035000000}"/>
    <hyperlink ref="C61" r:id="rId55" xr:uid="{00000000-0004-0000-0300-000036000000}"/>
    <hyperlink ref="C62" r:id="rId56" xr:uid="{00000000-0004-0000-0300-000037000000}"/>
    <hyperlink ref="C63" r:id="rId57" xr:uid="{00000000-0004-0000-0300-000038000000}"/>
    <hyperlink ref="C64" r:id="rId58" xr:uid="{00000000-0004-0000-0300-000039000000}"/>
    <hyperlink ref="C65" r:id="rId59" xr:uid="{00000000-0004-0000-0300-00003A000000}"/>
    <hyperlink ref="C66" r:id="rId60" xr:uid="{00000000-0004-0000-0300-00003B000000}"/>
    <hyperlink ref="C67" r:id="rId61" xr:uid="{00000000-0004-0000-0300-00003C000000}"/>
    <hyperlink ref="C68" r:id="rId62" xr:uid="{00000000-0004-0000-0300-00003D000000}"/>
    <hyperlink ref="C69" r:id="rId63" xr:uid="{00000000-0004-0000-0300-00003E000000}"/>
    <hyperlink ref="C70" r:id="rId64" xr:uid="{00000000-0004-0000-0300-00003F000000}"/>
    <hyperlink ref="C71" r:id="rId65" xr:uid="{00000000-0004-0000-0300-000040000000}"/>
    <hyperlink ref="C72" r:id="rId66" xr:uid="{00000000-0004-0000-0300-000041000000}"/>
    <hyperlink ref="C73" r:id="rId67" xr:uid="{00000000-0004-0000-0300-000042000000}"/>
    <hyperlink ref="C74" r:id="rId68" xr:uid="{00000000-0004-0000-0300-000043000000}"/>
    <hyperlink ref="C75" r:id="rId69" xr:uid="{00000000-0004-0000-0300-000044000000}"/>
    <hyperlink ref="C76" r:id="rId70" xr:uid="{00000000-0004-0000-0300-000045000000}"/>
    <hyperlink ref="C77" r:id="rId71" xr:uid="{00000000-0004-0000-0300-000046000000}"/>
    <hyperlink ref="C78" r:id="rId72" xr:uid="{00000000-0004-0000-0300-000047000000}"/>
    <hyperlink ref="C79" r:id="rId73" xr:uid="{00000000-0004-0000-0300-000048000000}"/>
    <hyperlink ref="C80" r:id="rId74" xr:uid="{00000000-0004-0000-0300-000049000000}"/>
    <hyperlink ref="C81" r:id="rId75" xr:uid="{00000000-0004-0000-0300-00004A000000}"/>
    <hyperlink ref="C82" r:id="rId76" location="note" xr:uid="{00000000-0004-0000-0300-00004B000000}"/>
    <hyperlink ref="C83" r:id="rId77" location="note" xr:uid="{00000000-0004-0000-0300-00004C000000}"/>
    <hyperlink ref="C84" r:id="rId78" xr:uid="{00000000-0004-0000-0300-00004D000000}"/>
    <hyperlink ref="C85" r:id="rId79" xr:uid="{00000000-0004-0000-0300-00004E000000}"/>
    <hyperlink ref="C86" r:id="rId80" xr:uid="{00000000-0004-0000-0300-00004F000000}"/>
    <hyperlink ref="C87" r:id="rId81" location="note" xr:uid="{00000000-0004-0000-0300-000050000000}"/>
    <hyperlink ref="C88" r:id="rId82" xr:uid="{00000000-0004-0000-0300-000051000000}"/>
    <hyperlink ref="C89" r:id="rId83" xr:uid="{00000000-0004-0000-0300-000052000000}"/>
    <hyperlink ref="C90" r:id="rId84" xr:uid="{00000000-0004-0000-0300-000053000000}"/>
    <hyperlink ref="C91" r:id="rId85" xr:uid="{00000000-0004-0000-0300-000054000000}"/>
    <hyperlink ref="C92" r:id="rId86" xr:uid="{00000000-0004-0000-0300-000055000000}"/>
    <hyperlink ref="C93" r:id="rId87" xr:uid="{00000000-0004-0000-0300-000056000000}"/>
    <hyperlink ref="C94" r:id="rId88" xr:uid="{00000000-0004-0000-0300-000057000000}"/>
    <hyperlink ref="C95" r:id="rId89" xr:uid="{00000000-0004-0000-0300-000058000000}"/>
    <hyperlink ref="C96" r:id="rId90" xr:uid="{00000000-0004-0000-0300-000059000000}"/>
    <hyperlink ref="C97" r:id="rId91" xr:uid="{00000000-0004-0000-0300-00005A000000}"/>
    <hyperlink ref="C98" r:id="rId92" xr:uid="{00000000-0004-0000-0300-00005B000000}"/>
    <hyperlink ref="C99" r:id="rId93" xr:uid="{00000000-0004-0000-0300-00005C000000}"/>
    <hyperlink ref="C100" r:id="rId94" xr:uid="{00000000-0004-0000-0300-00005D000000}"/>
    <hyperlink ref="C101" r:id="rId95" xr:uid="{00000000-0004-0000-0300-00005E000000}"/>
    <hyperlink ref="C102" r:id="rId96" xr:uid="{00000000-0004-0000-0300-00005F000000}"/>
    <hyperlink ref="C103" r:id="rId97" xr:uid="{00000000-0004-0000-0300-000060000000}"/>
    <hyperlink ref="C104" r:id="rId98" xr:uid="{00000000-0004-0000-0300-000061000000}"/>
    <hyperlink ref="C105" r:id="rId99" xr:uid="{00000000-0004-0000-0300-000062000000}"/>
    <hyperlink ref="C106" r:id="rId100" xr:uid="{00000000-0004-0000-0300-000063000000}"/>
    <hyperlink ref="C107" r:id="rId101" xr:uid="{00000000-0004-0000-0300-000064000000}"/>
    <hyperlink ref="C108" r:id="rId102" xr:uid="{00000000-0004-0000-0300-000065000000}"/>
    <hyperlink ref="C109" r:id="rId103" xr:uid="{00000000-0004-0000-0300-000066000000}"/>
    <hyperlink ref="C110" r:id="rId104" xr:uid="{00000000-0004-0000-0300-000067000000}"/>
    <hyperlink ref="C111" r:id="rId105" xr:uid="{00000000-0004-0000-0300-000068000000}"/>
    <hyperlink ref="C112" r:id="rId106" xr:uid="{00000000-0004-0000-0300-000069000000}"/>
    <hyperlink ref="C113" r:id="rId107" location="note" xr:uid="{00000000-0004-0000-0300-00006A000000}"/>
    <hyperlink ref="C114" r:id="rId108" xr:uid="{00000000-0004-0000-0300-00006B000000}"/>
    <hyperlink ref="C115" r:id="rId109" xr:uid="{00000000-0004-0000-0300-00006C000000}"/>
    <hyperlink ref="C116" r:id="rId110" location="note" xr:uid="{00000000-0004-0000-0300-00006D000000}"/>
    <hyperlink ref="C117" r:id="rId111" location="note" xr:uid="{00000000-0004-0000-0300-00006E000000}"/>
    <hyperlink ref="C118" r:id="rId112" location="note" xr:uid="{00000000-0004-0000-0300-00006F000000}"/>
    <hyperlink ref="C119" r:id="rId113" location="note" xr:uid="{00000000-0004-0000-0300-000070000000}"/>
    <hyperlink ref="C120" r:id="rId114" location="note" xr:uid="{00000000-0004-0000-0300-000071000000}"/>
  </hyperlinks>
  <pageMargins left="0.7" right="0.7" top="0.75" bottom="0.75" header="0.3" footer="0.3"/>
  <pageSetup orientation="portrait"/>
  <drawing r:id="rId1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99"/>
  <sheetViews>
    <sheetView zoomScaleNormal="100" workbookViewId="0">
      <pane ySplit="7" topLeftCell="A84" activePane="bottomLeft" state="frozen"/>
      <selection activeCell="C1" sqref="C1"/>
      <selection pane="bottomLeft" activeCell="B91" sqref="B91"/>
    </sheetView>
  </sheetViews>
  <sheetFormatPr baseColWidth="10" defaultColWidth="11.44140625" defaultRowHeight="14.4"/>
  <cols>
    <col min="1" max="1" width="13" customWidth="1"/>
    <col min="2" max="2" width="41.88671875" customWidth="1"/>
    <col min="3" max="3" width="26.88671875" customWidth="1"/>
    <col min="4" max="4" width="14.5546875" bestFit="1" customWidth="1"/>
    <col min="5" max="5" width="14.6640625" bestFit="1" customWidth="1"/>
    <col min="6" max="6" width="13" bestFit="1" customWidth="1"/>
    <col min="7" max="7" width="15.109375" style="29" bestFit="1" customWidth="1"/>
    <col min="8" max="8" width="12.6640625" customWidth="1"/>
    <col min="9" max="9" width="16.88671875" customWidth="1"/>
    <col min="10" max="10" width="20" customWidth="1"/>
    <col min="11" max="11" width="16.109375" style="29" customWidth="1"/>
    <col min="12" max="12" width="16.109375" customWidth="1"/>
    <col min="13" max="13" width="21" customWidth="1"/>
    <col min="14" max="14" width="20.88671875" customWidth="1"/>
    <col min="15" max="17" width="16.109375" customWidth="1"/>
  </cols>
  <sheetData>
    <row r="1" spans="1:14" ht="9.75" customHeight="1"/>
    <row r="2" spans="1:14" ht="3" customHeight="1"/>
    <row r="3" spans="1:14" ht="3" customHeight="1"/>
    <row r="4" spans="1:14" ht="3" customHeight="1"/>
    <row r="5" spans="1:14" ht="3" customHeight="1"/>
    <row r="6" spans="1:14" ht="7.5" customHeight="1"/>
    <row r="7" spans="1:14" ht="46.8" customHeight="1">
      <c r="A7" s="138" t="s">
        <v>2</v>
      </c>
      <c r="B7" s="138" t="s">
        <v>449</v>
      </c>
      <c r="C7" s="138" t="s">
        <v>450</v>
      </c>
      <c r="D7" s="138" t="s">
        <v>3</v>
      </c>
      <c r="E7" s="138" t="s">
        <v>451</v>
      </c>
      <c r="F7" s="139" t="s">
        <v>452</v>
      </c>
      <c r="G7" s="139" t="s">
        <v>453</v>
      </c>
      <c r="H7" s="139" t="s">
        <v>454</v>
      </c>
      <c r="I7" s="139" t="s">
        <v>455</v>
      </c>
      <c r="J7" s="139" t="s">
        <v>456</v>
      </c>
      <c r="K7" s="139" t="s">
        <v>457</v>
      </c>
      <c r="L7" s="139" t="s">
        <v>458</v>
      </c>
      <c r="M7" s="139" t="s">
        <v>459</v>
      </c>
      <c r="N7" s="139" t="s">
        <v>460</v>
      </c>
    </row>
    <row r="8" spans="1:14" s="89" customFormat="1">
      <c r="A8" s="89" t="str">
        <f>IF(Registro!B8="","",Registro!B8)</f>
        <v>6262-PFIN-26</v>
      </c>
      <c r="B8" s="89" t="str">
        <f>IF(Registro!B8="","",Registro!H8)</f>
        <v>Curso 1</v>
      </c>
      <c r="C8" s="137">
        <f>IF(Registro!B8="","",Registro!L8)</f>
        <v>46227.589583333327</v>
      </c>
      <c r="D8" s="89" t="str">
        <f>IF(Registro!B8="","",Registro!M8)</f>
        <v>Gestor 1</v>
      </c>
      <c r="E8" s="136">
        <f>IF(A8="","",_xlfn.XLOOKUP(A8,Registro!$B$8:$B$997,Registro!$R$8:$R$997,"N/E",0))</f>
        <v>46272</v>
      </c>
      <c r="F8" s="93">
        <f t="shared" ref="F8:F71" si="0">IF(A8="","",NETWORKDAYS.INTL(C8,E8,1))</f>
        <v>32</v>
      </c>
      <c r="G8" s="93">
        <v>5</v>
      </c>
      <c r="H8" s="136"/>
      <c r="K8" s="93" t="s">
        <v>310</v>
      </c>
      <c r="L8" s="93" t="str">
        <f>IF(OR(K8="N/A",K8=""),"",NETWORKDAYS(C8,K8))</f>
        <v/>
      </c>
    </row>
    <row r="9" spans="1:14" s="89" customFormat="1">
      <c r="A9" s="89" t="str">
        <f>IF(Registro!B9="","",Registro!B9)</f>
        <v>6261-PFIN-26</v>
      </c>
      <c r="B9" s="89" t="str">
        <f>IF(Registro!B9="","",Registro!H9)</f>
        <v>Curso 2</v>
      </c>
      <c r="C9" s="137">
        <f>IF(Registro!B9="","",Registro!L9)</f>
        <v>46227.602083333331</v>
      </c>
      <c r="D9" s="89" t="str">
        <f>IF(Registro!B9="","",Registro!M9)</f>
        <v>Gestor 4</v>
      </c>
      <c r="E9" s="136">
        <f>IF(A9="","",_xlfn.XLOOKUP(A9,Registro!$B$8:$B$997,Registro!$R$8:$R$997,"N/E",0))</f>
        <v>46259</v>
      </c>
      <c r="F9" s="93">
        <f t="shared" si="0"/>
        <v>23</v>
      </c>
      <c r="G9" s="93"/>
      <c r="H9" s="136"/>
      <c r="K9" s="93" t="s">
        <v>310</v>
      </c>
      <c r="L9" s="93" t="str">
        <f>IF(OR(K9="N/A",K9=""),"",NETWORKDAYS(C9,K9))</f>
        <v/>
      </c>
    </row>
    <row r="10" spans="1:14" s="89" customFormat="1">
      <c r="A10" s="89" t="str">
        <f>IF(Registro!B10="","",Registro!B10)</f>
        <v>6275-PFIN-26</v>
      </c>
      <c r="B10" s="89" t="str">
        <f>IF(Registro!B10="","",Registro!H10)</f>
        <v>Curso 3</v>
      </c>
      <c r="C10" s="137">
        <f>IF(Registro!B10="","",Registro!L10)</f>
        <v>46237.353472222218</v>
      </c>
      <c r="D10" s="89" t="str">
        <f>IF(Registro!B10="","",Registro!M10)</f>
        <v>Gestor 5</v>
      </c>
      <c r="E10" s="136">
        <f>IF(A10="","",_xlfn.XLOOKUP(A10,Registro!$B$8:$B$997,Registro!$R$8:$R$997,"N/E",0))</f>
        <v>46246</v>
      </c>
      <c r="F10" s="93">
        <f t="shared" si="0"/>
        <v>8</v>
      </c>
      <c r="G10" s="93"/>
      <c r="H10" s="136"/>
      <c r="K10" s="93" t="s">
        <v>310</v>
      </c>
      <c r="L10" s="93" t="str">
        <f>IF(OR(K10="N/A",K10=""),"",NETWORKDAYS(C10,K10))</f>
        <v/>
      </c>
    </row>
    <row r="11" spans="1:14" s="89" customFormat="1" ht="28.8" customHeight="1">
      <c r="A11" s="89" t="str">
        <f>IF(Registro!B11="","",Registro!B11)</f>
        <v>6276-PFIN-26</v>
      </c>
      <c r="B11" s="89" t="str">
        <f>IF(Registro!B11="","",Registro!H11)</f>
        <v>Curso 4</v>
      </c>
      <c r="C11" s="137">
        <f>IF(Registro!B11="","",Registro!L11)</f>
        <v>46237.441666666673</v>
      </c>
      <c r="D11" s="89" t="str">
        <f>IF(Registro!B11="","",Registro!M11)</f>
        <v>Gestor 3</v>
      </c>
      <c r="E11" s="136">
        <f>IF(A11="","",_xlfn.XLOOKUP(A11,Registro!$B$8:$B$997,Registro!$R$8:$R$997,"N/E",0))</f>
        <v>46261</v>
      </c>
      <c r="F11" s="93">
        <f t="shared" si="0"/>
        <v>19</v>
      </c>
      <c r="G11" s="93"/>
      <c r="H11" s="136"/>
      <c r="K11" s="149">
        <v>46237</v>
      </c>
      <c r="L11" s="149">
        <v>46239</v>
      </c>
    </row>
    <row r="12" spans="1:14" s="89" customFormat="1">
      <c r="A12" s="89" t="str">
        <f>IF(Registro!B12="","",Registro!B12)</f>
        <v>6278-PFIN-26</v>
      </c>
      <c r="B12" s="89" t="str">
        <f>IF(Registro!B12="","",Registro!H12)</f>
        <v>Curso 5</v>
      </c>
      <c r="C12" s="137">
        <f>IF(Registro!B12="","",Registro!L12)</f>
        <v>46238.394444444442</v>
      </c>
      <c r="D12" s="89" t="str">
        <f>IF(Registro!B12="","",Registro!M12)</f>
        <v>Gestor 5</v>
      </c>
      <c r="E12" s="136">
        <f>IF(A12="","",_xlfn.XLOOKUP(A12,Registro!$B$8:$B$997,Registro!$R$8:$R$997,"N/E",0))</f>
        <v>46274</v>
      </c>
      <c r="F12" s="93">
        <f t="shared" si="0"/>
        <v>27</v>
      </c>
      <c r="G12" s="93"/>
      <c r="H12" s="136"/>
      <c r="K12" s="93"/>
      <c r="L12" s="93" t="str">
        <f>IF(OR(K12="N/A",K12=""),"",NETWORKDAYS(C12,K12))</f>
        <v/>
      </c>
    </row>
    <row r="13" spans="1:14" s="89" customFormat="1">
      <c r="A13" s="89" t="str">
        <f>IF(Registro!B13="","",Registro!B13)</f>
        <v>6281-PFIN-26</v>
      </c>
      <c r="B13" s="89" t="str">
        <f>IF(Registro!B13="","",Registro!H13)</f>
        <v>Curso 6</v>
      </c>
      <c r="C13" s="137">
        <f>IF(Registro!B13="","",Registro!L13)</f>
        <v>46238.44027777778</v>
      </c>
      <c r="D13" s="89" t="str">
        <f>IF(Registro!B13="","",Registro!M13)</f>
        <v>Gestor 3</v>
      </c>
      <c r="E13" s="136">
        <f>IF(A13="","",_xlfn.XLOOKUP(A13,Registro!$B$8:$B$997,Registro!$R$8:$R$997,"N/E",0))</f>
        <v>46308</v>
      </c>
      <c r="F13" s="93">
        <f t="shared" si="0"/>
        <v>51</v>
      </c>
      <c r="G13" s="93"/>
      <c r="H13" s="136"/>
      <c r="K13" s="149">
        <v>46255</v>
      </c>
      <c r="L13" s="149">
        <v>46259</v>
      </c>
    </row>
    <row r="14" spans="1:14" s="89" customFormat="1" ht="28.8" customHeight="1">
      <c r="A14" s="89" t="str">
        <f>IF(Registro!B14="","",Registro!B14)</f>
        <v>6283-PFIN-26</v>
      </c>
      <c r="B14" s="89" t="str">
        <f>IF(Registro!B14="","",Registro!H14)</f>
        <v>Curso 7</v>
      </c>
      <c r="C14" s="137">
        <f>IF(Registro!B14="","",Registro!L14)</f>
        <v>46238.44027777778</v>
      </c>
      <c r="D14" s="89" t="str">
        <f>IF(Registro!B14="","",Registro!M14)</f>
        <v>Gestor 4</v>
      </c>
      <c r="E14" s="136">
        <f>IF(A14="","",_xlfn.XLOOKUP(A14,Registro!$B$8:$B$997,Registro!$R$8:$R$997,"N/E",0))</f>
        <v>46304</v>
      </c>
      <c r="F14" s="93">
        <f t="shared" si="0"/>
        <v>49</v>
      </c>
      <c r="G14" s="93"/>
      <c r="H14" s="136"/>
      <c r="K14" s="93" t="s">
        <v>310</v>
      </c>
      <c r="L14" s="93" t="str">
        <f>IF(OR(K14="N/A",K14=""),"",NETWORKDAYS(C14,K14))</f>
        <v/>
      </c>
    </row>
    <row r="15" spans="1:14" s="89" customFormat="1">
      <c r="A15" s="89" t="str">
        <f>IF(Registro!B15="","",Registro!B15)</f>
        <v>6284-PFIN-26</v>
      </c>
      <c r="B15" s="89" t="str">
        <f>IF(Registro!B15="","",Registro!H15)</f>
        <v>Curso 8</v>
      </c>
      <c r="C15" s="137">
        <f>IF(Registro!B15="","",Registro!L15)</f>
        <v>46238.440972222219</v>
      </c>
      <c r="D15" s="89" t="str">
        <f>IF(Registro!B15="","",Registro!M15)</f>
        <v>Gestor 1</v>
      </c>
      <c r="E15" s="136">
        <f>IF(A15="","",_xlfn.XLOOKUP(A15,Registro!$B$8:$B$997,Registro!$R$8:$R$997,"N/E",0))</f>
        <v>46329</v>
      </c>
      <c r="F15" s="93">
        <f t="shared" si="0"/>
        <v>66</v>
      </c>
      <c r="G15" s="93"/>
      <c r="H15" s="136"/>
      <c r="K15" s="149">
        <v>46254</v>
      </c>
      <c r="L15" s="149">
        <v>46258</v>
      </c>
    </row>
    <row r="16" spans="1:14" s="89" customFormat="1">
      <c r="A16" s="89" t="str">
        <f>IF(Registro!B16="","",Registro!B16)</f>
        <v>6286-PFIN-26</v>
      </c>
      <c r="B16" s="89" t="str">
        <f>IF(Registro!B16="","",Registro!H16)</f>
        <v>Curso 9</v>
      </c>
      <c r="C16" s="137">
        <f>IF(Registro!B16="","",Registro!L16)</f>
        <v>46240.625</v>
      </c>
      <c r="D16" s="89" t="str">
        <f>IF(Registro!B16="","",Registro!M16)</f>
        <v>Gestor 4</v>
      </c>
      <c r="E16" s="136">
        <f>IF(A16="","",_xlfn.XLOOKUP(A16,Registro!$B$8:$B$997,Registro!$R$8:$R$997,"N/E",0))</f>
        <v>46350</v>
      </c>
      <c r="F16" s="93">
        <f t="shared" si="0"/>
        <v>79</v>
      </c>
      <c r="G16" s="93"/>
      <c r="H16" s="136"/>
      <c r="K16" s="93" t="s">
        <v>310</v>
      </c>
      <c r="L16" s="93" t="str">
        <f>IF(OR(K16="N/A",K16=""),"",NETWORKDAYS(C16,K16))</f>
        <v/>
      </c>
    </row>
    <row r="17" spans="1:12" s="89" customFormat="1" ht="28.8" customHeight="1">
      <c r="A17" s="89" t="str">
        <f>IF(Registro!B17="","",Registro!B17)</f>
        <v>6288-PFIN-26</v>
      </c>
      <c r="B17" s="89" t="str">
        <f>IF(Registro!B17="","",Registro!H17)</f>
        <v>Curso 10</v>
      </c>
      <c r="C17" s="137">
        <f>IF(Registro!B17="","",Registro!L17)</f>
        <v>46240.625694444447</v>
      </c>
      <c r="D17" s="89" t="str">
        <f>IF(Registro!B17="","",Registro!M17)</f>
        <v>Gestor 2</v>
      </c>
      <c r="E17" s="136">
        <f>IF(A17="","",_xlfn.XLOOKUP(A17,Registro!$B$8:$B$997,Registro!$R$8:$R$997,"N/E",0))</f>
        <v>46282</v>
      </c>
      <c r="F17" s="93">
        <f t="shared" si="0"/>
        <v>31</v>
      </c>
      <c r="G17" s="93"/>
      <c r="H17" s="136"/>
      <c r="K17" s="149">
        <v>46245</v>
      </c>
      <c r="L17" s="149">
        <v>46245</v>
      </c>
    </row>
    <row r="18" spans="1:12" s="89" customFormat="1">
      <c r="A18" s="89" t="str">
        <f>IF(Registro!B18="","",Registro!B18)</f>
        <v>6282-PFIN-26</v>
      </c>
      <c r="B18" s="89" t="str">
        <f>IF(Registro!B18="","",Registro!H18)</f>
        <v>Curso 11</v>
      </c>
      <c r="C18" s="137">
        <f>IF(Registro!B18="","",Registro!L18)</f>
        <v>46240.62777777778</v>
      </c>
      <c r="D18" s="89" t="str">
        <f>IF(Registro!B18="","",Registro!M18)</f>
        <v>Gestor 5</v>
      </c>
      <c r="E18" s="136">
        <f>IF(A18="","",_xlfn.XLOOKUP(A18,Registro!$B$8:$B$997,Registro!$R$8:$R$997,"N/E",0))</f>
        <v>46262</v>
      </c>
      <c r="F18" s="93">
        <f t="shared" si="0"/>
        <v>17</v>
      </c>
      <c r="G18" s="93"/>
      <c r="H18" s="136"/>
      <c r="K18" s="149">
        <v>46255</v>
      </c>
      <c r="L18" s="149">
        <v>46258</v>
      </c>
    </row>
    <row r="19" spans="1:12" s="89" customFormat="1" ht="28.8" customHeight="1">
      <c r="A19" s="89" t="str">
        <f>IF(Registro!B19="","",Registro!B19)</f>
        <v>6289-PFIN-26</v>
      </c>
      <c r="B19" s="89" t="str">
        <f>IF(Registro!B19="","",Registro!H19)</f>
        <v>Curso 12</v>
      </c>
      <c r="C19" s="137">
        <f>IF(Registro!B19="","",Registro!L19)</f>
        <v>46240.629861111112</v>
      </c>
      <c r="D19" s="89" t="str">
        <f>IF(Registro!B19="","",Registro!M19)</f>
        <v>Gestor 5</v>
      </c>
      <c r="E19" s="136">
        <f>IF(A19="","",_xlfn.XLOOKUP(A19,Registro!$B$8:$B$997,Registro!$R$8:$R$997,"N/E",0))</f>
        <v>46308</v>
      </c>
      <c r="F19" s="93">
        <f t="shared" si="0"/>
        <v>49</v>
      </c>
      <c r="G19" s="93"/>
      <c r="H19" s="136"/>
      <c r="K19" s="149">
        <v>46241</v>
      </c>
      <c r="L19" s="149">
        <v>46245</v>
      </c>
    </row>
    <row r="20" spans="1:12" s="89" customFormat="1" ht="28.8" customHeight="1">
      <c r="A20" s="89" t="str">
        <f>IF(Registro!B20="","",Registro!B20)</f>
        <v>6290-PFIN-26</v>
      </c>
      <c r="B20" s="89" t="str">
        <f>IF(Registro!B20="","",Registro!H20)</f>
        <v>Curso 13</v>
      </c>
      <c r="C20" s="137">
        <f>IF(Registro!B20="","",Registro!L20)</f>
        <v>46241.354166666657</v>
      </c>
      <c r="D20" s="89" t="str">
        <f>IF(Registro!B20="","",Registro!M20)</f>
        <v>Gestor 4</v>
      </c>
      <c r="E20" s="136">
        <f>IF(A20="","",_xlfn.XLOOKUP(A20,Registro!$B$8:$B$997,Registro!$R$8:$R$997,"N/E",0))</f>
        <v>46268</v>
      </c>
      <c r="F20" s="93">
        <f t="shared" si="0"/>
        <v>20</v>
      </c>
      <c r="G20" s="93"/>
      <c r="H20" s="136"/>
      <c r="K20" s="149">
        <v>46261</v>
      </c>
      <c r="L20" s="149">
        <v>46262</v>
      </c>
    </row>
    <row r="21" spans="1:12" s="89" customFormat="1">
      <c r="A21" s="89" t="str">
        <f>IF(Registro!B21="","",Registro!B21)</f>
        <v>6291-PFIN-26</v>
      </c>
      <c r="B21" s="89" t="str">
        <f>IF(Registro!B21="","",Registro!H21)</f>
        <v>Curso 14</v>
      </c>
      <c r="C21" s="137">
        <f>IF(Registro!B21="","",Registro!L21)</f>
        <v>46241.354861111111</v>
      </c>
      <c r="D21" s="89" t="str">
        <f>IF(Registro!B21="","",Registro!M21)</f>
        <v>Gestor 3</v>
      </c>
      <c r="E21" s="136">
        <f>IF(A21="","",_xlfn.XLOOKUP(A21,Registro!$B$8:$B$997,Registro!$R$8:$R$997,"N/E",0))</f>
        <v>46272</v>
      </c>
      <c r="F21" s="93">
        <f t="shared" si="0"/>
        <v>22</v>
      </c>
      <c r="G21" s="93"/>
      <c r="H21" s="136"/>
      <c r="K21" s="93" t="s">
        <v>310</v>
      </c>
      <c r="L21" s="93" t="str">
        <f>IF(OR(K21="N/A",K21=""),"",NETWORKDAYS(C21,K21))</f>
        <v/>
      </c>
    </row>
    <row r="22" spans="1:12" s="89" customFormat="1" ht="28.8" customHeight="1">
      <c r="A22" s="89" t="str">
        <f>IF(Registro!B22="","",Registro!B22)</f>
        <v>6292-PFIN-26</v>
      </c>
      <c r="B22" s="89" t="str">
        <f>IF(Registro!B22="","",Registro!H22)</f>
        <v>Curso 15</v>
      </c>
      <c r="C22" s="137">
        <f>IF(Registro!B22="","",Registro!L22)</f>
        <v>46241.552083333343</v>
      </c>
      <c r="D22" s="89" t="str">
        <f>IF(Registro!B22="","",Registro!M22)</f>
        <v>Gestor 4</v>
      </c>
      <c r="E22" s="136">
        <f>IF(A22="","",_xlfn.XLOOKUP(A22,Registro!$B$8:$B$997,Registro!$R$8:$R$997,"N/E",0))</f>
        <v>46272</v>
      </c>
      <c r="F22" s="93">
        <f t="shared" si="0"/>
        <v>22</v>
      </c>
      <c r="G22" s="93"/>
      <c r="H22" s="136"/>
      <c r="K22" s="93" t="s">
        <v>310</v>
      </c>
      <c r="L22" s="93" t="str">
        <f>IF(OR(K22="N/A",K22=""),"",NETWORKDAYS(C22,K22))</f>
        <v/>
      </c>
    </row>
    <row r="23" spans="1:12" s="89" customFormat="1">
      <c r="A23" s="89" t="str">
        <f>IF(Registro!B23="","",Registro!B23)</f>
        <v>6294-PFIN-26</v>
      </c>
      <c r="B23" s="89" t="str">
        <f>IF(Registro!B23="","",Registro!H23)</f>
        <v>Curso 16</v>
      </c>
      <c r="C23" s="137">
        <f>IF(Registro!B23="","",Registro!L23)</f>
        <v>46241.570138888892</v>
      </c>
      <c r="D23" s="89" t="str">
        <f>IF(Registro!B23="","",Registro!M23)</f>
        <v>Gestor 3</v>
      </c>
      <c r="E23" s="136">
        <f>IF(A23="","",_xlfn.XLOOKUP(A23,Registro!$B$8:$B$997,Registro!$R$8:$R$997,"N/E",0))</f>
        <v>46308</v>
      </c>
      <c r="F23" s="93">
        <f t="shared" si="0"/>
        <v>48</v>
      </c>
      <c r="G23" s="93"/>
      <c r="H23" s="136"/>
      <c r="K23" s="149">
        <v>46244</v>
      </c>
      <c r="L23" s="149">
        <v>46245</v>
      </c>
    </row>
    <row r="24" spans="1:12" s="89" customFormat="1" ht="43.2" customHeight="1">
      <c r="A24" s="89" t="str">
        <f>IF(Registro!B24="","",Registro!B24)</f>
        <v>6296-EXTNN-26</v>
      </c>
      <c r="B24" s="89" t="str">
        <f>IF(Registro!B24="","",Registro!H24)</f>
        <v>Curso 17</v>
      </c>
      <c r="C24" s="137">
        <f>IF(Registro!B24="","",Registro!L24)</f>
        <v>46241.615277777782</v>
      </c>
      <c r="D24" s="89" t="str">
        <f>IF(Registro!B24="","",Registro!M24)</f>
        <v>Gestor 3</v>
      </c>
      <c r="E24" s="136">
        <f>IF(A24="","",_xlfn.XLOOKUP(A24,Registro!$B$8:$B$997,Registro!$R$8:$R$997,"N/E",0))</f>
        <v>46246</v>
      </c>
      <c r="F24" s="93">
        <f t="shared" si="0"/>
        <v>4</v>
      </c>
      <c r="G24" s="93"/>
      <c r="H24" s="136"/>
      <c r="K24" s="93" t="s">
        <v>310</v>
      </c>
      <c r="L24" s="93" t="str">
        <f>IF(OR(K24="N/A",K24=""),"",NETWORKDAYS(C24,K24))</f>
        <v/>
      </c>
    </row>
    <row r="25" spans="1:12" s="89" customFormat="1" ht="28.8" customHeight="1">
      <c r="A25" s="89" t="str">
        <f>IF(Registro!B25="","",Registro!B25)</f>
        <v>6297-PFIN-26</v>
      </c>
      <c r="B25" s="89" t="str">
        <f>IF(Registro!B25="","",Registro!H25)</f>
        <v>Curso 18</v>
      </c>
      <c r="C25" s="137">
        <f>IF(Registro!B25="","",Registro!L25)</f>
        <v>46241.615277777782</v>
      </c>
      <c r="D25" s="89" t="str">
        <f>IF(Registro!B25="","",Registro!M25)</f>
        <v>Gestor 1</v>
      </c>
      <c r="E25" s="136">
        <f>IF(A25="","",_xlfn.XLOOKUP(A25,Registro!$B$8:$B$997,Registro!$R$8:$R$997,"N/E",0))</f>
        <v>46300</v>
      </c>
      <c r="F25" s="93">
        <f t="shared" si="0"/>
        <v>42</v>
      </c>
      <c r="G25" s="93"/>
      <c r="H25" s="136"/>
      <c r="K25" s="149">
        <v>46244</v>
      </c>
      <c r="L25" s="149">
        <v>46245</v>
      </c>
    </row>
    <row r="26" spans="1:12" s="89" customFormat="1">
      <c r="A26" s="89" t="str">
        <f>IF(Registro!B26="","",Registro!B26)</f>
        <v>6295-PFIN-26</v>
      </c>
      <c r="B26" s="89" t="str">
        <f>IF(Registro!B26="","",Registro!H26)</f>
        <v>Curso 19</v>
      </c>
      <c r="C26" s="137">
        <f>IF(Registro!B26="","",Registro!L26)</f>
        <v>46282.384027777778</v>
      </c>
      <c r="D26" s="89" t="str">
        <f>IF(Registro!B26="","",Registro!M26)</f>
        <v>Gestor 5</v>
      </c>
      <c r="E26" s="136">
        <f>IF(A26="","",_xlfn.XLOOKUP(A26,Registro!$B$8:$B$997,Registro!$R$8:$R$997,"N/E",0))</f>
        <v>46314</v>
      </c>
      <c r="F26" s="93">
        <f t="shared" si="0"/>
        <v>23</v>
      </c>
      <c r="G26" s="93"/>
      <c r="H26" s="136"/>
      <c r="K26" s="93" t="s">
        <v>310</v>
      </c>
      <c r="L26" s="93" t="str">
        <f>IF(OR(K26="N/A",K26=""),"",NETWORKDAYS(C26,K26))</f>
        <v/>
      </c>
    </row>
    <row r="27" spans="1:12" s="89" customFormat="1">
      <c r="A27" s="89" t="str">
        <f>IF(Registro!B27="","",Registro!B27)</f>
        <v>6298-PFIN-26</v>
      </c>
      <c r="B27" s="89" t="str">
        <f>IF(Registro!B27="","",Registro!H27)</f>
        <v>Curso 20</v>
      </c>
      <c r="C27" s="137">
        <f>IF(Registro!B27="","",Registro!L27)</f>
        <v>46244.48541666667</v>
      </c>
      <c r="D27" s="89" t="str">
        <f>IF(Registro!B27="","",Registro!M27)</f>
        <v>Gestor 4</v>
      </c>
      <c r="E27" s="136">
        <f>IF(A27="","",_xlfn.XLOOKUP(A27,Registro!$B$8:$B$997,Registro!$R$8:$R$997,"N/E",0))</f>
        <v>46287</v>
      </c>
      <c r="F27" s="93">
        <f t="shared" si="0"/>
        <v>32</v>
      </c>
      <c r="G27" s="93"/>
      <c r="H27" s="136"/>
      <c r="K27" s="93" t="s">
        <v>310</v>
      </c>
      <c r="L27" s="93" t="str">
        <f>IF(OR(K27="N/A",K27=""),"",NETWORKDAYS(C27,K27))</f>
        <v/>
      </c>
    </row>
    <row r="28" spans="1:12" s="89" customFormat="1" ht="43.2" customHeight="1">
      <c r="A28" s="89" t="str">
        <f>IF(Registro!B28="","",Registro!B28)</f>
        <v>6299-PFIN-26</v>
      </c>
      <c r="B28" s="89" t="str">
        <f>IF(Registro!B28="","",Registro!H28)</f>
        <v>Curso 21</v>
      </c>
      <c r="C28" s="137">
        <f>IF(Registro!B28="","",Registro!L28)</f>
        <v>46244.482638888891</v>
      </c>
      <c r="D28" s="89" t="str">
        <f>IF(Registro!B28="","",Registro!M28)</f>
        <v>Gestor 2</v>
      </c>
      <c r="E28" s="136">
        <f>IF(A28="","",_xlfn.XLOOKUP(A28,Registro!$B$8:$B$997,Registro!$R$8:$R$997,"N/E",0))</f>
        <v>46310</v>
      </c>
      <c r="F28" s="93">
        <f t="shared" si="0"/>
        <v>49</v>
      </c>
      <c r="G28" s="93"/>
      <c r="H28" s="136"/>
      <c r="K28" s="149">
        <v>46253</v>
      </c>
      <c r="L28" s="149">
        <v>46254</v>
      </c>
    </row>
    <row r="29" spans="1:12" s="89" customFormat="1" ht="28.8" customHeight="1">
      <c r="A29" s="89" t="str">
        <f>IF(Registro!B29="","",Registro!B29)</f>
        <v>6304-PFIN-26</v>
      </c>
      <c r="B29" s="89" t="str">
        <f>IF(Registro!B29="","",Registro!H29)</f>
        <v>Curso 22</v>
      </c>
      <c r="C29" s="137">
        <f>IF(Registro!B29="","",Registro!L29)</f>
        <v>46245.45208333333</v>
      </c>
      <c r="D29" s="89" t="str">
        <f>IF(Registro!B29="","",Registro!M29)</f>
        <v>Gestor 4</v>
      </c>
      <c r="E29" s="136">
        <f>IF(A29="","",_xlfn.XLOOKUP(A29,Registro!$B$8:$B$997,Registro!$R$8:$R$997,"N/E",0))</f>
        <v>46266</v>
      </c>
      <c r="F29" s="93">
        <f t="shared" si="0"/>
        <v>16</v>
      </c>
      <c r="G29" s="93"/>
      <c r="H29" s="136"/>
      <c r="K29" s="93" t="s">
        <v>310</v>
      </c>
      <c r="L29" s="93" t="str">
        <f>IF(OR(K29="N/A",K29=""),"",NETWORKDAYS(C29,K29))</f>
        <v/>
      </c>
    </row>
    <row r="30" spans="1:12" s="89" customFormat="1" ht="28.8" customHeight="1">
      <c r="A30" s="89" t="str">
        <f>IF(Registro!B30="","",Registro!B30)</f>
        <v>6305-PFIN-26</v>
      </c>
      <c r="B30" s="89" t="str">
        <f>IF(Registro!B30="","",Registro!H30)</f>
        <v>Curso 23</v>
      </c>
      <c r="C30" s="137">
        <f>IF(Registro!B30="","",Registro!L30)</f>
        <v>46245.452777777777</v>
      </c>
      <c r="D30" s="89" t="str">
        <f>IF(Registro!B30="","",Registro!M30)</f>
        <v>Gestor 4</v>
      </c>
      <c r="E30" s="136">
        <f>IF(A30="","",_xlfn.XLOOKUP(A30,Registro!$B$8:$B$997,Registro!$R$8:$R$997,"N/E",0))</f>
        <v>46266</v>
      </c>
      <c r="F30" s="93">
        <f t="shared" si="0"/>
        <v>16</v>
      </c>
      <c r="G30" s="93"/>
      <c r="H30" s="136"/>
      <c r="K30" s="93" t="s">
        <v>310</v>
      </c>
      <c r="L30" s="93" t="str">
        <f>IF(OR(K30="N/A",K30=""),"",NETWORKDAYS(C30,K30))</f>
        <v/>
      </c>
    </row>
    <row r="31" spans="1:12" s="89" customFormat="1" ht="28.8" customHeight="1">
      <c r="A31" s="89" t="str">
        <f>IF(Registro!B31="","",Registro!B31)</f>
        <v>6306-PFIN-26</v>
      </c>
      <c r="B31" s="89" t="str">
        <f>IF(Registro!B31="","",Registro!H31)</f>
        <v>Curso 24</v>
      </c>
      <c r="C31" s="137">
        <f>IF(Registro!B31="","",Registro!L31)</f>
        <v>46245.452777777777</v>
      </c>
      <c r="D31" s="89" t="str">
        <f>IF(Registro!B31="","",Registro!M31)</f>
        <v>Gestor 4</v>
      </c>
      <c r="E31" s="136">
        <f>IF(A31="","",_xlfn.XLOOKUP(A31,Registro!$B$8:$B$997,Registro!$R$8:$R$997,"N/E",0))</f>
        <v>46266</v>
      </c>
      <c r="F31" s="93">
        <f t="shared" si="0"/>
        <v>16</v>
      </c>
      <c r="G31" s="93"/>
      <c r="H31" s="136"/>
      <c r="K31" s="93" t="s">
        <v>310</v>
      </c>
      <c r="L31" s="93" t="str">
        <f>IF(OR(K31="N/A",K31=""),"",NETWORKDAYS(C31,K31))</f>
        <v/>
      </c>
    </row>
    <row r="32" spans="1:12" s="89" customFormat="1">
      <c r="A32" s="89" t="str">
        <f>IF(Registro!B32="","",Registro!B32)</f>
        <v>6312-PFIN-26</v>
      </c>
      <c r="B32" s="89" t="str">
        <f>IF(Registro!B32="","",Registro!H32)</f>
        <v>Curso 25</v>
      </c>
      <c r="C32" s="137">
        <f>IF(Registro!B32="","",Registro!L32)</f>
        <v>46251.334027777782</v>
      </c>
      <c r="D32" s="89" t="str">
        <f>IF(Registro!B32="","",Registro!M32)</f>
        <v>Gestor 1</v>
      </c>
      <c r="E32" s="136">
        <f>IF(A32="","",_xlfn.XLOOKUP(A32,Registro!$B$8:$B$997,Registro!$R$8:$R$997,"N/E",0))</f>
        <v>46287</v>
      </c>
      <c r="F32" s="93">
        <f t="shared" si="0"/>
        <v>27</v>
      </c>
      <c r="G32" s="93"/>
      <c r="H32" s="136"/>
      <c r="K32" s="149">
        <v>46251</v>
      </c>
      <c r="L32" s="149">
        <v>46254</v>
      </c>
    </row>
    <row r="33" spans="1:13" s="89" customFormat="1">
      <c r="A33" s="89" t="str">
        <f>IF(Registro!B33="","",Registro!B33)</f>
        <v>6313-PFIN-26</v>
      </c>
      <c r="B33" s="89" t="str">
        <f>IF(Registro!B33="","",Registro!H33)</f>
        <v>Curso 26</v>
      </c>
      <c r="C33" s="137">
        <f>IF(Registro!B33="","",Registro!L33)</f>
        <v>46251.345138888893</v>
      </c>
      <c r="D33" s="89" t="str">
        <f>IF(Registro!B33="","",Registro!M33)</f>
        <v>Gestor 5</v>
      </c>
      <c r="E33" s="136">
        <f>IF(A33="","",_xlfn.XLOOKUP(A33,Registro!$B$8:$B$997,Registro!$R$8:$R$997,"N/E",0))</f>
        <v>46316</v>
      </c>
      <c r="F33" s="93">
        <f t="shared" si="0"/>
        <v>48</v>
      </c>
      <c r="G33" s="93"/>
      <c r="H33" s="136"/>
      <c r="K33" s="149">
        <v>46261</v>
      </c>
      <c r="L33" s="93">
        <f>IF(OR(K33="N/A",K33=""),"",NETWORKDAYS(C33,K33))</f>
        <v>9</v>
      </c>
    </row>
    <row r="34" spans="1:13" s="89" customFormat="1">
      <c r="A34" s="89" t="str">
        <f>IF(Registro!B34="","",Registro!B34)</f>
        <v>6315-PFIN-26</v>
      </c>
      <c r="B34" s="89" t="str">
        <f>IF(Registro!B34="","",Registro!H34)</f>
        <v>Curso 27</v>
      </c>
      <c r="C34" s="137">
        <f>IF(Registro!B34="","",Registro!L34)</f>
        <v>46253.460416666669</v>
      </c>
      <c r="D34" s="89" t="str">
        <f>IF(Registro!B34="","",Registro!M34)</f>
        <v>Gestor 2</v>
      </c>
      <c r="E34" s="136">
        <f>IF(A34="","",_xlfn.XLOOKUP(A34,Registro!$B$8:$B$997,Registro!$R$8:$R$997,"N/E",0))</f>
        <v>46286</v>
      </c>
      <c r="F34" s="93">
        <f t="shared" si="0"/>
        <v>24</v>
      </c>
      <c r="G34" s="93"/>
      <c r="H34" s="136"/>
      <c r="K34" s="149">
        <v>46253</v>
      </c>
      <c r="L34" s="149">
        <v>46254</v>
      </c>
    </row>
    <row r="35" spans="1:13" s="89" customFormat="1" ht="28.8" customHeight="1">
      <c r="A35" s="89" t="str">
        <f>IF(Registro!B35="","",Registro!B35)</f>
        <v>6316-PFIN-26</v>
      </c>
      <c r="B35" s="89" t="str">
        <f>IF(Registro!B35="","",Registro!H35)</f>
        <v>Curso 28</v>
      </c>
      <c r="C35" s="137">
        <f>IF(Registro!B35="","",Registro!L35)</f>
        <v>46253.460416666669</v>
      </c>
      <c r="D35" s="89" t="str">
        <f>IF(Registro!B35="","",Registro!M35)</f>
        <v>Gestor 2</v>
      </c>
      <c r="E35" s="136">
        <f>IF(A35="","",_xlfn.XLOOKUP(A35,Registro!$B$8:$B$997,Registro!$R$8:$R$997,"N/E",0))</f>
        <v>46300</v>
      </c>
      <c r="F35" s="93">
        <f t="shared" si="0"/>
        <v>34</v>
      </c>
      <c r="G35" s="93"/>
      <c r="H35" s="136"/>
      <c r="K35" s="149">
        <v>46253</v>
      </c>
      <c r="L35" s="149">
        <v>46255</v>
      </c>
    </row>
    <row r="36" spans="1:13" s="89" customFormat="1">
      <c r="A36" s="89" t="str">
        <f>IF(Registro!B36="","",Registro!B36)</f>
        <v>6319-PFIN-26</v>
      </c>
      <c r="B36" s="89" t="str">
        <f>IF(Registro!B36="","",Registro!H36)</f>
        <v>Curso 29</v>
      </c>
      <c r="C36" s="137">
        <f>IF(Registro!B36="","",Registro!L36)</f>
        <v>46254.422222222223</v>
      </c>
      <c r="D36" s="89" t="str">
        <f>IF(Registro!B36="","",Registro!M36)</f>
        <v>Gestor 4</v>
      </c>
      <c r="E36" s="136">
        <f>IF(A36="","",_xlfn.XLOOKUP(A36,Registro!$B$8:$B$997,Registro!$R$8:$R$997,"N/E",0))</f>
        <v>46321</v>
      </c>
      <c r="F36" s="93">
        <f t="shared" si="0"/>
        <v>48</v>
      </c>
      <c r="G36" s="93"/>
      <c r="H36" s="136"/>
      <c r="K36" s="149">
        <v>46255</v>
      </c>
      <c r="L36" s="93">
        <f>IF(OR(K36="N/A",K36=""),"",NETWORKDAYS(C36,K36))</f>
        <v>2</v>
      </c>
    </row>
    <row r="37" spans="1:13" s="89" customFormat="1" ht="28.8" customHeight="1">
      <c r="A37" s="89" t="str">
        <f>IF(Registro!B37="","",Registro!B37)</f>
        <v>6320-PFIN-26</v>
      </c>
      <c r="B37" s="89" t="str">
        <f>IF(Registro!B37="","",Registro!H37)</f>
        <v>Curso 30</v>
      </c>
      <c r="C37" s="137">
        <f>IF(Registro!B37="","",Registro!L37)</f>
        <v>46254.604166666657</v>
      </c>
      <c r="D37" s="89" t="str">
        <f>IF(Registro!B37="","",Registro!M37)</f>
        <v>Gestor 1</v>
      </c>
      <c r="E37" s="136">
        <f>IF(A37="","",_xlfn.XLOOKUP(A37,Registro!$B$8:$B$997,Registro!$R$8:$R$997,"N/E",0))</f>
        <v>46329</v>
      </c>
      <c r="F37" s="93">
        <f t="shared" si="0"/>
        <v>54</v>
      </c>
      <c r="G37" s="93"/>
      <c r="H37" s="136"/>
      <c r="K37" s="149">
        <v>46262</v>
      </c>
      <c r="L37" s="93">
        <f>IF(OR(K37="N/A",K37=""),"",NETWORKDAYS(C37,K37))</f>
        <v>7</v>
      </c>
      <c r="M37" s="89" t="s">
        <v>461</v>
      </c>
    </row>
    <row r="38" spans="1:13" s="89" customFormat="1" ht="43.2" customHeight="1">
      <c r="A38" s="89" t="str">
        <f>IF(Registro!B38="","",Registro!B38)</f>
        <v>6321-PFIN-26</v>
      </c>
      <c r="B38" s="89" t="str">
        <f>IF(Registro!B38="","",Registro!H38)</f>
        <v>Curso 31</v>
      </c>
      <c r="C38" s="137">
        <f>IF(Registro!B38="","",Registro!L38)</f>
        <v>46255.309027777781</v>
      </c>
      <c r="D38" s="89" t="str">
        <f>IF(Registro!B38="","",Registro!M38)</f>
        <v>Gestor 1</v>
      </c>
      <c r="E38" s="136">
        <f>IF(A38="","",_xlfn.XLOOKUP(A38,Registro!$B$8:$B$997,Registro!$R$8:$R$997,"N/E",0))</f>
        <v>46349</v>
      </c>
      <c r="F38" s="93">
        <f t="shared" si="0"/>
        <v>67</v>
      </c>
      <c r="G38" s="93"/>
      <c r="H38" s="136"/>
      <c r="K38" s="93"/>
      <c r="L38" s="93" t="str">
        <f>IF(OR(K38="N/A",K38=""),"",NETWORKDAYS(C38,K38))</f>
        <v/>
      </c>
    </row>
    <row r="39" spans="1:13" s="89" customFormat="1">
      <c r="A39" s="89" t="str">
        <f>IF(Registro!B39="","",Registro!B39)</f>
        <v>6322-PFIN-26</v>
      </c>
      <c r="B39" s="89" t="str">
        <f>IF(Registro!B39="","",Registro!H39)</f>
        <v>Curso 32</v>
      </c>
      <c r="C39" s="137">
        <f>IF(Registro!B39="","",Registro!L39)</f>
        <v>46255.309027777781</v>
      </c>
      <c r="D39" s="89" t="str">
        <f>IF(Registro!B39="","",Registro!M39)</f>
        <v>Gestor 4</v>
      </c>
      <c r="E39" s="136">
        <f>IF(A39="","",_xlfn.XLOOKUP(A39,Registro!$B$8:$B$997,Registro!$R$8:$R$997,"N/E",0))</f>
        <v>46353</v>
      </c>
      <c r="F39" s="93">
        <f t="shared" si="0"/>
        <v>71</v>
      </c>
      <c r="G39" s="93"/>
      <c r="H39" s="136"/>
      <c r="K39" s="149">
        <v>46258</v>
      </c>
      <c r="L39" s="149">
        <v>46267</v>
      </c>
    </row>
    <row r="40" spans="1:13" s="89" customFormat="1" ht="28.8" customHeight="1">
      <c r="A40" s="89" t="str">
        <f>IF(Registro!B40="","",Registro!B40)</f>
        <v>6333-PFIN-26</v>
      </c>
      <c r="B40" s="89" t="str">
        <f>IF(Registro!B40="","",Registro!H40)</f>
        <v>Curso 33</v>
      </c>
      <c r="C40" s="137">
        <f>IF(Registro!B40="","",Registro!L40)</f>
        <v>46260.297222222223</v>
      </c>
      <c r="D40" s="89" t="str">
        <f>IF(Registro!B40="","",Registro!M40)</f>
        <v>Gestor 1</v>
      </c>
      <c r="E40" s="136">
        <f>IF(A40="","",_xlfn.XLOOKUP(A40,Registro!$B$8:$B$997,Registro!$R$8:$R$997,"N/E",0))</f>
        <v>46293</v>
      </c>
      <c r="F40" s="93">
        <f t="shared" si="0"/>
        <v>24</v>
      </c>
      <c r="G40" s="93"/>
      <c r="H40" s="136"/>
      <c r="K40" s="93"/>
      <c r="L40" s="93" t="str">
        <f>IF(OR(K40="N/A",K40=""),"",NETWORKDAYS(C40,K40))</f>
        <v/>
      </c>
    </row>
    <row r="41" spans="1:13" s="89" customFormat="1" ht="28.8" customHeight="1">
      <c r="A41" s="89" t="str">
        <f>IF(Registro!B41="","",Registro!B41)</f>
        <v>6340-PFIN-26</v>
      </c>
      <c r="B41" s="89" t="str">
        <f>IF(Registro!B41="","",Registro!H41)</f>
        <v>Curso 34</v>
      </c>
      <c r="C41" s="137">
        <f>IF(Registro!B41="","",Registro!L41)</f>
        <v>46261.456944444442</v>
      </c>
      <c r="D41" s="89" t="str">
        <f>IF(Registro!B41="","",Registro!M41)</f>
        <v>Gestor 3</v>
      </c>
      <c r="E41" s="136">
        <f>IF(A41="","",_xlfn.XLOOKUP(A41,Registro!$B$8:$B$997,Registro!$R$8:$R$997,"N/E",0))</f>
        <v>46308</v>
      </c>
      <c r="F41" s="93">
        <f t="shared" si="0"/>
        <v>34</v>
      </c>
      <c r="G41" s="93"/>
      <c r="H41" s="136"/>
      <c r="K41" s="93" t="s">
        <v>310</v>
      </c>
      <c r="L41" s="93" t="str">
        <f>IF(OR(K41="N/A",K41=""),"",NETWORKDAYS(C41,K41))</f>
        <v/>
      </c>
    </row>
    <row r="42" spans="1:13" s="89" customFormat="1" ht="28.8" customHeight="1">
      <c r="A42" s="89" t="str">
        <f>IF(Registro!B42="","",Registro!B42)</f>
        <v>6341-PFIN-26</v>
      </c>
      <c r="B42" s="89" t="str">
        <f>IF(Registro!B42="","",Registro!H42)</f>
        <v>Curso 35</v>
      </c>
      <c r="C42" s="137">
        <f>IF(Registro!B42="","",Registro!L42)</f>
        <v>46261.456944444442</v>
      </c>
      <c r="D42" s="89" t="str">
        <f>IF(Registro!B42="","",Registro!M42)</f>
        <v>Gestor 2</v>
      </c>
      <c r="E42" s="136">
        <f>IF(A42="","",_xlfn.XLOOKUP(A42,Registro!$B$8:$B$997,Registro!$R$8:$R$997,"N/E",0))</f>
        <v>46316</v>
      </c>
      <c r="F42" s="93">
        <f t="shared" si="0"/>
        <v>40</v>
      </c>
      <c r="G42" s="93"/>
      <c r="H42" s="136"/>
      <c r="K42" s="93"/>
      <c r="L42" s="93" t="str">
        <f>IF(OR(K42="N/A",K42=""),"",NETWORKDAYS(C42,K42))</f>
        <v/>
      </c>
    </row>
    <row r="43" spans="1:13" s="89" customFormat="1">
      <c r="A43" s="89" t="str">
        <f>IF(Registro!B43="","",Registro!B43)</f>
        <v>6342-PFIN-26</v>
      </c>
      <c r="B43" s="89" t="str">
        <f>IF(Registro!B43="","",Registro!H43)</f>
        <v>Curso 36</v>
      </c>
      <c r="C43" s="137">
        <f>IF(Registro!B43="","",Registro!L43)</f>
        <v>46261.457638888889</v>
      </c>
      <c r="D43" s="89" t="str">
        <f>IF(Registro!B43="","",Registro!M43)</f>
        <v>Gestor 4</v>
      </c>
      <c r="E43" s="136">
        <f>IF(A43="","",_xlfn.XLOOKUP(A43,Registro!$B$8:$B$997,Registro!$R$8:$R$997,"N/E",0))</f>
        <v>46331</v>
      </c>
      <c r="F43" s="93">
        <f t="shared" si="0"/>
        <v>51</v>
      </c>
      <c r="G43" s="93"/>
      <c r="H43" s="136"/>
      <c r="K43" s="93" t="s">
        <v>310</v>
      </c>
      <c r="L43" s="93" t="str">
        <f>IF(OR(K43="N/A",K43=""),"",NETWORKDAYS(C43,K43))</f>
        <v/>
      </c>
    </row>
    <row r="44" spans="1:13" s="89" customFormat="1" ht="28.8" customHeight="1">
      <c r="A44" s="89" t="str">
        <f>IF(Registro!B44="","",Registro!B44)</f>
        <v>6347-PFIN-26</v>
      </c>
      <c r="B44" s="89" t="str">
        <f>IF(Registro!B44="","",Registro!H44)</f>
        <v>Curso 37</v>
      </c>
      <c r="C44" s="137">
        <f>IF(Registro!B44="","",Registro!L44)</f>
        <v>46262.566666666673</v>
      </c>
      <c r="D44" s="89" t="str">
        <f>IF(Registro!B44="","",Registro!M44)</f>
        <v>Gestor 3</v>
      </c>
      <c r="E44" s="136">
        <f>IF(A44="","",_xlfn.XLOOKUP(A44,Registro!$B$8:$B$997,Registro!$R$8:$R$997,"N/E",0))</f>
        <v>46266</v>
      </c>
      <c r="F44" s="93">
        <f t="shared" si="0"/>
        <v>3</v>
      </c>
      <c r="G44" s="93"/>
      <c r="H44" s="136"/>
      <c r="K44" s="93" t="s">
        <v>310</v>
      </c>
      <c r="L44" s="93" t="str">
        <f>IF(OR(K44="N/A",K44=""),"",NETWORKDAYS(C44,K44))</f>
        <v/>
      </c>
    </row>
    <row r="45" spans="1:13" s="89" customFormat="1">
      <c r="A45" s="89" t="str">
        <f>IF(Registro!B45="","",Registro!B45)</f>
        <v>6346-PFIN-26</v>
      </c>
      <c r="B45" s="89" t="str">
        <f>IF(Registro!B45="","",Registro!H45)</f>
        <v>Curso 38</v>
      </c>
      <c r="C45" s="137">
        <f>IF(Registro!B45="","",Registro!L45)</f>
        <v>46265.395138888889</v>
      </c>
      <c r="D45" s="89" t="str">
        <f>IF(Registro!B45="","",Registro!M45)</f>
        <v>Gestor 2</v>
      </c>
      <c r="E45" s="136">
        <f>IF(A45="","",_xlfn.XLOOKUP(A45,Registro!$B$8:$B$997,Registro!$R$8:$R$997,"N/E",0))</f>
        <v>46289</v>
      </c>
      <c r="F45" s="93">
        <f t="shared" si="0"/>
        <v>19</v>
      </c>
      <c r="G45" s="93"/>
      <c r="H45" s="136"/>
      <c r="K45" s="149">
        <v>46265</v>
      </c>
      <c r="L45" s="149">
        <v>46267</v>
      </c>
    </row>
    <row r="46" spans="1:13" s="89" customFormat="1" ht="28.8" customHeight="1">
      <c r="A46" s="89" t="str">
        <f>IF(Registro!B46="","",Registro!B46)</f>
        <v>6348-PFIN-26</v>
      </c>
      <c r="B46" s="89" t="str">
        <f>IF(Registro!B46="","",Registro!H46)</f>
        <v>Curso 39</v>
      </c>
      <c r="C46" s="137">
        <f>IF(Registro!B46="","",Registro!L46)</f>
        <v>46265.418055555558</v>
      </c>
      <c r="D46" s="89" t="str">
        <f>IF(Registro!B46="","",Registro!M46)</f>
        <v>Gestor 5</v>
      </c>
      <c r="E46" s="136">
        <f>IF(A46="","",_xlfn.XLOOKUP(A46,Registro!$B$8:$B$997,Registro!$R$8:$R$997,"N/E",0))</f>
        <v>46304</v>
      </c>
      <c r="F46" s="93">
        <f t="shared" si="0"/>
        <v>30</v>
      </c>
      <c r="G46" s="93"/>
      <c r="H46" s="136"/>
      <c r="K46" s="93"/>
      <c r="L46" s="93" t="str">
        <f>IF(OR(K46="N/A",K46=""),"",NETWORKDAYS(C46,K46))</f>
        <v/>
      </c>
    </row>
    <row r="47" spans="1:13" s="89" customFormat="1" ht="28.8" customHeight="1">
      <c r="A47" s="89" t="str">
        <f>IF(Registro!B47="","",Registro!B47)</f>
        <v>6285-PFIN-26</v>
      </c>
      <c r="B47" s="89" t="str">
        <f>IF(Registro!B47="","",Registro!H47)</f>
        <v>Curso 40</v>
      </c>
      <c r="C47" s="137">
        <f>IF(Registro!B47="","",Registro!L47)</f>
        <v>46238.579861111109</v>
      </c>
      <c r="D47" s="89" t="str">
        <f>IF(Registro!B47="","",Registro!M47)</f>
        <v>Gestor 5</v>
      </c>
      <c r="E47" s="136">
        <f>IF(A47="","",_xlfn.XLOOKUP(A47,Registro!$B$8:$B$997,Registro!$R$8:$R$997,"N/E",0))</f>
        <v>46286</v>
      </c>
      <c r="F47" s="93">
        <f t="shared" si="0"/>
        <v>35</v>
      </c>
      <c r="G47" s="93"/>
      <c r="H47" s="136"/>
      <c r="K47" s="149">
        <v>46261</v>
      </c>
      <c r="L47" s="149">
        <v>46266</v>
      </c>
    </row>
    <row r="48" spans="1:13" s="89" customFormat="1">
      <c r="A48" s="89" t="str">
        <f>IF(Registro!B48="","",Registro!B48)</f>
        <v>6357-PFIN-26</v>
      </c>
      <c r="B48" s="89" t="str">
        <f>IF(Registro!B48="","",Registro!H48)</f>
        <v>Curso 41</v>
      </c>
      <c r="C48" s="137">
        <f>IF(Registro!B48="","",Registro!L48)</f>
        <v>46269.451388888891</v>
      </c>
      <c r="D48" s="89" t="str">
        <f>IF(Registro!B48="","",Registro!M48)</f>
        <v>Gestor 5</v>
      </c>
      <c r="E48" s="136">
        <f>IF(A48="","",_xlfn.XLOOKUP(A48,Registro!$B$8:$B$997,Registro!$R$8:$R$997,"N/E",0))</f>
        <v>46286</v>
      </c>
      <c r="F48" s="93">
        <f t="shared" si="0"/>
        <v>12</v>
      </c>
      <c r="G48" s="93"/>
      <c r="H48" s="136"/>
      <c r="K48" s="93"/>
      <c r="L48" s="93" t="str">
        <f t="shared" ref="L48:L58" si="1">IF(OR(K48="N/A",K48=""),"",NETWORKDAYS(C48,K48))</f>
        <v/>
      </c>
    </row>
    <row r="49" spans="1:14" s="89" customFormat="1" ht="28.8" customHeight="1">
      <c r="A49" s="89" t="str">
        <f>IF(Registro!B49="","",Registro!B49)</f>
        <v>5792-PFAN-26</v>
      </c>
      <c r="B49" s="89" t="str">
        <f>IF(Registro!B49="","",Registro!H49)</f>
        <v>Curso 42</v>
      </c>
      <c r="C49" s="137">
        <f>IF(Registro!B49="","",Registro!L49)</f>
        <v>46006</v>
      </c>
      <c r="D49" s="89" t="str">
        <f>IF(Registro!B49="","",Registro!M49)</f>
        <v>Gestor 1</v>
      </c>
      <c r="E49" s="136">
        <v>46118</v>
      </c>
      <c r="F49" s="93">
        <f t="shared" si="0"/>
        <v>81</v>
      </c>
      <c r="G49" s="93"/>
      <c r="H49" s="136"/>
      <c r="K49" s="93"/>
      <c r="L49" s="93" t="str">
        <f t="shared" si="1"/>
        <v/>
      </c>
    </row>
    <row r="50" spans="1:14" s="89" customFormat="1" ht="28.8" customHeight="1">
      <c r="A50" s="18" t="s">
        <v>242</v>
      </c>
      <c r="B50" s="25" t="s">
        <v>244</v>
      </c>
      <c r="C50" s="137">
        <f>IF(Registro!B50="","",Registro!L50)</f>
        <v>46371</v>
      </c>
      <c r="D50" s="89" t="str">
        <f>IF(Registro!B50="","",Registro!M50)</f>
        <v>Gestor 1</v>
      </c>
      <c r="E50" s="136">
        <v>46252</v>
      </c>
      <c r="F50" s="93">
        <f t="shared" si="0"/>
        <v>-86</v>
      </c>
      <c r="G50" s="93"/>
      <c r="H50" s="136"/>
      <c r="K50" s="93"/>
      <c r="L50" s="93" t="str">
        <f t="shared" si="1"/>
        <v/>
      </c>
    </row>
    <row r="51" spans="1:14" s="89" customFormat="1" ht="46.5" customHeight="1">
      <c r="A51" s="89" t="str">
        <f>IF(Registro!B51="","",Registro!B51)</f>
        <v>5794-PFAN-26</v>
      </c>
      <c r="B51" s="89" t="str">
        <f>IF(Registro!B51="","",Registro!H51)</f>
        <v>Curso 44</v>
      </c>
      <c r="C51" s="137">
        <f>IF(Registro!B51="","",Registro!L51)</f>
        <v>46006</v>
      </c>
      <c r="D51" s="89" t="str">
        <f>IF(Registro!B51="","",Registro!M51)</f>
        <v>Gestor 1</v>
      </c>
      <c r="E51" s="136">
        <f>IF(A51="","",_xlfn.XLOOKUP(A51,Registro!$B$8:$B$997,Registro!$R$8:$R$997,"N/E",0))</f>
        <v>0</v>
      </c>
      <c r="F51" s="93">
        <f t="shared" si="0"/>
        <v>-32861</v>
      </c>
      <c r="G51" s="93"/>
      <c r="H51" s="136"/>
      <c r="K51" s="93"/>
      <c r="L51" s="93" t="str">
        <f t="shared" si="1"/>
        <v/>
      </c>
    </row>
    <row r="52" spans="1:14" s="89" customFormat="1" ht="44.25" customHeight="1">
      <c r="A52" s="89" t="str">
        <f>IF(Registro!B52="","",Registro!B52)</f>
        <v>5795-PFAN-26</v>
      </c>
      <c r="B52" s="89" t="str">
        <f>IF(Registro!B52="","",Registro!H52)</f>
        <v>Curso 45</v>
      </c>
      <c r="C52" s="137">
        <f>IF(Registro!B52="","",Registro!L52)</f>
        <v>46006.657638888893</v>
      </c>
      <c r="D52" s="89" t="str">
        <f>IF(Registro!B52="","",Registro!M52)</f>
        <v>Gestor 1</v>
      </c>
      <c r="E52" s="136">
        <f>IF(A52="","",_xlfn.XLOOKUP(A52,Registro!$B$8:$B$997,Registro!$R$8:$R$997,"N/E",0))</f>
        <v>0</v>
      </c>
      <c r="F52" s="93">
        <f t="shared" si="0"/>
        <v>-32861</v>
      </c>
      <c r="G52" s="93"/>
      <c r="H52" s="136"/>
      <c r="K52" s="93"/>
      <c r="L52" s="93" t="str">
        <f t="shared" si="1"/>
        <v/>
      </c>
    </row>
    <row r="53" spans="1:14" s="89" customFormat="1" ht="25.5" customHeight="1">
      <c r="A53" s="89" t="str">
        <f>IF(Registro!B53="","",Registro!B53)</f>
        <v>5796-PFAN-26</v>
      </c>
      <c r="B53" s="89" t="str">
        <f>IF(Registro!B53="","",Registro!H53)</f>
        <v>Curso 46</v>
      </c>
      <c r="C53" s="137">
        <f>IF(Registro!B53="","",Registro!L53)</f>
        <v>46006.477777777778</v>
      </c>
      <c r="D53" s="89" t="str">
        <f>IF(Registro!B53="","",Registro!M53)</f>
        <v>Gestor 1</v>
      </c>
      <c r="E53" s="136">
        <f>IF(A53="","",_xlfn.XLOOKUP(A53,Registro!$B$8:$B$997,Registro!$R$8:$R$997,"N/E",0))</f>
        <v>0</v>
      </c>
      <c r="F53" s="93">
        <f t="shared" si="0"/>
        <v>-32861</v>
      </c>
      <c r="G53" s="93"/>
      <c r="H53" s="136"/>
      <c r="K53" s="93"/>
      <c r="L53" s="93" t="str">
        <f t="shared" si="1"/>
        <v/>
      </c>
    </row>
    <row r="54" spans="1:14" s="89" customFormat="1" ht="28.8" customHeight="1">
      <c r="A54" s="89" t="str">
        <f>IF(Registro!B54="","",Registro!B54)</f>
        <v>5797-PFAN-26</v>
      </c>
      <c r="B54" s="89" t="str">
        <f>IF(Registro!B54="","",Registro!H54)</f>
        <v>Curso 47</v>
      </c>
      <c r="C54" s="137">
        <f>IF(Registro!B54="","",Registro!L54)</f>
        <v>46006.65902777778</v>
      </c>
      <c r="D54" s="89" t="str">
        <f>IF(Registro!B54="","",Registro!M54)</f>
        <v>Gestor 1</v>
      </c>
      <c r="E54" s="136">
        <f>IF(A54="","",_xlfn.XLOOKUP(A54,Registro!$B$8:$B$997,Registro!$R$8:$R$997,"N/E",0))</f>
        <v>0</v>
      </c>
      <c r="F54" s="93">
        <f t="shared" si="0"/>
        <v>-32861</v>
      </c>
      <c r="G54" s="93"/>
      <c r="H54" s="136"/>
      <c r="K54" s="93"/>
      <c r="L54" s="93" t="str">
        <f t="shared" si="1"/>
        <v/>
      </c>
    </row>
    <row r="55" spans="1:14" s="89" customFormat="1" ht="28.8" customHeight="1">
      <c r="A55" s="89" t="str">
        <f>IF(Registro!B55="","",Registro!B55)</f>
        <v>5808-PFAN-26</v>
      </c>
      <c r="B55" s="89" t="str">
        <f>IF(Registro!B55="","",Registro!H55)</f>
        <v>Curso 48</v>
      </c>
      <c r="C55" s="137">
        <f>IF(Registro!B55="","",Registro!L55)</f>
        <v>46021.614583333343</v>
      </c>
      <c r="D55" s="89" t="str">
        <f>IF(Registro!B55="","",Registro!M55)</f>
        <v>Gestor 1</v>
      </c>
      <c r="E55" s="136">
        <f>IF(A55="","",_xlfn.XLOOKUP(A55,Registro!$B$8:$B$997,Registro!$R$8:$R$997,"N/E",0))</f>
        <v>46090</v>
      </c>
      <c r="F55" s="93">
        <f t="shared" si="0"/>
        <v>50</v>
      </c>
      <c r="G55" s="93"/>
      <c r="H55" s="136"/>
      <c r="K55" s="93"/>
      <c r="L55" s="93" t="str">
        <f t="shared" si="1"/>
        <v/>
      </c>
    </row>
    <row r="56" spans="1:14" s="89" customFormat="1">
      <c r="A56" s="89" t="str">
        <f>IF(Registro!B56="","",Registro!B56)</f>
        <v>5809-PFAN-26</v>
      </c>
      <c r="B56" s="89" t="str">
        <f>IF(Registro!B56="","",Registro!H56)</f>
        <v>Curso 49</v>
      </c>
      <c r="C56" s="137">
        <f>IF(Registro!B56="","",Registro!L56)</f>
        <v>46021.61041666667</v>
      </c>
      <c r="D56" s="89" t="str">
        <f>IF(Registro!B56="","",Registro!M56)</f>
        <v>Gestor 1</v>
      </c>
      <c r="E56" s="136">
        <f>IF(A56="","",_xlfn.XLOOKUP(A56,Registro!$B$8:$B$997,Registro!$R$8:$R$997,"N/E",0))</f>
        <v>46188</v>
      </c>
      <c r="F56" s="93">
        <f t="shared" si="0"/>
        <v>120</v>
      </c>
      <c r="G56" s="93"/>
      <c r="H56" s="136"/>
      <c r="K56" s="93"/>
      <c r="L56" s="93" t="str">
        <f t="shared" si="1"/>
        <v/>
      </c>
    </row>
    <row r="57" spans="1:14" s="89" customFormat="1" ht="28.8" customHeight="1">
      <c r="A57" s="89" t="str">
        <f>IF(Registro!B57="","",Registro!B57)</f>
        <v>5810-PFAN-26</v>
      </c>
      <c r="B57" s="89" t="str">
        <f>IF(Registro!B57="","",Registro!H57)</f>
        <v>Curso 50</v>
      </c>
      <c r="C57" s="137">
        <f>IF(Registro!B57="","",Registro!L57)</f>
        <v>46021.611111111109</v>
      </c>
      <c r="D57" s="89" t="str">
        <f>IF(Registro!B57="","",Registro!M57)</f>
        <v>Gestor 1</v>
      </c>
      <c r="E57" s="136">
        <f>IF(A57="","",_xlfn.XLOOKUP(A57,Registro!$B$8:$B$997,Registro!$R$8:$R$997,"N/E",0))</f>
        <v>46223</v>
      </c>
      <c r="F57" s="93">
        <f t="shared" si="0"/>
        <v>145</v>
      </c>
      <c r="G57" s="93"/>
      <c r="H57" s="136"/>
      <c r="K57" s="93"/>
      <c r="L57" s="93" t="str">
        <f t="shared" si="1"/>
        <v/>
      </c>
      <c r="N57" s="136">
        <v>46155</v>
      </c>
    </row>
    <row r="58" spans="1:14" s="89" customFormat="1">
      <c r="A58" s="89" t="str">
        <f>IF(Registro!B58="","",Registro!B58)</f>
        <v>5811-PFAN-26</v>
      </c>
      <c r="B58" s="89" t="str">
        <f>IF(Registro!B58="","",Registro!H58)</f>
        <v>Curso 51</v>
      </c>
      <c r="C58" s="137">
        <v>46021.614583333343</v>
      </c>
      <c r="D58" s="89" t="str">
        <f>IF(Registro!B58="","",Registro!M58)</f>
        <v>Gestor 1</v>
      </c>
      <c r="E58" s="136">
        <f>IF(A58="","",_xlfn.XLOOKUP(A58,Registro!$B$8:$B$997,Registro!$R$8:$R$997,"N/E",0))</f>
        <v>46296</v>
      </c>
      <c r="F58" s="93">
        <f t="shared" si="0"/>
        <v>198</v>
      </c>
      <c r="G58" s="93"/>
      <c r="K58" s="93"/>
      <c r="L58" s="93" t="str">
        <f t="shared" si="1"/>
        <v/>
      </c>
    </row>
    <row r="59" spans="1:14" s="89" customFormat="1">
      <c r="A59" s="89" t="str">
        <f>IF(Registro!B59="","",Registro!B59)</f>
        <v>5814-PFAN-26</v>
      </c>
      <c r="B59" s="89" t="str">
        <f>IF(Registro!B59="","",Registro!H59)</f>
        <v>Curso 52</v>
      </c>
      <c r="C59" s="137">
        <f>IF(Registro!B59="","",Registro!L59)</f>
        <v>46029.399305555547</v>
      </c>
      <c r="D59" s="89" t="str">
        <f>IF(Registro!B59="","",Registro!M59)</f>
        <v>Gestor 5</v>
      </c>
      <c r="E59" s="136">
        <f>IF(A59="","",_xlfn.XLOOKUP(A59,Registro!$B$8:$B$997,Registro!$R$8:$R$997,"N/E",0))</f>
        <v>46044</v>
      </c>
      <c r="F59" s="93">
        <f t="shared" si="0"/>
        <v>12</v>
      </c>
      <c r="G59" s="93">
        <v>2</v>
      </c>
      <c r="H59" s="136"/>
      <c r="K59" s="149">
        <v>46029</v>
      </c>
      <c r="L59" s="149">
        <v>46034</v>
      </c>
      <c r="N59" s="136">
        <v>46042</v>
      </c>
    </row>
    <row r="60" spans="1:14" s="89" customFormat="1">
      <c r="A60" s="89" t="str">
        <f>IF(Registro!B60="","",Registro!B60)</f>
        <v>5817-PFAN-26</v>
      </c>
      <c r="B60" s="89" t="str">
        <f>IF(Registro!B60="","",Registro!H60)</f>
        <v>Curso 53</v>
      </c>
      <c r="C60" s="137">
        <f>IF(Registro!B60="","",Registro!L60)</f>
        <v>46027.663888888892</v>
      </c>
      <c r="D60" s="89" t="str">
        <f>IF(Registro!B60="","",Registro!M60)</f>
        <v>Gestor 2</v>
      </c>
      <c r="E60" s="136">
        <f>IF(A60="","",_xlfn.XLOOKUP(A60,Registro!$B$8:$B$997,Registro!$R$8:$R$997,"N/E",0))</f>
        <v>46160</v>
      </c>
      <c r="F60" s="93">
        <f t="shared" si="0"/>
        <v>96</v>
      </c>
      <c r="G60" s="93"/>
      <c r="H60" s="136"/>
      <c r="K60" s="149"/>
      <c r="L60" s="149"/>
      <c r="N60" s="136">
        <v>46036</v>
      </c>
    </row>
    <row r="61" spans="1:14" s="89" customFormat="1">
      <c r="A61" s="89" t="str">
        <f>IF(Registro!B61="","",Registro!B61)</f>
        <v>5818-PFAN-26</v>
      </c>
      <c r="B61" s="89" t="str">
        <f>IF(Registro!B61="","",Registro!H61)</f>
        <v>Curso 54</v>
      </c>
      <c r="C61" s="137">
        <f>IF(Registro!B61="","",Registro!L61)</f>
        <v>46028.337500000001</v>
      </c>
      <c r="D61" s="89" t="str">
        <f>IF(Registro!B61="","",Registro!M61)</f>
        <v>Gestor 2</v>
      </c>
      <c r="E61" s="136">
        <f>IF(A61="","",_xlfn.XLOOKUP(A61,Registro!$B$8:$B$997,Registro!$R$8:$R$997,"N/E",0))</f>
        <v>46162</v>
      </c>
      <c r="F61" s="93">
        <f t="shared" si="0"/>
        <v>97</v>
      </c>
      <c r="G61" s="93">
        <v>2</v>
      </c>
      <c r="H61" s="136"/>
    </row>
    <row r="62" spans="1:14" s="89" customFormat="1">
      <c r="A62" s="18" t="s">
        <v>274</v>
      </c>
      <c r="B62" s="89" t="s">
        <v>276</v>
      </c>
      <c r="C62" s="137">
        <f>IF(Registro!B62="","",Registro!L62)</f>
        <v>46031.49722222222</v>
      </c>
      <c r="D62" s="89" t="str">
        <f>IF(Registro!B62="","",Registro!M62)</f>
        <v>Gestor 1</v>
      </c>
      <c r="E62" s="136">
        <f>IF(A62="","",_xlfn.XLOOKUP(A62,Registro!$B$8:$B$997,Registro!$R$8:$R$997,"N/E",0))</f>
        <v>46042</v>
      </c>
      <c r="F62" s="93">
        <f t="shared" si="0"/>
        <v>8</v>
      </c>
      <c r="G62" s="93"/>
      <c r="H62" s="136"/>
      <c r="K62" s="149">
        <v>46031</v>
      </c>
      <c r="L62" s="149">
        <v>46034</v>
      </c>
      <c r="N62" s="136">
        <v>46038</v>
      </c>
    </row>
    <row r="63" spans="1:14" s="89" customFormat="1" ht="28.8" customHeight="1">
      <c r="A63" s="89" t="str">
        <f>IF(Registro!B63="","",Registro!B63)</f>
        <v>6360-PFIN-26</v>
      </c>
      <c r="B63" s="89" t="str">
        <f>IF(Registro!B63="","",Registro!H63)</f>
        <v>Curso 56</v>
      </c>
      <c r="C63" s="137">
        <f>IF(Registro!B63="","",Registro!L63)</f>
        <v>46272.457638888889</v>
      </c>
      <c r="D63" s="89" t="str">
        <f>IF(Registro!B63="","",Registro!M63)</f>
        <v>Gestor 2</v>
      </c>
      <c r="E63" s="136">
        <f>IF(A63="","",_xlfn.XLOOKUP(A63,Registro!$B$8:$B$997,Registro!$R$8:$R$997,"N/E",0))</f>
        <v>46310</v>
      </c>
      <c r="F63" s="93">
        <f t="shared" si="0"/>
        <v>29</v>
      </c>
      <c r="G63" s="93"/>
      <c r="H63" s="136"/>
      <c r="K63" s="93"/>
      <c r="L63" s="93" t="str">
        <f>IF(OR(K63="N/A",K63=""),"",NETWORKDAYS(C63,K63))</f>
        <v/>
      </c>
    </row>
    <row r="64" spans="1:14" s="89" customFormat="1">
      <c r="A64" s="89" t="str">
        <f>IF(Registro!B64="","",Registro!B64)</f>
        <v>5836-PFAN-26</v>
      </c>
      <c r="B64" s="89" t="str">
        <f>IF(Registro!B64="","",Registro!H64)</f>
        <v>Curso 57</v>
      </c>
      <c r="C64" s="137">
        <f>IF(Registro!B64="","",Registro!L64)</f>
        <v>46194.591666666667</v>
      </c>
      <c r="D64" s="89" t="str">
        <f>IF(Registro!B64="","",Registro!M64)</f>
        <v>Gestor 5</v>
      </c>
      <c r="E64" s="136">
        <f>IF(A64="","",_xlfn.XLOOKUP(A64,Registro!$B$8:$B$997,Registro!$R$8:$R$997,"N/E",0))</f>
        <v>46057</v>
      </c>
      <c r="F64" s="93">
        <f t="shared" si="0"/>
        <v>-98</v>
      </c>
      <c r="G64" s="93">
        <v>2</v>
      </c>
      <c r="H64" s="136"/>
      <c r="K64" s="149">
        <v>46044</v>
      </c>
      <c r="L64" s="149">
        <v>46044</v>
      </c>
      <c r="N64" s="136">
        <v>46055</v>
      </c>
    </row>
    <row r="65" spans="1:14" s="89" customFormat="1" ht="28.8" customHeight="1">
      <c r="A65" s="89" t="str">
        <f>IF(Registro!B65="","",Registro!B65)</f>
        <v>6359-PFIN-26</v>
      </c>
      <c r="B65" s="89" t="str">
        <f>IF(Registro!B65="","",Registro!H65)</f>
        <v>Curso 58</v>
      </c>
      <c r="C65" s="137">
        <f>IF(Registro!B65="","",Registro!L65)</f>
        <v>46272.457638888889</v>
      </c>
      <c r="D65" s="89" t="str">
        <f>IF(Registro!B65="","",Registro!M65)</f>
        <v>Gestor 2</v>
      </c>
      <c r="E65" s="136">
        <f>IF(A65="","",_xlfn.XLOOKUP(A65,Registro!$B$8:$B$997,Registro!$R$8:$R$997,"N/E",0))</f>
        <v>46329</v>
      </c>
      <c r="F65" s="93">
        <f t="shared" si="0"/>
        <v>42</v>
      </c>
      <c r="G65" s="93"/>
      <c r="H65" s="136"/>
      <c r="K65" s="93"/>
      <c r="L65" s="93" t="str">
        <f>IF(OR(K65="N/A",K65=""),"",NETWORKDAYS(C65,K65))</f>
        <v/>
      </c>
    </row>
    <row r="66" spans="1:14" s="89" customFormat="1" ht="28.8" customHeight="1">
      <c r="A66" s="89" t="str">
        <f>IF(Registro!B66="","",Registro!B66)</f>
        <v>5837-PFAN-26</v>
      </c>
      <c r="B66" s="89" t="str">
        <f>IF(Registro!B66="","",Registro!H66)</f>
        <v>Curso 59</v>
      </c>
      <c r="C66" s="137">
        <f>IF(Registro!B66="","",Registro!L66)</f>
        <v>46043.428472222222</v>
      </c>
      <c r="D66" s="89" t="str">
        <f>IF(Registro!B66="","",Registro!M66)</f>
        <v>Gestor 2</v>
      </c>
      <c r="E66" s="136">
        <f>IF(A66="","",_xlfn.XLOOKUP(A66,Registro!$B$8:$B$997,Registro!$R$8:$R$997,"N/E",0))</f>
        <v>46092</v>
      </c>
      <c r="F66" s="93">
        <f t="shared" si="0"/>
        <v>36</v>
      </c>
      <c r="G66" s="93"/>
      <c r="H66" s="136"/>
      <c r="K66" s="149">
        <v>46059</v>
      </c>
      <c r="L66" s="149">
        <v>46063</v>
      </c>
      <c r="N66" s="136">
        <v>46090</v>
      </c>
    </row>
    <row r="67" spans="1:14" s="89" customFormat="1">
      <c r="A67" s="89" t="str">
        <f>IF(Registro!B67="","",Registro!B67)</f>
        <v>5829-PFAN-26</v>
      </c>
      <c r="B67" s="89" t="str">
        <f>IF(Registro!B67="","",Registro!H67)</f>
        <v>Curso 60</v>
      </c>
      <c r="C67" s="137">
        <v>46043.460416666669</v>
      </c>
      <c r="D67" s="89" t="str">
        <f>IF(Registro!B67="","",Registro!M67)</f>
        <v>Gestor 3</v>
      </c>
      <c r="E67" s="136">
        <f>IF(A67="","",_xlfn.XLOOKUP(A67,Registro!$B$8:$B$997,Registro!$R$8:$R$997,"N/E",0))</f>
        <v>46097</v>
      </c>
      <c r="F67" s="93">
        <f t="shared" si="0"/>
        <v>39</v>
      </c>
      <c r="G67" s="93"/>
      <c r="H67" s="136"/>
      <c r="K67" s="149">
        <v>46072</v>
      </c>
      <c r="L67" s="149">
        <v>46072</v>
      </c>
      <c r="N67" s="136">
        <v>46121</v>
      </c>
    </row>
    <row r="68" spans="1:14" s="89" customFormat="1">
      <c r="A68" s="89" t="str">
        <f>IF(Registro!B68="","",Registro!B68)</f>
        <v>5838-PFAN-26</v>
      </c>
      <c r="B68" s="89" t="str">
        <f>IF(Registro!B68="","",Registro!H68)</f>
        <v>Curso 61</v>
      </c>
      <c r="C68" s="137">
        <f>IF(Registro!B68="","",Registro!L68)</f>
        <v>46043.587500000001</v>
      </c>
      <c r="D68" s="89" t="str">
        <f>IF(Registro!B68="","",Registro!M68)</f>
        <v>Gestor 3</v>
      </c>
      <c r="E68" s="136">
        <f>IF(A68="","",_xlfn.XLOOKUP(A68,Registro!$B$8:$B$997,Registro!$R$8:$R$997,"N/E",0))</f>
        <v>46104</v>
      </c>
      <c r="F68" s="93">
        <f t="shared" si="0"/>
        <v>44</v>
      </c>
      <c r="G68" s="93"/>
      <c r="H68" s="136"/>
      <c r="K68" s="93" t="s">
        <v>310</v>
      </c>
      <c r="L68" s="93" t="s">
        <v>310</v>
      </c>
      <c r="N68" s="136">
        <v>46108</v>
      </c>
    </row>
    <row r="69" spans="1:14" s="89" customFormat="1">
      <c r="A69" s="89" t="str">
        <f>IF(Registro!B69="","",Registro!B69)</f>
        <v>5845-PFA-26</v>
      </c>
      <c r="B69" s="89" t="str">
        <f>IF(Registro!B69="","",Registro!H69)</f>
        <v>Curso 62</v>
      </c>
      <c r="C69" s="137">
        <f>IF(Registro!B69="","",Registro!L69)</f>
        <v>46050.59375</v>
      </c>
      <c r="D69" s="89" t="str">
        <f>IF(Registro!B69="","",Registro!M69)</f>
        <v>Gestor 2</v>
      </c>
      <c r="E69" s="136">
        <f>IF(A69="","",_xlfn.XLOOKUP(A69,Registro!$B$8:$B$997,Registro!$R$8:$R$997,"N/E",0))</f>
        <v>46083</v>
      </c>
      <c r="F69" s="93">
        <f t="shared" si="0"/>
        <v>24</v>
      </c>
      <c r="G69" s="93"/>
      <c r="H69" s="136"/>
      <c r="K69" s="93" t="s">
        <v>310</v>
      </c>
      <c r="L69" s="93" t="s">
        <v>310</v>
      </c>
      <c r="N69" s="136">
        <v>46079</v>
      </c>
    </row>
    <row r="70" spans="1:14" s="89" customFormat="1" ht="28.8" customHeight="1">
      <c r="A70" s="18" t="s">
        <v>301</v>
      </c>
      <c r="B70" s="89" t="str">
        <f>IF(Registro!B70="","",Registro!H70)</f>
        <v>Curso 63</v>
      </c>
      <c r="C70" s="137">
        <v>46050</v>
      </c>
      <c r="D70" s="89" t="str">
        <f>IF(Registro!B70="","",Registro!M70)</f>
        <v>Gestor 2</v>
      </c>
      <c r="E70" s="136">
        <f>IF(A70="","",_xlfn.XLOOKUP(A70,Registro!$B$8:$B$997,Registro!$R$8:$R$997,"N/E",0))</f>
        <v>46083</v>
      </c>
      <c r="F70" s="93">
        <f t="shared" si="0"/>
        <v>24</v>
      </c>
      <c r="G70" s="93"/>
      <c r="H70" s="136"/>
      <c r="K70" s="93" t="s">
        <v>310</v>
      </c>
      <c r="L70" s="93" t="s">
        <v>310</v>
      </c>
      <c r="N70" s="136">
        <v>46079</v>
      </c>
    </row>
    <row r="71" spans="1:14" s="89" customFormat="1">
      <c r="A71" s="89" t="str">
        <f>IF(Registro!B71="","",Registro!B71)</f>
        <v>5847-PFAN-26</v>
      </c>
      <c r="B71" s="89" t="str">
        <f>IF(Registro!B71="","",Registro!H71)</f>
        <v>Curso 64</v>
      </c>
      <c r="C71" s="137">
        <f>IF(Registro!B71="","",Registro!L71)</f>
        <v>46050.35</v>
      </c>
      <c r="D71" s="89" t="str">
        <f>IF(Registro!B71="","",Registro!M71)</f>
        <v>Gestor 2</v>
      </c>
      <c r="E71" s="136">
        <f>IF(A71="","",_xlfn.XLOOKUP(A71,Registro!$B$8:$B$997,Registro!$R$8:$R$997,"N/E",0))</f>
        <v>46084</v>
      </c>
      <c r="F71" s="93">
        <f t="shared" si="0"/>
        <v>25</v>
      </c>
      <c r="G71" s="93"/>
      <c r="H71" s="136"/>
      <c r="K71" s="93" t="s">
        <v>310</v>
      </c>
      <c r="L71" s="93" t="s">
        <v>310</v>
      </c>
      <c r="N71" s="136">
        <v>46079</v>
      </c>
    </row>
    <row r="72" spans="1:14" s="89" customFormat="1" ht="28.8" customHeight="1">
      <c r="A72" s="36" t="s">
        <v>305</v>
      </c>
      <c r="B72" s="89" t="str">
        <f>IF(Registro!B72="","",Registro!H72)</f>
        <v>Curso 65</v>
      </c>
      <c r="C72" s="137">
        <f>IF(Registro!B72="","",Registro!L72)</f>
        <v>46050.345833333333</v>
      </c>
      <c r="D72" s="89" t="str">
        <f>IF(Registro!B72="","",Registro!M72)</f>
        <v>Gestor 5</v>
      </c>
      <c r="E72" s="136">
        <f>IF(A72="","",_xlfn.XLOOKUP(A72,Registro!$B$8:$B$997,Registro!$R$8:$R$997,"N/E",0))</f>
        <v>46104</v>
      </c>
      <c r="F72" s="93">
        <f t="shared" ref="F72:F135" si="2">IF(A72="","",NETWORKDAYS.INTL(C72,E72,1))</f>
        <v>39</v>
      </c>
      <c r="G72" s="93"/>
      <c r="H72" s="136"/>
      <c r="K72" s="149">
        <v>46050</v>
      </c>
      <c r="L72" s="149">
        <v>46066</v>
      </c>
      <c r="N72" s="136">
        <v>46121</v>
      </c>
    </row>
    <row r="73" spans="1:14" s="89" customFormat="1">
      <c r="A73" s="89" t="str">
        <f>IF(Registro!B73="","",Registro!B73)</f>
        <v>5849-PFAN-26</v>
      </c>
      <c r="B73" s="89" t="str">
        <f>IF(Registro!B73="","",Registro!H73)</f>
        <v>Curso 66</v>
      </c>
      <c r="C73" s="137">
        <v>46050.644444444442</v>
      </c>
      <c r="D73" s="89" t="s">
        <v>462</v>
      </c>
      <c r="E73" s="136">
        <v>46087</v>
      </c>
      <c r="F73" s="93">
        <f t="shared" si="2"/>
        <v>28</v>
      </c>
      <c r="G73" s="93"/>
      <c r="H73" s="136"/>
      <c r="K73" s="93" t="s">
        <v>310</v>
      </c>
      <c r="L73" s="93" t="s">
        <v>310</v>
      </c>
      <c r="N73" s="136">
        <v>46080</v>
      </c>
    </row>
    <row r="74" spans="1:14" s="89" customFormat="1">
      <c r="A74" s="89" t="str">
        <f>IF(Registro!B74="","",Registro!B74)</f>
        <v>5850-PFAN-26</v>
      </c>
      <c r="B74" s="89" t="str">
        <f>IF(Registro!B74="","",Registro!H74)</f>
        <v>Curso 67</v>
      </c>
      <c r="C74" s="137">
        <v>46050.354861111111</v>
      </c>
      <c r="D74" s="89" t="str">
        <f>IF(Registro!B74="","",Registro!M74)</f>
        <v>Gestor 2</v>
      </c>
      <c r="E74" s="136">
        <f>IF(A74="","",_xlfn.XLOOKUP(A74,Registro!$B$8:$B$997,Registro!$R$8:$R$997,"N/E",0))</f>
        <v>46085</v>
      </c>
      <c r="F74" s="93">
        <f t="shared" si="2"/>
        <v>26</v>
      </c>
      <c r="G74" s="93"/>
      <c r="H74" s="136"/>
      <c r="K74" s="93" t="s">
        <v>310</v>
      </c>
      <c r="L74" s="93" t="s">
        <v>310</v>
      </c>
      <c r="N74" s="136">
        <v>46079</v>
      </c>
    </row>
    <row r="75" spans="1:14" s="89" customFormat="1">
      <c r="A75" s="36" t="s">
        <v>313</v>
      </c>
      <c r="B75" s="89" t="str">
        <f>IF(Registro!B75="","",Registro!H75)</f>
        <v>Curso 68</v>
      </c>
      <c r="C75" s="137">
        <f>IF(Registro!B75="","",Registro!L75)</f>
        <v>46050.357638888891</v>
      </c>
      <c r="D75" s="89" t="str">
        <f>IF(Registro!B75="","",Registro!M75)</f>
        <v>Gestor 2</v>
      </c>
      <c r="E75" s="136">
        <f>IF(A75="","",_xlfn.XLOOKUP(A75,Registro!$B$8:$B$997,Registro!$R$8:$R$997,"N/E",0))</f>
        <v>46085</v>
      </c>
      <c r="F75" s="93">
        <f t="shared" si="2"/>
        <v>26</v>
      </c>
      <c r="G75" s="93"/>
      <c r="H75" s="136"/>
      <c r="K75" s="93" t="s">
        <v>310</v>
      </c>
      <c r="L75" s="93" t="s">
        <v>310</v>
      </c>
      <c r="N75" s="136">
        <v>46079</v>
      </c>
    </row>
    <row r="76" spans="1:14" s="89" customFormat="1">
      <c r="A76" s="36" t="s">
        <v>315</v>
      </c>
      <c r="B76" s="89" t="str">
        <f>IF(Registro!B76="","",Registro!H76)</f>
        <v>Curso 69</v>
      </c>
      <c r="C76" s="137">
        <f>IF(Registro!B76="","",Registro!L76)</f>
        <v>46050.361111111109</v>
      </c>
      <c r="D76" s="89" t="str">
        <f>IF(Registro!B76="","",Registro!M76)</f>
        <v>Gestor 2</v>
      </c>
      <c r="E76" s="136">
        <v>46087</v>
      </c>
      <c r="F76" s="93">
        <f t="shared" si="2"/>
        <v>28</v>
      </c>
      <c r="G76" s="93"/>
      <c r="H76" s="136"/>
      <c r="K76" s="93" t="s">
        <v>310</v>
      </c>
      <c r="L76" s="93" t="s">
        <v>310</v>
      </c>
      <c r="N76" s="136">
        <v>46079</v>
      </c>
    </row>
    <row r="77" spans="1:14" s="89" customFormat="1">
      <c r="A77" s="89" t="str">
        <f>IF(Registro!B77="","",Registro!B77)</f>
        <v>5853-PFAN-26</v>
      </c>
      <c r="B77" s="89" t="str">
        <f>IF(Registro!B77="","",Registro!H77)</f>
        <v>Curso 70</v>
      </c>
      <c r="C77" s="137">
        <f>IF(Registro!B77="","",Registro!L77)</f>
        <v>46050.363888888889</v>
      </c>
      <c r="D77" s="89" t="str">
        <f>IF(Registro!B77="","",Registro!M77)</f>
        <v>Gestor 2</v>
      </c>
      <c r="E77" s="136">
        <f>IF(A77="","",_xlfn.XLOOKUP(A77,Registro!$B$8:$B$997,Registro!$R$8:$R$997,"N/E",0))</f>
        <v>46086</v>
      </c>
      <c r="F77" s="93">
        <f t="shared" si="2"/>
        <v>27</v>
      </c>
      <c r="G77" s="93"/>
      <c r="H77" s="136"/>
      <c r="K77" s="93" t="s">
        <v>310</v>
      </c>
      <c r="L77" s="93" t="s">
        <v>310</v>
      </c>
      <c r="N77" s="136">
        <v>46079</v>
      </c>
    </row>
    <row r="78" spans="1:14" s="89" customFormat="1">
      <c r="A78" s="89" t="str">
        <f>IF(Registro!B78="","",Registro!B78)</f>
        <v>5854-PFAN-26</v>
      </c>
      <c r="B78" s="89" t="str">
        <f>IF(Registro!B78="","",Registro!H78)</f>
        <v>Curso 71</v>
      </c>
      <c r="C78" s="137">
        <f>IF(Registro!B78="","",Registro!L78)</f>
        <v>46050.365972222222</v>
      </c>
      <c r="D78" s="89" t="str">
        <f>IF(Registro!B78="","",Registro!M78)</f>
        <v>Gestor 2</v>
      </c>
      <c r="E78" s="136">
        <f>IF(A78="","",_xlfn.XLOOKUP(A78,Registro!$B$8:$B$997,Registro!$R$8:$R$997,"N/E",0))</f>
        <v>46090</v>
      </c>
      <c r="F78" s="93">
        <f t="shared" si="2"/>
        <v>29</v>
      </c>
      <c r="G78" s="93"/>
      <c r="H78" s="136"/>
      <c r="K78" s="93" t="s">
        <v>310</v>
      </c>
      <c r="L78" s="93" t="s">
        <v>310</v>
      </c>
      <c r="N78" s="136">
        <v>46079</v>
      </c>
    </row>
    <row r="79" spans="1:14" s="89" customFormat="1">
      <c r="A79" s="89" t="str">
        <f>IF(Registro!B79="","",Registro!B79)</f>
        <v>5855-PFAN-26</v>
      </c>
      <c r="B79" s="89" t="str">
        <f>IF(Registro!B79="","",Registro!H79)</f>
        <v>Curso 72</v>
      </c>
      <c r="C79" s="137">
        <f>IF(Registro!B79="","",Registro!L79)</f>
        <v>46050.365972222222</v>
      </c>
      <c r="D79" s="89" t="str">
        <f>IF(Registro!B79="","",Registro!M79)</f>
        <v>Gestor 2</v>
      </c>
      <c r="E79" s="136">
        <f>IF(A79="","",_xlfn.XLOOKUP(A79,Registro!$B$8:$B$997,Registro!$R$8:$R$997,"N/E",0))</f>
        <v>46087</v>
      </c>
      <c r="F79" s="93">
        <f t="shared" si="2"/>
        <v>28</v>
      </c>
      <c r="G79" s="93"/>
      <c r="H79" s="136"/>
      <c r="K79" s="93" t="s">
        <v>310</v>
      </c>
      <c r="L79" s="93" t="s">
        <v>310</v>
      </c>
      <c r="N79" s="136">
        <v>46085</v>
      </c>
    </row>
    <row r="80" spans="1:14" s="89" customFormat="1">
      <c r="A80" s="89" t="str">
        <f>IF(Registro!B80="","",Registro!B80)</f>
        <v>5856-PFAN-26</v>
      </c>
      <c r="B80" s="89" t="str">
        <f>IF(Registro!B80="","",Registro!H80)</f>
        <v>Curso 73</v>
      </c>
      <c r="C80" s="137">
        <f>IF(Registro!B80="","",Registro!L80)</f>
        <v>46050.370138888888</v>
      </c>
      <c r="D80" s="89" t="str">
        <f>IF(Registro!B80="","",Registro!M80)</f>
        <v>Gestor 2</v>
      </c>
      <c r="E80" s="136">
        <f>IF(A80="","",_xlfn.XLOOKUP(A80,Registro!$B$8:$B$997,Registro!$R$8:$R$997,"N/E",0))</f>
        <v>46090</v>
      </c>
      <c r="F80" s="93">
        <f t="shared" si="2"/>
        <v>29</v>
      </c>
      <c r="G80" s="93"/>
      <c r="H80" s="136"/>
      <c r="K80" s="93" t="s">
        <v>310</v>
      </c>
      <c r="L80" s="93" t="s">
        <v>310</v>
      </c>
      <c r="N80" s="136">
        <v>46080</v>
      </c>
    </row>
    <row r="81" spans="1:14" s="89" customFormat="1">
      <c r="A81" s="89" t="str">
        <f>IF(Registro!B81="","",Registro!B81)</f>
        <v>5857-PFAN-26</v>
      </c>
      <c r="B81" s="89" t="str">
        <f>IF(Registro!B81="","",Registro!H81)</f>
        <v>Curso 74</v>
      </c>
      <c r="C81" s="137">
        <f>IF(Registro!B81="","",Registro!L81)</f>
        <v>46050.651388888888</v>
      </c>
      <c r="D81" s="89" t="str">
        <f>IF(Registro!B81="","",Registro!M81)</f>
        <v>Gestor 2</v>
      </c>
      <c r="E81" s="136">
        <f>IF(A81="","",_xlfn.XLOOKUP(A81,Registro!$B$8:$B$997,Registro!$R$8:$R$997,"N/E",0))</f>
        <v>46092</v>
      </c>
      <c r="F81" s="93">
        <f t="shared" si="2"/>
        <v>31</v>
      </c>
      <c r="G81" s="93"/>
      <c r="H81" s="136"/>
      <c r="K81" s="93" t="s">
        <v>310</v>
      </c>
      <c r="L81" s="93" t="s">
        <v>310</v>
      </c>
      <c r="N81" s="136">
        <v>46080</v>
      </c>
    </row>
    <row r="82" spans="1:14" s="89" customFormat="1" ht="28.8" customHeight="1">
      <c r="A82" s="89" t="str">
        <f>IF(Registro!B82="","",Registro!B82)</f>
        <v>6373-PFIN-26</v>
      </c>
      <c r="B82" s="89" t="str">
        <f>IF(Registro!B82="","",Registro!H82)</f>
        <v>Curso 75</v>
      </c>
      <c r="C82" s="137">
        <f>IF(Registro!B82="","",Registro!L82)</f>
        <v>46282.384027777778</v>
      </c>
      <c r="D82" s="89" t="str">
        <f>IF(Registro!B82="","",Registro!M82)</f>
        <v>Gestor 5</v>
      </c>
      <c r="E82" s="136">
        <f>IF(A82="","",_xlfn.XLOOKUP(A82,Registro!$B$8:$B$997,Registro!$R$8:$R$997,"N/E",0))</f>
        <v>46307</v>
      </c>
      <c r="F82" s="93">
        <f t="shared" si="2"/>
        <v>18</v>
      </c>
      <c r="G82" s="93"/>
      <c r="H82" s="136"/>
      <c r="K82" s="93"/>
      <c r="L82" s="93" t="str">
        <f t="shared" ref="L82:L145" si="3">IF(OR(K82="N/A",K82=""),"",NETWORKDAYS(C82,K82))</f>
        <v/>
      </c>
    </row>
    <row r="83" spans="1:14" s="89" customFormat="1" ht="43.2" customHeight="1">
      <c r="A83" s="89" t="str">
        <f>IF(Registro!B83="","",Registro!B83)</f>
        <v>6371-PFIN-26</v>
      </c>
      <c r="B83" s="89" t="str">
        <f>IF(Registro!B83="","",Registro!H83)</f>
        <v>Curso 76</v>
      </c>
      <c r="C83" s="137">
        <f>IF(Registro!B83="","",Registro!L83)</f>
        <v>46282.411111111112</v>
      </c>
      <c r="D83" s="89" t="str">
        <f>IF(Registro!B83="","",Registro!M83)</f>
        <v>Gestor 5</v>
      </c>
      <c r="E83" s="136">
        <f>IF(A83="","",_xlfn.XLOOKUP(A83,Registro!$B$8:$B$997,Registro!$R$8:$R$997,"N/E",0))</f>
        <v>46302</v>
      </c>
      <c r="F83" s="93">
        <f t="shared" si="2"/>
        <v>15</v>
      </c>
      <c r="G83" s="93"/>
      <c r="H83" s="136"/>
      <c r="K83" s="93"/>
      <c r="L83" s="93" t="str">
        <f t="shared" si="3"/>
        <v/>
      </c>
    </row>
    <row r="84" spans="1:14" s="89" customFormat="1">
      <c r="A84" s="89" t="str">
        <f>IF(Registro!B84="","",Registro!B84)</f>
        <v>6374-PFIN-26</v>
      </c>
      <c r="B84" s="89" t="str">
        <f>IF(Registro!B84="","",Registro!H84)</f>
        <v>Curso 77</v>
      </c>
      <c r="C84" s="137">
        <f>IF(Registro!B84="","",Registro!L84)</f>
        <v>46282.482638888891</v>
      </c>
      <c r="D84" s="89" t="str">
        <f>IF(Registro!B84="","",Registro!M84)</f>
        <v>Gestor 4</v>
      </c>
      <c r="E84" s="136">
        <f>IF(A84="","",_xlfn.XLOOKUP(A84,Registro!$B$8:$B$997,Registro!$R$8:$R$997,"N/E",0))</f>
        <v>46316</v>
      </c>
      <c r="F84" s="93">
        <f t="shared" si="2"/>
        <v>25</v>
      </c>
      <c r="G84" s="93"/>
      <c r="H84" s="136"/>
      <c r="K84" s="93"/>
      <c r="L84" s="93" t="str">
        <f t="shared" si="3"/>
        <v/>
      </c>
    </row>
    <row r="85" spans="1:14" s="89" customFormat="1" ht="43.2" customHeight="1">
      <c r="A85" s="89" t="str">
        <f>IF(Registro!B85="","",Registro!B85)</f>
        <v>6375-PFIN-26</v>
      </c>
      <c r="B85" s="89" t="str">
        <f>IF(Registro!B85="","",Registro!H85)</f>
        <v>Curso 78</v>
      </c>
      <c r="C85" s="137">
        <f>IF(Registro!B85="","",Registro!L85)</f>
        <v>46282.448611111111</v>
      </c>
      <c r="D85" s="89" t="str">
        <f>IF(Registro!B85="","",Registro!M85)</f>
        <v>Gestor 1</v>
      </c>
      <c r="E85" s="136">
        <f>IF(A85="","",_xlfn.XLOOKUP(A85,Registro!$B$8:$B$997,Registro!$R$8:$R$997,"N/E",0))</f>
        <v>46302</v>
      </c>
      <c r="F85" s="93">
        <f t="shared" si="2"/>
        <v>15</v>
      </c>
      <c r="G85" s="93"/>
      <c r="H85" s="136"/>
      <c r="K85" s="93"/>
      <c r="L85" s="93" t="str">
        <f t="shared" si="3"/>
        <v/>
      </c>
    </row>
    <row r="86" spans="1:14" s="89" customFormat="1">
      <c r="A86" s="89" t="str">
        <f>IF(Registro!B86="","",Registro!B86)</f>
        <v>6376-PFIN-26</v>
      </c>
      <c r="B86" s="89" t="str">
        <f>IF(Registro!B86="","",Registro!H86)</f>
        <v>Curso 79</v>
      </c>
      <c r="C86" s="137">
        <f>IF(Registro!B86="","",Registro!L86)</f>
        <v>46282.482638888891</v>
      </c>
      <c r="D86" s="89" t="str">
        <f>IF(Registro!B86="","",Registro!M86)</f>
        <v>Gestor 3</v>
      </c>
      <c r="E86" s="136">
        <f>IF(A86="","",_xlfn.XLOOKUP(A86,Registro!$B$8:$B$997,Registro!$R$8:$R$997,"N/E",0))</f>
        <v>46317</v>
      </c>
      <c r="F86" s="93">
        <f t="shared" si="2"/>
        <v>26</v>
      </c>
      <c r="G86" s="93"/>
      <c r="H86" s="136"/>
      <c r="K86" s="93"/>
      <c r="L86" s="93" t="str">
        <f t="shared" si="3"/>
        <v/>
      </c>
    </row>
    <row r="87" spans="1:14" s="89" customFormat="1">
      <c r="A87" s="89" t="str">
        <f>IF(Registro!B87="","",Registro!B87)</f>
        <v>6377-PFIN-26</v>
      </c>
      <c r="B87" s="89" t="str">
        <f>IF(Registro!B87="","",Registro!H87)</f>
        <v>Curso 80</v>
      </c>
      <c r="C87" s="137">
        <f>IF(Registro!B87="","",Registro!L87)</f>
        <v>46282.583333333343</v>
      </c>
      <c r="D87" s="89" t="str">
        <f>IF(Registro!B87="","",Registro!M87)</f>
        <v>Gestor 3</v>
      </c>
      <c r="E87" s="136">
        <f>IF(A87="","",_xlfn.XLOOKUP(A87,Registro!$B$8:$B$997,Registro!$R$8:$R$997,"N/E",0))</f>
        <v>46303</v>
      </c>
      <c r="F87" s="93">
        <f t="shared" si="2"/>
        <v>16</v>
      </c>
      <c r="G87" s="93"/>
      <c r="H87" s="136"/>
      <c r="K87" s="93"/>
      <c r="L87" s="93" t="str">
        <f t="shared" si="3"/>
        <v/>
      </c>
    </row>
    <row r="88" spans="1:14" s="89" customFormat="1">
      <c r="A88" s="89" t="str">
        <f>IF(Registro!B88="","",Registro!B88)</f>
        <v>6378-PFIN-26</v>
      </c>
      <c r="B88" s="89" t="str">
        <f>IF(Registro!B88="","",Registro!H88)</f>
        <v>Curso 81</v>
      </c>
      <c r="C88" s="137">
        <f>IF(Registro!B88="","",Registro!L88)</f>
        <v>46282.598611111112</v>
      </c>
      <c r="D88" s="89" t="str">
        <f>IF(Registro!B88="","",Registro!M88)</f>
        <v>Gestor 2</v>
      </c>
      <c r="E88" s="136">
        <f>IF(A88="","",_xlfn.XLOOKUP(A88,Registro!$B$8:$B$997,Registro!$R$8:$R$997,"N/E",0))</f>
        <v>46316</v>
      </c>
      <c r="F88" s="93">
        <f t="shared" si="2"/>
        <v>25</v>
      </c>
      <c r="G88" s="93"/>
      <c r="H88" s="136"/>
      <c r="K88" s="93"/>
      <c r="L88" s="93" t="str">
        <f t="shared" si="3"/>
        <v/>
      </c>
    </row>
    <row r="89" spans="1:14" s="89" customFormat="1">
      <c r="A89" s="89" t="str">
        <f>IF(Registro!B89="","",Registro!B89)</f>
        <v>6257-PFIN-26</v>
      </c>
      <c r="B89" s="89" t="str">
        <f>IF(Registro!B89="","",Registro!H89)</f>
        <v>Curso 82</v>
      </c>
      <c r="C89" s="137">
        <f>IF(Registro!B89="","",Registro!L89)</f>
        <v>46225.42291666667</v>
      </c>
      <c r="D89" s="89" t="str">
        <f>IF(Registro!B89="","",Registro!M89)</f>
        <v>Gestor 5</v>
      </c>
      <c r="E89" s="136">
        <f>IF(A89="","",_xlfn.XLOOKUP(A89,Registro!$B$8:$B$997,Registro!$R$8:$R$997,"N/E",0))</f>
        <v>46261</v>
      </c>
      <c r="F89" s="93">
        <f t="shared" si="2"/>
        <v>27</v>
      </c>
      <c r="G89" s="93"/>
      <c r="H89" s="136"/>
      <c r="K89" s="93"/>
      <c r="L89" s="93" t="str">
        <f t="shared" si="3"/>
        <v/>
      </c>
    </row>
    <row r="90" spans="1:14" s="89" customFormat="1" ht="28.8" customHeight="1">
      <c r="A90" s="89" t="str">
        <f>IF(Registro!B90="","",Registro!B90)</f>
        <v>6253-PFIN-26</v>
      </c>
      <c r="B90" s="89" t="str">
        <f>IF(Registro!B90="","",Registro!H90)</f>
        <v>Curso 83</v>
      </c>
      <c r="C90" s="137">
        <f>IF(Registro!B90="","",Registro!L90)</f>
        <v>46223.382638888892</v>
      </c>
      <c r="D90" s="89" t="str">
        <f>IF(Registro!B90="","",Registro!M90)</f>
        <v>Gestor 1</v>
      </c>
      <c r="E90" s="136">
        <f>IF(A90="","",_xlfn.XLOOKUP(A90,Registro!$B$8:$B$997,Registro!$R$8:$R$997,"N/E",0))</f>
        <v>46281</v>
      </c>
      <c r="F90" s="93">
        <f t="shared" si="2"/>
        <v>43</v>
      </c>
      <c r="G90" s="93"/>
      <c r="H90" s="136"/>
      <c r="K90" s="93"/>
      <c r="L90" s="93" t="str">
        <f t="shared" si="3"/>
        <v/>
      </c>
    </row>
    <row r="91" spans="1:14" s="89" customFormat="1" ht="28.8" customHeight="1">
      <c r="A91" s="89" t="str">
        <f>IF(Registro!B91="","",Registro!B91)</f>
        <v>6252-PFIN-26</v>
      </c>
      <c r="B91" s="89" t="str">
        <f>IF(Registro!B91="","",Registro!H91)</f>
        <v>Curso 84</v>
      </c>
      <c r="C91" s="137">
        <f>IF(Registro!B91="","",Registro!L91)</f>
        <v>46223.378472222219</v>
      </c>
      <c r="D91" s="89" t="str">
        <f>IF(Registro!B91="","",Registro!M91)</f>
        <v>Gestor 5</v>
      </c>
      <c r="E91" s="136">
        <f>IF(A91="","",_xlfn.XLOOKUP(A91,Registro!$B$8:$B$997,Registro!$R$8:$R$997,"N/E",0))</f>
        <v>46259</v>
      </c>
      <c r="F91" s="93">
        <f t="shared" si="2"/>
        <v>27</v>
      </c>
      <c r="G91" s="93"/>
      <c r="H91" s="136"/>
      <c r="K91" s="93"/>
      <c r="L91" s="93" t="str">
        <f t="shared" si="3"/>
        <v/>
      </c>
    </row>
    <row r="92" spans="1:14" s="89" customFormat="1" ht="28.8" customHeight="1">
      <c r="A92" s="89" t="str">
        <f>IF(Registro!B92="","",Registro!B92)</f>
        <v>6251-PFIN-26</v>
      </c>
      <c r="B92" s="89" t="str">
        <f>IF(Registro!B92="","",Registro!H92)</f>
        <v>Curso 85</v>
      </c>
      <c r="C92" s="137">
        <f>IF(Registro!B92="","",Registro!L92)</f>
        <v>46223.345138888893</v>
      </c>
      <c r="D92" s="89" t="str">
        <f>IF(Registro!B92="","",Registro!M92)</f>
        <v>Gestor 5</v>
      </c>
      <c r="E92" s="136">
        <f>IF(A92="","",_xlfn.XLOOKUP(A92,Registro!$B$8:$B$997,Registro!$R$8:$R$997,"N/E",0))</f>
        <v>46252</v>
      </c>
      <c r="F92" s="93">
        <f t="shared" si="2"/>
        <v>22</v>
      </c>
      <c r="G92" s="93"/>
      <c r="H92" s="136"/>
      <c r="K92" s="93"/>
      <c r="L92" s="93" t="str">
        <f t="shared" si="3"/>
        <v/>
      </c>
    </row>
    <row r="93" spans="1:14" s="89" customFormat="1">
      <c r="A93" s="89" t="str">
        <f>IF(Registro!B93="","",Registro!B93)</f>
        <v>6250-PFIN-26</v>
      </c>
      <c r="B93" s="89" t="str">
        <f>IF(Registro!B93="","",Registro!H93)</f>
        <v>Curso 86</v>
      </c>
      <c r="C93" s="137">
        <f>IF(Registro!B93="","",Registro!L93)</f>
        <v>46223.347222222219</v>
      </c>
      <c r="D93" s="89" t="str">
        <f>IF(Registro!B93="","",Registro!M93)</f>
        <v>Gestor 3</v>
      </c>
      <c r="E93" s="136">
        <f>IF(A93="","",_xlfn.XLOOKUP(A93,Registro!$B$8:$B$997,Registro!$R$8:$R$997,"N/E",0))</f>
        <v>46237</v>
      </c>
      <c r="F93" s="93">
        <f t="shared" si="2"/>
        <v>11</v>
      </c>
      <c r="G93" s="93"/>
      <c r="H93" s="136"/>
      <c r="K93" s="93"/>
      <c r="L93" s="93" t="str">
        <f t="shared" si="3"/>
        <v/>
      </c>
    </row>
    <row r="94" spans="1:14" s="89" customFormat="1">
      <c r="A94" s="89" t="str">
        <f>IF(Registro!B94="","",Registro!B94)</f>
        <v>6240-PFIN-26</v>
      </c>
      <c r="B94" s="89" t="str">
        <f>IF(Registro!B94="","",Registro!H94)</f>
        <v>Curso 87</v>
      </c>
      <c r="C94" s="137">
        <f>IF(Registro!B94="","",Registro!L94)</f>
        <v>46216.526388888888</v>
      </c>
      <c r="D94" s="89" t="str">
        <f>IF(Registro!B94="","",Registro!M94)</f>
        <v>Gestor 1</v>
      </c>
      <c r="E94" s="136">
        <f>IF(A94="","",_xlfn.XLOOKUP(A94,Registro!$B$8:$B$997,Registro!$R$8:$R$997,"N/E",0))</f>
        <v>46272</v>
      </c>
      <c r="F94" s="93">
        <f t="shared" si="2"/>
        <v>41</v>
      </c>
      <c r="G94" s="93"/>
      <c r="H94" s="136"/>
      <c r="K94" s="93"/>
      <c r="L94" s="93" t="str">
        <f t="shared" si="3"/>
        <v/>
      </c>
    </row>
    <row r="95" spans="1:14" s="89" customFormat="1">
      <c r="A95" s="89" t="str">
        <f>IF(Registro!B95="","",Registro!B95)</f>
        <v>6234-PFIN-26</v>
      </c>
      <c r="B95" s="89" t="str">
        <f>IF(Registro!B95="","",Registro!H95)</f>
        <v>Curso 88</v>
      </c>
      <c r="C95" s="137">
        <f>IF(Registro!B95="","",Registro!L95)</f>
        <v>46212.552777777782</v>
      </c>
      <c r="D95" s="89" t="str">
        <f>IF(Registro!B95="","",Registro!M95)</f>
        <v>Gestor 5</v>
      </c>
      <c r="E95" s="136">
        <f>IF(A95="","",_xlfn.XLOOKUP(A95,Registro!$B$8:$B$997,Registro!$R$8:$R$997,"N/E",0))</f>
        <v>46349</v>
      </c>
      <c r="F95" s="93">
        <f t="shared" si="2"/>
        <v>98</v>
      </c>
      <c r="G95" s="93"/>
      <c r="H95" s="136"/>
      <c r="K95" s="93"/>
      <c r="L95" s="93" t="str">
        <f t="shared" si="3"/>
        <v/>
      </c>
    </row>
    <row r="96" spans="1:14" s="89" customFormat="1" ht="28.8" customHeight="1">
      <c r="A96" s="89" t="str">
        <f>IF(Registro!B96="","",Registro!B96)</f>
        <v>6232-PFIN-26</v>
      </c>
      <c r="B96" s="89" t="str">
        <f>IF(Registro!B96="","",Registro!H96)</f>
        <v>Curso 89</v>
      </c>
      <c r="C96" s="137">
        <f>IF(Registro!B96="","",Registro!L96)</f>
        <v>46212.386805555558</v>
      </c>
      <c r="D96" s="89" t="str">
        <f>IF(Registro!B96="","",Registro!M96)</f>
        <v>Gestor 4</v>
      </c>
      <c r="E96" s="136">
        <f>IF(A96="","",_xlfn.XLOOKUP(A96,Registro!$B$8:$B$997,Registro!$R$8:$R$997,"N/E",0))</f>
        <v>46238</v>
      </c>
      <c r="F96" s="93">
        <f t="shared" si="2"/>
        <v>19</v>
      </c>
      <c r="G96" s="93"/>
      <c r="H96" s="136"/>
      <c r="K96" s="93"/>
      <c r="L96" s="93" t="str">
        <f t="shared" si="3"/>
        <v/>
      </c>
    </row>
    <row r="97" spans="1:12" s="89" customFormat="1" ht="28.8" customHeight="1">
      <c r="A97" s="89" t="str">
        <f>IF(Registro!B97="","",Registro!B97)</f>
        <v>6223-EXTCC-26</v>
      </c>
      <c r="B97" s="89" t="str">
        <f>IF(Registro!B97="","",Registro!H97)</f>
        <v>Curso 90</v>
      </c>
      <c r="C97" s="137">
        <f>IF(Registro!B97="","",Registro!L97)</f>
        <v>46211.23541666667</v>
      </c>
      <c r="D97" s="89" t="str">
        <f>IF(Registro!B97="","",Registro!M97)</f>
        <v>Gestor 5</v>
      </c>
      <c r="E97" s="136">
        <f>IF(A97="","",_xlfn.XLOOKUP(A97,Registro!$B$8:$B$997,Registro!$R$8:$R$997,"N/E",0))</f>
        <v>46230</v>
      </c>
      <c r="F97" s="93">
        <f t="shared" si="2"/>
        <v>14</v>
      </c>
      <c r="G97" s="93"/>
      <c r="H97" s="136"/>
      <c r="K97" s="93"/>
      <c r="L97" s="93" t="str">
        <f t="shared" si="3"/>
        <v/>
      </c>
    </row>
    <row r="98" spans="1:12" s="89" customFormat="1" ht="28.8" customHeight="1">
      <c r="A98" s="89" t="str">
        <f>IF(Registro!B98="","",Registro!B98)</f>
        <v>6384-PFIN-26</v>
      </c>
      <c r="B98" s="89" t="str">
        <f>IF(Registro!B98="","",Registro!H98)</f>
        <v>Curso 91</v>
      </c>
      <c r="C98" s="137">
        <f>IF(Registro!B98="","",Registro!L98)</f>
        <v>46287.348611111112</v>
      </c>
      <c r="D98" s="89" t="str">
        <f>IF(Registro!B98="","",Registro!M98)</f>
        <v>Gestor 3</v>
      </c>
      <c r="E98" s="136">
        <f>IF(A98="","",_xlfn.XLOOKUP(A98,Registro!$B$8:$B$997,Registro!$R$8:$R$997,"N/E",0))</f>
        <v>0</v>
      </c>
      <c r="F98" s="93">
        <f t="shared" si="2"/>
        <v>-33062</v>
      </c>
      <c r="G98" s="93"/>
      <c r="H98" s="136"/>
      <c r="K98" s="93"/>
      <c r="L98" s="93" t="str">
        <f t="shared" si="3"/>
        <v/>
      </c>
    </row>
    <row r="99" spans="1:12" s="89" customFormat="1" ht="28.8" customHeight="1">
      <c r="A99" s="89" t="str">
        <f>IF(Registro!B99="","",Registro!B99)</f>
        <v>6222-PFIN-26</v>
      </c>
      <c r="B99" s="89" t="str">
        <f>IF(Registro!B99="","",Registro!H99)</f>
        <v>Curso 92</v>
      </c>
      <c r="C99" s="137">
        <f>IF(Registro!B99="","",Registro!L99)</f>
        <v>46204.530555555553</v>
      </c>
      <c r="D99" s="89" t="str">
        <f>IF(Registro!B99="","",Registro!M99)</f>
        <v>Gestor 2</v>
      </c>
      <c r="E99" s="136">
        <f>IF(A99="","",_xlfn.XLOOKUP(A99,Registro!$B$8:$B$997,Registro!$R$8:$R$997,"N/E",0))</f>
        <v>0</v>
      </c>
      <c r="F99" s="93">
        <f t="shared" si="2"/>
        <v>-33003</v>
      </c>
      <c r="G99" s="93"/>
      <c r="H99" s="136"/>
      <c r="K99" s="93"/>
      <c r="L99" s="93" t="str">
        <f t="shared" si="3"/>
        <v/>
      </c>
    </row>
    <row r="100" spans="1:12" s="89" customFormat="1" ht="28.8" customHeight="1">
      <c r="A100" s="89" t="str">
        <f>IF(Registro!B100="","",Registro!B100)</f>
        <v>6221-PFIN-26</v>
      </c>
      <c r="B100" s="89" t="str">
        <f>IF(Registro!B100="","",Registro!H100)</f>
        <v>Curso 93</v>
      </c>
      <c r="C100" s="137">
        <f>IF(Registro!B100="","",Registro!L100)</f>
        <v>46204.500694444447</v>
      </c>
      <c r="D100" s="89" t="str">
        <f>IF(Registro!B100="","",Registro!M100)</f>
        <v>Gestor 2</v>
      </c>
      <c r="E100" s="136">
        <f>IF(A100="","",_xlfn.XLOOKUP(A100,Registro!$B$8:$B$997,Registro!$R$8:$R$997,"N/E",0))</f>
        <v>46230</v>
      </c>
      <c r="F100" s="93">
        <f t="shared" si="2"/>
        <v>19</v>
      </c>
      <c r="G100" s="93"/>
      <c r="H100" s="136"/>
      <c r="K100" s="93"/>
      <c r="L100" s="93" t="str">
        <f t="shared" si="3"/>
        <v/>
      </c>
    </row>
    <row r="101" spans="1:12" s="89" customFormat="1">
      <c r="A101" s="89" t="str">
        <f>IF(Registro!B101="","",Registro!B101)</f>
        <v>6220-PFIN-26</v>
      </c>
      <c r="B101" s="89" t="str">
        <f>IF(Registro!B101="","",Registro!H101)</f>
        <v>Curso 94</v>
      </c>
      <c r="C101" s="137">
        <f>IF(Registro!B101="","",Registro!L101)</f>
        <v>46204.444444444453</v>
      </c>
      <c r="D101" s="89" t="str">
        <f>IF(Registro!B101="","",Registro!M101)</f>
        <v>Gestor 3</v>
      </c>
      <c r="E101" s="136">
        <f>IF(A101="","",_xlfn.XLOOKUP(A101,Registro!$B$8:$B$997,Registro!$R$8:$R$997,"N/E",0))</f>
        <v>46211</v>
      </c>
      <c r="F101" s="93">
        <f t="shared" si="2"/>
        <v>6</v>
      </c>
      <c r="G101" s="93"/>
      <c r="H101" s="136"/>
      <c r="K101" s="93"/>
      <c r="L101" s="93" t="str">
        <f t="shared" si="3"/>
        <v/>
      </c>
    </row>
    <row r="102" spans="1:12" s="89" customFormat="1" ht="28.8" customHeight="1">
      <c r="A102" s="89" t="str">
        <f>IF(Registro!B102="","",Registro!B102)</f>
        <v>6215-PFIN-26</v>
      </c>
      <c r="B102" s="89" t="str">
        <f>IF(Registro!B102="","",Registro!H102)</f>
        <v>Curso 95</v>
      </c>
      <c r="C102" s="137">
        <f>IF(Registro!B102="","",Registro!L102)</f>
        <v>46203.29583333333</v>
      </c>
      <c r="D102" s="89" t="str">
        <f>IF(Registro!B102="","",Registro!M102)</f>
        <v>Gestor 3</v>
      </c>
      <c r="E102" s="136">
        <f>IF(A102="","",_xlfn.XLOOKUP(A102,Registro!$B$8:$B$997,Registro!$R$8:$R$997,"N/E",0))</f>
        <v>46211</v>
      </c>
      <c r="F102" s="93">
        <f t="shared" si="2"/>
        <v>7</v>
      </c>
      <c r="G102" s="93"/>
      <c r="H102" s="136"/>
      <c r="K102" s="93"/>
      <c r="L102" s="93" t="str">
        <f t="shared" si="3"/>
        <v/>
      </c>
    </row>
    <row r="103" spans="1:12" s="89" customFormat="1" ht="57.6" customHeight="1">
      <c r="A103" s="89" t="str">
        <f>IF(Registro!B103="","",Registro!B103)</f>
        <v>6212-PFIN-26</v>
      </c>
      <c r="B103" s="89" t="str">
        <f>IF(Registro!B103="","",Registro!H103)</f>
        <v>Curso 96</v>
      </c>
      <c r="C103" s="137">
        <f>IF(Registro!B103="","",Registro!L103)</f>
        <v>46197.529861111107</v>
      </c>
      <c r="D103" s="89" t="str">
        <f>IF(Registro!B103="","",Registro!M103)</f>
        <v>Gestor 1</v>
      </c>
      <c r="E103" s="136">
        <f>IF(A103="","",_xlfn.XLOOKUP(A103,Registro!$B$8:$B$997,Registro!$R$8:$R$997,"N/E",0))</f>
        <v>46245</v>
      </c>
      <c r="F103" s="93">
        <f t="shared" si="2"/>
        <v>35</v>
      </c>
      <c r="G103" s="93"/>
      <c r="H103" s="136"/>
      <c r="K103" s="93"/>
      <c r="L103" s="93" t="str">
        <f t="shared" si="3"/>
        <v/>
      </c>
    </row>
    <row r="104" spans="1:12" s="89" customFormat="1" ht="57.6" customHeight="1">
      <c r="A104" s="89" t="str">
        <f>IF(Registro!B104="","",Registro!B104)</f>
        <v>6212-PFIN-26</v>
      </c>
      <c r="B104" s="89" t="str">
        <f>IF(Registro!B104="","",Registro!H104)</f>
        <v>Curso 97</v>
      </c>
      <c r="C104" s="137">
        <f>IF(Registro!B104="","",Registro!L104)</f>
        <v>46197.529861111107</v>
      </c>
      <c r="D104" s="89" t="str">
        <f>IF(Registro!B104="","",Registro!M104)</f>
        <v>Gestor 1</v>
      </c>
      <c r="E104" s="136">
        <f>IF(A104="","",_xlfn.XLOOKUP(A104,Registro!$B$8:$B$997,Registro!$R$8:$R$997,"N/E",0))</f>
        <v>46245</v>
      </c>
      <c r="F104" s="93">
        <f t="shared" si="2"/>
        <v>35</v>
      </c>
      <c r="G104" s="93"/>
      <c r="H104" s="136"/>
      <c r="K104" s="93"/>
      <c r="L104" s="93" t="str">
        <f t="shared" si="3"/>
        <v/>
      </c>
    </row>
    <row r="105" spans="1:12" s="89" customFormat="1">
      <c r="A105" s="89" t="str">
        <f>IF(Registro!B105="","",Registro!B105)</f>
        <v>6211-PFIN-26</v>
      </c>
      <c r="B105" s="89" t="str">
        <f>IF(Registro!B105="","",Registro!H105)</f>
        <v>Curso 98</v>
      </c>
      <c r="C105" s="137">
        <f>IF(Registro!B105="","",Registro!L105)</f>
        <v>46195.536111111112</v>
      </c>
      <c r="D105" s="89" t="str">
        <f>IF(Registro!B105="","",Registro!M105)</f>
        <v>Gestor 1</v>
      </c>
      <c r="E105" s="136">
        <f>IF(A105="","",_xlfn.XLOOKUP(A105,Registro!$B$8:$B$997,Registro!$R$8:$R$997,"N/E",0))</f>
        <v>46245</v>
      </c>
      <c r="F105" s="93">
        <f t="shared" si="2"/>
        <v>37</v>
      </c>
      <c r="G105" s="93"/>
      <c r="H105" s="136"/>
      <c r="K105" s="93"/>
      <c r="L105" s="93" t="str">
        <f t="shared" si="3"/>
        <v/>
      </c>
    </row>
    <row r="106" spans="1:12" s="89" customFormat="1" ht="28.8" customHeight="1">
      <c r="A106" s="89" t="str">
        <f>IF(Registro!B106="","",Registro!B106)</f>
        <v>6210-PFIN-26</v>
      </c>
      <c r="B106" s="89" t="str">
        <f>IF(Registro!B106="","",Registro!H106)</f>
        <v>Curso 99</v>
      </c>
      <c r="C106" s="137">
        <f>IF(Registro!B106="","",Registro!L106)</f>
        <v>46195.258333333331</v>
      </c>
      <c r="D106" s="89" t="str">
        <f>IF(Registro!B106="","",Registro!M106)</f>
        <v>Gestor 3</v>
      </c>
      <c r="E106" s="136">
        <f>IF(A106="","",_xlfn.XLOOKUP(A106,Registro!$B$8:$B$997,Registro!$R$8:$R$997,"N/E",0))</f>
        <v>46211</v>
      </c>
      <c r="F106" s="93">
        <f t="shared" si="2"/>
        <v>13</v>
      </c>
      <c r="G106" s="93"/>
      <c r="H106" s="136"/>
      <c r="K106" s="93"/>
      <c r="L106" s="93" t="str">
        <f t="shared" si="3"/>
        <v/>
      </c>
    </row>
    <row r="107" spans="1:12" s="89" customFormat="1">
      <c r="A107" s="89" t="str">
        <f>IF(Registro!B107="","",Registro!B107)</f>
        <v>6209-PFIN-26</v>
      </c>
      <c r="B107" s="89" t="str">
        <f>IF(Registro!B107="","",Registro!H107)</f>
        <v>Curso 100</v>
      </c>
      <c r="C107" s="137">
        <f>IF(Registro!B107="","",Registro!L107)</f>
        <v>46192.584722222222</v>
      </c>
      <c r="D107" s="89" t="str">
        <f>IF(Registro!B107="","",Registro!M107)</f>
        <v>Gestor 3</v>
      </c>
      <c r="E107" s="136">
        <f>IF(A107="","",_xlfn.XLOOKUP(A107,Registro!$B$8:$B$997,Registro!$R$8:$R$997,"N/E",0))</f>
        <v>46210</v>
      </c>
      <c r="F107" s="93">
        <f t="shared" si="2"/>
        <v>13</v>
      </c>
      <c r="G107" s="93"/>
      <c r="H107" s="136"/>
      <c r="K107" s="93"/>
      <c r="L107" s="93" t="str">
        <f t="shared" si="3"/>
        <v/>
      </c>
    </row>
    <row r="108" spans="1:12" s="89" customFormat="1">
      <c r="A108" s="89" t="str">
        <f>IF(Registro!B108="","",Registro!B108)</f>
        <v>6208-PFIN-26</v>
      </c>
      <c r="B108" s="89" t="str">
        <f>IF(Registro!B108="","",Registro!H108)</f>
        <v>Curso 101</v>
      </c>
      <c r="C108" s="137">
        <f>IF(Registro!B108="","",Registro!L108)</f>
        <v>46192.337500000001</v>
      </c>
      <c r="D108" s="89" t="str">
        <f>IF(Registro!B108="","",Registro!M108)</f>
        <v>Gestor 3</v>
      </c>
      <c r="E108" s="136">
        <f>IF(A108="","",_xlfn.XLOOKUP(A108,Registro!$B$8:$B$997,Registro!$R$8:$R$997,"N/E",0))</f>
        <v>46211</v>
      </c>
      <c r="F108" s="93">
        <f t="shared" si="2"/>
        <v>14</v>
      </c>
      <c r="G108" s="93"/>
      <c r="H108" s="136"/>
      <c r="K108" s="93"/>
      <c r="L108" s="93" t="str">
        <f t="shared" si="3"/>
        <v/>
      </c>
    </row>
    <row r="109" spans="1:12" s="89" customFormat="1">
      <c r="A109" s="89" t="str">
        <f>IF(Registro!B109="","",Registro!B109)</f>
        <v>6207-PFIN-26</v>
      </c>
      <c r="B109" s="89" t="str">
        <f>IF(Registro!B109="","",Registro!H109)</f>
        <v>Curso 102</v>
      </c>
      <c r="C109" s="137">
        <f>IF(Registro!B109="","",Registro!L109)</f>
        <v>46192.32916666667</v>
      </c>
      <c r="D109" s="89" t="str">
        <f>IF(Registro!B109="","",Registro!M109)</f>
        <v>Gestor 3</v>
      </c>
      <c r="E109" s="136">
        <f>IF(A109="","",_xlfn.XLOOKUP(A109,Registro!$B$8:$B$997,Registro!$R$8:$R$997,"N/E",0))</f>
        <v>46211</v>
      </c>
      <c r="F109" s="93">
        <f t="shared" si="2"/>
        <v>14</v>
      </c>
      <c r="G109" s="93"/>
      <c r="H109" s="136"/>
      <c r="K109" s="93"/>
      <c r="L109" s="93" t="str">
        <f t="shared" si="3"/>
        <v/>
      </c>
    </row>
    <row r="110" spans="1:12" s="89" customFormat="1" ht="28.8" customHeight="1">
      <c r="A110" s="89" t="str">
        <f>IF(Registro!B110="","",Registro!B110)</f>
        <v>6206-PFIN-26</v>
      </c>
      <c r="B110" s="89" t="str">
        <f>IF(Registro!B110="","",Registro!H110)</f>
        <v>Curso 103</v>
      </c>
      <c r="C110" s="137">
        <f>IF(Registro!B110="","",Registro!L110)</f>
        <v>46192.395833333343</v>
      </c>
      <c r="D110" s="89" t="str">
        <f>IF(Registro!B110="","",Registro!M110)</f>
        <v>Gestor 1</v>
      </c>
      <c r="E110" s="136">
        <f>IF(A110="","",_xlfn.XLOOKUP(A110,Registro!$B$8:$B$997,Registro!$R$8:$R$997,"N/E",0))</f>
        <v>46237</v>
      </c>
      <c r="F110" s="93">
        <f t="shared" si="2"/>
        <v>32</v>
      </c>
      <c r="G110" s="93"/>
      <c r="H110" s="136"/>
      <c r="K110" s="93"/>
      <c r="L110" s="93" t="str">
        <f t="shared" si="3"/>
        <v/>
      </c>
    </row>
    <row r="111" spans="1:12" s="89" customFormat="1">
      <c r="A111" s="89" t="str">
        <f>IF(Registro!B111="","",Registro!B111)</f>
        <v>6205-PFIN-26</v>
      </c>
      <c r="B111" s="89" t="str">
        <f>IF(Registro!B111="","",Registro!H111)</f>
        <v>Curso 104</v>
      </c>
      <c r="C111" s="137">
        <f>IF(Registro!B111="","",Registro!L111)</f>
        <v>46192.313888888893</v>
      </c>
      <c r="D111" s="89" t="str">
        <f>IF(Registro!B111="","",Registro!M111)</f>
        <v>Gestor 3</v>
      </c>
      <c r="E111" s="136">
        <f>IF(A111="","",_xlfn.XLOOKUP(A111,Registro!$B$8:$B$997,Registro!$R$8:$R$997,"N/E",0))</f>
        <v>46211</v>
      </c>
      <c r="F111" s="93">
        <f t="shared" si="2"/>
        <v>14</v>
      </c>
      <c r="G111" s="93"/>
      <c r="H111" s="136"/>
      <c r="K111" s="93"/>
      <c r="L111" s="93" t="str">
        <f t="shared" si="3"/>
        <v/>
      </c>
    </row>
    <row r="112" spans="1:12" s="89" customFormat="1">
      <c r="A112" s="89" t="str">
        <f>IF(Registro!B112="","",Registro!B112)</f>
        <v>6204-PFIN-26</v>
      </c>
      <c r="B112" s="89" t="str">
        <f>IF(Registro!B112="","",Registro!H112)</f>
        <v>Curso 105</v>
      </c>
      <c r="C112" s="137">
        <f>IF(Registro!B112="","",Registro!L112)</f>
        <v>46191.606249999997</v>
      </c>
      <c r="D112" s="89" t="str">
        <f>IF(Registro!B112="","",Registro!M112)</f>
        <v>Gestor 3</v>
      </c>
      <c r="E112" s="136">
        <f>IF(A112="","",_xlfn.XLOOKUP(A112,Registro!$B$8:$B$997,Registro!$R$8:$R$997,"N/E",0))</f>
        <v>46233</v>
      </c>
      <c r="F112" s="93">
        <f t="shared" si="2"/>
        <v>31</v>
      </c>
      <c r="G112" s="93"/>
      <c r="H112" s="136"/>
      <c r="K112" s="93"/>
      <c r="L112" s="93" t="str">
        <f t="shared" si="3"/>
        <v/>
      </c>
    </row>
    <row r="113" spans="1:12" s="89" customFormat="1">
      <c r="A113" s="89" t="str">
        <f>IF(Registro!B113="","",Registro!B113)</f>
        <v>6387-PFIN-26</v>
      </c>
      <c r="B113" s="89" t="str">
        <f>IF(Registro!B113="","",Registro!H113)</f>
        <v>Curso 106</v>
      </c>
      <c r="C113" s="137">
        <f>IF(Registro!B113="","",Registro!L113)</f>
        <v>46289.36041666667</v>
      </c>
      <c r="D113" s="89" t="str">
        <f>IF(Registro!B113="","",Registro!M113)</f>
        <v>Gestor 3</v>
      </c>
      <c r="E113" s="136">
        <f>IF(A113="","",_xlfn.XLOOKUP(A113,Registro!$B$8:$B$997,Registro!$R$8:$R$997,"N/E",0))</f>
        <v>46316</v>
      </c>
      <c r="F113" s="93">
        <f t="shared" si="2"/>
        <v>20</v>
      </c>
      <c r="G113" s="93"/>
      <c r="H113" s="136"/>
      <c r="K113" s="93"/>
      <c r="L113" s="93" t="str">
        <f t="shared" si="3"/>
        <v/>
      </c>
    </row>
    <row r="114" spans="1:12" s="89" customFormat="1" ht="28.8" customHeight="1">
      <c r="A114" s="89" t="str">
        <f>IF(Registro!B114="","",Registro!B114)</f>
        <v>6389-PFIN-26</v>
      </c>
      <c r="B114" s="89" t="str">
        <f>IF(Registro!B114="","",Registro!H114)</f>
        <v>Curso 107</v>
      </c>
      <c r="C114" s="137">
        <f>IF(Registro!B114="","",Registro!L114)</f>
        <v>46290.295138888891</v>
      </c>
      <c r="D114" s="89" t="str">
        <f>IF(Registro!B114="","",Registro!M114)</f>
        <v>Gestor 1</v>
      </c>
      <c r="E114" s="136">
        <f>IF(A114="","",_xlfn.XLOOKUP(A114,Registro!$B$8:$B$997,Registro!$R$8:$R$997,"N/E",0))</f>
        <v>46345</v>
      </c>
      <c r="F114" s="93">
        <f t="shared" si="2"/>
        <v>40</v>
      </c>
      <c r="G114" s="93"/>
      <c r="H114" s="136"/>
      <c r="K114" s="93"/>
      <c r="L114" s="93" t="str">
        <f t="shared" si="3"/>
        <v/>
      </c>
    </row>
    <row r="115" spans="1:12" s="89" customFormat="1" ht="28.8" customHeight="1">
      <c r="A115" s="89" t="str">
        <f>IF(Registro!B115="","",Registro!B115)</f>
        <v>6400-PFIN-26</v>
      </c>
      <c r="B115" s="89" t="str">
        <f>IF(Registro!B115="","",Registro!H115)</f>
        <v>Curso 108</v>
      </c>
      <c r="C115" s="137">
        <f>IF(Registro!B115="","",Registro!L115)</f>
        <v>46295.493750000001</v>
      </c>
      <c r="D115" s="89" t="str">
        <f>IF(Registro!B115="","",Registro!M115)</f>
        <v>Gestor 2</v>
      </c>
      <c r="E115" s="136">
        <f>IF(A115="","",_xlfn.XLOOKUP(A115,Registro!$B$8:$B$997,Registro!$R$8:$R$997,"N/E",0))</f>
        <v>46342</v>
      </c>
      <c r="F115" s="93">
        <f t="shared" si="2"/>
        <v>34</v>
      </c>
      <c r="G115" s="93"/>
      <c r="H115" s="136"/>
      <c r="K115" s="93"/>
      <c r="L115" s="93" t="str">
        <f t="shared" si="3"/>
        <v/>
      </c>
    </row>
    <row r="116" spans="1:12" s="89" customFormat="1">
      <c r="A116" s="89" t="str">
        <f>IF(Registro!B116="","",Registro!B116)</f>
        <v>6405-PFIN-26</v>
      </c>
      <c r="B116" s="89" t="str">
        <f>IF(Registro!B116="","",Registro!H116)</f>
        <v>Curso 109</v>
      </c>
      <c r="C116" s="137">
        <f>IF(Registro!B116="","",Registro!L116)</f>
        <v>46296.552777777782</v>
      </c>
      <c r="D116" s="89" t="str">
        <f>IF(Registro!B116="","",Registro!M116)</f>
        <v>Gestor 3</v>
      </c>
      <c r="E116" s="136">
        <f>IF(A116="","",_xlfn.XLOOKUP(A116,Registro!$B$8:$B$997,Registro!$R$8:$R$997,"N/E",0))</f>
        <v>46307</v>
      </c>
      <c r="F116" s="93">
        <f t="shared" si="2"/>
        <v>8</v>
      </c>
      <c r="G116" s="93"/>
      <c r="H116" s="136"/>
      <c r="K116" s="93"/>
      <c r="L116" s="93" t="str">
        <f t="shared" si="3"/>
        <v/>
      </c>
    </row>
    <row r="117" spans="1:12" s="89" customFormat="1">
      <c r="A117" s="89" t="str">
        <f>IF(Registro!B117="","",Registro!B117)</f>
        <v>6412-PFIN-26</v>
      </c>
      <c r="B117" s="89" t="str">
        <f>IF(Registro!B117="","",Registro!H117)</f>
        <v>Curso 110</v>
      </c>
      <c r="C117" s="137">
        <f>IF(Registro!B117="","",Registro!L117)</f>
        <v>46301.379166666673</v>
      </c>
      <c r="D117" s="89" t="str">
        <f>IF(Registro!B117="","",Registro!M117)</f>
        <v>Gestor 3</v>
      </c>
      <c r="E117" s="136">
        <f>IF(A117="","",_xlfn.XLOOKUP(A117,Registro!$B$8:$B$997,Registro!$R$8:$R$997,"N/E",0))</f>
        <v>46314</v>
      </c>
      <c r="F117" s="93">
        <f t="shared" si="2"/>
        <v>10</v>
      </c>
      <c r="G117" s="93"/>
      <c r="H117" s="136"/>
      <c r="K117" s="93"/>
      <c r="L117" s="93" t="str">
        <f t="shared" si="3"/>
        <v/>
      </c>
    </row>
    <row r="118" spans="1:12" s="89" customFormat="1">
      <c r="A118" s="89" t="str">
        <f>IF(Registro!B118="","",Registro!B118)</f>
        <v>6404-PFIN-26</v>
      </c>
      <c r="B118" s="89" t="str">
        <f>IF(Registro!B118="","",Registro!H118)</f>
        <v>Curso 111</v>
      </c>
      <c r="C118" s="137">
        <f>IF(Registro!B118="","",Registro!L118)</f>
        <v>46301.399305555547</v>
      </c>
      <c r="D118" s="89" t="str">
        <f>IF(Registro!B118="","",Registro!M118)</f>
        <v>Gestor 3</v>
      </c>
      <c r="E118" s="136">
        <f>IF(A118="","",_xlfn.XLOOKUP(A118,Registro!$B$8:$B$997,Registro!$R$8:$R$997,"N/E",0))</f>
        <v>0</v>
      </c>
      <c r="F118" s="93">
        <f t="shared" si="2"/>
        <v>-33072</v>
      </c>
      <c r="G118" s="93"/>
      <c r="H118" s="136"/>
      <c r="K118" s="93"/>
      <c r="L118" s="93" t="str">
        <f t="shared" si="3"/>
        <v/>
      </c>
    </row>
    <row r="119" spans="1:12" s="89" customFormat="1" ht="72" customHeight="1">
      <c r="A119" s="89" t="str">
        <f>IF(Registro!B119="","",Registro!B119)</f>
        <v>6411-PFIN-26</v>
      </c>
      <c r="B119" s="89" t="str">
        <f>IF(Registro!B119="","",Registro!H119)</f>
        <v>Curso 112</v>
      </c>
      <c r="C119" s="137">
        <f>IF(Registro!B119="","",Registro!L119)</f>
        <v>46300.581944444442</v>
      </c>
      <c r="D119" s="89" t="str">
        <f>IF(Registro!B119="","",Registro!M119)</f>
        <v>Gestor 4</v>
      </c>
      <c r="E119" s="136">
        <f>IF(A119="","",_xlfn.XLOOKUP(A119,Registro!$B$8:$B$997,Registro!$R$8:$R$997,"N/E",0))</f>
        <v>46324</v>
      </c>
      <c r="F119" s="93">
        <f t="shared" si="2"/>
        <v>19</v>
      </c>
      <c r="G119" s="93"/>
      <c r="H119" s="136"/>
      <c r="K119" s="93"/>
      <c r="L119" s="93" t="str">
        <f t="shared" si="3"/>
        <v/>
      </c>
    </row>
    <row r="120" spans="1:12" s="89" customFormat="1">
      <c r="A120" s="89" t="str">
        <f>IF(Registro!B120="","",Registro!B120)</f>
        <v>6418-PFIN-26</v>
      </c>
      <c r="B120" s="89" t="str">
        <f>IF(Registro!B120="","",Registro!H120)</f>
        <v>Curso 113</v>
      </c>
      <c r="C120" s="137">
        <f>IF(Registro!B120="","",Registro!L120)</f>
        <v>46302.355555555558</v>
      </c>
      <c r="D120" s="89" t="str">
        <f>IF(Registro!B120="","",Registro!M120)</f>
        <v>Gestor 1</v>
      </c>
      <c r="E120" s="136">
        <f>IF(A120="","",_xlfn.XLOOKUP(A120,Registro!$B$8:$B$997,Registro!$R$8:$R$997,"N/E",0))</f>
        <v>46318</v>
      </c>
      <c r="F120" s="93">
        <f t="shared" si="2"/>
        <v>13</v>
      </c>
      <c r="G120" s="93"/>
      <c r="H120" s="136"/>
      <c r="K120" s="93"/>
      <c r="L120" s="93" t="str">
        <f t="shared" si="3"/>
        <v/>
      </c>
    </row>
    <row r="121" spans="1:12" s="89" customFormat="1">
      <c r="A121" s="89" t="str">
        <f>IF(Registro!B121="","",Registro!B121)</f>
        <v/>
      </c>
      <c r="B121" s="89" t="str">
        <f>IF(Registro!B121="","",Registro!H121)</f>
        <v/>
      </c>
      <c r="C121" s="137" t="str">
        <f>IF(Registro!B121="","",Registro!L121)</f>
        <v/>
      </c>
      <c r="D121" s="89" t="str">
        <f>IF(Registro!B121="","",Registro!M121)</f>
        <v/>
      </c>
      <c r="E121" s="136" t="str">
        <f>IF(A121="","",_xlfn.XLOOKUP(A121,Registro!$B$8:$B$997,Registro!$R$8:$R$997,"N/E",0))</f>
        <v/>
      </c>
      <c r="F121" s="93" t="str">
        <f t="shared" si="2"/>
        <v/>
      </c>
      <c r="G121" s="93"/>
      <c r="H121" s="136"/>
      <c r="K121" s="93"/>
      <c r="L121" s="93" t="str">
        <f t="shared" si="3"/>
        <v/>
      </c>
    </row>
    <row r="122" spans="1:12" s="89" customFormat="1">
      <c r="A122" s="89" t="str">
        <f>IF(Registro!B122="","",Registro!B122)</f>
        <v/>
      </c>
      <c r="B122" s="89" t="str">
        <f>IF(Registro!B122="","",Registro!H122)</f>
        <v/>
      </c>
      <c r="C122" s="137" t="str">
        <f>IF(Registro!B122="","",Registro!L122)</f>
        <v/>
      </c>
      <c r="D122" s="89" t="str">
        <f>IF(Registro!B122="","",Registro!M122)</f>
        <v/>
      </c>
      <c r="E122" s="136" t="str">
        <f>IF(A122="","",_xlfn.XLOOKUP(A122,Registro!$B$8:$B$997,Registro!$R$8:$R$997,"N/E",0))</f>
        <v/>
      </c>
      <c r="F122" s="93" t="str">
        <f t="shared" si="2"/>
        <v/>
      </c>
      <c r="G122" s="93"/>
      <c r="H122" s="136"/>
      <c r="K122" s="93"/>
      <c r="L122" s="93" t="str">
        <f t="shared" si="3"/>
        <v/>
      </c>
    </row>
    <row r="123" spans="1:12" s="89" customFormat="1">
      <c r="A123" s="89" t="str">
        <f>IF(Registro!B123="","",Registro!B123)</f>
        <v/>
      </c>
      <c r="B123" s="89" t="str">
        <f>IF(Registro!B123="","",Registro!H123)</f>
        <v/>
      </c>
      <c r="C123" s="137" t="str">
        <f>IF(Registro!B123="","",Registro!L123)</f>
        <v/>
      </c>
      <c r="D123" s="89" t="str">
        <f>IF(Registro!B123="","",Registro!M123)</f>
        <v/>
      </c>
      <c r="E123" s="136" t="str">
        <f>IF(A123="","",_xlfn.XLOOKUP(A123,Registro!$B$8:$B$997,Registro!$R$8:$R$997,"N/E",0))</f>
        <v/>
      </c>
      <c r="F123" s="93" t="str">
        <f t="shared" si="2"/>
        <v/>
      </c>
      <c r="G123" s="93"/>
      <c r="H123" s="136"/>
      <c r="K123" s="93"/>
      <c r="L123" s="93" t="str">
        <f t="shared" si="3"/>
        <v/>
      </c>
    </row>
    <row r="124" spans="1:12" s="89" customFormat="1">
      <c r="A124" s="89" t="str">
        <f>IF(Registro!B124="","",Registro!B124)</f>
        <v/>
      </c>
      <c r="B124" s="89" t="str">
        <f>IF(Registro!B124="","",Registro!H124)</f>
        <v/>
      </c>
      <c r="C124" s="137" t="str">
        <f>IF(Registro!B124="","",Registro!L124)</f>
        <v/>
      </c>
      <c r="D124" s="89" t="str">
        <f>IF(Registro!B124="","",Registro!M124)</f>
        <v/>
      </c>
      <c r="E124" s="136" t="str">
        <f>IF(A124="","",_xlfn.XLOOKUP(A124,Registro!$B$8:$B$997,Registro!$R$8:$R$997,"N/E",0))</f>
        <v/>
      </c>
      <c r="F124" s="93" t="str">
        <f t="shared" si="2"/>
        <v/>
      </c>
      <c r="G124" s="93"/>
      <c r="H124" s="136"/>
      <c r="K124" s="93"/>
      <c r="L124" s="93" t="str">
        <f t="shared" si="3"/>
        <v/>
      </c>
    </row>
    <row r="125" spans="1:12" s="89" customFormat="1">
      <c r="A125" s="89" t="str">
        <f>IF(Registro!B125="","",Registro!B125)</f>
        <v/>
      </c>
      <c r="B125" s="89" t="str">
        <f>IF(Registro!B125="","",Registro!H125)</f>
        <v/>
      </c>
      <c r="C125" s="137" t="str">
        <f>IF(Registro!B125="","",Registro!L125)</f>
        <v/>
      </c>
      <c r="D125" s="89" t="str">
        <f>IF(Registro!B125="","",Registro!M125)</f>
        <v/>
      </c>
      <c r="E125" s="136" t="str">
        <f>IF(A125="","",_xlfn.XLOOKUP(A125,Registro!$B$8:$B$997,Registro!$R$8:$R$997,"N/E",0))</f>
        <v/>
      </c>
      <c r="F125" s="93" t="str">
        <f t="shared" si="2"/>
        <v/>
      </c>
      <c r="G125" s="93"/>
      <c r="H125" s="136"/>
      <c r="K125" s="93"/>
      <c r="L125" s="93" t="str">
        <f t="shared" si="3"/>
        <v/>
      </c>
    </row>
    <row r="126" spans="1:12" s="89" customFormat="1">
      <c r="A126" s="89" t="str">
        <f>IF(Registro!B126="","",Registro!B126)</f>
        <v/>
      </c>
      <c r="B126" s="89" t="str">
        <f>IF(Registro!B126="","",Registro!H126)</f>
        <v/>
      </c>
      <c r="C126" s="137" t="str">
        <f>IF(Registro!B126="","",Registro!L126)</f>
        <v/>
      </c>
      <c r="D126" s="89" t="str">
        <f>IF(Registro!B126="","",Registro!M126)</f>
        <v/>
      </c>
      <c r="E126" s="136" t="str">
        <f>IF(A126="","",_xlfn.XLOOKUP(A126,Registro!$B$8:$B$997,Registro!$R$8:$R$997,"N/E",0))</f>
        <v/>
      </c>
      <c r="F126" s="93" t="str">
        <f t="shared" si="2"/>
        <v/>
      </c>
      <c r="G126" s="93"/>
      <c r="H126" s="136"/>
      <c r="K126" s="93"/>
      <c r="L126" s="93" t="str">
        <f t="shared" si="3"/>
        <v/>
      </c>
    </row>
    <row r="127" spans="1:12" s="89" customFormat="1">
      <c r="A127" s="89" t="str">
        <f>IF(Registro!B127="","",Registro!B127)</f>
        <v/>
      </c>
      <c r="B127" s="89" t="str">
        <f>IF(Registro!B127="","",Registro!H127)</f>
        <v/>
      </c>
      <c r="C127" s="137" t="str">
        <f>IF(Registro!B127="","",Registro!L127)</f>
        <v/>
      </c>
      <c r="D127" s="89" t="str">
        <f>IF(Registro!B127="","",Registro!M127)</f>
        <v/>
      </c>
      <c r="E127" s="136" t="str">
        <f>IF(A127="","",_xlfn.XLOOKUP(A127,Registro!$B$8:$B$997,Registro!$R$8:$R$997,"N/E",0))</f>
        <v/>
      </c>
      <c r="F127" s="93" t="str">
        <f t="shared" si="2"/>
        <v/>
      </c>
      <c r="G127" s="93"/>
      <c r="H127" s="136"/>
      <c r="K127" s="93"/>
      <c r="L127" s="93" t="str">
        <f t="shared" si="3"/>
        <v/>
      </c>
    </row>
    <row r="128" spans="1:12" s="89" customFormat="1">
      <c r="A128" s="89" t="str">
        <f>IF(Registro!B128="","",Registro!B128)</f>
        <v/>
      </c>
      <c r="B128" s="89" t="str">
        <f>IF(Registro!B128="","",Registro!H128)</f>
        <v/>
      </c>
      <c r="C128" s="137" t="str">
        <f>IF(Registro!B128="","",Registro!L128)</f>
        <v/>
      </c>
      <c r="D128" s="89" t="str">
        <f>IF(Registro!B128="","",Registro!M128)</f>
        <v/>
      </c>
      <c r="E128" s="136" t="str">
        <f>IF(A128="","",_xlfn.XLOOKUP(A128,Registro!$B$8:$B$997,Registro!$R$8:$R$997,"N/E",0))</f>
        <v/>
      </c>
      <c r="F128" s="93" t="str">
        <f t="shared" si="2"/>
        <v/>
      </c>
      <c r="G128" s="93"/>
      <c r="H128" s="136"/>
      <c r="K128" s="93"/>
      <c r="L128" s="93" t="str">
        <f t="shared" si="3"/>
        <v/>
      </c>
    </row>
    <row r="129" spans="1:12" s="89" customFormat="1">
      <c r="A129" s="89" t="str">
        <f>IF(Registro!B129="","",Registro!B129)</f>
        <v/>
      </c>
      <c r="B129" s="89" t="str">
        <f>IF(Registro!B129="","",Registro!H129)</f>
        <v/>
      </c>
      <c r="C129" s="137" t="str">
        <f>IF(Registro!B129="","",Registro!L129)</f>
        <v/>
      </c>
      <c r="D129" s="89" t="str">
        <f>IF(Registro!B129="","",Registro!M129)</f>
        <v/>
      </c>
      <c r="E129" s="136" t="str">
        <f>IF(A129="","",_xlfn.XLOOKUP(A129,Registro!$B$8:$B$997,Registro!$R$8:$R$997,"N/E",0))</f>
        <v/>
      </c>
      <c r="F129" s="93" t="str">
        <f t="shared" si="2"/>
        <v/>
      </c>
      <c r="G129" s="93"/>
      <c r="H129" s="136"/>
      <c r="K129" s="93"/>
      <c r="L129" s="93" t="str">
        <f t="shared" si="3"/>
        <v/>
      </c>
    </row>
    <row r="130" spans="1:12" s="89" customFormat="1">
      <c r="A130" s="89" t="str">
        <f>IF(Registro!B130="","",Registro!B130)</f>
        <v/>
      </c>
      <c r="B130" s="89" t="str">
        <f>IF(Registro!B130="","",Registro!H130)</f>
        <v/>
      </c>
      <c r="C130" s="137" t="str">
        <f>IF(Registro!B130="","",Registro!L130)</f>
        <v/>
      </c>
      <c r="D130" s="89" t="str">
        <f>IF(Registro!B130="","",Registro!M130)</f>
        <v/>
      </c>
      <c r="E130" s="136" t="str">
        <f>IF(A130="","",_xlfn.XLOOKUP(A130,Registro!$B$8:$B$997,Registro!$R$8:$R$997,"N/E",0))</f>
        <v/>
      </c>
      <c r="F130" s="93" t="str">
        <f t="shared" si="2"/>
        <v/>
      </c>
      <c r="G130" s="93"/>
      <c r="H130" s="136"/>
      <c r="K130" s="93"/>
      <c r="L130" s="93" t="str">
        <f t="shared" si="3"/>
        <v/>
      </c>
    </row>
    <row r="131" spans="1:12" s="89" customFormat="1">
      <c r="A131" s="89" t="str">
        <f>IF(Registro!B131="","",Registro!B131)</f>
        <v/>
      </c>
      <c r="B131" s="89" t="str">
        <f>IF(Registro!B131="","",Registro!H131)</f>
        <v/>
      </c>
      <c r="C131" s="137" t="str">
        <f>IF(Registro!B131="","",Registro!L131)</f>
        <v/>
      </c>
      <c r="D131" s="89" t="str">
        <f>IF(Registro!B131="","",Registro!M131)</f>
        <v/>
      </c>
      <c r="E131" s="136" t="str">
        <f>IF(A131="","",_xlfn.XLOOKUP(A131,Registro!$B$8:$B$997,Registro!$R$8:$R$997,"N/E",0))</f>
        <v/>
      </c>
      <c r="F131" s="93" t="str">
        <f t="shared" si="2"/>
        <v/>
      </c>
      <c r="G131" s="93"/>
      <c r="H131" s="136"/>
      <c r="K131" s="93"/>
      <c r="L131" s="93" t="str">
        <f t="shared" si="3"/>
        <v/>
      </c>
    </row>
    <row r="132" spans="1:12" s="89" customFormat="1">
      <c r="A132" s="89" t="str">
        <f>IF(Registro!B132="","",Registro!B132)</f>
        <v/>
      </c>
      <c r="B132" s="89" t="str">
        <f>IF(Registro!B132="","",Registro!H132)</f>
        <v/>
      </c>
      <c r="C132" s="137" t="str">
        <f>IF(Registro!B132="","",Registro!L132)</f>
        <v/>
      </c>
      <c r="D132" s="89" t="str">
        <f>IF(Registro!B132="","",Registro!M132)</f>
        <v/>
      </c>
      <c r="E132" s="136" t="str">
        <f>IF(A132="","",_xlfn.XLOOKUP(A132,Registro!$B$8:$B$997,Registro!$R$8:$R$997,"N/E",0))</f>
        <v/>
      </c>
      <c r="F132" s="93" t="str">
        <f t="shared" si="2"/>
        <v/>
      </c>
      <c r="G132" s="93"/>
      <c r="H132" s="136"/>
      <c r="K132" s="93"/>
      <c r="L132" s="93" t="str">
        <f t="shared" si="3"/>
        <v/>
      </c>
    </row>
    <row r="133" spans="1:12" s="89" customFormat="1">
      <c r="A133" s="89" t="str">
        <f>IF(Registro!B133="","",Registro!B133)</f>
        <v/>
      </c>
      <c r="B133" s="89" t="str">
        <f>IF(Registro!B133="","",Registro!H133)</f>
        <v/>
      </c>
      <c r="C133" s="137" t="str">
        <f>IF(Registro!B133="","",Registro!L133)</f>
        <v/>
      </c>
      <c r="D133" s="89" t="str">
        <f>IF(Registro!B133="","",Registro!M133)</f>
        <v/>
      </c>
      <c r="E133" s="136" t="str">
        <f>IF(A133="","",_xlfn.XLOOKUP(A133,Registro!$B$8:$B$997,Registro!$R$8:$R$997,"N/E",0))</f>
        <v/>
      </c>
      <c r="F133" s="93" t="str">
        <f t="shared" si="2"/>
        <v/>
      </c>
      <c r="G133" s="93"/>
      <c r="H133" s="136"/>
      <c r="K133" s="93"/>
      <c r="L133" s="93" t="str">
        <f t="shared" si="3"/>
        <v/>
      </c>
    </row>
    <row r="134" spans="1:12" s="89" customFormat="1">
      <c r="A134" s="89" t="str">
        <f>IF(Registro!B134="","",Registro!B134)</f>
        <v/>
      </c>
      <c r="B134" s="89" t="str">
        <f>IF(Registro!B134="","",Registro!H134)</f>
        <v/>
      </c>
      <c r="C134" s="137" t="str">
        <f>IF(Registro!B134="","",Registro!L134)</f>
        <v/>
      </c>
      <c r="D134" s="89" t="str">
        <f>IF(Registro!B134="","",Registro!M134)</f>
        <v/>
      </c>
      <c r="E134" s="136" t="str">
        <f>IF(A134="","",_xlfn.XLOOKUP(A134,Registro!$B$8:$B$997,Registro!$R$8:$R$997,"N/E",0))</f>
        <v/>
      </c>
      <c r="F134" s="93" t="str">
        <f t="shared" si="2"/>
        <v/>
      </c>
      <c r="G134" s="93"/>
      <c r="H134" s="136"/>
      <c r="K134" s="93"/>
      <c r="L134" s="93" t="str">
        <f t="shared" si="3"/>
        <v/>
      </c>
    </row>
    <row r="135" spans="1:12" s="89" customFormat="1">
      <c r="A135" s="89" t="str">
        <f>IF(Registro!B135="","",Registro!B135)</f>
        <v/>
      </c>
      <c r="B135" s="89" t="str">
        <f>IF(Registro!B135="","",Registro!H135)</f>
        <v/>
      </c>
      <c r="C135" s="137" t="str">
        <f>IF(Registro!B135="","",Registro!L135)</f>
        <v/>
      </c>
      <c r="D135" s="89" t="str">
        <f>IF(Registro!B135="","",Registro!M135)</f>
        <v/>
      </c>
      <c r="E135" s="136" t="str">
        <f>IF(A135="","",_xlfn.XLOOKUP(A135,Registro!$B$8:$B$997,Registro!$R$8:$R$997,"N/E",0))</f>
        <v/>
      </c>
      <c r="F135" s="93" t="str">
        <f t="shared" si="2"/>
        <v/>
      </c>
      <c r="G135" s="93"/>
      <c r="H135" s="136"/>
      <c r="K135" s="93"/>
      <c r="L135" s="93" t="str">
        <f t="shared" si="3"/>
        <v/>
      </c>
    </row>
    <row r="136" spans="1:12" s="89" customFormat="1">
      <c r="A136" s="89" t="str">
        <f>IF(Registro!B136="","",Registro!B136)</f>
        <v/>
      </c>
      <c r="B136" s="89" t="str">
        <f>IF(Registro!B136="","",Registro!H136)</f>
        <v/>
      </c>
      <c r="C136" s="137" t="str">
        <f>IF(Registro!B136="","",Registro!L136)</f>
        <v/>
      </c>
      <c r="D136" s="89" t="str">
        <f>IF(Registro!B136="","",Registro!M136)</f>
        <v/>
      </c>
      <c r="E136" s="136" t="str">
        <f>IF(A136="","",_xlfn.XLOOKUP(A136,Registro!$B$8:$B$997,Registro!$R$8:$R$997,"N/E",0))</f>
        <v/>
      </c>
      <c r="F136" s="93" t="str">
        <f t="shared" ref="F136:F199" si="4">IF(A136="","",NETWORKDAYS.INTL(C136,E136,1))</f>
        <v/>
      </c>
      <c r="G136" s="93"/>
      <c r="H136" s="136"/>
      <c r="K136" s="93"/>
      <c r="L136" s="93" t="str">
        <f t="shared" si="3"/>
        <v/>
      </c>
    </row>
    <row r="137" spans="1:12" s="89" customFormat="1">
      <c r="A137" s="89" t="str">
        <f>IF(Registro!B137="","",Registro!B137)</f>
        <v/>
      </c>
      <c r="B137" s="89" t="str">
        <f>IF(Registro!B137="","",Registro!H137)</f>
        <v/>
      </c>
      <c r="C137" s="137" t="str">
        <f>IF(Registro!B137="","",Registro!L137)</f>
        <v/>
      </c>
      <c r="D137" s="89" t="str">
        <f>IF(Registro!B137="","",Registro!M137)</f>
        <v/>
      </c>
      <c r="E137" s="136" t="str">
        <f>IF(A137="","",_xlfn.XLOOKUP(A137,Registro!$B$8:$B$997,Registro!$R$8:$R$997,"N/E",0))</f>
        <v/>
      </c>
      <c r="F137" s="93" t="str">
        <f t="shared" si="4"/>
        <v/>
      </c>
      <c r="G137" s="93"/>
      <c r="H137" s="136"/>
      <c r="K137" s="93"/>
      <c r="L137" s="93" t="str">
        <f t="shared" si="3"/>
        <v/>
      </c>
    </row>
    <row r="138" spans="1:12" s="89" customFormat="1">
      <c r="A138" s="89" t="str">
        <f>IF(Registro!B138="","",Registro!B138)</f>
        <v/>
      </c>
      <c r="B138" s="89" t="str">
        <f>IF(Registro!B138="","",Registro!H138)</f>
        <v/>
      </c>
      <c r="C138" s="137" t="str">
        <f>IF(Registro!B138="","",Registro!L138)</f>
        <v/>
      </c>
      <c r="D138" s="89" t="str">
        <f>IF(Registro!B138="","",Registro!M138)</f>
        <v/>
      </c>
      <c r="E138" s="136" t="str">
        <f>IF(A138="","",_xlfn.XLOOKUP(A138,Registro!$B$8:$B$997,Registro!$R$8:$R$997,"N/E",0))</f>
        <v/>
      </c>
      <c r="F138" s="93" t="str">
        <f t="shared" si="4"/>
        <v/>
      </c>
      <c r="G138" s="93"/>
      <c r="H138" s="136"/>
      <c r="K138" s="93"/>
      <c r="L138" s="93" t="str">
        <f t="shared" si="3"/>
        <v/>
      </c>
    </row>
    <row r="139" spans="1:12" s="89" customFormat="1">
      <c r="A139" s="89" t="str">
        <f>IF(Registro!B139="","",Registro!B139)</f>
        <v/>
      </c>
      <c r="B139" s="89" t="str">
        <f>IF(Registro!B139="","",Registro!H139)</f>
        <v/>
      </c>
      <c r="C139" s="137" t="str">
        <f>IF(Registro!B139="","",Registro!L139)</f>
        <v/>
      </c>
      <c r="D139" s="89" t="str">
        <f>IF(Registro!B139="","",Registro!M139)</f>
        <v/>
      </c>
      <c r="E139" s="136" t="str">
        <f>IF(A139="","",_xlfn.XLOOKUP(A139,Registro!$B$8:$B$997,Registro!$R$8:$R$997,"N/E",0))</f>
        <v/>
      </c>
      <c r="F139" s="93" t="str">
        <f t="shared" si="4"/>
        <v/>
      </c>
      <c r="G139" s="93"/>
      <c r="H139" s="136"/>
      <c r="K139" s="93"/>
      <c r="L139" s="93" t="str">
        <f t="shared" si="3"/>
        <v/>
      </c>
    </row>
    <row r="140" spans="1:12" s="89" customFormat="1">
      <c r="A140" s="89" t="str">
        <f>IF(Registro!B140="","",Registro!B140)</f>
        <v/>
      </c>
      <c r="B140" s="89" t="str">
        <f>IF(Registro!B140="","",Registro!H140)</f>
        <v/>
      </c>
      <c r="C140" s="137" t="str">
        <f>IF(Registro!B140="","",Registro!L140)</f>
        <v/>
      </c>
      <c r="D140" s="89" t="str">
        <f>IF(Registro!B140="","",Registro!M140)</f>
        <v/>
      </c>
      <c r="E140" s="136" t="str">
        <f>IF(A140="","",_xlfn.XLOOKUP(A140,Registro!$B$8:$B$997,Registro!$R$8:$R$997,"N/E",0))</f>
        <v/>
      </c>
      <c r="F140" s="93" t="str">
        <f t="shared" si="4"/>
        <v/>
      </c>
      <c r="G140" s="93"/>
      <c r="H140" s="136"/>
      <c r="K140" s="93"/>
      <c r="L140" s="93" t="str">
        <f t="shared" si="3"/>
        <v/>
      </c>
    </row>
    <row r="141" spans="1:12" s="89" customFormat="1">
      <c r="A141" s="89" t="str">
        <f>IF(Registro!B141="","",Registro!B141)</f>
        <v/>
      </c>
      <c r="B141" s="89" t="str">
        <f>IF(Registro!B141="","",Registro!H141)</f>
        <v/>
      </c>
      <c r="C141" s="137" t="str">
        <f>IF(Registro!B141="","",Registro!L141)</f>
        <v/>
      </c>
      <c r="D141" s="89" t="str">
        <f>IF(Registro!B141="","",Registro!M141)</f>
        <v/>
      </c>
      <c r="E141" s="136" t="str">
        <f>IF(A141="","",_xlfn.XLOOKUP(A141,Registro!$B$8:$B$997,Registro!$R$8:$R$997,"N/E",0))</f>
        <v/>
      </c>
      <c r="F141" s="93" t="str">
        <f t="shared" si="4"/>
        <v/>
      </c>
      <c r="G141" s="93"/>
      <c r="H141" s="136"/>
      <c r="K141" s="93"/>
      <c r="L141" s="93" t="str">
        <f t="shared" si="3"/>
        <v/>
      </c>
    </row>
    <row r="142" spans="1:12" s="89" customFormat="1">
      <c r="A142" s="89" t="str">
        <f>IF(Registro!B142="","",Registro!B142)</f>
        <v/>
      </c>
      <c r="B142" s="89" t="str">
        <f>IF(Registro!B142="","",Registro!H142)</f>
        <v/>
      </c>
      <c r="C142" s="137" t="str">
        <f>IF(Registro!B142="","",Registro!L142)</f>
        <v/>
      </c>
      <c r="D142" s="89" t="str">
        <f>IF(Registro!B142="","",Registro!M142)</f>
        <v/>
      </c>
      <c r="E142" s="136" t="str">
        <f>IF(A142="","",_xlfn.XLOOKUP(A142,Registro!$B$8:$B$997,Registro!$R$8:$R$997,"N/E",0))</f>
        <v/>
      </c>
      <c r="F142" s="93" t="str">
        <f t="shared" si="4"/>
        <v/>
      </c>
      <c r="G142" s="93"/>
      <c r="H142" s="136"/>
      <c r="K142" s="93"/>
      <c r="L142" s="93" t="str">
        <f t="shared" si="3"/>
        <v/>
      </c>
    </row>
    <row r="143" spans="1:12" s="89" customFormat="1">
      <c r="A143" s="89" t="str">
        <f>IF(Registro!B143="","",Registro!B143)</f>
        <v/>
      </c>
      <c r="B143" s="89" t="str">
        <f>IF(Registro!B143="","",Registro!H143)</f>
        <v/>
      </c>
      <c r="C143" s="137" t="str">
        <f>IF(Registro!B143="","",Registro!L143)</f>
        <v/>
      </c>
      <c r="D143" s="89" t="str">
        <f>IF(Registro!B143="","",Registro!M143)</f>
        <v/>
      </c>
      <c r="E143" s="136" t="str">
        <f>IF(A143="","",_xlfn.XLOOKUP(A143,Registro!$B$8:$B$997,Registro!$R$8:$R$997,"N/E",0))</f>
        <v/>
      </c>
      <c r="F143" s="93" t="str">
        <f t="shared" si="4"/>
        <v/>
      </c>
      <c r="G143" s="93"/>
      <c r="H143" s="136"/>
      <c r="K143" s="93"/>
      <c r="L143" s="93" t="str">
        <f t="shared" si="3"/>
        <v/>
      </c>
    </row>
    <row r="144" spans="1:12" s="89" customFormat="1">
      <c r="A144" s="89" t="str">
        <f>IF(Registro!B144="","",Registro!B144)</f>
        <v/>
      </c>
      <c r="B144" s="89" t="str">
        <f>IF(Registro!B144="","",Registro!H144)</f>
        <v/>
      </c>
      <c r="C144" s="137" t="str">
        <f>IF(Registro!B144="","",Registro!L144)</f>
        <v/>
      </c>
      <c r="D144" s="89" t="str">
        <f>IF(Registro!B144="","",Registro!M144)</f>
        <v/>
      </c>
      <c r="E144" s="136" t="str">
        <f>IF(A144="","",_xlfn.XLOOKUP(A144,Registro!$B$8:$B$997,Registro!$R$8:$R$997,"N/E",0))</f>
        <v/>
      </c>
      <c r="F144" s="93" t="str">
        <f t="shared" si="4"/>
        <v/>
      </c>
      <c r="G144" s="93"/>
      <c r="H144" s="136"/>
      <c r="K144" s="93"/>
      <c r="L144" s="93" t="str">
        <f t="shared" si="3"/>
        <v/>
      </c>
    </row>
    <row r="145" spans="1:12" s="89" customFormat="1">
      <c r="A145" s="89" t="str">
        <f>IF(Registro!B145="","",Registro!B145)</f>
        <v/>
      </c>
      <c r="B145" s="89" t="str">
        <f>IF(Registro!B145="","",Registro!H145)</f>
        <v/>
      </c>
      <c r="C145" s="137" t="str">
        <f>IF(Registro!B145="","",Registro!L145)</f>
        <v/>
      </c>
      <c r="D145" s="89" t="str">
        <f>IF(Registro!B145="","",Registro!M145)</f>
        <v/>
      </c>
      <c r="E145" s="136" t="str">
        <f>IF(A145="","",_xlfn.XLOOKUP(A145,Registro!$B$8:$B$997,Registro!$R$8:$R$997,"N/E",0))</f>
        <v/>
      </c>
      <c r="F145" s="93" t="str">
        <f t="shared" si="4"/>
        <v/>
      </c>
      <c r="G145" s="93"/>
      <c r="H145" s="136"/>
      <c r="K145" s="93"/>
      <c r="L145" s="93" t="str">
        <f t="shared" si="3"/>
        <v/>
      </c>
    </row>
    <row r="146" spans="1:12" s="89" customFormat="1">
      <c r="A146" s="89" t="str">
        <f>IF(Registro!B146="","",Registro!B146)</f>
        <v/>
      </c>
      <c r="B146" s="89" t="str">
        <f>IF(Registro!B146="","",Registro!H146)</f>
        <v/>
      </c>
      <c r="C146" s="137" t="str">
        <f>IF(Registro!B146="","",Registro!L146)</f>
        <v/>
      </c>
      <c r="D146" s="89" t="str">
        <f>IF(Registro!B146="","",Registro!M146)</f>
        <v/>
      </c>
      <c r="E146" s="136" t="str">
        <f>IF(A146="","",_xlfn.XLOOKUP(A146,Registro!$B$8:$B$997,Registro!$R$8:$R$997,"N/E",0))</f>
        <v/>
      </c>
      <c r="F146" s="93" t="str">
        <f t="shared" si="4"/>
        <v/>
      </c>
      <c r="G146" s="93"/>
      <c r="H146" s="136"/>
      <c r="K146" s="93"/>
      <c r="L146" s="93" t="str">
        <f t="shared" ref="L146:L209" si="5">IF(OR(K146="N/A",K146=""),"",NETWORKDAYS(C146,K146))</f>
        <v/>
      </c>
    </row>
    <row r="147" spans="1:12" s="89" customFormat="1">
      <c r="A147" s="89" t="str">
        <f>IF(Registro!B147="","",Registro!B147)</f>
        <v/>
      </c>
      <c r="B147" s="89" t="str">
        <f>IF(Registro!B147="","",Registro!H147)</f>
        <v/>
      </c>
      <c r="C147" s="137" t="str">
        <f>IF(Registro!B147="","",Registro!L147)</f>
        <v/>
      </c>
      <c r="D147" s="89" t="str">
        <f>IF(Registro!B147="","",Registro!M147)</f>
        <v/>
      </c>
      <c r="E147" s="136" t="str">
        <f>IF(A147="","",_xlfn.XLOOKUP(A147,Registro!$B$8:$B$997,Registro!$R$8:$R$997,"N/E",0))</f>
        <v/>
      </c>
      <c r="F147" s="93" t="str">
        <f t="shared" si="4"/>
        <v/>
      </c>
      <c r="G147" s="93"/>
      <c r="H147" s="136"/>
      <c r="K147" s="93"/>
      <c r="L147" s="93" t="str">
        <f t="shared" si="5"/>
        <v/>
      </c>
    </row>
    <row r="148" spans="1:12" s="89" customFormat="1">
      <c r="A148" s="89" t="str">
        <f>IF(Registro!B148="","",Registro!B148)</f>
        <v/>
      </c>
      <c r="B148" s="89" t="str">
        <f>IF(Registro!B148="","",Registro!H148)</f>
        <v/>
      </c>
      <c r="C148" s="137" t="str">
        <f>IF(Registro!B148="","",Registro!L148)</f>
        <v/>
      </c>
      <c r="D148" s="89" t="str">
        <f>IF(Registro!B148="","",Registro!M148)</f>
        <v/>
      </c>
      <c r="E148" s="136" t="str">
        <f>IF(A148="","",_xlfn.XLOOKUP(A148,Registro!$B$8:$B$997,Registro!$R$8:$R$997,"N/E",0))</f>
        <v/>
      </c>
      <c r="F148" s="93" t="str">
        <f t="shared" si="4"/>
        <v/>
      </c>
      <c r="G148" s="93"/>
      <c r="H148" s="136"/>
      <c r="K148" s="93"/>
      <c r="L148" s="93" t="str">
        <f t="shared" si="5"/>
        <v/>
      </c>
    </row>
    <row r="149" spans="1:12" s="89" customFormat="1">
      <c r="A149" s="89" t="str">
        <f>IF(Registro!B149="","",Registro!B149)</f>
        <v/>
      </c>
      <c r="B149" s="89" t="str">
        <f>IF(Registro!B149="","",Registro!H149)</f>
        <v/>
      </c>
      <c r="C149" s="137" t="str">
        <f>IF(Registro!B149="","",Registro!L149)</f>
        <v/>
      </c>
      <c r="D149" s="89" t="str">
        <f>IF(Registro!B149="","",Registro!M149)</f>
        <v/>
      </c>
      <c r="E149" s="136" t="str">
        <f>IF(A149="","",_xlfn.XLOOKUP(A149,Registro!$B$8:$B$997,Registro!$R$8:$R$997,"N/E",0))</f>
        <v/>
      </c>
      <c r="F149" s="93" t="str">
        <f t="shared" si="4"/>
        <v/>
      </c>
      <c r="G149" s="93"/>
      <c r="H149" s="136"/>
      <c r="K149" s="93"/>
      <c r="L149" s="93" t="str">
        <f t="shared" si="5"/>
        <v/>
      </c>
    </row>
    <row r="150" spans="1:12" s="89" customFormat="1">
      <c r="A150" s="89" t="str">
        <f>IF(Registro!B150="","",Registro!B150)</f>
        <v/>
      </c>
      <c r="B150" s="89" t="str">
        <f>IF(Registro!B150="","",Registro!H150)</f>
        <v/>
      </c>
      <c r="C150" s="137" t="str">
        <f>IF(Registro!B150="","",Registro!L150)</f>
        <v/>
      </c>
      <c r="D150" s="89" t="str">
        <f>IF(Registro!B150="","",Registro!M150)</f>
        <v/>
      </c>
      <c r="E150" s="136" t="str">
        <f>IF(A150="","",_xlfn.XLOOKUP(A150,Registro!$B$8:$B$997,Registro!$R$8:$R$997,"N/E",0))</f>
        <v/>
      </c>
      <c r="F150" s="93" t="str">
        <f t="shared" si="4"/>
        <v/>
      </c>
      <c r="G150" s="93"/>
      <c r="H150" s="136"/>
      <c r="K150" s="93"/>
      <c r="L150" s="93" t="str">
        <f t="shared" si="5"/>
        <v/>
      </c>
    </row>
    <row r="151" spans="1:12" s="89" customFormat="1">
      <c r="A151" s="89" t="str">
        <f>IF(Registro!B151="","",Registro!B151)</f>
        <v/>
      </c>
      <c r="B151" s="89" t="str">
        <f>IF(Registro!B151="","",Registro!H151)</f>
        <v/>
      </c>
      <c r="C151" s="137" t="str">
        <f>IF(Registro!B151="","",Registro!L151)</f>
        <v/>
      </c>
      <c r="D151" s="89" t="str">
        <f>IF(Registro!B151="","",Registro!M151)</f>
        <v/>
      </c>
      <c r="E151" s="136" t="str">
        <f>IF(A151="","",_xlfn.XLOOKUP(A151,Registro!$B$8:$B$997,Registro!$R$8:$R$997,"N/E",0))</f>
        <v/>
      </c>
      <c r="F151" s="93" t="str">
        <f t="shared" si="4"/>
        <v/>
      </c>
      <c r="G151" s="93"/>
      <c r="H151" s="136"/>
      <c r="K151" s="93"/>
      <c r="L151" s="93" t="str">
        <f t="shared" si="5"/>
        <v/>
      </c>
    </row>
    <row r="152" spans="1:12" s="89" customFormat="1">
      <c r="A152" s="89" t="str">
        <f>IF(Registro!B152="","",Registro!B152)</f>
        <v/>
      </c>
      <c r="B152" s="89" t="str">
        <f>IF(Registro!B152="","",Registro!H152)</f>
        <v/>
      </c>
      <c r="C152" s="137" t="str">
        <f>IF(Registro!B152="","",Registro!L152)</f>
        <v/>
      </c>
      <c r="D152" s="89" t="str">
        <f>IF(Registro!B152="","",Registro!M152)</f>
        <v/>
      </c>
      <c r="E152" s="136" t="str">
        <f>IF(A152="","",_xlfn.XLOOKUP(A152,Registro!$B$8:$B$997,Registro!$R$8:$R$997,"N/E",0))</f>
        <v/>
      </c>
      <c r="F152" s="93" t="str">
        <f t="shared" si="4"/>
        <v/>
      </c>
      <c r="G152" s="93"/>
      <c r="H152" s="136"/>
      <c r="K152" s="93"/>
      <c r="L152" s="93" t="str">
        <f t="shared" si="5"/>
        <v/>
      </c>
    </row>
    <row r="153" spans="1:12" s="89" customFormat="1">
      <c r="A153" s="89" t="str">
        <f>IF(Registro!B153="","",Registro!B153)</f>
        <v/>
      </c>
      <c r="B153" s="89" t="str">
        <f>IF(Registro!B153="","",Registro!H153)</f>
        <v/>
      </c>
      <c r="C153" s="137" t="str">
        <f>IF(Registro!B153="","",Registro!L153)</f>
        <v/>
      </c>
      <c r="D153" s="89" t="str">
        <f>IF(Registro!B153="","",Registro!M153)</f>
        <v/>
      </c>
      <c r="E153" s="136" t="str">
        <f>IF(A153="","",_xlfn.XLOOKUP(A153,Registro!$B$8:$B$997,Registro!$R$8:$R$997,"N/E",0))</f>
        <v/>
      </c>
      <c r="F153" s="93" t="str">
        <f t="shared" si="4"/>
        <v/>
      </c>
      <c r="G153" s="93"/>
      <c r="H153" s="136"/>
      <c r="K153" s="93"/>
      <c r="L153" s="93" t="str">
        <f t="shared" si="5"/>
        <v/>
      </c>
    </row>
    <row r="154" spans="1:12" s="89" customFormat="1">
      <c r="A154" s="89" t="str">
        <f>IF(Registro!B154="","",Registro!B154)</f>
        <v/>
      </c>
      <c r="B154" s="89" t="str">
        <f>IF(Registro!B154="","",Registro!H154)</f>
        <v/>
      </c>
      <c r="C154" s="137" t="str">
        <f>IF(Registro!B154="","",Registro!L154)</f>
        <v/>
      </c>
      <c r="D154" s="89" t="str">
        <f>IF(Registro!B154="","",Registro!M154)</f>
        <v/>
      </c>
      <c r="E154" s="136" t="str">
        <f>IF(A154="","",_xlfn.XLOOKUP(A154,Registro!$B$8:$B$997,Registro!$R$8:$R$997,"N/E",0))</f>
        <v/>
      </c>
      <c r="F154" s="93" t="str">
        <f t="shared" si="4"/>
        <v/>
      </c>
      <c r="G154" s="93"/>
      <c r="H154" s="136"/>
      <c r="K154" s="93"/>
      <c r="L154" s="93" t="str">
        <f t="shared" si="5"/>
        <v/>
      </c>
    </row>
    <row r="155" spans="1:12" s="89" customFormat="1">
      <c r="A155" s="89" t="str">
        <f>IF(Registro!B155="","",Registro!B155)</f>
        <v/>
      </c>
      <c r="B155" s="89" t="str">
        <f>IF(Registro!B155="","",Registro!H155)</f>
        <v/>
      </c>
      <c r="C155" s="137" t="str">
        <f>IF(Registro!B155="","",Registro!L155)</f>
        <v/>
      </c>
      <c r="D155" s="89" t="str">
        <f>IF(Registro!B155="","",Registro!M155)</f>
        <v/>
      </c>
      <c r="E155" s="136" t="str">
        <f>IF(A155="","",_xlfn.XLOOKUP(A155,Registro!$B$8:$B$997,Registro!$R$8:$R$997,"N/E",0))</f>
        <v/>
      </c>
      <c r="F155" s="93" t="str">
        <f t="shared" si="4"/>
        <v/>
      </c>
      <c r="G155" s="93"/>
      <c r="H155" s="136"/>
      <c r="K155" s="93"/>
      <c r="L155" s="93" t="str">
        <f t="shared" si="5"/>
        <v/>
      </c>
    </row>
    <row r="156" spans="1:12" s="89" customFormat="1">
      <c r="A156" s="89" t="str">
        <f>IF(Registro!B156="","",Registro!B156)</f>
        <v/>
      </c>
      <c r="B156" s="89" t="str">
        <f>IF(Registro!B156="","",Registro!H156)</f>
        <v/>
      </c>
      <c r="C156" s="137" t="str">
        <f>IF(Registro!B156="","",Registro!L156)</f>
        <v/>
      </c>
      <c r="D156" s="89" t="str">
        <f>IF(Registro!B156="","",Registro!M156)</f>
        <v/>
      </c>
      <c r="E156" s="136" t="str">
        <f>IF(A156="","",_xlfn.XLOOKUP(A156,Registro!$B$8:$B$997,Registro!$R$8:$R$997,"N/E",0))</f>
        <v/>
      </c>
      <c r="F156" s="93" t="str">
        <f t="shared" si="4"/>
        <v/>
      </c>
      <c r="G156" s="93"/>
      <c r="H156" s="136"/>
      <c r="K156" s="93"/>
      <c r="L156" s="93" t="str">
        <f t="shared" si="5"/>
        <v/>
      </c>
    </row>
    <row r="157" spans="1:12" s="89" customFormat="1">
      <c r="A157" s="89" t="str">
        <f>IF(Registro!B157="","",Registro!B157)</f>
        <v/>
      </c>
      <c r="B157" s="89" t="str">
        <f>IF(Registro!B157="","",Registro!H157)</f>
        <v/>
      </c>
      <c r="C157" s="137" t="str">
        <f>IF(Registro!B157="","",Registro!L157)</f>
        <v/>
      </c>
      <c r="D157" s="89" t="str">
        <f>IF(Registro!B157="","",Registro!M157)</f>
        <v/>
      </c>
      <c r="E157" s="136" t="str">
        <f>IF(A157="","",_xlfn.XLOOKUP(A157,Registro!$B$8:$B$997,Registro!$R$8:$R$997,"N/E",0))</f>
        <v/>
      </c>
      <c r="F157" s="93" t="str">
        <f t="shared" si="4"/>
        <v/>
      </c>
      <c r="G157" s="93"/>
      <c r="H157" s="136"/>
      <c r="K157" s="93"/>
      <c r="L157" s="93" t="str">
        <f t="shared" si="5"/>
        <v/>
      </c>
    </row>
    <row r="158" spans="1:12" s="89" customFormat="1">
      <c r="A158" s="89" t="str">
        <f>IF(Registro!B158="","",Registro!B158)</f>
        <v/>
      </c>
      <c r="B158" s="89" t="str">
        <f>IF(Registro!B158="","",Registro!H158)</f>
        <v/>
      </c>
      <c r="C158" s="137" t="str">
        <f>IF(Registro!B158="","",Registro!L158)</f>
        <v/>
      </c>
      <c r="D158" s="89" t="str">
        <f>IF(Registro!B158="","",Registro!M158)</f>
        <v/>
      </c>
      <c r="E158" s="136" t="str">
        <f>IF(A158="","",_xlfn.XLOOKUP(A158,Registro!$B$8:$B$997,Registro!$R$8:$R$997,"N/E",0))</f>
        <v/>
      </c>
      <c r="F158" s="93" t="str">
        <f t="shared" si="4"/>
        <v/>
      </c>
      <c r="G158" s="93"/>
      <c r="H158" s="136"/>
      <c r="K158" s="93"/>
      <c r="L158" s="93" t="str">
        <f t="shared" si="5"/>
        <v/>
      </c>
    </row>
    <row r="159" spans="1:12" s="89" customFormat="1">
      <c r="A159" s="89" t="str">
        <f>IF(Registro!B159="","",Registro!B159)</f>
        <v/>
      </c>
      <c r="B159" s="89" t="str">
        <f>IF(Registro!B159="","",Registro!H159)</f>
        <v/>
      </c>
      <c r="C159" s="137" t="str">
        <f>IF(Registro!B159="","",Registro!L159)</f>
        <v/>
      </c>
      <c r="D159" s="89" t="str">
        <f>IF(Registro!B159="","",Registro!M159)</f>
        <v/>
      </c>
      <c r="E159" s="136" t="str">
        <f>IF(A159="","",_xlfn.XLOOKUP(A159,Registro!$B$8:$B$997,Registro!$R$8:$R$997,"N/E",0))</f>
        <v/>
      </c>
      <c r="F159" s="93" t="str">
        <f t="shared" si="4"/>
        <v/>
      </c>
      <c r="G159" s="93"/>
      <c r="H159" s="136"/>
      <c r="K159" s="93"/>
      <c r="L159" s="93" t="str">
        <f t="shared" si="5"/>
        <v/>
      </c>
    </row>
    <row r="160" spans="1:12" s="89" customFormat="1">
      <c r="A160" s="89" t="str">
        <f>IF(Registro!B160="","",Registro!B160)</f>
        <v/>
      </c>
      <c r="B160" s="89" t="str">
        <f>IF(Registro!B160="","",Registro!H160)</f>
        <v/>
      </c>
      <c r="C160" s="137" t="str">
        <f>IF(Registro!B160="","",Registro!L160)</f>
        <v/>
      </c>
      <c r="D160" s="89" t="str">
        <f>IF(Registro!B160="","",Registro!M160)</f>
        <v/>
      </c>
      <c r="E160" s="136" t="str">
        <f>IF(A160="","",_xlfn.XLOOKUP(A160,Registro!$B$8:$B$997,Registro!$R$8:$R$997,"N/E",0))</f>
        <v/>
      </c>
      <c r="F160" s="93" t="str">
        <f t="shared" si="4"/>
        <v/>
      </c>
      <c r="G160" s="93"/>
      <c r="H160" s="136"/>
      <c r="K160" s="93"/>
      <c r="L160" s="93" t="str">
        <f t="shared" si="5"/>
        <v/>
      </c>
    </row>
    <row r="161" spans="1:12" s="89" customFormat="1">
      <c r="A161" s="89" t="str">
        <f>IF(Registro!B161="","",Registro!B161)</f>
        <v/>
      </c>
      <c r="B161" s="89" t="str">
        <f>IF(Registro!B161="","",Registro!H161)</f>
        <v/>
      </c>
      <c r="C161" s="137" t="str">
        <f>IF(Registro!B161="","",Registro!L161)</f>
        <v/>
      </c>
      <c r="D161" s="89" t="str">
        <f>IF(Registro!B161="","",Registro!M161)</f>
        <v/>
      </c>
      <c r="E161" s="136" t="str">
        <f>IF(A161="","",_xlfn.XLOOKUP(A161,Registro!$B$8:$B$997,Registro!$R$8:$R$997,"N/E",0))</f>
        <v/>
      </c>
      <c r="F161" s="93" t="str">
        <f t="shared" si="4"/>
        <v/>
      </c>
      <c r="G161" s="93"/>
      <c r="H161" s="136"/>
      <c r="K161" s="93"/>
      <c r="L161" s="93" t="str">
        <f t="shared" si="5"/>
        <v/>
      </c>
    </row>
    <row r="162" spans="1:12" s="89" customFormat="1">
      <c r="A162" s="89" t="str">
        <f>IF(Registro!B162="","",Registro!B162)</f>
        <v/>
      </c>
      <c r="B162" s="89" t="str">
        <f>IF(Registro!B162="","",Registro!H162)</f>
        <v/>
      </c>
      <c r="C162" s="137" t="str">
        <f>IF(Registro!B162="","",Registro!L162)</f>
        <v/>
      </c>
      <c r="D162" s="89" t="str">
        <f>IF(Registro!B162="","",Registro!M162)</f>
        <v/>
      </c>
      <c r="E162" s="136" t="str">
        <f>IF(A162="","",_xlfn.XLOOKUP(A162,Registro!$B$8:$B$997,Registro!$R$8:$R$997,"N/E",0))</f>
        <v/>
      </c>
      <c r="F162" s="93" t="str">
        <f t="shared" si="4"/>
        <v/>
      </c>
      <c r="G162" s="93"/>
      <c r="H162" s="136"/>
      <c r="K162" s="93"/>
      <c r="L162" s="93" t="str">
        <f t="shared" si="5"/>
        <v/>
      </c>
    </row>
    <row r="163" spans="1:12" s="89" customFormat="1">
      <c r="A163" s="89" t="str">
        <f>IF(Registro!B163="","",Registro!B163)</f>
        <v/>
      </c>
      <c r="B163" s="89" t="str">
        <f>IF(Registro!B163="","",Registro!H163)</f>
        <v/>
      </c>
      <c r="C163" s="137" t="str">
        <f>IF(Registro!B163="","",Registro!L163)</f>
        <v/>
      </c>
      <c r="D163" s="89" t="str">
        <f>IF(Registro!B163="","",Registro!M163)</f>
        <v/>
      </c>
      <c r="E163" s="136" t="str">
        <f>IF(A163="","",_xlfn.XLOOKUP(A163,Registro!$B$8:$B$997,Registro!$R$8:$R$997,"N/E",0))</f>
        <v/>
      </c>
      <c r="F163" s="93" t="str">
        <f t="shared" si="4"/>
        <v/>
      </c>
      <c r="G163" s="93"/>
      <c r="H163" s="136"/>
      <c r="K163" s="93"/>
      <c r="L163" s="93" t="str">
        <f t="shared" si="5"/>
        <v/>
      </c>
    </row>
    <row r="164" spans="1:12" s="89" customFormat="1">
      <c r="A164" s="89" t="str">
        <f>IF(Registro!B164="","",Registro!B164)</f>
        <v/>
      </c>
      <c r="B164" s="89" t="str">
        <f>IF(Registro!B164="","",Registro!H164)</f>
        <v/>
      </c>
      <c r="C164" s="137" t="str">
        <f>IF(Registro!B164="","",Registro!L164)</f>
        <v/>
      </c>
      <c r="D164" s="89" t="str">
        <f>IF(Registro!B164="","",Registro!M164)</f>
        <v/>
      </c>
      <c r="E164" s="136" t="str">
        <f>IF(A164="","",_xlfn.XLOOKUP(A164,Registro!$B$8:$B$997,Registro!$R$8:$R$997,"N/E",0))</f>
        <v/>
      </c>
      <c r="F164" s="93" t="str">
        <f t="shared" si="4"/>
        <v/>
      </c>
      <c r="G164" s="93"/>
      <c r="H164" s="136"/>
      <c r="K164" s="93"/>
      <c r="L164" s="93" t="str">
        <f t="shared" si="5"/>
        <v/>
      </c>
    </row>
    <row r="165" spans="1:12" s="89" customFormat="1">
      <c r="A165" s="89" t="str">
        <f>IF(Registro!B165="","",Registro!B165)</f>
        <v/>
      </c>
      <c r="B165" s="89" t="str">
        <f>IF(Registro!B165="","",Registro!H165)</f>
        <v/>
      </c>
      <c r="C165" s="137" t="str">
        <f>IF(Registro!B165="","",Registro!L165)</f>
        <v/>
      </c>
      <c r="D165" s="89" t="str">
        <f>IF(Registro!B165="","",Registro!M165)</f>
        <v/>
      </c>
      <c r="E165" s="136" t="str">
        <f>IF(A165="","",_xlfn.XLOOKUP(A165,Registro!$B$8:$B$997,Registro!$R$8:$R$997,"N/E",0))</f>
        <v/>
      </c>
      <c r="F165" s="93" t="str">
        <f t="shared" si="4"/>
        <v/>
      </c>
      <c r="G165" s="93"/>
      <c r="H165" s="136"/>
      <c r="K165" s="93"/>
      <c r="L165" s="93" t="str">
        <f t="shared" si="5"/>
        <v/>
      </c>
    </row>
    <row r="166" spans="1:12" s="89" customFormat="1">
      <c r="A166" s="89" t="str">
        <f>IF(Registro!B166="","",Registro!B166)</f>
        <v/>
      </c>
      <c r="B166" s="89" t="str">
        <f>IF(Registro!B166="","",Registro!H166)</f>
        <v/>
      </c>
      <c r="C166" s="137" t="str">
        <f>IF(Registro!B166="","",Registro!L166)</f>
        <v/>
      </c>
      <c r="D166" s="89" t="str">
        <f>IF(Registro!B166="","",Registro!M166)</f>
        <v/>
      </c>
      <c r="E166" s="136" t="str">
        <f>IF(A166="","",_xlfn.XLOOKUP(A166,Registro!$B$8:$B$997,Registro!$R$8:$R$997,"N/E",0))</f>
        <v/>
      </c>
      <c r="F166" s="93" t="str">
        <f t="shared" si="4"/>
        <v/>
      </c>
      <c r="G166" s="93"/>
      <c r="H166" s="136"/>
      <c r="K166" s="93"/>
      <c r="L166" s="93" t="str">
        <f t="shared" si="5"/>
        <v/>
      </c>
    </row>
    <row r="167" spans="1:12" s="89" customFormat="1">
      <c r="A167" s="89" t="str">
        <f>IF(Registro!B167="","",Registro!B167)</f>
        <v/>
      </c>
      <c r="B167" s="89" t="str">
        <f>IF(Registro!B167="","",Registro!H167)</f>
        <v/>
      </c>
      <c r="C167" s="137" t="str">
        <f>IF(Registro!B167="","",Registro!L167)</f>
        <v/>
      </c>
      <c r="D167" s="89" t="str">
        <f>IF(Registro!B167="","",Registro!M167)</f>
        <v/>
      </c>
      <c r="E167" s="136" t="str">
        <f>IF(A167="","",_xlfn.XLOOKUP(A167,Registro!$B$8:$B$997,Registro!$R$8:$R$997,"N/E",0))</f>
        <v/>
      </c>
      <c r="F167" s="93" t="str">
        <f t="shared" si="4"/>
        <v/>
      </c>
      <c r="G167" s="93"/>
      <c r="H167" s="136"/>
      <c r="K167" s="93"/>
      <c r="L167" s="93" t="str">
        <f t="shared" si="5"/>
        <v/>
      </c>
    </row>
    <row r="168" spans="1:12" s="89" customFormat="1">
      <c r="A168" s="89" t="str">
        <f>IF(Registro!B168="","",Registro!B168)</f>
        <v/>
      </c>
      <c r="B168" s="89" t="str">
        <f>IF(Registro!B168="","",Registro!H168)</f>
        <v/>
      </c>
      <c r="C168" s="137" t="str">
        <f>IF(Registro!B168="","",Registro!L168)</f>
        <v/>
      </c>
      <c r="D168" s="89" t="str">
        <f>IF(Registro!B168="","",Registro!M168)</f>
        <v/>
      </c>
      <c r="E168" s="136" t="str">
        <f>IF(A168="","",_xlfn.XLOOKUP(A168,Registro!$B$8:$B$997,Registro!$R$8:$R$997,"N/E",0))</f>
        <v/>
      </c>
      <c r="F168" s="93" t="str">
        <f t="shared" si="4"/>
        <v/>
      </c>
      <c r="G168" s="93"/>
      <c r="H168" s="136"/>
      <c r="K168" s="93"/>
      <c r="L168" s="93" t="str">
        <f t="shared" si="5"/>
        <v/>
      </c>
    </row>
    <row r="169" spans="1:12" s="89" customFormat="1">
      <c r="A169" s="89" t="str">
        <f>IF(Registro!B169="","",Registro!B169)</f>
        <v/>
      </c>
      <c r="B169" s="89" t="str">
        <f>IF(Registro!B169="","",Registro!H169)</f>
        <v/>
      </c>
      <c r="C169" s="137" t="str">
        <f>IF(Registro!B169="","",Registro!L169)</f>
        <v/>
      </c>
      <c r="D169" s="89" t="str">
        <f>IF(Registro!B169="","",Registro!M169)</f>
        <v/>
      </c>
      <c r="E169" s="136" t="str">
        <f>IF(A169="","",_xlfn.XLOOKUP(A169,Registro!$B$8:$B$997,Registro!$R$8:$R$997,"N/E",0))</f>
        <v/>
      </c>
      <c r="F169" s="93" t="str">
        <f t="shared" si="4"/>
        <v/>
      </c>
      <c r="G169" s="93"/>
      <c r="H169" s="136"/>
      <c r="K169" s="93"/>
      <c r="L169" s="93" t="str">
        <f t="shared" si="5"/>
        <v/>
      </c>
    </row>
    <row r="170" spans="1:12" s="89" customFormat="1">
      <c r="A170" s="89" t="str">
        <f>IF(Registro!B170="","",Registro!B170)</f>
        <v/>
      </c>
      <c r="B170" s="89" t="str">
        <f>IF(Registro!B170="","",Registro!H170)</f>
        <v/>
      </c>
      <c r="C170" s="137" t="str">
        <f>IF(Registro!B170="","",Registro!L170)</f>
        <v/>
      </c>
      <c r="D170" s="89" t="str">
        <f>IF(Registro!B170="","",Registro!M170)</f>
        <v/>
      </c>
      <c r="E170" s="136" t="str">
        <f>IF(A170="","",_xlfn.XLOOKUP(A170,Registro!$B$8:$B$997,Registro!$R$8:$R$997,"N/E",0))</f>
        <v/>
      </c>
      <c r="F170" s="93" t="str">
        <f t="shared" si="4"/>
        <v/>
      </c>
      <c r="G170" s="93"/>
      <c r="H170" s="136"/>
      <c r="K170" s="93"/>
      <c r="L170" s="93" t="str">
        <f t="shared" si="5"/>
        <v/>
      </c>
    </row>
    <row r="171" spans="1:12" s="89" customFormat="1">
      <c r="A171" s="89" t="str">
        <f>IF(Registro!B171="","",Registro!B171)</f>
        <v/>
      </c>
      <c r="B171" s="89" t="str">
        <f>IF(Registro!B171="","",Registro!H171)</f>
        <v/>
      </c>
      <c r="C171" s="137" t="str">
        <f>IF(Registro!B171="","",Registro!L171)</f>
        <v/>
      </c>
      <c r="D171" s="89" t="str">
        <f>IF(Registro!B171="","",Registro!M171)</f>
        <v/>
      </c>
      <c r="E171" s="136" t="str">
        <f>IF(A171="","",_xlfn.XLOOKUP(A171,Registro!$B$8:$B$997,Registro!$R$8:$R$997,"N/E",0))</f>
        <v/>
      </c>
      <c r="F171" s="93" t="str">
        <f t="shared" si="4"/>
        <v/>
      </c>
      <c r="G171" s="93"/>
      <c r="H171" s="136"/>
      <c r="K171" s="93"/>
      <c r="L171" s="93" t="str">
        <f t="shared" si="5"/>
        <v/>
      </c>
    </row>
    <row r="172" spans="1:12" s="89" customFormat="1">
      <c r="A172" s="89" t="str">
        <f>IF(Registro!B172="","",Registro!B172)</f>
        <v/>
      </c>
      <c r="B172" s="89" t="str">
        <f>IF(Registro!B172="","",Registro!H172)</f>
        <v/>
      </c>
      <c r="C172" s="137" t="str">
        <f>IF(Registro!B172="","",Registro!L172)</f>
        <v/>
      </c>
      <c r="D172" s="89" t="str">
        <f>IF(Registro!B172="","",Registro!M172)</f>
        <v/>
      </c>
      <c r="E172" s="136" t="str">
        <f>IF(A172="","",_xlfn.XLOOKUP(A172,Registro!$B$8:$B$997,Registro!$R$8:$R$997,"N/E",0))</f>
        <v/>
      </c>
      <c r="F172" s="93" t="str">
        <f t="shared" si="4"/>
        <v/>
      </c>
      <c r="G172" s="93"/>
      <c r="H172" s="136"/>
      <c r="K172" s="93"/>
      <c r="L172" s="93" t="str">
        <f t="shared" si="5"/>
        <v/>
      </c>
    </row>
    <row r="173" spans="1:12" s="89" customFormat="1">
      <c r="A173" s="89" t="str">
        <f>IF(Registro!B173="","",Registro!B173)</f>
        <v/>
      </c>
      <c r="B173" s="89" t="str">
        <f>IF(Registro!B173="","",Registro!H173)</f>
        <v/>
      </c>
      <c r="C173" s="137" t="str">
        <f>IF(Registro!B173="","",Registro!L173)</f>
        <v/>
      </c>
      <c r="D173" s="89" t="str">
        <f>IF(Registro!B173="","",Registro!M173)</f>
        <v/>
      </c>
      <c r="E173" s="136" t="str">
        <f>IF(A173="","",_xlfn.XLOOKUP(A173,Registro!$B$8:$B$997,Registro!$R$8:$R$997,"N/E",0))</f>
        <v/>
      </c>
      <c r="F173" s="93" t="str">
        <f t="shared" si="4"/>
        <v/>
      </c>
      <c r="G173" s="93"/>
      <c r="H173" s="136"/>
      <c r="K173" s="93"/>
      <c r="L173" s="93" t="str">
        <f t="shared" si="5"/>
        <v/>
      </c>
    </row>
    <row r="174" spans="1:12" s="89" customFormat="1">
      <c r="A174" s="89" t="str">
        <f>IF(Registro!B174="","",Registro!B174)</f>
        <v/>
      </c>
      <c r="B174" s="89" t="str">
        <f>IF(Registro!B174="","",Registro!H174)</f>
        <v/>
      </c>
      <c r="C174" s="137" t="str">
        <f>IF(Registro!B174="","",Registro!L174)</f>
        <v/>
      </c>
      <c r="D174" s="89" t="str">
        <f>IF(Registro!B174="","",Registro!M174)</f>
        <v/>
      </c>
      <c r="E174" s="136" t="str">
        <f>IF(A174="","",_xlfn.XLOOKUP(A174,Registro!$B$8:$B$997,Registro!$R$8:$R$997,"N/E",0))</f>
        <v/>
      </c>
      <c r="F174" s="93" t="str">
        <f t="shared" si="4"/>
        <v/>
      </c>
      <c r="G174" s="93"/>
      <c r="H174" s="136"/>
      <c r="K174" s="93"/>
      <c r="L174" s="93" t="str">
        <f t="shared" si="5"/>
        <v/>
      </c>
    </row>
    <row r="175" spans="1:12" s="89" customFormat="1">
      <c r="A175" s="89" t="str">
        <f>IF(Registro!B175="","",Registro!B175)</f>
        <v/>
      </c>
      <c r="B175" s="89" t="str">
        <f>IF(Registro!B175="","",Registro!H175)</f>
        <v/>
      </c>
      <c r="C175" s="137" t="str">
        <f>IF(Registro!B175="","",Registro!L175)</f>
        <v/>
      </c>
      <c r="D175" s="89" t="str">
        <f>IF(Registro!B175="","",Registro!M175)</f>
        <v/>
      </c>
      <c r="E175" s="136" t="str">
        <f>IF(A175="","",_xlfn.XLOOKUP(A175,Registro!$B$8:$B$997,Registro!$R$8:$R$997,"N/E",0))</f>
        <v/>
      </c>
      <c r="F175" s="93" t="str">
        <f t="shared" si="4"/>
        <v/>
      </c>
      <c r="G175" s="93"/>
      <c r="H175" s="136"/>
      <c r="K175" s="93"/>
      <c r="L175" s="93" t="str">
        <f t="shared" si="5"/>
        <v/>
      </c>
    </row>
    <row r="176" spans="1:12" s="89" customFormat="1">
      <c r="A176" s="89" t="str">
        <f>IF(Registro!B176="","",Registro!B176)</f>
        <v/>
      </c>
      <c r="B176" s="89" t="str">
        <f>IF(Registro!B176="","",Registro!H176)</f>
        <v/>
      </c>
      <c r="C176" s="137" t="str">
        <f>IF(Registro!B176="","",Registro!L176)</f>
        <v/>
      </c>
      <c r="D176" s="89" t="str">
        <f>IF(Registro!B176="","",Registro!M176)</f>
        <v/>
      </c>
      <c r="E176" s="136" t="str">
        <f>IF(A176="","",_xlfn.XLOOKUP(A176,Registro!$B$8:$B$997,Registro!$R$8:$R$997,"N/E",0))</f>
        <v/>
      </c>
      <c r="F176" s="93" t="str">
        <f t="shared" si="4"/>
        <v/>
      </c>
      <c r="G176" s="93"/>
      <c r="H176" s="136"/>
      <c r="K176" s="93"/>
      <c r="L176" s="93" t="str">
        <f t="shared" si="5"/>
        <v/>
      </c>
    </row>
    <row r="177" spans="1:12" s="89" customFormat="1">
      <c r="A177" s="89" t="str">
        <f>IF(Registro!B177="","",Registro!B177)</f>
        <v/>
      </c>
      <c r="B177" s="89" t="str">
        <f>IF(Registro!B177="","",Registro!H177)</f>
        <v/>
      </c>
      <c r="C177" s="137" t="str">
        <f>IF(Registro!B177="","",Registro!L177)</f>
        <v/>
      </c>
      <c r="D177" s="89" t="str">
        <f>IF(Registro!B177="","",Registro!M177)</f>
        <v/>
      </c>
      <c r="E177" s="136" t="str">
        <f>IF(A177="","",_xlfn.XLOOKUP(A177,Registro!$B$8:$B$997,Registro!$R$8:$R$997,"N/E",0))</f>
        <v/>
      </c>
      <c r="F177" s="93" t="str">
        <f t="shared" si="4"/>
        <v/>
      </c>
      <c r="G177" s="93"/>
      <c r="H177" s="136"/>
      <c r="K177" s="93"/>
      <c r="L177" s="93" t="str">
        <f t="shared" si="5"/>
        <v/>
      </c>
    </row>
    <row r="178" spans="1:12" s="89" customFormat="1">
      <c r="A178" s="89" t="str">
        <f>IF(Registro!B178="","",Registro!B178)</f>
        <v/>
      </c>
      <c r="B178" s="89" t="str">
        <f>IF(Registro!B178="","",Registro!H178)</f>
        <v/>
      </c>
      <c r="C178" s="137" t="str">
        <f>IF(Registro!B178="","",Registro!L178)</f>
        <v/>
      </c>
      <c r="D178" s="89" t="str">
        <f>IF(Registro!B178="","",Registro!M178)</f>
        <v/>
      </c>
      <c r="E178" s="136" t="str">
        <f>IF(A178="","",_xlfn.XLOOKUP(A178,Registro!$B$8:$B$997,Registro!$R$8:$R$997,"N/E",0))</f>
        <v/>
      </c>
      <c r="F178" s="93" t="str">
        <f t="shared" si="4"/>
        <v/>
      </c>
      <c r="G178" s="93"/>
      <c r="H178" s="136"/>
      <c r="K178" s="93"/>
      <c r="L178" s="93" t="str">
        <f t="shared" si="5"/>
        <v/>
      </c>
    </row>
    <row r="179" spans="1:12" s="89" customFormat="1">
      <c r="A179" s="89" t="str">
        <f>IF(Registro!B179="","",Registro!B179)</f>
        <v/>
      </c>
      <c r="B179" s="89" t="str">
        <f>IF(Registro!B179="","",Registro!H179)</f>
        <v/>
      </c>
      <c r="C179" s="137" t="str">
        <f>IF(Registro!B179="","",Registro!L179)</f>
        <v/>
      </c>
      <c r="D179" s="89" t="str">
        <f>IF(Registro!B179="","",Registro!M179)</f>
        <v/>
      </c>
      <c r="E179" s="136" t="str">
        <f>IF(A179="","",_xlfn.XLOOKUP(A179,Registro!$B$8:$B$997,Registro!$R$8:$R$997,"N/E",0))</f>
        <v/>
      </c>
      <c r="F179" s="93" t="str">
        <f t="shared" si="4"/>
        <v/>
      </c>
      <c r="G179" s="93"/>
      <c r="H179" s="136"/>
      <c r="K179" s="93"/>
      <c r="L179" s="93" t="str">
        <f t="shared" si="5"/>
        <v/>
      </c>
    </row>
    <row r="180" spans="1:12" s="89" customFormat="1">
      <c r="A180" s="89" t="str">
        <f>IF(Registro!B180="","",Registro!B180)</f>
        <v/>
      </c>
      <c r="B180" s="89" t="str">
        <f>IF(Registro!B180="","",Registro!H180)</f>
        <v/>
      </c>
      <c r="C180" s="137" t="str">
        <f>IF(Registro!B180="","",Registro!L180)</f>
        <v/>
      </c>
      <c r="D180" s="89" t="str">
        <f>IF(Registro!B180="","",Registro!M180)</f>
        <v/>
      </c>
      <c r="E180" s="136" t="str">
        <f>IF(A180="","",_xlfn.XLOOKUP(A180,Registro!$B$8:$B$997,Registro!$R$8:$R$997,"N/E",0))</f>
        <v/>
      </c>
      <c r="F180" s="93" t="str">
        <f t="shared" si="4"/>
        <v/>
      </c>
      <c r="G180" s="93"/>
      <c r="H180" s="136"/>
      <c r="K180" s="93"/>
      <c r="L180" s="93" t="str">
        <f t="shared" si="5"/>
        <v/>
      </c>
    </row>
    <row r="181" spans="1:12" s="89" customFormat="1">
      <c r="A181" s="89" t="str">
        <f>IF(Registro!B181="","",Registro!B181)</f>
        <v/>
      </c>
      <c r="B181" s="89" t="str">
        <f>IF(Registro!B181="","",Registro!H181)</f>
        <v/>
      </c>
      <c r="C181" s="137" t="str">
        <f>IF(Registro!B181="","",Registro!L181)</f>
        <v/>
      </c>
      <c r="D181" s="89" t="str">
        <f>IF(Registro!B181="","",Registro!M181)</f>
        <v/>
      </c>
      <c r="E181" s="136" t="str">
        <f>IF(A181="","",_xlfn.XLOOKUP(A181,Registro!$B$8:$B$997,Registro!$R$8:$R$997,"N/E",0))</f>
        <v/>
      </c>
      <c r="F181" s="93" t="str">
        <f t="shared" si="4"/>
        <v/>
      </c>
      <c r="G181" s="93"/>
      <c r="H181" s="136"/>
      <c r="K181" s="93"/>
      <c r="L181" s="93" t="str">
        <f t="shared" si="5"/>
        <v/>
      </c>
    </row>
    <row r="182" spans="1:12" s="89" customFormat="1">
      <c r="A182" s="89" t="str">
        <f>IF(Registro!B182="","",Registro!B182)</f>
        <v/>
      </c>
      <c r="B182" s="89" t="str">
        <f>IF(Registro!B182="","",Registro!H182)</f>
        <v/>
      </c>
      <c r="C182" s="137" t="str">
        <f>IF(Registro!B182="","",Registro!L182)</f>
        <v/>
      </c>
      <c r="D182" s="89" t="str">
        <f>IF(Registro!B182="","",Registro!M182)</f>
        <v/>
      </c>
      <c r="E182" s="136" t="str">
        <f>IF(A182="","",_xlfn.XLOOKUP(A182,Registro!$B$8:$B$997,Registro!$R$8:$R$997,"N/E",0))</f>
        <v/>
      </c>
      <c r="F182" s="93" t="str">
        <f t="shared" si="4"/>
        <v/>
      </c>
      <c r="G182" s="93"/>
      <c r="H182" s="136"/>
      <c r="K182" s="93"/>
      <c r="L182" s="93" t="str">
        <f t="shared" si="5"/>
        <v/>
      </c>
    </row>
    <row r="183" spans="1:12" s="89" customFormat="1">
      <c r="A183" s="89" t="str">
        <f>IF(Registro!B183="","",Registro!B183)</f>
        <v/>
      </c>
      <c r="B183" s="89" t="str">
        <f>IF(Registro!B183="","",Registro!H183)</f>
        <v/>
      </c>
      <c r="C183" s="137" t="str">
        <f>IF(Registro!B183="","",Registro!L183)</f>
        <v/>
      </c>
      <c r="D183" s="89" t="str">
        <f>IF(Registro!B183="","",Registro!M183)</f>
        <v/>
      </c>
      <c r="E183" s="136" t="str">
        <f>IF(A183="","",_xlfn.XLOOKUP(A183,Registro!$B$8:$B$997,Registro!$R$8:$R$997,"N/E",0))</f>
        <v/>
      </c>
      <c r="F183" s="93" t="str">
        <f t="shared" si="4"/>
        <v/>
      </c>
      <c r="G183" s="93"/>
      <c r="H183" s="136"/>
      <c r="K183" s="93"/>
      <c r="L183" s="93" t="str">
        <f t="shared" si="5"/>
        <v/>
      </c>
    </row>
    <row r="184" spans="1:12" s="89" customFormat="1">
      <c r="A184" s="89" t="str">
        <f>IF(Registro!B184="","",Registro!B184)</f>
        <v/>
      </c>
      <c r="B184" s="89" t="str">
        <f>IF(Registro!B184="","",Registro!H184)</f>
        <v/>
      </c>
      <c r="C184" s="137" t="str">
        <f>IF(Registro!B184="","",Registro!L184)</f>
        <v/>
      </c>
      <c r="D184" s="89" t="str">
        <f>IF(Registro!B184="","",Registro!M184)</f>
        <v/>
      </c>
      <c r="E184" s="136" t="str">
        <f>IF(A184="","",_xlfn.XLOOKUP(A184,Registro!$B$8:$B$997,Registro!$R$8:$R$997,"N/E",0))</f>
        <v/>
      </c>
      <c r="F184" s="93" t="str">
        <f t="shared" si="4"/>
        <v/>
      </c>
      <c r="G184" s="93"/>
      <c r="H184" s="136"/>
      <c r="K184" s="93"/>
      <c r="L184" s="93" t="str">
        <f t="shared" si="5"/>
        <v/>
      </c>
    </row>
    <row r="185" spans="1:12" s="89" customFormat="1">
      <c r="A185" s="89" t="str">
        <f>IF(Registro!B185="","",Registro!B185)</f>
        <v/>
      </c>
      <c r="B185" s="89" t="str">
        <f>IF(Registro!B185="","",Registro!H185)</f>
        <v/>
      </c>
      <c r="C185" s="137" t="str">
        <f>IF(Registro!B185="","",Registro!L185)</f>
        <v/>
      </c>
      <c r="D185" s="89" t="str">
        <f>IF(Registro!B185="","",Registro!M185)</f>
        <v/>
      </c>
      <c r="E185" s="136" t="str">
        <f>IF(A185="","",_xlfn.XLOOKUP(A185,Registro!$B$8:$B$997,Registro!$R$8:$R$997,"N/E",0))</f>
        <v/>
      </c>
      <c r="F185" s="93" t="str">
        <f t="shared" si="4"/>
        <v/>
      </c>
      <c r="G185" s="93"/>
      <c r="H185" s="136"/>
      <c r="K185" s="93"/>
      <c r="L185" s="93" t="str">
        <f t="shared" si="5"/>
        <v/>
      </c>
    </row>
    <row r="186" spans="1:12" s="89" customFormat="1">
      <c r="A186" s="89" t="str">
        <f>IF(Registro!B186="","",Registro!B186)</f>
        <v/>
      </c>
      <c r="B186" s="89" t="str">
        <f>IF(Registro!B186="","",Registro!H186)</f>
        <v/>
      </c>
      <c r="C186" s="137" t="str">
        <f>IF(Registro!B186="","",Registro!L186)</f>
        <v/>
      </c>
      <c r="D186" s="89" t="str">
        <f>IF(Registro!B186="","",Registro!M186)</f>
        <v/>
      </c>
      <c r="E186" s="136" t="str">
        <f>IF(A186="","",_xlfn.XLOOKUP(A186,Registro!$B$8:$B$997,Registro!$R$8:$R$997,"N/E",0))</f>
        <v/>
      </c>
      <c r="F186" s="93" t="str">
        <f t="shared" si="4"/>
        <v/>
      </c>
      <c r="G186" s="93"/>
      <c r="H186" s="136"/>
      <c r="K186" s="93"/>
      <c r="L186" s="93" t="str">
        <f t="shared" si="5"/>
        <v/>
      </c>
    </row>
    <row r="187" spans="1:12" s="89" customFormat="1">
      <c r="A187" s="89" t="str">
        <f>IF(Registro!B187="","",Registro!B187)</f>
        <v/>
      </c>
      <c r="B187" s="89" t="str">
        <f>IF(Registro!B187="","",Registro!H187)</f>
        <v/>
      </c>
      <c r="C187" s="137" t="str">
        <f>IF(Registro!B187="","",Registro!L187)</f>
        <v/>
      </c>
      <c r="D187" s="89" t="str">
        <f>IF(Registro!B187="","",Registro!M187)</f>
        <v/>
      </c>
      <c r="E187" s="136" t="str">
        <f>IF(A187="","",_xlfn.XLOOKUP(A187,Registro!$B$8:$B$997,Registro!$R$8:$R$997,"N/E",0))</f>
        <v/>
      </c>
      <c r="F187" s="93" t="str">
        <f t="shared" si="4"/>
        <v/>
      </c>
      <c r="G187" s="93"/>
      <c r="H187" s="136"/>
      <c r="K187" s="93"/>
      <c r="L187" s="93" t="str">
        <f t="shared" si="5"/>
        <v/>
      </c>
    </row>
    <row r="188" spans="1:12" s="89" customFormat="1">
      <c r="A188" s="89" t="str">
        <f>IF(Registro!B188="","",Registro!B188)</f>
        <v/>
      </c>
      <c r="B188" s="89" t="str">
        <f>IF(Registro!B188="","",Registro!H188)</f>
        <v/>
      </c>
      <c r="C188" s="137" t="str">
        <f>IF(Registro!B188="","",Registro!L188)</f>
        <v/>
      </c>
      <c r="D188" s="89" t="str">
        <f>IF(Registro!B188="","",Registro!M188)</f>
        <v/>
      </c>
      <c r="E188" s="136" t="str">
        <f>IF(A188="","",_xlfn.XLOOKUP(A188,Registro!$B$8:$B$997,Registro!$R$8:$R$997,"N/E",0))</f>
        <v/>
      </c>
      <c r="F188" s="93" t="str">
        <f t="shared" si="4"/>
        <v/>
      </c>
      <c r="G188" s="93"/>
      <c r="H188" s="136"/>
      <c r="K188" s="93"/>
      <c r="L188" s="93" t="str">
        <f t="shared" si="5"/>
        <v/>
      </c>
    </row>
    <row r="189" spans="1:12" s="89" customFormat="1">
      <c r="A189" s="89" t="str">
        <f>IF(Registro!B189="","",Registro!B189)</f>
        <v/>
      </c>
      <c r="B189" s="89" t="str">
        <f>IF(Registro!B189="","",Registro!H189)</f>
        <v/>
      </c>
      <c r="C189" s="137" t="str">
        <f>IF(Registro!B189="","",Registro!L189)</f>
        <v/>
      </c>
      <c r="D189" s="89" t="str">
        <f>IF(Registro!B189="","",Registro!M189)</f>
        <v/>
      </c>
      <c r="E189" s="136" t="str">
        <f>IF(A189="","",_xlfn.XLOOKUP(A189,Registro!$B$8:$B$997,Registro!$R$8:$R$997,"N/E",0))</f>
        <v/>
      </c>
      <c r="F189" s="93" t="str">
        <f t="shared" si="4"/>
        <v/>
      </c>
      <c r="G189" s="93"/>
      <c r="H189" s="136"/>
      <c r="K189" s="93"/>
      <c r="L189" s="93" t="str">
        <f t="shared" si="5"/>
        <v/>
      </c>
    </row>
    <row r="190" spans="1:12" s="89" customFormat="1">
      <c r="A190" s="89" t="str">
        <f>IF(Registro!B190="","",Registro!B190)</f>
        <v/>
      </c>
      <c r="B190" s="89" t="str">
        <f>IF(Registro!B190="","",Registro!H190)</f>
        <v/>
      </c>
      <c r="C190" s="137" t="str">
        <f>IF(Registro!B190="","",Registro!L190)</f>
        <v/>
      </c>
      <c r="D190" s="89" t="str">
        <f>IF(Registro!B190="","",Registro!M190)</f>
        <v/>
      </c>
      <c r="E190" s="136" t="str">
        <f>IF(A190="","",_xlfn.XLOOKUP(A190,Registro!$B$8:$B$997,Registro!$R$8:$R$997,"N/E",0))</f>
        <v/>
      </c>
      <c r="F190" s="93" t="str">
        <f t="shared" si="4"/>
        <v/>
      </c>
      <c r="G190" s="93"/>
      <c r="H190" s="136"/>
      <c r="K190" s="93"/>
      <c r="L190" s="93" t="str">
        <f t="shared" si="5"/>
        <v/>
      </c>
    </row>
    <row r="191" spans="1:12" s="89" customFormat="1">
      <c r="A191" s="89" t="str">
        <f>IF(Registro!B191="","",Registro!B191)</f>
        <v/>
      </c>
      <c r="B191" s="89" t="str">
        <f>IF(Registro!B191="","",Registro!H191)</f>
        <v/>
      </c>
      <c r="C191" s="137" t="str">
        <f>IF(Registro!B191="","",Registro!L191)</f>
        <v/>
      </c>
      <c r="D191" s="89" t="str">
        <f>IF(Registro!B191="","",Registro!M191)</f>
        <v/>
      </c>
      <c r="E191" s="136" t="str">
        <f>IF(A191="","",_xlfn.XLOOKUP(A191,Registro!$B$8:$B$997,Registro!$R$8:$R$997,"N/E",0))</f>
        <v/>
      </c>
      <c r="F191" s="93" t="str">
        <f t="shared" si="4"/>
        <v/>
      </c>
      <c r="G191" s="93"/>
      <c r="H191" s="136"/>
      <c r="K191" s="93"/>
      <c r="L191" s="93" t="str">
        <f t="shared" si="5"/>
        <v/>
      </c>
    </row>
    <row r="192" spans="1:12" s="89" customFormat="1">
      <c r="A192" s="89" t="str">
        <f>IF(Registro!B192="","",Registro!B192)</f>
        <v/>
      </c>
      <c r="B192" s="89" t="str">
        <f>IF(Registro!B192="","",Registro!H192)</f>
        <v/>
      </c>
      <c r="C192" s="137" t="str">
        <f>IF(Registro!B192="","",Registro!L192)</f>
        <v/>
      </c>
      <c r="D192" s="89" t="str">
        <f>IF(Registro!B192="","",Registro!M192)</f>
        <v/>
      </c>
      <c r="E192" s="136" t="str">
        <f>IF(A192="","",_xlfn.XLOOKUP(A192,Registro!$B$8:$B$997,Registro!$R$8:$R$997,"N/E",0))</f>
        <v/>
      </c>
      <c r="F192" s="93" t="str">
        <f t="shared" si="4"/>
        <v/>
      </c>
      <c r="G192" s="93"/>
      <c r="H192" s="136"/>
      <c r="K192" s="93"/>
      <c r="L192" s="93" t="str">
        <f t="shared" si="5"/>
        <v/>
      </c>
    </row>
    <row r="193" spans="1:12" s="89" customFormat="1">
      <c r="A193" s="89" t="str">
        <f>IF(Registro!B193="","",Registro!B193)</f>
        <v/>
      </c>
      <c r="B193" s="89" t="str">
        <f>IF(Registro!B193="","",Registro!H193)</f>
        <v/>
      </c>
      <c r="C193" s="137" t="str">
        <f>IF(Registro!B193="","",Registro!L193)</f>
        <v/>
      </c>
      <c r="D193" s="89" t="str">
        <f>IF(Registro!B193="","",Registro!M193)</f>
        <v/>
      </c>
      <c r="E193" s="136" t="str">
        <f>IF(A193="","",_xlfn.XLOOKUP(A193,Registro!$B$8:$B$997,Registro!$R$8:$R$997,"N/E",0))</f>
        <v/>
      </c>
      <c r="F193" s="93" t="str">
        <f t="shared" si="4"/>
        <v/>
      </c>
      <c r="G193" s="93"/>
      <c r="H193" s="136"/>
      <c r="K193" s="93"/>
      <c r="L193" s="93" t="str">
        <f t="shared" si="5"/>
        <v/>
      </c>
    </row>
    <row r="194" spans="1:12" s="89" customFormat="1">
      <c r="A194" s="89" t="str">
        <f>IF(Registro!B194="","",Registro!B194)</f>
        <v/>
      </c>
      <c r="B194" s="89" t="str">
        <f>IF(Registro!B194="","",Registro!H194)</f>
        <v/>
      </c>
      <c r="C194" s="137" t="str">
        <f>IF(Registro!B194="","",Registro!L194)</f>
        <v/>
      </c>
      <c r="D194" s="89" t="str">
        <f>IF(Registro!B194="","",Registro!M194)</f>
        <v/>
      </c>
      <c r="E194" s="136" t="str">
        <f>IF(A194="","",_xlfn.XLOOKUP(A194,Registro!$B$8:$B$997,Registro!$R$8:$R$997,"N/E",0))</f>
        <v/>
      </c>
      <c r="F194" s="93" t="str">
        <f t="shared" si="4"/>
        <v/>
      </c>
      <c r="G194" s="93"/>
      <c r="H194" s="136"/>
      <c r="K194" s="93"/>
      <c r="L194" s="93" t="str">
        <f t="shared" si="5"/>
        <v/>
      </c>
    </row>
    <row r="195" spans="1:12" s="89" customFormat="1">
      <c r="A195" s="89" t="str">
        <f>IF(Registro!B195="","",Registro!B195)</f>
        <v/>
      </c>
      <c r="B195" s="89" t="str">
        <f>IF(Registro!B195="","",Registro!H195)</f>
        <v/>
      </c>
      <c r="C195" s="137" t="str">
        <f>IF(Registro!B195="","",Registro!L195)</f>
        <v/>
      </c>
      <c r="D195" s="89" t="str">
        <f>IF(Registro!B195="","",Registro!M195)</f>
        <v/>
      </c>
      <c r="E195" s="136" t="str">
        <f>IF(A195="","",_xlfn.XLOOKUP(A195,Registro!$B$8:$B$997,Registro!$R$8:$R$997,"N/E",0))</f>
        <v/>
      </c>
      <c r="F195" s="93" t="str">
        <f t="shared" si="4"/>
        <v/>
      </c>
      <c r="G195" s="93"/>
      <c r="H195" s="136"/>
      <c r="K195" s="93"/>
      <c r="L195" s="93" t="str">
        <f t="shared" si="5"/>
        <v/>
      </c>
    </row>
    <row r="196" spans="1:12" s="89" customFormat="1">
      <c r="A196" s="89" t="str">
        <f>IF(Registro!B196="","",Registro!B196)</f>
        <v/>
      </c>
      <c r="B196" s="89" t="str">
        <f>IF(Registro!B196="","",Registro!H196)</f>
        <v/>
      </c>
      <c r="C196" s="137" t="str">
        <f>IF(Registro!B196="","",Registro!L196)</f>
        <v/>
      </c>
      <c r="D196" s="89" t="str">
        <f>IF(Registro!B196="","",Registro!M196)</f>
        <v/>
      </c>
      <c r="E196" s="136" t="str">
        <f>IF(A196="","",_xlfn.XLOOKUP(A196,Registro!$B$8:$B$997,Registro!$R$8:$R$997,"N/E",0))</f>
        <v/>
      </c>
      <c r="F196" s="93" t="str">
        <f t="shared" si="4"/>
        <v/>
      </c>
      <c r="G196" s="93"/>
      <c r="H196" s="136"/>
      <c r="K196" s="93"/>
      <c r="L196" s="93" t="str">
        <f t="shared" si="5"/>
        <v/>
      </c>
    </row>
    <row r="197" spans="1:12" s="89" customFormat="1">
      <c r="A197" s="89" t="str">
        <f>IF(Registro!B197="","",Registro!B197)</f>
        <v/>
      </c>
      <c r="B197" s="89" t="str">
        <f>IF(Registro!B197="","",Registro!H197)</f>
        <v/>
      </c>
      <c r="C197" s="137" t="str">
        <f>IF(Registro!B197="","",Registro!L197)</f>
        <v/>
      </c>
      <c r="D197" s="89" t="str">
        <f>IF(Registro!B197="","",Registro!M197)</f>
        <v/>
      </c>
      <c r="E197" s="136" t="str">
        <f>IF(A197="","",_xlfn.XLOOKUP(A197,Registro!$B$8:$B$997,Registro!$R$8:$R$997,"N/E",0))</f>
        <v/>
      </c>
      <c r="F197" s="93" t="str">
        <f t="shared" si="4"/>
        <v/>
      </c>
      <c r="G197" s="93"/>
      <c r="H197" s="136"/>
      <c r="K197" s="93"/>
      <c r="L197" s="93" t="str">
        <f t="shared" si="5"/>
        <v/>
      </c>
    </row>
    <row r="198" spans="1:12" s="89" customFormat="1">
      <c r="A198" s="89" t="str">
        <f>IF(Registro!B198="","",Registro!B198)</f>
        <v/>
      </c>
      <c r="B198" s="89" t="str">
        <f>IF(Registro!B198="","",Registro!H198)</f>
        <v/>
      </c>
      <c r="C198" s="137" t="str">
        <f>IF(Registro!B198="","",Registro!L198)</f>
        <v/>
      </c>
      <c r="D198" s="89" t="str">
        <f>IF(Registro!B198="","",Registro!M198)</f>
        <v/>
      </c>
      <c r="E198" s="136" t="str">
        <f>IF(A198="","",_xlfn.XLOOKUP(A198,Registro!$B$8:$B$997,Registro!$R$8:$R$997,"N/E",0))</f>
        <v/>
      </c>
      <c r="F198" s="93" t="str">
        <f t="shared" si="4"/>
        <v/>
      </c>
      <c r="G198" s="93"/>
      <c r="H198" s="136"/>
      <c r="K198" s="93"/>
      <c r="L198" s="93" t="str">
        <f t="shared" si="5"/>
        <v/>
      </c>
    </row>
    <row r="199" spans="1:12" s="89" customFormat="1">
      <c r="A199" s="89" t="str">
        <f>IF(Registro!B199="","",Registro!B199)</f>
        <v/>
      </c>
      <c r="B199" s="89" t="str">
        <f>IF(Registro!B199="","",Registro!H199)</f>
        <v/>
      </c>
      <c r="C199" s="137" t="str">
        <f>IF(Registro!B199="","",Registro!L199)</f>
        <v/>
      </c>
      <c r="D199" s="89" t="str">
        <f>IF(Registro!B199="","",Registro!M199)</f>
        <v/>
      </c>
      <c r="E199" s="136" t="str">
        <f>IF(A199="","",_xlfn.XLOOKUP(A199,Registro!$B$8:$B$997,Registro!$R$8:$R$997,"N/E",0))</f>
        <v/>
      </c>
      <c r="F199" s="93" t="str">
        <f t="shared" si="4"/>
        <v/>
      </c>
      <c r="G199" s="93"/>
      <c r="H199" s="136"/>
      <c r="K199" s="93"/>
      <c r="L199" s="93" t="str">
        <f t="shared" si="5"/>
        <v/>
      </c>
    </row>
    <row r="200" spans="1:12" s="89" customFormat="1">
      <c r="A200" s="89" t="str">
        <f>IF(Registro!B200="","",Registro!B200)</f>
        <v/>
      </c>
      <c r="B200" s="89" t="str">
        <f>IF(Registro!B200="","",Registro!H200)</f>
        <v/>
      </c>
      <c r="C200" s="137" t="str">
        <f>IF(Registro!B200="","",Registro!L200)</f>
        <v/>
      </c>
      <c r="D200" s="89" t="str">
        <f>IF(Registro!B200="","",Registro!M200)</f>
        <v/>
      </c>
      <c r="E200" s="136" t="str">
        <f>IF(A200="","",_xlfn.XLOOKUP(A200,Registro!$B$8:$B$997,Registro!$R$8:$R$997,"N/E",0))</f>
        <v/>
      </c>
      <c r="F200" s="93" t="str">
        <f t="shared" ref="F200:F263" si="6">IF(A200="","",NETWORKDAYS.INTL(C200,E200,1))</f>
        <v/>
      </c>
      <c r="G200" s="93"/>
      <c r="H200" s="136"/>
      <c r="K200" s="93"/>
      <c r="L200" s="93" t="str">
        <f t="shared" si="5"/>
        <v/>
      </c>
    </row>
    <row r="201" spans="1:12" s="89" customFormat="1">
      <c r="A201" s="89" t="str">
        <f>IF(Registro!B201="","",Registro!B201)</f>
        <v/>
      </c>
      <c r="B201" s="89" t="str">
        <f>IF(Registro!B201="","",Registro!H201)</f>
        <v/>
      </c>
      <c r="C201" s="137" t="str">
        <f>IF(Registro!B201="","",Registro!L201)</f>
        <v/>
      </c>
      <c r="D201" s="89" t="str">
        <f>IF(Registro!B201="","",Registro!M201)</f>
        <v/>
      </c>
      <c r="E201" s="136" t="str">
        <f>IF(A201="","",_xlfn.XLOOKUP(A201,Registro!$B$8:$B$997,Registro!$R$8:$R$997,"N/E",0))</f>
        <v/>
      </c>
      <c r="F201" s="93" t="str">
        <f t="shared" si="6"/>
        <v/>
      </c>
      <c r="G201" s="93"/>
      <c r="H201" s="136"/>
      <c r="K201" s="93"/>
      <c r="L201" s="93" t="str">
        <f t="shared" si="5"/>
        <v/>
      </c>
    </row>
    <row r="202" spans="1:12" s="89" customFormat="1">
      <c r="A202" s="89" t="str">
        <f>IF(Registro!B202="","",Registro!B202)</f>
        <v/>
      </c>
      <c r="B202" s="89" t="str">
        <f>IF(Registro!B202="","",Registro!H202)</f>
        <v/>
      </c>
      <c r="C202" s="137" t="str">
        <f>IF(Registro!B202="","",Registro!L202)</f>
        <v/>
      </c>
      <c r="D202" s="89" t="str">
        <f>IF(Registro!B202="","",Registro!M202)</f>
        <v/>
      </c>
      <c r="E202" s="136" t="str">
        <f>IF(A202="","",_xlfn.XLOOKUP(A202,Registro!$B$8:$B$997,Registro!$R$8:$R$997,"N/E",0))</f>
        <v/>
      </c>
      <c r="F202" s="93" t="str">
        <f t="shared" si="6"/>
        <v/>
      </c>
      <c r="G202" s="93"/>
      <c r="H202" s="136"/>
      <c r="K202" s="93"/>
      <c r="L202" s="93" t="str">
        <f t="shared" si="5"/>
        <v/>
      </c>
    </row>
    <row r="203" spans="1:12" s="89" customFormat="1">
      <c r="A203" s="89" t="str">
        <f>IF(Registro!B203="","",Registro!B203)</f>
        <v/>
      </c>
      <c r="B203" s="89" t="str">
        <f>IF(Registro!B203="","",Registro!H203)</f>
        <v/>
      </c>
      <c r="C203" s="137" t="str">
        <f>IF(Registro!B203="","",Registro!L203)</f>
        <v/>
      </c>
      <c r="D203" s="89" t="str">
        <f>IF(Registro!B203="","",Registro!M203)</f>
        <v/>
      </c>
      <c r="E203" s="136" t="str">
        <f>IF(A203="","",_xlfn.XLOOKUP(A203,Registro!$B$8:$B$997,Registro!$R$8:$R$997,"N/E",0))</f>
        <v/>
      </c>
      <c r="F203" s="93" t="str">
        <f t="shared" si="6"/>
        <v/>
      </c>
      <c r="G203" s="93"/>
      <c r="H203" s="136"/>
      <c r="K203" s="93"/>
      <c r="L203" s="93" t="str">
        <f t="shared" si="5"/>
        <v/>
      </c>
    </row>
    <row r="204" spans="1:12" s="89" customFormat="1">
      <c r="A204" s="89" t="str">
        <f>IF(Registro!B204="","",Registro!B204)</f>
        <v/>
      </c>
      <c r="B204" s="89" t="str">
        <f>IF(Registro!B204="","",Registro!H204)</f>
        <v/>
      </c>
      <c r="C204" s="137" t="str">
        <f>IF(Registro!B204="","",Registro!L204)</f>
        <v/>
      </c>
      <c r="D204" s="89" t="str">
        <f>IF(Registro!B204="","",Registro!M204)</f>
        <v/>
      </c>
      <c r="E204" s="136" t="str">
        <f>IF(A204="","",_xlfn.XLOOKUP(A204,Registro!$B$8:$B$997,Registro!$R$8:$R$997,"N/E",0))</f>
        <v/>
      </c>
      <c r="F204" s="93" t="str">
        <f t="shared" si="6"/>
        <v/>
      </c>
      <c r="G204" s="93"/>
      <c r="H204" s="136"/>
      <c r="K204" s="93"/>
      <c r="L204" s="93" t="str">
        <f t="shared" si="5"/>
        <v/>
      </c>
    </row>
    <row r="205" spans="1:12" s="89" customFormat="1">
      <c r="A205" s="89" t="str">
        <f>IF(Registro!B205="","",Registro!B205)</f>
        <v/>
      </c>
      <c r="B205" s="89" t="str">
        <f>IF(Registro!B205="","",Registro!H205)</f>
        <v/>
      </c>
      <c r="C205" s="137" t="str">
        <f>IF(Registro!B205="","",Registro!L205)</f>
        <v/>
      </c>
      <c r="D205" s="89" t="str">
        <f>IF(Registro!B205="","",Registro!M205)</f>
        <v/>
      </c>
      <c r="E205" s="136" t="str">
        <f>IF(A205="","",_xlfn.XLOOKUP(A205,Registro!$B$8:$B$997,Registro!$R$8:$R$997,"N/E",0))</f>
        <v/>
      </c>
      <c r="F205" s="93" t="str">
        <f t="shared" si="6"/>
        <v/>
      </c>
      <c r="G205" s="93"/>
      <c r="H205" s="136"/>
      <c r="K205" s="93"/>
      <c r="L205" s="93" t="str">
        <f t="shared" si="5"/>
        <v/>
      </c>
    </row>
    <row r="206" spans="1:12" s="89" customFormat="1">
      <c r="A206" s="89" t="str">
        <f>IF(Registro!B206="","",Registro!B206)</f>
        <v/>
      </c>
      <c r="B206" s="89" t="str">
        <f>IF(Registro!B206="","",Registro!H206)</f>
        <v/>
      </c>
      <c r="C206" s="137" t="str">
        <f>IF(Registro!B206="","",Registro!L206)</f>
        <v/>
      </c>
      <c r="D206" s="89" t="str">
        <f>IF(Registro!B206="","",Registro!M206)</f>
        <v/>
      </c>
      <c r="E206" s="136" t="str">
        <f>IF(A206="","",_xlfn.XLOOKUP(A206,Registro!$B$8:$B$997,Registro!$R$8:$R$997,"N/E",0))</f>
        <v/>
      </c>
      <c r="F206" s="93" t="str">
        <f t="shared" si="6"/>
        <v/>
      </c>
      <c r="G206" s="93"/>
      <c r="H206" s="136"/>
      <c r="K206" s="93"/>
      <c r="L206" s="93" t="str">
        <f t="shared" si="5"/>
        <v/>
      </c>
    </row>
    <row r="207" spans="1:12" s="89" customFormat="1">
      <c r="A207" s="89" t="str">
        <f>IF(Registro!B207="","",Registro!B207)</f>
        <v/>
      </c>
      <c r="B207" s="89" t="str">
        <f>IF(Registro!B207="","",Registro!H207)</f>
        <v/>
      </c>
      <c r="C207" s="137" t="str">
        <f>IF(Registro!B207="","",Registro!L207)</f>
        <v/>
      </c>
      <c r="D207" s="89" t="str">
        <f>IF(Registro!B207="","",Registro!M207)</f>
        <v/>
      </c>
      <c r="E207" s="136" t="str">
        <f>IF(A207="","",_xlfn.XLOOKUP(A207,Registro!$B$8:$B$997,Registro!$R$8:$R$997,"N/E",0))</f>
        <v/>
      </c>
      <c r="F207" s="93" t="str">
        <f t="shared" si="6"/>
        <v/>
      </c>
      <c r="G207" s="93"/>
      <c r="H207" s="136"/>
      <c r="K207" s="93"/>
      <c r="L207" s="93" t="str">
        <f t="shared" si="5"/>
        <v/>
      </c>
    </row>
    <row r="208" spans="1:12" s="89" customFormat="1">
      <c r="A208" s="89" t="str">
        <f>IF(Registro!B208="","",Registro!B208)</f>
        <v/>
      </c>
      <c r="B208" s="89" t="str">
        <f>IF(Registro!B208="","",Registro!H208)</f>
        <v/>
      </c>
      <c r="C208" s="137" t="str">
        <f>IF(Registro!B208="","",Registro!L208)</f>
        <v/>
      </c>
      <c r="D208" s="89" t="str">
        <f>IF(Registro!B208="","",Registro!M208)</f>
        <v/>
      </c>
      <c r="E208" s="136" t="str">
        <f>IF(A208="","",_xlfn.XLOOKUP(A208,Registro!$B$8:$B$997,Registro!$R$8:$R$997,"N/E",0))</f>
        <v/>
      </c>
      <c r="F208" s="93" t="str">
        <f t="shared" si="6"/>
        <v/>
      </c>
      <c r="G208" s="93"/>
      <c r="H208" s="136"/>
      <c r="K208" s="93"/>
      <c r="L208" s="93" t="str">
        <f t="shared" si="5"/>
        <v/>
      </c>
    </row>
    <row r="209" spans="1:12" s="89" customFormat="1">
      <c r="A209" s="89" t="str">
        <f>IF(Registro!B209="","",Registro!B209)</f>
        <v/>
      </c>
      <c r="B209" s="89" t="str">
        <f>IF(Registro!B209="","",Registro!H209)</f>
        <v/>
      </c>
      <c r="C209" s="137" t="str">
        <f>IF(Registro!B209="","",Registro!L209)</f>
        <v/>
      </c>
      <c r="D209" s="89" t="str">
        <f>IF(Registro!B209="","",Registro!M209)</f>
        <v/>
      </c>
      <c r="E209" s="136" t="str">
        <f>IF(A209="","",_xlfn.XLOOKUP(A209,Registro!$B$8:$B$997,Registro!$R$8:$R$997,"N/E",0))</f>
        <v/>
      </c>
      <c r="F209" s="93" t="str">
        <f t="shared" si="6"/>
        <v/>
      </c>
      <c r="G209" s="93"/>
      <c r="H209" s="136"/>
      <c r="K209" s="93"/>
      <c r="L209" s="93" t="str">
        <f t="shared" si="5"/>
        <v/>
      </c>
    </row>
    <row r="210" spans="1:12" s="89" customFormat="1">
      <c r="A210" s="89" t="str">
        <f>IF(Registro!B210="","",Registro!B210)</f>
        <v/>
      </c>
      <c r="B210" s="89" t="str">
        <f>IF(Registro!B210="","",Registro!H210)</f>
        <v/>
      </c>
      <c r="C210" s="137" t="str">
        <f>IF(Registro!B210="","",Registro!L210)</f>
        <v/>
      </c>
      <c r="D210" s="89" t="str">
        <f>IF(Registro!B210="","",Registro!M210)</f>
        <v/>
      </c>
      <c r="E210" s="136" t="str">
        <f>IF(A210="","",_xlfn.XLOOKUP(A210,Registro!$B$8:$B$997,Registro!$R$8:$R$997,"N/E",0))</f>
        <v/>
      </c>
      <c r="F210" s="93" t="str">
        <f t="shared" si="6"/>
        <v/>
      </c>
      <c r="G210" s="93"/>
      <c r="H210" s="136"/>
      <c r="K210" s="93"/>
      <c r="L210" s="93" t="str">
        <f t="shared" ref="L210:L273" si="7">IF(OR(K210="N/A",K210=""),"",NETWORKDAYS(C210,K210))</f>
        <v/>
      </c>
    </row>
    <row r="211" spans="1:12" s="89" customFormat="1">
      <c r="A211" s="89" t="str">
        <f>IF(Registro!B211="","",Registro!B211)</f>
        <v/>
      </c>
      <c r="B211" s="89" t="str">
        <f>IF(Registro!B211="","",Registro!H211)</f>
        <v/>
      </c>
      <c r="C211" s="137" t="str">
        <f>IF(Registro!B211="","",Registro!L211)</f>
        <v/>
      </c>
      <c r="D211" s="89" t="str">
        <f>IF(Registro!B211="","",Registro!M211)</f>
        <v/>
      </c>
      <c r="E211" s="136" t="str">
        <f>IF(A211="","",_xlfn.XLOOKUP(A211,Registro!$B$8:$B$997,Registro!$R$8:$R$997,"N/E",0))</f>
        <v/>
      </c>
      <c r="F211" s="93" t="str">
        <f t="shared" si="6"/>
        <v/>
      </c>
      <c r="G211" s="93"/>
      <c r="H211" s="136"/>
      <c r="K211" s="93"/>
      <c r="L211" s="93" t="str">
        <f t="shared" si="7"/>
        <v/>
      </c>
    </row>
    <row r="212" spans="1:12" s="89" customFormat="1">
      <c r="A212" s="89" t="str">
        <f>IF(Registro!B212="","",Registro!B212)</f>
        <v/>
      </c>
      <c r="B212" s="89" t="str">
        <f>IF(Registro!B212="","",Registro!H212)</f>
        <v/>
      </c>
      <c r="C212" s="137" t="str">
        <f>IF(Registro!B212="","",Registro!L212)</f>
        <v/>
      </c>
      <c r="D212" s="89" t="str">
        <f>IF(Registro!B212="","",Registro!M212)</f>
        <v/>
      </c>
      <c r="E212" s="136" t="str">
        <f>IF(A212="","",_xlfn.XLOOKUP(A212,Registro!$B$8:$B$997,Registro!$R$8:$R$997,"N/E",0))</f>
        <v/>
      </c>
      <c r="F212" s="93" t="str">
        <f t="shared" si="6"/>
        <v/>
      </c>
      <c r="G212" s="93"/>
      <c r="H212" s="136"/>
      <c r="K212" s="93"/>
      <c r="L212" s="93" t="str">
        <f t="shared" si="7"/>
        <v/>
      </c>
    </row>
    <row r="213" spans="1:12" s="89" customFormat="1">
      <c r="A213" s="89" t="str">
        <f>IF(Registro!B213="","",Registro!B213)</f>
        <v/>
      </c>
      <c r="B213" s="89" t="str">
        <f>IF(Registro!B213="","",Registro!H213)</f>
        <v/>
      </c>
      <c r="C213" s="137" t="str">
        <f>IF(Registro!B213="","",Registro!L213)</f>
        <v/>
      </c>
      <c r="D213" s="89" t="str">
        <f>IF(Registro!B213="","",Registro!M213)</f>
        <v/>
      </c>
      <c r="E213" s="136" t="str">
        <f>IF(A213="","",_xlfn.XLOOKUP(A213,Registro!$B$8:$B$997,Registro!$R$8:$R$997,"N/E",0))</f>
        <v/>
      </c>
      <c r="F213" s="93" t="str">
        <f t="shared" si="6"/>
        <v/>
      </c>
      <c r="G213" s="93"/>
      <c r="H213" s="136"/>
      <c r="K213" s="93"/>
      <c r="L213" s="93" t="str">
        <f t="shared" si="7"/>
        <v/>
      </c>
    </row>
    <row r="214" spans="1:12" s="89" customFormat="1">
      <c r="A214" s="89" t="str">
        <f>IF(Registro!B214="","",Registro!B214)</f>
        <v/>
      </c>
      <c r="B214" s="89" t="str">
        <f>IF(Registro!B214="","",Registro!H214)</f>
        <v/>
      </c>
      <c r="C214" s="137" t="str">
        <f>IF(Registro!B214="","",Registro!L214)</f>
        <v/>
      </c>
      <c r="D214" s="89" t="str">
        <f>IF(Registro!B214="","",Registro!M214)</f>
        <v/>
      </c>
      <c r="E214" s="136" t="str">
        <f>IF(A214="","",_xlfn.XLOOKUP(A214,Registro!$B$8:$B$997,Registro!$R$8:$R$997,"N/E",0))</f>
        <v/>
      </c>
      <c r="F214" s="93" t="str">
        <f t="shared" si="6"/>
        <v/>
      </c>
      <c r="G214" s="93"/>
      <c r="H214" s="136"/>
      <c r="K214" s="93"/>
      <c r="L214" s="93" t="str">
        <f t="shared" si="7"/>
        <v/>
      </c>
    </row>
    <row r="215" spans="1:12" s="89" customFormat="1">
      <c r="A215" s="89" t="str">
        <f>IF(Registro!B215="","",Registro!B215)</f>
        <v/>
      </c>
      <c r="B215" s="89" t="str">
        <f>IF(Registro!B215="","",Registro!H215)</f>
        <v/>
      </c>
      <c r="C215" s="137" t="str">
        <f>IF(Registro!B215="","",Registro!L215)</f>
        <v/>
      </c>
      <c r="D215" s="89" t="str">
        <f>IF(Registro!B215="","",Registro!M215)</f>
        <v/>
      </c>
      <c r="E215" s="136" t="str">
        <f>IF(A215="","",_xlfn.XLOOKUP(A215,Registro!$B$8:$B$997,Registro!$R$8:$R$997,"N/E",0))</f>
        <v/>
      </c>
      <c r="F215" s="93" t="str">
        <f t="shared" si="6"/>
        <v/>
      </c>
      <c r="G215" s="93"/>
      <c r="H215" s="136"/>
      <c r="K215" s="93"/>
      <c r="L215" s="93" t="str">
        <f t="shared" si="7"/>
        <v/>
      </c>
    </row>
    <row r="216" spans="1:12" s="89" customFormat="1">
      <c r="A216" s="89" t="str">
        <f>IF(Registro!B216="","",Registro!B216)</f>
        <v/>
      </c>
      <c r="B216" s="89" t="str">
        <f>IF(Registro!B216="","",Registro!H216)</f>
        <v/>
      </c>
      <c r="C216" s="137" t="str">
        <f>IF(Registro!B216="","",Registro!L216)</f>
        <v/>
      </c>
      <c r="D216" s="89" t="str">
        <f>IF(Registro!B216="","",Registro!M216)</f>
        <v/>
      </c>
      <c r="E216" s="136" t="str">
        <f>IF(A216="","",_xlfn.XLOOKUP(A216,Registro!$B$8:$B$997,Registro!$R$8:$R$997,"N/E",0))</f>
        <v/>
      </c>
      <c r="F216" s="93" t="str">
        <f t="shared" si="6"/>
        <v/>
      </c>
      <c r="G216" s="93"/>
      <c r="H216" s="136"/>
      <c r="K216" s="93"/>
      <c r="L216" s="93" t="str">
        <f t="shared" si="7"/>
        <v/>
      </c>
    </row>
    <row r="217" spans="1:12" s="89" customFormat="1">
      <c r="A217" s="89" t="str">
        <f>IF(Registro!B217="","",Registro!B217)</f>
        <v/>
      </c>
      <c r="B217" s="89" t="str">
        <f>IF(Registro!B217="","",Registro!H217)</f>
        <v/>
      </c>
      <c r="C217" s="137" t="str">
        <f>IF(Registro!B217="","",Registro!L217)</f>
        <v/>
      </c>
      <c r="D217" s="89" t="str">
        <f>IF(Registro!B217="","",Registro!M217)</f>
        <v/>
      </c>
      <c r="E217" s="136" t="str">
        <f>IF(A217="","",_xlfn.XLOOKUP(A217,Registro!$B$8:$B$997,Registro!$R$8:$R$997,"N/E",0))</f>
        <v/>
      </c>
      <c r="F217" s="93" t="str">
        <f t="shared" si="6"/>
        <v/>
      </c>
      <c r="G217" s="93"/>
      <c r="H217" s="136"/>
      <c r="K217" s="93"/>
      <c r="L217" s="93" t="str">
        <f t="shared" si="7"/>
        <v/>
      </c>
    </row>
    <row r="218" spans="1:12" s="89" customFormat="1">
      <c r="A218" s="89" t="str">
        <f>IF(Registro!B218="","",Registro!B218)</f>
        <v/>
      </c>
      <c r="B218" s="89" t="str">
        <f>IF(Registro!B218="","",Registro!H218)</f>
        <v/>
      </c>
      <c r="C218" s="137" t="str">
        <f>IF(Registro!B218="","",Registro!L218)</f>
        <v/>
      </c>
      <c r="D218" s="89" t="str">
        <f>IF(Registro!B218="","",Registro!M218)</f>
        <v/>
      </c>
      <c r="E218" s="136" t="str">
        <f>IF(A218="","",_xlfn.XLOOKUP(A218,Registro!$B$8:$B$997,Registro!$R$8:$R$997,"N/E",0))</f>
        <v/>
      </c>
      <c r="F218" s="93" t="str">
        <f t="shared" si="6"/>
        <v/>
      </c>
      <c r="G218" s="93"/>
      <c r="H218" s="136"/>
      <c r="K218" s="93"/>
      <c r="L218" s="93" t="str">
        <f t="shared" si="7"/>
        <v/>
      </c>
    </row>
    <row r="219" spans="1:12" s="89" customFormat="1">
      <c r="A219" s="89" t="str">
        <f>IF(Registro!B219="","",Registro!B219)</f>
        <v/>
      </c>
      <c r="B219" s="89" t="str">
        <f>IF(Registro!B219="","",Registro!H219)</f>
        <v/>
      </c>
      <c r="C219" s="137" t="str">
        <f>IF(Registro!B219="","",Registro!L219)</f>
        <v/>
      </c>
      <c r="D219" s="89" t="str">
        <f>IF(Registro!B219="","",Registro!M219)</f>
        <v/>
      </c>
      <c r="E219" s="136" t="str">
        <f>IF(A219="","",_xlfn.XLOOKUP(A219,Registro!$B$8:$B$997,Registro!$R$8:$R$997,"N/E",0))</f>
        <v/>
      </c>
      <c r="F219" s="93" t="str">
        <f t="shared" si="6"/>
        <v/>
      </c>
      <c r="G219" s="93"/>
      <c r="H219" s="136"/>
      <c r="K219" s="93"/>
      <c r="L219" s="93" t="str">
        <f t="shared" si="7"/>
        <v/>
      </c>
    </row>
    <row r="220" spans="1:12" s="89" customFormat="1">
      <c r="A220" s="89" t="str">
        <f>IF(Registro!B220="","",Registro!B220)</f>
        <v/>
      </c>
      <c r="B220" s="89" t="str">
        <f>IF(Registro!B220="","",Registro!H220)</f>
        <v/>
      </c>
      <c r="C220" s="137" t="str">
        <f>IF(Registro!B220="","",Registro!L220)</f>
        <v/>
      </c>
      <c r="D220" s="89" t="str">
        <f>IF(Registro!B220="","",Registro!M220)</f>
        <v/>
      </c>
      <c r="E220" s="136" t="str">
        <f>IF(A220="","",_xlfn.XLOOKUP(A220,Registro!$B$8:$B$997,Registro!$R$8:$R$997,"N/E",0))</f>
        <v/>
      </c>
      <c r="F220" s="93" t="str">
        <f t="shared" si="6"/>
        <v/>
      </c>
      <c r="G220" s="93"/>
      <c r="H220" s="136"/>
      <c r="K220" s="93"/>
      <c r="L220" s="93" t="str">
        <f t="shared" si="7"/>
        <v/>
      </c>
    </row>
    <row r="221" spans="1:12" s="89" customFormat="1">
      <c r="A221" s="89" t="str">
        <f>IF(Registro!B221="","",Registro!B221)</f>
        <v/>
      </c>
      <c r="B221" s="89" t="str">
        <f>IF(Registro!B221="","",Registro!H221)</f>
        <v/>
      </c>
      <c r="C221" s="137" t="str">
        <f>IF(Registro!B221="","",Registro!L221)</f>
        <v/>
      </c>
      <c r="D221" s="89" t="str">
        <f>IF(Registro!B221="","",Registro!M221)</f>
        <v/>
      </c>
      <c r="E221" s="136" t="str">
        <f>IF(A221="","",_xlfn.XLOOKUP(A221,Registro!$B$8:$B$997,Registro!$R$8:$R$997,"N/E",0))</f>
        <v/>
      </c>
      <c r="F221" s="93" t="str">
        <f t="shared" si="6"/>
        <v/>
      </c>
      <c r="G221" s="93"/>
      <c r="H221" s="136"/>
      <c r="K221" s="93"/>
      <c r="L221" s="93" t="str">
        <f t="shared" si="7"/>
        <v/>
      </c>
    </row>
    <row r="222" spans="1:12" s="89" customFormat="1">
      <c r="A222" s="89" t="str">
        <f>IF(Registro!B222="","",Registro!B222)</f>
        <v/>
      </c>
      <c r="B222" s="89" t="str">
        <f>IF(Registro!B222="","",Registro!H222)</f>
        <v/>
      </c>
      <c r="C222" s="137" t="str">
        <f>IF(Registro!B222="","",Registro!L222)</f>
        <v/>
      </c>
      <c r="D222" s="89" t="str">
        <f>IF(Registro!B222="","",Registro!M222)</f>
        <v/>
      </c>
      <c r="E222" s="136" t="str">
        <f>IF(A222="","",_xlfn.XLOOKUP(A222,Registro!$B$8:$B$997,Registro!$R$8:$R$997,"N/E",0))</f>
        <v/>
      </c>
      <c r="F222" s="93" t="str">
        <f t="shared" si="6"/>
        <v/>
      </c>
      <c r="G222" s="93"/>
      <c r="H222" s="136"/>
      <c r="K222" s="93"/>
      <c r="L222" s="93" t="str">
        <f t="shared" si="7"/>
        <v/>
      </c>
    </row>
    <row r="223" spans="1:12" s="89" customFormat="1">
      <c r="A223" s="89" t="str">
        <f>IF(Registro!B223="","",Registro!B223)</f>
        <v/>
      </c>
      <c r="B223" s="89" t="str">
        <f>IF(Registro!B223="","",Registro!H223)</f>
        <v/>
      </c>
      <c r="C223" s="137" t="str">
        <f>IF(Registro!B223="","",Registro!L223)</f>
        <v/>
      </c>
      <c r="D223" s="89" t="str">
        <f>IF(Registro!B223="","",Registro!M223)</f>
        <v/>
      </c>
      <c r="E223" s="136" t="str">
        <f>IF(A223="","",_xlfn.XLOOKUP(A223,Registro!$B$8:$B$997,Registro!$R$8:$R$997,"N/E",0))</f>
        <v/>
      </c>
      <c r="F223" s="93" t="str">
        <f t="shared" si="6"/>
        <v/>
      </c>
      <c r="G223" s="93"/>
      <c r="H223" s="136"/>
      <c r="K223" s="93"/>
      <c r="L223" s="93" t="str">
        <f t="shared" si="7"/>
        <v/>
      </c>
    </row>
    <row r="224" spans="1:12" s="89" customFormat="1">
      <c r="A224" s="89" t="str">
        <f>IF(Registro!B224="","",Registro!B224)</f>
        <v/>
      </c>
      <c r="B224" s="89" t="str">
        <f>IF(Registro!B224="","",Registro!H224)</f>
        <v/>
      </c>
      <c r="C224" s="137" t="str">
        <f>IF(Registro!B224="","",Registro!L224)</f>
        <v/>
      </c>
      <c r="D224" s="89" t="str">
        <f>IF(Registro!B224="","",Registro!M224)</f>
        <v/>
      </c>
      <c r="E224" s="136" t="str">
        <f>IF(A224="","",_xlfn.XLOOKUP(A224,Registro!$B$8:$B$997,Registro!$R$8:$R$997,"N/E",0))</f>
        <v/>
      </c>
      <c r="F224" s="93" t="str">
        <f t="shared" si="6"/>
        <v/>
      </c>
      <c r="G224" s="93"/>
      <c r="H224" s="136"/>
      <c r="K224" s="93"/>
      <c r="L224" s="93" t="str">
        <f t="shared" si="7"/>
        <v/>
      </c>
    </row>
    <row r="225" spans="1:12" s="89" customFormat="1">
      <c r="A225" s="89" t="str">
        <f>IF(Registro!B225="","",Registro!B225)</f>
        <v/>
      </c>
      <c r="B225" s="89" t="str">
        <f>IF(Registro!B225="","",Registro!H225)</f>
        <v/>
      </c>
      <c r="C225" s="137" t="str">
        <f>IF(Registro!B225="","",Registro!L225)</f>
        <v/>
      </c>
      <c r="D225" s="89" t="str">
        <f>IF(Registro!B225="","",Registro!M225)</f>
        <v/>
      </c>
      <c r="E225" s="136" t="str">
        <f>IF(A225="","",_xlfn.XLOOKUP(A225,Registro!$B$8:$B$997,Registro!$R$8:$R$997,"N/E",0))</f>
        <v/>
      </c>
      <c r="F225" s="93" t="str">
        <f t="shared" si="6"/>
        <v/>
      </c>
      <c r="G225" s="93"/>
      <c r="H225" s="136"/>
      <c r="K225" s="93"/>
      <c r="L225" s="93" t="str">
        <f t="shared" si="7"/>
        <v/>
      </c>
    </row>
    <row r="226" spans="1:12" s="89" customFormat="1">
      <c r="A226" s="89" t="str">
        <f>IF(Registro!B226="","",Registro!B226)</f>
        <v/>
      </c>
      <c r="B226" s="89" t="str">
        <f>IF(Registro!B226="","",Registro!H226)</f>
        <v/>
      </c>
      <c r="C226" s="137" t="str">
        <f>IF(Registro!B226="","",Registro!L226)</f>
        <v/>
      </c>
      <c r="D226" s="89" t="str">
        <f>IF(Registro!B226="","",Registro!M226)</f>
        <v/>
      </c>
      <c r="E226" s="136" t="str">
        <f>IF(A226="","",_xlfn.XLOOKUP(A226,Registro!$B$8:$B$997,Registro!$R$8:$R$997,"N/E",0))</f>
        <v/>
      </c>
      <c r="F226" s="93" t="str">
        <f t="shared" si="6"/>
        <v/>
      </c>
      <c r="G226" s="93"/>
      <c r="H226" s="136"/>
      <c r="K226" s="93"/>
      <c r="L226" s="93" t="str">
        <f t="shared" si="7"/>
        <v/>
      </c>
    </row>
    <row r="227" spans="1:12" s="89" customFormat="1">
      <c r="A227" s="89" t="str">
        <f>IF(Registro!B227="","",Registro!B227)</f>
        <v/>
      </c>
      <c r="B227" s="89" t="str">
        <f>IF(Registro!B227="","",Registro!H227)</f>
        <v/>
      </c>
      <c r="C227" s="137" t="str">
        <f>IF(Registro!B227="","",Registro!L227)</f>
        <v/>
      </c>
      <c r="D227" s="89" t="str">
        <f>IF(Registro!B227="","",Registro!M227)</f>
        <v/>
      </c>
      <c r="E227" s="136" t="str">
        <f>IF(A227="","",_xlfn.XLOOKUP(A227,Registro!$B$8:$B$997,Registro!$R$8:$R$997,"N/E",0))</f>
        <v/>
      </c>
      <c r="F227" s="93" t="str">
        <f t="shared" si="6"/>
        <v/>
      </c>
      <c r="G227" s="93"/>
      <c r="H227" s="136"/>
      <c r="K227" s="93"/>
      <c r="L227" s="93" t="str">
        <f t="shared" si="7"/>
        <v/>
      </c>
    </row>
    <row r="228" spans="1:12" s="89" customFormat="1">
      <c r="A228" s="89" t="str">
        <f>IF(Registro!B228="","",Registro!B228)</f>
        <v/>
      </c>
      <c r="B228" s="89" t="str">
        <f>IF(Registro!B228="","",Registro!H228)</f>
        <v/>
      </c>
      <c r="C228" s="137" t="str">
        <f>IF(Registro!B228="","",Registro!L228)</f>
        <v/>
      </c>
      <c r="D228" s="89" t="str">
        <f>IF(Registro!B228="","",Registro!M228)</f>
        <v/>
      </c>
      <c r="E228" s="136" t="str">
        <f>IF(A228="","",_xlfn.XLOOKUP(A228,Registro!$B$8:$B$997,Registro!$R$8:$R$997,"N/E",0))</f>
        <v/>
      </c>
      <c r="F228" s="93" t="str">
        <f t="shared" si="6"/>
        <v/>
      </c>
      <c r="G228" s="93"/>
      <c r="H228" s="136"/>
      <c r="K228" s="93"/>
      <c r="L228" s="93" t="str">
        <f t="shared" si="7"/>
        <v/>
      </c>
    </row>
    <row r="229" spans="1:12" s="89" customFormat="1">
      <c r="A229" s="89" t="str">
        <f>IF(Registro!B229="","",Registro!B229)</f>
        <v/>
      </c>
      <c r="B229" s="89" t="str">
        <f>IF(Registro!B229="","",Registro!H229)</f>
        <v/>
      </c>
      <c r="C229" s="137" t="str">
        <f>IF(Registro!B229="","",Registro!L229)</f>
        <v/>
      </c>
      <c r="D229" s="89" t="str">
        <f>IF(Registro!B229="","",Registro!M229)</f>
        <v/>
      </c>
      <c r="E229" s="136" t="str">
        <f>IF(A229="","",_xlfn.XLOOKUP(A229,Registro!$B$8:$B$997,Registro!$R$8:$R$997,"N/E",0))</f>
        <v/>
      </c>
      <c r="F229" s="93" t="str">
        <f t="shared" si="6"/>
        <v/>
      </c>
      <c r="G229" s="93"/>
      <c r="H229" s="136"/>
      <c r="K229" s="93"/>
      <c r="L229" s="93" t="str">
        <f t="shared" si="7"/>
        <v/>
      </c>
    </row>
    <row r="230" spans="1:12" s="89" customFormat="1">
      <c r="A230" s="89" t="str">
        <f>IF(Registro!B230="","",Registro!B230)</f>
        <v/>
      </c>
      <c r="B230" s="89" t="str">
        <f>IF(Registro!B230="","",Registro!H230)</f>
        <v/>
      </c>
      <c r="C230" s="137" t="str">
        <f>IF(Registro!B230="","",Registro!L230)</f>
        <v/>
      </c>
      <c r="D230" s="89" t="str">
        <f>IF(Registro!B230="","",Registro!M230)</f>
        <v/>
      </c>
      <c r="E230" s="136" t="str">
        <f>IF(A230="","",_xlfn.XLOOKUP(A230,Registro!$B$8:$B$997,Registro!$R$8:$R$997,"N/E",0))</f>
        <v/>
      </c>
      <c r="F230" s="93" t="str">
        <f t="shared" si="6"/>
        <v/>
      </c>
      <c r="G230" s="93"/>
      <c r="H230" s="136"/>
      <c r="K230" s="93"/>
      <c r="L230" s="93" t="str">
        <f t="shared" si="7"/>
        <v/>
      </c>
    </row>
    <row r="231" spans="1:12" s="89" customFormat="1">
      <c r="A231" s="89" t="str">
        <f>IF(Registro!B231="","",Registro!B231)</f>
        <v/>
      </c>
      <c r="B231" s="89" t="str">
        <f>IF(Registro!B231="","",Registro!H231)</f>
        <v/>
      </c>
      <c r="C231" s="137" t="str">
        <f>IF(Registro!B231="","",Registro!L231)</f>
        <v/>
      </c>
      <c r="D231" s="89" t="str">
        <f>IF(Registro!B231="","",Registro!M231)</f>
        <v/>
      </c>
      <c r="E231" s="136" t="str">
        <f>IF(A231="","",_xlfn.XLOOKUP(A231,Registro!$B$8:$B$997,Registro!$R$8:$R$997,"N/E",0))</f>
        <v/>
      </c>
      <c r="F231" s="93" t="str">
        <f t="shared" si="6"/>
        <v/>
      </c>
      <c r="G231" s="93"/>
      <c r="H231" s="136"/>
      <c r="K231" s="93"/>
      <c r="L231" s="93" t="str">
        <f t="shared" si="7"/>
        <v/>
      </c>
    </row>
    <row r="232" spans="1:12" s="89" customFormat="1">
      <c r="A232" s="89" t="str">
        <f>IF(Registro!B232="","",Registro!B232)</f>
        <v/>
      </c>
      <c r="B232" s="89" t="str">
        <f>IF(Registro!B232="","",Registro!H232)</f>
        <v/>
      </c>
      <c r="C232" s="137" t="str">
        <f>IF(Registro!B232="","",Registro!L232)</f>
        <v/>
      </c>
      <c r="D232" s="89" t="str">
        <f>IF(Registro!B232="","",Registro!M232)</f>
        <v/>
      </c>
      <c r="E232" s="136" t="str">
        <f>IF(A232="","",_xlfn.XLOOKUP(A232,Registro!$B$8:$B$997,Registro!$R$8:$R$997,"N/E",0))</f>
        <v/>
      </c>
      <c r="F232" s="93" t="str">
        <f t="shared" si="6"/>
        <v/>
      </c>
      <c r="G232" s="93"/>
      <c r="H232" s="136"/>
      <c r="K232" s="93"/>
      <c r="L232" s="93" t="str">
        <f t="shared" si="7"/>
        <v/>
      </c>
    </row>
    <row r="233" spans="1:12" s="89" customFormat="1">
      <c r="A233" s="89" t="str">
        <f>IF(Registro!B233="","",Registro!B233)</f>
        <v/>
      </c>
      <c r="B233" s="89" t="str">
        <f>IF(Registro!B233="","",Registro!H233)</f>
        <v/>
      </c>
      <c r="C233" s="137" t="str">
        <f>IF(Registro!B233="","",Registro!L233)</f>
        <v/>
      </c>
      <c r="D233" s="89" t="str">
        <f>IF(Registro!B233="","",Registro!M233)</f>
        <v/>
      </c>
      <c r="E233" s="136" t="str">
        <f>IF(A233="","",_xlfn.XLOOKUP(A233,Registro!$B$8:$B$997,Registro!$R$8:$R$997,"N/E",0))</f>
        <v/>
      </c>
      <c r="F233" s="93" t="str">
        <f t="shared" si="6"/>
        <v/>
      </c>
      <c r="G233" s="93"/>
      <c r="H233" s="136"/>
      <c r="K233" s="93"/>
      <c r="L233" s="93" t="str">
        <f t="shared" si="7"/>
        <v/>
      </c>
    </row>
    <row r="234" spans="1:12" s="89" customFormat="1">
      <c r="A234" s="89" t="str">
        <f>IF(Registro!B234="","",Registro!B234)</f>
        <v/>
      </c>
      <c r="B234" s="89" t="str">
        <f>IF(Registro!B234="","",Registro!H234)</f>
        <v/>
      </c>
      <c r="C234" s="137" t="str">
        <f>IF(Registro!B234="","",Registro!L234)</f>
        <v/>
      </c>
      <c r="D234" s="89" t="str">
        <f>IF(Registro!B234="","",Registro!M234)</f>
        <v/>
      </c>
      <c r="E234" s="136" t="str">
        <f>IF(A234="","",_xlfn.XLOOKUP(A234,Registro!$B$8:$B$997,Registro!$R$8:$R$997,"N/E",0))</f>
        <v/>
      </c>
      <c r="F234" s="93" t="str">
        <f t="shared" si="6"/>
        <v/>
      </c>
      <c r="G234" s="93"/>
      <c r="H234" s="136"/>
      <c r="K234" s="93"/>
      <c r="L234" s="93" t="str">
        <f t="shared" si="7"/>
        <v/>
      </c>
    </row>
    <row r="235" spans="1:12" s="89" customFormat="1">
      <c r="A235" s="89" t="str">
        <f>IF(Registro!B235="","",Registro!B235)</f>
        <v/>
      </c>
      <c r="B235" s="89" t="str">
        <f>IF(Registro!B235="","",Registro!H235)</f>
        <v/>
      </c>
      <c r="C235" s="137" t="str">
        <f>IF(Registro!B235="","",Registro!L235)</f>
        <v/>
      </c>
      <c r="D235" s="89" t="str">
        <f>IF(Registro!B235="","",Registro!M235)</f>
        <v/>
      </c>
      <c r="E235" s="136" t="str">
        <f>IF(A235="","",_xlfn.XLOOKUP(A235,Registro!$B$8:$B$997,Registro!$R$8:$R$997,"N/E",0))</f>
        <v/>
      </c>
      <c r="F235" s="93" t="str">
        <f t="shared" si="6"/>
        <v/>
      </c>
      <c r="G235" s="93"/>
      <c r="H235" s="136"/>
      <c r="K235" s="93"/>
      <c r="L235" s="93" t="str">
        <f t="shared" si="7"/>
        <v/>
      </c>
    </row>
    <row r="236" spans="1:12" s="89" customFormat="1">
      <c r="A236" s="89" t="str">
        <f>IF(Registro!B236="","",Registro!B236)</f>
        <v/>
      </c>
      <c r="B236" s="89" t="str">
        <f>IF(Registro!B236="","",Registro!H236)</f>
        <v/>
      </c>
      <c r="C236" s="137" t="str">
        <f>IF(Registro!B236="","",Registro!L236)</f>
        <v/>
      </c>
      <c r="D236" s="89" t="str">
        <f>IF(Registro!B236="","",Registro!M236)</f>
        <v/>
      </c>
      <c r="E236" s="136" t="str">
        <f>IF(A236="","",_xlfn.XLOOKUP(A236,Registro!$B$8:$B$997,Registro!$R$8:$R$997,"N/E",0))</f>
        <v/>
      </c>
      <c r="F236" s="93" t="str">
        <f t="shared" si="6"/>
        <v/>
      </c>
      <c r="G236" s="93"/>
      <c r="H236" s="136"/>
      <c r="K236" s="93"/>
      <c r="L236" s="93" t="str">
        <f t="shared" si="7"/>
        <v/>
      </c>
    </row>
    <row r="237" spans="1:12" s="89" customFormat="1">
      <c r="A237" s="89" t="str">
        <f>IF(Registro!B237="","",Registro!B237)</f>
        <v/>
      </c>
      <c r="B237" s="89" t="str">
        <f>IF(Registro!B237="","",Registro!H237)</f>
        <v/>
      </c>
      <c r="C237" s="137" t="str">
        <f>IF(Registro!B237="","",Registro!L237)</f>
        <v/>
      </c>
      <c r="D237" s="89" t="str">
        <f>IF(Registro!B237="","",Registro!M237)</f>
        <v/>
      </c>
      <c r="E237" s="136" t="str">
        <f>IF(A237="","",_xlfn.XLOOKUP(A237,Registro!$B$8:$B$997,Registro!$R$8:$R$997,"N/E",0))</f>
        <v/>
      </c>
      <c r="F237" s="93" t="str">
        <f t="shared" si="6"/>
        <v/>
      </c>
      <c r="G237" s="93"/>
      <c r="H237" s="136"/>
      <c r="K237" s="93"/>
      <c r="L237" s="93" t="str">
        <f t="shared" si="7"/>
        <v/>
      </c>
    </row>
    <row r="238" spans="1:12" s="89" customFormat="1">
      <c r="A238" s="89" t="str">
        <f>IF(Registro!B238="","",Registro!B238)</f>
        <v/>
      </c>
      <c r="B238" s="89" t="str">
        <f>IF(Registro!B238="","",Registro!H238)</f>
        <v/>
      </c>
      <c r="C238" s="137" t="str">
        <f>IF(Registro!B238="","",Registro!L238)</f>
        <v/>
      </c>
      <c r="D238" s="89" t="str">
        <f>IF(Registro!B238="","",Registro!M238)</f>
        <v/>
      </c>
      <c r="E238" s="136" t="str">
        <f>IF(A238="","",_xlfn.XLOOKUP(A238,Registro!$B$8:$B$997,Registro!$R$8:$R$997,"N/E",0))</f>
        <v/>
      </c>
      <c r="F238" s="93" t="str">
        <f t="shared" si="6"/>
        <v/>
      </c>
      <c r="G238" s="93"/>
      <c r="H238" s="136"/>
      <c r="K238" s="93"/>
      <c r="L238" s="93" t="str">
        <f t="shared" si="7"/>
        <v/>
      </c>
    </row>
    <row r="239" spans="1:12" s="89" customFormat="1">
      <c r="A239" s="89" t="str">
        <f>IF(Registro!B239="","",Registro!B239)</f>
        <v/>
      </c>
      <c r="B239" s="89" t="str">
        <f>IF(Registro!B239="","",Registro!H239)</f>
        <v/>
      </c>
      <c r="C239" s="137" t="str">
        <f>IF(Registro!B239="","",Registro!L239)</f>
        <v/>
      </c>
      <c r="D239" s="89" t="str">
        <f>IF(Registro!B239="","",Registro!M239)</f>
        <v/>
      </c>
      <c r="E239" s="136" t="str">
        <f>IF(A239="","",_xlfn.XLOOKUP(A239,Registro!$B$8:$B$997,Registro!$R$8:$R$997,"N/E",0))</f>
        <v/>
      </c>
      <c r="F239" s="93" t="str">
        <f t="shared" si="6"/>
        <v/>
      </c>
      <c r="G239" s="93"/>
      <c r="H239" s="136"/>
      <c r="K239" s="93"/>
      <c r="L239" s="93" t="str">
        <f t="shared" si="7"/>
        <v/>
      </c>
    </row>
    <row r="240" spans="1:12" s="89" customFormat="1">
      <c r="A240" s="89" t="str">
        <f>IF(Registro!B240="","",Registro!B240)</f>
        <v/>
      </c>
      <c r="B240" s="89" t="str">
        <f>IF(Registro!B240="","",Registro!H240)</f>
        <v/>
      </c>
      <c r="C240" s="137" t="str">
        <f>IF(Registro!B240="","",Registro!L240)</f>
        <v/>
      </c>
      <c r="D240" s="89" t="str">
        <f>IF(Registro!B240="","",Registro!M240)</f>
        <v/>
      </c>
      <c r="E240" s="136" t="str">
        <f>IF(A240="","",_xlfn.XLOOKUP(A240,Registro!$B$8:$B$997,Registro!$R$8:$R$997,"N/E",0))</f>
        <v/>
      </c>
      <c r="F240" s="93" t="str">
        <f t="shared" si="6"/>
        <v/>
      </c>
      <c r="G240" s="93"/>
      <c r="H240" s="136"/>
      <c r="K240" s="93"/>
      <c r="L240" s="93" t="str">
        <f t="shared" si="7"/>
        <v/>
      </c>
    </row>
    <row r="241" spans="1:12" s="89" customFormat="1">
      <c r="A241" s="89" t="str">
        <f>IF(Registro!B241="","",Registro!B241)</f>
        <v/>
      </c>
      <c r="B241" s="89" t="str">
        <f>IF(Registro!B241="","",Registro!H241)</f>
        <v/>
      </c>
      <c r="C241" s="137" t="str">
        <f>IF(Registro!B241="","",Registro!L241)</f>
        <v/>
      </c>
      <c r="D241" s="89" t="str">
        <f>IF(Registro!B241="","",Registro!M241)</f>
        <v/>
      </c>
      <c r="E241" s="136" t="str">
        <f>IF(A241="","",_xlfn.XLOOKUP(A241,Registro!$B$8:$B$997,Registro!$R$8:$R$997,"N/E",0))</f>
        <v/>
      </c>
      <c r="F241" s="93" t="str">
        <f t="shared" si="6"/>
        <v/>
      </c>
      <c r="G241" s="93"/>
      <c r="H241" s="136"/>
      <c r="K241" s="93"/>
      <c r="L241" s="93" t="str">
        <f t="shared" si="7"/>
        <v/>
      </c>
    </row>
    <row r="242" spans="1:12" s="89" customFormat="1">
      <c r="A242" s="89" t="str">
        <f>IF(Registro!B242="","",Registro!B242)</f>
        <v/>
      </c>
      <c r="B242" s="89" t="str">
        <f>IF(Registro!B242="","",Registro!H242)</f>
        <v/>
      </c>
      <c r="C242" s="137" t="str">
        <f>IF(Registro!B242="","",Registro!L242)</f>
        <v/>
      </c>
      <c r="D242" s="89" t="str">
        <f>IF(Registro!B242="","",Registro!M242)</f>
        <v/>
      </c>
      <c r="E242" s="136" t="str">
        <f>IF(A242="","",_xlfn.XLOOKUP(A242,Registro!$B$8:$B$997,Registro!$R$8:$R$997,"N/E",0))</f>
        <v/>
      </c>
      <c r="F242" s="93" t="str">
        <f t="shared" si="6"/>
        <v/>
      </c>
      <c r="G242" s="93"/>
      <c r="H242" s="136"/>
      <c r="K242" s="93"/>
      <c r="L242" s="93" t="str">
        <f t="shared" si="7"/>
        <v/>
      </c>
    </row>
    <row r="243" spans="1:12" s="89" customFormat="1">
      <c r="A243" s="89" t="str">
        <f>IF(Registro!B243="","",Registro!B243)</f>
        <v/>
      </c>
      <c r="B243" s="89" t="str">
        <f>IF(Registro!B243="","",Registro!H243)</f>
        <v/>
      </c>
      <c r="C243" s="137" t="str">
        <f>IF(Registro!B243="","",Registro!L243)</f>
        <v/>
      </c>
      <c r="D243" s="89" t="str">
        <f>IF(Registro!B243="","",Registro!M243)</f>
        <v/>
      </c>
      <c r="E243" s="136" t="str">
        <f>IF(A243="","",_xlfn.XLOOKUP(A243,Registro!$B$8:$B$997,Registro!$R$8:$R$997,"N/E",0))</f>
        <v/>
      </c>
      <c r="F243" s="93" t="str">
        <f t="shared" si="6"/>
        <v/>
      </c>
      <c r="G243" s="93"/>
      <c r="H243" s="136"/>
      <c r="K243" s="93"/>
      <c r="L243" s="93" t="str">
        <f t="shared" si="7"/>
        <v/>
      </c>
    </row>
    <row r="244" spans="1:12" s="89" customFormat="1">
      <c r="A244" s="89" t="str">
        <f>IF(Registro!B244="","",Registro!B244)</f>
        <v/>
      </c>
      <c r="B244" s="89" t="str">
        <f>IF(Registro!B244="","",Registro!H244)</f>
        <v/>
      </c>
      <c r="C244" s="137" t="str">
        <f>IF(Registro!B244="","",Registro!L244)</f>
        <v/>
      </c>
      <c r="D244" s="89" t="str">
        <f>IF(Registro!B244="","",Registro!M244)</f>
        <v/>
      </c>
      <c r="E244" s="136" t="str">
        <f>IF(A244="","",_xlfn.XLOOKUP(A244,Registro!$B$8:$B$997,Registro!$R$8:$R$997,"N/E",0))</f>
        <v/>
      </c>
      <c r="F244" s="93" t="str">
        <f t="shared" si="6"/>
        <v/>
      </c>
      <c r="G244" s="93"/>
      <c r="H244" s="136"/>
      <c r="K244" s="93"/>
      <c r="L244" s="93" t="str">
        <f t="shared" si="7"/>
        <v/>
      </c>
    </row>
    <row r="245" spans="1:12" s="89" customFormat="1">
      <c r="A245" s="89" t="str">
        <f>IF(Registro!B245="","",Registro!B245)</f>
        <v/>
      </c>
      <c r="B245" s="89" t="str">
        <f>IF(Registro!B245="","",Registro!H245)</f>
        <v/>
      </c>
      <c r="C245" s="137" t="str">
        <f>IF(Registro!B245="","",Registro!L245)</f>
        <v/>
      </c>
      <c r="D245" s="89" t="str">
        <f>IF(Registro!B245="","",Registro!M245)</f>
        <v/>
      </c>
      <c r="E245" s="136" t="str">
        <f>IF(A245="","",_xlfn.XLOOKUP(A245,Registro!$B$8:$B$997,Registro!$R$8:$R$997,"N/E",0))</f>
        <v/>
      </c>
      <c r="F245" s="93" t="str">
        <f t="shared" si="6"/>
        <v/>
      </c>
      <c r="G245" s="93"/>
      <c r="H245" s="136"/>
      <c r="K245" s="93"/>
      <c r="L245" s="93" t="str">
        <f t="shared" si="7"/>
        <v/>
      </c>
    </row>
    <row r="246" spans="1:12" s="89" customFormat="1">
      <c r="A246" s="89" t="str">
        <f>IF(Registro!B246="","",Registro!B246)</f>
        <v/>
      </c>
      <c r="B246" s="89" t="str">
        <f>IF(Registro!B246="","",Registro!H246)</f>
        <v/>
      </c>
      <c r="C246" s="137" t="str">
        <f>IF(Registro!B246="","",Registro!L246)</f>
        <v/>
      </c>
      <c r="D246" s="89" t="str">
        <f>IF(Registro!B246="","",Registro!M246)</f>
        <v/>
      </c>
      <c r="E246" s="136" t="str">
        <f>IF(A246="","",_xlfn.XLOOKUP(A246,Registro!$B$8:$B$997,Registro!$R$8:$R$997,"N/E",0))</f>
        <v/>
      </c>
      <c r="F246" s="93" t="str">
        <f t="shared" si="6"/>
        <v/>
      </c>
      <c r="G246" s="93"/>
      <c r="H246" s="136"/>
      <c r="K246" s="93"/>
      <c r="L246" s="93" t="str">
        <f t="shared" si="7"/>
        <v/>
      </c>
    </row>
    <row r="247" spans="1:12" s="89" customFormat="1">
      <c r="A247" s="89" t="str">
        <f>IF(Registro!B247="","",Registro!B247)</f>
        <v/>
      </c>
      <c r="B247" s="89" t="str">
        <f>IF(Registro!B247="","",Registro!H247)</f>
        <v/>
      </c>
      <c r="C247" s="137" t="str">
        <f>IF(Registro!B247="","",Registro!L247)</f>
        <v/>
      </c>
      <c r="D247" s="89" t="str">
        <f>IF(Registro!B247="","",Registro!M247)</f>
        <v/>
      </c>
      <c r="E247" s="136" t="str">
        <f>IF(A247="","",_xlfn.XLOOKUP(A247,Registro!$B$8:$B$997,Registro!$R$8:$R$997,"N/E",0))</f>
        <v/>
      </c>
      <c r="F247" s="93" t="str">
        <f t="shared" si="6"/>
        <v/>
      </c>
      <c r="G247" s="93"/>
      <c r="H247" s="136"/>
      <c r="K247" s="93"/>
      <c r="L247" s="93" t="str">
        <f t="shared" si="7"/>
        <v/>
      </c>
    </row>
    <row r="248" spans="1:12" s="89" customFormat="1">
      <c r="A248" s="89" t="str">
        <f>IF(Registro!B248="","",Registro!B248)</f>
        <v/>
      </c>
      <c r="B248" s="89" t="str">
        <f>IF(Registro!B248="","",Registro!H248)</f>
        <v/>
      </c>
      <c r="C248" s="137" t="str">
        <f>IF(Registro!B248="","",Registro!L248)</f>
        <v/>
      </c>
      <c r="D248" s="89" t="str">
        <f>IF(Registro!B248="","",Registro!M248)</f>
        <v/>
      </c>
      <c r="E248" s="136" t="str">
        <f>IF(A248="","",_xlfn.XLOOKUP(A248,Registro!$B$8:$B$997,Registro!$R$8:$R$997,"N/E",0))</f>
        <v/>
      </c>
      <c r="F248" s="93" t="str">
        <f t="shared" si="6"/>
        <v/>
      </c>
      <c r="G248" s="93"/>
      <c r="H248" s="136"/>
      <c r="K248" s="93"/>
      <c r="L248" s="93" t="str">
        <f t="shared" si="7"/>
        <v/>
      </c>
    </row>
    <row r="249" spans="1:12" s="89" customFormat="1">
      <c r="A249" s="89" t="str">
        <f>IF(Registro!B249="","",Registro!B249)</f>
        <v/>
      </c>
      <c r="B249" s="89" t="str">
        <f>IF(Registro!B249="","",Registro!H249)</f>
        <v/>
      </c>
      <c r="C249" s="137" t="str">
        <f>IF(Registro!B249="","",Registro!L249)</f>
        <v/>
      </c>
      <c r="D249" s="89" t="str">
        <f>IF(Registro!B249="","",Registro!M249)</f>
        <v/>
      </c>
      <c r="E249" s="136" t="str">
        <f>IF(A249="","",_xlfn.XLOOKUP(A249,Registro!$B$8:$B$997,Registro!$R$8:$R$997,"N/E",0))</f>
        <v/>
      </c>
      <c r="F249" s="93" t="str">
        <f t="shared" si="6"/>
        <v/>
      </c>
      <c r="G249" s="93"/>
      <c r="H249" s="136"/>
      <c r="K249" s="93"/>
      <c r="L249" s="93" t="str">
        <f t="shared" si="7"/>
        <v/>
      </c>
    </row>
    <row r="250" spans="1:12" s="89" customFormat="1">
      <c r="A250" s="89" t="str">
        <f>IF(Registro!B250="","",Registro!B250)</f>
        <v/>
      </c>
      <c r="B250" s="89" t="str">
        <f>IF(Registro!B250="","",Registro!H250)</f>
        <v/>
      </c>
      <c r="C250" s="137" t="str">
        <f>IF(Registro!B250="","",Registro!L250)</f>
        <v/>
      </c>
      <c r="D250" s="89" t="str">
        <f>IF(Registro!B250="","",Registro!M250)</f>
        <v/>
      </c>
      <c r="E250" s="136" t="str">
        <f>IF(A250="","",_xlfn.XLOOKUP(A250,Registro!$B$8:$B$997,Registro!$R$8:$R$997,"N/E",0))</f>
        <v/>
      </c>
      <c r="F250" s="93" t="str">
        <f t="shared" si="6"/>
        <v/>
      </c>
      <c r="G250" s="93"/>
      <c r="H250" s="136"/>
      <c r="K250" s="93"/>
      <c r="L250" s="93" t="str">
        <f t="shared" si="7"/>
        <v/>
      </c>
    </row>
    <row r="251" spans="1:12" s="89" customFormat="1">
      <c r="A251" s="89" t="str">
        <f>IF(Registro!B251="","",Registro!B251)</f>
        <v/>
      </c>
      <c r="B251" s="89" t="str">
        <f>IF(Registro!B251="","",Registro!H251)</f>
        <v/>
      </c>
      <c r="C251" s="137" t="str">
        <f>IF(Registro!B251="","",Registro!L251)</f>
        <v/>
      </c>
      <c r="D251" s="89" t="str">
        <f>IF(Registro!B251="","",Registro!M251)</f>
        <v/>
      </c>
      <c r="E251" s="136" t="str">
        <f>IF(A251="","",_xlfn.XLOOKUP(A251,Registro!$B$8:$B$997,Registro!$R$8:$R$997,"N/E",0))</f>
        <v/>
      </c>
      <c r="F251" s="93" t="str">
        <f t="shared" si="6"/>
        <v/>
      </c>
      <c r="G251" s="93"/>
      <c r="H251" s="136"/>
      <c r="K251" s="93"/>
      <c r="L251" s="93" t="str">
        <f t="shared" si="7"/>
        <v/>
      </c>
    </row>
    <row r="252" spans="1:12" s="89" customFormat="1">
      <c r="A252" s="89" t="str">
        <f>IF(Registro!B252="","",Registro!B252)</f>
        <v/>
      </c>
      <c r="B252" s="89" t="str">
        <f>IF(Registro!B252="","",Registro!H252)</f>
        <v/>
      </c>
      <c r="C252" s="137" t="str">
        <f>IF(Registro!B252="","",Registro!L252)</f>
        <v/>
      </c>
      <c r="D252" s="89" t="str">
        <f>IF(Registro!B252="","",Registro!M252)</f>
        <v/>
      </c>
      <c r="E252" s="136" t="str">
        <f>IF(A252="","",_xlfn.XLOOKUP(A252,Registro!$B$8:$B$997,Registro!$R$8:$R$997,"N/E",0))</f>
        <v/>
      </c>
      <c r="F252" s="93" t="str">
        <f t="shared" si="6"/>
        <v/>
      </c>
      <c r="G252" s="93"/>
      <c r="H252" s="136"/>
      <c r="K252" s="93"/>
      <c r="L252" s="93" t="str">
        <f t="shared" si="7"/>
        <v/>
      </c>
    </row>
    <row r="253" spans="1:12" s="89" customFormat="1">
      <c r="A253" s="89" t="str">
        <f>IF(Registro!B253="","",Registro!B253)</f>
        <v/>
      </c>
      <c r="B253" s="89" t="str">
        <f>IF(Registro!B253="","",Registro!H253)</f>
        <v/>
      </c>
      <c r="C253" s="137" t="str">
        <f>IF(Registro!B253="","",Registro!L253)</f>
        <v/>
      </c>
      <c r="D253" s="89" t="str">
        <f>IF(Registro!B253="","",Registro!M253)</f>
        <v/>
      </c>
      <c r="E253" s="136" t="str">
        <f>IF(A253="","",_xlfn.XLOOKUP(A253,Registro!$B$8:$B$997,Registro!$R$8:$R$997,"N/E",0))</f>
        <v/>
      </c>
      <c r="F253" s="93" t="str">
        <f t="shared" si="6"/>
        <v/>
      </c>
      <c r="G253" s="93"/>
      <c r="H253" s="136"/>
      <c r="K253" s="93"/>
      <c r="L253" s="93" t="str">
        <f t="shared" si="7"/>
        <v/>
      </c>
    </row>
    <row r="254" spans="1:12" s="89" customFormat="1">
      <c r="A254" s="89" t="str">
        <f>IF(Registro!B254="","",Registro!B254)</f>
        <v/>
      </c>
      <c r="B254" s="89" t="str">
        <f>IF(Registro!B254="","",Registro!H254)</f>
        <v/>
      </c>
      <c r="C254" s="137" t="str">
        <f>IF(Registro!B254="","",Registro!L254)</f>
        <v/>
      </c>
      <c r="D254" s="89" t="str">
        <f>IF(Registro!B254="","",Registro!M254)</f>
        <v/>
      </c>
      <c r="E254" s="136" t="str">
        <f>IF(A254="","",_xlfn.XLOOKUP(A254,Registro!$B$8:$B$997,Registro!$R$8:$R$997,"N/E",0))</f>
        <v/>
      </c>
      <c r="F254" s="93" t="str">
        <f t="shared" si="6"/>
        <v/>
      </c>
      <c r="G254" s="93"/>
      <c r="H254" s="136"/>
      <c r="K254" s="93"/>
      <c r="L254" s="93" t="str">
        <f t="shared" si="7"/>
        <v/>
      </c>
    </row>
    <row r="255" spans="1:12" s="89" customFormat="1">
      <c r="A255" s="89" t="str">
        <f>IF(Registro!B255="","",Registro!B255)</f>
        <v/>
      </c>
      <c r="B255" s="89" t="str">
        <f>IF(Registro!B255="","",Registro!H255)</f>
        <v/>
      </c>
      <c r="C255" s="137" t="str">
        <f>IF(Registro!B255="","",Registro!L255)</f>
        <v/>
      </c>
      <c r="D255" s="89" t="str">
        <f>IF(Registro!B255="","",Registro!M255)</f>
        <v/>
      </c>
      <c r="E255" s="136" t="str">
        <f>IF(A255="","",_xlfn.XLOOKUP(A255,Registro!$B$8:$B$997,Registro!$R$8:$R$997,"N/E",0))</f>
        <v/>
      </c>
      <c r="F255" s="93" t="str">
        <f t="shared" si="6"/>
        <v/>
      </c>
      <c r="G255" s="93"/>
      <c r="H255" s="136"/>
      <c r="K255" s="93"/>
      <c r="L255" s="93" t="str">
        <f t="shared" si="7"/>
        <v/>
      </c>
    </row>
    <row r="256" spans="1:12" s="89" customFormat="1">
      <c r="A256" s="89" t="str">
        <f>IF(Registro!B256="","",Registro!B256)</f>
        <v/>
      </c>
      <c r="B256" s="89" t="str">
        <f>IF(Registro!B256="","",Registro!H256)</f>
        <v/>
      </c>
      <c r="C256" s="137" t="str">
        <f>IF(Registro!B256="","",Registro!L256)</f>
        <v/>
      </c>
      <c r="D256" s="89" t="str">
        <f>IF(Registro!B256="","",Registro!M256)</f>
        <v/>
      </c>
      <c r="E256" s="136" t="str">
        <f>IF(A256="","",_xlfn.XLOOKUP(A256,Registro!$B$8:$B$997,Registro!$R$8:$R$997,"N/E",0))</f>
        <v/>
      </c>
      <c r="F256" s="93" t="str">
        <f t="shared" si="6"/>
        <v/>
      </c>
      <c r="G256" s="93"/>
      <c r="H256" s="136"/>
      <c r="K256" s="93"/>
      <c r="L256" s="93" t="str">
        <f t="shared" si="7"/>
        <v/>
      </c>
    </row>
    <row r="257" spans="1:12" s="89" customFormat="1">
      <c r="A257" s="89" t="str">
        <f>IF(Registro!B257="","",Registro!B257)</f>
        <v/>
      </c>
      <c r="B257" s="89" t="str">
        <f>IF(Registro!B257="","",Registro!H257)</f>
        <v/>
      </c>
      <c r="C257" s="137" t="str">
        <f>IF(Registro!B257="","",Registro!L257)</f>
        <v/>
      </c>
      <c r="D257" s="89" t="str">
        <f>IF(Registro!B257="","",Registro!M257)</f>
        <v/>
      </c>
      <c r="E257" s="136" t="str">
        <f>IF(A257="","",_xlfn.XLOOKUP(A257,Registro!$B$8:$B$997,Registro!$R$8:$R$997,"N/E",0))</f>
        <v/>
      </c>
      <c r="F257" s="93" t="str">
        <f t="shared" si="6"/>
        <v/>
      </c>
      <c r="G257" s="93"/>
      <c r="H257" s="136"/>
      <c r="K257" s="93"/>
      <c r="L257" s="93" t="str">
        <f t="shared" si="7"/>
        <v/>
      </c>
    </row>
    <row r="258" spans="1:12" s="89" customFormat="1">
      <c r="A258" s="89" t="str">
        <f>IF(Registro!B258="","",Registro!B258)</f>
        <v/>
      </c>
      <c r="B258" s="89" t="str">
        <f>IF(Registro!B258="","",Registro!H258)</f>
        <v/>
      </c>
      <c r="C258" s="137" t="str">
        <f>IF(Registro!B258="","",Registro!L258)</f>
        <v/>
      </c>
      <c r="D258" s="89" t="str">
        <f>IF(Registro!B258="","",Registro!M258)</f>
        <v/>
      </c>
      <c r="E258" s="136" t="str">
        <f>IF(A258="","",_xlfn.XLOOKUP(A258,Registro!$B$8:$B$997,Registro!$R$8:$R$997,"N/E",0))</f>
        <v/>
      </c>
      <c r="F258" s="93" t="str">
        <f t="shared" si="6"/>
        <v/>
      </c>
      <c r="G258" s="93"/>
      <c r="H258" s="136"/>
      <c r="K258" s="93"/>
      <c r="L258" s="93" t="str">
        <f t="shared" si="7"/>
        <v/>
      </c>
    </row>
    <row r="259" spans="1:12" s="89" customFormat="1">
      <c r="A259" s="89" t="str">
        <f>IF(Registro!B259="","",Registro!B259)</f>
        <v/>
      </c>
      <c r="B259" s="89" t="str">
        <f>IF(Registro!B259="","",Registro!H259)</f>
        <v/>
      </c>
      <c r="C259" s="137" t="str">
        <f>IF(Registro!B259="","",Registro!L259)</f>
        <v/>
      </c>
      <c r="D259" s="89" t="str">
        <f>IF(Registro!B259="","",Registro!M259)</f>
        <v/>
      </c>
      <c r="E259" s="136" t="str">
        <f>IF(A259="","",_xlfn.XLOOKUP(A259,Registro!$B$8:$B$997,Registro!$R$8:$R$997,"N/E",0))</f>
        <v/>
      </c>
      <c r="F259" s="93" t="str">
        <f t="shared" si="6"/>
        <v/>
      </c>
      <c r="G259" s="93"/>
      <c r="H259" s="136"/>
      <c r="K259" s="93"/>
      <c r="L259" s="93" t="str">
        <f t="shared" si="7"/>
        <v/>
      </c>
    </row>
    <row r="260" spans="1:12" s="89" customFormat="1">
      <c r="A260" s="89" t="str">
        <f>IF(Registro!B260="","",Registro!B260)</f>
        <v/>
      </c>
      <c r="B260" s="89" t="str">
        <f>IF(Registro!B260="","",Registro!H260)</f>
        <v/>
      </c>
      <c r="C260" s="137" t="str">
        <f>IF(Registro!B260="","",Registro!L260)</f>
        <v/>
      </c>
      <c r="D260" s="89" t="str">
        <f>IF(Registro!B260="","",Registro!M260)</f>
        <v/>
      </c>
      <c r="E260" s="136" t="str">
        <f>IF(A260="","",_xlfn.XLOOKUP(A260,Registro!$B$8:$B$997,Registro!$R$8:$R$997,"N/E",0))</f>
        <v/>
      </c>
      <c r="F260" s="93" t="str">
        <f t="shared" si="6"/>
        <v/>
      </c>
      <c r="G260" s="93"/>
      <c r="H260" s="136"/>
      <c r="K260" s="93"/>
      <c r="L260" s="93" t="str">
        <f t="shared" si="7"/>
        <v/>
      </c>
    </row>
    <row r="261" spans="1:12" s="89" customFormat="1">
      <c r="A261" s="89" t="str">
        <f>IF(Registro!B261="","",Registro!B261)</f>
        <v/>
      </c>
      <c r="B261" s="89" t="str">
        <f>IF(Registro!B261="","",Registro!H261)</f>
        <v/>
      </c>
      <c r="C261" s="137" t="str">
        <f>IF(Registro!B261="","",Registro!L261)</f>
        <v/>
      </c>
      <c r="D261" s="89" t="str">
        <f>IF(Registro!B261="","",Registro!M261)</f>
        <v/>
      </c>
      <c r="E261" s="136" t="str">
        <f>IF(A261="","",_xlfn.XLOOKUP(A261,Registro!$B$8:$B$997,Registro!$R$8:$R$997,"N/E",0))</f>
        <v/>
      </c>
      <c r="F261" s="93" t="str">
        <f t="shared" si="6"/>
        <v/>
      </c>
      <c r="G261" s="93"/>
      <c r="H261" s="136"/>
      <c r="K261" s="93"/>
      <c r="L261" s="93" t="str">
        <f t="shared" si="7"/>
        <v/>
      </c>
    </row>
    <row r="262" spans="1:12" s="89" customFormat="1">
      <c r="A262" s="89" t="str">
        <f>IF(Registro!B262="","",Registro!B262)</f>
        <v/>
      </c>
      <c r="B262" s="89" t="str">
        <f>IF(Registro!B262="","",Registro!H262)</f>
        <v/>
      </c>
      <c r="C262" s="137" t="str">
        <f>IF(Registro!B262="","",Registro!L262)</f>
        <v/>
      </c>
      <c r="D262" s="89" t="str">
        <f>IF(Registro!B262="","",Registro!M262)</f>
        <v/>
      </c>
      <c r="E262" s="136" t="str">
        <f>IF(A262="","",_xlfn.XLOOKUP(A262,Registro!$B$8:$B$997,Registro!$R$8:$R$997,"N/E",0))</f>
        <v/>
      </c>
      <c r="F262" s="93" t="str">
        <f t="shared" si="6"/>
        <v/>
      </c>
      <c r="G262" s="93"/>
      <c r="H262" s="136"/>
      <c r="K262" s="93"/>
      <c r="L262" s="93" t="str">
        <f t="shared" si="7"/>
        <v/>
      </c>
    </row>
    <row r="263" spans="1:12" s="89" customFormat="1">
      <c r="A263" s="89" t="str">
        <f>IF(Registro!B263="","",Registro!B263)</f>
        <v/>
      </c>
      <c r="B263" s="89" t="str">
        <f>IF(Registro!B263="","",Registro!H263)</f>
        <v/>
      </c>
      <c r="C263" s="137" t="str">
        <f>IF(Registro!B263="","",Registro!L263)</f>
        <v/>
      </c>
      <c r="D263" s="89" t="str">
        <f>IF(Registro!B263="","",Registro!M263)</f>
        <v/>
      </c>
      <c r="E263" s="136" t="str">
        <f>IF(A263="","",_xlfn.XLOOKUP(A263,Registro!$B$8:$B$997,Registro!$R$8:$R$997,"N/E",0))</f>
        <v/>
      </c>
      <c r="F263" s="93" t="str">
        <f t="shared" si="6"/>
        <v/>
      </c>
      <c r="G263" s="93"/>
      <c r="H263" s="136"/>
      <c r="K263" s="93"/>
      <c r="L263" s="93" t="str">
        <f t="shared" si="7"/>
        <v/>
      </c>
    </row>
    <row r="264" spans="1:12" s="89" customFormat="1">
      <c r="A264" s="89" t="str">
        <f>IF(Registro!B264="","",Registro!B264)</f>
        <v/>
      </c>
      <c r="B264" s="89" t="str">
        <f>IF(Registro!B264="","",Registro!H264)</f>
        <v/>
      </c>
      <c r="C264" s="137" t="str">
        <f>IF(Registro!B264="","",Registro!L264)</f>
        <v/>
      </c>
      <c r="D264" s="89" t="str">
        <f>IF(Registro!B264="","",Registro!M264)</f>
        <v/>
      </c>
      <c r="E264" s="136" t="str">
        <f>IF(A264="","",_xlfn.XLOOKUP(A264,Registro!$B$8:$B$997,Registro!$R$8:$R$997,"N/E",0))</f>
        <v/>
      </c>
      <c r="F264" s="93" t="str">
        <f t="shared" ref="F264:F327" si="8">IF(A264="","",NETWORKDAYS.INTL(C264,E264,1))</f>
        <v/>
      </c>
      <c r="G264" s="93"/>
      <c r="H264" s="136"/>
      <c r="K264" s="93"/>
      <c r="L264" s="93" t="str">
        <f t="shared" si="7"/>
        <v/>
      </c>
    </row>
    <row r="265" spans="1:12" s="89" customFormat="1">
      <c r="A265" s="89" t="str">
        <f>IF(Registro!B265="","",Registro!B265)</f>
        <v/>
      </c>
      <c r="B265" s="89" t="str">
        <f>IF(Registro!B265="","",Registro!H265)</f>
        <v/>
      </c>
      <c r="C265" s="137" t="str">
        <f>IF(Registro!B265="","",Registro!L265)</f>
        <v/>
      </c>
      <c r="D265" s="89" t="str">
        <f>IF(Registro!B265="","",Registro!M265)</f>
        <v/>
      </c>
      <c r="E265" s="136" t="str">
        <f>IF(A265="","",_xlfn.XLOOKUP(A265,Registro!$B$8:$B$997,Registro!$R$8:$R$997,"N/E",0))</f>
        <v/>
      </c>
      <c r="F265" s="93" t="str">
        <f t="shared" si="8"/>
        <v/>
      </c>
      <c r="G265" s="93"/>
      <c r="H265" s="136"/>
      <c r="K265" s="93"/>
      <c r="L265" s="93" t="str">
        <f t="shared" si="7"/>
        <v/>
      </c>
    </row>
    <row r="266" spans="1:12" s="89" customFormat="1">
      <c r="A266" s="89" t="str">
        <f>IF(Registro!B266="","",Registro!B266)</f>
        <v/>
      </c>
      <c r="B266" s="89" t="str">
        <f>IF(Registro!B266="","",Registro!H266)</f>
        <v/>
      </c>
      <c r="C266" s="137" t="str">
        <f>IF(Registro!B266="","",Registro!L266)</f>
        <v/>
      </c>
      <c r="D266" s="89" t="str">
        <f>IF(Registro!B266="","",Registro!M266)</f>
        <v/>
      </c>
      <c r="E266" s="136" t="str">
        <f>IF(A266="","",_xlfn.XLOOKUP(A266,Registro!$B$8:$B$997,Registro!$R$8:$R$997,"N/E",0))</f>
        <v/>
      </c>
      <c r="F266" s="93" t="str">
        <f t="shared" si="8"/>
        <v/>
      </c>
      <c r="G266" s="93"/>
      <c r="H266" s="136"/>
      <c r="K266" s="93"/>
      <c r="L266" s="93" t="str">
        <f t="shared" si="7"/>
        <v/>
      </c>
    </row>
    <row r="267" spans="1:12" s="89" customFormat="1">
      <c r="A267" s="89" t="str">
        <f>IF(Registro!B267="","",Registro!B267)</f>
        <v/>
      </c>
      <c r="B267" s="89" t="str">
        <f>IF(Registro!B267="","",Registro!H267)</f>
        <v/>
      </c>
      <c r="C267" s="137" t="str">
        <f>IF(Registro!B267="","",Registro!L267)</f>
        <v/>
      </c>
      <c r="D267" s="89" t="str">
        <f>IF(Registro!B267="","",Registro!M267)</f>
        <v/>
      </c>
      <c r="E267" s="136" t="str">
        <f>IF(A267="","",_xlfn.XLOOKUP(A267,Registro!$B$8:$B$997,Registro!$R$8:$R$997,"N/E",0))</f>
        <v/>
      </c>
      <c r="F267" s="93" t="str">
        <f t="shared" si="8"/>
        <v/>
      </c>
      <c r="G267" s="93"/>
      <c r="H267" s="136"/>
      <c r="K267" s="93"/>
      <c r="L267" s="93" t="str">
        <f t="shared" si="7"/>
        <v/>
      </c>
    </row>
    <row r="268" spans="1:12" s="89" customFormat="1">
      <c r="A268" s="89" t="str">
        <f>IF(Registro!B268="","",Registro!B268)</f>
        <v/>
      </c>
      <c r="B268" s="89" t="str">
        <f>IF(Registro!B268="","",Registro!H268)</f>
        <v/>
      </c>
      <c r="C268" s="137" t="str">
        <f>IF(Registro!B268="","",Registro!L268)</f>
        <v/>
      </c>
      <c r="D268" s="89" t="str">
        <f>IF(Registro!B268="","",Registro!M268)</f>
        <v/>
      </c>
      <c r="E268" s="136" t="str">
        <f>IF(A268="","",_xlfn.XLOOKUP(A268,Registro!$B$8:$B$997,Registro!$R$8:$R$997,"N/E",0))</f>
        <v/>
      </c>
      <c r="F268" s="93" t="str">
        <f t="shared" si="8"/>
        <v/>
      </c>
      <c r="G268" s="93"/>
      <c r="H268" s="136"/>
      <c r="K268" s="93"/>
      <c r="L268" s="93" t="str">
        <f t="shared" si="7"/>
        <v/>
      </c>
    </row>
    <row r="269" spans="1:12" s="89" customFormat="1">
      <c r="A269" s="89" t="str">
        <f>IF(Registro!B269="","",Registro!B269)</f>
        <v/>
      </c>
      <c r="B269" s="89" t="str">
        <f>IF(Registro!B269="","",Registro!H269)</f>
        <v/>
      </c>
      <c r="C269" s="137" t="str">
        <f>IF(Registro!B269="","",Registro!L269)</f>
        <v/>
      </c>
      <c r="D269" s="89" t="str">
        <f>IF(Registro!B269="","",Registro!M269)</f>
        <v/>
      </c>
      <c r="E269" s="136" t="str">
        <f>IF(A269="","",_xlfn.XLOOKUP(A269,Registro!$B$8:$B$997,Registro!$R$8:$R$997,"N/E",0))</f>
        <v/>
      </c>
      <c r="F269" s="93" t="str">
        <f t="shared" si="8"/>
        <v/>
      </c>
      <c r="G269" s="93"/>
      <c r="H269" s="136"/>
      <c r="K269" s="93"/>
      <c r="L269" s="93" t="str">
        <f t="shared" si="7"/>
        <v/>
      </c>
    </row>
    <row r="270" spans="1:12" s="89" customFormat="1">
      <c r="A270" s="89" t="str">
        <f>IF(Registro!B270="","",Registro!B270)</f>
        <v/>
      </c>
      <c r="B270" s="89" t="str">
        <f>IF(Registro!B270="","",Registro!H270)</f>
        <v/>
      </c>
      <c r="C270" s="137" t="str">
        <f>IF(Registro!B270="","",Registro!L270)</f>
        <v/>
      </c>
      <c r="D270" s="89" t="str">
        <f>IF(Registro!B270="","",Registro!M270)</f>
        <v/>
      </c>
      <c r="E270" s="136" t="str">
        <f>IF(A270="","",_xlfn.XLOOKUP(A270,Registro!$B$8:$B$997,Registro!$R$8:$R$997,"N/E",0))</f>
        <v/>
      </c>
      <c r="F270" s="93" t="str">
        <f t="shared" si="8"/>
        <v/>
      </c>
      <c r="G270" s="93"/>
      <c r="H270" s="136"/>
      <c r="K270" s="93"/>
      <c r="L270" s="93" t="str">
        <f t="shared" si="7"/>
        <v/>
      </c>
    </row>
    <row r="271" spans="1:12" s="89" customFormat="1">
      <c r="A271" s="89" t="str">
        <f>IF(Registro!B271="","",Registro!B271)</f>
        <v/>
      </c>
      <c r="B271" s="89" t="str">
        <f>IF(Registro!B271="","",Registro!H271)</f>
        <v/>
      </c>
      <c r="C271" s="137" t="str">
        <f>IF(Registro!B271="","",Registro!L271)</f>
        <v/>
      </c>
      <c r="D271" s="89" t="str">
        <f>IF(Registro!B271="","",Registro!M271)</f>
        <v/>
      </c>
      <c r="E271" s="136" t="str">
        <f>IF(A271="","",_xlfn.XLOOKUP(A271,Registro!$B$8:$B$997,Registro!$R$8:$R$997,"N/E",0))</f>
        <v/>
      </c>
      <c r="F271" s="93" t="str">
        <f t="shared" si="8"/>
        <v/>
      </c>
      <c r="G271" s="93"/>
      <c r="H271" s="136"/>
      <c r="K271" s="93"/>
      <c r="L271" s="93" t="str">
        <f t="shared" si="7"/>
        <v/>
      </c>
    </row>
    <row r="272" spans="1:12" s="89" customFormat="1">
      <c r="A272" s="89" t="str">
        <f>IF(Registro!B272="","",Registro!B272)</f>
        <v/>
      </c>
      <c r="B272" s="89" t="str">
        <f>IF(Registro!B272="","",Registro!H272)</f>
        <v/>
      </c>
      <c r="C272" s="137" t="str">
        <f>IF(Registro!B272="","",Registro!L272)</f>
        <v/>
      </c>
      <c r="D272" s="89" t="str">
        <f>IF(Registro!B272="","",Registro!M272)</f>
        <v/>
      </c>
      <c r="E272" s="136" t="str">
        <f>IF(A272="","",_xlfn.XLOOKUP(A272,Registro!$B$8:$B$997,Registro!$R$8:$R$997,"N/E",0))</f>
        <v/>
      </c>
      <c r="F272" s="93" t="str">
        <f t="shared" si="8"/>
        <v/>
      </c>
      <c r="G272" s="93"/>
      <c r="H272" s="136"/>
      <c r="K272" s="93"/>
      <c r="L272" s="93" t="str">
        <f t="shared" si="7"/>
        <v/>
      </c>
    </row>
    <row r="273" spans="1:12" s="89" customFormat="1">
      <c r="A273" s="89" t="str">
        <f>IF(Registro!B273="","",Registro!B273)</f>
        <v/>
      </c>
      <c r="B273" s="89" t="str">
        <f>IF(Registro!B273="","",Registro!H273)</f>
        <v/>
      </c>
      <c r="C273" s="137" t="str">
        <f>IF(Registro!B273="","",Registro!L273)</f>
        <v/>
      </c>
      <c r="D273" s="89" t="str">
        <f>IF(Registro!B273="","",Registro!M273)</f>
        <v/>
      </c>
      <c r="E273" s="136" t="str">
        <f>IF(A273="","",_xlfn.XLOOKUP(A273,Registro!$B$8:$B$997,Registro!$R$8:$R$997,"N/E",0))</f>
        <v/>
      </c>
      <c r="F273" s="93" t="str">
        <f t="shared" si="8"/>
        <v/>
      </c>
      <c r="G273" s="93"/>
      <c r="H273" s="136"/>
      <c r="K273" s="93"/>
      <c r="L273" s="93" t="str">
        <f t="shared" si="7"/>
        <v/>
      </c>
    </row>
    <row r="274" spans="1:12" s="89" customFormat="1">
      <c r="A274" s="89" t="str">
        <f>IF(Registro!B274="","",Registro!B274)</f>
        <v/>
      </c>
      <c r="B274" s="89" t="str">
        <f>IF(Registro!B274="","",Registro!H274)</f>
        <v/>
      </c>
      <c r="C274" s="137" t="str">
        <f>IF(Registro!B274="","",Registro!L274)</f>
        <v/>
      </c>
      <c r="D274" s="89" t="str">
        <f>IF(Registro!B274="","",Registro!M274)</f>
        <v/>
      </c>
      <c r="E274" s="136" t="str">
        <f>IF(A274="","",_xlfn.XLOOKUP(A274,Registro!$B$8:$B$997,Registro!$R$8:$R$997,"N/E",0))</f>
        <v/>
      </c>
      <c r="F274" s="93" t="str">
        <f t="shared" si="8"/>
        <v/>
      </c>
      <c r="G274" s="93"/>
      <c r="H274" s="136"/>
      <c r="K274" s="93"/>
      <c r="L274" s="93" t="str">
        <f t="shared" ref="L274:L337" si="9">IF(OR(K274="N/A",K274=""),"",NETWORKDAYS(C274,K274))</f>
        <v/>
      </c>
    </row>
    <row r="275" spans="1:12" s="89" customFormat="1">
      <c r="A275" s="89" t="str">
        <f>IF(Registro!B275="","",Registro!B275)</f>
        <v/>
      </c>
      <c r="B275" s="89" t="str">
        <f>IF(Registro!B275="","",Registro!H275)</f>
        <v/>
      </c>
      <c r="C275" s="137" t="str">
        <f>IF(Registro!B275="","",Registro!L275)</f>
        <v/>
      </c>
      <c r="D275" s="89" t="str">
        <f>IF(Registro!B275="","",Registro!M275)</f>
        <v/>
      </c>
      <c r="E275" s="136" t="str">
        <f>IF(A275="","",_xlfn.XLOOKUP(A275,Registro!$B$8:$B$997,Registro!$R$8:$R$997,"N/E",0))</f>
        <v/>
      </c>
      <c r="F275" s="93" t="str">
        <f t="shared" si="8"/>
        <v/>
      </c>
      <c r="G275" s="93"/>
      <c r="H275" s="136"/>
      <c r="K275" s="93"/>
      <c r="L275" s="93" t="str">
        <f t="shared" si="9"/>
        <v/>
      </c>
    </row>
    <row r="276" spans="1:12" s="89" customFormat="1">
      <c r="A276" s="89" t="str">
        <f>IF(Registro!B276="","",Registro!B276)</f>
        <v/>
      </c>
      <c r="B276" s="89" t="str">
        <f>IF(Registro!B276="","",Registro!H276)</f>
        <v/>
      </c>
      <c r="C276" s="137" t="str">
        <f>IF(Registro!B276="","",Registro!L276)</f>
        <v/>
      </c>
      <c r="D276" s="89" t="str">
        <f>IF(Registro!B276="","",Registro!M276)</f>
        <v/>
      </c>
      <c r="E276" s="136" t="str">
        <f>IF(A276="","",_xlfn.XLOOKUP(A276,Registro!$B$8:$B$997,Registro!$R$8:$R$997,"N/E",0))</f>
        <v/>
      </c>
      <c r="F276" s="93" t="str">
        <f t="shared" si="8"/>
        <v/>
      </c>
      <c r="G276" s="93"/>
      <c r="H276" s="136"/>
      <c r="K276" s="93"/>
      <c r="L276" s="93" t="str">
        <f t="shared" si="9"/>
        <v/>
      </c>
    </row>
    <row r="277" spans="1:12" s="89" customFormat="1">
      <c r="A277" s="89" t="str">
        <f>IF(Registro!B277="","",Registro!B277)</f>
        <v/>
      </c>
      <c r="B277" s="89" t="str">
        <f>IF(Registro!B277="","",Registro!H277)</f>
        <v/>
      </c>
      <c r="C277" s="137" t="str">
        <f>IF(Registro!B277="","",Registro!L277)</f>
        <v/>
      </c>
      <c r="D277" s="89" t="str">
        <f>IF(Registro!B277="","",Registro!M277)</f>
        <v/>
      </c>
      <c r="E277" s="136" t="str">
        <f>IF(A277="","",_xlfn.XLOOKUP(A277,Registro!$B$8:$B$997,Registro!$R$8:$R$997,"N/E",0))</f>
        <v/>
      </c>
      <c r="F277" s="93" t="str">
        <f t="shared" si="8"/>
        <v/>
      </c>
      <c r="G277" s="93"/>
      <c r="H277" s="136"/>
      <c r="K277" s="93"/>
      <c r="L277" s="93" t="str">
        <f t="shared" si="9"/>
        <v/>
      </c>
    </row>
    <row r="278" spans="1:12" s="89" customFormat="1">
      <c r="A278" s="89" t="str">
        <f>IF(Registro!B278="","",Registro!B278)</f>
        <v/>
      </c>
      <c r="B278" s="89" t="str">
        <f>IF(Registro!B278="","",Registro!H278)</f>
        <v/>
      </c>
      <c r="C278" s="137" t="str">
        <f>IF(Registro!B278="","",Registro!L278)</f>
        <v/>
      </c>
      <c r="D278" s="89" t="str">
        <f>IF(Registro!B278="","",Registro!M278)</f>
        <v/>
      </c>
      <c r="E278" s="136" t="str">
        <f>IF(A278="","",_xlfn.XLOOKUP(A278,Registro!$B$8:$B$997,Registro!$R$8:$R$997,"N/E",0))</f>
        <v/>
      </c>
      <c r="F278" s="93" t="str">
        <f t="shared" si="8"/>
        <v/>
      </c>
      <c r="G278" s="93"/>
      <c r="H278" s="136"/>
      <c r="K278" s="93"/>
      <c r="L278" s="93" t="str">
        <f t="shared" si="9"/>
        <v/>
      </c>
    </row>
    <row r="279" spans="1:12" s="89" customFormat="1">
      <c r="A279" s="89" t="str">
        <f>IF(Registro!B279="","",Registro!B279)</f>
        <v/>
      </c>
      <c r="B279" s="89" t="str">
        <f>IF(Registro!B279="","",Registro!H279)</f>
        <v/>
      </c>
      <c r="C279" s="137" t="str">
        <f>IF(Registro!B279="","",Registro!L279)</f>
        <v/>
      </c>
      <c r="D279" s="89" t="str">
        <f>IF(Registro!B279="","",Registro!M279)</f>
        <v/>
      </c>
      <c r="E279" s="136" t="str">
        <f>IF(A279="","",_xlfn.XLOOKUP(A279,Registro!$B$8:$B$997,Registro!$R$8:$R$997,"N/E",0))</f>
        <v/>
      </c>
      <c r="F279" s="93" t="str">
        <f t="shared" si="8"/>
        <v/>
      </c>
      <c r="G279" s="93"/>
      <c r="H279" s="136"/>
      <c r="K279" s="93"/>
      <c r="L279" s="93" t="str">
        <f t="shared" si="9"/>
        <v/>
      </c>
    </row>
    <row r="280" spans="1:12" s="89" customFormat="1">
      <c r="A280" s="89" t="str">
        <f>IF(Registro!B280="","",Registro!B280)</f>
        <v/>
      </c>
      <c r="B280" s="89" t="str">
        <f>IF(Registro!B280="","",Registro!H280)</f>
        <v/>
      </c>
      <c r="C280" s="137" t="str">
        <f>IF(Registro!B280="","",Registro!L280)</f>
        <v/>
      </c>
      <c r="D280" s="89" t="str">
        <f>IF(Registro!B280="","",Registro!M280)</f>
        <v/>
      </c>
      <c r="E280" s="136" t="str">
        <f>IF(A280="","",_xlfn.XLOOKUP(A280,Registro!$B$8:$B$997,Registro!$R$8:$R$997,"N/E",0))</f>
        <v/>
      </c>
      <c r="F280" s="93" t="str">
        <f t="shared" si="8"/>
        <v/>
      </c>
      <c r="G280" s="93"/>
      <c r="H280" s="136"/>
      <c r="K280" s="93"/>
      <c r="L280" s="93" t="str">
        <f t="shared" si="9"/>
        <v/>
      </c>
    </row>
    <row r="281" spans="1:12" s="89" customFormat="1">
      <c r="A281" s="89" t="str">
        <f>IF(Registro!B281="","",Registro!B281)</f>
        <v/>
      </c>
      <c r="B281" s="89" t="str">
        <f>IF(Registro!B281="","",Registro!H281)</f>
        <v/>
      </c>
      <c r="C281" s="137" t="str">
        <f>IF(Registro!B281="","",Registro!L281)</f>
        <v/>
      </c>
      <c r="D281" s="89" t="str">
        <f>IF(Registro!B281="","",Registro!M281)</f>
        <v/>
      </c>
      <c r="E281" s="136" t="str">
        <f>IF(A281="","",_xlfn.XLOOKUP(A281,Registro!$B$8:$B$997,Registro!$R$8:$R$997,"N/E",0))</f>
        <v/>
      </c>
      <c r="F281" s="93" t="str">
        <f t="shared" si="8"/>
        <v/>
      </c>
      <c r="G281" s="93"/>
      <c r="H281" s="136"/>
      <c r="K281" s="93"/>
      <c r="L281" s="93" t="str">
        <f t="shared" si="9"/>
        <v/>
      </c>
    </row>
    <row r="282" spans="1:12" s="89" customFormat="1">
      <c r="A282" s="89" t="str">
        <f>IF(Registro!B282="","",Registro!B282)</f>
        <v/>
      </c>
      <c r="B282" s="89" t="str">
        <f>IF(Registro!B282="","",Registro!H282)</f>
        <v/>
      </c>
      <c r="C282" s="137" t="str">
        <f>IF(Registro!B282="","",Registro!L282)</f>
        <v/>
      </c>
      <c r="D282" s="89" t="str">
        <f>IF(Registro!B282="","",Registro!M282)</f>
        <v/>
      </c>
      <c r="E282" s="136" t="str">
        <f>IF(A282="","",_xlfn.XLOOKUP(A282,Registro!$B$8:$B$997,Registro!$R$8:$R$997,"N/E",0))</f>
        <v/>
      </c>
      <c r="F282" s="93" t="str">
        <f t="shared" si="8"/>
        <v/>
      </c>
      <c r="G282" s="93"/>
      <c r="H282" s="136"/>
      <c r="K282" s="93"/>
      <c r="L282" s="93" t="str">
        <f t="shared" si="9"/>
        <v/>
      </c>
    </row>
    <row r="283" spans="1:12" s="89" customFormat="1">
      <c r="A283" s="89" t="str">
        <f>IF(Registro!B283="","",Registro!B283)</f>
        <v/>
      </c>
      <c r="B283" s="89" t="str">
        <f>IF(Registro!B283="","",Registro!H283)</f>
        <v/>
      </c>
      <c r="C283" s="137" t="str">
        <f>IF(Registro!B283="","",Registro!L283)</f>
        <v/>
      </c>
      <c r="D283" s="89" t="str">
        <f>IF(Registro!B283="","",Registro!M283)</f>
        <v/>
      </c>
      <c r="E283" s="136" t="str">
        <f>IF(A283="","",_xlfn.XLOOKUP(A283,Registro!$B$8:$B$997,Registro!$R$8:$R$997,"N/E",0))</f>
        <v/>
      </c>
      <c r="F283" s="93" t="str">
        <f t="shared" si="8"/>
        <v/>
      </c>
      <c r="G283" s="93"/>
      <c r="H283" s="136"/>
      <c r="K283" s="93"/>
      <c r="L283" s="93" t="str">
        <f t="shared" si="9"/>
        <v/>
      </c>
    </row>
    <row r="284" spans="1:12" s="89" customFormat="1">
      <c r="A284" s="89" t="str">
        <f>IF(Registro!B284="","",Registro!B284)</f>
        <v/>
      </c>
      <c r="B284" s="89" t="str">
        <f>IF(Registro!B284="","",Registro!H284)</f>
        <v/>
      </c>
      <c r="C284" s="137" t="str">
        <f>IF(Registro!B284="","",Registro!L284)</f>
        <v/>
      </c>
      <c r="D284" s="89" t="str">
        <f>IF(Registro!B284="","",Registro!M284)</f>
        <v/>
      </c>
      <c r="E284" s="136" t="str">
        <f>IF(A284="","",_xlfn.XLOOKUP(A284,Registro!$B$8:$B$997,Registro!$R$8:$R$997,"N/E",0))</f>
        <v/>
      </c>
      <c r="F284" s="93" t="str">
        <f t="shared" si="8"/>
        <v/>
      </c>
      <c r="G284" s="93"/>
      <c r="H284" s="136"/>
      <c r="K284" s="93"/>
      <c r="L284" s="93" t="str">
        <f t="shared" si="9"/>
        <v/>
      </c>
    </row>
    <row r="285" spans="1:12" s="89" customFormat="1">
      <c r="A285" s="89" t="str">
        <f>IF(Registro!B285="","",Registro!B285)</f>
        <v/>
      </c>
      <c r="B285" s="89" t="str">
        <f>IF(Registro!B285="","",Registro!H285)</f>
        <v/>
      </c>
      <c r="C285" s="137" t="str">
        <f>IF(Registro!B285="","",Registro!L285)</f>
        <v/>
      </c>
      <c r="D285" s="89" t="str">
        <f>IF(Registro!B285="","",Registro!M285)</f>
        <v/>
      </c>
      <c r="E285" s="136" t="str">
        <f>IF(A285="","",_xlfn.XLOOKUP(A285,Registro!$B$8:$B$997,Registro!$R$8:$R$997,"N/E",0))</f>
        <v/>
      </c>
      <c r="F285" s="93" t="str">
        <f t="shared" si="8"/>
        <v/>
      </c>
      <c r="G285" s="93"/>
      <c r="H285" s="136"/>
      <c r="K285" s="93"/>
      <c r="L285" s="93" t="str">
        <f t="shared" si="9"/>
        <v/>
      </c>
    </row>
    <row r="286" spans="1:12" s="89" customFormat="1">
      <c r="A286" s="89" t="str">
        <f>IF(Registro!B286="","",Registro!B286)</f>
        <v/>
      </c>
      <c r="B286" s="89" t="str">
        <f>IF(Registro!B286="","",Registro!H286)</f>
        <v/>
      </c>
      <c r="C286" s="137" t="str">
        <f>IF(Registro!B286="","",Registro!L286)</f>
        <v/>
      </c>
      <c r="D286" s="89" t="str">
        <f>IF(Registro!B286="","",Registro!M286)</f>
        <v/>
      </c>
      <c r="E286" s="136" t="str">
        <f>IF(A286="","",_xlfn.XLOOKUP(A286,Registro!$B$8:$B$997,Registro!$R$8:$R$997,"N/E",0))</f>
        <v/>
      </c>
      <c r="F286" s="93" t="str">
        <f t="shared" si="8"/>
        <v/>
      </c>
      <c r="G286" s="93"/>
      <c r="H286" s="136"/>
      <c r="K286" s="93"/>
      <c r="L286" s="93" t="str">
        <f t="shared" si="9"/>
        <v/>
      </c>
    </row>
    <row r="287" spans="1:12" s="89" customFormat="1">
      <c r="A287" s="89" t="str">
        <f>IF(Registro!B287="","",Registro!B287)</f>
        <v/>
      </c>
      <c r="B287" s="89" t="str">
        <f>IF(Registro!B287="","",Registro!H287)</f>
        <v/>
      </c>
      <c r="C287" s="137" t="str">
        <f>IF(Registro!B287="","",Registro!L287)</f>
        <v/>
      </c>
      <c r="D287" s="89" t="str">
        <f>IF(Registro!B287="","",Registro!M287)</f>
        <v/>
      </c>
      <c r="E287" s="136" t="str">
        <f>IF(A287="","",_xlfn.XLOOKUP(A287,Registro!$B$8:$B$997,Registro!$R$8:$R$997,"N/E",0))</f>
        <v/>
      </c>
      <c r="F287" s="93" t="str">
        <f t="shared" si="8"/>
        <v/>
      </c>
      <c r="G287" s="93"/>
      <c r="H287" s="136"/>
      <c r="K287" s="93"/>
      <c r="L287" s="93" t="str">
        <f t="shared" si="9"/>
        <v/>
      </c>
    </row>
    <row r="288" spans="1:12" s="89" customFormat="1">
      <c r="A288" s="89" t="str">
        <f>IF(Registro!B288="","",Registro!B288)</f>
        <v/>
      </c>
      <c r="B288" s="89" t="str">
        <f>IF(Registro!B288="","",Registro!H288)</f>
        <v/>
      </c>
      <c r="C288" s="137" t="str">
        <f>IF(Registro!B288="","",Registro!L288)</f>
        <v/>
      </c>
      <c r="D288" s="89" t="str">
        <f>IF(Registro!B288="","",Registro!M288)</f>
        <v/>
      </c>
      <c r="E288" s="136" t="str">
        <f>IF(A288="","",_xlfn.XLOOKUP(A288,Registro!$B$8:$B$997,Registro!$R$8:$R$997,"N/E",0))</f>
        <v/>
      </c>
      <c r="F288" s="93" t="str">
        <f t="shared" si="8"/>
        <v/>
      </c>
      <c r="G288" s="93"/>
      <c r="H288" s="136"/>
      <c r="K288" s="93"/>
      <c r="L288" s="93" t="str">
        <f t="shared" si="9"/>
        <v/>
      </c>
    </row>
    <row r="289" spans="1:12" s="89" customFormat="1">
      <c r="A289" s="89" t="str">
        <f>IF(Registro!B289="","",Registro!B289)</f>
        <v/>
      </c>
      <c r="B289" s="89" t="str">
        <f>IF(Registro!B289="","",Registro!H289)</f>
        <v/>
      </c>
      <c r="C289" s="137" t="str">
        <f>IF(Registro!B289="","",Registro!L289)</f>
        <v/>
      </c>
      <c r="D289" s="89" t="str">
        <f>IF(Registro!B289="","",Registro!M289)</f>
        <v/>
      </c>
      <c r="E289" s="136" t="str">
        <f>IF(A289="","",_xlfn.XLOOKUP(A289,Registro!$B$8:$B$997,Registro!$R$8:$R$997,"N/E",0))</f>
        <v/>
      </c>
      <c r="F289" s="93" t="str">
        <f t="shared" si="8"/>
        <v/>
      </c>
      <c r="G289" s="93"/>
      <c r="H289" s="136"/>
      <c r="K289" s="93"/>
      <c r="L289" s="93" t="str">
        <f t="shared" si="9"/>
        <v/>
      </c>
    </row>
    <row r="290" spans="1:12" s="89" customFormat="1">
      <c r="A290" s="89" t="str">
        <f>IF(Registro!B290="","",Registro!B290)</f>
        <v/>
      </c>
      <c r="B290" s="89" t="str">
        <f>IF(Registro!B290="","",Registro!H290)</f>
        <v/>
      </c>
      <c r="C290" s="137" t="str">
        <f>IF(Registro!B290="","",Registro!L290)</f>
        <v/>
      </c>
      <c r="D290" s="89" t="str">
        <f>IF(Registro!B290="","",Registro!M290)</f>
        <v/>
      </c>
      <c r="E290" s="136" t="str">
        <f>IF(A290="","",_xlfn.XLOOKUP(A290,Registro!$B$8:$B$997,Registro!$R$8:$R$997,"N/E",0))</f>
        <v/>
      </c>
      <c r="F290" s="93" t="str">
        <f t="shared" si="8"/>
        <v/>
      </c>
      <c r="G290" s="93"/>
      <c r="H290" s="136"/>
      <c r="K290" s="93"/>
      <c r="L290" s="93" t="str">
        <f t="shared" si="9"/>
        <v/>
      </c>
    </row>
    <row r="291" spans="1:12" s="89" customFormat="1">
      <c r="A291" s="89" t="str">
        <f>IF(Registro!B291="","",Registro!B291)</f>
        <v/>
      </c>
      <c r="B291" s="89" t="str">
        <f>IF(Registro!B291="","",Registro!H291)</f>
        <v/>
      </c>
      <c r="C291" s="137" t="str">
        <f>IF(Registro!B291="","",Registro!L291)</f>
        <v/>
      </c>
      <c r="D291" s="89" t="str">
        <f>IF(Registro!B291="","",Registro!M291)</f>
        <v/>
      </c>
      <c r="E291" s="136" t="str">
        <f>IF(A291="","",_xlfn.XLOOKUP(A291,Registro!$B$8:$B$997,Registro!$R$8:$R$997,"N/E",0))</f>
        <v/>
      </c>
      <c r="F291" s="93" t="str">
        <f t="shared" si="8"/>
        <v/>
      </c>
      <c r="G291" s="93"/>
      <c r="H291" s="136"/>
      <c r="K291" s="93"/>
      <c r="L291" s="93" t="str">
        <f t="shared" si="9"/>
        <v/>
      </c>
    </row>
    <row r="292" spans="1:12" s="89" customFormat="1">
      <c r="A292" s="89" t="str">
        <f>IF(Registro!B292="","",Registro!B292)</f>
        <v/>
      </c>
      <c r="B292" s="89" t="str">
        <f>IF(Registro!B292="","",Registro!H292)</f>
        <v/>
      </c>
      <c r="C292" s="137" t="str">
        <f>IF(Registro!B292="","",Registro!L292)</f>
        <v/>
      </c>
      <c r="D292" s="89" t="str">
        <f>IF(Registro!B292="","",Registro!M292)</f>
        <v/>
      </c>
      <c r="E292" s="136" t="str">
        <f>IF(A292="","",_xlfn.XLOOKUP(A292,Registro!$B$8:$B$997,Registro!$R$8:$R$997,"N/E",0))</f>
        <v/>
      </c>
      <c r="F292" s="93" t="str">
        <f t="shared" si="8"/>
        <v/>
      </c>
      <c r="G292" s="93"/>
      <c r="H292" s="136"/>
      <c r="K292" s="93"/>
      <c r="L292" s="93" t="str">
        <f t="shared" si="9"/>
        <v/>
      </c>
    </row>
    <row r="293" spans="1:12" s="89" customFormat="1">
      <c r="A293" s="89" t="str">
        <f>IF(Registro!B293="","",Registro!B293)</f>
        <v/>
      </c>
      <c r="B293" s="89" t="str">
        <f>IF(Registro!B293="","",Registro!H293)</f>
        <v/>
      </c>
      <c r="C293" s="137" t="str">
        <f>IF(Registro!B293="","",Registro!L293)</f>
        <v/>
      </c>
      <c r="D293" s="89" t="str">
        <f>IF(Registro!B293="","",Registro!M293)</f>
        <v/>
      </c>
      <c r="E293" s="136" t="str">
        <f>IF(A293="","",_xlfn.XLOOKUP(A293,Registro!$B$8:$B$997,Registro!$R$8:$R$997,"N/E",0))</f>
        <v/>
      </c>
      <c r="F293" s="93" t="str">
        <f t="shared" si="8"/>
        <v/>
      </c>
      <c r="G293" s="93"/>
      <c r="H293" s="136"/>
      <c r="K293" s="93"/>
      <c r="L293" s="93" t="str">
        <f t="shared" si="9"/>
        <v/>
      </c>
    </row>
    <row r="294" spans="1:12" s="89" customFormat="1">
      <c r="A294" s="89" t="str">
        <f>IF(Registro!B294="","",Registro!B294)</f>
        <v/>
      </c>
      <c r="B294" s="89" t="str">
        <f>IF(Registro!B294="","",Registro!H294)</f>
        <v/>
      </c>
      <c r="C294" s="137" t="str">
        <f>IF(Registro!B294="","",Registro!L294)</f>
        <v/>
      </c>
      <c r="D294" s="89" t="str">
        <f>IF(Registro!B294="","",Registro!M294)</f>
        <v/>
      </c>
      <c r="E294" s="136" t="str">
        <f>IF(A294="","",_xlfn.XLOOKUP(A294,Registro!$B$8:$B$997,Registro!$R$8:$R$997,"N/E",0))</f>
        <v/>
      </c>
      <c r="F294" s="93" t="str">
        <f t="shared" si="8"/>
        <v/>
      </c>
      <c r="G294" s="93"/>
      <c r="H294" s="136"/>
      <c r="K294" s="93"/>
      <c r="L294" s="93" t="str">
        <f t="shared" si="9"/>
        <v/>
      </c>
    </row>
    <row r="295" spans="1:12" s="89" customFormat="1">
      <c r="A295" s="89" t="str">
        <f>IF(Registro!B295="","",Registro!B295)</f>
        <v/>
      </c>
      <c r="B295" s="89" t="str">
        <f>IF(Registro!B295="","",Registro!H295)</f>
        <v/>
      </c>
      <c r="C295" s="137" t="str">
        <f>IF(Registro!B295="","",Registro!L295)</f>
        <v/>
      </c>
      <c r="D295" s="89" t="str">
        <f>IF(Registro!B295="","",Registro!M295)</f>
        <v/>
      </c>
      <c r="E295" s="136" t="str">
        <f>IF(A295="","",_xlfn.XLOOKUP(A295,Registro!$B$8:$B$997,Registro!$R$8:$R$997,"N/E",0))</f>
        <v/>
      </c>
      <c r="F295" s="93" t="str">
        <f t="shared" si="8"/>
        <v/>
      </c>
      <c r="G295" s="93"/>
      <c r="H295" s="136"/>
      <c r="K295" s="93"/>
      <c r="L295" s="93" t="str">
        <f t="shared" si="9"/>
        <v/>
      </c>
    </row>
    <row r="296" spans="1:12" s="89" customFormat="1">
      <c r="A296" s="89" t="str">
        <f>IF(Registro!B296="","",Registro!B296)</f>
        <v/>
      </c>
      <c r="B296" s="89" t="str">
        <f>IF(Registro!B296="","",Registro!H296)</f>
        <v/>
      </c>
      <c r="C296" s="137" t="str">
        <f>IF(Registro!B296="","",Registro!L296)</f>
        <v/>
      </c>
      <c r="D296" s="89" t="str">
        <f>IF(Registro!B296="","",Registro!M296)</f>
        <v/>
      </c>
      <c r="E296" s="136" t="str">
        <f>IF(A296="","",_xlfn.XLOOKUP(A296,Registro!$B$8:$B$997,Registro!$R$8:$R$997,"N/E",0))</f>
        <v/>
      </c>
      <c r="F296" s="93" t="str">
        <f t="shared" si="8"/>
        <v/>
      </c>
      <c r="G296" s="93"/>
      <c r="H296" s="136"/>
      <c r="K296" s="93"/>
      <c r="L296" s="93" t="str">
        <f t="shared" si="9"/>
        <v/>
      </c>
    </row>
    <row r="297" spans="1:12" s="89" customFormat="1">
      <c r="A297" s="89" t="str">
        <f>IF(Registro!B297="","",Registro!B297)</f>
        <v/>
      </c>
      <c r="B297" s="89" t="str">
        <f>IF(Registro!B297="","",Registro!H297)</f>
        <v/>
      </c>
      <c r="C297" s="137" t="str">
        <f>IF(Registro!B297="","",Registro!L297)</f>
        <v/>
      </c>
      <c r="D297" s="89" t="str">
        <f>IF(Registro!B297="","",Registro!M297)</f>
        <v/>
      </c>
      <c r="E297" s="136" t="str">
        <f>IF(A297="","",_xlfn.XLOOKUP(A297,Registro!$B$8:$B$997,Registro!$R$8:$R$997,"N/E",0))</f>
        <v/>
      </c>
      <c r="F297" s="93" t="str">
        <f t="shared" si="8"/>
        <v/>
      </c>
      <c r="G297" s="93"/>
      <c r="H297" s="136"/>
      <c r="K297" s="93"/>
      <c r="L297" s="93" t="str">
        <f t="shared" si="9"/>
        <v/>
      </c>
    </row>
    <row r="298" spans="1:12" s="89" customFormat="1">
      <c r="A298" s="89" t="str">
        <f>IF(Registro!B298="","",Registro!B298)</f>
        <v/>
      </c>
      <c r="B298" s="89" t="str">
        <f>IF(Registro!B298="","",Registro!H298)</f>
        <v/>
      </c>
      <c r="C298" s="137" t="str">
        <f>IF(Registro!B298="","",Registro!L298)</f>
        <v/>
      </c>
      <c r="D298" s="89" t="str">
        <f>IF(Registro!B298="","",Registro!M298)</f>
        <v/>
      </c>
      <c r="E298" s="136" t="str">
        <f>IF(A298="","",_xlfn.XLOOKUP(A298,Registro!$B$8:$B$997,Registro!$R$8:$R$997,"N/E",0))</f>
        <v/>
      </c>
      <c r="F298" s="93" t="str">
        <f t="shared" si="8"/>
        <v/>
      </c>
      <c r="G298" s="93"/>
      <c r="H298" s="136"/>
      <c r="K298" s="93"/>
      <c r="L298" s="93" t="str">
        <f t="shared" si="9"/>
        <v/>
      </c>
    </row>
    <row r="299" spans="1:12" s="89" customFormat="1">
      <c r="A299" s="89" t="str">
        <f>IF(Registro!B299="","",Registro!B299)</f>
        <v/>
      </c>
      <c r="B299" s="89" t="str">
        <f>IF(Registro!B299="","",Registro!H299)</f>
        <v/>
      </c>
      <c r="C299" s="137" t="str">
        <f>IF(Registro!B299="","",Registro!L299)</f>
        <v/>
      </c>
      <c r="D299" s="89" t="str">
        <f>IF(Registro!B299="","",Registro!M299)</f>
        <v/>
      </c>
      <c r="E299" s="136" t="str">
        <f>IF(A299="","",_xlfn.XLOOKUP(A299,Registro!$B$8:$B$997,Registro!$R$8:$R$997,"N/E",0))</f>
        <v/>
      </c>
      <c r="F299" s="93" t="str">
        <f t="shared" si="8"/>
        <v/>
      </c>
      <c r="G299" s="93"/>
      <c r="H299" s="136"/>
      <c r="K299" s="93"/>
      <c r="L299" s="93" t="str">
        <f t="shared" si="9"/>
        <v/>
      </c>
    </row>
    <row r="300" spans="1:12" s="89" customFormat="1">
      <c r="A300" s="89" t="str">
        <f>IF(Registro!B300="","",Registro!B300)</f>
        <v/>
      </c>
      <c r="B300" s="89" t="str">
        <f>IF(Registro!B300="","",Registro!H300)</f>
        <v/>
      </c>
      <c r="C300" s="137" t="str">
        <f>IF(Registro!B300="","",Registro!L300)</f>
        <v/>
      </c>
      <c r="D300" s="89" t="str">
        <f>IF(Registro!B300="","",Registro!M300)</f>
        <v/>
      </c>
      <c r="E300" s="136" t="str">
        <f>IF(A300="","",_xlfn.XLOOKUP(A300,Registro!$B$8:$B$997,Registro!$R$8:$R$997,"N/E",0))</f>
        <v/>
      </c>
      <c r="F300" s="93" t="str">
        <f t="shared" si="8"/>
        <v/>
      </c>
      <c r="G300" s="93"/>
      <c r="H300" s="136"/>
      <c r="K300" s="93"/>
      <c r="L300" s="93" t="str">
        <f t="shared" si="9"/>
        <v/>
      </c>
    </row>
    <row r="301" spans="1:12" s="89" customFormat="1">
      <c r="A301" s="89" t="str">
        <f>IF(Registro!B301="","",Registro!B301)</f>
        <v/>
      </c>
      <c r="B301" s="89" t="str">
        <f>IF(Registro!B301="","",Registro!H301)</f>
        <v/>
      </c>
      <c r="C301" s="137" t="str">
        <f>IF(Registro!B301="","",Registro!L301)</f>
        <v/>
      </c>
      <c r="D301" s="89" t="str">
        <f>IF(Registro!B301="","",Registro!M301)</f>
        <v/>
      </c>
      <c r="E301" s="136" t="str">
        <f>IF(A301="","",_xlfn.XLOOKUP(A301,Registro!$B$8:$B$997,Registro!$R$8:$R$997,"N/E",0))</f>
        <v/>
      </c>
      <c r="F301" s="93" t="str">
        <f t="shared" si="8"/>
        <v/>
      </c>
      <c r="G301" s="93"/>
      <c r="H301" s="136"/>
      <c r="K301" s="93"/>
      <c r="L301" s="93" t="str">
        <f t="shared" si="9"/>
        <v/>
      </c>
    </row>
    <row r="302" spans="1:12" s="89" customFormat="1">
      <c r="A302" s="89" t="str">
        <f>IF(Registro!B302="","",Registro!B302)</f>
        <v/>
      </c>
      <c r="B302" s="89" t="str">
        <f>IF(Registro!B302="","",Registro!H302)</f>
        <v/>
      </c>
      <c r="C302" s="137" t="str">
        <f>IF(Registro!B302="","",Registro!L302)</f>
        <v/>
      </c>
      <c r="D302" s="89" t="str">
        <f>IF(Registro!B302="","",Registro!M302)</f>
        <v/>
      </c>
      <c r="E302" s="136" t="str">
        <f>IF(A302="","",_xlfn.XLOOKUP(A302,Registro!$B$8:$B$997,Registro!$R$8:$R$997,"N/E",0))</f>
        <v/>
      </c>
      <c r="F302" s="93" t="str">
        <f t="shared" si="8"/>
        <v/>
      </c>
      <c r="G302" s="93"/>
      <c r="H302" s="136"/>
      <c r="K302" s="93"/>
      <c r="L302" s="93" t="str">
        <f t="shared" si="9"/>
        <v/>
      </c>
    </row>
    <row r="303" spans="1:12" s="89" customFormat="1">
      <c r="A303" s="89" t="str">
        <f>IF(Registro!B303="","",Registro!B303)</f>
        <v/>
      </c>
      <c r="B303" s="89" t="str">
        <f>IF(Registro!B303="","",Registro!H303)</f>
        <v/>
      </c>
      <c r="C303" s="137" t="str">
        <f>IF(Registro!B303="","",Registro!L303)</f>
        <v/>
      </c>
      <c r="D303" s="89" t="str">
        <f>IF(Registro!B303="","",Registro!M303)</f>
        <v/>
      </c>
      <c r="E303" s="136" t="str">
        <f>IF(A303="","",_xlfn.XLOOKUP(A303,Registro!$B$8:$B$997,Registro!$R$8:$R$997,"N/E",0))</f>
        <v/>
      </c>
      <c r="F303" s="93" t="str">
        <f t="shared" si="8"/>
        <v/>
      </c>
      <c r="G303" s="93"/>
      <c r="H303" s="136"/>
      <c r="K303" s="93"/>
      <c r="L303" s="93" t="str">
        <f t="shared" si="9"/>
        <v/>
      </c>
    </row>
    <row r="304" spans="1:12" s="89" customFormat="1">
      <c r="A304" s="89" t="str">
        <f>IF(Registro!B304="","",Registro!B304)</f>
        <v/>
      </c>
      <c r="B304" s="89" t="str">
        <f>IF(Registro!B304="","",Registro!H304)</f>
        <v/>
      </c>
      <c r="C304" s="137" t="str">
        <f>IF(Registro!B304="","",Registro!L304)</f>
        <v/>
      </c>
      <c r="D304" s="89" t="str">
        <f>IF(Registro!B304="","",Registro!M304)</f>
        <v/>
      </c>
      <c r="E304" s="136" t="str">
        <f>IF(A304="","",_xlfn.XLOOKUP(A304,Registro!$B$8:$B$997,Registro!$R$8:$R$997,"N/E",0))</f>
        <v/>
      </c>
      <c r="F304" s="93" t="str">
        <f t="shared" si="8"/>
        <v/>
      </c>
      <c r="G304" s="93"/>
      <c r="H304" s="136"/>
      <c r="K304" s="93"/>
      <c r="L304" s="93" t="str">
        <f t="shared" si="9"/>
        <v/>
      </c>
    </row>
    <row r="305" spans="1:12" s="89" customFormat="1">
      <c r="A305" s="89" t="str">
        <f>IF(Registro!B305="","",Registro!B305)</f>
        <v/>
      </c>
      <c r="B305" s="89" t="str">
        <f>IF(Registro!B305="","",Registro!H305)</f>
        <v/>
      </c>
      <c r="C305" s="137" t="str">
        <f>IF(Registro!B305="","",Registro!L305)</f>
        <v/>
      </c>
      <c r="D305" s="89" t="str">
        <f>IF(Registro!B305="","",Registro!M305)</f>
        <v/>
      </c>
      <c r="E305" s="136" t="str">
        <f>IF(A305="","",_xlfn.XLOOKUP(A305,Registro!$B$8:$B$997,Registro!$R$8:$R$997,"N/E",0))</f>
        <v/>
      </c>
      <c r="F305" s="93" t="str">
        <f t="shared" si="8"/>
        <v/>
      </c>
      <c r="G305" s="93"/>
      <c r="H305" s="136"/>
      <c r="K305" s="93"/>
      <c r="L305" s="93" t="str">
        <f t="shared" si="9"/>
        <v/>
      </c>
    </row>
    <row r="306" spans="1:12" s="89" customFormat="1">
      <c r="A306" s="89" t="str">
        <f>IF(Registro!B306="","",Registro!B306)</f>
        <v/>
      </c>
      <c r="B306" s="89" t="str">
        <f>IF(Registro!B306="","",Registro!H306)</f>
        <v/>
      </c>
      <c r="C306" s="137" t="str">
        <f>IF(Registro!B306="","",Registro!L306)</f>
        <v/>
      </c>
      <c r="D306" s="89" t="str">
        <f>IF(Registro!B306="","",Registro!M306)</f>
        <v/>
      </c>
      <c r="E306" s="136" t="str">
        <f>IF(A306="","",_xlfn.XLOOKUP(A306,Registro!$B$8:$B$997,Registro!$R$8:$R$997,"N/E",0))</f>
        <v/>
      </c>
      <c r="F306" s="93" t="str">
        <f t="shared" si="8"/>
        <v/>
      </c>
      <c r="G306" s="93"/>
      <c r="H306" s="136"/>
      <c r="K306" s="93"/>
      <c r="L306" s="93" t="str">
        <f t="shared" si="9"/>
        <v/>
      </c>
    </row>
    <row r="307" spans="1:12" s="89" customFormat="1">
      <c r="A307" s="89" t="str">
        <f>IF(Registro!B307="","",Registro!B307)</f>
        <v/>
      </c>
      <c r="B307" s="89" t="str">
        <f>IF(Registro!B307="","",Registro!H307)</f>
        <v/>
      </c>
      <c r="C307" s="137" t="str">
        <f>IF(Registro!B307="","",Registro!L307)</f>
        <v/>
      </c>
      <c r="D307" s="89" t="str">
        <f>IF(Registro!B307="","",Registro!M307)</f>
        <v/>
      </c>
      <c r="E307" s="136" t="str">
        <f>IF(A307="","",_xlfn.XLOOKUP(A307,Registro!$B$8:$B$997,Registro!$R$8:$R$997,"N/E",0))</f>
        <v/>
      </c>
      <c r="F307" s="93" t="str">
        <f t="shared" si="8"/>
        <v/>
      </c>
      <c r="G307" s="93"/>
      <c r="H307" s="136"/>
      <c r="K307" s="93"/>
      <c r="L307" s="93" t="str">
        <f t="shared" si="9"/>
        <v/>
      </c>
    </row>
    <row r="308" spans="1:12" s="89" customFormat="1">
      <c r="A308" s="89" t="str">
        <f>IF(Registro!B308="","",Registro!B308)</f>
        <v/>
      </c>
      <c r="B308" s="89" t="str">
        <f>IF(Registro!B308="","",Registro!H308)</f>
        <v/>
      </c>
      <c r="C308" s="137" t="str">
        <f>IF(Registro!B308="","",Registro!L308)</f>
        <v/>
      </c>
      <c r="D308" s="89" t="str">
        <f>IF(Registro!B308="","",Registro!M308)</f>
        <v/>
      </c>
      <c r="E308" s="136" t="str">
        <f>IF(A308="","",_xlfn.XLOOKUP(A308,Registro!$B$8:$B$997,Registro!$R$8:$R$997,"N/E",0))</f>
        <v/>
      </c>
      <c r="F308" s="93" t="str">
        <f t="shared" si="8"/>
        <v/>
      </c>
      <c r="G308" s="93"/>
      <c r="H308" s="136"/>
      <c r="K308" s="93"/>
      <c r="L308" s="93" t="str">
        <f t="shared" si="9"/>
        <v/>
      </c>
    </row>
    <row r="309" spans="1:12" s="89" customFormat="1">
      <c r="A309" s="89" t="str">
        <f>IF(Registro!B309="","",Registro!B309)</f>
        <v/>
      </c>
      <c r="B309" s="89" t="str">
        <f>IF(Registro!B309="","",Registro!H309)</f>
        <v/>
      </c>
      <c r="C309" s="137" t="str">
        <f>IF(Registro!B309="","",Registro!L309)</f>
        <v/>
      </c>
      <c r="D309" s="89" t="str">
        <f>IF(Registro!B309="","",Registro!M309)</f>
        <v/>
      </c>
      <c r="E309" s="136" t="str">
        <f>IF(A309="","",_xlfn.XLOOKUP(A309,Registro!$B$8:$B$997,Registro!$R$8:$R$997,"N/E",0))</f>
        <v/>
      </c>
      <c r="F309" s="93" t="str">
        <f t="shared" si="8"/>
        <v/>
      </c>
      <c r="G309" s="93"/>
      <c r="H309" s="136"/>
      <c r="K309" s="93"/>
      <c r="L309" s="93" t="str">
        <f t="shared" si="9"/>
        <v/>
      </c>
    </row>
    <row r="310" spans="1:12" s="89" customFormat="1">
      <c r="A310" s="89" t="str">
        <f>IF(Registro!B310="","",Registro!B310)</f>
        <v/>
      </c>
      <c r="B310" s="89" t="str">
        <f>IF(Registro!B310="","",Registro!H310)</f>
        <v/>
      </c>
      <c r="C310" s="137" t="str">
        <f>IF(Registro!B310="","",Registro!L310)</f>
        <v/>
      </c>
      <c r="D310" s="89" t="str">
        <f>IF(Registro!B310="","",Registro!M310)</f>
        <v/>
      </c>
      <c r="E310" s="136" t="str">
        <f>IF(A310="","",_xlfn.XLOOKUP(A310,Registro!$B$8:$B$997,Registro!$R$8:$R$997,"N/E",0))</f>
        <v/>
      </c>
      <c r="F310" s="93" t="str">
        <f t="shared" si="8"/>
        <v/>
      </c>
      <c r="G310" s="93"/>
      <c r="H310" s="136"/>
      <c r="K310" s="93"/>
      <c r="L310" s="93" t="str">
        <f t="shared" si="9"/>
        <v/>
      </c>
    </row>
    <row r="311" spans="1:12" s="89" customFormat="1">
      <c r="A311" s="89" t="str">
        <f>IF(Registro!B311="","",Registro!B311)</f>
        <v/>
      </c>
      <c r="B311" s="89" t="str">
        <f>IF(Registro!B311="","",Registro!H311)</f>
        <v/>
      </c>
      <c r="C311" s="137" t="str">
        <f>IF(Registro!B311="","",Registro!L311)</f>
        <v/>
      </c>
      <c r="D311" s="89" t="str">
        <f>IF(Registro!B311="","",Registro!M311)</f>
        <v/>
      </c>
      <c r="E311" s="136" t="str">
        <f>IF(A311="","",_xlfn.XLOOKUP(A311,Registro!$B$8:$B$997,Registro!$R$8:$R$997,"N/E",0))</f>
        <v/>
      </c>
      <c r="F311" s="93" t="str">
        <f t="shared" si="8"/>
        <v/>
      </c>
      <c r="G311" s="93"/>
      <c r="H311" s="136"/>
      <c r="K311" s="93"/>
      <c r="L311" s="93" t="str">
        <f t="shared" si="9"/>
        <v/>
      </c>
    </row>
    <row r="312" spans="1:12" s="89" customFormat="1">
      <c r="A312" s="89" t="str">
        <f>IF(Registro!B312="","",Registro!B312)</f>
        <v/>
      </c>
      <c r="B312" s="89" t="str">
        <f>IF(Registro!B312="","",Registro!H312)</f>
        <v/>
      </c>
      <c r="C312" s="137" t="str">
        <f>IF(Registro!B312="","",Registro!L312)</f>
        <v/>
      </c>
      <c r="D312" s="89" t="str">
        <f>IF(Registro!B312="","",Registro!M312)</f>
        <v/>
      </c>
      <c r="E312" s="136" t="str">
        <f>IF(A312="","",_xlfn.XLOOKUP(A312,Registro!$B$8:$B$997,Registro!$R$8:$R$997,"N/E",0))</f>
        <v/>
      </c>
      <c r="F312" s="93" t="str">
        <f t="shared" si="8"/>
        <v/>
      </c>
      <c r="G312" s="93"/>
      <c r="H312" s="136"/>
      <c r="K312" s="93"/>
      <c r="L312" s="93" t="str">
        <f t="shared" si="9"/>
        <v/>
      </c>
    </row>
    <row r="313" spans="1:12" s="89" customFormat="1">
      <c r="A313" s="89" t="str">
        <f>IF(Registro!B313="","",Registro!B313)</f>
        <v/>
      </c>
      <c r="B313" s="89" t="str">
        <f>IF(Registro!B313="","",Registro!H313)</f>
        <v/>
      </c>
      <c r="C313" s="137" t="str">
        <f>IF(Registro!B313="","",Registro!L313)</f>
        <v/>
      </c>
      <c r="D313" s="89" t="str">
        <f>IF(Registro!B313="","",Registro!M313)</f>
        <v/>
      </c>
      <c r="E313" s="136" t="str">
        <f>IF(A313="","",_xlfn.XLOOKUP(A313,Registro!$B$8:$B$997,Registro!$R$8:$R$997,"N/E",0))</f>
        <v/>
      </c>
      <c r="F313" s="93" t="str">
        <f t="shared" si="8"/>
        <v/>
      </c>
      <c r="G313" s="93"/>
      <c r="H313" s="136"/>
      <c r="K313" s="93"/>
      <c r="L313" s="93" t="str">
        <f t="shared" si="9"/>
        <v/>
      </c>
    </row>
    <row r="314" spans="1:12" s="89" customFormat="1">
      <c r="A314" s="89" t="str">
        <f>IF(Registro!B314="","",Registro!B314)</f>
        <v/>
      </c>
      <c r="B314" s="89" t="str">
        <f>IF(Registro!B314="","",Registro!H314)</f>
        <v/>
      </c>
      <c r="C314" s="137" t="str">
        <f>IF(Registro!B314="","",Registro!L314)</f>
        <v/>
      </c>
      <c r="D314" s="89" t="str">
        <f>IF(Registro!B314="","",Registro!M314)</f>
        <v/>
      </c>
      <c r="E314" s="136" t="str">
        <f>IF(A314="","",_xlfn.XLOOKUP(A314,Registro!$B$8:$B$997,Registro!$R$8:$R$997,"N/E",0))</f>
        <v/>
      </c>
      <c r="F314" s="93" t="str">
        <f t="shared" si="8"/>
        <v/>
      </c>
      <c r="G314" s="93"/>
      <c r="H314" s="136"/>
      <c r="K314" s="93"/>
      <c r="L314" s="93" t="str">
        <f t="shared" si="9"/>
        <v/>
      </c>
    </row>
    <row r="315" spans="1:12" s="89" customFormat="1">
      <c r="A315" s="89" t="str">
        <f>IF(Registro!B315="","",Registro!B315)</f>
        <v/>
      </c>
      <c r="B315" s="89" t="str">
        <f>IF(Registro!B315="","",Registro!H315)</f>
        <v/>
      </c>
      <c r="C315" s="137" t="str">
        <f>IF(Registro!B315="","",Registro!L315)</f>
        <v/>
      </c>
      <c r="D315" s="89" t="str">
        <f>IF(Registro!B315="","",Registro!M315)</f>
        <v/>
      </c>
      <c r="E315" s="136" t="str">
        <f>IF(A315="","",_xlfn.XLOOKUP(A315,Registro!$B$8:$B$997,Registro!$R$8:$R$997,"N/E",0))</f>
        <v/>
      </c>
      <c r="F315" s="93" t="str">
        <f t="shared" si="8"/>
        <v/>
      </c>
      <c r="G315" s="93"/>
      <c r="H315" s="136"/>
      <c r="K315" s="93"/>
      <c r="L315" s="93" t="str">
        <f t="shared" si="9"/>
        <v/>
      </c>
    </row>
    <row r="316" spans="1:12" s="89" customFormat="1">
      <c r="A316" s="89" t="str">
        <f>IF(Registro!B316="","",Registro!B316)</f>
        <v/>
      </c>
      <c r="B316" s="89" t="str">
        <f>IF(Registro!B316="","",Registro!H316)</f>
        <v/>
      </c>
      <c r="C316" s="137" t="str">
        <f>IF(Registro!B316="","",Registro!L316)</f>
        <v/>
      </c>
      <c r="D316" s="89" t="str">
        <f>IF(Registro!B316="","",Registro!M316)</f>
        <v/>
      </c>
      <c r="E316" s="136" t="str">
        <f>IF(A316="","",_xlfn.XLOOKUP(A316,Registro!$B$8:$B$997,Registro!$R$8:$R$997,"N/E",0))</f>
        <v/>
      </c>
      <c r="F316" s="93" t="str">
        <f t="shared" si="8"/>
        <v/>
      </c>
      <c r="G316" s="93"/>
      <c r="H316" s="136"/>
      <c r="K316" s="93"/>
      <c r="L316" s="93" t="str">
        <f t="shared" si="9"/>
        <v/>
      </c>
    </row>
    <row r="317" spans="1:12" s="89" customFormat="1">
      <c r="A317" s="89" t="str">
        <f>IF(Registro!B317="","",Registro!B317)</f>
        <v/>
      </c>
      <c r="B317" s="89" t="str">
        <f>IF(Registro!B317="","",Registro!H317)</f>
        <v/>
      </c>
      <c r="C317" s="137" t="str">
        <f>IF(Registro!B317="","",Registro!L317)</f>
        <v/>
      </c>
      <c r="D317" s="89" t="str">
        <f>IF(Registro!B317="","",Registro!M317)</f>
        <v/>
      </c>
      <c r="E317" s="136" t="str">
        <f>IF(A317="","",_xlfn.XLOOKUP(A317,Registro!$B$8:$B$997,Registro!$R$8:$R$997,"N/E",0))</f>
        <v/>
      </c>
      <c r="F317" s="93" t="str">
        <f t="shared" si="8"/>
        <v/>
      </c>
      <c r="G317" s="93"/>
      <c r="H317" s="136"/>
      <c r="K317" s="93"/>
      <c r="L317" s="93" t="str">
        <f t="shared" si="9"/>
        <v/>
      </c>
    </row>
    <row r="318" spans="1:12" s="89" customFormat="1">
      <c r="A318" s="89" t="str">
        <f>IF(Registro!B318="","",Registro!B318)</f>
        <v/>
      </c>
      <c r="B318" s="89" t="str">
        <f>IF(Registro!B318="","",Registro!H318)</f>
        <v/>
      </c>
      <c r="C318" s="137" t="str">
        <f>IF(Registro!B318="","",Registro!L318)</f>
        <v/>
      </c>
      <c r="D318" s="89" t="str">
        <f>IF(Registro!B318="","",Registro!M318)</f>
        <v/>
      </c>
      <c r="E318" s="136" t="str">
        <f>IF(A318="","",_xlfn.XLOOKUP(A318,Registro!$B$8:$B$997,Registro!$R$8:$R$997,"N/E",0))</f>
        <v/>
      </c>
      <c r="F318" s="93" t="str">
        <f t="shared" si="8"/>
        <v/>
      </c>
      <c r="G318" s="93"/>
      <c r="H318" s="136"/>
      <c r="K318" s="93"/>
      <c r="L318" s="93" t="str">
        <f t="shared" si="9"/>
        <v/>
      </c>
    </row>
    <row r="319" spans="1:12" s="89" customFormat="1">
      <c r="A319" s="89" t="str">
        <f>IF(Registro!B319="","",Registro!B319)</f>
        <v/>
      </c>
      <c r="B319" s="89" t="str">
        <f>IF(Registro!B319="","",Registro!H319)</f>
        <v/>
      </c>
      <c r="C319" s="137" t="str">
        <f>IF(Registro!B319="","",Registro!L319)</f>
        <v/>
      </c>
      <c r="D319" s="89" t="str">
        <f>IF(Registro!B319="","",Registro!M319)</f>
        <v/>
      </c>
      <c r="E319" s="136" t="str">
        <f>IF(A319="","",_xlfn.XLOOKUP(A319,Registro!$B$8:$B$997,Registro!$R$8:$R$997,"N/E",0))</f>
        <v/>
      </c>
      <c r="F319" s="93" t="str">
        <f t="shared" si="8"/>
        <v/>
      </c>
      <c r="G319" s="93"/>
      <c r="H319" s="136"/>
      <c r="K319" s="93"/>
      <c r="L319" s="93" t="str">
        <f t="shared" si="9"/>
        <v/>
      </c>
    </row>
    <row r="320" spans="1:12" s="89" customFormat="1">
      <c r="A320" s="89" t="str">
        <f>IF(Registro!B320="","",Registro!B320)</f>
        <v/>
      </c>
      <c r="B320" s="89" t="str">
        <f>IF(Registro!B320="","",Registro!H320)</f>
        <v/>
      </c>
      <c r="C320" s="137" t="str">
        <f>IF(Registro!B320="","",Registro!L320)</f>
        <v/>
      </c>
      <c r="D320" s="89" t="str">
        <f>IF(Registro!B320="","",Registro!M320)</f>
        <v/>
      </c>
      <c r="E320" s="136" t="str">
        <f>IF(A320="","",_xlfn.XLOOKUP(A320,Registro!$B$8:$B$997,Registro!$R$8:$R$997,"N/E",0))</f>
        <v/>
      </c>
      <c r="F320" s="93" t="str">
        <f t="shared" si="8"/>
        <v/>
      </c>
      <c r="G320" s="93"/>
      <c r="H320" s="136"/>
      <c r="K320" s="93"/>
      <c r="L320" s="93" t="str">
        <f t="shared" si="9"/>
        <v/>
      </c>
    </row>
    <row r="321" spans="1:12" s="89" customFormat="1">
      <c r="A321" s="89" t="str">
        <f>IF(Registro!B321="","",Registro!B321)</f>
        <v/>
      </c>
      <c r="B321" s="89" t="str">
        <f>IF(Registro!B321="","",Registro!H321)</f>
        <v/>
      </c>
      <c r="C321" s="137" t="str">
        <f>IF(Registro!B321="","",Registro!L321)</f>
        <v/>
      </c>
      <c r="D321" s="89" t="str">
        <f>IF(Registro!B321="","",Registro!M321)</f>
        <v/>
      </c>
      <c r="E321" s="136" t="str">
        <f>IF(A321="","",_xlfn.XLOOKUP(A321,Registro!$B$8:$B$997,Registro!$R$8:$R$997,"N/E",0))</f>
        <v/>
      </c>
      <c r="F321" s="93" t="str">
        <f t="shared" si="8"/>
        <v/>
      </c>
      <c r="G321" s="93"/>
      <c r="H321" s="136"/>
      <c r="K321" s="93"/>
      <c r="L321" s="93" t="str">
        <f t="shared" si="9"/>
        <v/>
      </c>
    </row>
    <row r="322" spans="1:12" s="89" customFormat="1">
      <c r="A322" s="89" t="str">
        <f>IF(Registro!B322="","",Registro!B322)</f>
        <v/>
      </c>
      <c r="B322" s="89" t="str">
        <f>IF(Registro!B322="","",Registro!H322)</f>
        <v/>
      </c>
      <c r="C322" s="137" t="str">
        <f>IF(Registro!B322="","",Registro!L322)</f>
        <v/>
      </c>
      <c r="D322" s="89" t="str">
        <f>IF(Registro!B322="","",Registro!M322)</f>
        <v/>
      </c>
      <c r="E322" s="136" t="str">
        <f>IF(A322="","",_xlfn.XLOOKUP(A322,Registro!$B$8:$B$997,Registro!$R$8:$R$997,"N/E",0))</f>
        <v/>
      </c>
      <c r="F322" s="93" t="str">
        <f t="shared" si="8"/>
        <v/>
      </c>
      <c r="G322" s="93"/>
      <c r="H322" s="136"/>
      <c r="K322" s="93"/>
      <c r="L322" s="93" t="str">
        <f t="shared" si="9"/>
        <v/>
      </c>
    </row>
    <row r="323" spans="1:12" s="89" customFormat="1">
      <c r="A323" s="89" t="str">
        <f>IF(Registro!B323="","",Registro!B323)</f>
        <v/>
      </c>
      <c r="B323" s="89" t="str">
        <f>IF(Registro!B323="","",Registro!H323)</f>
        <v/>
      </c>
      <c r="C323" s="137" t="str">
        <f>IF(Registro!B323="","",Registro!L323)</f>
        <v/>
      </c>
      <c r="D323" s="89" t="str">
        <f>IF(Registro!B323="","",Registro!M323)</f>
        <v/>
      </c>
      <c r="E323" s="136" t="str">
        <f>IF(A323="","",_xlfn.XLOOKUP(A323,Registro!$B$8:$B$997,Registro!$R$8:$R$997,"N/E",0))</f>
        <v/>
      </c>
      <c r="F323" s="93" t="str">
        <f t="shared" si="8"/>
        <v/>
      </c>
      <c r="G323" s="93"/>
      <c r="H323" s="136"/>
      <c r="K323" s="93"/>
      <c r="L323" s="93" t="str">
        <f t="shared" si="9"/>
        <v/>
      </c>
    </row>
    <row r="324" spans="1:12" s="89" customFormat="1">
      <c r="A324" s="89" t="str">
        <f>IF(Registro!B324="","",Registro!B324)</f>
        <v/>
      </c>
      <c r="B324" s="89" t="str">
        <f>IF(Registro!B324="","",Registro!H324)</f>
        <v/>
      </c>
      <c r="C324" s="137" t="str">
        <f>IF(Registro!B324="","",Registro!L324)</f>
        <v/>
      </c>
      <c r="D324" s="89" t="str">
        <f>IF(Registro!B324="","",Registro!M324)</f>
        <v/>
      </c>
      <c r="E324" s="136" t="str">
        <f>IF(A324="","",_xlfn.XLOOKUP(A324,Registro!$B$8:$B$997,Registro!$R$8:$R$997,"N/E",0))</f>
        <v/>
      </c>
      <c r="F324" s="93" t="str">
        <f t="shared" si="8"/>
        <v/>
      </c>
      <c r="G324" s="93"/>
      <c r="H324" s="136"/>
      <c r="K324" s="93"/>
      <c r="L324" s="93" t="str">
        <f t="shared" si="9"/>
        <v/>
      </c>
    </row>
    <row r="325" spans="1:12" s="89" customFormat="1">
      <c r="A325" s="89" t="str">
        <f>IF(Registro!B325="","",Registro!B325)</f>
        <v/>
      </c>
      <c r="B325" s="89" t="str">
        <f>IF(Registro!B325="","",Registro!H325)</f>
        <v/>
      </c>
      <c r="C325" s="137" t="str">
        <f>IF(Registro!B325="","",Registro!L325)</f>
        <v/>
      </c>
      <c r="D325" s="89" t="str">
        <f>IF(Registro!B325="","",Registro!M325)</f>
        <v/>
      </c>
      <c r="E325" s="136" t="str">
        <f>IF(A325="","",_xlfn.XLOOKUP(A325,Registro!$B$8:$B$997,Registro!$R$8:$R$997,"N/E",0))</f>
        <v/>
      </c>
      <c r="F325" s="93" t="str">
        <f t="shared" si="8"/>
        <v/>
      </c>
      <c r="G325" s="93"/>
      <c r="H325" s="136"/>
      <c r="K325" s="93"/>
      <c r="L325" s="93" t="str">
        <f t="shared" si="9"/>
        <v/>
      </c>
    </row>
    <row r="326" spans="1:12" s="89" customFormat="1">
      <c r="A326" s="89" t="str">
        <f>IF(Registro!B326="","",Registro!B326)</f>
        <v/>
      </c>
      <c r="B326" s="89" t="str">
        <f>IF(Registro!B326="","",Registro!H326)</f>
        <v/>
      </c>
      <c r="C326" s="137" t="str">
        <f>IF(Registro!B326="","",Registro!L326)</f>
        <v/>
      </c>
      <c r="D326" s="89" t="str">
        <f>IF(Registro!B326="","",Registro!M326)</f>
        <v/>
      </c>
      <c r="E326" s="136" t="str">
        <f>IF(A326="","",_xlfn.XLOOKUP(A326,Registro!$B$8:$B$997,Registro!$R$8:$R$997,"N/E",0))</f>
        <v/>
      </c>
      <c r="F326" s="93" t="str">
        <f t="shared" si="8"/>
        <v/>
      </c>
      <c r="G326" s="93"/>
      <c r="H326" s="136"/>
      <c r="K326" s="93"/>
      <c r="L326" s="93" t="str">
        <f t="shared" si="9"/>
        <v/>
      </c>
    </row>
    <row r="327" spans="1:12" s="89" customFormat="1">
      <c r="A327" s="89" t="str">
        <f>IF(Registro!B327="","",Registro!B327)</f>
        <v/>
      </c>
      <c r="B327" s="89" t="str">
        <f>IF(Registro!B327="","",Registro!H327)</f>
        <v/>
      </c>
      <c r="C327" s="137" t="str">
        <f>IF(Registro!B327="","",Registro!L327)</f>
        <v/>
      </c>
      <c r="D327" s="89" t="str">
        <f>IF(Registro!B327="","",Registro!M327)</f>
        <v/>
      </c>
      <c r="E327" s="136" t="str">
        <f>IF(A327="","",_xlfn.XLOOKUP(A327,Registro!$B$8:$B$997,Registro!$R$8:$R$997,"N/E",0))</f>
        <v/>
      </c>
      <c r="F327" s="93" t="str">
        <f t="shared" si="8"/>
        <v/>
      </c>
      <c r="G327" s="93"/>
      <c r="H327" s="136"/>
      <c r="K327" s="93"/>
      <c r="L327" s="93" t="str">
        <f t="shared" si="9"/>
        <v/>
      </c>
    </row>
    <row r="328" spans="1:12" s="89" customFormat="1">
      <c r="A328" s="89" t="str">
        <f>IF(Registro!B328="","",Registro!B328)</f>
        <v/>
      </c>
      <c r="B328" s="89" t="str">
        <f>IF(Registro!B328="","",Registro!H328)</f>
        <v/>
      </c>
      <c r="C328" s="137" t="str">
        <f>IF(Registro!B328="","",Registro!L328)</f>
        <v/>
      </c>
      <c r="D328" s="89" t="str">
        <f>IF(Registro!B328="","",Registro!M328)</f>
        <v/>
      </c>
      <c r="E328" s="136" t="str">
        <f>IF(A328="","",_xlfn.XLOOKUP(A328,Registro!$B$8:$B$997,Registro!$R$8:$R$997,"N/E",0))</f>
        <v/>
      </c>
      <c r="F328" s="93" t="str">
        <f t="shared" ref="F328:F391" si="10">IF(A328="","",NETWORKDAYS.INTL(C328,E328,1))</f>
        <v/>
      </c>
      <c r="G328" s="93"/>
      <c r="H328" s="136"/>
      <c r="K328" s="93"/>
      <c r="L328" s="93" t="str">
        <f t="shared" si="9"/>
        <v/>
      </c>
    </row>
    <row r="329" spans="1:12" s="89" customFormat="1">
      <c r="A329" s="89" t="str">
        <f>IF(Registro!B329="","",Registro!B329)</f>
        <v/>
      </c>
      <c r="B329" s="89" t="str">
        <f>IF(Registro!B329="","",Registro!H329)</f>
        <v/>
      </c>
      <c r="C329" s="137" t="str">
        <f>IF(Registro!B329="","",Registro!L329)</f>
        <v/>
      </c>
      <c r="D329" s="89" t="str">
        <f>IF(Registro!B329="","",Registro!M329)</f>
        <v/>
      </c>
      <c r="E329" s="136" t="str">
        <f>IF(A329="","",_xlfn.XLOOKUP(A329,Registro!$B$8:$B$997,Registro!$R$8:$R$997,"N/E",0))</f>
        <v/>
      </c>
      <c r="F329" s="93" t="str">
        <f t="shared" si="10"/>
        <v/>
      </c>
      <c r="G329" s="93"/>
      <c r="H329" s="136"/>
      <c r="K329" s="93"/>
      <c r="L329" s="93" t="str">
        <f t="shared" si="9"/>
        <v/>
      </c>
    </row>
    <row r="330" spans="1:12" s="89" customFormat="1">
      <c r="A330" s="89" t="str">
        <f>IF(Registro!B330="","",Registro!B330)</f>
        <v/>
      </c>
      <c r="B330" s="89" t="str">
        <f>IF(Registro!B330="","",Registro!H330)</f>
        <v/>
      </c>
      <c r="C330" s="137" t="str">
        <f>IF(Registro!B330="","",Registro!L330)</f>
        <v/>
      </c>
      <c r="D330" s="89" t="str">
        <f>IF(Registro!B330="","",Registro!M330)</f>
        <v/>
      </c>
      <c r="E330" s="136" t="str">
        <f>IF(A330="","",_xlfn.XLOOKUP(A330,Registro!$B$8:$B$997,Registro!$R$8:$R$997,"N/E",0))</f>
        <v/>
      </c>
      <c r="F330" s="93" t="str">
        <f t="shared" si="10"/>
        <v/>
      </c>
      <c r="G330" s="93"/>
      <c r="H330" s="136"/>
      <c r="K330" s="93"/>
      <c r="L330" s="93" t="str">
        <f t="shared" si="9"/>
        <v/>
      </c>
    </row>
    <row r="331" spans="1:12" s="89" customFormat="1">
      <c r="A331" s="89" t="str">
        <f>IF(Registro!B331="","",Registro!B331)</f>
        <v/>
      </c>
      <c r="B331" s="89" t="str">
        <f>IF(Registro!B331="","",Registro!H331)</f>
        <v/>
      </c>
      <c r="C331" s="137" t="str">
        <f>IF(Registro!B331="","",Registro!L331)</f>
        <v/>
      </c>
      <c r="D331" s="89" t="str">
        <f>IF(Registro!B331="","",Registro!M331)</f>
        <v/>
      </c>
      <c r="E331" s="136" t="str">
        <f>IF(A331="","",_xlfn.XLOOKUP(A331,Registro!$B$8:$B$997,Registro!$R$8:$R$997,"N/E",0))</f>
        <v/>
      </c>
      <c r="F331" s="93" t="str">
        <f t="shared" si="10"/>
        <v/>
      </c>
      <c r="G331" s="93"/>
      <c r="H331" s="136"/>
      <c r="K331" s="93"/>
      <c r="L331" s="93" t="str">
        <f t="shared" si="9"/>
        <v/>
      </c>
    </row>
    <row r="332" spans="1:12" s="89" customFormat="1">
      <c r="A332" s="89" t="str">
        <f>IF(Registro!B332="","",Registro!B332)</f>
        <v/>
      </c>
      <c r="B332" s="89" t="str">
        <f>IF(Registro!B332="","",Registro!H332)</f>
        <v/>
      </c>
      <c r="C332" s="137" t="str">
        <f>IF(Registro!B332="","",Registro!L332)</f>
        <v/>
      </c>
      <c r="D332" s="89" t="str">
        <f>IF(Registro!B332="","",Registro!M332)</f>
        <v/>
      </c>
      <c r="E332" s="136" t="str">
        <f>IF(A332="","",_xlfn.XLOOKUP(A332,Registro!$B$8:$B$997,Registro!$R$8:$R$997,"N/E",0))</f>
        <v/>
      </c>
      <c r="F332" s="93" t="str">
        <f t="shared" si="10"/>
        <v/>
      </c>
      <c r="G332" s="93"/>
      <c r="H332" s="136"/>
      <c r="K332" s="93"/>
      <c r="L332" s="93" t="str">
        <f t="shared" si="9"/>
        <v/>
      </c>
    </row>
    <row r="333" spans="1:12" s="89" customFormat="1">
      <c r="A333" s="89" t="str">
        <f>IF(Registro!B333="","",Registro!B333)</f>
        <v/>
      </c>
      <c r="B333" s="89" t="str">
        <f>IF(Registro!B333="","",Registro!H333)</f>
        <v/>
      </c>
      <c r="C333" s="137" t="str">
        <f>IF(Registro!B333="","",Registro!L333)</f>
        <v/>
      </c>
      <c r="D333" s="89" t="str">
        <f>IF(Registro!B333="","",Registro!M333)</f>
        <v/>
      </c>
      <c r="E333" s="136" t="str">
        <f>IF(A333="","",_xlfn.XLOOKUP(A333,Registro!$B$8:$B$997,Registro!$R$8:$R$997,"N/E",0))</f>
        <v/>
      </c>
      <c r="F333" s="93" t="str">
        <f t="shared" si="10"/>
        <v/>
      </c>
      <c r="G333" s="93"/>
      <c r="H333" s="136"/>
      <c r="K333" s="93"/>
      <c r="L333" s="93" t="str">
        <f t="shared" si="9"/>
        <v/>
      </c>
    </row>
    <row r="334" spans="1:12" s="89" customFormat="1">
      <c r="A334" s="89" t="str">
        <f>IF(Registro!B334="","",Registro!B334)</f>
        <v/>
      </c>
      <c r="B334" s="89" t="str">
        <f>IF(Registro!B334="","",Registro!H334)</f>
        <v/>
      </c>
      <c r="C334" s="137" t="str">
        <f>IF(Registro!B334="","",Registro!L334)</f>
        <v/>
      </c>
      <c r="D334" s="89" t="str">
        <f>IF(Registro!B334="","",Registro!M334)</f>
        <v/>
      </c>
      <c r="E334" s="136" t="str">
        <f>IF(A334="","",_xlfn.XLOOKUP(A334,Registro!$B$8:$B$997,Registro!$R$8:$R$997,"N/E",0))</f>
        <v/>
      </c>
      <c r="F334" s="93" t="str">
        <f t="shared" si="10"/>
        <v/>
      </c>
      <c r="G334" s="93"/>
      <c r="H334" s="136"/>
      <c r="K334" s="93"/>
      <c r="L334" s="93" t="str">
        <f t="shared" si="9"/>
        <v/>
      </c>
    </row>
    <row r="335" spans="1:12" s="89" customFormat="1">
      <c r="A335" s="89" t="str">
        <f>IF(Registro!B335="","",Registro!B335)</f>
        <v/>
      </c>
      <c r="B335" s="89" t="str">
        <f>IF(Registro!B335="","",Registro!H335)</f>
        <v/>
      </c>
      <c r="C335" s="137" t="str">
        <f>IF(Registro!B335="","",Registro!L335)</f>
        <v/>
      </c>
      <c r="D335" s="89" t="str">
        <f>IF(Registro!B335="","",Registro!M335)</f>
        <v/>
      </c>
      <c r="E335" s="136" t="str">
        <f>IF(A335="","",_xlfn.XLOOKUP(A335,Registro!$B$8:$B$997,Registro!$R$8:$R$997,"N/E",0))</f>
        <v/>
      </c>
      <c r="F335" s="93" t="str">
        <f t="shared" si="10"/>
        <v/>
      </c>
      <c r="G335" s="93"/>
      <c r="H335" s="136"/>
      <c r="K335" s="93"/>
      <c r="L335" s="93" t="str">
        <f t="shared" si="9"/>
        <v/>
      </c>
    </row>
    <row r="336" spans="1:12" s="89" customFormat="1">
      <c r="A336" s="89" t="str">
        <f>IF(Registro!B336="","",Registro!B336)</f>
        <v/>
      </c>
      <c r="B336" s="89" t="str">
        <f>IF(Registro!B336="","",Registro!H336)</f>
        <v/>
      </c>
      <c r="C336" s="137" t="str">
        <f>IF(Registro!B336="","",Registro!L336)</f>
        <v/>
      </c>
      <c r="D336" s="89" t="str">
        <f>IF(Registro!B336="","",Registro!M336)</f>
        <v/>
      </c>
      <c r="E336" s="136" t="str">
        <f>IF(A336="","",_xlfn.XLOOKUP(A336,Registro!$B$8:$B$997,Registro!$R$8:$R$997,"N/E",0))</f>
        <v/>
      </c>
      <c r="F336" s="93" t="str">
        <f t="shared" si="10"/>
        <v/>
      </c>
      <c r="G336" s="93"/>
      <c r="H336" s="136"/>
      <c r="K336" s="93"/>
      <c r="L336" s="93" t="str">
        <f t="shared" si="9"/>
        <v/>
      </c>
    </row>
    <row r="337" spans="1:12" s="89" customFormat="1">
      <c r="A337" s="89" t="str">
        <f>IF(Registro!B337="","",Registro!B337)</f>
        <v/>
      </c>
      <c r="B337" s="89" t="str">
        <f>IF(Registro!B337="","",Registro!H337)</f>
        <v/>
      </c>
      <c r="C337" s="137" t="str">
        <f>IF(Registro!B337="","",Registro!L337)</f>
        <v/>
      </c>
      <c r="D337" s="89" t="str">
        <f>IF(Registro!B337="","",Registro!M337)</f>
        <v/>
      </c>
      <c r="E337" s="136" t="str">
        <f>IF(A337="","",_xlfn.XLOOKUP(A337,Registro!$B$8:$B$997,Registro!$R$8:$R$997,"N/E",0))</f>
        <v/>
      </c>
      <c r="F337" s="93" t="str">
        <f t="shared" si="10"/>
        <v/>
      </c>
      <c r="G337" s="93"/>
      <c r="H337" s="136"/>
      <c r="K337" s="93"/>
      <c r="L337" s="93" t="str">
        <f t="shared" si="9"/>
        <v/>
      </c>
    </row>
    <row r="338" spans="1:12" s="89" customFormat="1">
      <c r="A338" s="89" t="str">
        <f>IF(Registro!B338="","",Registro!B338)</f>
        <v/>
      </c>
      <c r="B338" s="89" t="str">
        <f>IF(Registro!B338="","",Registro!H338)</f>
        <v/>
      </c>
      <c r="C338" s="137" t="str">
        <f>IF(Registro!B338="","",Registro!L338)</f>
        <v/>
      </c>
      <c r="D338" s="89" t="str">
        <f>IF(Registro!B338="","",Registro!M338)</f>
        <v/>
      </c>
      <c r="E338" s="136" t="str">
        <f>IF(A338="","",_xlfn.XLOOKUP(A338,Registro!$B$8:$B$997,Registro!$R$8:$R$997,"N/E",0))</f>
        <v/>
      </c>
      <c r="F338" s="93" t="str">
        <f t="shared" si="10"/>
        <v/>
      </c>
      <c r="G338" s="93"/>
      <c r="H338" s="136"/>
      <c r="K338" s="93"/>
      <c r="L338" s="93" t="str">
        <f t="shared" ref="L338:L401" si="11">IF(OR(K338="N/A",K338=""),"",NETWORKDAYS(C338,K338))</f>
        <v/>
      </c>
    </row>
    <row r="339" spans="1:12" s="89" customFormat="1">
      <c r="A339" s="89" t="str">
        <f>IF(Registro!B339="","",Registro!B339)</f>
        <v/>
      </c>
      <c r="B339" s="89" t="str">
        <f>IF(Registro!B339="","",Registro!H339)</f>
        <v/>
      </c>
      <c r="C339" s="137" t="str">
        <f>IF(Registro!B339="","",Registro!L339)</f>
        <v/>
      </c>
      <c r="D339" s="89" t="str">
        <f>IF(Registro!B339="","",Registro!M339)</f>
        <v/>
      </c>
      <c r="E339" s="136" t="str">
        <f>IF(A339="","",_xlfn.XLOOKUP(A339,Registro!$B$8:$B$997,Registro!$R$8:$R$997,"N/E",0))</f>
        <v/>
      </c>
      <c r="F339" s="93" t="str">
        <f t="shared" si="10"/>
        <v/>
      </c>
      <c r="G339" s="93"/>
      <c r="H339" s="136"/>
      <c r="K339" s="93"/>
      <c r="L339" s="93" t="str">
        <f t="shared" si="11"/>
        <v/>
      </c>
    </row>
    <row r="340" spans="1:12" s="89" customFormat="1">
      <c r="A340" s="89" t="str">
        <f>IF(Registro!B340="","",Registro!B340)</f>
        <v/>
      </c>
      <c r="B340" s="89" t="str">
        <f>IF(Registro!B340="","",Registro!H340)</f>
        <v/>
      </c>
      <c r="C340" s="137" t="str">
        <f>IF(Registro!B340="","",Registro!L340)</f>
        <v/>
      </c>
      <c r="D340" s="89" t="str">
        <f>IF(Registro!B340="","",Registro!M340)</f>
        <v/>
      </c>
      <c r="E340" s="136" t="str">
        <f>IF(A340="","",_xlfn.XLOOKUP(A340,Registro!$B$8:$B$997,Registro!$R$8:$R$997,"N/E",0))</f>
        <v/>
      </c>
      <c r="F340" s="93" t="str">
        <f t="shared" si="10"/>
        <v/>
      </c>
      <c r="G340" s="93"/>
      <c r="H340" s="136"/>
      <c r="K340" s="93"/>
      <c r="L340" s="93" t="str">
        <f t="shared" si="11"/>
        <v/>
      </c>
    </row>
    <row r="341" spans="1:12" s="89" customFormat="1">
      <c r="A341" s="89" t="str">
        <f>IF(Registro!B341="","",Registro!B341)</f>
        <v/>
      </c>
      <c r="B341" s="89" t="str">
        <f>IF(Registro!B341="","",Registro!H341)</f>
        <v/>
      </c>
      <c r="C341" s="137" t="str">
        <f>IF(Registro!B341="","",Registro!L341)</f>
        <v/>
      </c>
      <c r="D341" s="89" t="str">
        <f>IF(Registro!B341="","",Registro!M341)</f>
        <v/>
      </c>
      <c r="E341" s="136" t="str">
        <f>IF(A341="","",_xlfn.XLOOKUP(A341,Registro!$B$8:$B$997,Registro!$R$8:$R$997,"N/E",0))</f>
        <v/>
      </c>
      <c r="F341" s="93" t="str">
        <f t="shared" si="10"/>
        <v/>
      </c>
      <c r="G341" s="93"/>
      <c r="H341" s="136"/>
      <c r="K341" s="93"/>
      <c r="L341" s="93" t="str">
        <f t="shared" si="11"/>
        <v/>
      </c>
    </row>
    <row r="342" spans="1:12" s="89" customFormat="1">
      <c r="A342" s="89" t="str">
        <f>IF(Registro!B342="","",Registro!B342)</f>
        <v/>
      </c>
      <c r="B342" s="89" t="str">
        <f>IF(Registro!B342="","",Registro!H342)</f>
        <v/>
      </c>
      <c r="C342" s="137" t="str">
        <f>IF(Registro!B342="","",Registro!L342)</f>
        <v/>
      </c>
      <c r="D342" s="89" t="str">
        <f>IF(Registro!B342="","",Registro!M342)</f>
        <v/>
      </c>
      <c r="E342" s="136" t="str">
        <f>IF(A342="","",_xlfn.XLOOKUP(A342,Registro!$B$8:$B$997,Registro!$R$8:$R$997,"N/E",0))</f>
        <v/>
      </c>
      <c r="F342" s="93" t="str">
        <f t="shared" si="10"/>
        <v/>
      </c>
      <c r="G342" s="93"/>
      <c r="H342" s="136"/>
      <c r="K342" s="93"/>
      <c r="L342" s="93" t="str">
        <f t="shared" si="11"/>
        <v/>
      </c>
    </row>
    <row r="343" spans="1:12" s="89" customFormat="1">
      <c r="A343" s="89" t="str">
        <f>IF(Registro!B343="","",Registro!B343)</f>
        <v/>
      </c>
      <c r="B343" s="89" t="str">
        <f>IF(Registro!B343="","",Registro!H343)</f>
        <v/>
      </c>
      <c r="C343" s="137" t="str">
        <f>IF(Registro!B343="","",Registro!L343)</f>
        <v/>
      </c>
      <c r="D343" s="89" t="str">
        <f>IF(Registro!B343="","",Registro!M343)</f>
        <v/>
      </c>
      <c r="E343" s="136" t="str">
        <f>IF(A343="","",_xlfn.XLOOKUP(A343,Registro!$B$8:$B$997,Registro!$R$8:$R$997,"N/E",0))</f>
        <v/>
      </c>
      <c r="F343" s="93" t="str">
        <f t="shared" si="10"/>
        <v/>
      </c>
      <c r="G343" s="93"/>
      <c r="H343" s="136"/>
      <c r="K343" s="93"/>
      <c r="L343" s="93" t="str">
        <f t="shared" si="11"/>
        <v/>
      </c>
    </row>
    <row r="344" spans="1:12" s="89" customFormat="1">
      <c r="A344" s="89" t="str">
        <f>IF(Registro!B344="","",Registro!B344)</f>
        <v/>
      </c>
      <c r="B344" s="89" t="str">
        <f>IF(Registro!B344="","",Registro!H344)</f>
        <v/>
      </c>
      <c r="C344" s="137" t="str">
        <f>IF(Registro!B344="","",Registro!L344)</f>
        <v/>
      </c>
      <c r="D344" s="89" t="str">
        <f>IF(Registro!B344="","",Registro!M344)</f>
        <v/>
      </c>
      <c r="E344" s="136" t="str">
        <f>IF(A344="","",_xlfn.XLOOKUP(A344,Registro!$B$8:$B$997,Registro!$R$8:$R$997,"N/E",0))</f>
        <v/>
      </c>
      <c r="F344" s="93" t="str">
        <f t="shared" si="10"/>
        <v/>
      </c>
      <c r="G344" s="93"/>
      <c r="H344" s="136"/>
      <c r="K344" s="93"/>
      <c r="L344" s="93" t="str">
        <f t="shared" si="11"/>
        <v/>
      </c>
    </row>
    <row r="345" spans="1:12" s="89" customFormat="1">
      <c r="A345" s="89" t="str">
        <f>IF(Registro!B345="","",Registro!B345)</f>
        <v/>
      </c>
      <c r="B345" s="89" t="str">
        <f>IF(Registro!B345="","",Registro!H345)</f>
        <v/>
      </c>
      <c r="C345" s="137" t="str">
        <f>IF(Registro!B345="","",Registro!L345)</f>
        <v/>
      </c>
      <c r="D345" s="89" t="str">
        <f>IF(Registro!B345="","",Registro!M345)</f>
        <v/>
      </c>
      <c r="E345" s="136" t="str">
        <f>IF(A345="","",_xlfn.XLOOKUP(A345,Registro!$B$8:$B$997,Registro!$R$8:$R$997,"N/E",0))</f>
        <v/>
      </c>
      <c r="F345" s="93" t="str">
        <f t="shared" si="10"/>
        <v/>
      </c>
      <c r="G345" s="93"/>
      <c r="H345" s="136"/>
      <c r="K345" s="93"/>
      <c r="L345" s="93" t="str">
        <f t="shared" si="11"/>
        <v/>
      </c>
    </row>
    <row r="346" spans="1:12" s="89" customFormat="1">
      <c r="A346" s="89" t="str">
        <f>IF(Registro!B346="","",Registro!B346)</f>
        <v/>
      </c>
      <c r="B346" s="89" t="str">
        <f>IF(Registro!B346="","",Registro!H346)</f>
        <v/>
      </c>
      <c r="C346" s="137" t="str">
        <f>IF(Registro!B346="","",Registro!L346)</f>
        <v/>
      </c>
      <c r="D346" s="89" t="str">
        <f>IF(Registro!B346="","",Registro!M346)</f>
        <v/>
      </c>
      <c r="E346" s="136" t="str">
        <f>IF(A346="","",_xlfn.XLOOKUP(A346,Registro!$B$8:$B$997,Registro!$R$8:$R$997,"N/E",0))</f>
        <v/>
      </c>
      <c r="F346" s="93" t="str">
        <f t="shared" si="10"/>
        <v/>
      </c>
      <c r="G346" s="93"/>
      <c r="H346" s="136"/>
      <c r="K346" s="93"/>
      <c r="L346" s="93" t="str">
        <f t="shared" si="11"/>
        <v/>
      </c>
    </row>
    <row r="347" spans="1:12" s="89" customFormat="1">
      <c r="A347" s="89" t="str">
        <f>IF(Registro!B347="","",Registro!B347)</f>
        <v/>
      </c>
      <c r="B347" s="89" t="str">
        <f>IF(Registro!B347="","",Registro!H347)</f>
        <v/>
      </c>
      <c r="C347" s="137" t="str">
        <f>IF(Registro!B347="","",Registro!L347)</f>
        <v/>
      </c>
      <c r="D347" s="89" t="str">
        <f>IF(Registro!B347="","",Registro!M347)</f>
        <v/>
      </c>
      <c r="E347" s="136" t="str">
        <f>IF(A347="","",_xlfn.XLOOKUP(A347,Registro!$B$8:$B$997,Registro!$R$8:$R$997,"N/E",0))</f>
        <v/>
      </c>
      <c r="F347" s="93" t="str">
        <f t="shared" si="10"/>
        <v/>
      </c>
      <c r="G347" s="93"/>
      <c r="H347" s="136"/>
      <c r="K347" s="93"/>
      <c r="L347" s="93" t="str">
        <f t="shared" si="11"/>
        <v/>
      </c>
    </row>
    <row r="348" spans="1:12" s="89" customFormat="1">
      <c r="A348" s="89" t="str">
        <f>IF(Registro!B348="","",Registro!B348)</f>
        <v/>
      </c>
      <c r="B348" s="89" t="str">
        <f>IF(Registro!B348="","",Registro!H348)</f>
        <v/>
      </c>
      <c r="C348" s="137" t="str">
        <f>IF(Registro!B348="","",Registro!L348)</f>
        <v/>
      </c>
      <c r="D348" s="89" t="str">
        <f>IF(Registro!B348="","",Registro!M348)</f>
        <v/>
      </c>
      <c r="E348" s="136" t="str">
        <f>IF(A348="","",_xlfn.XLOOKUP(A348,Registro!$B$8:$B$997,Registro!$R$8:$R$997,"N/E",0))</f>
        <v/>
      </c>
      <c r="F348" s="93" t="str">
        <f t="shared" si="10"/>
        <v/>
      </c>
      <c r="G348" s="93"/>
      <c r="H348" s="136"/>
      <c r="K348" s="93"/>
      <c r="L348" s="93" t="str">
        <f t="shared" si="11"/>
        <v/>
      </c>
    </row>
    <row r="349" spans="1:12" s="89" customFormat="1">
      <c r="A349" s="89" t="str">
        <f>IF(Registro!B349="","",Registro!B349)</f>
        <v/>
      </c>
      <c r="B349" s="89" t="str">
        <f>IF(Registro!B349="","",Registro!H349)</f>
        <v/>
      </c>
      <c r="C349" s="137" t="str">
        <f>IF(Registro!B349="","",Registro!L349)</f>
        <v/>
      </c>
      <c r="D349" s="89" t="str">
        <f>IF(Registro!B349="","",Registro!M349)</f>
        <v/>
      </c>
      <c r="E349" s="136" t="str">
        <f>IF(A349="","",_xlfn.XLOOKUP(A349,Registro!$B$8:$B$997,Registro!$R$8:$R$997,"N/E",0))</f>
        <v/>
      </c>
      <c r="F349" s="93" t="str">
        <f t="shared" si="10"/>
        <v/>
      </c>
      <c r="G349" s="93"/>
      <c r="H349" s="136"/>
      <c r="K349" s="93"/>
      <c r="L349" s="93" t="str">
        <f t="shared" si="11"/>
        <v/>
      </c>
    </row>
    <row r="350" spans="1:12" s="89" customFormat="1">
      <c r="A350" s="89" t="str">
        <f>IF(Registro!B350="","",Registro!B350)</f>
        <v/>
      </c>
      <c r="B350" s="89" t="str">
        <f>IF(Registro!B350="","",Registro!H350)</f>
        <v/>
      </c>
      <c r="C350" s="137" t="str">
        <f>IF(Registro!B350="","",Registro!L350)</f>
        <v/>
      </c>
      <c r="D350" s="89" t="str">
        <f>IF(Registro!B350="","",Registro!M350)</f>
        <v/>
      </c>
      <c r="E350" s="136" t="str">
        <f>IF(A350="","",_xlfn.XLOOKUP(A350,Registro!$B$8:$B$997,Registro!$R$8:$R$997,"N/E",0))</f>
        <v/>
      </c>
      <c r="F350" s="93" t="str">
        <f t="shared" si="10"/>
        <v/>
      </c>
      <c r="G350" s="93"/>
      <c r="H350" s="136"/>
      <c r="K350" s="93"/>
      <c r="L350" s="93" t="str">
        <f t="shared" si="11"/>
        <v/>
      </c>
    </row>
    <row r="351" spans="1:12" s="89" customFormat="1">
      <c r="A351" s="89" t="str">
        <f>IF(Registro!B351="","",Registro!B351)</f>
        <v/>
      </c>
      <c r="B351" s="89" t="str">
        <f>IF(Registro!B351="","",Registro!H351)</f>
        <v/>
      </c>
      <c r="C351" s="137" t="str">
        <f>IF(Registro!B351="","",Registro!L351)</f>
        <v/>
      </c>
      <c r="D351" s="89" t="str">
        <f>IF(Registro!B351="","",Registro!M351)</f>
        <v/>
      </c>
      <c r="E351" s="136" t="str">
        <f>IF(A351="","",_xlfn.XLOOKUP(A351,Registro!$B$8:$B$997,Registro!$R$8:$R$997,"N/E",0))</f>
        <v/>
      </c>
      <c r="F351" s="93" t="str">
        <f t="shared" si="10"/>
        <v/>
      </c>
      <c r="G351" s="93"/>
      <c r="H351" s="136"/>
      <c r="K351" s="93"/>
      <c r="L351" s="93" t="str">
        <f t="shared" si="11"/>
        <v/>
      </c>
    </row>
    <row r="352" spans="1:12" s="89" customFormat="1">
      <c r="A352" s="89" t="str">
        <f>IF(Registro!B352="","",Registro!B352)</f>
        <v/>
      </c>
      <c r="B352" s="89" t="str">
        <f>IF(Registro!B352="","",Registro!H352)</f>
        <v/>
      </c>
      <c r="C352" s="137" t="str">
        <f>IF(Registro!B352="","",Registro!L352)</f>
        <v/>
      </c>
      <c r="D352" s="89" t="str">
        <f>IF(Registro!B352="","",Registro!M352)</f>
        <v/>
      </c>
      <c r="E352" s="136" t="str">
        <f>IF(A352="","",_xlfn.XLOOKUP(A352,Registro!$B$8:$B$997,Registro!$R$8:$R$997,"N/E",0))</f>
        <v/>
      </c>
      <c r="F352" s="93" t="str">
        <f t="shared" si="10"/>
        <v/>
      </c>
      <c r="G352" s="93"/>
      <c r="H352" s="136"/>
      <c r="K352" s="93"/>
      <c r="L352" s="93" t="str">
        <f t="shared" si="11"/>
        <v/>
      </c>
    </row>
    <row r="353" spans="1:12" s="89" customFormat="1">
      <c r="A353" s="89" t="str">
        <f>IF(Registro!B353="","",Registro!B353)</f>
        <v/>
      </c>
      <c r="B353" s="89" t="str">
        <f>IF(Registro!B353="","",Registro!H353)</f>
        <v/>
      </c>
      <c r="C353" s="137" t="str">
        <f>IF(Registro!B353="","",Registro!L353)</f>
        <v/>
      </c>
      <c r="D353" s="89" t="str">
        <f>IF(Registro!B353="","",Registro!M353)</f>
        <v/>
      </c>
      <c r="E353" s="136" t="str">
        <f>IF(A353="","",_xlfn.XLOOKUP(A353,Registro!$B$8:$B$997,Registro!$R$8:$R$997,"N/E",0))</f>
        <v/>
      </c>
      <c r="F353" s="93" t="str">
        <f t="shared" si="10"/>
        <v/>
      </c>
      <c r="G353" s="93"/>
      <c r="H353" s="136"/>
      <c r="K353" s="93"/>
      <c r="L353" s="93" t="str">
        <f t="shared" si="11"/>
        <v/>
      </c>
    </row>
    <row r="354" spans="1:12" s="89" customFormat="1">
      <c r="A354" s="89" t="str">
        <f>IF(Registro!B354="","",Registro!B354)</f>
        <v/>
      </c>
      <c r="B354" s="89" t="str">
        <f>IF(Registro!B354="","",Registro!H354)</f>
        <v/>
      </c>
      <c r="C354" s="137" t="str">
        <f>IF(Registro!B354="","",Registro!L354)</f>
        <v/>
      </c>
      <c r="D354" s="89" t="str">
        <f>IF(Registro!B354="","",Registro!M354)</f>
        <v/>
      </c>
      <c r="E354" s="136" t="str">
        <f>IF(A354="","",_xlfn.XLOOKUP(A354,Registro!$B$8:$B$997,Registro!$R$8:$R$997,"N/E",0))</f>
        <v/>
      </c>
      <c r="F354" s="93" t="str">
        <f t="shared" si="10"/>
        <v/>
      </c>
      <c r="G354" s="93"/>
      <c r="H354" s="136"/>
      <c r="K354" s="93"/>
      <c r="L354" s="93" t="str">
        <f t="shared" si="11"/>
        <v/>
      </c>
    </row>
    <row r="355" spans="1:12" s="89" customFormat="1">
      <c r="A355" s="89" t="str">
        <f>IF(Registro!B355="","",Registro!B355)</f>
        <v/>
      </c>
      <c r="B355" s="89" t="str">
        <f>IF(Registro!B355="","",Registro!H355)</f>
        <v/>
      </c>
      <c r="C355" s="137" t="str">
        <f>IF(Registro!B355="","",Registro!L355)</f>
        <v/>
      </c>
      <c r="D355" s="89" t="str">
        <f>IF(Registro!B355="","",Registro!M355)</f>
        <v/>
      </c>
      <c r="E355" s="136" t="str">
        <f>IF(A355="","",_xlfn.XLOOKUP(A355,Registro!$B$8:$B$997,Registro!$R$8:$R$997,"N/E",0))</f>
        <v/>
      </c>
      <c r="F355" s="93" t="str">
        <f t="shared" si="10"/>
        <v/>
      </c>
      <c r="G355" s="93"/>
      <c r="H355" s="136"/>
      <c r="K355" s="93"/>
      <c r="L355" s="93" t="str">
        <f t="shared" si="11"/>
        <v/>
      </c>
    </row>
    <row r="356" spans="1:12" s="89" customFormat="1">
      <c r="A356" s="89" t="str">
        <f>IF(Registro!B356="","",Registro!B356)</f>
        <v/>
      </c>
      <c r="B356" s="89" t="str">
        <f>IF(Registro!B356="","",Registro!H356)</f>
        <v/>
      </c>
      <c r="C356" s="137" t="str">
        <f>IF(Registro!B356="","",Registro!L356)</f>
        <v/>
      </c>
      <c r="D356" s="89" t="str">
        <f>IF(Registro!B356="","",Registro!M356)</f>
        <v/>
      </c>
      <c r="E356" s="136" t="str">
        <f>IF(A356="","",_xlfn.XLOOKUP(A356,Registro!$B$8:$B$997,Registro!$R$8:$R$997,"N/E",0))</f>
        <v/>
      </c>
      <c r="F356" s="93" t="str">
        <f t="shared" si="10"/>
        <v/>
      </c>
      <c r="G356" s="93"/>
      <c r="H356" s="136"/>
      <c r="K356" s="93"/>
      <c r="L356" s="93" t="str">
        <f t="shared" si="11"/>
        <v/>
      </c>
    </row>
    <row r="357" spans="1:12" s="89" customFormat="1">
      <c r="A357" s="89" t="str">
        <f>IF(Registro!B357="","",Registro!B357)</f>
        <v/>
      </c>
      <c r="B357" s="89" t="str">
        <f>IF(Registro!B357="","",Registro!H357)</f>
        <v/>
      </c>
      <c r="C357" s="137" t="str">
        <f>IF(Registro!B357="","",Registro!L357)</f>
        <v/>
      </c>
      <c r="D357" s="89" t="str">
        <f>IF(Registro!B357="","",Registro!M357)</f>
        <v/>
      </c>
      <c r="E357" s="136" t="str">
        <f>IF(A357="","",_xlfn.XLOOKUP(A357,Registro!$B$8:$B$997,Registro!$R$8:$R$997,"N/E",0))</f>
        <v/>
      </c>
      <c r="F357" s="93" t="str">
        <f t="shared" si="10"/>
        <v/>
      </c>
      <c r="G357" s="93"/>
      <c r="H357" s="136"/>
      <c r="K357" s="93"/>
      <c r="L357" s="93" t="str">
        <f t="shared" si="11"/>
        <v/>
      </c>
    </row>
    <row r="358" spans="1:12" s="89" customFormat="1">
      <c r="A358" s="89" t="str">
        <f>IF(Registro!B358="","",Registro!B358)</f>
        <v/>
      </c>
      <c r="B358" s="89" t="str">
        <f>IF(Registro!B358="","",Registro!H358)</f>
        <v/>
      </c>
      <c r="C358" s="137" t="str">
        <f>IF(Registro!B358="","",Registro!L358)</f>
        <v/>
      </c>
      <c r="D358" s="89" t="str">
        <f>IF(Registro!B358="","",Registro!M358)</f>
        <v/>
      </c>
      <c r="E358" s="136" t="str">
        <f>IF(A358="","",_xlfn.XLOOKUP(A358,Registro!$B$8:$B$997,Registro!$R$8:$R$997,"N/E",0))</f>
        <v/>
      </c>
      <c r="F358" s="93" t="str">
        <f t="shared" si="10"/>
        <v/>
      </c>
      <c r="G358" s="93"/>
      <c r="H358" s="136"/>
      <c r="K358" s="93"/>
      <c r="L358" s="93" t="str">
        <f t="shared" si="11"/>
        <v/>
      </c>
    </row>
    <row r="359" spans="1:12" s="89" customFormat="1">
      <c r="A359" s="89" t="str">
        <f>IF(Registro!B359="","",Registro!B359)</f>
        <v/>
      </c>
      <c r="B359" s="89" t="str">
        <f>IF(Registro!B359="","",Registro!H359)</f>
        <v/>
      </c>
      <c r="C359" s="137" t="str">
        <f>IF(Registro!B359="","",Registro!L359)</f>
        <v/>
      </c>
      <c r="D359" s="89" t="str">
        <f>IF(Registro!B359="","",Registro!M359)</f>
        <v/>
      </c>
      <c r="E359" s="136" t="str">
        <f>IF(A359="","",_xlfn.XLOOKUP(A359,Registro!$B$8:$B$997,Registro!$R$8:$R$997,"N/E",0))</f>
        <v/>
      </c>
      <c r="F359" s="93" t="str">
        <f t="shared" si="10"/>
        <v/>
      </c>
      <c r="G359" s="93"/>
      <c r="H359" s="136"/>
      <c r="K359" s="93"/>
      <c r="L359" s="93" t="str">
        <f t="shared" si="11"/>
        <v/>
      </c>
    </row>
    <row r="360" spans="1:12" s="89" customFormat="1">
      <c r="A360" s="89" t="str">
        <f>IF(Registro!B360="","",Registro!B360)</f>
        <v/>
      </c>
      <c r="B360" s="89" t="str">
        <f>IF(Registro!B360="","",Registro!H360)</f>
        <v/>
      </c>
      <c r="C360" s="137" t="str">
        <f>IF(Registro!B360="","",Registro!L360)</f>
        <v/>
      </c>
      <c r="D360" s="89" t="str">
        <f>IF(Registro!B360="","",Registro!M360)</f>
        <v/>
      </c>
      <c r="E360" s="136" t="str">
        <f>IF(A360="","",_xlfn.XLOOKUP(A360,Registro!$B$8:$B$997,Registro!$R$8:$R$997,"N/E",0))</f>
        <v/>
      </c>
      <c r="F360" s="93" t="str">
        <f t="shared" si="10"/>
        <v/>
      </c>
      <c r="G360" s="93"/>
      <c r="H360" s="136"/>
      <c r="K360" s="93"/>
      <c r="L360" s="93" t="str">
        <f t="shared" si="11"/>
        <v/>
      </c>
    </row>
    <row r="361" spans="1:12" s="89" customFormat="1">
      <c r="A361" s="89" t="str">
        <f>IF(Registro!B361="","",Registro!B361)</f>
        <v/>
      </c>
      <c r="B361" s="89" t="str">
        <f>IF(Registro!B361="","",Registro!H361)</f>
        <v/>
      </c>
      <c r="C361" s="137" t="str">
        <f>IF(Registro!B361="","",Registro!L361)</f>
        <v/>
      </c>
      <c r="D361" s="89" t="str">
        <f>IF(Registro!B361="","",Registro!M361)</f>
        <v/>
      </c>
      <c r="E361" s="136" t="str">
        <f>IF(A361="","",_xlfn.XLOOKUP(A361,Registro!$B$8:$B$997,Registro!$R$8:$R$997,"N/E",0))</f>
        <v/>
      </c>
      <c r="F361" s="93" t="str">
        <f t="shared" si="10"/>
        <v/>
      </c>
      <c r="G361" s="93"/>
      <c r="H361" s="136"/>
      <c r="K361" s="93"/>
      <c r="L361" s="93" t="str">
        <f t="shared" si="11"/>
        <v/>
      </c>
    </row>
    <row r="362" spans="1:12" s="89" customFormat="1">
      <c r="A362" s="89" t="str">
        <f>IF(Registro!B362="","",Registro!B362)</f>
        <v/>
      </c>
      <c r="B362" s="89" t="str">
        <f>IF(Registro!B362="","",Registro!H362)</f>
        <v/>
      </c>
      <c r="C362" s="137" t="str">
        <f>IF(Registro!B362="","",Registro!L362)</f>
        <v/>
      </c>
      <c r="D362" s="89" t="str">
        <f>IF(Registro!B362="","",Registro!M362)</f>
        <v/>
      </c>
      <c r="E362" s="136" t="str">
        <f>IF(A362="","",_xlfn.XLOOKUP(A362,Registro!$B$8:$B$997,Registro!$R$8:$R$997,"N/E",0))</f>
        <v/>
      </c>
      <c r="F362" s="93" t="str">
        <f t="shared" si="10"/>
        <v/>
      </c>
      <c r="G362" s="93"/>
      <c r="H362" s="136"/>
      <c r="K362" s="93"/>
      <c r="L362" s="93" t="str">
        <f t="shared" si="11"/>
        <v/>
      </c>
    </row>
    <row r="363" spans="1:12" s="89" customFormat="1">
      <c r="A363" s="89" t="str">
        <f>IF(Registro!B363="","",Registro!B363)</f>
        <v/>
      </c>
      <c r="B363" s="89" t="str">
        <f>IF(Registro!B363="","",Registro!H363)</f>
        <v/>
      </c>
      <c r="C363" s="137" t="str">
        <f>IF(Registro!B363="","",Registro!L363)</f>
        <v/>
      </c>
      <c r="D363" s="89" t="str">
        <f>IF(Registro!B363="","",Registro!M363)</f>
        <v/>
      </c>
      <c r="E363" s="136" t="str">
        <f>IF(A363="","",_xlfn.XLOOKUP(A363,Registro!$B$8:$B$997,Registro!$R$8:$R$997,"N/E",0))</f>
        <v/>
      </c>
      <c r="F363" s="93" t="str">
        <f t="shared" si="10"/>
        <v/>
      </c>
      <c r="G363" s="93"/>
      <c r="H363" s="136"/>
      <c r="K363" s="93"/>
      <c r="L363" s="93" t="str">
        <f t="shared" si="11"/>
        <v/>
      </c>
    </row>
    <row r="364" spans="1:12" s="89" customFormat="1">
      <c r="A364" s="89" t="str">
        <f>IF(Registro!B364="","",Registro!B364)</f>
        <v/>
      </c>
      <c r="B364" s="89" t="str">
        <f>IF(Registro!B364="","",Registro!H364)</f>
        <v/>
      </c>
      <c r="C364" s="137" t="str">
        <f>IF(Registro!B364="","",Registro!L364)</f>
        <v/>
      </c>
      <c r="D364" s="89" t="str">
        <f>IF(Registro!B364="","",Registro!M364)</f>
        <v/>
      </c>
      <c r="E364" s="136" t="str">
        <f>IF(A364="","",_xlfn.XLOOKUP(A364,Registro!$B$8:$B$997,Registro!$R$8:$R$997,"N/E",0))</f>
        <v/>
      </c>
      <c r="F364" s="93" t="str">
        <f t="shared" si="10"/>
        <v/>
      </c>
      <c r="G364" s="93"/>
      <c r="H364" s="136"/>
      <c r="K364" s="93"/>
      <c r="L364" s="93" t="str">
        <f t="shared" si="11"/>
        <v/>
      </c>
    </row>
    <row r="365" spans="1:12" s="89" customFormat="1">
      <c r="A365" s="89" t="str">
        <f>IF(Registro!B365="","",Registro!B365)</f>
        <v/>
      </c>
      <c r="B365" s="89" t="str">
        <f>IF(Registro!B365="","",Registro!H365)</f>
        <v/>
      </c>
      <c r="C365" s="137" t="str">
        <f>IF(Registro!B365="","",Registro!L365)</f>
        <v/>
      </c>
      <c r="D365" s="89" t="str">
        <f>IF(Registro!B365="","",Registro!M365)</f>
        <v/>
      </c>
      <c r="E365" s="136" t="str">
        <f>IF(A365="","",_xlfn.XLOOKUP(A365,Registro!$B$8:$B$997,Registro!$R$8:$R$997,"N/E",0))</f>
        <v/>
      </c>
      <c r="F365" s="93" t="str">
        <f t="shared" si="10"/>
        <v/>
      </c>
      <c r="G365" s="93"/>
      <c r="H365" s="136"/>
      <c r="K365" s="93"/>
      <c r="L365" s="93" t="str">
        <f t="shared" si="11"/>
        <v/>
      </c>
    </row>
    <row r="366" spans="1:12" s="89" customFormat="1">
      <c r="A366" s="89" t="str">
        <f>IF(Registro!B366="","",Registro!B366)</f>
        <v/>
      </c>
      <c r="B366" s="89" t="str">
        <f>IF(Registro!B366="","",Registro!H366)</f>
        <v/>
      </c>
      <c r="C366" s="137" t="str">
        <f>IF(Registro!B366="","",Registro!L366)</f>
        <v/>
      </c>
      <c r="D366" s="89" t="str">
        <f>IF(Registro!B366="","",Registro!M366)</f>
        <v/>
      </c>
      <c r="E366" s="136" t="str">
        <f>IF(A366="","",_xlfn.XLOOKUP(A366,Registro!$B$8:$B$997,Registro!$R$8:$R$997,"N/E",0))</f>
        <v/>
      </c>
      <c r="F366" s="93" t="str">
        <f t="shared" si="10"/>
        <v/>
      </c>
      <c r="G366" s="93"/>
      <c r="H366" s="136"/>
      <c r="K366" s="93"/>
      <c r="L366" s="93" t="str">
        <f t="shared" si="11"/>
        <v/>
      </c>
    </row>
    <row r="367" spans="1:12" s="89" customFormat="1">
      <c r="A367" s="89" t="str">
        <f>IF(Registro!B367="","",Registro!B367)</f>
        <v/>
      </c>
      <c r="B367" s="89" t="str">
        <f>IF(Registro!B367="","",Registro!H367)</f>
        <v/>
      </c>
      <c r="C367" s="137" t="str">
        <f>IF(Registro!B367="","",Registro!L367)</f>
        <v/>
      </c>
      <c r="D367" s="89" t="str">
        <f>IF(Registro!B367="","",Registro!M367)</f>
        <v/>
      </c>
      <c r="E367" s="136" t="str">
        <f>IF(A367="","",_xlfn.XLOOKUP(A367,Registro!$B$8:$B$997,Registro!$R$8:$R$997,"N/E",0))</f>
        <v/>
      </c>
      <c r="F367" s="93" t="str">
        <f t="shared" si="10"/>
        <v/>
      </c>
      <c r="G367" s="93"/>
      <c r="H367" s="136"/>
      <c r="K367" s="93"/>
      <c r="L367" s="93" t="str">
        <f t="shared" si="11"/>
        <v/>
      </c>
    </row>
    <row r="368" spans="1:12" s="89" customFormat="1">
      <c r="A368" s="89" t="str">
        <f>IF(Registro!B368="","",Registro!B368)</f>
        <v/>
      </c>
      <c r="B368" s="89" t="str">
        <f>IF(Registro!B368="","",Registro!H368)</f>
        <v/>
      </c>
      <c r="C368" s="137" t="str">
        <f>IF(Registro!B368="","",Registro!L368)</f>
        <v/>
      </c>
      <c r="D368" s="89" t="str">
        <f>IF(Registro!B368="","",Registro!M368)</f>
        <v/>
      </c>
      <c r="E368" s="136" t="str">
        <f>IF(A368="","",_xlfn.XLOOKUP(A368,Registro!$B$8:$B$997,Registro!$R$8:$R$997,"N/E",0))</f>
        <v/>
      </c>
      <c r="F368" s="93" t="str">
        <f t="shared" si="10"/>
        <v/>
      </c>
      <c r="G368" s="93"/>
      <c r="H368" s="136"/>
      <c r="K368" s="93"/>
      <c r="L368" s="93" t="str">
        <f t="shared" si="11"/>
        <v/>
      </c>
    </row>
    <row r="369" spans="1:12" s="89" customFormat="1">
      <c r="A369" s="89" t="str">
        <f>IF(Registro!B369="","",Registro!B369)</f>
        <v/>
      </c>
      <c r="B369" s="89" t="str">
        <f>IF(Registro!B369="","",Registro!H369)</f>
        <v/>
      </c>
      <c r="C369" s="137" t="str">
        <f>IF(Registro!B369="","",Registro!L369)</f>
        <v/>
      </c>
      <c r="D369" s="89" t="str">
        <f>IF(Registro!B369="","",Registro!M369)</f>
        <v/>
      </c>
      <c r="E369" s="136" t="str">
        <f>IF(A369="","",_xlfn.XLOOKUP(A369,Registro!$B$8:$B$997,Registro!$R$8:$R$997,"N/E",0))</f>
        <v/>
      </c>
      <c r="F369" s="93" t="str">
        <f t="shared" si="10"/>
        <v/>
      </c>
      <c r="G369" s="93"/>
      <c r="H369" s="136"/>
      <c r="K369" s="93"/>
      <c r="L369" s="93" t="str">
        <f t="shared" si="11"/>
        <v/>
      </c>
    </row>
    <row r="370" spans="1:12" s="89" customFormat="1">
      <c r="A370" s="89" t="str">
        <f>IF(Registro!B370="","",Registro!B370)</f>
        <v/>
      </c>
      <c r="B370" s="89" t="str">
        <f>IF(Registro!B370="","",Registro!H370)</f>
        <v/>
      </c>
      <c r="C370" s="137" t="str">
        <f>IF(Registro!B370="","",Registro!L370)</f>
        <v/>
      </c>
      <c r="D370" s="89" t="str">
        <f>IF(Registro!B370="","",Registro!M370)</f>
        <v/>
      </c>
      <c r="E370" s="136" t="str">
        <f>IF(A370="","",_xlfn.XLOOKUP(A370,Registro!$B$8:$B$997,Registro!$R$8:$R$997,"N/E",0))</f>
        <v/>
      </c>
      <c r="F370" s="93" t="str">
        <f t="shared" si="10"/>
        <v/>
      </c>
      <c r="G370" s="93"/>
      <c r="H370" s="136"/>
      <c r="K370" s="93"/>
      <c r="L370" s="93" t="str">
        <f t="shared" si="11"/>
        <v/>
      </c>
    </row>
    <row r="371" spans="1:12" s="89" customFormat="1">
      <c r="A371" s="89" t="str">
        <f>IF(Registro!B371="","",Registro!B371)</f>
        <v/>
      </c>
      <c r="B371" s="89" t="str">
        <f>IF(Registro!B371="","",Registro!H371)</f>
        <v/>
      </c>
      <c r="C371" s="137" t="str">
        <f>IF(Registro!B371="","",Registro!L371)</f>
        <v/>
      </c>
      <c r="D371" s="89" t="str">
        <f>IF(Registro!B371="","",Registro!M371)</f>
        <v/>
      </c>
      <c r="E371" s="136" t="str">
        <f>IF(A371="","",_xlfn.XLOOKUP(A371,Registro!$B$8:$B$997,Registro!$R$8:$R$997,"N/E",0))</f>
        <v/>
      </c>
      <c r="F371" s="93" t="str">
        <f t="shared" si="10"/>
        <v/>
      </c>
      <c r="G371" s="93"/>
      <c r="H371" s="136"/>
      <c r="K371" s="93"/>
      <c r="L371" s="93" t="str">
        <f t="shared" si="11"/>
        <v/>
      </c>
    </row>
    <row r="372" spans="1:12" s="89" customFormat="1">
      <c r="A372" s="89" t="str">
        <f>IF(Registro!B372="","",Registro!B372)</f>
        <v/>
      </c>
      <c r="B372" s="89" t="str">
        <f>IF(Registro!B372="","",Registro!H372)</f>
        <v/>
      </c>
      <c r="C372" s="137" t="str">
        <f>IF(Registro!B372="","",Registro!L372)</f>
        <v/>
      </c>
      <c r="D372" s="89" t="str">
        <f>IF(Registro!B372="","",Registro!M372)</f>
        <v/>
      </c>
      <c r="E372" s="136" t="str">
        <f>IF(A372="","",_xlfn.XLOOKUP(A372,Registro!$B$8:$B$997,Registro!$R$8:$R$997,"N/E",0))</f>
        <v/>
      </c>
      <c r="F372" s="93" t="str">
        <f t="shared" si="10"/>
        <v/>
      </c>
      <c r="G372" s="93"/>
      <c r="H372" s="136"/>
      <c r="K372" s="93"/>
      <c r="L372" s="93" t="str">
        <f t="shared" si="11"/>
        <v/>
      </c>
    </row>
    <row r="373" spans="1:12" s="89" customFormat="1">
      <c r="A373" s="89" t="str">
        <f>IF(Registro!B373="","",Registro!B373)</f>
        <v/>
      </c>
      <c r="B373" s="89" t="str">
        <f>IF(Registro!B373="","",Registro!H373)</f>
        <v/>
      </c>
      <c r="C373" s="137" t="str">
        <f>IF(Registro!B373="","",Registro!L373)</f>
        <v/>
      </c>
      <c r="D373" s="89" t="str">
        <f>IF(Registro!B373="","",Registro!M373)</f>
        <v/>
      </c>
      <c r="E373" s="136" t="str">
        <f>IF(A373="","",_xlfn.XLOOKUP(A373,Registro!$B$8:$B$997,Registro!$R$8:$R$997,"N/E",0))</f>
        <v/>
      </c>
      <c r="F373" s="93" t="str">
        <f t="shared" si="10"/>
        <v/>
      </c>
      <c r="G373" s="93"/>
      <c r="H373" s="136"/>
      <c r="K373" s="93"/>
      <c r="L373" s="93" t="str">
        <f t="shared" si="11"/>
        <v/>
      </c>
    </row>
    <row r="374" spans="1:12" s="89" customFormat="1">
      <c r="A374" s="89" t="str">
        <f>IF(Registro!B374="","",Registro!B374)</f>
        <v/>
      </c>
      <c r="B374" s="89" t="str">
        <f>IF(Registro!B374="","",Registro!H374)</f>
        <v/>
      </c>
      <c r="C374" s="137" t="str">
        <f>IF(Registro!B374="","",Registro!L374)</f>
        <v/>
      </c>
      <c r="D374" s="89" t="str">
        <f>IF(Registro!B374="","",Registro!M374)</f>
        <v/>
      </c>
      <c r="E374" s="136" t="str">
        <f>IF(A374="","",_xlfn.XLOOKUP(A374,Registro!$B$8:$B$997,Registro!$R$8:$R$997,"N/E",0))</f>
        <v/>
      </c>
      <c r="F374" s="93" t="str">
        <f t="shared" si="10"/>
        <v/>
      </c>
      <c r="G374" s="93"/>
      <c r="H374" s="136"/>
      <c r="K374" s="93"/>
      <c r="L374" s="93" t="str">
        <f t="shared" si="11"/>
        <v/>
      </c>
    </row>
    <row r="375" spans="1:12" s="89" customFormat="1">
      <c r="A375" s="89" t="str">
        <f>IF(Registro!B375="","",Registro!B375)</f>
        <v/>
      </c>
      <c r="B375" s="89" t="str">
        <f>IF(Registro!B375="","",Registro!H375)</f>
        <v/>
      </c>
      <c r="C375" s="137" t="str">
        <f>IF(Registro!B375="","",Registro!L375)</f>
        <v/>
      </c>
      <c r="D375" s="89" t="str">
        <f>IF(Registro!B375="","",Registro!M375)</f>
        <v/>
      </c>
      <c r="E375" s="136" t="str">
        <f>IF(A375="","",_xlfn.XLOOKUP(A375,Registro!$B$8:$B$997,Registro!$R$8:$R$997,"N/E",0))</f>
        <v/>
      </c>
      <c r="F375" s="93" t="str">
        <f t="shared" si="10"/>
        <v/>
      </c>
      <c r="G375" s="93"/>
      <c r="H375" s="136"/>
      <c r="K375" s="93"/>
      <c r="L375" s="93" t="str">
        <f t="shared" si="11"/>
        <v/>
      </c>
    </row>
    <row r="376" spans="1:12" s="89" customFormat="1">
      <c r="A376" s="89" t="str">
        <f>IF(Registro!B376="","",Registro!B376)</f>
        <v/>
      </c>
      <c r="B376" s="89" t="str">
        <f>IF(Registro!B376="","",Registro!H376)</f>
        <v/>
      </c>
      <c r="C376" s="137" t="str">
        <f>IF(Registro!B376="","",Registro!L376)</f>
        <v/>
      </c>
      <c r="D376" s="89" t="str">
        <f>IF(Registro!B376="","",Registro!M376)</f>
        <v/>
      </c>
      <c r="E376" s="136" t="str">
        <f>IF(A376="","",_xlfn.XLOOKUP(A376,Registro!$B$8:$B$997,Registro!$R$8:$R$997,"N/E",0))</f>
        <v/>
      </c>
      <c r="F376" s="93" t="str">
        <f t="shared" si="10"/>
        <v/>
      </c>
      <c r="G376" s="93"/>
      <c r="H376" s="136"/>
      <c r="K376" s="93"/>
      <c r="L376" s="93" t="str">
        <f t="shared" si="11"/>
        <v/>
      </c>
    </row>
    <row r="377" spans="1:12" s="89" customFormat="1">
      <c r="A377" s="89" t="str">
        <f>IF(Registro!B377="","",Registro!B377)</f>
        <v/>
      </c>
      <c r="B377" s="89" t="str">
        <f>IF(Registro!B377="","",Registro!H377)</f>
        <v/>
      </c>
      <c r="C377" s="137" t="str">
        <f>IF(Registro!B377="","",Registro!L377)</f>
        <v/>
      </c>
      <c r="D377" s="89" t="str">
        <f>IF(Registro!B377="","",Registro!M377)</f>
        <v/>
      </c>
      <c r="E377" s="136" t="str">
        <f>IF(A377="","",_xlfn.XLOOKUP(A377,Registro!$B$8:$B$997,Registro!$R$8:$R$997,"N/E",0))</f>
        <v/>
      </c>
      <c r="F377" s="93" t="str">
        <f t="shared" si="10"/>
        <v/>
      </c>
      <c r="G377" s="93"/>
      <c r="H377" s="136"/>
      <c r="K377" s="93"/>
      <c r="L377" s="93" t="str">
        <f t="shared" si="11"/>
        <v/>
      </c>
    </row>
    <row r="378" spans="1:12" s="89" customFormat="1">
      <c r="A378" s="89" t="str">
        <f>IF(Registro!B378="","",Registro!B378)</f>
        <v/>
      </c>
      <c r="B378" s="89" t="str">
        <f>IF(Registro!B378="","",Registro!H378)</f>
        <v/>
      </c>
      <c r="C378" s="137" t="str">
        <f>IF(Registro!B378="","",Registro!L378)</f>
        <v/>
      </c>
      <c r="D378" s="89" t="str">
        <f>IF(Registro!B378="","",Registro!M378)</f>
        <v/>
      </c>
      <c r="E378" s="136" t="str">
        <f>IF(A378="","",_xlfn.XLOOKUP(A378,Registro!$B$8:$B$997,Registro!$R$8:$R$997,"N/E",0))</f>
        <v/>
      </c>
      <c r="F378" s="93" t="str">
        <f t="shared" si="10"/>
        <v/>
      </c>
      <c r="G378" s="93"/>
      <c r="H378" s="136"/>
      <c r="K378" s="93"/>
      <c r="L378" s="93" t="str">
        <f t="shared" si="11"/>
        <v/>
      </c>
    </row>
    <row r="379" spans="1:12" s="89" customFormat="1">
      <c r="A379" s="89" t="str">
        <f>IF(Registro!B379="","",Registro!B379)</f>
        <v/>
      </c>
      <c r="B379" s="89" t="str">
        <f>IF(Registro!B379="","",Registro!H379)</f>
        <v/>
      </c>
      <c r="C379" s="137" t="str">
        <f>IF(Registro!B379="","",Registro!L379)</f>
        <v/>
      </c>
      <c r="D379" s="89" t="str">
        <f>IF(Registro!B379="","",Registro!M379)</f>
        <v/>
      </c>
      <c r="E379" s="136" t="str">
        <f>IF(A379="","",_xlfn.XLOOKUP(A379,Registro!$B$8:$B$997,Registro!$R$8:$R$997,"N/E",0))</f>
        <v/>
      </c>
      <c r="F379" s="93" t="str">
        <f t="shared" si="10"/>
        <v/>
      </c>
      <c r="G379" s="93"/>
      <c r="H379" s="136"/>
      <c r="K379" s="93"/>
      <c r="L379" s="93" t="str">
        <f t="shared" si="11"/>
        <v/>
      </c>
    </row>
    <row r="380" spans="1:12" s="89" customFormat="1">
      <c r="A380" s="89" t="str">
        <f>IF(Registro!B380="","",Registro!B380)</f>
        <v/>
      </c>
      <c r="B380" s="89" t="str">
        <f>IF(Registro!B380="","",Registro!H380)</f>
        <v/>
      </c>
      <c r="C380" s="137" t="str">
        <f>IF(Registro!B380="","",Registro!L380)</f>
        <v/>
      </c>
      <c r="D380" s="89" t="str">
        <f>IF(Registro!B380="","",Registro!M380)</f>
        <v/>
      </c>
      <c r="E380" s="136" t="str">
        <f>IF(A380="","",_xlfn.XLOOKUP(A380,Registro!$B$8:$B$997,Registro!$R$8:$R$997,"N/E",0))</f>
        <v/>
      </c>
      <c r="F380" s="93" t="str">
        <f t="shared" si="10"/>
        <v/>
      </c>
      <c r="G380" s="93"/>
      <c r="H380" s="136"/>
      <c r="K380" s="93"/>
      <c r="L380" s="93" t="str">
        <f t="shared" si="11"/>
        <v/>
      </c>
    </row>
    <row r="381" spans="1:12" s="89" customFormat="1">
      <c r="A381" s="89" t="str">
        <f>IF(Registro!B381="","",Registro!B381)</f>
        <v/>
      </c>
      <c r="B381" s="89" t="str">
        <f>IF(Registro!B381="","",Registro!H381)</f>
        <v/>
      </c>
      <c r="C381" s="137" t="str">
        <f>IF(Registro!B381="","",Registro!L381)</f>
        <v/>
      </c>
      <c r="D381" s="89" t="str">
        <f>IF(Registro!B381="","",Registro!M381)</f>
        <v/>
      </c>
      <c r="E381" s="136" t="str">
        <f>IF(A381="","",_xlfn.XLOOKUP(A381,Registro!$B$8:$B$997,Registro!$R$8:$R$997,"N/E",0))</f>
        <v/>
      </c>
      <c r="F381" s="93" t="str">
        <f t="shared" si="10"/>
        <v/>
      </c>
      <c r="G381" s="93"/>
      <c r="H381" s="136"/>
      <c r="K381" s="93"/>
      <c r="L381" s="93" t="str">
        <f t="shared" si="11"/>
        <v/>
      </c>
    </row>
    <row r="382" spans="1:12" s="89" customFormat="1">
      <c r="A382" s="89" t="str">
        <f>IF(Registro!B382="","",Registro!B382)</f>
        <v/>
      </c>
      <c r="B382" s="89" t="str">
        <f>IF(Registro!B382="","",Registro!H382)</f>
        <v/>
      </c>
      <c r="C382" s="137" t="str">
        <f>IF(Registro!B382="","",Registro!L382)</f>
        <v/>
      </c>
      <c r="D382" s="89" t="str">
        <f>IF(Registro!B382="","",Registro!M382)</f>
        <v/>
      </c>
      <c r="E382" s="136" t="str">
        <f>IF(A382="","",_xlfn.XLOOKUP(A382,Registro!$B$8:$B$997,Registro!$R$8:$R$997,"N/E",0))</f>
        <v/>
      </c>
      <c r="F382" s="93" t="str">
        <f t="shared" si="10"/>
        <v/>
      </c>
      <c r="G382" s="93"/>
      <c r="H382" s="136"/>
      <c r="K382" s="93"/>
      <c r="L382" s="93" t="str">
        <f t="shared" si="11"/>
        <v/>
      </c>
    </row>
    <row r="383" spans="1:12" s="89" customFormat="1">
      <c r="A383" s="89" t="str">
        <f>IF(Registro!B383="","",Registro!B383)</f>
        <v/>
      </c>
      <c r="B383" s="89" t="str">
        <f>IF(Registro!B383="","",Registro!H383)</f>
        <v/>
      </c>
      <c r="C383" s="137" t="str">
        <f>IF(Registro!B383="","",Registro!L383)</f>
        <v/>
      </c>
      <c r="D383" s="89" t="str">
        <f>IF(Registro!B383="","",Registro!M383)</f>
        <v/>
      </c>
      <c r="E383" s="136" t="str">
        <f>IF(A383="","",_xlfn.XLOOKUP(A383,Registro!$B$8:$B$997,Registro!$R$8:$R$997,"N/E",0))</f>
        <v/>
      </c>
      <c r="F383" s="93" t="str">
        <f t="shared" si="10"/>
        <v/>
      </c>
      <c r="G383" s="93"/>
      <c r="H383" s="136"/>
      <c r="K383" s="93"/>
      <c r="L383" s="93" t="str">
        <f t="shared" si="11"/>
        <v/>
      </c>
    </row>
    <row r="384" spans="1:12" s="89" customFormat="1">
      <c r="A384" s="89" t="str">
        <f>IF(Registro!B384="","",Registro!B384)</f>
        <v/>
      </c>
      <c r="B384" s="89" t="str">
        <f>IF(Registro!B384="","",Registro!H384)</f>
        <v/>
      </c>
      <c r="C384" s="137" t="str">
        <f>IF(Registro!B384="","",Registro!L384)</f>
        <v/>
      </c>
      <c r="D384" s="89" t="str">
        <f>IF(Registro!B384="","",Registro!M384)</f>
        <v/>
      </c>
      <c r="E384" s="136" t="str">
        <f>IF(A384="","",_xlfn.XLOOKUP(A384,Registro!$B$8:$B$997,Registro!$R$8:$R$997,"N/E",0))</f>
        <v/>
      </c>
      <c r="F384" s="93" t="str">
        <f t="shared" si="10"/>
        <v/>
      </c>
      <c r="G384" s="93"/>
      <c r="H384" s="136"/>
      <c r="K384" s="93"/>
      <c r="L384" s="93" t="str">
        <f t="shared" si="11"/>
        <v/>
      </c>
    </row>
    <row r="385" spans="1:12" s="89" customFormat="1">
      <c r="A385" s="89" t="str">
        <f>IF(Registro!B385="","",Registro!B385)</f>
        <v/>
      </c>
      <c r="B385" s="89" t="str">
        <f>IF(Registro!B385="","",Registro!H385)</f>
        <v/>
      </c>
      <c r="C385" s="137" t="str">
        <f>IF(Registro!B385="","",Registro!L385)</f>
        <v/>
      </c>
      <c r="D385" s="89" t="str">
        <f>IF(Registro!B385="","",Registro!M385)</f>
        <v/>
      </c>
      <c r="E385" s="136" t="str">
        <f>IF(A385="","",_xlfn.XLOOKUP(A385,Registro!$B$8:$B$997,Registro!$R$8:$R$997,"N/E",0))</f>
        <v/>
      </c>
      <c r="F385" s="93" t="str">
        <f t="shared" si="10"/>
        <v/>
      </c>
      <c r="G385" s="93"/>
      <c r="H385" s="136"/>
      <c r="K385" s="93"/>
      <c r="L385" s="93" t="str">
        <f t="shared" si="11"/>
        <v/>
      </c>
    </row>
    <row r="386" spans="1:12" s="89" customFormat="1">
      <c r="A386" s="89" t="str">
        <f>IF(Registro!B386="","",Registro!B386)</f>
        <v/>
      </c>
      <c r="B386" s="89" t="str">
        <f>IF(Registro!B386="","",Registro!H386)</f>
        <v/>
      </c>
      <c r="C386" s="137" t="str">
        <f>IF(Registro!B386="","",Registro!L386)</f>
        <v/>
      </c>
      <c r="D386" s="89" t="str">
        <f>IF(Registro!B386="","",Registro!M386)</f>
        <v/>
      </c>
      <c r="E386" s="136" t="str">
        <f>IF(A386="","",_xlfn.XLOOKUP(A386,Registro!$B$8:$B$997,Registro!$R$8:$R$997,"N/E",0))</f>
        <v/>
      </c>
      <c r="F386" s="93" t="str">
        <f t="shared" si="10"/>
        <v/>
      </c>
      <c r="G386" s="93"/>
      <c r="H386" s="136"/>
      <c r="K386" s="93"/>
      <c r="L386" s="93" t="str">
        <f t="shared" si="11"/>
        <v/>
      </c>
    </row>
    <row r="387" spans="1:12" s="89" customFormat="1">
      <c r="A387" s="89" t="str">
        <f>IF(Registro!B387="","",Registro!B387)</f>
        <v/>
      </c>
      <c r="B387" s="89" t="str">
        <f>IF(Registro!B387="","",Registro!H387)</f>
        <v/>
      </c>
      <c r="C387" s="137" t="str">
        <f>IF(Registro!B387="","",Registro!L387)</f>
        <v/>
      </c>
      <c r="D387" s="89" t="str">
        <f>IF(Registro!B387="","",Registro!M387)</f>
        <v/>
      </c>
      <c r="E387" s="136" t="str">
        <f>IF(A387="","",_xlfn.XLOOKUP(A387,Registro!$B$8:$B$997,Registro!$R$8:$R$997,"N/E",0))</f>
        <v/>
      </c>
      <c r="F387" s="93" t="str">
        <f t="shared" si="10"/>
        <v/>
      </c>
      <c r="G387" s="93"/>
      <c r="H387" s="136"/>
      <c r="K387" s="93"/>
      <c r="L387" s="93" t="str">
        <f t="shared" si="11"/>
        <v/>
      </c>
    </row>
    <row r="388" spans="1:12" s="89" customFormat="1">
      <c r="A388" s="89" t="str">
        <f>IF(Registro!B388="","",Registro!B388)</f>
        <v/>
      </c>
      <c r="B388" s="89" t="str">
        <f>IF(Registro!B388="","",Registro!H388)</f>
        <v/>
      </c>
      <c r="C388" s="137" t="str">
        <f>IF(Registro!B388="","",Registro!L388)</f>
        <v/>
      </c>
      <c r="D388" s="89" t="str">
        <f>IF(Registro!B388="","",Registro!M388)</f>
        <v/>
      </c>
      <c r="E388" s="136" t="str">
        <f>IF(A388="","",_xlfn.XLOOKUP(A388,Registro!$B$8:$B$997,Registro!$R$8:$R$997,"N/E",0))</f>
        <v/>
      </c>
      <c r="F388" s="93" t="str">
        <f t="shared" si="10"/>
        <v/>
      </c>
      <c r="G388" s="93"/>
      <c r="H388" s="136"/>
      <c r="K388" s="93"/>
      <c r="L388" s="93" t="str">
        <f t="shared" si="11"/>
        <v/>
      </c>
    </row>
    <row r="389" spans="1:12" s="89" customFormat="1">
      <c r="A389" s="89" t="str">
        <f>IF(Registro!B389="","",Registro!B389)</f>
        <v/>
      </c>
      <c r="B389" s="89" t="str">
        <f>IF(Registro!B389="","",Registro!H389)</f>
        <v/>
      </c>
      <c r="C389" s="137" t="str">
        <f>IF(Registro!B389="","",Registro!L389)</f>
        <v/>
      </c>
      <c r="D389" s="89" t="str">
        <f>IF(Registro!B389="","",Registro!M389)</f>
        <v/>
      </c>
      <c r="E389" s="136" t="str">
        <f>IF(A389="","",_xlfn.XLOOKUP(A389,Registro!$B$8:$B$997,Registro!$R$8:$R$997,"N/E",0))</f>
        <v/>
      </c>
      <c r="F389" s="93" t="str">
        <f t="shared" si="10"/>
        <v/>
      </c>
      <c r="G389" s="93"/>
      <c r="H389" s="136"/>
      <c r="K389" s="93"/>
      <c r="L389" s="93" t="str">
        <f t="shared" si="11"/>
        <v/>
      </c>
    </row>
    <row r="390" spans="1:12" s="89" customFormat="1">
      <c r="A390" s="89" t="str">
        <f>IF(Registro!B390="","",Registro!B390)</f>
        <v/>
      </c>
      <c r="B390" s="89" t="str">
        <f>IF(Registro!B390="","",Registro!H390)</f>
        <v/>
      </c>
      <c r="C390" s="137" t="str">
        <f>IF(Registro!B390="","",Registro!L390)</f>
        <v/>
      </c>
      <c r="D390" s="89" t="str">
        <f>IF(Registro!B390="","",Registro!M390)</f>
        <v/>
      </c>
      <c r="E390" s="136" t="str">
        <f>IF(A390="","",_xlfn.XLOOKUP(A390,Registro!$B$8:$B$997,Registro!$R$8:$R$997,"N/E",0))</f>
        <v/>
      </c>
      <c r="F390" s="93" t="str">
        <f t="shared" si="10"/>
        <v/>
      </c>
      <c r="G390" s="93"/>
      <c r="H390" s="136"/>
      <c r="K390" s="93"/>
      <c r="L390" s="93" t="str">
        <f t="shared" si="11"/>
        <v/>
      </c>
    </row>
    <row r="391" spans="1:12" s="89" customFormat="1">
      <c r="A391" s="89" t="str">
        <f>IF(Registro!B391="","",Registro!B391)</f>
        <v/>
      </c>
      <c r="B391" s="89" t="str">
        <f>IF(Registro!B391="","",Registro!H391)</f>
        <v/>
      </c>
      <c r="C391" s="137" t="str">
        <f>IF(Registro!B391="","",Registro!L391)</f>
        <v/>
      </c>
      <c r="D391" s="89" t="str">
        <f>IF(Registro!B391="","",Registro!M391)</f>
        <v/>
      </c>
      <c r="E391" s="136" t="str">
        <f>IF(A391="","",_xlfn.XLOOKUP(A391,Registro!$B$8:$B$997,Registro!$R$8:$R$997,"N/E",0))</f>
        <v/>
      </c>
      <c r="F391" s="93" t="str">
        <f t="shared" si="10"/>
        <v/>
      </c>
      <c r="G391" s="93"/>
      <c r="H391" s="136"/>
      <c r="K391" s="93"/>
      <c r="L391" s="93" t="str">
        <f t="shared" si="11"/>
        <v/>
      </c>
    </row>
    <row r="392" spans="1:12" s="89" customFormat="1">
      <c r="A392" s="89" t="str">
        <f>IF(Registro!B392="","",Registro!B392)</f>
        <v/>
      </c>
      <c r="B392" s="89" t="str">
        <f>IF(Registro!B392="","",Registro!H392)</f>
        <v/>
      </c>
      <c r="C392" s="137" t="str">
        <f>IF(Registro!B392="","",Registro!L392)</f>
        <v/>
      </c>
      <c r="D392" s="89" t="str">
        <f>IF(Registro!B392="","",Registro!M392)</f>
        <v/>
      </c>
      <c r="E392" s="136" t="str">
        <f>IF(A392="","",_xlfn.XLOOKUP(A392,Registro!$B$8:$B$997,Registro!$R$8:$R$997,"N/E",0))</f>
        <v/>
      </c>
      <c r="F392" s="93" t="str">
        <f t="shared" ref="F392:F455" si="12">IF(A392="","",NETWORKDAYS.INTL(C392,E392,1))</f>
        <v/>
      </c>
      <c r="G392" s="93"/>
      <c r="H392" s="136"/>
      <c r="K392" s="93"/>
      <c r="L392" s="93" t="str">
        <f t="shared" si="11"/>
        <v/>
      </c>
    </row>
    <row r="393" spans="1:12" s="89" customFormat="1">
      <c r="A393" s="89" t="str">
        <f>IF(Registro!B393="","",Registro!B393)</f>
        <v/>
      </c>
      <c r="B393" s="89" t="str">
        <f>IF(Registro!B393="","",Registro!H393)</f>
        <v/>
      </c>
      <c r="C393" s="137" t="str">
        <f>IF(Registro!B393="","",Registro!L393)</f>
        <v/>
      </c>
      <c r="D393" s="89" t="str">
        <f>IF(Registro!B393="","",Registro!M393)</f>
        <v/>
      </c>
      <c r="E393" s="136" t="str">
        <f>IF(A393="","",_xlfn.XLOOKUP(A393,Registro!$B$8:$B$997,Registro!$R$8:$R$997,"N/E",0))</f>
        <v/>
      </c>
      <c r="F393" s="93" t="str">
        <f t="shared" si="12"/>
        <v/>
      </c>
      <c r="G393" s="93"/>
      <c r="H393" s="136"/>
      <c r="K393" s="93"/>
      <c r="L393" s="93" t="str">
        <f t="shared" si="11"/>
        <v/>
      </c>
    </row>
    <row r="394" spans="1:12" s="89" customFormat="1">
      <c r="A394" s="89" t="str">
        <f>IF(Registro!B394="","",Registro!B394)</f>
        <v/>
      </c>
      <c r="B394" s="89" t="str">
        <f>IF(Registro!B394="","",Registro!H394)</f>
        <v/>
      </c>
      <c r="C394" s="137" t="str">
        <f>IF(Registro!B394="","",Registro!L394)</f>
        <v/>
      </c>
      <c r="D394" s="89" t="str">
        <f>IF(Registro!B394="","",Registro!M394)</f>
        <v/>
      </c>
      <c r="E394" s="136" t="str">
        <f>IF(A394="","",_xlfn.XLOOKUP(A394,Registro!$B$8:$B$997,Registro!$R$8:$R$997,"N/E",0))</f>
        <v/>
      </c>
      <c r="F394" s="93" t="str">
        <f t="shared" si="12"/>
        <v/>
      </c>
      <c r="G394" s="93"/>
      <c r="H394" s="136"/>
      <c r="K394" s="93"/>
      <c r="L394" s="93" t="str">
        <f t="shared" si="11"/>
        <v/>
      </c>
    </row>
    <row r="395" spans="1:12" s="89" customFormat="1">
      <c r="A395" s="89" t="str">
        <f>IF(Registro!B395="","",Registro!B395)</f>
        <v/>
      </c>
      <c r="B395" s="89" t="str">
        <f>IF(Registro!B395="","",Registro!H395)</f>
        <v/>
      </c>
      <c r="C395" s="137" t="str">
        <f>IF(Registro!B395="","",Registro!L395)</f>
        <v/>
      </c>
      <c r="D395" s="89" t="str">
        <f>IF(Registro!B395="","",Registro!M395)</f>
        <v/>
      </c>
      <c r="E395" s="136" t="str">
        <f>IF(A395="","",_xlfn.XLOOKUP(A395,Registro!$B$8:$B$997,Registro!$R$8:$R$997,"N/E",0))</f>
        <v/>
      </c>
      <c r="F395" s="93" t="str">
        <f t="shared" si="12"/>
        <v/>
      </c>
      <c r="G395" s="93"/>
      <c r="H395" s="136"/>
      <c r="K395" s="93"/>
      <c r="L395" s="93" t="str">
        <f t="shared" si="11"/>
        <v/>
      </c>
    </row>
    <row r="396" spans="1:12" s="89" customFormat="1">
      <c r="A396" s="89" t="str">
        <f>IF(Registro!B396="","",Registro!B396)</f>
        <v/>
      </c>
      <c r="B396" s="89" t="str">
        <f>IF(Registro!B396="","",Registro!H396)</f>
        <v/>
      </c>
      <c r="C396" s="137" t="str">
        <f>IF(Registro!B396="","",Registro!L396)</f>
        <v/>
      </c>
      <c r="D396" s="89" t="str">
        <f>IF(Registro!B396="","",Registro!M396)</f>
        <v/>
      </c>
      <c r="E396" s="136" t="str">
        <f>IF(A396="","",_xlfn.XLOOKUP(A396,Registro!$B$8:$B$997,Registro!$R$8:$R$997,"N/E",0))</f>
        <v/>
      </c>
      <c r="F396" s="93" t="str">
        <f t="shared" si="12"/>
        <v/>
      </c>
      <c r="G396" s="93"/>
      <c r="H396" s="136"/>
      <c r="K396" s="93"/>
      <c r="L396" s="93" t="str">
        <f t="shared" si="11"/>
        <v/>
      </c>
    </row>
    <row r="397" spans="1:12" s="89" customFormat="1">
      <c r="A397" s="89" t="str">
        <f>IF(Registro!B397="","",Registro!B397)</f>
        <v/>
      </c>
      <c r="B397" s="89" t="str">
        <f>IF(Registro!B397="","",Registro!H397)</f>
        <v/>
      </c>
      <c r="C397" s="137" t="str">
        <f>IF(Registro!B397="","",Registro!L397)</f>
        <v/>
      </c>
      <c r="D397" s="89" t="str">
        <f>IF(Registro!B397="","",Registro!M397)</f>
        <v/>
      </c>
      <c r="E397" s="136" t="str">
        <f>IF(A397="","",_xlfn.XLOOKUP(A397,Registro!$B$8:$B$997,Registro!$R$8:$R$997,"N/E",0))</f>
        <v/>
      </c>
      <c r="F397" s="93" t="str">
        <f t="shared" si="12"/>
        <v/>
      </c>
      <c r="G397" s="93"/>
      <c r="H397" s="136"/>
      <c r="K397" s="93"/>
      <c r="L397" s="93" t="str">
        <f t="shared" si="11"/>
        <v/>
      </c>
    </row>
    <row r="398" spans="1:12" s="89" customFormat="1">
      <c r="A398" s="89" t="str">
        <f>IF(Registro!B398="","",Registro!B398)</f>
        <v/>
      </c>
      <c r="B398" s="89" t="str">
        <f>IF(Registro!B398="","",Registro!H398)</f>
        <v/>
      </c>
      <c r="C398" s="137" t="str">
        <f>IF(Registro!B398="","",Registro!L398)</f>
        <v/>
      </c>
      <c r="D398" s="89" t="str">
        <f>IF(Registro!B398="","",Registro!M398)</f>
        <v/>
      </c>
      <c r="E398" s="136" t="str">
        <f>IF(A398="","",_xlfn.XLOOKUP(A398,Registro!$B$8:$B$997,Registro!$R$8:$R$997,"N/E",0))</f>
        <v/>
      </c>
      <c r="F398" s="93" t="str">
        <f t="shared" si="12"/>
        <v/>
      </c>
      <c r="G398" s="93"/>
      <c r="H398" s="136"/>
      <c r="K398" s="93"/>
      <c r="L398" s="93" t="str">
        <f t="shared" si="11"/>
        <v/>
      </c>
    </row>
    <row r="399" spans="1:12" s="89" customFormat="1">
      <c r="A399" s="89" t="str">
        <f>IF(Registro!B399="","",Registro!B399)</f>
        <v/>
      </c>
      <c r="B399" s="89" t="str">
        <f>IF(Registro!B399="","",Registro!H399)</f>
        <v/>
      </c>
      <c r="C399" s="137" t="str">
        <f>IF(Registro!B399="","",Registro!L399)</f>
        <v/>
      </c>
      <c r="D399" s="89" t="str">
        <f>IF(Registro!B399="","",Registro!M399)</f>
        <v/>
      </c>
      <c r="E399" s="136" t="str">
        <f>IF(A399="","",_xlfn.XLOOKUP(A399,Registro!$B$8:$B$997,Registro!$R$8:$R$997,"N/E",0))</f>
        <v/>
      </c>
      <c r="F399" s="93" t="str">
        <f t="shared" si="12"/>
        <v/>
      </c>
      <c r="G399" s="93"/>
      <c r="H399" s="136"/>
      <c r="K399" s="93"/>
      <c r="L399" s="93" t="str">
        <f t="shared" si="11"/>
        <v/>
      </c>
    </row>
    <row r="400" spans="1:12" s="89" customFormat="1">
      <c r="A400" s="89" t="str">
        <f>IF(Registro!B400="","",Registro!B400)</f>
        <v/>
      </c>
      <c r="B400" s="89" t="str">
        <f>IF(Registro!B400="","",Registro!H400)</f>
        <v/>
      </c>
      <c r="C400" s="137" t="str">
        <f>IF(Registro!B400="","",Registro!L400)</f>
        <v/>
      </c>
      <c r="D400" s="89" t="str">
        <f>IF(Registro!B400="","",Registro!M400)</f>
        <v/>
      </c>
      <c r="E400" s="136" t="str">
        <f>IF(A400="","",_xlfn.XLOOKUP(A400,Registro!$B$8:$B$997,Registro!$R$8:$R$997,"N/E",0))</f>
        <v/>
      </c>
      <c r="F400" s="93" t="str">
        <f t="shared" si="12"/>
        <v/>
      </c>
      <c r="G400" s="93"/>
      <c r="H400" s="136"/>
      <c r="K400" s="93"/>
      <c r="L400" s="93" t="str">
        <f t="shared" si="11"/>
        <v/>
      </c>
    </row>
    <row r="401" spans="1:12" s="89" customFormat="1">
      <c r="A401" s="89" t="str">
        <f>IF(Registro!B401="","",Registro!B401)</f>
        <v/>
      </c>
      <c r="B401" s="89" t="str">
        <f>IF(Registro!B401="","",Registro!H401)</f>
        <v/>
      </c>
      <c r="C401" s="137" t="str">
        <f>IF(Registro!B401="","",Registro!L401)</f>
        <v/>
      </c>
      <c r="D401" s="89" t="str">
        <f>IF(Registro!B401="","",Registro!M401)</f>
        <v/>
      </c>
      <c r="E401" s="136" t="str">
        <f>IF(A401="","",_xlfn.XLOOKUP(A401,Registro!$B$8:$B$997,Registro!$R$8:$R$997,"N/E",0))</f>
        <v/>
      </c>
      <c r="F401" s="93" t="str">
        <f t="shared" si="12"/>
        <v/>
      </c>
      <c r="G401" s="93"/>
      <c r="H401" s="136"/>
      <c r="K401" s="93"/>
      <c r="L401" s="93" t="str">
        <f t="shared" si="11"/>
        <v/>
      </c>
    </row>
    <row r="402" spans="1:12" s="89" customFormat="1">
      <c r="A402" s="89" t="str">
        <f>IF(Registro!B402="","",Registro!B402)</f>
        <v/>
      </c>
      <c r="B402" s="89" t="str">
        <f>IF(Registro!B402="","",Registro!H402)</f>
        <v/>
      </c>
      <c r="C402" s="137" t="str">
        <f>IF(Registro!B402="","",Registro!L402)</f>
        <v/>
      </c>
      <c r="D402" s="89" t="str">
        <f>IF(Registro!B402="","",Registro!M402)</f>
        <v/>
      </c>
      <c r="E402" s="136" t="str">
        <f>IF(A402="","",_xlfn.XLOOKUP(A402,Registro!$B$8:$B$997,Registro!$R$8:$R$997,"N/E",0))</f>
        <v/>
      </c>
      <c r="F402" s="93" t="str">
        <f t="shared" si="12"/>
        <v/>
      </c>
      <c r="G402" s="93"/>
      <c r="H402" s="136"/>
      <c r="K402" s="93"/>
      <c r="L402" s="93" t="str">
        <f t="shared" ref="L402:L465" si="13">IF(OR(K402="N/A",K402=""),"",NETWORKDAYS(C402,K402))</f>
        <v/>
      </c>
    </row>
    <row r="403" spans="1:12" s="89" customFormat="1">
      <c r="A403" s="89" t="str">
        <f>IF(Registro!B403="","",Registro!B403)</f>
        <v/>
      </c>
      <c r="B403" s="89" t="str">
        <f>IF(Registro!B403="","",Registro!H403)</f>
        <v/>
      </c>
      <c r="C403" s="137" t="str">
        <f>IF(Registro!B403="","",Registro!L403)</f>
        <v/>
      </c>
      <c r="D403" s="89" t="str">
        <f>IF(Registro!B403="","",Registro!M403)</f>
        <v/>
      </c>
      <c r="E403" s="136" t="str">
        <f>IF(A403="","",_xlfn.XLOOKUP(A403,Registro!$B$8:$B$997,Registro!$R$8:$R$997,"N/E",0))</f>
        <v/>
      </c>
      <c r="F403" s="93" t="str">
        <f t="shared" si="12"/>
        <v/>
      </c>
      <c r="G403" s="93"/>
      <c r="H403" s="136"/>
      <c r="K403" s="93"/>
      <c r="L403" s="93" t="str">
        <f t="shared" si="13"/>
        <v/>
      </c>
    </row>
    <row r="404" spans="1:12" s="89" customFormat="1">
      <c r="A404" s="89" t="str">
        <f>IF(Registro!B404="","",Registro!B404)</f>
        <v/>
      </c>
      <c r="B404" s="89" t="str">
        <f>IF(Registro!B404="","",Registro!H404)</f>
        <v/>
      </c>
      <c r="C404" s="137" t="str">
        <f>IF(Registro!B404="","",Registro!L404)</f>
        <v/>
      </c>
      <c r="D404" s="89" t="str">
        <f>IF(Registro!B404="","",Registro!M404)</f>
        <v/>
      </c>
      <c r="E404" s="136" t="str">
        <f>IF(A404="","",_xlfn.XLOOKUP(A404,Registro!$B$8:$B$997,Registro!$R$8:$R$997,"N/E",0))</f>
        <v/>
      </c>
      <c r="F404" s="93" t="str">
        <f t="shared" si="12"/>
        <v/>
      </c>
      <c r="G404" s="93"/>
      <c r="H404" s="136"/>
      <c r="K404" s="93"/>
      <c r="L404" s="93" t="str">
        <f t="shared" si="13"/>
        <v/>
      </c>
    </row>
    <row r="405" spans="1:12" s="89" customFormat="1">
      <c r="A405" s="89" t="str">
        <f>IF(Registro!B405="","",Registro!B405)</f>
        <v/>
      </c>
      <c r="B405" s="89" t="str">
        <f>IF(Registro!B405="","",Registro!H405)</f>
        <v/>
      </c>
      <c r="C405" s="137" t="str">
        <f>IF(Registro!B405="","",Registro!L405)</f>
        <v/>
      </c>
      <c r="D405" s="89" t="str">
        <f>IF(Registro!B405="","",Registro!M405)</f>
        <v/>
      </c>
      <c r="E405" s="136" t="str">
        <f>IF(A405="","",_xlfn.XLOOKUP(A405,Registro!$B$8:$B$997,Registro!$R$8:$R$997,"N/E",0))</f>
        <v/>
      </c>
      <c r="F405" s="93" t="str">
        <f t="shared" si="12"/>
        <v/>
      </c>
      <c r="G405" s="93"/>
      <c r="H405" s="136"/>
      <c r="K405" s="93"/>
      <c r="L405" s="93" t="str">
        <f t="shared" si="13"/>
        <v/>
      </c>
    </row>
    <row r="406" spans="1:12" s="89" customFormat="1">
      <c r="A406" s="89" t="str">
        <f>IF(Registro!B406="","",Registro!B406)</f>
        <v/>
      </c>
      <c r="B406" s="89" t="str">
        <f>IF(Registro!B406="","",Registro!H406)</f>
        <v/>
      </c>
      <c r="C406" s="137" t="str">
        <f>IF(Registro!B406="","",Registro!L406)</f>
        <v/>
      </c>
      <c r="D406" s="89" t="str">
        <f>IF(Registro!B406="","",Registro!M406)</f>
        <v/>
      </c>
      <c r="E406" s="136" t="str">
        <f>IF(A406="","",_xlfn.XLOOKUP(A406,Registro!$B$8:$B$997,Registro!$R$8:$R$997,"N/E",0))</f>
        <v/>
      </c>
      <c r="F406" s="93" t="str">
        <f t="shared" si="12"/>
        <v/>
      </c>
      <c r="G406" s="93"/>
      <c r="H406" s="136"/>
      <c r="K406" s="93"/>
      <c r="L406" s="93" t="str">
        <f t="shared" si="13"/>
        <v/>
      </c>
    </row>
    <row r="407" spans="1:12" s="89" customFormat="1">
      <c r="A407" s="89" t="str">
        <f>IF(Registro!B407="","",Registro!B407)</f>
        <v/>
      </c>
      <c r="B407" s="89" t="str">
        <f>IF(Registro!B407="","",Registro!H407)</f>
        <v/>
      </c>
      <c r="C407" s="137" t="str">
        <f>IF(Registro!B407="","",Registro!L407)</f>
        <v/>
      </c>
      <c r="D407" s="89" t="str">
        <f>IF(Registro!B407="","",Registro!M407)</f>
        <v/>
      </c>
      <c r="E407" s="136" t="str">
        <f>IF(A407="","",_xlfn.XLOOKUP(A407,Registro!$B$8:$B$997,Registro!$R$8:$R$997,"N/E",0))</f>
        <v/>
      </c>
      <c r="F407" s="93" t="str">
        <f t="shared" si="12"/>
        <v/>
      </c>
      <c r="G407" s="93"/>
      <c r="H407" s="136"/>
      <c r="K407" s="93"/>
      <c r="L407" s="93" t="str">
        <f t="shared" si="13"/>
        <v/>
      </c>
    </row>
    <row r="408" spans="1:12" s="89" customFormat="1">
      <c r="A408" s="89" t="str">
        <f>IF(Registro!B408="","",Registro!B408)</f>
        <v/>
      </c>
      <c r="B408" s="89" t="str">
        <f>IF(Registro!B408="","",Registro!H408)</f>
        <v/>
      </c>
      <c r="C408" s="137" t="str">
        <f>IF(Registro!B408="","",Registro!L408)</f>
        <v/>
      </c>
      <c r="D408" s="89" t="str">
        <f>IF(Registro!B408="","",Registro!M408)</f>
        <v/>
      </c>
      <c r="E408" s="136" t="str">
        <f>IF(A408="","",_xlfn.XLOOKUP(A408,Registro!$B$8:$B$997,Registro!$R$8:$R$997,"N/E",0))</f>
        <v/>
      </c>
      <c r="F408" s="93" t="str">
        <f t="shared" si="12"/>
        <v/>
      </c>
      <c r="G408" s="93"/>
      <c r="H408" s="136"/>
      <c r="K408" s="93"/>
      <c r="L408" s="93" t="str">
        <f t="shared" si="13"/>
        <v/>
      </c>
    </row>
    <row r="409" spans="1:12" s="89" customFormat="1">
      <c r="A409" s="89" t="str">
        <f>IF(Registro!B409="","",Registro!B409)</f>
        <v/>
      </c>
      <c r="B409" s="89" t="str">
        <f>IF(Registro!B409="","",Registro!H409)</f>
        <v/>
      </c>
      <c r="C409" s="137" t="str">
        <f>IF(Registro!B409="","",Registro!L409)</f>
        <v/>
      </c>
      <c r="D409" s="89" t="str">
        <f>IF(Registro!B409="","",Registro!M409)</f>
        <v/>
      </c>
      <c r="E409" s="136" t="str">
        <f>IF(A409="","",_xlfn.XLOOKUP(A409,Registro!$B$8:$B$997,Registro!$R$8:$R$997,"N/E",0))</f>
        <v/>
      </c>
      <c r="F409" s="93" t="str">
        <f t="shared" si="12"/>
        <v/>
      </c>
      <c r="G409" s="93"/>
      <c r="H409" s="136"/>
      <c r="K409" s="93"/>
      <c r="L409" s="93" t="str">
        <f t="shared" si="13"/>
        <v/>
      </c>
    </row>
    <row r="410" spans="1:12" s="89" customFormat="1">
      <c r="A410" s="89" t="str">
        <f>IF(Registro!B410="","",Registro!B410)</f>
        <v/>
      </c>
      <c r="B410" s="89" t="str">
        <f>IF(Registro!B410="","",Registro!H410)</f>
        <v/>
      </c>
      <c r="C410" s="137" t="str">
        <f>IF(Registro!B410="","",Registro!L410)</f>
        <v/>
      </c>
      <c r="D410" s="89" t="str">
        <f>IF(Registro!B410="","",Registro!M410)</f>
        <v/>
      </c>
      <c r="E410" s="136" t="str">
        <f>IF(A410="","",_xlfn.XLOOKUP(A410,Registro!$B$8:$B$997,Registro!$R$8:$R$997,"N/E",0))</f>
        <v/>
      </c>
      <c r="F410" s="93" t="str">
        <f t="shared" si="12"/>
        <v/>
      </c>
      <c r="G410" s="93"/>
      <c r="H410" s="136"/>
      <c r="K410" s="93"/>
      <c r="L410" s="93" t="str">
        <f t="shared" si="13"/>
        <v/>
      </c>
    </row>
    <row r="411" spans="1:12" s="89" customFormat="1">
      <c r="A411" s="89" t="str">
        <f>IF(Registro!B411="","",Registro!B411)</f>
        <v/>
      </c>
      <c r="B411" s="89" t="str">
        <f>IF(Registro!B411="","",Registro!H411)</f>
        <v/>
      </c>
      <c r="C411" s="137" t="str">
        <f>IF(Registro!B411="","",Registro!L411)</f>
        <v/>
      </c>
      <c r="D411" s="89" t="str">
        <f>IF(Registro!B411="","",Registro!M411)</f>
        <v/>
      </c>
      <c r="E411" s="136" t="str">
        <f>IF(A411="","",_xlfn.XLOOKUP(A411,Registro!$B$8:$B$997,Registro!$R$8:$R$997,"N/E",0))</f>
        <v/>
      </c>
      <c r="F411" s="93" t="str">
        <f t="shared" si="12"/>
        <v/>
      </c>
      <c r="G411" s="93"/>
      <c r="H411" s="136"/>
      <c r="K411" s="93"/>
      <c r="L411" s="93" t="str">
        <f t="shared" si="13"/>
        <v/>
      </c>
    </row>
    <row r="412" spans="1:12" s="89" customFormat="1">
      <c r="A412" s="89" t="str">
        <f>IF(Registro!B412="","",Registro!B412)</f>
        <v/>
      </c>
      <c r="B412" s="89" t="str">
        <f>IF(Registro!B412="","",Registro!H412)</f>
        <v/>
      </c>
      <c r="C412" s="137" t="str">
        <f>IF(Registro!B412="","",Registro!L412)</f>
        <v/>
      </c>
      <c r="D412" s="89" t="str">
        <f>IF(Registro!B412="","",Registro!M412)</f>
        <v/>
      </c>
      <c r="E412" s="136" t="str">
        <f>IF(A412="","",_xlfn.XLOOKUP(A412,Registro!$B$8:$B$997,Registro!$R$8:$R$997,"N/E",0))</f>
        <v/>
      </c>
      <c r="F412" s="93" t="str">
        <f t="shared" si="12"/>
        <v/>
      </c>
      <c r="G412" s="93"/>
      <c r="H412" s="136"/>
      <c r="K412" s="93"/>
      <c r="L412" s="93" t="str">
        <f t="shared" si="13"/>
        <v/>
      </c>
    </row>
    <row r="413" spans="1:12" s="89" customFormat="1">
      <c r="A413" s="89" t="str">
        <f>IF(Registro!B413="","",Registro!B413)</f>
        <v/>
      </c>
      <c r="B413" s="89" t="str">
        <f>IF(Registro!B413="","",Registro!H413)</f>
        <v/>
      </c>
      <c r="C413" s="137" t="str">
        <f>IF(Registro!B413="","",Registro!L413)</f>
        <v/>
      </c>
      <c r="D413" s="89" t="str">
        <f>IF(Registro!B413="","",Registro!M413)</f>
        <v/>
      </c>
      <c r="E413" s="136" t="str">
        <f>IF(A413="","",_xlfn.XLOOKUP(A413,Registro!$B$8:$B$997,Registro!$R$8:$R$997,"N/E",0))</f>
        <v/>
      </c>
      <c r="F413" s="93" t="str">
        <f t="shared" si="12"/>
        <v/>
      </c>
      <c r="G413" s="93"/>
      <c r="H413" s="136"/>
      <c r="K413" s="93"/>
      <c r="L413" s="93" t="str">
        <f t="shared" si="13"/>
        <v/>
      </c>
    </row>
    <row r="414" spans="1:12" s="89" customFormat="1">
      <c r="A414" s="89" t="str">
        <f>IF(Registro!B414="","",Registro!B414)</f>
        <v/>
      </c>
      <c r="B414" s="89" t="str">
        <f>IF(Registro!B414="","",Registro!H414)</f>
        <v/>
      </c>
      <c r="C414" s="137" t="str">
        <f>IF(Registro!B414="","",Registro!L414)</f>
        <v/>
      </c>
      <c r="D414" s="89" t="str">
        <f>IF(Registro!B414="","",Registro!M414)</f>
        <v/>
      </c>
      <c r="E414" s="136" t="str">
        <f>IF(A414="","",_xlfn.XLOOKUP(A414,Registro!$B$8:$B$997,Registro!$R$8:$R$997,"N/E",0))</f>
        <v/>
      </c>
      <c r="F414" s="93" t="str">
        <f t="shared" si="12"/>
        <v/>
      </c>
      <c r="G414" s="93"/>
      <c r="H414" s="136"/>
      <c r="K414" s="93"/>
      <c r="L414" s="93" t="str">
        <f t="shared" si="13"/>
        <v/>
      </c>
    </row>
    <row r="415" spans="1:12" s="89" customFormat="1">
      <c r="A415" s="89" t="str">
        <f>IF(Registro!B415="","",Registro!B415)</f>
        <v/>
      </c>
      <c r="B415" s="89" t="str">
        <f>IF(Registro!B415="","",Registro!H415)</f>
        <v/>
      </c>
      <c r="C415" s="137" t="str">
        <f>IF(Registro!B415="","",Registro!L415)</f>
        <v/>
      </c>
      <c r="D415" s="89" t="str">
        <f>IF(Registro!B415="","",Registro!M415)</f>
        <v/>
      </c>
      <c r="E415" s="136" t="str">
        <f>IF(A415="","",_xlfn.XLOOKUP(A415,Registro!$B$8:$B$997,Registro!$R$8:$R$997,"N/E",0))</f>
        <v/>
      </c>
      <c r="F415" s="93" t="str">
        <f t="shared" si="12"/>
        <v/>
      </c>
      <c r="G415" s="93"/>
      <c r="H415" s="136"/>
      <c r="K415" s="93"/>
      <c r="L415" s="93" t="str">
        <f t="shared" si="13"/>
        <v/>
      </c>
    </row>
    <row r="416" spans="1:12" s="89" customFormat="1">
      <c r="A416" s="89" t="str">
        <f>IF(Registro!B416="","",Registro!B416)</f>
        <v/>
      </c>
      <c r="B416" s="89" t="str">
        <f>IF(Registro!B416="","",Registro!H416)</f>
        <v/>
      </c>
      <c r="C416" s="137" t="str">
        <f>IF(Registro!B416="","",Registro!L416)</f>
        <v/>
      </c>
      <c r="D416" s="89" t="str">
        <f>IF(Registro!B416="","",Registro!M416)</f>
        <v/>
      </c>
      <c r="E416" s="136" t="str">
        <f>IF(A416="","",_xlfn.XLOOKUP(A416,Registro!$B$8:$B$997,Registro!$R$8:$R$997,"N/E",0))</f>
        <v/>
      </c>
      <c r="F416" s="93" t="str">
        <f t="shared" si="12"/>
        <v/>
      </c>
      <c r="G416" s="93"/>
      <c r="H416" s="136"/>
      <c r="K416" s="93"/>
      <c r="L416" s="93" t="str">
        <f t="shared" si="13"/>
        <v/>
      </c>
    </row>
    <row r="417" spans="1:12" s="89" customFormat="1">
      <c r="A417" s="89" t="str">
        <f>IF(Registro!B417="","",Registro!B417)</f>
        <v/>
      </c>
      <c r="B417" s="89" t="str">
        <f>IF(Registro!B417="","",Registro!H417)</f>
        <v/>
      </c>
      <c r="C417" s="137" t="str">
        <f>IF(Registro!B417="","",Registro!L417)</f>
        <v/>
      </c>
      <c r="D417" s="89" t="str">
        <f>IF(Registro!B417="","",Registro!M417)</f>
        <v/>
      </c>
      <c r="E417" s="136" t="str">
        <f>IF(A417="","",_xlfn.XLOOKUP(A417,Registro!$B$8:$B$997,Registro!$R$8:$R$997,"N/E",0))</f>
        <v/>
      </c>
      <c r="F417" s="93" t="str">
        <f t="shared" si="12"/>
        <v/>
      </c>
      <c r="G417" s="93"/>
      <c r="H417" s="136"/>
      <c r="K417" s="93"/>
      <c r="L417" s="93" t="str">
        <f t="shared" si="13"/>
        <v/>
      </c>
    </row>
    <row r="418" spans="1:12" s="89" customFormat="1">
      <c r="A418" s="89" t="str">
        <f>IF(Registro!B418="","",Registro!B418)</f>
        <v/>
      </c>
      <c r="B418" s="89" t="str">
        <f>IF(Registro!B418="","",Registro!H418)</f>
        <v/>
      </c>
      <c r="C418" s="137" t="str">
        <f>IF(Registro!B418="","",Registro!L418)</f>
        <v/>
      </c>
      <c r="D418" s="89" t="str">
        <f>IF(Registro!B418="","",Registro!M418)</f>
        <v/>
      </c>
      <c r="E418" s="136" t="str">
        <f>IF(A418="","",_xlfn.XLOOKUP(A418,Registro!$B$8:$B$997,Registro!$R$8:$R$997,"N/E",0))</f>
        <v/>
      </c>
      <c r="F418" s="93" t="str">
        <f t="shared" si="12"/>
        <v/>
      </c>
      <c r="G418" s="93"/>
      <c r="H418" s="136"/>
      <c r="K418" s="93"/>
      <c r="L418" s="93" t="str">
        <f t="shared" si="13"/>
        <v/>
      </c>
    </row>
    <row r="419" spans="1:12" s="89" customFormat="1">
      <c r="A419" s="89" t="str">
        <f>IF(Registro!B419="","",Registro!B419)</f>
        <v/>
      </c>
      <c r="B419" s="89" t="str">
        <f>IF(Registro!B419="","",Registro!H419)</f>
        <v/>
      </c>
      <c r="C419" s="137" t="str">
        <f>IF(Registro!B419="","",Registro!L419)</f>
        <v/>
      </c>
      <c r="D419" s="89" t="str">
        <f>IF(Registro!B419="","",Registro!M419)</f>
        <v/>
      </c>
      <c r="E419" s="136" t="str">
        <f>IF(A419="","",_xlfn.XLOOKUP(A419,Registro!$B$8:$B$997,Registro!$R$8:$R$997,"N/E",0))</f>
        <v/>
      </c>
      <c r="F419" s="93" t="str">
        <f t="shared" si="12"/>
        <v/>
      </c>
      <c r="G419" s="93"/>
      <c r="H419" s="136"/>
      <c r="K419" s="93"/>
      <c r="L419" s="93" t="str">
        <f t="shared" si="13"/>
        <v/>
      </c>
    </row>
    <row r="420" spans="1:12" s="89" customFormat="1">
      <c r="A420" s="89" t="str">
        <f>IF(Registro!B420="","",Registro!B420)</f>
        <v/>
      </c>
      <c r="B420" s="89" t="str">
        <f>IF(Registro!B420="","",Registro!H420)</f>
        <v/>
      </c>
      <c r="C420" s="137" t="str">
        <f>IF(Registro!B420="","",Registro!L420)</f>
        <v/>
      </c>
      <c r="D420" s="89" t="str">
        <f>IF(Registro!B420="","",Registro!M420)</f>
        <v/>
      </c>
      <c r="E420" s="136" t="str">
        <f>IF(A420="","",_xlfn.XLOOKUP(A420,Registro!$B$8:$B$997,Registro!$R$8:$R$997,"N/E",0))</f>
        <v/>
      </c>
      <c r="F420" s="93" t="str">
        <f t="shared" si="12"/>
        <v/>
      </c>
      <c r="G420" s="93"/>
      <c r="H420" s="136"/>
      <c r="K420" s="93"/>
      <c r="L420" s="93" t="str">
        <f t="shared" si="13"/>
        <v/>
      </c>
    </row>
    <row r="421" spans="1:12" s="89" customFormat="1">
      <c r="A421" s="89" t="str">
        <f>IF(Registro!B421="","",Registro!B421)</f>
        <v/>
      </c>
      <c r="B421" s="89" t="str">
        <f>IF(Registro!B421="","",Registro!H421)</f>
        <v/>
      </c>
      <c r="C421" s="137" t="str">
        <f>IF(Registro!B421="","",Registro!L421)</f>
        <v/>
      </c>
      <c r="D421" s="89" t="str">
        <f>IF(Registro!B421="","",Registro!M421)</f>
        <v/>
      </c>
      <c r="E421" s="136" t="str">
        <f>IF(A421="","",_xlfn.XLOOKUP(A421,Registro!$B$8:$B$997,Registro!$R$8:$R$997,"N/E",0))</f>
        <v/>
      </c>
      <c r="F421" s="93" t="str">
        <f t="shared" si="12"/>
        <v/>
      </c>
      <c r="G421" s="93"/>
      <c r="H421" s="136"/>
      <c r="K421" s="93"/>
      <c r="L421" s="93" t="str">
        <f t="shared" si="13"/>
        <v/>
      </c>
    </row>
    <row r="422" spans="1:12" s="89" customFormat="1">
      <c r="A422" s="89" t="str">
        <f>IF(Registro!B422="","",Registro!B422)</f>
        <v/>
      </c>
      <c r="B422" s="89" t="str">
        <f>IF(Registro!B422="","",Registro!H422)</f>
        <v/>
      </c>
      <c r="C422" s="137" t="str">
        <f>IF(Registro!B422="","",Registro!L422)</f>
        <v/>
      </c>
      <c r="D422" s="89" t="str">
        <f>IF(Registro!B422="","",Registro!M422)</f>
        <v/>
      </c>
      <c r="E422" s="136" t="str">
        <f>IF(A422="","",_xlfn.XLOOKUP(A422,Registro!$B$8:$B$997,Registro!$R$8:$R$997,"N/E",0))</f>
        <v/>
      </c>
      <c r="F422" s="93" t="str">
        <f t="shared" si="12"/>
        <v/>
      </c>
      <c r="G422" s="93"/>
      <c r="H422" s="136"/>
      <c r="K422" s="93"/>
      <c r="L422" s="93" t="str">
        <f t="shared" si="13"/>
        <v/>
      </c>
    </row>
    <row r="423" spans="1:12" s="89" customFormat="1">
      <c r="A423" s="89" t="str">
        <f>IF(Registro!B423="","",Registro!B423)</f>
        <v/>
      </c>
      <c r="B423" s="89" t="str">
        <f>IF(Registro!B423="","",Registro!H423)</f>
        <v/>
      </c>
      <c r="C423" s="137" t="str">
        <f>IF(Registro!B423="","",Registro!L423)</f>
        <v/>
      </c>
      <c r="D423" s="89" t="str">
        <f>IF(Registro!B423="","",Registro!M423)</f>
        <v/>
      </c>
      <c r="E423" s="136" t="str">
        <f>IF(A423="","",_xlfn.XLOOKUP(A423,Registro!$B$8:$B$997,Registro!$R$8:$R$997,"N/E",0))</f>
        <v/>
      </c>
      <c r="F423" s="93" t="str">
        <f t="shared" si="12"/>
        <v/>
      </c>
      <c r="G423" s="93"/>
      <c r="H423" s="136"/>
      <c r="K423" s="93"/>
      <c r="L423" s="93" t="str">
        <f t="shared" si="13"/>
        <v/>
      </c>
    </row>
    <row r="424" spans="1:12" s="89" customFormat="1">
      <c r="A424" s="89" t="str">
        <f>IF(Registro!B424="","",Registro!B424)</f>
        <v/>
      </c>
      <c r="B424" s="89" t="str">
        <f>IF(Registro!B424="","",Registro!H424)</f>
        <v/>
      </c>
      <c r="C424" s="137" t="str">
        <f>IF(Registro!B424="","",Registro!L424)</f>
        <v/>
      </c>
      <c r="D424" s="89" t="str">
        <f>IF(Registro!B424="","",Registro!M424)</f>
        <v/>
      </c>
      <c r="E424" s="136" t="str">
        <f>IF(A424="","",_xlfn.XLOOKUP(A424,Registro!$B$8:$B$997,Registro!$R$8:$R$997,"N/E",0))</f>
        <v/>
      </c>
      <c r="F424" s="93" t="str">
        <f t="shared" si="12"/>
        <v/>
      </c>
      <c r="G424" s="93"/>
      <c r="H424" s="136"/>
      <c r="K424" s="93"/>
      <c r="L424" s="93" t="str">
        <f t="shared" si="13"/>
        <v/>
      </c>
    </row>
    <row r="425" spans="1:12" s="89" customFormat="1">
      <c r="A425" s="89" t="str">
        <f>IF(Registro!B425="","",Registro!B425)</f>
        <v/>
      </c>
      <c r="B425" s="89" t="str">
        <f>IF(Registro!B425="","",Registro!H425)</f>
        <v/>
      </c>
      <c r="C425" s="137" t="str">
        <f>IF(Registro!B425="","",Registro!L425)</f>
        <v/>
      </c>
      <c r="D425" s="89" t="str">
        <f>IF(Registro!B425="","",Registro!M425)</f>
        <v/>
      </c>
      <c r="E425" s="136" t="str">
        <f>IF(A425="","",_xlfn.XLOOKUP(A425,Registro!$B$8:$B$997,Registro!$R$8:$R$997,"N/E",0))</f>
        <v/>
      </c>
      <c r="F425" s="93" t="str">
        <f t="shared" si="12"/>
        <v/>
      </c>
      <c r="G425" s="93"/>
      <c r="H425" s="136"/>
      <c r="K425" s="93"/>
      <c r="L425" s="93" t="str">
        <f t="shared" si="13"/>
        <v/>
      </c>
    </row>
    <row r="426" spans="1:12" s="89" customFormat="1">
      <c r="A426" s="89" t="str">
        <f>IF(Registro!B426="","",Registro!B426)</f>
        <v/>
      </c>
      <c r="B426" s="89" t="str">
        <f>IF(Registro!B426="","",Registro!H426)</f>
        <v/>
      </c>
      <c r="C426" s="137" t="str">
        <f>IF(Registro!B426="","",Registro!L426)</f>
        <v/>
      </c>
      <c r="D426" s="89" t="str">
        <f>IF(Registro!B426="","",Registro!M426)</f>
        <v/>
      </c>
      <c r="E426" s="136" t="str">
        <f>IF(A426="","",_xlfn.XLOOKUP(A426,Registro!$B$8:$B$997,Registro!$R$8:$R$997,"N/E",0))</f>
        <v/>
      </c>
      <c r="F426" s="93" t="str">
        <f t="shared" si="12"/>
        <v/>
      </c>
      <c r="G426" s="93"/>
      <c r="H426" s="136"/>
      <c r="K426" s="93"/>
      <c r="L426" s="93" t="str">
        <f t="shared" si="13"/>
        <v/>
      </c>
    </row>
    <row r="427" spans="1:12" s="89" customFormat="1">
      <c r="A427" s="89" t="str">
        <f>IF(Registro!B427="","",Registro!B427)</f>
        <v/>
      </c>
      <c r="B427" s="89" t="str">
        <f>IF(Registro!B427="","",Registro!H427)</f>
        <v/>
      </c>
      <c r="C427" s="137" t="str">
        <f>IF(Registro!B427="","",Registro!L427)</f>
        <v/>
      </c>
      <c r="D427" s="89" t="str">
        <f>IF(Registro!B427="","",Registro!M427)</f>
        <v/>
      </c>
      <c r="E427" s="136" t="str">
        <f>IF(A427="","",_xlfn.XLOOKUP(A427,Registro!$B$8:$B$997,Registro!$R$8:$R$997,"N/E",0))</f>
        <v/>
      </c>
      <c r="F427" s="93" t="str">
        <f t="shared" si="12"/>
        <v/>
      </c>
      <c r="G427" s="93"/>
      <c r="H427" s="136"/>
      <c r="K427" s="93"/>
      <c r="L427" s="93" t="str">
        <f t="shared" si="13"/>
        <v/>
      </c>
    </row>
    <row r="428" spans="1:12" s="89" customFormat="1">
      <c r="A428" s="89" t="str">
        <f>IF(Registro!B428="","",Registro!B428)</f>
        <v/>
      </c>
      <c r="B428" s="89" t="str">
        <f>IF(Registro!B428="","",Registro!H428)</f>
        <v/>
      </c>
      <c r="C428" s="137" t="str">
        <f>IF(Registro!B428="","",Registro!L428)</f>
        <v/>
      </c>
      <c r="D428" s="89" t="str">
        <f>IF(Registro!B428="","",Registro!M428)</f>
        <v/>
      </c>
      <c r="E428" s="136" t="str">
        <f>IF(A428="","",_xlfn.XLOOKUP(A428,Registro!$B$8:$B$997,Registro!$R$8:$R$997,"N/E",0))</f>
        <v/>
      </c>
      <c r="F428" s="93" t="str">
        <f t="shared" si="12"/>
        <v/>
      </c>
      <c r="G428" s="93"/>
      <c r="H428" s="136"/>
      <c r="K428" s="93"/>
      <c r="L428" s="93" t="str">
        <f t="shared" si="13"/>
        <v/>
      </c>
    </row>
    <row r="429" spans="1:12" s="89" customFormat="1">
      <c r="A429" s="89" t="str">
        <f>IF(Registro!B429="","",Registro!B429)</f>
        <v/>
      </c>
      <c r="B429" s="89" t="str">
        <f>IF(Registro!B429="","",Registro!H429)</f>
        <v/>
      </c>
      <c r="C429" s="137" t="str">
        <f>IF(Registro!B429="","",Registro!L429)</f>
        <v/>
      </c>
      <c r="D429" s="89" t="str">
        <f>IF(Registro!B429="","",Registro!M429)</f>
        <v/>
      </c>
      <c r="E429" s="136" t="str">
        <f>IF(A429="","",_xlfn.XLOOKUP(A429,Registro!$B$8:$B$997,Registro!$R$8:$R$997,"N/E",0))</f>
        <v/>
      </c>
      <c r="F429" s="93" t="str">
        <f t="shared" si="12"/>
        <v/>
      </c>
      <c r="G429" s="93"/>
      <c r="H429" s="136"/>
      <c r="K429" s="93"/>
      <c r="L429" s="93" t="str">
        <f t="shared" si="13"/>
        <v/>
      </c>
    </row>
    <row r="430" spans="1:12" s="89" customFormat="1">
      <c r="A430" s="89" t="str">
        <f>IF(Registro!B430="","",Registro!B430)</f>
        <v/>
      </c>
      <c r="B430" s="89" t="str">
        <f>IF(Registro!B430="","",Registro!H430)</f>
        <v/>
      </c>
      <c r="C430" s="137" t="str">
        <f>IF(Registro!B430="","",Registro!L430)</f>
        <v/>
      </c>
      <c r="D430" s="89" t="str">
        <f>IF(Registro!B430="","",Registro!M430)</f>
        <v/>
      </c>
      <c r="E430" s="136" t="str">
        <f>IF(A430="","",_xlfn.XLOOKUP(A430,Registro!$B$8:$B$997,Registro!$R$8:$R$997,"N/E",0))</f>
        <v/>
      </c>
      <c r="F430" s="93" t="str">
        <f t="shared" si="12"/>
        <v/>
      </c>
      <c r="G430" s="93"/>
      <c r="H430" s="136"/>
      <c r="K430" s="93"/>
      <c r="L430" s="93" t="str">
        <f t="shared" si="13"/>
        <v/>
      </c>
    </row>
    <row r="431" spans="1:12" s="89" customFormat="1">
      <c r="A431" s="89" t="str">
        <f>IF(Registro!B431="","",Registro!B431)</f>
        <v/>
      </c>
      <c r="B431" s="89" t="str">
        <f>IF(Registro!B431="","",Registro!H431)</f>
        <v/>
      </c>
      <c r="C431" s="137" t="str">
        <f>IF(Registro!B431="","",Registro!L431)</f>
        <v/>
      </c>
      <c r="D431" s="89" t="str">
        <f>IF(Registro!B431="","",Registro!M431)</f>
        <v/>
      </c>
      <c r="E431" s="136" t="str">
        <f>IF(A431="","",_xlfn.XLOOKUP(A431,Registro!$B$8:$B$997,Registro!$R$8:$R$997,"N/E",0))</f>
        <v/>
      </c>
      <c r="F431" s="93" t="str">
        <f t="shared" si="12"/>
        <v/>
      </c>
      <c r="G431" s="93"/>
      <c r="H431" s="136"/>
      <c r="K431" s="93"/>
      <c r="L431" s="93" t="str">
        <f t="shared" si="13"/>
        <v/>
      </c>
    </row>
    <row r="432" spans="1:12" s="89" customFormat="1">
      <c r="A432" s="89" t="str">
        <f>IF(Registro!B432="","",Registro!B432)</f>
        <v/>
      </c>
      <c r="B432" s="89" t="str">
        <f>IF(Registro!B432="","",Registro!H432)</f>
        <v/>
      </c>
      <c r="C432" s="137" t="str">
        <f>IF(Registro!B432="","",Registro!L432)</f>
        <v/>
      </c>
      <c r="D432" s="89" t="str">
        <f>IF(Registro!B432="","",Registro!M432)</f>
        <v/>
      </c>
      <c r="E432" s="136" t="str">
        <f>IF(A432="","",_xlfn.XLOOKUP(A432,Registro!$B$8:$B$997,Registro!$R$8:$R$997,"N/E",0))</f>
        <v/>
      </c>
      <c r="F432" s="93" t="str">
        <f t="shared" si="12"/>
        <v/>
      </c>
      <c r="G432" s="93"/>
      <c r="H432" s="136"/>
      <c r="K432" s="93"/>
      <c r="L432" s="93" t="str">
        <f t="shared" si="13"/>
        <v/>
      </c>
    </row>
    <row r="433" spans="1:12" s="89" customFormat="1">
      <c r="A433" s="89" t="str">
        <f>IF(Registro!B433="","",Registro!B433)</f>
        <v/>
      </c>
      <c r="B433" s="89" t="str">
        <f>IF(Registro!B433="","",Registro!H433)</f>
        <v/>
      </c>
      <c r="C433" s="137" t="str">
        <f>IF(Registro!B433="","",Registro!L433)</f>
        <v/>
      </c>
      <c r="D433" s="89" t="str">
        <f>IF(Registro!B433="","",Registro!M433)</f>
        <v/>
      </c>
      <c r="E433" s="136" t="str">
        <f>IF(A433="","",_xlfn.XLOOKUP(A433,Registro!$B$8:$B$997,Registro!$R$8:$R$997,"N/E",0))</f>
        <v/>
      </c>
      <c r="F433" s="93" t="str">
        <f t="shared" si="12"/>
        <v/>
      </c>
      <c r="G433" s="93"/>
      <c r="H433" s="136"/>
      <c r="K433" s="93"/>
      <c r="L433" s="93" t="str">
        <f t="shared" si="13"/>
        <v/>
      </c>
    </row>
    <row r="434" spans="1:12" s="89" customFormat="1">
      <c r="A434" s="89" t="str">
        <f>IF(Registro!B434="","",Registro!B434)</f>
        <v/>
      </c>
      <c r="B434" s="89" t="str">
        <f>IF(Registro!B434="","",Registro!H434)</f>
        <v/>
      </c>
      <c r="C434" s="137" t="str">
        <f>IF(Registro!B434="","",Registro!L434)</f>
        <v/>
      </c>
      <c r="D434" s="89" t="str">
        <f>IF(Registro!B434="","",Registro!M434)</f>
        <v/>
      </c>
      <c r="E434" s="136" t="str">
        <f>IF(A434="","",_xlfn.XLOOKUP(A434,Registro!$B$8:$B$997,Registro!$R$8:$R$997,"N/E",0))</f>
        <v/>
      </c>
      <c r="F434" s="93" t="str">
        <f t="shared" si="12"/>
        <v/>
      </c>
      <c r="G434" s="93"/>
      <c r="H434" s="136"/>
      <c r="K434" s="93"/>
      <c r="L434" s="93" t="str">
        <f t="shared" si="13"/>
        <v/>
      </c>
    </row>
    <row r="435" spans="1:12" s="89" customFormat="1">
      <c r="A435" s="89" t="str">
        <f>IF(Registro!B435="","",Registro!B435)</f>
        <v/>
      </c>
      <c r="B435" s="89" t="str">
        <f>IF(Registro!B435="","",Registro!H435)</f>
        <v/>
      </c>
      <c r="C435" s="137" t="str">
        <f>IF(Registro!B435="","",Registro!L435)</f>
        <v/>
      </c>
      <c r="D435" s="89" t="str">
        <f>IF(Registro!B435="","",Registro!M435)</f>
        <v/>
      </c>
      <c r="E435" s="136" t="str">
        <f>IF(A435="","",_xlfn.XLOOKUP(A435,Registro!$B$8:$B$997,Registro!$R$8:$R$997,"N/E",0))</f>
        <v/>
      </c>
      <c r="F435" s="93" t="str">
        <f t="shared" si="12"/>
        <v/>
      </c>
      <c r="G435" s="93"/>
      <c r="H435" s="136"/>
      <c r="K435" s="93"/>
      <c r="L435" s="93" t="str">
        <f t="shared" si="13"/>
        <v/>
      </c>
    </row>
    <row r="436" spans="1:12" s="89" customFormat="1">
      <c r="A436" s="89" t="str">
        <f>IF(Registro!B436="","",Registro!B436)</f>
        <v/>
      </c>
      <c r="B436" s="89" t="str">
        <f>IF(Registro!B436="","",Registro!H436)</f>
        <v/>
      </c>
      <c r="C436" s="137" t="str">
        <f>IF(Registro!B436="","",Registro!L436)</f>
        <v/>
      </c>
      <c r="D436" s="89" t="str">
        <f>IF(Registro!B436="","",Registro!M436)</f>
        <v/>
      </c>
      <c r="E436" s="136" t="str">
        <f>IF(A436="","",_xlfn.XLOOKUP(A436,Registro!$B$8:$B$997,Registro!$R$8:$R$997,"N/E",0))</f>
        <v/>
      </c>
      <c r="F436" s="93" t="str">
        <f t="shared" si="12"/>
        <v/>
      </c>
      <c r="G436" s="93"/>
      <c r="H436" s="136"/>
      <c r="K436" s="93"/>
      <c r="L436" s="93" t="str">
        <f t="shared" si="13"/>
        <v/>
      </c>
    </row>
    <row r="437" spans="1:12" s="89" customFormat="1">
      <c r="A437" s="89" t="str">
        <f>IF(Registro!B437="","",Registro!B437)</f>
        <v/>
      </c>
      <c r="B437" s="89" t="str">
        <f>IF(Registro!B437="","",Registro!H437)</f>
        <v/>
      </c>
      <c r="C437" s="137" t="str">
        <f>IF(Registro!B437="","",Registro!L437)</f>
        <v/>
      </c>
      <c r="D437" s="89" t="str">
        <f>IF(Registro!B437="","",Registro!M437)</f>
        <v/>
      </c>
      <c r="E437" s="136" t="str">
        <f>IF(A437="","",_xlfn.XLOOKUP(A437,Registro!$B$8:$B$997,Registro!$R$8:$R$997,"N/E",0))</f>
        <v/>
      </c>
      <c r="F437" s="93" t="str">
        <f t="shared" si="12"/>
        <v/>
      </c>
      <c r="G437" s="93"/>
      <c r="H437" s="136"/>
      <c r="K437" s="93"/>
      <c r="L437" s="93" t="str">
        <f t="shared" si="13"/>
        <v/>
      </c>
    </row>
    <row r="438" spans="1:12" s="89" customFormat="1">
      <c r="A438" s="89" t="str">
        <f>IF(Registro!B438="","",Registro!B438)</f>
        <v/>
      </c>
      <c r="B438" s="89" t="str">
        <f>IF(Registro!B438="","",Registro!H438)</f>
        <v/>
      </c>
      <c r="C438" s="137" t="str">
        <f>IF(Registro!B438="","",Registro!L438)</f>
        <v/>
      </c>
      <c r="D438" s="89" t="str">
        <f>IF(Registro!B438="","",Registro!M438)</f>
        <v/>
      </c>
      <c r="E438" s="136" t="str">
        <f>IF(A438="","",_xlfn.XLOOKUP(A438,Registro!$B$8:$B$997,Registro!$R$8:$R$997,"N/E",0))</f>
        <v/>
      </c>
      <c r="F438" s="93" t="str">
        <f t="shared" si="12"/>
        <v/>
      </c>
      <c r="G438" s="93"/>
      <c r="H438" s="136"/>
      <c r="K438" s="93"/>
      <c r="L438" s="93" t="str">
        <f t="shared" si="13"/>
        <v/>
      </c>
    </row>
    <row r="439" spans="1:12" s="89" customFormat="1">
      <c r="A439" s="89" t="str">
        <f>IF(Registro!B439="","",Registro!B439)</f>
        <v/>
      </c>
      <c r="B439" s="89" t="str">
        <f>IF(Registro!B439="","",Registro!H439)</f>
        <v/>
      </c>
      <c r="C439" s="137" t="str">
        <f>IF(Registro!B439="","",Registro!L439)</f>
        <v/>
      </c>
      <c r="D439" s="89" t="str">
        <f>IF(Registro!B439="","",Registro!M439)</f>
        <v/>
      </c>
      <c r="E439" s="136" t="str">
        <f>IF(A439="","",_xlfn.XLOOKUP(A439,Registro!$B$8:$B$997,Registro!$R$8:$R$997,"N/E",0))</f>
        <v/>
      </c>
      <c r="F439" s="93" t="str">
        <f t="shared" si="12"/>
        <v/>
      </c>
      <c r="G439" s="93"/>
      <c r="H439" s="136"/>
      <c r="K439" s="93"/>
      <c r="L439" s="93" t="str">
        <f t="shared" si="13"/>
        <v/>
      </c>
    </row>
    <row r="440" spans="1:12" s="89" customFormat="1">
      <c r="A440" s="89" t="str">
        <f>IF(Registro!B440="","",Registro!B440)</f>
        <v/>
      </c>
      <c r="B440" s="89" t="str">
        <f>IF(Registro!B440="","",Registro!H440)</f>
        <v/>
      </c>
      <c r="C440" s="137" t="str">
        <f>IF(Registro!B440="","",Registro!L440)</f>
        <v/>
      </c>
      <c r="D440" s="89" t="str">
        <f>IF(Registro!B440="","",Registro!M440)</f>
        <v/>
      </c>
      <c r="E440" s="136" t="str">
        <f>IF(A440="","",_xlfn.XLOOKUP(A440,Registro!$B$8:$B$997,Registro!$R$8:$R$997,"N/E",0))</f>
        <v/>
      </c>
      <c r="F440" s="93" t="str">
        <f t="shared" si="12"/>
        <v/>
      </c>
      <c r="G440" s="93"/>
      <c r="H440" s="136"/>
      <c r="K440" s="93"/>
      <c r="L440" s="93" t="str">
        <f t="shared" si="13"/>
        <v/>
      </c>
    </row>
    <row r="441" spans="1:12" s="89" customFormat="1">
      <c r="A441" s="89" t="str">
        <f>IF(Registro!B441="","",Registro!B441)</f>
        <v/>
      </c>
      <c r="B441" s="89" t="str">
        <f>IF(Registro!B441="","",Registro!H441)</f>
        <v/>
      </c>
      <c r="C441" s="137" t="str">
        <f>IF(Registro!B441="","",Registro!L441)</f>
        <v/>
      </c>
      <c r="D441" s="89" t="str">
        <f>IF(Registro!B441="","",Registro!M441)</f>
        <v/>
      </c>
      <c r="E441" s="136" t="str">
        <f>IF(A441="","",_xlfn.XLOOKUP(A441,Registro!$B$8:$B$997,Registro!$R$8:$R$997,"N/E",0))</f>
        <v/>
      </c>
      <c r="F441" s="93" t="str">
        <f t="shared" si="12"/>
        <v/>
      </c>
      <c r="G441" s="93"/>
      <c r="H441" s="136"/>
      <c r="K441" s="93"/>
      <c r="L441" s="93" t="str">
        <f t="shared" si="13"/>
        <v/>
      </c>
    </row>
    <row r="442" spans="1:12" s="89" customFormat="1">
      <c r="A442" s="89" t="str">
        <f>IF(Registro!B442="","",Registro!B442)</f>
        <v/>
      </c>
      <c r="B442" s="89" t="str">
        <f>IF(Registro!B442="","",Registro!H442)</f>
        <v/>
      </c>
      <c r="C442" s="137" t="str">
        <f>IF(Registro!B442="","",Registro!L442)</f>
        <v/>
      </c>
      <c r="D442" s="89" t="str">
        <f>IF(Registro!B442="","",Registro!M442)</f>
        <v/>
      </c>
      <c r="E442" s="136" t="str">
        <f>IF(A442="","",_xlfn.XLOOKUP(A442,Registro!$B$8:$B$997,Registro!$R$8:$R$997,"N/E",0))</f>
        <v/>
      </c>
      <c r="F442" s="93" t="str">
        <f t="shared" si="12"/>
        <v/>
      </c>
      <c r="G442" s="93"/>
      <c r="H442" s="136"/>
      <c r="K442" s="93"/>
      <c r="L442" s="93" t="str">
        <f t="shared" si="13"/>
        <v/>
      </c>
    </row>
    <row r="443" spans="1:12" s="89" customFormat="1">
      <c r="A443" s="89" t="str">
        <f>IF(Registro!B443="","",Registro!B443)</f>
        <v/>
      </c>
      <c r="B443" s="89" t="str">
        <f>IF(Registro!B443="","",Registro!H443)</f>
        <v/>
      </c>
      <c r="C443" s="137" t="str">
        <f>IF(Registro!B443="","",Registro!L443)</f>
        <v/>
      </c>
      <c r="D443" s="89" t="str">
        <f>IF(Registro!B443="","",Registro!M443)</f>
        <v/>
      </c>
      <c r="E443" s="136" t="str">
        <f>IF(A443="","",_xlfn.XLOOKUP(A443,Registro!$B$8:$B$997,Registro!$R$8:$R$997,"N/E",0))</f>
        <v/>
      </c>
      <c r="F443" s="93" t="str">
        <f t="shared" si="12"/>
        <v/>
      </c>
      <c r="G443" s="93"/>
      <c r="H443" s="136"/>
      <c r="K443" s="93"/>
      <c r="L443" s="93" t="str">
        <f t="shared" si="13"/>
        <v/>
      </c>
    </row>
    <row r="444" spans="1:12" s="89" customFormat="1">
      <c r="A444" s="89" t="str">
        <f>IF(Registro!B444="","",Registro!B444)</f>
        <v/>
      </c>
      <c r="B444" s="89" t="str">
        <f>IF(Registro!B444="","",Registro!H444)</f>
        <v/>
      </c>
      <c r="C444" s="137" t="str">
        <f>IF(Registro!B444="","",Registro!L444)</f>
        <v/>
      </c>
      <c r="D444" s="89" t="str">
        <f>IF(Registro!B444="","",Registro!M444)</f>
        <v/>
      </c>
      <c r="E444" s="136" t="str">
        <f>IF(A444="","",_xlfn.XLOOKUP(A444,Registro!$B$8:$B$997,Registro!$R$8:$R$997,"N/E",0))</f>
        <v/>
      </c>
      <c r="F444" s="93" t="str">
        <f t="shared" si="12"/>
        <v/>
      </c>
      <c r="G444" s="93"/>
      <c r="H444" s="136"/>
      <c r="K444" s="93"/>
      <c r="L444" s="93" t="str">
        <f t="shared" si="13"/>
        <v/>
      </c>
    </row>
    <row r="445" spans="1:12" s="89" customFormat="1">
      <c r="A445" s="89" t="str">
        <f>IF(Registro!B445="","",Registro!B445)</f>
        <v/>
      </c>
      <c r="B445" s="89" t="str">
        <f>IF(Registro!B445="","",Registro!H445)</f>
        <v/>
      </c>
      <c r="C445" s="137" t="str">
        <f>IF(Registro!B445="","",Registro!L445)</f>
        <v/>
      </c>
      <c r="D445" s="89" t="str">
        <f>IF(Registro!B445="","",Registro!M445)</f>
        <v/>
      </c>
      <c r="E445" s="136" t="str">
        <f>IF(A445="","",_xlfn.XLOOKUP(A445,Registro!$B$8:$B$997,Registro!$R$8:$R$997,"N/E",0))</f>
        <v/>
      </c>
      <c r="F445" s="93" t="str">
        <f t="shared" si="12"/>
        <v/>
      </c>
      <c r="G445" s="93"/>
      <c r="H445" s="136"/>
      <c r="K445" s="93"/>
      <c r="L445" s="93" t="str">
        <f t="shared" si="13"/>
        <v/>
      </c>
    </row>
    <row r="446" spans="1:12" s="89" customFormat="1">
      <c r="A446" s="89" t="str">
        <f>IF(Registro!B446="","",Registro!B446)</f>
        <v/>
      </c>
      <c r="B446" s="89" t="str">
        <f>IF(Registro!B446="","",Registro!H446)</f>
        <v/>
      </c>
      <c r="C446" s="137" t="str">
        <f>IF(Registro!B446="","",Registro!L446)</f>
        <v/>
      </c>
      <c r="D446" s="89" t="str">
        <f>IF(Registro!B446="","",Registro!M446)</f>
        <v/>
      </c>
      <c r="E446" s="136" t="str">
        <f>IF(A446="","",_xlfn.XLOOKUP(A446,Registro!$B$8:$B$997,Registro!$R$8:$R$997,"N/E",0))</f>
        <v/>
      </c>
      <c r="F446" s="93" t="str">
        <f t="shared" si="12"/>
        <v/>
      </c>
      <c r="G446" s="93"/>
      <c r="H446" s="136"/>
      <c r="K446" s="93"/>
      <c r="L446" s="93" t="str">
        <f t="shared" si="13"/>
        <v/>
      </c>
    </row>
    <row r="447" spans="1:12" s="89" customFormat="1">
      <c r="A447" s="89" t="str">
        <f>IF(Registro!B447="","",Registro!B447)</f>
        <v/>
      </c>
      <c r="B447" s="89" t="str">
        <f>IF(Registro!B447="","",Registro!H447)</f>
        <v/>
      </c>
      <c r="C447" s="137" t="str">
        <f>IF(Registro!B447="","",Registro!L447)</f>
        <v/>
      </c>
      <c r="D447" s="89" t="str">
        <f>IF(Registro!B447="","",Registro!M447)</f>
        <v/>
      </c>
      <c r="E447" s="136" t="str">
        <f>IF(A447="","",_xlfn.XLOOKUP(A447,Registro!$B$8:$B$997,Registro!$R$8:$R$997,"N/E",0))</f>
        <v/>
      </c>
      <c r="F447" s="93" t="str">
        <f t="shared" si="12"/>
        <v/>
      </c>
      <c r="G447" s="93"/>
      <c r="H447" s="136"/>
      <c r="K447" s="93"/>
      <c r="L447" s="93" t="str">
        <f t="shared" si="13"/>
        <v/>
      </c>
    </row>
    <row r="448" spans="1:12" s="89" customFormat="1">
      <c r="A448" s="89" t="str">
        <f>IF(Registro!B448="","",Registro!B448)</f>
        <v/>
      </c>
      <c r="B448" s="89" t="str">
        <f>IF(Registro!B448="","",Registro!H448)</f>
        <v/>
      </c>
      <c r="C448" s="137" t="str">
        <f>IF(Registro!B448="","",Registro!L448)</f>
        <v/>
      </c>
      <c r="D448" s="89" t="str">
        <f>IF(Registro!B448="","",Registro!M448)</f>
        <v/>
      </c>
      <c r="E448" s="136" t="str">
        <f>IF(A448="","",_xlfn.XLOOKUP(A448,Registro!$B$8:$B$997,Registro!$R$8:$R$997,"N/E",0))</f>
        <v/>
      </c>
      <c r="F448" s="93" t="str">
        <f t="shared" si="12"/>
        <v/>
      </c>
      <c r="G448" s="93"/>
      <c r="H448" s="136"/>
      <c r="K448" s="93"/>
      <c r="L448" s="93" t="str">
        <f t="shared" si="13"/>
        <v/>
      </c>
    </row>
    <row r="449" spans="1:12" s="89" customFormat="1">
      <c r="A449" s="89" t="str">
        <f>IF(Registro!B449="","",Registro!B449)</f>
        <v/>
      </c>
      <c r="B449" s="89" t="str">
        <f>IF(Registro!B449="","",Registro!H449)</f>
        <v/>
      </c>
      <c r="C449" s="137" t="str">
        <f>IF(Registro!B449="","",Registro!L449)</f>
        <v/>
      </c>
      <c r="D449" s="89" t="str">
        <f>IF(Registro!B449="","",Registro!M449)</f>
        <v/>
      </c>
      <c r="E449" s="136" t="str">
        <f>IF(A449="","",_xlfn.XLOOKUP(A449,Registro!$B$8:$B$997,Registro!$R$8:$R$997,"N/E",0))</f>
        <v/>
      </c>
      <c r="F449" s="93" t="str">
        <f t="shared" si="12"/>
        <v/>
      </c>
      <c r="G449" s="93"/>
      <c r="H449" s="136"/>
      <c r="K449" s="93"/>
      <c r="L449" s="93" t="str">
        <f t="shared" si="13"/>
        <v/>
      </c>
    </row>
    <row r="450" spans="1:12" s="89" customFormat="1">
      <c r="A450" s="89" t="str">
        <f>IF(Registro!B450="","",Registro!B450)</f>
        <v/>
      </c>
      <c r="B450" s="89" t="str">
        <f>IF(Registro!B450="","",Registro!H450)</f>
        <v/>
      </c>
      <c r="C450" s="137" t="str">
        <f>IF(Registro!B450="","",Registro!L450)</f>
        <v/>
      </c>
      <c r="D450" s="89" t="str">
        <f>IF(Registro!B450="","",Registro!M450)</f>
        <v/>
      </c>
      <c r="E450" s="136" t="str">
        <f>IF(A450="","",_xlfn.XLOOKUP(A450,Registro!$B$8:$B$997,Registro!$R$8:$R$997,"N/E",0))</f>
        <v/>
      </c>
      <c r="F450" s="93" t="str">
        <f t="shared" si="12"/>
        <v/>
      </c>
      <c r="G450" s="93"/>
      <c r="H450" s="136"/>
      <c r="K450" s="93"/>
      <c r="L450" s="93" t="str">
        <f t="shared" si="13"/>
        <v/>
      </c>
    </row>
    <row r="451" spans="1:12" s="89" customFormat="1">
      <c r="A451" s="89" t="str">
        <f>IF(Registro!B451="","",Registro!B451)</f>
        <v/>
      </c>
      <c r="B451" s="89" t="str">
        <f>IF(Registro!B451="","",Registro!H451)</f>
        <v/>
      </c>
      <c r="C451" s="137" t="str">
        <f>IF(Registro!B451="","",Registro!L451)</f>
        <v/>
      </c>
      <c r="D451" s="89" t="str">
        <f>IF(Registro!B451="","",Registro!M451)</f>
        <v/>
      </c>
      <c r="E451" s="136" t="str">
        <f>IF(A451="","",_xlfn.XLOOKUP(A451,Registro!$B$8:$B$997,Registro!$R$8:$R$997,"N/E",0))</f>
        <v/>
      </c>
      <c r="F451" s="93" t="str">
        <f t="shared" si="12"/>
        <v/>
      </c>
      <c r="G451" s="93"/>
      <c r="H451" s="136"/>
      <c r="K451" s="93"/>
      <c r="L451" s="93" t="str">
        <f t="shared" si="13"/>
        <v/>
      </c>
    </row>
    <row r="452" spans="1:12" s="89" customFormat="1">
      <c r="A452" s="89" t="str">
        <f>IF(Registro!B452="","",Registro!B452)</f>
        <v/>
      </c>
      <c r="B452" s="89" t="str">
        <f>IF(Registro!B452="","",Registro!H452)</f>
        <v/>
      </c>
      <c r="C452" s="137" t="str">
        <f>IF(Registro!B452="","",Registro!L452)</f>
        <v/>
      </c>
      <c r="D452" s="89" t="str">
        <f>IF(Registro!B452="","",Registro!M452)</f>
        <v/>
      </c>
      <c r="E452" s="136" t="str">
        <f>IF(A452="","",_xlfn.XLOOKUP(A452,Registro!$B$8:$B$997,Registro!$R$8:$R$997,"N/E",0))</f>
        <v/>
      </c>
      <c r="F452" s="93" t="str">
        <f t="shared" si="12"/>
        <v/>
      </c>
      <c r="G452" s="93"/>
      <c r="H452" s="136"/>
      <c r="K452" s="93"/>
      <c r="L452" s="93" t="str">
        <f t="shared" si="13"/>
        <v/>
      </c>
    </row>
    <row r="453" spans="1:12" s="89" customFormat="1">
      <c r="A453" s="89" t="str">
        <f>IF(Registro!B453="","",Registro!B453)</f>
        <v/>
      </c>
      <c r="B453" s="89" t="str">
        <f>IF(Registro!B453="","",Registro!H453)</f>
        <v/>
      </c>
      <c r="C453" s="137" t="str">
        <f>IF(Registro!B453="","",Registro!L453)</f>
        <v/>
      </c>
      <c r="D453" s="89" t="str">
        <f>IF(Registro!B453="","",Registro!M453)</f>
        <v/>
      </c>
      <c r="E453" s="136" t="str">
        <f>IF(A453="","",_xlfn.XLOOKUP(A453,Registro!$B$8:$B$997,Registro!$R$8:$R$997,"N/E",0))</f>
        <v/>
      </c>
      <c r="F453" s="93" t="str">
        <f t="shared" si="12"/>
        <v/>
      </c>
      <c r="G453" s="93"/>
      <c r="H453" s="136"/>
      <c r="K453" s="93"/>
      <c r="L453" s="93" t="str">
        <f t="shared" si="13"/>
        <v/>
      </c>
    </row>
    <row r="454" spans="1:12" s="89" customFormat="1">
      <c r="A454" s="89" t="str">
        <f>IF(Registro!B454="","",Registro!B454)</f>
        <v/>
      </c>
      <c r="B454" s="89" t="str">
        <f>IF(Registro!B454="","",Registro!H454)</f>
        <v/>
      </c>
      <c r="C454" s="137" t="str">
        <f>IF(Registro!B454="","",Registro!L454)</f>
        <v/>
      </c>
      <c r="D454" s="89" t="str">
        <f>IF(Registro!B454="","",Registro!M454)</f>
        <v/>
      </c>
      <c r="E454" s="136" t="str">
        <f>IF(A454="","",_xlfn.XLOOKUP(A454,Registro!$B$8:$B$997,Registro!$R$8:$R$997,"N/E",0))</f>
        <v/>
      </c>
      <c r="F454" s="93" t="str">
        <f t="shared" si="12"/>
        <v/>
      </c>
      <c r="G454" s="93"/>
      <c r="H454" s="136"/>
      <c r="K454" s="93"/>
      <c r="L454" s="93" t="str">
        <f t="shared" si="13"/>
        <v/>
      </c>
    </row>
    <row r="455" spans="1:12" s="89" customFormat="1">
      <c r="A455" s="89" t="str">
        <f>IF(Registro!B455="","",Registro!B455)</f>
        <v/>
      </c>
      <c r="B455" s="89" t="str">
        <f>IF(Registro!B455="","",Registro!H455)</f>
        <v/>
      </c>
      <c r="C455" s="137" t="str">
        <f>IF(Registro!B455="","",Registro!L455)</f>
        <v/>
      </c>
      <c r="D455" s="89" t="str">
        <f>IF(Registro!B455="","",Registro!M455)</f>
        <v/>
      </c>
      <c r="E455" s="136" t="str">
        <f>IF(A455="","",_xlfn.XLOOKUP(A455,Registro!$B$8:$B$997,Registro!$R$8:$R$997,"N/E",0))</f>
        <v/>
      </c>
      <c r="F455" s="93" t="str">
        <f t="shared" si="12"/>
        <v/>
      </c>
      <c r="G455" s="93"/>
      <c r="H455" s="136"/>
      <c r="K455" s="93"/>
      <c r="L455" s="93" t="str">
        <f t="shared" si="13"/>
        <v/>
      </c>
    </row>
    <row r="456" spans="1:12" s="89" customFormat="1">
      <c r="A456" s="89" t="str">
        <f>IF(Registro!B456="","",Registro!B456)</f>
        <v/>
      </c>
      <c r="B456" s="89" t="str">
        <f>IF(Registro!B456="","",Registro!H456)</f>
        <v/>
      </c>
      <c r="C456" s="137" t="str">
        <f>IF(Registro!B456="","",Registro!L456)</f>
        <v/>
      </c>
      <c r="D456" s="89" t="str">
        <f>IF(Registro!B456="","",Registro!M456)</f>
        <v/>
      </c>
      <c r="E456" s="136" t="str">
        <f>IF(A456="","",_xlfn.XLOOKUP(A456,Registro!$B$8:$B$997,Registro!$R$8:$R$997,"N/E",0))</f>
        <v/>
      </c>
      <c r="F456" s="93" t="str">
        <f t="shared" ref="F456:F519" si="14">IF(A456="","",NETWORKDAYS.INTL(C456,E456,1))</f>
        <v/>
      </c>
      <c r="G456" s="93"/>
      <c r="H456" s="136"/>
      <c r="K456" s="93"/>
      <c r="L456" s="93" t="str">
        <f t="shared" si="13"/>
        <v/>
      </c>
    </row>
    <row r="457" spans="1:12" s="89" customFormat="1">
      <c r="A457" s="89" t="str">
        <f>IF(Registro!B457="","",Registro!B457)</f>
        <v/>
      </c>
      <c r="B457" s="89" t="str">
        <f>IF(Registro!B457="","",Registro!H457)</f>
        <v/>
      </c>
      <c r="C457" s="137" t="str">
        <f>IF(Registro!B457="","",Registro!L457)</f>
        <v/>
      </c>
      <c r="D457" s="89" t="str">
        <f>IF(Registro!B457="","",Registro!M457)</f>
        <v/>
      </c>
      <c r="E457" s="136" t="str">
        <f>IF(A457="","",_xlfn.XLOOKUP(A457,Registro!$B$8:$B$997,Registro!$R$8:$R$997,"N/E",0))</f>
        <v/>
      </c>
      <c r="F457" s="93" t="str">
        <f t="shared" si="14"/>
        <v/>
      </c>
      <c r="G457" s="93"/>
      <c r="H457" s="136"/>
      <c r="K457" s="93"/>
      <c r="L457" s="93" t="str">
        <f t="shared" si="13"/>
        <v/>
      </c>
    </row>
    <row r="458" spans="1:12" s="89" customFormat="1">
      <c r="A458" s="89" t="str">
        <f>IF(Registro!B458="","",Registro!B458)</f>
        <v/>
      </c>
      <c r="B458" s="89" t="str">
        <f>IF(Registro!B458="","",Registro!H458)</f>
        <v/>
      </c>
      <c r="C458" s="137" t="str">
        <f>IF(Registro!B458="","",Registro!L458)</f>
        <v/>
      </c>
      <c r="D458" s="89" t="str">
        <f>IF(Registro!B458="","",Registro!M458)</f>
        <v/>
      </c>
      <c r="E458" s="136" t="str">
        <f>IF(A458="","",_xlfn.XLOOKUP(A458,Registro!$B$8:$B$997,Registro!$R$8:$R$997,"N/E",0))</f>
        <v/>
      </c>
      <c r="F458" s="93" t="str">
        <f t="shared" si="14"/>
        <v/>
      </c>
      <c r="G458" s="93"/>
      <c r="H458" s="136"/>
      <c r="K458" s="93"/>
      <c r="L458" s="93" t="str">
        <f t="shared" si="13"/>
        <v/>
      </c>
    </row>
    <row r="459" spans="1:12" s="89" customFormat="1">
      <c r="A459" s="89" t="str">
        <f>IF(Registro!B459="","",Registro!B459)</f>
        <v/>
      </c>
      <c r="B459" s="89" t="str">
        <f>IF(Registro!B459="","",Registro!H459)</f>
        <v/>
      </c>
      <c r="C459" s="137" t="str">
        <f>IF(Registro!B459="","",Registro!L459)</f>
        <v/>
      </c>
      <c r="D459" s="89" t="str">
        <f>IF(Registro!B459="","",Registro!M459)</f>
        <v/>
      </c>
      <c r="E459" s="136" t="str">
        <f>IF(A459="","",_xlfn.XLOOKUP(A459,Registro!$B$8:$B$997,Registro!$R$8:$R$997,"N/E",0))</f>
        <v/>
      </c>
      <c r="F459" s="93" t="str">
        <f t="shared" si="14"/>
        <v/>
      </c>
      <c r="G459" s="93"/>
      <c r="H459" s="136"/>
      <c r="K459" s="93"/>
      <c r="L459" s="93" t="str">
        <f t="shared" si="13"/>
        <v/>
      </c>
    </row>
    <row r="460" spans="1:12" s="89" customFormat="1">
      <c r="A460" s="89" t="str">
        <f>IF(Registro!B460="","",Registro!B460)</f>
        <v/>
      </c>
      <c r="B460" s="89" t="str">
        <f>IF(Registro!B460="","",Registro!H460)</f>
        <v/>
      </c>
      <c r="C460" s="137" t="str">
        <f>IF(Registro!B460="","",Registro!L460)</f>
        <v/>
      </c>
      <c r="D460" s="89" t="str">
        <f>IF(Registro!B460="","",Registro!M460)</f>
        <v/>
      </c>
      <c r="E460" s="136" t="str">
        <f>IF(A460="","",_xlfn.XLOOKUP(A460,Registro!$B$8:$B$997,Registro!$R$8:$R$997,"N/E",0))</f>
        <v/>
      </c>
      <c r="F460" s="93" t="str">
        <f t="shared" si="14"/>
        <v/>
      </c>
      <c r="G460" s="93"/>
      <c r="H460" s="136"/>
      <c r="K460" s="93"/>
      <c r="L460" s="93" t="str">
        <f t="shared" si="13"/>
        <v/>
      </c>
    </row>
    <row r="461" spans="1:12" s="89" customFormat="1">
      <c r="A461" s="89" t="str">
        <f>IF(Registro!B461="","",Registro!B461)</f>
        <v/>
      </c>
      <c r="B461" s="89" t="str">
        <f>IF(Registro!B461="","",Registro!H461)</f>
        <v/>
      </c>
      <c r="C461" s="137" t="str">
        <f>IF(Registro!B461="","",Registro!L461)</f>
        <v/>
      </c>
      <c r="D461" s="89" t="str">
        <f>IF(Registro!B461="","",Registro!M461)</f>
        <v/>
      </c>
      <c r="E461" s="136" t="str">
        <f>IF(A461="","",_xlfn.XLOOKUP(A461,Registro!$B$8:$B$997,Registro!$R$8:$R$997,"N/E",0))</f>
        <v/>
      </c>
      <c r="F461" s="93" t="str">
        <f t="shared" si="14"/>
        <v/>
      </c>
      <c r="G461" s="93"/>
      <c r="H461" s="136"/>
      <c r="K461" s="93"/>
      <c r="L461" s="93" t="str">
        <f t="shared" si="13"/>
        <v/>
      </c>
    </row>
    <row r="462" spans="1:12" s="89" customFormat="1">
      <c r="A462" s="89" t="str">
        <f>IF(Registro!B462="","",Registro!B462)</f>
        <v/>
      </c>
      <c r="B462" s="89" t="str">
        <f>IF(Registro!B462="","",Registro!H462)</f>
        <v/>
      </c>
      <c r="C462" s="137" t="str">
        <f>IF(Registro!B462="","",Registro!L462)</f>
        <v/>
      </c>
      <c r="D462" s="89" t="str">
        <f>IF(Registro!B462="","",Registro!M462)</f>
        <v/>
      </c>
      <c r="E462" s="136" t="str">
        <f>IF(A462="","",_xlfn.XLOOKUP(A462,Registro!$B$8:$B$997,Registro!$R$8:$R$997,"N/E",0))</f>
        <v/>
      </c>
      <c r="F462" s="93" t="str">
        <f t="shared" si="14"/>
        <v/>
      </c>
      <c r="G462" s="93"/>
      <c r="H462" s="136"/>
      <c r="K462" s="93"/>
      <c r="L462" s="93" t="str">
        <f t="shared" si="13"/>
        <v/>
      </c>
    </row>
    <row r="463" spans="1:12" s="89" customFormat="1">
      <c r="A463" s="89" t="str">
        <f>IF(Registro!B463="","",Registro!B463)</f>
        <v/>
      </c>
      <c r="B463" s="89" t="str">
        <f>IF(Registro!B463="","",Registro!H463)</f>
        <v/>
      </c>
      <c r="C463" s="137" t="str">
        <f>IF(Registro!B463="","",Registro!L463)</f>
        <v/>
      </c>
      <c r="D463" s="89" t="str">
        <f>IF(Registro!B463="","",Registro!M463)</f>
        <v/>
      </c>
      <c r="E463" s="136" t="str">
        <f>IF(A463="","",_xlfn.XLOOKUP(A463,Registro!$B$8:$B$997,Registro!$R$8:$R$997,"N/E",0))</f>
        <v/>
      </c>
      <c r="F463" s="93" t="str">
        <f t="shared" si="14"/>
        <v/>
      </c>
      <c r="G463" s="93"/>
      <c r="H463" s="136"/>
      <c r="K463" s="93"/>
      <c r="L463" s="93" t="str">
        <f t="shared" si="13"/>
        <v/>
      </c>
    </row>
    <row r="464" spans="1:12" s="89" customFormat="1">
      <c r="A464" s="89" t="str">
        <f>IF(Registro!B464="","",Registro!B464)</f>
        <v/>
      </c>
      <c r="B464" s="89" t="str">
        <f>IF(Registro!B464="","",Registro!H464)</f>
        <v/>
      </c>
      <c r="C464" s="137" t="str">
        <f>IF(Registro!B464="","",Registro!L464)</f>
        <v/>
      </c>
      <c r="D464" s="89" t="str">
        <f>IF(Registro!B464="","",Registro!M464)</f>
        <v/>
      </c>
      <c r="E464" s="136" t="str">
        <f>IF(A464="","",_xlfn.XLOOKUP(A464,Registro!$B$8:$B$997,Registro!$R$8:$R$997,"N/E",0))</f>
        <v/>
      </c>
      <c r="F464" s="93" t="str">
        <f t="shared" si="14"/>
        <v/>
      </c>
      <c r="G464" s="93"/>
      <c r="H464" s="136"/>
      <c r="K464" s="93"/>
      <c r="L464" s="93" t="str">
        <f t="shared" si="13"/>
        <v/>
      </c>
    </row>
    <row r="465" spans="1:12" s="89" customFormat="1">
      <c r="A465" s="89" t="str">
        <f>IF(Registro!B465="","",Registro!B465)</f>
        <v/>
      </c>
      <c r="B465" s="89" t="str">
        <f>IF(Registro!B465="","",Registro!H465)</f>
        <v/>
      </c>
      <c r="C465" s="137" t="str">
        <f>IF(Registro!B465="","",Registro!L465)</f>
        <v/>
      </c>
      <c r="D465" s="89" t="str">
        <f>IF(Registro!B465="","",Registro!M465)</f>
        <v/>
      </c>
      <c r="E465" s="136" t="str">
        <f>IF(A465="","",_xlfn.XLOOKUP(A465,Registro!$B$8:$B$997,Registro!$R$8:$R$997,"N/E",0))</f>
        <v/>
      </c>
      <c r="F465" s="93" t="str">
        <f t="shared" si="14"/>
        <v/>
      </c>
      <c r="G465" s="93"/>
      <c r="H465" s="136"/>
      <c r="K465" s="93"/>
      <c r="L465" s="93" t="str">
        <f t="shared" si="13"/>
        <v/>
      </c>
    </row>
    <row r="466" spans="1:12" s="89" customFormat="1">
      <c r="A466" s="89" t="str">
        <f>IF(Registro!B466="","",Registro!B466)</f>
        <v/>
      </c>
      <c r="B466" s="89" t="str">
        <f>IF(Registro!B466="","",Registro!H466)</f>
        <v/>
      </c>
      <c r="C466" s="137" t="str">
        <f>IF(Registro!B466="","",Registro!L466)</f>
        <v/>
      </c>
      <c r="D466" s="89" t="str">
        <f>IF(Registro!B466="","",Registro!M466)</f>
        <v/>
      </c>
      <c r="E466" s="136" t="str">
        <f>IF(A466="","",_xlfn.XLOOKUP(A466,Registro!$B$8:$B$997,Registro!$R$8:$R$997,"N/E",0))</f>
        <v/>
      </c>
      <c r="F466" s="93" t="str">
        <f t="shared" si="14"/>
        <v/>
      </c>
      <c r="G466" s="93"/>
      <c r="H466" s="136"/>
      <c r="K466" s="93"/>
      <c r="L466" s="93" t="str">
        <f t="shared" ref="L466:L529" si="15">IF(OR(K466="N/A",K466=""),"",NETWORKDAYS(C466,K466))</f>
        <v/>
      </c>
    </row>
    <row r="467" spans="1:12" s="89" customFormat="1">
      <c r="A467" s="89" t="str">
        <f>IF(Registro!B467="","",Registro!B467)</f>
        <v/>
      </c>
      <c r="B467" s="89" t="str">
        <f>IF(Registro!B467="","",Registro!H467)</f>
        <v/>
      </c>
      <c r="C467" s="137" t="str">
        <f>IF(Registro!B467="","",Registro!L467)</f>
        <v/>
      </c>
      <c r="D467" s="89" t="str">
        <f>IF(Registro!B467="","",Registro!M467)</f>
        <v/>
      </c>
      <c r="E467" s="136" t="str">
        <f>IF(A467="","",_xlfn.XLOOKUP(A467,Registro!$B$8:$B$997,Registro!$R$8:$R$997,"N/E",0))</f>
        <v/>
      </c>
      <c r="F467" s="93" t="str">
        <f t="shared" si="14"/>
        <v/>
      </c>
      <c r="G467" s="93"/>
      <c r="H467" s="136"/>
      <c r="K467" s="93"/>
      <c r="L467" s="93" t="str">
        <f t="shared" si="15"/>
        <v/>
      </c>
    </row>
    <row r="468" spans="1:12" s="89" customFormat="1">
      <c r="A468" s="89" t="str">
        <f>IF(Registro!B468="","",Registro!B468)</f>
        <v/>
      </c>
      <c r="B468" s="89" t="str">
        <f>IF(Registro!B468="","",Registro!H468)</f>
        <v/>
      </c>
      <c r="C468" s="137" t="str">
        <f>IF(Registro!B468="","",Registro!L468)</f>
        <v/>
      </c>
      <c r="D468" s="89" t="str">
        <f>IF(Registro!B468="","",Registro!M468)</f>
        <v/>
      </c>
      <c r="E468" s="136" t="str">
        <f>IF(A468="","",_xlfn.XLOOKUP(A468,Registro!$B$8:$B$997,Registro!$R$8:$R$997,"N/E",0))</f>
        <v/>
      </c>
      <c r="F468" s="93" t="str">
        <f t="shared" si="14"/>
        <v/>
      </c>
      <c r="G468" s="93"/>
      <c r="H468" s="136"/>
      <c r="K468" s="93"/>
      <c r="L468" s="93" t="str">
        <f t="shared" si="15"/>
        <v/>
      </c>
    </row>
    <row r="469" spans="1:12" s="89" customFormat="1">
      <c r="A469" s="89" t="str">
        <f>IF(Registro!B469="","",Registro!B469)</f>
        <v/>
      </c>
      <c r="B469" s="89" t="str">
        <f>IF(Registro!B469="","",Registro!H469)</f>
        <v/>
      </c>
      <c r="C469" s="137" t="str">
        <f>IF(Registro!B469="","",Registro!L469)</f>
        <v/>
      </c>
      <c r="D469" s="89" t="str">
        <f>IF(Registro!B469="","",Registro!M469)</f>
        <v/>
      </c>
      <c r="E469" s="136" t="str">
        <f>IF(A469="","",_xlfn.XLOOKUP(A469,Registro!$B$8:$B$997,Registro!$R$8:$R$997,"N/E",0))</f>
        <v/>
      </c>
      <c r="F469" s="93" t="str">
        <f t="shared" si="14"/>
        <v/>
      </c>
      <c r="G469" s="93"/>
      <c r="H469" s="136"/>
      <c r="K469" s="93"/>
      <c r="L469" s="93" t="str">
        <f t="shared" si="15"/>
        <v/>
      </c>
    </row>
    <row r="470" spans="1:12" s="89" customFormat="1">
      <c r="A470" s="89" t="str">
        <f>IF(Registro!B470="","",Registro!B470)</f>
        <v/>
      </c>
      <c r="B470" s="89" t="str">
        <f>IF(Registro!B470="","",Registro!H470)</f>
        <v/>
      </c>
      <c r="C470" s="137" t="str">
        <f>IF(Registro!B470="","",Registro!L470)</f>
        <v/>
      </c>
      <c r="D470" s="89" t="str">
        <f>IF(Registro!B470="","",Registro!M470)</f>
        <v/>
      </c>
      <c r="E470" s="136" t="str">
        <f>IF(A470="","",_xlfn.XLOOKUP(A470,Registro!$B$8:$B$997,Registro!$R$8:$R$997,"N/E",0))</f>
        <v/>
      </c>
      <c r="F470" s="93" t="str">
        <f t="shared" si="14"/>
        <v/>
      </c>
      <c r="G470" s="93"/>
      <c r="H470" s="136"/>
      <c r="K470" s="93"/>
      <c r="L470" s="93" t="str">
        <f t="shared" si="15"/>
        <v/>
      </c>
    </row>
    <row r="471" spans="1:12" s="89" customFormat="1">
      <c r="A471" s="89" t="str">
        <f>IF(Registro!B471="","",Registro!B471)</f>
        <v/>
      </c>
      <c r="B471" s="89" t="str">
        <f>IF(Registro!B471="","",Registro!H471)</f>
        <v/>
      </c>
      <c r="C471" s="137" t="str">
        <f>IF(Registro!B471="","",Registro!L471)</f>
        <v/>
      </c>
      <c r="D471" s="89" t="str">
        <f>IF(Registro!B471="","",Registro!M471)</f>
        <v/>
      </c>
      <c r="E471" s="136" t="str">
        <f>IF(A471="","",_xlfn.XLOOKUP(A471,Registro!$B$8:$B$997,Registro!$R$8:$R$997,"N/E",0))</f>
        <v/>
      </c>
      <c r="F471" s="93" t="str">
        <f t="shared" si="14"/>
        <v/>
      </c>
      <c r="G471" s="93"/>
      <c r="H471" s="136"/>
      <c r="K471" s="93"/>
      <c r="L471" s="93" t="str">
        <f t="shared" si="15"/>
        <v/>
      </c>
    </row>
    <row r="472" spans="1:12" s="89" customFormat="1">
      <c r="A472" s="89" t="str">
        <f>IF(Registro!B472="","",Registro!B472)</f>
        <v/>
      </c>
      <c r="B472" s="89" t="str">
        <f>IF(Registro!B472="","",Registro!H472)</f>
        <v/>
      </c>
      <c r="C472" s="137" t="str">
        <f>IF(Registro!B472="","",Registro!L472)</f>
        <v/>
      </c>
      <c r="D472" s="89" t="str">
        <f>IF(Registro!B472="","",Registro!M472)</f>
        <v/>
      </c>
      <c r="E472" s="136" t="str">
        <f>IF(A472="","",_xlfn.XLOOKUP(A472,Registro!$B$8:$B$997,Registro!$R$8:$R$997,"N/E",0))</f>
        <v/>
      </c>
      <c r="F472" s="93" t="str">
        <f t="shared" si="14"/>
        <v/>
      </c>
      <c r="G472" s="93"/>
      <c r="H472" s="136"/>
      <c r="K472" s="93"/>
      <c r="L472" s="93" t="str">
        <f t="shared" si="15"/>
        <v/>
      </c>
    </row>
    <row r="473" spans="1:12" s="89" customFormat="1">
      <c r="A473" s="89" t="str">
        <f>IF(Registro!B473="","",Registro!B473)</f>
        <v/>
      </c>
      <c r="B473" s="89" t="str">
        <f>IF(Registro!B473="","",Registro!H473)</f>
        <v/>
      </c>
      <c r="C473" s="137" t="str">
        <f>IF(Registro!B473="","",Registro!L473)</f>
        <v/>
      </c>
      <c r="D473" s="89" t="str">
        <f>IF(Registro!B473="","",Registro!M473)</f>
        <v/>
      </c>
      <c r="E473" s="136" t="str">
        <f>IF(A473="","",_xlfn.XLOOKUP(A473,Registro!$B$8:$B$997,Registro!$R$8:$R$997,"N/E",0))</f>
        <v/>
      </c>
      <c r="F473" s="93" t="str">
        <f t="shared" si="14"/>
        <v/>
      </c>
      <c r="G473" s="93"/>
      <c r="H473" s="136"/>
      <c r="K473" s="93"/>
      <c r="L473" s="93" t="str">
        <f t="shared" si="15"/>
        <v/>
      </c>
    </row>
    <row r="474" spans="1:12" s="89" customFormat="1">
      <c r="A474" s="89" t="str">
        <f>IF(Registro!B474="","",Registro!B474)</f>
        <v/>
      </c>
      <c r="B474" s="89" t="str">
        <f>IF(Registro!B474="","",Registro!H474)</f>
        <v/>
      </c>
      <c r="C474" s="137" t="str">
        <f>IF(Registro!B474="","",Registro!L474)</f>
        <v/>
      </c>
      <c r="D474" s="89" t="str">
        <f>IF(Registro!B474="","",Registro!M474)</f>
        <v/>
      </c>
      <c r="E474" s="136" t="str">
        <f>IF(A474="","",_xlfn.XLOOKUP(A474,Registro!$B$8:$B$997,Registro!$R$8:$R$997,"N/E",0))</f>
        <v/>
      </c>
      <c r="F474" s="93" t="str">
        <f t="shared" si="14"/>
        <v/>
      </c>
      <c r="G474" s="93"/>
      <c r="H474" s="136"/>
      <c r="K474" s="93"/>
      <c r="L474" s="93" t="str">
        <f t="shared" si="15"/>
        <v/>
      </c>
    </row>
    <row r="475" spans="1:12" s="89" customFormat="1">
      <c r="A475" s="89" t="str">
        <f>IF(Registro!B475="","",Registro!B475)</f>
        <v/>
      </c>
      <c r="B475" s="89" t="str">
        <f>IF(Registro!B475="","",Registro!H475)</f>
        <v/>
      </c>
      <c r="C475" s="137" t="str">
        <f>IF(Registro!B475="","",Registro!L475)</f>
        <v/>
      </c>
      <c r="D475" s="89" t="str">
        <f>IF(Registro!B475="","",Registro!M475)</f>
        <v/>
      </c>
      <c r="E475" s="136" t="str">
        <f>IF(A475="","",_xlfn.XLOOKUP(A475,Registro!$B$8:$B$997,Registro!$R$8:$R$997,"N/E",0))</f>
        <v/>
      </c>
      <c r="F475" s="93" t="str">
        <f t="shared" si="14"/>
        <v/>
      </c>
      <c r="G475" s="93"/>
      <c r="H475" s="136"/>
      <c r="K475" s="93"/>
      <c r="L475" s="93" t="str">
        <f t="shared" si="15"/>
        <v/>
      </c>
    </row>
    <row r="476" spans="1:12" s="89" customFormat="1">
      <c r="A476" s="89" t="str">
        <f>IF(Registro!B476="","",Registro!B476)</f>
        <v/>
      </c>
      <c r="B476" s="89" t="str">
        <f>IF(Registro!B476="","",Registro!H476)</f>
        <v/>
      </c>
      <c r="C476" s="137" t="str">
        <f>IF(Registro!B476="","",Registro!L476)</f>
        <v/>
      </c>
      <c r="D476" s="89" t="str">
        <f>IF(Registro!B476="","",Registro!M476)</f>
        <v/>
      </c>
      <c r="E476" s="136" t="str">
        <f>IF(A476="","",_xlfn.XLOOKUP(A476,Registro!$B$8:$B$997,Registro!$R$8:$R$997,"N/E",0))</f>
        <v/>
      </c>
      <c r="F476" s="93" t="str">
        <f t="shared" si="14"/>
        <v/>
      </c>
      <c r="G476" s="93"/>
      <c r="H476" s="136"/>
      <c r="K476" s="93"/>
      <c r="L476" s="93" t="str">
        <f t="shared" si="15"/>
        <v/>
      </c>
    </row>
    <row r="477" spans="1:12" s="89" customFormat="1">
      <c r="A477" s="89" t="str">
        <f>IF(Registro!B477="","",Registro!B477)</f>
        <v/>
      </c>
      <c r="B477" s="89" t="str">
        <f>IF(Registro!B477="","",Registro!H477)</f>
        <v/>
      </c>
      <c r="C477" s="137" t="str">
        <f>IF(Registro!B477="","",Registro!L477)</f>
        <v/>
      </c>
      <c r="D477" s="89" t="str">
        <f>IF(Registro!B477="","",Registro!M477)</f>
        <v/>
      </c>
      <c r="E477" s="136" t="str">
        <f>IF(A477="","",_xlfn.XLOOKUP(A477,Registro!$B$8:$B$997,Registro!$R$8:$R$997,"N/E",0))</f>
        <v/>
      </c>
      <c r="F477" s="93" t="str">
        <f t="shared" si="14"/>
        <v/>
      </c>
      <c r="G477" s="93"/>
      <c r="H477" s="136"/>
      <c r="K477" s="93"/>
      <c r="L477" s="93" t="str">
        <f t="shared" si="15"/>
        <v/>
      </c>
    </row>
    <row r="478" spans="1:12" s="89" customFormat="1">
      <c r="A478" s="89" t="str">
        <f>IF(Registro!B478="","",Registro!B478)</f>
        <v/>
      </c>
      <c r="B478" s="89" t="str">
        <f>IF(Registro!B478="","",Registro!H478)</f>
        <v/>
      </c>
      <c r="C478" s="137" t="str">
        <f>IF(Registro!B478="","",Registro!L478)</f>
        <v/>
      </c>
      <c r="D478" s="89" t="str">
        <f>IF(Registro!B478="","",Registro!M478)</f>
        <v/>
      </c>
      <c r="E478" s="136" t="str">
        <f>IF(A478="","",_xlfn.XLOOKUP(A478,Registro!$B$8:$B$997,Registro!$R$8:$R$997,"N/E",0))</f>
        <v/>
      </c>
      <c r="F478" s="93" t="str">
        <f t="shared" si="14"/>
        <v/>
      </c>
      <c r="G478" s="93"/>
      <c r="H478" s="136"/>
      <c r="K478" s="93"/>
      <c r="L478" s="93" t="str">
        <f t="shared" si="15"/>
        <v/>
      </c>
    </row>
    <row r="479" spans="1:12" s="89" customFormat="1">
      <c r="A479" s="89" t="str">
        <f>IF(Registro!B479="","",Registro!B479)</f>
        <v/>
      </c>
      <c r="B479" s="89" t="str">
        <f>IF(Registro!B479="","",Registro!H479)</f>
        <v/>
      </c>
      <c r="C479" s="137" t="str">
        <f>IF(Registro!B479="","",Registro!L479)</f>
        <v/>
      </c>
      <c r="D479" s="89" t="str">
        <f>IF(Registro!B479="","",Registro!M479)</f>
        <v/>
      </c>
      <c r="E479" s="136" t="str">
        <f>IF(A479="","",_xlfn.XLOOKUP(A479,Registro!$B$8:$B$997,Registro!$R$8:$R$997,"N/E",0))</f>
        <v/>
      </c>
      <c r="F479" s="93" t="str">
        <f t="shared" si="14"/>
        <v/>
      </c>
      <c r="G479" s="93"/>
      <c r="H479" s="136"/>
      <c r="K479" s="93"/>
      <c r="L479" s="93" t="str">
        <f t="shared" si="15"/>
        <v/>
      </c>
    </row>
    <row r="480" spans="1:12" s="89" customFormat="1">
      <c r="A480" s="89" t="str">
        <f>IF(Registro!B480="","",Registro!B480)</f>
        <v/>
      </c>
      <c r="B480" s="89" t="str">
        <f>IF(Registro!B480="","",Registro!H480)</f>
        <v/>
      </c>
      <c r="C480" s="137" t="str">
        <f>IF(Registro!B480="","",Registro!L480)</f>
        <v/>
      </c>
      <c r="D480" s="89" t="str">
        <f>IF(Registro!B480="","",Registro!M480)</f>
        <v/>
      </c>
      <c r="E480" s="136" t="str">
        <f>IF(A480="","",_xlfn.XLOOKUP(A480,Registro!$B$8:$B$997,Registro!$R$8:$R$997,"N/E",0))</f>
        <v/>
      </c>
      <c r="F480" s="93" t="str">
        <f t="shared" si="14"/>
        <v/>
      </c>
      <c r="G480" s="93"/>
      <c r="H480" s="136"/>
      <c r="K480" s="93"/>
      <c r="L480" s="93" t="str">
        <f t="shared" si="15"/>
        <v/>
      </c>
    </row>
    <row r="481" spans="1:12" s="89" customFormat="1">
      <c r="A481" s="89" t="str">
        <f>IF(Registro!B481="","",Registro!B481)</f>
        <v/>
      </c>
      <c r="B481" s="89" t="str">
        <f>IF(Registro!B481="","",Registro!H481)</f>
        <v/>
      </c>
      <c r="C481" s="137" t="str">
        <f>IF(Registro!B481="","",Registro!L481)</f>
        <v/>
      </c>
      <c r="D481" s="89" t="str">
        <f>IF(Registro!B481="","",Registro!M481)</f>
        <v/>
      </c>
      <c r="E481" s="136" t="str">
        <f>IF(A481="","",_xlfn.XLOOKUP(A481,Registro!$B$8:$B$997,Registro!$R$8:$R$997,"N/E",0))</f>
        <v/>
      </c>
      <c r="F481" s="93" t="str">
        <f t="shared" si="14"/>
        <v/>
      </c>
      <c r="G481" s="93"/>
      <c r="H481" s="136"/>
      <c r="K481" s="93"/>
      <c r="L481" s="93" t="str">
        <f t="shared" si="15"/>
        <v/>
      </c>
    </row>
    <row r="482" spans="1:12" s="89" customFormat="1">
      <c r="A482" s="89" t="str">
        <f>IF(Registro!B482="","",Registro!B482)</f>
        <v/>
      </c>
      <c r="B482" s="89" t="str">
        <f>IF(Registro!B482="","",Registro!H482)</f>
        <v/>
      </c>
      <c r="C482" s="137" t="str">
        <f>IF(Registro!B482="","",Registro!L482)</f>
        <v/>
      </c>
      <c r="D482" s="89" t="str">
        <f>IF(Registro!B482="","",Registro!M482)</f>
        <v/>
      </c>
      <c r="E482" s="136" t="str">
        <f>IF(A482="","",_xlfn.XLOOKUP(A482,Registro!$B$8:$B$997,Registro!$R$8:$R$997,"N/E",0))</f>
        <v/>
      </c>
      <c r="F482" s="93" t="str">
        <f t="shared" si="14"/>
        <v/>
      </c>
      <c r="G482" s="93"/>
      <c r="H482" s="136"/>
      <c r="K482" s="93"/>
      <c r="L482" s="93" t="str">
        <f t="shared" si="15"/>
        <v/>
      </c>
    </row>
    <row r="483" spans="1:12" s="89" customFormat="1">
      <c r="A483" s="89" t="str">
        <f>IF(Registro!B483="","",Registro!B483)</f>
        <v/>
      </c>
      <c r="B483" s="89" t="str">
        <f>IF(Registro!B483="","",Registro!H483)</f>
        <v/>
      </c>
      <c r="C483" s="137" t="str">
        <f>IF(Registro!B483="","",Registro!L483)</f>
        <v/>
      </c>
      <c r="D483" s="89" t="str">
        <f>IF(Registro!B483="","",Registro!M483)</f>
        <v/>
      </c>
      <c r="E483" s="136" t="str">
        <f>IF(A483="","",_xlfn.XLOOKUP(A483,Registro!$B$8:$B$997,Registro!$R$8:$R$997,"N/E",0))</f>
        <v/>
      </c>
      <c r="F483" s="93" t="str">
        <f t="shared" si="14"/>
        <v/>
      </c>
      <c r="G483" s="93"/>
      <c r="H483" s="136"/>
      <c r="K483" s="93"/>
      <c r="L483" s="93" t="str">
        <f t="shared" si="15"/>
        <v/>
      </c>
    </row>
    <row r="484" spans="1:12" s="89" customFormat="1">
      <c r="A484" s="89" t="str">
        <f>IF(Registro!B484="","",Registro!B484)</f>
        <v/>
      </c>
      <c r="B484" s="89" t="str">
        <f>IF(Registro!B484="","",Registro!H484)</f>
        <v/>
      </c>
      <c r="C484" s="137" t="str">
        <f>IF(Registro!B484="","",Registro!L484)</f>
        <v/>
      </c>
      <c r="D484" s="89" t="str">
        <f>IF(Registro!B484="","",Registro!M484)</f>
        <v/>
      </c>
      <c r="E484" s="136" t="str">
        <f>IF(A484="","",_xlfn.XLOOKUP(A484,Registro!$B$8:$B$997,Registro!$R$8:$R$997,"N/E",0))</f>
        <v/>
      </c>
      <c r="F484" s="93" t="str">
        <f t="shared" si="14"/>
        <v/>
      </c>
      <c r="G484" s="93"/>
      <c r="H484" s="136"/>
      <c r="K484" s="93"/>
      <c r="L484" s="93" t="str">
        <f t="shared" si="15"/>
        <v/>
      </c>
    </row>
    <row r="485" spans="1:12" s="89" customFormat="1">
      <c r="A485" s="89" t="str">
        <f>IF(Registro!B485="","",Registro!B485)</f>
        <v/>
      </c>
      <c r="B485" s="89" t="str">
        <f>IF(Registro!B485="","",Registro!H485)</f>
        <v/>
      </c>
      <c r="C485" s="137" t="str">
        <f>IF(Registro!B485="","",Registro!L485)</f>
        <v/>
      </c>
      <c r="D485" s="89" t="str">
        <f>IF(Registro!B485="","",Registro!M485)</f>
        <v/>
      </c>
      <c r="E485" s="136" t="str">
        <f>IF(A485="","",_xlfn.XLOOKUP(A485,Registro!$B$8:$B$997,Registro!$R$8:$R$997,"N/E",0))</f>
        <v/>
      </c>
      <c r="F485" s="93" t="str">
        <f t="shared" si="14"/>
        <v/>
      </c>
      <c r="G485" s="93"/>
      <c r="H485" s="136"/>
      <c r="K485" s="93"/>
      <c r="L485" s="93" t="str">
        <f t="shared" si="15"/>
        <v/>
      </c>
    </row>
    <row r="486" spans="1:12" s="89" customFormat="1">
      <c r="A486" s="89" t="str">
        <f>IF(Registro!B486="","",Registro!B486)</f>
        <v/>
      </c>
      <c r="B486" s="89" t="str">
        <f>IF(Registro!B486="","",Registro!H486)</f>
        <v/>
      </c>
      <c r="C486" s="137" t="str">
        <f>IF(Registro!B486="","",Registro!L486)</f>
        <v/>
      </c>
      <c r="D486" s="89" t="str">
        <f>IF(Registro!B486="","",Registro!M486)</f>
        <v/>
      </c>
      <c r="E486" s="136" t="str">
        <f>IF(A486="","",_xlfn.XLOOKUP(A486,Registro!$B$8:$B$997,Registro!$R$8:$R$997,"N/E",0))</f>
        <v/>
      </c>
      <c r="F486" s="93" t="str">
        <f t="shared" si="14"/>
        <v/>
      </c>
      <c r="G486" s="93"/>
      <c r="H486" s="136"/>
      <c r="K486" s="93"/>
      <c r="L486" s="93" t="str">
        <f t="shared" si="15"/>
        <v/>
      </c>
    </row>
    <row r="487" spans="1:12" s="89" customFormat="1">
      <c r="A487" s="89" t="str">
        <f>IF(Registro!B487="","",Registro!B487)</f>
        <v/>
      </c>
      <c r="B487" s="89" t="str">
        <f>IF(Registro!B487="","",Registro!H487)</f>
        <v/>
      </c>
      <c r="C487" s="137" t="str">
        <f>IF(Registro!B487="","",Registro!L487)</f>
        <v/>
      </c>
      <c r="D487" s="89" t="str">
        <f>IF(Registro!B487="","",Registro!M487)</f>
        <v/>
      </c>
      <c r="E487" s="136" t="str">
        <f>IF(A487="","",_xlfn.XLOOKUP(A487,Registro!$B$8:$B$997,Registro!$R$8:$R$997,"N/E",0))</f>
        <v/>
      </c>
      <c r="F487" s="93" t="str">
        <f t="shared" si="14"/>
        <v/>
      </c>
      <c r="G487" s="93"/>
      <c r="H487" s="136"/>
      <c r="K487" s="93"/>
      <c r="L487" s="93" t="str">
        <f t="shared" si="15"/>
        <v/>
      </c>
    </row>
    <row r="488" spans="1:12" s="89" customFormat="1">
      <c r="A488" s="89" t="str">
        <f>IF(Registro!B488="","",Registro!B488)</f>
        <v/>
      </c>
      <c r="B488" s="89" t="str">
        <f>IF(Registro!B488="","",Registro!H488)</f>
        <v/>
      </c>
      <c r="C488" s="137" t="str">
        <f>IF(Registro!B488="","",Registro!L488)</f>
        <v/>
      </c>
      <c r="D488" s="89" t="str">
        <f>IF(Registro!B488="","",Registro!M488)</f>
        <v/>
      </c>
      <c r="E488" s="136" t="str">
        <f>IF(A488="","",_xlfn.XLOOKUP(A488,Registro!$B$8:$B$997,Registro!$R$8:$R$997,"N/E",0))</f>
        <v/>
      </c>
      <c r="F488" s="93" t="str">
        <f t="shared" si="14"/>
        <v/>
      </c>
      <c r="G488" s="93"/>
      <c r="H488" s="136"/>
      <c r="K488" s="93"/>
      <c r="L488" s="93" t="str">
        <f t="shared" si="15"/>
        <v/>
      </c>
    </row>
    <row r="489" spans="1:12" s="89" customFormat="1">
      <c r="A489" s="89" t="str">
        <f>IF(Registro!B489="","",Registro!B489)</f>
        <v/>
      </c>
      <c r="B489" s="89" t="str">
        <f>IF(Registro!B489="","",Registro!H489)</f>
        <v/>
      </c>
      <c r="C489" s="137" t="str">
        <f>IF(Registro!B489="","",Registro!L489)</f>
        <v/>
      </c>
      <c r="D489" s="89" t="str">
        <f>IF(Registro!B489="","",Registro!M489)</f>
        <v/>
      </c>
      <c r="E489" s="136" t="str">
        <f>IF(A489="","",_xlfn.XLOOKUP(A489,Registro!$B$8:$B$997,Registro!$R$8:$R$997,"N/E",0))</f>
        <v/>
      </c>
      <c r="F489" s="93" t="str">
        <f t="shared" si="14"/>
        <v/>
      </c>
      <c r="G489" s="93"/>
      <c r="H489" s="136"/>
      <c r="K489" s="93"/>
      <c r="L489" s="93" t="str">
        <f t="shared" si="15"/>
        <v/>
      </c>
    </row>
    <row r="490" spans="1:12" s="89" customFormat="1">
      <c r="A490" s="89" t="str">
        <f>IF(Registro!B490="","",Registro!B490)</f>
        <v/>
      </c>
      <c r="B490" s="89" t="str">
        <f>IF(Registro!B490="","",Registro!H490)</f>
        <v/>
      </c>
      <c r="C490" s="137" t="str">
        <f>IF(Registro!B490="","",Registro!L490)</f>
        <v/>
      </c>
      <c r="D490" s="89" t="str">
        <f>IF(Registro!B490="","",Registro!M490)</f>
        <v/>
      </c>
      <c r="E490" s="136" t="str">
        <f>IF(A490="","",_xlfn.XLOOKUP(A490,Registro!$B$8:$B$997,Registro!$R$8:$R$997,"N/E",0))</f>
        <v/>
      </c>
      <c r="F490" s="93" t="str">
        <f t="shared" si="14"/>
        <v/>
      </c>
      <c r="G490" s="93"/>
      <c r="H490" s="136"/>
      <c r="K490" s="93"/>
      <c r="L490" s="93" t="str">
        <f t="shared" si="15"/>
        <v/>
      </c>
    </row>
    <row r="491" spans="1:12" s="89" customFormat="1">
      <c r="A491" s="89" t="str">
        <f>IF(Registro!B491="","",Registro!B491)</f>
        <v/>
      </c>
      <c r="B491" s="89" t="str">
        <f>IF(Registro!B491="","",Registro!H491)</f>
        <v/>
      </c>
      <c r="C491" s="137" t="str">
        <f>IF(Registro!B491="","",Registro!L491)</f>
        <v/>
      </c>
      <c r="D491" s="89" t="str">
        <f>IF(Registro!B491="","",Registro!M491)</f>
        <v/>
      </c>
      <c r="E491" s="136" t="str">
        <f>IF(A491="","",_xlfn.XLOOKUP(A491,Registro!$B$8:$B$997,Registro!$R$8:$R$997,"N/E",0))</f>
        <v/>
      </c>
      <c r="F491" s="93" t="str">
        <f t="shared" si="14"/>
        <v/>
      </c>
      <c r="G491" s="93"/>
      <c r="H491" s="136"/>
      <c r="K491" s="93"/>
      <c r="L491" s="93" t="str">
        <f t="shared" si="15"/>
        <v/>
      </c>
    </row>
    <row r="492" spans="1:12" s="89" customFormat="1">
      <c r="A492" s="89" t="str">
        <f>IF(Registro!B492="","",Registro!B492)</f>
        <v/>
      </c>
      <c r="B492" s="89" t="str">
        <f>IF(Registro!B492="","",Registro!H492)</f>
        <v/>
      </c>
      <c r="C492" s="137" t="str">
        <f>IF(Registro!B492="","",Registro!L492)</f>
        <v/>
      </c>
      <c r="D492" s="89" t="str">
        <f>IF(Registro!B492="","",Registro!M492)</f>
        <v/>
      </c>
      <c r="E492" s="136" t="str">
        <f>IF(A492="","",_xlfn.XLOOKUP(A492,Registro!$B$8:$B$997,Registro!$R$8:$R$997,"N/E",0))</f>
        <v/>
      </c>
      <c r="F492" s="93" t="str">
        <f t="shared" si="14"/>
        <v/>
      </c>
      <c r="G492" s="93"/>
      <c r="H492" s="136"/>
      <c r="K492" s="93"/>
      <c r="L492" s="93" t="str">
        <f t="shared" si="15"/>
        <v/>
      </c>
    </row>
    <row r="493" spans="1:12" s="89" customFormat="1">
      <c r="A493" s="89" t="str">
        <f>IF(Registro!B493="","",Registro!B493)</f>
        <v/>
      </c>
      <c r="B493" s="89" t="str">
        <f>IF(Registro!B493="","",Registro!H493)</f>
        <v/>
      </c>
      <c r="C493" s="137" t="str">
        <f>IF(Registro!B493="","",Registro!L493)</f>
        <v/>
      </c>
      <c r="D493" s="89" t="str">
        <f>IF(Registro!B493="","",Registro!M493)</f>
        <v/>
      </c>
      <c r="E493" s="136" t="str">
        <f>IF(A493="","",_xlfn.XLOOKUP(A493,Registro!$B$8:$B$997,Registro!$R$8:$R$997,"N/E",0))</f>
        <v/>
      </c>
      <c r="F493" s="93" t="str">
        <f t="shared" si="14"/>
        <v/>
      </c>
      <c r="G493" s="93"/>
      <c r="H493" s="136"/>
      <c r="K493" s="93"/>
      <c r="L493" s="93" t="str">
        <f t="shared" si="15"/>
        <v/>
      </c>
    </row>
    <row r="494" spans="1:12" s="89" customFormat="1">
      <c r="A494" s="89" t="str">
        <f>IF(Registro!B494="","",Registro!B494)</f>
        <v/>
      </c>
      <c r="B494" s="89" t="str">
        <f>IF(Registro!B494="","",Registro!H494)</f>
        <v/>
      </c>
      <c r="C494" s="137" t="str">
        <f>IF(Registro!B494="","",Registro!L494)</f>
        <v/>
      </c>
      <c r="D494" s="89" t="str">
        <f>IF(Registro!B494="","",Registro!M494)</f>
        <v/>
      </c>
      <c r="E494" s="136" t="str">
        <f>IF(A494="","",_xlfn.XLOOKUP(A494,Registro!$B$8:$B$997,Registro!$R$8:$R$997,"N/E",0))</f>
        <v/>
      </c>
      <c r="F494" s="93" t="str">
        <f t="shared" si="14"/>
        <v/>
      </c>
      <c r="G494" s="93"/>
      <c r="H494" s="136"/>
      <c r="K494" s="93"/>
      <c r="L494" s="93" t="str">
        <f t="shared" si="15"/>
        <v/>
      </c>
    </row>
    <row r="495" spans="1:12" s="89" customFormat="1">
      <c r="A495" s="89" t="str">
        <f>IF(Registro!B495="","",Registro!B495)</f>
        <v/>
      </c>
      <c r="B495" s="89" t="str">
        <f>IF(Registro!B495="","",Registro!H495)</f>
        <v/>
      </c>
      <c r="C495" s="137" t="str">
        <f>IF(Registro!B495="","",Registro!L495)</f>
        <v/>
      </c>
      <c r="D495" s="89" t="str">
        <f>IF(Registro!B495="","",Registro!M495)</f>
        <v/>
      </c>
      <c r="E495" s="136" t="str">
        <f>IF(A495="","",_xlfn.XLOOKUP(A495,Registro!$B$8:$B$997,Registro!$R$8:$R$997,"N/E",0))</f>
        <v/>
      </c>
      <c r="F495" s="93" t="str">
        <f t="shared" si="14"/>
        <v/>
      </c>
      <c r="G495" s="93"/>
      <c r="H495" s="136"/>
      <c r="K495" s="93"/>
      <c r="L495" s="93" t="str">
        <f t="shared" si="15"/>
        <v/>
      </c>
    </row>
    <row r="496" spans="1:12" s="89" customFormat="1">
      <c r="A496" s="89" t="str">
        <f>IF(Registro!B496="","",Registro!B496)</f>
        <v/>
      </c>
      <c r="B496" s="89" t="str">
        <f>IF(Registro!B496="","",Registro!H496)</f>
        <v/>
      </c>
      <c r="C496" s="137" t="str">
        <f>IF(Registro!B496="","",Registro!L496)</f>
        <v/>
      </c>
      <c r="D496" s="89" t="str">
        <f>IF(Registro!B496="","",Registro!M496)</f>
        <v/>
      </c>
      <c r="E496" s="136" t="str">
        <f>IF(A496="","",_xlfn.XLOOKUP(A496,Registro!$B$8:$B$997,Registro!$R$8:$R$997,"N/E",0))</f>
        <v/>
      </c>
      <c r="F496" s="93" t="str">
        <f t="shared" si="14"/>
        <v/>
      </c>
      <c r="G496" s="93"/>
      <c r="H496" s="136"/>
      <c r="K496" s="93"/>
      <c r="L496" s="93" t="str">
        <f t="shared" si="15"/>
        <v/>
      </c>
    </row>
    <row r="497" spans="1:12" s="89" customFormat="1">
      <c r="A497" s="89" t="str">
        <f>IF(Registro!B497="","",Registro!B497)</f>
        <v/>
      </c>
      <c r="B497" s="89" t="str">
        <f>IF(Registro!B497="","",Registro!H497)</f>
        <v/>
      </c>
      <c r="C497" s="137" t="str">
        <f>IF(Registro!B497="","",Registro!L497)</f>
        <v/>
      </c>
      <c r="D497" s="89" t="str">
        <f>IF(Registro!B497="","",Registro!M497)</f>
        <v/>
      </c>
      <c r="E497" s="136" t="str">
        <f>IF(A497="","",_xlfn.XLOOKUP(A497,Registro!$B$8:$B$997,Registro!$R$8:$R$997,"N/E",0))</f>
        <v/>
      </c>
      <c r="F497" s="93" t="str">
        <f t="shared" si="14"/>
        <v/>
      </c>
      <c r="G497" s="93"/>
      <c r="H497" s="136"/>
      <c r="K497" s="93"/>
      <c r="L497" s="93" t="str">
        <f t="shared" si="15"/>
        <v/>
      </c>
    </row>
    <row r="498" spans="1:12" s="89" customFormat="1">
      <c r="A498" s="89" t="str">
        <f>IF(Registro!B498="","",Registro!B498)</f>
        <v/>
      </c>
      <c r="B498" s="89" t="str">
        <f>IF(Registro!B498="","",Registro!H498)</f>
        <v/>
      </c>
      <c r="C498" s="137" t="str">
        <f>IF(Registro!B498="","",Registro!L498)</f>
        <v/>
      </c>
      <c r="D498" s="89" t="str">
        <f>IF(Registro!B498="","",Registro!M498)</f>
        <v/>
      </c>
      <c r="E498" s="136" t="str">
        <f>IF(A498="","",_xlfn.XLOOKUP(A498,Registro!$B$8:$B$997,Registro!$R$8:$R$997,"N/E",0))</f>
        <v/>
      </c>
      <c r="F498" s="93" t="str">
        <f t="shared" si="14"/>
        <v/>
      </c>
      <c r="G498" s="93"/>
      <c r="H498" s="136"/>
      <c r="K498" s="93"/>
      <c r="L498" s="93" t="str">
        <f t="shared" si="15"/>
        <v/>
      </c>
    </row>
    <row r="499" spans="1:12" s="89" customFormat="1">
      <c r="A499" s="89" t="str">
        <f>IF(Registro!B499="","",Registro!B499)</f>
        <v/>
      </c>
      <c r="B499" s="89" t="str">
        <f>IF(Registro!B499="","",Registro!H499)</f>
        <v/>
      </c>
      <c r="C499" s="137" t="str">
        <f>IF(Registro!B499="","",Registro!L499)</f>
        <v/>
      </c>
      <c r="D499" s="89" t="str">
        <f>IF(Registro!B499="","",Registro!M499)</f>
        <v/>
      </c>
      <c r="E499" s="136" t="str">
        <f>IF(A499="","",_xlfn.XLOOKUP(A499,Registro!$B$8:$B$997,Registro!$R$8:$R$997,"N/E",0))</f>
        <v/>
      </c>
      <c r="F499" s="93" t="str">
        <f t="shared" si="14"/>
        <v/>
      </c>
      <c r="G499" s="93"/>
      <c r="H499" s="136"/>
      <c r="K499" s="93"/>
      <c r="L499" s="93" t="str">
        <f t="shared" si="15"/>
        <v/>
      </c>
    </row>
    <row r="500" spans="1:12" s="89" customFormat="1">
      <c r="A500" s="89" t="str">
        <f>IF(Registro!B500="","",Registro!B500)</f>
        <v/>
      </c>
      <c r="B500" s="89" t="str">
        <f>IF(Registro!B500="","",Registro!H500)</f>
        <v/>
      </c>
      <c r="C500" s="137" t="str">
        <f>IF(Registro!B500="","",Registro!L500)</f>
        <v/>
      </c>
      <c r="D500" s="89" t="str">
        <f>IF(Registro!B500="","",Registro!M500)</f>
        <v/>
      </c>
      <c r="E500" s="136" t="str">
        <f>IF(A500="","",_xlfn.XLOOKUP(A500,Registro!$B$8:$B$997,Registro!$R$8:$R$997,"N/E",0))</f>
        <v/>
      </c>
      <c r="F500" s="93" t="str">
        <f t="shared" si="14"/>
        <v/>
      </c>
      <c r="G500" s="93"/>
      <c r="H500" s="136"/>
      <c r="K500" s="93"/>
      <c r="L500" s="93" t="str">
        <f t="shared" si="15"/>
        <v/>
      </c>
    </row>
    <row r="501" spans="1:12" s="89" customFormat="1">
      <c r="A501" s="89" t="str">
        <f>IF(Registro!B501="","",Registro!B501)</f>
        <v/>
      </c>
      <c r="B501" s="89" t="str">
        <f>IF(Registro!B501="","",Registro!H501)</f>
        <v/>
      </c>
      <c r="C501" s="137" t="str">
        <f>IF(Registro!B501="","",Registro!L501)</f>
        <v/>
      </c>
      <c r="D501" s="89" t="str">
        <f>IF(Registro!B501="","",Registro!M501)</f>
        <v/>
      </c>
      <c r="E501" s="136" t="str">
        <f>IF(A501="","",_xlfn.XLOOKUP(A501,Registro!$B$8:$B$997,Registro!$R$8:$R$997,"N/E",0))</f>
        <v/>
      </c>
      <c r="F501" s="93" t="str">
        <f t="shared" si="14"/>
        <v/>
      </c>
      <c r="G501" s="93"/>
      <c r="H501" s="136"/>
      <c r="K501" s="93"/>
      <c r="L501" s="93" t="str">
        <f t="shared" si="15"/>
        <v/>
      </c>
    </row>
    <row r="502" spans="1:12" s="89" customFormat="1">
      <c r="A502" s="89" t="str">
        <f>IF(Registro!B502="","",Registro!B502)</f>
        <v/>
      </c>
      <c r="B502" s="89" t="str">
        <f>IF(Registro!B502="","",Registro!H502)</f>
        <v/>
      </c>
      <c r="C502" s="137" t="str">
        <f>IF(Registro!B502="","",Registro!L502)</f>
        <v/>
      </c>
      <c r="D502" s="89" t="str">
        <f>IF(Registro!B502="","",Registro!M502)</f>
        <v/>
      </c>
      <c r="E502" s="136" t="str">
        <f>IF(A502="","",_xlfn.XLOOKUP(A502,Registro!$B$8:$B$997,Registro!$R$8:$R$997,"N/E",0))</f>
        <v/>
      </c>
      <c r="F502" s="93" t="str">
        <f t="shared" si="14"/>
        <v/>
      </c>
      <c r="G502" s="93"/>
      <c r="H502" s="136"/>
      <c r="K502" s="93"/>
      <c r="L502" s="93" t="str">
        <f t="shared" si="15"/>
        <v/>
      </c>
    </row>
    <row r="503" spans="1:12" s="89" customFormat="1">
      <c r="A503" s="89" t="str">
        <f>IF(Registro!B503="","",Registro!B503)</f>
        <v/>
      </c>
      <c r="B503" s="89" t="str">
        <f>IF(Registro!B503="","",Registro!H503)</f>
        <v/>
      </c>
      <c r="C503" s="137" t="str">
        <f>IF(Registro!B503="","",Registro!L503)</f>
        <v/>
      </c>
      <c r="D503" s="89" t="str">
        <f>IF(Registro!B503="","",Registro!M503)</f>
        <v/>
      </c>
      <c r="E503" s="136" t="str">
        <f>IF(A503="","",_xlfn.XLOOKUP(A503,Registro!$B$8:$B$997,Registro!$R$8:$R$997,"N/E",0))</f>
        <v/>
      </c>
      <c r="F503" s="93" t="str">
        <f t="shared" si="14"/>
        <v/>
      </c>
      <c r="G503" s="93"/>
      <c r="H503" s="136"/>
      <c r="K503" s="93"/>
      <c r="L503" s="93" t="str">
        <f t="shared" si="15"/>
        <v/>
      </c>
    </row>
    <row r="504" spans="1:12" s="89" customFormat="1">
      <c r="A504" s="89" t="str">
        <f>IF(Registro!B504="","",Registro!B504)</f>
        <v/>
      </c>
      <c r="B504" s="89" t="str">
        <f>IF(Registro!B504="","",Registro!H504)</f>
        <v/>
      </c>
      <c r="C504" s="137" t="str">
        <f>IF(Registro!B504="","",Registro!L504)</f>
        <v/>
      </c>
      <c r="D504" s="89" t="str">
        <f>IF(Registro!B504="","",Registro!M504)</f>
        <v/>
      </c>
      <c r="E504" s="136" t="str">
        <f>IF(A504="","",_xlfn.XLOOKUP(A504,Registro!$B$8:$B$997,Registro!$R$8:$R$997,"N/E",0))</f>
        <v/>
      </c>
      <c r="F504" s="93" t="str">
        <f t="shared" si="14"/>
        <v/>
      </c>
      <c r="G504" s="93"/>
      <c r="H504" s="136"/>
      <c r="K504" s="93"/>
      <c r="L504" s="93" t="str">
        <f t="shared" si="15"/>
        <v/>
      </c>
    </row>
    <row r="505" spans="1:12" s="89" customFormat="1">
      <c r="A505" s="89" t="str">
        <f>IF(Registro!B505="","",Registro!B505)</f>
        <v/>
      </c>
      <c r="B505" s="89" t="str">
        <f>IF(Registro!B505="","",Registro!H505)</f>
        <v/>
      </c>
      <c r="C505" s="137" t="str">
        <f>IF(Registro!B505="","",Registro!L505)</f>
        <v/>
      </c>
      <c r="D505" s="89" t="str">
        <f>IF(Registro!B505="","",Registro!M505)</f>
        <v/>
      </c>
      <c r="E505" s="136" t="str">
        <f>IF(A505="","",_xlfn.XLOOKUP(A505,Registro!$B$8:$B$997,Registro!$R$8:$R$997,"N/E",0))</f>
        <v/>
      </c>
      <c r="F505" s="93" t="str">
        <f t="shared" si="14"/>
        <v/>
      </c>
      <c r="G505" s="93"/>
      <c r="H505" s="136"/>
      <c r="K505" s="93"/>
      <c r="L505" s="93" t="str">
        <f t="shared" si="15"/>
        <v/>
      </c>
    </row>
    <row r="506" spans="1:12" s="89" customFormat="1">
      <c r="A506" s="89" t="str">
        <f>IF(Registro!B506="","",Registro!B506)</f>
        <v/>
      </c>
      <c r="B506" s="89" t="str">
        <f>IF(Registro!B506="","",Registro!H506)</f>
        <v/>
      </c>
      <c r="C506" s="137" t="str">
        <f>IF(Registro!B506="","",Registro!L506)</f>
        <v/>
      </c>
      <c r="D506" s="89" t="str">
        <f>IF(Registro!B506="","",Registro!M506)</f>
        <v/>
      </c>
      <c r="E506" s="136" t="str">
        <f>IF(A506="","",_xlfn.XLOOKUP(A506,Registro!$B$8:$B$997,Registro!$R$8:$R$997,"N/E",0))</f>
        <v/>
      </c>
      <c r="F506" s="93" t="str">
        <f t="shared" si="14"/>
        <v/>
      </c>
      <c r="G506" s="93"/>
      <c r="H506" s="136"/>
      <c r="K506" s="93"/>
      <c r="L506" s="93" t="str">
        <f t="shared" si="15"/>
        <v/>
      </c>
    </row>
    <row r="507" spans="1:12" s="89" customFormat="1">
      <c r="A507" s="89" t="str">
        <f>IF(Registro!B507="","",Registro!B507)</f>
        <v/>
      </c>
      <c r="B507" s="89" t="str">
        <f>IF(Registro!B507="","",Registro!H507)</f>
        <v/>
      </c>
      <c r="C507" s="137" t="str">
        <f>IF(Registro!B507="","",Registro!L507)</f>
        <v/>
      </c>
      <c r="D507" s="89" t="str">
        <f>IF(Registro!B507="","",Registro!M507)</f>
        <v/>
      </c>
      <c r="E507" s="136" t="str">
        <f>IF(A507="","",_xlfn.XLOOKUP(A507,Registro!$B$8:$B$997,Registro!$R$8:$R$997,"N/E",0))</f>
        <v/>
      </c>
      <c r="F507" s="93" t="str">
        <f t="shared" si="14"/>
        <v/>
      </c>
      <c r="G507" s="93"/>
      <c r="H507" s="136"/>
      <c r="K507" s="93"/>
      <c r="L507" s="93" t="str">
        <f t="shared" si="15"/>
        <v/>
      </c>
    </row>
    <row r="508" spans="1:12" s="89" customFormat="1">
      <c r="A508" s="89" t="str">
        <f>IF(Registro!B508="","",Registro!B508)</f>
        <v/>
      </c>
      <c r="B508" s="89" t="str">
        <f>IF(Registro!B508="","",Registro!H508)</f>
        <v/>
      </c>
      <c r="C508" s="137" t="str">
        <f>IF(Registro!B508="","",Registro!L508)</f>
        <v/>
      </c>
      <c r="D508" s="89" t="str">
        <f>IF(Registro!B508="","",Registro!M508)</f>
        <v/>
      </c>
      <c r="E508" s="136" t="str">
        <f>IF(A508="","",_xlfn.XLOOKUP(A508,Registro!$B$8:$B$997,Registro!$R$8:$R$997,"N/E",0))</f>
        <v/>
      </c>
      <c r="F508" s="93" t="str">
        <f t="shared" si="14"/>
        <v/>
      </c>
      <c r="G508" s="93"/>
      <c r="H508" s="136"/>
      <c r="K508" s="93"/>
      <c r="L508" s="93" t="str">
        <f t="shared" si="15"/>
        <v/>
      </c>
    </row>
    <row r="509" spans="1:12" s="89" customFormat="1">
      <c r="A509" s="89" t="str">
        <f>IF(Registro!B509="","",Registro!B509)</f>
        <v/>
      </c>
      <c r="B509" s="89" t="str">
        <f>IF(Registro!B509="","",Registro!H509)</f>
        <v/>
      </c>
      <c r="C509" s="137" t="str">
        <f>IF(Registro!B509="","",Registro!L509)</f>
        <v/>
      </c>
      <c r="D509" s="89" t="str">
        <f>IF(Registro!B509="","",Registro!M509)</f>
        <v/>
      </c>
      <c r="E509" s="136" t="str">
        <f>IF(A509="","",_xlfn.XLOOKUP(A509,Registro!$B$8:$B$997,Registro!$R$8:$R$997,"N/E",0))</f>
        <v/>
      </c>
      <c r="F509" s="93" t="str">
        <f t="shared" si="14"/>
        <v/>
      </c>
      <c r="G509" s="93"/>
      <c r="H509" s="136"/>
      <c r="K509" s="93"/>
      <c r="L509" s="93" t="str">
        <f t="shared" si="15"/>
        <v/>
      </c>
    </row>
    <row r="510" spans="1:12" s="89" customFormat="1">
      <c r="A510" s="89" t="str">
        <f>IF(Registro!B510="","",Registro!B510)</f>
        <v/>
      </c>
      <c r="B510" s="89" t="str">
        <f>IF(Registro!B510="","",Registro!H510)</f>
        <v/>
      </c>
      <c r="C510" s="137" t="str">
        <f>IF(Registro!B510="","",Registro!L510)</f>
        <v/>
      </c>
      <c r="D510" s="89" t="str">
        <f>IF(Registro!B510="","",Registro!M510)</f>
        <v/>
      </c>
      <c r="E510" s="136" t="str">
        <f>IF(A510="","",_xlfn.XLOOKUP(A510,Registro!$B$8:$B$997,Registro!$R$8:$R$997,"N/E",0))</f>
        <v/>
      </c>
      <c r="F510" s="93" t="str">
        <f t="shared" si="14"/>
        <v/>
      </c>
      <c r="G510" s="93"/>
      <c r="H510" s="136"/>
      <c r="K510" s="93"/>
      <c r="L510" s="93" t="str">
        <f t="shared" si="15"/>
        <v/>
      </c>
    </row>
    <row r="511" spans="1:12" s="89" customFormat="1">
      <c r="A511" s="89" t="str">
        <f>IF(Registro!B511="","",Registro!B511)</f>
        <v/>
      </c>
      <c r="B511" s="89" t="str">
        <f>IF(Registro!B511="","",Registro!H511)</f>
        <v/>
      </c>
      <c r="C511" s="137" t="str">
        <f>IF(Registro!B511="","",Registro!L511)</f>
        <v/>
      </c>
      <c r="D511" s="89" t="str">
        <f>IF(Registro!B511="","",Registro!M511)</f>
        <v/>
      </c>
      <c r="E511" s="136" t="str">
        <f>IF(A511="","",_xlfn.XLOOKUP(A511,Registro!$B$8:$B$997,Registro!$R$8:$R$997,"N/E",0))</f>
        <v/>
      </c>
      <c r="F511" s="93" t="str">
        <f t="shared" si="14"/>
        <v/>
      </c>
      <c r="G511" s="93"/>
      <c r="H511" s="136"/>
      <c r="K511" s="93"/>
      <c r="L511" s="93" t="str">
        <f t="shared" si="15"/>
        <v/>
      </c>
    </row>
    <row r="512" spans="1:12" s="89" customFormat="1">
      <c r="A512" s="89" t="str">
        <f>IF(Registro!B512="","",Registro!B512)</f>
        <v/>
      </c>
      <c r="B512" s="89" t="str">
        <f>IF(Registro!B512="","",Registro!H512)</f>
        <v/>
      </c>
      <c r="C512" s="137" t="str">
        <f>IF(Registro!B512="","",Registro!L512)</f>
        <v/>
      </c>
      <c r="D512" s="89" t="str">
        <f>IF(Registro!B512="","",Registro!M512)</f>
        <v/>
      </c>
      <c r="E512" s="136" t="str">
        <f>IF(A512="","",_xlfn.XLOOKUP(A512,Registro!$B$8:$B$997,Registro!$R$8:$R$997,"N/E",0))</f>
        <v/>
      </c>
      <c r="F512" s="93" t="str">
        <f t="shared" si="14"/>
        <v/>
      </c>
      <c r="G512" s="93"/>
      <c r="H512" s="136"/>
      <c r="K512" s="93"/>
      <c r="L512" s="93" t="str">
        <f t="shared" si="15"/>
        <v/>
      </c>
    </row>
    <row r="513" spans="1:12" s="89" customFormat="1">
      <c r="A513" s="89" t="str">
        <f>IF(Registro!B513="","",Registro!B513)</f>
        <v/>
      </c>
      <c r="B513" s="89" t="str">
        <f>IF(Registro!B513="","",Registro!H513)</f>
        <v/>
      </c>
      <c r="C513" s="137" t="str">
        <f>IF(Registro!B513="","",Registro!L513)</f>
        <v/>
      </c>
      <c r="D513" s="89" t="str">
        <f>IF(Registro!B513="","",Registro!M513)</f>
        <v/>
      </c>
      <c r="E513" s="136" t="str">
        <f>IF(A513="","",_xlfn.XLOOKUP(A513,Registro!$B$8:$B$997,Registro!$R$8:$R$997,"N/E",0))</f>
        <v/>
      </c>
      <c r="F513" s="93" t="str">
        <f t="shared" si="14"/>
        <v/>
      </c>
      <c r="G513" s="93"/>
      <c r="H513" s="136"/>
      <c r="K513" s="93"/>
      <c r="L513" s="93" t="str">
        <f t="shared" si="15"/>
        <v/>
      </c>
    </row>
    <row r="514" spans="1:12" s="89" customFormat="1">
      <c r="A514" s="89" t="str">
        <f>IF(Registro!B514="","",Registro!B514)</f>
        <v/>
      </c>
      <c r="B514" s="89" t="str">
        <f>IF(Registro!B514="","",Registro!H514)</f>
        <v/>
      </c>
      <c r="C514" s="137" t="str">
        <f>IF(Registro!B514="","",Registro!L514)</f>
        <v/>
      </c>
      <c r="D514" s="89" t="str">
        <f>IF(Registro!B514="","",Registro!M514)</f>
        <v/>
      </c>
      <c r="E514" s="136" t="str">
        <f>IF(A514="","",_xlfn.XLOOKUP(A514,Registro!$B$8:$B$997,Registro!$R$8:$R$997,"N/E",0))</f>
        <v/>
      </c>
      <c r="F514" s="93" t="str">
        <f t="shared" si="14"/>
        <v/>
      </c>
      <c r="G514" s="93"/>
      <c r="H514" s="136"/>
      <c r="K514" s="93"/>
      <c r="L514" s="93" t="str">
        <f t="shared" si="15"/>
        <v/>
      </c>
    </row>
    <row r="515" spans="1:12" s="89" customFormat="1">
      <c r="A515" s="89" t="str">
        <f>IF(Registro!B515="","",Registro!B515)</f>
        <v/>
      </c>
      <c r="B515" s="89" t="str">
        <f>IF(Registro!B515="","",Registro!H515)</f>
        <v/>
      </c>
      <c r="C515" s="137" t="str">
        <f>IF(Registro!B515="","",Registro!L515)</f>
        <v/>
      </c>
      <c r="D515" s="89" t="str">
        <f>IF(Registro!B515="","",Registro!M515)</f>
        <v/>
      </c>
      <c r="E515" s="136" t="str">
        <f>IF(A515="","",_xlfn.XLOOKUP(A515,Registro!$B$8:$B$997,Registro!$R$8:$R$997,"N/E",0))</f>
        <v/>
      </c>
      <c r="F515" s="93" t="str">
        <f t="shared" si="14"/>
        <v/>
      </c>
      <c r="G515" s="93"/>
      <c r="H515" s="136"/>
      <c r="K515" s="93"/>
      <c r="L515" s="93" t="str">
        <f t="shared" si="15"/>
        <v/>
      </c>
    </row>
    <row r="516" spans="1:12" s="89" customFormat="1">
      <c r="A516" s="89" t="str">
        <f>IF(Registro!B516="","",Registro!B516)</f>
        <v/>
      </c>
      <c r="B516" s="89" t="str">
        <f>IF(Registro!B516="","",Registro!H516)</f>
        <v/>
      </c>
      <c r="C516" s="137" t="str">
        <f>IF(Registro!B516="","",Registro!L516)</f>
        <v/>
      </c>
      <c r="D516" s="89" t="str">
        <f>IF(Registro!B516="","",Registro!M516)</f>
        <v/>
      </c>
      <c r="E516" s="136" t="str">
        <f>IF(A516="","",_xlfn.XLOOKUP(A516,Registro!$B$8:$B$997,Registro!$R$8:$R$997,"N/E",0))</f>
        <v/>
      </c>
      <c r="F516" s="93" t="str">
        <f t="shared" si="14"/>
        <v/>
      </c>
      <c r="G516" s="93"/>
      <c r="H516" s="136"/>
      <c r="K516" s="93"/>
      <c r="L516" s="93" t="str">
        <f t="shared" si="15"/>
        <v/>
      </c>
    </row>
    <row r="517" spans="1:12" s="89" customFormat="1">
      <c r="A517" s="89" t="str">
        <f>IF(Registro!B517="","",Registro!B517)</f>
        <v/>
      </c>
      <c r="B517" s="89" t="str">
        <f>IF(Registro!B517="","",Registro!H517)</f>
        <v/>
      </c>
      <c r="C517" s="137" t="str">
        <f>IF(Registro!B517="","",Registro!L517)</f>
        <v/>
      </c>
      <c r="D517" s="89" t="str">
        <f>IF(Registro!B517="","",Registro!M517)</f>
        <v/>
      </c>
      <c r="E517" s="136" t="str">
        <f>IF(A517="","",_xlfn.XLOOKUP(A517,Registro!$B$8:$B$997,Registro!$R$8:$R$997,"N/E",0))</f>
        <v/>
      </c>
      <c r="F517" s="93" t="str">
        <f t="shared" si="14"/>
        <v/>
      </c>
      <c r="G517" s="93"/>
      <c r="H517" s="136"/>
      <c r="K517" s="93"/>
      <c r="L517" s="93" t="str">
        <f t="shared" si="15"/>
        <v/>
      </c>
    </row>
    <row r="518" spans="1:12" s="89" customFormat="1">
      <c r="A518" s="89" t="str">
        <f>IF(Registro!B518="","",Registro!B518)</f>
        <v/>
      </c>
      <c r="B518" s="89" t="str">
        <f>IF(Registro!B518="","",Registro!H518)</f>
        <v/>
      </c>
      <c r="C518" s="137" t="str">
        <f>IF(Registro!B518="","",Registro!L518)</f>
        <v/>
      </c>
      <c r="D518" s="89" t="str">
        <f>IF(Registro!B518="","",Registro!M518)</f>
        <v/>
      </c>
      <c r="E518" s="136" t="str">
        <f>IF(A518="","",_xlfn.XLOOKUP(A518,Registro!$B$8:$B$997,Registro!$R$8:$R$997,"N/E",0))</f>
        <v/>
      </c>
      <c r="F518" s="93" t="str">
        <f t="shared" si="14"/>
        <v/>
      </c>
      <c r="G518" s="93"/>
      <c r="H518" s="136"/>
      <c r="K518" s="93"/>
      <c r="L518" s="93" t="str">
        <f t="shared" si="15"/>
        <v/>
      </c>
    </row>
    <row r="519" spans="1:12" s="89" customFormat="1">
      <c r="A519" s="89" t="str">
        <f>IF(Registro!B519="","",Registro!B519)</f>
        <v/>
      </c>
      <c r="B519" s="89" t="str">
        <f>IF(Registro!B519="","",Registro!H519)</f>
        <v/>
      </c>
      <c r="C519" s="137" t="str">
        <f>IF(Registro!B519="","",Registro!L519)</f>
        <v/>
      </c>
      <c r="D519" s="89" t="str">
        <f>IF(Registro!B519="","",Registro!M519)</f>
        <v/>
      </c>
      <c r="E519" s="136" t="str">
        <f>IF(A519="","",_xlfn.XLOOKUP(A519,Registro!$B$8:$B$997,Registro!$R$8:$R$997,"N/E",0))</f>
        <v/>
      </c>
      <c r="F519" s="93" t="str">
        <f t="shared" si="14"/>
        <v/>
      </c>
      <c r="G519" s="93"/>
      <c r="H519" s="136"/>
      <c r="K519" s="93"/>
      <c r="L519" s="93" t="str">
        <f t="shared" si="15"/>
        <v/>
      </c>
    </row>
    <row r="520" spans="1:12" s="89" customFormat="1">
      <c r="A520" s="89" t="str">
        <f>IF(Registro!B520="","",Registro!B520)</f>
        <v/>
      </c>
      <c r="B520" s="89" t="str">
        <f>IF(Registro!B520="","",Registro!H520)</f>
        <v/>
      </c>
      <c r="C520" s="137" t="str">
        <f>IF(Registro!B520="","",Registro!L520)</f>
        <v/>
      </c>
      <c r="D520" s="89" t="str">
        <f>IF(Registro!B520="","",Registro!M520)</f>
        <v/>
      </c>
      <c r="E520" s="136" t="str">
        <f>IF(A520="","",_xlfn.XLOOKUP(A520,Registro!$B$8:$B$997,Registro!$R$8:$R$997,"N/E",0))</f>
        <v/>
      </c>
      <c r="F520" s="93" t="str">
        <f t="shared" ref="F520:F583" si="16">IF(A520="","",NETWORKDAYS.INTL(C520,E520,1))</f>
        <v/>
      </c>
      <c r="G520" s="93"/>
      <c r="H520" s="136"/>
      <c r="K520" s="93"/>
      <c r="L520" s="93" t="str">
        <f t="shared" si="15"/>
        <v/>
      </c>
    </row>
    <row r="521" spans="1:12" s="89" customFormat="1">
      <c r="A521" s="89" t="str">
        <f>IF(Registro!B521="","",Registro!B521)</f>
        <v/>
      </c>
      <c r="B521" s="89" t="str">
        <f>IF(Registro!B521="","",Registro!H521)</f>
        <v/>
      </c>
      <c r="C521" s="137" t="str">
        <f>IF(Registro!B521="","",Registro!L521)</f>
        <v/>
      </c>
      <c r="D521" s="89" t="str">
        <f>IF(Registro!B521="","",Registro!M521)</f>
        <v/>
      </c>
      <c r="E521" s="136" t="str">
        <f>IF(A521="","",_xlfn.XLOOKUP(A521,Registro!$B$8:$B$997,Registro!$R$8:$R$997,"N/E",0))</f>
        <v/>
      </c>
      <c r="F521" s="93" t="str">
        <f t="shared" si="16"/>
        <v/>
      </c>
      <c r="G521" s="93"/>
      <c r="H521" s="136"/>
      <c r="K521" s="93"/>
      <c r="L521" s="93" t="str">
        <f t="shared" si="15"/>
        <v/>
      </c>
    </row>
    <row r="522" spans="1:12" s="89" customFormat="1">
      <c r="A522" s="89" t="str">
        <f>IF(Registro!B522="","",Registro!B522)</f>
        <v/>
      </c>
      <c r="B522" s="89" t="str">
        <f>IF(Registro!B522="","",Registro!H522)</f>
        <v/>
      </c>
      <c r="C522" s="137" t="str">
        <f>IF(Registro!B522="","",Registro!L522)</f>
        <v/>
      </c>
      <c r="D522" s="89" t="str">
        <f>IF(Registro!B522="","",Registro!M522)</f>
        <v/>
      </c>
      <c r="E522" s="136" t="str">
        <f>IF(A522="","",_xlfn.XLOOKUP(A522,Registro!$B$8:$B$997,Registro!$R$8:$R$997,"N/E",0))</f>
        <v/>
      </c>
      <c r="F522" s="93" t="str">
        <f t="shared" si="16"/>
        <v/>
      </c>
      <c r="G522" s="93"/>
      <c r="H522" s="136"/>
      <c r="K522" s="93"/>
      <c r="L522" s="93" t="str">
        <f t="shared" si="15"/>
        <v/>
      </c>
    </row>
    <row r="523" spans="1:12" s="89" customFormat="1">
      <c r="A523" s="89" t="str">
        <f>IF(Registro!B523="","",Registro!B523)</f>
        <v/>
      </c>
      <c r="B523" s="89" t="str">
        <f>IF(Registro!B523="","",Registro!H523)</f>
        <v/>
      </c>
      <c r="C523" s="137" t="str">
        <f>IF(Registro!B523="","",Registro!L523)</f>
        <v/>
      </c>
      <c r="D523" s="89" t="str">
        <f>IF(Registro!B523="","",Registro!M523)</f>
        <v/>
      </c>
      <c r="E523" s="136" t="str">
        <f>IF(A523="","",_xlfn.XLOOKUP(A523,Registro!$B$8:$B$997,Registro!$R$8:$R$997,"N/E",0))</f>
        <v/>
      </c>
      <c r="F523" s="93" t="str">
        <f t="shared" si="16"/>
        <v/>
      </c>
      <c r="G523" s="93"/>
      <c r="H523" s="136"/>
      <c r="K523" s="93"/>
      <c r="L523" s="93" t="str">
        <f t="shared" si="15"/>
        <v/>
      </c>
    </row>
    <row r="524" spans="1:12" s="89" customFormat="1">
      <c r="A524" s="89" t="str">
        <f>IF(Registro!B524="","",Registro!B524)</f>
        <v/>
      </c>
      <c r="B524" s="89" t="str">
        <f>IF(Registro!B524="","",Registro!H524)</f>
        <v/>
      </c>
      <c r="C524" s="137" t="str">
        <f>IF(Registro!B524="","",Registro!L524)</f>
        <v/>
      </c>
      <c r="D524" s="89" t="str">
        <f>IF(Registro!B524="","",Registro!M524)</f>
        <v/>
      </c>
      <c r="E524" s="136" t="str">
        <f>IF(A524="","",_xlfn.XLOOKUP(A524,Registro!$B$8:$B$997,Registro!$R$8:$R$997,"N/E",0))</f>
        <v/>
      </c>
      <c r="F524" s="93" t="str">
        <f t="shared" si="16"/>
        <v/>
      </c>
      <c r="G524" s="93"/>
      <c r="H524" s="136"/>
      <c r="K524" s="93"/>
      <c r="L524" s="93" t="str">
        <f t="shared" si="15"/>
        <v/>
      </c>
    </row>
    <row r="525" spans="1:12" s="89" customFormat="1">
      <c r="A525" s="89" t="str">
        <f>IF(Registro!B525="","",Registro!B525)</f>
        <v/>
      </c>
      <c r="B525" s="89" t="str">
        <f>IF(Registro!B525="","",Registro!H525)</f>
        <v/>
      </c>
      <c r="C525" s="137" t="str">
        <f>IF(Registro!B525="","",Registro!L525)</f>
        <v/>
      </c>
      <c r="D525" s="89" t="str">
        <f>IF(Registro!B525="","",Registro!M525)</f>
        <v/>
      </c>
      <c r="E525" s="136" t="str">
        <f>IF(A525="","",_xlfn.XLOOKUP(A525,Registro!$B$8:$B$997,Registro!$R$8:$R$997,"N/E",0))</f>
        <v/>
      </c>
      <c r="F525" s="93" t="str">
        <f t="shared" si="16"/>
        <v/>
      </c>
      <c r="G525" s="93"/>
      <c r="H525" s="136"/>
      <c r="K525" s="93"/>
      <c r="L525" s="93" t="str">
        <f t="shared" si="15"/>
        <v/>
      </c>
    </row>
    <row r="526" spans="1:12" s="89" customFormat="1">
      <c r="A526" s="89" t="str">
        <f>IF(Registro!B526="","",Registro!B526)</f>
        <v/>
      </c>
      <c r="B526" s="89" t="str">
        <f>IF(Registro!B526="","",Registro!H526)</f>
        <v/>
      </c>
      <c r="C526" s="137" t="str">
        <f>IF(Registro!B526="","",Registro!L526)</f>
        <v/>
      </c>
      <c r="D526" s="89" t="str">
        <f>IF(Registro!B526="","",Registro!M526)</f>
        <v/>
      </c>
      <c r="E526" s="136" t="str">
        <f>IF(A526="","",_xlfn.XLOOKUP(A526,Registro!$B$8:$B$997,Registro!$R$8:$R$997,"N/E",0))</f>
        <v/>
      </c>
      <c r="F526" s="93" t="str">
        <f t="shared" si="16"/>
        <v/>
      </c>
      <c r="G526" s="93"/>
      <c r="H526" s="136"/>
      <c r="K526" s="93"/>
      <c r="L526" s="93" t="str">
        <f t="shared" si="15"/>
        <v/>
      </c>
    </row>
    <row r="527" spans="1:12" s="89" customFormat="1">
      <c r="A527" s="89" t="str">
        <f>IF(Registro!B527="","",Registro!B527)</f>
        <v/>
      </c>
      <c r="B527" s="89" t="str">
        <f>IF(Registro!B527="","",Registro!H527)</f>
        <v/>
      </c>
      <c r="C527" s="137" t="str">
        <f>IF(Registro!B527="","",Registro!L527)</f>
        <v/>
      </c>
      <c r="D527" s="89" t="str">
        <f>IF(Registro!B527="","",Registro!M527)</f>
        <v/>
      </c>
      <c r="E527" s="136" t="str">
        <f>IF(A527="","",_xlfn.XLOOKUP(A527,Registro!$B$8:$B$997,Registro!$R$8:$R$997,"N/E",0))</f>
        <v/>
      </c>
      <c r="F527" s="93" t="str">
        <f t="shared" si="16"/>
        <v/>
      </c>
      <c r="G527" s="93"/>
      <c r="H527" s="136"/>
      <c r="K527" s="93"/>
      <c r="L527" s="93" t="str">
        <f t="shared" si="15"/>
        <v/>
      </c>
    </row>
    <row r="528" spans="1:12" s="89" customFormat="1">
      <c r="A528" s="89" t="str">
        <f>IF(Registro!B528="","",Registro!B528)</f>
        <v/>
      </c>
      <c r="B528" s="89" t="str">
        <f>IF(Registro!B528="","",Registro!H528)</f>
        <v/>
      </c>
      <c r="C528" s="137" t="str">
        <f>IF(Registro!B528="","",Registro!L528)</f>
        <v/>
      </c>
      <c r="D528" s="89" t="str">
        <f>IF(Registro!B528="","",Registro!M528)</f>
        <v/>
      </c>
      <c r="E528" s="136" t="str">
        <f>IF(A528="","",_xlfn.XLOOKUP(A528,Registro!$B$8:$B$997,Registro!$R$8:$R$997,"N/E",0))</f>
        <v/>
      </c>
      <c r="F528" s="93" t="str">
        <f t="shared" si="16"/>
        <v/>
      </c>
      <c r="G528" s="93"/>
      <c r="H528" s="136"/>
      <c r="K528" s="93"/>
      <c r="L528" s="93" t="str">
        <f t="shared" si="15"/>
        <v/>
      </c>
    </row>
    <row r="529" spans="1:12" s="89" customFormat="1">
      <c r="A529" s="89" t="str">
        <f>IF(Registro!B529="","",Registro!B529)</f>
        <v/>
      </c>
      <c r="B529" s="89" t="str">
        <f>IF(Registro!B529="","",Registro!H529)</f>
        <v/>
      </c>
      <c r="C529" s="137" t="str">
        <f>IF(Registro!B529="","",Registro!L529)</f>
        <v/>
      </c>
      <c r="D529" s="89" t="str">
        <f>IF(Registro!B529="","",Registro!M529)</f>
        <v/>
      </c>
      <c r="E529" s="136" t="str">
        <f>IF(A529="","",_xlfn.XLOOKUP(A529,Registro!$B$8:$B$997,Registro!$R$8:$R$997,"N/E",0))</f>
        <v/>
      </c>
      <c r="F529" s="93" t="str">
        <f t="shared" si="16"/>
        <v/>
      </c>
      <c r="G529" s="93"/>
      <c r="H529" s="136"/>
      <c r="K529" s="93"/>
      <c r="L529" s="93" t="str">
        <f t="shared" si="15"/>
        <v/>
      </c>
    </row>
    <row r="530" spans="1:12" s="89" customFormat="1">
      <c r="A530" s="89" t="str">
        <f>IF(Registro!B530="","",Registro!B530)</f>
        <v/>
      </c>
      <c r="B530" s="89" t="str">
        <f>IF(Registro!B530="","",Registro!H530)</f>
        <v/>
      </c>
      <c r="C530" s="137" t="str">
        <f>IF(Registro!B530="","",Registro!L530)</f>
        <v/>
      </c>
      <c r="D530" s="89" t="str">
        <f>IF(Registro!B530="","",Registro!M530)</f>
        <v/>
      </c>
      <c r="E530" s="136" t="str">
        <f>IF(A530="","",_xlfn.XLOOKUP(A530,Registro!$B$8:$B$997,Registro!$R$8:$R$997,"N/E",0))</f>
        <v/>
      </c>
      <c r="F530" s="93" t="str">
        <f t="shared" si="16"/>
        <v/>
      </c>
      <c r="G530" s="93"/>
      <c r="H530" s="136"/>
      <c r="K530" s="93"/>
      <c r="L530" s="93" t="str">
        <f t="shared" ref="L530:L593" si="17">IF(OR(K530="N/A",K530=""),"",NETWORKDAYS(C530,K530))</f>
        <v/>
      </c>
    </row>
    <row r="531" spans="1:12" s="89" customFormat="1">
      <c r="A531" s="89" t="str">
        <f>IF(Registro!B531="","",Registro!B531)</f>
        <v/>
      </c>
      <c r="B531" s="89" t="str">
        <f>IF(Registro!B531="","",Registro!H531)</f>
        <v/>
      </c>
      <c r="C531" s="137" t="str">
        <f>IF(Registro!B531="","",Registro!L531)</f>
        <v/>
      </c>
      <c r="D531" s="89" t="str">
        <f>IF(Registro!B531="","",Registro!M531)</f>
        <v/>
      </c>
      <c r="E531" s="136" t="str">
        <f>IF(A531="","",_xlfn.XLOOKUP(A531,Registro!$B$8:$B$997,Registro!$R$8:$R$997,"N/E",0))</f>
        <v/>
      </c>
      <c r="F531" s="93" t="str">
        <f t="shared" si="16"/>
        <v/>
      </c>
      <c r="G531" s="93"/>
      <c r="H531" s="136"/>
      <c r="K531" s="93"/>
      <c r="L531" s="93" t="str">
        <f t="shared" si="17"/>
        <v/>
      </c>
    </row>
    <row r="532" spans="1:12" s="89" customFormat="1">
      <c r="A532" s="89" t="str">
        <f>IF(Registro!B532="","",Registro!B532)</f>
        <v/>
      </c>
      <c r="B532" s="89" t="str">
        <f>IF(Registro!B532="","",Registro!H532)</f>
        <v/>
      </c>
      <c r="C532" s="137" t="str">
        <f>IF(Registro!B532="","",Registro!L532)</f>
        <v/>
      </c>
      <c r="D532" s="89" t="str">
        <f>IF(Registro!B532="","",Registro!M532)</f>
        <v/>
      </c>
      <c r="E532" s="136" t="str">
        <f>IF(A532="","",_xlfn.XLOOKUP(A532,Registro!$B$8:$B$997,Registro!$R$8:$R$997,"N/E",0))</f>
        <v/>
      </c>
      <c r="F532" s="93" t="str">
        <f t="shared" si="16"/>
        <v/>
      </c>
      <c r="G532" s="93"/>
      <c r="H532" s="136"/>
      <c r="K532" s="93"/>
      <c r="L532" s="93" t="str">
        <f t="shared" si="17"/>
        <v/>
      </c>
    </row>
    <row r="533" spans="1:12" s="89" customFormat="1">
      <c r="A533" s="89" t="str">
        <f>IF(Registro!B533="","",Registro!B533)</f>
        <v/>
      </c>
      <c r="B533" s="89" t="str">
        <f>IF(Registro!B533="","",Registro!H533)</f>
        <v/>
      </c>
      <c r="C533" s="137" t="str">
        <f>IF(Registro!B533="","",Registro!L533)</f>
        <v/>
      </c>
      <c r="D533" s="89" t="str">
        <f>IF(Registro!B533="","",Registro!M533)</f>
        <v/>
      </c>
      <c r="E533" s="136" t="str">
        <f>IF(A533="","",_xlfn.XLOOKUP(A533,Registro!$B$8:$B$997,Registro!$R$8:$R$997,"N/E",0))</f>
        <v/>
      </c>
      <c r="F533" s="93" t="str">
        <f t="shared" si="16"/>
        <v/>
      </c>
      <c r="G533" s="93"/>
      <c r="H533" s="136"/>
      <c r="K533" s="93"/>
      <c r="L533" s="93" t="str">
        <f t="shared" si="17"/>
        <v/>
      </c>
    </row>
    <row r="534" spans="1:12" s="89" customFormat="1">
      <c r="A534" s="89" t="str">
        <f>IF(Registro!B534="","",Registro!B534)</f>
        <v/>
      </c>
      <c r="B534" s="89" t="str">
        <f>IF(Registro!B534="","",Registro!H534)</f>
        <v/>
      </c>
      <c r="C534" s="137" t="str">
        <f>IF(Registro!B534="","",Registro!L534)</f>
        <v/>
      </c>
      <c r="D534" s="89" t="str">
        <f>IF(Registro!B534="","",Registro!M534)</f>
        <v/>
      </c>
      <c r="E534" s="136" t="str">
        <f>IF(A534="","",_xlfn.XLOOKUP(A534,Registro!$B$8:$B$997,Registro!$R$8:$R$997,"N/E",0))</f>
        <v/>
      </c>
      <c r="F534" s="93" t="str">
        <f t="shared" si="16"/>
        <v/>
      </c>
      <c r="G534" s="93"/>
      <c r="H534" s="136"/>
      <c r="K534" s="93"/>
      <c r="L534" s="93" t="str">
        <f t="shared" si="17"/>
        <v/>
      </c>
    </row>
    <row r="535" spans="1:12" s="89" customFormat="1">
      <c r="A535" s="89" t="str">
        <f>IF(Registro!B535="","",Registro!B535)</f>
        <v/>
      </c>
      <c r="B535" s="89" t="str">
        <f>IF(Registro!B535="","",Registro!H535)</f>
        <v/>
      </c>
      <c r="C535" s="137" t="str">
        <f>IF(Registro!B535="","",Registro!L535)</f>
        <v/>
      </c>
      <c r="D535" s="89" t="str">
        <f>IF(Registro!B535="","",Registro!M535)</f>
        <v/>
      </c>
      <c r="E535" s="136" t="str">
        <f>IF(A535="","",_xlfn.XLOOKUP(A535,Registro!$B$8:$B$997,Registro!$R$8:$R$997,"N/E",0))</f>
        <v/>
      </c>
      <c r="F535" s="93" t="str">
        <f t="shared" si="16"/>
        <v/>
      </c>
      <c r="G535" s="93"/>
      <c r="H535" s="136"/>
      <c r="K535" s="93"/>
      <c r="L535" s="93" t="str">
        <f t="shared" si="17"/>
        <v/>
      </c>
    </row>
    <row r="536" spans="1:12" s="89" customFormat="1">
      <c r="A536" s="89" t="str">
        <f>IF(Registro!B536="","",Registro!B536)</f>
        <v/>
      </c>
      <c r="B536" s="89" t="str">
        <f>IF(Registro!B536="","",Registro!H536)</f>
        <v/>
      </c>
      <c r="C536" s="137" t="str">
        <f>IF(Registro!B536="","",Registro!L536)</f>
        <v/>
      </c>
      <c r="D536" s="89" t="str">
        <f>IF(Registro!B536="","",Registro!M536)</f>
        <v/>
      </c>
      <c r="E536" s="136" t="str">
        <f>IF(A536="","",_xlfn.XLOOKUP(A536,Registro!$B$8:$B$997,Registro!$R$8:$R$997,"N/E",0))</f>
        <v/>
      </c>
      <c r="F536" s="93" t="str">
        <f t="shared" si="16"/>
        <v/>
      </c>
      <c r="G536" s="93"/>
      <c r="H536" s="136"/>
      <c r="K536" s="93"/>
      <c r="L536" s="93" t="str">
        <f t="shared" si="17"/>
        <v/>
      </c>
    </row>
    <row r="537" spans="1:12" s="89" customFormat="1">
      <c r="A537" s="89" t="str">
        <f>IF(Registro!B537="","",Registro!B537)</f>
        <v/>
      </c>
      <c r="B537" s="89" t="str">
        <f>IF(Registro!B537="","",Registro!H537)</f>
        <v/>
      </c>
      <c r="C537" s="137" t="str">
        <f>IF(Registro!B537="","",Registro!L537)</f>
        <v/>
      </c>
      <c r="D537" s="89" t="str">
        <f>IF(Registro!B537="","",Registro!M537)</f>
        <v/>
      </c>
      <c r="E537" s="136" t="str">
        <f>IF(A537="","",_xlfn.XLOOKUP(A537,Registro!$B$8:$B$997,Registro!$R$8:$R$997,"N/E",0))</f>
        <v/>
      </c>
      <c r="F537" s="93" t="str">
        <f t="shared" si="16"/>
        <v/>
      </c>
      <c r="G537" s="93"/>
      <c r="H537" s="136"/>
      <c r="K537" s="93"/>
      <c r="L537" s="93" t="str">
        <f t="shared" si="17"/>
        <v/>
      </c>
    </row>
    <row r="538" spans="1:12" s="89" customFormat="1">
      <c r="A538" s="89" t="str">
        <f>IF(Registro!B538="","",Registro!B538)</f>
        <v/>
      </c>
      <c r="B538" s="89" t="str">
        <f>IF(Registro!B538="","",Registro!H538)</f>
        <v/>
      </c>
      <c r="C538" s="137" t="str">
        <f>IF(Registro!B538="","",Registro!L538)</f>
        <v/>
      </c>
      <c r="D538" s="89" t="str">
        <f>IF(Registro!B538="","",Registro!M538)</f>
        <v/>
      </c>
      <c r="E538" s="136" t="str">
        <f>IF(A538="","",_xlfn.XLOOKUP(A538,Registro!$B$8:$B$997,Registro!$R$8:$R$997,"N/E",0))</f>
        <v/>
      </c>
      <c r="F538" s="93" t="str">
        <f t="shared" si="16"/>
        <v/>
      </c>
      <c r="G538" s="93"/>
      <c r="H538" s="136"/>
      <c r="K538" s="93"/>
      <c r="L538" s="93" t="str">
        <f t="shared" si="17"/>
        <v/>
      </c>
    </row>
    <row r="539" spans="1:12" s="89" customFormat="1">
      <c r="A539" s="89" t="str">
        <f>IF(Registro!B539="","",Registro!B539)</f>
        <v/>
      </c>
      <c r="B539" s="89" t="str">
        <f>IF(Registro!B539="","",Registro!H539)</f>
        <v/>
      </c>
      <c r="C539" s="137" t="str">
        <f>IF(Registro!B539="","",Registro!L539)</f>
        <v/>
      </c>
      <c r="D539" s="89" t="str">
        <f>IF(Registro!B539="","",Registro!M539)</f>
        <v/>
      </c>
      <c r="E539" s="136" t="str">
        <f>IF(A539="","",_xlfn.XLOOKUP(A539,Registro!$B$8:$B$997,Registro!$R$8:$R$997,"N/E",0))</f>
        <v/>
      </c>
      <c r="F539" s="93" t="str">
        <f t="shared" si="16"/>
        <v/>
      </c>
      <c r="G539" s="93"/>
      <c r="H539" s="136"/>
      <c r="K539" s="93"/>
      <c r="L539" s="93" t="str">
        <f t="shared" si="17"/>
        <v/>
      </c>
    </row>
    <row r="540" spans="1:12" s="89" customFormat="1">
      <c r="A540" s="89" t="str">
        <f>IF(Registro!B540="","",Registro!B540)</f>
        <v/>
      </c>
      <c r="B540" s="89" t="str">
        <f>IF(Registro!B540="","",Registro!H540)</f>
        <v/>
      </c>
      <c r="C540" s="137" t="str">
        <f>IF(Registro!B540="","",Registro!L540)</f>
        <v/>
      </c>
      <c r="D540" s="89" t="str">
        <f>IF(Registro!B540="","",Registro!M540)</f>
        <v/>
      </c>
      <c r="E540" s="136" t="str">
        <f>IF(A540="","",_xlfn.XLOOKUP(A540,Registro!$B$8:$B$997,Registro!$R$8:$R$997,"N/E",0))</f>
        <v/>
      </c>
      <c r="F540" s="93" t="str">
        <f t="shared" si="16"/>
        <v/>
      </c>
      <c r="G540" s="93"/>
      <c r="H540" s="136"/>
      <c r="K540" s="93"/>
      <c r="L540" s="93" t="str">
        <f t="shared" si="17"/>
        <v/>
      </c>
    </row>
    <row r="541" spans="1:12" s="89" customFormat="1">
      <c r="A541" s="89" t="str">
        <f>IF(Registro!B541="","",Registro!B541)</f>
        <v/>
      </c>
      <c r="B541" s="89" t="str">
        <f>IF(Registro!B541="","",Registro!H541)</f>
        <v/>
      </c>
      <c r="C541" s="137" t="str">
        <f>IF(Registro!B541="","",Registro!L541)</f>
        <v/>
      </c>
      <c r="D541" s="89" t="str">
        <f>IF(Registro!B541="","",Registro!M541)</f>
        <v/>
      </c>
      <c r="E541" s="136" t="str">
        <f>IF(A541="","",_xlfn.XLOOKUP(A541,Registro!$B$8:$B$997,Registro!$R$8:$R$997,"N/E",0))</f>
        <v/>
      </c>
      <c r="F541" s="93" t="str">
        <f t="shared" si="16"/>
        <v/>
      </c>
      <c r="G541" s="93"/>
      <c r="H541" s="136"/>
      <c r="K541" s="93"/>
      <c r="L541" s="93" t="str">
        <f t="shared" si="17"/>
        <v/>
      </c>
    </row>
    <row r="542" spans="1:12" s="89" customFormat="1">
      <c r="A542" s="89" t="str">
        <f>IF(Registro!B542="","",Registro!B542)</f>
        <v/>
      </c>
      <c r="B542" s="89" t="str">
        <f>IF(Registro!B542="","",Registro!H542)</f>
        <v/>
      </c>
      <c r="C542" s="137" t="str">
        <f>IF(Registro!B542="","",Registro!L542)</f>
        <v/>
      </c>
      <c r="D542" s="89" t="str">
        <f>IF(Registro!B542="","",Registro!M542)</f>
        <v/>
      </c>
      <c r="E542" s="136" t="str">
        <f>IF(A542="","",_xlfn.XLOOKUP(A542,Registro!$B$8:$B$997,Registro!$R$8:$R$997,"N/E",0))</f>
        <v/>
      </c>
      <c r="F542" s="93" t="str">
        <f t="shared" si="16"/>
        <v/>
      </c>
      <c r="G542" s="93"/>
      <c r="H542" s="136"/>
      <c r="K542" s="93"/>
      <c r="L542" s="93" t="str">
        <f t="shared" si="17"/>
        <v/>
      </c>
    </row>
    <row r="543" spans="1:12" s="89" customFormat="1">
      <c r="A543" s="89" t="str">
        <f>IF(Registro!B543="","",Registro!B543)</f>
        <v/>
      </c>
      <c r="B543" s="89" t="str">
        <f>IF(Registro!B543="","",Registro!H543)</f>
        <v/>
      </c>
      <c r="C543" s="137" t="str">
        <f>IF(Registro!B543="","",Registro!L543)</f>
        <v/>
      </c>
      <c r="D543" s="89" t="str">
        <f>IF(Registro!B543="","",Registro!M543)</f>
        <v/>
      </c>
      <c r="E543" s="136" t="str">
        <f>IF(A543="","",_xlfn.XLOOKUP(A543,Registro!$B$8:$B$997,Registro!$R$8:$R$997,"N/E",0))</f>
        <v/>
      </c>
      <c r="F543" s="93" t="str">
        <f t="shared" si="16"/>
        <v/>
      </c>
      <c r="G543" s="93"/>
      <c r="H543" s="136"/>
      <c r="K543" s="93"/>
      <c r="L543" s="93" t="str">
        <f t="shared" si="17"/>
        <v/>
      </c>
    </row>
    <row r="544" spans="1:12" s="89" customFormat="1">
      <c r="A544" s="89" t="str">
        <f>IF(Registro!B544="","",Registro!B544)</f>
        <v/>
      </c>
      <c r="B544" s="89" t="str">
        <f>IF(Registro!B544="","",Registro!H544)</f>
        <v/>
      </c>
      <c r="C544" s="137" t="str">
        <f>IF(Registro!B544="","",Registro!L544)</f>
        <v/>
      </c>
      <c r="D544" s="89" t="str">
        <f>IF(Registro!B544="","",Registro!M544)</f>
        <v/>
      </c>
      <c r="E544" s="136" t="str">
        <f>IF(A544="","",_xlfn.XLOOKUP(A544,Registro!$B$8:$B$997,Registro!$R$8:$R$997,"N/E",0))</f>
        <v/>
      </c>
      <c r="F544" s="93" t="str">
        <f t="shared" si="16"/>
        <v/>
      </c>
      <c r="G544" s="93"/>
      <c r="H544" s="136"/>
      <c r="K544" s="93"/>
      <c r="L544" s="93" t="str">
        <f t="shared" si="17"/>
        <v/>
      </c>
    </row>
    <row r="545" spans="1:12" s="89" customFormat="1">
      <c r="A545" s="89" t="str">
        <f>IF(Registro!B545="","",Registro!B545)</f>
        <v/>
      </c>
      <c r="B545" s="89" t="str">
        <f>IF(Registro!B545="","",Registro!H545)</f>
        <v/>
      </c>
      <c r="C545" s="137" t="str">
        <f>IF(Registro!B545="","",Registro!L545)</f>
        <v/>
      </c>
      <c r="D545" s="89" t="str">
        <f>IF(Registro!B545="","",Registro!M545)</f>
        <v/>
      </c>
      <c r="E545" s="136" t="str">
        <f>IF(A545="","",_xlfn.XLOOKUP(A545,Registro!$B$8:$B$997,Registro!$R$8:$R$997,"N/E",0))</f>
        <v/>
      </c>
      <c r="F545" s="93" t="str">
        <f t="shared" si="16"/>
        <v/>
      </c>
      <c r="G545" s="93"/>
      <c r="H545" s="136"/>
      <c r="K545" s="93"/>
      <c r="L545" s="93" t="str">
        <f t="shared" si="17"/>
        <v/>
      </c>
    </row>
    <row r="546" spans="1:12" s="89" customFormat="1">
      <c r="A546" s="89" t="str">
        <f>IF(Registro!B546="","",Registro!B546)</f>
        <v/>
      </c>
      <c r="B546" s="89" t="str">
        <f>IF(Registro!B546="","",Registro!H546)</f>
        <v/>
      </c>
      <c r="C546" s="137" t="str">
        <f>IF(Registro!B546="","",Registro!L546)</f>
        <v/>
      </c>
      <c r="D546" s="89" t="str">
        <f>IF(Registro!B546="","",Registro!M546)</f>
        <v/>
      </c>
      <c r="E546" s="136" t="str">
        <f>IF(A546="","",_xlfn.XLOOKUP(A546,Registro!$B$8:$B$997,Registro!$R$8:$R$997,"N/E",0))</f>
        <v/>
      </c>
      <c r="F546" s="93" t="str">
        <f t="shared" si="16"/>
        <v/>
      </c>
      <c r="G546" s="93"/>
      <c r="H546" s="136"/>
      <c r="K546" s="93"/>
      <c r="L546" s="93" t="str">
        <f t="shared" si="17"/>
        <v/>
      </c>
    </row>
    <row r="547" spans="1:12" s="89" customFormat="1">
      <c r="A547" s="89" t="str">
        <f>IF(Registro!B547="","",Registro!B547)</f>
        <v/>
      </c>
      <c r="B547" s="89" t="str">
        <f>IF(Registro!B547="","",Registro!H547)</f>
        <v/>
      </c>
      <c r="C547" s="137" t="str">
        <f>IF(Registro!B547="","",Registro!L547)</f>
        <v/>
      </c>
      <c r="D547" s="89" t="str">
        <f>IF(Registro!B547="","",Registro!M547)</f>
        <v/>
      </c>
      <c r="E547" s="136" t="str">
        <f>IF(A547="","",_xlfn.XLOOKUP(A547,Registro!$B$8:$B$997,Registro!$R$8:$R$997,"N/E",0))</f>
        <v/>
      </c>
      <c r="F547" s="93" t="str">
        <f t="shared" si="16"/>
        <v/>
      </c>
      <c r="G547" s="93"/>
      <c r="H547" s="136"/>
      <c r="K547" s="93"/>
      <c r="L547" s="93" t="str">
        <f t="shared" si="17"/>
        <v/>
      </c>
    </row>
    <row r="548" spans="1:12" s="89" customFormat="1">
      <c r="A548" s="89" t="str">
        <f>IF(Registro!B548="","",Registro!B548)</f>
        <v/>
      </c>
      <c r="B548" s="89" t="str">
        <f>IF(Registro!B548="","",Registro!H548)</f>
        <v/>
      </c>
      <c r="C548" s="137" t="str">
        <f>IF(Registro!B548="","",Registro!L548)</f>
        <v/>
      </c>
      <c r="D548" s="89" t="str">
        <f>IF(Registro!B548="","",Registro!M548)</f>
        <v/>
      </c>
      <c r="E548" s="136" t="str">
        <f>IF(A548="","",_xlfn.XLOOKUP(A548,Registro!$B$8:$B$997,Registro!$R$8:$R$997,"N/E",0))</f>
        <v/>
      </c>
      <c r="F548" s="93" t="str">
        <f t="shared" si="16"/>
        <v/>
      </c>
      <c r="G548" s="93"/>
      <c r="H548" s="136"/>
      <c r="K548" s="93"/>
      <c r="L548" s="93" t="str">
        <f t="shared" si="17"/>
        <v/>
      </c>
    </row>
    <row r="549" spans="1:12" s="89" customFormat="1">
      <c r="A549" s="89" t="str">
        <f>IF(Registro!B549="","",Registro!B549)</f>
        <v/>
      </c>
      <c r="B549" s="89" t="str">
        <f>IF(Registro!B549="","",Registro!H549)</f>
        <v/>
      </c>
      <c r="C549" s="137" t="str">
        <f>IF(Registro!B549="","",Registro!L549)</f>
        <v/>
      </c>
      <c r="D549" s="89" t="str">
        <f>IF(Registro!B549="","",Registro!M549)</f>
        <v/>
      </c>
      <c r="E549" s="136" t="str">
        <f>IF(A549="","",_xlfn.XLOOKUP(A549,Registro!$B$8:$B$997,Registro!$R$8:$R$997,"N/E",0))</f>
        <v/>
      </c>
      <c r="F549" s="93" t="str">
        <f t="shared" si="16"/>
        <v/>
      </c>
      <c r="G549" s="93"/>
      <c r="H549" s="136"/>
      <c r="K549" s="93"/>
      <c r="L549" s="93" t="str">
        <f t="shared" si="17"/>
        <v/>
      </c>
    </row>
    <row r="550" spans="1:12" s="89" customFormat="1">
      <c r="A550" s="89" t="str">
        <f>IF(Registro!B550="","",Registro!B550)</f>
        <v/>
      </c>
      <c r="B550" s="89" t="str">
        <f>IF(Registro!B550="","",Registro!H550)</f>
        <v/>
      </c>
      <c r="C550" s="137" t="str">
        <f>IF(Registro!B550="","",Registro!L550)</f>
        <v/>
      </c>
      <c r="D550" s="89" t="str">
        <f>IF(Registro!B550="","",Registro!M550)</f>
        <v/>
      </c>
      <c r="E550" s="136" t="str">
        <f>IF(A550="","",_xlfn.XLOOKUP(A550,Registro!$B$8:$B$997,Registro!$R$8:$R$997,"N/E",0))</f>
        <v/>
      </c>
      <c r="F550" s="93" t="str">
        <f t="shared" si="16"/>
        <v/>
      </c>
      <c r="G550" s="93"/>
      <c r="H550" s="136"/>
      <c r="K550" s="93"/>
      <c r="L550" s="93" t="str">
        <f t="shared" si="17"/>
        <v/>
      </c>
    </row>
    <row r="551" spans="1:12" s="89" customFormat="1">
      <c r="A551" s="89" t="str">
        <f>IF(Registro!B551="","",Registro!B551)</f>
        <v/>
      </c>
      <c r="B551" s="89" t="str">
        <f>IF(Registro!B551="","",Registro!H551)</f>
        <v/>
      </c>
      <c r="C551" s="137" t="str">
        <f>IF(Registro!B551="","",Registro!L551)</f>
        <v/>
      </c>
      <c r="D551" s="89" t="str">
        <f>IF(Registro!B551="","",Registro!M551)</f>
        <v/>
      </c>
      <c r="E551" s="136" t="str">
        <f>IF(A551="","",_xlfn.XLOOKUP(A551,Registro!$B$8:$B$997,Registro!$R$8:$R$997,"N/E",0))</f>
        <v/>
      </c>
      <c r="F551" s="93" t="str">
        <f t="shared" si="16"/>
        <v/>
      </c>
      <c r="G551" s="93"/>
      <c r="H551" s="136"/>
      <c r="K551" s="93"/>
      <c r="L551" s="93" t="str">
        <f t="shared" si="17"/>
        <v/>
      </c>
    </row>
    <row r="552" spans="1:12" s="89" customFormat="1">
      <c r="A552" s="89" t="str">
        <f>IF(Registro!B552="","",Registro!B552)</f>
        <v/>
      </c>
      <c r="B552" s="89" t="str">
        <f>IF(Registro!B552="","",Registro!H552)</f>
        <v/>
      </c>
      <c r="C552" s="137" t="str">
        <f>IF(Registro!B552="","",Registro!L552)</f>
        <v/>
      </c>
      <c r="D552" s="89" t="str">
        <f>IF(Registro!B552="","",Registro!M552)</f>
        <v/>
      </c>
      <c r="E552" s="136" t="str">
        <f>IF(A552="","",_xlfn.XLOOKUP(A552,Registro!$B$8:$B$997,Registro!$R$8:$R$997,"N/E",0))</f>
        <v/>
      </c>
      <c r="F552" s="93" t="str">
        <f t="shared" si="16"/>
        <v/>
      </c>
      <c r="G552" s="93"/>
      <c r="H552" s="136"/>
      <c r="K552" s="93"/>
      <c r="L552" s="93" t="str">
        <f t="shared" si="17"/>
        <v/>
      </c>
    </row>
    <row r="553" spans="1:12" s="89" customFormat="1">
      <c r="A553" s="89" t="str">
        <f>IF(Registro!B553="","",Registro!B553)</f>
        <v/>
      </c>
      <c r="B553" s="89" t="str">
        <f>IF(Registro!B553="","",Registro!H553)</f>
        <v/>
      </c>
      <c r="C553" s="137" t="str">
        <f>IF(Registro!B553="","",Registro!L553)</f>
        <v/>
      </c>
      <c r="D553" s="89" t="str">
        <f>IF(Registro!B553="","",Registro!M553)</f>
        <v/>
      </c>
      <c r="E553" s="136" t="str">
        <f>IF(A553="","",_xlfn.XLOOKUP(A553,Registro!$B$8:$B$997,Registro!$R$8:$R$997,"N/E",0))</f>
        <v/>
      </c>
      <c r="F553" s="93" t="str">
        <f t="shared" si="16"/>
        <v/>
      </c>
      <c r="G553" s="93"/>
      <c r="H553" s="136"/>
      <c r="K553" s="93"/>
      <c r="L553" s="93" t="str">
        <f t="shared" si="17"/>
        <v/>
      </c>
    </row>
    <row r="554" spans="1:12" s="89" customFormat="1">
      <c r="A554" s="89" t="str">
        <f>IF(Registro!B554="","",Registro!B554)</f>
        <v/>
      </c>
      <c r="B554" s="89" t="str">
        <f>IF(Registro!B554="","",Registro!H554)</f>
        <v/>
      </c>
      <c r="C554" s="137" t="str">
        <f>IF(Registro!B554="","",Registro!L554)</f>
        <v/>
      </c>
      <c r="D554" s="89" t="str">
        <f>IF(Registro!B554="","",Registro!M554)</f>
        <v/>
      </c>
      <c r="E554" s="136" t="str">
        <f>IF(A554="","",_xlfn.XLOOKUP(A554,Registro!$B$8:$B$997,Registro!$R$8:$R$997,"N/E",0))</f>
        <v/>
      </c>
      <c r="F554" s="93" t="str">
        <f t="shared" si="16"/>
        <v/>
      </c>
      <c r="G554" s="93"/>
      <c r="H554" s="136"/>
      <c r="K554" s="93"/>
      <c r="L554" s="93" t="str">
        <f t="shared" si="17"/>
        <v/>
      </c>
    </row>
    <row r="555" spans="1:12" s="89" customFormat="1">
      <c r="A555" s="89" t="str">
        <f>IF(Registro!B555="","",Registro!B555)</f>
        <v/>
      </c>
      <c r="B555" s="89" t="str">
        <f>IF(Registro!B555="","",Registro!H555)</f>
        <v/>
      </c>
      <c r="C555" s="137" t="str">
        <f>IF(Registro!B555="","",Registro!L555)</f>
        <v/>
      </c>
      <c r="D555" s="89" t="str">
        <f>IF(Registro!B555="","",Registro!M555)</f>
        <v/>
      </c>
      <c r="E555" s="136" t="str">
        <f>IF(A555="","",_xlfn.XLOOKUP(A555,Registro!$B$8:$B$997,Registro!$R$8:$R$997,"N/E",0))</f>
        <v/>
      </c>
      <c r="F555" s="93" t="str">
        <f t="shared" si="16"/>
        <v/>
      </c>
      <c r="G555" s="93"/>
      <c r="H555" s="136"/>
      <c r="K555" s="93"/>
      <c r="L555" s="93" t="str">
        <f t="shared" si="17"/>
        <v/>
      </c>
    </row>
    <row r="556" spans="1:12" s="89" customFormat="1">
      <c r="A556" s="89" t="str">
        <f>IF(Registro!B556="","",Registro!B556)</f>
        <v/>
      </c>
      <c r="B556" s="89" t="str">
        <f>IF(Registro!B556="","",Registro!H556)</f>
        <v/>
      </c>
      <c r="C556" s="137" t="str">
        <f>IF(Registro!B556="","",Registro!L556)</f>
        <v/>
      </c>
      <c r="D556" s="89" t="str">
        <f>IF(Registro!B556="","",Registro!M556)</f>
        <v/>
      </c>
      <c r="E556" s="136" t="str">
        <f>IF(A556="","",_xlfn.XLOOKUP(A556,Registro!$B$8:$B$997,Registro!$R$8:$R$997,"N/E",0))</f>
        <v/>
      </c>
      <c r="F556" s="93" t="str">
        <f t="shared" si="16"/>
        <v/>
      </c>
      <c r="G556" s="93"/>
      <c r="H556" s="136"/>
      <c r="K556" s="93"/>
      <c r="L556" s="93" t="str">
        <f t="shared" si="17"/>
        <v/>
      </c>
    </row>
    <row r="557" spans="1:12" s="89" customFormat="1">
      <c r="A557" s="89" t="str">
        <f>IF(Registro!B557="","",Registro!B557)</f>
        <v/>
      </c>
      <c r="B557" s="89" t="str">
        <f>IF(Registro!B557="","",Registro!H557)</f>
        <v/>
      </c>
      <c r="C557" s="137" t="str">
        <f>IF(Registro!B557="","",Registro!L557)</f>
        <v/>
      </c>
      <c r="D557" s="89" t="str">
        <f>IF(Registro!B557="","",Registro!M557)</f>
        <v/>
      </c>
      <c r="E557" s="136" t="str">
        <f>IF(A557="","",_xlfn.XLOOKUP(A557,Registro!$B$8:$B$997,Registro!$R$8:$R$997,"N/E",0))</f>
        <v/>
      </c>
      <c r="F557" s="93" t="str">
        <f t="shared" si="16"/>
        <v/>
      </c>
      <c r="G557" s="93"/>
      <c r="H557" s="136"/>
      <c r="K557" s="93"/>
      <c r="L557" s="93" t="str">
        <f t="shared" si="17"/>
        <v/>
      </c>
    </row>
    <row r="558" spans="1:12" s="89" customFormat="1">
      <c r="A558" s="89" t="str">
        <f>IF(Registro!B558="","",Registro!B558)</f>
        <v/>
      </c>
      <c r="B558" s="89" t="str">
        <f>IF(Registro!B558="","",Registro!H558)</f>
        <v/>
      </c>
      <c r="C558" s="137" t="str">
        <f>IF(Registro!B558="","",Registro!L558)</f>
        <v/>
      </c>
      <c r="D558" s="89" t="str">
        <f>IF(Registro!B558="","",Registro!M558)</f>
        <v/>
      </c>
      <c r="E558" s="136" t="str">
        <f>IF(A558="","",_xlfn.XLOOKUP(A558,Registro!$B$8:$B$997,Registro!$R$8:$R$997,"N/E",0))</f>
        <v/>
      </c>
      <c r="F558" s="93" t="str">
        <f t="shared" si="16"/>
        <v/>
      </c>
      <c r="G558" s="93"/>
      <c r="H558" s="136"/>
      <c r="K558" s="93"/>
      <c r="L558" s="93" t="str">
        <f t="shared" si="17"/>
        <v/>
      </c>
    </row>
    <row r="559" spans="1:12" s="89" customFormat="1">
      <c r="A559" s="89" t="str">
        <f>IF(Registro!B559="","",Registro!B559)</f>
        <v/>
      </c>
      <c r="B559" s="89" t="str">
        <f>IF(Registro!B559="","",Registro!H559)</f>
        <v/>
      </c>
      <c r="C559" s="137" t="str">
        <f>IF(Registro!B559="","",Registro!L559)</f>
        <v/>
      </c>
      <c r="D559" s="89" t="str">
        <f>IF(Registro!B559="","",Registro!M559)</f>
        <v/>
      </c>
      <c r="E559" s="136" t="str">
        <f>IF(A559="","",_xlfn.XLOOKUP(A559,Registro!$B$8:$B$997,Registro!$R$8:$R$997,"N/E",0))</f>
        <v/>
      </c>
      <c r="F559" s="93" t="str">
        <f t="shared" si="16"/>
        <v/>
      </c>
      <c r="G559" s="93"/>
      <c r="H559" s="136"/>
      <c r="K559" s="93"/>
      <c r="L559" s="93" t="str">
        <f t="shared" si="17"/>
        <v/>
      </c>
    </row>
    <row r="560" spans="1:12" s="89" customFormat="1">
      <c r="A560" s="89" t="str">
        <f>IF(Registro!B560="","",Registro!B560)</f>
        <v/>
      </c>
      <c r="B560" s="89" t="str">
        <f>IF(Registro!B560="","",Registro!H560)</f>
        <v/>
      </c>
      <c r="C560" s="137" t="str">
        <f>IF(Registro!B560="","",Registro!L560)</f>
        <v/>
      </c>
      <c r="D560" s="89" t="str">
        <f>IF(Registro!B560="","",Registro!M560)</f>
        <v/>
      </c>
      <c r="E560" s="136" t="str">
        <f>IF(A560="","",_xlfn.XLOOKUP(A560,Registro!$B$8:$B$997,Registro!$R$8:$R$997,"N/E",0))</f>
        <v/>
      </c>
      <c r="F560" s="93" t="str">
        <f t="shared" si="16"/>
        <v/>
      </c>
      <c r="G560" s="93"/>
      <c r="H560" s="136"/>
      <c r="K560" s="93"/>
      <c r="L560" s="93" t="str">
        <f t="shared" si="17"/>
        <v/>
      </c>
    </row>
    <row r="561" spans="1:12" s="89" customFormat="1">
      <c r="A561" s="89" t="str">
        <f>IF(Registro!B561="","",Registro!B561)</f>
        <v/>
      </c>
      <c r="B561" s="89" t="str">
        <f>IF(Registro!B561="","",Registro!H561)</f>
        <v/>
      </c>
      <c r="C561" s="137" t="str">
        <f>IF(Registro!B561="","",Registro!L561)</f>
        <v/>
      </c>
      <c r="D561" s="89" t="str">
        <f>IF(Registro!B561="","",Registro!M561)</f>
        <v/>
      </c>
      <c r="E561" s="136" t="str">
        <f>IF(A561="","",_xlfn.XLOOKUP(A561,Registro!$B$8:$B$997,Registro!$R$8:$R$997,"N/E",0))</f>
        <v/>
      </c>
      <c r="F561" s="93" t="str">
        <f t="shared" si="16"/>
        <v/>
      </c>
      <c r="G561" s="93"/>
      <c r="H561" s="136"/>
      <c r="K561" s="93"/>
      <c r="L561" s="93" t="str">
        <f t="shared" si="17"/>
        <v/>
      </c>
    </row>
    <row r="562" spans="1:12" s="89" customFormat="1">
      <c r="A562" s="89" t="str">
        <f>IF(Registro!B562="","",Registro!B562)</f>
        <v/>
      </c>
      <c r="B562" s="89" t="str">
        <f>IF(Registro!B562="","",Registro!H562)</f>
        <v/>
      </c>
      <c r="C562" s="137" t="str">
        <f>IF(Registro!B562="","",Registro!L562)</f>
        <v/>
      </c>
      <c r="D562" s="89" t="str">
        <f>IF(Registro!B562="","",Registro!M562)</f>
        <v/>
      </c>
      <c r="E562" s="136" t="str">
        <f>IF(A562="","",_xlfn.XLOOKUP(A562,Registro!$B$8:$B$997,Registro!$R$8:$R$997,"N/E",0))</f>
        <v/>
      </c>
      <c r="F562" s="93" t="str">
        <f t="shared" si="16"/>
        <v/>
      </c>
      <c r="G562" s="93"/>
      <c r="H562" s="136"/>
      <c r="K562" s="93"/>
      <c r="L562" s="93" t="str">
        <f t="shared" si="17"/>
        <v/>
      </c>
    </row>
    <row r="563" spans="1:12" s="89" customFormat="1">
      <c r="A563" s="89" t="str">
        <f>IF(Registro!B563="","",Registro!B563)</f>
        <v/>
      </c>
      <c r="B563" s="89" t="str">
        <f>IF(Registro!B563="","",Registro!H563)</f>
        <v/>
      </c>
      <c r="C563" s="137" t="str">
        <f>IF(Registro!B563="","",Registro!L563)</f>
        <v/>
      </c>
      <c r="D563" s="89" t="str">
        <f>IF(Registro!B563="","",Registro!M563)</f>
        <v/>
      </c>
      <c r="E563" s="136" t="str">
        <f>IF(A563="","",_xlfn.XLOOKUP(A563,Registro!$B$8:$B$997,Registro!$R$8:$R$997,"N/E",0))</f>
        <v/>
      </c>
      <c r="F563" s="93" t="str">
        <f t="shared" si="16"/>
        <v/>
      </c>
      <c r="G563" s="93"/>
      <c r="H563" s="136"/>
      <c r="K563" s="93"/>
      <c r="L563" s="93" t="str">
        <f t="shared" si="17"/>
        <v/>
      </c>
    </row>
    <row r="564" spans="1:12" s="89" customFormat="1">
      <c r="A564" s="89" t="str">
        <f>IF(Registro!B564="","",Registro!B564)</f>
        <v/>
      </c>
      <c r="B564" s="89" t="str">
        <f>IF(Registro!B564="","",Registro!H564)</f>
        <v/>
      </c>
      <c r="C564" s="137" t="str">
        <f>IF(Registro!B564="","",Registro!L564)</f>
        <v/>
      </c>
      <c r="D564" s="89" t="str">
        <f>IF(Registro!B564="","",Registro!M564)</f>
        <v/>
      </c>
      <c r="E564" s="136" t="str">
        <f>IF(A564="","",_xlfn.XLOOKUP(A564,Registro!$B$8:$B$997,Registro!$R$8:$R$997,"N/E",0))</f>
        <v/>
      </c>
      <c r="F564" s="93" t="str">
        <f t="shared" si="16"/>
        <v/>
      </c>
      <c r="G564" s="93"/>
      <c r="H564" s="136"/>
      <c r="K564" s="93"/>
      <c r="L564" s="93" t="str">
        <f t="shared" si="17"/>
        <v/>
      </c>
    </row>
    <row r="565" spans="1:12" s="89" customFormat="1">
      <c r="A565" s="89" t="str">
        <f>IF(Registro!B565="","",Registro!B565)</f>
        <v/>
      </c>
      <c r="B565" s="89" t="str">
        <f>IF(Registro!B565="","",Registro!H565)</f>
        <v/>
      </c>
      <c r="C565" s="137" t="str">
        <f>IF(Registro!B565="","",Registro!L565)</f>
        <v/>
      </c>
      <c r="D565" s="89" t="str">
        <f>IF(Registro!B565="","",Registro!M565)</f>
        <v/>
      </c>
      <c r="E565" s="136" t="str">
        <f>IF(A565="","",_xlfn.XLOOKUP(A565,Registro!$B$8:$B$997,Registro!$R$8:$R$997,"N/E",0))</f>
        <v/>
      </c>
      <c r="F565" s="93" t="str">
        <f t="shared" si="16"/>
        <v/>
      </c>
      <c r="G565" s="93"/>
      <c r="H565" s="136"/>
      <c r="K565" s="93"/>
      <c r="L565" s="93" t="str">
        <f t="shared" si="17"/>
        <v/>
      </c>
    </row>
    <row r="566" spans="1:12" s="89" customFormat="1">
      <c r="A566" s="89" t="str">
        <f>IF(Registro!B566="","",Registro!B566)</f>
        <v/>
      </c>
      <c r="B566" s="89" t="str">
        <f>IF(Registro!B566="","",Registro!H566)</f>
        <v/>
      </c>
      <c r="C566" s="137" t="str">
        <f>IF(Registro!B566="","",Registro!L566)</f>
        <v/>
      </c>
      <c r="D566" s="89" t="str">
        <f>IF(Registro!B566="","",Registro!M566)</f>
        <v/>
      </c>
      <c r="E566" s="136" t="str">
        <f>IF(A566="","",_xlfn.XLOOKUP(A566,Registro!$B$8:$B$997,Registro!$R$8:$R$997,"N/E",0))</f>
        <v/>
      </c>
      <c r="F566" s="93" t="str">
        <f t="shared" si="16"/>
        <v/>
      </c>
      <c r="G566" s="93"/>
      <c r="H566" s="136"/>
      <c r="K566" s="93"/>
      <c r="L566" s="93" t="str">
        <f t="shared" si="17"/>
        <v/>
      </c>
    </row>
    <row r="567" spans="1:12" s="89" customFormat="1">
      <c r="A567" s="89" t="str">
        <f>IF(Registro!B567="","",Registro!B567)</f>
        <v/>
      </c>
      <c r="B567" s="89" t="str">
        <f>IF(Registro!B567="","",Registro!H567)</f>
        <v/>
      </c>
      <c r="C567" s="137" t="str">
        <f>IF(Registro!B567="","",Registro!L567)</f>
        <v/>
      </c>
      <c r="D567" s="89" t="str">
        <f>IF(Registro!B567="","",Registro!M567)</f>
        <v/>
      </c>
      <c r="E567" s="136" t="str">
        <f>IF(A567="","",_xlfn.XLOOKUP(A567,Registro!$B$8:$B$997,Registro!$R$8:$R$997,"N/E",0))</f>
        <v/>
      </c>
      <c r="F567" s="93" t="str">
        <f t="shared" si="16"/>
        <v/>
      </c>
      <c r="G567" s="93"/>
      <c r="H567" s="136"/>
      <c r="K567" s="93"/>
      <c r="L567" s="93" t="str">
        <f t="shared" si="17"/>
        <v/>
      </c>
    </row>
    <row r="568" spans="1:12" s="89" customFormat="1">
      <c r="A568" s="89" t="str">
        <f>IF(Registro!B568="","",Registro!B568)</f>
        <v/>
      </c>
      <c r="B568" s="89" t="str">
        <f>IF(Registro!B568="","",Registro!H568)</f>
        <v/>
      </c>
      <c r="C568" s="137" t="str">
        <f>IF(Registro!B568="","",Registro!L568)</f>
        <v/>
      </c>
      <c r="D568" s="89" t="str">
        <f>IF(Registro!B568="","",Registro!M568)</f>
        <v/>
      </c>
      <c r="E568" s="136" t="str">
        <f>IF(A568="","",_xlfn.XLOOKUP(A568,Registro!$B$8:$B$997,Registro!$R$8:$R$997,"N/E",0))</f>
        <v/>
      </c>
      <c r="F568" s="93" t="str">
        <f t="shared" si="16"/>
        <v/>
      </c>
      <c r="G568" s="93"/>
      <c r="H568" s="136"/>
      <c r="K568" s="93"/>
      <c r="L568" s="93" t="str">
        <f t="shared" si="17"/>
        <v/>
      </c>
    </row>
    <row r="569" spans="1:12" s="89" customFormat="1">
      <c r="A569" s="89" t="str">
        <f>IF(Registro!B569="","",Registro!B569)</f>
        <v/>
      </c>
      <c r="B569" s="89" t="str">
        <f>IF(Registro!B569="","",Registro!H569)</f>
        <v/>
      </c>
      <c r="C569" s="137" t="str">
        <f>IF(Registro!B569="","",Registro!L569)</f>
        <v/>
      </c>
      <c r="D569" s="89" t="str">
        <f>IF(Registro!B569="","",Registro!M569)</f>
        <v/>
      </c>
      <c r="E569" s="136" t="str">
        <f>IF(A569="","",_xlfn.XLOOKUP(A569,Registro!$B$8:$B$997,Registro!$R$8:$R$997,"N/E",0))</f>
        <v/>
      </c>
      <c r="F569" s="93" t="str">
        <f t="shared" si="16"/>
        <v/>
      </c>
      <c r="G569" s="93"/>
      <c r="H569" s="136"/>
      <c r="K569" s="93"/>
      <c r="L569" s="93" t="str">
        <f t="shared" si="17"/>
        <v/>
      </c>
    </row>
    <row r="570" spans="1:12" s="89" customFormat="1">
      <c r="A570" s="89" t="str">
        <f>IF(Registro!B570="","",Registro!B570)</f>
        <v/>
      </c>
      <c r="B570" s="89" t="str">
        <f>IF(Registro!B570="","",Registro!H570)</f>
        <v/>
      </c>
      <c r="C570" s="137" t="str">
        <f>IF(Registro!B570="","",Registro!L570)</f>
        <v/>
      </c>
      <c r="D570" s="89" t="str">
        <f>IF(Registro!B570="","",Registro!M570)</f>
        <v/>
      </c>
      <c r="E570" s="136" t="str">
        <f>IF(A570="","",_xlfn.XLOOKUP(A570,Registro!$B$8:$B$997,Registro!$R$8:$R$997,"N/E",0))</f>
        <v/>
      </c>
      <c r="F570" s="93" t="str">
        <f t="shared" si="16"/>
        <v/>
      </c>
      <c r="G570" s="93"/>
      <c r="H570" s="136"/>
      <c r="K570" s="93"/>
      <c r="L570" s="93" t="str">
        <f t="shared" si="17"/>
        <v/>
      </c>
    </row>
    <row r="571" spans="1:12" s="89" customFormat="1">
      <c r="A571" s="89" t="str">
        <f>IF(Registro!B571="","",Registro!B571)</f>
        <v/>
      </c>
      <c r="B571" s="89" t="str">
        <f>IF(Registro!B571="","",Registro!H571)</f>
        <v/>
      </c>
      <c r="C571" s="137" t="str">
        <f>IF(Registro!B571="","",Registro!L571)</f>
        <v/>
      </c>
      <c r="D571" s="89" t="str">
        <f>IF(Registro!B571="","",Registro!M571)</f>
        <v/>
      </c>
      <c r="E571" s="136" t="str">
        <f>IF(A571="","",_xlfn.XLOOKUP(A571,Registro!$B$8:$B$997,Registro!$R$8:$R$997,"N/E",0))</f>
        <v/>
      </c>
      <c r="F571" s="93" t="str">
        <f t="shared" si="16"/>
        <v/>
      </c>
      <c r="G571" s="93"/>
      <c r="H571" s="136"/>
      <c r="K571" s="93"/>
      <c r="L571" s="93" t="str">
        <f t="shared" si="17"/>
        <v/>
      </c>
    </row>
    <row r="572" spans="1:12" s="89" customFormat="1">
      <c r="A572" s="89" t="str">
        <f>IF(Registro!B572="","",Registro!B572)</f>
        <v/>
      </c>
      <c r="B572" s="89" t="str">
        <f>IF(Registro!B572="","",Registro!H572)</f>
        <v/>
      </c>
      <c r="C572" s="137" t="str">
        <f>IF(Registro!B572="","",Registro!L572)</f>
        <v/>
      </c>
      <c r="D572" s="89" t="str">
        <f>IF(Registro!B572="","",Registro!M572)</f>
        <v/>
      </c>
      <c r="E572" s="136" t="str">
        <f>IF(A572="","",_xlfn.XLOOKUP(A572,Registro!$B$8:$B$997,Registro!$R$8:$R$997,"N/E",0))</f>
        <v/>
      </c>
      <c r="F572" s="93" t="str">
        <f t="shared" si="16"/>
        <v/>
      </c>
      <c r="G572" s="93"/>
      <c r="H572" s="136"/>
      <c r="K572" s="93"/>
      <c r="L572" s="93" t="str">
        <f t="shared" si="17"/>
        <v/>
      </c>
    </row>
    <row r="573" spans="1:12" s="89" customFormat="1">
      <c r="A573" s="89" t="str">
        <f>IF(Registro!B573="","",Registro!B573)</f>
        <v/>
      </c>
      <c r="B573" s="89" t="str">
        <f>IF(Registro!B573="","",Registro!H573)</f>
        <v/>
      </c>
      <c r="C573" s="137" t="str">
        <f>IF(Registro!B573="","",Registro!L573)</f>
        <v/>
      </c>
      <c r="D573" s="89" t="str">
        <f>IF(Registro!B573="","",Registro!M573)</f>
        <v/>
      </c>
      <c r="E573" s="136" t="str">
        <f>IF(A573="","",_xlfn.XLOOKUP(A573,Registro!$B$8:$B$997,Registro!$R$8:$R$997,"N/E",0))</f>
        <v/>
      </c>
      <c r="F573" s="93" t="str">
        <f t="shared" si="16"/>
        <v/>
      </c>
      <c r="G573" s="93"/>
      <c r="H573" s="136"/>
      <c r="K573" s="93"/>
      <c r="L573" s="93" t="str">
        <f t="shared" si="17"/>
        <v/>
      </c>
    </row>
    <row r="574" spans="1:12" s="89" customFormat="1">
      <c r="A574" s="89" t="str">
        <f>IF(Registro!B574="","",Registro!B574)</f>
        <v/>
      </c>
      <c r="B574" s="89" t="str">
        <f>IF(Registro!B574="","",Registro!H574)</f>
        <v/>
      </c>
      <c r="C574" s="137" t="str">
        <f>IF(Registro!B574="","",Registro!L574)</f>
        <v/>
      </c>
      <c r="D574" s="89" t="str">
        <f>IF(Registro!B574="","",Registro!M574)</f>
        <v/>
      </c>
      <c r="E574" s="136" t="str">
        <f>IF(A574="","",_xlfn.XLOOKUP(A574,Registro!$B$8:$B$997,Registro!$R$8:$R$997,"N/E",0))</f>
        <v/>
      </c>
      <c r="F574" s="93" t="str">
        <f t="shared" si="16"/>
        <v/>
      </c>
      <c r="G574" s="93"/>
      <c r="H574" s="136"/>
      <c r="K574" s="93"/>
      <c r="L574" s="93" t="str">
        <f t="shared" si="17"/>
        <v/>
      </c>
    </row>
    <row r="575" spans="1:12" s="89" customFormat="1">
      <c r="A575" s="89" t="str">
        <f>IF(Registro!B575="","",Registro!B575)</f>
        <v/>
      </c>
      <c r="B575" s="89" t="str">
        <f>IF(Registro!B575="","",Registro!H575)</f>
        <v/>
      </c>
      <c r="C575" s="137" t="str">
        <f>IF(Registro!B575="","",Registro!L575)</f>
        <v/>
      </c>
      <c r="D575" s="89" t="str">
        <f>IF(Registro!B575="","",Registro!M575)</f>
        <v/>
      </c>
      <c r="E575" s="136" t="str">
        <f>IF(A575="","",_xlfn.XLOOKUP(A575,Registro!$B$8:$B$997,Registro!$R$8:$R$997,"N/E",0))</f>
        <v/>
      </c>
      <c r="F575" s="93" t="str">
        <f t="shared" si="16"/>
        <v/>
      </c>
      <c r="G575" s="93"/>
      <c r="H575" s="136"/>
      <c r="K575" s="93"/>
      <c r="L575" s="93" t="str">
        <f t="shared" si="17"/>
        <v/>
      </c>
    </row>
    <row r="576" spans="1:12" s="89" customFormat="1">
      <c r="A576" s="89" t="str">
        <f>IF(Registro!B576="","",Registro!B576)</f>
        <v/>
      </c>
      <c r="B576" s="89" t="str">
        <f>IF(Registro!B576="","",Registro!H576)</f>
        <v/>
      </c>
      <c r="C576" s="137" t="str">
        <f>IF(Registro!B576="","",Registro!L576)</f>
        <v/>
      </c>
      <c r="D576" s="89" t="str">
        <f>IF(Registro!B576="","",Registro!M576)</f>
        <v/>
      </c>
      <c r="E576" s="136" t="str">
        <f>IF(A576="","",_xlfn.XLOOKUP(A576,Registro!$B$8:$B$997,Registro!$R$8:$R$997,"N/E",0))</f>
        <v/>
      </c>
      <c r="F576" s="93" t="str">
        <f t="shared" si="16"/>
        <v/>
      </c>
      <c r="G576" s="93"/>
      <c r="H576" s="136"/>
      <c r="K576" s="93"/>
      <c r="L576" s="93" t="str">
        <f t="shared" si="17"/>
        <v/>
      </c>
    </row>
    <row r="577" spans="1:12" s="89" customFormat="1">
      <c r="A577" s="89" t="str">
        <f>IF(Registro!B577="","",Registro!B577)</f>
        <v/>
      </c>
      <c r="B577" s="89" t="str">
        <f>IF(Registro!B577="","",Registro!H577)</f>
        <v/>
      </c>
      <c r="C577" s="137" t="str">
        <f>IF(Registro!B577="","",Registro!L577)</f>
        <v/>
      </c>
      <c r="D577" s="89" t="str">
        <f>IF(Registro!B577="","",Registro!M577)</f>
        <v/>
      </c>
      <c r="E577" s="136" t="str">
        <f>IF(A577="","",_xlfn.XLOOKUP(A577,Registro!$B$8:$B$997,Registro!$R$8:$R$997,"N/E",0))</f>
        <v/>
      </c>
      <c r="F577" s="93" t="str">
        <f t="shared" si="16"/>
        <v/>
      </c>
      <c r="G577" s="93"/>
      <c r="H577" s="136"/>
      <c r="K577" s="93"/>
      <c r="L577" s="93" t="str">
        <f t="shared" si="17"/>
        <v/>
      </c>
    </row>
    <row r="578" spans="1:12" s="89" customFormat="1">
      <c r="A578" s="89" t="str">
        <f>IF(Registro!B578="","",Registro!B578)</f>
        <v/>
      </c>
      <c r="B578" s="89" t="str">
        <f>IF(Registro!B578="","",Registro!H578)</f>
        <v/>
      </c>
      <c r="C578" s="137" t="str">
        <f>IF(Registro!B578="","",Registro!L578)</f>
        <v/>
      </c>
      <c r="D578" s="89" t="str">
        <f>IF(Registro!B578="","",Registro!M578)</f>
        <v/>
      </c>
      <c r="E578" s="136" t="str">
        <f>IF(A578="","",_xlfn.XLOOKUP(A578,Registro!$B$8:$B$997,Registro!$R$8:$R$997,"N/E",0))</f>
        <v/>
      </c>
      <c r="F578" s="93" t="str">
        <f t="shared" si="16"/>
        <v/>
      </c>
      <c r="G578" s="93"/>
      <c r="H578" s="136"/>
      <c r="K578" s="93"/>
      <c r="L578" s="93" t="str">
        <f t="shared" si="17"/>
        <v/>
      </c>
    </row>
    <row r="579" spans="1:12" s="89" customFormat="1">
      <c r="A579" s="89" t="str">
        <f>IF(Registro!B579="","",Registro!B579)</f>
        <v/>
      </c>
      <c r="B579" s="89" t="str">
        <f>IF(Registro!B579="","",Registro!H579)</f>
        <v/>
      </c>
      <c r="C579" s="137" t="str">
        <f>IF(Registro!B579="","",Registro!L579)</f>
        <v/>
      </c>
      <c r="D579" s="89" t="str">
        <f>IF(Registro!B579="","",Registro!M579)</f>
        <v/>
      </c>
      <c r="E579" s="136" t="str">
        <f>IF(A579="","",_xlfn.XLOOKUP(A579,Registro!$B$8:$B$997,Registro!$R$8:$R$997,"N/E",0))</f>
        <v/>
      </c>
      <c r="F579" s="93" t="str">
        <f t="shared" si="16"/>
        <v/>
      </c>
      <c r="G579" s="93"/>
      <c r="H579" s="136"/>
      <c r="K579" s="93"/>
      <c r="L579" s="93" t="str">
        <f t="shared" si="17"/>
        <v/>
      </c>
    </row>
    <row r="580" spans="1:12" s="89" customFormat="1">
      <c r="A580" s="89" t="str">
        <f>IF(Registro!B580="","",Registro!B580)</f>
        <v/>
      </c>
      <c r="B580" s="89" t="str">
        <f>IF(Registro!B580="","",Registro!H580)</f>
        <v/>
      </c>
      <c r="C580" s="137" t="str">
        <f>IF(Registro!B580="","",Registro!L580)</f>
        <v/>
      </c>
      <c r="D580" s="89" t="str">
        <f>IF(Registro!B580="","",Registro!M580)</f>
        <v/>
      </c>
      <c r="E580" s="136" t="str">
        <f>IF(A580="","",_xlfn.XLOOKUP(A580,Registro!$B$8:$B$997,Registro!$R$8:$R$997,"N/E",0))</f>
        <v/>
      </c>
      <c r="F580" s="93" t="str">
        <f t="shared" si="16"/>
        <v/>
      </c>
      <c r="G580" s="93"/>
      <c r="H580" s="136"/>
      <c r="K580" s="93"/>
      <c r="L580" s="93" t="str">
        <f t="shared" si="17"/>
        <v/>
      </c>
    </row>
    <row r="581" spans="1:12" s="89" customFormat="1">
      <c r="A581" s="89" t="str">
        <f>IF(Registro!B581="","",Registro!B581)</f>
        <v/>
      </c>
      <c r="B581" s="89" t="str">
        <f>IF(Registro!B581="","",Registro!H581)</f>
        <v/>
      </c>
      <c r="C581" s="137" t="str">
        <f>IF(Registro!B581="","",Registro!L581)</f>
        <v/>
      </c>
      <c r="D581" s="89" t="str">
        <f>IF(Registro!B581="","",Registro!M581)</f>
        <v/>
      </c>
      <c r="E581" s="136" t="str">
        <f>IF(A581="","",_xlfn.XLOOKUP(A581,Registro!$B$8:$B$997,Registro!$R$8:$R$997,"N/E",0))</f>
        <v/>
      </c>
      <c r="F581" s="93" t="str">
        <f t="shared" si="16"/>
        <v/>
      </c>
      <c r="G581" s="93"/>
      <c r="H581" s="136"/>
      <c r="K581" s="93"/>
      <c r="L581" s="93" t="str">
        <f t="shared" si="17"/>
        <v/>
      </c>
    </row>
    <row r="582" spans="1:12" s="89" customFormat="1">
      <c r="A582" s="89" t="str">
        <f>IF(Registro!B582="","",Registro!B582)</f>
        <v/>
      </c>
      <c r="B582" s="89" t="str">
        <f>IF(Registro!B582="","",Registro!H582)</f>
        <v/>
      </c>
      <c r="C582" s="137" t="str">
        <f>IF(Registro!B582="","",Registro!L582)</f>
        <v/>
      </c>
      <c r="D582" s="89" t="str">
        <f>IF(Registro!B582="","",Registro!M582)</f>
        <v/>
      </c>
      <c r="E582" s="136" t="str">
        <f>IF(A582="","",_xlfn.XLOOKUP(A582,Registro!$B$8:$B$997,Registro!$R$8:$R$997,"N/E",0))</f>
        <v/>
      </c>
      <c r="F582" s="93" t="str">
        <f t="shared" si="16"/>
        <v/>
      </c>
      <c r="G582" s="93"/>
      <c r="H582" s="136"/>
      <c r="K582" s="93"/>
      <c r="L582" s="93" t="str">
        <f t="shared" si="17"/>
        <v/>
      </c>
    </row>
    <row r="583" spans="1:12" s="89" customFormat="1">
      <c r="A583" s="89" t="str">
        <f>IF(Registro!B583="","",Registro!B583)</f>
        <v/>
      </c>
      <c r="B583" s="89" t="str">
        <f>IF(Registro!B583="","",Registro!H583)</f>
        <v/>
      </c>
      <c r="C583" s="137" t="str">
        <f>IF(Registro!B583="","",Registro!L583)</f>
        <v/>
      </c>
      <c r="D583" s="89" t="str">
        <f>IF(Registro!B583="","",Registro!M583)</f>
        <v/>
      </c>
      <c r="E583" s="136" t="str">
        <f>IF(A583="","",_xlfn.XLOOKUP(A583,Registro!$B$8:$B$997,Registro!$R$8:$R$997,"N/E",0))</f>
        <v/>
      </c>
      <c r="F583" s="93" t="str">
        <f t="shared" si="16"/>
        <v/>
      </c>
      <c r="G583" s="93"/>
      <c r="H583" s="136"/>
      <c r="K583" s="93"/>
      <c r="L583" s="93" t="str">
        <f t="shared" si="17"/>
        <v/>
      </c>
    </row>
    <row r="584" spans="1:12" s="89" customFormat="1">
      <c r="A584" s="89" t="str">
        <f>IF(Registro!B584="","",Registro!B584)</f>
        <v/>
      </c>
      <c r="B584" s="89" t="str">
        <f>IF(Registro!B584="","",Registro!H584)</f>
        <v/>
      </c>
      <c r="C584" s="137" t="str">
        <f>IF(Registro!B584="","",Registro!L584)</f>
        <v/>
      </c>
      <c r="D584" s="89" t="str">
        <f>IF(Registro!B584="","",Registro!M584)</f>
        <v/>
      </c>
      <c r="E584" s="136" t="str">
        <f>IF(A584="","",_xlfn.XLOOKUP(A584,Registro!$B$8:$B$997,Registro!$R$8:$R$997,"N/E",0))</f>
        <v/>
      </c>
      <c r="F584" s="93" t="str">
        <f t="shared" ref="F584:F647" si="18">IF(A584="","",NETWORKDAYS.INTL(C584,E584,1))</f>
        <v/>
      </c>
      <c r="G584" s="93"/>
      <c r="H584" s="136"/>
      <c r="K584" s="93"/>
      <c r="L584" s="93" t="str">
        <f t="shared" si="17"/>
        <v/>
      </c>
    </row>
    <row r="585" spans="1:12" s="89" customFormat="1">
      <c r="A585" s="89" t="str">
        <f>IF(Registro!B585="","",Registro!B585)</f>
        <v/>
      </c>
      <c r="B585" s="89" t="str">
        <f>IF(Registro!B585="","",Registro!H585)</f>
        <v/>
      </c>
      <c r="C585" s="137" t="str">
        <f>IF(Registro!B585="","",Registro!L585)</f>
        <v/>
      </c>
      <c r="D585" s="89" t="str">
        <f>IF(Registro!B585="","",Registro!M585)</f>
        <v/>
      </c>
      <c r="E585" s="136" t="str">
        <f>IF(A585="","",_xlfn.XLOOKUP(A585,Registro!$B$8:$B$997,Registro!$R$8:$R$997,"N/E",0))</f>
        <v/>
      </c>
      <c r="F585" s="93" t="str">
        <f t="shared" si="18"/>
        <v/>
      </c>
      <c r="G585" s="93"/>
      <c r="H585" s="136"/>
      <c r="K585" s="93"/>
      <c r="L585" s="93" t="str">
        <f t="shared" si="17"/>
        <v/>
      </c>
    </row>
    <row r="586" spans="1:12" s="89" customFormat="1">
      <c r="A586" s="89" t="str">
        <f>IF(Registro!B586="","",Registro!B586)</f>
        <v/>
      </c>
      <c r="B586" s="89" t="str">
        <f>IF(Registro!B586="","",Registro!H586)</f>
        <v/>
      </c>
      <c r="C586" s="137" t="str">
        <f>IF(Registro!B586="","",Registro!L586)</f>
        <v/>
      </c>
      <c r="D586" s="89" t="str">
        <f>IF(Registro!B586="","",Registro!M586)</f>
        <v/>
      </c>
      <c r="E586" s="136" t="str">
        <f>IF(A586="","",_xlfn.XLOOKUP(A586,Registro!$B$8:$B$997,Registro!$R$8:$R$997,"N/E",0))</f>
        <v/>
      </c>
      <c r="F586" s="93" t="str">
        <f t="shared" si="18"/>
        <v/>
      </c>
      <c r="G586" s="93"/>
      <c r="H586" s="136"/>
      <c r="K586" s="93"/>
      <c r="L586" s="93" t="str">
        <f t="shared" si="17"/>
        <v/>
      </c>
    </row>
    <row r="587" spans="1:12" s="89" customFormat="1">
      <c r="A587" s="89" t="str">
        <f>IF(Registro!B587="","",Registro!B587)</f>
        <v/>
      </c>
      <c r="B587" s="89" t="str">
        <f>IF(Registro!B587="","",Registro!H587)</f>
        <v/>
      </c>
      <c r="C587" s="137" t="str">
        <f>IF(Registro!B587="","",Registro!L587)</f>
        <v/>
      </c>
      <c r="D587" s="89" t="str">
        <f>IF(Registro!B587="","",Registro!M587)</f>
        <v/>
      </c>
      <c r="E587" s="136" t="str">
        <f>IF(A587="","",_xlfn.XLOOKUP(A587,Registro!$B$8:$B$997,Registro!$R$8:$R$997,"N/E",0))</f>
        <v/>
      </c>
      <c r="F587" s="93" t="str">
        <f t="shared" si="18"/>
        <v/>
      </c>
      <c r="G587" s="93"/>
      <c r="H587" s="136"/>
      <c r="K587" s="93"/>
      <c r="L587" s="93" t="str">
        <f t="shared" si="17"/>
        <v/>
      </c>
    </row>
    <row r="588" spans="1:12" s="89" customFormat="1">
      <c r="A588" s="89" t="str">
        <f>IF(Registro!B588="","",Registro!B588)</f>
        <v/>
      </c>
      <c r="B588" s="89" t="str">
        <f>IF(Registro!B588="","",Registro!H588)</f>
        <v/>
      </c>
      <c r="C588" s="137" t="str">
        <f>IF(Registro!B588="","",Registro!L588)</f>
        <v/>
      </c>
      <c r="D588" s="89" t="str">
        <f>IF(Registro!B588="","",Registro!M588)</f>
        <v/>
      </c>
      <c r="E588" s="136" t="str">
        <f>IF(A588="","",_xlfn.XLOOKUP(A588,Registro!$B$8:$B$997,Registro!$R$8:$R$997,"N/E",0))</f>
        <v/>
      </c>
      <c r="F588" s="93" t="str">
        <f t="shared" si="18"/>
        <v/>
      </c>
      <c r="G588" s="93"/>
      <c r="H588" s="136"/>
      <c r="K588" s="93"/>
      <c r="L588" s="93" t="str">
        <f t="shared" si="17"/>
        <v/>
      </c>
    </row>
    <row r="589" spans="1:12" s="89" customFormat="1">
      <c r="A589" s="89" t="str">
        <f>IF(Registro!B589="","",Registro!B589)</f>
        <v/>
      </c>
      <c r="B589" s="89" t="str">
        <f>IF(Registro!B589="","",Registro!H589)</f>
        <v/>
      </c>
      <c r="C589" s="137" t="str">
        <f>IF(Registro!B589="","",Registro!L589)</f>
        <v/>
      </c>
      <c r="D589" s="89" t="str">
        <f>IF(Registro!B589="","",Registro!M589)</f>
        <v/>
      </c>
      <c r="E589" s="136" t="str">
        <f>IF(A589="","",_xlfn.XLOOKUP(A589,Registro!$B$8:$B$997,Registro!$R$8:$R$997,"N/E",0))</f>
        <v/>
      </c>
      <c r="F589" s="93" t="str">
        <f t="shared" si="18"/>
        <v/>
      </c>
      <c r="G589" s="93"/>
      <c r="H589" s="136"/>
      <c r="K589" s="93"/>
      <c r="L589" s="93" t="str">
        <f t="shared" si="17"/>
        <v/>
      </c>
    </row>
    <row r="590" spans="1:12" s="89" customFormat="1">
      <c r="A590" s="89" t="str">
        <f>IF(Registro!B590="","",Registro!B590)</f>
        <v/>
      </c>
      <c r="B590" s="89" t="str">
        <f>IF(Registro!B590="","",Registro!H590)</f>
        <v/>
      </c>
      <c r="C590" s="137" t="str">
        <f>IF(Registro!B590="","",Registro!L590)</f>
        <v/>
      </c>
      <c r="D590" s="89" t="str">
        <f>IF(Registro!B590="","",Registro!M590)</f>
        <v/>
      </c>
      <c r="E590" s="136" t="str">
        <f>IF(A590="","",_xlfn.XLOOKUP(A590,Registro!$B$8:$B$997,Registro!$R$8:$R$997,"N/E",0))</f>
        <v/>
      </c>
      <c r="F590" s="93" t="str">
        <f t="shared" si="18"/>
        <v/>
      </c>
      <c r="G590" s="93"/>
      <c r="H590" s="136"/>
      <c r="K590" s="93"/>
      <c r="L590" s="93" t="str">
        <f t="shared" si="17"/>
        <v/>
      </c>
    </row>
    <row r="591" spans="1:12" s="89" customFormat="1">
      <c r="A591" s="89" t="str">
        <f>IF(Registro!B591="","",Registro!B591)</f>
        <v/>
      </c>
      <c r="B591" s="89" t="str">
        <f>IF(Registro!B591="","",Registro!H591)</f>
        <v/>
      </c>
      <c r="C591" s="137" t="str">
        <f>IF(Registro!B591="","",Registro!L591)</f>
        <v/>
      </c>
      <c r="D591" s="89" t="str">
        <f>IF(Registro!B591="","",Registro!M591)</f>
        <v/>
      </c>
      <c r="E591" s="136" t="str">
        <f>IF(A591="","",_xlfn.XLOOKUP(A591,Registro!$B$8:$B$997,Registro!$R$8:$R$997,"N/E",0))</f>
        <v/>
      </c>
      <c r="F591" s="93" t="str">
        <f t="shared" si="18"/>
        <v/>
      </c>
      <c r="G591" s="93"/>
      <c r="H591" s="136"/>
      <c r="K591" s="93"/>
      <c r="L591" s="93" t="str">
        <f t="shared" si="17"/>
        <v/>
      </c>
    </row>
    <row r="592" spans="1:12" s="89" customFormat="1">
      <c r="A592" s="89" t="str">
        <f>IF(Registro!B592="","",Registro!B592)</f>
        <v/>
      </c>
      <c r="B592" s="89" t="str">
        <f>IF(Registro!B592="","",Registro!H592)</f>
        <v/>
      </c>
      <c r="C592" s="137" t="str">
        <f>IF(Registro!B592="","",Registro!L592)</f>
        <v/>
      </c>
      <c r="D592" s="89" t="str">
        <f>IF(Registro!B592="","",Registro!M592)</f>
        <v/>
      </c>
      <c r="E592" s="136" t="str">
        <f>IF(A592="","",_xlfn.XLOOKUP(A592,Registro!$B$8:$B$997,Registro!$R$8:$R$997,"N/E",0))</f>
        <v/>
      </c>
      <c r="F592" s="93" t="str">
        <f t="shared" si="18"/>
        <v/>
      </c>
      <c r="G592" s="93"/>
      <c r="H592" s="136"/>
      <c r="K592" s="93"/>
      <c r="L592" s="93" t="str">
        <f t="shared" si="17"/>
        <v/>
      </c>
    </row>
    <row r="593" spans="1:12" s="89" customFormat="1">
      <c r="A593" s="89" t="str">
        <f>IF(Registro!B593="","",Registro!B593)</f>
        <v/>
      </c>
      <c r="B593" s="89" t="str">
        <f>IF(Registro!B593="","",Registro!H593)</f>
        <v/>
      </c>
      <c r="C593" s="137" t="str">
        <f>IF(Registro!B593="","",Registro!L593)</f>
        <v/>
      </c>
      <c r="D593" s="89" t="str">
        <f>IF(Registro!B593="","",Registro!M593)</f>
        <v/>
      </c>
      <c r="E593" s="136" t="str">
        <f>IF(A593="","",_xlfn.XLOOKUP(A593,Registro!$B$8:$B$997,Registro!$R$8:$R$997,"N/E",0))</f>
        <v/>
      </c>
      <c r="F593" s="93" t="str">
        <f t="shared" si="18"/>
        <v/>
      </c>
      <c r="G593" s="93"/>
      <c r="H593" s="136"/>
      <c r="K593" s="93"/>
      <c r="L593" s="93" t="str">
        <f t="shared" si="17"/>
        <v/>
      </c>
    </row>
    <row r="594" spans="1:12" s="89" customFormat="1">
      <c r="A594" s="89" t="str">
        <f>IF(Registro!B594="","",Registro!B594)</f>
        <v/>
      </c>
      <c r="B594" s="89" t="str">
        <f>IF(Registro!B594="","",Registro!H594)</f>
        <v/>
      </c>
      <c r="C594" s="137" t="str">
        <f>IF(Registro!B594="","",Registro!L594)</f>
        <v/>
      </c>
      <c r="D594" s="89" t="str">
        <f>IF(Registro!B594="","",Registro!M594)</f>
        <v/>
      </c>
      <c r="E594" s="136" t="str">
        <f>IF(A594="","",_xlfn.XLOOKUP(A594,Registro!$B$8:$B$997,Registro!$R$8:$R$997,"N/E",0))</f>
        <v/>
      </c>
      <c r="F594" s="93" t="str">
        <f t="shared" si="18"/>
        <v/>
      </c>
      <c r="G594" s="93"/>
      <c r="H594" s="136"/>
      <c r="K594" s="93"/>
      <c r="L594" s="93" t="str">
        <f t="shared" ref="L594:L657" si="19">IF(OR(K594="N/A",K594=""),"",NETWORKDAYS(C594,K594))</f>
        <v/>
      </c>
    </row>
    <row r="595" spans="1:12" s="89" customFormat="1">
      <c r="A595" s="89" t="str">
        <f>IF(Registro!B595="","",Registro!B595)</f>
        <v/>
      </c>
      <c r="B595" s="89" t="str">
        <f>IF(Registro!B595="","",Registro!H595)</f>
        <v/>
      </c>
      <c r="C595" s="137" t="str">
        <f>IF(Registro!B595="","",Registro!L595)</f>
        <v/>
      </c>
      <c r="D595" s="89" t="str">
        <f>IF(Registro!B595="","",Registro!M595)</f>
        <v/>
      </c>
      <c r="E595" s="136" t="str">
        <f>IF(A595="","",_xlfn.XLOOKUP(A595,Registro!$B$8:$B$997,Registro!$R$8:$R$997,"N/E",0))</f>
        <v/>
      </c>
      <c r="F595" s="93" t="str">
        <f t="shared" si="18"/>
        <v/>
      </c>
      <c r="G595" s="93"/>
      <c r="H595" s="136"/>
      <c r="K595" s="93"/>
      <c r="L595" s="93" t="str">
        <f t="shared" si="19"/>
        <v/>
      </c>
    </row>
    <row r="596" spans="1:12" s="89" customFormat="1">
      <c r="A596" s="89" t="str">
        <f>IF(Registro!B596="","",Registro!B596)</f>
        <v/>
      </c>
      <c r="B596" s="89" t="str">
        <f>IF(Registro!B596="","",Registro!H596)</f>
        <v/>
      </c>
      <c r="C596" s="137" t="str">
        <f>IF(Registro!B596="","",Registro!L596)</f>
        <v/>
      </c>
      <c r="D596" s="89" t="str">
        <f>IF(Registro!B596="","",Registro!M596)</f>
        <v/>
      </c>
      <c r="E596" s="136" t="str">
        <f>IF(A596="","",_xlfn.XLOOKUP(A596,Registro!$B$8:$B$997,Registro!$R$8:$R$997,"N/E",0))</f>
        <v/>
      </c>
      <c r="F596" s="93" t="str">
        <f t="shared" si="18"/>
        <v/>
      </c>
      <c r="G596" s="93"/>
      <c r="H596" s="136"/>
      <c r="K596" s="93"/>
      <c r="L596" s="93" t="str">
        <f t="shared" si="19"/>
        <v/>
      </c>
    </row>
    <row r="597" spans="1:12" s="89" customFormat="1">
      <c r="A597" s="89" t="str">
        <f>IF(Registro!B597="","",Registro!B597)</f>
        <v/>
      </c>
      <c r="B597" s="89" t="str">
        <f>IF(Registro!B597="","",Registro!H597)</f>
        <v/>
      </c>
      <c r="C597" s="137" t="str">
        <f>IF(Registro!B597="","",Registro!L597)</f>
        <v/>
      </c>
      <c r="D597" s="89" t="str">
        <f>IF(Registro!B597="","",Registro!M597)</f>
        <v/>
      </c>
      <c r="E597" s="136" t="str">
        <f>IF(A597="","",_xlfn.XLOOKUP(A597,Registro!$B$8:$B$997,Registro!$R$8:$R$997,"N/E",0))</f>
        <v/>
      </c>
      <c r="F597" s="93" t="str">
        <f t="shared" si="18"/>
        <v/>
      </c>
      <c r="G597" s="93"/>
      <c r="H597" s="136"/>
      <c r="K597" s="93"/>
      <c r="L597" s="93" t="str">
        <f t="shared" si="19"/>
        <v/>
      </c>
    </row>
    <row r="598" spans="1:12" s="89" customFormat="1">
      <c r="A598" s="89" t="str">
        <f>IF(Registro!B598="","",Registro!B598)</f>
        <v/>
      </c>
      <c r="B598" s="89" t="str">
        <f>IF(Registro!B598="","",Registro!H598)</f>
        <v/>
      </c>
      <c r="C598" s="137" t="str">
        <f>IF(Registro!B598="","",Registro!L598)</f>
        <v/>
      </c>
      <c r="D598" s="89" t="str">
        <f>IF(Registro!B598="","",Registro!M598)</f>
        <v/>
      </c>
      <c r="E598" s="136" t="str">
        <f>IF(A598="","",_xlfn.XLOOKUP(A598,Registro!$B$8:$B$997,Registro!$R$8:$R$997,"N/E",0))</f>
        <v/>
      </c>
      <c r="F598" s="93" t="str">
        <f t="shared" si="18"/>
        <v/>
      </c>
      <c r="G598" s="93"/>
      <c r="H598" s="136"/>
      <c r="K598" s="93"/>
      <c r="L598" s="93" t="str">
        <f t="shared" si="19"/>
        <v/>
      </c>
    </row>
    <row r="599" spans="1:12" s="89" customFormat="1">
      <c r="A599" s="89" t="str">
        <f>IF(Registro!B599="","",Registro!B599)</f>
        <v/>
      </c>
      <c r="B599" s="89" t="str">
        <f>IF(Registro!B599="","",Registro!H599)</f>
        <v/>
      </c>
      <c r="C599" s="137" t="str">
        <f>IF(Registro!B599="","",Registro!L599)</f>
        <v/>
      </c>
      <c r="D599" s="89" t="str">
        <f>IF(Registro!B599="","",Registro!M599)</f>
        <v/>
      </c>
      <c r="E599" s="136" t="str">
        <f>IF(A599="","",_xlfn.XLOOKUP(A599,Registro!$B$8:$B$997,Registro!$R$8:$R$997,"N/E",0))</f>
        <v/>
      </c>
      <c r="F599" s="93" t="str">
        <f t="shared" si="18"/>
        <v/>
      </c>
      <c r="G599" s="93"/>
      <c r="H599" s="136"/>
      <c r="K599" s="93"/>
      <c r="L599" s="93" t="str">
        <f t="shared" si="19"/>
        <v/>
      </c>
    </row>
    <row r="600" spans="1:12" s="89" customFormat="1">
      <c r="A600" s="89" t="str">
        <f>IF(Registro!B600="","",Registro!B600)</f>
        <v/>
      </c>
      <c r="B600" s="89" t="str">
        <f>IF(Registro!B600="","",Registro!H600)</f>
        <v/>
      </c>
      <c r="C600" s="137" t="str">
        <f>IF(Registro!B600="","",Registro!L600)</f>
        <v/>
      </c>
      <c r="D600" s="89" t="str">
        <f>IF(Registro!B600="","",Registro!M600)</f>
        <v/>
      </c>
      <c r="E600" s="136" t="str">
        <f>IF(A600="","",_xlfn.XLOOKUP(A600,Registro!$B$8:$B$997,Registro!$R$8:$R$997,"N/E",0))</f>
        <v/>
      </c>
      <c r="F600" s="93" t="str">
        <f t="shared" si="18"/>
        <v/>
      </c>
      <c r="G600" s="93"/>
      <c r="H600" s="136"/>
      <c r="K600" s="93"/>
      <c r="L600" s="93" t="str">
        <f t="shared" si="19"/>
        <v/>
      </c>
    </row>
    <row r="601" spans="1:12" s="89" customFormat="1">
      <c r="A601" s="89" t="str">
        <f>IF(Registro!B601="","",Registro!B601)</f>
        <v/>
      </c>
      <c r="B601" s="89" t="str">
        <f>IF(Registro!B601="","",Registro!H601)</f>
        <v/>
      </c>
      <c r="C601" s="137" t="str">
        <f>IF(Registro!B601="","",Registro!L601)</f>
        <v/>
      </c>
      <c r="D601" s="89" t="str">
        <f>IF(Registro!B601="","",Registro!M601)</f>
        <v/>
      </c>
      <c r="E601" s="136" t="str">
        <f>IF(A601="","",_xlfn.XLOOKUP(A601,Registro!$B$8:$B$997,Registro!$R$8:$R$997,"N/E",0))</f>
        <v/>
      </c>
      <c r="F601" s="93" t="str">
        <f t="shared" si="18"/>
        <v/>
      </c>
      <c r="G601" s="93"/>
      <c r="H601" s="136"/>
      <c r="K601" s="93"/>
      <c r="L601" s="93" t="str">
        <f t="shared" si="19"/>
        <v/>
      </c>
    </row>
    <row r="602" spans="1:12" s="89" customFormat="1">
      <c r="A602" s="89" t="str">
        <f>IF(Registro!B602="","",Registro!B602)</f>
        <v/>
      </c>
      <c r="B602" s="89" t="str">
        <f>IF(Registro!B602="","",Registro!H602)</f>
        <v/>
      </c>
      <c r="C602" s="137" t="str">
        <f>IF(Registro!B602="","",Registro!L602)</f>
        <v/>
      </c>
      <c r="D602" s="89" t="str">
        <f>IF(Registro!B602="","",Registro!M602)</f>
        <v/>
      </c>
      <c r="E602" s="136" t="str">
        <f>IF(A602="","",_xlfn.XLOOKUP(A602,Registro!$B$8:$B$997,Registro!$R$8:$R$997,"N/E",0))</f>
        <v/>
      </c>
      <c r="F602" s="93" t="str">
        <f t="shared" si="18"/>
        <v/>
      </c>
      <c r="G602" s="93"/>
      <c r="H602" s="136"/>
      <c r="K602" s="93"/>
      <c r="L602" s="93" t="str">
        <f t="shared" si="19"/>
        <v/>
      </c>
    </row>
    <row r="603" spans="1:12" s="89" customFormat="1">
      <c r="A603" s="89" t="str">
        <f>IF(Registro!B603="","",Registro!B603)</f>
        <v/>
      </c>
      <c r="B603" s="89" t="str">
        <f>IF(Registro!B603="","",Registro!H603)</f>
        <v/>
      </c>
      <c r="C603" s="137" t="str">
        <f>IF(Registro!B603="","",Registro!L603)</f>
        <v/>
      </c>
      <c r="D603" s="89" t="str">
        <f>IF(Registro!B603="","",Registro!M603)</f>
        <v/>
      </c>
      <c r="E603" s="136" t="str">
        <f>IF(A603="","",_xlfn.XLOOKUP(A603,Registro!$B$8:$B$997,Registro!$R$8:$R$997,"N/E",0))</f>
        <v/>
      </c>
      <c r="F603" s="93" t="str">
        <f t="shared" si="18"/>
        <v/>
      </c>
      <c r="G603" s="93"/>
      <c r="H603" s="136"/>
      <c r="K603" s="93"/>
      <c r="L603" s="93" t="str">
        <f t="shared" si="19"/>
        <v/>
      </c>
    </row>
    <row r="604" spans="1:12" s="89" customFormat="1">
      <c r="A604" s="89" t="str">
        <f>IF(Registro!B604="","",Registro!B604)</f>
        <v/>
      </c>
      <c r="B604" s="89" t="str">
        <f>IF(Registro!B604="","",Registro!H604)</f>
        <v/>
      </c>
      <c r="C604" s="137" t="str">
        <f>IF(Registro!B604="","",Registro!L604)</f>
        <v/>
      </c>
      <c r="D604" s="89" t="str">
        <f>IF(Registro!B604="","",Registro!M604)</f>
        <v/>
      </c>
      <c r="E604" s="136" t="str">
        <f>IF(A604="","",_xlfn.XLOOKUP(A604,Registro!$B$8:$B$997,Registro!$R$8:$R$997,"N/E",0))</f>
        <v/>
      </c>
      <c r="F604" s="93" t="str">
        <f t="shared" si="18"/>
        <v/>
      </c>
      <c r="G604" s="93"/>
      <c r="H604" s="136"/>
      <c r="K604" s="93"/>
      <c r="L604" s="93" t="str">
        <f t="shared" si="19"/>
        <v/>
      </c>
    </row>
    <row r="605" spans="1:12" s="89" customFormat="1">
      <c r="A605" s="89" t="str">
        <f>IF(Registro!B605="","",Registro!B605)</f>
        <v/>
      </c>
      <c r="B605" s="89" t="str">
        <f>IF(Registro!B605="","",Registro!H605)</f>
        <v/>
      </c>
      <c r="C605" s="137" t="str">
        <f>IF(Registro!B605="","",Registro!L605)</f>
        <v/>
      </c>
      <c r="D605" s="89" t="str">
        <f>IF(Registro!B605="","",Registro!M605)</f>
        <v/>
      </c>
      <c r="E605" s="136" t="str">
        <f>IF(A605="","",_xlfn.XLOOKUP(A605,Registro!$B$8:$B$997,Registro!$R$8:$R$997,"N/E",0))</f>
        <v/>
      </c>
      <c r="F605" s="93" t="str">
        <f t="shared" si="18"/>
        <v/>
      </c>
      <c r="G605" s="93"/>
      <c r="H605" s="136"/>
      <c r="K605" s="93"/>
      <c r="L605" s="93" t="str">
        <f t="shared" si="19"/>
        <v/>
      </c>
    </row>
    <row r="606" spans="1:12" s="89" customFormat="1">
      <c r="A606" s="89" t="str">
        <f>IF(Registro!B606="","",Registro!B606)</f>
        <v/>
      </c>
      <c r="B606" s="89" t="str">
        <f>IF(Registro!B606="","",Registro!H606)</f>
        <v/>
      </c>
      <c r="C606" s="137" t="str">
        <f>IF(Registro!B606="","",Registro!L606)</f>
        <v/>
      </c>
      <c r="D606" s="89" t="str">
        <f>IF(Registro!B606="","",Registro!M606)</f>
        <v/>
      </c>
      <c r="E606" s="136" t="str">
        <f>IF(A606="","",_xlfn.XLOOKUP(A606,Registro!$B$8:$B$997,Registro!$R$8:$R$997,"N/E",0))</f>
        <v/>
      </c>
      <c r="F606" s="93" t="str">
        <f t="shared" si="18"/>
        <v/>
      </c>
      <c r="G606" s="93"/>
      <c r="H606" s="136"/>
      <c r="K606" s="93"/>
      <c r="L606" s="93" t="str">
        <f t="shared" si="19"/>
        <v/>
      </c>
    </row>
    <row r="607" spans="1:12" s="89" customFormat="1">
      <c r="A607" s="89" t="str">
        <f>IF(Registro!B607="","",Registro!B607)</f>
        <v/>
      </c>
      <c r="B607" s="89" t="str">
        <f>IF(Registro!B607="","",Registro!H607)</f>
        <v/>
      </c>
      <c r="C607" s="137" t="str">
        <f>IF(Registro!B607="","",Registro!L607)</f>
        <v/>
      </c>
      <c r="D607" s="89" t="str">
        <f>IF(Registro!B607="","",Registro!M607)</f>
        <v/>
      </c>
      <c r="E607" s="136" t="str">
        <f>IF(A607="","",_xlfn.XLOOKUP(A607,Registro!$B$8:$B$997,Registro!$R$8:$R$997,"N/E",0))</f>
        <v/>
      </c>
      <c r="F607" s="93" t="str">
        <f t="shared" si="18"/>
        <v/>
      </c>
      <c r="G607" s="93"/>
      <c r="H607" s="136"/>
      <c r="K607" s="93"/>
      <c r="L607" s="93" t="str">
        <f t="shared" si="19"/>
        <v/>
      </c>
    </row>
    <row r="608" spans="1:12" s="89" customFormat="1">
      <c r="A608" s="89" t="str">
        <f>IF(Registro!B608="","",Registro!B608)</f>
        <v/>
      </c>
      <c r="B608" s="89" t="str">
        <f>IF(Registro!B608="","",Registro!H608)</f>
        <v/>
      </c>
      <c r="C608" s="137" t="str">
        <f>IF(Registro!B608="","",Registro!L608)</f>
        <v/>
      </c>
      <c r="D608" s="89" t="str">
        <f>IF(Registro!B608="","",Registro!M608)</f>
        <v/>
      </c>
      <c r="E608" s="136" t="str">
        <f>IF(A608="","",_xlfn.XLOOKUP(A608,Registro!$B$8:$B$997,Registro!$R$8:$R$997,"N/E",0))</f>
        <v/>
      </c>
      <c r="F608" s="93" t="str">
        <f t="shared" si="18"/>
        <v/>
      </c>
      <c r="G608" s="93"/>
      <c r="H608" s="136"/>
      <c r="K608" s="93"/>
      <c r="L608" s="93" t="str">
        <f t="shared" si="19"/>
        <v/>
      </c>
    </row>
    <row r="609" spans="1:12" s="89" customFormat="1">
      <c r="A609" s="89" t="str">
        <f>IF(Registro!B609="","",Registro!B609)</f>
        <v/>
      </c>
      <c r="B609" s="89" t="str">
        <f>IF(Registro!B609="","",Registro!H609)</f>
        <v/>
      </c>
      <c r="C609" s="137" t="str">
        <f>IF(Registro!B609="","",Registro!L609)</f>
        <v/>
      </c>
      <c r="D609" s="89" t="str">
        <f>IF(Registro!B609="","",Registro!M609)</f>
        <v/>
      </c>
      <c r="E609" s="136" t="str">
        <f>IF(A609="","",_xlfn.XLOOKUP(A609,Registro!$B$8:$B$997,Registro!$R$8:$R$997,"N/E",0))</f>
        <v/>
      </c>
      <c r="F609" s="93" t="str">
        <f t="shared" si="18"/>
        <v/>
      </c>
      <c r="G609" s="93"/>
      <c r="H609" s="136"/>
      <c r="K609" s="93"/>
      <c r="L609" s="93" t="str">
        <f t="shared" si="19"/>
        <v/>
      </c>
    </row>
    <row r="610" spans="1:12" s="89" customFormat="1">
      <c r="A610" s="89" t="str">
        <f>IF(Registro!B610="","",Registro!B610)</f>
        <v/>
      </c>
      <c r="B610" s="89" t="str">
        <f>IF(Registro!B610="","",Registro!H610)</f>
        <v/>
      </c>
      <c r="C610" s="137" t="str">
        <f>IF(Registro!B610="","",Registro!L610)</f>
        <v/>
      </c>
      <c r="D610" s="89" t="str">
        <f>IF(Registro!B610="","",Registro!M610)</f>
        <v/>
      </c>
      <c r="E610" s="136" t="str">
        <f>IF(A610="","",_xlfn.XLOOKUP(A610,Registro!$B$8:$B$997,Registro!$R$8:$R$997,"N/E",0))</f>
        <v/>
      </c>
      <c r="F610" s="93" t="str">
        <f t="shared" si="18"/>
        <v/>
      </c>
      <c r="G610" s="93"/>
      <c r="H610" s="136"/>
      <c r="K610" s="93"/>
      <c r="L610" s="93" t="str">
        <f t="shared" si="19"/>
        <v/>
      </c>
    </row>
    <row r="611" spans="1:12" s="89" customFormat="1">
      <c r="A611" s="89" t="str">
        <f>IF(Registro!B611="","",Registro!B611)</f>
        <v/>
      </c>
      <c r="B611" s="89" t="str">
        <f>IF(Registro!B611="","",Registro!H611)</f>
        <v/>
      </c>
      <c r="C611" s="137" t="str">
        <f>IF(Registro!B611="","",Registro!L611)</f>
        <v/>
      </c>
      <c r="D611" s="89" t="str">
        <f>IF(Registro!B611="","",Registro!M611)</f>
        <v/>
      </c>
      <c r="E611" s="136" t="str">
        <f>IF(A611="","",_xlfn.XLOOKUP(A611,Registro!$B$8:$B$997,Registro!$R$8:$R$997,"N/E",0))</f>
        <v/>
      </c>
      <c r="F611" s="93" t="str">
        <f t="shared" si="18"/>
        <v/>
      </c>
      <c r="G611" s="93"/>
      <c r="H611" s="136"/>
      <c r="K611" s="93"/>
      <c r="L611" s="93" t="str">
        <f t="shared" si="19"/>
        <v/>
      </c>
    </row>
    <row r="612" spans="1:12" s="89" customFormat="1">
      <c r="A612" s="89" t="str">
        <f>IF(Registro!B612="","",Registro!B612)</f>
        <v/>
      </c>
      <c r="B612" s="89" t="str">
        <f>IF(Registro!B612="","",Registro!H612)</f>
        <v/>
      </c>
      <c r="C612" s="137" t="str">
        <f>IF(Registro!B612="","",Registro!L612)</f>
        <v/>
      </c>
      <c r="D612" s="89" t="str">
        <f>IF(Registro!B612="","",Registro!M612)</f>
        <v/>
      </c>
      <c r="E612" s="136" t="str">
        <f>IF(A612="","",_xlfn.XLOOKUP(A612,Registro!$B$8:$B$997,Registro!$R$8:$R$997,"N/E",0))</f>
        <v/>
      </c>
      <c r="F612" s="93" t="str">
        <f t="shared" si="18"/>
        <v/>
      </c>
      <c r="G612" s="93"/>
      <c r="H612" s="136"/>
      <c r="K612" s="93"/>
      <c r="L612" s="93" t="str">
        <f t="shared" si="19"/>
        <v/>
      </c>
    </row>
    <row r="613" spans="1:12" s="89" customFormat="1">
      <c r="A613" s="89" t="str">
        <f>IF(Registro!B613="","",Registro!B613)</f>
        <v/>
      </c>
      <c r="B613" s="89" t="str">
        <f>IF(Registro!B613="","",Registro!H613)</f>
        <v/>
      </c>
      <c r="C613" s="137" t="str">
        <f>IF(Registro!B613="","",Registro!L613)</f>
        <v/>
      </c>
      <c r="D613" s="89" t="str">
        <f>IF(Registro!B613="","",Registro!M613)</f>
        <v/>
      </c>
      <c r="E613" s="136" t="str">
        <f>IF(A613="","",_xlfn.XLOOKUP(A613,Registro!$B$8:$B$997,Registro!$R$8:$R$997,"N/E",0))</f>
        <v/>
      </c>
      <c r="F613" s="93" t="str">
        <f t="shared" si="18"/>
        <v/>
      </c>
      <c r="G613" s="93"/>
      <c r="H613" s="136"/>
      <c r="K613" s="93"/>
      <c r="L613" s="93" t="str">
        <f t="shared" si="19"/>
        <v/>
      </c>
    </row>
    <row r="614" spans="1:12" s="89" customFormat="1">
      <c r="A614" s="89" t="str">
        <f>IF(Registro!B614="","",Registro!B614)</f>
        <v/>
      </c>
      <c r="B614" s="89" t="str">
        <f>IF(Registro!B614="","",Registro!H614)</f>
        <v/>
      </c>
      <c r="C614" s="137" t="str">
        <f>IF(Registro!B614="","",Registro!L614)</f>
        <v/>
      </c>
      <c r="D614" s="89" t="str">
        <f>IF(Registro!B614="","",Registro!M614)</f>
        <v/>
      </c>
      <c r="E614" s="136" t="str">
        <f>IF(A614="","",_xlfn.XLOOKUP(A614,Registro!$B$8:$B$997,Registro!$R$8:$R$997,"N/E",0))</f>
        <v/>
      </c>
      <c r="F614" s="93" t="str">
        <f t="shared" si="18"/>
        <v/>
      </c>
      <c r="G614" s="93"/>
      <c r="H614" s="136"/>
      <c r="K614" s="93"/>
      <c r="L614" s="93" t="str">
        <f t="shared" si="19"/>
        <v/>
      </c>
    </row>
    <row r="615" spans="1:12" s="89" customFormat="1">
      <c r="A615" s="89" t="str">
        <f>IF(Registro!B615="","",Registro!B615)</f>
        <v/>
      </c>
      <c r="B615" s="89" t="str">
        <f>IF(Registro!B615="","",Registro!H615)</f>
        <v/>
      </c>
      <c r="C615" s="137" t="str">
        <f>IF(Registro!B615="","",Registro!L615)</f>
        <v/>
      </c>
      <c r="D615" s="89" t="str">
        <f>IF(Registro!B615="","",Registro!M615)</f>
        <v/>
      </c>
      <c r="E615" s="136" t="str">
        <f>IF(A615="","",_xlfn.XLOOKUP(A615,Registro!$B$8:$B$997,Registro!$R$8:$R$997,"N/E",0))</f>
        <v/>
      </c>
      <c r="F615" s="93" t="str">
        <f t="shared" si="18"/>
        <v/>
      </c>
      <c r="G615" s="93"/>
      <c r="H615" s="136"/>
      <c r="K615" s="93"/>
      <c r="L615" s="93" t="str">
        <f t="shared" si="19"/>
        <v/>
      </c>
    </row>
    <row r="616" spans="1:12" s="89" customFormat="1">
      <c r="A616" s="89" t="str">
        <f>IF(Registro!B616="","",Registro!B616)</f>
        <v/>
      </c>
      <c r="B616" s="89" t="str">
        <f>IF(Registro!B616="","",Registro!H616)</f>
        <v/>
      </c>
      <c r="C616" s="137" t="str">
        <f>IF(Registro!B616="","",Registro!L616)</f>
        <v/>
      </c>
      <c r="D616" s="89" t="str">
        <f>IF(Registro!B616="","",Registro!M616)</f>
        <v/>
      </c>
      <c r="E616" s="136" t="str">
        <f>IF(A616="","",_xlfn.XLOOKUP(A616,Registro!$B$8:$B$997,Registro!$R$8:$R$997,"N/E",0))</f>
        <v/>
      </c>
      <c r="F616" s="93" t="str">
        <f t="shared" si="18"/>
        <v/>
      </c>
      <c r="G616" s="93"/>
      <c r="H616" s="136"/>
      <c r="K616" s="93"/>
      <c r="L616" s="93" t="str">
        <f t="shared" si="19"/>
        <v/>
      </c>
    </row>
    <row r="617" spans="1:12" s="89" customFormat="1">
      <c r="A617" s="89" t="str">
        <f>IF(Registro!B617="","",Registro!B617)</f>
        <v/>
      </c>
      <c r="B617" s="89" t="str">
        <f>IF(Registro!B617="","",Registro!H617)</f>
        <v/>
      </c>
      <c r="C617" s="137" t="str">
        <f>IF(Registro!B617="","",Registro!L617)</f>
        <v/>
      </c>
      <c r="D617" s="89" t="str">
        <f>IF(Registro!B617="","",Registro!M617)</f>
        <v/>
      </c>
      <c r="E617" s="136" t="str">
        <f>IF(A617="","",_xlfn.XLOOKUP(A617,Registro!$B$8:$B$997,Registro!$R$8:$R$997,"N/E",0))</f>
        <v/>
      </c>
      <c r="F617" s="93" t="str">
        <f t="shared" si="18"/>
        <v/>
      </c>
      <c r="G617" s="93"/>
      <c r="H617" s="136"/>
      <c r="K617" s="93"/>
      <c r="L617" s="93" t="str">
        <f t="shared" si="19"/>
        <v/>
      </c>
    </row>
    <row r="618" spans="1:12" s="89" customFormat="1">
      <c r="A618" s="89" t="str">
        <f>IF(Registro!B618="","",Registro!B618)</f>
        <v/>
      </c>
      <c r="B618" s="89" t="str">
        <f>IF(Registro!B618="","",Registro!H618)</f>
        <v/>
      </c>
      <c r="C618" s="137" t="str">
        <f>IF(Registro!B618="","",Registro!L618)</f>
        <v/>
      </c>
      <c r="D618" s="89" t="str">
        <f>IF(Registro!B618="","",Registro!M618)</f>
        <v/>
      </c>
      <c r="E618" s="136" t="str">
        <f>IF(A618="","",_xlfn.XLOOKUP(A618,Registro!$B$8:$B$997,Registro!$R$8:$R$997,"N/E",0))</f>
        <v/>
      </c>
      <c r="F618" s="93" t="str">
        <f t="shared" si="18"/>
        <v/>
      </c>
      <c r="G618" s="93"/>
      <c r="H618" s="136"/>
      <c r="K618" s="93"/>
      <c r="L618" s="93" t="str">
        <f t="shared" si="19"/>
        <v/>
      </c>
    </row>
    <row r="619" spans="1:12" s="89" customFormat="1">
      <c r="A619" s="89" t="str">
        <f>IF(Registro!B619="","",Registro!B619)</f>
        <v/>
      </c>
      <c r="B619" s="89" t="str">
        <f>IF(Registro!B619="","",Registro!H619)</f>
        <v/>
      </c>
      <c r="C619" s="137" t="str">
        <f>IF(Registro!B619="","",Registro!L619)</f>
        <v/>
      </c>
      <c r="D619" s="89" t="str">
        <f>IF(Registro!B619="","",Registro!M619)</f>
        <v/>
      </c>
      <c r="E619" s="136" t="str">
        <f>IF(A619="","",_xlfn.XLOOKUP(A619,Registro!$B$8:$B$997,Registro!$R$8:$R$997,"N/E",0))</f>
        <v/>
      </c>
      <c r="F619" s="93" t="str">
        <f t="shared" si="18"/>
        <v/>
      </c>
      <c r="G619" s="93"/>
      <c r="H619" s="136"/>
      <c r="K619" s="93"/>
      <c r="L619" s="93" t="str">
        <f t="shared" si="19"/>
        <v/>
      </c>
    </row>
    <row r="620" spans="1:12" s="89" customFormat="1">
      <c r="A620" s="89" t="str">
        <f>IF(Registro!B620="","",Registro!B620)</f>
        <v/>
      </c>
      <c r="B620" s="89" t="str">
        <f>IF(Registro!B620="","",Registro!H620)</f>
        <v/>
      </c>
      <c r="C620" s="137" t="str">
        <f>IF(Registro!B620="","",Registro!L620)</f>
        <v/>
      </c>
      <c r="D620" s="89" t="str">
        <f>IF(Registro!B620="","",Registro!M620)</f>
        <v/>
      </c>
      <c r="E620" s="136" t="str">
        <f>IF(A620="","",_xlfn.XLOOKUP(A620,Registro!$B$8:$B$997,Registro!$R$8:$R$997,"N/E",0))</f>
        <v/>
      </c>
      <c r="F620" s="93" t="str">
        <f t="shared" si="18"/>
        <v/>
      </c>
      <c r="G620" s="93"/>
      <c r="H620" s="136"/>
      <c r="K620" s="93"/>
      <c r="L620" s="93" t="str">
        <f t="shared" si="19"/>
        <v/>
      </c>
    </row>
    <row r="621" spans="1:12" s="89" customFormat="1">
      <c r="A621" s="89" t="str">
        <f>IF(Registro!B621="","",Registro!B621)</f>
        <v/>
      </c>
      <c r="B621" s="89" t="str">
        <f>IF(Registro!B621="","",Registro!H621)</f>
        <v/>
      </c>
      <c r="C621" s="137" t="str">
        <f>IF(Registro!B621="","",Registro!L621)</f>
        <v/>
      </c>
      <c r="D621" s="89" t="str">
        <f>IF(Registro!B621="","",Registro!M621)</f>
        <v/>
      </c>
      <c r="E621" s="136" t="str">
        <f>IF(A621="","",_xlfn.XLOOKUP(A621,Registro!$B$8:$B$997,Registro!$R$8:$R$997,"N/E",0))</f>
        <v/>
      </c>
      <c r="F621" s="93" t="str">
        <f t="shared" si="18"/>
        <v/>
      </c>
      <c r="G621" s="93"/>
      <c r="H621" s="136"/>
      <c r="K621" s="93"/>
      <c r="L621" s="93" t="str">
        <f t="shared" si="19"/>
        <v/>
      </c>
    </row>
    <row r="622" spans="1:12" s="89" customFormat="1">
      <c r="A622" s="89" t="str">
        <f>IF(Registro!B622="","",Registro!B622)</f>
        <v/>
      </c>
      <c r="B622" s="89" t="str">
        <f>IF(Registro!B622="","",Registro!H622)</f>
        <v/>
      </c>
      <c r="C622" s="137" t="str">
        <f>IF(Registro!B622="","",Registro!L622)</f>
        <v/>
      </c>
      <c r="D622" s="89" t="str">
        <f>IF(Registro!B622="","",Registro!M622)</f>
        <v/>
      </c>
      <c r="E622" s="136" t="str">
        <f>IF(A622="","",_xlfn.XLOOKUP(A622,Registro!$B$8:$B$997,Registro!$R$8:$R$997,"N/E",0))</f>
        <v/>
      </c>
      <c r="F622" s="93" t="str">
        <f t="shared" si="18"/>
        <v/>
      </c>
      <c r="G622" s="93"/>
      <c r="H622" s="136"/>
      <c r="K622" s="93"/>
      <c r="L622" s="93" t="str">
        <f t="shared" si="19"/>
        <v/>
      </c>
    </row>
    <row r="623" spans="1:12" s="89" customFormat="1">
      <c r="A623" s="89" t="str">
        <f>IF(Registro!B623="","",Registro!B623)</f>
        <v/>
      </c>
      <c r="B623" s="89" t="str">
        <f>IF(Registro!B623="","",Registro!H623)</f>
        <v/>
      </c>
      <c r="C623" s="137" t="str">
        <f>IF(Registro!B623="","",Registro!L623)</f>
        <v/>
      </c>
      <c r="D623" s="89" t="str">
        <f>IF(Registro!B623="","",Registro!M623)</f>
        <v/>
      </c>
      <c r="E623" s="136" t="str">
        <f>IF(A623="","",_xlfn.XLOOKUP(A623,Registro!$B$8:$B$997,Registro!$R$8:$R$997,"N/E",0))</f>
        <v/>
      </c>
      <c r="F623" s="93" t="str">
        <f t="shared" si="18"/>
        <v/>
      </c>
      <c r="G623" s="93"/>
      <c r="H623" s="136"/>
      <c r="K623" s="93"/>
      <c r="L623" s="93" t="str">
        <f t="shared" si="19"/>
        <v/>
      </c>
    </row>
    <row r="624" spans="1:12" s="89" customFormat="1">
      <c r="A624" s="89" t="str">
        <f>IF(Registro!B624="","",Registro!B624)</f>
        <v/>
      </c>
      <c r="B624" s="89" t="str">
        <f>IF(Registro!B624="","",Registro!H624)</f>
        <v/>
      </c>
      <c r="C624" s="137" t="str">
        <f>IF(Registro!B624="","",Registro!L624)</f>
        <v/>
      </c>
      <c r="D624" s="89" t="str">
        <f>IF(Registro!B624="","",Registro!M624)</f>
        <v/>
      </c>
      <c r="E624" s="136" t="str">
        <f>IF(A624="","",_xlfn.XLOOKUP(A624,Registro!$B$8:$B$997,Registro!$R$8:$R$997,"N/E",0))</f>
        <v/>
      </c>
      <c r="F624" s="93" t="str">
        <f t="shared" si="18"/>
        <v/>
      </c>
      <c r="G624" s="93"/>
      <c r="H624" s="136"/>
      <c r="K624" s="93"/>
      <c r="L624" s="93" t="str">
        <f t="shared" si="19"/>
        <v/>
      </c>
    </row>
    <row r="625" spans="1:12" s="89" customFormat="1">
      <c r="A625" s="89" t="str">
        <f>IF(Registro!B625="","",Registro!B625)</f>
        <v/>
      </c>
      <c r="B625" s="89" t="str">
        <f>IF(Registro!B625="","",Registro!H625)</f>
        <v/>
      </c>
      <c r="C625" s="137" t="str">
        <f>IF(Registro!B625="","",Registro!L625)</f>
        <v/>
      </c>
      <c r="D625" s="89" t="str">
        <f>IF(Registro!B625="","",Registro!M625)</f>
        <v/>
      </c>
      <c r="E625" s="136" t="str">
        <f>IF(A625="","",_xlfn.XLOOKUP(A625,Registro!$B$8:$B$997,Registro!$R$8:$R$997,"N/E",0))</f>
        <v/>
      </c>
      <c r="F625" s="93" t="str">
        <f t="shared" si="18"/>
        <v/>
      </c>
      <c r="G625" s="93"/>
      <c r="H625" s="136"/>
      <c r="K625" s="93"/>
      <c r="L625" s="93" t="str">
        <f t="shared" si="19"/>
        <v/>
      </c>
    </row>
    <row r="626" spans="1:12" s="89" customFormat="1">
      <c r="A626" s="89" t="str">
        <f>IF(Registro!B626="","",Registro!B626)</f>
        <v/>
      </c>
      <c r="B626" s="89" t="str">
        <f>IF(Registro!B626="","",Registro!H626)</f>
        <v/>
      </c>
      <c r="C626" s="137" t="str">
        <f>IF(Registro!B626="","",Registro!L626)</f>
        <v/>
      </c>
      <c r="D626" s="89" t="str">
        <f>IF(Registro!B626="","",Registro!M626)</f>
        <v/>
      </c>
      <c r="E626" s="136" t="str">
        <f>IF(A626="","",_xlfn.XLOOKUP(A626,Registro!$B$8:$B$997,Registro!$R$8:$R$997,"N/E",0))</f>
        <v/>
      </c>
      <c r="F626" s="93" t="str">
        <f t="shared" si="18"/>
        <v/>
      </c>
      <c r="G626" s="93"/>
      <c r="H626" s="136"/>
      <c r="K626" s="93"/>
      <c r="L626" s="93" t="str">
        <f t="shared" si="19"/>
        <v/>
      </c>
    </row>
    <row r="627" spans="1:12" s="89" customFormat="1">
      <c r="A627" s="89" t="str">
        <f>IF(Registro!B627="","",Registro!B627)</f>
        <v/>
      </c>
      <c r="B627" s="89" t="str">
        <f>IF(Registro!B627="","",Registro!H627)</f>
        <v/>
      </c>
      <c r="C627" s="137" t="str">
        <f>IF(Registro!B627="","",Registro!L627)</f>
        <v/>
      </c>
      <c r="D627" s="89" t="str">
        <f>IF(Registro!B627="","",Registro!M627)</f>
        <v/>
      </c>
      <c r="E627" s="136" t="str">
        <f>IF(A627="","",_xlfn.XLOOKUP(A627,Registro!$B$8:$B$997,Registro!$R$8:$R$997,"N/E",0))</f>
        <v/>
      </c>
      <c r="F627" s="93" t="str">
        <f t="shared" si="18"/>
        <v/>
      </c>
      <c r="G627" s="93"/>
      <c r="H627" s="136"/>
      <c r="K627" s="93"/>
      <c r="L627" s="93" t="str">
        <f t="shared" si="19"/>
        <v/>
      </c>
    </row>
    <row r="628" spans="1:12" s="89" customFormat="1">
      <c r="A628" s="89" t="str">
        <f>IF(Registro!B628="","",Registro!B628)</f>
        <v/>
      </c>
      <c r="B628" s="89" t="str">
        <f>IF(Registro!B628="","",Registro!H628)</f>
        <v/>
      </c>
      <c r="C628" s="137" t="str">
        <f>IF(Registro!B628="","",Registro!L628)</f>
        <v/>
      </c>
      <c r="D628" s="89" t="str">
        <f>IF(Registro!B628="","",Registro!M628)</f>
        <v/>
      </c>
      <c r="E628" s="136" t="str">
        <f>IF(A628="","",_xlfn.XLOOKUP(A628,Registro!$B$8:$B$997,Registro!$R$8:$R$997,"N/E",0))</f>
        <v/>
      </c>
      <c r="F628" s="93" t="str">
        <f t="shared" si="18"/>
        <v/>
      </c>
      <c r="G628" s="93"/>
      <c r="H628" s="136"/>
      <c r="K628" s="93"/>
      <c r="L628" s="93" t="str">
        <f t="shared" si="19"/>
        <v/>
      </c>
    </row>
    <row r="629" spans="1:12" s="89" customFormat="1">
      <c r="A629" s="89" t="str">
        <f>IF(Registro!B629="","",Registro!B629)</f>
        <v/>
      </c>
      <c r="B629" s="89" t="str">
        <f>IF(Registro!B629="","",Registro!H629)</f>
        <v/>
      </c>
      <c r="C629" s="137" t="str">
        <f>IF(Registro!B629="","",Registro!L629)</f>
        <v/>
      </c>
      <c r="D629" s="89" t="str">
        <f>IF(Registro!B629="","",Registro!M629)</f>
        <v/>
      </c>
      <c r="E629" s="136" t="str">
        <f>IF(A629="","",_xlfn.XLOOKUP(A629,Registro!$B$8:$B$997,Registro!$R$8:$R$997,"N/E",0))</f>
        <v/>
      </c>
      <c r="F629" s="93" t="str">
        <f t="shared" si="18"/>
        <v/>
      </c>
      <c r="G629" s="93"/>
      <c r="H629" s="136"/>
      <c r="K629" s="93"/>
      <c r="L629" s="93" t="str">
        <f t="shared" si="19"/>
        <v/>
      </c>
    </row>
    <row r="630" spans="1:12" s="89" customFormat="1">
      <c r="A630" s="89" t="str">
        <f>IF(Registro!B630="","",Registro!B630)</f>
        <v/>
      </c>
      <c r="B630" s="89" t="str">
        <f>IF(Registro!B630="","",Registro!H630)</f>
        <v/>
      </c>
      <c r="C630" s="137" t="str">
        <f>IF(Registro!B630="","",Registro!L630)</f>
        <v/>
      </c>
      <c r="D630" s="89" t="str">
        <f>IF(Registro!B630="","",Registro!M630)</f>
        <v/>
      </c>
      <c r="E630" s="136" t="str">
        <f>IF(A630="","",_xlfn.XLOOKUP(A630,Registro!$B$8:$B$997,Registro!$R$8:$R$997,"N/E",0))</f>
        <v/>
      </c>
      <c r="F630" s="93" t="str">
        <f t="shared" si="18"/>
        <v/>
      </c>
      <c r="G630" s="93"/>
      <c r="H630" s="136"/>
      <c r="K630" s="93"/>
      <c r="L630" s="93" t="str">
        <f t="shared" si="19"/>
        <v/>
      </c>
    </row>
    <row r="631" spans="1:12" s="89" customFormat="1">
      <c r="A631" s="89" t="str">
        <f>IF(Registro!B631="","",Registro!B631)</f>
        <v/>
      </c>
      <c r="B631" s="89" t="str">
        <f>IF(Registro!B631="","",Registro!H631)</f>
        <v/>
      </c>
      <c r="C631" s="137" t="str">
        <f>IF(Registro!B631="","",Registro!L631)</f>
        <v/>
      </c>
      <c r="D631" s="89" t="str">
        <f>IF(Registro!B631="","",Registro!M631)</f>
        <v/>
      </c>
      <c r="E631" s="136" t="str">
        <f>IF(A631="","",_xlfn.XLOOKUP(A631,Registro!$B$8:$B$997,Registro!$R$8:$R$997,"N/E",0))</f>
        <v/>
      </c>
      <c r="F631" s="93" t="str">
        <f t="shared" si="18"/>
        <v/>
      </c>
      <c r="G631" s="93"/>
      <c r="H631" s="136"/>
      <c r="K631" s="93"/>
      <c r="L631" s="93" t="str">
        <f t="shared" si="19"/>
        <v/>
      </c>
    </row>
    <row r="632" spans="1:12" s="89" customFormat="1">
      <c r="A632" s="89" t="str">
        <f>IF(Registro!B632="","",Registro!B632)</f>
        <v/>
      </c>
      <c r="B632" s="89" t="str">
        <f>IF(Registro!B632="","",Registro!H632)</f>
        <v/>
      </c>
      <c r="C632" s="137" t="str">
        <f>IF(Registro!B632="","",Registro!L632)</f>
        <v/>
      </c>
      <c r="D632" s="89" t="str">
        <f>IF(Registro!B632="","",Registro!M632)</f>
        <v/>
      </c>
      <c r="E632" s="136" t="str">
        <f>IF(A632="","",_xlfn.XLOOKUP(A632,Registro!$B$8:$B$997,Registro!$R$8:$R$997,"N/E",0))</f>
        <v/>
      </c>
      <c r="F632" s="93" t="str">
        <f t="shared" si="18"/>
        <v/>
      </c>
      <c r="G632" s="93"/>
      <c r="H632" s="136"/>
      <c r="K632" s="93"/>
      <c r="L632" s="93" t="str">
        <f t="shared" si="19"/>
        <v/>
      </c>
    </row>
    <row r="633" spans="1:12" s="89" customFormat="1">
      <c r="A633" s="89" t="str">
        <f>IF(Registro!B633="","",Registro!B633)</f>
        <v/>
      </c>
      <c r="B633" s="89" t="str">
        <f>IF(Registro!B633="","",Registro!H633)</f>
        <v/>
      </c>
      <c r="C633" s="137" t="str">
        <f>IF(Registro!B633="","",Registro!L633)</f>
        <v/>
      </c>
      <c r="D633" s="89" t="str">
        <f>IF(Registro!B633="","",Registro!M633)</f>
        <v/>
      </c>
      <c r="E633" s="136" t="str">
        <f>IF(A633="","",_xlfn.XLOOKUP(A633,Registro!$B$8:$B$997,Registro!$R$8:$R$997,"N/E",0))</f>
        <v/>
      </c>
      <c r="F633" s="93" t="str">
        <f t="shared" si="18"/>
        <v/>
      </c>
      <c r="G633" s="93"/>
      <c r="H633" s="136"/>
      <c r="K633" s="93"/>
      <c r="L633" s="93" t="str">
        <f t="shared" si="19"/>
        <v/>
      </c>
    </row>
    <row r="634" spans="1:12" s="89" customFormat="1">
      <c r="A634" s="89" t="str">
        <f>IF(Registro!B634="","",Registro!B634)</f>
        <v/>
      </c>
      <c r="B634" s="89" t="str">
        <f>IF(Registro!B634="","",Registro!H634)</f>
        <v/>
      </c>
      <c r="C634" s="137" t="str">
        <f>IF(Registro!B634="","",Registro!L634)</f>
        <v/>
      </c>
      <c r="D634" s="89" t="str">
        <f>IF(Registro!B634="","",Registro!M634)</f>
        <v/>
      </c>
      <c r="E634" s="136" t="str">
        <f>IF(A634="","",_xlfn.XLOOKUP(A634,Registro!$B$8:$B$997,Registro!$R$8:$R$997,"N/E",0))</f>
        <v/>
      </c>
      <c r="F634" s="93" t="str">
        <f t="shared" si="18"/>
        <v/>
      </c>
      <c r="G634" s="93"/>
      <c r="H634" s="136"/>
      <c r="K634" s="93"/>
      <c r="L634" s="93" t="str">
        <f t="shared" si="19"/>
        <v/>
      </c>
    </row>
    <row r="635" spans="1:12" s="89" customFormat="1">
      <c r="A635" s="89" t="str">
        <f>IF(Registro!B635="","",Registro!B635)</f>
        <v/>
      </c>
      <c r="B635" s="89" t="str">
        <f>IF(Registro!B635="","",Registro!H635)</f>
        <v/>
      </c>
      <c r="C635" s="137" t="str">
        <f>IF(Registro!B635="","",Registro!L635)</f>
        <v/>
      </c>
      <c r="D635" s="89" t="str">
        <f>IF(Registro!B635="","",Registro!M635)</f>
        <v/>
      </c>
      <c r="E635" s="136" t="str">
        <f>IF(A635="","",_xlfn.XLOOKUP(A635,Registro!$B$8:$B$997,Registro!$R$8:$R$997,"N/E",0))</f>
        <v/>
      </c>
      <c r="F635" s="93" t="str">
        <f t="shared" si="18"/>
        <v/>
      </c>
      <c r="G635" s="93"/>
      <c r="H635" s="136"/>
      <c r="K635" s="93"/>
      <c r="L635" s="93" t="str">
        <f t="shared" si="19"/>
        <v/>
      </c>
    </row>
    <row r="636" spans="1:12" s="89" customFormat="1">
      <c r="A636" s="89" t="str">
        <f>IF(Registro!B636="","",Registro!B636)</f>
        <v/>
      </c>
      <c r="B636" s="89" t="str">
        <f>IF(Registro!B636="","",Registro!H636)</f>
        <v/>
      </c>
      <c r="C636" s="137" t="str">
        <f>IF(Registro!B636="","",Registro!L636)</f>
        <v/>
      </c>
      <c r="D636" s="89" t="str">
        <f>IF(Registro!B636="","",Registro!M636)</f>
        <v/>
      </c>
      <c r="E636" s="136" t="str">
        <f>IF(A636="","",_xlfn.XLOOKUP(A636,Registro!$B$8:$B$997,Registro!$R$8:$R$997,"N/E",0))</f>
        <v/>
      </c>
      <c r="F636" s="93" t="str">
        <f t="shared" si="18"/>
        <v/>
      </c>
      <c r="G636" s="93"/>
      <c r="H636" s="136"/>
      <c r="K636" s="93"/>
      <c r="L636" s="93" t="str">
        <f t="shared" si="19"/>
        <v/>
      </c>
    </row>
    <row r="637" spans="1:12" s="89" customFormat="1">
      <c r="A637" s="89" t="str">
        <f>IF(Registro!B637="","",Registro!B637)</f>
        <v/>
      </c>
      <c r="B637" s="89" t="str">
        <f>IF(Registro!B637="","",Registro!H637)</f>
        <v/>
      </c>
      <c r="C637" s="137" t="str">
        <f>IF(Registro!B637="","",Registro!L637)</f>
        <v/>
      </c>
      <c r="D637" s="89" t="str">
        <f>IF(Registro!B637="","",Registro!M637)</f>
        <v/>
      </c>
      <c r="E637" s="136" t="str">
        <f>IF(A637="","",_xlfn.XLOOKUP(A637,Registro!$B$8:$B$997,Registro!$R$8:$R$997,"N/E",0))</f>
        <v/>
      </c>
      <c r="F637" s="93" t="str">
        <f t="shared" si="18"/>
        <v/>
      </c>
      <c r="G637" s="93"/>
      <c r="H637" s="136"/>
      <c r="K637" s="93"/>
      <c r="L637" s="93" t="str">
        <f t="shared" si="19"/>
        <v/>
      </c>
    </row>
    <row r="638" spans="1:12" s="89" customFormat="1">
      <c r="A638" s="89" t="str">
        <f>IF(Registro!B638="","",Registro!B638)</f>
        <v/>
      </c>
      <c r="B638" s="89" t="str">
        <f>IF(Registro!B638="","",Registro!H638)</f>
        <v/>
      </c>
      <c r="C638" s="137" t="str">
        <f>IF(Registro!B638="","",Registro!L638)</f>
        <v/>
      </c>
      <c r="D638" s="89" t="str">
        <f>IF(Registro!B638="","",Registro!M638)</f>
        <v/>
      </c>
      <c r="E638" s="136" t="str">
        <f>IF(A638="","",_xlfn.XLOOKUP(A638,Registro!$B$8:$B$997,Registro!$R$8:$R$997,"N/E",0))</f>
        <v/>
      </c>
      <c r="F638" s="93" t="str">
        <f t="shared" si="18"/>
        <v/>
      </c>
      <c r="G638" s="93"/>
      <c r="H638" s="136"/>
      <c r="K638" s="93"/>
      <c r="L638" s="93" t="str">
        <f t="shared" si="19"/>
        <v/>
      </c>
    </row>
    <row r="639" spans="1:12" s="89" customFormat="1">
      <c r="A639" s="89" t="str">
        <f>IF(Registro!B639="","",Registro!B639)</f>
        <v/>
      </c>
      <c r="B639" s="89" t="str">
        <f>IF(Registro!B639="","",Registro!H639)</f>
        <v/>
      </c>
      <c r="C639" s="137" t="str">
        <f>IF(Registro!B639="","",Registro!L639)</f>
        <v/>
      </c>
      <c r="D639" s="89" t="str">
        <f>IF(Registro!B639="","",Registro!M639)</f>
        <v/>
      </c>
      <c r="E639" s="136" t="str">
        <f>IF(A639="","",_xlfn.XLOOKUP(A639,Registro!$B$8:$B$997,Registro!$R$8:$R$997,"N/E",0))</f>
        <v/>
      </c>
      <c r="F639" s="93" t="str">
        <f t="shared" si="18"/>
        <v/>
      </c>
      <c r="G639" s="93"/>
      <c r="H639" s="136"/>
      <c r="K639" s="93"/>
      <c r="L639" s="93" t="str">
        <f t="shared" si="19"/>
        <v/>
      </c>
    </row>
    <row r="640" spans="1:12" s="89" customFormat="1">
      <c r="A640" s="89" t="str">
        <f>IF(Registro!B640="","",Registro!B640)</f>
        <v/>
      </c>
      <c r="B640" s="89" t="str">
        <f>IF(Registro!B640="","",Registro!H640)</f>
        <v/>
      </c>
      <c r="C640" s="137" t="str">
        <f>IF(Registro!B640="","",Registro!L640)</f>
        <v/>
      </c>
      <c r="D640" s="89" t="str">
        <f>IF(Registro!B640="","",Registro!M640)</f>
        <v/>
      </c>
      <c r="E640" s="136" t="str">
        <f>IF(A640="","",_xlfn.XLOOKUP(A640,Registro!$B$8:$B$997,Registro!$R$8:$R$997,"N/E",0))</f>
        <v/>
      </c>
      <c r="F640" s="93" t="str">
        <f t="shared" si="18"/>
        <v/>
      </c>
      <c r="G640" s="93"/>
      <c r="H640" s="136"/>
      <c r="K640" s="93"/>
      <c r="L640" s="93" t="str">
        <f t="shared" si="19"/>
        <v/>
      </c>
    </row>
    <row r="641" spans="1:12" s="89" customFormat="1">
      <c r="A641" s="89" t="str">
        <f>IF(Registro!B641="","",Registro!B641)</f>
        <v/>
      </c>
      <c r="B641" s="89" t="str">
        <f>IF(Registro!B641="","",Registro!H641)</f>
        <v/>
      </c>
      <c r="C641" s="137" t="str">
        <f>IF(Registro!B641="","",Registro!L641)</f>
        <v/>
      </c>
      <c r="D641" s="89" t="str">
        <f>IF(Registro!B641="","",Registro!M641)</f>
        <v/>
      </c>
      <c r="E641" s="136" t="str">
        <f>IF(A641="","",_xlfn.XLOOKUP(A641,Registro!$B$8:$B$997,Registro!$R$8:$R$997,"N/E",0))</f>
        <v/>
      </c>
      <c r="F641" s="93" t="str">
        <f t="shared" si="18"/>
        <v/>
      </c>
      <c r="G641" s="93"/>
      <c r="H641" s="136"/>
      <c r="K641" s="93"/>
      <c r="L641" s="93" t="str">
        <f t="shared" si="19"/>
        <v/>
      </c>
    </row>
    <row r="642" spans="1:12" s="89" customFormat="1">
      <c r="A642" s="89" t="str">
        <f>IF(Registro!B642="","",Registro!B642)</f>
        <v/>
      </c>
      <c r="B642" s="89" t="str">
        <f>IF(Registro!B642="","",Registro!H642)</f>
        <v/>
      </c>
      <c r="C642" s="137" t="str">
        <f>IF(Registro!B642="","",Registro!L642)</f>
        <v/>
      </c>
      <c r="D642" s="89" t="str">
        <f>IF(Registro!B642="","",Registro!M642)</f>
        <v/>
      </c>
      <c r="E642" s="136" t="str">
        <f>IF(A642="","",_xlfn.XLOOKUP(A642,Registro!$B$8:$B$997,Registro!$R$8:$R$997,"N/E",0))</f>
        <v/>
      </c>
      <c r="F642" s="93" t="str">
        <f t="shared" si="18"/>
        <v/>
      </c>
      <c r="G642" s="93"/>
      <c r="H642" s="136"/>
      <c r="K642" s="93"/>
      <c r="L642" s="93" t="str">
        <f t="shared" si="19"/>
        <v/>
      </c>
    </row>
    <row r="643" spans="1:12" s="89" customFormat="1">
      <c r="A643" s="89" t="str">
        <f>IF(Registro!B643="","",Registro!B643)</f>
        <v/>
      </c>
      <c r="B643" s="89" t="str">
        <f>IF(Registro!B643="","",Registro!H643)</f>
        <v/>
      </c>
      <c r="C643" s="137" t="str">
        <f>IF(Registro!B643="","",Registro!L643)</f>
        <v/>
      </c>
      <c r="D643" s="89" t="str">
        <f>IF(Registro!B643="","",Registro!M643)</f>
        <v/>
      </c>
      <c r="E643" s="136" t="str">
        <f>IF(A643="","",_xlfn.XLOOKUP(A643,Registro!$B$8:$B$997,Registro!$R$8:$R$997,"N/E",0))</f>
        <v/>
      </c>
      <c r="F643" s="93" t="str">
        <f t="shared" si="18"/>
        <v/>
      </c>
      <c r="G643" s="93"/>
      <c r="H643" s="136"/>
      <c r="K643" s="93"/>
      <c r="L643" s="93" t="str">
        <f t="shared" si="19"/>
        <v/>
      </c>
    </row>
    <row r="644" spans="1:12" s="89" customFormat="1">
      <c r="A644" s="89" t="str">
        <f>IF(Registro!B644="","",Registro!B644)</f>
        <v/>
      </c>
      <c r="B644" s="89" t="str">
        <f>IF(Registro!B644="","",Registro!H644)</f>
        <v/>
      </c>
      <c r="C644" s="137" t="str">
        <f>IF(Registro!B644="","",Registro!L644)</f>
        <v/>
      </c>
      <c r="D644" s="89" t="str">
        <f>IF(Registro!B644="","",Registro!M644)</f>
        <v/>
      </c>
      <c r="E644" s="136" t="str">
        <f>IF(A644="","",_xlfn.XLOOKUP(A644,Registro!$B$8:$B$997,Registro!$R$8:$R$997,"N/E",0))</f>
        <v/>
      </c>
      <c r="F644" s="93" t="str">
        <f t="shared" si="18"/>
        <v/>
      </c>
      <c r="G644" s="93"/>
      <c r="H644" s="136"/>
      <c r="K644" s="93"/>
      <c r="L644" s="93" t="str">
        <f t="shared" si="19"/>
        <v/>
      </c>
    </row>
    <row r="645" spans="1:12" s="89" customFormat="1">
      <c r="A645" s="89" t="str">
        <f>IF(Registro!B645="","",Registro!B645)</f>
        <v/>
      </c>
      <c r="B645" s="89" t="str">
        <f>IF(Registro!B645="","",Registro!H645)</f>
        <v/>
      </c>
      <c r="C645" s="137" t="str">
        <f>IF(Registro!B645="","",Registro!L645)</f>
        <v/>
      </c>
      <c r="D645" s="89" t="str">
        <f>IF(Registro!B645="","",Registro!M645)</f>
        <v/>
      </c>
      <c r="E645" s="136" t="str">
        <f>IF(A645="","",_xlfn.XLOOKUP(A645,Registro!$B$8:$B$997,Registro!$R$8:$R$997,"N/E",0))</f>
        <v/>
      </c>
      <c r="F645" s="93" t="str">
        <f t="shared" si="18"/>
        <v/>
      </c>
      <c r="G645" s="93"/>
      <c r="H645" s="136"/>
      <c r="K645" s="93"/>
      <c r="L645" s="93" t="str">
        <f t="shared" si="19"/>
        <v/>
      </c>
    </row>
    <row r="646" spans="1:12" s="89" customFormat="1">
      <c r="A646" s="89" t="str">
        <f>IF(Registro!B646="","",Registro!B646)</f>
        <v/>
      </c>
      <c r="B646" s="89" t="str">
        <f>IF(Registro!B646="","",Registro!H646)</f>
        <v/>
      </c>
      <c r="C646" s="137" t="str">
        <f>IF(Registro!B646="","",Registro!L646)</f>
        <v/>
      </c>
      <c r="D646" s="89" t="str">
        <f>IF(Registro!B646="","",Registro!M646)</f>
        <v/>
      </c>
      <c r="E646" s="136" t="str">
        <f>IF(A646="","",_xlfn.XLOOKUP(A646,Registro!$B$8:$B$997,Registro!$R$8:$R$997,"N/E",0))</f>
        <v/>
      </c>
      <c r="F646" s="93" t="str">
        <f t="shared" si="18"/>
        <v/>
      </c>
      <c r="G646" s="93"/>
      <c r="H646" s="136"/>
      <c r="K646" s="93"/>
      <c r="L646" s="93" t="str">
        <f t="shared" si="19"/>
        <v/>
      </c>
    </row>
    <row r="647" spans="1:12" s="89" customFormat="1">
      <c r="A647" s="89" t="str">
        <f>IF(Registro!B647="","",Registro!B647)</f>
        <v/>
      </c>
      <c r="B647" s="89" t="str">
        <f>IF(Registro!B647="","",Registro!H647)</f>
        <v/>
      </c>
      <c r="C647" s="137" t="str">
        <f>IF(Registro!B647="","",Registro!L647)</f>
        <v/>
      </c>
      <c r="D647" s="89" t="str">
        <f>IF(Registro!B647="","",Registro!M647)</f>
        <v/>
      </c>
      <c r="E647" s="136" t="str">
        <f>IF(A647="","",_xlfn.XLOOKUP(A647,Registro!$B$8:$B$997,Registro!$R$8:$R$997,"N/E",0))</f>
        <v/>
      </c>
      <c r="F647" s="93" t="str">
        <f t="shared" si="18"/>
        <v/>
      </c>
      <c r="G647" s="93"/>
      <c r="H647" s="136"/>
      <c r="K647" s="93"/>
      <c r="L647" s="93" t="str">
        <f t="shared" si="19"/>
        <v/>
      </c>
    </row>
    <row r="648" spans="1:12" s="89" customFormat="1">
      <c r="A648" s="89" t="str">
        <f>IF(Registro!B648="","",Registro!B648)</f>
        <v/>
      </c>
      <c r="B648" s="89" t="str">
        <f>IF(Registro!B648="","",Registro!H648)</f>
        <v/>
      </c>
      <c r="C648" s="137" t="str">
        <f>IF(Registro!B648="","",Registro!L648)</f>
        <v/>
      </c>
      <c r="D648" s="89" t="str">
        <f>IF(Registro!B648="","",Registro!M648)</f>
        <v/>
      </c>
      <c r="E648" s="136" t="str">
        <f>IF(A648="","",_xlfn.XLOOKUP(A648,Registro!$B$8:$B$997,Registro!$R$8:$R$997,"N/E",0))</f>
        <v/>
      </c>
      <c r="F648" s="93" t="str">
        <f t="shared" ref="F648:F711" si="20">IF(A648="","",NETWORKDAYS.INTL(C648,E648,1))</f>
        <v/>
      </c>
      <c r="G648" s="93"/>
      <c r="H648" s="136"/>
      <c r="K648" s="93"/>
      <c r="L648" s="93" t="str">
        <f t="shared" si="19"/>
        <v/>
      </c>
    </row>
    <row r="649" spans="1:12" s="89" customFormat="1">
      <c r="A649" s="89" t="str">
        <f>IF(Registro!B649="","",Registro!B649)</f>
        <v/>
      </c>
      <c r="B649" s="89" t="str">
        <f>IF(Registro!B649="","",Registro!H649)</f>
        <v/>
      </c>
      <c r="C649" s="137" t="str">
        <f>IF(Registro!B649="","",Registro!L649)</f>
        <v/>
      </c>
      <c r="D649" s="89" t="str">
        <f>IF(Registro!B649="","",Registro!M649)</f>
        <v/>
      </c>
      <c r="E649" s="136" t="str">
        <f>IF(A649="","",_xlfn.XLOOKUP(A649,Registro!$B$8:$B$997,Registro!$R$8:$R$997,"N/E",0))</f>
        <v/>
      </c>
      <c r="F649" s="93" t="str">
        <f t="shared" si="20"/>
        <v/>
      </c>
      <c r="G649" s="93"/>
      <c r="H649" s="136"/>
      <c r="K649" s="93"/>
      <c r="L649" s="93" t="str">
        <f t="shared" si="19"/>
        <v/>
      </c>
    </row>
    <row r="650" spans="1:12" s="89" customFormat="1">
      <c r="A650" s="89" t="str">
        <f>IF(Registro!B650="","",Registro!B650)</f>
        <v/>
      </c>
      <c r="B650" s="89" t="str">
        <f>IF(Registro!B650="","",Registro!H650)</f>
        <v/>
      </c>
      <c r="C650" s="137" t="str">
        <f>IF(Registro!B650="","",Registro!L650)</f>
        <v/>
      </c>
      <c r="D650" s="89" t="str">
        <f>IF(Registro!B650="","",Registro!M650)</f>
        <v/>
      </c>
      <c r="E650" s="136" t="str">
        <f>IF(A650="","",_xlfn.XLOOKUP(A650,Registro!$B$8:$B$997,Registro!$R$8:$R$997,"N/E",0))</f>
        <v/>
      </c>
      <c r="F650" s="93" t="str">
        <f t="shared" si="20"/>
        <v/>
      </c>
      <c r="G650" s="93"/>
      <c r="H650" s="136"/>
      <c r="K650" s="93"/>
      <c r="L650" s="93" t="str">
        <f t="shared" si="19"/>
        <v/>
      </c>
    </row>
    <row r="651" spans="1:12" s="89" customFormat="1">
      <c r="A651" s="89" t="str">
        <f>IF(Registro!B651="","",Registro!B651)</f>
        <v/>
      </c>
      <c r="B651" s="89" t="str">
        <f>IF(Registro!B651="","",Registro!H651)</f>
        <v/>
      </c>
      <c r="C651" s="137" t="str">
        <f>IF(Registro!B651="","",Registro!L651)</f>
        <v/>
      </c>
      <c r="D651" s="89" t="str">
        <f>IF(Registro!B651="","",Registro!M651)</f>
        <v/>
      </c>
      <c r="E651" s="136" t="str">
        <f>IF(A651="","",_xlfn.XLOOKUP(A651,Registro!$B$8:$B$997,Registro!$R$8:$R$997,"N/E",0))</f>
        <v/>
      </c>
      <c r="F651" s="93" t="str">
        <f t="shared" si="20"/>
        <v/>
      </c>
      <c r="G651" s="93"/>
      <c r="H651" s="136"/>
      <c r="K651" s="93"/>
      <c r="L651" s="93" t="str">
        <f t="shared" si="19"/>
        <v/>
      </c>
    </row>
    <row r="652" spans="1:12" s="89" customFormat="1">
      <c r="A652" s="89" t="str">
        <f>IF(Registro!B652="","",Registro!B652)</f>
        <v/>
      </c>
      <c r="B652" s="89" t="str">
        <f>IF(Registro!B652="","",Registro!H652)</f>
        <v/>
      </c>
      <c r="C652" s="137" t="str">
        <f>IF(Registro!B652="","",Registro!L652)</f>
        <v/>
      </c>
      <c r="D652" s="89" t="str">
        <f>IF(Registro!B652="","",Registro!M652)</f>
        <v/>
      </c>
      <c r="E652" s="136" t="str">
        <f>IF(A652="","",_xlfn.XLOOKUP(A652,Registro!$B$8:$B$997,Registro!$R$8:$R$997,"N/E",0))</f>
        <v/>
      </c>
      <c r="F652" s="93" t="str">
        <f t="shared" si="20"/>
        <v/>
      </c>
      <c r="G652" s="93"/>
      <c r="H652" s="136"/>
      <c r="K652" s="93"/>
      <c r="L652" s="93" t="str">
        <f t="shared" si="19"/>
        <v/>
      </c>
    </row>
    <row r="653" spans="1:12" s="89" customFormat="1">
      <c r="A653" s="89" t="str">
        <f>IF(Registro!B653="","",Registro!B653)</f>
        <v/>
      </c>
      <c r="B653" s="89" t="str">
        <f>IF(Registro!B653="","",Registro!H653)</f>
        <v/>
      </c>
      <c r="C653" s="137" t="str">
        <f>IF(Registro!B653="","",Registro!L653)</f>
        <v/>
      </c>
      <c r="D653" s="89" t="str">
        <f>IF(Registro!B653="","",Registro!M653)</f>
        <v/>
      </c>
      <c r="E653" s="136" t="str">
        <f>IF(A653="","",_xlfn.XLOOKUP(A653,Registro!$B$8:$B$997,Registro!$R$8:$R$997,"N/E",0))</f>
        <v/>
      </c>
      <c r="F653" s="93" t="str">
        <f t="shared" si="20"/>
        <v/>
      </c>
      <c r="G653" s="93"/>
      <c r="H653" s="136"/>
      <c r="K653" s="93"/>
      <c r="L653" s="93" t="str">
        <f t="shared" si="19"/>
        <v/>
      </c>
    </row>
    <row r="654" spans="1:12" s="89" customFormat="1">
      <c r="A654" s="89" t="str">
        <f>IF(Registro!B654="","",Registro!B654)</f>
        <v/>
      </c>
      <c r="B654" s="89" t="str">
        <f>IF(Registro!B654="","",Registro!H654)</f>
        <v/>
      </c>
      <c r="C654" s="137" t="str">
        <f>IF(Registro!B654="","",Registro!L654)</f>
        <v/>
      </c>
      <c r="D654" s="89" t="str">
        <f>IF(Registro!B654="","",Registro!M654)</f>
        <v/>
      </c>
      <c r="E654" s="136" t="str">
        <f>IF(A654="","",_xlfn.XLOOKUP(A654,Registro!$B$8:$B$997,Registro!$R$8:$R$997,"N/E",0))</f>
        <v/>
      </c>
      <c r="F654" s="93" t="str">
        <f t="shared" si="20"/>
        <v/>
      </c>
      <c r="G654" s="93"/>
      <c r="H654" s="136"/>
      <c r="K654" s="93"/>
      <c r="L654" s="93" t="str">
        <f t="shared" si="19"/>
        <v/>
      </c>
    </row>
    <row r="655" spans="1:12" s="89" customFormat="1">
      <c r="A655" s="89" t="str">
        <f>IF(Registro!B655="","",Registro!B655)</f>
        <v/>
      </c>
      <c r="B655" s="89" t="str">
        <f>IF(Registro!B655="","",Registro!H655)</f>
        <v/>
      </c>
      <c r="C655" s="137" t="str">
        <f>IF(Registro!B655="","",Registro!L655)</f>
        <v/>
      </c>
      <c r="D655" s="89" t="str">
        <f>IF(Registro!B655="","",Registro!M655)</f>
        <v/>
      </c>
      <c r="E655" s="136" t="str">
        <f>IF(A655="","",_xlfn.XLOOKUP(A655,Registro!$B$8:$B$997,Registro!$R$8:$R$997,"N/E",0))</f>
        <v/>
      </c>
      <c r="F655" s="93" t="str">
        <f t="shared" si="20"/>
        <v/>
      </c>
      <c r="G655" s="93"/>
      <c r="H655" s="136"/>
      <c r="K655" s="93"/>
      <c r="L655" s="93" t="str">
        <f t="shared" si="19"/>
        <v/>
      </c>
    </row>
    <row r="656" spans="1:12" s="89" customFormat="1">
      <c r="A656" s="89" t="str">
        <f>IF(Registro!B656="","",Registro!B656)</f>
        <v/>
      </c>
      <c r="B656" s="89" t="str">
        <f>IF(Registro!B656="","",Registro!H656)</f>
        <v/>
      </c>
      <c r="C656" s="137" t="str">
        <f>IF(Registro!B656="","",Registro!L656)</f>
        <v/>
      </c>
      <c r="D656" s="89" t="str">
        <f>IF(Registro!B656="","",Registro!M656)</f>
        <v/>
      </c>
      <c r="E656" s="136" t="str">
        <f>IF(A656="","",_xlfn.XLOOKUP(A656,Registro!$B$8:$B$997,Registro!$R$8:$R$997,"N/E",0))</f>
        <v/>
      </c>
      <c r="F656" s="93" t="str">
        <f t="shared" si="20"/>
        <v/>
      </c>
      <c r="G656" s="93"/>
      <c r="H656" s="136"/>
      <c r="K656" s="93"/>
      <c r="L656" s="93" t="str">
        <f t="shared" si="19"/>
        <v/>
      </c>
    </row>
    <row r="657" spans="1:12" s="89" customFormat="1">
      <c r="A657" s="89" t="str">
        <f>IF(Registro!B657="","",Registro!B657)</f>
        <v/>
      </c>
      <c r="B657" s="89" t="str">
        <f>IF(Registro!B657="","",Registro!H657)</f>
        <v/>
      </c>
      <c r="C657" s="137" t="str">
        <f>IF(Registro!B657="","",Registro!L657)</f>
        <v/>
      </c>
      <c r="D657" s="89" t="str">
        <f>IF(Registro!B657="","",Registro!M657)</f>
        <v/>
      </c>
      <c r="E657" s="136" t="str">
        <f>IF(A657="","",_xlfn.XLOOKUP(A657,Registro!$B$8:$B$997,Registro!$R$8:$R$997,"N/E",0))</f>
        <v/>
      </c>
      <c r="F657" s="93" t="str">
        <f t="shared" si="20"/>
        <v/>
      </c>
      <c r="G657" s="93"/>
      <c r="H657" s="136"/>
      <c r="K657" s="93"/>
      <c r="L657" s="93" t="str">
        <f t="shared" si="19"/>
        <v/>
      </c>
    </row>
    <row r="658" spans="1:12" s="89" customFormat="1">
      <c r="A658" s="89" t="str">
        <f>IF(Registro!B658="","",Registro!B658)</f>
        <v/>
      </c>
      <c r="B658" s="89" t="str">
        <f>IF(Registro!B658="","",Registro!H658)</f>
        <v/>
      </c>
      <c r="C658" s="137" t="str">
        <f>IF(Registro!B658="","",Registro!L658)</f>
        <v/>
      </c>
      <c r="D658" s="89" t="str">
        <f>IF(Registro!B658="","",Registro!M658)</f>
        <v/>
      </c>
      <c r="E658" s="136" t="str">
        <f>IF(A658="","",_xlfn.XLOOKUP(A658,Registro!$B$8:$B$997,Registro!$R$8:$R$997,"N/E",0))</f>
        <v/>
      </c>
      <c r="F658" s="93" t="str">
        <f t="shared" si="20"/>
        <v/>
      </c>
      <c r="G658" s="93"/>
      <c r="H658" s="136"/>
      <c r="K658" s="93"/>
      <c r="L658" s="93" t="str">
        <f t="shared" ref="L658:L721" si="21">IF(OR(K658="N/A",K658=""),"",NETWORKDAYS(C658,K658))</f>
        <v/>
      </c>
    </row>
    <row r="659" spans="1:12" s="89" customFormat="1">
      <c r="A659" s="89" t="str">
        <f>IF(Registro!B659="","",Registro!B659)</f>
        <v/>
      </c>
      <c r="B659" s="89" t="str">
        <f>IF(Registro!B659="","",Registro!H659)</f>
        <v/>
      </c>
      <c r="C659" s="137" t="str">
        <f>IF(Registro!B659="","",Registro!L659)</f>
        <v/>
      </c>
      <c r="D659" s="89" t="str">
        <f>IF(Registro!B659="","",Registro!M659)</f>
        <v/>
      </c>
      <c r="E659" s="136" t="str">
        <f>IF(A659="","",_xlfn.XLOOKUP(A659,Registro!$B$8:$B$997,Registro!$R$8:$R$997,"N/E",0))</f>
        <v/>
      </c>
      <c r="F659" s="93" t="str">
        <f t="shared" si="20"/>
        <v/>
      </c>
      <c r="G659" s="93"/>
      <c r="H659" s="136"/>
      <c r="K659" s="93"/>
      <c r="L659" s="93" t="str">
        <f t="shared" si="21"/>
        <v/>
      </c>
    </row>
    <row r="660" spans="1:12" s="89" customFormat="1">
      <c r="A660" s="89" t="str">
        <f>IF(Registro!B660="","",Registro!B660)</f>
        <v/>
      </c>
      <c r="B660" s="89" t="str">
        <f>IF(Registro!B660="","",Registro!H660)</f>
        <v/>
      </c>
      <c r="C660" s="137" t="str">
        <f>IF(Registro!B660="","",Registro!L660)</f>
        <v/>
      </c>
      <c r="D660" s="89" t="str">
        <f>IF(Registro!B660="","",Registro!M660)</f>
        <v/>
      </c>
      <c r="E660" s="136" t="str">
        <f>IF(A660="","",_xlfn.XLOOKUP(A660,Registro!$B$8:$B$997,Registro!$R$8:$R$997,"N/E",0))</f>
        <v/>
      </c>
      <c r="F660" s="93" t="str">
        <f t="shared" si="20"/>
        <v/>
      </c>
      <c r="G660" s="93"/>
      <c r="H660" s="136"/>
      <c r="K660" s="93"/>
      <c r="L660" s="93" t="str">
        <f t="shared" si="21"/>
        <v/>
      </c>
    </row>
    <row r="661" spans="1:12" s="89" customFormat="1">
      <c r="A661" s="89" t="str">
        <f>IF(Registro!B661="","",Registro!B661)</f>
        <v/>
      </c>
      <c r="B661" s="89" t="str">
        <f>IF(Registro!B661="","",Registro!H661)</f>
        <v/>
      </c>
      <c r="C661" s="137" t="str">
        <f>IF(Registro!B661="","",Registro!L661)</f>
        <v/>
      </c>
      <c r="D661" s="89" t="str">
        <f>IF(Registro!B661="","",Registro!M661)</f>
        <v/>
      </c>
      <c r="E661" s="136" t="str">
        <f>IF(A661="","",_xlfn.XLOOKUP(A661,Registro!$B$8:$B$997,Registro!$R$8:$R$997,"N/E",0))</f>
        <v/>
      </c>
      <c r="F661" s="93" t="str">
        <f t="shared" si="20"/>
        <v/>
      </c>
      <c r="G661" s="93"/>
      <c r="H661" s="136"/>
      <c r="K661" s="93"/>
      <c r="L661" s="93" t="str">
        <f t="shared" si="21"/>
        <v/>
      </c>
    </row>
    <row r="662" spans="1:12" s="89" customFormat="1">
      <c r="A662" s="89" t="str">
        <f>IF(Registro!B662="","",Registro!B662)</f>
        <v/>
      </c>
      <c r="B662" s="89" t="str">
        <f>IF(Registro!B662="","",Registro!H662)</f>
        <v/>
      </c>
      <c r="C662" s="137" t="str">
        <f>IF(Registro!B662="","",Registro!L662)</f>
        <v/>
      </c>
      <c r="D662" s="89" t="str">
        <f>IF(Registro!B662="","",Registro!M662)</f>
        <v/>
      </c>
      <c r="E662" s="136" t="str">
        <f>IF(A662="","",_xlfn.XLOOKUP(A662,Registro!$B$8:$B$997,Registro!$R$8:$R$997,"N/E",0))</f>
        <v/>
      </c>
      <c r="F662" s="93" t="str">
        <f t="shared" si="20"/>
        <v/>
      </c>
      <c r="G662" s="93"/>
      <c r="H662" s="136"/>
      <c r="K662" s="93"/>
      <c r="L662" s="93" t="str">
        <f t="shared" si="21"/>
        <v/>
      </c>
    </row>
    <row r="663" spans="1:12" s="89" customFormat="1">
      <c r="A663" s="89" t="str">
        <f>IF(Registro!B663="","",Registro!B663)</f>
        <v/>
      </c>
      <c r="B663" s="89" t="str">
        <f>IF(Registro!B663="","",Registro!H663)</f>
        <v/>
      </c>
      <c r="C663" s="137" t="str">
        <f>IF(Registro!B663="","",Registro!L663)</f>
        <v/>
      </c>
      <c r="D663" s="89" t="str">
        <f>IF(Registro!B663="","",Registro!M663)</f>
        <v/>
      </c>
      <c r="E663" s="136" t="str">
        <f>IF(A663="","",_xlfn.XLOOKUP(A663,Registro!$B$8:$B$997,Registro!$R$8:$R$997,"N/E",0))</f>
        <v/>
      </c>
      <c r="F663" s="93" t="str">
        <f t="shared" si="20"/>
        <v/>
      </c>
      <c r="G663" s="93"/>
      <c r="H663" s="136"/>
      <c r="K663" s="93"/>
      <c r="L663" s="93" t="str">
        <f t="shared" si="21"/>
        <v/>
      </c>
    </row>
    <row r="664" spans="1:12" s="89" customFormat="1">
      <c r="A664" s="89" t="str">
        <f>IF(Registro!B664="","",Registro!B664)</f>
        <v/>
      </c>
      <c r="B664" s="89" t="str">
        <f>IF(Registro!B664="","",Registro!H664)</f>
        <v/>
      </c>
      <c r="C664" s="137" t="str">
        <f>IF(Registro!B664="","",Registro!L664)</f>
        <v/>
      </c>
      <c r="D664" s="89" t="str">
        <f>IF(Registro!B664="","",Registro!M664)</f>
        <v/>
      </c>
      <c r="E664" s="136" t="str">
        <f>IF(A664="","",_xlfn.XLOOKUP(A664,Registro!$B$8:$B$997,Registro!$R$8:$R$997,"N/E",0))</f>
        <v/>
      </c>
      <c r="F664" s="93" t="str">
        <f t="shared" si="20"/>
        <v/>
      </c>
      <c r="G664" s="93"/>
      <c r="H664" s="136"/>
      <c r="K664" s="93"/>
      <c r="L664" s="93" t="str">
        <f t="shared" si="21"/>
        <v/>
      </c>
    </row>
    <row r="665" spans="1:12" s="89" customFormat="1">
      <c r="A665" s="89" t="str">
        <f>IF(Registro!B665="","",Registro!B665)</f>
        <v/>
      </c>
      <c r="B665" s="89" t="str">
        <f>IF(Registro!B665="","",Registro!H665)</f>
        <v/>
      </c>
      <c r="C665" s="137" t="str">
        <f>IF(Registro!B665="","",Registro!L665)</f>
        <v/>
      </c>
      <c r="D665" s="89" t="str">
        <f>IF(Registro!B665="","",Registro!M665)</f>
        <v/>
      </c>
      <c r="E665" s="136" t="str">
        <f>IF(A665="","",_xlfn.XLOOKUP(A665,Registro!$B$8:$B$997,Registro!$R$8:$R$997,"N/E",0))</f>
        <v/>
      </c>
      <c r="F665" s="93" t="str">
        <f t="shared" si="20"/>
        <v/>
      </c>
      <c r="G665" s="93"/>
      <c r="H665" s="136"/>
      <c r="K665" s="93"/>
      <c r="L665" s="93" t="str">
        <f t="shared" si="21"/>
        <v/>
      </c>
    </row>
    <row r="666" spans="1:12" s="89" customFormat="1">
      <c r="A666" s="89" t="str">
        <f>IF(Registro!B666="","",Registro!B666)</f>
        <v/>
      </c>
      <c r="B666" s="89" t="str">
        <f>IF(Registro!B666="","",Registro!H666)</f>
        <v/>
      </c>
      <c r="C666" s="137" t="str">
        <f>IF(Registro!B666="","",Registro!L666)</f>
        <v/>
      </c>
      <c r="D666" s="89" t="str">
        <f>IF(Registro!B666="","",Registro!M666)</f>
        <v/>
      </c>
      <c r="E666" s="136" t="str">
        <f>IF(A666="","",_xlfn.XLOOKUP(A666,Registro!$B$8:$B$997,Registro!$R$8:$R$997,"N/E",0))</f>
        <v/>
      </c>
      <c r="F666" s="93" t="str">
        <f t="shared" si="20"/>
        <v/>
      </c>
      <c r="G666" s="93"/>
      <c r="H666" s="136"/>
      <c r="K666" s="93"/>
      <c r="L666" s="93" t="str">
        <f t="shared" si="21"/>
        <v/>
      </c>
    </row>
    <row r="667" spans="1:12" s="89" customFormat="1">
      <c r="A667" s="89" t="str">
        <f>IF(Registro!B667="","",Registro!B667)</f>
        <v/>
      </c>
      <c r="B667" s="89" t="str">
        <f>IF(Registro!B667="","",Registro!H667)</f>
        <v/>
      </c>
      <c r="C667" s="137" t="str">
        <f>IF(Registro!B667="","",Registro!L667)</f>
        <v/>
      </c>
      <c r="D667" s="89" t="str">
        <f>IF(Registro!B667="","",Registro!M667)</f>
        <v/>
      </c>
      <c r="E667" s="136" t="str">
        <f>IF(A667="","",_xlfn.XLOOKUP(A667,Registro!$B$8:$B$997,Registro!$R$8:$R$997,"N/E",0))</f>
        <v/>
      </c>
      <c r="F667" s="93" t="str">
        <f t="shared" si="20"/>
        <v/>
      </c>
      <c r="G667" s="93"/>
      <c r="H667" s="136"/>
      <c r="K667" s="93"/>
      <c r="L667" s="93" t="str">
        <f t="shared" si="21"/>
        <v/>
      </c>
    </row>
    <row r="668" spans="1:12" s="89" customFormat="1">
      <c r="A668" s="89" t="str">
        <f>IF(Registro!B668="","",Registro!B668)</f>
        <v/>
      </c>
      <c r="B668" s="89" t="str">
        <f>IF(Registro!B668="","",Registro!H668)</f>
        <v/>
      </c>
      <c r="C668" s="137" t="str">
        <f>IF(Registro!B668="","",Registro!L668)</f>
        <v/>
      </c>
      <c r="D668" s="89" t="str">
        <f>IF(Registro!B668="","",Registro!M668)</f>
        <v/>
      </c>
      <c r="E668" s="136" t="str">
        <f>IF(A668="","",_xlfn.XLOOKUP(A668,Registro!$B$8:$B$997,Registro!$R$8:$R$997,"N/E",0))</f>
        <v/>
      </c>
      <c r="F668" s="93" t="str">
        <f t="shared" si="20"/>
        <v/>
      </c>
      <c r="G668" s="93"/>
      <c r="H668" s="136"/>
      <c r="K668" s="93"/>
      <c r="L668" s="93" t="str">
        <f t="shared" si="21"/>
        <v/>
      </c>
    </row>
    <row r="669" spans="1:12" s="89" customFormat="1">
      <c r="A669" s="89" t="str">
        <f>IF(Registro!B669="","",Registro!B669)</f>
        <v/>
      </c>
      <c r="B669" s="89" t="str">
        <f>IF(Registro!B669="","",Registro!H669)</f>
        <v/>
      </c>
      <c r="C669" s="137" t="str">
        <f>IF(Registro!B669="","",Registro!L669)</f>
        <v/>
      </c>
      <c r="D669" s="89" t="str">
        <f>IF(Registro!B669="","",Registro!M669)</f>
        <v/>
      </c>
      <c r="E669" s="136" t="str">
        <f>IF(A669="","",_xlfn.XLOOKUP(A669,Registro!$B$8:$B$997,Registro!$R$8:$R$997,"N/E",0))</f>
        <v/>
      </c>
      <c r="F669" s="93" t="str">
        <f t="shared" si="20"/>
        <v/>
      </c>
      <c r="G669" s="93"/>
      <c r="H669" s="136"/>
      <c r="K669" s="93"/>
      <c r="L669" s="93" t="str">
        <f t="shared" si="21"/>
        <v/>
      </c>
    </row>
    <row r="670" spans="1:12" s="89" customFormat="1">
      <c r="A670" s="89" t="str">
        <f>IF(Registro!B670="","",Registro!B670)</f>
        <v/>
      </c>
      <c r="B670" s="89" t="str">
        <f>IF(Registro!B670="","",Registro!H670)</f>
        <v/>
      </c>
      <c r="C670" s="137" t="str">
        <f>IF(Registro!B670="","",Registro!L670)</f>
        <v/>
      </c>
      <c r="D670" s="89" t="str">
        <f>IF(Registro!B670="","",Registro!M670)</f>
        <v/>
      </c>
      <c r="E670" s="136" t="str">
        <f>IF(A670="","",_xlfn.XLOOKUP(A670,Registro!$B$8:$B$997,Registro!$R$8:$R$997,"N/E",0))</f>
        <v/>
      </c>
      <c r="F670" s="93" t="str">
        <f t="shared" si="20"/>
        <v/>
      </c>
      <c r="G670" s="93"/>
      <c r="H670" s="136"/>
      <c r="K670" s="93"/>
      <c r="L670" s="93" t="str">
        <f t="shared" si="21"/>
        <v/>
      </c>
    </row>
    <row r="671" spans="1:12" s="89" customFormat="1">
      <c r="A671" s="89" t="str">
        <f>IF(Registro!B671="","",Registro!B671)</f>
        <v/>
      </c>
      <c r="B671" s="89" t="str">
        <f>IF(Registro!B671="","",Registro!H671)</f>
        <v/>
      </c>
      <c r="C671" s="137" t="str">
        <f>IF(Registro!B671="","",Registro!L671)</f>
        <v/>
      </c>
      <c r="D671" s="89" t="str">
        <f>IF(Registro!B671="","",Registro!M671)</f>
        <v/>
      </c>
      <c r="E671" s="136" t="str">
        <f>IF(A671="","",_xlfn.XLOOKUP(A671,Registro!$B$8:$B$997,Registro!$R$8:$R$997,"N/E",0))</f>
        <v/>
      </c>
      <c r="F671" s="93" t="str">
        <f t="shared" si="20"/>
        <v/>
      </c>
      <c r="G671" s="93"/>
      <c r="H671" s="136"/>
      <c r="K671" s="93"/>
      <c r="L671" s="93" t="str">
        <f t="shared" si="21"/>
        <v/>
      </c>
    </row>
    <row r="672" spans="1:12" s="89" customFormat="1">
      <c r="A672" s="89" t="str">
        <f>IF(Registro!B672="","",Registro!B672)</f>
        <v/>
      </c>
      <c r="B672" s="89" t="str">
        <f>IF(Registro!B672="","",Registro!H672)</f>
        <v/>
      </c>
      <c r="C672" s="137" t="str">
        <f>IF(Registro!B672="","",Registro!L672)</f>
        <v/>
      </c>
      <c r="D672" s="89" t="str">
        <f>IF(Registro!B672="","",Registro!M672)</f>
        <v/>
      </c>
      <c r="E672" s="136" t="str">
        <f>IF(A672="","",_xlfn.XLOOKUP(A672,Registro!$B$8:$B$997,Registro!$R$8:$R$997,"N/E",0))</f>
        <v/>
      </c>
      <c r="F672" s="93" t="str">
        <f t="shared" si="20"/>
        <v/>
      </c>
      <c r="G672" s="93"/>
      <c r="H672" s="136"/>
      <c r="K672" s="93"/>
      <c r="L672" s="93" t="str">
        <f t="shared" si="21"/>
        <v/>
      </c>
    </row>
    <row r="673" spans="1:12" s="89" customFormat="1">
      <c r="A673" s="89" t="str">
        <f>IF(Registro!B673="","",Registro!B673)</f>
        <v/>
      </c>
      <c r="B673" s="89" t="str">
        <f>IF(Registro!B673="","",Registro!H673)</f>
        <v/>
      </c>
      <c r="C673" s="137" t="str">
        <f>IF(Registro!B673="","",Registro!L673)</f>
        <v/>
      </c>
      <c r="D673" s="89" t="str">
        <f>IF(Registro!B673="","",Registro!M673)</f>
        <v/>
      </c>
      <c r="E673" s="136" t="str">
        <f>IF(A673="","",_xlfn.XLOOKUP(A673,Registro!$B$8:$B$997,Registro!$R$8:$R$997,"N/E",0))</f>
        <v/>
      </c>
      <c r="F673" s="93" t="str">
        <f t="shared" si="20"/>
        <v/>
      </c>
      <c r="G673" s="93"/>
      <c r="H673" s="136"/>
      <c r="K673" s="93"/>
      <c r="L673" s="93" t="str">
        <f t="shared" si="21"/>
        <v/>
      </c>
    </row>
    <row r="674" spans="1:12" s="89" customFormat="1">
      <c r="A674" s="89" t="str">
        <f>IF(Registro!B674="","",Registro!B674)</f>
        <v/>
      </c>
      <c r="B674" s="89" t="str">
        <f>IF(Registro!B674="","",Registro!H674)</f>
        <v/>
      </c>
      <c r="C674" s="137" t="str">
        <f>IF(Registro!B674="","",Registro!L674)</f>
        <v/>
      </c>
      <c r="D674" s="89" t="str">
        <f>IF(Registro!B674="","",Registro!M674)</f>
        <v/>
      </c>
      <c r="E674" s="136" t="str">
        <f>IF(A674="","",_xlfn.XLOOKUP(A674,Registro!$B$8:$B$997,Registro!$R$8:$R$997,"N/E",0))</f>
        <v/>
      </c>
      <c r="F674" s="93" t="str">
        <f t="shared" si="20"/>
        <v/>
      </c>
      <c r="G674" s="93"/>
      <c r="H674" s="136"/>
      <c r="K674" s="93"/>
      <c r="L674" s="93" t="str">
        <f t="shared" si="21"/>
        <v/>
      </c>
    </row>
    <row r="675" spans="1:12" s="89" customFormat="1">
      <c r="A675" s="89" t="str">
        <f>IF(Registro!B675="","",Registro!B675)</f>
        <v/>
      </c>
      <c r="B675" s="89" t="str">
        <f>IF(Registro!B675="","",Registro!H675)</f>
        <v/>
      </c>
      <c r="C675" s="137" t="str">
        <f>IF(Registro!B675="","",Registro!L675)</f>
        <v/>
      </c>
      <c r="D675" s="89" t="str">
        <f>IF(Registro!B675="","",Registro!M675)</f>
        <v/>
      </c>
      <c r="E675" s="136" t="str">
        <f>IF(A675="","",_xlfn.XLOOKUP(A675,Registro!$B$8:$B$997,Registro!$R$8:$R$997,"N/E",0))</f>
        <v/>
      </c>
      <c r="F675" s="93" t="str">
        <f t="shared" si="20"/>
        <v/>
      </c>
      <c r="G675" s="93"/>
      <c r="H675" s="136"/>
      <c r="K675" s="93"/>
      <c r="L675" s="93" t="str">
        <f t="shared" si="21"/>
        <v/>
      </c>
    </row>
    <row r="676" spans="1:12" s="89" customFormat="1">
      <c r="A676" s="89" t="str">
        <f>IF(Registro!B676="","",Registro!B676)</f>
        <v/>
      </c>
      <c r="B676" s="89" t="str">
        <f>IF(Registro!B676="","",Registro!H676)</f>
        <v/>
      </c>
      <c r="C676" s="137" t="str">
        <f>IF(Registro!B676="","",Registro!L676)</f>
        <v/>
      </c>
      <c r="D676" s="89" t="str">
        <f>IF(Registro!B676="","",Registro!M676)</f>
        <v/>
      </c>
      <c r="E676" s="136" t="str">
        <f>IF(A676="","",_xlfn.XLOOKUP(A676,Registro!$B$8:$B$997,Registro!$R$8:$R$997,"N/E",0))</f>
        <v/>
      </c>
      <c r="F676" s="93" t="str">
        <f t="shared" si="20"/>
        <v/>
      </c>
      <c r="G676" s="93"/>
      <c r="H676" s="136"/>
      <c r="K676" s="93"/>
      <c r="L676" s="93" t="str">
        <f t="shared" si="21"/>
        <v/>
      </c>
    </row>
    <row r="677" spans="1:12" s="89" customFormat="1">
      <c r="A677" s="89" t="str">
        <f>IF(Registro!B677="","",Registro!B677)</f>
        <v/>
      </c>
      <c r="B677" s="89" t="str">
        <f>IF(Registro!B677="","",Registro!H677)</f>
        <v/>
      </c>
      <c r="C677" s="137" t="str">
        <f>IF(Registro!B677="","",Registro!L677)</f>
        <v/>
      </c>
      <c r="D677" s="89" t="str">
        <f>IF(Registro!B677="","",Registro!M677)</f>
        <v/>
      </c>
      <c r="E677" s="136" t="str">
        <f>IF(A677="","",_xlfn.XLOOKUP(A677,Registro!$B$8:$B$997,Registro!$R$8:$R$997,"N/E",0))</f>
        <v/>
      </c>
      <c r="F677" s="93" t="str">
        <f t="shared" si="20"/>
        <v/>
      </c>
      <c r="G677" s="93"/>
      <c r="H677" s="136"/>
      <c r="K677" s="93"/>
      <c r="L677" s="93" t="str">
        <f t="shared" si="21"/>
        <v/>
      </c>
    </row>
    <row r="678" spans="1:12" s="89" customFormat="1">
      <c r="A678" s="89" t="str">
        <f>IF(Registro!B678="","",Registro!B678)</f>
        <v/>
      </c>
      <c r="B678" s="89" t="str">
        <f>IF(Registro!B678="","",Registro!H678)</f>
        <v/>
      </c>
      <c r="C678" s="137" t="str">
        <f>IF(Registro!B678="","",Registro!L678)</f>
        <v/>
      </c>
      <c r="D678" s="89" t="str">
        <f>IF(Registro!B678="","",Registro!M678)</f>
        <v/>
      </c>
      <c r="E678" s="136" t="str">
        <f>IF(A678="","",_xlfn.XLOOKUP(A678,Registro!$B$8:$B$997,Registro!$R$8:$R$997,"N/E",0))</f>
        <v/>
      </c>
      <c r="F678" s="93" t="str">
        <f t="shared" si="20"/>
        <v/>
      </c>
      <c r="G678" s="93"/>
      <c r="H678" s="136"/>
      <c r="K678" s="93"/>
      <c r="L678" s="93" t="str">
        <f t="shared" si="21"/>
        <v/>
      </c>
    </row>
    <row r="679" spans="1:12" s="89" customFormat="1">
      <c r="A679" s="89" t="str">
        <f>IF(Registro!B679="","",Registro!B679)</f>
        <v/>
      </c>
      <c r="B679" s="89" t="str">
        <f>IF(Registro!B679="","",Registro!H679)</f>
        <v/>
      </c>
      <c r="C679" s="137" t="str">
        <f>IF(Registro!B679="","",Registro!L679)</f>
        <v/>
      </c>
      <c r="D679" s="89" t="str">
        <f>IF(Registro!B679="","",Registro!M679)</f>
        <v/>
      </c>
      <c r="E679" s="136" t="str">
        <f>IF(A679="","",_xlfn.XLOOKUP(A679,Registro!$B$8:$B$997,Registro!$R$8:$R$997,"N/E",0))</f>
        <v/>
      </c>
      <c r="F679" s="93" t="str">
        <f t="shared" si="20"/>
        <v/>
      </c>
      <c r="G679" s="93"/>
      <c r="H679" s="136"/>
      <c r="K679" s="93"/>
      <c r="L679" s="93" t="str">
        <f t="shared" si="21"/>
        <v/>
      </c>
    </row>
    <row r="680" spans="1:12" s="89" customFormat="1">
      <c r="A680" s="89" t="str">
        <f>IF(Registro!B680="","",Registro!B680)</f>
        <v/>
      </c>
      <c r="B680" s="89" t="str">
        <f>IF(Registro!B680="","",Registro!H680)</f>
        <v/>
      </c>
      <c r="C680" s="137" t="str">
        <f>IF(Registro!B680="","",Registro!L680)</f>
        <v/>
      </c>
      <c r="D680" s="89" t="str">
        <f>IF(Registro!B680="","",Registro!M680)</f>
        <v/>
      </c>
      <c r="E680" s="136" t="str">
        <f>IF(A680="","",_xlfn.XLOOKUP(A680,Registro!$B$8:$B$997,Registro!$R$8:$R$997,"N/E",0))</f>
        <v/>
      </c>
      <c r="F680" s="93" t="str">
        <f t="shared" si="20"/>
        <v/>
      </c>
      <c r="G680" s="93"/>
      <c r="H680" s="136"/>
      <c r="K680" s="93"/>
      <c r="L680" s="93" t="str">
        <f t="shared" si="21"/>
        <v/>
      </c>
    </row>
    <row r="681" spans="1:12" s="89" customFormat="1">
      <c r="A681" s="89" t="str">
        <f>IF(Registro!B681="","",Registro!B681)</f>
        <v/>
      </c>
      <c r="B681" s="89" t="str">
        <f>IF(Registro!B681="","",Registro!H681)</f>
        <v/>
      </c>
      <c r="C681" s="137" t="str">
        <f>IF(Registro!B681="","",Registro!L681)</f>
        <v/>
      </c>
      <c r="D681" s="89" t="str">
        <f>IF(Registro!B681="","",Registro!M681)</f>
        <v/>
      </c>
      <c r="E681" s="136" t="str">
        <f>IF(A681="","",_xlfn.XLOOKUP(A681,Registro!$B$8:$B$997,Registro!$R$8:$R$997,"N/E",0))</f>
        <v/>
      </c>
      <c r="F681" s="93" t="str">
        <f t="shared" si="20"/>
        <v/>
      </c>
      <c r="G681" s="93"/>
      <c r="H681" s="136"/>
      <c r="K681" s="93"/>
      <c r="L681" s="93" t="str">
        <f t="shared" si="21"/>
        <v/>
      </c>
    </row>
    <row r="682" spans="1:12" s="89" customFormat="1">
      <c r="A682" s="89" t="str">
        <f>IF(Registro!B682="","",Registro!B682)</f>
        <v/>
      </c>
      <c r="B682" s="89" t="str">
        <f>IF(Registro!B682="","",Registro!H682)</f>
        <v/>
      </c>
      <c r="C682" s="137" t="str">
        <f>IF(Registro!B682="","",Registro!L682)</f>
        <v/>
      </c>
      <c r="D682" s="89" t="str">
        <f>IF(Registro!B682="","",Registro!M682)</f>
        <v/>
      </c>
      <c r="E682" s="136" t="str">
        <f>IF(A682="","",_xlfn.XLOOKUP(A682,Registro!$B$8:$B$997,Registro!$R$8:$R$997,"N/E",0))</f>
        <v/>
      </c>
      <c r="F682" s="93" t="str">
        <f t="shared" si="20"/>
        <v/>
      </c>
      <c r="G682" s="93"/>
      <c r="H682" s="136"/>
      <c r="K682" s="93"/>
      <c r="L682" s="93" t="str">
        <f t="shared" si="21"/>
        <v/>
      </c>
    </row>
    <row r="683" spans="1:12" s="89" customFormat="1">
      <c r="A683" s="89" t="str">
        <f>IF(Registro!B683="","",Registro!B683)</f>
        <v/>
      </c>
      <c r="B683" s="89" t="str">
        <f>IF(Registro!B683="","",Registro!H683)</f>
        <v/>
      </c>
      <c r="C683" s="137" t="str">
        <f>IF(Registro!B683="","",Registro!L683)</f>
        <v/>
      </c>
      <c r="D683" s="89" t="str">
        <f>IF(Registro!B683="","",Registro!M683)</f>
        <v/>
      </c>
      <c r="E683" s="136" t="str">
        <f>IF(A683="","",_xlfn.XLOOKUP(A683,Registro!$B$8:$B$997,Registro!$R$8:$R$997,"N/E",0))</f>
        <v/>
      </c>
      <c r="F683" s="93" t="str">
        <f t="shared" si="20"/>
        <v/>
      </c>
      <c r="G683" s="93"/>
      <c r="H683" s="136"/>
      <c r="K683" s="93"/>
      <c r="L683" s="93" t="str">
        <f t="shared" si="21"/>
        <v/>
      </c>
    </row>
    <row r="684" spans="1:12" s="89" customFormat="1">
      <c r="A684" s="89" t="str">
        <f>IF(Registro!B684="","",Registro!B684)</f>
        <v/>
      </c>
      <c r="B684" s="89" t="str">
        <f>IF(Registro!B684="","",Registro!H684)</f>
        <v/>
      </c>
      <c r="C684" s="137" t="str">
        <f>IF(Registro!B684="","",Registro!L684)</f>
        <v/>
      </c>
      <c r="D684" s="89" t="str">
        <f>IF(Registro!B684="","",Registro!M684)</f>
        <v/>
      </c>
      <c r="E684" s="136" t="str">
        <f>IF(A684="","",_xlfn.XLOOKUP(A684,Registro!$B$8:$B$997,Registro!$R$8:$R$997,"N/E",0))</f>
        <v/>
      </c>
      <c r="F684" s="93" t="str">
        <f t="shared" si="20"/>
        <v/>
      </c>
      <c r="G684" s="93"/>
      <c r="H684" s="136"/>
      <c r="K684" s="93"/>
      <c r="L684" s="93" t="str">
        <f t="shared" si="21"/>
        <v/>
      </c>
    </row>
    <row r="685" spans="1:12" s="89" customFormat="1">
      <c r="A685" s="89" t="str">
        <f>IF(Registro!B685="","",Registro!B685)</f>
        <v/>
      </c>
      <c r="B685" s="89" t="str">
        <f>IF(Registro!B685="","",Registro!H685)</f>
        <v/>
      </c>
      <c r="C685" s="137" t="str">
        <f>IF(Registro!B685="","",Registro!L685)</f>
        <v/>
      </c>
      <c r="D685" s="89" t="str">
        <f>IF(Registro!B685="","",Registro!M685)</f>
        <v/>
      </c>
      <c r="E685" s="136" t="str">
        <f>IF(A685="","",_xlfn.XLOOKUP(A685,Registro!$B$8:$B$997,Registro!$R$8:$R$997,"N/E",0))</f>
        <v/>
      </c>
      <c r="F685" s="93" t="str">
        <f t="shared" si="20"/>
        <v/>
      </c>
      <c r="G685" s="93"/>
      <c r="H685" s="136"/>
      <c r="K685" s="93"/>
      <c r="L685" s="93" t="str">
        <f t="shared" si="21"/>
        <v/>
      </c>
    </row>
    <row r="686" spans="1:12" s="89" customFormat="1">
      <c r="A686" s="89" t="str">
        <f>IF(Registro!B686="","",Registro!B686)</f>
        <v/>
      </c>
      <c r="B686" s="89" t="str">
        <f>IF(Registro!B686="","",Registro!H686)</f>
        <v/>
      </c>
      <c r="C686" s="137" t="str">
        <f>IF(Registro!B686="","",Registro!L686)</f>
        <v/>
      </c>
      <c r="D686" s="89" t="str">
        <f>IF(Registro!B686="","",Registro!M686)</f>
        <v/>
      </c>
      <c r="E686" s="136" t="str">
        <f>IF(A686="","",_xlfn.XLOOKUP(A686,Registro!$B$8:$B$997,Registro!$R$8:$R$997,"N/E",0))</f>
        <v/>
      </c>
      <c r="F686" s="93" t="str">
        <f t="shared" si="20"/>
        <v/>
      </c>
      <c r="G686" s="93"/>
      <c r="H686" s="136"/>
      <c r="K686" s="93"/>
      <c r="L686" s="93" t="str">
        <f t="shared" si="21"/>
        <v/>
      </c>
    </row>
    <row r="687" spans="1:12" s="89" customFormat="1">
      <c r="A687" s="89" t="str">
        <f>IF(Registro!B687="","",Registro!B687)</f>
        <v/>
      </c>
      <c r="B687" s="89" t="str">
        <f>IF(Registro!B687="","",Registro!H687)</f>
        <v/>
      </c>
      <c r="C687" s="137" t="str">
        <f>IF(Registro!B687="","",Registro!L687)</f>
        <v/>
      </c>
      <c r="D687" s="89" t="str">
        <f>IF(Registro!B687="","",Registro!M687)</f>
        <v/>
      </c>
      <c r="E687" s="136" t="str">
        <f>IF(A687="","",_xlfn.XLOOKUP(A687,Registro!$B$8:$B$997,Registro!$R$8:$R$997,"N/E",0))</f>
        <v/>
      </c>
      <c r="F687" s="93" t="str">
        <f t="shared" si="20"/>
        <v/>
      </c>
      <c r="G687" s="93"/>
      <c r="H687" s="136"/>
      <c r="K687" s="93"/>
      <c r="L687" s="93" t="str">
        <f t="shared" si="21"/>
        <v/>
      </c>
    </row>
    <row r="688" spans="1:12" s="89" customFormat="1">
      <c r="A688" s="89" t="str">
        <f>IF(Registro!B688="","",Registro!B688)</f>
        <v/>
      </c>
      <c r="B688" s="89" t="str">
        <f>IF(Registro!B688="","",Registro!H688)</f>
        <v/>
      </c>
      <c r="C688" s="137" t="str">
        <f>IF(Registro!B688="","",Registro!L688)</f>
        <v/>
      </c>
      <c r="D688" s="89" t="str">
        <f>IF(Registro!B688="","",Registro!M688)</f>
        <v/>
      </c>
      <c r="E688" s="136" t="str">
        <f>IF(A688="","",_xlfn.XLOOKUP(A688,Registro!$B$8:$B$997,Registro!$R$8:$R$997,"N/E",0))</f>
        <v/>
      </c>
      <c r="F688" s="93" t="str">
        <f t="shared" si="20"/>
        <v/>
      </c>
      <c r="G688" s="93"/>
      <c r="H688" s="136"/>
      <c r="K688" s="93"/>
      <c r="L688" s="93" t="str">
        <f t="shared" si="21"/>
        <v/>
      </c>
    </row>
    <row r="689" spans="1:12" s="89" customFormat="1">
      <c r="A689" s="89" t="str">
        <f>IF(Registro!B689="","",Registro!B689)</f>
        <v/>
      </c>
      <c r="B689" s="89" t="str">
        <f>IF(Registro!B689="","",Registro!H689)</f>
        <v/>
      </c>
      <c r="C689" s="137" t="str">
        <f>IF(Registro!B689="","",Registro!L689)</f>
        <v/>
      </c>
      <c r="D689" s="89" t="str">
        <f>IF(Registro!B689="","",Registro!M689)</f>
        <v/>
      </c>
      <c r="E689" s="136" t="str">
        <f>IF(A689="","",_xlfn.XLOOKUP(A689,Registro!$B$8:$B$997,Registro!$R$8:$R$997,"N/E",0))</f>
        <v/>
      </c>
      <c r="F689" s="93" t="str">
        <f t="shared" si="20"/>
        <v/>
      </c>
      <c r="G689" s="93"/>
      <c r="H689" s="136"/>
      <c r="K689" s="93"/>
      <c r="L689" s="93" t="str">
        <f t="shared" si="21"/>
        <v/>
      </c>
    </row>
    <row r="690" spans="1:12" s="89" customFormat="1">
      <c r="A690" s="89" t="str">
        <f>IF(Registro!B690="","",Registro!B690)</f>
        <v/>
      </c>
      <c r="B690" s="89" t="str">
        <f>IF(Registro!B690="","",Registro!H690)</f>
        <v/>
      </c>
      <c r="C690" s="137" t="str">
        <f>IF(Registro!B690="","",Registro!L690)</f>
        <v/>
      </c>
      <c r="D690" s="89" t="str">
        <f>IF(Registro!B690="","",Registro!M690)</f>
        <v/>
      </c>
      <c r="E690" s="136" t="str">
        <f>IF(A690="","",_xlfn.XLOOKUP(A690,Registro!$B$8:$B$997,Registro!$R$8:$R$997,"N/E",0))</f>
        <v/>
      </c>
      <c r="F690" s="93" t="str">
        <f t="shared" si="20"/>
        <v/>
      </c>
      <c r="G690" s="93"/>
      <c r="H690" s="136"/>
      <c r="K690" s="93"/>
      <c r="L690" s="93" t="str">
        <f t="shared" si="21"/>
        <v/>
      </c>
    </row>
    <row r="691" spans="1:12" s="89" customFormat="1">
      <c r="A691" s="89" t="str">
        <f>IF(Registro!B691="","",Registro!B691)</f>
        <v/>
      </c>
      <c r="B691" s="89" t="str">
        <f>IF(Registro!B691="","",Registro!H691)</f>
        <v/>
      </c>
      <c r="C691" s="137" t="str">
        <f>IF(Registro!B691="","",Registro!L691)</f>
        <v/>
      </c>
      <c r="D691" s="89" t="str">
        <f>IF(Registro!B691="","",Registro!M691)</f>
        <v/>
      </c>
      <c r="E691" s="136" t="str">
        <f>IF(A691="","",_xlfn.XLOOKUP(A691,Registro!$B$8:$B$997,Registro!$R$8:$R$997,"N/E",0))</f>
        <v/>
      </c>
      <c r="F691" s="93" t="str">
        <f t="shared" si="20"/>
        <v/>
      </c>
      <c r="G691" s="93"/>
      <c r="H691" s="136"/>
      <c r="K691" s="93"/>
      <c r="L691" s="93" t="str">
        <f t="shared" si="21"/>
        <v/>
      </c>
    </row>
    <row r="692" spans="1:12" s="89" customFormat="1">
      <c r="A692" s="89" t="str">
        <f>IF(Registro!B692="","",Registro!B692)</f>
        <v/>
      </c>
      <c r="B692" s="89" t="str">
        <f>IF(Registro!B692="","",Registro!H692)</f>
        <v/>
      </c>
      <c r="C692" s="137" t="str">
        <f>IF(Registro!B692="","",Registro!L692)</f>
        <v/>
      </c>
      <c r="D692" s="89" t="str">
        <f>IF(Registro!B692="","",Registro!M692)</f>
        <v/>
      </c>
      <c r="E692" s="136" t="str">
        <f>IF(A692="","",_xlfn.XLOOKUP(A692,Registro!$B$8:$B$997,Registro!$R$8:$R$997,"N/E",0))</f>
        <v/>
      </c>
      <c r="F692" s="93" t="str">
        <f t="shared" si="20"/>
        <v/>
      </c>
      <c r="G692" s="93"/>
      <c r="H692" s="136"/>
      <c r="K692" s="93"/>
      <c r="L692" s="93" t="str">
        <f t="shared" si="21"/>
        <v/>
      </c>
    </row>
    <row r="693" spans="1:12" s="89" customFormat="1">
      <c r="A693" s="89" t="str">
        <f>IF(Registro!B693="","",Registro!B693)</f>
        <v/>
      </c>
      <c r="B693" s="89" t="str">
        <f>IF(Registro!B693="","",Registro!H693)</f>
        <v/>
      </c>
      <c r="C693" s="137" t="str">
        <f>IF(Registro!B693="","",Registro!L693)</f>
        <v/>
      </c>
      <c r="D693" s="89" t="str">
        <f>IF(Registro!B693="","",Registro!M693)</f>
        <v/>
      </c>
      <c r="E693" s="136" t="str">
        <f>IF(A693="","",_xlfn.XLOOKUP(A693,Registro!$B$8:$B$997,Registro!$R$8:$R$997,"N/E",0))</f>
        <v/>
      </c>
      <c r="F693" s="93" t="str">
        <f t="shared" si="20"/>
        <v/>
      </c>
      <c r="G693" s="93"/>
      <c r="H693" s="136"/>
      <c r="K693" s="93"/>
      <c r="L693" s="93" t="str">
        <f t="shared" si="21"/>
        <v/>
      </c>
    </row>
    <row r="694" spans="1:12" s="89" customFormat="1">
      <c r="A694" s="89" t="str">
        <f>IF(Registro!B694="","",Registro!B694)</f>
        <v/>
      </c>
      <c r="B694" s="89" t="str">
        <f>IF(Registro!B694="","",Registro!H694)</f>
        <v/>
      </c>
      <c r="C694" s="137" t="str">
        <f>IF(Registro!B694="","",Registro!L694)</f>
        <v/>
      </c>
      <c r="D694" s="89" t="str">
        <f>IF(Registro!B694="","",Registro!M694)</f>
        <v/>
      </c>
      <c r="E694" s="136" t="str">
        <f>IF(A694="","",_xlfn.XLOOKUP(A694,Registro!$B$8:$B$997,Registro!$R$8:$R$997,"N/E",0))</f>
        <v/>
      </c>
      <c r="F694" s="93" t="str">
        <f t="shared" si="20"/>
        <v/>
      </c>
      <c r="G694" s="93"/>
      <c r="H694" s="136"/>
      <c r="K694" s="93"/>
      <c r="L694" s="93" t="str">
        <f t="shared" si="21"/>
        <v/>
      </c>
    </row>
    <row r="695" spans="1:12" s="89" customFormat="1">
      <c r="A695" s="89" t="str">
        <f>IF(Registro!B695="","",Registro!B695)</f>
        <v/>
      </c>
      <c r="B695" s="89" t="str">
        <f>IF(Registro!B695="","",Registro!H695)</f>
        <v/>
      </c>
      <c r="C695" s="137" t="str">
        <f>IF(Registro!B695="","",Registro!L695)</f>
        <v/>
      </c>
      <c r="D695" s="89" t="str">
        <f>IF(Registro!B695="","",Registro!M695)</f>
        <v/>
      </c>
      <c r="E695" s="136" t="str">
        <f>IF(A695="","",_xlfn.XLOOKUP(A695,Registro!$B$8:$B$997,Registro!$R$8:$R$997,"N/E",0))</f>
        <v/>
      </c>
      <c r="F695" s="93" t="str">
        <f t="shared" si="20"/>
        <v/>
      </c>
      <c r="G695" s="93"/>
      <c r="H695" s="136"/>
      <c r="K695" s="93"/>
      <c r="L695" s="93" t="str">
        <f t="shared" si="21"/>
        <v/>
      </c>
    </row>
    <row r="696" spans="1:12" s="89" customFormat="1">
      <c r="A696" s="89" t="str">
        <f>IF(Registro!B696="","",Registro!B696)</f>
        <v/>
      </c>
      <c r="B696" s="89" t="str">
        <f>IF(Registro!B696="","",Registro!H696)</f>
        <v/>
      </c>
      <c r="C696" s="137" t="str">
        <f>IF(Registro!B696="","",Registro!L696)</f>
        <v/>
      </c>
      <c r="D696" s="89" t="str">
        <f>IF(Registro!B696="","",Registro!M696)</f>
        <v/>
      </c>
      <c r="E696" s="136" t="str">
        <f>IF(A696="","",_xlfn.XLOOKUP(A696,Registro!$B$8:$B$997,Registro!$R$8:$R$997,"N/E",0))</f>
        <v/>
      </c>
      <c r="F696" s="93" t="str">
        <f t="shared" si="20"/>
        <v/>
      </c>
      <c r="G696" s="93"/>
      <c r="H696" s="136"/>
      <c r="K696" s="93"/>
      <c r="L696" s="93" t="str">
        <f t="shared" si="21"/>
        <v/>
      </c>
    </row>
    <row r="697" spans="1:12" s="89" customFormat="1">
      <c r="A697" s="89" t="str">
        <f>IF(Registro!B697="","",Registro!B697)</f>
        <v/>
      </c>
      <c r="B697" s="89" t="str">
        <f>IF(Registro!B697="","",Registro!H697)</f>
        <v/>
      </c>
      <c r="C697" s="137" t="str">
        <f>IF(Registro!B697="","",Registro!L697)</f>
        <v/>
      </c>
      <c r="D697" s="89" t="str">
        <f>IF(Registro!B697="","",Registro!M697)</f>
        <v/>
      </c>
      <c r="E697" s="136" t="str">
        <f>IF(A697="","",_xlfn.XLOOKUP(A697,Registro!$B$8:$B$997,Registro!$R$8:$R$997,"N/E",0))</f>
        <v/>
      </c>
      <c r="F697" s="93" t="str">
        <f t="shared" si="20"/>
        <v/>
      </c>
      <c r="G697" s="93"/>
      <c r="H697" s="136"/>
      <c r="K697" s="93"/>
      <c r="L697" s="93" t="str">
        <f t="shared" si="21"/>
        <v/>
      </c>
    </row>
    <row r="698" spans="1:12" s="89" customFormat="1">
      <c r="A698" s="89" t="str">
        <f>IF(Registro!B698="","",Registro!B698)</f>
        <v/>
      </c>
      <c r="B698" s="89" t="str">
        <f>IF(Registro!B698="","",Registro!H698)</f>
        <v/>
      </c>
      <c r="C698" s="137" t="str">
        <f>IF(Registro!B698="","",Registro!L698)</f>
        <v/>
      </c>
      <c r="D698" s="89" t="str">
        <f>IF(Registro!B698="","",Registro!M698)</f>
        <v/>
      </c>
      <c r="E698" s="136" t="str">
        <f>IF(A698="","",_xlfn.XLOOKUP(A698,Registro!$B$8:$B$997,Registro!$R$8:$R$997,"N/E",0))</f>
        <v/>
      </c>
      <c r="F698" s="93" t="str">
        <f t="shared" si="20"/>
        <v/>
      </c>
      <c r="G698" s="93"/>
      <c r="H698" s="136"/>
      <c r="K698" s="93"/>
      <c r="L698" s="93" t="str">
        <f t="shared" si="21"/>
        <v/>
      </c>
    </row>
    <row r="699" spans="1:12" s="89" customFormat="1">
      <c r="A699" s="89" t="str">
        <f>IF(Registro!B699="","",Registro!B699)</f>
        <v/>
      </c>
      <c r="B699" s="89" t="str">
        <f>IF(Registro!B699="","",Registro!H699)</f>
        <v/>
      </c>
      <c r="C699" s="137" t="str">
        <f>IF(Registro!B699="","",Registro!L699)</f>
        <v/>
      </c>
      <c r="D699" s="89" t="str">
        <f>IF(Registro!B699="","",Registro!M699)</f>
        <v/>
      </c>
      <c r="E699" s="136" t="str">
        <f>IF(A699="","",_xlfn.XLOOKUP(A699,Registro!$B$8:$B$997,Registro!$R$8:$R$997,"N/E",0))</f>
        <v/>
      </c>
      <c r="F699" s="93" t="str">
        <f t="shared" si="20"/>
        <v/>
      </c>
      <c r="G699" s="93"/>
      <c r="H699" s="136"/>
      <c r="K699" s="93"/>
      <c r="L699" s="93" t="str">
        <f t="shared" si="21"/>
        <v/>
      </c>
    </row>
    <row r="700" spans="1:12" s="89" customFormat="1">
      <c r="A700" s="89" t="str">
        <f>IF(Registro!B700="","",Registro!B700)</f>
        <v/>
      </c>
      <c r="B700" s="89" t="str">
        <f>IF(Registro!B700="","",Registro!H700)</f>
        <v/>
      </c>
      <c r="C700" s="137" t="str">
        <f>IF(Registro!B700="","",Registro!L700)</f>
        <v/>
      </c>
      <c r="D700" s="89" t="str">
        <f>IF(Registro!B700="","",Registro!M700)</f>
        <v/>
      </c>
      <c r="E700" s="136" t="str">
        <f>IF(A700="","",_xlfn.XLOOKUP(A700,Registro!$B$8:$B$997,Registro!$R$8:$R$997,"N/E",0))</f>
        <v/>
      </c>
      <c r="F700" s="93" t="str">
        <f t="shared" si="20"/>
        <v/>
      </c>
      <c r="G700" s="93"/>
      <c r="H700" s="136"/>
      <c r="K700" s="93"/>
      <c r="L700" s="93" t="str">
        <f t="shared" si="21"/>
        <v/>
      </c>
    </row>
    <row r="701" spans="1:12" s="89" customFormat="1">
      <c r="A701" s="89" t="str">
        <f>IF(Registro!B701="","",Registro!B701)</f>
        <v/>
      </c>
      <c r="B701" s="89" t="str">
        <f>IF(Registro!B701="","",Registro!H701)</f>
        <v/>
      </c>
      <c r="C701" s="137" t="str">
        <f>IF(Registro!B701="","",Registro!L701)</f>
        <v/>
      </c>
      <c r="D701" s="89" t="str">
        <f>IF(Registro!B701="","",Registro!M701)</f>
        <v/>
      </c>
      <c r="E701" s="136" t="str">
        <f>IF(A701="","",_xlfn.XLOOKUP(A701,Registro!$B$8:$B$997,Registro!$R$8:$R$997,"N/E",0))</f>
        <v/>
      </c>
      <c r="F701" s="93" t="str">
        <f t="shared" si="20"/>
        <v/>
      </c>
      <c r="G701" s="93"/>
      <c r="H701" s="136"/>
      <c r="K701" s="93"/>
      <c r="L701" s="93" t="str">
        <f t="shared" si="21"/>
        <v/>
      </c>
    </row>
    <row r="702" spans="1:12" s="89" customFormat="1">
      <c r="A702" s="89" t="str">
        <f>IF(Registro!B702="","",Registro!B702)</f>
        <v/>
      </c>
      <c r="B702" s="89" t="str">
        <f>IF(Registro!B702="","",Registro!H702)</f>
        <v/>
      </c>
      <c r="C702" s="137" t="str">
        <f>IF(Registro!B702="","",Registro!L702)</f>
        <v/>
      </c>
      <c r="D702" s="89" t="str">
        <f>IF(Registro!B702="","",Registro!M702)</f>
        <v/>
      </c>
      <c r="E702" s="136" t="str">
        <f>IF(A702="","",_xlfn.XLOOKUP(A702,Registro!$B$8:$B$997,Registro!$R$8:$R$997,"N/E",0))</f>
        <v/>
      </c>
      <c r="F702" s="93" t="str">
        <f t="shared" si="20"/>
        <v/>
      </c>
      <c r="G702" s="93"/>
      <c r="H702" s="136"/>
      <c r="K702" s="93"/>
      <c r="L702" s="93" t="str">
        <f t="shared" si="21"/>
        <v/>
      </c>
    </row>
    <row r="703" spans="1:12" s="89" customFormat="1">
      <c r="A703" s="89" t="str">
        <f>IF(Registro!B703="","",Registro!B703)</f>
        <v/>
      </c>
      <c r="B703" s="89" t="str">
        <f>IF(Registro!B703="","",Registro!H703)</f>
        <v/>
      </c>
      <c r="C703" s="137" t="str">
        <f>IF(Registro!B703="","",Registro!L703)</f>
        <v/>
      </c>
      <c r="D703" s="89" t="str">
        <f>IF(Registro!B703="","",Registro!M703)</f>
        <v/>
      </c>
      <c r="E703" s="136" t="str">
        <f>IF(A703="","",_xlfn.XLOOKUP(A703,Registro!$B$8:$B$997,Registro!$R$8:$R$997,"N/E",0))</f>
        <v/>
      </c>
      <c r="F703" s="93" t="str">
        <f t="shared" si="20"/>
        <v/>
      </c>
      <c r="G703" s="93"/>
      <c r="H703" s="136"/>
      <c r="K703" s="93"/>
      <c r="L703" s="93" t="str">
        <f t="shared" si="21"/>
        <v/>
      </c>
    </row>
    <row r="704" spans="1:12" s="89" customFormat="1">
      <c r="A704" s="89" t="str">
        <f>IF(Registro!B704="","",Registro!B704)</f>
        <v/>
      </c>
      <c r="B704" s="89" t="str">
        <f>IF(Registro!B704="","",Registro!H704)</f>
        <v/>
      </c>
      <c r="C704" s="137" t="str">
        <f>IF(Registro!B704="","",Registro!L704)</f>
        <v/>
      </c>
      <c r="D704" s="89" t="str">
        <f>IF(Registro!B704="","",Registro!M704)</f>
        <v/>
      </c>
      <c r="E704" s="136" t="str">
        <f>IF(A704="","",_xlfn.XLOOKUP(A704,Registro!$B$8:$B$997,Registro!$R$8:$R$997,"N/E",0))</f>
        <v/>
      </c>
      <c r="F704" s="93" t="str">
        <f t="shared" si="20"/>
        <v/>
      </c>
      <c r="G704" s="93"/>
      <c r="H704" s="136"/>
      <c r="K704" s="93"/>
      <c r="L704" s="93" t="str">
        <f t="shared" si="21"/>
        <v/>
      </c>
    </row>
    <row r="705" spans="1:12" s="89" customFormat="1">
      <c r="A705" s="89" t="str">
        <f>IF(Registro!B705="","",Registro!B705)</f>
        <v/>
      </c>
      <c r="B705" s="89" t="str">
        <f>IF(Registro!B705="","",Registro!H705)</f>
        <v/>
      </c>
      <c r="C705" s="137" t="str">
        <f>IF(Registro!B705="","",Registro!L705)</f>
        <v/>
      </c>
      <c r="D705" s="89" t="str">
        <f>IF(Registro!B705="","",Registro!M705)</f>
        <v/>
      </c>
      <c r="E705" s="136" t="str">
        <f>IF(A705="","",_xlfn.XLOOKUP(A705,Registro!$B$8:$B$997,Registro!$R$8:$R$997,"N/E",0))</f>
        <v/>
      </c>
      <c r="F705" s="93" t="str">
        <f t="shared" si="20"/>
        <v/>
      </c>
      <c r="G705" s="93"/>
      <c r="H705" s="136"/>
      <c r="K705" s="93"/>
      <c r="L705" s="93" t="str">
        <f t="shared" si="21"/>
        <v/>
      </c>
    </row>
    <row r="706" spans="1:12" s="89" customFormat="1">
      <c r="A706" s="89" t="str">
        <f>IF(Registro!B706="","",Registro!B706)</f>
        <v/>
      </c>
      <c r="B706" s="89" t="str">
        <f>IF(Registro!B706="","",Registro!H706)</f>
        <v/>
      </c>
      <c r="C706" s="137" t="str">
        <f>IF(Registro!B706="","",Registro!L706)</f>
        <v/>
      </c>
      <c r="D706" s="89" t="str">
        <f>IF(Registro!B706="","",Registro!M706)</f>
        <v/>
      </c>
      <c r="E706" s="136" t="str">
        <f>IF(A706="","",_xlfn.XLOOKUP(A706,Registro!$B$8:$B$997,Registro!$R$8:$R$997,"N/E",0))</f>
        <v/>
      </c>
      <c r="F706" s="93" t="str">
        <f t="shared" si="20"/>
        <v/>
      </c>
      <c r="G706" s="93"/>
      <c r="H706" s="136"/>
      <c r="K706" s="93"/>
      <c r="L706" s="93" t="str">
        <f t="shared" si="21"/>
        <v/>
      </c>
    </row>
    <row r="707" spans="1:12" s="89" customFormat="1">
      <c r="A707" s="89" t="str">
        <f>IF(Registro!B707="","",Registro!B707)</f>
        <v/>
      </c>
      <c r="B707" s="89" t="str">
        <f>IF(Registro!B707="","",Registro!H707)</f>
        <v/>
      </c>
      <c r="C707" s="137" t="str">
        <f>IF(Registro!B707="","",Registro!L707)</f>
        <v/>
      </c>
      <c r="D707" s="89" t="str">
        <f>IF(Registro!B707="","",Registro!M707)</f>
        <v/>
      </c>
      <c r="E707" s="136" t="str">
        <f>IF(A707="","",_xlfn.XLOOKUP(A707,Registro!$B$8:$B$997,Registro!$R$8:$R$997,"N/E",0))</f>
        <v/>
      </c>
      <c r="F707" s="93" t="str">
        <f t="shared" si="20"/>
        <v/>
      </c>
      <c r="G707" s="93"/>
      <c r="H707" s="136"/>
      <c r="K707" s="93"/>
      <c r="L707" s="93" t="str">
        <f t="shared" si="21"/>
        <v/>
      </c>
    </row>
    <row r="708" spans="1:12" s="89" customFormat="1">
      <c r="A708" s="89" t="str">
        <f>IF(Registro!B708="","",Registro!B708)</f>
        <v/>
      </c>
      <c r="B708" s="89" t="str">
        <f>IF(Registro!B708="","",Registro!H708)</f>
        <v/>
      </c>
      <c r="C708" s="137" t="str">
        <f>IF(Registro!B708="","",Registro!L708)</f>
        <v/>
      </c>
      <c r="D708" s="89" t="str">
        <f>IF(Registro!B708="","",Registro!M708)</f>
        <v/>
      </c>
      <c r="E708" s="136" t="str">
        <f>IF(A708="","",_xlfn.XLOOKUP(A708,Registro!$B$8:$B$997,Registro!$R$8:$R$997,"N/E",0))</f>
        <v/>
      </c>
      <c r="F708" s="93" t="str">
        <f t="shared" si="20"/>
        <v/>
      </c>
      <c r="G708" s="93"/>
      <c r="H708" s="136"/>
      <c r="K708" s="93"/>
      <c r="L708" s="93" t="str">
        <f t="shared" si="21"/>
        <v/>
      </c>
    </row>
    <row r="709" spans="1:12" s="89" customFormat="1">
      <c r="A709" s="89" t="str">
        <f>IF(Registro!B709="","",Registro!B709)</f>
        <v/>
      </c>
      <c r="B709" s="89" t="str">
        <f>IF(Registro!B709="","",Registro!H709)</f>
        <v/>
      </c>
      <c r="C709" s="137" t="str">
        <f>IF(Registro!B709="","",Registro!L709)</f>
        <v/>
      </c>
      <c r="D709" s="89" t="str">
        <f>IF(Registro!B709="","",Registro!M709)</f>
        <v/>
      </c>
      <c r="E709" s="136" t="str">
        <f>IF(A709="","",_xlfn.XLOOKUP(A709,Registro!$B$8:$B$997,Registro!$R$8:$R$997,"N/E",0))</f>
        <v/>
      </c>
      <c r="F709" s="93" t="str">
        <f t="shared" si="20"/>
        <v/>
      </c>
      <c r="G709" s="93"/>
      <c r="H709" s="136"/>
      <c r="K709" s="93"/>
      <c r="L709" s="93" t="str">
        <f t="shared" si="21"/>
        <v/>
      </c>
    </row>
    <row r="710" spans="1:12" s="89" customFormat="1">
      <c r="A710" s="89" t="str">
        <f>IF(Registro!B710="","",Registro!B710)</f>
        <v/>
      </c>
      <c r="B710" s="89" t="str">
        <f>IF(Registro!B710="","",Registro!H710)</f>
        <v/>
      </c>
      <c r="C710" s="137" t="str">
        <f>IF(Registro!B710="","",Registro!L710)</f>
        <v/>
      </c>
      <c r="D710" s="89" t="str">
        <f>IF(Registro!B710="","",Registro!M710)</f>
        <v/>
      </c>
      <c r="E710" s="136" t="str">
        <f>IF(A710="","",_xlfn.XLOOKUP(A710,Registro!$B$8:$B$997,Registro!$R$8:$R$997,"N/E",0))</f>
        <v/>
      </c>
      <c r="F710" s="93" t="str">
        <f t="shared" si="20"/>
        <v/>
      </c>
      <c r="G710" s="93"/>
      <c r="H710" s="136"/>
      <c r="K710" s="93"/>
      <c r="L710" s="93" t="str">
        <f t="shared" si="21"/>
        <v/>
      </c>
    </row>
    <row r="711" spans="1:12" s="89" customFormat="1">
      <c r="A711" s="89" t="str">
        <f>IF(Registro!B711="","",Registro!B711)</f>
        <v/>
      </c>
      <c r="B711" s="89" t="str">
        <f>IF(Registro!B711="","",Registro!H711)</f>
        <v/>
      </c>
      <c r="C711" s="137" t="str">
        <f>IF(Registro!B711="","",Registro!L711)</f>
        <v/>
      </c>
      <c r="D711" s="89" t="str">
        <f>IF(Registro!B711="","",Registro!M711)</f>
        <v/>
      </c>
      <c r="E711" s="136" t="str">
        <f>IF(A711="","",_xlfn.XLOOKUP(A711,Registro!$B$8:$B$997,Registro!$R$8:$R$997,"N/E",0))</f>
        <v/>
      </c>
      <c r="F711" s="93" t="str">
        <f t="shared" si="20"/>
        <v/>
      </c>
      <c r="G711" s="93"/>
      <c r="H711" s="136"/>
      <c r="K711" s="93"/>
      <c r="L711" s="93" t="str">
        <f t="shared" si="21"/>
        <v/>
      </c>
    </row>
    <row r="712" spans="1:12" s="89" customFormat="1">
      <c r="A712" s="89" t="str">
        <f>IF(Registro!B712="","",Registro!B712)</f>
        <v/>
      </c>
      <c r="B712" s="89" t="str">
        <f>IF(Registro!B712="","",Registro!H712)</f>
        <v/>
      </c>
      <c r="C712" s="137" t="str">
        <f>IF(Registro!B712="","",Registro!L712)</f>
        <v/>
      </c>
      <c r="D712" s="89" t="str">
        <f>IF(Registro!B712="","",Registro!M712)</f>
        <v/>
      </c>
      <c r="E712" s="136" t="str">
        <f>IF(A712="","",_xlfn.XLOOKUP(A712,Registro!$B$8:$B$997,Registro!$R$8:$R$997,"N/E",0))</f>
        <v/>
      </c>
      <c r="F712" s="93" t="str">
        <f t="shared" ref="F712:F775" si="22">IF(A712="","",NETWORKDAYS.INTL(C712,E712,1))</f>
        <v/>
      </c>
      <c r="G712" s="93"/>
      <c r="H712" s="136"/>
      <c r="K712" s="93"/>
      <c r="L712" s="93" t="str">
        <f t="shared" si="21"/>
        <v/>
      </c>
    </row>
    <row r="713" spans="1:12" s="89" customFormat="1">
      <c r="A713" s="89" t="str">
        <f>IF(Registro!B713="","",Registro!B713)</f>
        <v/>
      </c>
      <c r="B713" s="89" t="str">
        <f>IF(Registro!B713="","",Registro!H713)</f>
        <v/>
      </c>
      <c r="C713" s="137" t="str">
        <f>IF(Registro!B713="","",Registro!L713)</f>
        <v/>
      </c>
      <c r="D713" s="89" t="str">
        <f>IF(Registro!B713="","",Registro!M713)</f>
        <v/>
      </c>
      <c r="E713" s="136" t="str">
        <f>IF(A713="","",_xlfn.XLOOKUP(A713,Registro!$B$8:$B$997,Registro!$R$8:$R$997,"N/E",0))</f>
        <v/>
      </c>
      <c r="F713" s="93" t="str">
        <f t="shared" si="22"/>
        <v/>
      </c>
      <c r="G713" s="93"/>
      <c r="H713" s="136"/>
      <c r="K713" s="93"/>
      <c r="L713" s="93" t="str">
        <f t="shared" si="21"/>
        <v/>
      </c>
    </row>
    <row r="714" spans="1:12" s="89" customFormat="1">
      <c r="A714" s="89" t="str">
        <f>IF(Registro!B714="","",Registro!B714)</f>
        <v/>
      </c>
      <c r="B714" s="89" t="str">
        <f>IF(Registro!B714="","",Registro!H714)</f>
        <v/>
      </c>
      <c r="C714" s="137" t="str">
        <f>IF(Registro!B714="","",Registro!L714)</f>
        <v/>
      </c>
      <c r="D714" s="89" t="str">
        <f>IF(Registro!B714="","",Registro!M714)</f>
        <v/>
      </c>
      <c r="E714" s="136" t="str">
        <f>IF(A714="","",_xlfn.XLOOKUP(A714,Registro!$B$8:$B$997,Registro!$R$8:$R$997,"N/E",0))</f>
        <v/>
      </c>
      <c r="F714" s="93" t="str">
        <f t="shared" si="22"/>
        <v/>
      </c>
      <c r="G714" s="93"/>
      <c r="H714" s="136"/>
      <c r="K714" s="93"/>
      <c r="L714" s="93" t="str">
        <f t="shared" si="21"/>
        <v/>
      </c>
    </row>
    <row r="715" spans="1:12" s="89" customFormat="1">
      <c r="A715" s="89" t="str">
        <f>IF(Registro!B715="","",Registro!B715)</f>
        <v/>
      </c>
      <c r="B715" s="89" t="str">
        <f>IF(Registro!B715="","",Registro!H715)</f>
        <v/>
      </c>
      <c r="C715" s="137" t="str">
        <f>IF(Registro!B715="","",Registro!L715)</f>
        <v/>
      </c>
      <c r="D715" s="89" t="str">
        <f>IF(Registro!B715="","",Registro!M715)</f>
        <v/>
      </c>
      <c r="E715" s="136" t="str">
        <f>IF(A715="","",_xlfn.XLOOKUP(A715,Registro!$B$8:$B$997,Registro!$R$8:$R$997,"N/E",0))</f>
        <v/>
      </c>
      <c r="F715" s="93" t="str">
        <f t="shared" si="22"/>
        <v/>
      </c>
      <c r="G715" s="93"/>
      <c r="H715" s="136"/>
      <c r="K715" s="93"/>
      <c r="L715" s="93" t="str">
        <f t="shared" si="21"/>
        <v/>
      </c>
    </row>
    <row r="716" spans="1:12" s="89" customFormat="1">
      <c r="A716" s="89" t="str">
        <f>IF(Registro!B716="","",Registro!B716)</f>
        <v/>
      </c>
      <c r="B716" s="89" t="str">
        <f>IF(Registro!B716="","",Registro!H716)</f>
        <v/>
      </c>
      <c r="C716" s="137" t="str">
        <f>IF(Registro!B716="","",Registro!L716)</f>
        <v/>
      </c>
      <c r="D716" s="89" t="str">
        <f>IF(Registro!B716="","",Registro!M716)</f>
        <v/>
      </c>
      <c r="E716" s="136" t="str">
        <f>IF(A716="","",_xlfn.XLOOKUP(A716,Registro!$B$8:$B$997,Registro!$R$8:$R$997,"N/E",0))</f>
        <v/>
      </c>
      <c r="F716" s="93" t="str">
        <f t="shared" si="22"/>
        <v/>
      </c>
      <c r="G716" s="93"/>
      <c r="H716" s="136"/>
      <c r="K716" s="93"/>
      <c r="L716" s="93" t="str">
        <f t="shared" si="21"/>
        <v/>
      </c>
    </row>
    <row r="717" spans="1:12" s="89" customFormat="1">
      <c r="A717" s="89" t="str">
        <f>IF(Registro!B717="","",Registro!B717)</f>
        <v/>
      </c>
      <c r="B717" s="89" t="str">
        <f>IF(Registro!B717="","",Registro!H717)</f>
        <v/>
      </c>
      <c r="C717" s="137" t="str">
        <f>IF(Registro!B717="","",Registro!L717)</f>
        <v/>
      </c>
      <c r="D717" s="89" t="str">
        <f>IF(Registro!B717="","",Registro!M717)</f>
        <v/>
      </c>
      <c r="E717" s="136" t="str">
        <f>IF(A717="","",_xlfn.XLOOKUP(A717,Registro!$B$8:$B$997,Registro!$R$8:$R$997,"N/E",0))</f>
        <v/>
      </c>
      <c r="F717" s="93" t="str">
        <f t="shared" si="22"/>
        <v/>
      </c>
      <c r="G717" s="93"/>
      <c r="H717" s="136"/>
      <c r="K717" s="93"/>
      <c r="L717" s="93" t="str">
        <f t="shared" si="21"/>
        <v/>
      </c>
    </row>
    <row r="718" spans="1:12" s="89" customFormat="1">
      <c r="A718" s="89" t="str">
        <f>IF(Registro!B718="","",Registro!B718)</f>
        <v/>
      </c>
      <c r="B718" s="89" t="str">
        <f>IF(Registro!B718="","",Registro!H718)</f>
        <v/>
      </c>
      <c r="C718" s="137" t="str">
        <f>IF(Registro!B718="","",Registro!L718)</f>
        <v/>
      </c>
      <c r="D718" s="89" t="str">
        <f>IF(Registro!B718="","",Registro!M718)</f>
        <v/>
      </c>
      <c r="E718" s="136" t="str">
        <f>IF(A718="","",_xlfn.XLOOKUP(A718,Registro!$B$8:$B$997,Registro!$R$8:$R$997,"N/E",0))</f>
        <v/>
      </c>
      <c r="F718" s="93" t="str">
        <f t="shared" si="22"/>
        <v/>
      </c>
      <c r="G718" s="93"/>
      <c r="H718" s="136"/>
      <c r="K718" s="93"/>
      <c r="L718" s="93" t="str">
        <f t="shared" si="21"/>
        <v/>
      </c>
    </row>
    <row r="719" spans="1:12" s="89" customFormat="1">
      <c r="A719" s="89" t="str">
        <f>IF(Registro!B719="","",Registro!B719)</f>
        <v/>
      </c>
      <c r="B719" s="89" t="str">
        <f>IF(Registro!B719="","",Registro!H719)</f>
        <v/>
      </c>
      <c r="C719" s="137" t="str">
        <f>IF(Registro!B719="","",Registro!L719)</f>
        <v/>
      </c>
      <c r="D719" s="89" t="str">
        <f>IF(Registro!B719="","",Registro!M719)</f>
        <v/>
      </c>
      <c r="E719" s="136" t="str">
        <f>IF(A719="","",_xlfn.XLOOKUP(A719,Registro!$B$8:$B$997,Registro!$R$8:$R$997,"N/E",0))</f>
        <v/>
      </c>
      <c r="F719" s="93" t="str">
        <f t="shared" si="22"/>
        <v/>
      </c>
      <c r="G719" s="93"/>
      <c r="H719" s="136"/>
      <c r="K719" s="93"/>
      <c r="L719" s="93" t="str">
        <f t="shared" si="21"/>
        <v/>
      </c>
    </row>
    <row r="720" spans="1:12" s="89" customFormat="1">
      <c r="A720" s="89" t="str">
        <f>IF(Registro!B720="","",Registro!B720)</f>
        <v/>
      </c>
      <c r="B720" s="89" t="str">
        <f>IF(Registro!B720="","",Registro!H720)</f>
        <v/>
      </c>
      <c r="C720" s="137" t="str">
        <f>IF(Registro!B720="","",Registro!L720)</f>
        <v/>
      </c>
      <c r="D720" s="89" t="str">
        <f>IF(Registro!B720="","",Registro!M720)</f>
        <v/>
      </c>
      <c r="E720" s="136" t="str">
        <f>IF(A720="","",_xlfn.XLOOKUP(A720,Registro!$B$8:$B$997,Registro!$R$8:$R$997,"N/E",0))</f>
        <v/>
      </c>
      <c r="F720" s="93" t="str">
        <f t="shared" si="22"/>
        <v/>
      </c>
      <c r="G720" s="93"/>
      <c r="H720" s="136"/>
      <c r="K720" s="93"/>
      <c r="L720" s="93" t="str">
        <f t="shared" si="21"/>
        <v/>
      </c>
    </row>
    <row r="721" spans="1:12" s="89" customFormat="1">
      <c r="A721" s="89" t="str">
        <f>IF(Registro!B721="","",Registro!B721)</f>
        <v/>
      </c>
      <c r="B721" s="89" t="str">
        <f>IF(Registro!B721="","",Registro!H721)</f>
        <v/>
      </c>
      <c r="C721" s="137" t="str">
        <f>IF(Registro!B721="","",Registro!L721)</f>
        <v/>
      </c>
      <c r="D721" s="89" t="str">
        <f>IF(Registro!B721="","",Registro!M721)</f>
        <v/>
      </c>
      <c r="E721" s="136" t="str">
        <f>IF(A721="","",_xlfn.XLOOKUP(A721,Registro!$B$8:$B$997,Registro!$R$8:$R$997,"N/E",0))</f>
        <v/>
      </c>
      <c r="F721" s="93" t="str">
        <f t="shared" si="22"/>
        <v/>
      </c>
      <c r="G721" s="93"/>
      <c r="H721" s="136"/>
      <c r="K721" s="93"/>
      <c r="L721" s="93" t="str">
        <f t="shared" si="21"/>
        <v/>
      </c>
    </row>
    <row r="722" spans="1:12" s="89" customFormat="1">
      <c r="A722" s="89" t="str">
        <f>IF(Registro!B722="","",Registro!B722)</f>
        <v/>
      </c>
      <c r="B722" s="89" t="str">
        <f>IF(Registro!B722="","",Registro!H722)</f>
        <v/>
      </c>
      <c r="C722" s="137" t="str">
        <f>IF(Registro!B722="","",Registro!L722)</f>
        <v/>
      </c>
      <c r="D722" s="89" t="str">
        <f>IF(Registro!B722="","",Registro!M722)</f>
        <v/>
      </c>
      <c r="E722" s="136" t="str">
        <f>IF(A722="","",_xlfn.XLOOKUP(A722,Registro!$B$8:$B$997,Registro!$R$8:$R$997,"N/E",0))</f>
        <v/>
      </c>
      <c r="F722" s="93" t="str">
        <f t="shared" si="22"/>
        <v/>
      </c>
      <c r="G722" s="93"/>
      <c r="H722" s="136"/>
      <c r="K722" s="93"/>
      <c r="L722" s="93" t="str">
        <f t="shared" ref="L722:L785" si="23">IF(OR(K722="N/A",K722=""),"",NETWORKDAYS(C722,K722))</f>
        <v/>
      </c>
    </row>
    <row r="723" spans="1:12" s="89" customFormat="1">
      <c r="A723" s="89" t="str">
        <f>IF(Registro!B723="","",Registro!B723)</f>
        <v/>
      </c>
      <c r="B723" s="89" t="str">
        <f>IF(Registro!B723="","",Registro!H723)</f>
        <v/>
      </c>
      <c r="C723" s="137" t="str">
        <f>IF(Registro!B723="","",Registro!L723)</f>
        <v/>
      </c>
      <c r="D723" s="89" t="str">
        <f>IF(Registro!B723="","",Registro!M723)</f>
        <v/>
      </c>
      <c r="E723" s="136" t="str">
        <f>IF(A723="","",_xlfn.XLOOKUP(A723,Registro!$B$8:$B$997,Registro!$R$8:$R$997,"N/E",0))</f>
        <v/>
      </c>
      <c r="F723" s="93" t="str">
        <f t="shared" si="22"/>
        <v/>
      </c>
      <c r="G723" s="93"/>
      <c r="H723" s="136"/>
      <c r="K723" s="93"/>
      <c r="L723" s="93" t="str">
        <f t="shared" si="23"/>
        <v/>
      </c>
    </row>
    <row r="724" spans="1:12" s="89" customFormat="1">
      <c r="A724" s="89" t="str">
        <f>IF(Registro!B724="","",Registro!B724)</f>
        <v/>
      </c>
      <c r="B724" s="89" t="str">
        <f>IF(Registro!B724="","",Registro!H724)</f>
        <v/>
      </c>
      <c r="C724" s="137" t="str">
        <f>IF(Registro!B724="","",Registro!L724)</f>
        <v/>
      </c>
      <c r="D724" s="89" t="str">
        <f>IF(Registro!B724="","",Registro!M724)</f>
        <v/>
      </c>
      <c r="E724" s="136" t="str">
        <f>IF(A724="","",_xlfn.XLOOKUP(A724,Registro!$B$8:$B$997,Registro!$R$8:$R$997,"N/E",0))</f>
        <v/>
      </c>
      <c r="F724" s="93" t="str">
        <f t="shared" si="22"/>
        <v/>
      </c>
      <c r="G724" s="93"/>
      <c r="H724" s="136"/>
      <c r="K724" s="93"/>
      <c r="L724" s="93" t="str">
        <f t="shared" si="23"/>
        <v/>
      </c>
    </row>
    <row r="725" spans="1:12" s="89" customFormat="1">
      <c r="A725" s="89" t="str">
        <f>IF(Registro!B725="","",Registro!B725)</f>
        <v/>
      </c>
      <c r="B725" s="89" t="str">
        <f>IF(Registro!B725="","",Registro!H725)</f>
        <v/>
      </c>
      <c r="C725" s="137" t="str">
        <f>IF(Registro!B725="","",Registro!L725)</f>
        <v/>
      </c>
      <c r="D725" s="89" t="str">
        <f>IF(Registro!B725="","",Registro!M725)</f>
        <v/>
      </c>
      <c r="E725" s="136" t="str">
        <f>IF(A725="","",_xlfn.XLOOKUP(A725,Registro!$B$8:$B$997,Registro!$R$8:$R$997,"N/E",0))</f>
        <v/>
      </c>
      <c r="F725" s="93" t="str">
        <f t="shared" si="22"/>
        <v/>
      </c>
      <c r="G725" s="93"/>
      <c r="H725" s="136"/>
      <c r="K725" s="93"/>
      <c r="L725" s="93" t="str">
        <f t="shared" si="23"/>
        <v/>
      </c>
    </row>
    <row r="726" spans="1:12" s="89" customFormat="1">
      <c r="A726" s="89" t="str">
        <f>IF(Registro!B726="","",Registro!B726)</f>
        <v/>
      </c>
      <c r="B726" s="89" t="str">
        <f>IF(Registro!B726="","",Registro!H726)</f>
        <v/>
      </c>
      <c r="C726" s="137" t="str">
        <f>IF(Registro!B726="","",Registro!L726)</f>
        <v/>
      </c>
      <c r="D726" s="89" t="str">
        <f>IF(Registro!B726="","",Registro!M726)</f>
        <v/>
      </c>
      <c r="E726" s="136" t="str">
        <f>IF(A726="","",_xlfn.XLOOKUP(A726,Registro!$B$8:$B$997,Registro!$R$8:$R$997,"N/E",0))</f>
        <v/>
      </c>
      <c r="F726" s="93" t="str">
        <f t="shared" si="22"/>
        <v/>
      </c>
      <c r="G726" s="93"/>
      <c r="H726" s="136"/>
      <c r="K726" s="93"/>
      <c r="L726" s="93" t="str">
        <f t="shared" si="23"/>
        <v/>
      </c>
    </row>
    <row r="727" spans="1:12" s="89" customFormat="1">
      <c r="A727" s="89" t="str">
        <f>IF(Registro!B727="","",Registro!B727)</f>
        <v/>
      </c>
      <c r="B727" s="89" t="str">
        <f>IF(Registro!B727="","",Registro!H727)</f>
        <v/>
      </c>
      <c r="C727" s="137" t="str">
        <f>IF(Registro!B727="","",Registro!L727)</f>
        <v/>
      </c>
      <c r="D727" s="89" t="str">
        <f>IF(Registro!B727="","",Registro!M727)</f>
        <v/>
      </c>
      <c r="E727" s="136" t="str">
        <f>IF(A727="","",_xlfn.XLOOKUP(A727,Registro!$B$8:$B$997,Registro!$R$8:$R$997,"N/E",0))</f>
        <v/>
      </c>
      <c r="F727" s="93" t="str">
        <f t="shared" si="22"/>
        <v/>
      </c>
      <c r="G727" s="93"/>
      <c r="H727" s="136"/>
      <c r="K727" s="93"/>
      <c r="L727" s="93" t="str">
        <f t="shared" si="23"/>
        <v/>
      </c>
    </row>
    <row r="728" spans="1:12" s="89" customFormat="1">
      <c r="A728" s="89" t="str">
        <f>IF(Registro!B728="","",Registro!B728)</f>
        <v/>
      </c>
      <c r="B728" s="89" t="str">
        <f>IF(Registro!B728="","",Registro!H728)</f>
        <v/>
      </c>
      <c r="C728" s="137" t="str">
        <f>IF(Registro!B728="","",Registro!L728)</f>
        <v/>
      </c>
      <c r="D728" s="89" t="str">
        <f>IF(Registro!B728="","",Registro!M728)</f>
        <v/>
      </c>
      <c r="E728" s="136" t="str">
        <f>IF(A728="","",_xlfn.XLOOKUP(A728,Registro!$B$8:$B$997,Registro!$R$8:$R$997,"N/E",0))</f>
        <v/>
      </c>
      <c r="F728" s="93" t="str">
        <f t="shared" si="22"/>
        <v/>
      </c>
      <c r="G728" s="93"/>
      <c r="H728" s="136"/>
      <c r="K728" s="93"/>
      <c r="L728" s="93" t="str">
        <f t="shared" si="23"/>
        <v/>
      </c>
    </row>
    <row r="729" spans="1:12" s="89" customFormat="1">
      <c r="A729" s="89" t="str">
        <f>IF(Registro!B729="","",Registro!B729)</f>
        <v/>
      </c>
      <c r="B729" s="89" t="str">
        <f>IF(Registro!B729="","",Registro!H729)</f>
        <v/>
      </c>
      <c r="C729" s="137" t="str">
        <f>IF(Registro!B729="","",Registro!L729)</f>
        <v/>
      </c>
      <c r="D729" s="89" t="str">
        <f>IF(Registro!B729="","",Registro!M729)</f>
        <v/>
      </c>
      <c r="E729" s="136" t="str">
        <f>IF(A729="","",_xlfn.XLOOKUP(A729,Registro!$B$8:$B$997,Registro!$R$8:$R$997,"N/E",0))</f>
        <v/>
      </c>
      <c r="F729" s="93" t="str">
        <f t="shared" si="22"/>
        <v/>
      </c>
      <c r="G729" s="93"/>
      <c r="H729" s="136"/>
      <c r="K729" s="93"/>
      <c r="L729" s="93" t="str">
        <f t="shared" si="23"/>
        <v/>
      </c>
    </row>
    <row r="730" spans="1:12" s="89" customFormat="1">
      <c r="A730" s="89" t="str">
        <f>IF(Registro!B730="","",Registro!B730)</f>
        <v/>
      </c>
      <c r="B730" s="89" t="str">
        <f>IF(Registro!B730="","",Registro!H730)</f>
        <v/>
      </c>
      <c r="C730" s="137" t="str">
        <f>IF(Registro!B730="","",Registro!L730)</f>
        <v/>
      </c>
      <c r="D730" s="89" t="str">
        <f>IF(Registro!B730="","",Registro!M730)</f>
        <v/>
      </c>
      <c r="E730" s="136" t="str">
        <f>IF(A730="","",_xlfn.XLOOKUP(A730,Registro!$B$8:$B$997,Registro!$R$8:$R$997,"N/E",0))</f>
        <v/>
      </c>
      <c r="F730" s="93" t="str">
        <f t="shared" si="22"/>
        <v/>
      </c>
      <c r="G730" s="93"/>
      <c r="H730" s="136"/>
      <c r="K730" s="93"/>
      <c r="L730" s="93" t="str">
        <f t="shared" si="23"/>
        <v/>
      </c>
    </row>
    <row r="731" spans="1:12" s="89" customFormat="1">
      <c r="A731" s="89" t="str">
        <f>IF(Registro!B731="","",Registro!B731)</f>
        <v/>
      </c>
      <c r="B731" s="89" t="str">
        <f>IF(Registro!B731="","",Registro!H731)</f>
        <v/>
      </c>
      <c r="C731" s="137" t="str">
        <f>IF(Registro!B731="","",Registro!L731)</f>
        <v/>
      </c>
      <c r="D731" s="89" t="str">
        <f>IF(Registro!B731="","",Registro!M731)</f>
        <v/>
      </c>
      <c r="E731" s="136" t="str">
        <f>IF(A731="","",_xlfn.XLOOKUP(A731,Registro!$B$8:$B$997,Registro!$R$8:$R$997,"N/E",0))</f>
        <v/>
      </c>
      <c r="F731" s="93" t="str">
        <f t="shared" si="22"/>
        <v/>
      </c>
      <c r="G731" s="93"/>
      <c r="H731" s="136"/>
      <c r="K731" s="93"/>
      <c r="L731" s="93" t="str">
        <f t="shared" si="23"/>
        <v/>
      </c>
    </row>
    <row r="732" spans="1:12" s="89" customFormat="1">
      <c r="A732" s="89" t="str">
        <f>IF(Registro!B732="","",Registro!B732)</f>
        <v/>
      </c>
      <c r="B732" s="89" t="str">
        <f>IF(Registro!B732="","",Registro!H732)</f>
        <v/>
      </c>
      <c r="C732" s="137" t="str">
        <f>IF(Registro!B732="","",Registro!L732)</f>
        <v/>
      </c>
      <c r="D732" s="89" t="str">
        <f>IF(Registro!B732="","",Registro!M732)</f>
        <v/>
      </c>
      <c r="E732" s="136" t="str">
        <f>IF(A732="","",_xlfn.XLOOKUP(A732,Registro!$B$8:$B$997,Registro!$R$8:$R$997,"N/E",0))</f>
        <v/>
      </c>
      <c r="F732" s="93" t="str">
        <f t="shared" si="22"/>
        <v/>
      </c>
      <c r="G732" s="93"/>
      <c r="H732" s="136"/>
      <c r="K732" s="93"/>
      <c r="L732" s="93" t="str">
        <f t="shared" si="23"/>
        <v/>
      </c>
    </row>
    <row r="733" spans="1:12" s="89" customFormat="1">
      <c r="A733" s="89" t="str">
        <f>IF(Registro!B733="","",Registro!B733)</f>
        <v/>
      </c>
      <c r="B733" s="89" t="str">
        <f>IF(Registro!B733="","",Registro!H733)</f>
        <v/>
      </c>
      <c r="C733" s="137" t="str">
        <f>IF(Registro!B733="","",Registro!L733)</f>
        <v/>
      </c>
      <c r="D733" s="89" t="str">
        <f>IF(Registro!B733="","",Registro!M733)</f>
        <v/>
      </c>
      <c r="E733" s="136" t="str">
        <f>IF(A733="","",_xlfn.XLOOKUP(A733,Registro!$B$8:$B$997,Registro!$R$8:$R$997,"N/E",0))</f>
        <v/>
      </c>
      <c r="F733" s="93" t="str">
        <f t="shared" si="22"/>
        <v/>
      </c>
      <c r="G733" s="93"/>
      <c r="H733" s="136"/>
      <c r="K733" s="93"/>
      <c r="L733" s="93" t="str">
        <f t="shared" si="23"/>
        <v/>
      </c>
    </row>
    <row r="734" spans="1:12" s="89" customFormat="1">
      <c r="A734" s="89" t="str">
        <f>IF(Registro!B734="","",Registro!B734)</f>
        <v/>
      </c>
      <c r="B734" s="89" t="str">
        <f>IF(Registro!B734="","",Registro!H734)</f>
        <v/>
      </c>
      <c r="C734" s="137" t="str">
        <f>IF(Registro!B734="","",Registro!L734)</f>
        <v/>
      </c>
      <c r="D734" s="89" t="str">
        <f>IF(Registro!B734="","",Registro!M734)</f>
        <v/>
      </c>
      <c r="E734" s="136" t="str">
        <f>IF(A734="","",_xlfn.XLOOKUP(A734,Registro!$B$8:$B$997,Registro!$R$8:$R$997,"N/E",0))</f>
        <v/>
      </c>
      <c r="F734" s="93" t="str">
        <f t="shared" si="22"/>
        <v/>
      </c>
      <c r="G734" s="93"/>
      <c r="H734" s="136"/>
      <c r="K734" s="93"/>
      <c r="L734" s="93" t="str">
        <f t="shared" si="23"/>
        <v/>
      </c>
    </row>
    <row r="735" spans="1:12" s="89" customFormat="1">
      <c r="A735" s="89" t="str">
        <f>IF(Registro!B735="","",Registro!B735)</f>
        <v/>
      </c>
      <c r="B735" s="89" t="str">
        <f>IF(Registro!B735="","",Registro!H735)</f>
        <v/>
      </c>
      <c r="C735" s="137" t="str">
        <f>IF(Registro!B735="","",Registro!L735)</f>
        <v/>
      </c>
      <c r="D735" s="89" t="str">
        <f>IF(Registro!B735="","",Registro!M735)</f>
        <v/>
      </c>
      <c r="E735" s="136" t="str">
        <f>IF(A735="","",_xlfn.XLOOKUP(A735,Registro!$B$8:$B$997,Registro!$R$8:$R$997,"N/E",0))</f>
        <v/>
      </c>
      <c r="F735" s="93" t="str">
        <f t="shared" si="22"/>
        <v/>
      </c>
      <c r="G735" s="93"/>
      <c r="H735" s="136"/>
      <c r="K735" s="93"/>
      <c r="L735" s="93" t="str">
        <f t="shared" si="23"/>
        <v/>
      </c>
    </row>
    <row r="736" spans="1:12" s="89" customFormat="1">
      <c r="A736" s="89" t="str">
        <f>IF(Registro!B736="","",Registro!B736)</f>
        <v/>
      </c>
      <c r="B736" s="89" t="str">
        <f>IF(Registro!B736="","",Registro!H736)</f>
        <v/>
      </c>
      <c r="C736" s="137" t="str">
        <f>IF(Registro!B736="","",Registro!L736)</f>
        <v/>
      </c>
      <c r="D736" s="89" t="str">
        <f>IF(Registro!B736="","",Registro!M736)</f>
        <v/>
      </c>
      <c r="E736" s="136" t="str">
        <f>IF(A736="","",_xlfn.XLOOKUP(A736,Registro!$B$8:$B$997,Registro!$R$8:$R$997,"N/E",0))</f>
        <v/>
      </c>
      <c r="F736" s="93" t="str">
        <f t="shared" si="22"/>
        <v/>
      </c>
      <c r="G736" s="93"/>
      <c r="H736" s="136"/>
      <c r="K736" s="93"/>
      <c r="L736" s="93" t="str">
        <f t="shared" si="23"/>
        <v/>
      </c>
    </row>
    <row r="737" spans="1:12" s="89" customFormat="1">
      <c r="A737" s="89" t="str">
        <f>IF(Registro!B737="","",Registro!B737)</f>
        <v/>
      </c>
      <c r="B737" s="89" t="str">
        <f>IF(Registro!B737="","",Registro!H737)</f>
        <v/>
      </c>
      <c r="C737" s="137" t="str">
        <f>IF(Registro!B737="","",Registro!L737)</f>
        <v/>
      </c>
      <c r="D737" s="89" t="str">
        <f>IF(Registro!B737="","",Registro!M737)</f>
        <v/>
      </c>
      <c r="E737" s="136" t="str">
        <f>IF(A737="","",_xlfn.XLOOKUP(A737,Registro!$B$8:$B$997,Registro!$R$8:$R$997,"N/E",0))</f>
        <v/>
      </c>
      <c r="F737" s="93" t="str">
        <f t="shared" si="22"/>
        <v/>
      </c>
      <c r="G737" s="93"/>
      <c r="H737" s="136"/>
      <c r="K737" s="93"/>
      <c r="L737" s="93" t="str">
        <f t="shared" si="23"/>
        <v/>
      </c>
    </row>
    <row r="738" spans="1:12" s="89" customFormat="1">
      <c r="A738" s="89" t="str">
        <f>IF(Registro!B738="","",Registro!B738)</f>
        <v/>
      </c>
      <c r="B738" s="89" t="str">
        <f>IF(Registro!B738="","",Registro!H738)</f>
        <v/>
      </c>
      <c r="C738" s="137" t="str">
        <f>IF(Registro!B738="","",Registro!L738)</f>
        <v/>
      </c>
      <c r="D738" s="89" t="str">
        <f>IF(Registro!B738="","",Registro!M738)</f>
        <v/>
      </c>
      <c r="E738" s="136" t="str">
        <f>IF(A738="","",_xlfn.XLOOKUP(A738,Registro!$B$8:$B$997,Registro!$R$8:$R$997,"N/E",0))</f>
        <v/>
      </c>
      <c r="F738" s="93" t="str">
        <f t="shared" si="22"/>
        <v/>
      </c>
      <c r="G738" s="93"/>
      <c r="H738" s="136"/>
      <c r="K738" s="93"/>
      <c r="L738" s="93" t="str">
        <f t="shared" si="23"/>
        <v/>
      </c>
    </row>
    <row r="739" spans="1:12" s="89" customFormat="1">
      <c r="A739" s="89" t="str">
        <f>IF(Registro!B739="","",Registro!B739)</f>
        <v/>
      </c>
      <c r="B739" s="89" t="str">
        <f>IF(Registro!B739="","",Registro!H739)</f>
        <v/>
      </c>
      <c r="C739" s="137" t="str">
        <f>IF(Registro!B739="","",Registro!L739)</f>
        <v/>
      </c>
      <c r="D739" s="89" t="str">
        <f>IF(Registro!B739="","",Registro!M739)</f>
        <v/>
      </c>
      <c r="E739" s="136" t="str">
        <f>IF(A739="","",_xlfn.XLOOKUP(A739,Registro!$B$8:$B$997,Registro!$R$8:$R$997,"N/E",0))</f>
        <v/>
      </c>
      <c r="F739" s="93" t="str">
        <f t="shared" si="22"/>
        <v/>
      </c>
      <c r="G739" s="93"/>
      <c r="H739" s="136"/>
      <c r="K739" s="93"/>
      <c r="L739" s="93" t="str">
        <f t="shared" si="23"/>
        <v/>
      </c>
    </row>
    <row r="740" spans="1:12" s="89" customFormat="1">
      <c r="A740" s="89" t="str">
        <f>IF(Registro!B740="","",Registro!B740)</f>
        <v/>
      </c>
      <c r="B740" s="89" t="str">
        <f>IF(Registro!B740="","",Registro!H740)</f>
        <v/>
      </c>
      <c r="C740" s="137" t="str">
        <f>IF(Registro!B740="","",Registro!L740)</f>
        <v/>
      </c>
      <c r="D740" s="89" t="str">
        <f>IF(Registro!B740="","",Registro!M740)</f>
        <v/>
      </c>
      <c r="E740" s="136" t="str">
        <f>IF(A740="","",_xlfn.XLOOKUP(A740,Registro!$B$8:$B$997,Registro!$R$8:$R$997,"N/E",0))</f>
        <v/>
      </c>
      <c r="F740" s="93" t="str">
        <f t="shared" si="22"/>
        <v/>
      </c>
      <c r="G740" s="93"/>
      <c r="H740" s="136"/>
      <c r="K740" s="93"/>
      <c r="L740" s="93" t="str">
        <f t="shared" si="23"/>
        <v/>
      </c>
    </row>
    <row r="741" spans="1:12" s="89" customFormat="1">
      <c r="A741" s="89" t="str">
        <f>IF(Registro!B741="","",Registro!B741)</f>
        <v/>
      </c>
      <c r="B741" s="89" t="str">
        <f>IF(Registro!B741="","",Registro!H741)</f>
        <v/>
      </c>
      <c r="C741" s="137" t="str">
        <f>IF(Registro!B741="","",Registro!L741)</f>
        <v/>
      </c>
      <c r="D741" s="89" t="str">
        <f>IF(Registro!B741="","",Registro!M741)</f>
        <v/>
      </c>
      <c r="E741" s="136" t="str">
        <f>IF(A741="","",_xlfn.XLOOKUP(A741,Registro!$B$8:$B$997,Registro!$R$8:$R$997,"N/E",0))</f>
        <v/>
      </c>
      <c r="F741" s="93" t="str">
        <f t="shared" si="22"/>
        <v/>
      </c>
      <c r="G741" s="93"/>
      <c r="H741" s="136"/>
      <c r="K741" s="93"/>
      <c r="L741" s="93" t="str">
        <f t="shared" si="23"/>
        <v/>
      </c>
    </row>
    <row r="742" spans="1:12" s="89" customFormat="1">
      <c r="A742" s="89" t="str">
        <f>IF(Registro!B742="","",Registro!B742)</f>
        <v/>
      </c>
      <c r="B742" s="89" t="str">
        <f>IF(Registro!B742="","",Registro!H742)</f>
        <v/>
      </c>
      <c r="C742" s="137" t="str">
        <f>IF(Registro!B742="","",Registro!L742)</f>
        <v/>
      </c>
      <c r="D742" s="89" t="str">
        <f>IF(Registro!B742="","",Registro!M742)</f>
        <v/>
      </c>
      <c r="E742" s="136" t="str">
        <f>IF(A742="","",_xlfn.XLOOKUP(A742,Registro!$B$8:$B$997,Registro!$R$8:$R$997,"N/E",0))</f>
        <v/>
      </c>
      <c r="F742" s="93" t="str">
        <f t="shared" si="22"/>
        <v/>
      </c>
      <c r="G742" s="93"/>
      <c r="H742" s="136"/>
      <c r="K742" s="93"/>
      <c r="L742" s="93" t="str">
        <f t="shared" si="23"/>
        <v/>
      </c>
    </row>
    <row r="743" spans="1:12" s="89" customFormat="1">
      <c r="A743" s="89" t="str">
        <f>IF(Registro!B743="","",Registro!B743)</f>
        <v/>
      </c>
      <c r="B743" s="89" t="str">
        <f>IF(Registro!B743="","",Registro!H743)</f>
        <v/>
      </c>
      <c r="C743" s="137" t="str">
        <f>IF(Registro!B743="","",Registro!L743)</f>
        <v/>
      </c>
      <c r="D743" s="89" t="str">
        <f>IF(Registro!B743="","",Registro!M743)</f>
        <v/>
      </c>
      <c r="E743" s="136" t="str">
        <f>IF(A743="","",_xlfn.XLOOKUP(A743,Registro!$B$8:$B$997,Registro!$R$8:$R$997,"N/E",0))</f>
        <v/>
      </c>
      <c r="F743" s="93" t="str">
        <f t="shared" si="22"/>
        <v/>
      </c>
      <c r="G743" s="93"/>
      <c r="H743" s="136"/>
      <c r="K743" s="93"/>
      <c r="L743" s="93" t="str">
        <f t="shared" si="23"/>
        <v/>
      </c>
    </row>
    <row r="744" spans="1:12" s="89" customFormat="1">
      <c r="A744" s="89" t="str">
        <f>IF(Registro!B744="","",Registro!B744)</f>
        <v/>
      </c>
      <c r="B744" s="89" t="str">
        <f>IF(Registro!B744="","",Registro!H744)</f>
        <v/>
      </c>
      <c r="C744" s="137" t="str">
        <f>IF(Registro!B744="","",Registro!L744)</f>
        <v/>
      </c>
      <c r="D744" s="89" t="str">
        <f>IF(Registro!B744="","",Registro!M744)</f>
        <v/>
      </c>
      <c r="E744" s="136" t="str">
        <f>IF(A744="","",_xlfn.XLOOKUP(A744,Registro!$B$8:$B$997,Registro!$R$8:$R$997,"N/E",0))</f>
        <v/>
      </c>
      <c r="F744" s="93" t="str">
        <f t="shared" si="22"/>
        <v/>
      </c>
      <c r="G744" s="93"/>
      <c r="H744" s="136"/>
      <c r="K744" s="93"/>
      <c r="L744" s="93" t="str">
        <f t="shared" si="23"/>
        <v/>
      </c>
    </row>
    <row r="745" spans="1:12" s="89" customFormat="1">
      <c r="A745" s="89" t="str">
        <f>IF(Registro!B745="","",Registro!B745)</f>
        <v/>
      </c>
      <c r="B745" s="89" t="str">
        <f>IF(Registro!B745="","",Registro!H745)</f>
        <v/>
      </c>
      <c r="C745" s="137" t="str">
        <f>IF(Registro!B745="","",Registro!L745)</f>
        <v/>
      </c>
      <c r="D745" s="89" t="str">
        <f>IF(Registro!B745="","",Registro!M745)</f>
        <v/>
      </c>
      <c r="E745" s="136" t="str">
        <f>IF(A745="","",_xlfn.XLOOKUP(A745,Registro!$B$8:$B$997,Registro!$R$8:$R$997,"N/E",0))</f>
        <v/>
      </c>
      <c r="F745" s="93" t="str">
        <f t="shared" si="22"/>
        <v/>
      </c>
      <c r="G745" s="93"/>
      <c r="H745" s="136"/>
      <c r="K745" s="93"/>
      <c r="L745" s="93" t="str">
        <f t="shared" si="23"/>
        <v/>
      </c>
    </row>
    <row r="746" spans="1:12" s="89" customFormat="1">
      <c r="A746" s="89" t="str">
        <f>IF(Registro!B746="","",Registro!B746)</f>
        <v/>
      </c>
      <c r="B746" s="89" t="str">
        <f>IF(Registro!B746="","",Registro!H746)</f>
        <v/>
      </c>
      <c r="C746" s="137" t="str">
        <f>IF(Registro!B746="","",Registro!L746)</f>
        <v/>
      </c>
      <c r="D746" s="89" t="str">
        <f>IF(Registro!B746="","",Registro!M746)</f>
        <v/>
      </c>
      <c r="E746" s="136" t="str">
        <f>IF(A746="","",_xlfn.XLOOKUP(A746,Registro!$B$8:$B$997,Registro!$R$8:$R$997,"N/E",0))</f>
        <v/>
      </c>
      <c r="F746" s="93" t="str">
        <f t="shared" si="22"/>
        <v/>
      </c>
      <c r="G746" s="93"/>
      <c r="H746" s="136"/>
      <c r="K746" s="93"/>
      <c r="L746" s="93" t="str">
        <f t="shared" si="23"/>
        <v/>
      </c>
    </row>
    <row r="747" spans="1:12" s="89" customFormat="1">
      <c r="A747" s="89" t="str">
        <f>IF(Registro!B747="","",Registro!B747)</f>
        <v/>
      </c>
      <c r="B747" s="89" t="str">
        <f>IF(Registro!B747="","",Registro!H747)</f>
        <v/>
      </c>
      <c r="C747" s="137" t="str">
        <f>IF(Registro!B747="","",Registro!L747)</f>
        <v/>
      </c>
      <c r="D747" s="89" t="str">
        <f>IF(Registro!B747="","",Registro!M747)</f>
        <v/>
      </c>
      <c r="E747" s="136" t="str">
        <f>IF(A747="","",_xlfn.XLOOKUP(A747,Registro!$B$8:$B$997,Registro!$R$8:$R$997,"N/E",0))</f>
        <v/>
      </c>
      <c r="F747" s="93" t="str">
        <f t="shared" si="22"/>
        <v/>
      </c>
      <c r="G747" s="93"/>
      <c r="H747" s="136"/>
      <c r="K747" s="93"/>
      <c r="L747" s="93" t="str">
        <f t="shared" si="23"/>
        <v/>
      </c>
    </row>
    <row r="748" spans="1:12" s="89" customFormat="1">
      <c r="A748" s="89" t="str">
        <f>IF(Registro!B748="","",Registro!B748)</f>
        <v/>
      </c>
      <c r="B748" s="89" t="str">
        <f>IF(Registro!B748="","",Registro!H748)</f>
        <v/>
      </c>
      <c r="C748" s="137" t="str">
        <f>IF(Registro!B748="","",Registro!L748)</f>
        <v/>
      </c>
      <c r="D748" s="89" t="str">
        <f>IF(Registro!B748="","",Registro!M748)</f>
        <v/>
      </c>
      <c r="E748" s="136" t="str">
        <f>IF(A748="","",_xlfn.XLOOKUP(A748,Registro!$B$8:$B$997,Registro!$R$8:$R$997,"N/E",0))</f>
        <v/>
      </c>
      <c r="F748" s="93" t="str">
        <f t="shared" si="22"/>
        <v/>
      </c>
      <c r="G748" s="93"/>
      <c r="H748" s="136"/>
      <c r="K748" s="93"/>
      <c r="L748" s="93" t="str">
        <f t="shared" si="23"/>
        <v/>
      </c>
    </row>
    <row r="749" spans="1:12" s="89" customFormat="1">
      <c r="A749" s="89" t="str">
        <f>IF(Registro!B749="","",Registro!B749)</f>
        <v/>
      </c>
      <c r="B749" s="89" t="str">
        <f>IF(Registro!B749="","",Registro!H749)</f>
        <v/>
      </c>
      <c r="C749" s="137" t="str">
        <f>IF(Registro!B749="","",Registro!L749)</f>
        <v/>
      </c>
      <c r="D749" s="89" t="str">
        <f>IF(Registro!B749="","",Registro!M749)</f>
        <v/>
      </c>
      <c r="E749" s="136" t="str">
        <f>IF(A749="","",_xlfn.XLOOKUP(A749,Registro!$B$8:$B$997,Registro!$R$8:$R$997,"N/E",0))</f>
        <v/>
      </c>
      <c r="F749" s="93" t="str">
        <f t="shared" si="22"/>
        <v/>
      </c>
      <c r="G749" s="93"/>
      <c r="H749" s="136"/>
      <c r="K749" s="93"/>
      <c r="L749" s="93" t="str">
        <f t="shared" si="23"/>
        <v/>
      </c>
    </row>
    <row r="750" spans="1:12" s="89" customFormat="1">
      <c r="A750" s="89" t="str">
        <f>IF(Registro!B750="","",Registro!B750)</f>
        <v/>
      </c>
      <c r="B750" s="89" t="str">
        <f>IF(Registro!B750="","",Registro!H750)</f>
        <v/>
      </c>
      <c r="C750" s="137" t="str">
        <f>IF(Registro!B750="","",Registro!L750)</f>
        <v/>
      </c>
      <c r="D750" s="89" t="str">
        <f>IF(Registro!B750="","",Registro!M750)</f>
        <v/>
      </c>
      <c r="E750" s="136" t="str">
        <f>IF(A750="","",_xlfn.XLOOKUP(A750,Registro!$B$8:$B$997,Registro!$R$8:$R$997,"N/E",0))</f>
        <v/>
      </c>
      <c r="F750" s="93" t="str">
        <f t="shared" si="22"/>
        <v/>
      </c>
      <c r="G750" s="93"/>
      <c r="H750" s="136"/>
      <c r="K750" s="93"/>
      <c r="L750" s="93" t="str">
        <f t="shared" si="23"/>
        <v/>
      </c>
    </row>
    <row r="751" spans="1:12" s="89" customFormat="1">
      <c r="A751" s="89" t="str">
        <f>IF(Registro!B751="","",Registro!B751)</f>
        <v/>
      </c>
      <c r="B751" s="89" t="str">
        <f>IF(Registro!B751="","",Registro!H751)</f>
        <v/>
      </c>
      <c r="C751" s="137" t="str">
        <f>IF(Registro!B751="","",Registro!L751)</f>
        <v/>
      </c>
      <c r="D751" s="89" t="str">
        <f>IF(Registro!B751="","",Registro!M751)</f>
        <v/>
      </c>
      <c r="E751" s="136" t="str">
        <f>IF(A751="","",_xlfn.XLOOKUP(A751,Registro!$B$8:$B$997,Registro!$R$8:$R$997,"N/E",0))</f>
        <v/>
      </c>
      <c r="F751" s="93" t="str">
        <f t="shared" si="22"/>
        <v/>
      </c>
      <c r="G751" s="93"/>
      <c r="H751" s="136"/>
      <c r="K751" s="93"/>
      <c r="L751" s="93" t="str">
        <f t="shared" si="23"/>
        <v/>
      </c>
    </row>
    <row r="752" spans="1:12" s="89" customFormat="1">
      <c r="A752" s="89" t="str">
        <f>IF(Registro!B752="","",Registro!B752)</f>
        <v/>
      </c>
      <c r="B752" s="89" t="str">
        <f>IF(Registro!B752="","",Registro!H752)</f>
        <v/>
      </c>
      <c r="C752" s="137" t="str">
        <f>IF(Registro!B752="","",Registro!L752)</f>
        <v/>
      </c>
      <c r="D752" s="89" t="str">
        <f>IF(Registro!B752="","",Registro!M752)</f>
        <v/>
      </c>
      <c r="E752" s="136" t="str">
        <f>IF(A752="","",_xlfn.XLOOKUP(A752,Registro!$B$8:$B$997,Registro!$R$8:$R$997,"N/E",0))</f>
        <v/>
      </c>
      <c r="F752" s="93" t="str">
        <f t="shared" si="22"/>
        <v/>
      </c>
      <c r="G752" s="93"/>
      <c r="H752" s="136"/>
      <c r="K752" s="93"/>
      <c r="L752" s="93" t="str">
        <f t="shared" si="23"/>
        <v/>
      </c>
    </row>
    <row r="753" spans="1:12" s="89" customFormat="1">
      <c r="A753" s="89" t="str">
        <f>IF(Registro!B753="","",Registro!B753)</f>
        <v/>
      </c>
      <c r="B753" s="89" t="str">
        <f>IF(Registro!B753="","",Registro!H753)</f>
        <v/>
      </c>
      <c r="C753" s="137" t="str">
        <f>IF(Registro!B753="","",Registro!L753)</f>
        <v/>
      </c>
      <c r="D753" s="89" t="str">
        <f>IF(Registro!B753="","",Registro!M753)</f>
        <v/>
      </c>
      <c r="E753" s="136" t="str">
        <f>IF(A753="","",_xlfn.XLOOKUP(A753,Registro!$B$8:$B$997,Registro!$R$8:$R$997,"N/E",0))</f>
        <v/>
      </c>
      <c r="F753" s="93" t="str">
        <f t="shared" si="22"/>
        <v/>
      </c>
      <c r="G753" s="93"/>
      <c r="H753" s="136"/>
      <c r="K753" s="93"/>
      <c r="L753" s="93" t="str">
        <f t="shared" si="23"/>
        <v/>
      </c>
    </row>
    <row r="754" spans="1:12" s="89" customFormat="1">
      <c r="A754" s="89" t="str">
        <f>IF(Registro!B754="","",Registro!B754)</f>
        <v/>
      </c>
      <c r="B754" s="89" t="str">
        <f>IF(Registro!B754="","",Registro!H754)</f>
        <v/>
      </c>
      <c r="C754" s="137" t="str">
        <f>IF(Registro!B754="","",Registro!L754)</f>
        <v/>
      </c>
      <c r="D754" s="89" t="str">
        <f>IF(Registro!B754="","",Registro!M754)</f>
        <v/>
      </c>
      <c r="E754" s="136" t="str">
        <f>IF(A754="","",_xlfn.XLOOKUP(A754,Registro!$B$8:$B$997,Registro!$R$8:$R$997,"N/E",0))</f>
        <v/>
      </c>
      <c r="F754" s="93" t="str">
        <f t="shared" si="22"/>
        <v/>
      </c>
      <c r="G754" s="93"/>
      <c r="H754" s="136"/>
      <c r="K754" s="93"/>
      <c r="L754" s="93" t="str">
        <f t="shared" si="23"/>
        <v/>
      </c>
    </row>
    <row r="755" spans="1:12" s="89" customFormat="1">
      <c r="A755" s="89" t="str">
        <f>IF(Registro!B755="","",Registro!B755)</f>
        <v/>
      </c>
      <c r="B755" s="89" t="str">
        <f>IF(Registro!B755="","",Registro!H755)</f>
        <v/>
      </c>
      <c r="C755" s="137" t="str">
        <f>IF(Registro!B755="","",Registro!L755)</f>
        <v/>
      </c>
      <c r="D755" s="89" t="str">
        <f>IF(Registro!B755="","",Registro!M755)</f>
        <v/>
      </c>
      <c r="E755" s="136" t="str">
        <f>IF(A755="","",_xlfn.XLOOKUP(A755,Registro!$B$8:$B$997,Registro!$R$8:$R$997,"N/E",0))</f>
        <v/>
      </c>
      <c r="F755" s="93" t="str">
        <f t="shared" si="22"/>
        <v/>
      </c>
      <c r="G755" s="93"/>
      <c r="H755" s="136"/>
      <c r="K755" s="93"/>
      <c r="L755" s="93" t="str">
        <f t="shared" si="23"/>
        <v/>
      </c>
    </row>
    <row r="756" spans="1:12" s="89" customFormat="1">
      <c r="A756" s="89" t="str">
        <f>IF(Registro!B756="","",Registro!B756)</f>
        <v/>
      </c>
      <c r="B756" s="89" t="str">
        <f>IF(Registro!B756="","",Registro!H756)</f>
        <v/>
      </c>
      <c r="C756" s="137" t="str">
        <f>IF(Registro!B756="","",Registro!L756)</f>
        <v/>
      </c>
      <c r="D756" s="89" t="str">
        <f>IF(Registro!B756="","",Registro!M756)</f>
        <v/>
      </c>
      <c r="E756" s="136" t="str">
        <f>IF(A756="","",_xlfn.XLOOKUP(A756,Registro!$B$8:$B$997,Registro!$R$8:$R$997,"N/E",0))</f>
        <v/>
      </c>
      <c r="F756" s="93" t="str">
        <f t="shared" si="22"/>
        <v/>
      </c>
      <c r="G756" s="93"/>
      <c r="H756" s="136"/>
      <c r="K756" s="93"/>
      <c r="L756" s="93" t="str">
        <f t="shared" si="23"/>
        <v/>
      </c>
    </row>
    <row r="757" spans="1:12" s="89" customFormat="1">
      <c r="A757" s="89" t="str">
        <f>IF(Registro!B757="","",Registro!B757)</f>
        <v/>
      </c>
      <c r="B757" s="89" t="str">
        <f>IF(Registro!B757="","",Registro!H757)</f>
        <v/>
      </c>
      <c r="C757" s="137" t="str">
        <f>IF(Registro!B757="","",Registro!L757)</f>
        <v/>
      </c>
      <c r="D757" s="89" t="str">
        <f>IF(Registro!B757="","",Registro!M757)</f>
        <v/>
      </c>
      <c r="E757" s="136" t="str">
        <f>IF(A757="","",_xlfn.XLOOKUP(A757,Registro!$B$8:$B$997,Registro!$R$8:$R$997,"N/E",0))</f>
        <v/>
      </c>
      <c r="F757" s="93" t="str">
        <f t="shared" si="22"/>
        <v/>
      </c>
      <c r="G757" s="93"/>
      <c r="H757" s="136"/>
      <c r="K757" s="93"/>
      <c r="L757" s="93" t="str">
        <f t="shared" si="23"/>
        <v/>
      </c>
    </row>
    <row r="758" spans="1:12" s="89" customFormat="1">
      <c r="A758" s="89" t="str">
        <f>IF(Registro!B758="","",Registro!B758)</f>
        <v/>
      </c>
      <c r="B758" s="89" t="str">
        <f>IF(Registro!B758="","",Registro!H758)</f>
        <v/>
      </c>
      <c r="C758" s="137" t="str">
        <f>IF(Registro!B758="","",Registro!L758)</f>
        <v/>
      </c>
      <c r="D758" s="89" t="str">
        <f>IF(Registro!B758="","",Registro!M758)</f>
        <v/>
      </c>
      <c r="E758" s="136" t="str">
        <f>IF(A758="","",_xlfn.XLOOKUP(A758,Registro!$B$8:$B$997,Registro!$R$8:$R$997,"N/E",0))</f>
        <v/>
      </c>
      <c r="F758" s="93" t="str">
        <f t="shared" si="22"/>
        <v/>
      </c>
      <c r="G758" s="93"/>
      <c r="H758" s="136"/>
      <c r="K758" s="93"/>
      <c r="L758" s="93" t="str">
        <f t="shared" si="23"/>
        <v/>
      </c>
    </row>
    <row r="759" spans="1:12" s="89" customFormat="1">
      <c r="A759" s="89" t="str">
        <f>IF(Registro!B759="","",Registro!B759)</f>
        <v/>
      </c>
      <c r="B759" s="89" t="str">
        <f>IF(Registro!B759="","",Registro!H759)</f>
        <v/>
      </c>
      <c r="C759" s="137" t="str">
        <f>IF(Registro!B759="","",Registro!L759)</f>
        <v/>
      </c>
      <c r="D759" s="89" t="str">
        <f>IF(Registro!B759="","",Registro!M759)</f>
        <v/>
      </c>
      <c r="E759" s="136" t="str">
        <f>IF(A759="","",_xlfn.XLOOKUP(A759,Registro!$B$8:$B$997,Registro!$R$8:$R$997,"N/E",0))</f>
        <v/>
      </c>
      <c r="F759" s="93" t="str">
        <f t="shared" si="22"/>
        <v/>
      </c>
      <c r="G759" s="93"/>
      <c r="H759" s="136"/>
      <c r="K759" s="93"/>
      <c r="L759" s="93" t="str">
        <f t="shared" si="23"/>
        <v/>
      </c>
    </row>
    <row r="760" spans="1:12" s="89" customFormat="1">
      <c r="A760" s="89" t="str">
        <f>IF(Registro!B760="","",Registro!B760)</f>
        <v/>
      </c>
      <c r="B760" s="89" t="str">
        <f>IF(Registro!B760="","",Registro!H760)</f>
        <v/>
      </c>
      <c r="C760" s="137" t="str">
        <f>IF(Registro!B760="","",Registro!L760)</f>
        <v/>
      </c>
      <c r="D760" s="89" t="str">
        <f>IF(Registro!B760="","",Registro!M760)</f>
        <v/>
      </c>
      <c r="E760" s="136" t="str">
        <f>IF(A760="","",_xlfn.XLOOKUP(A760,Registro!$B$8:$B$997,Registro!$R$8:$R$997,"N/E",0))</f>
        <v/>
      </c>
      <c r="F760" s="93" t="str">
        <f t="shared" si="22"/>
        <v/>
      </c>
      <c r="G760" s="93"/>
      <c r="H760" s="136"/>
      <c r="K760" s="93"/>
      <c r="L760" s="93" t="str">
        <f t="shared" si="23"/>
        <v/>
      </c>
    </row>
    <row r="761" spans="1:12" s="89" customFormat="1">
      <c r="A761" s="89" t="str">
        <f>IF(Registro!B761="","",Registro!B761)</f>
        <v/>
      </c>
      <c r="B761" s="89" t="str">
        <f>IF(Registro!B761="","",Registro!H761)</f>
        <v/>
      </c>
      <c r="C761" s="137" t="str">
        <f>IF(Registro!B761="","",Registro!L761)</f>
        <v/>
      </c>
      <c r="D761" s="89" t="str">
        <f>IF(Registro!B761="","",Registro!M761)</f>
        <v/>
      </c>
      <c r="E761" s="136" t="str">
        <f>IF(A761="","",_xlfn.XLOOKUP(A761,Registro!$B$8:$B$997,Registro!$R$8:$R$997,"N/E",0))</f>
        <v/>
      </c>
      <c r="F761" s="93" t="str">
        <f t="shared" si="22"/>
        <v/>
      </c>
      <c r="G761" s="93"/>
      <c r="H761" s="136"/>
      <c r="K761" s="93"/>
      <c r="L761" s="93" t="str">
        <f t="shared" si="23"/>
        <v/>
      </c>
    </row>
    <row r="762" spans="1:12" s="89" customFormat="1">
      <c r="A762" s="89" t="str">
        <f>IF(Registro!B762="","",Registro!B762)</f>
        <v/>
      </c>
      <c r="B762" s="89" t="str">
        <f>IF(Registro!B762="","",Registro!H762)</f>
        <v/>
      </c>
      <c r="C762" s="137" t="str">
        <f>IF(Registro!B762="","",Registro!L762)</f>
        <v/>
      </c>
      <c r="D762" s="89" t="str">
        <f>IF(Registro!B762="","",Registro!M762)</f>
        <v/>
      </c>
      <c r="E762" s="136" t="str">
        <f>IF(A762="","",_xlfn.XLOOKUP(A762,Registro!$B$8:$B$997,Registro!$R$8:$R$997,"N/E",0))</f>
        <v/>
      </c>
      <c r="F762" s="93" t="str">
        <f t="shared" si="22"/>
        <v/>
      </c>
      <c r="G762" s="93"/>
      <c r="H762" s="136"/>
      <c r="K762" s="93"/>
      <c r="L762" s="93" t="str">
        <f t="shared" si="23"/>
        <v/>
      </c>
    </row>
    <row r="763" spans="1:12" s="89" customFormat="1">
      <c r="A763" s="89" t="str">
        <f>IF(Registro!B763="","",Registro!B763)</f>
        <v/>
      </c>
      <c r="B763" s="89" t="str">
        <f>IF(Registro!B763="","",Registro!H763)</f>
        <v/>
      </c>
      <c r="C763" s="137" t="str">
        <f>IF(Registro!B763="","",Registro!L763)</f>
        <v/>
      </c>
      <c r="D763" s="89" t="str">
        <f>IF(Registro!B763="","",Registro!M763)</f>
        <v/>
      </c>
      <c r="E763" s="136" t="str">
        <f>IF(A763="","",_xlfn.XLOOKUP(A763,Registro!$B$8:$B$997,Registro!$R$8:$R$997,"N/E",0))</f>
        <v/>
      </c>
      <c r="F763" s="93" t="str">
        <f t="shared" si="22"/>
        <v/>
      </c>
      <c r="G763" s="93"/>
      <c r="H763" s="136"/>
      <c r="K763" s="93"/>
      <c r="L763" s="93" t="str">
        <f t="shared" si="23"/>
        <v/>
      </c>
    </row>
    <row r="764" spans="1:12" s="89" customFormat="1">
      <c r="A764" s="89" t="str">
        <f>IF(Registro!B764="","",Registro!B764)</f>
        <v/>
      </c>
      <c r="B764" s="89" t="str">
        <f>IF(Registro!B764="","",Registro!H764)</f>
        <v/>
      </c>
      <c r="C764" s="137" t="str">
        <f>IF(Registro!B764="","",Registro!L764)</f>
        <v/>
      </c>
      <c r="D764" s="89" t="str">
        <f>IF(Registro!B764="","",Registro!M764)</f>
        <v/>
      </c>
      <c r="E764" s="136" t="str">
        <f>IF(A764="","",_xlfn.XLOOKUP(A764,Registro!$B$8:$B$997,Registro!$R$8:$R$997,"N/E",0))</f>
        <v/>
      </c>
      <c r="F764" s="93" t="str">
        <f t="shared" si="22"/>
        <v/>
      </c>
      <c r="G764" s="93"/>
      <c r="H764" s="136"/>
      <c r="K764" s="93"/>
      <c r="L764" s="93" t="str">
        <f t="shared" si="23"/>
        <v/>
      </c>
    </row>
    <row r="765" spans="1:12" s="89" customFormat="1">
      <c r="A765" s="89" t="str">
        <f>IF(Registro!B765="","",Registro!B765)</f>
        <v/>
      </c>
      <c r="B765" s="89" t="str">
        <f>IF(Registro!B765="","",Registro!H765)</f>
        <v/>
      </c>
      <c r="C765" s="137" t="str">
        <f>IF(Registro!B765="","",Registro!L765)</f>
        <v/>
      </c>
      <c r="D765" s="89" t="str">
        <f>IF(Registro!B765="","",Registro!M765)</f>
        <v/>
      </c>
      <c r="E765" s="136" t="str">
        <f>IF(A765="","",_xlfn.XLOOKUP(A765,Registro!$B$8:$B$997,Registro!$R$8:$R$997,"N/E",0))</f>
        <v/>
      </c>
      <c r="F765" s="93" t="str">
        <f t="shared" si="22"/>
        <v/>
      </c>
      <c r="G765" s="93"/>
      <c r="H765" s="136"/>
      <c r="K765" s="93"/>
      <c r="L765" s="93" t="str">
        <f t="shared" si="23"/>
        <v/>
      </c>
    </row>
    <row r="766" spans="1:12" s="89" customFormat="1">
      <c r="A766" s="89" t="str">
        <f>IF(Registro!B766="","",Registro!B766)</f>
        <v/>
      </c>
      <c r="B766" s="89" t="str">
        <f>IF(Registro!B766="","",Registro!H766)</f>
        <v/>
      </c>
      <c r="C766" s="137" t="str">
        <f>IF(Registro!B766="","",Registro!L766)</f>
        <v/>
      </c>
      <c r="D766" s="89" t="str">
        <f>IF(Registro!B766="","",Registro!M766)</f>
        <v/>
      </c>
      <c r="E766" s="136" t="str">
        <f>IF(A766="","",_xlfn.XLOOKUP(A766,Registro!$B$8:$B$997,Registro!$R$8:$R$997,"N/E",0))</f>
        <v/>
      </c>
      <c r="F766" s="93" t="str">
        <f t="shared" si="22"/>
        <v/>
      </c>
      <c r="G766" s="93"/>
      <c r="H766" s="136"/>
      <c r="K766" s="93"/>
      <c r="L766" s="93" t="str">
        <f t="shared" si="23"/>
        <v/>
      </c>
    </row>
    <row r="767" spans="1:12" s="89" customFormat="1">
      <c r="A767" s="89" t="str">
        <f>IF(Registro!B767="","",Registro!B767)</f>
        <v/>
      </c>
      <c r="B767" s="89" t="str">
        <f>IF(Registro!B767="","",Registro!H767)</f>
        <v/>
      </c>
      <c r="C767" s="137" t="str">
        <f>IF(Registro!B767="","",Registro!L767)</f>
        <v/>
      </c>
      <c r="D767" s="89" t="str">
        <f>IF(Registro!B767="","",Registro!M767)</f>
        <v/>
      </c>
      <c r="E767" s="136" t="str">
        <f>IF(A767="","",_xlfn.XLOOKUP(A767,Registro!$B$8:$B$997,Registro!$R$8:$R$997,"N/E",0))</f>
        <v/>
      </c>
      <c r="F767" s="93" t="str">
        <f t="shared" si="22"/>
        <v/>
      </c>
      <c r="G767" s="93"/>
      <c r="H767" s="136"/>
      <c r="K767" s="93"/>
      <c r="L767" s="93" t="str">
        <f t="shared" si="23"/>
        <v/>
      </c>
    </row>
    <row r="768" spans="1:12" s="89" customFormat="1">
      <c r="A768" s="89" t="str">
        <f>IF(Registro!B768="","",Registro!B768)</f>
        <v/>
      </c>
      <c r="B768" s="89" t="str">
        <f>IF(Registro!B768="","",Registro!H768)</f>
        <v/>
      </c>
      <c r="C768" s="137" t="str">
        <f>IF(Registro!B768="","",Registro!L768)</f>
        <v/>
      </c>
      <c r="D768" s="89" t="str">
        <f>IF(Registro!B768="","",Registro!M768)</f>
        <v/>
      </c>
      <c r="E768" s="136" t="str">
        <f>IF(A768="","",_xlfn.XLOOKUP(A768,Registro!$B$8:$B$997,Registro!$R$8:$R$997,"N/E",0))</f>
        <v/>
      </c>
      <c r="F768" s="93" t="str">
        <f t="shared" si="22"/>
        <v/>
      </c>
      <c r="G768" s="93"/>
      <c r="H768" s="136"/>
      <c r="K768" s="93"/>
      <c r="L768" s="93" t="str">
        <f t="shared" si="23"/>
        <v/>
      </c>
    </row>
    <row r="769" spans="1:12" s="89" customFormat="1">
      <c r="A769" s="89" t="str">
        <f>IF(Registro!B769="","",Registro!B769)</f>
        <v/>
      </c>
      <c r="B769" s="89" t="str">
        <f>IF(Registro!B769="","",Registro!H769)</f>
        <v/>
      </c>
      <c r="C769" s="137" t="str">
        <f>IF(Registro!B769="","",Registro!L769)</f>
        <v/>
      </c>
      <c r="D769" s="89" t="str">
        <f>IF(Registro!B769="","",Registro!M769)</f>
        <v/>
      </c>
      <c r="E769" s="136" t="str">
        <f>IF(A769="","",_xlfn.XLOOKUP(A769,Registro!$B$8:$B$997,Registro!$R$8:$R$997,"N/E",0))</f>
        <v/>
      </c>
      <c r="F769" s="93" t="str">
        <f t="shared" si="22"/>
        <v/>
      </c>
      <c r="G769" s="93"/>
      <c r="H769" s="136"/>
      <c r="K769" s="93"/>
      <c r="L769" s="93" t="str">
        <f t="shared" si="23"/>
        <v/>
      </c>
    </row>
    <row r="770" spans="1:12" s="89" customFormat="1">
      <c r="A770" s="89" t="str">
        <f>IF(Registro!B770="","",Registro!B770)</f>
        <v/>
      </c>
      <c r="B770" s="89" t="str">
        <f>IF(Registro!B770="","",Registro!H770)</f>
        <v/>
      </c>
      <c r="C770" s="137" t="str">
        <f>IF(Registro!B770="","",Registro!L770)</f>
        <v/>
      </c>
      <c r="D770" s="89" t="str">
        <f>IF(Registro!B770="","",Registro!M770)</f>
        <v/>
      </c>
      <c r="E770" s="136" t="str">
        <f>IF(A770="","",_xlfn.XLOOKUP(A770,Registro!$B$8:$B$997,Registro!$R$8:$R$997,"N/E",0))</f>
        <v/>
      </c>
      <c r="F770" s="93" t="str">
        <f t="shared" si="22"/>
        <v/>
      </c>
      <c r="G770" s="93"/>
      <c r="H770" s="136"/>
      <c r="K770" s="93"/>
      <c r="L770" s="93" t="str">
        <f t="shared" si="23"/>
        <v/>
      </c>
    </row>
    <row r="771" spans="1:12" s="89" customFormat="1">
      <c r="A771" s="89" t="str">
        <f>IF(Registro!B771="","",Registro!B771)</f>
        <v/>
      </c>
      <c r="B771" s="89" t="str">
        <f>IF(Registro!B771="","",Registro!H771)</f>
        <v/>
      </c>
      <c r="C771" s="137" t="str">
        <f>IF(Registro!B771="","",Registro!L771)</f>
        <v/>
      </c>
      <c r="D771" s="89" t="str">
        <f>IF(Registro!B771="","",Registro!M771)</f>
        <v/>
      </c>
      <c r="E771" s="136" t="str">
        <f>IF(A771="","",_xlfn.XLOOKUP(A771,Registro!$B$8:$B$997,Registro!$R$8:$R$997,"N/E",0))</f>
        <v/>
      </c>
      <c r="F771" s="93" t="str">
        <f t="shared" si="22"/>
        <v/>
      </c>
      <c r="G771" s="93"/>
      <c r="H771" s="136"/>
      <c r="K771" s="93"/>
      <c r="L771" s="93" t="str">
        <f t="shared" si="23"/>
        <v/>
      </c>
    </row>
    <row r="772" spans="1:12" s="89" customFormat="1">
      <c r="A772" s="89" t="str">
        <f>IF(Registro!B772="","",Registro!B772)</f>
        <v/>
      </c>
      <c r="B772" s="89" t="str">
        <f>IF(Registro!B772="","",Registro!H772)</f>
        <v/>
      </c>
      <c r="C772" s="137" t="str">
        <f>IF(Registro!B772="","",Registro!L772)</f>
        <v/>
      </c>
      <c r="D772" s="89" t="str">
        <f>IF(Registro!B772="","",Registro!M772)</f>
        <v/>
      </c>
      <c r="E772" s="136" t="str">
        <f>IF(A772="","",_xlfn.XLOOKUP(A772,Registro!$B$8:$B$997,Registro!$R$8:$R$997,"N/E",0))</f>
        <v/>
      </c>
      <c r="F772" s="93" t="str">
        <f t="shared" si="22"/>
        <v/>
      </c>
      <c r="G772" s="93"/>
      <c r="H772" s="136"/>
      <c r="K772" s="93"/>
      <c r="L772" s="93" t="str">
        <f t="shared" si="23"/>
        <v/>
      </c>
    </row>
    <row r="773" spans="1:12" s="89" customFormat="1">
      <c r="A773" s="89" t="str">
        <f>IF(Registro!B773="","",Registro!B773)</f>
        <v/>
      </c>
      <c r="B773" s="89" t="str">
        <f>IF(Registro!B773="","",Registro!H773)</f>
        <v/>
      </c>
      <c r="C773" s="137" t="str">
        <f>IF(Registro!B773="","",Registro!L773)</f>
        <v/>
      </c>
      <c r="D773" s="89" t="str">
        <f>IF(Registro!B773="","",Registro!M773)</f>
        <v/>
      </c>
      <c r="E773" s="136" t="str">
        <f>IF(A773="","",_xlfn.XLOOKUP(A773,Registro!$B$8:$B$997,Registro!$R$8:$R$997,"N/E",0))</f>
        <v/>
      </c>
      <c r="F773" s="93" t="str">
        <f t="shared" si="22"/>
        <v/>
      </c>
      <c r="G773" s="93"/>
      <c r="H773" s="136"/>
      <c r="K773" s="93"/>
      <c r="L773" s="93" t="str">
        <f t="shared" si="23"/>
        <v/>
      </c>
    </row>
    <row r="774" spans="1:12" s="89" customFormat="1">
      <c r="A774" s="89" t="str">
        <f>IF(Registro!B774="","",Registro!B774)</f>
        <v/>
      </c>
      <c r="B774" s="89" t="str">
        <f>IF(Registro!B774="","",Registro!H774)</f>
        <v/>
      </c>
      <c r="C774" s="137" t="str">
        <f>IF(Registro!B774="","",Registro!L774)</f>
        <v/>
      </c>
      <c r="D774" s="89" t="str">
        <f>IF(Registro!B774="","",Registro!M774)</f>
        <v/>
      </c>
      <c r="E774" s="136" t="str">
        <f>IF(A774="","",_xlfn.XLOOKUP(A774,Registro!$B$8:$B$997,Registro!$R$8:$R$997,"N/E",0))</f>
        <v/>
      </c>
      <c r="F774" s="93" t="str">
        <f t="shared" si="22"/>
        <v/>
      </c>
      <c r="G774" s="93"/>
      <c r="H774" s="136"/>
      <c r="K774" s="93"/>
      <c r="L774" s="93" t="str">
        <f t="shared" si="23"/>
        <v/>
      </c>
    </row>
    <row r="775" spans="1:12" s="89" customFormat="1">
      <c r="A775" s="89" t="str">
        <f>IF(Registro!B775="","",Registro!B775)</f>
        <v/>
      </c>
      <c r="B775" s="89" t="str">
        <f>IF(Registro!B775="","",Registro!H775)</f>
        <v/>
      </c>
      <c r="C775" s="137" t="str">
        <f>IF(Registro!B775="","",Registro!L775)</f>
        <v/>
      </c>
      <c r="D775" s="89" t="str">
        <f>IF(Registro!B775="","",Registro!M775)</f>
        <v/>
      </c>
      <c r="E775" s="136" t="str">
        <f>IF(A775="","",_xlfn.XLOOKUP(A775,Registro!$B$8:$B$997,Registro!$R$8:$R$997,"N/E",0))</f>
        <v/>
      </c>
      <c r="F775" s="93" t="str">
        <f t="shared" si="22"/>
        <v/>
      </c>
      <c r="G775" s="93"/>
      <c r="H775" s="136"/>
      <c r="K775" s="93"/>
      <c r="L775" s="93" t="str">
        <f t="shared" si="23"/>
        <v/>
      </c>
    </row>
    <row r="776" spans="1:12" s="89" customFormat="1">
      <c r="A776" s="89" t="str">
        <f>IF(Registro!B776="","",Registro!B776)</f>
        <v/>
      </c>
      <c r="B776" s="89" t="str">
        <f>IF(Registro!B776="","",Registro!H776)</f>
        <v/>
      </c>
      <c r="C776" s="137" t="str">
        <f>IF(Registro!B776="","",Registro!L776)</f>
        <v/>
      </c>
      <c r="D776" s="89" t="str">
        <f>IF(Registro!B776="","",Registro!M776)</f>
        <v/>
      </c>
      <c r="E776" s="136" t="str">
        <f>IF(A776="","",_xlfn.XLOOKUP(A776,Registro!$B$8:$B$997,Registro!$R$8:$R$997,"N/E",0))</f>
        <v/>
      </c>
      <c r="F776" s="93" t="str">
        <f t="shared" ref="F776:F839" si="24">IF(A776="","",NETWORKDAYS.INTL(C776,E776,1))</f>
        <v/>
      </c>
      <c r="G776" s="93"/>
      <c r="H776" s="136"/>
      <c r="K776" s="93"/>
      <c r="L776" s="93" t="str">
        <f t="shared" si="23"/>
        <v/>
      </c>
    </row>
    <row r="777" spans="1:12" s="89" customFormat="1">
      <c r="A777" s="89" t="str">
        <f>IF(Registro!B777="","",Registro!B777)</f>
        <v/>
      </c>
      <c r="B777" s="89" t="str">
        <f>IF(Registro!B777="","",Registro!H777)</f>
        <v/>
      </c>
      <c r="C777" s="137" t="str">
        <f>IF(Registro!B777="","",Registro!L777)</f>
        <v/>
      </c>
      <c r="D777" s="89" t="str">
        <f>IF(Registro!B777="","",Registro!M777)</f>
        <v/>
      </c>
      <c r="E777" s="136" t="str">
        <f>IF(A777="","",_xlfn.XLOOKUP(A777,Registro!$B$8:$B$997,Registro!$R$8:$R$997,"N/E",0))</f>
        <v/>
      </c>
      <c r="F777" s="93" t="str">
        <f t="shared" si="24"/>
        <v/>
      </c>
      <c r="G777" s="93"/>
      <c r="H777" s="136"/>
      <c r="K777" s="93"/>
      <c r="L777" s="93" t="str">
        <f t="shared" si="23"/>
        <v/>
      </c>
    </row>
    <row r="778" spans="1:12" s="89" customFormat="1">
      <c r="A778" s="89" t="str">
        <f>IF(Registro!B778="","",Registro!B778)</f>
        <v/>
      </c>
      <c r="B778" s="89" t="str">
        <f>IF(Registro!B778="","",Registro!H778)</f>
        <v/>
      </c>
      <c r="C778" s="137" t="str">
        <f>IF(Registro!B778="","",Registro!L778)</f>
        <v/>
      </c>
      <c r="D778" s="89" t="str">
        <f>IF(Registro!B778="","",Registro!M778)</f>
        <v/>
      </c>
      <c r="E778" s="136" t="str">
        <f>IF(A778="","",_xlfn.XLOOKUP(A778,Registro!$B$8:$B$997,Registro!$R$8:$R$997,"N/E",0))</f>
        <v/>
      </c>
      <c r="F778" s="93" t="str">
        <f t="shared" si="24"/>
        <v/>
      </c>
      <c r="G778" s="93"/>
      <c r="H778" s="136"/>
      <c r="K778" s="93"/>
      <c r="L778" s="93" t="str">
        <f t="shared" si="23"/>
        <v/>
      </c>
    </row>
    <row r="779" spans="1:12" s="89" customFormat="1">
      <c r="A779" s="89" t="str">
        <f>IF(Registro!B779="","",Registro!B779)</f>
        <v/>
      </c>
      <c r="B779" s="89" t="str">
        <f>IF(Registro!B779="","",Registro!H779)</f>
        <v/>
      </c>
      <c r="C779" s="137" t="str">
        <f>IF(Registro!B779="","",Registro!L779)</f>
        <v/>
      </c>
      <c r="D779" s="89" t="str">
        <f>IF(Registro!B779="","",Registro!M779)</f>
        <v/>
      </c>
      <c r="E779" s="136" t="str">
        <f>IF(A779="","",_xlfn.XLOOKUP(A779,Registro!$B$8:$B$997,Registro!$R$8:$R$997,"N/E",0))</f>
        <v/>
      </c>
      <c r="F779" s="93" t="str">
        <f t="shared" si="24"/>
        <v/>
      </c>
      <c r="G779" s="93"/>
      <c r="H779" s="136"/>
      <c r="K779" s="93"/>
      <c r="L779" s="93" t="str">
        <f t="shared" si="23"/>
        <v/>
      </c>
    </row>
    <row r="780" spans="1:12" s="89" customFormat="1">
      <c r="A780" s="89" t="str">
        <f>IF(Registro!B780="","",Registro!B780)</f>
        <v/>
      </c>
      <c r="B780" s="89" t="str">
        <f>IF(Registro!B780="","",Registro!H780)</f>
        <v/>
      </c>
      <c r="C780" s="137" t="str">
        <f>IF(Registro!B780="","",Registro!L780)</f>
        <v/>
      </c>
      <c r="D780" s="89" t="str">
        <f>IF(Registro!B780="","",Registro!M780)</f>
        <v/>
      </c>
      <c r="E780" s="136" t="str">
        <f>IF(A780="","",_xlfn.XLOOKUP(A780,Registro!$B$8:$B$997,Registro!$R$8:$R$997,"N/E",0))</f>
        <v/>
      </c>
      <c r="F780" s="93" t="str">
        <f t="shared" si="24"/>
        <v/>
      </c>
      <c r="G780" s="93"/>
      <c r="H780" s="136"/>
      <c r="K780" s="93"/>
      <c r="L780" s="93" t="str">
        <f t="shared" si="23"/>
        <v/>
      </c>
    </row>
    <row r="781" spans="1:12" s="89" customFormat="1">
      <c r="A781" s="89" t="str">
        <f>IF(Registro!B781="","",Registro!B781)</f>
        <v/>
      </c>
      <c r="B781" s="89" t="str">
        <f>IF(Registro!B781="","",Registro!H781)</f>
        <v/>
      </c>
      <c r="C781" s="137" t="str">
        <f>IF(Registro!B781="","",Registro!L781)</f>
        <v/>
      </c>
      <c r="D781" s="89" t="str">
        <f>IF(Registro!B781="","",Registro!M781)</f>
        <v/>
      </c>
      <c r="E781" s="136" t="str">
        <f>IF(A781="","",_xlfn.XLOOKUP(A781,Registro!$B$8:$B$997,Registro!$R$8:$R$997,"N/E",0))</f>
        <v/>
      </c>
      <c r="F781" s="93" t="str">
        <f t="shared" si="24"/>
        <v/>
      </c>
      <c r="G781" s="93"/>
      <c r="H781" s="136"/>
      <c r="K781" s="93"/>
      <c r="L781" s="93" t="str">
        <f t="shared" si="23"/>
        <v/>
      </c>
    </row>
    <row r="782" spans="1:12" s="89" customFormat="1">
      <c r="A782" s="89" t="str">
        <f>IF(Registro!B782="","",Registro!B782)</f>
        <v/>
      </c>
      <c r="B782" s="89" t="str">
        <f>IF(Registro!B782="","",Registro!H782)</f>
        <v/>
      </c>
      <c r="C782" s="137" t="str">
        <f>IF(Registro!B782="","",Registro!L782)</f>
        <v/>
      </c>
      <c r="D782" s="89" t="str">
        <f>IF(Registro!B782="","",Registro!M782)</f>
        <v/>
      </c>
      <c r="E782" s="136" t="str">
        <f>IF(A782="","",_xlfn.XLOOKUP(A782,Registro!$B$8:$B$997,Registro!$R$8:$R$997,"N/E",0))</f>
        <v/>
      </c>
      <c r="F782" s="93" t="str">
        <f t="shared" si="24"/>
        <v/>
      </c>
      <c r="G782" s="93"/>
      <c r="H782" s="136"/>
      <c r="K782" s="93"/>
      <c r="L782" s="93" t="str">
        <f t="shared" si="23"/>
        <v/>
      </c>
    </row>
    <row r="783" spans="1:12" s="89" customFormat="1">
      <c r="A783" s="89" t="str">
        <f>IF(Registro!B783="","",Registro!B783)</f>
        <v/>
      </c>
      <c r="B783" s="89" t="str">
        <f>IF(Registro!B783="","",Registro!H783)</f>
        <v/>
      </c>
      <c r="C783" s="137" t="str">
        <f>IF(Registro!B783="","",Registro!L783)</f>
        <v/>
      </c>
      <c r="D783" s="89" t="str">
        <f>IF(Registro!B783="","",Registro!M783)</f>
        <v/>
      </c>
      <c r="E783" s="136" t="str">
        <f>IF(A783="","",_xlfn.XLOOKUP(A783,Registro!$B$8:$B$997,Registro!$R$8:$R$997,"N/E",0))</f>
        <v/>
      </c>
      <c r="F783" s="93" t="str">
        <f t="shared" si="24"/>
        <v/>
      </c>
      <c r="G783" s="93"/>
      <c r="H783" s="136"/>
      <c r="K783" s="93"/>
      <c r="L783" s="93" t="str">
        <f t="shared" si="23"/>
        <v/>
      </c>
    </row>
    <row r="784" spans="1:12" s="89" customFormat="1">
      <c r="A784" s="89" t="str">
        <f>IF(Registro!B784="","",Registro!B784)</f>
        <v/>
      </c>
      <c r="B784" s="89" t="str">
        <f>IF(Registro!B784="","",Registro!H784)</f>
        <v/>
      </c>
      <c r="C784" s="137" t="str">
        <f>IF(Registro!B784="","",Registro!L784)</f>
        <v/>
      </c>
      <c r="D784" s="89" t="str">
        <f>IF(Registro!B784="","",Registro!M784)</f>
        <v/>
      </c>
      <c r="E784" s="136" t="str">
        <f>IF(A784="","",_xlfn.XLOOKUP(A784,Registro!$B$8:$B$997,Registro!$R$8:$R$997,"N/E",0))</f>
        <v/>
      </c>
      <c r="F784" s="93" t="str">
        <f t="shared" si="24"/>
        <v/>
      </c>
      <c r="G784" s="93"/>
      <c r="H784" s="136"/>
      <c r="K784" s="93"/>
      <c r="L784" s="93" t="str">
        <f t="shared" si="23"/>
        <v/>
      </c>
    </row>
    <row r="785" spans="1:12" s="89" customFormat="1">
      <c r="A785" s="89" t="str">
        <f>IF(Registro!B785="","",Registro!B785)</f>
        <v/>
      </c>
      <c r="B785" s="89" t="str">
        <f>IF(Registro!B785="","",Registro!H785)</f>
        <v/>
      </c>
      <c r="C785" s="137" t="str">
        <f>IF(Registro!B785="","",Registro!L785)</f>
        <v/>
      </c>
      <c r="D785" s="89" t="str">
        <f>IF(Registro!B785="","",Registro!M785)</f>
        <v/>
      </c>
      <c r="E785" s="136" t="str">
        <f>IF(A785="","",_xlfn.XLOOKUP(A785,Registro!$B$8:$B$997,Registro!$R$8:$R$997,"N/E",0))</f>
        <v/>
      </c>
      <c r="F785" s="93" t="str">
        <f t="shared" si="24"/>
        <v/>
      </c>
      <c r="G785" s="93"/>
      <c r="H785" s="136"/>
      <c r="K785" s="93"/>
      <c r="L785" s="93" t="str">
        <f t="shared" si="23"/>
        <v/>
      </c>
    </row>
    <row r="786" spans="1:12" s="89" customFormat="1">
      <c r="A786" s="89" t="str">
        <f>IF(Registro!B786="","",Registro!B786)</f>
        <v/>
      </c>
      <c r="B786" s="89" t="str">
        <f>IF(Registro!B786="","",Registro!H786)</f>
        <v/>
      </c>
      <c r="C786" s="137" t="str">
        <f>IF(Registro!B786="","",Registro!L786)</f>
        <v/>
      </c>
      <c r="D786" s="89" t="str">
        <f>IF(Registro!B786="","",Registro!M786)</f>
        <v/>
      </c>
      <c r="E786" s="136" t="str">
        <f>IF(A786="","",_xlfn.XLOOKUP(A786,Registro!$B$8:$B$997,Registro!$R$8:$R$997,"N/E",0))</f>
        <v/>
      </c>
      <c r="F786" s="93" t="str">
        <f t="shared" si="24"/>
        <v/>
      </c>
      <c r="G786" s="93"/>
      <c r="H786" s="136"/>
      <c r="K786" s="93"/>
      <c r="L786" s="93" t="str">
        <f t="shared" ref="L786:L849" si="25">IF(OR(K786="N/A",K786=""),"",NETWORKDAYS(C786,K786))</f>
        <v/>
      </c>
    </row>
    <row r="787" spans="1:12" s="89" customFormat="1">
      <c r="A787" s="89" t="str">
        <f>IF(Registro!B787="","",Registro!B787)</f>
        <v/>
      </c>
      <c r="B787" s="89" t="str">
        <f>IF(Registro!B787="","",Registro!H787)</f>
        <v/>
      </c>
      <c r="C787" s="137" t="str">
        <f>IF(Registro!B787="","",Registro!L787)</f>
        <v/>
      </c>
      <c r="D787" s="89" t="str">
        <f>IF(Registro!B787="","",Registro!M787)</f>
        <v/>
      </c>
      <c r="E787" s="136" t="str">
        <f>IF(A787="","",_xlfn.XLOOKUP(A787,Registro!$B$8:$B$997,Registro!$R$8:$R$997,"N/E",0))</f>
        <v/>
      </c>
      <c r="F787" s="93" t="str">
        <f t="shared" si="24"/>
        <v/>
      </c>
      <c r="G787" s="93"/>
      <c r="H787" s="136"/>
      <c r="K787" s="93"/>
      <c r="L787" s="93" t="str">
        <f t="shared" si="25"/>
        <v/>
      </c>
    </row>
    <row r="788" spans="1:12" s="89" customFormat="1">
      <c r="A788" s="89" t="str">
        <f>IF(Registro!B788="","",Registro!B788)</f>
        <v/>
      </c>
      <c r="B788" s="89" t="str">
        <f>IF(Registro!B788="","",Registro!H788)</f>
        <v/>
      </c>
      <c r="C788" s="137" t="str">
        <f>IF(Registro!B788="","",Registro!L788)</f>
        <v/>
      </c>
      <c r="D788" s="89" t="str">
        <f>IF(Registro!B788="","",Registro!M788)</f>
        <v/>
      </c>
      <c r="E788" s="136" t="str">
        <f>IF(A788="","",_xlfn.XLOOKUP(A788,Registro!$B$8:$B$997,Registro!$R$8:$R$997,"N/E",0))</f>
        <v/>
      </c>
      <c r="F788" s="93" t="str">
        <f t="shared" si="24"/>
        <v/>
      </c>
      <c r="G788" s="93"/>
      <c r="H788" s="136"/>
      <c r="K788" s="93"/>
      <c r="L788" s="93" t="str">
        <f t="shared" si="25"/>
        <v/>
      </c>
    </row>
    <row r="789" spans="1:12" s="89" customFormat="1">
      <c r="A789" s="89" t="str">
        <f>IF(Registro!B789="","",Registro!B789)</f>
        <v/>
      </c>
      <c r="B789" s="89" t="str">
        <f>IF(Registro!B789="","",Registro!H789)</f>
        <v/>
      </c>
      <c r="C789" s="137" t="str">
        <f>IF(Registro!B789="","",Registro!L789)</f>
        <v/>
      </c>
      <c r="D789" s="89" t="str">
        <f>IF(Registro!B789="","",Registro!M789)</f>
        <v/>
      </c>
      <c r="E789" s="136" t="str">
        <f>IF(A789="","",_xlfn.XLOOKUP(A789,Registro!$B$8:$B$997,Registro!$R$8:$R$997,"N/E",0))</f>
        <v/>
      </c>
      <c r="F789" s="93" t="str">
        <f t="shared" si="24"/>
        <v/>
      </c>
      <c r="G789" s="93"/>
      <c r="H789" s="136"/>
      <c r="K789" s="93"/>
      <c r="L789" s="93" t="str">
        <f t="shared" si="25"/>
        <v/>
      </c>
    </row>
    <row r="790" spans="1:12" s="89" customFormat="1">
      <c r="A790" s="89" t="str">
        <f>IF(Registro!B790="","",Registro!B790)</f>
        <v/>
      </c>
      <c r="B790" s="89" t="str">
        <f>IF(Registro!B790="","",Registro!H790)</f>
        <v/>
      </c>
      <c r="C790" s="137" t="str">
        <f>IF(Registro!B790="","",Registro!L790)</f>
        <v/>
      </c>
      <c r="D790" s="89" t="str">
        <f>IF(Registro!B790="","",Registro!M790)</f>
        <v/>
      </c>
      <c r="E790" s="136" t="str">
        <f>IF(A790="","",_xlfn.XLOOKUP(A790,Registro!$B$8:$B$997,Registro!$R$8:$R$997,"N/E",0))</f>
        <v/>
      </c>
      <c r="F790" s="93" t="str">
        <f t="shared" si="24"/>
        <v/>
      </c>
      <c r="G790" s="93"/>
      <c r="H790" s="136"/>
      <c r="K790" s="93"/>
      <c r="L790" s="93" t="str">
        <f t="shared" si="25"/>
        <v/>
      </c>
    </row>
    <row r="791" spans="1:12" s="89" customFormat="1">
      <c r="A791" s="89" t="str">
        <f>IF(Registro!B791="","",Registro!B791)</f>
        <v/>
      </c>
      <c r="B791" s="89" t="str">
        <f>IF(Registro!B791="","",Registro!H791)</f>
        <v/>
      </c>
      <c r="C791" s="137" t="str">
        <f>IF(Registro!B791="","",Registro!L791)</f>
        <v/>
      </c>
      <c r="D791" s="89" t="str">
        <f>IF(Registro!B791="","",Registro!M791)</f>
        <v/>
      </c>
      <c r="E791" s="136" t="str">
        <f>IF(A791="","",_xlfn.XLOOKUP(A791,Registro!$B$8:$B$997,Registro!$R$8:$R$997,"N/E",0))</f>
        <v/>
      </c>
      <c r="F791" s="93" t="str">
        <f t="shared" si="24"/>
        <v/>
      </c>
      <c r="G791" s="93"/>
      <c r="H791" s="136"/>
      <c r="K791" s="93"/>
      <c r="L791" s="93" t="str">
        <f t="shared" si="25"/>
        <v/>
      </c>
    </row>
    <row r="792" spans="1:12" s="89" customFormat="1">
      <c r="A792" s="89" t="str">
        <f>IF(Registro!B792="","",Registro!B792)</f>
        <v/>
      </c>
      <c r="B792" s="89" t="str">
        <f>IF(Registro!B792="","",Registro!H792)</f>
        <v/>
      </c>
      <c r="C792" s="137" t="str">
        <f>IF(Registro!B792="","",Registro!L792)</f>
        <v/>
      </c>
      <c r="D792" s="89" t="str">
        <f>IF(Registro!B792="","",Registro!M792)</f>
        <v/>
      </c>
      <c r="E792" s="136" t="str">
        <f>IF(A792="","",_xlfn.XLOOKUP(A792,Registro!$B$8:$B$997,Registro!$R$8:$R$997,"N/E",0))</f>
        <v/>
      </c>
      <c r="F792" s="93" t="str">
        <f t="shared" si="24"/>
        <v/>
      </c>
      <c r="G792" s="93"/>
      <c r="H792" s="136"/>
      <c r="K792" s="93"/>
      <c r="L792" s="93" t="str">
        <f t="shared" si="25"/>
        <v/>
      </c>
    </row>
    <row r="793" spans="1:12" s="89" customFormat="1">
      <c r="A793" s="89" t="str">
        <f>IF(Registro!B793="","",Registro!B793)</f>
        <v/>
      </c>
      <c r="B793" s="89" t="str">
        <f>IF(Registro!B793="","",Registro!H793)</f>
        <v/>
      </c>
      <c r="C793" s="137" t="str">
        <f>IF(Registro!B793="","",Registro!L793)</f>
        <v/>
      </c>
      <c r="D793" s="89" t="str">
        <f>IF(Registro!B793="","",Registro!M793)</f>
        <v/>
      </c>
      <c r="E793" s="136" t="str">
        <f>IF(A793="","",_xlfn.XLOOKUP(A793,Registro!$B$8:$B$997,Registro!$R$8:$R$997,"N/E",0))</f>
        <v/>
      </c>
      <c r="F793" s="93" t="str">
        <f t="shared" si="24"/>
        <v/>
      </c>
      <c r="G793" s="93"/>
      <c r="H793" s="136"/>
      <c r="K793" s="93"/>
      <c r="L793" s="93" t="str">
        <f t="shared" si="25"/>
        <v/>
      </c>
    </row>
    <row r="794" spans="1:12" s="89" customFormat="1">
      <c r="A794" s="89" t="str">
        <f>IF(Registro!B794="","",Registro!B794)</f>
        <v/>
      </c>
      <c r="B794" s="89" t="str">
        <f>IF(Registro!B794="","",Registro!H794)</f>
        <v/>
      </c>
      <c r="C794" s="137" t="str">
        <f>IF(Registro!B794="","",Registro!L794)</f>
        <v/>
      </c>
      <c r="D794" s="89" t="str">
        <f>IF(Registro!B794="","",Registro!M794)</f>
        <v/>
      </c>
      <c r="E794" s="136" t="str">
        <f>IF(A794="","",_xlfn.XLOOKUP(A794,Registro!$B$8:$B$997,Registro!$R$8:$R$997,"N/E",0))</f>
        <v/>
      </c>
      <c r="F794" s="93" t="str">
        <f t="shared" si="24"/>
        <v/>
      </c>
      <c r="G794" s="93"/>
      <c r="H794" s="136"/>
      <c r="K794" s="93"/>
      <c r="L794" s="93" t="str">
        <f t="shared" si="25"/>
        <v/>
      </c>
    </row>
    <row r="795" spans="1:12" s="89" customFormat="1">
      <c r="A795" s="89" t="str">
        <f>IF(Registro!B795="","",Registro!B795)</f>
        <v/>
      </c>
      <c r="B795" s="89" t="str">
        <f>IF(Registro!B795="","",Registro!H795)</f>
        <v/>
      </c>
      <c r="C795" s="137" t="str">
        <f>IF(Registro!B795="","",Registro!L795)</f>
        <v/>
      </c>
      <c r="D795" s="89" t="str">
        <f>IF(Registro!B795="","",Registro!M795)</f>
        <v/>
      </c>
      <c r="E795" s="136" t="str">
        <f>IF(A795="","",_xlfn.XLOOKUP(A795,Registro!$B$8:$B$997,Registro!$R$8:$R$997,"N/E",0))</f>
        <v/>
      </c>
      <c r="F795" s="93" t="str">
        <f t="shared" si="24"/>
        <v/>
      </c>
      <c r="G795" s="93"/>
      <c r="H795" s="136"/>
      <c r="K795" s="93"/>
      <c r="L795" s="93" t="str">
        <f t="shared" si="25"/>
        <v/>
      </c>
    </row>
    <row r="796" spans="1:12" s="89" customFormat="1">
      <c r="A796" s="89" t="str">
        <f>IF(Registro!B796="","",Registro!B796)</f>
        <v/>
      </c>
      <c r="B796" s="89" t="str">
        <f>IF(Registro!B796="","",Registro!H796)</f>
        <v/>
      </c>
      <c r="C796" s="137" t="str">
        <f>IF(Registro!B796="","",Registro!L796)</f>
        <v/>
      </c>
      <c r="D796" s="89" t="str">
        <f>IF(Registro!B796="","",Registro!M796)</f>
        <v/>
      </c>
      <c r="E796" s="136" t="str">
        <f>IF(A796="","",_xlfn.XLOOKUP(A796,Registro!$B$8:$B$997,Registro!$R$8:$R$997,"N/E",0))</f>
        <v/>
      </c>
      <c r="F796" s="93" t="str">
        <f t="shared" si="24"/>
        <v/>
      </c>
      <c r="G796" s="93"/>
      <c r="H796" s="136"/>
      <c r="K796" s="93"/>
      <c r="L796" s="93" t="str">
        <f t="shared" si="25"/>
        <v/>
      </c>
    </row>
    <row r="797" spans="1:12" s="89" customFormat="1">
      <c r="A797" s="89" t="str">
        <f>IF(Registro!B797="","",Registro!B797)</f>
        <v/>
      </c>
      <c r="B797" s="89" t="str">
        <f>IF(Registro!B797="","",Registro!H797)</f>
        <v/>
      </c>
      <c r="C797" s="137" t="str">
        <f>IF(Registro!B797="","",Registro!L797)</f>
        <v/>
      </c>
      <c r="D797" s="89" t="str">
        <f>IF(Registro!B797="","",Registro!M797)</f>
        <v/>
      </c>
      <c r="E797" s="136" t="str">
        <f>IF(A797="","",_xlfn.XLOOKUP(A797,Registro!$B$8:$B$997,Registro!$R$8:$R$997,"N/E",0))</f>
        <v/>
      </c>
      <c r="F797" s="93" t="str">
        <f t="shared" si="24"/>
        <v/>
      </c>
      <c r="G797" s="93"/>
      <c r="H797" s="136"/>
      <c r="K797" s="93"/>
      <c r="L797" s="93" t="str">
        <f t="shared" si="25"/>
        <v/>
      </c>
    </row>
    <row r="798" spans="1:12" s="89" customFormat="1">
      <c r="A798" s="89" t="str">
        <f>IF(Registro!B798="","",Registro!B798)</f>
        <v/>
      </c>
      <c r="B798" s="89" t="str">
        <f>IF(Registro!B798="","",Registro!H798)</f>
        <v/>
      </c>
      <c r="C798" s="137" t="str">
        <f>IF(Registro!B798="","",Registro!L798)</f>
        <v/>
      </c>
      <c r="D798" s="89" t="str">
        <f>IF(Registro!B798="","",Registro!M798)</f>
        <v/>
      </c>
      <c r="E798" s="136" t="str">
        <f>IF(A798="","",_xlfn.XLOOKUP(A798,Registro!$B$8:$B$997,Registro!$R$8:$R$997,"N/E",0))</f>
        <v/>
      </c>
      <c r="F798" s="93" t="str">
        <f t="shared" si="24"/>
        <v/>
      </c>
      <c r="G798" s="93"/>
      <c r="H798" s="136"/>
      <c r="K798" s="93"/>
      <c r="L798" s="93" t="str">
        <f t="shared" si="25"/>
        <v/>
      </c>
    </row>
    <row r="799" spans="1:12" s="89" customFormat="1">
      <c r="A799" s="89" t="str">
        <f>IF(Registro!B799="","",Registro!B799)</f>
        <v/>
      </c>
      <c r="B799" s="89" t="str">
        <f>IF(Registro!B799="","",Registro!H799)</f>
        <v/>
      </c>
      <c r="C799" s="137" t="str">
        <f>IF(Registro!B799="","",Registro!L799)</f>
        <v/>
      </c>
      <c r="D799" s="89" t="str">
        <f>IF(Registro!B799="","",Registro!M799)</f>
        <v/>
      </c>
      <c r="E799" s="136" t="str">
        <f>IF(A799="","",_xlfn.XLOOKUP(A799,Registro!$B$8:$B$997,Registro!$R$8:$R$997,"N/E",0))</f>
        <v/>
      </c>
      <c r="F799" s="93" t="str">
        <f t="shared" si="24"/>
        <v/>
      </c>
      <c r="G799" s="93"/>
      <c r="H799" s="136"/>
      <c r="K799" s="93"/>
      <c r="L799" s="93" t="str">
        <f t="shared" si="25"/>
        <v/>
      </c>
    </row>
    <row r="800" spans="1:12" s="89" customFormat="1">
      <c r="A800" s="89" t="str">
        <f>IF(Registro!B800="","",Registro!B800)</f>
        <v/>
      </c>
      <c r="B800" s="89" t="str">
        <f>IF(Registro!B800="","",Registro!H800)</f>
        <v/>
      </c>
      <c r="C800" s="137" t="str">
        <f>IF(Registro!B800="","",Registro!L800)</f>
        <v/>
      </c>
      <c r="D800" s="89" t="str">
        <f>IF(Registro!B800="","",Registro!M800)</f>
        <v/>
      </c>
      <c r="E800" s="136" t="str">
        <f>IF(A800="","",_xlfn.XLOOKUP(A800,Registro!$B$8:$B$997,Registro!$R$8:$R$997,"N/E",0))</f>
        <v/>
      </c>
      <c r="F800" s="93" t="str">
        <f t="shared" si="24"/>
        <v/>
      </c>
      <c r="G800" s="93"/>
      <c r="H800" s="136"/>
      <c r="K800" s="93"/>
      <c r="L800" s="93" t="str">
        <f t="shared" si="25"/>
        <v/>
      </c>
    </row>
    <row r="801" spans="1:12" s="89" customFormat="1">
      <c r="A801" s="89" t="str">
        <f>IF(Registro!B801="","",Registro!B801)</f>
        <v/>
      </c>
      <c r="B801" s="89" t="str">
        <f>IF(Registro!B801="","",Registro!H801)</f>
        <v/>
      </c>
      <c r="C801" s="137" t="str">
        <f>IF(Registro!B801="","",Registro!L801)</f>
        <v/>
      </c>
      <c r="D801" s="89" t="str">
        <f>IF(Registro!B801="","",Registro!M801)</f>
        <v/>
      </c>
      <c r="E801" s="136" t="str">
        <f>IF(A801="","",_xlfn.XLOOKUP(A801,Registro!$B$8:$B$997,Registro!$R$8:$R$997,"N/E",0))</f>
        <v/>
      </c>
      <c r="F801" s="93" t="str">
        <f t="shared" si="24"/>
        <v/>
      </c>
      <c r="G801" s="93"/>
      <c r="H801" s="136"/>
      <c r="K801" s="93"/>
      <c r="L801" s="93" t="str">
        <f t="shared" si="25"/>
        <v/>
      </c>
    </row>
    <row r="802" spans="1:12" s="89" customFormat="1">
      <c r="A802" s="89" t="str">
        <f>IF(Registro!B802="","",Registro!B802)</f>
        <v/>
      </c>
      <c r="B802" s="89" t="str">
        <f>IF(Registro!B802="","",Registro!H802)</f>
        <v/>
      </c>
      <c r="C802" s="137" t="str">
        <f>IF(Registro!B802="","",Registro!L802)</f>
        <v/>
      </c>
      <c r="D802" s="89" t="str">
        <f>IF(Registro!B802="","",Registro!M802)</f>
        <v/>
      </c>
      <c r="E802" s="136" t="str">
        <f>IF(A802="","",_xlfn.XLOOKUP(A802,Registro!$B$8:$B$997,Registro!$R$8:$R$997,"N/E",0))</f>
        <v/>
      </c>
      <c r="F802" s="93" t="str">
        <f t="shared" si="24"/>
        <v/>
      </c>
      <c r="G802" s="93"/>
      <c r="H802" s="136"/>
      <c r="K802" s="93"/>
      <c r="L802" s="93" t="str">
        <f t="shared" si="25"/>
        <v/>
      </c>
    </row>
    <row r="803" spans="1:12" s="89" customFormat="1">
      <c r="A803" s="89" t="str">
        <f>IF(Registro!B803="","",Registro!B803)</f>
        <v/>
      </c>
      <c r="B803" s="89" t="str">
        <f>IF(Registro!B803="","",Registro!H803)</f>
        <v/>
      </c>
      <c r="C803" s="137" t="str">
        <f>IF(Registro!B803="","",Registro!L803)</f>
        <v/>
      </c>
      <c r="D803" s="89" t="str">
        <f>IF(Registro!B803="","",Registro!M803)</f>
        <v/>
      </c>
      <c r="E803" s="136" t="str">
        <f>IF(A803="","",_xlfn.XLOOKUP(A803,Registro!$B$8:$B$997,Registro!$R$8:$R$997,"N/E",0))</f>
        <v/>
      </c>
      <c r="F803" s="93" t="str">
        <f t="shared" si="24"/>
        <v/>
      </c>
      <c r="G803" s="93"/>
      <c r="H803" s="136"/>
      <c r="K803" s="93"/>
      <c r="L803" s="93" t="str">
        <f t="shared" si="25"/>
        <v/>
      </c>
    </row>
    <row r="804" spans="1:12" s="89" customFormat="1">
      <c r="A804" s="89" t="str">
        <f>IF(Registro!B804="","",Registro!B804)</f>
        <v/>
      </c>
      <c r="B804" s="89" t="str">
        <f>IF(Registro!B804="","",Registro!H804)</f>
        <v/>
      </c>
      <c r="C804" s="137" t="str">
        <f>IF(Registro!B804="","",Registro!L804)</f>
        <v/>
      </c>
      <c r="D804" s="89" t="str">
        <f>IF(Registro!B804="","",Registro!M804)</f>
        <v/>
      </c>
      <c r="E804" s="136" t="str">
        <f>IF(A804="","",_xlfn.XLOOKUP(A804,Registro!$B$8:$B$997,Registro!$R$8:$R$997,"N/E",0))</f>
        <v/>
      </c>
      <c r="F804" s="93" t="str">
        <f t="shared" si="24"/>
        <v/>
      </c>
      <c r="G804" s="93"/>
      <c r="H804" s="136"/>
      <c r="K804" s="93"/>
      <c r="L804" s="93" t="str">
        <f t="shared" si="25"/>
        <v/>
      </c>
    </row>
    <row r="805" spans="1:12" s="89" customFormat="1">
      <c r="A805" s="89" t="str">
        <f>IF(Registro!B805="","",Registro!B805)</f>
        <v/>
      </c>
      <c r="B805" s="89" t="str">
        <f>IF(Registro!B805="","",Registro!H805)</f>
        <v/>
      </c>
      <c r="C805" s="137" t="str">
        <f>IF(Registro!B805="","",Registro!L805)</f>
        <v/>
      </c>
      <c r="D805" s="89" t="str">
        <f>IF(Registro!B805="","",Registro!M805)</f>
        <v/>
      </c>
      <c r="E805" s="136" t="str">
        <f>IF(A805="","",_xlfn.XLOOKUP(A805,Registro!$B$8:$B$997,Registro!$R$8:$R$997,"N/E",0))</f>
        <v/>
      </c>
      <c r="F805" s="93" t="str">
        <f t="shared" si="24"/>
        <v/>
      </c>
      <c r="G805" s="93"/>
      <c r="H805" s="136"/>
      <c r="K805" s="93"/>
      <c r="L805" s="93" t="str">
        <f t="shared" si="25"/>
        <v/>
      </c>
    </row>
    <row r="806" spans="1:12" s="89" customFormat="1">
      <c r="A806" s="89" t="str">
        <f>IF(Registro!B806="","",Registro!B806)</f>
        <v/>
      </c>
      <c r="B806" s="89" t="str">
        <f>IF(Registro!B806="","",Registro!H806)</f>
        <v/>
      </c>
      <c r="C806" s="137" t="str">
        <f>IF(Registro!B806="","",Registro!L806)</f>
        <v/>
      </c>
      <c r="D806" s="89" t="str">
        <f>IF(Registro!B806="","",Registro!M806)</f>
        <v/>
      </c>
      <c r="E806" s="136" t="str">
        <f>IF(A806="","",_xlfn.XLOOKUP(A806,Registro!$B$8:$B$997,Registro!$R$8:$R$997,"N/E",0))</f>
        <v/>
      </c>
      <c r="F806" s="93" t="str">
        <f t="shared" si="24"/>
        <v/>
      </c>
      <c r="G806" s="93"/>
      <c r="H806" s="136"/>
      <c r="K806" s="93"/>
      <c r="L806" s="93" t="str">
        <f t="shared" si="25"/>
        <v/>
      </c>
    </row>
    <row r="807" spans="1:12" s="89" customFormat="1">
      <c r="A807" s="89" t="str">
        <f>IF(Registro!B807="","",Registro!B807)</f>
        <v/>
      </c>
      <c r="B807" s="89" t="str">
        <f>IF(Registro!B807="","",Registro!H807)</f>
        <v/>
      </c>
      <c r="C807" s="137" t="str">
        <f>IF(Registro!B807="","",Registro!L807)</f>
        <v/>
      </c>
      <c r="D807" s="89" t="str">
        <f>IF(Registro!B807="","",Registro!M807)</f>
        <v/>
      </c>
      <c r="E807" s="136" t="str">
        <f>IF(A807="","",_xlfn.XLOOKUP(A807,Registro!$B$8:$B$997,Registro!$R$8:$R$997,"N/E",0))</f>
        <v/>
      </c>
      <c r="F807" s="93" t="str">
        <f t="shared" si="24"/>
        <v/>
      </c>
      <c r="G807" s="93"/>
      <c r="H807" s="136"/>
      <c r="K807" s="93"/>
      <c r="L807" s="93" t="str">
        <f t="shared" si="25"/>
        <v/>
      </c>
    </row>
    <row r="808" spans="1:12" s="89" customFormat="1">
      <c r="A808" s="89" t="str">
        <f>IF(Registro!B808="","",Registro!B808)</f>
        <v/>
      </c>
      <c r="B808" s="89" t="str">
        <f>IF(Registro!B808="","",Registro!H808)</f>
        <v/>
      </c>
      <c r="C808" s="137" t="str">
        <f>IF(Registro!B808="","",Registro!L808)</f>
        <v/>
      </c>
      <c r="D808" s="89" t="str">
        <f>IF(Registro!B808="","",Registro!M808)</f>
        <v/>
      </c>
      <c r="E808" s="136" t="str">
        <f>IF(A808="","",_xlfn.XLOOKUP(A808,Registro!$B$8:$B$997,Registro!$R$8:$R$997,"N/E",0))</f>
        <v/>
      </c>
      <c r="F808" s="93" t="str">
        <f t="shared" si="24"/>
        <v/>
      </c>
      <c r="G808" s="93"/>
      <c r="H808" s="136"/>
      <c r="K808" s="93"/>
      <c r="L808" s="93" t="str">
        <f t="shared" si="25"/>
        <v/>
      </c>
    </row>
    <row r="809" spans="1:12" s="89" customFormat="1">
      <c r="A809" s="89" t="str">
        <f>IF(Registro!B809="","",Registro!B809)</f>
        <v/>
      </c>
      <c r="B809" s="89" t="str">
        <f>IF(Registro!B809="","",Registro!H809)</f>
        <v/>
      </c>
      <c r="C809" s="137" t="str">
        <f>IF(Registro!B809="","",Registro!L809)</f>
        <v/>
      </c>
      <c r="D809" s="89" t="str">
        <f>IF(Registro!B809="","",Registro!M809)</f>
        <v/>
      </c>
      <c r="E809" s="136" t="str">
        <f>IF(A809="","",_xlfn.XLOOKUP(A809,Registro!$B$8:$B$997,Registro!$R$8:$R$997,"N/E",0))</f>
        <v/>
      </c>
      <c r="F809" s="93" t="str">
        <f t="shared" si="24"/>
        <v/>
      </c>
      <c r="G809" s="93"/>
      <c r="H809" s="136"/>
      <c r="K809" s="93"/>
      <c r="L809" s="93" t="str">
        <f t="shared" si="25"/>
        <v/>
      </c>
    </row>
    <row r="810" spans="1:12" s="89" customFormat="1">
      <c r="A810" s="89" t="str">
        <f>IF(Registro!B810="","",Registro!B810)</f>
        <v/>
      </c>
      <c r="B810" s="89" t="str">
        <f>IF(Registro!B810="","",Registro!H810)</f>
        <v/>
      </c>
      <c r="C810" s="137" t="str">
        <f>IF(Registro!B810="","",Registro!L810)</f>
        <v/>
      </c>
      <c r="D810" s="89" t="str">
        <f>IF(Registro!B810="","",Registro!M810)</f>
        <v/>
      </c>
      <c r="E810" s="136" t="str">
        <f>IF(A810="","",_xlfn.XLOOKUP(A810,Registro!$B$8:$B$997,Registro!$R$8:$R$997,"N/E",0))</f>
        <v/>
      </c>
      <c r="F810" s="93" t="str">
        <f t="shared" si="24"/>
        <v/>
      </c>
      <c r="G810" s="93"/>
      <c r="H810" s="136"/>
      <c r="K810" s="93"/>
      <c r="L810" s="93" t="str">
        <f t="shared" si="25"/>
        <v/>
      </c>
    </row>
    <row r="811" spans="1:12" s="89" customFormat="1">
      <c r="A811" s="89" t="str">
        <f>IF(Registro!B811="","",Registro!B811)</f>
        <v/>
      </c>
      <c r="B811" s="89" t="str">
        <f>IF(Registro!B811="","",Registro!H811)</f>
        <v/>
      </c>
      <c r="C811" s="137" t="str">
        <f>IF(Registro!B811="","",Registro!L811)</f>
        <v/>
      </c>
      <c r="D811" s="89" t="str">
        <f>IF(Registro!B811="","",Registro!M811)</f>
        <v/>
      </c>
      <c r="E811" s="136" t="str">
        <f>IF(A811="","",_xlfn.XLOOKUP(A811,Registro!$B$8:$B$997,Registro!$R$8:$R$997,"N/E",0))</f>
        <v/>
      </c>
      <c r="F811" s="93" t="str">
        <f t="shared" si="24"/>
        <v/>
      </c>
      <c r="G811" s="93"/>
      <c r="H811" s="136"/>
      <c r="K811" s="93"/>
      <c r="L811" s="93" t="str">
        <f t="shared" si="25"/>
        <v/>
      </c>
    </row>
    <row r="812" spans="1:12" s="89" customFormat="1">
      <c r="A812" s="89" t="str">
        <f>IF(Registro!B812="","",Registro!B812)</f>
        <v/>
      </c>
      <c r="B812" s="89" t="str">
        <f>IF(Registro!B812="","",Registro!H812)</f>
        <v/>
      </c>
      <c r="C812" s="137" t="str">
        <f>IF(Registro!B812="","",Registro!L812)</f>
        <v/>
      </c>
      <c r="D812" s="89" t="str">
        <f>IF(Registro!B812="","",Registro!M812)</f>
        <v/>
      </c>
      <c r="E812" s="136" t="str">
        <f>IF(A812="","",_xlfn.XLOOKUP(A812,Registro!$B$8:$B$997,Registro!$R$8:$R$997,"N/E",0))</f>
        <v/>
      </c>
      <c r="F812" s="93" t="str">
        <f t="shared" si="24"/>
        <v/>
      </c>
      <c r="G812" s="93"/>
      <c r="H812" s="136"/>
      <c r="K812" s="93"/>
      <c r="L812" s="93" t="str">
        <f t="shared" si="25"/>
        <v/>
      </c>
    </row>
    <row r="813" spans="1:12" s="89" customFormat="1">
      <c r="A813" s="89" t="str">
        <f>IF(Registro!B813="","",Registro!B813)</f>
        <v/>
      </c>
      <c r="B813" s="89" t="str">
        <f>IF(Registro!B813="","",Registro!H813)</f>
        <v/>
      </c>
      <c r="C813" s="137" t="str">
        <f>IF(Registro!B813="","",Registro!L813)</f>
        <v/>
      </c>
      <c r="D813" s="89" t="str">
        <f>IF(Registro!B813="","",Registro!M813)</f>
        <v/>
      </c>
      <c r="E813" s="136" t="str">
        <f>IF(A813="","",_xlfn.XLOOKUP(A813,Registro!$B$8:$B$997,Registro!$R$8:$R$997,"N/E",0))</f>
        <v/>
      </c>
      <c r="F813" s="93" t="str">
        <f t="shared" si="24"/>
        <v/>
      </c>
      <c r="G813" s="93"/>
      <c r="H813" s="136"/>
      <c r="K813" s="93"/>
      <c r="L813" s="93" t="str">
        <f t="shared" si="25"/>
        <v/>
      </c>
    </row>
    <row r="814" spans="1:12" s="89" customFormat="1">
      <c r="A814" s="89" t="str">
        <f>IF(Registro!B814="","",Registro!B814)</f>
        <v/>
      </c>
      <c r="B814" s="89" t="str">
        <f>IF(Registro!B814="","",Registro!H814)</f>
        <v/>
      </c>
      <c r="C814" s="137" t="str">
        <f>IF(Registro!B814="","",Registro!L814)</f>
        <v/>
      </c>
      <c r="D814" s="89" t="str">
        <f>IF(Registro!B814="","",Registro!M814)</f>
        <v/>
      </c>
      <c r="E814" s="136" t="str">
        <f>IF(A814="","",_xlfn.XLOOKUP(A814,Registro!$B$8:$B$997,Registro!$R$8:$R$997,"N/E",0))</f>
        <v/>
      </c>
      <c r="F814" s="93" t="str">
        <f t="shared" si="24"/>
        <v/>
      </c>
      <c r="G814" s="93"/>
      <c r="H814" s="136"/>
      <c r="K814" s="93"/>
      <c r="L814" s="93" t="str">
        <f t="shared" si="25"/>
        <v/>
      </c>
    </row>
    <row r="815" spans="1:12" s="89" customFormat="1">
      <c r="A815" s="89" t="str">
        <f>IF(Registro!B815="","",Registro!B815)</f>
        <v/>
      </c>
      <c r="B815" s="89" t="str">
        <f>IF(Registro!B815="","",Registro!H815)</f>
        <v/>
      </c>
      <c r="C815" s="137" t="str">
        <f>IF(Registro!B815="","",Registro!L815)</f>
        <v/>
      </c>
      <c r="D815" s="89" t="str">
        <f>IF(Registro!B815="","",Registro!M815)</f>
        <v/>
      </c>
      <c r="E815" s="136" t="str">
        <f>IF(A815="","",_xlfn.XLOOKUP(A815,Registro!$B$8:$B$997,Registro!$R$8:$R$997,"N/E",0))</f>
        <v/>
      </c>
      <c r="F815" s="93" t="str">
        <f t="shared" si="24"/>
        <v/>
      </c>
      <c r="G815" s="93"/>
      <c r="H815" s="136"/>
      <c r="K815" s="93"/>
      <c r="L815" s="93" t="str">
        <f t="shared" si="25"/>
        <v/>
      </c>
    </row>
    <row r="816" spans="1:12" s="89" customFormat="1">
      <c r="A816" s="89" t="str">
        <f>IF(Registro!B816="","",Registro!B816)</f>
        <v/>
      </c>
      <c r="B816" s="89" t="str">
        <f>IF(Registro!B816="","",Registro!H816)</f>
        <v/>
      </c>
      <c r="C816" s="137" t="str">
        <f>IF(Registro!B816="","",Registro!L816)</f>
        <v/>
      </c>
      <c r="D816" s="89" t="str">
        <f>IF(Registro!B816="","",Registro!M816)</f>
        <v/>
      </c>
      <c r="E816" s="136" t="str">
        <f>IF(A816="","",_xlfn.XLOOKUP(A816,Registro!$B$8:$B$997,Registro!$R$8:$R$997,"N/E",0))</f>
        <v/>
      </c>
      <c r="F816" s="93" t="str">
        <f t="shared" si="24"/>
        <v/>
      </c>
      <c r="G816" s="93"/>
      <c r="H816" s="136"/>
      <c r="K816" s="93"/>
      <c r="L816" s="93" t="str">
        <f t="shared" si="25"/>
        <v/>
      </c>
    </row>
    <row r="817" spans="1:12" s="89" customFormat="1">
      <c r="A817" s="89" t="str">
        <f>IF(Registro!B817="","",Registro!B817)</f>
        <v/>
      </c>
      <c r="B817" s="89" t="str">
        <f>IF(Registro!B817="","",Registro!H817)</f>
        <v/>
      </c>
      <c r="C817" s="137" t="str">
        <f>IF(Registro!B817="","",Registro!L817)</f>
        <v/>
      </c>
      <c r="D817" s="89" t="str">
        <f>IF(Registro!B817="","",Registro!M817)</f>
        <v/>
      </c>
      <c r="E817" s="136" t="str">
        <f>IF(A817="","",_xlfn.XLOOKUP(A817,Registro!$B$8:$B$997,Registro!$R$8:$R$997,"N/E",0))</f>
        <v/>
      </c>
      <c r="F817" s="93" t="str">
        <f t="shared" si="24"/>
        <v/>
      </c>
      <c r="G817" s="93"/>
      <c r="H817" s="136"/>
      <c r="K817" s="93"/>
      <c r="L817" s="93" t="str">
        <f t="shared" si="25"/>
        <v/>
      </c>
    </row>
    <row r="818" spans="1:12" s="89" customFormat="1">
      <c r="A818" s="89" t="str">
        <f>IF(Registro!B818="","",Registro!B818)</f>
        <v/>
      </c>
      <c r="B818" s="89" t="str">
        <f>IF(Registro!B818="","",Registro!H818)</f>
        <v/>
      </c>
      <c r="C818" s="137" t="str">
        <f>IF(Registro!B818="","",Registro!L818)</f>
        <v/>
      </c>
      <c r="D818" s="89" t="str">
        <f>IF(Registro!B818="","",Registro!M818)</f>
        <v/>
      </c>
      <c r="E818" s="136" t="str">
        <f>IF(A818="","",_xlfn.XLOOKUP(A818,Registro!$B$8:$B$997,Registro!$R$8:$R$997,"N/E",0))</f>
        <v/>
      </c>
      <c r="F818" s="93" t="str">
        <f t="shared" si="24"/>
        <v/>
      </c>
      <c r="G818" s="93"/>
      <c r="H818" s="136"/>
      <c r="K818" s="93"/>
      <c r="L818" s="93" t="str">
        <f t="shared" si="25"/>
        <v/>
      </c>
    </row>
    <row r="819" spans="1:12" s="89" customFormat="1">
      <c r="A819" s="89" t="str">
        <f>IF(Registro!B819="","",Registro!B819)</f>
        <v/>
      </c>
      <c r="B819" s="89" t="str">
        <f>IF(Registro!B819="","",Registro!H819)</f>
        <v/>
      </c>
      <c r="C819" s="137" t="str">
        <f>IF(Registro!B819="","",Registro!L819)</f>
        <v/>
      </c>
      <c r="D819" s="89" t="str">
        <f>IF(Registro!B819="","",Registro!M819)</f>
        <v/>
      </c>
      <c r="E819" s="136" t="str">
        <f>IF(A819="","",_xlfn.XLOOKUP(A819,Registro!$B$8:$B$997,Registro!$R$8:$R$997,"N/E",0))</f>
        <v/>
      </c>
      <c r="F819" s="93" t="str">
        <f t="shared" si="24"/>
        <v/>
      </c>
      <c r="G819" s="93"/>
      <c r="H819" s="136"/>
      <c r="K819" s="93"/>
      <c r="L819" s="93" t="str">
        <f t="shared" si="25"/>
        <v/>
      </c>
    </row>
    <row r="820" spans="1:12" s="89" customFormat="1">
      <c r="A820" s="89" t="str">
        <f>IF(Registro!B820="","",Registro!B820)</f>
        <v/>
      </c>
      <c r="B820" s="89" t="str">
        <f>IF(Registro!B820="","",Registro!H820)</f>
        <v/>
      </c>
      <c r="C820" s="137" t="str">
        <f>IF(Registro!B820="","",Registro!L820)</f>
        <v/>
      </c>
      <c r="D820" s="89" t="str">
        <f>IF(Registro!B820="","",Registro!M820)</f>
        <v/>
      </c>
      <c r="E820" s="136" t="str">
        <f>IF(A820="","",_xlfn.XLOOKUP(A820,Registro!$B$8:$B$997,Registro!$R$8:$R$997,"N/E",0))</f>
        <v/>
      </c>
      <c r="F820" s="93" t="str">
        <f t="shared" si="24"/>
        <v/>
      </c>
      <c r="G820" s="93"/>
      <c r="H820" s="136"/>
      <c r="K820" s="93"/>
      <c r="L820" s="93" t="str">
        <f t="shared" si="25"/>
        <v/>
      </c>
    </row>
    <row r="821" spans="1:12" s="89" customFormat="1">
      <c r="A821" s="89" t="str">
        <f>IF(Registro!B821="","",Registro!B821)</f>
        <v/>
      </c>
      <c r="B821" s="89" t="str">
        <f>IF(Registro!B821="","",Registro!H821)</f>
        <v/>
      </c>
      <c r="C821" s="137" t="str">
        <f>IF(Registro!B821="","",Registro!L821)</f>
        <v/>
      </c>
      <c r="D821" s="89" t="str">
        <f>IF(Registro!B821="","",Registro!M821)</f>
        <v/>
      </c>
      <c r="E821" s="136" t="str">
        <f>IF(A821="","",_xlfn.XLOOKUP(A821,Registro!$B$8:$B$997,Registro!$R$8:$R$997,"N/E",0))</f>
        <v/>
      </c>
      <c r="F821" s="93" t="str">
        <f t="shared" si="24"/>
        <v/>
      </c>
      <c r="G821" s="93"/>
      <c r="H821" s="136"/>
      <c r="K821" s="93"/>
      <c r="L821" s="93" t="str">
        <f t="shared" si="25"/>
        <v/>
      </c>
    </row>
    <row r="822" spans="1:12" s="89" customFormat="1">
      <c r="A822" s="89" t="str">
        <f>IF(Registro!B822="","",Registro!B822)</f>
        <v/>
      </c>
      <c r="B822" s="89" t="str">
        <f>IF(Registro!B822="","",Registro!H822)</f>
        <v/>
      </c>
      <c r="C822" s="137" t="str">
        <f>IF(Registro!B822="","",Registro!L822)</f>
        <v/>
      </c>
      <c r="D822" s="89" t="str">
        <f>IF(Registro!B822="","",Registro!M822)</f>
        <v/>
      </c>
      <c r="E822" s="136" t="str">
        <f>IF(A822="","",_xlfn.XLOOKUP(A822,Registro!$B$8:$B$997,Registro!$R$8:$R$997,"N/E",0))</f>
        <v/>
      </c>
      <c r="F822" s="93" t="str">
        <f t="shared" si="24"/>
        <v/>
      </c>
      <c r="G822" s="93"/>
      <c r="H822" s="136"/>
      <c r="K822" s="93"/>
      <c r="L822" s="93" t="str">
        <f t="shared" si="25"/>
        <v/>
      </c>
    </row>
    <row r="823" spans="1:12" s="89" customFormat="1">
      <c r="A823" s="89" t="str">
        <f>IF(Registro!B823="","",Registro!B823)</f>
        <v/>
      </c>
      <c r="B823" s="89" t="str">
        <f>IF(Registro!B823="","",Registro!H823)</f>
        <v/>
      </c>
      <c r="C823" s="137" t="str">
        <f>IF(Registro!B823="","",Registro!L823)</f>
        <v/>
      </c>
      <c r="D823" s="89" t="str">
        <f>IF(Registro!B823="","",Registro!M823)</f>
        <v/>
      </c>
      <c r="E823" s="136" t="str">
        <f>IF(A823="","",_xlfn.XLOOKUP(A823,Registro!$B$8:$B$997,Registro!$R$8:$R$997,"N/E",0))</f>
        <v/>
      </c>
      <c r="F823" s="93" t="str">
        <f t="shared" si="24"/>
        <v/>
      </c>
      <c r="G823" s="93"/>
      <c r="H823" s="136"/>
      <c r="K823" s="93"/>
      <c r="L823" s="93" t="str">
        <f t="shared" si="25"/>
        <v/>
      </c>
    </row>
    <row r="824" spans="1:12" s="89" customFormat="1">
      <c r="A824" s="89" t="str">
        <f>IF(Registro!B824="","",Registro!B824)</f>
        <v/>
      </c>
      <c r="B824" s="89" t="str">
        <f>IF(Registro!B824="","",Registro!H824)</f>
        <v/>
      </c>
      <c r="C824" s="137" t="str">
        <f>IF(Registro!B824="","",Registro!L824)</f>
        <v/>
      </c>
      <c r="D824" s="89" t="str">
        <f>IF(Registro!B824="","",Registro!M824)</f>
        <v/>
      </c>
      <c r="E824" s="136" t="str">
        <f>IF(A824="","",_xlfn.XLOOKUP(A824,Registro!$B$8:$B$997,Registro!$R$8:$R$997,"N/E",0))</f>
        <v/>
      </c>
      <c r="F824" s="93" t="str">
        <f t="shared" si="24"/>
        <v/>
      </c>
      <c r="G824" s="93"/>
      <c r="H824" s="136"/>
      <c r="K824" s="93"/>
      <c r="L824" s="93" t="str">
        <f t="shared" si="25"/>
        <v/>
      </c>
    </row>
    <row r="825" spans="1:12" s="89" customFormat="1">
      <c r="A825" s="89" t="str">
        <f>IF(Registro!B825="","",Registro!B825)</f>
        <v/>
      </c>
      <c r="B825" s="89" t="str">
        <f>IF(Registro!B825="","",Registro!H825)</f>
        <v/>
      </c>
      <c r="C825" s="137" t="str">
        <f>IF(Registro!B825="","",Registro!L825)</f>
        <v/>
      </c>
      <c r="D825" s="89" t="str">
        <f>IF(Registro!B825="","",Registro!M825)</f>
        <v/>
      </c>
      <c r="E825" s="136" t="str">
        <f>IF(A825="","",_xlfn.XLOOKUP(A825,Registro!$B$8:$B$997,Registro!$R$8:$R$997,"N/E",0))</f>
        <v/>
      </c>
      <c r="F825" s="93" t="str">
        <f t="shared" si="24"/>
        <v/>
      </c>
      <c r="G825" s="93"/>
      <c r="H825" s="136"/>
      <c r="K825" s="93"/>
      <c r="L825" s="93" t="str">
        <f t="shared" si="25"/>
        <v/>
      </c>
    </row>
    <row r="826" spans="1:12" s="89" customFormat="1">
      <c r="A826" s="89" t="str">
        <f>IF(Registro!B826="","",Registro!B826)</f>
        <v/>
      </c>
      <c r="B826" s="89" t="str">
        <f>IF(Registro!B826="","",Registro!H826)</f>
        <v/>
      </c>
      <c r="C826" s="137" t="str">
        <f>IF(Registro!B826="","",Registro!L826)</f>
        <v/>
      </c>
      <c r="D826" s="89" t="str">
        <f>IF(Registro!B826="","",Registro!M826)</f>
        <v/>
      </c>
      <c r="E826" s="136" t="str">
        <f>IF(A826="","",_xlfn.XLOOKUP(A826,Registro!$B$8:$B$997,Registro!$R$8:$R$997,"N/E",0))</f>
        <v/>
      </c>
      <c r="F826" s="93" t="str">
        <f t="shared" si="24"/>
        <v/>
      </c>
      <c r="G826" s="93"/>
      <c r="H826" s="136"/>
      <c r="K826" s="93"/>
      <c r="L826" s="93" t="str">
        <f t="shared" si="25"/>
        <v/>
      </c>
    </row>
    <row r="827" spans="1:12" s="89" customFormat="1">
      <c r="A827" s="89" t="str">
        <f>IF(Registro!B827="","",Registro!B827)</f>
        <v/>
      </c>
      <c r="B827" s="89" t="str">
        <f>IF(Registro!B827="","",Registro!H827)</f>
        <v/>
      </c>
      <c r="C827" s="137" t="str">
        <f>IF(Registro!B827="","",Registro!L827)</f>
        <v/>
      </c>
      <c r="D827" s="89" t="str">
        <f>IF(Registro!B827="","",Registro!M827)</f>
        <v/>
      </c>
      <c r="E827" s="136" t="str">
        <f>IF(A827="","",_xlfn.XLOOKUP(A827,Registro!$B$8:$B$997,Registro!$R$8:$R$997,"N/E",0))</f>
        <v/>
      </c>
      <c r="F827" s="93" t="str">
        <f t="shared" si="24"/>
        <v/>
      </c>
      <c r="G827" s="93"/>
      <c r="H827" s="136"/>
      <c r="K827" s="93"/>
      <c r="L827" s="93" t="str">
        <f t="shared" si="25"/>
        <v/>
      </c>
    </row>
    <row r="828" spans="1:12" s="89" customFormat="1">
      <c r="A828" s="89" t="str">
        <f>IF(Registro!B828="","",Registro!B828)</f>
        <v/>
      </c>
      <c r="B828" s="89" t="str">
        <f>IF(Registro!B828="","",Registro!H828)</f>
        <v/>
      </c>
      <c r="C828" s="137" t="str">
        <f>IF(Registro!B828="","",Registro!L828)</f>
        <v/>
      </c>
      <c r="D828" s="89" t="str">
        <f>IF(Registro!B828="","",Registro!M828)</f>
        <v/>
      </c>
      <c r="E828" s="136" t="str">
        <f>IF(A828="","",_xlfn.XLOOKUP(A828,Registro!$B$8:$B$997,Registro!$R$8:$R$997,"N/E",0))</f>
        <v/>
      </c>
      <c r="F828" s="93" t="str">
        <f t="shared" si="24"/>
        <v/>
      </c>
      <c r="G828" s="93"/>
      <c r="H828" s="136"/>
      <c r="K828" s="93"/>
      <c r="L828" s="93" t="str">
        <f t="shared" si="25"/>
        <v/>
      </c>
    </row>
    <row r="829" spans="1:12" s="89" customFormat="1">
      <c r="A829" s="89" t="str">
        <f>IF(Registro!B829="","",Registro!B829)</f>
        <v/>
      </c>
      <c r="B829" s="89" t="str">
        <f>IF(Registro!B829="","",Registro!H829)</f>
        <v/>
      </c>
      <c r="C829" s="137" t="str">
        <f>IF(Registro!B829="","",Registro!L829)</f>
        <v/>
      </c>
      <c r="D829" s="89" t="str">
        <f>IF(Registro!B829="","",Registro!M829)</f>
        <v/>
      </c>
      <c r="E829" s="136" t="str">
        <f>IF(A829="","",_xlfn.XLOOKUP(A829,Registro!$B$8:$B$997,Registro!$R$8:$R$997,"N/E",0))</f>
        <v/>
      </c>
      <c r="F829" s="93" t="str">
        <f t="shared" si="24"/>
        <v/>
      </c>
      <c r="G829" s="93"/>
      <c r="H829" s="136"/>
      <c r="K829" s="93"/>
      <c r="L829" s="93" t="str">
        <f t="shared" si="25"/>
        <v/>
      </c>
    </row>
    <row r="830" spans="1:12" s="89" customFormat="1">
      <c r="A830" s="89" t="str">
        <f>IF(Registro!B830="","",Registro!B830)</f>
        <v/>
      </c>
      <c r="B830" s="89" t="str">
        <f>IF(Registro!B830="","",Registro!H830)</f>
        <v/>
      </c>
      <c r="C830" s="137" t="str">
        <f>IF(Registro!B830="","",Registro!L830)</f>
        <v/>
      </c>
      <c r="D830" s="89" t="str">
        <f>IF(Registro!B830="","",Registro!M830)</f>
        <v/>
      </c>
      <c r="E830" s="136" t="str">
        <f>IF(A830="","",_xlfn.XLOOKUP(A830,Registro!$B$8:$B$997,Registro!$R$8:$R$997,"N/E",0))</f>
        <v/>
      </c>
      <c r="F830" s="93" t="str">
        <f t="shared" si="24"/>
        <v/>
      </c>
      <c r="G830" s="93"/>
      <c r="H830" s="136"/>
      <c r="K830" s="93"/>
      <c r="L830" s="93" t="str">
        <f t="shared" si="25"/>
        <v/>
      </c>
    </row>
    <row r="831" spans="1:12" s="89" customFormat="1">
      <c r="A831" s="89" t="str">
        <f>IF(Registro!B831="","",Registro!B831)</f>
        <v/>
      </c>
      <c r="B831" s="89" t="str">
        <f>IF(Registro!B831="","",Registro!H831)</f>
        <v/>
      </c>
      <c r="C831" s="137" t="str">
        <f>IF(Registro!B831="","",Registro!L831)</f>
        <v/>
      </c>
      <c r="D831" s="89" t="str">
        <f>IF(Registro!B831="","",Registro!M831)</f>
        <v/>
      </c>
      <c r="E831" s="136" t="str">
        <f>IF(A831="","",_xlfn.XLOOKUP(A831,Registro!$B$8:$B$997,Registro!$R$8:$R$997,"N/E",0))</f>
        <v/>
      </c>
      <c r="F831" s="93" t="str">
        <f t="shared" si="24"/>
        <v/>
      </c>
      <c r="G831" s="93"/>
      <c r="H831" s="136"/>
      <c r="K831" s="93"/>
      <c r="L831" s="93" t="str">
        <f t="shared" si="25"/>
        <v/>
      </c>
    </row>
    <row r="832" spans="1:12" s="89" customFormat="1">
      <c r="A832" s="89" t="str">
        <f>IF(Registro!B832="","",Registro!B832)</f>
        <v/>
      </c>
      <c r="B832" s="89" t="str">
        <f>IF(Registro!B832="","",Registro!H832)</f>
        <v/>
      </c>
      <c r="C832" s="137" t="str">
        <f>IF(Registro!B832="","",Registro!L832)</f>
        <v/>
      </c>
      <c r="D832" s="89" t="str">
        <f>IF(Registro!B832="","",Registro!M832)</f>
        <v/>
      </c>
      <c r="E832" s="136" t="str">
        <f>IF(A832="","",_xlfn.XLOOKUP(A832,Registro!$B$8:$B$997,Registro!$R$8:$R$997,"N/E",0))</f>
        <v/>
      </c>
      <c r="F832" s="93" t="str">
        <f t="shared" si="24"/>
        <v/>
      </c>
      <c r="G832" s="93"/>
      <c r="H832" s="136"/>
      <c r="K832" s="93"/>
      <c r="L832" s="93" t="str">
        <f t="shared" si="25"/>
        <v/>
      </c>
    </row>
    <row r="833" spans="1:12" s="89" customFormat="1">
      <c r="A833" s="89" t="str">
        <f>IF(Registro!B833="","",Registro!B833)</f>
        <v/>
      </c>
      <c r="B833" s="89" t="str">
        <f>IF(Registro!B833="","",Registro!H833)</f>
        <v/>
      </c>
      <c r="C833" s="137" t="str">
        <f>IF(Registro!B833="","",Registro!L833)</f>
        <v/>
      </c>
      <c r="D833" s="89" t="str">
        <f>IF(Registro!B833="","",Registro!M833)</f>
        <v/>
      </c>
      <c r="E833" s="136" t="str">
        <f>IF(A833="","",_xlfn.XLOOKUP(A833,Registro!$B$8:$B$997,Registro!$R$8:$R$997,"N/E",0))</f>
        <v/>
      </c>
      <c r="F833" s="93" t="str">
        <f t="shared" si="24"/>
        <v/>
      </c>
      <c r="G833" s="93"/>
      <c r="H833" s="136"/>
      <c r="K833" s="93"/>
      <c r="L833" s="93" t="str">
        <f t="shared" si="25"/>
        <v/>
      </c>
    </row>
    <row r="834" spans="1:12" s="89" customFormat="1">
      <c r="A834" s="89" t="str">
        <f>IF(Registro!B834="","",Registro!B834)</f>
        <v/>
      </c>
      <c r="B834" s="89" t="str">
        <f>IF(Registro!B834="","",Registro!H834)</f>
        <v/>
      </c>
      <c r="C834" s="137" t="str">
        <f>IF(Registro!B834="","",Registro!L834)</f>
        <v/>
      </c>
      <c r="D834" s="89" t="str">
        <f>IF(Registro!B834="","",Registro!M834)</f>
        <v/>
      </c>
      <c r="E834" s="136" t="str">
        <f>IF(A834="","",_xlfn.XLOOKUP(A834,Registro!$B$8:$B$997,Registro!$R$8:$R$997,"N/E",0))</f>
        <v/>
      </c>
      <c r="F834" s="93" t="str">
        <f t="shared" si="24"/>
        <v/>
      </c>
      <c r="G834" s="93"/>
      <c r="H834" s="136"/>
      <c r="K834" s="93"/>
      <c r="L834" s="93" t="str">
        <f t="shared" si="25"/>
        <v/>
      </c>
    </row>
    <row r="835" spans="1:12" s="89" customFormat="1">
      <c r="A835" s="89" t="str">
        <f>IF(Registro!B835="","",Registro!B835)</f>
        <v/>
      </c>
      <c r="B835" s="89" t="str">
        <f>IF(Registro!B835="","",Registro!H835)</f>
        <v/>
      </c>
      <c r="C835" s="137" t="str">
        <f>IF(Registro!B835="","",Registro!L835)</f>
        <v/>
      </c>
      <c r="D835" s="89" t="str">
        <f>IF(Registro!B835="","",Registro!M835)</f>
        <v/>
      </c>
      <c r="E835" s="136" t="str">
        <f>IF(A835="","",_xlfn.XLOOKUP(A835,Registro!$B$8:$B$997,Registro!$R$8:$R$997,"N/E",0))</f>
        <v/>
      </c>
      <c r="F835" s="93" t="str">
        <f t="shared" si="24"/>
        <v/>
      </c>
      <c r="G835" s="93"/>
      <c r="H835" s="136"/>
      <c r="K835" s="93"/>
      <c r="L835" s="93" t="str">
        <f t="shared" si="25"/>
        <v/>
      </c>
    </row>
    <row r="836" spans="1:12" s="89" customFormat="1">
      <c r="A836" s="89" t="str">
        <f>IF(Registro!B836="","",Registro!B836)</f>
        <v/>
      </c>
      <c r="B836" s="89" t="str">
        <f>IF(Registro!B836="","",Registro!H836)</f>
        <v/>
      </c>
      <c r="C836" s="137" t="str">
        <f>IF(Registro!B836="","",Registro!L836)</f>
        <v/>
      </c>
      <c r="D836" s="89" t="str">
        <f>IF(Registro!B836="","",Registro!M836)</f>
        <v/>
      </c>
      <c r="E836" s="136" t="str">
        <f>IF(A836="","",_xlfn.XLOOKUP(A836,Registro!$B$8:$B$997,Registro!$R$8:$R$997,"N/E",0))</f>
        <v/>
      </c>
      <c r="F836" s="93" t="str">
        <f t="shared" si="24"/>
        <v/>
      </c>
      <c r="G836" s="93"/>
      <c r="H836" s="136"/>
      <c r="K836" s="93"/>
      <c r="L836" s="93" t="str">
        <f t="shared" si="25"/>
        <v/>
      </c>
    </row>
    <row r="837" spans="1:12" s="89" customFormat="1">
      <c r="A837" s="89" t="str">
        <f>IF(Registro!B837="","",Registro!B837)</f>
        <v/>
      </c>
      <c r="B837" s="89" t="str">
        <f>IF(Registro!B837="","",Registro!H837)</f>
        <v/>
      </c>
      <c r="C837" s="137" t="str">
        <f>IF(Registro!B837="","",Registro!L837)</f>
        <v/>
      </c>
      <c r="D837" s="89" t="str">
        <f>IF(Registro!B837="","",Registro!M837)</f>
        <v/>
      </c>
      <c r="E837" s="136" t="str">
        <f>IF(A837="","",_xlfn.XLOOKUP(A837,Registro!$B$8:$B$997,Registro!$R$8:$R$997,"N/E",0))</f>
        <v/>
      </c>
      <c r="F837" s="93" t="str">
        <f t="shared" si="24"/>
        <v/>
      </c>
      <c r="G837" s="93"/>
      <c r="H837" s="136"/>
      <c r="K837" s="93"/>
      <c r="L837" s="93" t="str">
        <f t="shared" si="25"/>
        <v/>
      </c>
    </row>
    <row r="838" spans="1:12" s="89" customFormat="1">
      <c r="A838" s="89" t="str">
        <f>IF(Registro!B838="","",Registro!B838)</f>
        <v/>
      </c>
      <c r="B838" s="89" t="str">
        <f>IF(Registro!B838="","",Registro!H838)</f>
        <v/>
      </c>
      <c r="C838" s="137" t="str">
        <f>IF(Registro!B838="","",Registro!L838)</f>
        <v/>
      </c>
      <c r="D838" s="89" t="str">
        <f>IF(Registro!B838="","",Registro!M838)</f>
        <v/>
      </c>
      <c r="E838" s="136" t="str">
        <f>IF(A838="","",_xlfn.XLOOKUP(A838,Registro!$B$8:$B$997,Registro!$R$8:$R$997,"N/E",0))</f>
        <v/>
      </c>
      <c r="F838" s="93" t="str">
        <f t="shared" si="24"/>
        <v/>
      </c>
      <c r="G838" s="93"/>
      <c r="H838" s="136"/>
      <c r="K838" s="93"/>
      <c r="L838" s="93" t="str">
        <f t="shared" si="25"/>
        <v/>
      </c>
    </row>
    <row r="839" spans="1:12" s="89" customFormat="1">
      <c r="A839" s="89" t="str">
        <f>IF(Registro!B839="","",Registro!B839)</f>
        <v/>
      </c>
      <c r="B839" s="89" t="str">
        <f>IF(Registro!B839="","",Registro!H839)</f>
        <v/>
      </c>
      <c r="C839" s="137" t="str">
        <f>IF(Registro!B839="","",Registro!L839)</f>
        <v/>
      </c>
      <c r="D839" s="89" t="str">
        <f>IF(Registro!B839="","",Registro!M839)</f>
        <v/>
      </c>
      <c r="E839" s="136" t="str">
        <f>IF(A839="","",_xlfn.XLOOKUP(A839,Registro!$B$8:$B$997,Registro!$R$8:$R$997,"N/E",0))</f>
        <v/>
      </c>
      <c r="F839" s="93" t="str">
        <f t="shared" si="24"/>
        <v/>
      </c>
      <c r="G839" s="93"/>
      <c r="H839" s="136"/>
      <c r="K839" s="93"/>
      <c r="L839" s="93" t="str">
        <f t="shared" si="25"/>
        <v/>
      </c>
    </row>
    <row r="840" spans="1:12" s="89" customFormat="1">
      <c r="A840" s="89" t="str">
        <f>IF(Registro!B840="","",Registro!B840)</f>
        <v/>
      </c>
      <c r="B840" s="89" t="str">
        <f>IF(Registro!B840="","",Registro!H840)</f>
        <v/>
      </c>
      <c r="C840" s="137" t="str">
        <f>IF(Registro!B840="","",Registro!L840)</f>
        <v/>
      </c>
      <c r="D840" s="89" t="str">
        <f>IF(Registro!B840="","",Registro!M840)</f>
        <v/>
      </c>
      <c r="E840" s="136" t="str">
        <f>IF(A840="","",_xlfn.XLOOKUP(A840,Registro!$B$8:$B$997,Registro!$R$8:$R$997,"N/E",0))</f>
        <v/>
      </c>
      <c r="F840" s="93" t="str">
        <f t="shared" ref="F840:F903" si="26">IF(A840="","",NETWORKDAYS.INTL(C840,E840,1))</f>
        <v/>
      </c>
      <c r="G840" s="93"/>
      <c r="H840" s="136"/>
      <c r="K840" s="93"/>
      <c r="L840" s="93" t="str">
        <f t="shared" si="25"/>
        <v/>
      </c>
    </row>
    <row r="841" spans="1:12" s="89" customFormat="1">
      <c r="A841" s="89" t="str">
        <f>IF(Registro!B841="","",Registro!B841)</f>
        <v/>
      </c>
      <c r="B841" s="89" t="str">
        <f>IF(Registro!B841="","",Registro!H841)</f>
        <v/>
      </c>
      <c r="C841" s="137" t="str">
        <f>IF(Registro!B841="","",Registro!L841)</f>
        <v/>
      </c>
      <c r="D841" s="89" t="str">
        <f>IF(Registro!B841="","",Registro!M841)</f>
        <v/>
      </c>
      <c r="E841" s="136" t="str">
        <f>IF(A841="","",_xlfn.XLOOKUP(A841,Registro!$B$8:$B$997,Registro!$R$8:$R$997,"N/E",0))</f>
        <v/>
      </c>
      <c r="F841" s="93" t="str">
        <f t="shared" si="26"/>
        <v/>
      </c>
      <c r="G841" s="93"/>
      <c r="H841" s="136"/>
      <c r="K841" s="93"/>
      <c r="L841" s="93" t="str">
        <f t="shared" si="25"/>
        <v/>
      </c>
    </row>
    <row r="842" spans="1:12" s="89" customFormat="1">
      <c r="A842" s="89" t="str">
        <f>IF(Registro!B842="","",Registro!B842)</f>
        <v/>
      </c>
      <c r="B842" s="89" t="str">
        <f>IF(Registro!B842="","",Registro!H842)</f>
        <v/>
      </c>
      <c r="C842" s="137" t="str">
        <f>IF(Registro!B842="","",Registro!L842)</f>
        <v/>
      </c>
      <c r="D842" s="89" t="str">
        <f>IF(Registro!B842="","",Registro!M842)</f>
        <v/>
      </c>
      <c r="E842" s="136" t="str">
        <f>IF(A842="","",_xlfn.XLOOKUP(A842,Registro!$B$8:$B$997,Registro!$R$8:$R$997,"N/E",0))</f>
        <v/>
      </c>
      <c r="F842" s="93" t="str">
        <f t="shared" si="26"/>
        <v/>
      </c>
      <c r="G842" s="93"/>
      <c r="H842" s="136"/>
      <c r="K842" s="93"/>
      <c r="L842" s="93" t="str">
        <f t="shared" si="25"/>
        <v/>
      </c>
    </row>
    <row r="843" spans="1:12" s="89" customFormat="1">
      <c r="A843" s="89" t="str">
        <f>IF(Registro!B843="","",Registro!B843)</f>
        <v/>
      </c>
      <c r="B843" s="89" t="str">
        <f>IF(Registro!B843="","",Registro!H843)</f>
        <v/>
      </c>
      <c r="C843" s="137" t="str">
        <f>IF(Registro!B843="","",Registro!L843)</f>
        <v/>
      </c>
      <c r="D843" s="89" t="str">
        <f>IF(Registro!B843="","",Registro!M843)</f>
        <v/>
      </c>
      <c r="E843" s="136" t="str">
        <f>IF(A843="","",_xlfn.XLOOKUP(A843,Registro!$B$8:$B$997,Registro!$R$8:$R$997,"N/E",0))</f>
        <v/>
      </c>
      <c r="F843" s="93" t="str">
        <f t="shared" si="26"/>
        <v/>
      </c>
      <c r="G843" s="93"/>
      <c r="H843" s="136"/>
      <c r="K843" s="93"/>
      <c r="L843" s="93" t="str">
        <f t="shared" si="25"/>
        <v/>
      </c>
    </row>
    <row r="844" spans="1:12" s="89" customFormat="1">
      <c r="A844" s="89" t="str">
        <f>IF(Registro!B844="","",Registro!B844)</f>
        <v/>
      </c>
      <c r="B844" s="89" t="str">
        <f>IF(Registro!B844="","",Registro!H844)</f>
        <v/>
      </c>
      <c r="C844" s="137" t="str">
        <f>IF(Registro!B844="","",Registro!L844)</f>
        <v/>
      </c>
      <c r="D844" s="89" t="str">
        <f>IF(Registro!B844="","",Registro!M844)</f>
        <v/>
      </c>
      <c r="E844" s="136" t="str">
        <f>IF(A844="","",_xlfn.XLOOKUP(A844,Registro!$B$8:$B$997,Registro!$R$8:$R$997,"N/E",0))</f>
        <v/>
      </c>
      <c r="F844" s="93" t="str">
        <f t="shared" si="26"/>
        <v/>
      </c>
      <c r="G844" s="93"/>
      <c r="H844" s="136"/>
      <c r="K844" s="93"/>
      <c r="L844" s="93" t="str">
        <f t="shared" si="25"/>
        <v/>
      </c>
    </row>
    <row r="845" spans="1:12" s="89" customFormat="1">
      <c r="A845" s="89" t="str">
        <f>IF(Registro!B845="","",Registro!B845)</f>
        <v/>
      </c>
      <c r="B845" s="89" t="str">
        <f>IF(Registro!B845="","",Registro!H845)</f>
        <v/>
      </c>
      <c r="C845" s="137" t="str">
        <f>IF(Registro!B845="","",Registro!L845)</f>
        <v/>
      </c>
      <c r="D845" s="89" t="str">
        <f>IF(Registro!B845="","",Registro!M845)</f>
        <v/>
      </c>
      <c r="E845" s="136" t="str">
        <f>IF(A845="","",_xlfn.XLOOKUP(A845,Registro!$B$8:$B$997,Registro!$R$8:$R$997,"N/E",0))</f>
        <v/>
      </c>
      <c r="F845" s="93" t="str">
        <f t="shared" si="26"/>
        <v/>
      </c>
      <c r="G845" s="93"/>
      <c r="H845" s="136"/>
      <c r="K845" s="93"/>
      <c r="L845" s="93" t="str">
        <f t="shared" si="25"/>
        <v/>
      </c>
    </row>
    <row r="846" spans="1:12" s="89" customFormat="1">
      <c r="A846" s="89" t="str">
        <f>IF(Registro!B846="","",Registro!B846)</f>
        <v/>
      </c>
      <c r="B846" s="89" t="str">
        <f>IF(Registro!B846="","",Registro!H846)</f>
        <v/>
      </c>
      <c r="C846" s="137" t="str">
        <f>IF(Registro!B846="","",Registro!L846)</f>
        <v/>
      </c>
      <c r="D846" s="89" t="str">
        <f>IF(Registro!B846="","",Registro!M846)</f>
        <v/>
      </c>
      <c r="E846" s="136" t="str">
        <f>IF(A846="","",_xlfn.XLOOKUP(A846,Registro!$B$8:$B$997,Registro!$R$8:$R$997,"N/E",0))</f>
        <v/>
      </c>
      <c r="F846" s="93" t="str">
        <f t="shared" si="26"/>
        <v/>
      </c>
      <c r="G846" s="93"/>
      <c r="H846" s="136"/>
      <c r="K846" s="93"/>
      <c r="L846" s="93" t="str">
        <f t="shared" si="25"/>
        <v/>
      </c>
    </row>
    <row r="847" spans="1:12" s="89" customFormat="1">
      <c r="A847" s="89" t="str">
        <f>IF(Registro!B847="","",Registro!B847)</f>
        <v/>
      </c>
      <c r="B847" s="89" t="str">
        <f>IF(Registro!B847="","",Registro!H847)</f>
        <v/>
      </c>
      <c r="C847" s="137" t="str">
        <f>IF(Registro!B847="","",Registro!L847)</f>
        <v/>
      </c>
      <c r="D847" s="89" t="str">
        <f>IF(Registro!B847="","",Registro!M847)</f>
        <v/>
      </c>
      <c r="E847" s="136" t="str">
        <f>IF(A847="","",_xlfn.XLOOKUP(A847,Registro!$B$8:$B$997,Registro!$R$8:$R$997,"N/E",0))</f>
        <v/>
      </c>
      <c r="F847" s="93" t="str">
        <f t="shared" si="26"/>
        <v/>
      </c>
      <c r="G847" s="93"/>
      <c r="H847" s="136"/>
      <c r="K847" s="93"/>
      <c r="L847" s="93" t="str">
        <f t="shared" si="25"/>
        <v/>
      </c>
    </row>
    <row r="848" spans="1:12" s="89" customFormat="1">
      <c r="A848" s="89" t="str">
        <f>IF(Registro!B848="","",Registro!B848)</f>
        <v/>
      </c>
      <c r="B848" s="89" t="str">
        <f>IF(Registro!B848="","",Registro!H848)</f>
        <v/>
      </c>
      <c r="C848" s="137" t="str">
        <f>IF(Registro!B848="","",Registro!L848)</f>
        <v/>
      </c>
      <c r="D848" s="89" t="str">
        <f>IF(Registro!B848="","",Registro!M848)</f>
        <v/>
      </c>
      <c r="E848" s="136" t="str">
        <f>IF(A848="","",_xlfn.XLOOKUP(A848,Registro!$B$8:$B$997,Registro!$R$8:$R$997,"N/E",0))</f>
        <v/>
      </c>
      <c r="F848" s="93" t="str">
        <f t="shared" si="26"/>
        <v/>
      </c>
      <c r="G848" s="93"/>
      <c r="H848" s="136"/>
      <c r="K848" s="93"/>
      <c r="L848" s="93" t="str">
        <f t="shared" si="25"/>
        <v/>
      </c>
    </row>
    <row r="849" spans="1:12" s="89" customFormat="1">
      <c r="A849" s="89" t="str">
        <f>IF(Registro!B849="","",Registro!B849)</f>
        <v/>
      </c>
      <c r="B849" s="89" t="str">
        <f>IF(Registro!B849="","",Registro!H849)</f>
        <v/>
      </c>
      <c r="C849" s="137" t="str">
        <f>IF(Registro!B849="","",Registro!L849)</f>
        <v/>
      </c>
      <c r="D849" s="89" t="str">
        <f>IF(Registro!B849="","",Registro!M849)</f>
        <v/>
      </c>
      <c r="E849" s="136" t="str">
        <f>IF(A849="","",_xlfn.XLOOKUP(A849,Registro!$B$8:$B$997,Registro!$R$8:$R$997,"N/E",0))</f>
        <v/>
      </c>
      <c r="F849" s="93" t="str">
        <f t="shared" si="26"/>
        <v/>
      </c>
      <c r="G849" s="93"/>
      <c r="H849" s="136"/>
      <c r="K849" s="93"/>
      <c r="L849" s="93" t="str">
        <f t="shared" si="25"/>
        <v/>
      </c>
    </row>
    <row r="850" spans="1:12" s="89" customFormat="1">
      <c r="A850" s="89" t="str">
        <f>IF(Registro!B850="","",Registro!B850)</f>
        <v/>
      </c>
      <c r="B850" s="89" t="str">
        <f>IF(Registro!B850="","",Registro!H850)</f>
        <v/>
      </c>
      <c r="C850" s="137" t="str">
        <f>IF(Registro!B850="","",Registro!L850)</f>
        <v/>
      </c>
      <c r="D850" s="89" t="str">
        <f>IF(Registro!B850="","",Registro!M850)</f>
        <v/>
      </c>
      <c r="E850" s="136" t="str">
        <f>IF(A850="","",_xlfn.XLOOKUP(A850,Registro!$B$8:$B$997,Registro!$R$8:$R$997,"N/E",0))</f>
        <v/>
      </c>
      <c r="F850" s="93" t="str">
        <f t="shared" si="26"/>
        <v/>
      </c>
      <c r="G850" s="93"/>
      <c r="H850" s="136"/>
      <c r="K850" s="93"/>
      <c r="L850" s="93" t="str">
        <f t="shared" ref="L850:L913" si="27">IF(OR(K850="N/A",K850=""),"",NETWORKDAYS(C850,K850))</f>
        <v/>
      </c>
    </row>
    <row r="851" spans="1:12" s="89" customFormat="1">
      <c r="A851" s="89" t="str">
        <f>IF(Registro!B851="","",Registro!B851)</f>
        <v/>
      </c>
      <c r="B851" s="89" t="str">
        <f>IF(Registro!B851="","",Registro!H851)</f>
        <v/>
      </c>
      <c r="C851" s="137" t="str">
        <f>IF(Registro!B851="","",Registro!L851)</f>
        <v/>
      </c>
      <c r="D851" s="89" t="str">
        <f>IF(Registro!B851="","",Registro!M851)</f>
        <v/>
      </c>
      <c r="E851" s="136" t="str">
        <f>IF(A851="","",_xlfn.XLOOKUP(A851,Registro!$B$8:$B$997,Registro!$R$8:$R$997,"N/E",0))</f>
        <v/>
      </c>
      <c r="F851" s="93" t="str">
        <f t="shared" si="26"/>
        <v/>
      </c>
      <c r="G851" s="93"/>
      <c r="H851" s="136"/>
      <c r="K851" s="93"/>
      <c r="L851" s="93" t="str">
        <f t="shared" si="27"/>
        <v/>
      </c>
    </row>
    <row r="852" spans="1:12" s="89" customFormat="1">
      <c r="A852" s="89" t="str">
        <f>IF(Registro!B852="","",Registro!B852)</f>
        <v/>
      </c>
      <c r="B852" s="89" t="str">
        <f>IF(Registro!B852="","",Registro!H852)</f>
        <v/>
      </c>
      <c r="C852" s="137" t="str">
        <f>IF(Registro!B852="","",Registro!L852)</f>
        <v/>
      </c>
      <c r="D852" s="89" t="str">
        <f>IF(Registro!B852="","",Registro!M852)</f>
        <v/>
      </c>
      <c r="E852" s="136" t="str">
        <f>IF(A852="","",_xlfn.XLOOKUP(A852,Registro!$B$8:$B$997,Registro!$R$8:$R$997,"N/E",0))</f>
        <v/>
      </c>
      <c r="F852" s="93" t="str">
        <f t="shared" si="26"/>
        <v/>
      </c>
      <c r="G852" s="93"/>
      <c r="H852" s="136"/>
      <c r="K852" s="93"/>
      <c r="L852" s="93" t="str">
        <f t="shared" si="27"/>
        <v/>
      </c>
    </row>
    <row r="853" spans="1:12" s="89" customFormat="1">
      <c r="A853" s="89" t="str">
        <f>IF(Registro!B853="","",Registro!B853)</f>
        <v/>
      </c>
      <c r="B853" s="89" t="str">
        <f>IF(Registro!B853="","",Registro!H853)</f>
        <v/>
      </c>
      <c r="C853" s="137" t="str">
        <f>IF(Registro!B853="","",Registro!L853)</f>
        <v/>
      </c>
      <c r="D853" s="89" t="str">
        <f>IF(Registro!B853="","",Registro!M853)</f>
        <v/>
      </c>
      <c r="E853" s="136" t="str">
        <f>IF(A853="","",_xlfn.XLOOKUP(A853,Registro!$B$8:$B$997,Registro!$R$8:$R$997,"N/E",0))</f>
        <v/>
      </c>
      <c r="F853" s="93" t="str">
        <f t="shared" si="26"/>
        <v/>
      </c>
      <c r="G853" s="93"/>
      <c r="H853" s="136"/>
      <c r="K853" s="93"/>
      <c r="L853" s="93" t="str">
        <f t="shared" si="27"/>
        <v/>
      </c>
    </row>
    <row r="854" spans="1:12" s="89" customFormat="1">
      <c r="A854" s="89" t="str">
        <f>IF(Registro!B854="","",Registro!B854)</f>
        <v/>
      </c>
      <c r="B854" s="89" t="str">
        <f>IF(Registro!B854="","",Registro!H854)</f>
        <v/>
      </c>
      <c r="C854" s="137" t="str">
        <f>IF(Registro!B854="","",Registro!L854)</f>
        <v/>
      </c>
      <c r="D854" s="89" t="str">
        <f>IF(Registro!B854="","",Registro!M854)</f>
        <v/>
      </c>
      <c r="E854" s="136" t="str">
        <f>IF(A854="","",_xlfn.XLOOKUP(A854,Registro!$B$8:$B$997,Registro!$R$8:$R$997,"N/E",0))</f>
        <v/>
      </c>
      <c r="F854" s="93" t="str">
        <f t="shared" si="26"/>
        <v/>
      </c>
      <c r="G854" s="93"/>
      <c r="H854" s="136"/>
      <c r="K854" s="93"/>
      <c r="L854" s="93" t="str">
        <f t="shared" si="27"/>
        <v/>
      </c>
    </row>
    <row r="855" spans="1:12" s="89" customFormat="1">
      <c r="A855" s="89" t="str">
        <f>IF(Registro!B855="","",Registro!B855)</f>
        <v/>
      </c>
      <c r="B855" s="89" t="str">
        <f>IF(Registro!B855="","",Registro!H855)</f>
        <v/>
      </c>
      <c r="C855" s="137" t="str">
        <f>IF(Registro!B855="","",Registro!L855)</f>
        <v/>
      </c>
      <c r="D855" s="89" t="str">
        <f>IF(Registro!B855="","",Registro!M855)</f>
        <v/>
      </c>
      <c r="E855" s="136" t="str">
        <f>IF(A855="","",_xlfn.XLOOKUP(A855,Registro!$B$8:$B$997,Registro!$R$8:$R$997,"N/E",0))</f>
        <v/>
      </c>
      <c r="F855" s="93" t="str">
        <f t="shared" si="26"/>
        <v/>
      </c>
      <c r="G855" s="93"/>
      <c r="H855" s="136"/>
      <c r="K855" s="93"/>
      <c r="L855" s="93" t="str">
        <f t="shared" si="27"/>
        <v/>
      </c>
    </row>
    <row r="856" spans="1:12" s="89" customFormat="1">
      <c r="A856" s="89" t="str">
        <f>IF(Registro!B856="","",Registro!B856)</f>
        <v/>
      </c>
      <c r="B856" s="89" t="str">
        <f>IF(Registro!B856="","",Registro!H856)</f>
        <v/>
      </c>
      <c r="C856" s="137" t="str">
        <f>IF(Registro!B856="","",Registro!L856)</f>
        <v/>
      </c>
      <c r="D856" s="89" t="str">
        <f>IF(Registro!B856="","",Registro!M856)</f>
        <v/>
      </c>
      <c r="E856" s="136" t="str">
        <f>IF(A856="","",_xlfn.XLOOKUP(A856,Registro!$B$8:$B$997,Registro!$R$8:$R$997,"N/E",0))</f>
        <v/>
      </c>
      <c r="F856" s="93" t="str">
        <f t="shared" si="26"/>
        <v/>
      </c>
      <c r="G856" s="93"/>
      <c r="H856" s="136"/>
      <c r="K856" s="93"/>
      <c r="L856" s="93" t="str">
        <f t="shared" si="27"/>
        <v/>
      </c>
    </row>
    <row r="857" spans="1:12" s="89" customFormat="1">
      <c r="A857" s="89" t="str">
        <f>IF(Registro!B857="","",Registro!B857)</f>
        <v/>
      </c>
      <c r="B857" s="89" t="str">
        <f>IF(Registro!B857="","",Registro!H857)</f>
        <v/>
      </c>
      <c r="C857" s="137" t="str">
        <f>IF(Registro!B857="","",Registro!L857)</f>
        <v/>
      </c>
      <c r="D857" s="89" t="str">
        <f>IF(Registro!B857="","",Registro!M857)</f>
        <v/>
      </c>
      <c r="E857" s="136" t="str">
        <f>IF(A857="","",_xlfn.XLOOKUP(A857,Registro!$B$8:$B$997,Registro!$R$8:$R$997,"N/E",0))</f>
        <v/>
      </c>
      <c r="F857" s="93" t="str">
        <f t="shared" si="26"/>
        <v/>
      </c>
      <c r="G857" s="93"/>
      <c r="H857" s="136"/>
      <c r="K857" s="93"/>
      <c r="L857" s="93" t="str">
        <f t="shared" si="27"/>
        <v/>
      </c>
    </row>
    <row r="858" spans="1:12" s="89" customFormat="1">
      <c r="A858" s="89" t="str">
        <f>IF(Registro!B858="","",Registro!B858)</f>
        <v/>
      </c>
      <c r="B858" s="89" t="str">
        <f>IF(Registro!B858="","",Registro!H858)</f>
        <v/>
      </c>
      <c r="C858" s="137" t="str">
        <f>IF(Registro!B858="","",Registro!L858)</f>
        <v/>
      </c>
      <c r="D858" s="89" t="str">
        <f>IF(Registro!B858="","",Registro!M858)</f>
        <v/>
      </c>
      <c r="E858" s="136" t="str">
        <f>IF(A858="","",_xlfn.XLOOKUP(A858,Registro!$B$8:$B$997,Registro!$R$8:$R$997,"N/E",0))</f>
        <v/>
      </c>
      <c r="F858" s="93" t="str">
        <f t="shared" si="26"/>
        <v/>
      </c>
      <c r="G858" s="93"/>
      <c r="H858" s="136"/>
      <c r="K858" s="93"/>
      <c r="L858" s="93" t="str">
        <f t="shared" si="27"/>
        <v/>
      </c>
    </row>
    <row r="859" spans="1:12" s="89" customFormat="1">
      <c r="A859" s="89" t="str">
        <f>IF(Registro!B859="","",Registro!B859)</f>
        <v/>
      </c>
      <c r="B859" s="89" t="str">
        <f>IF(Registro!B859="","",Registro!H859)</f>
        <v/>
      </c>
      <c r="C859" s="137" t="str">
        <f>IF(Registro!B859="","",Registro!L859)</f>
        <v/>
      </c>
      <c r="D859" s="89" t="str">
        <f>IF(Registro!B859="","",Registro!M859)</f>
        <v/>
      </c>
      <c r="E859" s="136" t="str">
        <f>IF(A859="","",_xlfn.XLOOKUP(A859,Registro!$B$8:$B$997,Registro!$R$8:$R$997,"N/E",0))</f>
        <v/>
      </c>
      <c r="F859" s="93" t="str">
        <f t="shared" si="26"/>
        <v/>
      </c>
      <c r="G859" s="93"/>
      <c r="H859" s="136"/>
      <c r="K859" s="93"/>
      <c r="L859" s="93" t="str">
        <f t="shared" si="27"/>
        <v/>
      </c>
    </row>
    <row r="860" spans="1:12" s="89" customFormat="1">
      <c r="A860" s="89" t="str">
        <f>IF(Registro!B860="","",Registro!B860)</f>
        <v/>
      </c>
      <c r="B860" s="89" t="str">
        <f>IF(Registro!B860="","",Registro!H860)</f>
        <v/>
      </c>
      <c r="C860" s="137" t="str">
        <f>IF(Registro!B860="","",Registro!L860)</f>
        <v/>
      </c>
      <c r="D860" s="89" t="str">
        <f>IF(Registro!B860="","",Registro!M860)</f>
        <v/>
      </c>
      <c r="E860" s="136" t="str">
        <f>IF(A860="","",_xlfn.XLOOKUP(A860,Registro!$B$8:$B$997,Registro!$R$8:$R$997,"N/E",0))</f>
        <v/>
      </c>
      <c r="F860" s="93" t="str">
        <f t="shared" si="26"/>
        <v/>
      </c>
      <c r="G860" s="93"/>
      <c r="H860" s="136"/>
      <c r="K860" s="93"/>
      <c r="L860" s="93" t="str">
        <f t="shared" si="27"/>
        <v/>
      </c>
    </row>
    <row r="861" spans="1:12" s="89" customFormat="1">
      <c r="A861" s="89" t="str">
        <f>IF(Registro!B861="","",Registro!B861)</f>
        <v/>
      </c>
      <c r="B861" s="89" t="str">
        <f>IF(Registro!B861="","",Registro!H861)</f>
        <v/>
      </c>
      <c r="C861" s="137" t="str">
        <f>IF(Registro!B861="","",Registro!L861)</f>
        <v/>
      </c>
      <c r="D861" s="89" t="str">
        <f>IF(Registro!B861="","",Registro!M861)</f>
        <v/>
      </c>
      <c r="E861" s="136" t="str">
        <f>IF(A861="","",_xlfn.XLOOKUP(A861,Registro!$B$8:$B$997,Registro!$R$8:$R$997,"N/E",0))</f>
        <v/>
      </c>
      <c r="F861" s="93" t="str">
        <f t="shared" si="26"/>
        <v/>
      </c>
      <c r="G861" s="93"/>
      <c r="H861" s="136"/>
      <c r="K861" s="93"/>
      <c r="L861" s="93" t="str">
        <f t="shared" si="27"/>
        <v/>
      </c>
    </row>
    <row r="862" spans="1:12" s="89" customFormat="1">
      <c r="A862" s="89" t="str">
        <f>IF(Registro!B862="","",Registro!B862)</f>
        <v/>
      </c>
      <c r="B862" s="89" t="str">
        <f>IF(Registro!B862="","",Registro!H862)</f>
        <v/>
      </c>
      <c r="C862" s="137" t="str">
        <f>IF(Registro!B862="","",Registro!L862)</f>
        <v/>
      </c>
      <c r="D862" s="89" t="str">
        <f>IF(Registro!B862="","",Registro!M862)</f>
        <v/>
      </c>
      <c r="E862" s="136" t="str">
        <f>IF(A862="","",_xlfn.XLOOKUP(A862,Registro!$B$8:$B$997,Registro!$R$8:$R$997,"N/E",0))</f>
        <v/>
      </c>
      <c r="F862" s="93" t="str">
        <f t="shared" si="26"/>
        <v/>
      </c>
      <c r="G862" s="93"/>
      <c r="H862" s="136"/>
      <c r="K862" s="93"/>
      <c r="L862" s="93" t="str">
        <f t="shared" si="27"/>
        <v/>
      </c>
    </row>
    <row r="863" spans="1:12" s="89" customFormat="1">
      <c r="A863" s="89" t="str">
        <f>IF(Registro!B863="","",Registro!B863)</f>
        <v/>
      </c>
      <c r="B863" s="89" t="str">
        <f>IF(Registro!B863="","",Registro!H863)</f>
        <v/>
      </c>
      <c r="C863" s="137" t="str">
        <f>IF(Registro!B863="","",Registro!L863)</f>
        <v/>
      </c>
      <c r="D863" s="89" t="str">
        <f>IF(Registro!B863="","",Registro!M863)</f>
        <v/>
      </c>
      <c r="E863" s="136" t="str">
        <f>IF(A863="","",_xlfn.XLOOKUP(A863,Registro!$B$8:$B$997,Registro!$R$8:$R$997,"N/E",0))</f>
        <v/>
      </c>
      <c r="F863" s="93" t="str">
        <f t="shared" si="26"/>
        <v/>
      </c>
      <c r="G863" s="93"/>
      <c r="H863" s="136"/>
      <c r="K863" s="93"/>
      <c r="L863" s="93" t="str">
        <f t="shared" si="27"/>
        <v/>
      </c>
    </row>
    <row r="864" spans="1:12" s="89" customFormat="1">
      <c r="A864" s="89" t="str">
        <f>IF(Registro!B864="","",Registro!B864)</f>
        <v/>
      </c>
      <c r="B864" s="89" t="str">
        <f>IF(Registro!B864="","",Registro!H864)</f>
        <v/>
      </c>
      <c r="C864" s="137" t="str">
        <f>IF(Registro!B864="","",Registro!L864)</f>
        <v/>
      </c>
      <c r="D864" s="89" t="str">
        <f>IF(Registro!B864="","",Registro!M864)</f>
        <v/>
      </c>
      <c r="E864" s="136" t="str">
        <f>IF(A864="","",_xlfn.XLOOKUP(A864,Registro!$B$8:$B$997,Registro!$R$8:$R$997,"N/E",0))</f>
        <v/>
      </c>
      <c r="F864" s="93" t="str">
        <f t="shared" si="26"/>
        <v/>
      </c>
      <c r="G864" s="93"/>
      <c r="H864" s="136"/>
      <c r="K864" s="93"/>
      <c r="L864" s="93" t="str">
        <f t="shared" si="27"/>
        <v/>
      </c>
    </row>
    <row r="865" spans="1:12" s="89" customFormat="1">
      <c r="A865" s="89" t="str">
        <f>IF(Registro!B865="","",Registro!B865)</f>
        <v/>
      </c>
      <c r="B865" s="89" t="str">
        <f>IF(Registro!B865="","",Registro!H865)</f>
        <v/>
      </c>
      <c r="C865" s="137" t="str">
        <f>IF(Registro!B865="","",Registro!L865)</f>
        <v/>
      </c>
      <c r="D865" s="89" t="str">
        <f>IF(Registro!B865="","",Registro!M865)</f>
        <v/>
      </c>
      <c r="E865" s="136" t="str">
        <f>IF(A865="","",_xlfn.XLOOKUP(A865,Registro!$B$8:$B$997,Registro!$R$8:$R$997,"N/E",0))</f>
        <v/>
      </c>
      <c r="F865" s="93" t="str">
        <f t="shared" si="26"/>
        <v/>
      </c>
      <c r="G865" s="93"/>
      <c r="H865" s="136"/>
      <c r="K865" s="93"/>
      <c r="L865" s="93" t="str">
        <f t="shared" si="27"/>
        <v/>
      </c>
    </row>
    <row r="866" spans="1:12" s="89" customFormat="1">
      <c r="A866" s="89" t="str">
        <f>IF(Registro!B866="","",Registro!B866)</f>
        <v/>
      </c>
      <c r="B866" s="89" t="str">
        <f>IF(Registro!B866="","",Registro!H866)</f>
        <v/>
      </c>
      <c r="C866" s="137" t="str">
        <f>IF(Registro!B866="","",Registro!L866)</f>
        <v/>
      </c>
      <c r="D866" s="89" t="str">
        <f>IF(Registro!B866="","",Registro!M866)</f>
        <v/>
      </c>
      <c r="E866" s="136" t="str">
        <f>IF(A866="","",_xlfn.XLOOKUP(A866,Registro!$B$8:$B$997,Registro!$R$8:$R$997,"N/E",0))</f>
        <v/>
      </c>
      <c r="F866" s="93" t="str">
        <f t="shared" si="26"/>
        <v/>
      </c>
      <c r="G866" s="93"/>
      <c r="H866" s="136"/>
      <c r="K866" s="93"/>
      <c r="L866" s="93" t="str">
        <f t="shared" si="27"/>
        <v/>
      </c>
    </row>
    <row r="867" spans="1:12" s="89" customFormat="1">
      <c r="A867" s="89" t="str">
        <f>IF(Registro!B867="","",Registro!B867)</f>
        <v/>
      </c>
      <c r="B867" s="89" t="str">
        <f>IF(Registro!B867="","",Registro!H867)</f>
        <v/>
      </c>
      <c r="C867" s="137" t="str">
        <f>IF(Registro!B867="","",Registro!L867)</f>
        <v/>
      </c>
      <c r="D867" s="89" t="str">
        <f>IF(Registro!B867="","",Registro!M867)</f>
        <v/>
      </c>
      <c r="E867" s="136" t="str">
        <f>IF(A867="","",_xlfn.XLOOKUP(A867,Registro!$B$8:$B$997,Registro!$R$8:$R$997,"N/E",0))</f>
        <v/>
      </c>
      <c r="F867" s="93" t="str">
        <f t="shared" si="26"/>
        <v/>
      </c>
      <c r="G867" s="93"/>
      <c r="H867" s="136"/>
      <c r="K867" s="93"/>
      <c r="L867" s="93" t="str">
        <f t="shared" si="27"/>
        <v/>
      </c>
    </row>
    <row r="868" spans="1:12" s="89" customFormat="1">
      <c r="A868" s="89" t="str">
        <f>IF(Registro!B868="","",Registro!B868)</f>
        <v/>
      </c>
      <c r="B868" s="89" t="str">
        <f>IF(Registro!B868="","",Registro!H868)</f>
        <v/>
      </c>
      <c r="C868" s="137" t="str">
        <f>IF(Registro!B868="","",Registro!L868)</f>
        <v/>
      </c>
      <c r="D868" s="89" t="str">
        <f>IF(Registro!B868="","",Registro!M868)</f>
        <v/>
      </c>
      <c r="E868" s="136" t="str">
        <f>IF(A868="","",_xlfn.XLOOKUP(A868,Registro!$B$8:$B$997,Registro!$R$8:$R$997,"N/E",0))</f>
        <v/>
      </c>
      <c r="F868" s="93" t="str">
        <f t="shared" si="26"/>
        <v/>
      </c>
      <c r="G868" s="93"/>
      <c r="H868" s="136"/>
      <c r="K868" s="93"/>
      <c r="L868" s="93" t="str">
        <f t="shared" si="27"/>
        <v/>
      </c>
    </row>
    <row r="869" spans="1:12" s="89" customFormat="1">
      <c r="A869" s="89" t="str">
        <f>IF(Registro!B869="","",Registro!B869)</f>
        <v/>
      </c>
      <c r="B869" s="89" t="str">
        <f>IF(Registro!B869="","",Registro!H869)</f>
        <v/>
      </c>
      <c r="C869" s="137" t="str">
        <f>IF(Registro!B869="","",Registro!L869)</f>
        <v/>
      </c>
      <c r="D869" s="89" t="str">
        <f>IF(Registro!B869="","",Registro!M869)</f>
        <v/>
      </c>
      <c r="E869" s="136" t="str">
        <f>IF(A869="","",_xlfn.XLOOKUP(A869,Registro!$B$8:$B$997,Registro!$R$8:$R$997,"N/E",0))</f>
        <v/>
      </c>
      <c r="F869" s="93" t="str">
        <f t="shared" si="26"/>
        <v/>
      </c>
      <c r="G869" s="93"/>
      <c r="H869" s="136"/>
      <c r="K869" s="93"/>
      <c r="L869" s="93" t="str">
        <f t="shared" si="27"/>
        <v/>
      </c>
    </row>
    <row r="870" spans="1:12" s="89" customFormat="1">
      <c r="A870" s="89" t="str">
        <f>IF(Registro!B870="","",Registro!B870)</f>
        <v/>
      </c>
      <c r="B870" s="89" t="str">
        <f>IF(Registro!B870="","",Registro!H870)</f>
        <v/>
      </c>
      <c r="C870" s="137" t="str">
        <f>IF(Registro!B870="","",Registro!L870)</f>
        <v/>
      </c>
      <c r="D870" s="89" t="str">
        <f>IF(Registro!B870="","",Registro!M870)</f>
        <v/>
      </c>
      <c r="E870" s="136" t="str">
        <f>IF(A870="","",_xlfn.XLOOKUP(A870,Registro!$B$8:$B$997,Registro!$R$8:$R$997,"N/E",0))</f>
        <v/>
      </c>
      <c r="F870" s="93" t="str">
        <f t="shared" si="26"/>
        <v/>
      </c>
      <c r="G870" s="93"/>
      <c r="H870" s="136"/>
      <c r="K870" s="93"/>
      <c r="L870" s="93" t="str">
        <f t="shared" si="27"/>
        <v/>
      </c>
    </row>
    <row r="871" spans="1:12" s="89" customFormat="1">
      <c r="A871" s="89" t="str">
        <f>IF(Registro!B871="","",Registro!B871)</f>
        <v/>
      </c>
      <c r="B871" s="89" t="str">
        <f>IF(Registro!B871="","",Registro!H871)</f>
        <v/>
      </c>
      <c r="C871" s="137" t="str">
        <f>IF(Registro!B871="","",Registro!L871)</f>
        <v/>
      </c>
      <c r="D871" s="89" t="str">
        <f>IF(Registro!B871="","",Registro!M871)</f>
        <v/>
      </c>
      <c r="E871" s="136" t="str">
        <f>IF(A871="","",_xlfn.XLOOKUP(A871,Registro!$B$8:$B$997,Registro!$R$8:$R$997,"N/E",0))</f>
        <v/>
      </c>
      <c r="F871" s="93" t="str">
        <f t="shared" si="26"/>
        <v/>
      </c>
      <c r="G871" s="93"/>
      <c r="H871" s="136"/>
      <c r="K871" s="93"/>
      <c r="L871" s="93" t="str">
        <f t="shared" si="27"/>
        <v/>
      </c>
    </row>
    <row r="872" spans="1:12" s="89" customFormat="1">
      <c r="A872" s="89" t="str">
        <f>IF(Registro!B872="","",Registro!B872)</f>
        <v/>
      </c>
      <c r="B872" s="89" t="str">
        <f>IF(Registro!B872="","",Registro!H872)</f>
        <v/>
      </c>
      <c r="C872" s="137" t="str">
        <f>IF(Registro!B872="","",Registro!L872)</f>
        <v/>
      </c>
      <c r="D872" s="89" t="str">
        <f>IF(Registro!B872="","",Registro!M872)</f>
        <v/>
      </c>
      <c r="E872" s="136" t="str">
        <f>IF(A872="","",_xlfn.XLOOKUP(A872,Registro!$B$8:$B$997,Registro!$R$8:$R$997,"N/E",0))</f>
        <v/>
      </c>
      <c r="F872" s="93" t="str">
        <f t="shared" si="26"/>
        <v/>
      </c>
      <c r="G872" s="93"/>
      <c r="H872" s="136"/>
      <c r="K872" s="93"/>
      <c r="L872" s="93" t="str">
        <f t="shared" si="27"/>
        <v/>
      </c>
    </row>
    <row r="873" spans="1:12" s="89" customFormat="1">
      <c r="A873" s="89" t="str">
        <f>IF(Registro!B873="","",Registro!B873)</f>
        <v/>
      </c>
      <c r="B873" s="89" t="str">
        <f>IF(Registro!B873="","",Registro!H873)</f>
        <v/>
      </c>
      <c r="C873" s="137" t="str">
        <f>IF(Registro!B873="","",Registro!L873)</f>
        <v/>
      </c>
      <c r="D873" s="89" t="str">
        <f>IF(Registro!B873="","",Registro!M873)</f>
        <v/>
      </c>
      <c r="E873" s="136" t="str">
        <f>IF(A873="","",_xlfn.XLOOKUP(A873,Registro!$B$8:$B$997,Registro!$R$8:$R$997,"N/E",0))</f>
        <v/>
      </c>
      <c r="F873" s="93" t="str">
        <f t="shared" si="26"/>
        <v/>
      </c>
      <c r="G873" s="93"/>
      <c r="H873" s="136"/>
      <c r="K873" s="93"/>
      <c r="L873" s="93" t="str">
        <f t="shared" si="27"/>
        <v/>
      </c>
    </row>
    <row r="874" spans="1:12" s="89" customFormat="1">
      <c r="A874" s="89" t="str">
        <f>IF(Registro!B874="","",Registro!B874)</f>
        <v/>
      </c>
      <c r="B874" s="89" t="str">
        <f>IF(Registro!B874="","",Registro!H874)</f>
        <v/>
      </c>
      <c r="C874" s="137" t="str">
        <f>IF(Registro!B874="","",Registro!L874)</f>
        <v/>
      </c>
      <c r="D874" s="89" t="str">
        <f>IF(Registro!B874="","",Registro!M874)</f>
        <v/>
      </c>
      <c r="E874" s="136" t="str">
        <f>IF(A874="","",_xlfn.XLOOKUP(A874,Registro!$B$8:$B$997,Registro!$R$8:$R$997,"N/E",0))</f>
        <v/>
      </c>
      <c r="F874" s="93" t="str">
        <f t="shared" si="26"/>
        <v/>
      </c>
      <c r="G874" s="93"/>
      <c r="H874" s="136"/>
      <c r="K874" s="93"/>
      <c r="L874" s="93" t="str">
        <f t="shared" si="27"/>
        <v/>
      </c>
    </row>
    <row r="875" spans="1:12" s="89" customFormat="1">
      <c r="A875" s="89" t="str">
        <f>IF(Registro!B875="","",Registro!B875)</f>
        <v/>
      </c>
      <c r="B875" s="89" t="str">
        <f>IF(Registro!B875="","",Registro!H875)</f>
        <v/>
      </c>
      <c r="C875" s="137" t="str">
        <f>IF(Registro!B875="","",Registro!L875)</f>
        <v/>
      </c>
      <c r="D875" s="89" t="str">
        <f>IF(Registro!B875="","",Registro!M875)</f>
        <v/>
      </c>
      <c r="E875" s="136" t="str">
        <f>IF(A875="","",_xlfn.XLOOKUP(A875,Registro!$B$8:$B$997,Registro!$R$8:$R$997,"N/E",0))</f>
        <v/>
      </c>
      <c r="F875" s="93" t="str">
        <f t="shared" si="26"/>
        <v/>
      </c>
      <c r="G875" s="93"/>
      <c r="H875" s="136"/>
      <c r="K875" s="93"/>
      <c r="L875" s="93" t="str">
        <f t="shared" si="27"/>
        <v/>
      </c>
    </row>
    <row r="876" spans="1:12" s="89" customFormat="1">
      <c r="A876" s="89" t="str">
        <f>IF(Registro!B876="","",Registro!B876)</f>
        <v/>
      </c>
      <c r="B876" s="89" t="str">
        <f>IF(Registro!B876="","",Registro!H876)</f>
        <v/>
      </c>
      <c r="C876" s="137" t="str">
        <f>IF(Registro!B876="","",Registro!L876)</f>
        <v/>
      </c>
      <c r="D876" s="89" t="str">
        <f>IF(Registro!B876="","",Registro!M876)</f>
        <v/>
      </c>
      <c r="E876" s="136" t="str">
        <f>IF(A876="","",_xlfn.XLOOKUP(A876,Registro!$B$8:$B$997,Registro!$R$8:$R$997,"N/E",0))</f>
        <v/>
      </c>
      <c r="F876" s="93" t="str">
        <f t="shared" si="26"/>
        <v/>
      </c>
      <c r="G876" s="93"/>
      <c r="H876" s="136"/>
      <c r="K876" s="93"/>
      <c r="L876" s="93" t="str">
        <f t="shared" si="27"/>
        <v/>
      </c>
    </row>
    <row r="877" spans="1:12" s="89" customFormat="1">
      <c r="A877" s="89" t="str">
        <f>IF(Registro!B877="","",Registro!B877)</f>
        <v/>
      </c>
      <c r="B877" s="89" t="str">
        <f>IF(Registro!B877="","",Registro!H877)</f>
        <v/>
      </c>
      <c r="C877" s="137" t="str">
        <f>IF(Registro!B877="","",Registro!L877)</f>
        <v/>
      </c>
      <c r="D877" s="89" t="str">
        <f>IF(Registro!B877="","",Registro!M877)</f>
        <v/>
      </c>
      <c r="E877" s="136" t="str">
        <f>IF(A877="","",_xlfn.XLOOKUP(A877,Registro!$B$8:$B$997,Registro!$R$8:$R$997,"N/E",0))</f>
        <v/>
      </c>
      <c r="F877" s="93" t="str">
        <f t="shared" si="26"/>
        <v/>
      </c>
      <c r="G877" s="93"/>
      <c r="H877" s="136"/>
      <c r="K877" s="93"/>
      <c r="L877" s="93" t="str">
        <f t="shared" si="27"/>
        <v/>
      </c>
    </row>
    <row r="878" spans="1:12" s="89" customFormat="1">
      <c r="A878" s="89" t="str">
        <f>IF(Registro!B878="","",Registro!B878)</f>
        <v/>
      </c>
      <c r="B878" s="89" t="str">
        <f>IF(Registro!B878="","",Registro!H878)</f>
        <v/>
      </c>
      <c r="C878" s="137" t="str">
        <f>IF(Registro!B878="","",Registro!L878)</f>
        <v/>
      </c>
      <c r="D878" s="89" t="str">
        <f>IF(Registro!B878="","",Registro!M878)</f>
        <v/>
      </c>
      <c r="E878" s="136" t="str">
        <f>IF(A878="","",_xlfn.XLOOKUP(A878,Registro!$B$8:$B$997,Registro!$R$8:$R$997,"N/E",0))</f>
        <v/>
      </c>
      <c r="F878" s="93" t="str">
        <f t="shared" si="26"/>
        <v/>
      </c>
      <c r="G878" s="93"/>
      <c r="H878" s="136"/>
      <c r="K878" s="93"/>
      <c r="L878" s="93" t="str">
        <f t="shared" si="27"/>
        <v/>
      </c>
    </row>
    <row r="879" spans="1:12" s="89" customFormat="1">
      <c r="A879" s="89" t="str">
        <f>IF(Registro!B879="","",Registro!B879)</f>
        <v/>
      </c>
      <c r="B879" s="89" t="str">
        <f>IF(Registro!B879="","",Registro!H879)</f>
        <v/>
      </c>
      <c r="C879" s="137" t="str">
        <f>IF(Registro!B879="","",Registro!L879)</f>
        <v/>
      </c>
      <c r="D879" s="89" t="str">
        <f>IF(Registro!B879="","",Registro!M879)</f>
        <v/>
      </c>
      <c r="E879" s="136" t="str">
        <f>IF(A879="","",_xlfn.XLOOKUP(A879,Registro!$B$8:$B$997,Registro!$R$8:$R$997,"N/E",0))</f>
        <v/>
      </c>
      <c r="F879" s="93" t="str">
        <f t="shared" si="26"/>
        <v/>
      </c>
      <c r="G879" s="93"/>
      <c r="H879" s="136"/>
      <c r="K879" s="93"/>
      <c r="L879" s="93" t="str">
        <f t="shared" si="27"/>
        <v/>
      </c>
    </row>
    <row r="880" spans="1:12" s="89" customFormat="1">
      <c r="A880" s="89" t="str">
        <f>IF(Registro!B880="","",Registro!B880)</f>
        <v/>
      </c>
      <c r="B880" s="89" t="str">
        <f>IF(Registro!B880="","",Registro!H880)</f>
        <v/>
      </c>
      <c r="C880" s="137" t="str">
        <f>IF(Registro!B880="","",Registro!L880)</f>
        <v/>
      </c>
      <c r="D880" s="89" t="str">
        <f>IF(Registro!B880="","",Registro!M880)</f>
        <v/>
      </c>
      <c r="E880" s="136" t="str">
        <f>IF(A880="","",_xlfn.XLOOKUP(A880,Registro!$B$8:$B$997,Registro!$R$8:$R$997,"N/E",0))</f>
        <v/>
      </c>
      <c r="F880" s="93" t="str">
        <f t="shared" si="26"/>
        <v/>
      </c>
      <c r="G880" s="93"/>
      <c r="H880" s="136"/>
      <c r="K880" s="93"/>
      <c r="L880" s="93" t="str">
        <f t="shared" si="27"/>
        <v/>
      </c>
    </row>
    <row r="881" spans="1:12" s="89" customFormat="1">
      <c r="A881" s="89" t="str">
        <f>IF(Registro!B881="","",Registro!B881)</f>
        <v/>
      </c>
      <c r="B881" s="89" t="str">
        <f>IF(Registro!B881="","",Registro!H881)</f>
        <v/>
      </c>
      <c r="C881" s="137" t="str">
        <f>IF(Registro!B881="","",Registro!L881)</f>
        <v/>
      </c>
      <c r="D881" s="89" t="str">
        <f>IF(Registro!B881="","",Registro!M881)</f>
        <v/>
      </c>
      <c r="E881" s="136" t="str">
        <f>IF(A881="","",_xlfn.XLOOKUP(A881,Registro!$B$8:$B$997,Registro!$R$8:$R$997,"N/E",0))</f>
        <v/>
      </c>
      <c r="F881" s="93" t="str">
        <f t="shared" si="26"/>
        <v/>
      </c>
      <c r="G881" s="93"/>
      <c r="H881" s="136"/>
      <c r="K881" s="93"/>
      <c r="L881" s="93" t="str">
        <f t="shared" si="27"/>
        <v/>
      </c>
    </row>
    <row r="882" spans="1:12" s="89" customFormat="1">
      <c r="A882" s="89" t="str">
        <f>IF(Registro!B882="","",Registro!B882)</f>
        <v/>
      </c>
      <c r="B882" s="89" t="str">
        <f>IF(Registro!B882="","",Registro!H882)</f>
        <v/>
      </c>
      <c r="C882" s="137" t="str">
        <f>IF(Registro!B882="","",Registro!L882)</f>
        <v/>
      </c>
      <c r="D882" s="89" t="str">
        <f>IF(Registro!B882="","",Registro!M882)</f>
        <v/>
      </c>
      <c r="E882" s="136" t="str">
        <f>IF(A882="","",_xlfn.XLOOKUP(A882,Registro!$B$8:$B$997,Registro!$R$8:$R$997,"N/E",0))</f>
        <v/>
      </c>
      <c r="F882" s="93" t="str">
        <f t="shared" si="26"/>
        <v/>
      </c>
      <c r="G882" s="93"/>
      <c r="H882" s="136"/>
      <c r="K882" s="93"/>
      <c r="L882" s="93" t="str">
        <f t="shared" si="27"/>
        <v/>
      </c>
    </row>
    <row r="883" spans="1:12" s="89" customFormat="1">
      <c r="A883" s="89" t="str">
        <f>IF(Registro!B883="","",Registro!B883)</f>
        <v/>
      </c>
      <c r="B883" s="89" t="str">
        <f>IF(Registro!B883="","",Registro!H883)</f>
        <v/>
      </c>
      <c r="C883" s="137" t="str">
        <f>IF(Registro!B883="","",Registro!L883)</f>
        <v/>
      </c>
      <c r="D883" s="89" t="str">
        <f>IF(Registro!B883="","",Registro!M883)</f>
        <v/>
      </c>
      <c r="E883" s="136" t="str">
        <f>IF(A883="","",_xlfn.XLOOKUP(A883,Registro!$B$8:$B$997,Registro!$R$8:$R$997,"N/E",0))</f>
        <v/>
      </c>
      <c r="F883" s="93" t="str">
        <f t="shared" si="26"/>
        <v/>
      </c>
      <c r="G883" s="93"/>
      <c r="H883" s="136"/>
      <c r="K883" s="93"/>
      <c r="L883" s="93" t="str">
        <f t="shared" si="27"/>
        <v/>
      </c>
    </row>
    <row r="884" spans="1:12" s="89" customFormat="1">
      <c r="A884" s="89" t="str">
        <f>IF(Registro!B884="","",Registro!B884)</f>
        <v/>
      </c>
      <c r="B884" s="89" t="str">
        <f>IF(Registro!B884="","",Registro!H884)</f>
        <v/>
      </c>
      <c r="C884" s="137" t="str">
        <f>IF(Registro!B884="","",Registro!L884)</f>
        <v/>
      </c>
      <c r="D884" s="89" t="str">
        <f>IF(Registro!B884="","",Registro!M884)</f>
        <v/>
      </c>
      <c r="E884" s="136" t="str">
        <f>IF(A884="","",_xlfn.XLOOKUP(A884,Registro!$B$8:$B$997,Registro!$R$8:$R$997,"N/E",0))</f>
        <v/>
      </c>
      <c r="F884" s="93" t="str">
        <f t="shared" si="26"/>
        <v/>
      </c>
      <c r="G884" s="93"/>
      <c r="H884" s="136"/>
      <c r="K884" s="93"/>
      <c r="L884" s="93" t="str">
        <f t="shared" si="27"/>
        <v/>
      </c>
    </row>
    <row r="885" spans="1:12" s="89" customFormat="1">
      <c r="A885" s="89" t="str">
        <f>IF(Registro!B885="","",Registro!B885)</f>
        <v/>
      </c>
      <c r="B885" s="89" t="str">
        <f>IF(Registro!B885="","",Registro!H885)</f>
        <v/>
      </c>
      <c r="C885" s="137" t="str">
        <f>IF(Registro!B885="","",Registro!L885)</f>
        <v/>
      </c>
      <c r="D885" s="89" t="str">
        <f>IF(Registro!B885="","",Registro!M885)</f>
        <v/>
      </c>
      <c r="E885" s="136" t="str">
        <f>IF(A885="","",_xlfn.XLOOKUP(A885,Registro!$B$8:$B$997,Registro!$R$8:$R$997,"N/E",0))</f>
        <v/>
      </c>
      <c r="F885" s="93" t="str">
        <f t="shared" si="26"/>
        <v/>
      </c>
      <c r="G885" s="93"/>
      <c r="H885" s="136"/>
      <c r="K885" s="93"/>
      <c r="L885" s="93" t="str">
        <f t="shared" si="27"/>
        <v/>
      </c>
    </row>
    <row r="886" spans="1:12" s="89" customFormat="1">
      <c r="A886" s="89" t="str">
        <f>IF(Registro!B886="","",Registro!B886)</f>
        <v/>
      </c>
      <c r="B886" s="89" t="str">
        <f>IF(Registro!B886="","",Registro!H886)</f>
        <v/>
      </c>
      <c r="C886" s="137" t="str">
        <f>IF(Registro!B886="","",Registro!L886)</f>
        <v/>
      </c>
      <c r="D886" s="89" t="str">
        <f>IF(Registro!B886="","",Registro!M886)</f>
        <v/>
      </c>
      <c r="E886" s="136" t="str">
        <f>IF(A886="","",_xlfn.XLOOKUP(A886,Registro!$B$8:$B$997,Registro!$R$8:$R$997,"N/E",0))</f>
        <v/>
      </c>
      <c r="F886" s="93" t="str">
        <f t="shared" si="26"/>
        <v/>
      </c>
      <c r="G886" s="93"/>
      <c r="H886" s="136"/>
      <c r="K886" s="93"/>
      <c r="L886" s="93" t="str">
        <f t="shared" si="27"/>
        <v/>
      </c>
    </row>
    <row r="887" spans="1:12" s="89" customFormat="1">
      <c r="A887" s="89" t="str">
        <f>IF(Registro!B887="","",Registro!B887)</f>
        <v/>
      </c>
      <c r="B887" s="89" t="str">
        <f>IF(Registro!B887="","",Registro!H887)</f>
        <v/>
      </c>
      <c r="C887" s="137" t="str">
        <f>IF(Registro!B887="","",Registro!L887)</f>
        <v/>
      </c>
      <c r="D887" s="89" t="str">
        <f>IF(Registro!B887="","",Registro!M887)</f>
        <v/>
      </c>
      <c r="E887" s="136" t="str">
        <f>IF(A887="","",_xlfn.XLOOKUP(A887,Registro!$B$8:$B$997,Registro!$R$8:$R$997,"N/E",0))</f>
        <v/>
      </c>
      <c r="F887" s="93" t="str">
        <f t="shared" si="26"/>
        <v/>
      </c>
      <c r="G887" s="93"/>
      <c r="H887" s="136"/>
      <c r="K887" s="93"/>
      <c r="L887" s="93" t="str">
        <f t="shared" si="27"/>
        <v/>
      </c>
    </row>
    <row r="888" spans="1:12" s="89" customFormat="1">
      <c r="A888" s="89" t="str">
        <f>IF(Registro!B888="","",Registro!B888)</f>
        <v/>
      </c>
      <c r="B888" s="89" t="str">
        <f>IF(Registro!B888="","",Registro!H888)</f>
        <v/>
      </c>
      <c r="C888" s="137" t="str">
        <f>IF(Registro!B888="","",Registro!L888)</f>
        <v/>
      </c>
      <c r="D888" s="89" t="str">
        <f>IF(Registro!B888="","",Registro!M888)</f>
        <v/>
      </c>
      <c r="E888" s="136" t="str">
        <f>IF(A888="","",_xlfn.XLOOKUP(A888,Registro!$B$8:$B$997,Registro!$R$8:$R$997,"N/E",0))</f>
        <v/>
      </c>
      <c r="F888" s="93" t="str">
        <f t="shared" si="26"/>
        <v/>
      </c>
      <c r="G888" s="93"/>
      <c r="H888" s="136"/>
      <c r="K888" s="93"/>
      <c r="L888" s="93" t="str">
        <f t="shared" si="27"/>
        <v/>
      </c>
    </row>
    <row r="889" spans="1:12" s="89" customFormat="1">
      <c r="A889" s="89" t="str">
        <f>IF(Registro!B889="","",Registro!B889)</f>
        <v/>
      </c>
      <c r="B889" s="89" t="str">
        <f>IF(Registro!B889="","",Registro!H889)</f>
        <v/>
      </c>
      <c r="C889" s="137" t="str">
        <f>IF(Registro!B889="","",Registro!L889)</f>
        <v/>
      </c>
      <c r="D889" s="89" t="str">
        <f>IF(Registro!B889="","",Registro!M889)</f>
        <v/>
      </c>
      <c r="E889" s="136" t="str">
        <f>IF(A889="","",_xlfn.XLOOKUP(A889,Registro!$B$8:$B$997,Registro!$R$8:$R$997,"N/E",0))</f>
        <v/>
      </c>
      <c r="F889" s="93" t="str">
        <f t="shared" si="26"/>
        <v/>
      </c>
      <c r="G889" s="93"/>
      <c r="H889" s="136"/>
      <c r="K889" s="93"/>
      <c r="L889" s="93" t="str">
        <f t="shared" si="27"/>
        <v/>
      </c>
    </row>
    <row r="890" spans="1:12" s="89" customFormat="1">
      <c r="A890" s="89" t="str">
        <f>IF(Registro!B890="","",Registro!B890)</f>
        <v/>
      </c>
      <c r="B890" s="89" t="str">
        <f>IF(Registro!B890="","",Registro!H890)</f>
        <v/>
      </c>
      <c r="C890" s="137" t="str">
        <f>IF(Registro!B890="","",Registro!L890)</f>
        <v/>
      </c>
      <c r="D890" s="89" t="str">
        <f>IF(Registro!B890="","",Registro!M890)</f>
        <v/>
      </c>
      <c r="E890" s="136" t="str">
        <f>IF(A890="","",_xlfn.XLOOKUP(A890,Registro!$B$8:$B$997,Registro!$R$8:$R$997,"N/E",0))</f>
        <v/>
      </c>
      <c r="F890" s="93" t="str">
        <f t="shared" si="26"/>
        <v/>
      </c>
      <c r="G890" s="93"/>
      <c r="H890" s="136"/>
      <c r="K890" s="93"/>
      <c r="L890" s="93" t="str">
        <f t="shared" si="27"/>
        <v/>
      </c>
    </row>
    <row r="891" spans="1:12" s="89" customFormat="1">
      <c r="A891" s="89" t="str">
        <f>IF(Registro!B891="","",Registro!B891)</f>
        <v/>
      </c>
      <c r="B891" s="89" t="str">
        <f>IF(Registro!B891="","",Registro!H891)</f>
        <v/>
      </c>
      <c r="C891" s="137" t="str">
        <f>IF(Registro!B891="","",Registro!L891)</f>
        <v/>
      </c>
      <c r="D891" s="89" t="str">
        <f>IF(Registro!B891="","",Registro!M891)</f>
        <v/>
      </c>
      <c r="E891" s="136" t="str">
        <f>IF(A891="","",_xlfn.XLOOKUP(A891,Registro!$B$8:$B$997,Registro!$R$8:$R$997,"N/E",0))</f>
        <v/>
      </c>
      <c r="F891" s="93" t="str">
        <f t="shared" si="26"/>
        <v/>
      </c>
      <c r="G891" s="93"/>
      <c r="H891" s="136"/>
      <c r="K891" s="93"/>
      <c r="L891" s="93" t="str">
        <f t="shared" si="27"/>
        <v/>
      </c>
    </row>
    <row r="892" spans="1:12" s="89" customFormat="1">
      <c r="A892" s="89" t="str">
        <f>IF(Registro!B892="","",Registro!B892)</f>
        <v/>
      </c>
      <c r="B892" s="89" t="str">
        <f>IF(Registro!B892="","",Registro!H892)</f>
        <v/>
      </c>
      <c r="C892" s="137" t="str">
        <f>IF(Registro!B892="","",Registro!L892)</f>
        <v/>
      </c>
      <c r="D892" s="89" t="str">
        <f>IF(Registro!B892="","",Registro!M892)</f>
        <v/>
      </c>
      <c r="E892" s="136" t="str">
        <f>IF(A892="","",_xlfn.XLOOKUP(A892,Registro!$B$8:$B$997,Registro!$R$8:$R$997,"N/E",0))</f>
        <v/>
      </c>
      <c r="F892" s="93" t="str">
        <f t="shared" si="26"/>
        <v/>
      </c>
      <c r="G892" s="93"/>
      <c r="H892" s="136"/>
      <c r="K892" s="93"/>
      <c r="L892" s="93" t="str">
        <f t="shared" si="27"/>
        <v/>
      </c>
    </row>
    <row r="893" spans="1:12" s="89" customFormat="1">
      <c r="A893" s="89" t="str">
        <f>IF(Registro!B893="","",Registro!B893)</f>
        <v/>
      </c>
      <c r="B893" s="89" t="str">
        <f>IF(Registro!B893="","",Registro!H893)</f>
        <v/>
      </c>
      <c r="C893" s="137" t="str">
        <f>IF(Registro!B893="","",Registro!L893)</f>
        <v/>
      </c>
      <c r="D893" s="89" t="str">
        <f>IF(Registro!B893="","",Registro!M893)</f>
        <v/>
      </c>
      <c r="E893" s="136" t="str">
        <f>IF(A893="","",_xlfn.XLOOKUP(A893,Registro!$B$8:$B$997,Registro!$R$8:$R$997,"N/E",0))</f>
        <v/>
      </c>
      <c r="F893" s="93" t="str">
        <f t="shared" si="26"/>
        <v/>
      </c>
      <c r="G893" s="93"/>
      <c r="H893" s="136"/>
      <c r="K893" s="93"/>
      <c r="L893" s="93" t="str">
        <f t="shared" si="27"/>
        <v/>
      </c>
    </row>
    <row r="894" spans="1:12" s="89" customFormat="1">
      <c r="A894" s="89" t="str">
        <f>IF(Registro!B894="","",Registro!B894)</f>
        <v/>
      </c>
      <c r="B894" s="89" t="str">
        <f>IF(Registro!B894="","",Registro!H894)</f>
        <v/>
      </c>
      <c r="C894" s="137" t="str">
        <f>IF(Registro!B894="","",Registro!L894)</f>
        <v/>
      </c>
      <c r="D894" s="89" t="str">
        <f>IF(Registro!B894="","",Registro!M894)</f>
        <v/>
      </c>
      <c r="E894" s="136" t="str">
        <f>IF(A894="","",_xlfn.XLOOKUP(A894,Registro!$B$8:$B$997,Registro!$R$8:$R$997,"N/E",0))</f>
        <v/>
      </c>
      <c r="F894" s="93" t="str">
        <f t="shared" si="26"/>
        <v/>
      </c>
      <c r="G894" s="93"/>
      <c r="H894" s="136"/>
      <c r="K894" s="93"/>
      <c r="L894" s="93" t="str">
        <f t="shared" si="27"/>
        <v/>
      </c>
    </row>
    <row r="895" spans="1:12" s="89" customFormat="1">
      <c r="A895" s="89" t="str">
        <f>IF(Registro!B895="","",Registro!B895)</f>
        <v/>
      </c>
      <c r="B895" s="89" t="str">
        <f>IF(Registro!B895="","",Registro!H895)</f>
        <v/>
      </c>
      <c r="C895" s="137" t="str">
        <f>IF(Registro!B895="","",Registro!L895)</f>
        <v/>
      </c>
      <c r="D895" s="89" t="str">
        <f>IF(Registro!B895="","",Registro!M895)</f>
        <v/>
      </c>
      <c r="E895" s="136" t="str">
        <f>IF(A895="","",_xlfn.XLOOKUP(A895,Registro!$B$8:$B$997,Registro!$R$8:$R$997,"N/E",0))</f>
        <v/>
      </c>
      <c r="F895" s="93" t="str">
        <f t="shared" si="26"/>
        <v/>
      </c>
      <c r="G895" s="93"/>
      <c r="H895" s="136"/>
      <c r="K895" s="93"/>
      <c r="L895" s="93" t="str">
        <f t="shared" si="27"/>
        <v/>
      </c>
    </row>
    <row r="896" spans="1:12" s="89" customFormat="1">
      <c r="A896" s="89" t="str">
        <f>IF(Registro!B896="","",Registro!B896)</f>
        <v/>
      </c>
      <c r="B896" s="89" t="str">
        <f>IF(Registro!B896="","",Registro!H896)</f>
        <v/>
      </c>
      <c r="C896" s="137" t="str">
        <f>IF(Registro!B896="","",Registro!L896)</f>
        <v/>
      </c>
      <c r="D896" s="89" t="str">
        <f>IF(Registro!B896="","",Registro!M896)</f>
        <v/>
      </c>
      <c r="E896" s="136" t="str">
        <f>IF(A896="","",_xlfn.XLOOKUP(A896,Registro!$B$8:$B$997,Registro!$R$8:$R$997,"N/E",0))</f>
        <v/>
      </c>
      <c r="F896" s="93" t="str">
        <f t="shared" si="26"/>
        <v/>
      </c>
      <c r="G896" s="93"/>
      <c r="H896" s="136"/>
      <c r="K896" s="93"/>
      <c r="L896" s="93" t="str">
        <f t="shared" si="27"/>
        <v/>
      </c>
    </row>
    <row r="897" spans="1:12" s="89" customFormat="1">
      <c r="A897" s="89" t="str">
        <f>IF(Registro!B897="","",Registro!B897)</f>
        <v/>
      </c>
      <c r="B897" s="89" t="str">
        <f>IF(Registro!B897="","",Registro!H897)</f>
        <v/>
      </c>
      <c r="C897" s="137" t="str">
        <f>IF(Registro!B897="","",Registro!L897)</f>
        <v/>
      </c>
      <c r="D897" s="89" t="str">
        <f>IF(Registro!B897="","",Registro!M897)</f>
        <v/>
      </c>
      <c r="E897" s="136" t="str">
        <f>IF(A897="","",_xlfn.XLOOKUP(A897,Registro!$B$8:$B$997,Registro!$R$8:$R$997,"N/E",0))</f>
        <v/>
      </c>
      <c r="F897" s="93" t="str">
        <f t="shared" si="26"/>
        <v/>
      </c>
      <c r="G897" s="93"/>
      <c r="H897" s="136"/>
      <c r="K897" s="93"/>
      <c r="L897" s="93" t="str">
        <f t="shared" si="27"/>
        <v/>
      </c>
    </row>
    <row r="898" spans="1:12" s="89" customFormat="1">
      <c r="A898" s="89" t="str">
        <f>IF(Registro!B898="","",Registro!B898)</f>
        <v/>
      </c>
      <c r="B898" s="89" t="str">
        <f>IF(Registro!B898="","",Registro!H898)</f>
        <v/>
      </c>
      <c r="C898" s="137" t="str">
        <f>IF(Registro!B898="","",Registro!L898)</f>
        <v/>
      </c>
      <c r="D898" s="89" t="str">
        <f>IF(Registro!B898="","",Registro!M898)</f>
        <v/>
      </c>
      <c r="E898" s="136" t="str">
        <f>IF(A898="","",_xlfn.XLOOKUP(A898,Registro!$B$8:$B$997,Registro!$R$8:$R$997,"N/E",0))</f>
        <v/>
      </c>
      <c r="F898" s="93" t="str">
        <f t="shared" si="26"/>
        <v/>
      </c>
      <c r="G898" s="93"/>
      <c r="H898" s="136"/>
      <c r="K898" s="93"/>
      <c r="L898" s="93" t="str">
        <f t="shared" si="27"/>
        <v/>
      </c>
    </row>
    <row r="899" spans="1:12" s="89" customFormat="1">
      <c r="A899" s="89" t="str">
        <f>IF(Registro!B899="","",Registro!B899)</f>
        <v/>
      </c>
      <c r="B899" s="89" t="str">
        <f>IF(Registro!B899="","",Registro!H899)</f>
        <v/>
      </c>
      <c r="C899" s="137" t="str">
        <f>IF(Registro!B899="","",Registro!L899)</f>
        <v/>
      </c>
      <c r="D899" s="89" t="str">
        <f>IF(Registro!B899="","",Registro!M899)</f>
        <v/>
      </c>
      <c r="E899" s="136" t="str">
        <f>IF(A899="","",_xlfn.XLOOKUP(A899,Registro!$B$8:$B$997,Registro!$R$8:$R$997,"N/E",0))</f>
        <v/>
      </c>
      <c r="F899" s="93" t="str">
        <f t="shared" si="26"/>
        <v/>
      </c>
      <c r="G899" s="93"/>
      <c r="H899" s="136"/>
      <c r="K899" s="93"/>
      <c r="L899" s="93" t="str">
        <f t="shared" si="27"/>
        <v/>
      </c>
    </row>
    <row r="900" spans="1:12" s="89" customFormat="1">
      <c r="A900" s="89" t="str">
        <f>IF(Registro!B900="","",Registro!B900)</f>
        <v/>
      </c>
      <c r="B900" s="89" t="str">
        <f>IF(Registro!B900="","",Registro!H900)</f>
        <v/>
      </c>
      <c r="C900" s="137" t="str">
        <f>IF(Registro!B900="","",Registro!L900)</f>
        <v/>
      </c>
      <c r="D900" s="89" t="str">
        <f>IF(Registro!B900="","",Registro!M900)</f>
        <v/>
      </c>
      <c r="E900" s="136" t="str">
        <f>IF(A900="","",_xlfn.XLOOKUP(A900,Registro!$B$8:$B$997,Registro!$R$8:$R$997,"N/E",0))</f>
        <v/>
      </c>
      <c r="F900" s="93" t="str">
        <f t="shared" si="26"/>
        <v/>
      </c>
      <c r="G900" s="93"/>
      <c r="H900" s="136"/>
      <c r="K900" s="93"/>
      <c r="L900" s="93" t="str">
        <f t="shared" si="27"/>
        <v/>
      </c>
    </row>
    <row r="901" spans="1:12" s="89" customFormat="1">
      <c r="A901" s="89" t="str">
        <f>IF(Registro!B901="","",Registro!B901)</f>
        <v/>
      </c>
      <c r="B901" s="89" t="str">
        <f>IF(Registro!B901="","",Registro!H901)</f>
        <v/>
      </c>
      <c r="C901" s="137" t="str">
        <f>IF(Registro!B901="","",Registro!L901)</f>
        <v/>
      </c>
      <c r="D901" s="89" t="str">
        <f>IF(Registro!B901="","",Registro!M901)</f>
        <v/>
      </c>
      <c r="E901" s="136" t="str">
        <f>IF(A901="","",_xlfn.XLOOKUP(A901,Registro!$B$8:$B$997,Registro!$R$8:$R$997,"N/E",0))</f>
        <v/>
      </c>
      <c r="F901" s="93" t="str">
        <f t="shared" si="26"/>
        <v/>
      </c>
      <c r="G901" s="93"/>
      <c r="H901" s="136"/>
      <c r="K901" s="93"/>
      <c r="L901" s="93" t="str">
        <f t="shared" si="27"/>
        <v/>
      </c>
    </row>
    <row r="902" spans="1:12" s="89" customFormat="1">
      <c r="A902" s="89" t="str">
        <f>IF(Registro!B902="","",Registro!B902)</f>
        <v/>
      </c>
      <c r="B902" s="89" t="str">
        <f>IF(Registro!B902="","",Registro!H902)</f>
        <v/>
      </c>
      <c r="C902" s="137" t="str">
        <f>IF(Registro!B902="","",Registro!L902)</f>
        <v/>
      </c>
      <c r="D902" s="89" t="str">
        <f>IF(Registro!B902="","",Registro!M902)</f>
        <v/>
      </c>
      <c r="E902" s="136" t="str">
        <f>IF(A902="","",_xlfn.XLOOKUP(A902,Registro!$B$8:$B$997,Registro!$R$8:$R$997,"N/E",0))</f>
        <v/>
      </c>
      <c r="F902" s="93" t="str">
        <f t="shared" si="26"/>
        <v/>
      </c>
      <c r="G902" s="93"/>
      <c r="H902" s="136"/>
      <c r="K902" s="93"/>
      <c r="L902" s="93" t="str">
        <f t="shared" si="27"/>
        <v/>
      </c>
    </row>
    <row r="903" spans="1:12" s="89" customFormat="1">
      <c r="A903" s="89" t="str">
        <f>IF(Registro!B903="","",Registro!B903)</f>
        <v/>
      </c>
      <c r="B903" s="89" t="str">
        <f>IF(Registro!B903="","",Registro!H903)</f>
        <v/>
      </c>
      <c r="C903" s="137" t="str">
        <f>IF(Registro!B903="","",Registro!L903)</f>
        <v/>
      </c>
      <c r="D903" s="89" t="str">
        <f>IF(Registro!B903="","",Registro!M903)</f>
        <v/>
      </c>
      <c r="E903" s="136" t="str">
        <f>IF(A903="","",_xlfn.XLOOKUP(A903,Registro!$B$8:$B$997,Registro!$R$8:$R$997,"N/E",0))</f>
        <v/>
      </c>
      <c r="F903" s="93" t="str">
        <f t="shared" si="26"/>
        <v/>
      </c>
      <c r="G903" s="93"/>
      <c r="H903" s="136"/>
      <c r="K903" s="93"/>
      <c r="L903" s="93" t="str">
        <f t="shared" si="27"/>
        <v/>
      </c>
    </row>
    <row r="904" spans="1:12" s="89" customFormat="1">
      <c r="A904" s="89" t="str">
        <f>IF(Registro!B904="","",Registro!B904)</f>
        <v/>
      </c>
      <c r="B904" s="89" t="str">
        <f>IF(Registro!B904="","",Registro!H904)</f>
        <v/>
      </c>
      <c r="C904" s="137" t="str">
        <f>IF(Registro!B904="","",Registro!L904)</f>
        <v/>
      </c>
      <c r="D904" s="89" t="str">
        <f>IF(Registro!B904="","",Registro!M904)</f>
        <v/>
      </c>
      <c r="E904" s="136" t="str">
        <f>IF(A904="","",_xlfn.XLOOKUP(A904,Registro!$B$8:$B$997,Registro!$R$8:$R$997,"N/E",0))</f>
        <v/>
      </c>
      <c r="F904" s="93" t="str">
        <f t="shared" ref="F904:F967" si="28">IF(A904="","",NETWORKDAYS.INTL(C904,E904,1))</f>
        <v/>
      </c>
      <c r="G904" s="93"/>
      <c r="H904" s="136"/>
      <c r="K904" s="93"/>
      <c r="L904" s="93" t="str">
        <f t="shared" si="27"/>
        <v/>
      </c>
    </row>
    <row r="905" spans="1:12" s="89" customFormat="1">
      <c r="A905" s="89" t="str">
        <f>IF(Registro!B905="","",Registro!B905)</f>
        <v/>
      </c>
      <c r="B905" s="89" t="str">
        <f>IF(Registro!B905="","",Registro!H905)</f>
        <v/>
      </c>
      <c r="C905" s="137" t="str">
        <f>IF(Registro!B905="","",Registro!L905)</f>
        <v/>
      </c>
      <c r="D905" s="89" t="str">
        <f>IF(Registro!B905="","",Registro!M905)</f>
        <v/>
      </c>
      <c r="E905" s="136" t="str">
        <f>IF(A905="","",_xlfn.XLOOKUP(A905,Registro!$B$8:$B$997,Registro!$R$8:$R$997,"N/E",0))</f>
        <v/>
      </c>
      <c r="F905" s="93" t="str">
        <f t="shared" si="28"/>
        <v/>
      </c>
      <c r="G905" s="93"/>
      <c r="H905" s="136"/>
      <c r="K905" s="93"/>
      <c r="L905" s="93" t="str">
        <f t="shared" si="27"/>
        <v/>
      </c>
    </row>
    <row r="906" spans="1:12" s="89" customFormat="1">
      <c r="A906" s="89" t="str">
        <f>IF(Registro!B906="","",Registro!B906)</f>
        <v/>
      </c>
      <c r="B906" s="89" t="str">
        <f>IF(Registro!B906="","",Registro!H906)</f>
        <v/>
      </c>
      <c r="C906" s="137" t="str">
        <f>IF(Registro!B906="","",Registro!L906)</f>
        <v/>
      </c>
      <c r="D906" s="89" t="str">
        <f>IF(Registro!B906="","",Registro!M906)</f>
        <v/>
      </c>
      <c r="E906" s="136" t="str">
        <f>IF(A906="","",_xlfn.XLOOKUP(A906,Registro!$B$8:$B$997,Registro!$R$8:$R$997,"N/E",0))</f>
        <v/>
      </c>
      <c r="F906" s="93" t="str">
        <f t="shared" si="28"/>
        <v/>
      </c>
      <c r="G906" s="93"/>
      <c r="H906" s="136"/>
      <c r="K906" s="93"/>
      <c r="L906" s="93" t="str">
        <f t="shared" si="27"/>
        <v/>
      </c>
    </row>
    <row r="907" spans="1:12" s="89" customFormat="1">
      <c r="A907" s="89" t="str">
        <f>IF(Registro!B907="","",Registro!B907)</f>
        <v/>
      </c>
      <c r="B907" s="89" t="str">
        <f>IF(Registro!B907="","",Registro!H907)</f>
        <v/>
      </c>
      <c r="C907" s="137" t="str">
        <f>IF(Registro!B907="","",Registro!L907)</f>
        <v/>
      </c>
      <c r="D907" s="89" t="str">
        <f>IF(Registro!B907="","",Registro!M907)</f>
        <v/>
      </c>
      <c r="E907" s="136" t="str">
        <f>IF(A907="","",_xlfn.XLOOKUP(A907,Registro!$B$8:$B$997,Registro!$R$8:$R$997,"N/E",0))</f>
        <v/>
      </c>
      <c r="F907" s="93" t="str">
        <f t="shared" si="28"/>
        <v/>
      </c>
      <c r="G907" s="93"/>
      <c r="H907" s="136"/>
      <c r="K907" s="93"/>
      <c r="L907" s="93" t="str">
        <f t="shared" si="27"/>
        <v/>
      </c>
    </row>
    <row r="908" spans="1:12" s="89" customFormat="1">
      <c r="A908" s="89" t="str">
        <f>IF(Registro!B908="","",Registro!B908)</f>
        <v/>
      </c>
      <c r="B908" s="89" t="str">
        <f>IF(Registro!B908="","",Registro!H908)</f>
        <v/>
      </c>
      <c r="C908" s="137" t="str">
        <f>IF(Registro!B908="","",Registro!L908)</f>
        <v/>
      </c>
      <c r="D908" s="89" t="str">
        <f>IF(Registro!B908="","",Registro!M908)</f>
        <v/>
      </c>
      <c r="E908" s="136" t="str">
        <f>IF(A908="","",_xlfn.XLOOKUP(A908,Registro!$B$8:$B$997,Registro!$R$8:$R$997,"N/E",0))</f>
        <v/>
      </c>
      <c r="F908" s="93" t="str">
        <f t="shared" si="28"/>
        <v/>
      </c>
      <c r="G908" s="93"/>
      <c r="H908" s="136"/>
      <c r="K908" s="93"/>
      <c r="L908" s="93" t="str">
        <f t="shared" si="27"/>
        <v/>
      </c>
    </row>
    <row r="909" spans="1:12" s="89" customFormat="1">
      <c r="A909" s="89" t="str">
        <f>IF(Registro!B909="","",Registro!B909)</f>
        <v/>
      </c>
      <c r="B909" s="89" t="str">
        <f>IF(Registro!B909="","",Registro!H909)</f>
        <v/>
      </c>
      <c r="C909" s="137" t="str">
        <f>IF(Registro!B909="","",Registro!L909)</f>
        <v/>
      </c>
      <c r="D909" s="89" t="str">
        <f>IF(Registro!B909="","",Registro!M909)</f>
        <v/>
      </c>
      <c r="E909" s="136" t="str">
        <f>IF(A909="","",_xlfn.XLOOKUP(A909,Registro!$B$8:$B$997,Registro!$R$8:$R$997,"N/E",0))</f>
        <v/>
      </c>
      <c r="F909" s="93" t="str">
        <f t="shared" si="28"/>
        <v/>
      </c>
      <c r="G909" s="93"/>
      <c r="H909" s="136"/>
      <c r="K909" s="93"/>
      <c r="L909" s="93" t="str">
        <f t="shared" si="27"/>
        <v/>
      </c>
    </row>
    <row r="910" spans="1:12" s="89" customFormat="1">
      <c r="A910" s="89" t="str">
        <f>IF(Registro!B910="","",Registro!B910)</f>
        <v/>
      </c>
      <c r="B910" s="89" t="str">
        <f>IF(Registro!B910="","",Registro!H910)</f>
        <v/>
      </c>
      <c r="C910" s="137" t="str">
        <f>IF(Registro!B910="","",Registro!L910)</f>
        <v/>
      </c>
      <c r="D910" s="89" t="str">
        <f>IF(Registro!B910="","",Registro!M910)</f>
        <v/>
      </c>
      <c r="E910" s="136" t="str">
        <f>IF(A910="","",_xlfn.XLOOKUP(A910,Registro!$B$8:$B$997,Registro!$R$8:$R$997,"N/E",0))</f>
        <v/>
      </c>
      <c r="F910" s="93" t="str">
        <f t="shared" si="28"/>
        <v/>
      </c>
      <c r="G910" s="93"/>
      <c r="H910" s="136"/>
      <c r="K910" s="93"/>
      <c r="L910" s="93" t="str">
        <f t="shared" si="27"/>
        <v/>
      </c>
    </row>
    <row r="911" spans="1:12" s="89" customFormat="1">
      <c r="A911" s="89" t="str">
        <f>IF(Registro!B911="","",Registro!B911)</f>
        <v/>
      </c>
      <c r="B911" s="89" t="str">
        <f>IF(Registro!B911="","",Registro!H911)</f>
        <v/>
      </c>
      <c r="C911" s="137" t="str">
        <f>IF(Registro!B911="","",Registro!L911)</f>
        <v/>
      </c>
      <c r="D911" s="89" t="str">
        <f>IF(Registro!B911="","",Registro!M911)</f>
        <v/>
      </c>
      <c r="E911" s="136" t="str">
        <f>IF(A911="","",_xlfn.XLOOKUP(A911,Registro!$B$8:$B$997,Registro!$R$8:$R$997,"N/E",0))</f>
        <v/>
      </c>
      <c r="F911" s="93" t="str">
        <f t="shared" si="28"/>
        <v/>
      </c>
      <c r="G911" s="93"/>
      <c r="H911" s="136"/>
      <c r="K911" s="93"/>
      <c r="L911" s="93" t="str">
        <f t="shared" si="27"/>
        <v/>
      </c>
    </row>
    <row r="912" spans="1:12" s="89" customFormat="1">
      <c r="A912" s="89" t="str">
        <f>IF(Registro!B912="","",Registro!B912)</f>
        <v/>
      </c>
      <c r="B912" s="89" t="str">
        <f>IF(Registro!B912="","",Registro!H912)</f>
        <v/>
      </c>
      <c r="C912" s="137" t="str">
        <f>IF(Registro!B912="","",Registro!L912)</f>
        <v/>
      </c>
      <c r="D912" s="89" t="str">
        <f>IF(Registro!B912="","",Registro!M912)</f>
        <v/>
      </c>
      <c r="E912" s="136" t="str">
        <f>IF(A912="","",_xlfn.XLOOKUP(A912,Registro!$B$8:$B$997,Registro!$R$8:$R$997,"N/E",0))</f>
        <v/>
      </c>
      <c r="F912" s="93" t="str">
        <f t="shared" si="28"/>
        <v/>
      </c>
      <c r="G912" s="93"/>
      <c r="H912" s="136"/>
      <c r="K912" s="93"/>
      <c r="L912" s="93" t="str">
        <f t="shared" si="27"/>
        <v/>
      </c>
    </row>
    <row r="913" spans="1:12" s="89" customFormat="1">
      <c r="A913" s="89" t="str">
        <f>IF(Registro!B913="","",Registro!B913)</f>
        <v/>
      </c>
      <c r="B913" s="89" t="str">
        <f>IF(Registro!B913="","",Registro!H913)</f>
        <v/>
      </c>
      <c r="C913" s="137" t="str">
        <f>IF(Registro!B913="","",Registro!L913)</f>
        <v/>
      </c>
      <c r="D913" s="89" t="str">
        <f>IF(Registro!B913="","",Registro!M913)</f>
        <v/>
      </c>
      <c r="E913" s="136" t="str">
        <f>IF(A913="","",_xlfn.XLOOKUP(A913,Registro!$B$8:$B$997,Registro!$R$8:$R$997,"N/E",0))</f>
        <v/>
      </c>
      <c r="F913" s="93" t="str">
        <f t="shared" si="28"/>
        <v/>
      </c>
      <c r="G913" s="93"/>
      <c r="H913" s="136"/>
      <c r="K913" s="93"/>
      <c r="L913" s="93" t="str">
        <f t="shared" si="27"/>
        <v/>
      </c>
    </row>
    <row r="914" spans="1:12" s="89" customFormat="1">
      <c r="A914" s="89" t="str">
        <f>IF(Registro!B914="","",Registro!B914)</f>
        <v/>
      </c>
      <c r="B914" s="89" t="str">
        <f>IF(Registro!B914="","",Registro!H914)</f>
        <v/>
      </c>
      <c r="C914" s="137" t="str">
        <f>IF(Registro!B914="","",Registro!L914)</f>
        <v/>
      </c>
      <c r="D914" s="89" t="str">
        <f>IF(Registro!B914="","",Registro!M914)</f>
        <v/>
      </c>
      <c r="E914" s="136" t="str">
        <f>IF(A914="","",_xlfn.XLOOKUP(A914,Registro!$B$8:$B$997,Registro!$R$8:$R$997,"N/E",0))</f>
        <v/>
      </c>
      <c r="F914" s="93" t="str">
        <f t="shared" si="28"/>
        <v/>
      </c>
      <c r="G914" s="93"/>
      <c r="H914" s="136"/>
      <c r="K914" s="93"/>
      <c r="L914" s="93" t="str">
        <f t="shared" ref="L914:L977" si="29">IF(OR(K914="N/A",K914=""),"",NETWORKDAYS(C914,K914))</f>
        <v/>
      </c>
    </row>
    <row r="915" spans="1:12" s="89" customFormat="1">
      <c r="A915" s="89" t="str">
        <f>IF(Registro!B915="","",Registro!B915)</f>
        <v/>
      </c>
      <c r="B915" s="89" t="str">
        <f>IF(Registro!B915="","",Registro!H915)</f>
        <v/>
      </c>
      <c r="C915" s="137" t="str">
        <f>IF(Registro!B915="","",Registro!L915)</f>
        <v/>
      </c>
      <c r="D915" s="89" t="str">
        <f>IF(Registro!B915="","",Registro!M915)</f>
        <v/>
      </c>
      <c r="E915" s="136" t="str">
        <f>IF(A915="","",_xlfn.XLOOKUP(A915,Registro!$B$8:$B$997,Registro!$R$8:$R$997,"N/E",0))</f>
        <v/>
      </c>
      <c r="F915" s="93" t="str">
        <f t="shared" si="28"/>
        <v/>
      </c>
      <c r="G915" s="93"/>
      <c r="H915" s="136"/>
      <c r="K915" s="93"/>
      <c r="L915" s="93" t="str">
        <f t="shared" si="29"/>
        <v/>
      </c>
    </row>
    <row r="916" spans="1:12" s="89" customFormat="1">
      <c r="A916" s="89" t="str">
        <f>IF(Registro!B916="","",Registro!B916)</f>
        <v/>
      </c>
      <c r="B916" s="89" t="str">
        <f>IF(Registro!B916="","",Registro!H916)</f>
        <v/>
      </c>
      <c r="C916" s="137" t="str">
        <f>IF(Registro!B916="","",Registro!L916)</f>
        <v/>
      </c>
      <c r="D916" s="89" t="str">
        <f>IF(Registro!B916="","",Registro!M916)</f>
        <v/>
      </c>
      <c r="E916" s="136" t="str">
        <f>IF(A916="","",_xlfn.XLOOKUP(A916,Registro!$B$8:$B$997,Registro!$R$8:$R$997,"N/E",0))</f>
        <v/>
      </c>
      <c r="F916" s="93" t="str">
        <f t="shared" si="28"/>
        <v/>
      </c>
      <c r="G916" s="93"/>
      <c r="H916" s="136"/>
      <c r="K916" s="93"/>
      <c r="L916" s="93" t="str">
        <f t="shared" si="29"/>
        <v/>
      </c>
    </row>
    <row r="917" spans="1:12" s="89" customFormat="1">
      <c r="A917" s="89" t="str">
        <f>IF(Registro!B917="","",Registro!B917)</f>
        <v/>
      </c>
      <c r="B917" s="89" t="str">
        <f>IF(Registro!B917="","",Registro!H917)</f>
        <v/>
      </c>
      <c r="C917" s="137" t="str">
        <f>IF(Registro!B917="","",Registro!L917)</f>
        <v/>
      </c>
      <c r="D917" s="89" t="str">
        <f>IF(Registro!B917="","",Registro!M917)</f>
        <v/>
      </c>
      <c r="E917" s="136" t="str">
        <f>IF(A917="","",_xlfn.XLOOKUP(A917,Registro!$B$8:$B$997,Registro!$R$8:$R$997,"N/E",0))</f>
        <v/>
      </c>
      <c r="F917" s="93" t="str">
        <f t="shared" si="28"/>
        <v/>
      </c>
      <c r="G917" s="93"/>
      <c r="H917" s="136"/>
      <c r="K917" s="93"/>
      <c r="L917" s="93" t="str">
        <f t="shared" si="29"/>
        <v/>
      </c>
    </row>
    <row r="918" spans="1:12" s="89" customFormat="1">
      <c r="A918" s="89" t="str">
        <f>IF(Registro!B918="","",Registro!B918)</f>
        <v/>
      </c>
      <c r="B918" s="89" t="str">
        <f>IF(Registro!B918="","",Registro!H918)</f>
        <v/>
      </c>
      <c r="C918" s="137" t="str">
        <f>IF(Registro!B918="","",Registro!L918)</f>
        <v/>
      </c>
      <c r="D918" s="89" t="str">
        <f>IF(Registro!B918="","",Registro!M918)</f>
        <v/>
      </c>
      <c r="E918" s="136" t="str">
        <f>IF(A918="","",_xlfn.XLOOKUP(A918,Registro!$B$8:$B$997,Registro!$R$8:$R$997,"N/E",0))</f>
        <v/>
      </c>
      <c r="F918" s="93" t="str">
        <f t="shared" si="28"/>
        <v/>
      </c>
      <c r="G918" s="93"/>
      <c r="H918" s="136"/>
      <c r="K918" s="93"/>
      <c r="L918" s="93" t="str">
        <f t="shared" si="29"/>
        <v/>
      </c>
    </row>
    <row r="919" spans="1:12" s="89" customFormat="1">
      <c r="A919" s="89" t="str">
        <f>IF(Registro!B919="","",Registro!B919)</f>
        <v/>
      </c>
      <c r="B919" s="89" t="str">
        <f>IF(Registro!B919="","",Registro!H919)</f>
        <v/>
      </c>
      <c r="C919" s="137" t="str">
        <f>IF(Registro!B919="","",Registro!L919)</f>
        <v/>
      </c>
      <c r="D919" s="89" t="str">
        <f>IF(Registro!B919="","",Registro!M919)</f>
        <v/>
      </c>
      <c r="E919" s="136" t="str">
        <f>IF(A919="","",_xlfn.XLOOKUP(A919,Registro!$B$8:$B$997,Registro!$R$8:$R$997,"N/E",0))</f>
        <v/>
      </c>
      <c r="F919" s="93" t="str">
        <f t="shared" si="28"/>
        <v/>
      </c>
      <c r="G919" s="93"/>
      <c r="H919" s="136"/>
      <c r="K919" s="93"/>
      <c r="L919" s="93" t="str">
        <f t="shared" si="29"/>
        <v/>
      </c>
    </row>
    <row r="920" spans="1:12" s="89" customFormat="1">
      <c r="A920" s="89" t="str">
        <f>IF(Registro!B920="","",Registro!B920)</f>
        <v/>
      </c>
      <c r="B920" s="89" t="str">
        <f>IF(Registro!B920="","",Registro!H920)</f>
        <v/>
      </c>
      <c r="C920" s="137" t="str">
        <f>IF(Registro!B920="","",Registro!L920)</f>
        <v/>
      </c>
      <c r="D920" s="89" t="str">
        <f>IF(Registro!B920="","",Registro!M920)</f>
        <v/>
      </c>
      <c r="E920" s="136" t="str">
        <f>IF(A920="","",_xlfn.XLOOKUP(A920,Registro!$B$8:$B$997,Registro!$R$8:$R$997,"N/E",0))</f>
        <v/>
      </c>
      <c r="F920" s="93" t="str">
        <f t="shared" si="28"/>
        <v/>
      </c>
      <c r="G920" s="93"/>
      <c r="H920" s="136"/>
      <c r="K920" s="93"/>
      <c r="L920" s="93" t="str">
        <f t="shared" si="29"/>
        <v/>
      </c>
    </row>
    <row r="921" spans="1:12" s="89" customFormat="1">
      <c r="A921" s="89" t="str">
        <f>IF(Registro!B921="","",Registro!B921)</f>
        <v/>
      </c>
      <c r="B921" s="89" t="str">
        <f>IF(Registro!B921="","",Registro!H921)</f>
        <v/>
      </c>
      <c r="C921" s="137" t="str">
        <f>IF(Registro!B921="","",Registro!L921)</f>
        <v/>
      </c>
      <c r="D921" s="89" t="str">
        <f>IF(Registro!B921="","",Registro!M921)</f>
        <v/>
      </c>
      <c r="E921" s="136" t="str">
        <f>IF(A921="","",_xlfn.XLOOKUP(A921,Registro!$B$8:$B$997,Registro!$R$8:$R$997,"N/E",0))</f>
        <v/>
      </c>
      <c r="F921" s="93" t="str">
        <f t="shared" si="28"/>
        <v/>
      </c>
      <c r="G921" s="93"/>
      <c r="H921" s="136"/>
      <c r="K921" s="93"/>
      <c r="L921" s="93" t="str">
        <f t="shared" si="29"/>
        <v/>
      </c>
    </row>
    <row r="922" spans="1:12" s="89" customFormat="1">
      <c r="A922" s="89" t="str">
        <f>IF(Registro!B922="","",Registro!B922)</f>
        <v/>
      </c>
      <c r="B922" s="89" t="str">
        <f>IF(Registro!B922="","",Registro!H922)</f>
        <v/>
      </c>
      <c r="C922" s="137" t="str">
        <f>IF(Registro!B922="","",Registro!L922)</f>
        <v/>
      </c>
      <c r="D922" s="89" t="str">
        <f>IF(Registro!B922="","",Registro!M922)</f>
        <v/>
      </c>
      <c r="E922" s="136" t="str">
        <f>IF(A922="","",_xlfn.XLOOKUP(A922,Registro!$B$8:$B$997,Registro!$R$8:$R$997,"N/E",0))</f>
        <v/>
      </c>
      <c r="F922" s="93" t="str">
        <f t="shared" si="28"/>
        <v/>
      </c>
      <c r="G922" s="93"/>
      <c r="H922" s="136"/>
      <c r="K922" s="93"/>
      <c r="L922" s="93" t="str">
        <f t="shared" si="29"/>
        <v/>
      </c>
    </row>
    <row r="923" spans="1:12" s="89" customFormat="1">
      <c r="A923" s="89" t="str">
        <f>IF(Registro!B923="","",Registro!B923)</f>
        <v/>
      </c>
      <c r="B923" s="89" t="str">
        <f>IF(Registro!B923="","",Registro!H923)</f>
        <v/>
      </c>
      <c r="C923" s="137" t="str">
        <f>IF(Registro!B923="","",Registro!L923)</f>
        <v/>
      </c>
      <c r="D923" s="89" t="str">
        <f>IF(Registro!B923="","",Registro!M923)</f>
        <v/>
      </c>
      <c r="E923" s="136" t="str">
        <f>IF(A923="","",_xlfn.XLOOKUP(A923,Registro!$B$8:$B$997,Registro!$R$8:$R$997,"N/E",0))</f>
        <v/>
      </c>
      <c r="F923" s="93" t="str">
        <f t="shared" si="28"/>
        <v/>
      </c>
      <c r="G923" s="93"/>
      <c r="H923" s="136"/>
      <c r="K923" s="93"/>
      <c r="L923" s="93" t="str">
        <f t="shared" si="29"/>
        <v/>
      </c>
    </row>
    <row r="924" spans="1:12" s="89" customFormat="1">
      <c r="A924" s="89" t="str">
        <f>IF(Registro!B924="","",Registro!B924)</f>
        <v/>
      </c>
      <c r="B924" s="89" t="str">
        <f>IF(Registro!B924="","",Registro!H924)</f>
        <v/>
      </c>
      <c r="C924" s="137" t="str">
        <f>IF(Registro!B924="","",Registro!L924)</f>
        <v/>
      </c>
      <c r="D924" s="89" t="str">
        <f>IF(Registro!B924="","",Registro!M924)</f>
        <v/>
      </c>
      <c r="E924" s="136" t="str">
        <f>IF(A924="","",_xlfn.XLOOKUP(A924,Registro!$B$8:$B$997,Registro!$R$8:$R$997,"N/E",0))</f>
        <v/>
      </c>
      <c r="F924" s="93" t="str">
        <f t="shared" si="28"/>
        <v/>
      </c>
      <c r="G924" s="93"/>
      <c r="H924" s="136"/>
      <c r="K924" s="93"/>
      <c r="L924" s="93" t="str">
        <f t="shared" si="29"/>
        <v/>
      </c>
    </row>
    <row r="925" spans="1:12" s="89" customFormat="1">
      <c r="A925" s="89" t="str">
        <f>IF(Registro!B925="","",Registro!B925)</f>
        <v/>
      </c>
      <c r="B925" s="89" t="str">
        <f>IF(Registro!B925="","",Registro!H925)</f>
        <v/>
      </c>
      <c r="C925" s="137" t="str">
        <f>IF(Registro!B925="","",Registro!L925)</f>
        <v/>
      </c>
      <c r="D925" s="89" t="str">
        <f>IF(Registro!B925="","",Registro!M925)</f>
        <v/>
      </c>
      <c r="E925" s="136" t="str">
        <f>IF(A925="","",_xlfn.XLOOKUP(A925,Registro!$B$8:$B$997,Registro!$R$8:$R$997,"N/E",0))</f>
        <v/>
      </c>
      <c r="F925" s="93" t="str">
        <f t="shared" si="28"/>
        <v/>
      </c>
      <c r="G925" s="93"/>
      <c r="H925" s="136"/>
      <c r="K925" s="93"/>
      <c r="L925" s="93" t="str">
        <f t="shared" si="29"/>
        <v/>
      </c>
    </row>
    <row r="926" spans="1:12" s="89" customFormat="1">
      <c r="A926" s="89" t="str">
        <f>IF(Registro!B926="","",Registro!B926)</f>
        <v/>
      </c>
      <c r="B926" s="89" t="str">
        <f>IF(Registro!B926="","",Registro!H926)</f>
        <v/>
      </c>
      <c r="C926" s="137" t="str">
        <f>IF(Registro!B926="","",Registro!L926)</f>
        <v/>
      </c>
      <c r="D926" s="89" t="str">
        <f>IF(Registro!B926="","",Registro!M926)</f>
        <v/>
      </c>
      <c r="E926" s="136" t="str">
        <f>IF(A926="","",_xlfn.XLOOKUP(A926,Registro!$B$8:$B$997,Registro!$R$8:$R$997,"N/E",0))</f>
        <v/>
      </c>
      <c r="F926" s="93" t="str">
        <f t="shared" si="28"/>
        <v/>
      </c>
      <c r="G926" s="93"/>
      <c r="H926" s="136"/>
      <c r="K926" s="93"/>
      <c r="L926" s="93" t="str">
        <f t="shared" si="29"/>
        <v/>
      </c>
    </row>
    <row r="927" spans="1:12" s="89" customFormat="1">
      <c r="A927" s="89" t="str">
        <f>IF(Registro!B927="","",Registro!B927)</f>
        <v/>
      </c>
      <c r="B927" s="89" t="str">
        <f>IF(Registro!B927="","",Registro!H927)</f>
        <v/>
      </c>
      <c r="C927" s="137" t="str">
        <f>IF(Registro!B927="","",Registro!L927)</f>
        <v/>
      </c>
      <c r="D927" s="89" t="str">
        <f>IF(Registro!B927="","",Registro!M927)</f>
        <v/>
      </c>
      <c r="E927" s="136" t="str">
        <f>IF(A927="","",_xlfn.XLOOKUP(A927,Registro!$B$8:$B$997,Registro!$R$8:$R$997,"N/E",0))</f>
        <v/>
      </c>
      <c r="F927" s="93" t="str">
        <f t="shared" si="28"/>
        <v/>
      </c>
      <c r="G927" s="93"/>
      <c r="H927" s="136"/>
      <c r="K927" s="93"/>
      <c r="L927" s="93" t="str">
        <f t="shared" si="29"/>
        <v/>
      </c>
    </row>
    <row r="928" spans="1:12" s="89" customFormat="1">
      <c r="A928" s="89" t="str">
        <f>IF(Registro!B928="","",Registro!B928)</f>
        <v/>
      </c>
      <c r="B928" s="89" t="str">
        <f>IF(Registro!B928="","",Registro!H928)</f>
        <v/>
      </c>
      <c r="C928" s="137" t="str">
        <f>IF(Registro!B928="","",Registro!L928)</f>
        <v/>
      </c>
      <c r="D928" s="89" t="str">
        <f>IF(Registro!B928="","",Registro!M928)</f>
        <v/>
      </c>
      <c r="E928" s="136" t="str">
        <f>IF(A928="","",_xlfn.XLOOKUP(A928,Registro!$B$8:$B$997,Registro!$R$8:$R$997,"N/E",0))</f>
        <v/>
      </c>
      <c r="F928" s="93" t="str">
        <f t="shared" si="28"/>
        <v/>
      </c>
      <c r="G928" s="93"/>
      <c r="H928" s="136"/>
      <c r="K928" s="93"/>
      <c r="L928" s="93" t="str">
        <f t="shared" si="29"/>
        <v/>
      </c>
    </row>
    <row r="929" spans="1:12" s="89" customFormat="1">
      <c r="A929" s="89" t="str">
        <f>IF(Registro!B929="","",Registro!B929)</f>
        <v/>
      </c>
      <c r="B929" s="89" t="str">
        <f>IF(Registro!B929="","",Registro!H929)</f>
        <v/>
      </c>
      <c r="C929" s="137" t="str">
        <f>IF(Registro!B929="","",Registro!L929)</f>
        <v/>
      </c>
      <c r="D929" s="89" t="str">
        <f>IF(Registro!B929="","",Registro!M929)</f>
        <v/>
      </c>
      <c r="E929" s="136" t="str">
        <f>IF(A929="","",_xlfn.XLOOKUP(A929,Registro!$B$8:$B$997,Registro!$R$8:$R$997,"N/E",0))</f>
        <v/>
      </c>
      <c r="F929" s="93" t="str">
        <f t="shared" si="28"/>
        <v/>
      </c>
      <c r="G929" s="93"/>
      <c r="H929" s="136"/>
      <c r="K929" s="93"/>
      <c r="L929" s="93" t="str">
        <f t="shared" si="29"/>
        <v/>
      </c>
    </row>
    <row r="930" spans="1:12" s="89" customFormat="1">
      <c r="A930" s="89" t="str">
        <f>IF(Registro!B930="","",Registro!B930)</f>
        <v/>
      </c>
      <c r="B930" s="89" t="str">
        <f>IF(Registro!B930="","",Registro!H930)</f>
        <v/>
      </c>
      <c r="C930" s="137" t="str">
        <f>IF(Registro!B930="","",Registro!L930)</f>
        <v/>
      </c>
      <c r="D930" s="89" t="str">
        <f>IF(Registro!B930="","",Registro!M930)</f>
        <v/>
      </c>
      <c r="E930" s="136" t="str">
        <f>IF(A930="","",_xlfn.XLOOKUP(A930,Registro!$B$8:$B$997,Registro!$R$8:$R$997,"N/E",0))</f>
        <v/>
      </c>
      <c r="F930" s="93" t="str">
        <f t="shared" si="28"/>
        <v/>
      </c>
      <c r="G930" s="93"/>
      <c r="H930" s="136"/>
      <c r="K930" s="93"/>
      <c r="L930" s="93" t="str">
        <f t="shared" si="29"/>
        <v/>
      </c>
    </row>
    <row r="931" spans="1:12" s="89" customFormat="1">
      <c r="A931" s="89" t="str">
        <f>IF(Registro!B931="","",Registro!B931)</f>
        <v/>
      </c>
      <c r="B931" s="89" t="str">
        <f>IF(Registro!B931="","",Registro!H931)</f>
        <v/>
      </c>
      <c r="C931" s="137" t="str">
        <f>IF(Registro!B931="","",Registro!L931)</f>
        <v/>
      </c>
      <c r="D931" s="89" t="str">
        <f>IF(Registro!B931="","",Registro!M931)</f>
        <v/>
      </c>
      <c r="E931" s="136" t="str">
        <f>IF(A931="","",_xlfn.XLOOKUP(A931,Registro!$B$8:$B$997,Registro!$R$8:$R$997,"N/E",0))</f>
        <v/>
      </c>
      <c r="F931" s="93" t="str">
        <f t="shared" si="28"/>
        <v/>
      </c>
      <c r="G931" s="93"/>
      <c r="H931" s="136"/>
      <c r="K931" s="93"/>
      <c r="L931" s="93" t="str">
        <f t="shared" si="29"/>
        <v/>
      </c>
    </row>
    <row r="932" spans="1:12" s="89" customFormat="1">
      <c r="A932" s="89" t="str">
        <f>IF(Registro!B932="","",Registro!B932)</f>
        <v/>
      </c>
      <c r="B932" s="89" t="str">
        <f>IF(Registro!B932="","",Registro!H932)</f>
        <v/>
      </c>
      <c r="C932" s="137" t="str">
        <f>IF(Registro!B932="","",Registro!L932)</f>
        <v/>
      </c>
      <c r="D932" s="89" t="str">
        <f>IF(Registro!B932="","",Registro!M932)</f>
        <v/>
      </c>
      <c r="E932" s="136" t="str">
        <f>IF(A932="","",_xlfn.XLOOKUP(A932,Registro!$B$8:$B$997,Registro!$R$8:$R$997,"N/E",0))</f>
        <v/>
      </c>
      <c r="F932" s="93" t="str">
        <f t="shared" si="28"/>
        <v/>
      </c>
      <c r="G932" s="93"/>
      <c r="H932" s="136"/>
      <c r="K932" s="93"/>
      <c r="L932" s="93" t="str">
        <f t="shared" si="29"/>
        <v/>
      </c>
    </row>
    <row r="933" spans="1:12" s="89" customFormat="1">
      <c r="A933" s="89" t="str">
        <f>IF(Registro!B933="","",Registro!B933)</f>
        <v/>
      </c>
      <c r="B933" s="89" t="str">
        <f>IF(Registro!B933="","",Registro!H933)</f>
        <v/>
      </c>
      <c r="C933" s="137" t="str">
        <f>IF(Registro!B933="","",Registro!L933)</f>
        <v/>
      </c>
      <c r="D933" s="89" t="str">
        <f>IF(Registro!B933="","",Registro!M933)</f>
        <v/>
      </c>
      <c r="E933" s="136" t="str">
        <f>IF(A933="","",_xlfn.XLOOKUP(A933,Registro!$B$8:$B$997,Registro!$R$8:$R$997,"N/E",0))</f>
        <v/>
      </c>
      <c r="F933" s="93" t="str">
        <f t="shared" si="28"/>
        <v/>
      </c>
      <c r="G933" s="93"/>
      <c r="H933" s="136"/>
      <c r="K933" s="93"/>
      <c r="L933" s="93" t="str">
        <f t="shared" si="29"/>
        <v/>
      </c>
    </row>
    <row r="934" spans="1:12" s="89" customFormat="1">
      <c r="A934" s="89" t="str">
        <f>IF(Registro!B934="","",Registro!B934)</f>
        <v/>
      </c>
      <c r="B934" s="89" t="str">
        <f>IF(Registro!B934="","",Registro!H934)</f>
        <v/>
      </c>
      <c r="C934" s="137" t="str">
        <f>IF(Registro!B934="","",Registro!L934)</f>
        <v/>
      </c>
      <c r="D934" s="89" t="str">
        <f>IF(Registro!B934="","",Registro!M934)</f>
        <v/>
      </c>
      <c r="E934" s="136" t="str">
        <f>IF(A934="","",_xlfn.XLOOKUP(A934,Registro!$B$8:$B$997,Registro!$R$8:$R$997,"N/E",0))</f>
        <v/>
      </c>
      <c r="F934" s="93" t="str">
        <f t="shared" si="28"/>
        <v/>
      </c>
      <c r="G934" s="93"/>
      <c r="H934" s="136"/>
      <c r="K934" s="93"/>
      <c r="L934" s="93" t="str">
        <f t="shared" si="29"/>
        <v/>
      </c>
    </row>
    <row r="935" spans="1:12" s="89" customFormat="1">
      <c r="A935" s="89" t="str">
        <f>IF(Registro!B935="","",Registro!B935)</f>
        <v/>
      </c>
      <c r="B935" s="89" t="str">
        <f>IF(Registro!B935="","",Registro!H935)</f>
        <v/>
      </c>
      <c r="C935" s="137" t="str">
        <f>IF(Registro!B935="","",Registro!L935)</f>
        <v/>
      </c>
      <c r="D935" s="89" t="str">
        <f>IF(Registro!B935="","",Registro!M935)</f>
        <v/>
      </c>
      <c r="E935" s="136" t="str">
        <f>IF(A935="","",_xlfn.XLOOKUP(A935,Registro!$B$8:$B$997,Registro!$R$8:$R$997,"N/E",0))</f>
        <v/>
      </c>
      <c r="F935" s="93" t="str">
        <f t="shared" si="28"/>
        <v/>
      </c>
      <c r="G935" s="93"/>
      <c r="H935" s="136"/>
      <c r="K935" s="93"/>
      <c r="L935" s="93" t="str">
        <f t="shared" si="29"/>
        <v/>
      </c>
    </row>
    <row r="936" spans="1:12" s="89" customFormat="1">
      <c r="A936" s="89" t="str">
        <f>IF(Registro!B936="","",Registro!B936)</f>
        <v/>
      </c>
      <c r="B936" s="89" t="str">
        <f>IF(Registro!B936="","",Registro!H936)</f>
        <v/>
      </c>
      <c r="C936" s="137" t="str">
        <f>IF(Registro!B936="","",Registro!L936)</f>
        <v/>
      </c>
      <c r="D936" s="89" t="str">
        <f>IF(Registro!B936="","",Registro!M936)</f>
        <v/>
      </c>
      <c r="E936" s="136" t="str">
        <f>IF(A936="","",_xlfn.XLOOKUP(A936,Registro!$B$8:$B$997,Registro!$R$8:$R$997,"N/E",0))</f>
        <v/>
      </c>
      <c r="F936" s="93" t="str">
        <f t="shared" si="28"/>
        <v/>
      </c>
      <c r="G936" s="93"/>
      <c r="H936" s="136"/>
      <c r="K936" s="93"/>
      <c r="L936" s="93" t="str">
        <f t="shared" si="29"/>
        <v/>
      </c>
    </row>
    <row r="937" spans="1:12" s="89" customFormat="1">
      <c r="A937" s="89" t="str">
        <f>IF(Registro!B937="","",Registro!B937)</f>
        <v/>
      </c>
      <c r="B937" s="89" t="str">
        <f>IF(Registro!B937="","",Registro!H937)</f>
        <v/>
      </c>
      <c r="C937" s="137" t="str">
        <f>IF(Registro!B937="","",Registro!L937)</f>
        <v/>
      </c>
      <c r="D937" s="89" t="str">
        <f>IF(Registro!B937="","",Registro!M937)</f>
        <v/>
      </c>
      <c r="E937" s="136" t="str">
        <f>IF(A937="","",_xlfn.XLOOKUP(A937,Registro!$B$8:$B$997,Registro!$R$8:$R$997,"N/E",0))</f>
        <v/>
      </c>
      <c r="F937" s="93" t="str">
        <f t="shared" si="28"/>
        <v/>
      </c>
      <c r="G937" s="93"/>
      <c r="H937" s="136"/>
      <c r="K937" s="93"/>
      <c r="L937" s="93" t="str">
        <f t="shared" si="29"/>
        <v/>
      </c>
    </row>
    <row r="938" spans="1:12" s="89" customFormat="1">
      <c r="A938" s="89" t="str">
        <f>IF(Registro!B938="","",Registro!B938)</f>
        <v/>
      </c>
      <c r="B938" s="89" t="str">
        <f>IF(Registro!B938="","",Registro!H938)</f>
        <v/>
      </c>
      <c r="C938" s="137" t="str">
        <f>IF(Registro!B938="","",Registro!L938)</f>
        <v/>
      </c>
      <c r="D938" s="89" t="str">
        <f>IF(Registro!B938="","",Registro!M938)</f>
        <v/>
      </c>
      <c r="E938" s="136" t="str">
        <f>IF(A938="","",_xlfn.XLOOKUP(A938,Registro!$B$8:$B$997,Registro!$R$8:$R$997,"N/E",0))</f>
        <v/>
      </c>
      <c r="F938" s="93" t="str">
        <f t="shared" si="28"/>
        <v/>
      </c>
      <c r="G938" s="93"/>
      <c r="H938" s="136"/>
      <c r="K938" s="93"/>
      <c r="L938" s="93" t="str">
        <f t="shared" si="29"/>
        <v/>
      </c>
    </row>
    <row r="939" spans="1:12" s="89" customFormat="1">
      <c r="A939" s="89" t="str">
        <f>IF(Registro!B939="","",Registro!B939)</f>
        <v/>
      </c>
      <c r="B939" s="89" t="str">
        <f>IF(Registro!B939="","",Registro!H939)</f>
        <v/>
      </c>
      <c r="C939" s="137" t="str">
        <f>IF(Registro!B939="","",Registro!L939)</f>
        <v/>
      </c>
      <c r="D939" s="89" t="str">
        <f>IF(Registro!B939="","",Registro!M939)</f>
        <v/>
      </c>
      <c r="E939" s="136" t="str">
        <f>IF(A939="","",_xlfn.XLOOKUP(A939,Registro!$B$8:$B$997,Registro!$R$8:$R$997,"N/E",0))</f>
        <v/>
      </c>
      <c r="F939" s="93" t="str">
        <f t="shared" si="28"/>
        <v/>
      </c>
      <c r="G939" s="93"/>
      <c r="H939" s="136"/>
      <c r="K939" s="93"/>
      <c r="L939" s="93" t="str">
        <f t="shared" si="29"/>
        <v/>
      </c>
    </row>
    <row r="940" spans="1:12" s="89" customFormat="1">
      <c r="A940" s="89" t="str">
        <f>IF(Registro!B940="","",Registro!B940)</f>
        <v/>
      </c>
      <c r="B940" s="89" t="str">
        <f>IF(Registro!B940="","",Registro!H940)</f>
        <v/>
      </c>
      <c r="C940" s="137" t="str">
        <f>IF(Registro!B940="","",Registro!L940)</f>
        <v/>
      </c>
      <c r="D940" s="89" t="str">
        <f>IF(Registro!B940="","",Registro!M940)</f>
        <v/>
      </c>
      <c r="E940" s="136" t="str">
        <f>IF(A940="","",_xlfn.XLOOKUP(A940,Registro!$B$8:$B$997,Registro!$R$8:$R$997,"N/E",0))</f>
        <v/>
      </c>
      <c r="F940" s="93" t="str">
        <f t="shared" si="28"/>
        <v/>
      </c>
      <c r="G940" s="93"/>
      <c r="H940" s="136"/>
      <c r="K940" s="93"/>
      <c r="L940" s="93" t="str">
        <f t="shared" si="29"/>
        <v/>
      </c>
    </row>
    <row r="941" spans="1:12" s="89" customFormat="1">
      <c r="A941" s="89" t="str">
        <f>IF(Registro!B941="","",Registro!B941)</f>
        <v/>
      </c>
      <c r="B941" s="89" t="str">
        <f>IF(Registro!B941="","",Registro!H941)</f>
        <v/>
      </c>
      <c r="C941" s="137" t="str">
        <f>IF(Registro!B941="","",Registro!L941)</f>
        <v/>
      </c>
      <c r="D941" s="89" t="str">
        <f>IF(Registro!B941="","",Registro!M941)</f>
        <v/>
      </c>
      <c r="E941" s="136" t="str">
        <f>IF(A941="","",_xlfn.XLOOKUP(A941,Registro!$B$8:$B$997,Registro!$R$8:$R$997,"N/E",0))</f>
        <v/>
      </c>
      <c r="F941" s="93" t="str">
        <f t="shared" si="28"/>
        <v/>
      </c>
      <c r="G941" s="93"/>
      <c r="H941" s="136"/>
      <c r="K941" s="93"/>
      <c r="L941" s="93" t="str">
        <f t="shared" si="29"/>
        <v/>
      </c>
    </row>
    <row r="942" spans="1:12" s="89" customFormat="1">
      <c r="A942" s="89" t="str">
        <f>IF(Registro!B942="","",Registro!B942)</f>
        <v/>
      </c>
      <c r="B942" s="89" t="str">
        <f>IF(Registro!B942="","",Registro!H942)</f>
        <v/>
      </c>
      <c r="C942" s="137" t="str">
        <f>IF(Registro!B942="","",Registro!L942)</f>
        <v/>
      </c>
      <c r="D942" s="89" t="str">
        <f>IF(Registro!B942="","",Registro!M942)</f>
        <v/>
      </c>
      <c r="E942" s="136" t="str">
        <f>IF(A942="","",_xlfn.XLOOKUP(A942,Registro!$B$8:$B$997,Registro!$R$8:$R$997,"N/E",0))</f>
        <v/>
      </c>
      <c r="F942" s="93" t="str">
        <f t="shared" si="28"/>
        <v/>
      </c>
      <c r="G942" s="93"/>
      <c r="H942" s="136"/>
      <c r="K942" s="93"/>
      <c r="L942" s="93" t="str">
        <f t="shared" si="29"/>
        <v/>
      </c>
    </row>
    <row r="943" spans="1:12" s="89" customFormat="1">
      <c r="A943" s="89" t="str">
        <f>IF(Registro!B943="","",Registro!B943)</f>
        <v/>
      </c>
      <c r="B943" s="89" t="str">
        <f>IF(Registro!B943="","",Registro!H943)</f>
        <v/>
      </c>
      <c r="C943" s="137" t="str">
        <f>IF(Registro!B943="","",Registro!L943)</f>
        <v/>
      </c>
      <c r="D943" s="89" t="str">
        <f>IF(Registro!B943="","",Registro!M943)</f>
        <v/>
      </c>
      <c r="E943" s="136" t="str">
        <f>IF(A943="","",_xlfn.XLOOKUP(A943,Registro!$B$8:$B$997,Registro!$R$8:$R$997,"N/E",0))</f>
        <v/>
      </c>
      <c r="F943" s="93" t="str">
        <f t="shared" si="28"/>
        <v/>
      </c>
      <c r="G943" s="93"/>
      <c r="H943" s="136"/>
      <c r="K943" s="93"/>
      <c r="L943" s="93" t="str">
        <f t="shared" si="29"/>
        <v/>
      </c>
    </row>
    <row r="944" spans="1:12" s="89" customFormat="1">
      <c r="A944" s="89" t="str">
        <f>IF(Registro!B944="","",Registro!B944)</f>
        <v/>
      </c>
      <c r="B944" s="89" t="str">
        <f>IF(Registro!B944="","",Registro!H944)</f>
        <v/>
      </c>
      <c r="C944" s="137" t="str">
        <f>IF(Registro!B944="","",Registro!L944)</f>
        <v/>
      </c>
      <c r="D944" s="89" t="str">
        <f>IF(Registro!B944="","",Registro!M944)</f>
        <v/>
      </c>
      <c r="E944" s="136" t="str">
        <f>IF(A944="","",_xlfn.XLOOKUP(A944,Registro!$B$8:$B$997,Registro!$R$8:$R$997,"N/E",0))</f>
        <v/>
      </c>
      <c r="F944" s="93" t="str">
        <f t="shared" si="28"/>
        <v/>
      </c>
      <c r="G944" s="93"/>
      <c r="H944" s="136"/>
      <c r="K944" s="93"/>
      <c r="L944" s="93" t="str">
        <f t="shared" si="29"/>
        <v/>
      </c>
    </row>
    <row r="945" spans="1:12" s="89" customFormat="1">
      <c r="A945" s="89" t="str">
        <f>IF(Registro!B945="","",Registro!B945)</f>
        <v/>
      </c>
      <c r="B945" s="89" t="str">
        <f>IF(Registro!B945="","",Registro!H945)</f>
        <v/>
      </c>
      <c r="C945" s="137" t="str">
        <f>IF(Registro!B945="","",Registro!L945)</f>
        <v/>
      </c>
      <c r="D945" s="89" t="str">
        <f>IF(Registro!B945="","",Registro!M945)</f>
        <v/>
      </c>
      <c r="E945" s="136" t="str">
        <f>IF(A945="","",_xlfn.XLOOKUP(A945,Registro!$B$8:$B$997,Registro!$R$8:$R$997,"N/E",0))</f>
        <v/>
      </c>
      <c r="F945" s="93" t="str">
        <f t="shared" si="28"/>
        <v/>
      </c>
      <c r="G945" s="93"/>
      <c r="H945" s="136"/>
      <c r="K945" s="93"/>
      <c r="L945" s="93" t="str">
        <f t="shared" si="29"/>
        <v/>
      </c>
    </row>
    <row r="946" spans="1:12" s="89" customFormat="1">
      <c r="A946" s="89" t="str">
        <f>IF(Registro!B946="","",Registro!B946)</f>
        <v/>
      </c>
      <c r="B946" s="89" t="str">
        <f>IF(Registro!B946="","",Registro!H946)</f>
        <v/>
      </c>
      <c r="C946" s="137" t="str">
        <f>IF(Registro!B946="","",Registro!L946)</f>
        <v/>
      </c>
      <c r="D946" s="89" t="str">
        <f>IF(Registro!B946="","",Registro!M946)</f>
        <v/>
      </c>
      <c r="E946" s="136" t="str">
        <f>IF(A946="","",_xlfn.XLOOKUP(A946,Registro!$B$8:$B$997,Registro!$R$8:$R$997,"N/E",0))</f>
        <v/>
      </c>
      <c r="F946" s="93" t="str">
        <f t="shared" si="28"/>
        <v/>
      </c>
      <c r="G946" s="93"/>
      <c r="H946" s="136"/>
      <c r="K946" s="93"/>
      <c r="L946" s="93" t="str">
        <f t="shared" si="29"/>
        <v/>
      </c>
    </row>
    <row r="947" spans="1:12" s="89" customFormat="1">
      <c r="A947" s="89" t="str">
        <f>IF(Registro!B947="","",Registro!B947)</f>
        <v/>
      </c>
      <c r="B947" s="89" t="str">
        <f>IF(Registro!B947="","",Registro!H947)</f>
        <v/>
      </c>
      <c r="C947" s="137" t="str">
        <f>IF(Registro!B947="","",Registro!L947)</f>
        <v/>
      </c>
      <c r="D947" s="89" t="str">
        <f>IF(Registro!B947="","",Registro!M947)</f>
        <v/>
      </c>
      <c r="E947" s="136" t="str">
        <f>IF(A947="","",_xlfn.XLOOKUP(A947,Registro!$B$8:$B$997,Registro!$R$8:$R$997,"N/E",0))</f>
        <v/>
      </c>
      <c r="F947" s="93" t="str">
        <f t="shared" si="28"/>
        <v/>
      </c>
      <c r="G947" s="93"/>
      <c r="H947" s="136"/>
      <c r="K947" s="93"/>
      <c r="L947" s="93" t="str">
        <f t="shared" si="29"/>
        <v/>
      </c>
    </row>
    <row r="948" spans="1:12" s="89" customFormat="1">
      <c r="A948" s="89" t="str">
        <f>IF(Registro!B948="","",Registro!B948)</f>
        <v/>
      </c>
      <c r="B948" s="89" t="str">
        <f>IF(Registro!B948="","",Registro!H948)</f>
        <v/>
      </c>
      <c r="C948" s="137" t="str">
        <f>IF(Registro!B948="","",Registro!L948)</f>
        <v/>
      </c>
      <c r="D948" s="89" t="str">
        <f>IF(Registro!B948="","",Registro!M948)</f>
        <v/>
      </c>
      <c r="E948" s="136" t="str">
        <f>IF(A948="","",_xlfn.XLOOKUP(A948,Registro!$B$8:$B$997,Registro!$R$8:$R$997,"N/E",0))</f>
        <v/>
      </c>
      <c r="F948" s="93" t="str">
        <f t="shared" si="28"/>
        <v/>
      </c>
      <c r="G948" s="93"/>
      <c r="H948" s="136"/>
      <c r="K948" s="93"/>
      <c r="L948" s="93" t="str">
        <f t="shared" si="29"/>
        <v/>
      </c>
    </row>
    <row r="949" spans="1:12" s="89" customFormat="1">
      <c r="A949" s="89" t="str">
        <f>IF(Registro!B949="","",Registro!B949)</f>
        <v/>
      </c>
      <c r="B949" s="89" t="str">
        <f>IF(Registro!B949="","",Registro!H949)</f>
        <v/>
      </c>
      <c r="C949" s="137" t="str">
        <f>IF(Registro!B949="","",Registro!L949)</f>
        <v/>
      </c>
      <c r="D949" s="89" t="str">
        <f>IF(Registro!B949="","",Registro!M949)</f>
        <v/>
      </c>
      <c r="E949" s="136" t="str">
        <f>IF(A949="","",_xlfn.XLOOKUP(A949,Registro!$B$8:$B$997,Registro!$R$8:$R$997,"N/E",0))</f>
        <v/>
      </c>
      <c r="F949" s="93" t="str">
        <f t="shared" si="28"/>
        <v/>
      </c>
      <c r="G949" s="93"/>
      <c r="H949" s="136"/>
      <c r="K949" s="93"/>
      <c r="L949" s="93" t="str">
        <f t="shared" si="29"/>
        <v/>
      </c>
    </row>
    <row r="950" spans="1:12" s="89" customFormat="1">
      <c r="A950" s="89" t="str">
        <f>IF(Registro!B950="","",Registro!B950)</f>
        <v/>
      </c>
      <c r="B950" s="89" t="str">
        <f>IF(Registro!B950="","",Registro!H950)</f>
        <v/>
      </c>
      <c r="C950" s="137" t="str">
        <f>IF(Registro!B950="","",Registro!L950)</f>
        <v/>
      </c>
      <c r="D950" s="89" t="str">
        <f>IF(Registro!B950="","",Registro!M950)</f>
        <v/>
      </c>
      <c r="E950" s="136" t="str">
        <f>IF(A950="","",_xlfn.XLOOKUP(A950,Registro!$B$8:$B$997,Registro!$R$8:$R$997,"N/E",0))</f>
        <v/>
      </c>
      <c r="F950" s="93" t="str">
        <f t="shared" si="28"/>
        <v/>
      </c>
      <c r="G950" s="93"/>
      <c r="H950" s="136"/>
      <c r="K950" s="93"/>
      <c r="L950" s="93" t="str">
        <f t="shared" si="29"/>
        <v/>
      </c>
    </row>
    <row r="951" spans="1:12" s="89" customFormat="1">
      <c r="A951" s="89" t="str">
        <f>IF(Registro!B951="","",Registro!B951)</f>
        <v/>
      </c>
      <c r="B951" s="89" t="str">
        <f>IF(Registro!B951="","",Registro!H951)</f>
        <v/>
      </c>
      <c r="C951" s="137" t="str">
        <f>IF(Registro!B951="","",Registro!L951)</f>
        <v/>
      </c>
      <c r="D951" s="89" t="str">
        <f>IF(Registro!B951="","",Registro!M951)</f>
        <v/>
      </c>
      <c r="E951" s="136" t="str">
        <f>IF(A951="","",_xlfn.XLOOKUP(A951,Registro!$B$8:$B$997,Registro!$R$8:$R$997,"N/E",0))</f>
        <v/>
      </c>
      <c r="F951" s="93" t="str">
        <f t="shared" si="28"/>
        <v/>
      </c>
      <c r="G951" s="93"/>
      <c r="H951" s="136"/>
      <c r="K951" s="93"/>
      <c r="L951" s="93" t="str">
        <f t="shared" si="29"/>
        <v/>
      </c>
    </row>
    <row r="952" spans="1:12" s="89" customFormat="1">
      <c r="A952" s="89" t="str">
        <f>IF(Registro!B952="","",Registro!B952)</f>
        <v/>
      </c>
      <c r="B952" s="89" t="str">
        <f>IF(Registro!B952="","",Registro!H952)</f>
        <v/>
      </c>
      <c r="C952" s="137" t="str">
        <f>IF(Registro!B952="","",Registro!L952)</f>
        <v/>
      </c>
      <c r="D952" s="89" t="str">
        <f>IF(Registro!B952="","",Registro!M952)</f>
        <v/>
      </c>
      <c r="E952" s="136" t="str">
        <f>IF(A952="","",_xlfn.XLOOKUP(A952,Registro!$B$8:$B$997,Registro!$R$8:$R$997,"N/E",0))</f>
        <v/>
      </c>
      <c r="F952" s="93" t="str">
        <f t="shared" si="28"/>
        <v/>
      </c>
      <c r="G952" s="93"/>
      <c r="H952" s="136"/>
      <c r="K952" s="93"/>
      <c r="L952" s="93" t="str">
        <f t="shared" si="29"/>
        <v/>
      </c>
    </row>
    <row r="953" spans="1:12" s="89" customFormat="1">
      <c r="A953" s="89" t="str">
        <f>IF(Registro!B953="","",Registro!B953)</f>
        <v/>
      </c>
      <c r="B953" s="89" t="str">
        <f>IF(Registro!B953="","",Registro!H953)</f>
        <v/>
      </c>
      <c r="C953" s="137" t="str">
        <f>IF(Registro!B953="","",Registro!L953)</f>
        <v/>
      </c>
      <c r="D953" s="89" t="str">
        <f>IF(Registro!B953="","",Registro!M953)</f>
        <v/>
      </c>
      <c r="E953" s="136" t="str">
        <f>IF(A953="","",_xlfn.XLOOKUP(A953,Registro!$B$8:$B$997,Registro!$R$8:$R$997,"N/E",0))</f>
        <v/>
      </c>
      <c r="F953" s="93" t="str">
        <f t="shared" si="28"/>
        <v/>
      </c>
      <c r="G953" s="93"/>
      <c r="H953" s="136"/>
      <c r="K953" s="93"/>
      <c r="L953" s="93" t="str">
        <f t="shared" si="29"/>
        <v/>
      </c>
    </row>
    <row r="954" spans="1:12" s="89" customFormat="1">
      <c r="A954" s="89" t="str">
        <f>IF(Registro!B954="","",Registro!B954)</f>
        <v/>
      </c>
      <c r="B954" s="89" t="str">
        <f>IF(Registro!B954="","",Registro!H954)</f>
        <v/>
      </c>
      <c r="C954" s="137" t="str">
        <f>IF(Registro!B954="","",Registro!L954)</f>
        <v/>
      </c>
      <c r="D954" s="89" t="str">
        <f>IF(Registro!B954="","",Registro!M954)</f>
        <v/>
      </c>
      <c r="E954" s="136" t="str">
        <f>IF(A954="","",_xlfn.XLOOKUP(A954,Registro!$B$8:$B$997,Registro!$R$8:$R$997,"N/E",0))</f>
        <v/>
      </c>
      <c r="F954" s="93" t="str">
        <f t="shared" si="28"/>
        <v/>
      </c>
      <c r="G954" s="93"/>
      <c r="H954" s="136"/>
      <c r="K954" s="93"/>
      <c r="L954" s="93" t="str">
        <f t="shared" si="29"/>
        <v/>
      </c>
    </row>
    <row r="955" spans="1:12" s="89" customFormat="1">
      <c r="A955" s="89" t="str">
        <f>IF(Registro!B955="","",Registro!B955)</f>
        <v/>
      </c>
      <c r="B955" s="89" t="str">
        <f>IF(Registro!B955="","",Registro!H955)</f>
        <v/>
      </c>
      <c r="C955" s="137" t="str">
        <f>IF(Registro!B955="","",Registro!L955)</f>
        <v/>
      </c>
      <c r="D955" s="89" t="str">
        <f>IF(Registro!B955="","",Registro!M955)</f>
        <v/>
      </c>
      <c r="E955" s="136" t="str">
        <f>IF(A955="","",_xlfn.XLOOKUP(A955,Registro!$B$8:$B$997,Registro!$R$8:$R$997,"N/E",0))</f>
        <v/>
      </c>
      <c r="F955" s="93" t="str">
        <f t="shared" si="28"/>
        <v/>
      </c>
      <c r="G955" s="93"/>
      <c r="H955" s="136"/>
      <c r="K955" s="93"/>
      <c r="L955" s="93" t="str">
        <f t="shared" si="29"/>
        <v/>
      </c>
    </row>
    <row r="956" spans="1:12" s="89" customFormat="1">
      <c r="A956" s="89" t="str">
        <f>IF(Registro!B956="","",Registro!B956)</f>
        <v/>
      </c>
      <c r="B956" s="89" t="str">
        <f>IF(Registro!B956="","",Registro!H956)</f>
        <v/>
      </c>
      <c r="C956" s="137" t="str">
        <f>IF(Registro!B956="","",Registro!L956)</f>
        <v/>
      </c>
      <c r="D956" s="89" t="str">
        <f>IF(Registro!B956="","",Registro!M956)</f>
        <v/>
      </c>
      <c r="E956" s="136" t="str">
        <f>IF(A956="","",_xlfn.XLOOKUP(A956,Registro!$B$8:$B$997,Registro!$R$8:$R$997,"N/E",0))</f>
        <v/>
      </c>
      <c r="F956" s="93" t="str">
        <f t="shared" si="28"/>
        <v/>
      </c>
      <c r="G956" s="93"/>
      <c r="H956" s="136"/>
      <c r="K956" s="93"/>
      <c r="L956" s="93" t="str">
        <f t="shared" si="29"/>
        <v/>
      </c>
    </row>
    <row r="957" spans="1:12" s="89" customFormat="1">
      <c r="A957" s="89" t="str">
        <f>IF(Registro!B957="","",Registro!B957)</f>
        <v/>
      </c>
      <c r="B957" s="89" t="str">
        <f>IF(Registro!B957="","",Registro!H957)</f>
        <v/>
      </c>
      <c r="C957" s="137" t="str">
        <f>IF(Registro!B957="","",Registro!L957)</f>
        <v/>
      </c>
      <c r="D957" s="89" t="str">
        <f>IF(Registro!B957="","",Registro!M957)</f>
        <v/>
      </c>
      <c r="E957" s="136" t="str">
        <f>IF(A957="","",_xlfn.XLOOKUP(A957,Registro!$B$8:$B$997,Registro!$R$8:$R$997,"N/E",0))</f>
        <v/>
      </c>
      <c r="F957" s="93" t="str">
        <f t="shared" si="28"/>
        <v/>
      </c>
      <c r="G957" s="93"/>
      <c r="H957" s="136"/>
      <c r="K957" s="93"/>
      <c r="L957" s="93" t="str">
        <f t="shared" si="29"/>
        <v/>
      </c>
    </row>
    <row r="958" spans="1:12" s="89" customFormat="1">
      <c r="A958" s="89" t="str">
        <f>IF(Registro!B958="","",Registro!B958)</f>
        <v/>
      </c>
      <c r="B958" s="89" t="str">
        <f>IF(Registro!B958="","",Registro!H958)</f>
        <v/>
      </c>
      <c r="C958" s="137" t="str">
        <f>IF(Registro!B958="","",Registro!L958)</f>
        <v/>
      </c>
      <c r="D958" s="89" t="str">
        <f>IF(Registro!B958="","",Registro!M958)</f>
        <v/>
      </c>
      <c r="E958" s="136" t="str">
        <f>IF(A958="","",_xlfn.XLOOKUP(A958,Registro!$B$8:$B$997,Registro!$R$8:$R$997,"N/E",0))</f>
        <v/>
      </c>
      <c r="F958" s="93" t="str">
        <f t="shared" si="28"/>
        <v/>
      </c>
      <c r="G958" s="93"/>
      <c r="H958" s="136"/>
      <c r="K958" s="93"/>
      <c r="L958" s="93" t="str">
        <f t="shared" si="29"/>
        <v/>
      </c>
    </row>
    <row r="959" spans="1:12" s="89" customFormat="1">
      <c r="A959" s="89" t="str">
        <f>IF(Registro!B959="","",Registro!B959)</f>
        <v/>
      </c>
      <c r="B959" s="89" t="str">
        <f>IF(Registro!B959="","",Registro!H959)</f>
        <v/>
      </c>
      <c r="C959" s="137" t="str">
        <f>IF(Registro!B959="","",Registro!L959)</f>
        <v/>
      </c>
      <c r="D959" s="89" t="str">
        <f>IF(Registro!B959="","",Registro!M959)</f>
        <v/>
      </c>
      <c r="E959" s="136" t="str">
        <f>IF(A959="","",_xlfn.XLOOKUP(A959,Registro!$B$8:$B$997,Registro!$R$8:$R$997,"N/E",0))</f>
        <v/>
      </c>
      <c r="F959" s="93" t="str">
        <f t="shared" si="28"/>
        <v/>
      </c>
      <c r="G959" s="93"/>
      <c r="H959" s="136"/>
      <c r="K959" s="93"/>
      <c r="L959" s="93" t="str">
        <f t="shared" si="29"/>
        <v/>
      </c>
    </row>
    <row r="960" spans="1:12" s="89" customFormat="1">
      <c r="A960" s="89" t="str">
        <f>IF(Registro!B960="","",Registro!B960)</f>
        <v/>
      </c>
      <c r="B960" s="89" t="str">
        <f>IF(Registro!B960="","",Registro!H960)</f>
        <v/>
      </c>
      <c r="C960" s="137" t="str">
        <f>IF(Registro!B960="","",Registro!L960)</f>
        <v/>
      </c>
      <c r="D960" s="89" t="str">
        <f>IF(Registro!B960="","",Registro!M960)</f>
        <v/>
      </c>
      <c r="E960" s="136" t="str">
        <f>IF(A960="","",_xlfn.XLOOKUP(A960,Registro!$B$8:$B$997,Registro!$R$8:$R$997,"N/E",0))</f>
        <v/>
      </c>
      <c r="F960" s="93" t="str">
        <f t="shared" si="28"/>
        <v/>
      </c>
      <c r="G960" s="93"/>
      <c r="H960" s="136"/>
      <c r="K960" s="93"/>
      <c r="L960" s="93" t="str">
        <f t="shared" si="29"/>
        <v/>
      </c>
    </row>
    <row r="961" spans="1:12" s="89" customFormat="1">
      <c r="A961" s="89" t="str">
        <f>IF(Registro!B961="","",Registro!B961)</f>
        <v/>
      </c>
      <c r="B961" s="89" t="str">
        <f>IF(Registro!B961="","",Registro!H961)</f>
        <v/>
      </c>
      <c r="C961" s="137" t="str">
        <f>IF(Registro!B961="","",Registro!L961)</f>
        <v/>
      </c>
      <c r="D961" s="89" t="str">
        <f>IF(Registro!B961="","",Registro!M961)</f>
        <v/>
      </c>
      <c r="E961" s="136" t="str">
        <f>IF(A961="","",_xlfn.XLOOKUP(A961,Registro!$B$8:$B$997,Registro!$R$8:$R$997,"N/E",0))</f>
        <v/>
      </c>
      <c r="F961" s="93" t="str">
        <f t="shared" si="28"/>
        <v/>
      </c>
      <c r="G961" s="93"/>
      <c r="H961" s="136"/>
      <c r="K961" s="93"/>
      <c r="L961" s="93" t="str">
        <f t="shared" si="29"/>
        <v/>
      </c>
    </row>
    <row r="962" spans="1:12" s="89" customFormat="1">
      <c r="A962" s="89" t="str">
        <f>IF(Registro!B962="","",Registro!B962)</f>
        <v/>
      </c>
      <c r="B962" s="89" t="str">
        <f>IF(Registro!B962="","",Registro!H962)</f>
        <v/>
      </c>
      <c r="C962" s="137" t="str">
        <f>IF(Registro!B962="","",Registro!L962)</f>
        <v/>
      </c>
      <c r="D962" s="89" t="str">
        <f>IF(Registro!B962="","",Registro!M962)</f>
        <v/>
      </c>
      <c r="E962" s="136" t="str">
        <f>IF(A962="","",_xlfn.XLOOKUP(A962,Registro!$B$8:$B$997,Registro!$R$8:$R$997,"N/E",0))</f>
        <v/>
      </c>
      <c r="F962" s="93" t="str">
        <f t="shared" si="28"/>
        <v/>
      </c>
      <c r="G962" s="93"/>
      <c r="H962" s="136"/>
      <c r="K962" s="93"/>
      <c r="L962" s="93" t="str">
        <f t="shared" si="29"/>
        <v/>
      </c>
    </row>
    <row r="963" spans="1:12" s="89" customFormat="1">
      <c r="A963" s="89" t="str">
        <f>IF(Registro!B963="","",Registro!B963)</f>
        <v/>
      </c>
      <c r="B963" s="89" t="str">
        <f>IF(Registro!B963="","",Registro!H963)</f>
        <v/>
      </c>
      <c r="C963" s="137" t="str">
        <f>IF(Registro!B963="","",Registro!L963)</f>
        <v/>
      </c>
      <c r="D963" s="89" t="str">
        <f>IF(Registro!B963="","",Registro!M963)</f>
        <v/>
      </c>
      <c r="E963" s="136" t="str">
        <f>IF(A963="","",_xlfn.XLOOKUP(A963,Registro!$B$8:$B$997,Registro!$R$8:$R$997,"N/E",0))</f>
        <v/>
      </c>
      <c r="F963" s="93" t="str">
        <f t="shared" si="28"/>
        <v/>
      </c>
      <c r="G963" s="93"/>
      <c r="H963" s="136"/>
      <c r="K963" s="93"/>
      <c r="L963" s="93" t="str">
        <f t="shared" si="29"/>
        <v/>
      </c>
    </row>
    <row r="964" spans="1:12" s="89" customFormat="1">
      <c r="A964" s="89" t="str">
        <f>IF(Registro!B964="","",Registro!B964)</f>
        <v/>
      </c>
      <c r="B964" s="89" t="str">
        <f>IF(Registro!B964="","",Registro!H964)</f>
        <v/>
      </c>
      <c r="C964" s="137" t="str">
        <f>IF(Registro!B964="","",Registro!L964)</f>
        <v/>
      </c>
      <c r="D964" s="89" t="str">
        <f>IF(Registro!B964="","",Registro!M964)</f>
        <v/>
      </c>
      <c r="E964" s="136" t="str">
        <f>IF(A964="","",_xlfn.XLOOKUP(A964,Registro!$B$8:$B$997,Registro!$R$8:$R$997,"N/E",0))</f>
        <v/>
      </c>
      <c r="F964" s="93" t="str">
        <f t="shared" si="28"/>
        <v/>
      </c>
      <c r="G964" s="93"/>
      <c r="H964" s="136"/>
      <c r="K964" s="93"/>
      <c r="L964" s="93" t="str">
        <f t="shared" si="29"/>
        <v/>
      </c>
    </row>
    <row r="965" spans="1:12" s="89" customFormat="1">
      <c r="A965" s="89" t="str">
        <f>IF(Registro!B965="","",Registro!B965)</f>
        <v/>
      </c>
      <c r="B965" s="89" t="str">
        <f>IF(Registro!B965="","",Registro!H965)</f>
        <v/>
      </c>
      <c r="C965" s="137" t="str">
        <f>IF(Registro!B965="","",Registro!L965)</f>
        <v/>
      </c>
      <c r="D965" s="89" t="str">
        <f>IF(Registro!B965="","",Registro!M965)</f>
        <v/>
      </c>
      <c r="E965" s="136" t="str">
        <f>IF(A965="","",_xlfn.XLOOKUP(A965,Registro!$B$8:$B$997,Registro!$R$8:$R$997,"N/E",0))</f>
        <v/>
      </c>
      <c r="F965" s="93" t="str">
        <f t="shared" si="28"/>
        <v/>
      </c>
      <c r="G965" s="93"/>
      <c r="H965" s="136"/>
      <c r="K965" s="93"/>
      <c r="L965" s="93" t="str">
        <f t="shared" si="29"/>
        <v/>
      </c>
    </row>
    <row r="966" spans="1:12" s="89" customFormat="1">
      <c r="A966" s="89" t="str">
        <f>IF(Registro!B966="","",Registro!B966)</f>
        <v/>
      </c>
      <c r="B966" s="89" t="str">
        <f>IF(Registro!B966="","",Registro!H966)</f>
        <v/>
      </c>
      <c r="C966" s="137" t="str">
        <f>IF(Registro!B966="","",Registro!L966)</f>
        <v/>
      </c>
      <c r="D966" s="89" t="str">
        <f>IF(Registro!B966="","",Registro!M966)</f>
        <v/>
      </c>
      <c r="E966" s="136" t="str">
        <f>IF(A966="","",_xlfn.XLOOKUP(A966,Registro!$B$8:$B$997,Registro!$R$8:$R$997,"N/E",0))</f>
        <v/>
      </c>
      <c r="F966" s="93" t="str">
        <f t="shared" si="28"/>
        <v/>
      </c>
      <c r="G966" s="93"/>
      <c r="H966" s="136"/>
      <c r="K966" s="93"/>
      <c r="L966" s="93" t="str">
        <f t="shared" si="29"/>
        <v/>
      </c>
    </row>
    <row r="967" spans="1:12" s="89" customFormat="1">
      <c r="A967" s="89" t="str">
        <f>IF(Registro!B967="","",Registro!B967)</f>
        <v/>
      </c>
      <c r="B967" s="89" t="str">
        <f>IF(Registro!B967="","",Registro!H967)</f>
        <v/>
      </c>
      <c r="C967" s="137" t="str">
        <f>IF(Registro!B967="","",Registro!L967)</f>
        <v/>
      </c>
      <c r="D967" s="89" t="str">
        <f>IF(Registro!B967="","",Registro!M967)</f>
        <v/>
      </c>
      <c r="E967" s="136" t="str">
        <f>IF(A967="","",_xlfn.XLOOKUP(A967,Registro!$B$8:$B$997,Registro!$R$8:$R$997,"N/E",0))</f>
        <v/>
      </c>
      <c r="F967" s="93" t="str">
        <f t="shared" si="28"/>
        <v/>
      </c>
      <c r="G967" s="93"/>
      <c r="H967" s="136"/>
      <c r="K967" s="93"/>
      <c r="L967" s="93" t="str">
        <f t="shared" si="29"/>
        <v/>
      </c>
    </row>
    <row r="968" spans="1:12" s="89" customFormat="1">
      <c r="A968" s="89" t="str">
        <f>IF(Registro!B968="","",Registro!B968)</f>
        <v/>
      </c>
      <c r="B968" s="89" t="str">
        <f>IF(Registro!B968="","",Registro!H968)</f>
        <v/>
      </c>
      <c r="C968" s="137" t="str">
        <f>IF(Registro!B968="","",Registro!L968)</f>
        <v/>
      </c>
      <c r="D968" s="89" t="str">
        <f>IF(Registro!B968="","",Registro!M968)</f>
        <v/>
      </c>
      <c r="E968" s="136" t="str">
        <f>IF(A968="","",_xlfn.XLOOKUP(A968,Registro!$B$8:$B$997,Registro!$R$8:$R$997,"N/E",0))</f>
        <v/>
      </c>
      <c r="F968" s="93" t="str">
        <f t="shared" ref="F968:F1031" si="30">IF(A968="","",NETWORKDAYS.INTL(C968,E968,1))</f>
        <v/>
      </c>
      <c r="G968" s="93"/>
      <c r="H968" s="136"/>
      <c r="K968" s="93"/>
      <c r="L968" s="93" t="str">
        <f t="shared" si="29"/>
        <v/>
      </c>
    </row>
    <row r="969" spans="1:12" s="89" customFormat="1">
      <c r="A969" s="89" t="str">
        <f>IF(Registro!B969="","",Registro!B969)</f>
        <v/>
      </c>
      <c r="B969" s="89" t="str">
        <f>IF(Registro!B969="","",Registro!H969)</f>
        <v/>
      </c>
      <c r="C969" s="137" t="str">
        <f>IF(Registro!B969="","",Registro!L969)</f>
        <v/>
      </c>
      <c r="D969" s="89" t="str">
        <f>IF(Registro!B969="","",Registro!M969)</f>
        <v/>
      </c>
      <c r="E969" s="136" t="str">
        <f>IF(A969="","",_xlfn.XLOOKUP(A969,Registro!$B$8:$B$997,Registro!$R$8:$R$997,"N/E",0))</f>
        <v/>
      </c>
      <c r="F969" s="93" t="str">
        <f t="shared" si="30"/>
        <v/>
      </c>
      <c r="G969" s="93"/>
      <c r="H969" s="136"/>
      <c r="K969" s="93"/>
      <c r="L969" s="93" t="str">
        <f t="shared" si="29"/>
        <v/>
      </c>
    </row>
    <row r="970" spans="1:12" s="89" customFormat="1">
      <c r="A970" s="89" t="str">
        <f>IF(Registro!B970="","",Registro!B970)</f>
        <v/>
      </c>
      <c r="B970" s="89" t="str">
        <f>IF(Registro!B970="","",Registro!H970)</f>
        <v/>
      </c>
      <c r="C970" s="137" t="str">
        <f>IF(Registro!B970="","",Registro!L970)</f>
        <v/>
      </c>
      <c r="D970" s="89" t="str">
        <f>IF(Registro!B970="","",Registro!M970)</f>
        <v/>
      </c>
      <c r="E970" s="136" t="str">
        <f>IF(A970="","",_xlfn.XLOOKUP(A970,Registro!$B$8:$B$997,Registro!$R$8:$R$997,"N/E",0))</f>
        <v/>
      </c>
      <c r="F970" s="93" t="str">
        <f t="shared" si="30"/>
        <v/>
      </c>
      <c r="G970" s="93"/>
      <c r="H970" s="136"/>
      <c r="K970" s="93"/>
      <c r="L970" s="93" t="str">
        <f t="shared" si="29"/>
        <v/>
      </c>
    </row>
    <row r="971" spans="1:12" s="89" customFormat="1">
      <c r="A971" s="89" t="str">
        <f>IF(Registro!B971="","",Registro!B971)</f>
        <v/>
      </c>
      <c r="B971" s="89" t="str">
        <f>IF(Registro!B971="","",Registro!H971)</f>
        <v/>
      </c>
      <c r="C971" s="137" t="str">
        <f>IF(Registro!B971="","",Registro!L971)</f>
        <v/>
      </c>
      <c r="D971" s="89" t="str">
        <f>IF(Registro!B971="","",Registro!M971)</f>
        <v/>
      </c>
      <c r="E971" s="136" t="str">
        <f>IF(A971="","",_xlfn.XLOOKUP(A971,Registro!$B$8:$B$997,Registro!$R$8:$R$997,"N/E",0))</f>
        <v/>
      </c>
      <c r="F971" s="93" t="str">
        <f t="shared" si="30"/>
        <v/>
      </c>
      <c r="G971" s="93"/>
      <c r="H971" s="136"/>
      <c r="K971" s="93"/>
      <c r="L971" s="93" t="str">
        <f t="shared" si="29"/>
        <v/>
      </c>
    </row>
    <row r="972" spans="1:12" s="89" customFormat="1">
      <c r="A972" s="89" t="str">
        <f>IF(Registro!B972="","",Registro!B972)</f>
        <v/>
      </c>
      <c r="B972" s="89" t="str">
        <f>IF(Registro!B972="","",Registro!H972)</f>
        <v/>
      </c>
      <c r="C972" s="137" t="str">
        <f>IF(Registro!B972="","",Registro!L972)</f>
        <v/>
      </c>
      <c r="D972" s="89" t="str">
        <f>IF(Registro!B972="","",Registro!M972)</f>
        <v/>
      </c>
      <c r="E972" s="136" t="str">
        <f>IF(A972="","",_xlfn.XLOOKUP(A972,Registro!$B$8:$B$997,Registro!$R$8:$R$997,"N/E",0))</f>
        <v/>
      </c>
      <c r="F972" s="93" t="str">
        <f t="shared" si="30"/>
        <v/>
      </c>
      <c r="G972" s="93"/>
      <c r="H972" s="136"/>
      <c r="K972" s="93"/>
      <c r="L972" s="93" t="str">
        <f t="shared" si="29"/>
        <v/>
      </c>
    </row>
    <row r="973" spans="1:12" s="89" customFormat="1">
      <c r="A973" s="89" t="str">
        <f>IF(Registro!B973="","",Registro!B973)</f>
        <v/>
      </c>
      <c r="B973" s="89" t="str">
        <f>IF(Registro!B973="","",Registro!H973)</f>
        <v/>
      </c>
      <c r="C973" s="137" t="str">
        <f>IF(Registro!B973="","",Registro!L973)</f>
        <v/>
      </c>
      <c r="D973" s="89" t="str">
        <f>IF(Registro!B973="","",Registro!M973)</f>
        <v/>
      </c>
      <c r="E973" s="136" t="str">
        <f>IF(A973="","",_xlfn.XLOOKUP(A973,Registro!$B$8:$B$997,Registro!$R$8:$R$997,"N/E",0))</f>
        <v/>
      </c>
      <c r="F973" s="93" t="str">
        <f t="shared" si="30"/>
        <v/>
      </c>
      <c r="G973" s="93"/>
      <c r="H973" s="136"/>
      <c r="K973" s="93"/>
      <c r="L973" s="93" t="str">
        <f t="shared" si="29"/>
        <v/>
      </c>
    </row>
    <row r="974" spans="1:12" s="89" customFormat="1">
      <c r="A974" s="89" t="str">
        <f>IF(Registro!B974="","",Registro!B974)</f>
        <v/>
      </c>
      <c r="B974" s="89" t="str">
        <f>IF(Registro!B974="","",Registro!H974)</f>
        <v/>
      </c>
      <c r="C974" s="137" t="str">
        <f>IF(Registro!B974="","",Registro!L974)</f>
        <v/>
      </c>
      <c r="D974" s="89" t="str">
        <f>IF(Registro!B974="","",Registro!M974)</f>
        <v/>
      </c>
      <c r="E974" s="136" t="str">
        <f>IF(A974="","",_xlfn.XLOOKUP(A974,Registro!$B$8:$B$997,Registro!$R$8:$R$997,"N/E",0))</f>
        <v/>
      </c>
      <c r="F974" s="93" t="str">
        <f t="shared" si="30"/>
        <v/>
      </c>
      <c r="G974" s="93"/>
      <c r="H974" s="136"/>
      <c r="K974" s="93"/>
      <c r="L974" s="93" t="str">
        <f t="shared" si="29"/>
        <v/>
      </c>
    </row>
    <row r="975" spans="1:12" s="89" customFormat="1">
      <c r="A975" s="89" t="str">
        <f>IF(Registro!B975="","",Registro!B975)</f>
        <v/>
      </c>
      <c r="B975" s="89" t="str">
        <f>IF(Registro!B975="","",Registro!H975)</f>
        <v/>
      </c>
      <c r="C975" s="137" t="str">
        <f>IF(Registro!B975="","",Registro!L975)</f>
        <v/>
      </c>
      <c r="D975" s="89" t="str">
        <f>IF(Registro!B975="","",Registro!M975)</f>
        <v/>
      </c>
      <c r="E975" s="136" t="str">
        <f>IF(A975="","",_xlfn.XLOOKUP(A975,Registro!$B$8:$B$997,Registro!$R$8:$R$997,"N/E",0))</f>
        <v/>
      </c>
      <c r="F975" s="93" t="str">
        <f t="shared" si="30"/>
        <v/>
      </c>
      <c r="G975" s="93"/>
      <c r="H975" s="136"/>
      <c r="K975" s="93"/>
      <c r="L975" s="93" t="str">
        <f t="shared" si="29"/>
        <v/>
      </c>
    </row>
    <row r="976" spans="1:12" s="89" customFormat="1">
      <c r="A976" s="89" t="str">
        <f>IF(Registro!B976="","",Registro!B976)</f>
        <v/>
      </c>
      <c r="B976" s="89" t="str">
        <f>IF(Registro!B976="","",Registro!H976)</f>
        <v/>
      </c>
      <c r="C976" s="137" t="str">
        <f>IF(Registro!B976="","",Registro!L976)</f>
        <v/>
      </c>
      <c r="D976" s="89" t="str">
        <f>IF(Registro!B976="","",Registro!M976)</f>
        <v/>
      </c>
      <c r="E976" s="136" t="str">
        <f>IF(A976="","",_xlfn.XLOOKUP(A976,Registro!$B$8:$B$997,Registro!$R$8:$R$997,"N/E",0))</f>
        <v/>
      </c>
      <c r="F976" s="93" t="str">
        <f t="shared" si="30"/>
        <v/>
      </c>
      <c r="G976" s="93"/>
      <c r="H976" s="136"/>
      <c r="K976" s="93"/>
      <c r="L976" s="93" t="str">
        <f t="shared" si="29"/>
        <v/>
      </c>
    </row>
    <row r="977" spans="1:12" s="89" customFormat="1">
      <c r="A977" s="89" t="str">
        <f>IF(Registro!B977="","",Registro!B977)</f>
        <v/>
      </c>
      <c r="B977" s="89" t="str">
        <f>IF(Registro!B977="","",Registro!H977)</f>
        <v/>
      </c>
      <c r="C977" s="137" t="str">
        <f>IF(Registro!B977="","",Registro!L977)</f>
        <v/>
      </c>
      <c r="D977" s="89" t="str">
        <f>IF(Registro!B977="","",Registro!M977)</f>
        <v/>
      </c>
      <c r="E977" s="136" t="str">
        <f>IF(A977="","",_xlfn.XLOOKUP(A977,Registro!$B$8:$B$997,Registro!$R$8:$R$997,"N/E",0))</f>
        <v/>
      </c>
      <c r="F977" s="93" t="str">
        <f t="shared" si="30"/>
        <v/>
      </c>
      <c r="G977" s="93"/>
      <c r="H977" s="136"/>
      <c r="K977" s="93"/>
      <c r="L977" s="93" t="str">
        <f t="shared" si="29"/>
        <v/>
      </c>
    </row>
    <row r="978" spans="1:12" s="89" customFormat="1">
      <c r="A978" s="89" t="str">
        <f>IF(Registro!B978="","",Registro!B978)</f>
        <v/>
      </c>
      <c r="B978" s="89" t="str">
        <f>IF(Registro!B978="","",Registro!H978)</f>
        <v/>
      </c>
      <c r="C978" s="137" t="str">
        <f>IF(Registro!B978="","",Registro!L978)</f>
        <v/>
      </c>
      <c r="D978" s="89" t="str">
        <f>IF(Registro!B978="","",Registro!M978)</f>
        <v/>
      </c>
      <c r="E978" s="136" t="str">
        <f>IF(A978="","",_xlfn.XLOOKUP(A978,Registro!$B$8:$B$997,Registro!$R$8:$R$997,"N/E",0))</f>
        <v/>
      </c>
      <c r="F978" s="93" t="str">
        <f t="shared" si="30"/>
        <v/>
      </c>
      <c r="G978" s="93"/>
      <c r="H978" s="136"/>
      <c r="K978" s="93"/>
      <c r="L978" s="93" t="str">
        <f t="shared" ref="L978:L1041" si="31">IF(OR(K978="N/A",K978=""),"",NETWORKDAYS(C978,K978))</f>
        <v/>
      </c>
    </row>
    <row r="979" spans="1:12" s="89" customFormat="1">
      <c r="A979" s="89" t="str">
        <f>IF(Registro!B979="","",Registro!B979)</f>
        <v/>
      </c>
      <c r="B979" s="89" t="str">
        <f>IF(Registro!B979="","",Registro!H979)</f>
        <v/>
      </c>
      <c r="C979" s="137" t="str">
        <f>IF(Registro!B979="","",Registro!L979)</f>
        <v/>
      </c>
      <c r="D979" s="89" t="str">
        <f>IF(Registro!B979="","",Registro!M979)</f>
        <v/>
      </c>
      <c r="E979" s="136" t="str">
        <f>IF(A979="","",_xlfn.XLOOKUP(A979,Registro!$B$8:$B$997,Registro!$R$8:$R$997,"N/E",0))</f>
        <v/>
      </c>
      <c r="F979" s="93" t="str">
        <f t="shared" si="30"/>
        <v/>
      </c>
      <c r="G979" s="93"/>
      <c r="H979" s="136"/>
      <c r="K979" s="93"/>
      <c r="L979" s="93" t="str">
        <f t="shared" si="31"/>
        <v/>
      </c>
    </row>
    <row r="980" spans="1:12" s="89" customFormat="1">
      <c r="A980" s="89" t="str">
        <f>IF(Registro!B980="","",Registro!B980)</f>
        <v/>
      </c>
      <c r="B980" s="89" t="str">
        <f>IF(Registro!B980="","",Registro!H980)</f>
        <v/>
      </c>
      <c r="C980" s="137" t="str">
        <f>IF(Registro!B980="","",Registro!L980)</f>
        <v/>
      </c>
      <c r="D980" s="89" t="str">
        <f>IF(Registro!B980="","",Registro!M980)</f>
        <v/>
      </c>
      <c r="E980" s="136" t="str">
        <f>IF(A980="","",_xlfn.XLOOKUP(A980,Registro!$B$8:$B$997,Registro!$R$8:$R$997,"N/E",0))</f>
        <v/>
      </c>
      <c r="F980" s="93" t="str">
        <f t="shared" si="30"/>
        <v/>
      </c>
      <c r="G980" s="93"/>
      <c r="H980" s="136"/>
      <c r="K980" s="93"/>
      <c r="L980" s="93" t="str">
        <f t="shared" si="31"/>
        <v/>
      </c>
    </row>
    <row r="981" spans="1:12" s="89" customFormat="1">
      <c r="A981" s="89" t="str">
        <f>IF(Registro!B981="","",Registro!B981)</f>
        <v/>
      </c>
      <c r="B981" s="89" t="str">
        <f>IF(Registro!B981="","",Registro!H981)</f>
        <v/>
      </c>
      <c r="C981" s="137" t="str">
        <f>IF(Registro!B981="","",Registro!L981)</f>
        <v/>
      </c>
      <c r="D981" s="89" t="str">
        <f>IF(Registro!B981="","",Registro!M981)</f>
        <v/>
      </c>
      <c r="E981" s="136" t="str">
        <f>IF(A981="","",_xlfn.XLOOKUP(A981,Registro!$B$8:$B$997,Registro!$R$8:$R$997,"N/E",0))</f>
        <v/>
      </c>
      <c r="F981" s="93" t="str">
        <f t="shared" si="30"/>
        <v/>
      </c>
      <c r="G981" s="93"/>
      <c r="H981" s="136"/>
      <c r="K981" s="93"/>
      <c r="L981" s="93" t="str">
        <f t="shared" si="31"/>
        <v/>
      </c>
    </row>
    <row r="982" spans="1:12" s="89" customFormat="1">
      <c r="A982" s="89" t="str">
        <f>IF(Registro!B982="","",Registro!B982)</f>
        <v/>
      </c>
      <c r="B982" s="89" t="str">
        <f>IF(Registro!B982="","",Registro!H982)</f>
        <v/>
      </c>
      <c r="C982" s="137" t="str">
        <f>IF(Registro!B982="","",Registro!L982)</f>
        <v/>
      </c>
      <c r="D982" s="89" t="str">
        <f>IF(Registro!B982="","",Registro!M982)</f>
        <v/>
      </c>
      <c r="E982" s="136" t="str">
        <f>IF(A982="","",_xlfn.XLOOKUP(A982,Registro!$B$8:$B$997,Registro!$R$8:$R$997,"N/E",0))</f>
        <v/>
      </c>
      <c r="F982" s="93" t="str">
        <f t="shared" si="30"/>
        <v/>
      </c>
      <c r="G982" s="93"/>
      <c r="H982" s="136"/>
      <c r="K982" s="93"/>
      <c r="L982" s="93" t="str">
        <f t="shared" si="31"/>
        <v/>
      </c>
    </row>
    <row r="983" spans="1:12" s="89" customFormat="1">
      <c r="A983" s="89" t="str">
        <f>IF(Registro!B983="","",Registro!B983)</f>
        <v/>
      </c>
      <c r="B983" s="89" t="str">
        <f>IF(Registro!B983="","",Registro!H983)</f>
        <v/>
      </c>
      <c r="C983" s="137" t="str">
        <f>IF(Registro!B983="","",Registro!L983)</f>
        <v/>
      </c>
      <c r="D983" s="89" t="str">
        <f>IF(Registro!B983="","",Registro!M983)</f>
        <v/>
      </c>
      <c r="E983" s="136" t="str">
        <f>IF(A983="","",_xlfn.XLOOKUP(A983,Registro!$B$8:$B$997,Registro!$R$8:$R$997,"N/E",0))</f>
        <v/>
      </c>
      <c r="F983" s="93" t="str">
        <f t="shared" si="30"/>
        <v/>
      </c>
      <c r="G983" s="93"/>
      <c r="H983" s="136"/>
      <c r="K983" s="93"/>
      <c r="L983" s="93" t="str">
        <f t="shared" si="31"/>
        <v/>
      </c>
    </row>
    <row r="984" spans="1:12" s="89" customFormat="1">
      <c r="A984" s="89" t="str">
        <f>IF(Registro!B984="","",Registro!B984)</f>
        <v/>
      </c>
      <c r="B984" s="89" t="str">
        <f>IF(Registro!B984="","",Registro!H984)</f>
        <v/>
      </c>
      <c r="C984" s="137" t="str">
        <f>IF(Registro!B984="","",Registro!L984)</f>
        <v/>
      </c>
      <c r="D984" s="89" t="str">
        <f>IF(Registro!B984="","",Registro!M984)</f>
        <v/>
      </c>
      <c r="E984" s="136" t="str">
        <f>IF(A984="","",_xlfn.XLOOKUP(A984,Registro!$B$8:$B$997,Registro!$R$8:$R$997,"N/E",0))</f>
        <v/>
      </c>
      <c r="F984" s="93" t="str">
        <f t="shared" si="30"/>
        <v/>
      </c>
      <c r="G984" s="93"/>
      <c r="H984" s="136"/>
      <c r="K984" s="93"/>
      <c r="L984" s="93" t="str">
        <f t="shared" si="31"/>
        <v/>
      </c>
    </row>
    <row r="985" spans="1:12" s="89" customFormat="1">
      <c r="A985" s="89" t="str">
        <f>IF(Registro!B985="","",Registro!B985)</f>
        <v/>
      </c>
      <c r="B985" s="89" t="str">
        <f>IF(Registro!B985="","",Registro!H985)</f>
        <v/>
      </c>
      <c r="C985" s="137" t="str">
        <f>IF(Registro!B985="","",Registro!L985)</f>
        <v/>
      </c>
      <c r="D985" s="89" t="str">
        <f>IF(Registro!B985="","",Registro!M985)</f>
        <v/>
      </c>
      <c r="E985" s="136" t="str">
        <f>IF(A985="","",_xlfn.XLOOKUP(A985,Registro!$B$8:$B$997,Registro!$R$8:$R$997,"N/E",0))</f>
        <v/>
      </c>
      <c r="F985" s="93" t="str">
        <f t="shared" si="30"/>
        <v/>
      </c>
      <c r="G985" s="93"/>
      <c r="H985" s="136"/>
      <c r="K985" s="93"/>
      <c r="L985" s="93" t="str">
        <f t="shared" si="31"/>
        <v/>
      </c>
    </row>
    <row r="986" spans="1:12" s="89" customFormat="1">
      <c r="A986" s="89" t="str">
        <f>IF(Registro!B986="","",Registro!B986)</f>
        <v/>
      </c>
      <c r="B986" s="89" t="str">
        <f>IF(Registro!B986="","",Registro!H986)</f>
        <v/>
      </c>
      <c r="C986" s="137" t="str">
        <f>IF(Registro!B986="","",Registro!L986)</f>
        <v/>
      </c>
      <c r="D986" s="89" t="str">
        <f>IF(Registro!B986="","",Registro!M986)</f>
        <v/>
      </c>
      <c r="E986" s="136" t="str">
        <f>IF(A986="","",_xlfn.XLOOKUP(A986,Registro!$B$8:$B$997,Registro!$R$8:$R$997,"N/E",0))</f>
        <v/>
      </c>
      <c r="F986" s="93" t="str">
        <f t="shared" si="30"/>
        <v/>
      </c>
      <c r="G986" s="93"/>
      <c r="H986" s="136"/>
      <c r="K986" s="93"/>
      <c r="L986" s="93" t="str">
        <f t="shared" si="31"/>
        <v/>
      </c>
    </row>
    <row r="987" spans="1:12" s="89" customFormat="1">
      <c r="A987" s="89" t="str">
        <f>IF(Registro!B987="","",Registro!B987)</f>
        <v/>
      </c>
      <c r="B987" s="89" t="str">
        <f>IF(Registro!B987="","",Registro!H987)</f>
        <v/>
      </c>
      <c r="C987" s="137" t="str">
        <f>IF(Registro!B987="","",Registro!L987)</f>
        <v/>
      </c>
      <c r="D987" s="89" t="str">
        <f>IF(Registro!B987="","",Registro!M987)</f>
        <v/>
      </c>
      <c r="E987" s="136" t="str">
        <f>IF(A987="","",_xlfn.XLOOKUP(A987,Registro!$B$8:$B$997,Registro!$R$8:$R$997,"N/E",0))</f>
        <v/>
      </c>
      <c r="F987" s="93" t="str">
        <f t="shared" si="30"/>
        <v/>
      </c>
      <c r="G987" s="93"/>
      <c r="H987" s="136"/>
      <c r="K987" s="93"/>
      <c r="L987" s="93" t="str">
        <f t="shared" si="31"/>
        <v/>
      </c>
    </row>
    <row r="988" spans="1:12" s="89" customFormat="1">
      <c r="A988" s="89" t="str">
        <f>IF(Registro!B988="","",Registro!B988)</f>
        <v/>
      </c>
      <c r="B988" s="89" t="str">
        <f>IF(Registro!B988="","",Registro!H988)</f>
        <v/>
      </c>
      <c r="C988" s="137" t="str">
        <f>IF(Registro!B988="","",Registro!L988)</f>
        <v/>
      </c>
      <c r="D988" s="89" t="str">
        <f>IF(Registro!B988="","",Registro!M988)</f>
        <v/>
      </c>
      <c r="E988" s="136" t="str">
        <f>IF(A988="","",_xlfn.XLOOKUP(A988,Registro!$B$8:$B$997,Registro!$R$8:$R$997,"N/E",0))</f>
        <v/>
      </c>
      <c r="F988" s="93" t="str">
        <f t="shared" si="30"/>
        <v/>
      </c>
      <c r="G988" s="93"/>
      <c r="H988" s="136"/>
      <c r="K988" s="93"/>
      <c r="L988" s="93" t="str">
        <f t="shared" si="31"/>
        <v/>
      </c>
    </row>
    <row r="989" spans="1:12" s="89" customFormat="1">
      <c r="A989" s="89" t="str">
        <f>IF(Registro!B989="","",Registro!B989)</f>
        <v/>
      </c>
      <c r="B989" s="89" t="str">
        <f>IF(Registro!B989="","",Registro!H989)</f>
        <v/>
      </c>
      <c r="C989" s="137" t="str">
        <f>IF(Registro!B989="","",Registro!L989)</f>
        <v/>
      </c>
      <c r="D989" s="89" t="str">
        <f>IF(Registro!B989="","",Registro!M989)</f>
        <v/>
      </c>
      <c r="E989" s="136" t="str">
        <f>IF(A989="","",_xlfn.XLOOKUP(A989,Registro!$B$8:$B$997,Registro!$R$8:$R$997,"N/E",0))</f>
        <v/>
      </c>
      <c r="F989" s="93" t="str">
        <f t="shared" si="30"/>
        <v/>
      </c>
      <c r="G989" s="93"/>
      <c r="H989" s="136"/>
      <c r="K989" s="93"/>
      <c r="L989" s="93" t="str">
        <f t="shared" si="31"/>
        <v/>
      </c>
    </row>
    <row r="990" spans="1:12" s="89" customFormat="1">
      <c r="A990" s="89" t="str">
        <f>IF(Registro!B990="","",Registro!B990)</f>
        <v/>
      </c>
      <c r="B990" s="89" t="str">
        <f>IF(Registro!B990="","",Registro!H990)</f>
        <v/>
      </c>
      <c r="C990" s="137" t="str">
        <f>IF(Registro!B990="","",Registro!L990)</f>
        <v/>
      </c>
      <c r="D990" s="89" t="str">
        <f>IF(Registro!B990="","",Registro!M990)</f>
        <v/>
      </c>
      <c r="E990" s="136" t="str">
        <f>IF(A990="","",_xlfn.XLOOKUP(A990,Registro!$B$8:$B$997,Registro!$R$8:$R$997,"N/E",0))</f>
        <v/>
      </c>
      <c r="F990" s="93" t="str">
        <f t="shared" si="30"/>
        <v/>
      </c>
      <c r="G990" s="93"/>
      <c r="H990" s="136"/>
      <c r="K990" s="93"/>
      <c r="L990" s="93" t="str">
        <f t="shared" si="31"/>
        <v/>
      </c>
    </row>
    <row r="991" spans="1:12" s="89" customFormat="1">
      <c r="A991" s="89" t="str">
        <f>IF(Registro!B991="","",Registro!B991)</f>
        <v/>
      </c>
      <c r="B991" s="89" t="str">
        <f>IF(Registro!B991="","",Registro!H991)</f>
        <v/>
      </c>
      <c r="C991" s="137" t="str">
        <f>IF(Registro!B991="","",Registro!L991)</f>
        <v/>
      </c>
      <c r="D991" s="89" t="str">
        <f>IF(Registro!B991="","",Registro!M991)</f>
        <v/>
      </c>
      <c r="E991" s="136" t="str">
        <f>IF(A991="","",_xlfn.XLOOKUP(A991,Registro!$B$8:$B$997,Registro!$R$8:$R$997,"N/E",0))</f>
        <v/>
      </c>
      <c r="F991" s="93" t="str">
        <f t="shared" si="30"/>
        <v/>
      </c>
      <c r="G991" s="93"/>
      <c r="H991" s="136"/>
      <c r="K991" s="93"/>
      <c r="L991" s="93" t="str">
        <f t="shared" si="31"/>
        <v/>
      </c>
    </row>
    <row r="992" spans="1:12" s="89" customFormat="1">
      <c r="A992" s="89" t="str">
        <f>IF(Registro!B992="","",Registro!B992)</f>
        <v/>
      </c>
      <c r="B992" s="89" t="str">
        <f>IF(Registro!B992="","",Registro!H992)</f>
        <v/>
      </c>
      <c r="C992" s="137" t="str">
        <f>IF(Registro!B992="","",Registro!L992)</f>
        <v/>
      </c>
      <c r="D992" s="89" t="str">
        <f>IF(Registro!B992="","",Registro!M992)</f>
        <v/>
      </c>
      <c r="E992" s="136" t="str">
        <f>IF(A992="","",_xlfn.XLOOKUP(A992,Registro!$B$8:$B$997,Registro!$R$8:$R$997,"N/E",0))</f>
        <v/>
      </c>
      <c r="F992" s="93" t="str">
        <f t="shared" si="30"/>
        <v/>
      </c>
      <c r="G992" s="93"/>
      <c r="H992" s="136"/>
      <c r="K992" s="93"/>
      <c r="L992" s="93" t="str">
        <f t="shared" si="31"/>
        <v/>
      </c>
    </row>
    <row r="993" spans="1:14" s="89" customFormat="1">
      <c r="A993" s="89" t="str">
        <f>IF(Registro!B993="","",Registro!B993)</f>
        <v/>
      </c>
      <c r="B993" s="89" t="str">
        <f>IF(Registro!B993="","",Registro!H993)</f>
        <v/>
      </c>
      <c r="C993" s="137" t="str">
        <f>IF(Registro!B993="","",Registro!L993)</f>
        <v/>
      </c>
      <c r="D993" s="89" t="str">
        <f>IF(Registro!B993="","",Registro!M993)</f>
        <v/>
      </c>
      <c r="E993" s="136" t="str">
        <f>IF(A993="","",_xlfn.XLOOKUP(A993,Registro!$B$8:$B$997,Registro!$R$8:$R$997,"N/E",0))</f>
        <v/>
      </c>
      <c r="F993" s="93" t="str">
        <f t="shared" si="30"/>
        <v/>
      </c>
      <c r="G993" s="93"/>
      <c r="H993" s="136"/>
      <c r="K993" s="93"/>
      <c r="L993" s="93" t="str">
        <f t="shared" si="31"/>
        <v/>
      </c>
    </row>
    <row r="994" spans="1:14" s="89" customFormat="1">
      <c r="A994" s="89" t="str">
        <f>IF(Registro!B994="","",Registro!B994)</f>
        <v/>
      </c>
      <c r="B994" s="89" t="str">
        <f>IF(Registro!B994="","",Registro!H994)</f>
        <v/>
      </c>
      <c r="C994" s="137" t="str">
        <f>IF(Registro!B994="","",Registro!L994)</f>
        <v/>
      </c>
      <c r="D994" s="89" t="str">
        <f>IF(Registro!B994="","",Registro!M994)</f>
        <v/>
      </c>
      <c r="E994" s="136" t="str">
        <f>IF(A994="","",_xlfn.XLOOKUP(A994,Registro!$B$8:$B$997,Registro!$R$8:$R$997,"N/E",0))</f>
        <v/>
      </c>
      <c r="F994" s="93" t="str">
        <f t="shared" si="30"/>
        <v/>
      </c>
      <c r="G994" s="93"/>
      <c r="H994" s="136"/>
      <c r="K994" s="93"/>
      <c r="L994" s="93" t="str">
        <f t="shared" si="31"/>
        <v/>
      </c>
    </row>
    <row r="995" spans="1:14" s="89" customFormat="1">
      <c r="A995" s="89" t="str">
        <f>IF(Registro!B995="","",Registro!B995)</f>
        <v/>
      </c>
      <c r="B995" s="89" t="str">
        <f>IF(Registro!B995="","",Registro!H995)</f>
        <v/>
      </c>
      <c r="C995" s="137" t="str">
        <f>IF(Registro!B995="","",Registro!L995)</f>
        <v/>
      </c>
      <c r="D995" s="89" t="str">
        <f>IF(Registro!B995="","",Registro!M995)</f>
        <v/>
      </c>
      <c r="E995" s="136" t="str">
        <f>IF(A995="","",_xlfn.XLOOKUP(A995,Registro!$B$8:$B$997,Registro!$R$8:$R$997,"N/E",0))</f>
        <v/>
      </c>
      <c r="F995" s="93" t="str">
        <f t="shared" si="30"/>
        <v/>
      </c>
      <c r="G995" s="93"/>
      <c r="H995" s="136"/>
      <c r="K995" s="93"/>
      <c r="L995" s="93" t="str">
        <f t="shared" si="31"/>
        <v/>
      </c>
    </row>
    <row r="996" spans="1:14" s="89" customFormat="1">
      <c r="A996" s="89" t="str">
        <f>IF(Registro!B996="","",Registro!B996)</f>
        <v/>
      </c>
      <c r="B996" s="89" t="str">
        <f>IF(Registro!B996="","",Registro!H996)</f>
        <v/>
      </c>
      <c r="C996" s="137" t="str">
        <f>IF(Registro!B996="","",Registro!L996)</f>
        <v/>
      </c>
      <c r="D996" s="89" t="str">
        <f>IF(Registro!B996="","",Registro!M996)</f>
        <v/>
      </c>
      <c r="E996" s="136" t="str">
        <f>IF(A996="","",_xlfn.XLOOKUP(A996,Registro!$B$8:$B$997,Registro!$R$8:$R$997,"N/E",0))</f>
        <v/>
      </c>
      <c r="F996" s="93" t="str">
        <f t="shared" si="30"/>
        <v/>
      </c>
      <c r="G996" s="93"/>
      <c r="H996" s="136"/>
      <c r="K996" s="93"/>
      <c r="L996" s="93" t="str">
        <f t="shared" si="31"/>
        <v/>
      </c>
    </row>
    <row r="997" spans="1:14" s="89" customFormat="1">
      <c r="A997" s="89" t="str">
        <f>IF(Registro!B997="","",Registro!B997)</f>
        <v/>
      </c>
      <c r="B997" s="89" t="str">
        <f>IF(Registro!B997="","",Registro!H997)</f>
        <v/>
      </c>
      <c r="C997" s="137" t="str">
        <f>IF(Registro!B997="","",Registro!L997)</f>
        <v/>
      </c>
      <c r="D997" s="89" t="str">
        <f>IF(Registro!B997="","",Registro!M997)</f>
        <v/>
      </c>
      <c r="E997" s="136" t="str">
        <f>IF(A997="","",_xlfn.XLOOKUP(A997,Registro!$B$8:$B$997,Registro!$R$8:$R$997,"N/E",0))</f>
        <v/>
      </c>
      <c r="F997" s="93" t="str">
        <f t="shared" si="30"/>
        <v/>
      </c>
      <c r="G997" s="93"/>
      <c r="H997" s="136"/>
      <c r="K997" s="93"/>
      <c r="L997" s="93" t="str">
        <f t="shared" si="31"/>
        <v/>
      </c>
    </row>
    <row r="998" spans="1:14" s="89" customFormat="1">
      <c r="A998" s="89" t="str">
        <f>IF(Registro!B998="","",Registro!B998)</f>
        <v/>
      </c>
      <c r="B998" s="89" t="str">
        <f>IF(Registro!B998="","",Registro!H998)</f>
        <v/>
      </c>
      <c r="C998" s="137" t="str">
        <f>IF(Registro!B998="","",Registro!L998)</f>
        <v/>
      </c>
      <c r="D998" s="89" t="str">
        <f>IF(Registro!B998="","",Registro!M998)</f>
        <v/>
      </c>
      <c r="E998" s="136" t="str">
        <f>IF(A998="","",_xlfn.XLOOKUP(A998,Registro!$B$8:$B$997,Registro!$R$8:$R$997,"N/E",0))</f>
        <v/>
      </c>
      <c r="F998" s="93" t="str">
        <f t="shared" si="30"/>
        <v/>
      </c>
      <c r="G998" s="93"/>
      <c r="H998" s="136"/>
      <c r="K998" s="93"/>
      <c r="L998" s="93" t="str">
        <f t="shared" si="31"/>
        <v/>
      </c>
    </row>
    <row r="999" spans="1:14">
      <c r="A999" s="89" t="str">
        <f>IF(Registro!B999="","",Registro!B999)</f>
        <v/>
      </c>
      <c r="B999" s="89" t="str">
        <f>IF(Registro!B999="","",Registro!H999)</f>
        <v/>
      </c>
      <c r="C999" s="137" t="str">
        <f>IF(Registro!B999="","",Registro!L999)</f>
        <v/>
      </c>
      <c r="D999" s="89" t="str">
        <f>IF(Registro!B999="","",Registro!M999)</f>
        <v/>
      </c>
      <c r="E999" s="136" t="str">
        <f>IF(A999="","",_xlfn.XLOOKUP(A999,Registro!$B$8:$B$997,Registro!$R$8:$R$997,"N/E",0))</f>
        <v/>
      </c>
      <c r="F999" s="93" t="str">
        <f t="shared" si="30"/>
        <v/>
      </c>
      <c r="G999" s="93"/>
      <c r="H999" s="136"/>
      <c r="K999" s="93"/>
      <c r="L999" s="93" t="str">
        <f t="shared" si="31"/>
        <v/>
      </c>
      <c r="M999" s="89"/>
      <c r="N999" s="89"/>
    </row>
  </sheetData>
  <conditionalFormatting sqref="A50">
    <cfRule type="duplicateValues" dxfId="33" priority="14"/>
  </conditionalFormatting>
  <conditionalFormatting sqref="A62">
    <cfRule type="duplicateValues" dxfId="32" priority="13"/>
  </conditionalFormatting>
  <conditionalFormatting sqref="A70">
    <cfRule type="duplicateValues" dxfId="31" priority="11"/>
  </conditionalFormatting>
  <conditionalFormatting sqref="A72">
    <cfRule type="duplicateValues" dxfId="30" priority="10"/>
  </conditionalFormatting>
  <conditionalFormatting sqref="A75">
    <cfRule type="duplicateValues" dxfId="29" priority="2"/>
  </conditionalFormatting>
  <conditionalFormatting sqref="A76">
    <cfRule type="duplicateValues" dxfId="28" priority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workbookViewId="0">
      <selection activeCell="O22" sqref="O22"/>
    </sheetView>
  </sheetViews>
  <sheetFormatPr baseColWidth="10" defaultColWidth="11" defaultRowHeight="14.4"/>
  <cols>
    <col min="1" max="1" width="14" customWidth="1"/>
    <col min="2" max="2" width="12" customWidth="1"/>
    <col min="3" max="4" width="10" bestFit="1" customWidth="1"/>
    <col min="7" max="7" width="11" bestFit="1" customWidth="1"/>
    <col min="8" max="9" width="11" customWidth="1"/>
  </cols>
  <sheetData>
    <row r="1" spans="1:11">
      <c r="D1" t="s">
        <v>463</v>
      </c>
      <c r="E1" t="s">
        <v>464</v>
      </c>
      <c r="F1" t="s">
        <v>465</v>
      </c>
      <c r="G1" t="s">
        <v>466</v>
      </c>
      <c r="H1" t="s">
        <v>79</v>
      </c>
      <c r="I1" t="s">
        <v>76</v>
      </c>
    </row>
    <row r="2" spans="1:11">
      <c r="D2" s="29">
        <f>SUM(Ejecucion[Cantidad de Participantes nombrados])</f>
        <v>7218</v>
      </c>
      <c r="E2" s="29">
        <f>SUM(Ejecucion[Participantes Aprobados])</f>
        <v>409</v>
      </c>
      <c r="F2" s="29">
        <f>SUM(Ejecucion[Participantes Reprobados])</f>
        <v>6</v>
      </c>
      <c r="G2" s="29">
        <f>SUM(Ejecucion[Participantes Inactivos])</f>
        <v>36</v>
      </c>
      <c r="H2" s="29">
        <f>SUMIF(Ejecucion[Estado],"En Proceso",Ejecucion[Cantidad de Participantes nombrados])</f>
        <v>29</v>
      </c>
      <c r="I2" s="29">
        <f>SUMIF(Ejecucion[Estado],"No Iniciado",Ejecucion[Cantidad de Participantes nombrados])</f>
        <v>0</v>
      </c>
      <c r="K2">
        <f>+D2-(E2+F2)</f>
        <v>6803</v>
      </c>
    </row>
    <row r="3" spans="1:11">
      <c r="B3" s="29"/>
    </row>
    <row r="4" spans="1:11">
      <c r="B4" s="29"/>
    </row>
    <row r="5" spans="1:11">
      <c r="B5" t="s">
        <v>467</v>
      </c>
      <c r="C5" t="s">
        <v>468</v>
      </c>
      <c r="D5" t="s">
        <v>469</v>
      </c>
      <c r="E5" t="s">
        <v>470</v>
      </c>
      <c r="G5" t="s">
        <v>467</v>
      </c>
      <c r="H5" t="s">
        <v>470</v>
      </c>
    </row>
    <row r="6" spans="1:11">
      <c r="A6">
        <v>1</v>
      </c>
      <c r="B6" t="s">
        <v>471</v>
      </c>
      <c r="C6" s="29">
        <f>COUNTIFS(Ejecucion[Nun_MES],A6,Ejecucion[Estado],"Finalizado")</f>
        <v>3</v>
      </c>
      <c r="D6" s="29">
        <f>COUNTIFS(Ejecucion[Nun_MES],A6)</f>
        <v>3</v>
      </c>
      <c r="E6" s="29">
        <v>12</v>
      </c>
      <c r="G6" t="s">
        <v>471</v>
      </c>
      <c r="H6" s="29">
        <v>0</v>
      </c>
    </row>
    <row r="7" spans="1:11">
      <c r="A7">
        <v>2</v>
      </c>
      <c r="B7" t="s">
        <v>472</v>
      </c>
      <c r="C7" s="29">
        <f>COUNTIFS(Ejecucion[Nun_MES],A7,Ejecucion[Estado],"Finalizado")</f>
        <v>1</v>
      </c>
      <c r="D7" s="29">
        <f>COUNTIFS(Ejecucion[Nun_MES],A7)</f>
        <v>1</v>
      </c>
      <c r="E7" s="29">
        <v>48</v>
      </c>
      <c r="G7" t="s">
        <v>472</v>
      </c>
      <c r="H7" s="29">
        <v>45</v>
      </c>
    </row>
    <row r="8" spans="1:11">
      <c r="A8">
        <v>3</v>
      </c>
      <c r="B8" t="s">
        <v>473</v>
      </c>
      <c r="C8" s="29">
        <f>COUNTIFS(Ejecucion[Nun_MES],A8,Ejecucion[Estado],"Finalizado")</f>
        <v>26</v>
      </c>
      <c r="D8" s="29">
        <f>COUNTIFS(Ejecucion[Nun_MES],A8)</f>
        <v>26</v>
      </c>
      <c r="E8" s="29">
        <v>63</v>
      </c>
      <c r="G8" t="s">
        <v>473</v>
      </c>
      <c r="H8" s="29">
        <v>45</v>
      </c>
    </row>
    <row r="9" spans="1:11">
      <c r="A9">
        <v>4</v>
      </c>
      <c r="B9" t="s">
        <v>474</v>
      </c>
      <c r="C9" s="29">
        <f>COUNTIFS(Ejecucion[Nun_MES],A9,Ejecucion[Estado],"Finalizado")</f>
        <v>42</v>
      </c>
      <c r="D9" s="29">
        <f>COUNTIFS(Ejecucion[Nun_MES],A9)</f>
        <v>42</v>
      </c>
      <c r="E9" s="29">
        <v>64</v>
      </c>
      <c r="G9" t="s">
        <v>474</v>
      </c>
      <c r="H9" s="29">
        <v>40</v>
      </c>
    </row>
    <row r="10" spans="1:11">
      <c r="A10">
        <v>5</v>
      </c>
      <c r="B10" t="s">
        <v>475</v>
      </c>
      <c r="C10" s="29">
        <f>COUNTIFS(Ejecucion[Nun_MES],A10,Ejecucion[Estado],"Finalizado")</f>
        <v>33</v>
      </c>
      <c r="D10" s="29">
        <f>COUNTIFS(Ejecucion[Nun_MES],A10)</f>
        <v>33</v>
      </c>
      <c r="E10" s="29">
        <v>63</v>
      </c>
      <c r="G10" t="s">
        <v>475</v>
      </c>
      <c r="H10" s="29">
        <v>45</v>
      </c>
    </row>
    <row r="11" spans="1:11">
      <c r="A11">
        <v>6</v>
      </c>
      <c r="B11" t="s">
        <v>476</v>
      </c>
      <c r="C11" s="29">
        <f>COUNTIFS(Ejecucion[Nun_MES],A11,Ejecucion[Estado],"Finalizado")</f>
        <v>38</v>
      </c>
      <c r="D11" s="29">
        <f>COUNTIFS(Ejecucion[Nun_MES],A11)</f>
        <v>38</v>
      </c>
      <c r="E11" s="29">
        <v>98</v>
      </c>
      <c r="G11" t="s">
        <v>476</v>
      </c>
      <c r="H11" s="29">
        <v>40</v>
      </c>
    </row>
    <row r="12" spans="1:11">
      <c r="A12">
        <v>7</v>
      </c>
      <c r="B12" t="s">
        <v>477</v>
      </c>
      <c r="C12" s="29">
        <f>COUNTIFS(Ejecucion[Nun_MES],A12,Ejecucion[Estado],"Finalizado")</f>
        <v>36</v>
      </c>
      <c r="D12" s="29">
        <f>COUNTIFS(Ejecucion[Nun_MES],A12)</f>
        <v>36</v>
      </c>
      <c r="E12" s="29">
        <v>85</v>
      </c>
      <c r="G12" t="s">
        <v>477</v>
      </c>
      <c r="H12" s="29">
        <v>70</v>
      </c>
    </row>
    <row r="13" spans="1:11">
      <c r="A13">
        <v>8</v>
      </c>
      <c r="B13" t="s">
        <v>478</v>
      </c>
      <c r="C13" s="29">
        <f>COUNTIFS(Ejecucion[Nun_MES],A13,Ejecucion[Estado],"Finalizado")</f>
        <v>20</v>
      </c>
      <c r="D13" s="29">
        <f>COUNTIFS(Ejecucion[Nun_MES],A13)</f>
        <v>22</v>
      </c>
      <c r="E13" s="29">
        <v>86</v>
      </c>
      <c r="G13" t="s">
        <v>478</v>
      </c>
      <c r="H13" s="29">
        <v>62</v>
      </c>
    </row>
    <row r="14" spans="1:11">
      <c r="A14">
        <v>9</v>
      </c>
      <c r="B14" t="s">
        <v>479</v>
      </c>
      <c r="C14" s="29">
        <f>COUNTIFS(Ejecucion[Nun_MES],A14,Ejecucion[Estado],"Finalizado")</f>
        <v>30</v>
      </c>
      <c r="D14" s="29">
        <f>COUNTIFS(Ejecucion[Nun_MES],A14)</f>
        <v>32</v>
      </c>
      <c r="E14" s="29">
        <v>76</v>
      </c>
      <c r="G14" t="s">
        <v>479</v>
      </c>
      <c r="H14" s="29">
        <v>48</v>
      </c>
    </row>
    <row r="15" spans="1:11">
      <c r="A15">
        <v>10</v>
      </c>
      <c r="B15" t="s">
        <v>480</v>
      </c>
      <c r="C15" s="29">
        <f>COUNTIFS(Ejecucion[Nun_MES],A15,Ejecucion[Estado],"Finalizado")</f>
        <v>6</v>
      </c>
      <c r="D15" s="29">
        <f>COUNTIFS(Ejecucion[Nun_MES],A15)</f>
        <v>62</v>
      </c>
      <c r="E15" s="29">
        <v>63</v>
      </c>
      <c r="G15" t="s">
        <v>480</v>
      </c>
      <c r="H15" s="29">
        <v>43</v>
      </c>
    </row>
    <row r="16" spans="1:11">
      <c r="A16">
        <v>11</v>
      </c>
      <c r="B16" t="s">
        <v>481</v>
      </c>
      <c r="C16" s="29">
        <f>COUNTIFS(Ejecucion[Nun_MES],A16,Ejecucion[Estado],"Finalizado")</f>
        <v>0</v>
      </c>
      <c r="D16" s="29">
        <f>COUNTIFS(Ejecucion[Nun_MES],A16)</f>
        <v>27</v>
      </c>
      <c r="E16" s="29">
        <v>54</v>
      </c>
      <c r="G16" t="s">
        <v>481</v>
      </c>
      <c r="H16" s="29">
        <v>41</v>
      </c>
    </row>
    <row r="17" spans="1:8">
      <c r="A17">
        <v>12</v>
      </c>
      <c r="B17" t="s">
        <v>482</v>
      </c>
      <c r="C17" s="29">
        <f>COUNTIFS(Ejecucion[Nun_MES],A17,Ejecucion[Estado],"Finalizado")</f>
        <v>0</v>
      </c>
      <c r="D17" s="29">
        <f>COUNTIFS(Ejecucion[Nun_MES],A17)</f>
        <v>6</v>
      </c>
      <c r="E17" s="29">
        <v>18</v>
      </c>
      <c r="G17" t="s">
        <v>482</v>
      </c>
      <c r="H17" s="29">
        <v>22</v>
      </c>
    </row>
    <row r="18" spans="1:8">
      <c r="B18" t="s">
        <v>483</v>
      </c>
      <c r="C18" s="29">
        <f>SUM(C6:C17)</f>
        <v>235</v>
      </c>
      <c r="D18" s="29">
        <f>SUM(D6:D17)</f>
        <v>328</v>
      </c>
      <c r="E18" s="29">
        <f>SUM(E6:E17)</f>
        <v>730</v>
      </c>
      <c r="G18" t="s">
        <v>483</v>
      </c>
      <c r="H18" s="29">
        <f>SUM(H6:H17)</f>
        <v>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38"/>
  <sheetViews>
    <sheetView showGridLines="0" tabSelected="1" zoomScale="80" zoomScaleNormal="80" workbookViewId="0">
      <pane xSplit="5" ySplit="4" topLeftCell="F5" activePane="bottomRight" state="frozen"/>
      <selection pane="topRight"/>
      <selection pane="bottomLeft"/>
      <selection pane="bottomRight" activeCell="H5" sqref="H5"/>
    </sheetView>
  </sheetViews>
  <sheetFormatPr baseColWidth="10" defaultColWidth="11" defaultRowHeight="14.4"/>
  <cols>
    <col min="1" max="1" width="7" customWidth="1"/>
    <col min="2" max="2" width="13" customWidth="1"/>
    <col min="3" max="3" width="14" style="81" customWidth="1"/>
    <col min="4" max="4" width="14" customWidth="1"/>
    <col min="5" max="5" width="41.6640625" customWidth="1"/>
    <col min="6" max="6" width="18.6640625" customWidth="1"/>
    <col min="7" max="7" width="11.33203125" customWidth="1"/>
    <col min="8" max="8" width="27.109375" customWidth="1"/>
    <col min="9" max="9" width="16.5546875" customWidth="1"/>
    <col min="10" max="10" width="13.33203125" customWidth="1"/>
    <col min="11" max="11" width="13.44140625" hidden="1" customWidth="1"/>
    <col min="12" max="14" width="13" customWidth="1"/>
    <col min="15" max="15" width="13.5546875" customWidth="1"/>
    <col min="16" max="16" width="16.33203125" customWidth="1"/>
    <col min="17" max="17" width="13.5546875" customWidth="1"/>
    <col min="18" max="18" width="34.6640625" customWidth="1"/>
    <col min="19" max="19" width="17" customWidth="1"/>
    <col min="20" max="20" width="17.88671875" customWidth="1"/>
    <col min="21" max="21" width="41.88671875" customWidth="1"/>
    <col min="22" max="23" width="17" customWidth="1"/>
    <col min="24" max="24" width="40" style="55" customWidth="1"/>
    <col min="25" max="25" width="38" customWidth="1"/>
    <col min="26" max="26" width="41" customWidth="1"/>
    <col min="27" max="27" width="29" customWidth="1"/>
  </cols>
  <sheetData>
    <row r="1" spans="1:24" ht="46.2" customHeight="1">
      <c r="A1" s="222"/>
      <c r="B1" s="216"/>
      <c r="C1" s="223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24"/>
    </row>
    <row r="2" spans="1:24" ht="29.25" customHeight="1"/>
    <row r="3" spans="1:24">
      <c r="A3">
        <v>1</v>
      </c>
      <c r="R3">
        <f>COUNTIF(Ejecucion[Estado],"Finalizado")</f>
        <v>235</v>
      </c>
      <c r="T3">
        <f>SUBTOTAL(9,Ejecucion[[#All],[Cantidad de Participantes nombrados]])</f>
        <v>7218</v>
      </c>
    </row>
    <row r="4" spans="1:24" s="28" customFormat="1" ht="63.75" customHeight="1">
      <c r="A4" s="28" t="s">
        <v>484</v>
      </c>
      <c r="B4" s="55" t="s">
        <v>485</v>
      </c>
      <c r="C4" s="28" t="s">
        <v>486</v>
      </c>
      <c r="D4" s="28" t="s">
        <v>487</v>
      </c>
      <c r="E4" s="28" t="s">
        <v>4</v>
      </c>
      <c r="F4" s="28" t="s">
        <v>488</v>
      </c>
      <c r="G4" s="28" t="s">
        <v>489</v>
      </c>
      <c r="H4" s="28" t="s">
        <v>8163</v>
      </c>
      <c r="I4" s="28" t="s">
        <v>490</v>
      </c>
      <c r="J4" s="28" t="s">
        <v>491</v>
      </c>
      <c r="K4" s="28" t="s">
        <v>492</v>
      </c>
      <c r="L4" s="31" t="s">
        <v>74</v>
      </c>
      <c r="M4" s="28" t="s">
        <v>493</v>
      </c>
      <c r="N4" s="28" t="s">
        <v>494</v>
      </c>
      <c r="O4" s="28" t="s">
        <v>495</v>
      </c>
      <c r="P4" s="28" t="s">
        <v>496</v>
      </c>
      <c r="Q4" s="28" t="s">
        <v>497</v>
      </c>
      <c r="R4" s="55" t="s">
        <v>498</v>
      </c>
      <c r="S4" s="28" t="s">
        <v>499</v>
      </c>
      <c r="T4" s="28" t="s">
        <v>107</v>
      </c>
    </row>
    <row r="5" spans="1:24" ht="28.8" customHeight="1">
      <c r="A5" s="30">
        <f>ROW() - ROW(Ejecucion[[#Headers],[Correlativo]])</f>
        <v>1</v>
      </c>
      <c r="B5" s="30" t="s">
        <v>239</v>
      </c>
      <c r="C5" s="28" t="str">
        <f>IF(Ejecucion[[#This Row],[No. Solicitud]]="","",_xlfn.XLOOKUP(Ejecucion[[#This Row],[No. Solicitud]],Registro!$B$8:$B$997,Registro!$M$8:$M$997,"Sin Dato",0))</f>
        <v>Gestor 1</v>
      </c>
      <c r="D5" s="84" t="str">
        <f>IF(B5="","",HYPERLINK("#"&amp;"Registro!B"&amp;MATCH(B5,Registro!$B$8:$B$999,0)+7,"Ubicar en registro"))</f>
        <v>Ubicar en registro</v>
      </c>
      <c r="E5" s="55" t="str">
        <f>IF(C5="","",_xlfn.XLOOKUP(Ejecucion[[#This Row],[No. Solicitud]],Registro!$B$8:$B$999,Registro!$H$8:$H$999,"",0))</f>
        <v>Curso 42</v>
      </c>
      <c r="F5" s="29">
        <v>1</v>
      </c>
      <c r="G5" s="29">
        <v>42826</v>
      </c>
      <c r="H5" s="29" t="s">
        <v>500</v>
      </c>
      <c r="I5" s="97">
        <v>46118</v>
      </c>
      <c r="J5" s="94">
        <v>46122</v>
      </c>
      <c r="K5" s="29">
        <f>IF(Ejecucion[[#This Row],[Fecha Fin]]="","",MONTH(Ejecucion[[#This Row],[Fecha Fin]]))</f>
        <v>4</v>
      </c>
      <c r="L5" s="93" t="s">
        <v>75</v>
      </c>
      <c r="M5" s="29">
        <v>32</v>
      </c>
      <c r="N5" s="29">
        <v>32</v>
      </c>
      <c r="O5" s="29"/>
      <c r="P5" s="29"/>
      <c r="Q5" s="29"/>
      <c r="R5" s="93"/>
      <c r="S5" s="29"/>
      <c r="T5" s="93"/>
    </row>
    <row r="6" spans="1:24" ht="28.8" customHeight="1">
      <c r="A6" s="30">
        <f>ROW() - ROW(Ejecucion[[#Headers],[Correlativo]])</f>
        <v>2</v>
      </c>
      <c r="B6" s="30" t="s">
        <v>239</v>
      </c>
      <c r="C6" s="28" t="str">
        <f>IF(Ejecucion[[#This Row],[No. Solicitud]]="","",_xlfn.XLOOKUP(Ejecucion[[#This Row],[No. Solicitud]],Registro!$B$8:$B$997,Registro!$M$8:$M$997,"Sin Dato",0))</f>
        <v>Gestor 1</v>
      </c>
      <c r="D6" s="153" t="str">
        <f>IF(B6="","",HYPERLINK("#"&amp;"Registro!B"&amp;MATCH(B6,Registro!$B$8:$B$999,0)+7,"Ubicar en registro"))</f>
        <v>Ubicar en registro</v>
      </c>
      <c r="E6" s="55" t="str">
        <f>IF(C6="","",_xlfn.XLOOKUP(Ejecucion[[#This Row],[No. Solicitud]],Registro!$B$8:$B$999,Registro!$H$8:$H$999,"",0))</f>
        <v>Curso 42</v>
      </c>
      <c r="F6" s="29">
        <v>2</v>
      </c>
      <c r="G6" s="29">
        <v>43084</v>
      </c>
      <c r="H6" s="29" t="s">
        <v>501</v>
      </c>
      <c r="I6" s="130">
        <v>46154</v>
      </c>
      <c r="J6" s="94">
        <v>46160</v>
      </c>
      <c r="K6" s="29">
        <f>IF(Ejecucion[[#This Row],[Fecha Fin]]="","",MONTH(Ejecucion[[#This Row],[Fecha Fin]]))</f>
        <v>5</v>
      </c>
      <c r="L6" s="93" t="s">
        <v>75</v>
      </c>
      <c r="M6" s="29">
        <v>15</v>
      </c>
      <c r="N6" s="29">
        <v>14</v>
      </c>
      <c r="O6" s="29"/>
      <c r="P6" s="29"/>
      <c r="Q6" s="29"/>
      <c r="R6" s="93"/>
      <c r="S6" s="29"/>
      <c r="T6" s="93"/>
      <c r="U6" s="55"/>
    </row>
    <row r="7" spans="1:24" ht="28.8" customHeight="1">
      <c r="A7" s="30">
        <f>ROW() - ROW(Ejecucion[[#Headers],[Correlativo]])</f>
        <v>3</v>
      </c>
      <c r="B7" s="30" t="s">
        <v>239</v>
      </c>
      <c r="C7" s="28" t="str">
        <f>IF(Ejecucion[[#This Row],[No. Solicitud]]="","",_xlfn.XLOOKUP(Ejecucion[[#This Row],[No. Solicitud]],Registro!$B$8:$B$997,Registro!$M$8:$M$997,"Sin Dato",0))</f>
        <v>Gestor 1</v>
      </c>
      <c r="D7" s="153" t="str">
        <f>IF(B7="","",HYPERLINK("#"&amp;"Registro!B"&amp;MATCH(B7,Registro!$B$8:$B$999,0)+7,"Ubicar en registro"))</f>
        <v>Ubicar en registro</v>
      </c>
      <c r="E7" s="55" t="str">
        <f>IF(C7="","",_xlfn.XLOOKUP(Ejecucion[[#This Row],[No. Solicitud]],Registro!$B$8:$B$999,Registro!$H$8:$H$999,"",0))</f>
        <v>Curso 42</v>
      </c>
      <c r="F7" s="29">
        <v>3</v>
      </c>
      <c r="G7" s="29">
        <v>43245</v>
      </c>
      <c r="H7" s="29" t="s">
        <v>502</v>
      </c>
      <c r="I7" s="130">
        <v>46181</v>
      </c>
      <c r="J7" s="94">
        <v>46185</v>
      </c>
      <c r="K7" s="29">
        <f>IF(Ejecucion[[#This Row],[Fecha Fin]]="","",MONTH(Ejecucion[[#This Row],[Fecha Fin]]))</f>
        <v>6</v>
      </c>
      <c r="L7" s="93" t="s">
        <v>75</v>
      </c>
      <c r="M7" s="29">
        <v>1</v>
      </c>
      <c r="N7" s="29">
        <v>1</v>
      </c>
      <c r="O7" s="29"/>
      <c r="P7" s="29"/>
      <c r="Q7" s="29"/>
      <c r="R7" s="93"/>
      <c r="S7" s="29"/>
      <c r="T7" s="93"/>
      <c r="U7" s="55"/>
    </row>
    <row r="8" spans="1:24" ht="28.8" customHeight="1">
      <c r="A8" s="30">
        <f>ROW() - ROW(Ejecucion[[#Headers],[Correlativo]])</f>
        <v>4</v>
      </c>
      <c r="B8" s="30" t="s">
        <v>242</v>
      </c>
      <c r="C8" s="28" t="str">
        <f>IF(Ejecucion[[#This Row],[No. Solicitud]]="","",_xlfn.XLOOKUP(Ejecucion[[#This Row],[No. Solicitud]],Registro!$B$8:$B$997,Registro!$M$8:$M$997,"Sin Dato",0))</f>
        <v>Gestor 1</v>
      </c>
      <c r="D8" s="84" t="str">
        <f>IF(B8="","",HYPERLINK("#"&amp;"Registro!B"&amp;MATCH(B8,Registro!$B$8:$B$999,0)+7,"Ubicar en registro"))</f>
        <v>Ubicar en registro</v>
      </c>
      <c r="E8" s="55" t="str">
        <f>IF(C8="","",_xlfn.XLOOKUP(Ejecucion[[#This Row],[No. Solicitud]],Registro!$B$8:$B$999,Registro!$H$8:$H$999,"",0))</f>
        <v>Curso 43</v>
      </c>
      <c r="F8" s="29">
        <v>1</v>
      </c>
      <c r="G8" s="29">
        <v>43103</v>
      </c>
      <c r="H8" s="29" t="s">
        <v>503</v>
      </c>
      <c r="I8" s="97">
        <v>46160</v>
      </c>
      <c r="J8" s="94">
        <v>46164</v>
      </c>
      <c r="K8" s="29">
        <f>IF(Ejecucion[[#This Row],[Fecha Fin]]="","",MONTH(Ejecucion[[#This Row],[Fecha Fin]]))</f>
        <v>5</v>
      </c>
      <c r="L8" s="93" t="s">
        <v>75</v>
      </c>
      <c r="M8" s="29">
        <v>32</v>
      </c>
      <c r="N8" s="29">
        <v>30</v>
      </c>
      <c r="O8" s="29"/>
      <c r="P8" s="29"/>
      <c r="Q8" s="29"/>
      <c r="R8" s="93"/>
      <c r="S8" s="29"/>
      <c r="T8" s="93"/>
      <c r="W8" s="55"/>
    </row>
    <row r="9" spans="1:24" ht="28.8" customHeight="1">
      <c r="A9" s="30">
        <f>ROW() - ROW(Ejecucion[[#Headers],[Correlativo]])</f>
        <v>5</v>
      </c>
      <c r="B9" s="30" t="s">
        <v>242</v>
      </c>
      <c r="C9" s="28" t="str">
        <f>IF(Ejecucion[[#This Row],[No. Solicitud]]="","",_xlfn.XLOOKUP(Ejecucion[[#This Row],[No. Solicitud]],Registro!$B$8:$B$997,Registro!$M$8:$M$997,"Sin Dato",0))</f>
        <v>Gestor 1</v>
      </c>
      <c r="D9" s="153" t="str">
        <f>IF(B9="","",HYPERLINK("#"&amp;"Registro!B"&amp;MATCH(B9,Registro!$B$8:$B$999,0)+7,"Ubicar en registro"))</f>
        <v>Ubicar en registro</v>
      </c>
      <c r="E9" s="55" t="str">
        <f>IF(C9="","",_xlfn.XLOOKUP(Ejecucion[[#This Row],[No. Solicitud]],Registro!$B$8:$B$999,Registro!$H$8:$H$999,"",0))</f>
        <v>Curso 43</v>
      </c>
      <c r="F9" s="29">
        <v>2</v>
      </c>
      <c r="G9" s="29">
        <v>43390</v>
      </c>
      <c r="H9" s="29" t="s">
        <v>504</v>
      </c>
      <c r="I9" s="97">
        <v>46204</v>
      </c>
      <c r="J9" s="94">
        <v>46210</v>
      </c>
      <c r="K9" s="29">
        <f>IF(Ejecucion[[#This Row],[Fecha Fin]]="","",MONTH(Ejecucion[[#This Row],[Fecha Fin]]))</f>
        <v>7</v>
      </c>
      <c r="L9" s="93" t="s">
        <v>75</v>
      </c>
      <c r="M9" s="29">
        <v>21</v>
      </c>
      <c r="N9" s="29">
        <v>13</v>
      </c>
      <c r="O9" s="29"/>
      <c r="P9" s="29"/>
      <c r="Q9" s="29"/>
      <c r="R9" s="93"/>
      <c r="S9" s="29"/>
      <c r="T9" s="93"/>
      <c r="W9" s="55"/>
    </row>
    <row r="10" spans="1:24" ht="28.8" customHeight="1">
      <c r="A10" s="30">
        <f>ROW() - ROW(Ejecucion[[#Headers],[Correlativo]])</f>
        <v>6</v>
      </c>
      <c r="B10" s="30" t="s">
        <v>242</v>
      </c>
      <c r="C10" s="28" t="str">
        <f>IF(Ejecucion[[#This Row],[No. Solicitud]]="","",_xlfn.XLOOKUP(Ejecucion[[#This Row],[No. Solicitud]],Registro!$B$8:$B$997,Registro!$M$8:$M$997,"Sin Dato",0))</f>
        <v>Gestor 1</v>
      </c>
      <c r="D10" s="153" t="str">
        <f>IF(B10="","",HYPERLINK("#"&amp;"Registro!B"&amp;MATCH(B10,Registro!$B$8:$B$999,0)+7,"Ubicar en registro"))</f>
        <v>Ubicar en registro</v>
      </c>
      <c r="E10" s="55" t="str">
        <f>IF(C10="","",_xlfn.XLOOKUP(Ejecucion[[#This Row],[No. Solicitud]],Registro!$B$8:$B$999,Registro!$H$8:$H$999,"",0))</f>
        <v>Curso 43</v>
      </c>
      <c r="F10" s="29">
        <v>3</v>
      </c>
      <c r="G10" s="29">
        <v>43597</v>
      </c>
      <c r="H10" s="29" t="s">
        <v>505</v>
      </c>
      <c r="I10" s="97">
        <v>46230</v>
      </c>
      <c r="J10" s="94">
        <v>46234</v>
      </c>
      <c r="K10" s="29">
        <f>IF(Ejecucion[[#This Row],[Fecha Fin]]="","",MONTH(Ejecucion[[#This Row],[Fecha Fin]]))</f>
        <v>7</v>
      </c>
      <c r="L10" s="93" t="s">
        <v>75</v>
      </c>
      <c r="M10" s="29">
        <v>4</v>
      </c>
      <c r="N10" s="29">
        <v>3</v>
      </c>
      <c r="O10" s="29"/>
      <c r="P10" s="29"/>
      <c r="Q10" s="29"/>
      <c r="R10" s="93"/>
      <c r="S10" s="29"/>
      <c r="T10" s="93"/>
      <c r="W10" s="55"/>
    </row>
    <row r="11" spans="1:24" ht="28.8" customHeight="1">
      <c r="A11" s="30">
        <f>ROW() - ROW(Ejecucion[[#Headers],[Correlativo]])</f>
        <v>7</v>
      </c>
      <c r="B11" s="30" t="s">
        <v>242</v>
      </c>
      <c r="C11" s="28" t="str">
        <f>IF(Ejecucion[[#This Row],[No. Solicitud]]="","",_xlfn.XLOOKUP(Ejecucion[[#This Row],[No. Solicitud]],Registro!$B$8:$B$997,Registro!$M$8:$M$997,"Sin Dato",0))</f>
        <v>Gestor 1</v>
      </c>
      <c r="D11" s="153" t="str">
        <f>IF(B11="","",HYPERLINK("#"&amp;"Registro!B"&amp;MATCH(B11,Registro!$B$8:$B$999,0)+7,"Ubicar en registro"))</f>
        <v>Ubicar en registro</v>
      </c>
      <c r="E11" s="55" t="str">
        <f>IF(C11="","",_xlfn.XLOOKUP(Ejecucion[[#This Row],[No. Solicitud]],Registro!$B$8:$B$999,Registro!$H$8:$H$999,"",0))</f>
        <v>Curso 43</v>
      </c>
      <c r="F11" s="29">
        <v>4</v>
      </c>
      <c r="G11" s="29">
        <v>43854</v>
      </c>
      <c r="H11" s="29" t="s">
        <v>506</v>
      </c>
      <c r="I11" s="97">
        <v>46266</v>
      </c>
      <c r="J11" s="94">
        <v>46272</v>
      </c>
      <c r="K11" s="29">
        <f>IF(Ejecucion[[#This Row],[Fecha Fin]]="","",MONTH(Ejecucion[[#This Row],[Fecha Fin]]))</f>
        <v>9</v>
      </c>
      <c r="L11" s="93" t="s">
        <v>79</v>
      </c>
      <c r="M11" s="29">
        <v>1</v>
      </c>
      <c r="N11" s="29">
        <v>1</v>
      </c>
      <c r="O11" s="29"/>
      <c r="P11" s="29"/>
      <c r="Q11" s="29"/>
      <c r="R11" s="93"/>
      <c r="S11" s="29"/>
      <c r="T11" s="93"/>
      <c r="W11" s="55"/>
    </row>
    <row r="12" spans="1:24" ht="28.8" customHeight="1">
      <c r="A12" s="30">
        <f>ROW() - ROW(Ejecucion[[#Headers],[Correlativo]])</f>
        <v>8</v>
      </c>
      <c r="B12" s="30" t="s">
        <v>253</v>
      </c>
      <c r="C12" s="28" t="str">
        <f>IF(Ejecucion[[#This Row],[No. Solicitud]]="","",_xlfn.XLOOKUP(Ejecucion[[#This Row],[No. Solicitud]],Registro!$B$8:$B$997,Registro!$M$8:$M$997,"Sin Dato",0))</f>
        <v>Gestor 1</v>
      </c>
      <c r="D12" s="84" t="str">
        <f>IF(B12="","",HYPERLINK("#"&amp;"Registro!B"&amp;MATCH(B12,Registro!$B$8:$B$999,0)+7,"Ubicar en registro"))</f>
        <v>Ubicar en registro</v>
      </c>
      <c r="E12" s="55" t="str">
        <f>IF(C12="","",_xlfn.XLOOKUP(Ejecucion[[#This Row],[No. Solicitud]],Registro!$B$8:$B$999,Registro!$H$8:$H$999,"",0))</f>
        <v>Curso 48</v>
      </c>
      <c r="F12" s="29">
        <v>1</v>
      </c>
      <c r="G12" s="29">
        <v>42670</v>
      </c>
      <c r="H12" s="29" t="s">
        <v>507</v>
      </c>
      <c r="I12" s="97">
        <v>46090</v>
      </c>
      <c r="J12" s="94">
        <v>46196</v>
      </c>
      <c r="K12" s="29">
        <f>IF(Ejecucion[[#This Row],[Fecha Fin]]="","",MONTH(Ejecucion[[#This Row],[Fecha Fin]]))</f>
        <v>6</v>
      </c>
      <c r="L12" s="93" t="s">
        <v>75</v>
      </c>
      <c r="M12" s="29">
        <v>337</v>
      </c>
      <c r="N12" s="29">
        <v>337</v>
      </c>
      <c r="O12" s="29"/>
      <c r="P12" s="29"/>
      <c r="Q12" s="29"/>
      <c r="R12" s="93"/>
      <c r="S12" s="29"/>
      <c r="T12" s="93"/>
      <c r="W12" s="55"/>
    </row>
    <row r="13" spans="1:24" ht="28.8" customHeight="1">
      <c r="A13" s="30">
        <f>ROW() - ROW(Ejecucion[[#Headers],[Correlativo]])</f>
        <v>9</v>
      </c>
      <c r="B13" s="30" t="s">
        <v>253</v>
      </c>
      <c r="C13" s="28" t="str">
        <f>IF(Ejecucion[[#This Row],[No. Solicitud]]="","",_xlfn.XLOOKUP(Ejecucion[[#This Row],[No. Solicitud]],Registro!$B$8:$B$997,Registro!$M$8:$M$997,"Sin Dato",0))</f>
        <v>Gestor 1</v>
      </c>
      <c r="D13" s="153" t="str">
        <f>IF(B13="","",HYPERLINK("#"&amp;"Registro!B"&amp;MATCH(B13,Registro!$B$8:$B$999,0)+7,"Ubicar en registro"))</f>
        <v>Ubicar en registro</v>
      </c>
      <c r="E13" s="55" t="str">
        <f>IF(C13="","",_xlfn.XLOOKUP(Ejecucion[[#This Row],[No. Solicitud]],Registro!$B$8:$B$999,Registro!$H$8:$H$999,"",0))</f>
        <v>Curso 48</v>
      </c>
      <c r="F13" s="29">
        <v>2</v>
      </c>
      <c r="G13" s="29">
        <v>42676</v>
      </c>
      <c r="H13" s="29" t="s">
        <v>508</v>
      </c>
      <c r="I13" s="97">
        <v>46097</v>
      </c>
      <c r="J13" s="94">
        <v>46108</v>
      </c>
      <c r="K13" s="29">
        <f>IF(Ejecucion[[#This Row],[Fecha Fin]]="","",MONTH(Ejecucion[[#This Row],[Fecha Fin]]))</f>
        <v>3</v>
      </c>
      <c r="L13" s="93" t="s">
        <v>75</v>
      </c>
      <c r="M13" s="29">
        <v>196</v>
      </c>
      <c r="N13" s="29">
        <v>196</v>
      </c>
      <c r="O13" s="29"/>
      <c r="P13" s="29"/>
      <c r="Q13" s="29"/>
      <c r="R13" s="93"/>
      <c r="S13" s="29"/>
      <c r="T13" s="93"/>
      <c r="W13" s="55"/>
    </row>
    <row r="14" spans="1:24" ht="28.8" customHeight="1">
      <c r="A14" s="30">
        <f>ROW() - ROW(Ejecucion[[#Headers],[Correlativo]])</f>
        <v>10</v>
      </c>
      <c r="B14" s="30" t="s">
        <v>253</v>
      </c>
      <c r="C14" s="28" t="str">
        <f>IF(Ejecucion[[#This Row],[No. Solicitud]]="","",_xlfn.XLOOKUP(Ejecucion[[#This Row],[No. Solicitud]],Registro!$B$8:$B$997,Registro!$M$8:$M$997,"Sin Dato",0))</f>
        <v>Gestor 1</v>
      </c>
      <c r="D14" s="153" t="str">
        <f>IF(B14="","",HYPERLINK("#"&amp;"Registro!B"&amp;MATCH(B14,Registro!$B$8:$B$999,0)+7,"Ubicar en registro"))</f>
        <v>Ubicar en registro</v>
      </c>
      <c r="E14" s="55" t="str">
        <f>IF(C14="","",_xlfn.XLOOKUP(Ejecucion[[#This Row],[No. Solicitud]],Registro!$B$8:$B$999,Registro!$H$8:$H$999,"",0))</f>
        <v>Curso 48</v>
      </c>
      <c r="F14" s="29">
        <v>3</v>
      </c>
      <c r="G14" s="29">
        <v>42820</v>
      </c>
      <c r="H14" s="29" t="s">
        <v>509</v>
      </c>
      <c r="I14" s="97">
        <v>46118</v>
      </c>
      <c r="J14" s="94">
        <v>46129</v>
      </c>
      <c r="K14" s="29">
        <f>IF(Ejecucion[[#This Row],[Fecha Fin]]="","",MONTH(Ejecucion[[#This Row],[Fecha Fin]]))</f>
        <v>4</v>
      </c>
      <c r="L14" s="93" t="s">
        <v>75</v>
      </c>
      <c r="M14" s="29">
        <v>132</v>
      </c>
      <c r="N14" s="29">
        <v>56</v>
      </c>
      <c r="O14" s="29"/>
      <c r="P14" s="29"/>
      <c r="Q14" s="29"/>
      <c r="R14" s="93"/>
      <c r="S14" s="29"/>
      <c r="T14" s="93"/>
      <c r="W14" s="55"/>
    </row>
    <row r="15" spans="1:24" ht="28.8" customHeight="1">
      <c r="A15" s="30">
        <f>ROW() - ROW(Ejecucion[[#Headers],[Correlativo]])</f>
        <v>11</v>
      </c>
      <c r="B15" s="30" t="s">
        <v>253</v>
      </c>
      <c r="C15" s="28" t="str">
        <f>IF(Ejecucion[[#This Row],[No. Solicitud]]="","",_xlfn.XLOOKUP(Ejecucion[[#This Row],[No. Solicitud]],Registro!$B$8:$B$997,Registro!$M$8:$M$997,"Sin Dato",0))</f>
        <v>Gestor 1</v>
      </c>
      <c r="D15" s="153" t="str">
        <f>IF(B15="","",HYPERLINK("#"&amp;"Registro!B"&amp;MATCH(B15,Registro!$B$8:$B$999,0)+7,"Ubicar en registro"))</f>
        <v>Ubicar en registro</v>
      </c>
      <c r="E15" s="55" t="str">
        <f>IF(C15="","",_xlfn.XLOOKUP(Ejecucion[[#This Row],[No. Solicitud]],Registro!$B$8:$B$999,Registro!$H$8:$H$999,"",0))</f>
        <v>Curso 48</v>
      </c>
      <c r="F15" s="29">
        <v>4</v>
      </c>
      <c r="G15" s="29">
        <v>42874</v>
      </c>
      <c r="H15" s="29" t="s">
        <v>510</v>
      </c>
      <c r="I15" s="97">
        <v>46125</v>
      </c>
      <c r="J15" s="94">
        <v>46136</v>
      </c>
      <c r="K15" s="29">
        <f>IF(Ejecucion[[#This Row],[Fecha Fin]]="","",MONTH(Ejecucion[[#This Row],[Fecha Fin]]))</f>
        <v>4</v>
      </c>
      <c r="L15" s="93" t="s">
        <v>75</v>
      </c>
      <c r="M15" s="29">
        <v>82</v>
      </c>
      <c r="N15" s="29">
        <v>82</v>
      </c>
      <c r="O15" s="29"/>
      <c r="P15" s="29"/>
      <c r="Q15" s="29"/>
      <c r="R15" s="93"/>
      <c r="S15" s="29"/>
      <c r="T15" s="93"/>
      <c r="W15" s="55"/>
    </row>
    <row r="16" spans="1:24" ht="28.8" customHeight="1">
      <c r="A16" s="30">
        <f>ROW() - ROW(Ejecucion[[#Headers],[Correlativo]])</f>
        <v>12</v>
      </c>
      <c r="B16" s="30" t="s">
        <v>253</v>
      </c>
      <c r="C16" s="28" t="str">
        <f>IF(Ejecucion[[#This Row],[No. Solicitud]]="","",_xlfn.XLOOKUP(Ejecucion[[#This Row],[No. Solicitud]],Registro!$B$8:$B$997,Registro!$M$8:$M$997,"Sin Dato",0))</f>
        <v>Gestor 1</v>
      </c>
      <c r="D16" s="153" t="str">
        <f>IF(B16="","",HYPERLINK("#"&amp;"Registro!B"&amp;MATCH(B16,Registro!$B$8:$B$999,0)+7,"Ubicar en registro"))</f>
        <v>Ubicar en registro</v>
      </c>
      <c r="E16" s="55" t="str">
        <f>IF(C16="","",_xlfn.XLOOKUP(Ejecucion[[#This Row],[No. Solicitud]],Registro!$B$8:$B$999,Registro!$H$8:$H$999,"",0))</f>
        <v>Curso 48</v>
      </c>
      <c r="F16" s="29">
        <v>5</v>
      </c>
      <c r="G16" s="29">
        <v>42927</v>
      </c>
      <c r="H16" s="29" t="s">
        <v>511</v>
      </c>
      <c r="I16" s="97">
        <v>46132</v>
      </c>
      <c r="J16" s="94">
        <v>46146</v>
      </c>
      <c r="K16" s="29">
        <f>IF(Ejecucion[[#This Row],[Fecha Fin]]="","",MONTH(Ejecucion[[#This Row],[Fecha Fin]]))</f>
        <v>5</v>
      </c>
      <c r="L16" s="93" t="s">
        <v>75</v>
      </c>
      <c r="M16" s="29">
        <v>27</v>
      </c>
      <c r="N16" s="29">
        <v>27</v>
      </c>
      <c r="O16" s="29"/>
      <c r="P16" s="29"/>
      <c r="Q16" s="29"/>
      <c r="R16" s="93"/>
      <c r="S16" s="29"/>
      <c r="T16" s="93"/>
      <c r="W16" s="55"/>
    </row>
    <row r="17" spans="1:20" ht="28.8" customHeight="1">
      <c r="A17" s="30">
        <f>ROW() - ROW(Ejecucion[[#Headers],[Correlativo]])</f>
        <v>13</v>
      </c>
      <c r="B17" s="30" t="s">
        <v>253</v>
      </c>
      <c r="C17" s="28" t="str">
        <f>IF(Ejecucion[[#This Row],[No. Solicitud]]="","",_xlfn.XLOOKUP(Ejecucion[[#This Row],[No. Solicitud]],Registro!$B$8:$B$997,Registro!$M$8:$M$997,"Sin Dato",0))</f>
        <v>Gestor 1</v>
      </c>
      <c r="D17" s="153" t="str">
        <f>IF(B17="","",HYPERLINK("#"&amp;"Registro!B"&amp;MATCH(B17,Registro!$B$8:$B$999,0)+7,"Ubicar en registro"))</f>
        <v>Ubicar en registro</v>
      </c>
      <c r="E17" s="55" t="str">
        <f>IF(C17="","",_xlfn.XLOOKUP(Ejecucion[[#This Row],[No. Solicitud]],Registro!$B$8:$B$999,Registro!$H$8:$H$999,"",0))</f>
        <v>Curso 48</v>
      </c>
      <c r="F17" s="29">
        <v>6</v>
      </c>
      <c r="G17" s="29">
        <v>42978</v>
      </c>
      <c r="H17" s="29" t="s">
        <v>512</v>
      </c>
      <c r="I17" s="97">
        <v>46139</v>
      </c>
      <c r="J17" s="94">
        <v>46153</v>
      </c>
      <c r="K17" s="29">
        <f>IF(Ejecucion[[#This Row],[Fecha Fin]]="","",MONTH(Ejecucion[[#This Row],[Fecha Fin]]))</f>
        <v>5</v>
      </c>
      <c r="L17" s="93" t="s">
        <v>75</v>
      </c>
      <c r="M17" s="29">
        <v>104</v>
      </c>
      <c r="N17" s="29">
        <v>87</v>
      </c>
      <c r="O17" s="29"/>
      <c r="P17" s="29"/>
      <c r="Q17" s="29"/>
      <c r="R17" s="93"/>
      <c r="S17" s="29"/>
      <c r="T17" s="93"/>
    </row>
    <row r="18" spans="1:20" ht="28.8" customHeight="1">
      <c r="A18" s="30">
        <f>ROW() - ROW(Ejecucion[[#Headers],[Correlativo]])</f>
        <v>14</v>
      </c>
      <c r="B18" t="s">
        <v>255</v>
      </c>
      <c r="C18" s="28" t="str">
        <f>IF(Ejecucion[[#This Row],[No. Solicitud]]="","",_xlfn.XLOOKUP(Ejecucion[[#This Row],[No. Solicitud]],Registro!$B$8:$B$997,Registro!$M$8:$M$997,"Sin Dato",0))</f>
        <v>Gestor 1</v>
      </c>
      <c r="D18" s="153" t="str">
        <f>IF(B18="","",HYPERLINK("#"&amp;"Registro!B"&amp;MATCH(B18,Registro!$B$8:$B$999,0)+7,"Ubicar en registro"))</f>
        <v>Ubicar en registro</v>
      </c>
      <c r="E18" s="55" t="str">
        <f>IF(C18="","",_xlfn.XLOOKUP(Ejecucion[[#This Row],[No. Solicitud]],Registro!$B$8:$B$999,Registro!$H$8:$H$999,"",0))</f>
        <v>Curso 49</v>
      </c>
      <c r="F18" s="29">
        <v>1</v>
      </c>
      <c r="G18" s="29">
        <v>43322</v>
      </c>
      <c r="H18" s="29" t="s">
        <v>513</v>
      </c>
      <c r="I18" s="97">
        <v>46188</v>
      </c>
      <c r="J18" s="94">
        <v>46203</v>
      </c>
      <c r="K18" s="29">
        <f>IF(Ejecucion[[#This Row],[Fecha Fin]]="","",MONTH(Ejecucion[[#This Row],[Fecha Fin]]))</f>
        <v>6</v>
      </c>
      <c r="L18" s="93" t="s">
        <v>75</v>
      </c>
      <c r="M18" s="29">
        <v>66</v>
      </c>
      <c r="N18" s="29">
        <v>36</v>
      </c>
      <c r="O18" s="29"/>
      <c r="P18" s="29"/>
      <c r="Q18" s="29"/>
      <c r="R18" s="93"/>
      <c r="S18" s="29"/>
      <c r="T18" s="93"/>
    </row>
    <row r="19" spans="1:20" ht="28.8" customHeight="1">
      <c r="A19" s="30">
        <f>ROW() - ROW(Ejecucion[[#Headers],[Correlativo]])</f>
        <v>15</v>
      </c>
      <c r="B19" s="30" t="s">
        <v>255</v>
      </c>
      <c r="C19" s="28" t="str">
        <f>IF(Ejecucion[[#This Row],[No. Solicitud]]="","",_xlfn.XLOOKUP(Ejecucion[[#This Row],[No. Solicitud]],Registro!$B$8:$B$997,Registro!$M$8:$M$997,"Sin Dato",0))</f>
        <v>Gestor 1</v>
      </c>
      <c r="D19" s="153" t="str">
        <f>IF(B19="","",HYPERLINK("#"&amp;"Registro!B"&amp;MATCH(B19,Registro!$B$8:$B$999,0)+7,"Ubicar en registro"))</f>
        <v>Ubicar en registro</v>
      </c>
      <c r="E19" s="55" t="str">
        <f>IF(C19="","",_xlfn.XLOOKUP(Ejecucion[[#This Row],[No. Solicitud]],Registro!$B$8:$B$999,Registro!$H$8:$H$999,"",0))</f>
        <v>Curso 49</v>
      </c>
      <c r="F19" s="29">
        <v>2</v>
      </c>
      <c r="G19" s="29">
        <v>43389</v>
      </c>
      <c r="H19" s="29" t="s">
        <v>514</v>
      </c>
      <c r="I19" s="97">
        <v>46204</v>
      </c>
      <c r="J19" s="94">
        <v>46217</v>
      </c>
      <c r="K19" s="29">
        <f>IF(Ejecucion[[#This Row],[Fecha Fin]]="","",MONTH(Ejecucion[[#This Row],[Fecha Fin]]))</f>
        <v>7</v>
      </c>
      <c r="L19" s="93" t="s">
        <v>75</v>
      </c>
      <c r="M19" s="29">
        <v>61</v>
      </c>
      <c r="N19" s="29">
        <v>61</v>
      </c>
      <c r="O19" s="29"/>
      <c r="P19" s="29"/>
      <c r="Q19" s="29"/>
      <c r="R19" s="93"/>
      <c r="S19" s="29"/>
      <c r="T19" s="93"/>
    </row>
    <row r="20" spans="1:20" ht="28.8" customHeight="1">
      <c r="A20" s="30">
        <f>ROW() - ROW(Ejecucion[[#Headers],[Correlativo]])</f>
        <v>16</v>
      </c>
      <c r="B20" s="30" t="s">
        <v>255</v>
      </c>
      <c r="C20" s="28" t="str">
        <f>IF(Ejecucion[[#This Row],[No. Solicitud]]="","",_xlfn.XLOOKUP(Ejecucion[[#This Row],[No. Solicitud]],Registro!$B$8:$B$997,Registro!$M$8:$M$997,"Sin Dato",0))</f>
        <v>Gestor 1</v>
      </c>
      <c r="D20" s="153" t="str">
        <f>IF(B20="","",HYPERLINK("#"&amp;"Registro!B"&amp;MATCH(B20,Registro!$B$8:$B$999,0)+7,"Ubicar en registro"))</f>
        <v>Ubicar en registro</v>
      </c>
      <c r="E20" s="55" t="str">
        <f>IF(C20="","",_xlfn.XLOOKUP(Ejecucion[[#This Row],[No. Solicitud]],Registro!$B$8:$B$999,Registro!$H$8:$H$999,"",0))</f>
        <v>Curso 49</v>
      </c>
      <c r="F20" s="29">
        <v>3</v>
      </c>
      <c r="G20" s="29">
        <v>43522</v>
      </c>
      <c r="H20" s="29" t="s">
        <v>515</v>
      </c>
      <c r="I20" s="97">
        <v>46218</v>
      </c>
      <c r="J20" s="94">
        <v>46231</v>
      </c>
      <c r="K20" s="29">
        <f>IF(Ejecucion[[#This Row],[Fecha Fin]]="","",MONTH(Ejecucion[[#This Row],[Fecha Fin]]))</f>
        <v>7</v>
      </c>
      <c r="L20" s="93" t="s">
        <v>75</v>
      </c>
      <c r="M20" s="29">
        <v>62</v>
      </c>
      <c r="N20" s="29">
        <v>62</v>
      </c>
      <c r="O20" s="29"/>
      <c r="P20" s="29"/>
      <c r="Q20" s="29"/>
      <c r="R20" s="93"/>
      <c r="S20" s="29"/>
      <c r="T20" s="93"/>
    </row>
    <row r="21" spans="1:20" ht="28.8" customHeight="1">
      <c r="A21" s="30">
        <f>ROW() - ROW(Ejecucion[[#Headers],[Correlativo]])</f>
        <v>17</v>
      </c>
      <c r="B21" s="30" t="s">
        <v>255</v>
      </c>
      <c r="C21" s="28" t="str">
        <f>IF(Ejecucion[[#This Row],[No. Solicitud]]="","",_xlfn.XLOOKUP(Ejecucion[[#This Row],[No. Solicitud]],Registro!$B$8:$B$997,Registro!$M$8:$M$997,"Sin Dato",0))</f>
        <v>Gestor 1</v>
      </c>
      <c r="D21" s="153" t="str">
        <f>IF(B21="","",HYPERLINK("#"&amp;"Registro!B"&amp;MATCH(B21,Registro!$B$8:$B$999,0)+7,"Ubicar en registro"))</f>
        <v>Ubicar en registro</v>
      </c>
      <c r="E21" s="55" t="str">
        <f>IF(C21="","",_xlfn.XLOOKUP(Ejecucion[[#This Row],[No. Solicitud]],Registro!$B$8:$B$999,Registro!$H$8:$H$999,"",0))</f>
        <v>Curso 49</v>
      </c>
      <c r="F21" s="29">
        <v>4</v>
      </c>
      <c r="G21" s="29">
        <v>43579</v>
      </c>
      <c r="H21" s="29" t="s">
        <v>516</v>
      </c>
      <c r="I21" s="97">
        <v>46224</v>
      </c>
      <c r="J21" s="94">
        <v>46234</v>
      </c>
      <c r="K21" s="29">
        <f>IF(Ejecucion[[#This Row],[Fecha Fin]]="","",MONTH(Ejecucion[[#This Row],[Fecha Fin]]))</f>
        <v>7</v>
      </c>
      <c r="L21" s="93" t="s">
        <v>75</v>
      </c>
      <c r="M21" s="29">
        <v>1</v>
      </c>
      <c r="N21" s="29">
        <v>1</v>
      </c>
      <c r="O21" s="29"/>
      <c r="P21" s="29"/>
      <c r="Q21" s="29"/>
      <c r="R21" s="93"/>
      <c r="S21" s="29"/>
      <c r="T21" s="93"/>
    </row>
    <row r="22" spans="1:20" ht="28.8" customHeight="1">
      <c r="A22" s="30">
        <f>ROW() - ROW(Ejecucion[[#Headers],[Correlativo]])</f>
        <v>18</v>
      </c>
      <c r="B22" s="30" t="s">
        <v>255</v>
      </c>
      <c r="C22" s="28" t="str">
        <f>IF(Ejecucion[[#This Row],[No. Solicitud]]="","",_xlfn.XLOOKUP(Ejecucion[[#This Row],[No. Solicitud]],Registro!$B$8:$B$997,Registro!$M$8:$M$997,"Sin Dato",0))</f>
        <v>Gestor 1</v>
      </c>
      <c r="D22" s="153" t="str">
        <f>IF(B22="","",HYPERLINK("#"&amp;"Registro!B"&amp;MATCH(B22,Registro!$B$8:$B$999,0)+7,"Ubicar en registro"))</f>
        <v>Ubicar en registro</v>
      </c>
      <c r="E22" s="55" t="str">
        <f>IF(C22="","",_xlfn.XLOOKUP(Ejecucion[[#This Row],[No. Solicitud]],Registro!$B$8:$B$999,Registro!$H$8:$H$999,"",0))</f>
        <v>Curso 49</v>
      </c>
      <c r="F22" s="29">
        <v>5</v>
      </c>
      <c r="G22" s="29">
        <v>43605</v>
      </c>
      <c r="H22" s="29" t="s">
        <v>517</v>
      </c>
      <c r="I22" s="97">
        <v>46231</v>
      </c>
      <c r="J22" s="94">
        <v>46244</v>
      </c>
      <c r="K22" s="29">
        <f>IF(Ejecucion[[#This Row],[Fecha Fin]]="","",MONTH(Ejecucion[[#This Row],[Fecha Fin]]))</f>
        <v>8</v>
      </c>
      <c r="L22" s="93" t="s">
        <v>75</v>
      </c>
      <c r="M22" s="29">
        <v>58</v>
      </c>
      <c r="N22" s="29">
        <v>58</v>
      </c>
      <c r="O22" s="29"/>
      <c r="P22" s="29"/>
      <c r="Q22" s="29"/>
      <c r="R22" s="93"/>
      <c r="S22" s="29"/>
      <c r="T22" s="93"/>
    </row>
    <row r="23" spans="1:20" ht="28.8" customHeight="1">
      <c r="A23" s="30">
        <f>ROW() - ROW(Ejecucion[[#Headers],[Correlativo]])</f>
        <v>19</v>
      </c>
      <c r="B23" s="30" t="s">
        <v>257</v>
      </c>
      <c r="C23" s="28" t="str">
        <f>IF(Ejecucion[[#This Row],[No. Solicitud]]="","",_xlfn.XLOOKUP(Ejecucion[[#This Row],[No. Solicitud]],Registro!$B$8:$B$997,Registro!$M$8:$M$997,"Sin Dato",0))</f>
        <v>Gestor 1</v>
      </c>
      <c r="D23" s="153" t="str">
        <f>IF(B23="","",HYPERLINK("#"&amp;"Registro!B"&amp;MATCH(B23,Registro!$B$8:$B$999,0)+7,"Ubicar en registro"))</f>
        <v>Ubicar en registro</v>
      </c>
      <c r="E23" s="55" t="str">
        <f>IF(C23="","",_xlfn.XLOOKUP(Ejecucion[[#This Row],[No. Solicitud]],Registro!$B$8:$B$999,Registro!$H$8:$H$999,"",0))</f>
        <v>Curso 50</v>
      </c>
      <c r="F23" s="29">
        <v>1</v>
      </c>
      <c r="G23" s="29">
        <v>43560</v>
      </c>
      <c r="H23" s="29" t="s">
        <v>518</v>
      </c>
      <c r="I23" s="97">
        <v>46223</v>
      </c>
      <c r="J23" s="94">
        <v>46234</v>
      </c>
      <c r="K23" s="29">
        <f>IF(Ejecucion[[#This Row],[Fecha Fin]]="","",MONTH(Ejecucion[[#This Row],[Fecha Fin]]))</f>
        <v>7</v>
      </c>
      <c r="L23" s="93" t="s">
        <v>75</v>
      </c>
      <c r="M23" s="29">
        <v>98</v>
      </c>
      <c r="N23" s="29">
        <v>98</v>
      </c>
      <c r="O23" s="29"/>
      <c r="P23" s="29"/>
      <c r="Q23" s="29"/>
      <c r="R23" s="93"/>
      <c r="S23" s="29"/>
      <c r="T23" s="93"/>
    </row>
    <row r="24" spans="1:20" ht="28.8" customHeight="1">
      <c r="A24" s="30">
        <f>ROW() - ROW(Ejecucion[[#Headers],[Correlativo]])</f>
        <v>20</v>
      </c>
      <c r="B24" s="30" t="s">
        <v>257</v>
      </c>
      <c r="C24" s="28" t="str">
        <f>IF(Ejecucion[[#This Row],[No. Solicitud]]="","",_xlfn.XLOOKUP(Ejecucion[[#This Row],[No. Solicitud]],Registro!$B$8:$B$997,Registro!$M$8:$M$997,"Sin Dato",0))</f>
        <v>Gestor 1</v>
      </c>
      <c r="D24" s="153" t="str">
        <f>IF(B24="","",HYPERLINK("#"&amp;"Registro!B"&amp;MATCH(B24,Registro!$B$8:$B$999,0)+7,"Ubicar en registro"))</f>
        <v>Ubicar en registro</v>
      </c>
      <c r="E24" s="55" t="str">
        <f>IF(C24="","",_xlfn.XLOOKUP(Ejecucion[[#This Row],[No. Solicitud]],Registro!$B$8:$B$999,Registro!$H$8:$H$999,"",0))</f>
        <v>Curso 50</v>
      </c>
      <c r="F24" s="29">
        <v>2</v>
      </c>
      <c r="G24" s="29">
        <v>43641</v>
      </c>
      <c r="H24" s="29" t="s">
        <v>519</v>
      </c>
      <c r="I24" s="97">
        <v>46237</v>
      </c>
      <c r="J24" s="94">
        <v>46248</v>
      </c>
      <c r="K24" s="29">
        <f>IF(Ejecucion[[#This Row],[Fecha Fin]]="","",MONTH(Ejecucion[[#This Row],[Fecha Fin]]))</f>
        <v>8</v>
      </c>
      <c r="L24" s="93" t="s">
        <v>75</v>
      </c>
      <c r="M24" s="29">
        <v>56</v>
      </c>
      <c r="N24" s="29">
        <v>56</v>
      </c>
      <c r="O24" s="29"/>
      <c r="P24" s="29"/>
      <c r="Q24" s="29"/>
      <c r="R24" s="93"/>
      <c r="S24" s="29"/>
      <c r="T24" s="93"/>
    </row>
    <row r="25" spans="1:20" ht="28.8" customHeight="1">
      <c r="A25" s="30">
        <f>ROW() - ROW(Ejecucion[[#Headers],[Correlativo]])</f>
        <v>21</v>
      </c>
      <c r="B25" s="30" t="s">
        <v>257</v>
      </c>
      <c r="C25" s="28" t="str">
        <f>IF(Ejecucion[[#This Row],[No. Solicitud]]="","",_xlfn.XLOOKUP(Ejecucion[[#This Row],[No. Solicitud]],Registro!$B$8:$B$997,Registro!$M$8:$M$997,"Sin Dato",0))</f>
        <v>Gestor 1</v>
      </c>
      <c r="D25" s="153" t="str">
        <f>IF(B25="","",HYPERLINK("#"&amp;"Registro!B"&amp;MATCH(B25,Registro!$B$8:$B$999,0)+7,"Ubicar en registro"))</f>
        <v>Ubicar en registro</v>
      </c>
      <c r="E25" s="55" t="str">
        <f>IF(C25="","",_xlfn.XLOOKUP(Ejecucion[[#This Row],[No. Solicitud]],Registro!$B$8:$B$999,Registro!$H$8:$H$999,"",0))</f>
        <v>Curso 50</v>
      </c>
      <c r="F25" s="29">
        <v>3</v>
      </c>
      <c r="G25" s="29">
        <v>43722</v>
      </c>
      <c r="H25" s="29" t="s">
        <v>520</v>
      </c>
      <c r="I25" s="97">
        <v>46251</v>
      </c>
      <c r="J25" s="94">
        <v>46262</v>
      </c>
      <c r="K25" s="29">
        <f>IF(Ejecucion[[#This Row],[Fecha Fin]]="","",MONTH(Ejecucion[[#This Row],[Fecha Fin]]))</f>
        <v>8</v>
      </c>
      <c r="L25" s="93" t="s">
        <v>75</v>
      </c>
      <c r="M25" s="29">
        <v>51</v>
      </c>
      <c r="N25" s="29">
        <v>51</v>
      </c>
      <c r="O25" s="29"/>
      <c r="P25" s="29"/>
      <c r="Q25" s="29"/>
      <c r="R25" s="93"/>
      <c r="S25" s="29"/>
      <c r="T25" s="93"/>
    </row>
    <row r="26" spans="1:20" ht="28.8" customHeight="1">
      <c r="A26" s="30">
        <f>ROW() - ROW(Ejecucion[[#Headers],[Correlativo]])</f>
        <v>22</v>
      </c>
      <c r="B26" s="30" t="s">
        <v>261</v>
      </c>
      <c r="C26" s="28" t="str">
        <f>IF(Ejecucion[[#This Row],[No. Solicitud]]="","",_xlfn.XLOOKUP(Ejecucion[[#This Row],[No. Solicitud]],Registro!$B$8:$B$997,Registro!$M$8:$M$997,"Sin Dato",0))</f>
        <v>Gestor 5</v>
      </c>
      <c r="D26" s="153" t="str">
        <f>IF(B26="","",HYPERLINK("#"&amp;"Registro!B"&amp;MATCH(B26,Registro!$B$8:$B$999,0)+7,"Ubicar en registro"))</f>
        <v>Ubicar en registro</v>
      </c>
      <c r="E26" s="55" t="str">
        <f>IF(C26="","",_xlfn.XLOOKUP(Ejecucion[[#This Row],[No. Solicitud]],Registro!$B$8:$B$999,Registro!$H$8:$H$999,"",0))</f>
        <v>Curso 52</v>
      </c>
      <c r="F26" s="29">
        <v>1</v>
      </c>
      <c r="G26" s="29">
        <v>41825</v>
      </c>
      <c r="H26" s="29" t="s">
        <v>521</v>
      </c>
      <c r="I26" s="97">
        <v>46044</v>
      </c>
      <c r="J26" s="94">
        <v>46045</v>
      </c>
      <c r="K26" s="29">
        <f>IF(Ejecucion[[#This Row],[Fecha Fin]]="","",MONTH(Ejecucion[[#This Row],[Fecha Fin]]))</f>
        <v>1</v>
      </c>
      <c r="L26" s="93" t="s">
        <v>75</v>
      </c>
      <c r="M26" s="29">
        <v>12</v>
      </c>
      <c r="N26" s="29">
        <v>12</v>
      </c>
      <c r="O26" s="29"/>
      <c r="P26" s="29"/>
      <c r="Q26" s="29"/>
      <c r="R26" s="93"/>
      <c r="S26" s="29"/>
      <c r="T26" s="93"/>
    </row>
    <row r="27" spans="1:20" ht="28.8" customHeight="1">
      <c r="A27" s="30">
        <f>ROW() - ROW(Ejecucion[[#Headers],[Correlativo]])</f>
        <v>23</v>
      </c>
      <c r="B27" s="30" t="s">
        <v>261</v>
      </c>
      <c r="C27" s="28" t="str">
        <f>IF(Ejecucion[[#This Row],[No. Solicitud]]="","",_xlfn.XLOOKUP(Ejecucion[[#This Row],[No. Solicitud]],Registro!$B$8:$B$997,Registro!$M$8:$M$997,"Sin Dato",0))</f>
        <v>Gestor 5</v>
      </c>
      <c r="D27" s="153" t="str">
        <f>IF(B27="","",HYPERLINK("#"&amp;"Registro!B"&amp;MATCH(B27,Registro!$B$8:$B$999,0)+7,"Ubicar en registro"))</f>
        <v>Ubicar en registro</v>
      </c>
      <c r="E27" s="55" t="str">
        <f>IF(C27="","",_xlfn.XLOOKUP(Ejecucion[[#This Row],[No. Solicitud]],Registro!$B$8:$B$999,Registro!$H$8:$H$999,"",0))</f>
        <v>Curso 52</v>
      </c>
      <c r="F27" s="29">
        <v>2</v>
      </c>
      <c r="G27" s="29">
        <v>41827</v>
      </c>
      <c r="H27" s="29" t="s">
        <v>521</v>
      </c>
      <c r="I27" s="97">
        <v>46048</v>
      </c>
      <c r="J27" s="94">
        <v>46049</v>
      </c>
      <c r="K27" s="29">
        <f>IF(Ejecucion[[#This Row],[Fecha Fin]]="","",MONTH(Ejecucion[[#This Row],[Fecha Fin]]))</f>
        <v>1</v>
      </c>
      <c r="L27" s="93" t="s">
        <v>75</v>
      </c>
      <c r="M27" s="29">
        <v>13</v>
      </c>
      <c r="N27" s="29">
        <v>13</v>
      </c>
      <c r="O27" s="29"/>
      <c r="P27" s="29"/>
      <c r="Q27" s="29"/>
      <c r="R27" s="93"/>
      <c r="S27" s="29"/>
      <c r="T27" s="93"/>
    </row>
    <row r="28" spans="1:20" ht="28.8" customHeight="1">
      <c r="A28" s="30">
        <f>ROW() - ROW(Ejecucion[[#Headers],[Correlativo]])</f>
        <v>24</v>
      </c>
      <c r="B28" s="30" t="s">
        <v>266</v>
      </c>
      <c r="C28" s="28" t="str">
        <f>IF(Ejecucion[[#This Row],[No. Solicitud]]="","",_xlfn.XLOOKUP(Ejecucion[[#This Row],[No. Solicitud]],Registro!$B$8:$B$997,Registro!$M$8:$M$997,"Sin Dato",0))</f>
        <v>Gestor 2</v>
      </c>
      <c r="D28" s="153" t="str">
        <f>IF(B28="","",HYPERLINK("#"&amp;"Registro!B"&amp;MATCH(B28,Registro!$B$8:$B$999,0)+7,"Ubicar en registro"))</f>
        <v>Ubicar en registro</v>
      </c>
      <c r="E28" s="55" t="str">
        <f>IF(C28="","",_xlfn.XLOOKUP(Ejecucion[[#This Row],[No. Solicitud]],Registro!$B$8:$B$999,Registro!$H$8:$H$999,"",0))</f>
        <v>Curso 53</v>
      </c>
      <c r="F28" s="29">
        <v>1</v>
      </c>
      <c r="G28" s="29">
        <v>43129</v>
      </c>
      <c r="H28" s="29" t="s">
        <v>522</v>
      </c>
      <c r="I28" s="97">
        <v>46160</v>
      </c>
      <c r="J28" s="94">
        <v>46171</v>
      </c>
      <c r="K28" s="29">
        <f>IF(Ejecucion[[#This Row],[Fecha Fin]]="","",MONTH(Ejecucion[[#This Row],[Fecha Fin]]))</f>
        <v>5</v>
      </c>
      <c r="L28" s="93" t="s">
        <v>75</v>
      </c>
      <c r="M28" s="29">
        <v>156</v>
      </c>
      <c r="N28" s="29">
        <v>156</v>
      </c>
      <c r="O28" s="29"/>
      <c r="P28" s="29"/>
      <c r="Q28" s="29"/>
      <c r="R28" s="93"/>
      <c r="S28" s="29"/>
      <c r="T28" s="93"/>
    </row>
    <row r="29" spans="1:20" ht="28.8" customHeight="1">
      <c r="A29" s="30">
        <f>ROW() - ROW(Ejecucion[[#Headers],[Correlativo]])</f>
        <v>25</v>
      </c>
      <c r="B29" s="30" t="s">
        <v>266</v>
      </c>
      <c r="C29" s="28" t="str">
        <f>IF(Ejecucion[[#This Row],[No. Solicitud]]="","",_xlfn.XLOOKUP(Ejecucion[[#This Row],[No. Solicitud]],Registro!$B$8:$B$997,Registro!$M$8:$M$997,"Sin Dato",0))</f>
        <v>Gestor 2</v>
      </c>
      <c r="D29" s="153" t="str">
        <f>IF(B29="","",HYPERLINK("#"&amp;"Registro!B"&amp;MATCH(B29,Registro!$B$8:$B$999,0)+7,"Ubicar en registro"))</f>
        <v>Ubicar en registro</v>
      </c>
      <c r="E29" s="55" t="str">
        <f>IF(C29="","",_xlfn.XLOOKUP(Ejecucion[[#This Row],[No. Solicitud]],Registro!$B$8:$B$999,Registro!$H$8:$H$999,"",0))</f>
        <v>Curso 53</v>
      </c>
      <c r="F29" s="29">
        <v>2</v>
      </c>
      <c r="G29" s="29">
        <v>43229</v>
      </c>
      <c r="H29" s="29" t="s">
        <v>523</v>
      </c>
      <c r="I29" s="97">
        <v>46177</v>
      </c>
      <c r="J29" s="94">
        <v>46190</v>
      </c>
      <c r="K29" s="29">
        <f>IF(Ejecucion[[#This Row],[Fecha Fin]]="","",MONTH(Ejecucion[[#This Row],[Fecha Fin]]))</f>
        <v>6</v>
      </c>
      <c r="L29" s="93" t="s">
        <v>75</v>
      </c>
      <c r="M29" s="29">
        <v>151</v>
      </c>
      <c r="N29" s="29">
        <v>151</v>
      </c>
      <c r="O29" s="29"/>
      <c r="P29" s="29"/>
      <c r="Q29" s="29"/>
      <c r="R29" s="93"/>
      <c r="S29" s="29"/>
      <c r="T29" s="93"/>
    </row>
    <row r="30" spans="1:20" ht="28.8" customHeight="1">
      <c r="A30" s="30">
        <f>ROW() - ROW(Ejecucion[[#Headers],[Correlativo]])</f>
        <v>26</v>
      </c>
      <c r="B30" s="30" t="s">
        <v>269</v>
      </c>
      <c r="C30" s="28" t="str">
        <f>IF(Ejecucion[[#This Row],[No. Solicitud]]="","",_xlfn.XLOOKUP(Ejecucion[[#This Row],[No. Solicitud]],Registro!$B$8:$B$997,Registro!$M$8:$M$997,"Sin Dato",0))</f>
        <v>Gestor 2</v>
      </c>
      <c r="D30" s="153" t="str">
        <f>IF(B30="","",HYPERLINK("#"&amp;"Registro!B"&amp;MATCH(B30,Registro!$B$8:$B$999,0)+7,"Ubicar en registro"))</f>
        <v>Ubicar en registro</v>
      </c>
      <c r="E30" s="55" t="str">
        <f>IF(C30="","",_xlfn.XLOOKUP(Ejecucion[[#This Row],[No. Solicitud]],Registro!$B$8:$B$999,Registro!$H$8:$H$999,"",0))</f>
        <v>Curso 54</v>
      </c>
      <c r="F30" s="29">
        <v>1</v>
      </c>
      <c r="G30" s="29">
        <v>43147</v>
      </c>
      <c r="H30" s="29" t="s">
        <v>524</v>
      </c>
      <c r="I30" s="97">
        <v>46182</v>
      </c>
      <c r="J30" s="94">
        <v>46195</v>
      </c>
      <c r="K30" s="29">
        <f>IF(Ejecucion[[#This Row],[Fecha Fin]]="","",MONTH(Ejecucion[[#This Row],[Fecha Fin]]))</f>
        <v>6</v>
      </c>
      <c r="L30" s="93" t="s">
        <v>75</v>
      </c>
      <c r="M30" s="29">
        <v>255</v>
      </c>
      <c r="N30" s="29">
        <v>225</v>
      </c>
      <c r="O30" s="29"/>
      <c r="P30" s="29"/>
      <c r="Q30" s="29"/>
      <c r="R30" s="93"/>
      <c r="S30" s="29"/>
      <c r="T30" s="93"/>
    </row>
    <row r="31" spans="1:20" ht="28.8" customHeight="1">
      <c r="A31" s="30">
        <f>ROW() - ROW(Ejecucion[[#Headers],[Correlativo]])</f>
        <v>27</v>
      </c>
      <c r="B31" s="30" t="s">
        <v>269</v>
      </c>
      <c r="C31" s="28" t="str">
        <f>IF(Ejecucion[[#This Row],[No. Solicitud]]="","",_xlfn.XLOOKUP(Ejecucion[[#This Row],[No. Solicitud]],Registro!$B$8:$B$997,Registro!$M$8:$M$997,"Sin Dato",0))</f>
        <v>Gestor 2</v>
      </c>
      <c r="D31" s="153" t="str">
        <f>IF(B31="","",HYPERLINK("#"&amp;"Registro!B"&amp;MATCH(B31,Registro!$B$8:$B$999,0)+7,"Ubicar en registro"))</f>
        <v>Ubicar en registro</v>
      </c>
      <c r="E31" s="55" t="str">
        <f>IF(C31="","",_xlfn.XLOOKUP(Ejecucion[[#This Row],[No. Solicitud]],Registro!$B$8:$B$999,Registro!$H$8:$H$999,"",0))</f>
        <v>Curso 54</v>
      </c>
      <c r="F31" s="29">
        <v>2</v>
      </c>
      <c r="G31" s="29">
        <v>43282</v>
      </c>
      <c r="H31" s="29" t="s">
        <v>525</v>
      </c>
      <c r="I31" s="97">
        <v>46182</v>
      </c>
      <c r="J31" s="94">
        <v>46195</v>
      </c>
      <c r="K31" s="29">
        <f>IF(Ejecucion[[#This Row],[Fecha Fin]]="","",MONTH(Ejecucion[[#This Row],[Fecha Fin]]))</f>
        <v>6</v>
      </c>
      <c r="L31" s="93" t="s">
        <v>75</v>
      </c>
      <c r="M31" s="29">
        <v>200</v>
      </c>
      <c r="N31" s="29">
        <v>105</v>
      </c>
      <c r="O31" s="29"/>
      <c r="P31" s="29"/>
      <c r="Q31" s="29"/>
      <c r="R31" s="93"/>
      <c r="S31" s="29"/>
      <c r="T31" s="93"/>
    </row>
    <row r="32" spans="1:20" ht="28.8" customHeight="1">
      <c r="A32" s="30">
        <f>ROW() - ROW(Ejecucion[[#Headers],[Correlativo]])</f>
        <v>28</v>
      </c>
      <c r="B32" s="30" t="s">
        <v>274</v>
      </c>
      <c r="C32" s="28" t="str">
        <f>IF(Ejecucion[[#This Row],[No. Solicitud]]="","",_xlfn.XLOOKUP(Ejecucion[[#This Row],[No. Solicitud]],Registro!$B$8:$B$997,Registro!$M$8:$M$997,"Sin Dato",0))</f>
        <v>Gestor 1</v>
      </c>
      <c r="D32" s="153" t="str">
        <f>IF(B32="","",HYPERLINK("#"&amp;"Registro!B"&amp;MATCH(B32,Registro!$B$8:$B$999,0)+7,"Ubicar en registro"))</f>
        <v>Ubicar en registro</v>
      </c>
      <c r="E32" s="55" t="str">
        <f>IF(C32="","",_xlfn.XLOOKUP(Ejecucion[[#This Row],[No. Solicitud]],Registro!$B$8:$B$999,Registro!$H$8:$H$999,"",0))</f>
        <v>Curso 55</v>
      </c>
      <c r="F32" s="29">
        <v>1</v>
      </c>
      <c r="G32" s="29"/>
      <c r="H32" s="29"/>
      <c r="I32" s="97">
        <v>46042</v>
      </c>
      <c r="J32" s="94">
        <v>46042</v>
      </c>
      <c r="K32" s="29">
        <f>IF(Ejecucion[[#This Row],[Fecha Fin]]="","",MONTH(Ejecucion[[#This Row],[Fecha Fin]]))</f>
        <v>1</v>
      </c>
      <c r="L32" s="93" t="s">
        <v>75</v>
      </c>
      <c r="M32" s="29"/>
      <c r="N32" s="29"/>
      <c r="O32" s="29"/>
      <c r="P32" s="29"/>
      <c r="Q32" s="29"/>
      <c r="R32" s="93"/>
      <c r="S32" s="29"/>
      <c r="T32" s="93"/>
    </row>
    <row r="33" spans="1:20" ht="28.8" customHeight="1">
      <c r="A33" s="30">
        <f>ROW() - ROW(Ejecucion[[#Headers],[Correlativo]])</f>
        <v>29</v>
      </c>
      <c r="B33" s="100" t="s">
        <v>292</v>
      </c>
      <c r="C33" s="28" t="str">
        <f>IF(Ejecucion[[#This Row],[No. Solicitud]]="","",_xlfn.XLOOKUP(Ejecucion[[#This Row],[No. Solicitud]],Registro!$B$8:$B$997,Registro!$M$8:$M$997,"Sin Dato",0))</f>
        <v>Gestor 3</v>
      </c>
      <c r="D33" s="153" t="str">
        <f>IF(B33="","",HYPERLINK("#"&amp;"Registro!B"&amp;MATCH(B33,Registro!$B$8:$B$999,0)+7,"Ubicar en registro"))</f>
        <v>Ubicar en registro</v>
      </c>
      <c r="E33" s="55" t="str">
        <f>IF(C33="","",_xlfn.XLOOKUP(Ejecucion[[#This Row],[No. Solicitud]],Registro!$B$8:$B$999,Registro!$H$8:$H$999,"",0))</f>
        <v>Curso 60</v>
      </c>
      <c r="F33" s="29">
        <v>1</v>
      </c>
      <c r="G33" s="29">
        <v>42870</v>
      </c>
      <c r="H33" s="29" t="s">
        <v>526</v>
      </c>
      <c r="I33" s="97">
        <v>46125</v>
      </c>
      <c r="J33" s="94">
        <v>46095</v>
      </c>
      <c r="K33" s="29">
        <f>IF(Ejecucion[[#This Row],[Fecha Fin]]="","",MONTH(Ejecucion[[#This Row],[Fecha Fin]]))</f>
        <v>3</v>
      </c>
      <c r="L33" s="93" t="s">
        <v>75</v>
      </c>
      <c r="M33" s="29">
        <v>30</v>
      </c>
      <c r="N33" s="29">
        <v>30</v>
      </c>
      <c r="O33" s="29">
        <v>30</v>
      </c>
      <c r="P33" s="29">
        <v>0</v>
      </c>
      <c r="Q33" s="29"/>
      <c r="R33" s="190" t="s">
        <v>527</v>
      </c>
      <c r="S33" s="29"/>
      <c r="T33" s="93"/>
    </row>
    <row r="34" spans="1:20" ht="28.8" customHeight="1">
      <c r="A34" s="30">
        <f>ROW() - ROW(Ejecucion[[#Headers],[Correlativo]])</f>
        <v>30</v>
      </c>
      <c r="B34" s="100" t="s">
        <v>292</v>
      </c>
      <c r="C34" s="28" t="str">
        <f>IF(Ejecucion[[#This Row],[No. Solicitud]]="","",_xlfn.XLOOKUP(Ejecucion[[#This Row],[No. Solicitud]],Registro!$B$8:$B$997,Registro!$M$8:$M$997,"Sin Dato",0))</f>
        <v>Gestor 3</v>
      </c>
      <c r="D34" s="153" t="str">
        <f>IF(B34="","",HYPERLINK("#"&amp;"Registro!B"&amp;MATCH(B34,Registro!$B$8:$B$999,0)+7,"Ubicar en registro"))</f>
        <v>Ubicar en registro</v>
      </c>
      <c r="E34" s="55" t="str">
        <f>IF(C34="","",_xlfn.XLOOKUP(Ejecucion[[#This Row],[No. Solicitud]],Registro!$B$8:$B$999,Registro!$H$8:$H$999,"",0))</f>
        <v>Curso 60</v>
      </c>
      <c r="F34" s="29">
        <v>2</v>
      </c>
      <c r="G34" s="29">
        <v>42977</v>
      </c>
      <c r="H34" s="29" t="s">
        <v>526</v>
      </c>
      <c r="I34" s="97">
        <v>46135</v>
      </c>
      <c r="J34" s="97">
        <v>46135</v>
      </c>
      <c r="K34" s="29">
        <f>IF(Ejecucion[[#This Row],[Fecha Fin]]="","",MONTH(Ejecucion[[#This Row],[Fecha Fin]]))</f>
        <v>4</v>
      </c>
      <c r="L34" s="93" t="s">
        <v>75</v>
      </c>
      <c r="M34" s="29">
        <v>30</v>
      </c>
      <c r="N34" s="29">
        <v>30</v>
      </c>
      <c r="O34" s="29">
        <v>26</v>
      </c>
      <c r="P34" s="29">
        <v>3</v>
      </c>
      <c r="Q34" s="29"/>
      <c r="R34" s="190" t="s">
        <v>528</v>
      </c>
      <c r="S34" s="29"/>
      <c r="T34" s="93"/>
    </row>
    <row r="35" spans="1:20" ht="28.8" customHeight="1">
      <c r="A35" s="30">
        <f>ROW() - ROW(Ejecucion[[#Headers],[Correlativo]])</f>
        <v>31</v>
      </c>
      <c r="B35" s="100" t="s">
        <v>292</v>
      </c>
      <c r="C35" s="28" t="str">
        <f>IF(Ejecucion[[#This Row],[No. Solicitud]]="","",_xlfn.XLOOKUP(Ejecucion[[#This Row],[No. Solicitud]],Registro!$B$8:$B$997,Registro!$M$8:$M$997,"Sin Dato",0))</f>
        <v>Gestor 3</v>
      </c>
      <c r="D35" s="153" t="str">
        <f>IF(B35="","",HYPERLINK("#"&amp;"Registro!B"&amp;MATCH(B35,Registro!$B$8:$B$999,0)+7,"Ubicar en registro"))</f>
        <v>Ubicar en registro</v>
      </c>
      <c r="E35" s="55" t="str">
        <f>IF(C35="","",_xlfn.XLOOKUP(Ejecucion[[#This Row],[No. Solicitud]],Registro!$B$8:$B$999,Registro!$H$8:$H$999,"",0))</f>
        <v>Curso 60</v>
      </c>
      <c r="F35" s="29">
        <v>3</v>
      </c>
      <c r="G35" s="29">
        <v>43056</v>
      </c>
      <c r="H35" s="29" t="s">
        <v>529</v>
      </c>
      <c r="I35" s="97">
        <v>46149</v>
      </c>
      <c r="J35" s="94">
        <v>46149</v>
      </c>
      <c r="K35" s="29">
        <f>IF(Ejecucion[[#This Row],[Fecha Fin]]="","",MONTH(Ejecucion[[#This Row],[Fecha Fin]]))</f>
        <v>5</v>
      </c>
      <c r="L35" s="93" t="s">
        <v>75</v>
      </c>
      <c r="M35" s="29">
        <v>30</v>
      </c>
      <c r="N35" s="29">
        <v>30</v>
      </c>
      <c r="O35" s="29">
        <v>29</v>
      </c>
      <c r="P35" s="29">
        <v>0</v>
      </c>
      <c r="Q35" s="29"/>
      <c r="R35" s="190" t="s">
        <v>530</v>
      </c>
      <c r="S35" s="29"/>
      <c r="T35" s="93"/>
    </row>
    <row r="36" spans="1:20" ht="28.8" customHeight="1">
      <c r="A36" s="30">
        <f>ROW() - ROW(Ejecucion[[#Headers],[Correlativo]])</f>
        <v>32</v>
      </c>
      <c r="B36" s="100" t="s">
        <v>292</v>
      </c>
      <c r="C36" s="28" t="str">
        <f>IF(Ejecucion[[#This Row],[No. Solicitud]]="","",_xlfn.XLOOKUP(Ejecucion[[#This Row],[No. Solicitud]],Registro!$B$8:$B$997,Registro!$M$8:$M$997,"Sin Dato",0))</f>
        <v>Gestor 3</v>
      </c>
      <c r="D36" s="153" t="str">
        <f>IF(B36="","",HYPERLINK("#"&amp;"Registro!B"&amp;MATCH(B36,Registro!$B$8:$B$999,0)+7,"Ubicar en registro"))</f>
        <v>Ubicar en registro</v>
      </c>
      <c r="E36" s="55" t="str">
        <f>IF(C36="","",_xlfn.XLOOKUP(Ejecucion[[#This Row],[No. Solicitud]],Registro!$B$8:$B$999,Registro!$H$8:$H$999,"",0))</f>
        <v>Curso 60</v>
      </c>
      <c r="F36" s="29">
        <v>4</v>
      </c>
      <c r="G36" s="29">
        <v>43091</v>
      </c>
      <c r="H36" s="29" t="s">
        <v>531</v>
      </c>
      <c r="I36" s="97">
        <v>46153</v>
      </c>
      <c r="J36" s="94">
        <v>46156</v>
      </c>
      <c r="K36" s="29">
        <f>IF(Ejecucion[[#This Row],[Fecha Fin]]="","",MONTH(Ejecucion[[#This Row],[Fecha Fin]]))</f>
        <v>5</v>
      </c>
      <c r="L36" s="93" t="s">
        <v>75</v>
      </c>
      <c r="M36" s="29">
        <v>30</v>
      </c>
      <c r="N36" s="29">
        <v>30</v>
      </c>
      <c r="O36" s="29">
        <v>24</v>
      </c>
      <c r="P36" s="29">
        <v>3</v>
      </c>
      <c r="Q36" s="29"/>
      <c r="R36" s="190" t="s">
        <v>532</v>
      </c>
      <c r="S36" s="29"/>
      <c r="T36" s="93"/>
    </row>
    <row r="37" spans="1:20" ht="28.8" customHeight="1">
      <c r="A37" s="30">
        <f>ROW() - ROW(Ejecucion[[#Headers],[Correlativo]])</f>
        <v>33</v>
      </c>
      <c r="B37" t="s">
        <v>281</v>
      </c>
      <c r="C37" s="28" t="str">
        <f>IF(Ejecucion[[#This Row],[No. Solicitud]]="","",_xlfn.XLOOKUP(Ejecucion[[#This Row],[No. Solicitud]],Registro!$B$8:$B$997,Registro!$M$8:$M$997,"Sin Dato",0))</f>
        <v>Gestor 5</v>
      </c>
      <c r="D37" s="153" t="str">
        <f>IF(B37="","",HYPERLINK("#"&amp;"Registro!B"&amp;MATCH(B37,Registro!$B$8:$B$999,0)+7,"Ubicar en registro"))</f>
        <v>Ubicar en registro</v>
      </c>
      <c r="E37" s="55" t="str">
        <f>IF(C37="","",_xlfn.XLOOKUP(Ejecucion[[#This Row],[No. Solicitud]],Registro!$B$8:$B$999,Registro!$H$8:$H$999,"",0))</f>
        <v>Curso 57</v>
      </c>
      <c r="F37" s="29">
        <v>1</v>
      </c>
      <c r="G37" s="29">
        <v>42460</v>
      </c>
      <c r="H37" s="29" t="s">
        <v>533</v>
      </c>
      <c r="I37" s="97">
        <v>46057</v>
      </c>
      <c r="J37" s="94">
        <v>46057</v>
      </c>
      <c r="K37" s="29">
        <f>IF(Ejecucion[[#This Row],[Fecha Fin]]="","",MONTH(Ejecucion[[#This Row],[Fecha Fin]]))</f>
        <v>2</v>
      </c>
      <c r="L37" s="93" t="s">
        <v>75</v>
      </c>
      <c r="M37" s="29">
        <v>44</v>
      </c>
      <c r="N37" s="29">
        <v>42</v>
      </c>
      <c r="O37" s="29"/>
      <c r="P37" s="29"/>
      <c r="Q37" s="29"/>
      <c r="R37" s="93"/>
      <c r="S37" s="29"/>
      <c r="T37" s="93"/>
    </row>
    <row r="38" spans="1:20" ht="28.8" customHeight="1">
      <c r="A38" s="30">
        <f>ROW() - ROW(Ejecucion[[#Headers],[Correlativo]])</f>
        <v>34</v>
      </c>
      <c r="B38" s="30" t="s">
        <v>288</v>
      </c>
      <c r="C38" s="28" t="str">
        <f>IF(Ejecucion[[#This Row],[No. Solicitud]]="","",_xlfn.XLOOKUP(Ejecucion[[#This Row],[No. Solicitud]],Registro!$B$8:$B$997,Registro!$M$8:$M$997,"Sin Dato",0))</f>
        <v>Gestor 2</v>
      </c>
      <c r="D38" s="153" t="str">
        <f>IF(B38="","",HYPERLINK("#"&amp;"Registro!B"&amp;MATCH(B38,Registro!$B$8:$B$999,0)+7,"Ubicar en registro"))</f>
        <v>Ubicar en registro</v>
      </c>
      <c r="E38" s="55" t="str">
        <f>IF(C38="","",_xlfn.XLOOKUP(Ejecucion[[#This Row],[No. Solicitud]],Registro!$B$8:$B$999,Registro!$H$8:$H$999,"",0))</f>
        <v>Curso 59</v>
      </c>
      <c r="F38" s="29">
        <v>1</v>
      </c>
      <c r="G38" s="29">
        <v>42674</v>
      </c>
      <c r="H38" s="29" t="s">
        <v>534</v>
      </c>
      <c r="I38" s="97">
        <v>46093</v>
      </c>
      <c r="J38" s="94">
        <v>46094</v>
      </c>
      <c r="K38" s="29">
        <f>IF(Ejecucion[[#This Row],[Fecha Fin]]="","",MONTH(Ejecucion[[#This Row],[Fecha Fin]]))</f>
        <v>3</v>
      </c>
      <c r="L38" s="93" t="s">
        <v>75</v>
      </c>
      <c r="M38" s="29">
        <v>32</v>
      </c>
      <c r="N38" s="29">
        <v>32</v>
      </c>
      <c r="O38" s="29"/>
      <c r="P38" s="29"/>
      <c r="Q38" s="29"/>
      <c r="R38" s="93"/>
      <c r="S38" s="29"/>
      <c r="T38" s="93"/>
    </row>
    <row r="39" spans="1:20" ht="28.8" customHeight="1">
      <c r="A39" s="30">
        <f>ROW() - ROW(Ejecucion[[#Headers],[Correlativo]])</f>
        <v>35</v>
      </c>
      <c r="B39" s="30" t="s">
        <v>288</v>
      </c>
      <c r="C39" s="28" t="str">
        <f>IF(Ejecucion[[#This Row],[No. Solicitud]]="","",_xlfn.XLOOKUP(Ejecucion[[#This Row],[No. Solicitud]],Registro!$B$8:$B$997,Registro!$M$8:$M$997,"Sin Dato",0))</f>
        <v>Gestor 2</v>
      </c>
      <c r="D39" s="153" t="str">
        <f>IF(B39="","",HYPERLINK("#"&amp;"Registro!B"&amp;MATCH(B39,Registro!$B$8:$B$999,0)+7,"Ubicar en registro"))</f>
        <v>Ubicar en registro</v>
      </c>
      <c r="E39" s="55" t="str">
        <f>IF(C39="","",_xlfn.XLOOKUP(Ejecucion[[#This Row],[No. Solicitud]],Registro!$B$8:$B$999,Registro!$H$8:$H$999,"",0))</f>
        <v>Curso 59</v>
      </c>
      <c r="F39" s="29">
        <v>2</v>
      </c>
      <c r="G39" s="29">
        <v>42698</v>
      </c>
      <c r="H39" s="29" t="s">
        <v>535</v>
      </c>
      <c r="I39" s="97">
        <v>46097</v>
      </c>
      <c r="J39" s="94">
        <v>46098</v>
      </c>
      <c r="K39" s="29">
        <f>IF(Ejecucion[[#This Row],[Fecha Fin]]="","",MONTH(Ejecucion[[#This Row],[Fecha Fin]]))</f>
        <v>3</v>
      </c>
      <c r="L39" s="93" t="s">
        <v>75</v>
      </c>
      <c r="M39" s="29">
        <v>32</v>
      </c>
      <c r="N39" s="29">
        <v>32</v>
      </c>
      <c r="O39" s="29"/>
      <c r="P39" s="29"/>
      <c r="Q39" s="29"/>
      <c r="R39" s="93"/>
      <c r="S39" s="29"/>
      <c r="T39" s="93"/>
    </row>
    <row r="40" spans="1:20" ht="28.8" customHeight="1">
      <c r="A40" s="30">
        <f>ROW() - ROW(Ejecucion[[#Headers],[Correlativo]])</f>
        <v>36</v>
      </c>
      <c r="B40" s="30" t="s">
        <v>288</v>
      </c>
      <c r="C40" s="28" t="str">
        <f>IF(Ejecucion[[#This Row],[No. Solicitud]]="","",_xlfn.XLOOKUP(Ejecucion[[#This Row],[No. Solicitud]],Registro!$B$8:$B$997,Registro!$M$8:$M$997,"Sin Dato",0))</f>
        <v>Gestor 2</v>
      </c>
      <c r="D40" s="153" t="str">
        <f>IF(B40="","",HYPERLINK("#"&amp;"Registro!B"&amp;MATCH(B40,Registro!$B$8:$B$999,0)+7,"Ubicar en registro"))</f>
        <v>Ubicar en registro</v>
      </c>
      <c r="E40" s="55" t="str">
        <f>IF(C40="","",_xlfn.XLOOKUP(Ejecucion[[#This Row],[No. Solicitud]],Registro!$B$8:$B$999,Registro!$H$8:$H$999,"",0))</f>
        <v>Curso 59</v>
      </c>
      <c r="F40" s="29">
        <v>3</v>
      </c>
      <c r="G40" s="29">
        <v>42857</v>
      </c>
      <c r="H40" s="29" t="s">
        <v>536</v>
      </c>
      <c r="I40" s="97">
        <v>46125</v>
      </c>
      <c r="J40" s="94">
        <v>46126</v>
      </c>
      <c r="K40" s="29">
        <f>IF(Ejecucion[[#This Row],[Fecha Fin]]="","",MONTH(Ejecucion[[#This Row],[Fecha Fin]]))</f>
        <v>4</v>
      </c>
      <c r="L40" s="93" t="s">
        <v>75</v>
      </c>
      <c r="M40" s="29">
        <v>31</v>
      </c>
      <c r="N40" s="29">
        <v>31</v>
      </c>
      <c r="O40" s="29"/>
      <c r="P40" s="29"/>
      <c r="Q40" s="29"/>
      <c r="R40" s="93"/>
      <c r="S40" s="29"/>
      <c r="T40" s="93"/>
    </row>
    <row r="41" spans="1:20" ht="28.8" customHeight="1">
      <c r="A41" s="30">
        <f>ROW() - ROW(Ejecucion[[#Headers],[Correlativo]])</f>
        <v>37</v>
      </c>
      <c r="B41" s="30" t="s">
        <v>296</v>
      </c>
      <c r="C41" s="28" t="str">
        <f>IF(Ejecucion[[#This Row],[No. Solicitud]]="","",_xlfn.XLOOKUP(Ejecucion[[#This Row],[No. Solicitud]],Registro!$B$8:$B$997,Registro!$M$8:$M$997,"Sin Dato",0))</f>
        <v>Gestor 3</v>
      </c>
      <c r="D41" s="153" t="str">
        <f>IF(B41="","",HYPERLINK("#"&amp;"Registro!B"&amp;MATCH(B41,Registro!$B$8:$B$999,0)+7,"Ubicar en registro"))</f>
        <v>Ubicar en registro</v>
      </c>
      <c r="E41" s="55" t="str">
        <f>IF(C41="","",_xlfn.XLOOKUP(Ejecucion[[#This Row],[No. Solicitud]],Registro!$B$8:$B$999,Registro!$H$8:$H$999,"",0))</f>
        <v>Curso 61</v>
      </c>
      <c r="F41" s="29">
        <v>1</v>
      </c>
      <c r="G41" s="29">
        <v>42882</v>
      </c>
      <c r="H41" s="29" t="s">
        <v>537</v>
      </c>
      <c r="I41" s="97">
        <v>46128</v>
      </c>
      <c r="J41" s="94">
        <v>46134</v>
      </c>
      <c r="K41" s="29">
        <f>IF(Ejecucion[[#This Row],[Fecha Fin]]="","",MONTH(Ejecucion[[#This Row],[Fecha Fin]]))</f>
        <v>4</v>
      </c>
      <c r="L41" s="93" t="s">
        <v>75</v>
      </c>
      <c r="M41" s="29">
        <v>89</v>
      </c>
      <c r="N41" s="29">
        <v>73</v>
      </c>
      <c r="O41" s="29"/>
      <c r="P41" s="29"/>
      <c r="Q41" s="29"/>
      <c r="R41" s="93"/>
      <c r="S41" s="29"/>
      <c r="T41" s="93" t="s">
        <v>538</v>
      </c>
    </row>
    <row r="42" spans="1:20" ht="28.8" customHeight="1">
      <c r="A42" s="30">
        <f>ROW() - ROW(Ejecucion[[#Headers],[Correlativo]])</f>
        <v>38</v>
      </c>
      <c r="B42" s="30" t="s">
        <v>296</v>
      </c>
      <c r="C42" s="28" t="str">
        <f>IF(Ejecucion[[#This Row],[No. Solicitud]]="","",_xlfn.XLOOKUP(Ejecucion[[#This Row],[No. Solicitud]],Registro!$B$8:$B$997,Registro!$M$8:$M$997,"Sin Dato",0))</f>
        <v>Gestor 3</v>
      </c>
      <c r="D42" s="153" t="str">
        <f>IF(B42="","",HYPERLINK("#"&amp;"Registro!B"&amp;MATCH(B42,Registro!$B$8:$B$999,0)+7,"Ubicar en registro"))</f>
        <v>Ubicar en registro</v>
      </c>
      <c r="E42" s="55" t="str">
        <f>IF(C42="","",_xlfn.XLOOKUP(Ejecucion[[#This Row],[No. Solicitud]],Registro!$B$8:$B$999,Registro!$H$8:$H$999,"",0))</f>
        <v>Curso 61</v>
      </c>
      <c r="F42" s="29">
        <v>2</v>
      </c>
      <c r="G42" s="29">
        <v>42886</v>
      </c>
      <c r="H42" s="29" t="s">
        <v>539</v>
      </c>
      <c r="I42" s="97">
        <v>46128</v>
      </c>
      <c r="J42" s="94">
        <v>46134</v>
      </c>
      <c r="K42" s="29">
        <f>IF(Ejecucion[[#This Row],[Fecha Fin]]="","",MONTH(Ejecucion[[#This Row],[Fecha Fin]]))</f>
        <v>4</v>
      </c>
      <c r="L42" s="93" t="s">
        <v>75</v>
      </c>
      <c r="M42" s="29">
        <v>55</v>
      </c>
      <c r="N42" s="29">
        <v>55</v>
      </c>
      <c r="O42" s="29"/>
      <c r="P42" s="29"/>
      <c r="Q42" s="29"/>
      <c r="R42" s="93"/>
      <c r="S42" s="29"/>
      <c r="T42" s="93" t="s">
        <v>538</v>
      </c>
    </row>
    <row r="43" spans="1:20" ht="28.8" customHeight="1">
      <c r="A43" s="30">
        <f>ROW() - ROW(Ejecucion[[#Headers],[Correlativo]])</f>
        <v>39</v>
      </c>
      <c r="B43" s="30" t="s">
        <v>296</v>
      </c>
      <c r="C43" s="28" t="str">
        <f>IF(Ejecucion[[#This Row],[No. Solicitud]]="","",_xlfn.XLOOKUP(Ejecucion[[#This Row],[No. Solicitud]],Registro!$B$8:$B$997,Registro!$M$8:$M$997,"Sin Dato",0))</f>
        <v>Gestor 3</v>
      </c>
      <c r="D43" s="153" t="str">
        <f>IF(B43="","",HYPERLINK("#"&amp;"Registro!B"&amp;MATCH(B43,Registro!$B$8:$B$999,0)+7,"Ubicar en registro"))</f>
        <v>Ubicar en registro</v>
      </c>
      <c r="E43" s="55" t="str">
        <f>IF(C43="","",_xlfn.XLOOKUP(Ejecucion[[#This Row],[No. Solicitud]],Registro!$B$8:$B$999,Registro!$H$8:$H$999,"",0))</f>
        <v>Curso 61</v>
      </c>
      <c r="F43" s="29">
        <v>3</v>
      </c>
      <c r="G43" s="29">
        <v>42888</v>
      </c>
      <c r="H43" s="29" t="s">
        <v>540</v>
      </c>
      <c r="I43" s="97">
        <v>46128</v>
      </c>
      <c r="J43" s="94">
        <v>46134</v>
      </c>
      <c r="K43" s="29">
        <f>IF(Ejecucion[[#This Row],[Fecha Fin]]="","",MONTH(Ejecucion[[#This Row],[Fecha Fin]]))</f>
        <v>4</v>
      </c>
      <c r="L43" s="93" t="s">
        <v>75</v>
      </c>
      <c r="M43" s="29">
        <v>6</v>
      </c>
      <c r="N43" s="29">
        <v>3</v>
      </c>
      <c r="O43" s="29"/>
      <c r="P43" s="29"/>
      <c r="Q43" s="29"/>
      <c r="R43" s="93"/>
      <c r="S43" s="29"/>
      <c r="T43" s="93" t="s">
        <v>538</v>
      </c>
    </row>
    <row r="44" spans="1:20" ht="28.8" customHeight="1">
      <c r="A44" s="30">
        <f>ROW() - ROW(Ejecucion[[#Headers],[Correlativo]])</f>
        <v>40</v>
      </c>
      <c r="B44" s="30" t="s">
        <v>296</v>
      </c>
      <c r="C44" s="28" t="str">
        <f>IF(Ejecucion[[#This Row],[No. Solicitud]]="","",_xlfn.XLOOKUP(Ejecucion[[#This Row],[No. Solicitud]],Registro!$B$8:$B$997,Registro!$M$8:$M$997,"Sin Dato",0))</f>
        <v>Gestor 3</v>
      </c>
      <c r="D44" s="153" t="str">
        <f>IF(B44="","",HYPERLINK("#"&amp;"Registro!B"&amp;MATCH(B44,Registro!$B$8:$B$999,0)+7,"Ubicar en registro"))</f>
        <v>Ubicar en registro</v>
      </c>
      <c r="E44" s="55" t="str">
        <f>IF(C44="","",_xlfn.XLOOKUP(Ejecucion[[#This Row],[No. Solicitud]],Registro!$B$8:$B$999,Registro!$H$8:$H$999,"",0))</f>
        <v>Curso 61</v>
      </c>
      <c r="F44" s="29">
        <v>4</v>
      </c>
      <c r="G44" s="29">
        <v>42889</v>
      </c>
      <c r="H44" s="29" t="s">
        <v>541</v>
      </c>
      <c r="I44" s="97">
        <v>46128</v>
      </c>
      <c r="J44" s="94">
        <v>46134</v>
      </c>
      <c r="K44" s="29">
        <f>IF(Ejecucion[[#This Row],[Fecha Fin]]="","",MONTH(Ejecucion[[#This Row],[Fecha Fin]]))</f>
        <v>4</v>
      </c>
      <c r="L44" s="93" t="s">
        <v>75</v>
      </c>
      <c r="M44" s="29">
        <v>10</v>
      </c>
      <c r="N44" s="29">
        <v>10</v>
      </c>
      <c r="O44" s="29"/>
      <c r="P44" s="29"/>
      <c r="Q44" s="29"/>
      <c r="R44" s="93"/>
      <c r="S44" s="29"/>
      <c r="T44" s="93" t="s">
        <v>538</v>
      </c>
    </row>
    <row r="45" spans="1:20" ht="28.8" customHeight="1">
      <c r="A45" s="30">
        <f>ROW() - ROW(Ejecucion[[#Headers],[Correlativo]])</f>
        <v>41</v>
      </c>
      <c r="B45" s="30" t="s">
        <v>296</v>
      </c>
      <c r="C45" s="28" t="str">
        <f>IF(Ejecucion[[#This Row],[No. Solicitud]]="","",_xlfn.XLOOKUP(Ejecucion[[#This Row],[No. Solicitud]],Registro!$B$8:$B$997,Registro!$M$8:$M$997,"Sin Dato",0))</f>
        <v>Gestor 3</v>
      </c>
      <c r="D45" s="153" t="str">
        <f>IF(B45="","",HYPERLINK("#"&amp;"Registro!B"&amp;MATCH(B45,Registro!$B$8:$B$999,0)+7,"Ubicar en registro"))</f>
        <v>Ubicar en registro</v>
      </c>
      <c r="E45" s="55" t="str">
        <f>IF(C45="","",_xlfn.XLOOKUP(Ejecucion[[#This Row],[No. Solicitud]],Registro!$B$8:$B$999,Registro!$H$8:$H$999,"",0))</f>
        <v>Curso 61</v>
      </c>
      <c r="F45" s="29">
        <v>5</v>
      </c>
      <c r="G45" s="29">
        <v>42890</v>
      </c>
      <c r="H45" s="29" t="s">
        <v>542</v>
      </c>
      <c r="I45" s="97">
        <v>46128</v>
      </c>
      <c r="J45" s="94">
        <v>46134</v>
      </c>
      <c r="K45" s="29">
        <f>IF(Ejecucion[[#This Row],[Fecha Fin]]="","",MONTH(Ejecucion[[#This Row],[Fecha Fin]]))</f>
        <v>4</v>
      </c>
      <c r="L45" s="93" t="s">
        <v>75</v>
      </c>
      <c r="M45" s="29">
        <v>19</v>
      </c>
      <c r="N45" s="29">
        <v>17</v>
      </c>
      <c r="O45" s="29"/>
      <c r="P45" s="29"/>
      <c r="Q45" s="29"/>
      <c r="R45" s="93"/>
      <c r="S45" s="29"/>
      <c r="T45" s="93" t="s">
        <v>538</v>
      </c>
    </row>
    <row r="46" spans="1:20" ht="28.8" customHeight="1">
      <c r="A46" s="30">
        <f>ROW() - ROW(Ejecucion[[#Headers],[Correlativo]])</f>
        <v>42</v>
      </c>
      <c r="B46" s="1" t="s">
        <v>296</v>
      </c>
      <c r="C46" s="28" t="str">
        <f>IF(Ejecucion[[#This Row],[No. Solicitud]]="","",_xlfn.XLOOKUP(Ejecucion[[#This Row],[No. Solicitud]],Registro!$B$8:$B$997,Registro!$M$8:$M$997,"Sin Dato",0))</f>
        <v>Gestor 3</v>
      </c>
      <c r="D46" s="153" t="str">
        <f>IF(B46="","",HYPERLINK("#"&amp;"Registro!B"&amp;MATCH(B46,Registro!$B$8:$B$999,0)+7,"Ubicar en registro"))</f>
        <v>Ubicar en registro</v>
      </c>
      <c r="E46" s="55" t="str">
        <f>IF(C46="","",_xlfn.XLOOKUP(Ejecucion[[#This Row],[No. Solicitud]],Registro!$B$8:$B$999,Registro!$H$8:$H$999,"",0))</f>
        <v>Curso 61</v>
      </c>
      <c r="F46" s="29">
        <v>6</v>
      </c>
      <c r="G46" s="29">
        <v>42950</v>
      </c>
      <c r="H46" s="29" t="s">
        <v>543</v>
      </c>
      <c r="I46" s="97">
        <v>46135</v>
      </c>
      <c r="J46" s="94">
        <v>46141</v>
      </c>
      <c r="K46" s="29">
        <f>IF(Ejecucion[[#This Row],[Fecha Fin]]="","",MONTH(Ejecucion[[#This Row],[Fecha Fin]]))</f>
        <v>4</v>
      </c>
      <c r="L46" s="93" t="s">
        <v>75</v>
      </c>
      <c r="M46" s="29">
        <v>43</v>
      </c>
      <c r="N46" s="29">
        <v>43</v>
      </c>
      <c r="O46" s="29"/>
      <c r="P46" s="29"/>
      <c r="Q46" s="29"/>
      <c r="R46" s="93"/>
      <c r="S46" s="29"/>
      <c r="T46" s="93" t="s">
        <v>538</v>
      </c>
    </row>
    <row r="47" spans="1:20" ht="28.8" customHeight="1">
      <c r="A47" s="30">
        <f>ROW() - ROW(Ejecucion[[#Headers],[Correlativo]])</f>
        <v>43</v>
      </c>
      <c r="B47" s="24" t="s">
        <v>296</v>
      </c>
      <c r="C47" s="28" t="str">
        <f>IF(Ejecucion[[#This Row],[No. Solicitud]]="","",_xlfn.XLOOKUP(Ejecucion[[#This Row],[No. Solicitud]],Registro!$B$8:$B$997,Registro!$M$8:$M$997,"Sin Dato",0))</f>
        <v>Gestor 3</v>
      </c>
      <c r="D47" s="153" t="str">
        <f>IF(B47="","",HYPERLINK("#"&amp;"Registro!B"&amp;MATCH(B47,Registro!$B$8:$B$999,0)+7,"Ubicar en registro"))</f>
        <v>Ubicar en registro</v>
      </c>
      <c r="E47" s="55" t="str">
        <f>IF(C47="","",_xlfn.XLOOKUP(Ejecucion[[#This Row],[No. Solicitud]],Registro!$B$8:$B$999,Registro!$H$8:$H$999,"",0))</f>
        <v>Curso 61</v>
      </c>
      <c r="F47" s="29">
        <v>7</v>
      </c>
      <c r="G47" s="29">
        <v>42951</v>
      </c>
      <c r="H47" s="29" t="s">
        <v>544</v>
      </c>
      <c r="I47" s="97">
        <v>46135</v>
      </c>
      <c r="J47" s="94">
        <v>46141</v>
      </c>
      <c r="K47" s="29">
        <f>IF(Ejecucion[[#This Row],[Fecha Fin]]="","",MONTH(Ejecucion[[#This Row],[Fecha Fin]]))</f>
        <v>4</v>
      </c>
      <c r="L47" s="93" t="s">
        <v>75</v>
      </c>
      <c r="M47" s="29">
        <v>28</v>
      </c>
      <c r="N47" s="29">
        <v>28</v>
      </c>
      <c r="O47" s="29"/>
      <c r="P47" s="29"/>
      <c r="Q47" s="29"/>
      <c r="R47" s="93"/>
      <c r="S47" s="29"/>
      <c r="T47" s="93" t="s">
        <v>538</v>
      </c>
    </row>
    <row r="48" spans="1:20" ht="28.8" customHeight="1">
      <c r="A48" s="30">
        <f>ROW() - ROW(Ejecucion[[#Headers],[Correlativo]])</f>
        <v>44</v>
      </c>
      <c r="B48" s="30" t="s">
        <v>296</v>
      </c>
      <c r="C48" s="28" t="str">
        <f>IF(Ejecucion[[#This Row],[No. Solicitud]]="","",_xlfn.XLOOKUP(Ejecucion[[#This Row],[No. Solicitud]],Registro!$B$8:$B$997,Registro!$M$8:$M$997,"Sin Dato",0))</f>
        <v>Gestor 3</v>
      </c>
      <c r="D48" s="153" t="str">
        <f>IF(B48="","",HYPERLINK("#"&amp;"Registro!B"&amp;MATCH(B48,Registro!$B$8:$B$999,0)+7,"Ubicar en registro"))</f>
        <v>Ubicar en registro</v>
      </c>
      <c r="E48" s="55" t="str">
        <f>IF(C48="","",_xlfn.XLOOKUP(Ejecucion[[#This Row],[No. Solicitud]],Registro!$B$8:$B$999,Registro!$H$8:$H$999,"",0))</f>
        <v>Curso 61</v>
      </c>
      <c r="F48" s="29">
        <v>8</v>
      </c>
      <c r="G48" s="29">
        <v>42952</v>
      </c>
      <c r="H48" s="29" t="s">
        <v>545</v>
      </c>
      <c r="I48" s="97">
        <v>46135</v>
      </c>
      <c r="J48" s="94">
        <v>46141</v>
      </c>
      <c r="K48" s="29">
        <f>IF(Ejecucion[[#This Row],[Fecha Fin]]="","",MONTH(Ejecucion[[#This Row],[Fecha Fin]]))</f>
        <v>4</v>
      </c>
      <c r="L48" s="93" t="s">
        <v>75</v>
      </c>
      <c r="M48" s="29">
        <v>5</v>
      </c>
      <c r="N48" s="29">
        <v>3</v>
      </c>
      <c r="O48" s="29"/>
      <c r="P48" s="29"/>
      <c r="Q48" s="29"/>
      <c r="R48" s="93"/>
      <c r="S48" s="29"/>
      <c r="T48" s="93" t="s">
        <v>538</v>
      </c>
    </row>
    <row r="49" spans="1:20" ht="28.8" customHeight="1">
      <c r="A49" s="30">
        <f>ROW() - ROW(Ejecucion[[#Headers],[Correlativo]])</f>
        <v>45</v>
      </c>
      <c r="B49" s="30" t="s">
        <v>296</v>
      </c>
      <c r="C49" s="28" t="str">
        <f>IF(Ejecucion[[#This Row],[No. Solicitud]]="","",_xlfn.XLOOKUP(Ejecucion[[#This Row],[No. Solicitud]],Registro!$B$8:$B$997,Registro!$M$8:$M$997,"Sin Dato",0))</f>
        <v>Gestor 3</v>
      </c>
      <c r="D49" s="153" t="str">
        <f>IF(B49="","",HYPERLINK("#"&amp;"Registro!B"&amp;MATCH(B49,Registro!$B$8:$B$999,0)+7,"Ubicar en registro"))</f>
        <v>Ubicar en registro</v>
      </c>
      <c r="E49" s="55" t="str">
        <f>IF(C49="","",_xlfn.XLOOKUP(Ejecucion[[#This Row],[No. Solicitud]],Registro!$B$8:$B$999,Registro!$H$8:$H$999,"",0))</f>
        <v>Curso 61</v>
      </c>
      <c r="F49" s="29">
        <v>9</v>
      </c>
      <c r="G49" s="29">
        <v>42957</v>
      </c>
      <c r="H49" s="29" t="s">
        <v>546</v>
      </c>
      <c r="I49" s="97">
        <v>46135</v>
      </c>
      <c r="J49" s="94">
        <v>46141</v>
      </c>
      <c r="K49" s="29">
        <f>IF(Ejecucion[[#This Row],[Fecha Fin]]="","",MONTH(Ejecucion[[#This Row],[Fecha Fin]]))</f>
        <v>4</v>
      </c>
      <c r="L49" s="93" t="s">
        <v>75</v>
      </c>
      <c r="M49" s="29">
        <v>12</v>
      </c>
      <c r="N49" s="29">
        <v>9</v>
      </c>
      <c r="O49" s="29"/>
      <c r="P49" s="29"/>
      <c r="Q49" s="29"/>
      <c r="R49" s="93"/>
      <c r="S49" s="29"/>
      <c r="T49" s="93" t="s">
        <v>538</v>
      </c>
    </row>
    <row r="50" spans="1:20" ht="28.8" customHeight="1">
      <c r="A50" s="30">
        <f>ROW() - ROW(Ejecucion[[#Headers],[Correlativo]])</f>
        <v>46</v>
      </c>
      <c r="B50" s="30" t="s">
        <v>296</v>
      </c>
      <c r="C50" s="28" t="str">
        <f>IF(Ejecucion[[#This Row],[No. Solicitud]]="","",_xlfn.XLOOKUP(Ejecucion[[#This Row],[No. Solicitud]],Registro!$B$8:$B$997,Registro!$M$8:$M$997,"Sin Dato",0))</f>
        <v>Gestor 3</v>
      </c>
      <c r="D50" s="153" t="str">
        <f>IF(B50="","",HYPERLINK("#"&amp;"Registro!B"&amp;MATCH(B50,Registro!$B$8:$B$999,0)+7,"Ubicar en registro"))</f>
        <v>Ubicar en registro</v>
      </c>
      <c r="E50" s="55" t="str">
        <f>IF(C50="","",_xlfn.XLOOKUP(Ejecucion[[#This Row],[No. Solicitud]],Registro!$B$8:$B$999,Registro!$H$8:$H$999,"",0))</f>
        <v>Curso 61</v>
      </c>
      <c r="F50" s="29">
        <v>10</v>
      </c>
      <c r="G50" s="29">
        <v>42958</v>
      </c>
      <c r="H50" s="29" t="s">
        <v>547</v>
      </c>
      <c r="I50" s="97">
        <v>46135</v>
      </c>
      <c r="J50" s="94">
        <v>46141</v>
      </c>
      <c r="K50" s="29">
        <f>IF(Ejecucion[[#This Row],[Fecha Fin]]="","",MONTH(Ejecucion[[#This Row],[Fecha Fin]]))</f>
        <v>4</v>
      </c>
      <c r="L50" s="93" t="s">
        <v>75</v>
      </c>
      <c r="M50" s="29">
        <v>12</v>
      </c>
      <c r="N50" s="29">
        <v>10</v>
      </c>
      <c r="O50" s="29"/>
      <c r="P50" s="29"/>
      <c r="Q50" s="29"/>
      <c r="R50" s="93"/>
      <c r="S50" s="29"/>
      <c r="T50" s="93" t="s">
        <v>538</v>
      </c>
    </row>
    <row r="51" spans="1:20" ht="28.8" customHeight="1">
      <c r="A51" s="30">
        <f>ROW() - ROW(Ejecucion[[#Headers],[Correlativo]])</f>
        <v>47</v>
      </c>
      <c r="B51" s="32" t="s">
        <v>299</v>
      </c>
      <c r="C51" s="28" t="str">
        <f>IF(Ejecucion[[#This Row],[No. Solicitud]]="","",_xlfn.XLOOKUP(Ejecucion[[#This Row],[No. Solicitud]],Registro!$B$8:$B$997,Registro!$M$8:$M$997,"Sin Dato",0))</f>
        <v>Gestor 2</v>
      </c>
      <c r="D51" s="84" t="str">
        <f>IF(B51="","",HYPERLINK("#"&amp;"Registro!B"&amp;MATCH(B51,Registro!$B$8:$B$999,0)+7,"Ubicar en registro"))</f>
        <v>Ubicar en registro</v>
      </c>
      <c r="E51" s="55" t="str">
        <f>IF(C51="","",_xlfn.XLOOKUP(Ejecucion[[#This Row],[No. Solicitud]],Registro!$B$8:$B$999,Registro!$H$8:$H$999,"",0))</f>
        <v>Curso 62</v>
      </c>
      <c r="F51" s="29">
        <v>9</v>
      </c>
      <c r="G51" s="29">
        <v>42549</v>
      </c>
      <c r="H51" s="29" t="s">
        <v>548</v>
      </c>
      <c r="I51" s="97">
        <v>46192</v>
      </c>
      <c r="J51" s="94">
        <v>46192</v>
      </c>
      <c r="K51" s="29">
        <f>IF(Ejecucion[[#This Row],[Fecha Fin]]="","",MONTH(Ejecucion[[#This Row],[Fecha Fin]]))</f>
        <v>6</v>
      </c>
      <c r="L51" s="93" t="s">
        <v>75</v>
      </c>
      <c r="M51" s="29">
        <v>37</v>
      </c>
      <c r="N51" s="29">
        <v>37</v>
      </c>
      <c r="O51" s="29"/>
      <c r="P51" s="29"/>
      <c r="Q51" s="29"/>
      <c r="R51" s="93"/>
      <c r="S51" s="29"/>
      <c r="T51" s="93"/>
    </row>
    <row r="52" spans="1:20" ht="28.8" customHeight="1">
      <c r="A52" s="30">
        <f>ROW() - ROW(Ejecucion[[#Headers],[Correlativo]])</f>
        <v>48</v>
      </c>
      <c r="B52" s="32" t="s">
        <v>299</v>
      </c>
      <c r="C52" s="28" t="str">
        <f>IF(Ejecucion[[#This Row],[No. Solicitud]]="","",_xlfn.XLOOKUP(Ejecucion[[#This Row],[No. Solicitud]],Registro!$B$8:$B$997,Registro!$M$8:$M$997,"Sin Dato",0))</f>
        <v>Gestor 2</v>
      </c>
      <c r="D52" s="84" t="str">
        <f>IF(B52="","",HYPERLINK("#"&amp;"Registro!B"&amp;MATCH(B52,Registro!$B$8:$B$999,0)+7,"Ubicar en registro"))</f>
        <v>Ubicar en registro</v>
      </c>
      <c r="E52" s="55" t="str">
        <f>IF(C52="","",_xlfn.XLOOKUP(Ejecucion[[#This Row],[No. Solicitud]],Registro!$B$8:$B$999,Registro!$H$8:$H$999,"",0))</f>
        <v>Curso 62</v>
      </c>
      <c r="F52" s="29">
        <v>1</v>
      </c>
      <c r="G52" s="29">
        <v>42537</v>
      </c>
      <c r="H52" s="29" t="s">
        <v>549</v>
      </c>
      <c r="I52" s="97">
        <v>46083</v>
      </c>
      <c r="J52" s="97">
        <v>46083</v>
      </c>
      <c r="K52" s="29">
        <f>IF(Ejecucion[[#This Row],[Fecha Fin]]="","",MONTH(Ejecucion[[#This Row],[Fecha Fin]]))</f>
        <v>3</v>
      </c>
      <c r="L52" s="93" t="s">
        <v>75</v>
      </c>
      <c r="M52" s="29">
        <v>32</v>
      </c>
      <c r="N52" s="29">
        <v>32</v>
      </c>
      <c r="O52" s="29"/>
      <c r="P52" s="29"/>
      <c r="Q52" s="29"/>
      <c r="R52" s="93"/>
      <c r="S52" s="29"/>
      <c r="T52" s="93"/>
    </row>
    <row r="53" spans="1:20" ht="28.8" customHeight="1">
      <c r="A53" s="30">
        <f>ROW() - ROW(Ejecucion[[#Headers],[Correlativo]])</f>
        <v>49</v>
      </c>
      <c r="B53" s="32" t="s">
        <v>299</v>
      </c>
      <c r="C53" s="28" t="str">
        <f>IF(Ejecucion[[#This Row],[No. Solicitud]]="","",_xlfn.XLOOKUP(Ejecucion[[#This Row],[No. Solicitud]],Registro!$B$8:$B$997,Registro!$M$8:$M$997,"Sin Dato",0))</f>
        <v>Gestor 2</v>
      </c>
      <c r="D53" s="84" t="str">
        <f>IF(B53="","",HYPERLINK("#"&amp;"Registro!B"&amp;MATCH(B53,Registro!$B$8:$B$999,0)+7,"Ubicar en registro"))</f>
        <v>Ubicar en registro</v>
      </c>
      <c r="E53" s="55" t="str">
        <f>IF(C53="","",_xlfn.XLOOKUP(Ejecucion[[#This Row],[No. Solicitud]],Registro!$B$8:$B$999,Registro!$H$8:$H$999,"",0))</f>
        <v>Curso 62</v>
      </c>
      <c r="F53" s="29">
        <v>2</v>
      </c>
      <c r="G53" s="29">
        <v>42538</v>
      </c>
      <c r="H53" s="29" t="s">
        <v>550</v>
      </c>
      <c r="I53" s="97">
        <v>46097</v>
      </c>
      <c r="J53" s="94">
        <v>46097</v>
      </c>
      <c r="K53" s="29">
        <f>IF(Ejecucion[[#This Row],[Fecha Fin]]="","",MONTH(Ejecucion[[#This Row],[Fecha Fin]]))</f>
        <v>3</v>
      </c>
      <c r="L53" s="93" t="s">
        <v>75</v>
      </c>
      <c r="M53" s="29">
        <v>32</v>
      </c>
      <c r="N53" s="29">
        <v>32</v>
      </c>
      <c r="O53" s="29"/>
      <c r="P53" s="29"/>
      <c r="Q53" s="29"/>
      <c r="R53" s="93"/>
      <c r="S53" s="29"/>
      <c r="T53" s="93"/>
    </row>
    <row r="54" spans="1:20" ht="28.8" customHeight="1">
      <c r="A54" s="30">
        <f>ROW() - ROW(Ejecucion[[#Headers],[Correlativo]])</f>
        <v>50</v>
      </c>
      <c r="B54" s="32" t="s">
        <v>299</v>
      </c>
      <c r="C54" s="28" t="str">
        <f>IF(Ejecucion[[#This Row],[No. Solicitud]]="","",_xlfn.XLOOKUP(Ejecucion[[#This Row],[No. Solicitud]],Registro!$B$8:$B$997,Registro!$M$8:$M$997,"Sin Dato",0))</f>
        <v>Gestor 2</v>
      </c>
      <c r="D54" s="84" t="str">
        <f>IF(B54="","",HYPERLINK("#"&amp;"Registro!B"&amp;MATCH(B54,Registro!$B$8:$B$999,0)+7,"Ubicar en registro"))</f>
        <v>Ubicar en registro</v>
      </c>
      <c r="E54" s="55" t="str">
        <f>IF(C54="","",_xlfn.XLOOKUP(Ejecucion[[#This Row],[No. Solicitud]],Registro!$B$8:$B$999,Registro!$H$8:$H$999,"",0))</f>
        <v>Curso 62</v>
      </c>
      <c r="F54" s="29">
        <v>3</v>
      </c>
      <c r="G54" s="29">
        <v>42539</v>
      </c>
      <c r="H54" s="29" t="s">
        <v>551</v>
      </c>
      <c r="I54" s="97">
        <v>46118</v>
      </c>
      <c r="J54" s="94">
        <v>46118</v>
      </c>
      <c r="K54" s="29">
        <f>IF(Ejecucion[[#This Row],[Fecha Fin]]="","",MONTH(Ejecucion[[#This Row],[Fecha Fin]]))</f>
        <v>4</v>
      </c>
      <c r="L54" s="93" t="s">
        <v>75</v>
      </c>
      <c r="M54" s="29">
        <v>31</v>
      </c>
      <c r="N54" s="29">
        <v>31</v>
      </c>
      <c r="O54" s="29"/>
      <c r="P54" s="29"/>
      <c r="Q54" s="29"/>
      <c r="R54" s="93"/>
      <c r="S54" s="29"/>
      <c r="T54" s="93"/>
    </row>
    <row r="55" spans="1:20" ht="28.8" customHeight="1">
      <c r="A55" s="30">
        <f>ROW() - ROW(Ejecucion[[#Headers],[Correlativo]])</f>
        <v>51</v>
      </c>
      <c r="B55" s="32" t="s">
        <v>299</v>
      </c>
      <c r="C55" s="28" t="str">
        <f>IF(Ejecucion[[#This Row],[No. Solicitud]]="","",_xlfn.XLOOKUP(Ejecucion[[#This Row],[No. Solicitud]],Registro!$B$8:$B$997,Registro!$M$8:$M$997,"Sin Dato",0))</f>
        <v>Gestor 2</v>
      </c>
      <c r="D55" s="84" t="str">
        <f>IF(B55="","",HYPERLINK("#"&amp;"Registro!B"&amp;MATCH(B55,Registro!$B$8:$B$999,0)+7,"Ubicar en registro"))</f>
        <v>Ubicar en registro</v>
      </c>
      <c r="E55" s="55" t="str">
        <f>IF(C55="","",_xlfn.XLOOKUP(Ejecucion[[#This Row],[No. Solicitud]],Registro!$B$8:$B$999,Registro!$H$8:$H$999,"",0))</f>
        <v>Curso 62</v>
      </c>
      <c r="F55" s="29">
        <v>4</v>
      </c>
      <c r="G55" s="29">
        <v>42540</v>
      </c>
      <c r="H55" s="29" t="s">
        <v>552</v>
      </c>
      <c r="I55" s="97">
        <v>46132</v>
      </c>
      <c r="J55" s="94">
        <v>46132</v>
      </c>
      <c r="K55" s="29">
        <f>IF(Ejecucion[[#This Row],[Fecha Fin]]="","",MONTH(Ejecucion[[#This Row],[Fecha Fin]]))</f>
        <v>4</v>
      </c>
      <c r="L55" s="93" t="s">
        <v>75</v>
      </c>
      <c r="M55" s="29">
        <v>36</v>
      </c>
      <c r="N55" s="29">
        <v>36</v>
      </c>
      <c r="O55" s="29"/>
      <c r="P55" s="29"/>
      <c r="Q55" s="29"/>
      <c r="R55" s="93"/>
      <c r="S55" s="29"/>
      <c r="T55" s="93"/>
    </row>
    <row r="56" spans="1:20" ht="28.8" customHeight="1">
      <c r="A56" s="30">
        <f>ROW() - ROW(Ejecucion[[#Headers],[Correlativo]])</f>
        <v>52</v>
      </c>
      <c r="B56" s="32" t="s">
        <v>299</v>
      </c>
      <c r="C56" s="28" t="str">
        <f>IF(Ejecucion[[#This Row],[No. Solicitud]]="","",_xlfn.XLOOKUP(Ejecucion[[#This Row],[No. Solicitud]],Registro!$B$8:$B$997,Registro!$M$8:$M$997,"Sin Dato",0))</f>
        <v>Gestor 2</v>
      </c>
      <c r="D56" s="84" t="str">
        <f>IF(B56="","",HYPERLINK("#"&amp;"Registro!B"&amp;MATCH(B56,Registro!$B$8:$B$999,0)+7,"Ubicar en registro"))</f>
        <v>Ubicar en registro</v>
      </c>
      <c r="E56" s="55" t="str">
        <f>IF(C56="","",_xlfn.XLOOKUP(Ejecucion[[#This Row],[No. Solicitud]],Registro!$B$8:$B$999,Registro!$H$8:$H$999,"",0))</f>
        <v>Curso 62</v>
      </c>
      <c r="F56" s="29">
        <v>5</v>
      </c>
      <c r="G56" s="29">
        <v>42541</v>
      </c>
      <c r="H56" s="29" t="s">
        <v>553</v>
      </c>
      <c r="I56" s="97">
        <v>46146</v>
      </c>
      <c r="J56" s="94">
        <v>46146</v>
      </c>
      <c r="K56" s="29">
        <f>IF(Ejecucion[[#This Row],[Fecha Fin]]="","",MONTH(Ejecucion[[#This Row],[Fecha Fin]]))</f>
        <v>5</v>
      </c>
      <c r="L56" s="93" t="s">
        <v>75</v>
      </c>
      <c r="M56" s="29">
        <v>36</v>
      </c>
      <c r="N56" s="29">
        <v>36</v>
      </c>
      <c r="O56" s="29"/>
      <c r="P56" s="29"/>
      <c r="Q56" s="29"/>
      <c r="R56" s="93"/>
      <c r="S56" s="29"/>
      <c r="T56" s="93"/>
    </row>
    <row r="57" spans="1:20" ht="28.8" customHeight="1">
      <c r="A57" s="30">
        <f>ROW() - ROW(Ejecucion[[#Headers],[Correlativo]])</f>
        <v>53</v>
      </c>
      <c r="B57" s="32" t="s">
        <v>299</v>
      </c>
      <c r="C57" s="28" t="str">
        <f>IF(Ejecucion[[#This Row],[No. Solicitud]]="","",_xlfn.XLOOKUP(Ejecucion[[#This Row],[No. Solicitud]],Registro!$B$8:$B$997,Registro!$M$8:$M$997,"Sin Dato",0))</f>
        <v>Gestor 2</v>
      </c>
      <c r="D57" s="84" t="str">
        <f>IF(B57="","",HYPERLINK("#"&amp;"Registro!B"&amp;MATCH(B57,Registro!$B$8:$B$999,0)+7,"Ubicar en registro"))</f>
        <v>Ubicar en registro</v>
      </c>
      <c r="E57" s="55" t="str">
        <f>IF(C57="","",_xlfn.XLOOKUP(Ejecucion[[#This Row],[No. Solicitud]],Registro!$B$8:$B$999,Registro!$H$8:$H$999,"",0))</f>
        <v>Curso 62</v>
      </c>
      <c r="F57" s="29">
        <v>6</v>
      </c>
      <c r="G57" s="29">
        <v>42542</v>
      </c>
      <c r="H57" s="29" t="s">
        <v>554</v>
      </c>
      <c r="I57" s="97">
        <v>46160</v>
      </c>
      <c r="J57" s="94">
        <v>46160</v>
      </c>
      <c r="K57" s="29">
        <f>IF(Ejecucion[[#This Row],[Fecha Fin]]="","",MONTH(Ejecucion[[#This Row],[Fecha Fin]]))</f>
        <v>5</v>
      </c>
      <c r="L57" s="93" t="s">
        <v>75</v>
      </c>
      <c r="M57" s="29">
        <v>36</v>
      </c>
      <c r="N57" s="29">
        <v>36</v>
      </c>
      <c r="O57" s="29"/>
      <c r="P57" s="29"/>
      <c r="Q57" s="29"/>
      <c r="R57" s="93"/>
      <c r="S57" s="29"/>
      <c r="T57" s="93"/>
    </row>
    <row r="58" spans="1:20" ht="28.8" customHeight="1">
      <c r="A58" s="30">
        <f>ROW() - ROW(Ejecucion[[#Headers],[Correlativo]])</f>
        <v>54</v>
      </c>
      <c r="B58" s="32" t="s">
        <v>299</v>
      </c>
      <c r="C58" s="28" t="str">
        <f>IF(Ejecucion[[#This Row],[No. Solicitud]]="","",_xlfn.XLOOKUP(Ejecucion[[#This Row],[No. Solicitud]],Registro!$B$8:$B$997,Registro!$M$8:$M$997,"Sin Dato",0))</f>
        <v>Gestor 2</v>
      </c>
      <c r="D58" s="84" t="str">
        <f>IF(B58="","",HYPERLINK("#"&amp;"Registro!B"&amp;MATCH(B58,Registro!$B$8:$B$999,0)+7,"Ubicar en registro"))</f>
        <v>Ubicar en registro</v>
      </c>
      <c r="E58" s="55" t="str">
        <f>IF(C58="","",_xlfn.XLOOKUP(Ejecucion[[#This Row],[No. Solicitud]],Registro!$B$8:$B$999,Registro!$H$8:$H$999,"",0))</f>
        <v>Curso 62</v>
      </c>
      <c r="F58" s="29">
        <v>7</v>
      </c>
      <c r="G58" s="29">
        <v>42543</v>
      </c>
      <c r="H58" s="29" t="s">
        <v>555</v>
      </c>
      <c r="I58" s="97">
        <v>46170</v>
      </c>
      <c r="J58" s="94">
        <v>46170</v>
      </c>
      <c r="K58" s="29">
        <f>IF(Ejecucion[[#This Row],[Fecha Fin]]="","",MONTH(Ejecucion[[#This Row],[Fecha Fin]]))</f>
        <v>5</v>
      </c>
      <c r="L58" s="93" t="s">
        <v>75</v>
      </c>
      <c r="M58" s="29">
        <v>36</v>
      </c>
      <c r="N58" s="29">
        <v>36</v>
      </c>
      <c r="O58" s="29"/>
      <c r="P58" s="29"/>
      <c r="Q58" s="29"/>
      <c r="R58" s="93"/>
      <c r="S58" s="29"/>
      <c r="T58" s="93"/>
    </row>
    <row r="59" spans="1:20" ht="28.8" customHeight="1">
      <c r="A59" s="30">
        <f>ROW() - ROW(Ejecucion[[#Headers],[Correlativo]])</f>
        <v>55</v>
      </c>
      <c r="B59" s="32" t="s">
        <v>299</v>
      </c>
      <c r="C59" s="28" t="str">
        <f>IF(Ejecucion[[#This Row],[No. Solicitud]]="","",_xlfn.XLOOKUP(Ejecucion[[#This Row],[No. Solicitud]],Registro!$B$8:$B$997,Registro!$M$8:$M$997,"Sin Dato",0))</f>
        <v>Gestor 2</v>
      </c>
      <c r="D59" s="84" t="str">
        <f>IF(B59="","",HYPERLINK("#"&amp;"Registro!B"&amp;MATCH(B59,Registro!$B$8:$B$999,0)+7,"Ubicar en registro"))</f>
        <v>Ubicar en registro</v>
      </c>
      <c r="E59" s="55" t="str">
        <f>IF(C59="","",_xlfn.XLOOKUP(Ejecucion[[#This Row],[No. Solicitud]],Registro!$B$8:$B$999,Registro!$H$8:$H$999,"",0))</f>
        <v>Curso 62</v>
      </c>
      <c r="F59" s="29">
        <v>8</v>
      </c>
      <c r="G59" s="29">
        <v>42545</v>
      </c>
      <c r="H59" s="29" t="s">
        <v>556</v>
      </c>
      <c r="I59" s="97">
        <v>46182</v>
      </c>
      <c r="J59" s="97">
        <v>46182</v>
      </c>
      <c r="K59" s="29">
        <f>IF(Ejecucion[[#This Row],[Fecha Fin]]="","",MONTH(Ejecucion[[#This Row],[Fecha Fin]]))</f>
        <v>6</v>
      </c>
      <c r="L59" s="93" t="s">
        <v>75</v>
      </c>
      <c r="M59" s="29">
        <v>36</v>
      </c>
      <c r="N59" s="29">
        <v>36</v>
      </c>
      <c r="O59" s="29"/>
      <c r="P59" s="29"/>
      <c r="Q59" s="29"/>
      <c r="R59" s="93"/>
      <c r="S59" s="29"/>
      <c r="T59" s="93"/>
    </row>
    <row r="60" spans="1:20" ht="28.8" customHeight="1">
      <c r="A60" s="30">
        <f>ROW() - ROW(Ejecucion[[#Headers],[Correlativo]])</f>
        <v>56</v>
      </c>
      <c r="B60" s="32" t="s">
        <v>299</v>
      </c>
      <c r="C60" s="28" t="str">
        <f>IF(Ejecucion[[#This Row],[No. Solicitud]]="","",_xlfn.XLOOKUP(Ejecucion[[#This Row],[No. Solicitud]],Registro!$B$8:$B$997,Registro!$M$8:$M$997,"Sin Dato",0))</f>
        <v>Gestor 2</v>
      </c>
      <c r="D60" s="84" t="str">
        <f>IF(B60="","",HYPERLINK("#"&amp;"Registro!B"&amp;MATCH(B60,Registro!$B$8:$B$999,0)+7,"Ubicar en registro"))</f>
        <v>Ubicar en registro</v>
      </c>
      <c r="E60" s="55" t="str">
        <f>IF(C60="","",_xlfn.XLOOKUP(Ejecucion[[#This Row],[No. Solicitud]],Registro!$B$8:$B$999,Registro!$H$8:$H$999,"",0))</f>
        <v>Curso 62</v>
      </c>
      <c r="F60" s="29">
        <v>10</v>
      </c>
      <c r="G60" s="29">
        <v>42550</v>
      </c>
      <c r="H60" s="29" t="s">
        <v>557</v>
      </c>
      <c r="I60" s="97">
        <v>46206</v>
      </c>
      <c r="J60" s="94">
        <v>46206</v>
      </c>
      <c r="K60" s="29">
        <f>IF(Ejecucion[[#This Row],[Fecha Fin]]="","",MONTH(Ejecucion[[#This Row],[Fecha Fin]]))</f>
        <v>7</v>
      </c>
      <c r="L60" s="93" t="s">
        <v>75</v>
      </c>
      <c r="M60" s="29">
        <v>34</v>
      </c>
      <c r="N60" s="29">
        <v>34</v>
      </c>
      <c r="O60" s="29"/>
      <c r="P60" s="29"/>
      <c r="Q60" s="29"/>
      <c r="R60" s="93"/>
      <c r="S60" s="29"/>
      <c r="T60" s="93"/>
    </row>
    <row r="61" spans="1:20" ht="28.8" customHeight="1">
      <c r="A61" s="30">
        <f>ROW() - ROW(Ejecucion[[#Headers],[Correlativo]])</f>
        <v>57</v>
      </c>
      <c r="B61" s="30" t="s">
        <v>301</v>
      </c>
      <c r="C61" s="28" t="str">
        <f>IF(Ejecucion[[#This Row],[No. Solicitud]]="","",_xlfn.XLOOKUP(Ejecucion[[#This Row],[No. Solicitud]],Registro!$B$8:$B$997,Registro!$M$8:$M$997,"Sin Dato",0))</f>
        <v>Gestor 2</v>
      </c>
      <c r="D61" s="84" t="str">
        <f>IF(B61="","",HYPERLINK("#"&amp;"Registro!B"&amp;MATCH(B61,Registro!$B$8:$B$999,0)+7,"Ubicar en registro"))</f>
        <v>Ubicar en registro</v>
      </c>
      <c r="E61" s="55" t="str">
        <f>IF(C61="","",_xlfn.XLOOKUP(Ejecucion[[#This Row],[No. Solicitud]],Registro!$B$8:$B$999,Registro!$H$8:$H$999,"",0))</f>
        <v>Curso 63</v>
      </c>
      <c r="F61" s="29">
        <v>1</v>
      </c>
      <c r="G61" s="29">
        <v>42585</v>
      </c>
      <c r="H61" s="29" t="s">
        <v>558</v>
      </c>
      <c r="I61" s="97">
        <v>46083</v>
      </c>
      <c r="J61" s="97">
        <v>46083</v>
      </c>
      <c r="K61" s="29">
        <f>IF(Ejecucion[[#This Row],[Fecha Fin]]="","",MONTH(Ejecucion[[#This Row],[Fecha Fin]]))</f>
        <v>3</v>
      </c>
      <c r="L61" s="93" t="s">
        <v>75</v>
      </c>
      <c r="M61" s="29">
        <v>32</v>
      </c>
      <c r="N61" s="29">
        <v>32</v>
      </c>
      <c r="O61" s="29"/>
      <c r="P61" s="29"/>
      <c r="Q61" s="29"/>
      <c r="R61" s="93"/>
      <c r="S61" s="29"/>
      <c r="T61" s="93"/>
    </row>
    <row r="62" spans="1:20" ht="28.8" customHeight="1">
      <c r="A62" s="30">
        <f>ROW() - ROW(Ejecucion[[#Headers],[Correlativo]])</f>
        <v>58</v>
      </c>
      <c r="B62" s="30" t="s">
        <v>301</v>
      </c>
      <c r="C62" s="28" t="str">
        <f>IF(Ejecucion[[#This Row],[No. Solicitud]]="","",_xlfn.XLOOKUP(Ejecucion[[#This Row],[No. Solicitud]],Registro!$B$8:$B$997,Registro!$M$8:$M$997,"Sin Dato",0))</f>
        <v>Gestor 2</v>
      </c>
      <c r="D62" s="84" t="str">
        <f>IF(B62="","",HYPERLINK("#"&amp;"Registro!B"&amp;MATCH(B62,Registro!$B$8:$B$999,0)+7,"Ubicar en registro"))</f>
        <v>Ubicar en registro</v>
      </c>
      <c r="E62" s="55" t="str">
        <f>IF(C62="","",_xlfn.XLOOKUP(Ejecucion[[#This Row],[No. Solicitud]],Registro!$B$8:$B$999,Registro!$H$8:$H$999,"",0))</f>
        <v>Curso 63</v>
      </c>
      <c r="F62" s="29">
        <v>2</v>
      </c>
      <c r="G62" s="29">
        <v>42611</v>
      </c>
      <c r="H62" s="29" t="s">
        <v>559</v>
      </c>
      <c r="I62" s="97">
        <v>46097</v>
      </c>
      <c r="J62" s="94">
        <v>46097</v>
      </c>
      <c r="K62" s="29">
        <f>IF(Ejecucion[[#This Row],[Fecha Fin]]="","",MONTH(Ejecucion[[#This Row],[Fecha Fin]]))</f>
        <v>3</v>
      </c>
      <c r="L62" s="93" t="s">
        <v>75</v>
      </c>
      <c r="M62" s="29">
        <v>32</v>
      </c>
      <c r="N62" s="29">
        <v>32</v>
      </c>
      <c r="O62" s="29"/>
      <c r="P62" s="29"/>
      <c r="Q62" s="29"/>
      <c r="R62" s="93"/>
      <c r="S62" s="29"/>
      <c r="T62" s="93"/>
    </row>
    <row r="63" spans="1:20" ht="28.8" customHeight="1">
      <c r="A63" s="30">
        <f>ROW() - ROW(Ejecucion[[#Headers],[Correlativo]])</f>
        <v>59</v>
      </c>
      <c r="B63" s="30" t="s">
        <v>301</v>
      </c>
      <c r="C63" s="28" t="str">
        <f>IF(Ejecucion[[#This Row],[No. Solicitud]]="","",_xlfn.XLOOKUP(Ejecucion[[#This Row],[No. Solicitud]],Registro!$B$8:$B$997,Registro!$M$8:$M$997,"Sin Dato",0))</f>
        <v>Gestor 2</v>
      </c>
      <c r="D63" s="84" t="str">
        <f>IF(B63="","",HYPERLINK("#"&amp;"Registro!B"&amp;MATCH(B63,Registro!$B$8:$B$999,0)+7,"Ubicar en registro"))</f>
        <v>Ubicar en registro</v>
      </c>
      <c r="E63" s="55" t="str">
        <f>IF(C63="","",_xlfn.XLOOKUP(Ejecucion[[#This Row],[No. Solicitud]],Registro!$B$8:$B$999,Registro!$H$8:$H$999,"",0))</f>
        <v>Curso 63</v>
      </c>
      <c r="F63" s="29">
        <v>3</v>
      </c>
      <c r="G63" s="29">
        <v>42819</v>
      </c>
      <c r="H63" s="29" t="s">
        <v>560</v>
      </c>
      <c r="I63" s="97">
        <v>46118</v>
      </c>
      <c r="J63" s="94">
        <v>46118</v>
      </c>
      <c r="K63" s="29">
        <f>IF(Ejecucion[[#This Row],[Fecha Fin]]="","",MONTH(Ejecucion[[#This Row],[Fecha Fin]]))</f>
        <v>4</v>
      </c>
      <c r="L63" s="93" t="s">
        <v>75</v>
      </c>
      <c r="M63" s="29">
        <v>31</v>
      </c>
      <c r="N63" s="29">
        <v>31</v>
      </c>
      <c r="O63" s="29"/>
      <c r="P63" s="29"/>
      <c r="Q63" s="29"/>
      <c r="R63" s="93"/>
      <c r="S63" s="29"/>
      <c r="T63" s="93"/>
    </row>
    <row r="64" spans="1:20" ht="28.8" customHeight="1">
      <c r="A64" s="30">
        <f>ROW() - ROW(Ejecucion[[#Headers],[Correlativo]])</f>
        <v>60</v>
      </c>
      <c r="B64" s="30" t="s">
        <v>301</v>
      </c>
      <c r="C64" s="28" t="str">
        <f>IF(Ejecucion[[#This Row],[No. Solicitud]]="","",_xlfn.XLOOKUP(Ejecucion[[#This Row],[No. Solicitud]],Registro!$B$8:$B$997,Registro!$M$8:$M$997,"Sin Dato",0))</f>
        <v>Gestor 2</v>
      </c>
      <c r="D64" s="84" t="str">
        <f>IF(B64="","",HYPERLINK("#"&amp;"Registro!B"&amp;MATCH(B64,Registro!$B$8:$B$999,0)+7,"Ubicar en registro"))</f>
        <v>Ubicar en registro</v>
      </c>
      <c r="E64" s="55" t="str">
        <f>IF(C64="","",_xlfn.XLOOKUP(Ejecucion[[#This Row],[No. Solicitud]],Registro!$B$8:$B$999,Registro!$H$8:$H$999,"",0))</f>
        <v>Curso 63</v>
      </c>
      <c r="F64" s="29">
        <v>4</v>
      </c>
      <c r="G64" s="29">
        <v>42883</v>
      </c>
      <c r="H64" s="29" t="s">
        <v>561</v>
      </c>
      <c r="I64" s="97">
        <v>46132</v>
      </c>
      <c r="J64" s="94">
        <v>46132</v>
      </c>
      <c r="K64" s="29">
        <f>IF(Ejecucion[[#This Row],[Fecha Fin]]="","",MONTH(Ejecucion[[#This Row],[Fecha Fin]]))</f>
        <v>4</v>
      </c>
      <c r="L64" s="93" t="s">
        <v>75</v>
      </c>
      <c r="M64" s="29">
        <v>36</v>
      </c>
      <c r="N64" s="29">
        <v>36</v>
      </c>
      <c r="O64" s="29"/>
      <c r="P64" s="29"/>
      <c r="Q64" s="29"/>
      <c r="R64" s="93"/>
      <c r="S64" s="29"/>
      <c r="T64" s="93"/>
    </row>
    <row r="65" spans="1:20" ht="28.8" customHeight="1">
      <c r="A65" s="30">
        <f>ROW() - ROW(Ejecucion[[#Headers],[Correlativo]])</f>
        <v>61</v>
      </c>
      <c r="B65" s="30" t="s">
        <v>301</v>
      </c>
      <c r="C65" s="28" t="str">
        <f>IF(Ejecucion[[#This Row],[No. Solicitud]]="","",_xlfn.XLOOKUP(Ejecucion[[#This Row],[No. Solicitud]],Registro!$B$8:$B$997,Registro!$M$8:$M$997,"Sin Dato",0))</f>
        <v>Gestor 2</v>
      </c>
      <c r="D65" s="84" t="str">
        <f>IF(B65="","",HYPERLINK("#"&amp;"Registro!B"&amp;MATCH(B65,Registro!$B$8:$B$999,0)+7,"Ubicar en registro"))</f>
        <v>Ubicar en registro</v>
      </c>
      <c r="E65" s="55" t="str">
        <f>IF(C65="","",_xlfn.XLOOKUP(Ejecucion[[#This Row],[No. Solicitud]],Registro!$B$8:$B$999,Registro!$H$8:$H$999,"",0))</f>
        <v>Curso 63</v>
      </c>
      <c r="F65" s="29">
        <v>5</v>
      </c>
      <c r="G65" s="29">
        <v>43023</v>
      </c>
      <c r="H65" s="29" t="s">
        <v>562</v>
      </c>
      <c r="I65" s="97">
        <v>46146</v>
      </c>
      <c r="J65" s="94">
        <v>46146</v>
      </c>
      <c r="K65" s="29">
        <f>IF(Ejecucion[[#This Row],[Fecha Fin]]="","",MONTH(Ejecucion[[#This Row],[Fecha Fin]]))</f>
        <v>5</v>
      </c>
      <c r="L65" s="93" t="s">
        <v>75</v>
      </c>
      <c r="M65" s="29">
        <v>36</v>
      </c>
      <c r="N65" s="29">
        <v>36</v>
      </c>
      <c r="O65" s="29"/>
      <c r="P65" s="29"/>
      <c r="Q65" s="29"/>
      <c r="R65" s="93"/>
      <c r="S65" s="29"/>
      <c r="T65" s="93"/>
    </row>
    <row r="66" spans="1:20" ht="28.8" customHeight="1">
      <c r="A66" s="30">
        <f>ROW() - ROW(Ejecucion[[#Headers],[Correlativo]])</f>
        <v>62</v>
      </c>
      <c r="B66" s="30" t="s">
        <v>301</v>
      </c>
      <c r="C66" s="28" t="str">
        <f>IF(Ejecucion[[#This Row],[No. Solicitud]]="","",_xlfn.XLOOKUP(Ejecucion[[#This Row],[No. Solicitud]],Registro!$B$8:$B$997,Registro!$M$8:$M$997,"Sin Dato",0))</f>
        <v>Gestor 2</v>
      </c>
      <c r="D66" s="84" t="str">
        <f>IF(B66="","",HYPERLINK("#"&amp;"Registro!B"&amp;MATCH(B66,Registro!$B$8:$B$999,0)+7,"Ubicar en registro"))</f>
        <v>Ubicar en registro</v>
      </c>
      <c r="E66" s="55" t="str">
        <f>IF(C66="","",_xlfn.XLOOKUP(Ejecucion[[#This Row],[No. Solicitud]],Registro!$B$8:$B$999,Registro!$H$8:$H$999,"",0))</f>
        <v>Curso 63</v>
      </c>
      <c r="F66" s="29">
        <v>8</v>
      </c>
      <c r="G66" s="29">
        <v>43267</v>
      </c>
      <c r="H66" s="29" t="s">
        <v>563</v>
      </c>
      <c r="I66" s="97">
        <v>46182</v>
      </c>
      <c r="J66" s="94">
        <v>46182</v>
      </c>
      <c r="K66" s="29">
        <f>IF(Ejecucion[[#This Row],[Fecha Fin]]="","",MONTH(Ejecucion[[#This Row],[Fecha Fin]]))</f>
        <v>6</v>
      </c>
      <c r="L66" s="93" t="s">
        <v>75</v>
      </c>
      <c r="M66" s="29">
        <v>36</v>
      </c>
      <c r="N66" s="29">
        <v>36</v>
      </c>
      <c r="O66" s="29"/>
      <c r="P66" s="29"/>
      <c r="Q66" s="29"/>
      <c r="R66" s="93"/>
      <c r="S66" s="29"/>
      <c r="T66" s="93"/>
    </row>
    <row r="67" spans="1:20" ht="28.8" customHeight="1">
      <c r="A67" s="30">
        <f>ROW() - ROW(Ejecucion[[#Headers],[Correlativo]])</f>
        <v>63</v>
      </c>
      <c r="B67" s="30" t="s">
        <v>301</v>
      </c>
      <c r="C67" s="28" t="str">
        <f>IF(Ejecucion[[#This Row],[No. Solicitud]]="","",_xlfn.XLOOKUP(Ejecucion[[#This Row],[No. Solicitud]],Registro!$B$8:$B$997,Registro!$M$8:$M$997,"Sin Dato",0))</f>
        <v>Gestor 2</v>
      </c>
      <c r="D67" s="84" t="str">
        <f>IF(B67="","",HYPERLINK("#"&amp;"Registro!B"&amp;MATCH(B67,Registro!$B$8:$B$999,0)+7,"Ubicar en registro"))</f>
        <v>Ubicar en registro</v>
      </c>
      <c r="E67" s="55" t="str">
        <f>IF(C67="","",_xlfn.XLOOKUP(Ejecucion[[#This Row],[No. Solicitud]],Registro!$B$8:$B$999,Registro!$H$8:$H$999,"",0))</f>
        <v>Curso 63</v>
      </c>
      <c r="F67" s="29">
        <v>6</v>
      </c>
      <c r="G67" s="29">
        <v>43146</v>
      </c>
      <c r="H67" s="29" t="s">
        <v>564</v>
      </c>
      <c r="I67" s="97">
        <v>46189</v>
      </c>
      <c r="J67" s="94">
        <v>46189</v>
      </c>
      <c r="K67" s="29">
        <f>IF(Ejecucion[[#This Row],[Fecha Fin]]="","",MONTH(Ejecucion[[#This Row],[Fecha Fin]]))</f>
        <v>6</v>
      </c>
      <c r="L67" s="93" t="s">
        <v>75</v>
      </c>
      <c r="M67" s="29">
        <v>36</v>
      </c>
      <c r="N67" s="29">
        <v>36</v>
      </c>
      <c r="O67" s="29"/>
      <c r="P67" s="29"/>
      <c r="Q67" s="29"/>
      <c r="R67" s="93"/>
      <c r="S67" s="29"/>
      <c r="T67" s="93"/>
    </row>
    <row r="68" spans="1:20" ht="28.8" customHeight="1">
      <c r="A68" s="30">
        <f>ROW() - ROW(Ejecucion[[#Headers],[Correlativo]])</f>
        <v>64</v>
      </c>
      <c r="B68" s="30" t="s">
        <v>301</v>
      </c>
      <c r="C68" s="28" t="str">
        <f>IF(Ejecucion[[#This Row],[No. Solicitud]]="","",_xlfn.XLOOKUP(Ejecucion[[#This Row],[No. Solicitud]],Registro!$B$8:$B$997,Registro!$M$8:$M$997,"Sin Dato",0))</f>
        <v>Gestor 2</v>
      </c>
      <c r="D68" s="84" t="str">
        <f>IF(B68="","",HYPERLINK("#"&amp;"Registro!B"&amp;MATCH(B68,Registro!$B$8:$B$999,0)+7,"Ubicar en registro"))</f>
        <v>Ubicar en registro</v>
      </c>
      <c r="E68" s="55" t="str">
        <f>IF(C68="","",_xlfn.XLOOKUP(Ejecucion[[#This Row],[No. Solicitud]],Registro!$B$8:$B$999,Registro!$H$8:$H$999,"",0))</f>
        <v>Curso 63</v>
      </c>
      <c r="F68" s="29">
        <v>9</v>
      </c>
      <c r="G68" s="29">
        <v>43308</v>
      </c>
      <c r="H68" s="29" t="s">
        <v>565</v>
      </c>
      <c r="I68" s="97">
        <v>46192</v>
      </c>
      <c r="J68" s="94">
        <v>46192</v>
      </c>
      <c r="K68" s="29">
        <f>IF(Ejecucion[[#This Row],[Fecha Fin]]="","",MONTH(Ejecucion[[#This Row],[Fecha Fin]]))</f>
        <v>6</v>
      </c>
      <c r="L68" s="93" t="s">
        <v>75</v>
      </c>
      <c r="M68" s="29">
        <v>37</v>
      </c>
      <c r="N68" s="29">
        <v>37</v>
      </c>
      <c r="O68" s="29"/>
      <c r="P68" s="29"/>
      <c r="Q68" s="29"/>
      <c r="R68" s="93"/>
      <c r="S68" s="29"/>
      <c r="T68" s="93"/>
    </row>
    <row r="69" spans="1:20" ht="28.8" customHeight="1">
      <c r="A69" s="30">
        <f>ROW() - ROW(Ejecucion[[#Headers],[Correlativo]])</f>
        <v>65</v>
      </c>
      <c r="B69" s="30" t="s">
        <v>301</v>
      </c>
      <c r="C69" s="28" t="str">
        <f>IF(Ejecucion[[#This Row],[No. Solicitud]]="","",_xlfn.XLOOKUP(Ejecucion[[#This Row],[No. Solicitud]],Registro!$B$8:$B$997,Registro!$M$8:$M$997,"Sin Dato",0))</f>
        <v>Gestor 2</v>
      </c>
      <c r="D69" s="84" t="str">
        <f>IF(B69="","",HYPERLINK("#"&amp;"Registro!B"&amp;MATCH(B69,Registro!$B$8:$B$999,0)+7,"Ubicar en registro"))</f>
        <v>Ubicar en registro</v>
      </c>
      <c r="E69" s="55" t="str">
        <f>IF(C69="","",_xlfn.XLOOKUP(Ejecucion[[#This Row],[No. Solicitud]],Registro!$B$8:$B$999,Registro!$H$8:$H$999,"",0))</f>
        <v>Curso 63</v>
      </c>
      <c r="F69" s="29">
        <v>10</v>
      </c>
      <c r="G69" s="29">
        <v>43374</v>
      </c>
      <c r="H69" s="29" t="s">
        <v>566</v>
      </c>
      <c r="I69" s="97">
        <v>46206</v>
      </c>
      <c r="J69" s="94">
        <v>46206</v>
      </c>
      <c r="K69" s="29">
        <f>IF(Ejecucion[[#This Row],[Fecha Fin]]="","",MONTH(Ejecucion[[#This Row],[Fecha Fin]]))</f>
        <v>7</v>
      </c>
      <c r="L69" s="93" t="s">
        <v>75</v>
      </c>
      <c r="M69" s="29">
        <v>34</v>
      </c>
      <c r="N69" s="29">
        <v>34</v>
      </c>
      <c r="O69" s="29"/>
      <c r="P69" s="29"/>
      <c r="Q69" s="29"/>
      <c r="R69" s="93"/>
      <c r="S69" s="29"/>
      <c r="T69" s="93"/>
    </row>
    <row r="70" spans="1:20" ht="28.8" customHeight="1">
      <c r="A70" s="30">
        <f>ROW() - ROW(Ejecucion[[#Headers],[Correlativo]])</f>
        <v>66</v>
      </c>
      <c r="B70" s="30" t="s">
        <v>301</v>
      </c>
      <c r="C70" s="28" t="str">
        <f>IF(Ejecucion[[#This Row],[No. Solicitud]]="","",_xlfn.XLOOKUP(Ejecucion[[#This Row],[No. Solicitud]],Registro!$B$8:$B$997,Registro!$M$8:$M$997,"Sin Dato",0))</f>
        <v>Gestor 2</v>
      </c>
      <c r="D70" s="84" t="str">
        <f>IF(B70="","",HYPERLINK("#"&amp;"Registro!B"&amp;MATCH(B70,Registro!$B$8:$B$999,0)+7,"Ubicar en registro"))</f>
        <v>Ubicar en registro</v>
      </c>
      <c r="E70" s="55" t="str">
        <f>IF(C70="","",_xlfn.XLOOKUP(Ejecucion[[#This Row],[No. Solicitud]],Registro!$B$8:$B$999,Registro!$H$8:$H$999,"",0))</f>
        <v>Curso 63</v>
      </c>
      <c r="F70" s="29">
        <v>7</v>
      </c>
      <c r="G70" s="29">
        <v>43180</v>
      </c>
      <c r="H70" s="29" t="s">
        <v>567</v>
      </c>
      <c r="I70" s="97">
        <v>46170</v>
      </c>
      <c r="J70" s="94">
        <v>46170</v>
      </c>
      <c r="K70" s="29">
        <f>IF(Ejecucion[[#This Row],[Fecha Fin]]="","",MONTH(Ejecucion[[#This Row],[Fecha Fin]]))</f>
        <v>5</v>
      </c>
      <c r="L70" s="93" t="s">
        <v>75</v>
      </c>
      <c r="M70" s="29">
        <v>36</v>
      </c>
      <c r="N70" s="29">
        <v>36</v>
      </c>
      <c r="O70" s="29"/>
      <c r="P70" s="29"/>
      <c r="Q70" s="29"/>
      <c r="R70" s="93"/>
      <c r="S70" s="29"/>
      <c r="T70" s="93"/>
    </row>
    <row r="71" spans="1:20" ht="28.8" customHeight="1">
      <c r="A71" s="30">
        <f>ROW() - ROW(Ejecucion[[#Headers],[Correlativo]])</f>
        <v>67</v>
      </c>
      <c r="B71" s="30" t="s">
        <v>303</v>
      </c>
      <c r="C71" s="28" t="str">
        <f>IF(Ejecucion[[#This Row],[No. Solicitud]]="","",_xlfn.XLOOKUP(Ejecucion[[#This Row],[No. Solicitud]],Registro!$B$8:$B$997,Registro!$M$8:$M$997,"Sin Dato",0))</f>
        <v>Gestor 2</v>
      </c>
      <c r="D71" s="84" t="str">
        <f>IF(B71="","",HYPERLINK("#"&amp;"Registro!B"&amp;MATCH(B71,Registro!$B$8:$B$999,0)+7,"Ubicar en registro"))</f>
        <v>Ubicar en registro</v>
      </c>
      <c r="E71" s="55" t="str">
        <f>IF(C71="","",_xlfn.XLOOKUP(Ejecucion[[#This Row],[No. Solicitud]],Registro!$B$8:$B$999,Registro!$H$8:$H$999,"",0))</f>
        <v>Curso 64</v>
      </c>
      <c r="F71" s="29">
        <v>1</v>
      </c>
      <c r="G71" s="29">
        <v>42586</v>
      </c>
      <c r="H71" s="29" t="s">
        <v>568</v>
      </c>
      <c r="I71" s="97">
        <v>46084</v>
      </c>
      <c r="J71" s="94">
        <v>46206</v>
      </c>
      <c r="K71" s="29">
        <f>IF(Ejecucion[[#This Row],[Fecha Fin]]="","",MONTH(Ejecucion[[#This Row],[Fecha Fin]]))</f>
        <v>7</v>
      </c>
      <c r="L71" s="93" t="s">
        <v>569</v>
      </c>
      <c r="M71" s="29">
        <v>32</v>
      </c>
      <c r="N71" s="29">
        <v>32</v>
      </c>
      <c r="O71" s="29"/>
      <c r="P71" s="29"/>
      <c r="Q71" s="29"/>
      <c r="R71" s="93"/>
      <c r="S71" s="29"/>
      <c r="T71" s="93"/>
    </row>
    <row r="72" spans="1:20" ht="28.8" customHeight="1">
      <c r="A72" s="30">
        <f>ROW() - ROW(Ejecucion[[#Headers],[Correlativo]])</f>
        <v>68</v>
      </c>
      <c r="B72" s="30" t="s">
        <v>303</v>
      </c>
      <c r="C72" s="28" t="str">
        <f>IF(Ejecucion[[#This Row],[No. Solicitud]]="","",_xlfn.XLOOKUP(Ejecucion[[#This Row],[No. Solicitud]],Registro!$B$8:$B$997,Registro!$M$8:$M$997,"Sin Dato",0))</f>
        <v>Gestor 2</v>
      </c>
      <c r="D72" s="84" t="str">
        <f>IF(B72="","",HYPERLINK("#"&amp;"Registro!B"&amp;MATCH(B72,Registro!$B$8:$B$999,0)+7,"Ubicar en registro"))</f>
        <v>Ubicar en registro</v>
      </c>
      <c r="E72" s="55" t="str">
        <f>IF(C72="","",_xlfn.XLOOKUP(Ejecucion[[#This Row],[No. Solicitud]],Registro!$B$8:$B$999,Registro!$H$8:$H$999,"",0))</f>
        <v>Curso 64</v>
      </c>
      <c r="F72" s="29">
        <v>2</v>
      </c>
      <c r="G72" s="29">
        <v>42614</v>
      </c>
      <c r="H72" s="29" t="s">
        <v>570</v>
      </c>
      <c r="I72" s="97">
        <v>46100</v>
      </c>
      <c r="J72" s="94">
        <v>46100</v>
      </c>
      <c r="K72" s="29">
        <f>IF(Ejecucion[[#This Row],[Fecha Fin]]="","",MONTH(Ejecucion[[#This Row],[Fecha Fin]]))</f>
        <v>3</v>
      </c>
      <c r="L72" s="93" t="s">
        <v>75</v>
      </c>
      <c r="M72" s="29">
        <v>32</v>
      </c>
      <c r="N72" s="29">
        <v>32</v>
      </c>
      <c r="O72" s="29"/>
      <c r="P72" s="29"/>
      <c r="Q72" s="29"/>
      <c r="R72" s="93"/>
      <c r="S72" s="29"/>
      <c r="T72" s="93"/>
    </row>
    <row r="73" spans="1:20" ht="28.8" customHeight="1">
      <c r="A73" s="30">
        <f>ROW() - ROW(Ejecucion[[#Headers],[Correlativo]])</f>
        <v>69</v>
      </c>
      <c r="B73" s="30" t="s">
        <v>303</v>
      </c>
      <c r="C73" s="28" t="str">
        <f>IF(Ejecucion[[#This Row],[No. Solicitud]]="","",_xlfn.XLOOKUP(Ejecucion[[#This Row],[No. Solicitud]],Registro!$B$8:$B$997,Registro!$M$8:$M$997,"Sin Dato",0))</f>
        <v>Gestor 2</v>
      </c>
      <c r="D73" s="84" t="str">
        <f>IF(B73="","",HYPERLINK("#"&amp;"Registro!B"&amp;MATCH(B73,Registro!$B$8:$B$999,0)+7,"Ubicar en registro"))</f>
        <v>Ubicar en registro</v>
      </c>
      <c r="E73" s="55" t="str">
        <f>IF(C73="","",_xlfn.XLOOKUP(Ejecucion[[#This Row],[No. Solicitud]],Registro!$B$8:$B$999,Registro!$H$8:$H$999,"",0))</f>
        <v>Curso 64</v>
      </c>
      <c r="F73" s="28">
        <v>3</v>
      </c>
      <c r="G73" s="29">
        <v>42822</v>
      </c>
      <c r="H73" s="29" t="s">
        <v>571</v>
      </c>
      <c r="I73" s="97">
        <v>46119</v>
      </c>
      <c r="J73" s="97">
        <v>46119</v>
      </c>
      <c r="K73" s="29">
        <f>IF(Ejecucion[[#This Row],[Fecha Fin]]="","",MONTH(Ejecucion[[#This Row],[Fecha Fin]]))</f>
        <v>4</v>
      </c>
      <c r="L73" s="93" t="s">
        <v>75</v>
      </c>
      <c r="M73" s="29">
        <v>31</v>
      </c>
      <c r="N73" s="29">
        <v>31</v>
      </c>
      <c r="O73" s="29"/>
      <c r="P73" s="29"/>
      <c r="Q73" s="29"/>
      <c r="R73" s="93"/>
      <c r="S73" s="29"/>
      <c r="T73" s="93"/>
    </row>
    <row r="74" spans="1:20" ht="28.8" customHeight="1">
      <c r="A74" s="30">
        <f>ROW() - ROW(Ejecucion[[#Headers],[Correlativo]])</f>
        <v>70</v>
      </c>
      <c r="B74" s="30" t="s">
        <v>303</v>
      </c>
      <c r="C74" s="28" t="str">
        <f>IF(Ejecucion[[#This Row],[No. Solicitud]]="","",_xlfn.XLOOKUP(Ejecucion[[#This Row],[No. Solicitud]],Registro!$B$8:$B$997,Registro!$M$8:$M$997,"Sin Dato",0))</f>
        <v>Gestor 2</v>
      </c>
      <c r="D74" s="84" t="str">
        <f>IF(B74="","",HYPERLINK("#"&amp;"Registro!B"&amp;MATCH(B74,Registro!$B$8:$B$999,0)+7,"Ubicar en registro"))</f>
        <v>Ubicar en registro</v>
      </c>
      <c r="E74" s="55" t="str">
        <f>IF(C74="","",_xlfn.XLOOKUP(Ejecucion[[#This Row],[No. Solicitud]],Registro!$B$8:$B$999,Registro!$H$8:$H$999,"",0))</f>
        <v>Curso 64</v>
      </c>
      <c r="F74" s="29">
        <v>4</v>
      </c>
      <c r="G74" s="29">
        <v>42891</v>
      </c>
      <c r="H74" s="29" t="s">
        <v>572</v>
      </c>
      <c r="I74" s="97">
        <v>46133</v>
      </c>
      <c r="J74" s="94">
        <v>46133</v>
      </c>
      <c r="K74" s="29">
        <f>IF(Ejecucion[[#This Row],[Fecha Fin]]="","",MONTH(Ejecucion[[#This Row],[Fecha Fin]]))</f>
        <v>4</v>
      </c>
      <c r="L74" s="93" t="s">
        <v>75</v>
      </c>
      <c r="M74" s="29">
        <v>36</v>
      </c>
      <c r="N74" s="29">
        <v>36</v>
      </c>
      <c r="O74" s="29"/>
      <c r="P74" s="29"/>
      <c r="Q74" s="29"/>
      <c r="R74" s="93"/>
      <c r="S74" s="29"/>
      <c r="T74" s="93"/>
    </row>
    <row r="75" spans="1:20" ht="28.8" customHeight="1">
      <c r="A75" s="30">
        <f>ROW() - ROW(Ejecucion[[#Headers],[Correlativo]])</f>
        <v>71</v>
      </c>
      <c r="B75" s="30" t="s">
        <v>303</v>
      </c>
      <c r="C75" s="28" t="str">
        <f>IF(Ejecucion[[#This Row],[No. Solicitud]]="","",_xlfn.XLOOKUP(Ejecucion[[#This Row],[No. Solicitud]],Registro!$B$8:$B$997,Registro!$M$8:$M$997,"Sin Dato",0))</f>
        <v>Gestor 2</v>
      </c>
      <c r="D75" s="84" t="str">
        <f>IF(B75="","",HYPERLINK("#"&amp;"Registro!B"&amp;MATCH(B75,Registro!$B$8:$B$999,0)+7,"Ubicar en registro"))</f>
        <v>Ubicar en registro</v>
      </c>
      <c r="E75" s="55" t="str">
        <f>IF(C75="","",_xlfn.XLOOKUP(Ejecucion[[#This Row],[No. Solicitud]],Registro!$B$8:$B$999,Registro!$H$8:$H$999,"",0))</f>
        <v>Curso 64</v>
      </c>
      <c r="F75" s="29">
        <v>5</v>
      </c>
      <c r="G75" s="29">
        <v>43026</v>
      </c>
      <c r="H75" s="29" t="s">
        <v>573</v>
      </c>
      <c r="I75" s="97">
        <v>46147</v>
      </c>
      <c r="J75" s="94">
        <v>46147</v>
      </c>
      <c r="K75" s="29">
        <f>IF(Ejecucion[[#This Row],[Fecha Fin]]="","",MONTH(Ejecucion[[#This Row],[Fecha Fin]]))</f>
        <v>5</v>
      </c>
      <c r="L75" s="93" t="s">
        <v>75</v>
      </c>
      <c r="M75" s="29">
        <v>34</v>
      </c>
      <c r="N75" s="29">
        <v>34</v>
      </c>
      <c r="O75" s="29"/>
      <c r="P75" s="29"/>
      <c r="Q75" s="29"/>
      <c r="R75" s="93"/>
      <c r="S75" s="29"/>
      <c r="T75" s="93"/>
    </row>
    <row r="76" spans="1:20" ht="28.8" customHeight="1">
      <c r="A76" s="30">
        <f>ROW() - ROW(Ejecucion[[#Headers],[Correlativo]])</f>
        <v>72</v>
      </c>
      <c r="B76" s="30" t="s">
        <v>303</v>
      </c>
      <c r="C76" s="28" t="str">
        <f>IF(Ejecucion[[#This Row],[No. Solicitud]]="","",_xlfn.XLOOKUP(Ejecucion[[#This Row],[No. Solicitud]],Registro!$B$8:$B$997,Registro!$M$8:$M$997,"Sin Dato",0))</f>
        <v>Gestor 2</v>
      </c>
      <c r="D76" s="84" t="str">
        <f>IF(B76="","",HYPERLINK("#"&amp;"Registro!B"&amp;MATCH(B76,Registro!$B$8:$B$999,0)+7,"Ubicar en registro"))</f>
        <v>Ubicar en registro</v>
      </c>
      <c r="E76" s="55" t="str">
        <f>IF(C76="","",_xlfn.XLOOKUP(Ejecucion[[#This Row],[No. Solicitud]],Registro!$B$8:$B$999,Registro!$H$8:$H$999,"",0))</f>
        <v>Curso 64</v>
      </c>
      <c r="F76" s="29">
        <v>6</v>
      </c>
      <c r="G76" s="29">
        <v>43155</v>
      </c>
      <c r="H76" s="29" t="s">
        <v>574</v>
      </c>
      <c r="I76" s="97">
        <v>46161</v>
      </c>
      <c r="J76" s="94">
        <v>46161</v>
      </c>
      <c r="K76" s="29">
        <f>IF(Ejecucion[[#This Row],[Fecha Fin]]="","",MONTH(Ejecucion[[#This Row],[Fecha Fin]]))</f>
        <v>5</v>
      </c>
      <c r="L76" s="93" t="s">
        <v>75</v>
      </c>
      <c r="M76" s="29">
        <v>36</v>
      </c>
      <c r="N76" s="29">
        <v>36</v>
      </c>
      <c r="O76" s="29"/>
      <c r="P76" s="29"/>
      <c r="Q76" s="29"/>
      <c r="R76" s="93"/>
      <c r="S76" s="29"/>
      <c r="T76" s="93"/>
    </row>
    <row r="77" spans="1:20" ht="28.8" customHeight="1">
      <c r="A77" s="30">
        <f>ROW() - ROW(Ejecucion[[#Headers],[Correlativo]])</f>
        <v>73</v>
      </c>
      <c r="B77" s="30" t="s">
        <v>303</v>
      </c>
      <c r="C77" s="28" t="str">
        <f>IF(Ejecucion[[#This Row],[No. Solicitud]]="","",_xlfn.XLOOKUP(Ejecucion[[#This Row],[No. Solicitud]],Registro!$B$8:$B$997,Registro!$M$8:$M$997,"Sin Dato",0))</f>
        <v>Gestor 2</v>
      </c>
      <c r="D77" s="84" t="str">
        <f>IF(B77="","",HYPERLINK("#"&amp;"Registro!B"&amp;MATCH(B77,Registro!$B$8:$B$999,0)+7,"Ubicar en registro"))</f>
        <v>Ubicar en registro</v>
      </c>
      <c r="E77" s="55" t="str">
        <f>IF(C77="","",_xlfn.XLOOKUP(Ejecucion[[#This Row],[No. Solicitud]],Registro!$B$8:$B$999,Registro!$H$8:$H$999,"",0))</f>
        <v>Curso 64</v>
      </c>
      <c r="F77" s="29">
        <v>7</v>
      </c>
      <c r="G77" s="29">
        <v>43181</v>
      </c>
      <c r="H77" s="29" t="s">
        <v>575</v>
      </c>
      <c r="I77" s="97">
        <v>46171</v>
      </c>
      <c r="J77" s="94">
        <v>46171</v>
      </c>
      <c r="K77" s="29">
        <f>IF(Ejecucion[[#This Row],[Fecha Fin]]="","",MONTH(Ejecucion[[#This Row],[Fecha Fin]]))</f>
        <v>5</v>
      </c>
      <c r="L77" s="93" t="s">
        <v>75</v>
      </c>
      <c r="M77" s="29">
        <v>36</v>
      </c>
      <c r="N77" s="29">
        <v>36</v>
      </c>
      <c r="O77" s="29"/>
      <c r="P77" s="29"/>
      <c r="Q77" s="29"/>
      <c r="R77" s="93"/>
      <c r="S77" s="29"/>
      <c r="T77" s="93"/>
    </row>
    <row r="78" spans="1:20" ht="28.8" customHeight="1">
      <c r="A78" s="30">
        <f>ROW() - ROW(Ejecucion[[#Headers],[Correlativo]])</f>
        <v>74</v>
      </c>
      <c r="B78" s="30" t="s">
        <v>303</v>
      </c>
      <c r="C78" s="28" t="str">
        <f>IF(Ejecucion[[#This Row],[No. Solicitud]]="","",_xlfn.XLOOKUP(Ejecucion[[#This Row],[No. Solicitud]],Registro!$B$8:$B$997,Registro!$M$8:$M$997,"Sin Dato",0))</f>
        <v>Gestor 2</v>
      </c>
      <c r="D78" s="84" t="str">
        <f>IF(B78="","",HYPERLINK("#"&amp;"Registro!B"&amp;MATCH(B78,Registro!$B$8:$B$999,0)+7,"Ubicar en registro"))</f>
        <v>Ubicar en registro</v>
      </c>
      <c r="E78" s="55" t="str">
        <f>IF(C78="","",_xlfn.XLOOKUP(Ejecucion[[#This Row],[No. Solicitud]],Registro!$B$8:$B$999,Registro!$H$8:$H$999,"",0))</f>
        <v>Curso 64</v>
      </c>
      <c r="F78" s="29">
        <v>8</v>
      </c>
      <c r="G78" s="169">
        <v>43268</v>
      </c>
      <c r="H78" s="29" t="s">
        <v>576</v>
      </c>
      <c r="I78" s="97">
        <v>46183</v>
      </c>
      <c r="J78" s="94">
        <v>46183</v>
      </c>
      <c r="K78" s="29">
        <f>IF(Ejecucion[[#This Row],[Fecha Fin]]="","",MONTH(Ejecucion[[#This Row],[Fecha Fin]]))</f>
        <v>6</v>
      </c>
      <c r="L78" s="93" t="s">
        <v>75</v>
      </c>
      <c r="M78" s="29">
        <v>36</v>
      </c>
      <c r="N78" s="29">
        <v>36</v>
      </c>
      <c r="O78" s="29"/>
      <c r="P78" s="29"/>
      <c r="Q78" s="29"/>
      <c r="R78" s="93"/>
      <c r="S78" s="29"/>
      <c r="T78" s="93"/>
    </row>
    <row r="79" spans="1:20" ht="28.8" customHeight="1">
      <c r="A79" s="30">
        <f>ROW() - ROW(Ejecucion[[#Headers],[Correlativo]])</f>
        <v>75</v>
      </c>
      <c r="B79" s="30" t="s">
        <v>303</v>
      </c>
      <c r="C79" s="28" t="str">
        <f>IF(Ejecucion[[#This Row],[No. Solicitud]]="","",_xlfn.XLOOKUP(Ejecucion[[#This Row],[No. Solicitud]],Registro!$B$8:$B$997,Registro!$M$8:$M$997,"Sin Dato",0))</f>
        <v>Gestor 2</v>
      </c>
      <c r="D79" s="84" t="str">
        <f>IF(B79="","",HYPERLINK("#"&amp;"Registro!B"&amp;MATCH(B79,Registro!$B$8:$B$999,0)+7,"Ubicar en registro"))</f>
        <v>Ubicar en registro</v>
      </c>
      <c r="E79" s="55" t="str">
        <f>IF(C79="","",_xlfn.XLOOKUP(Ejecucion[[#This Row],[No. Solicitud]],Registro!$B$8:$B$999,Registro!$H$8:$H$999,"",0))</f>
        <v>Curso 64</v>
      </c>
      <c r="F79" s="29">
        <v>9</v>
      </c>
      <c r="G79" s="29">
        <v>43324</v>
      </c>
      <c r="H79" s="169" t="s">
        <v>577</v>
      </c>
      <c r="I79" s="97">
        <v>46195</v>
      </c>
      <c r="J79" s="94">
        <v>46195</v>
      </c>
      <c r="K79" s="29">
        <f>IF(Ejecucion[[#This Row],[Fecha Fin]]="","",MONTH(Ejecucion[[#This Row],[Fecha Fin]]))</f>
        <v>6</v>
      </c>
      <c r="L79" s="93" t="s">
        <v>75</v>
      </c>
      <c r="M79" s="29">
        <v>37</v>
      </c>
      <c r="N79" s="29">
        <v>37</v>
      </c>
      <c r="O79" s="29"/>
      <c r="P79" s="29"/>
      <c r="Q79" s="29"/>
      <c r="R79" s="93"/>
      <c r="S79" s="29"/>
      <c r="T79" s="93"/>
    </row>
    <row r="80" spans="1:20" ht="28.8" customHeight="1">
      <c r="A80" s="30">
        <f>ROW() - ROW(Ejecucion[[#Headers],[Correlativo]])</f>
        <v>76</v>
      </c>
      <c r="B80" s="30" t="s">
        <v>303</v>
      </c>
      <c r="C80" s="28" t="str">
        <f>IF(Ejecucion[[#This Row],[No. Solicitud]]="","",_xlfn.XLOOKUP(Ejecucion[[#This Row],[No. Solicitud]],Registro!$B$8:$B$997,Registro!$M$8:$M$997,"Sin Dato",0))</f>
        <v>Gestor 2</v>
      </c>
      <c r="D80" s="84" t="str">
        <f>IF(B80="","",HYPERLINK("#"&amp;"Registro!B"&amp;MATCH(B80,Registro!$B$8:$B$999,0)+7,"Ubicar en registro"))</f>
        <v>Ubicar en registro</v>
      </c>
      <c r="E80" s="55" t="str">
        <f>IF(C80="","",_xlfn.XLOOKUP(Ejecucion[[#This Row],[No. Solicitud]],Registro!$B$8:$B$999,Registro!$H$8:$H$999,"",0))</f>
        <v>Curso 64</v>
      </c>
      <c r="F80" s="29">
        <v>10</v>
      </c>
      <c r="G80" s="29">
        <v>43375</v>
      </c>
      <c r="H80" s="29" t="s">
        <v>578</v>
      </c>
      <c r="I80" s="97">
        <v>46209</v>
      </c>
      <c r="J80" s="94">
        <v>46209</v>
      </c>
      <c r="K80" s="29">
        <f>IF(Ejecucion[[#This Row],[Fecha Fin]]="","",MONTH(Ejecucion[[#This Row],[Fecha Fin]]))</f>
        <v>7</v>
      </c>
      <c r="L80" s="93" t="s">
        <v>75</v>
      </c>
      <c r="M80" s="29">
        <v>34</v>
      </c>
      <c r="N80" s="29">
        <v>34</v>
      </c>
      <c r="O80" s="29"/>
      <c r="P80" s="29"/>
      <c r="Q80" s="29"/>
      <c r="R80" s="93"/>
      <c r="S80" s="29"/>
      <c r="T80" s="93"/>
    </row>
    <row r="81" spans="1:20" ht="28.8" customHeight="1">
      <c r="A81" s="30">
        <f>ROW() - ROW(Ejecucion[[#Headers],[Correlativo]])</f>
        <v>77</v>
      </c>
      <c r="B81" s="40" t="s">
        <v>305</v>
      </c>
      <c r="C81" s="28" t="str">
        <f>IF(Ejecucion[[#This Row],[No. Solicitud]]="","",_xlfn.XLOOKUP(Ejecucion[[#This Row],[No. Solicitud]],Registro!$B$8:$B$997,Registro!$M$8:$M$997,"Sin Dato",0))</f>
        <v>Gestor 5</v>
      </c>
      <c r="D81" s="84" t="str">
        <f>IF(B81="","",HYPERLINK("#"&amp;"Registro!B"&amp;MATCH(B81,Registro!$B$8:$B$999,0)+7,"Ubicar en registro"))</f>
        <v>Ubicar en registro</v>
      </c>
      <c r="E81" s="55" t="str">
        <f>IF(C81="","",_xlfn.XLOOKUP(Ejecucion[[#This Row],[No. Solicitud]],Registro!$B$8:$B$999,Registro!$H$8:$H$999,"",0))</f>
        <v>Curso 65</v>
      </c>
      <c r="F81" s="29">
        <v>1</v>
      </c>
      <c r="G81" s="29">
        <v>42729</v>
      </c>
      <c r="H81" s="29" t="s">
        <v>579</v>
      </c>
      <c r="I81" s="97">
        <v>46126</v>
      </c>
      <c r="J81" s="94">
        <v>46217</v>
      </c>
      <c r="K81" s="29">
        <f>IF(Ejecucion[[#This Row],[Fecha Fin]]="","",MONTH(Ejecucion[[#This Row],[Fecha Fin]]))</f>
        <v>7</v>
      </c>
      <c r="L81" s="93" t="s">
        <v>75</v>
      </c>
      <c r="M81" s="29">
        <v>39</v>
      </c>
      <c r="N81" s="29">
        <v>39</v>
      </c>
      <c r="O81" s="29"/>
      <c r="P81" s="29"/>
      <c r="Q81" s="29"/>
      <c r="R81" s="93"/>
      <c r="S81" s="29"/>
      <c r="T81" s="93"/>
    </row>
    <row r="82" spans="1:20" ht="28.8" customHeight="1">
      <c r="A82" s="30">
        <f>ROW() - ROW(Ejecucion[[#Headers],[Correlativo]])</f>
        <v>78</v>
      </c>
      <c r="B82" s="40" t="s">
        <v>305</v>
      </c>
      <c r="C82" s="28" t="str">
        <f>IF(Ejecucion[[#This Row],[No. Solicitud]]="","",_xlfn.XLOOKUP(Ejecucion[[#This Row],[No. Solicitud]],Registro!$B$8:$B$997,Registro!$M$8:$M$997,"Sin Dato",0))</f>
        <v>Gestor 5</v>
      </c>
      <c r="D82" s="84" t="str">
        <f>IF(B82="","",HYPERLINK("#"&amp;"Registro!B"&amp;MATCH(B82,Registro!$B$8:$B$999,0)+7,"Ubicar en registro"))</f>
        <v>Ubicar en registro</v>
      </c>
      <c r="E82" s="55" t="str">
        <f>IF(C82="","",_xlfn.XLOOKUP(Ejecucion[[#This Row],[No. Solicitud]],Registro!$B$8:$B$999,Registro!$H$8:$H$999,"",0))</f>
        <v>Curso 65</v>
      </c>
      <c r="F82" s="29">
        <v>2</v>
      </c>
      <c r="G82" s="29">
        <v>42733</v>
      </c>
      <c r="H82" s="29" t="s">
        <v>580</v>
      </c>
      <c r="I82" s="97">
        <v>46128</v>
      </c>
      <c r="J82" s="94">
        <v>46219</v>
      </c>
      <c r="K82" s="29">
        <f>IF(Ejecucion[[#This Row],[Fecha Fin]]="","",MONTH(Ejecucion[[#This Row],[Fecha Fin]]))</f>
        <v>7</v>
      </c>
      <c r="L82" s="93" t="s">
        <v>75</v>
      </c>
      <c r="M82" s="29">
        <v>30</v>
      </c>
      <c r="N82" s="29">
        <v>30</v>
      </c>
      <c r="O82" s="29"/>
      <c r="P82" s="29"/>
      <c r="Q82" s="29"/>
      <c r="R82" s="93"/>
      <c r="S82" s="29"/>
      <c r="T82" s="93"/>
    </row>
    <row r="83" spans="1:20" ht="28.8" customHeight="1">
      <c r="A83" s="30">
        <f>ROW() - ROW(Ejecucion[[#Headers],[Correlativo]])</f>
        <v>79</v>
      </c>
      <c r="B83" s="40" t="s">
        <v>305</v>
      </c>
      <c r="C83" s="28" t="str">
        <f>IF(Ejecucion[[#This Row],[No. Solicitud]]="","",_xlfn.XLOOKUP(Ejecucion[[#This Row],[No. Solicitud]],Registro!$B$8:$B$997,Registro!$M$8:$M$997,"Sin Dato",0))</f>
        <v>Gestor 5</v>
      </c>
      <c r="D83" s="84" t="str">
        <f>IF(B83="","",HYPERLINK("#"&amp;"Registro!B"&amp;MATCH(B83,Registro!$B$8:$B$999,0)+7,"Ubicar en registro"))</f>
        <v>Ubicar en registro</v>
      </c>
      <c r="E83" s="55" t="str">
        <f>IF(C83="","",_xlfn.XLOOKUP(Ejecucion[[#This Row],[No. Solicitud]],Registro!$B$8:$B$999,Registro!$H$8:$H$999,"",0))</f>
        <v>Curso 65</v>
      </c>
      <c r="F83" s="29">
        <v>3</v>
      </c>
      <c r="G83" s="29">
        <v>42735</v>
      </c>
      <c r="H83" s="29" t="s">
        <v>581</v>
      </c>
      <c r="I83" s="97">
        <v>46133</v>
      </c>
      <c r="J83" s="94">
        <v>46133</v>
      </c>
      <c r="K83" s="29">
        <f>IF(Ejecucion[[#This Row],[Fecha Fin]]="","",MONTH(Ejecucion[[#This Row],[Fecha Fin]]))</f>
        <v>4</v>
      </c>
      <c r="L83" s="93" t="s">
        <v>75</v>
      </c>
      <c r="M83" s="29">
        <v>30</v>
      </c>
      <c r="N83" s="29">
        <v>30</v>
      </c>
      <c r="O83" s="29"/>
      <c r="P83" s="29"/>
      <c r="Q83" s="29"/>
      <c r="R83" s="93"/>
      <c r="S83" s="29"/>
      <c r="T83" s="93"/>
    </row>
    <row r="84" spans="1:20" ht="28.8" customHeight="1">
      <c r="A84" s="30">
        <f>ROW() - ROW(Ejecucion[[#Headers],[Correlativo]])</f>
        <v>80</v>
      </c>
      <c r="B84" s="40" t="s">
        <v>305</v>
      </c>
      <c r="C84" s="28" t="str">
        <f>IF(Ejecucion[[#This Row],[No. Solicitud]]="","",_xlfn.XLOOKUP(Ejecucion[[#This Row],[No. Solicitud]],Registro!$B$8:$B$997,Registro!$M$8:$M$997,"Sin Dato",0))</f>
        <v>Gestor 5</v>
      </c>
      <c r="D84" s="84" t="str">
        <f>IF(B84="","",HYPERLINK("#"&amp;"Registro!B"&amp;MATCH(B84,Registro!$B$8:$B$999,0)+7,"Ubicar en registro"))</f>
        <v>Ubicar en registro</v>
      </c>
      <c r="E84" s="55" t="str">
        <f>IF(C84="","",_xlfn.XLOOKUP(Ejecucion[[#This Row],[No. Solicitud]],Registro!$B$8:$B$999,Registro!$H$8:$H$999,"",0))</f>
        <v>Curso 65</v>
      </c>
      <c r="F84" s="29">
        <v>5</v>
      </c>
      <c r="G84" s="29">
        <v>42732</v>
      </c>
      <c r="H84" s="29" t="s">
        <v>582</v>
      </c>
      <c r="I84" s="97">
        <v>46140</v>
      </c>
      <c r="J84" s="94">
        <v>46140</v>
      </c>
      <c r="K84" s="29">
        <f>IF(Ejecucion[[#This Row],[Fecha Fin]]="","",MONTH(Ejecucion[[#This Row],[Fecha Fin]]))</f>
        <v>4</v>
      </c>
      <c r="L84" s="93" t="s">
        <v>75</v>
      </c>
      <c r="M84" s="29">
        <v>30</v>
      </c>
      <c r="N84" s="29">
        <v>30</v>
      </c>
      <c r="O84" s="29"/>
      <c r="P84" s="29"/>
      <c r="Q84" s="29"/>
      <c r="R84" s="93"/>
      <c r="S84" s="29"/>
      <c r="T84" s="93"/>
    </row>
    <row r="85" spans="1:20" ht="28.8" customHeight="1">
      <c r="A85" s="30">
        <f>ROW() - ROW(Ejecucion[[#Headers],[Correlativo]])</f>
        <v>81</v>
      </c>
      <c r="B85" s="40" t="s">
        <v>305</v>
      </c>
      <c r="C85" s="28" t="str">
        <f>IF(Ejecucion[[#This Row],[No. Solicitud]]="","",_xlfn.XLOOKUP(Ejecucion[[#This Row],[No. Solicitud]],Registro!$B$8:$B$997,Registro!$M$8:$M$997,"Sin Dato",0))</f>
        <v>Gestor 5</v>
      </c>
      <c r="D85" s="84" t="str">
        <f>IF(B85="","",HYPERLINK("#"&amp;"Registro!B"&amp;MATCH(B85,Registro!$B$8:$B$999,0)+7,"Ubicar en registro"))</f>
        <v>Ubicar en registro</v>
      </c>
      <c r="E85" s="55" t="str">
        <f>IF(C85="","",_xlfn.XLOOKUP(Ejecucion[[#This Row],[No. Solicitud]],Registro!$B$8:$B$999,Registro!$H$8:$H$999,"",0))</f>
        <v>Curso 65</v>
      </c>
      <c r="F85" s="29">
        <v>4</v>
      </c>
      <c r="G85" s="29">
        <v>42731</v>
      </c>
      <c r="H85" s="29" t="s">
        <v>583</v>
      </c>
      <c r="I85" s="97">
        <v>46142</v>
      </c>
      <c r="J85" s="94">
        <v>46142</v>
      </c>
      <c r="K85" s="29">
        <f>IF(Ejecucion[[#This Row],[Fecha Fin]]="","",MONTH(Ejecucion[[#This Row],[Fecha Fin]]))</f>
        <v>4</v>
      </c>
      <c r="L85" s="93" t="s">
        <v>75</v>
      </c>
      <c r="M85" s="29">
        <v>30</v>
      </c>
      <c r="N85" s="29">
        <v>30</v>
      </c>
      <c r="O85" s="29"/>
      <c r="P85" s="29"/>
      <c r="Q85" s="29"/>
      <c r="R85" s="93"/>
      <c r="S85" s="29"/>
      <c r="T85" s="93"/>
    </row>
    <row r="86" spans="1:20" ht="28.8" customHeight="1">
      <c r="A86" s="30">
        <f>ROW() - ROW(Ejecucion[[#Headers],[Correlativo]])</f>
        <v>82</v>
      </c>
      <c r="B86" s="32" t="s">
        <v>308</v>
      </c>
      <c r="C86" s="28" t="str">
        <f>IF(Ejecucion[[#This Row],[No. Solicitud]]="","",_xlfn.XLOOKUP(Ejecucion[[#This Row],[No. Solicitud]],Registro!$B$8:$B$997,Registro!$M$8:$M$997,"Sin Dato",0))</f>
        <v>Gestor 2</v>
      </c>
      <c r="D86" s="84" t="str">
        <f>IF(B86="","",HYPERLINK("#"&amp;"Registro!B"&amp;MATCH(B86,Registro!$B$8:$B$999,0)+7,"Ubicar en registro"))</f>
        <v>Ubicar en registro</v>
      </c>
      <c r="E86" s="55" t="str">
        <f>IF(C86="","",_xlfn.XLOOKUP(Ejecucion[[#This Row],[No. Solicitud]],Registro!$B$8:$B$999,Registro!$H$8:$H$999,"",0))</f>
        <v>Curso 66</v>
      </c>
      <c r="F86" s="29">
        <v>1</v>
      </c>
      <c r="G86" s="29">
        <v>42595</v>
      </c>
      <c r="H86" s="29" t="s">
        <v>584</v>
      </c>
      <c r="I86" s="97">
        <v>46087</v>
      </c>
      <c r="J86" s="94">
        <v>46087</v>
      </c>
      <c r="K86" s="29">
        <f>IF(Ejecucion[[#This Row],[Fecha Fin]]="","",MONTH(Ejecucion[[#This Row],[Fecha Fin]]))</f>
        <v>3</v>
      </c>
      <c r="L86" s="93" t="s">
        <v>75</v>
      </c>
      <c r="M86" s="29">
        <v>32</v>
      </c>
      <c r="N86" s="29">
        <v>32</v>
      </c>
      <c r="O86" s="29"/>
      <c r="P86" s="29"/>
      <c r="Q86" s="29"/>
      <c r="R86" s="93"/>
      <c r="S86" s="29"/>
      <c r="T86" s="93"/>
    </row>
    <row r="87" spans="1:20" ht="28.8" customHeight="1">
      <c r="A87" s="30">
        <f>ROW() - ROW(Ejecucion[[#Headers],[Correlativo]])</f>
        <v>83</v>
      </c>
      <c r="B87" s="32" t="s">
        <v>308</v>
      </c>
      <c r="C87" s="28" t="str">
        <f>IF(Ejecucion[[#This Row],[No. Solicitud]]="","",_xlfn.XLOOKUP(Ejecucion[[#This Row],[No. Solicitud]],Registro!$B$8:$B$997,Registro!$M$8:$M$997,"Sin Dato",0))</f>
        <v>Gestor 2</v>
      </c>
      <c r="D87" s="84" t="str">
        <f>IF(B87="","",HYPERLINK("#"&amp;"Registro!B"&amp;MATCH(B87,Registro!$B$8:$B$999,0)+7,"Ubicar en registro"))</f>
        <v>Ubicar en registro</v>
      </c>
      <c r="E87" s="55" t="str">
        <f>IF(C87="","",_xlfn.XLOOKUP(Ejecucion[[#This Row],[No. Solicitud]],Registro!$B$8:$B$999,Registro!$H$8:$H$999,"",0))</f>
        <v>Curso 66</v>
      </c>
      <c r="F87" s="29">
        <v>2</v>
      </c>
      <c r="G87" s="29">
        <v>42622</v>
      </c>
      <c r="H87" s="29" t="s">
        <v>585</v>
      </c>
      <c r="I87" s="97">
        <v>46101</v>
      </c>
      <c r="J87" s="94">
        <v>46101</v>
      </c>
      <c r="K87" s="29">
        <f>IF(Ejecucion[[#This Row],[Fecha Fin]]="","",MONTH(Ejecucion[[#This Row],[Fecha Fin]]))</f>
        <v>3</v>
      </c>
      <c r="L87" s="93" t="s">
        <v>75</v>
      </c>
      <c r="M87" s="29">
        <v>32</v>
      </c>
      <c r="N87" s="29">
        <v>32</v>
      </c>
      <c r="O87" s="29"/>
      <c r="P87" s="29"/>
      <c r="Q87" s="29"/>
      <c r="R87" s="93"/>
      <c r="S87" s="29"/>
      <c r="T87" s="93"/>
    </row>
    <row r="88" spans="1:20" ht="28.8" customHeight="1">
      <c r="A88" s="30">
        <f>ROW() - ROW(Ejecucion[[#Headers],[Correlativo]])</f>
        <v>84</v>
      </c>
      <c r="B88" s="32" t="s">
        <v>308</v>
      </c>
      <c r="C88" s="28" t="str">
        <f>IF(Ejecucion[[#This Row],[No. Solicitud]]="","",_xlfn.XLOOKUP(Ejecucion[[#This Row],[No. Solicitud]],Registro!$B$8:$B$997,Registro!$M$8:$M$997,"Sin Dato",0))</f>
        <v>Gestor 2</v>
      </c>
      <c r="D88" s="84" t="str">
        <f>IF(B88="","",HYPERLINK("#"&amp;"Registro!B"&amp;MATCH(B88,Registro!$B$8:$B$999,0)+7,"Ubicar en registro"))</f>
        <v>Ubicar en registro</v>
      </c>
      <c r="E88" s="55" t="str">
        <f>IF(C88="","",_xlfn.XLOOKUP(Ejecucion[[#This Row],[No. Solicitud]],Registro!$B$8:$B$999,Registro!$H$8:$H$999,"",0))</f>
        <v>Curso 66</v>
      </c>
      <c r="F88" s="29">
        <v>3</v>
      </c>
      <c r="G88" s="29">
        <v>42839</v>
      </c>
      <c r="H88" s="29" t="s">
        <v>586</v>
      </c>
      <c r="I88" s="97">
        <v>46122</v>
      </c>
      <c r="J88" s="94">
        <v>46122</v>
      </c>
      <c r="K88" s="29">
        <f>IF(Ejecucion[[#This Row],[Fecha Fin]]="","",MONTH(Ejecucion[[#This Row],[Fecha Fin]]))</f>
        <v>4</v>
      </c>
      <c r="L88" s="93" t="s">
        <v>75</v>
      </c>
      <c r="M88" s="29">
        <v>30</v>
      </c>
      <c r="N88" s="29">
        <v>30</v>
      </c>
      <c r="O88" s="29"/>
      <c r="P88" s="29"/>
      <c r="Q88" s="29"/>
      <c r="R88" s="93"/>
      <c r="S88" s="29"/>
      <c r="T88" s="93"/>
    </row>
    <row r="89" spans="1:20" ht="21.75" customHeight="1">
      <c r="A89" s="30">
        <f>ROW() - ROW(Ejecucion[[#Headers],[Correlativo]])</f>
        <v>85</v>
      </c>
      <c r="B89" s="188" t="s">
        <v>308</v>
      </c>
      <c r="C89" s="28" t="str">
        <f>IF(Ejecucion[[#This Row],[No. Solicitud]]="","",_xlfn.XLOOKUP(Ejecucion[[#This Row],[No. Solicitud]],Registro!$B$8:$B$997,Registro!$M$8:$M$997,"Sin Dato",0))</f>
        <v>Gestor 2</v>
      </c>
      <c r="D89" s="84" t="str">
        <f>IF(B89="","",HYPERLINK("#"&amp;"Registro!B"&amp;MATCH(B89,Registro!$B$8:$B$999,0)+7,"Ubicar en registro"))</f>
        <v>Ubicar en registro</v>
      </c>
      <c r="E89" s="55" t="str">
        <f>IF(C89="","",_xlfn.XLOOKUP(Ejecucion[[#This Row],[No. Solicitud]],Registro!$B$8:$B$999,Registro!$H$8:$H$999,"",0))</f>
        <v>Curso 66</v>
      </c>
      <c r="F89" s="29">
        <v>4</v>
      </c>
      <c r="G89" s="29">
        <v>42986</v>
      </c>
      <c r="H89" s="29" t="s">
        <v>587</v>
      </c>
      <c r="I89" s="97">
        <v>46136</v>
      </c>
      <c r="J89" s="94">
        <v>46136</v>
      </c>
      <c r="K89" s="29">
        <f>IF(Ejecucion[[#This Row],[Fecha Fin]]="","",MONTH(Ejecucion[[#This Row],[Fecha Fin]]))</f>
        <v>4</v>
      </c>
      <c r="L89" s="93" t="s">
        <v>75</v>
      </c>
      <c r="M89" s="29">
        <v>30</v>
      </c>
      <c r="N89" s="29">
        <v>30</v>
      </c>
      <c r="O89" s="29"/>
      <c r="P89" s="29"/>
      <c r="Q89" s="29"/>
      <c r="R89" s="93"/>
      <c r="S89" s="29"/>
      <c r="T89" s="93"/>
    </row>
    <row r="90" spans="1:20" ht="28.8" customHeight="1">
      <c r="A90" s="30">
        <f>ROW() - ROW(Ejecucion[[#Headers],[Correlativo]])</f>
        <v>86</v>
      </c>
      <c r="B90" s="188" t="s">
        <v>308</v>
      </c>
      <c r="C90" s="28" t="str">
        <f>IF(Ejecucion[[#This Row],[No. Solicitud]]="","",_xlfn.XLOOKUP(Ejecucion[[#This Row],[No. Solicitud]],Registro!$B$8:$B$997,Registro!$M$8:$M$997,"Sin Dato",0))</f>
        <v>Gestor 2</v>
      </c>
      <c r="D90" s="84" t="str">
        <f>IF(B90="","",HYPERLINK("#"&amp;"Registro!B"&amp;MATCH(B90,Registro!$B$8:$B$999,0)+7,"Ubicar en registro"))</f>
        <v>Ubicar en registro</v>
      </c>
      <c r="E90" s="55" t="str">
        <f>IF(C90="","",_xlfn.XLOOKUP(Ejecucion[[#This Row],[No. Solicitud]],Registro!$B$8:$B$999,Registro!$H$8:$H$999,"",0))</f>
        <v>Curso 66</v>
      </c>
      <c r="F90" s="29">
        <v>5</v>
      </c>
      <c r="G90" s="29">
        <v>43037</v>
      </c>
      <c r="H90" s="29" t="s">
        <v>588</v>
      </c>
      <c r="I90" s="97">
        <v>46150</v>
      </c>
      <c r="J90" s="94">
        <v>46150</v>
      </c>
      <c r="K90" s="29">
        <f>IF(Ejecucion[[#This Row],[Fecha Fin]]="","",MONTH(Ejecucion[[#This Row],[Fecha Fin]]))</f>
        <v>5</v>
      </c>
      <c r="L90" s="93" t="s">
        <v>75</v>
      </c>
      <c r="M90" s="29">
        <v>36</v>
      </c>
      <c r="N90" s="29">
        <v>36</v>
      </c>
      <c r="O90" s="29"/>
      <c r="P90" s="29"/>
      <c r="Q90" s="29"/>
      <c r="R90" s="93"/>
      <c r="S90" s="29"/>
      <c r="T90" s="93"/>
    </row>
    <row r="91" spans="1:20" ht="28.8" customHeight="1">
      <c r="A91" s="30">
        <f>ROW() - ROW(Ejecucion[[#Headers],[Correlativo]])</f>
        <v>87</v>
      </c>
      <c r="B91" s="188" t="s">
        <v>308</v>
      </c>
      <c r="C91" s="28" t="str">
        <f>IF(Ejecucion[[#This Row],[No. Solicitud]]="","",_xlfn.XLOOKUP(Ejecucion[[#This Row],[No. Solicitud]],Registro!$B$8:$B$997,Registro!$M$8:$M$997,"Sin Dato",0))</f>
        <v>Gestor 2</v>
      </c>
      <c r="D91" s="84" t="str">
        <f>IF(B91="","",HYPERLINK("#"&amp;"Registro!B"&amp;MATCH(B91,Registro!$B$8:$B$999,0)+7,"Ubicar en registro"))</f>
        <v>Ubicar en registro</v>
      </c>
      <c r="E91" s="55" t="str">
        <f>IF(C91="","",_xlfn.XLOOKUP(Ejecucion[[#This Row],[No. Solicitud]],Registro!$B$8:$B$999,Registro!$H$8:$H$999,"",0))</f>
        <v>Curso 66</v>
      </c>
      <c r="F91" s="29">
        <v>6</v>
      </c>
      <c r="G91" s="29">
        <v>43170</v>
      </c>
      <c r="H91" s="29" t="s">
        <v>589</v>
      </c>
      <c r="I91" s="97">
        <v>46164</v>
      </c>
      <c r="J91" s="94">
        <v>46164</v>
      </c>
      <c r="K91" s="29">
        <f>IF(Ejecucion[[#This Row],[Fecha Fin]]="","",MONTH(Ejecucion[[#This Row],[Fecha Fin]]))</f>
        <v>5</v>
      </c>
      <c r="L91" s="93" t="s">
        <v>75</v>
      </c>
      <c r="M91" s="29">
        <v>36</v>
      </c>
      <c r="N91" s="29">
        <v>36</v>
      </c>
      <c r="O91" s="29"/>
      <c r="P91" s="29"/>
      <c r="Q91" s="29"/>
      <c r="R91" s="93"/>
      <c r="S91" s="29"/>
      <c r="T91" s="93"/>
    </row>
    <row r="92" spans="1:20" ht="28.8" customHeight="1">
      <c r="A92" s="30">
        <f>ROW() - ROW(Ejecucion[[#Headers],[Correlativo]])</f>
        <v>88</v>
      </c>
      <c r="B92" s="156" t="s">
        <v>308</v>
      </c>
      <c r="C92" s="28" t="str">
        <f>IF(Ejecucion[[#This Row],[No. Solicitud]]="","",_xlfn.XLOOKUP(Ejecucion[[#This Row],[No. Solicitud]],Registro!$B$8:$B$997,Registro!$M$8:$M$997,"Sin Dato",0))</f>
        <v>Gestor 2</v>
      </c>
      <c r="D92" s="84" t="str">
        <f>IF(B92="","",HYPERLINK("#"&amp;"Registro!B"&amp;MATCH(B92,Registro!$B$8:$B$999,0)+7,"Ubicar en registro"))</f>
        <v>Ubicar en registro</v>
      </c>
      <c r="E92" s="55" t="str">
        <f>IF(C92="","",_xlfn.XLOOKUP(Ejecucion[[#This Row],[No. Solicitud]],Registro!$B$8:$B$999,Registro!$H$8:$H$999,"",0))</f>
        <v>Curso 66</v>
      </c>
      <c r="F92" s="29">
        <v>7</v>
      </c>
      <c r="G92" s="29">
        <v>43191</v>
      </c>
      <c r="H92" s="29" t="s">
        <v>590</v>
      </c>
      <c r="I92" s="97">
        <v>46176</v>
      </c>
      <c r="J92" s="94">
        <v>46176</v>
      </c>
      <c r="K92" s="29">
        <f>IF(Ejecucion[[#This Row],[Fecha Fin]]="","",MONTH(Ejecucion[[#This Row],[Fecha Fin]]))</f>
        <v>6</v>
      </c>
      <c r="L92" s="93" t="s">
        <v>75</v>
      </c>
      <c r="M92" s="29"/>
      <c r="N92" s="29"/>
      <c r="O92" s="29"/>
      <c r="P92" s="29"/>
      <c r="Q92" s="29"/>
      <c r="R92" s="93"/>
      <c r="S92" s="29"/>
      <c r="T92" s="93" t="s">
        <v>591</v>
      </c>
    </row>
    <row r="93" spans="1:20" ht="28.8" customHeight="1">
      <c r="A93" s="30">
        <f>ROW() - ROW(Ejecucion[[#Headers],[Correlativo]])</f>
        <v>89</v>
      </c>
      <c r="B93" s="156" t="s">
        <v>308</v>
      </c>
      <c r="C93" s="28" t="str">
        <f>IF(Ejecucion[[#This Row],[No. Solicitud]]="","",_xlfn.XLOOKUP(Ejecucion[[#This Row],[No. Solicitud]],Registro!$B$8:$B$997,Registro!$M$8:$M$997,"Sin Dato",0))</f>
        <v>Gestor 2</v>
      </c>
      <c r="D93" s="84" t="str">
        <f>IF(B93="","",HYPERLINK("#"&amp;"Registro!B"&amp;MATCH(B93,Registro!$B$8:$B$999,0)+7,"Ubicar en registro"))</f>
        <v>Ubicar en registro</v>
      </c>
      <c r="E93" s="55" t="str">
        <f>IF(C93="","",_xlfn.XLOOKUP(Ejecucion[[#This Row],[No. Solicitud]],Registro!$B$8:$B$999,Registro!$H$8:$H$999,"",0))</f>
        <v>Curso 66</v>
      </c>
      <c r="F93" s="29">
        <v>8</v>
      </c>
      <c r="G93" s="29">
        <v>43299</v>
      </c>
      <c r="H93" s="29" t="s">
        <v>592</v>
      </c>
      <c r="I93" s="97">
        <v>46188</v>
      </c>
      <c r="J93" s="94">
        <v>46188</v>
      </c>
      <c r="K93" s="29">
        <f>IF(Ejecucion[[#This Row],[Fecha Fin]]="","",MONTH(Ejecucion[[#This Row],[Fecha Fin]]))</f>
        <v>6</v>
      </c>
      <c r="L93" s="93" t="s">
        <v>75</v>
      </c>
      <c r="M93" s="29">
        <v>36</v>
      </c>
      <c r="N93" s="29">
        <v>36</v>
      </c>
      <c r="O93" s="29"/>
      <c r="P93" s="29"/>
      <c r="Q93" s="29"/>
      <c r="R93" s="93"/>
      <c r="S93" s="29"/>
      <c r="T93" s="93"/>
    </row>
    <row r="94" spans="1:20" ht="28.8" customHeight="1">
      <c r="A94" s="30">
        <f>ROW() - ROW(Ejecucion[[#Headers],[Correlativo]])</f>
        <v>90</v>
      </c>
      <c r="B94" s="188" t="s">
        <v>308</v>
      </c>
      <c r="C94" s="28" t="str">
        <f>IF(Ejecucion[[#This Row],[No. Solicitud]]="","",_xlfn.XLOOKUP(Ejecucion[[#This Row],[No. Solicitud]],Registro!$B$8:$B$997,Registro!$M$8:$M$997,"Sin Dato",0))</f>
        <v>Gestor 2</v>
      </c>
      <c r="D94" s="84" t="str">
        <f>IF(B94="","",HYPERLINK("#"&amp;"Registro!B"&amp;MATCH(B94,Registro!$B$8:$B$999,0)+7,"Ubicar en registro"))</f>
        <v>Ubicar en registro</v>
      </c>
      <c r="E94" s="55" t="str">
        <f>IF(C94="","",_xlfn.XLOOKUP(Ejecucion[[#This Row],[No. Solicitud]],Registro!$B$8:$B$999,Registro!$H$8:$H$999,"",0))</f>
        <v>Curso 66</v>
      </c>
      <c r="F94" s="29">
        <v>9</v>
      </c>
      <c r="G94" s="29">
        <v>43329</v>
      </c>
      <c r="H94" s="29" t="s">
        <v>593</v>
      </c>
      <c r="I94" s="97">
        <v>46199</v>
      </c>
      <c r="J94" s="94">
        <v>46199</v>
      </c>
      <c r="K94" s="29">
        <f>IF(Ejecucion[[#This Row],[Fecha Fin]]="","",MONTH(Ejecucion[[#This Row],[Fecha Fin]]))</f>
        <v>6</v>
      </c>
      <c r="L94" s="93" t="s">
        <v>75</v>
      </c>
      <c r="M94" s="29">
        <v>37</v>
      </c>
      <c r="N94" s="29">
        <v>37</v>
      </c>
      <c r="O94" s="29"/>
      <c r="P94" s="29"/>
      <c r="Q94" s="29"/>
      <c r="R94" s="93"/>
      <c r="S94" s="29"/>
      <c r="T94" s="93"/>
    </row>
    <row r="95" spans="1:20" ht="28.8" customHeight="1">
      <c r="A95" s="30">
        <f>ROW() - ROW(Ejecucion[[#Headers],[Correlativo]])</f>
        <v>91</v>
      </c>
      <c r="B95" s="188" t="s">
        <v>308</v>
      </c>
      <c r="C95" s="28" t="str">
        <f>IF(Ejecucion[[#This Row],[No. Solicitud]]="","",_xlfn.XLOOKUP(Ejecucion[[#This Row],[No. Solicitud]],Registro!$B$8:$B$997,Registro!$M$8:$M$997,"Sin Dato",0))</f>
        <v>Gestor 2</v>
      </c>
      <c r="D95" s="84" t="str">
        <f>IF(B95="","",HYPERLINK("#"&amp;"Registro!B"&amp;MATCH(B95,Registro!$B$8:$B$999,0)+7,"Ubicar en registro"))</f>
        <v>Ubicar en registro</v>
      </c>
      <c r="E95" s="55" t="str">
        <f>IF(C95="","",_xlfn.XLOOKUP(Ejecucion[[#This Row],[No. Solicitud]],Registro!$B$8:$B$999,Registro!$H$8:$H$999,"",0))</f>
        <v>Curso 66</v>
      </c>
      <c r="F95" s="29">
        <v>10</v>
      </c>
      <c r="G95" s="29">
        <v>43459</v>
      </c>
      <c r="H95" s="29" t="s">
        <v>594</v>
      </c>
      <c r="I95" s="97">
        <v>46212</v>
      </c>
      <c r="J95" s="94">
        <v>46212</v>
      </c>
      <c r="K95" s="29">
        <f>IF(Ejecucion[[#This Row],[Fecha Fin]]="","",MONTH(Ejecucion[[#This Row],[Fecha Fin]]))</f>
        <v>7</v>
      </c>
      <c r="L95" s="93" t="s">
        <v>75</v>
      </c>
      <c r="M95" s="29">
        <v>34</v>
      </c>
      <c r="N95" s="29">
        <v>34</v>
      </c>
      <c r="O95" s="29"/>
      <c r="P95" s="29"/>
      <c r="Q95" s="29"/>
      <c r="R95" s="93"/>
      <c r="S95" s="29"/>
      <c r="T95" s="93"/>
    </row>
    <row r="96" spans="1:20" ht="36.75" customHeight="1">
      <c r="A96" s="30">
        <f>ROW() - ROW(Ejecucion[[#Headers],[Correlativo]])</f>
        <v>92</v>
      </c>
      <c r="B96" s="156" t="s">
        <v>311</v>
      </c>
      <c r="C96" s="28" t="str">
        <f>IF(Ejecucion[[#This Row],[No. Solicitud]]="","",_xlfn.XLOOKUP(Ejecucion[[#This Row],[No. Solicitud]],Registro!$B$8:$B$997,Registro!$M$8:$M$997,"Sin Dato",0))</f>
        <v>Gestor 2</v>
      </c>
      <c r="D96" s="84" t="str">
        <f>IF(B96="","",HYPERLINK("#"&amp;"Registro!B"&amp;MATCH(B96,Registro!$B$8:$B$999,0)+7,"Ubicar en registro"))</f>
        <v>Ubicar en registro</v>
      </c>
      <c r="E96" s="55" t="str">
        <f>IF(C96="","",_xlfn.XLOOKUP(Ejecucion[[#This Row],[No. Solicitud]],Registro!$B$8:$B$999,Registro!$H$8:$H$999,"",0))</f>
        <v>Curso 67</v>
      </c>
      <c r="F96" s="29">
        <v>1</v>
      </c>
      <c r="G96" s="29">
        <v>42588</v>
      </c>
      <c r="H96" s="29" t="s">
        <v>595</v>
      </c>
      <c r="I96" s="97">
        <v>46085</v>
      </c>
      <c r="J96" s="94">
        <v>46207</v>
      </c>
      <c r="K96" s="29">
        <f>IF(Ejecucion[[#This Row],[Fecha Fin]]="","",MONTH(Ejecucion[[#This Row],[Fecha Fin]]))</f>
        <v>7</v>
      </c>
      <c r="L96" s="93" t="s">
        <v>75</v>
      </c>
      <c r="M96" s="29">
        <v>32</v>
      </c>
      <c r="N96" s="29">
        <v>32</v>
      </c>
      <c r="O96" s="29"/>
      <c r="P96" s="29"/>
      <c r="Q96" s="29"/>
      <c r="R96" s="93"/>
      <c r="S96" s="29"/>
      <c r="T96" s="93"/>
    </row>
    <row r="97" spans="1:20" ht="28.8" customHeight="1">
      <c r="A97" s="30">
        <f>ROW() - ROW(Ejecucion[[#Headers],[Correlativo]])</f>
        <v>93</v>
      </c>
      <c r="B97" s="156" t="s">
        <v>311</v>
      </c>
      <c r="C97" s="28" t="str">
        <f>IF(Ejecucion[[#This Row],[No. Solicitud]]="","",_xlfn.XLOOKUP(Ejecucion[[#This Row],[No. Solicitud]],Registro!$B$8:$B$997,Registro!$M$8:$M$997,"Sin Dato",0))</f>
        <v>Gestor 2</v>
      </c>
      <c r="D97" s="84" t="str">
        <f>IF(B97="","",HYPERLINK("#"&amp;"Registro!B"&amp;MATCH(B97,Registro!$B$8:$B$999,0)+7,"Ubicar en registro"))</f>
        <v>Ubicar en registro</v>
      </c>
      <c r="E97" s="55" t="str">
        <f>IF(C97="","",_xlfn.XLOOKUP(Ejecucion[[#This Row],[No. Solicitud]],Registro!$B$8:$B$999,Registro!$H$8:$H$999,"",0))</f>
        <v>Curso 67</v>
      </c>
      <c r="F97" s="29">
        <v>2</v>
      </c>
      <c r="G97" s="29">
        <v>42615</v>
      </c>
      <c r="H97" s="29" t="s">
        <v>596</v>
      </c>
      <c r="I97" s="97">
        <v>46099</v>
      </c>
      <c r="J97" s="94">
        <v>46099</v>
      </c>
      <c r="K97" s="29">
        <f>IF(Ejecucion[[#This Row],[Fecha Fin]]="","",MONTH(Ejecucion[[#This Row],[Fecha Fin]]))</f>
        <v>3</v>
      </c>
      <c r="L97" s="93" t="s">
        <v>75</v>
      </c>
      <c r="M97" s="29">
        <v>31</v>
      </c>
      <c r="N97" s="29">
        <v>31</v>
      </c>
      <c r="O97" s="29"/>
      <c r="P97" s="29"/>
      <c r="Q97" s="29"/>
      <c r="R97" s="93"/>
      <c r="S97" s="29"/>
      <c r="T97" s="93"/>
    </row>
    <row r="98" spans="1:20" ht="28.8" customHeight="1">
      <c r="A98" s="30">
        <f>ROW() - ROW(Ejecucion[[#Headers],[Correlativo]])</f>
        <v>94</v>
      </c>
      <c r="B98" s="156" t="s">
        <v>311</v>
      </c>
      <c r="C98" s="28" t="str">
        <f>IF(Ejecucion[[#This Row],[No. Solicitud]]="","",_xlfn.XLOOKUP(Ejecucion[[#This Row],[No. Solicitud]],Registro!$B$8:$B$997,Registro!$M$8:$M$997,"Sin Dato",0))</f>
        <v>Gestor 2</v>
      </c>
      <c r="D98" s="153" t="str">
        <f>IF(B98="","",HYPERLINK("#"&amp;"Registro!B"&amp;MATCH(B98,Registro!$B$8:$B$999,0)+7,"Ubicar en registro"))</f>
        <v>Ubicar en registro</v>
      </c>
      <c r="E98" s="55" t="str">
        <f>IF(C98="","",_xlfn.XLOOKUP(Ejecucion[[#This Row],[No. Solicitud]],Registro!$B$8:$B$999,Registro!$H$8:$H$999,"",0))</f>
        <v>Curso 67</v>
      </c>
      <c r="F98" s="29">
        <v>3</v>
      </c>
      <c r="G98" s="29">
        <v>42823</v>
      </c>
      <c r="H98" s="29" t="s">
        <v>597</v>
      </c>
      <c r="I98" s="97">
        <v>46120</v>
      </c>
      <c r="J98" s="94">
        <v>46120</v>
      </c>
      <c r="K98" s="29">
        <f>IF(Ejecucion[[#This Row],[Fecha Fin]]="","",MONTH(Ejecucion[[#This Row],[Fecha Fin]]))</f>
        <v>4</v>
      </c>
      <c r="L98" s="93" t="s">
        <v>75</v>
      </c>
      <c r="M98" s="29">
        <v>31</v>
      </c>
      <c r="N98" s="29">
        <v>31</v>
      </c>
      <c r="O98" s="29"/>
      <c r="P98" s="29"/>
      <c r="Q98" s="29"/>
      <c r="R98" s="93"/>
      <c r="S98" s="29"/>
      <c r="T98" s="93"/>
    </row>
    <row r="99" spans="1:20" ht="28.8" customHeight="1">
      <c r="A99" s="30">
        <f>ROW() - ROW(Ejecucion[[#Headers],[Correlativo]])</f>
        <v>95</v>
      </c>
      <c r="B99" s="156" t="s">
        <v>311</v>
      </c>
      <c r="C99" s="28" t="str">
        <f>IF(Ejecucion[[#This Row],[No. Solicitud]]="","",_xlfn.XLOOKUP(Ejecucion[[#This Row],[No. Solicitud]],Registro!$B$8:$B$997,Registro!$M$8:$M$997,"Sin Dato",0))</f>
        <v>Gestor 2</v>
      </c>
      <c r="D99" s="84" t="str">
        <f>IF(B99="","",HYPERLINK("#"&amp;"Registro!B"&amp;MATCH(B99,Registro!$B$8:$B$999,0)+7,"Ubicar en registro"))</f>
        <v>Ubicar en registro</v>
      </c>
      <c r="E99" s="55" t="str">
        <f>IF(C99="","",_xlfn.XLOOKUP(Ejecucion[[#This Row],[No. Solicitud]],Registro!$B$8:$B$999,Registro!$H$8:$H$999,"",0))</f>
        <v>Curso 67</v>
      </c>
      <c r="F99" s="29">
        <v>4</v>
      </c>
      <c r="G99" s="29">
        <v>42895</v>
      </c>
      <c r="H99" s="29" t="s">
        <v>598</v>
      </c>
      <c r="I99" s="97">
        <v>46134</v>
      </c>
      <c r="J99" s="94">
        <v>46134</v>
      </c>
      <c r="K99" s="29">
        <f>IF(Ejecucion[[#This Row],[Fecha Fin]]="","",MONTH(Ejecucion[[#This Row],[Fecha Fin]]))</f>
        <v>4</v>
      </c>
      <c r="L99" s="93" t="s">
        <v>75</v>
      </c>
      <c r="M99" s="29">
        <v>36</v>
      </c>
      <c r="N99" s="29">
        <v>36</v>
      </c>
      <c r="O99" s="29"/>
      <c r="P99" s="29"/>
      <c r="Q99" s="29"/>
      <c r="R99" s="93"/>
      <c r="S99" s="29"/>
      <c r="T99" s="93"/>
    </row>
    <row r="100" spans="1:20" ht="28.8" customHeight="1">
      <c r="A100" s="30">
        <f>ROW() - ROW(Ejecucion[[#Headers],[Correlativo]])</f>
        <v>96</v>
      </c>
      <c r="B100" s="156" t="s">
        <v>311</v>
      </c>
      <c r="C100" s="28" t="str">
        <f>IF(Ejecucion[[#This Row],[No. Solicitud]]="","",_xlfn.XLOOKUP(Ejecucion[[#This Row],[No. Solicitud]],Registro!$B$8:$B$997,Registro!$M$8:$M$997,"Sin Dato",0))</f>
        <v>Gestor 2</v>
      </c>
      <c r="D100" s="84" t="str">
        <f>IF(B100="","",HYPERLINK("#"&amp;"Registro!B"&amp;MATCH(B100,Registro!$B$8:$B$999,0)+7,"Ubicar en registro"))</f>
        <v>Ubicar en registro</v>
      </c>
      <c r="E100" s="55" t="str">
        <f>IF(C100="","",_xlfn.XLOOKUP(Ejecucion[[#This Row],[No. Solicitud]],Registro!$B$8:$B$999,Registro!$H$8:$H$999,"",0))</f>
        <v>Curso 67</v>
      </c>
      <c r="F100" s="29">
        <v>5</v>
      </c>
      <c r="G100" s="29">
        <v>43028</v>
      </c>
      <c r="H100" s="29" t="s">
        <v>573</v>
      </c>
      <c r="I100" s="97">
        <v>46148</v>
      </c>
      <c r="J100" s="94">
        <v>46148</v>
      </c>
      <c r="K100" s="29">
        <f>IF(Ejecucion[[#This Row],[Fecha Fin]]="","",MONTH(Ejecucion[[#This Row],[Fecha Fin]]))</f>
        <v>5</v>
      </c>
      <c r="L100" s="93" t="s">
        <v>75</v>
      </c>
      <c r="M100" s="29">
        <v>36</v>
      </c>
      <c r="N100" s="29">
        <v>36</v>
      </c>
      <c r="O100" s="29"/>
      <c r="P100" s="29"/>
      <c r="Q100" s="29"/>
      <c r="R100" s="93"/>
      <c r="S100" s="29"/>
      <c r="T100" s="93"/>
    </row>
    <row r="101" spans="1:20" ht="28.8" customHeight="1">
      <c r="A101" s="30">
        <f>ROW() - ROW(Ejecucion[[#Headers],[Correlativo]])</f>
        <v>97</v>
      </c>
      <c r="B101" s="156" t="s">
        <v>311</v>
      </c>
      <c r="C101" s="28" t="str">
        <f>IF(Ejecucion[[#This Row],[No. Solicitud]]="","",_xlfn.XLOOKUP(Ejecucion[[#This Row],[No. Solicitud]],Registro!$B$8:$B$997,Registro!$M$8:$M$997,"Sin Dato",0))</f>
        <v>Gestor 2</v>
      </c>
      <c r="D101" s="84" t="str">
        <f>IF(B101="","",HYPERLINK("#"&amp;"Registro!B"&amp;MATCH(B101,Registro!$B$8:$B$999,0)+7,"Ubicar en registro"))</f>
        <v>Ubicar en registro</v>
      </c>
      <c r="E101" s="55" t="str">
        <f>IF(C101="","",_xlfn.XLOOKUP(Ejecucion[[#This Row],[No. Solicitud]],Registro!$B$8:$B$999,Registro!$H$8:$H$999,"",0))</f>
        <v>Curso 67</v>
      </c>
      <c r="F101" s="29">
        <v>6</v>
      </c>
      <c r="G101" s="29">
        <v>43161</v>
      </c>
      <c r="H101" s="29" t="s">
        <v>599</v>
      </c>
      <c r="I101" s="97">
        <v>46162</v>
      </c>
      <c r="J101" s="94">
        <v>46162</v>
      </c>
      <c r="K101" s="29">
        <f>IF(Ejecucion[[#This Row],[Fecha Fin]]="","",MONTH(Ejecucion[[#This Row],[Fecha Fin]]))</f>
        <v>5</v>
      </c>
      <c r="L101" s="93" t="s">
        <v>75</v>
      </c>
      <c r="M101" s="29">
        <v>36</v>
      </c>
      <c r="N101" s="29">
        <v>36</v>
      </c>
      <c r="O101" s="29"/>
      <c r="P101" s="29"/>
      <c r="Q101" s="29"/>
      <c r="R101" s="93"/>
      <c r="S101" s="29"/>
      <c r="T101" s="93"/>
    </row>
    <row r="102" spans="1:20" ht="28.8" customHeight="1">
      <c r="A102" s="30">
        <f>ROW() - ROW(Ejecucion[[#Headers],[Correlativo]])</f>
        <v>98</v>
      </c>
      <c r="B102" s="41" t="s">
        <v>311</v>
      </c>
      <c r="C102" s="28" t="str">
        <f>IF(Ejecucion[[#This Row],[No. Solicitud]]="","",_xlfn.XLOOKUP(Ejecucion[[#This Row],[No. Solicitud]],Registro!$B$8:$B$997,Registro!$M$8:$M$997,"Sin Dato",0))</f>
        <v>Gestor 2</v>
      </c>
      <c r="D102" s="84" t="str">
        <f>IF(B102="","",HYPERLINK("#"&amp;"Registro!B"&amp;MATCH(B102,Registro!$B$8:$B$999,0)+7,"Ubicar en registro"))</f>
        <v>Ubicar en registro</v>
      </c>
      <c r="E102" s="55" t="str">
        <f>IF(C102="","",_xlfn.XLOOKUP(Ejecucion[[#This Row],[No. Solicitud]],Registro!$B$8:$B$999,Registro!$H$8:$H$999,"",0))</f>
        <v>Curso 67</v>
      </c>
      <c r="F102" s="29">
        <v>7</v>
      </c>
      <c r="G102" s="29">
        <v>43182</v>
      </c>
      <c r="H102" s="29" t="s">
        <v>600</v>
      </c>
      <c r="I102" s="97">
        <v>46174</v>
      </c>
      <c r="J102" s="94">
        <v>46174</v>
      </c>
      <c r="K102" s="29">
        <f>IF(Ejecucion[[#This Row],[Fecha Fin]]="","",MONTH(Ejecucion[[#This Row],[Fecha Fin]]))</f>
        <v>6</v>
      </c>
      <c r="L102" s="93" t="s">
        <v>75</v>
      </c>
      <c r="M102" s="29">
        <v>36</v>
      </c>
      <c r="N102" s="29">
        <v>36</v>
      </c>
      <c r="O102" s="29"/>
      <c r="P102" s="29"/>
      <c r="Q102" s="29"/>
      <c r="R102" s="93"/>
      <c r="S102" s="29"/>
      <c r="T102" s="93"/>
    </row>
    <row r="103" spans="1:20" ht="28.8" customHeight="1">
      <c r="A103" s="30">
        <f>ROW() - ROW(Ejecucion[[#Headers],[Correlativo]])</f>
        <v>99</v>
      </c>
      <c r="B103" s="41" t="s">
        <v>311</v>
      </c>
      <c r="C103" s="28" t="str">
        <f>IF(Ejecucion[[#This Row],[No. Solicitud]]="","",_xlfn.XLOOKUP(Ejecucion[[#This Row],[No. Solicitud]],Registro!$B$8:$B$997,Registro!$M$8:$M$997,"Sin Dato",0))</f>
        <v>Gestor 2</v>
      </c>
      <c r="D103" s="84" t="str">
        <f>IF(B103="","",HYPERLINK("#"&amp;"Registro!B"&amp;MATCH(B103,Registro!$B$8:$B$999,0)+7,"Ubicar en registro"))</f>
        <v>Ubicar en registro</v>
      </c>
      <c r="E103" s="55" t="str">
        <f>IF(C103="","",_xlfn.XLOOKUP(Ejecucion[[#This Row],[No. Solicitud]],Registro!$B$8:$B$999,Registro!$H$8:$H$999,"",0))</f>
        <v>Curso 67</v>
      </c>
      <c r="F103" s="29">
        <v>8</v>
      </c>
      <c r="G103" s="29">
        <v>43269</v>
      </c>
      <c r="H103" s="29" t="s">
        <v>601</v>
      </c>
      <c r="I103" s="97">
        <v>46184</v>
      </c>
      <c r="J103" s="94">
        <v>46184</v>
      </c>
      <c r="K103" s="29">
        <f>IF(Ejecucion[[#This Row],[Fecha Fin]]="","",MONTH(Ejecucion[[#This Row],[Fecha Fin]]))</f>
        <v>6</v>
      </c>
      <c r="L103" s="93" t="s">
        <v>75</v>
      </c>
      <c r="M103" s="29">
        <v>36</v>
      </c>
      <c r="N103" s="29">
        <v>36</v>
      </c>
      <c r="O103" s="29"/>
      <c r="P103" s="29"/>
      <c r="Q103" s="29"/>
      <c r="R103" s="93"/>
      <c r="S103" s="29"/>
      <c r="T103" s="93"/>
    </row>
    <row r="104" spans="1:20" ht="28.8" customHeight="1">
      <c r="A104" s="30">
        <f>ROW() - ROW(Ejecucion[[#Headers],[Correlativo]])</f>
        <v>100</v>
      </c>
      <c r="B104" s="41" t="s">
        <v>311</v>
      </c>
      <c r="C104" s="28" t="str">
        <f>IF(Ejecucion[[#This Row],[No. Solicitud]]="","",_xlfn.XLOOKUP(Ejecucion[[#This Row],[No. Solicitud]],Registro!$B$8:$B$997,Registro!$M$8:$M$997,"Sin Dato",0))</f>
        <v>Gestor 2</v>
      </c>
      <c r="D104" s="153" t="str">
        <f>IF(B104="","",HYPERLINK("#"&amp;"Registro!B"&amp;MATCH(B104,Registro!$B$8:$B$999,0)+7,"Ubicar en registro"))</f>
        <v>Ubicar en registro</v>
      </c>
      <c r="E104" s="55" t="str">
        <f>IF(C104="","",_xlfn.XLOOKUP(Ejecucion[[#This Row],[No. Solicitud]],Registro!$B$8:$B$999,Registro!$H$8:$H$999,"",0))</f>
        <v>Curso 67</v>
      </c>
      <c r="F104" s="29">
        <v>9</v>
      </c>
      <c r="G104" s="29">
        <v>43325</v>
      </c>
      <c r="H104" s="29" t="s">
        <v>602</v>
      </c>
      <c r="I104" s="97">
        <v>46197</v>
      </c>
      <c r="J104" s="94">
        <v>46197</v>
      </c>
      <c r="K104" s="29">
        <f>IF(Ejecucion[[#This Row],[Fecha Fin]]="","",MONTH(Ejecucion[[#This Row],[Fecha Fin]]))</f>
        <v>6</v>
      </c>
      <c r="L104" s="93" t="s">
        <v>75</v>
      </c>
      <c r="M104" s="29">
        <v>37</v>
      </c>
      <c r="N104" s="29">
        <v>37</v>
      </c>
      <c r="O104" s="29"/>
      <c r="P104" s="29"/>
      <c r="Q104" s="29"/>
      <c r="R104" s="93"/>
      <c r="S104" s="29"/>
      <c r="T104" s="93"/>
    </row>
    <row r="105" spans="1:20" ht="28.8" customHeight="1">
      <c r="A105" s="30">
        <f>ROW() - ROW(Ejecucion[[#Headers],[Correlativo]])</f>
        <v>101</v>
      </c>
      <c r="B105" s="41" t="s">
        <v>311</v>
      </c>
      <c r="C105" s="28" t="str">
        <f>IF(Ejecucion[[#This Row],[No. Solicitud]]="","",_xlfn.XLOOKUP(Ejecucion[[#This Row],[No. Solicitud]],Registro!$B$8:$B$997,Registro!$M$8:$M$997,"Sin Dato",0))</f>
        <v>Gestor 2</v>
      </c>
      <c r="D105" s="84" t="str">
        <f>IF(B105="","",HYPERLINK("#"&amp;"Registro!B"&amp;MATCH(B105,Registro!$B$8:$B$999,0)+7,"Ubicar en registro"))</f>
        <v>Ubicar en registro</v>
      </c>
      <c r="E105" s="55" t="str">
        <f>IF(C105="","",_xlfn.XLOOKUP(Ejecucion[[#This Row],[No. Solicitud]],Registro!$B$8:$B$999,Registro!$H$8:$H$999,"",0))</f>
        <v>Curso 67</v>
      </c>
      <c r="F105" s="29">
        <v>10</v>
      </c>
      <c r="G105" s="29">
        <v>43454</v>
      </c>
      <c r="H105" s="29" t="s">
        <v>603</v>
      </c>
      <c r="I105" s="97">
        <v>46210</v>
      </c>
      <c r="J105" s="94">
        <v>46210</v>
      </c>
      <c r="K105" s="29">
        <f>IF(Ejecucion[[#This Row],[Fecha Fin]]="","",MONTH(Ejecucion[[#This Row],[Fecha Fin]]))</f>
        <v>7</v>
      </c>
      <c r="L105" s="93" t="s">
        <v>75</v>
      </c>
      <c r="M105" s="29">
        <v>34</v>
      </c>
      <c r="N105" s="29">
        <v>34</v>
      </c>
      <c r="O105" s="29"/>
      <c r="P105" s="29"/>
      <c r="Q105" s="29"/>
      <c r="R105" s="93"/>
      <c r="S105" s="29"/>
      <c r="T105" s="93"/>
    </row>
    <row r="106" spans="1:20" ht="28.8" customHeight="1">
      <c r="A106" s="30">
        <f>ROW() - ROW(Ejecucion[[#Headers],[Correlativo]])</f>
        <v>102</v>
      </c>
      <c r="B106" s="41" t="s">
        <v>313</v>
      </c>
      <c r="C106" s="28" t="str">
        <f>IF(Ejecucion[[#This Row],[No. Solicitud]]="","",_xlfn.XLOOKUP(Ejecucion[[#This Row],[No. Solicitud]],Registro!$B$8:$B$997,Registro!$M$8:$M$997,"Sin Dato",0))</f>
        <v>Gestor 2</v>
      </c>
      <c r="D106" s="84" t="str">
        <f>IF(B106="","",HYPERLINK("#"&amp;"Registro!B"&amp;MATCH(B106,Registro!$B$8:$B$999,0)+7,"Ubicar en registro"))</f>
        <v>Ubicar en registro</v>
      </c>
      <c r="E106" s="55" t="str">
        <f>IF(C106="","",_xlfn.XLOOKUP(Ejecucion[[#This Row],[No. Solicitud]],Registro!$B$8:$B$999,Registro!$H$8:$H$999,"",0))</f>
        <v>Curso 68</v>
      </c>
      <c r="F106" s="29">
        <v>1</v>
      </c>
      <c r="G106" s="29">
        <v>42589</v>
      </c>
      <c r="H106" s="29" t="s">
        <v>604</v>
      </c>
      <c r="I106" s="97">
        <v>46085</v>
      </c>
      <c r="J106" s="94">
        <v>46085</v>
      </c>
      <c r="K106" s="29">
        <f>IF(Ejecucion[[#This Row],[Fecha Fin]]="","",MONTH(Ejecucion[[#This Row],[Fecha Fin]]))</f>
        <v>3</v>
      </c>
      <c r="L106" s="93" t="s">
        <v>75</v>
      </c>
      <c r="M106" s="29">
        <v>32</v>
      </c>
      <c r="N106" s="29">
        <v>32</v>
      </c>
      <c r="O106" s="29"/>
      <c r="P106" s="29"/>
      <c r="Q106" s="29"/>
      <c r="R106" s="93"/>
      <c r="S106" s="29"/>
      <c r="T106" s="93"/>
    </row>
    <row r="107" spans="1:20" ht="28.8" customHeight="1">
      <c r="A107" s="30">
        <f>ROW() - ROW(Ejecucion[[#Headers],[Correlativo]])</f>
        <v>103</v>
      </c>
      <c r="B107" s="156" t="s">
        <v>313</v>
      </c>
      <c r="C107" s="28" t="str">
        <f>IF(Ejecucion[[#This Row],[No. Solicitud]]="","",_xlfn.XLOOKUP(Ejecucion[[#This Row],[No. Solicitud]],Registro!$B$8:$B$997,Registro!$M$8:$M$997,"Sin Dato",0))</f>
        <v>Gestor 2</v>
      </c>
      <c r="D107" s="84" t="str">
        <f>IF(B107="","",HYPERLINK("#"&amp;"Registro!B"&amp;MATCH(B107,Registro!$B$8:$B$999,0)+7,"Ubicar en registro"))</f>
        <v>Ubicar en registro</v>
      </c>
      <c r="E107" s="55" t="str">
        <f>IF(C107="","",_xlfn.XLOOKUP(Ejecucion[[#This Row],[No. Solicitud]],Registro!$B$8:$B$999,Registro!$H$8:$H$999,"",0))</f>
        <v>Curso 68</v>
      </c>
      <c r="F107" s="29">
        <v>2</v>
      </c>
      <c r="G107" s="29">
        <v>42619</v>
      </c>
      <c r="H107" s="29" t="s">
        <v>605</v>
      </c>
      <c r="I107" s="97">
        <v>46099</v>
      </c>
      <c r="J107" s="94">
        <v>46099</v>
      </c>
      <c r="K107" s="29">
        <f>IF(Ejecucion[[#This Row],[Fecha Fin]]="","",MONTH(Ejecucion[[#This Row],[Fecha Fin]]))</f>
        <v>3</v>
      </c>
      <c r="L107" s="93" t="s">
        <v>75</v>
      </c>
      <c r="M107" s="29">
        <v>32</v>
      </c>
      <c r="N107" s="29">
        <v>32</v>
      </c>
      <c r="O107" s="29"/>
      <c r="P107" s="29"/>
      <c r="Q107" s="29"/>
      <c r="R107" s="93"/>
      <c r="S107" s="29"/>
      <c r="T107" s="93"/>
    </row>
    <row r="108" spans="1:20" ht="28.8" customHeight="1">
      <c r="A108" s="30">
        <f>ROW() - ROW(Ejecucion[[#Headers],[Correlativo]])</f>
        <v>104</v>
      </c>
      <c r="B108" s="156" t="s">
        <v>313</v>
      </c>
      <c r="C108" s="28" t="str">
        <f>IF(Ejecucion[[#This Row],[No. Solicitud]]="","",_xlfn.XLOOKUP(Ejecucion[[#This Row],[No. Solicitud]],Registro!$B$8:$B$997,Registro!$M$8:$M$997,"Sin Dato",0))</f>
        <v>Gestor 2</v>
      </c>
      <c r="D108" s="84" t="str">
        <f>IF(B108="","",HYPERLINK("#"&amp;"Registro!B"&amp;MATCH(B108,Registro!$B$8:$B$999,0)+7,"Ubicar en registro"))</f>
        <v>Ubicar en registro</v>
      </c>
      <c r="E108" s="55" t="str">
        <f>IF(C108="","",_xlfn.XLOOKUP(Ejecucion[[#This Row],[No. Solicitud]],Registro!$B$8:$B$999,Registro!$H$8:$H$999,"",0))</f>
        <v>Curso 68</v>
      </c>
      <c r="F108" s="29">
        <v>3</v>
      </c>
      <c r="G108" s="29">
        <v>42824</v>
      </c>
      <c r="H108" s="29" t="s">
        <v>606</v>
      </c>
      <c r="I108" s="97">
        <v>46120</v>
      </c>
      <c r="J108" s="94">
        <v>46116</v>
      </c>
      <c r="K108" s="29">
        <f>IF(Ejecucion[[#This Row],[Fecha Fin]]="","",MONTH(Ejecucion[[#This Row],[Fecha Fin]]))</f>
        <v>4</v>
      </c>
      <c r="L108" s="93" t="s">
        <v>75</v>
      </c>
      <c r="M108" s="29">
        <v>31</v>
      </c>
      <c r="N108" s="29">
        <v>31</v>
      </c>
      <c r="O108" s="29"/>
      <c r="P108" s="29"/>
      <c r="Q108" s="29"/>
      <c r="R108" s="93"/>
      <c r="S108" s="29"/>
      <c r="T108" s="93"/>
    </row>
    <row r="109" spans="1:20" ht="28.8" customHeight="1">
      <c r="A109" s="30">
        <f>ROW() - ROW(Ejecucion[[#Headers],[Correlativo]])</f>
        <v>105</v>
      </c>
      <c r="B109" s="156" t="s">
        <v>313</v>
      </c>
      <c r="C109" s="28" t="str">
        <f>IF(Ejecucion[[#This Row],[No. Solicitud]]="","",_xlfn.XLOOKUP(Ejecucion[[#This Row],[No. Solicitud]],Registro!$B$8:$B$997,Registro!$M$8:$M$997,"Sin Dato",0))</f>
        <v>Gestor 2</v>
      </c>
      <c r="D109" s="84" t="str">
        <f>IF(B109="","",HYPERLINK("#"&amp;"Registro!B"&amp;MATCH(B109,Registro!$B$8:$B$999,0)+7,"Ubicar en registro"))</f>
        <v>Ubicar en registro</v>
      </c>
      <c r="E109" s="55" t="str">
        <f>IF(C109="","",_xlfn.XLOOKUP(Ejecucion[[#This Row],[No. Solicitud]],Registro!$B$8:$B$999,Registro!$H$8:$H$999,"",0))</f>
        <v>Curso 68</v>
      </c>
      <c r="F109" s="29">
        <v>4</v>
      </c>
      <c r="G109" s="29">
        <v>42962</v>
      </c>
      <c r="H109" s="29" t="s">
        <v>607</v>
      </c>
      <c r="I109" s="97">
        <v>46134</v>
      </c>
      <c r="J109" s="94">
        <v>46134</v>
      </c>
      <c r="K109" s="29">
        <f>IF(Ejecucion[[#This Row],[Fecha Fin]]="","",MONTH(Ejecucion[[#This Row],[Fecha Fin]]))</f>
        <v>4</v>
      </c>
      <c r="L109" s="93" t="s">
        <v>75</v>
      </c>
      <c r="M109" s="29">
        <v>36</v>
      </c>
      <c r="N109" s="29">
        <v>36</v>
      </c>
      <c r="O109" s="29"/>
      <c r="P109" s="29"/>
      <c r="Q109" s="29"/>
      <c r="R109" s="93"/>
      <c r="S109" s="29"/>
      <c r="T109" s="93"/>
    </row>
    <row r="110" spans="1:20" ht="28.8" customHeight="1">
      <c r="A110" s="30">
        <f>ROW() - ROW(Ejecucion[[#Headers],[Correlativo]])</f>
        <v>106</v>
      </c>
      <c r="B110" s="40" t="s">
        <v>313</v>
      </c>
      <c r="C110" s="28" t="str">
        <f>IF(Ejecucion[[#This Row],[No. Solicitud]]="","",_xlfn.XLOOKUP(Ejecucion[[#This Row],[No. Solicitud]],Registro!$B$8:$B$997,Registro!$M$8:$M$997,"Sin Dato",0))</f>
        <v>Gestor 2</v>
      </c>
      <c r="D110" s="84" t="str">
        <f>IF(B110="","",HYPERLINK("#"&amp;"Registro!B"&amp;MATCH(B110,Registro!$B$8:$B$999,0)+7,"Ubicar en registro"))</f>
        <v>Ubicar en registro</v>
      </c>
      <c r="E110" s="55" t="str">
        <f>IF(C110="","",_xlfn.XLOOKUP(Ejecucion[[#This Row],[No. Solicitud]],Registro!$B$8:$B$999,Registro!$H$8:$H$999,"",0))</f>
        <v>Curso 68</v>
      </c>
      <c r="F110" s="29">
        <v>5</v>
      </c>
      <c r="G110" s="29">
        <v>43030</v>
      </c>
      <c r="H110" s="29" t="s">
        <v>608</v>
      </c>
      <c r="I110" s="97">
        <v>46148</v>
      </c>
      <c r="J110" s="94">
        <v>46148</v>
      </c>
      <c r="K110" s="29">
        <f>IF(Ejecucion[[#This Row],[Fecha Fin]]="","",MONTH(Ejecucion[[#This Row],[Fecha Fin]]))</f>
        <v>5</v>
      </c>
      <c r="L110" s="93" t="s">
        <v>75</v>
      </c>
      <c r="M110" s="29">
        <v>36</v>
      </c>
      <c r="N110" s="29">
        <v>36</v>
      </c>
      <c r="O110" s="29"/>
      <c r="P110" s="29"/>
      <c r="Q110" s="29"/>
      <c r="R110" s="93"/>
      <c r="S110" s="29"/>
      <c r="T110" s="93"/>
    </row>
    <row r="111" spans="1:20" ht="28.8" customHeight="1">
      <c r="A111" s="30">
        <f>ROW() - ROW(Ejecucion[[#Headers],[Correlativo]])</f>
        <v>107</v>
      </c>
      <c r="B111" s="40" t="s">
        <v>313</v>
      </c>
      <c r="C111" s="28" t="str">
        <f>IF(Ejecucion[[#This Row],[No. Solicitud]]="","",_xlfn.XLOOKUP(Ejecucion[[#This Row],[No. Solicitud]],Registro!$B$8:$B$997,Registro!$M$8:$M$997,"Sin Dato",0))</f>
        <v>Gestor 2</v>
      </c>
      <c r="D111" s="84" t="str">
        <f>IF(B111="","",HYPERLINK("#"&amp;"Registro!B"&amp;MATCH(B111,Registro!$B$8:$B$999,0)+7,"Ubicar en registro"))</f>
        <v>Ubicar en registro</v>
      </c>
      <c r="E111" s="55" t="str">
        <f>IF(C111="","",_xlfn.XLOOKUP(Ejecucion[[#This Row],[No. Solicitud]],Registro!$B$8:$B$999,Registro!$H$8:$H$999,"",0))</f>
        <v>Curso 68</v>
      </c>
      <c r="F111" s="29">
        <v>6</v>
      </c>
      <c r="G111" s="29">
        <v>43163</v>
      </c>
      <c r="H111" s="29" t="s">
        <v>609</v>
      </c>
      <c r="I111" s="97">
        <v>46162</v>
      </c>
      <c r="J111" s="94">
        <v>46162</v>
      </c>
      <c r="K111" s="29">
        <f>IF(Ejecucion[[#This Row],[Fecha Fin]]="","",MONTH(Ejecucion[[#This Row],[Fecha Fin]]))</f>
        <v>5</v>
      </c>
      <c r="L111" s="93" t="s">
        <v>75</v>
      </c>
      <c r="M111" s="29">
        <v>36</v>
      </c>
      <c r="N111" s="29">
        <v>36</v>
      </c>
      <c r="O111" s="29"/>
      <c r="P111" s="29"/>
      <c r="Q111" s="29"/>
      <c r="R111" s="93"/>
      <c r="S111" s="29"/>
      <c r="T111" s="93"/>
    </row>
    <row r="112" spans="1:20" ht="28.8" customHeight="1">
      <c r="A112" s="30">
        <f>ROW() - ROW(Ejecucion[[#Headers],[Correlativo]])</f>
        <v>108</v>
      </c>
      <c r="B112" s="156" t="s">
        <v>313</v>
      </c>
      <c r="C112" s="28" t="str">
        <f>IF(Ejecucion[[#This Row],[No. Solicitud]]="","",_xlfn.XLOOKUP(Ejecucion[[#This Row],[No. Solicitud]],Registro!$B$8:$B$997,Registro!$M$8:$M$997,"Sin Dato",0))</f>
        <v>Gestor 2</v>
      </c>
      <c r="D112" s="84" t="str">
        <f>IF(B112="","",HYPERLINK("#"&amp;"Registro!B"&amp;MATCH(B112,Registro!$B$8:$B$999,0)+7,"Ubicar en registro"))</f>
        <v>Ubicar en registro</v>
      </c>
      <c r="E112" s="55" t="str">
        <f>IF(C112="","",_xlfn.XLOOKUP(Ejecucion[[#This Row],[No. Solicitud]],Registro!$B$8:$B$999,Registro!$H$8:$H$999,"",0))</f>
        <v>Curso 68</v>
      </c>
      <c r="F112" s="29">
        <v>7</v>
      </c>
      <c r="G112" s="29">
        <v>43186</v>
      </c>
      <c r="H112" s="29" t="s">
        <v>610</v>
      </c>
      <c r="I112" s="97">
        <v>46174</v>
      </c>
      <c r="J112" s="94">
        <v>46174</v>
      </c>
      <c r="K112" s="29">
        <f>IF(Ejecucion[[#This Row],[Fecha Fin]]="","",MONTH(Ejecucion[[#This Row],[Fecha Fin]]))</f>
        <v>6</v>
      </c>
      <c r="L112" s="93" t="s">
        <v>75</v>
      </c>
      <c r="M112" s="29">
        <v>36</v>
      </c>
      <c r="N112" s="29">
        <v>36</v>
      </c>
      <c r="O112" s="29"/>
      <c r="P112" s="29"/>
      <c r="Q112" s="29"/>
      <c r="R112" s="93"/>
      <c r="S112" s="29"/>
      <c r="T112" s="93"/>
    </row>
    <row r="113" spans="1:20" ht="28.8" customHeight="1">
      <c r="A113" s="30">
        <f>ROW() - ROW(Ejecucion[[#Headers],[Correlativo]])</f>
        <v>109</v>
      </c>
      <c r="B113" s="156" t="s">
        <v>313</v>
      </c>
      <c r="C113" s="28" t="str">
        <f>IF(Ejecucion[[#This Row],[No. Solicitud]]="","",_xlfn.XLOOKUP(Ejecucion[[#This Row],[No. Solicitud]],Registro!$B$8:$B$997,Registro!$M$8:$M$997,"Sin Dato",0))</f>
        <v>Gestor 2</v>
      </c>
      <c r="D113" s="84" t="str">
        <f>IF(B113="","",HYPERLINK("#"&amp;"Registro!B"&amp;MATCH(B113,Registro!$B$8:$B$999,0)+7,"Ubicar en registro"))</f>
        <v>Ubicar en registro</v>
      </c>
      <c r="E113" s="55" t="str">
        <f>IF(C113="","",_xlfn.XLOOKUP(Ejecucion[[#This Row],[No. Solicitud]],Registro!$B$8:$B$999,Registro!$H$8:$H$999,"",0))</f>
        <v>Curso 68</v>
      </c>
      <c r="F113" s="29">
        <v>8</v>
      </c>
      <c r="G113" s="29">
        <v>43270</v>
      </c>
      <c r="H113" s="29" t="s">
        <v>611</v>
      </c>
      <c r="I113" s="97">
        <v>46184</v>
      </c>
      <c r="J113" s="94">
        <v>46184</v>
      </c>
      <c r="K113" s="29">
        <f>IF(Ejecucion[[#This Row],[Fecha Fin]]="","",MONTH(Ejecucion[[#This Row],[Fecha Fin]]))</f>
        <v>6</v>
      </c>
      <c r="L113" s="93" t="s">
        <v>75</v>
      </c>
      <c r="M113" s="29">
        <v>36</v>
      </c>
      <c r="N113" s="29">
        <v>36</v>
      </c>
      <c r="O113" s="29"/>
      <c r="P113" s="29"/>
      <c r="Q113" s="29"/>
      <c r="R113" s="93"/>
      <c r="S113" s="29"/>
      <c r="T113" s="93"/>
    </row>
    <row r="114" spans="1:20" ht="28.8" customHeight="1">
      <c r="A114" s="30">
        <f>ROW() - ROW(Ejecucion[[#Headers],[Correlativo]])</f>
        <v>110</v>
      </c>
      <c r="B114" s="156" t="s">
        <v>313</v>
      </c>
      <c r="C114" s="28" t="str">
        <f>IF(Ejecucion[[#This Row],[No. Solicitud]]="","",_xlfn.XLOOKUP(Ejecucion[[#This Row],[No. Solicitud]],Registro!$B$8:$B$997,Registro!$M$8:$M$997,"Sin Dato",0))</f>
        <v>Gestor 2</v>
      </c>
      <c r="D114" s="84" t="str">
        <f>IF(B114="","",HYPERLINK("#"&amp;"Registro!B"&amp;MATCH(B114,Registro!$B$8:$B$999,0)+7,"Ubicar en registro"))</f>
        <v>Ubicar en registro</v>
      </c>
      <c r="E114" s="55" t="str">
        <f>IF(C114="","",_xlfn.XLOOKUP(Ejecucion[[#This Row],[No. Solicitud]],Registro!$B$8:$B$999,Registro!$H$8:$H$999,"",0))</f>
        <v>Curso 68</v>
      </c>
      <c r="F114" s="29">
        <v>9</v>
      </c>
      <c r="G114" s="29">
        <v>43326</v>
      </c>
      <c r="H114" s="29" t="s">
        <v>612</v>
      </c>
      <c r="I114" s="97">
        <v>46197</v>
      </c>
      <c r="J114" s="94">
        <v>46197</v>
      </c>
      <c r="K114" s="29">
        <f>IF(Ejecucion[[#This Row],[Fecha Fin]]="","",MONTH(Ejecucion[[#This Row],[Fecha Fin]]))</f>
        <v>6</v>
      </c>
      <c r="L114" s="93" t="s">
        <v>75</v>
      </c>
      <c r="M114" s="29">
        <v>37</v>
      </c>
      <c r="N114" s="29">
        <v>37</v>
      </c>
      <c r="O114" s="29"/>
      <c r="P114" s="29"/>
      <c r="Q114" s="29"/>
      <c r="R114" s="93"/>
      <c r="S114" s="29"/>
      <c r="T114" s="93"/>
    </row>
    <row r="115" spans="1:20" ht="28.8" customHeight="1">
      <c r="A115" s="30">
        <f>ROW() - ROW(Ejecucion[[#Headers],[Correlativo]])</f>
        <v>111</v>
      </c>
      <c r="B115" s="156" t="s">
        <v>313</v>
      </c>
      <c r="C115" s="28" t="str">
        <f>IF(Ejecucion[[#This Row],[No. Solicitud]]="","",_xlfn.XLOOKUP(Ejecucion[[#This Row],[No. Solicitud]],Registro!$B$8:$B$997,Registro!$M$8:$M$997,"Sin Dato",0))</f>
        <v>Gestor 2</v>
      </c>
      <c r="D115" s="84" t="str">
        <f>IF(B115="","",HYPERLINK("#"&amp;"Registro!B"&amp;MATCH(B115,Registro!$B$8:$B$999,0)+7,"Ubicar en registro"))</f>
        <v>Ubicar en registro</v>
      </c>
      <c r="E115" s="55" t="str">
        <f>IF(C115="","",_xlfn.XLOOKUP(Ejecucion[[#This Row],[No. Solicitud]],Registro!$B$8:$B$999,Registro!$H$8:$H$999,"",0))</f>
        <v>Curso 68</v>
      </c>
      <c r="F115" s="29">
        <v>10</v>
      </c>
      <c r="G115" s="29">
        <v>43455</v>
      </c>
      <c r="H115" s="29" t="s">
        <v>613</v>
      </c>
      <c r="I115" s="97">
        <v>46210</v>
      </c>
      <c r="J115" s="94">
        <v>46210</v>
      </c>
      <c r="K115" s="29">
        <f>IF(Ejecucion[[#This Row],[Fecha Fin]]="","",MONTH(Ejecucion[[#This Row],[Fecha Fin]]))</f>
        <v>7</v>
      </c>
      <c r="L115" s="93" t="s">
        <v>75</v>
      </c>
      <c r="M115" s="29">
        <v>34</v>
      </c>
      <c r="N115" s="29">
        <v>34</v>
      </c>
      <c r="O115" s="29"/>
      <c r="P115" s="29"/>
      <c r="Q115" s="29"/>
      <c r="R115" s="93"/>
      <c r="S115" s="29"/>
      <c r="T115" s="93"/>
    </row>
    <row r="116" spans="1:20" ht="28.8" customHeight="1">
      <c r="A116" s="30">
        <f>ROW() - ROW(Ejecucion[[#Headers],[Correlativo]])</f>
        <v>112</v>
      </c>
      <c r="B116" s="40" t="s">
        <v>315</v>
      </c>
      <c r="C116" s="28" t="str">
        <f>IF(Ejecucion[[#This Row],[No. Solicitud]]="","",_xlfn.XLOOKUP(Ejecucion[[#This Row],[No. Solicitud]],Registro!$B$8:$B$997,Registro!$M$8:$M$997,"Sin Dato",0))</f>
        <v>Gestor 2</v>
      </c>
      <c r="D116" s="84" t="str">
        <f>IF(B116="","",HYPERLINK("#"&amp;"Registro!B"&amp;MATCH(B116,Registro!$B$8:$B$999,0)+7,"Ubicar en registro"))</f>
        <v>Ubicar en registro</v>
      </c>
      <c r="E116" s="55" t="str">
        <f>IF(C116="","",_xlfn.XLOOKUP(Ejecucion[[#This Row],[No. Solicitud]],Registro!$B$8:$B$999,Registro!$H$8:$H$999,"",0))</f>
        <v>Curso 69</v>
      </c>
      <c r="F116" s="29">
        <v>1</v>
      </c>
      <c r="G116" s="29">
        <v>42596</v>
      </c>
      <c r="H116" s="29" t="s">
        <v>614</v>
      </c>
      <c r="I116" s="97">
        <v>46087</v>
      </c>
      <c r="J116" s="94">
        <v>46087</v>
      </c>
      <c r="K116" s="29">
        <f>IF(Ejecucion[[#This Row],[Fecha Fin]]="","",MONTH(Ejecucion[[#This Row],[Fecha Fin]]))</f>
        <v>3</v>
      </c>
      <c r="L116" s="93" t="s">
        <v>75</v>
      </c>
      <c r="M116" s="29">
        <v>32</v>
      </c>
      <c r="N116" s="29">
        <v>32</v>
      </c>
      <c r="O116" s="29"/>
      <c r="P116" s="29"/>
      <c r="Q116" s="29"/>
      <c r="R116" s="93"/>
      <c r="S116" s="29"/>
      <c r="T116" s="93"/>
    </row>
    <row r="117" spans="1:20" ht="28.8" customHeight="1">
      <c r="A117" s="30">
        <f>ROW() - ROW(Ejecucion[[#Headers],[Correlativo]])</f>
        <v>113</v>
      </c>
      <c r="B117" s="40" t="s">
        <v>315</v>
      </c>
      <c r="C117" s="28" t="str">
        <f>IF(Ejecucion[[#This Row],[No. Solicitud]]="","",_xlfn.XLOOKUP(Ejecucion[[#This Row],[No. Solicitud]],Registro!$B$8:$B$997,Registro!$M$8:$M$997,"Sin Dato",0))</f>
        <v>Gestor 2</v>
      </c>
      <c r="D117" s="84" t="str">
        <f>IF(B117="","",HYPERLINK("#"&amp;"Registro!B"&amp;MATCH(B117,Registro!$B$8:$B$999,0)+7,"Ubicar en registro"))</f>
        <v>Ubicar en registro</v>
      </c>
      <c r="E117" s="55" t="str">
        <f>IF(C117="","",_xlfn.XLOOKUP(Ejecucion[[#This Row],[No. Solicitud]],Registro!$B$8:$B$999,Registro!$H$8:$H$999,"",0))</f>
        <v>Curso 69</v>
      </c>
      <c r="F117" s="29">
        <v>2</v>
      </c>
      <c r="G117" s="29">
        <v>42623</v>
      </c>
      <c r="H117" s="29" t="s">
        <v>615</v>
      </c>
      <c r="I117" s="97">
        <v>46101</v>
      </c>
      <c r="J117" s="94">
        <v>46101</v>
      </c>
      <c r="K117" s="29">
        <f>IF(Ejecucion[[#This Row],[Fecha Fin]]="","",MONTH(Ejecucion[[#This Row],[Fecha Fin]]))</f>
        <v>3</v>
      </c>
      <c r="L117" s="93" t="s">
        <v>75</v>
      </c>
      <c r="M117" s="29">
        <v>32</v>
      </c>
      <c r="N117" s="29">
        <v>32</v>
      </c>
      <c r="O117" s="29"/>
      <c r="P117" s="29"/>
      <c r="Q117" s="29"/>
      <c r="R117" s="93"/>
      <c r="S117" s="29"/>
      <c r="T117" s="93"/>
    </row>
    <row r="118" spans="1:20" ht="28.8" customHeight="1">
      <c r="A118" s="30">
        <f>ROW() - ROW(Ejecucion[[#Headers],[Correlativo]])</f>
        <v>114</v>
      </c>
      <c r="B118" s="40" t="s">
        <v>315</v>
      </c>
      <c r="C118" s="28" t="str">
        <f>IF(Ejecucion[[#This Row],[No. Solicitud]]="","",_xlfn.XLOOKUP(Ejecucion[[#This Row],[No. Solicitud]],Registro!$B$8:$B$997,Registro!$M$8:$M$997,"Sin Dato",0))</f>
        <v>Gestor 2</v>
      </c>
      <c r="D118" s="84" t="str">
        <f>IF(B118="","",HYPERLINK("#"&amp;"Registro!B"&amp;MATCH(B118,Registro!$B$8:$B$999,0)+7,"Ubicar en registro"))</f>
        <v>Ubicar en registro</v>
      </c>
      <c r="E118" s="55" t="str">
        <f>IF(C118="","",_xlfn.XLOOKUP(Ejecucion[[#This Row],[No. Solicitud]],Registro!$B$8:$B$999,Registro!$H$8:$H$999,"",0))</f>
        <v>Curso 69</v>
      </c>
      <c r="F118" s="29">
        <v>3</v>
      </c>
      <c r="G118" s="29">
        <v>42840</v>
      </c>
      <c r="H118" s="29" t="s">
        <v>616</v>
      </c>
      <c r="I118" s="97">
        <v>46122</v>
      </c>
      <c r="J118" s="94">
        <v>46122</v>
      </c>
      <c r="K118" s="29">
        <f>IF(Ejecucion[[#This Row],[Fecha Fin]]="","",MONTH(Ejecucion[[#This Row],[Fecha Fin]]))</f>
        <v>4</v>
      </c>
      <c r="L118" s="93" t="s">
        <v>75</v>
      </c>
      <c r="M118" s="29">
        <v>31</v>
      </c>
      <c r="N118" s="29">
        <v>31</v>
      </c>
      <c r="O118" s="29"/>
      <c r="P118" s="29"/>
      <c r="Q118" s="29"/>
      <c r="R118" s="93"/>
      <c r="S118" s="29"/>
      <c r="T118" s="93"/>
    </row>
    <row r="119" spans="1:20" ht="28.8" customHeight="1">
      <c r="A119" s="30">
        <f>ROW() - ROW(Ejecucion[[#Headers],[Correlativo]])</f>
        <v>115</v>
      </c>
      <c r="B119" s="40" t="s">
        <v>315</v>
      </c>
      <c r="C119" s="28" t="str">
        <f>IF(Ejecucion[[#This Row],[No. Solicitud]]="","",_xlfn.XLOOKUP(Ejecucion[[#This Row],[No. Solicitud]],Registro!$B$8:$B$997,Registro!$M$8:$M$997,"Sin Dato",0))</f>
        <v>Gestor 2</v>
      </c>
      <c r="D119" s="84" t="str">
        <f>IF(B119="","",HYPERLINK("#"&amp;"Registro!B"&amp;MATCH(B119,Registro!$B$8:$B$999,0)+7,"Ubicar en registro"))</f>
        <v>Ubicar en registro</v>
      </c>
      <c r="E119" s="55" t="str">
        <f>IF(C119="","",_xlfn.XLOOKUP(Ejecucion[[#This Row],[No. Solicitud]],Registro!$B$8:$B$999,Registro!$H$8:$H$999,"",0))</f>
        <v>Curso 69</v>
      </c>
      <c r="F119" s="29">
        <v>4</v>
      </c>
      <c r="G119" s="29">
        <v>42987</v>
      </c>
      <c r="H119" s="29" t="s">
        <v>617</v>
      </c>
      <c r="I119" s="97">
        <v>46136</v>
      </c>
      <c r="J119" s="94">
        <v>46136</v>
      </c>
      <c r="K119" s="29">
        <f>IF(Ejecucion[[#This Row],[Fecha Fin]]="","",MONTH(Ejecucion[[#This Row],[Fecha Fin]]))</f>
        <v>4</v>
      </c>
      <c r="L119" s="93" t="s">
        <v>75</v>
      </c>
      <c r="M119" s="29">
        <v>36</v>
      </c>
      <c r="N119" s="29">
        <v>36</v>
      </c>
      <c r="O119" s="29"/>
      <c r="P119" s="29"/>
      <c r="Q119" s="29"/>
      <c r="R119" s="93"/>
      <c r="S119" s="29"/>
      <c r="T119" s="93"/>
    </row>
    <row r="120" spans="1:20" ht="28.8" customHeight="1">
      <c r="A120" s="30">
        <f>ROW() - ROW(Ejecucion[[#Headers],[Correlativo]])</f>
        <v>116</v>
      </c>
      <c r="B120" s="40" t="s">
        <v>315</v>
      </c>
      <c r="C120" s="28" t="str">
        <f>IF(Ejecucion[[#This Row],[No. Solicitud]]="","",_xlfn.XLOOKUP(Ejecucion[[#This Row],[No. Solicitud]],Registro!$B$8:$B$997,Registro!$M$8:$M$997,"Sin Dato",0))</f>
        <v>Gestor 2</v>
      </c>
      <c r="D120" s="84" t="str">
        <f>IF(B120="","",HYPERLINK("#"&amp;"Registro!B"&amp;MATCH(B120,Registro!$B$8:$B$999,0)+7,"Ubicar en registro"))</f>
        <v>Ubicar en registro</v>
      </c>
      <c r="E120" s="55" t="str">
        <f>IF(C120="","",_xlfn.XLOOKUP(Ejecucion[[#This Row],[No. Solicitud]],Registro!$B$8:$B$999,Registro!$H$8:$H$999,"",0))</f>
        <v>Curso 69</v>
      </c>
      <c r="F120" s="29">
        <v>5</v>
      </c>
      <c r="G120" s="29">
        <v>43041</v>
      </c>
      <c r="H120" s="29" t="s">
        <v>618</v>
      </c>
      <c r="I120" s="97">
        <v>46150</v>
      </c>
      <c r="J120" s="94">
        <v>46150</v>
      </c>
      <c r="K120" s="29">
        <f>IF(Ejecucion[[#This Row],[Fecha Fin]]="","",MONTH(Ejecucion[[#This Row],[Fecha Fin]]))</f>
        <v>5</v>
      </c>
      <c r="L120" s="93" t="s">
        <v>75</v>
      </c>
      <c r="M120" s="29">
        <v>36</v>
      </c>
      <c r="N120" s="29">
        <v>36</v>
      </c>
      <c r="O120" s="29"/>
      <c r="P120" s="29"/>
      <c r="Q120" s="29"/>
      <c r="R120" s="93"/>
      <c r="S120" s="29"/>
      <c r="T120" s="93"/>
    </row>
    <row r="121" spans="1:20" ht="28.8" customHeight="1">
      <c r="A121" s="30">
        <f>ROW() - ROW(Ejecucion[[#Headers],[Correlativo]])</f>
        <v>117</v>
      </c>
      <c r="B121" s="40" t="s">
        <v>315</v>
      </c>
      <c r="C121" s="28" t="str">
        <f>IF(Ejecucion[[#This Row],[No. Solicitud]]="","",_xlfn.XLOOKUP(Ejecucion[[#This Row],[No. Solicitud]],Registro!$B$8:$B$997,Registro!$M$8:$M$997,"Sin Dato",0))</f>
        <v>Gestor 2</v>
      </c>
      <c r="D121" s="84" t="str">
        <f>IF(B121="","",HYPERLINK("#"&amp;"Registro!B"&amp;MATCH(B121,Registro!$B$8:$B$999,0)+7,"Ubicar en registro"))</f>
        <v>Ubicar en registro</v>
      </c>
      <c r="E121" s="55" t="str">
        <f>IF(C121="","",_xlfn.XLOOKUP(Ejecucion[[#This Row],[No. Solicitud]],Registro!$B$8:$B$999,Registro!$H$8:$H$999,"",0))</f>
        <v>Curso 69</v>
      </c>
      <c r="F121" s="29">
        <v>6</v>
      </c>
      <c r="G121" s="29">
        <v>43171</v>
      </c>
      <c r="H121" s="29" t="s">
        <v>619</v>
      </c>
      <c r="I121" s="97">
        <v>46164</v>
      </c>
      <c r="J121" s="94">
        <v>46164</v>
      </c>
      <c r="K121" s="29">
        <f>IF(Ejecucion[[#This Row],[Fecha Fin]]="","",MONTH(Ejecucion[[#This Row],[Fecha Fin]]))</f>
        <v>5</v>
      </c>
      <c r="L121" s="93" t="s">
        <v>75</v>
      </c>
      <c r="M121" s="29">
        <v>36</v>
      </c>
      <c r="N121" s="29">
        <v>36</v>
      </c>
      <c r="O121" s="29"/>
      <c r="P121" s="29"/>
      <c r="Q121" s="29"/>
      <c r="R121" s="93"/>
      <c r="S121" s="29"/>
      <c r="T121" s="93"/>
    </row>
    <row r="122" spans="1:20" ht="28.8" customHeight="1">
      <c r="A122" s="30">
        <f>ROW() - ROW(Ejecucion[[#Headers],[Correlativo]])</f>
        <v>118</v>
      </c>
      <c r="B122" s="40" t="s">
        <v>315</v>
      </c>
      <c r="C122" s="28" t="str">
        <f>IF(Ejecucion[[#This Row],[No. Solicitud]]="","",_xlfn.XLOOKUP(Ejecucion[[#This Row],[No. Solicitud]],Registro!$B$8:$B$997,Registro!$M$8:$M$997,"Sin Dato",0))</f>
        <v>Gestor 2</v>
      </c>
      <c r="D122" s="84" t="str">
        <f>IF(B122="","",HYPERLINK("#"&amp;"Registro!B"&amp;MATCH(B122,Registro!$B$8:$B$999,0)+7,"Ubicar en registro"))</f>
        <v>Ubicar en registro</v>
      </c>
      <c r="E122" s="55" t="str">
        <f>IF(C122="","",_xlfn.XLOOKUP(Ejecucion[[#This Row],[No. Solicitud]],Registro!$B$8:$B$999,Registro!$H$8:$H$999,"",0))</f>
        <v>Curso 69</v>
      </c>
      <c r="F122" s="29">
        <v>7</v>
      </c>
      <c r="G122" s="29">
        <v>43194</v>
      </c>
      <c r="H122" s="29" t="s">
        <v>620</v>
      </c>
      <c r="I122" s="97">
        <v>46176</v>
      </c>
      <c r="J122" s="94">
        <v>46176</v>
      </c>
      <c r="K122" s="29">
        <f>IF(Ejecucion[[#This Row],[Fecha Fin]]="","",MONTH(Ejecucion[[#This Row],[Fecha Fin]]))</f>
        <v>6</v>
      </c>
      <c r="L122" s="93" t="s">
        <v>75</v>
      </c>
      <c r="M122" s="29">
        <v>36</v>
      </c>
      <c r="N122" s="29">
        <v>36</v>
      </c>
      <c r="O122" s="29"/>
      <c r="P122" s="29"/>
      <c r="Q122" s="29"/>
      <c r="R122" s="93"/>
      <c r="S122" s="29"/>
      <c r="T122" s="93"/>
    </row>
    <row r="123" spans="1:20" ht="28.8" customHeight="1">
      <c r="A123" s="30">
        <f>ROW() - ROW(Ejecucion[[#Headers],[Correlativo]])</f>
        <v>119</v>
      </c>
      <c r="B123" s="40" t="s">
        <v>315</v>
      </c>
      <c r="C123" s="28" t="str">
        <f>IF(Ejecucion[[#This Row],[No. Solicitud]]="","",_xlfn.XLOOKUP(Ejecucion[[#This Row],[No. Solicitud]],Registro!$B$8:$B$997,Registro!$M$8:$M$997,"Sin Dato",0))</f>
        <v>Gestor 2</v>
      </c>
      <c r="D123" s="84" t="str">
        <f>IF(B123="","",HYPERLINK("#"&amp;"Registro!B"&amp;MATCH(B123,Registro!$B$8:$B$999,0)+7,"Ubicar en registro"))</f>
        <v>Ubicar en registro</v>
      </c>
      <c r="E123" s="55" t="str">
        <f>IF(C123="","",_xlfn.XLOOKUP(Ejecucion[[#This Row],[No. Solicitud]],Registro!$B$8:$B$999,Registro!$H$8:$H$999,"",0))</f>
        <v>Curso 69</v>
      </c>
      <c r="F123" s="29">
        <v>8</v>
      </c>
      <c r="G123" s="29">
        <v>43300</v>
      </c>
      <c r="H123" s="29" t="s">
        <v>621</v>
      </c>
      <c r="I123" s="97">
        <v>46188</v>
      </c>
      <c r="J123" s="94">
        <v>46188</v>
      </c>
      <c r="K123" s="29">
        <f>IF(Ejecucion[[#This Row],[Fecha Fin]]="","",MONTH(Ejecucion[[#This Row],[Fecha Fin]]))</f>
        <v>6</v>
      </c>
      <c r="L123" s="93" t="s">
        <v>75</v>
      </c>
      <c r="M123" s="29">
        <v>36</v>
      </c>
      <c r="N123" s="29">
        <v>36</v>
      </c>
      <c r="O123" s="29"/>
      <c r="P123" s="29"/>
      <c r="Q123" s="29"/>
      <c r="R123" s="93"/>
      <c r="S123" s="29"/>
      <c r="T123" s="93"/>
    </row>
    <row r="124" spans="1:20" ht="28.8" customHeight="1">
      <c r="A124" s="30">
        <f>ROW() - ROW(Ejecucion[[#Headers],[Correlativo]])</f>
        <v>120</v>
      </c>
      <c r="B124" s="156" t="s">
        <v>315</v>
      </c>
      <c r="C124" s="28" t="str">
        <f>IF(Ejecucion[[#This Row],[No. Solicitud]]="","",_xlfn.XLOOKUP(Ejecucion[[#This Row],[No. Solicitud]],Registro!$B$8:$B$997,Registro!$M$8:$M$997,"Sin Dato",0))</f>
        <v>Gestor 2</v>
      </c>
      <c r="D124" s="84" t="str">
        <f>IF(B124="","",HYPERLINK("#"&amp;"Registro!B"&amp;MATCH(B124,Registro!$B$8:$B$999,0)+7,"Ubicar en registro"))</f>
        <v>Ubicar en registro</v>
      </c>
      <c r="E124" s="55" t="str">
        <f>IF(C124="","",_xlfn.XLOOKUP(Ejecucion[[#This Row],[No. Solicitud]],Registro!$B$8:$B$999,Registro!$H$8:$H$999,"",0))</f>
        <v>Curso 69</v>
      </c>
      <c r="F124" s="29">
        <v>9</v>
      </c>
      <c r="G124" s="29">
        <v>43331</v>
      </c>
      <c r="H124" s="29" t="s">
        <v>622</v>
      </c>
      <c r="I124" s="97">
        <v>46199</v>
      </c>
      <c r="J124" s="94">
        <v>46199</v>
      </c>
      <c r="K124" s="29">
        <f>IF(Ejecucion[[#This Row],[Fecha Fin]]="","",MONTH(Ejecucion[[#This Row],[Fecha Fin]]))</f>
        <v>6</v>
      </c>
      <c r="L124" s="93" t="s">
        <v>75</v>
      </c>
      <c r="M124" s="29">
        <v>37</v>
      </c>
      <c r="N124" s="29">
        <v>37</v>
      </c>
      <c r="O124" s="29"/>
      <c r="P124" s="29"/>
      <c r="Q124" s="29"/>
      <c r="R124" s="93"/>
      <c r="S124" s="29"/>
      <c r="T124" s="93"/>
    </row>
    <row r="125" spans="1:20" ht="28.8" customHeight="1">
      <c r="A125" s="30">
        <f>ROW() - ROW(Ejecucion[[#Headers],[Correlativo]])</f>
        <v>121</v>
      </c>
      <c r="B125" s="40" t="s">
        <v>315</v>
      </c>
      <c r="C125" s="28" t="str">
        <f>IF(Ejecucion[[#This Row],[No. Solicitud]]="","",_xlfn.XLOOKUP(Ejecucion[[#This Row],[No. Solicitud]],Registro!$B$8:$B$997,Registro!$M$8:$M$997,"Sin Dato",0))</f>
        <v>Gestor 2</v>
      </c>
      <c r="D125" s="84" t="str">
        <f>IF(B125="","",HYPERLINK("#"&amp;"Registro!B"&amp;MATCH(B125,Registro!$B$8:$B$999,0)+7,"Ubicar en registro"))</f>
        <v>Ubicar en registro</v>
      </c>
      <c r="E125" s="55" t="str">
        <f>IF(C125="","",_xlfn.XLOOKUP(Ejecucion[[#This Row],[No. Solicitud]],Registro!$B$8:$B$999,Registro!$H$8:$H$999,"",0))</f>
        <v>Curso 69</v>
      </c>
      <c r="F125" s="29">
        <v>10</v>
      </c>
      <c r="G125" s="29">
        <v>43462</v>
      </c>
      <c r="H125" s="29" t="s">
        <v>623</v>
      </c>
      <c r="I125" s="97">
        <v>46212</v>
      </c>
      <c r="J125" s="94">
        <v>46212</v>
      </c>
      <c r="K125" s="29">
        <f>IF(Ejecucion[[#This Row],[Fecha Fin]]="","",MONTH(Ejecucion[[#This Row],[Fecha Fin]]))</f>
        <v>7</v>
      </c>
      <c r="L125" s="93" t="s">
        <v>75</v>
      </c>
      <c r="M125" s="29">
        <v>34</v>
      </c>
      <c r="N125" s="29">
        <v>34</v>
      </c>
      <c r="O125" s="29"/>
      <c r="P125" s="29"/>
      <c r="Q125" s="29"/>
      <c r="R125" s="93"/>
      <c r="S125" s="29"/>
      <c r="T125" s="93"/>
    </row>
    <row r="126" spans="1:20" ht="28.8" customHeight="1">
      <c r="A126" s="30">
        <f>ROW() - ROW(Ejecucion[[#Headers],[Correlativo]])</f>
        <v>122</v>
      </c>
      <c r="B126" s="40" t="s">
        <v>317</v>
      </c>
      <c r="C126" s="28" t="str">
        <f>IF(Ejecucion[[#This Row],[No. Solicitud]]="","",_xlfn.XLOOKUP(Ejecucion[[#This Row],[No. Solicitud]],Registro!$B$8:$B$997,Registro!$M$8:$M$997,"Sin Dato",0))</f>
        <v>Gestor 2</v>
      </c>
      <c r="D126" s="84" t="str">
        <f>IF(B126="","",HYPERLINK("#"&amp;"Registro!B"&amp;MATCH(B126,Registro!$B$8:$B$999,0)+7,"Ubicar en registro"))</f>
        <v>Ubicar en registro</v>
      </c>
      <c r="E126" s="55" t="str">
        <f>IF(C126="","",_xlfn.XLOOKUP(Ejecucion[[#This Row],[No. Solicitud]],Registro!$B$8:$B$999,Registro!$H$8:$H$999,"",0))</f>
        <v>Curso 70</v>
      </c>
      <c r="F126" s="29">
        <v>1</v>
      </c>
      <c r="G126" s="29">
        <v>42590</v>
      </c>
      <c r="H126" s="29" t="s">
        <v>624</v>
      </c>
      <c r="I126" s="97">
        <v>46086</v>
      </c>
      <c r="J126" s="94">
        <v>46086</v>
      </c>
      <c r="K126" s="29">
        <f>IF(Ejecucion[[#This Row],[Fecha Fin]]="","",MONTH(Ejecucion[[#This Row],[Fecha Fin]]))</f>
        <v>3</v>
      </c>
      <c r="L126" s="93" t="s">
        <v>75</v>
      </c>
      <c r="M126" s="29">
        <v>33</v>
      </c>
      <c r="N126" s="29">
        <v>32</v>
      </c>
      <c r="O126" s="29"/>
      <c r="P126" s="29"/>
      <c r="Q126" s="29"/>
      <c r="R126" s="93"/>
      <c r="S126" s="29"/>
      <c r="T126" s="93"/>
    </row>
    <row r="127" spans="1:20" ht="28.8" customHeight="1">
      <c r="A127" s="30">
        <f>ROW() - ROW(Ejecucion[[#Headers],[Correlativo]])</f>
        <v>123</v>
      </c>
      <c r="B127" s="40" t="s">
        <v>317</v>
      </c>
      <c r="C127" s="28" t="str">
        <f>IF(Ejecucion[[#This Row],[No. Solicitud]]="","",_xlfn.XLOOKUP(Ejecucion[[#This Row],[No. Solicitud]],Registro!$B$8:$B$997,Registro!$M$8:$M$997,"Sin Dato",0))</f>
        <v>Gestor 2</v>
      </c>
      <c r="D127" s="84" t="str">
        <f>IF(B127="","",HYPERLINK("#"&amp;"Registro!B"&amp;MATCH(B127,Registro!$B$8:$B$999,0)+7,"Ubicar en registro"))</f>
        <v>Ubicar en registro</v>
      </c>
      <c r="E127" s="55" t="str">
        <f>IF(C127="","",_xlfn.XLOOKUP(Ejecucion[[#This Row],[No. Solicitud]],Registro!$B$8:$B$999,Registro!$H$8:$H$999,"",0))</f>
        <v>Curso 70</v>
      </c>
      <c r="F127" s="29">
        <v>2</v>
      </c>
      <c r="G127" s="29">
        <v>42620</v>
      </c>
      <c r="H127" s="29" t="s">
        <v>625</v>
      </c>
      <c r="I127" s="97">
        <v>46108</v>
      </c>
      <c r="J127" s="94">
        <v>46108</v>
      </c>
      <c r="K127" s="29">
        <f>IF(Ejecucion[[#This Row],[Fecha Fin]]="","",MONTH(Ejecucion[[#This Row],[Fecha Fin]]))</f>
        <v>3</v>
      </c>
      <c r="L127" s="93" t="s">
        <v>75</v>
      </c>
      <c r="M127" s="29">
        <v>32</v>
      </c>
      <c r="N127" s="29">
        <v>32</v>
      </c>
      <c r="O127" s="29"/>
      <c r="P127" s="29"/>
      <c r="Q127" s="29"/>
      <c r="R127" s="93"/>
      <c r="S127" s="29"/>
      <c r="T127" s="93"/>
    </row>
    <row r="128" spans="1:20" ht="28.8" customHeight="1">
      <c r="A128" s="30">
        <f>ROW() - ROW(Ejecucion[[#Headers],[Correlativo]])</f>
        <v>124</v>
      </c>
      <c r="B128" s="40" t="s">
        <v>317</v>
      </c>
      <c r="C128" s="28" t="str">
        <f>IF(Ejecucion[[#This Row],[No. Solicitud]]="","",_xlfn.XLOOKUP(Ejecucion[[#This Row],[No. Solicitud]],Registro!$B$8:$B$997,Registro!$M$8:$M$997,"Sin Dato",0))</f>
        <v>Gestor 2</v>
      </c>
      <c r="D128" s="84" t="str">
        <f>IF(B128="","",HYPERLINK("#"&amp;"Registro!B"&amp;MATCH(B128,Registro!$B$8:$B$999,0)+7,"Ubicar en registro"))</f>
        <v>Ubicar en registro</v>
      </c>
      <c r="E128" s="55" t="str">
        <f>IF(C128="","",_xlfn.XLOOKUP(Ejecucion[[#This Row],[No. Solicitud]],Registro!$B$8:$B$999,Registro!$H$8:$H$999,"",0))</f>
        <v>Curso 70</v>
      </c>
      <c r="F128" s="29">
        <v>3</v>
      </c>
      <c r="G128" s="29">
        <v>42825</v>
      </c>
      <c r="H128" s="29" t="s">
        <v>626</v>
      </c>
      <c r="I128" s="97">
        <v>46121</v>
      </c>
      <c r="J128" s="94">
        <v>46121</v>
      </c>
      <c r="K128" s="29">
        <f>IF(Ejecucion[[#This Row],[Fecha Fin]]="","",MONTH(Ejecucion[[#This Row],[Fecha Fin]]))</f>
        <v>4</v>
      </c>
      <c r="L128" s="93" t="s">
        <v>75</v>
      </c>
      <c r="M128" s="29">
        <v>30</v>
      </c>
      <c r="N128" s="29">
        <v>30</v>
      </c>
      <c r="O128" s="29"/>
      <c r="P128" s="29"/>
      <c r="Q128" s="29"/>
      <c r="R128" s="93"/>
      <c r="S128" s="29"/>
      <c r="T128" s="93"/>
    </row>
    <row r="129" spans="1:20" ht="28.8" customHeight="1">
      <c r="A129" s="30">
        <f>ROW() - ROW(Ejecucion[[#Headers],[Correlativo]])</f>
        <v>125</v>
      </c>
      <c r="B129" s="40" t="s">
        <v>317</v>
      </c>
      <c r="C129" s="28" t="str">
        <f>IF(Ejecucion[[#This Row],[No. Solicitud]]="","",_xlfn.XLOOKUP(Ejecucion[[#This Row],[No. Solicitud]],Registro!$B$8:$B$997,Registro!$M$8:$M$997,"Sin Dato",0))</f>
        <v>Gestor 2</v>
      </c>
      <c r="D129" s="84" t="str">
        <f>IF(B129="","",HYPERLINK("#"&amp;"Registro!B"&amp;MATCH(B129,Registro!$B$8:$B$999,0)+7,"Ubicar en registro"))</f>
        <v>Ubicar en registro</v>
      </c>
      <c r="E129" s="55" t="str">
        <f>IF(C129="","",_xlfn.XLOOKUP(Ejecucion[[#This Row],[No. Solicitud]],Registro!$B$8:$B$999,Registro!$H$8:$H$999,"",0))</f>
        <v>Curso 70</v>
      </c>
      <c r="F129" s="29">
        <v>4</v>
      </c>
      <c r="G129" s="29">
        <v>42975</v>
      </c>
      <c r="H129" s="29" t="s">
        <v>627</v>
      </c>
      <c r="I129" s="97">
        <v>46135</v>
      </c>
      <c r="J129" s="94">
        <v>46135</v>
      </c>
      <c r="K129" s="29">
        <f>IF(Ejecucion[[#This Row],[Fecha Fin]]="","",MONTH(Ejecucion[[#This Row],[Fecha Fin]]))</f>
        <v>4</v>
      </c>
      <c r="L129" s="93" t="s">
        <v>75</v>
      </c>
      <c r="M129" s="29">
        <v>30</v>
      </c>
      <c r="N129" s="29">
        <v>30</v>
      </c>
      <c r="O129" s="29"/>
      <c r="P129" s="29"/>
      <c r="Q129" s="29"/>
      <c r="R129" s="93"/>
      <c r="S129" s="29"/>
      <c r="T129" s="93"/>
    </row>
    <row r="130" spans="1:20" ht="28.8" customHeight="1">
      <c r="A130" s="30">
        <f>ROW() - ROW(Ejecucion[[#Headers],[Correlativo]])</f>
        <v>126</v>
      </c>
      <c r="B130" s="40" t="s">
        <v>317</v>
      </c>
      <c r="C130" s="28" t="str">
        <f>IF(Ejecucion[[#This Row],[No. Solicitud]]="","",_xlfn.XLOOKUP(Ejecucion[[#This Row],[No. Solicitud]],Registro!$B$8:$B$997,Registro!$M$8:$M$997,"Sin Dato",0))</f>
        <v>Gestor 2</v>
      </c>
      <c r="D130" s="84" t="str">
        <f>IF(B130="","",HYPERLINK("#"&amp;"Registro!B"&amp;MATCH(B130,Registro!$B$8:$B$999,0)+7,"Ubicar en registro"))</f>
        <v>Ubicar en registro</v>
      </c>
      <c r="E130" s="55" t="str">
        <f>IF(C130="","",_xlfn.XLOOKUP(Ejecucion[[#This Row],[No. Solicitud]],Registro!$B$8:$B$999,Registro!$H$8:$H$999,"",0))</f>
        <v>Curso 70</v>
      </c>
      <c r="F130" s="29">
        <v>5</v>
      </c>
      <c r="G130" s="29">
        <v>43032</v>
      </c>
      <c r="H130" s="29" t="s">
        <v>628</v>
      </c>
      <c r="I130" s="97">
        <v>46149</v>
      </c>
      <c r="J130" s="94">
        <v>46149</v>
      </c>
      <c r="K130" s="29">
        <f>IF(Ejecucion[[#This Row],[Fecha Fin]]="","",MONTH(Ejecucion[[#This Row],[Fecha Fin]]))</f>
        <v>5</v>
      </c>
      <c r="L130" s="93" t="s">
        <v>75</v>
      </c>
      <c r="M130" s="29">
        <v>36</v>
      </c>
      <c r="N130" s="29">
        <v>36</v>
      </c>
      <c r="O130" s="29"/>
      <c r="P130" s="29"/>
      <c r="Q130" s="29"/>
      <c r="R130" s="93"/>
      <c r="S130" s="29"/>
      <c r="T130" s="93"/>
    </row>
    <row r="131" spans="1:20" ht="28.8" customHeight="1">
      <c r="A131" s="30">
        <f>ROW() - ROW(Ejecucion[[#Headers],[Correlativo]])</f>
        <v>127</v>
      </c>
      <c r="B131" s="40" t="s">
        <v>317</v>
      </c>
      <c r="C131" s="28" t="str">
        <f>IF(Ejecucion[[#This Row],[No. Solicitud]]="","",_xlfn.XLOOKUP(Ejecucion[[#This Row],[No. Solicitud]],Registro!$B$8:$B$997,Registro!$M$8:$M$997,"Sin Dato",0))</f>
        <v>Gestor 2</v>
      </c>
      <c r="D131" s="84" t="str">
        <f>IF(B131="","",HYPERLINK("#"&amp;"Registro!B"&amp;MATCH(B131,Registro!$B$8:$B$999,0)+7,"Ubicar en registro"))</f>
        <v>Ubicar en registro</v>
      </c>
      <c r="E131" s="55" t="str">
        <f>IF(C131="","",_xlfn.XLOOKUP(Ejecucion[[#This Row],[No. Solicitud]],Registro!$B$8:$B$999,Registro!$H$8:$H$999,"",0))</f>
        <v>Curso 70</v>
      </c>
      <c r="F131" s="29">
        <v>6</v>
      </c>
      <c r="G131" s="29">
        <v>43165</v>
      </c>
      <c r="H131" s="29" t="s">
        <v>629</v>
      </c>
      <c r="I131" s="97">
        <v>46163</v>
      </c>
      <c r="J131" s="94">
        <v>46163</v>
      </c>
      <c r="K131" s="29">
        <f>IF(Ejecucion[[#This Row],[Fecha Fin]]="","",MONTH(Ejecucion[[#This Row],[Fecha Fin]]))</f>
        <v>5</v>
      </c>
      <c r="L131" s="93" t="s">
        <v>75</v>
      </c>
      <c r="M131" s="29">
        <v>36</v>
      </c>
      <c r="N131" s="29">
        <v>36</v>
      </c>
      <c r="O131" s="29"/>
      <c r="P131" s="29"/>
      <c r="Q131" s="29"/>
      <c r="R131" s="93"/>
      <c r="S131" s="29"/>
      <c r="T131" s="93"/>
    </row>
    <row r="132" spans="1:20" ht="28.8" customHeight="1">
      <c r="A132" s="30">
        <f>ROW() - ROW(Ejecucion[[#Headers],[Correlativo]])</f>
        <v>128</v>
      </c>
      <c r="B132" s="41" t="s">
        <v>317</v>
      </c>
      <c r="C132" s="28" t="str">
        <f>IF(Ejecucion[[#This Row],[No. Solicitud]]="","",_xlfn.XLOOKUP(Ejecucion[[#This Row],[No. Solicitud]],Registro!$B$8:$B$997,Registro!$M$8:$M$997,"Sin Dato",0))</f>
        <v>Gestor 2</v>
      </c>
      <c r="D132" s="84" t="str">
        <f>IF(B132="","",HYPERLINK("#"&amp;"Registro!B"&amp;MATCH(B132,Registro!$B$8:$B$999,0)+7,"Ubicar en registro"))</f>
        <v>Ubicar en registro</v>
      </c>
      <c r="E132" s="55" t="str">
        <f>IF(C132="","",_xlfn.XLOOKUP(Ejecucion[[#This Row],[No. Solicitud]],Registro!$B$8:$B$999,Registro!$H$8:$H$999,"",0))</f>
        <v>Curso 70</v>
      </c>
      <c r="F132" s="29">
        <v>7</v>
      </c>
      <c r="G132" s="29">
        <v>43187</v>
      </c>
      <c r="H132" s="29" t="s">
        <v>630</v>
      </c>
      <c r="I132" s="97">
        <v>46175</v>
      </c>
      <c r="J132" s="94">
        <v>46175</v>
      </c>
      <c r="K132" s="29">
        <f>IF(Ejecucion[[#This Row],[Fecha Fin]]="","",MONTH(Ejecucion[[#This Row],[Fecha Fin]]))</f>
        <v>6</v>
      </c>
      <c r="L132" s="93" t="s">
        <v>75</v>
      </c>
      <c r="M132" s="29">
        <v>36</v>
      </c>
      <c r="N132" s="29">
        <v>36</v>
      </c>
      <c r="O132" s="29"/>
      <c r="P132" s="29"/>
      <c r="Q132" s="29"/>
      <c r="R132" s="93"/>
      <c r="S132" s="29"/>
      <c r="T132" s="93"/>
    </row>
    <row r="133" spans="1:20" ht="28.8" customHeight="1">
      <c r="A133" s="30">
        <f>ROW() - ROW(Ejecucion[[#Headers],[Correlativo]])</f>
        <v>129</v>
      </c>
      <c r="B133" s="40" t="s">
        <v>317</v>
      </c>
      <c r="C133" s="28" t="str">
        <f>IF(Ejecucion[[#This Row],[No. Solicitud]]="","",_xlfn.XLOOKUP(Ejecucion[[#This Row],[No. Solicitud]],Registro!$B$8:$B$997,Registro!$M$8:$M$997,"Sin Dato",0))</f>
        <v>Gestor 2</v>
      </c>
      <c r="D133" s="84" t="str">
        <f>IF(B133="","",HYPERLINK("#"&amp;"Registro!B"&amp;MATCH(B133,Registro!$B$8:$B$999,0)+7,"Ubicar en registro"))</f>
        <v>Ubicar en registro</v>
      </c>
      <c r="E133" s="55" t="str">
        <f>IF(C133="","",_xlfn.XLOOKUP(Ejecucion[[#This Row],[No. Solicitud]],Registro!$B$8:$B$999,Registro!$H$8:$H$999,"",0))</f>
        <v>Curso 70</v>
      </c>
      <c r="F133" s="29">
        <v>8</v>
      </c>
      <c r="G133" s="29">
        <v>43271</v>
      </c>
      <c r="H133" s="29" t="s">
        <v>631</v>
      </c>
      <c r="I133" s="97">
        <v>46185</v>
      </c>
      <c r="J133" s="94">
        <v>46185</v>
      </c>
      <c r="K133" s="29">
        <f>IF(Ejecucion[[#This Row],[Fecha Fin]]="","",MONTH(Ejecucion[[#This Row],[Fecha Fin]]))</f>
        <v>6</v>
      </c>
      <c r="L133" s="93" t="s">
        <v>75</v>
      </c>
      <c r="M133" s="29">
        <v>36</v>
      </c>
      <c r="N133" s="29">
        <v>36</v>
      </c>
      <c r="O133" s="29"/>
      <c r="P133" s="29"/>
      <c r="Q133" s="29"/>
      <c r="R133" s="93"/>
      <c r="S133" s="29"/>
      <c r="T133" s="93"/>
    </row>
    <row r="134" spans="1:20" ht="28.8" customHeight="1">
      <c r="A134" s="30">
        <f>ROW() - ROW(Ejecucion[[#Headers],[Correlativo]])</f>
        <v>130</v>
      </c>
      <c r="B134" s="40" t="s">
        <v>317</v>
      </c>
      <c r="C134" s="28" t="str">
        <f>IF(Ejecucion[[#This Row],[No. Solicitud]]="","",_xlfn.XLOOKUP(Ejecucion[[#This Row],[No. Solicitud]],Registro!$B$8:$B$997,Registro!$M$8:$M$997,"Sin Dato",0))</f>
        <v>Gestor 2</v>
      </c>
      <c r="D134" s="84" t="str">
        <f>IF(B134="","",HYPERLINK("#"&amp;"Registro!B"&amp;MATCH(B134,Registro!$B$8:$B$999,0)+7,"Ubicar en registro"))</f>
        <v>Ubicar en registro</v>
      </c>
      <c r="E134" s="55" t="str">
        <f>IF(C134="","",_xlfn.XLOOKUP(Ejecucion[[#This Row],[No. Solicitud]],Registro!$B$8:$B$999,Registro!$H$8:$H$999,"",0))</f>
        <v>Curso 70</v>
      </c>
      <c r="F134" s="29">
        <v>9</v>
      </c>
      <c r="G134" s="29">
        <v>43327</v>
      </c>
      <c r="H134" s="29" t="s">
        <v>632</v>
      </c>
      <c r="I134" s="97">
        <v>46198</v>
      </c>
      <c r="J134" s="94">
        <v>46198</v>
      </c>
      <c r="K134" s="29">
        <f>IF(Ejecucion[[#This Row],[Fecha Fin]]="","",MONTH(Ejecucion[[#This Row],[Fecha Fin]]))</f>
        <v>6</v>
      </c>
      <c r="L134" s="93" t="s">
        <v>75</v>
      </c>
      <c r="M134" s="29">
        <v>37</v>
      </c>
      <c r="N134" s="29">
        <v>37</v>
      </c>
      <c r="O134" s="29"/>
      <c r="P134" s="29"/>
      <c r="Q134" s="29"/>
      <c r="R134" s="93"/>
      <c r="S134" s="29"/>
      <c r="T134" s="93"/>
    </row>
    <row r="135" spans="1:20" ht="28.8" customHeight="1">
      <c r="A135" s="30">
        <f>ROW() - ROW(Ejecucion[[#Headers],[Correlativo]])</f>
        <v>131</v>
      </c>
      <c r="B135" s="40" t="s">
        <v>317</v>
      </c>
      <c r="C135" s="28" t="str">
        <f>IF(Ejecucion[[#This Row],[No. Solicitud]]="","",_xlfn.XLOOKUP(Ejecucion[[#This Row],[No. Solicitud]],Registro!$B$8:$B$997,Registro!$M$8:$M$997,"Sin Dato",0))</f>
        <v>Gestor 2</v>
      </c>
      <c r="D135" s="84" t="str">
        <f>IF(B135="","",HYPERLINK("#"&amp;"Registro!B"&amp;MATCH(B135,Registro!$B$8:$B$999,0)+7,"Ubicar en registro"))</f>
        <v>Ubicar en registro</v>
      </c>
      <c r="E135" s="55" t="str">
        <f>IF(C135="","",_xlfn.XLOOKUP(Ejecucion[[#This Row],[No. Solicitud]],Registro!$B$8:$B$999,Registro!$H$8:$H$999,"",0))</f>
        <v>Curso 70</v>
      </c>
      <c r="F135" s="29">
        <v>10</v>
      </c>
      <c r="G135" s="29">
        <v>43456</v>
      </c>
      <c r="H135" s="29" t="s">
        <v>633</v>
      </c>
      <c r="I135" s="97">
        <v>46211</v>
      </c>
      <c r="J135" s="94">
        <v>46211</v>
      </c>
      <c r="K135" s="29">
        <f>IF(Ejecucion[[#This Row],[Fecha Fin]]="","",MONTH(Ejecucion[[#This Row],[Fecha Fin]]))</f>
        <v>7</v>
      </c>
      <c r="L135" s="93" t="s">
        <v>75</v>
      </c>
      <c r="M135" s="29">
        <v>34</v>
      </c>
      <c r="N135" s="29">
        <v>34</v>
      </c>
      <c r="O135" s="29"/>
      <c r="P135" s="29"/>
      <c r="Q135" s="29"/>
      <c r="R135" s="93"/>
      <c r="S135" s="29"/>
      <c r="T135" s="93"/>
    </row>
    <row r="136" spans="1:20" ht="28.8" customHeight="1">
      <c r="A136" s="30">
        <f>ROW() - ROW(Ejecucion[[#Headers],[Correlativo]])</f>
        <v>132</v>
      </c>
      <c r="B136" s="40" t="s">
        <v>319</v>
      </c>
      <c r="C136" s="28" t="str">
        <f>IF(Ejecucion[[#This Row],[No. Solicitud]]="","",_xlfn.XLOOKUP(Ejecucion[[#This Row],[No. Solicitud]],Registro!$B$8:$B$997,Registro!$M$8:$M$997,"Sin Dato",0))</f>
        <v>Gestor 2</v>
      </c>
      <c r="D136" s="84" t="str">
        <f>IF(B136="","",HYPERLINK("#"&amp;"Registro!B"&amp;MATCH(B136,Registro!$B$8:$B$999,0)+7,"Ubicar en registro"))</f>
        <v>Ubicar en registro</v>
      </c>
      <c r="E136" s="55" t="str">
        <f>IF(C136="","",_xlfn.XLOOKUP(Ejecucion[[#This Row],[No. Solicitud]],Registro!$B$8:$B$999,Registro!$H$8:$H$999,"",0))</f>
        <v>Curso 71</v>
      </c>
      <c r="F136" s="29">
        <v>2</v>
      </c>
      <c r="G136" s="29">
        <v>42624</v>
      </c>
      <c r="H136" s="29" t="s">
        <v>634</v>
      </c>
      <c r="I136" s="97">
        <v>46104</v>
      </c>
      <c r="J136" s="94">
        <v>46104</v>
      </c>
      <c r="K136" s="29">
        <f>IF(Ejecucion[[#This Row],[Fecha Fin]]="","",MONTH(Ejecucion[[#This Row],[Fecha Fin]]))</f>
        <v>3</v>
      </c>
      <c r="L136" s="93" t="s">
        <v>75</v>
      </c>
      <c r="M136" s="29">
        <v>31</v>
      </c>
      <c r="N136" s="29">
        <v>31</v>
      </c>
      <c r="O136" s="29"/>
      <c r="P136" s="29"/>
      <c r="Q136" s="29"/>
      <c r="R136" s="93"/>
      <c r="S136" s="29"/>
      <c r="T136" s="93"/>
    </row>
    <row r="137" spans="1:20" ht="28.8" customHeight="1">
      <c r="A137" s="30">
        <f>ROW() - ROW(Ejecucion[[#Headers],[Correlativo]])</f>
        <v>133</v>
      </c>
      <c r="B137" s="40" t="s">
        <v>319</v>
      </c>
      <c r="C137" s="28" t="str">
        <f>IF(Ejecucion[[#This Row],[No. Solicitud]]="","",_xlfn.XLOOKUP(Ejecucion[[#This Row],[No. Solicitud]],Registro!$B$8:$B$997,Registro!$M$8:$M$997,"Sin Dato",0))</f>
        <v>Gestor 2</v>
      </c>
      <c r="D137" s="84" t="str">
        <f>IF(B137="","",HYPERLINK("#"&amp;"Registro!B"&amp;MATCH(B137,Registro!$B$8:$B$999,0)+7,"Ubicar en registro"))</f>
        <v>Ubicar en registro</v>
      </c>
      <c r="E137" s="55" t="str">
        <f>IF(C137="","",_xlfn.XLOOKUP(Ejecucion[[#This Row],[No. Solicitud]],Registro!$B$8:$B$999,Registro!$H$8:$H$999,"",0))</f>
        <v>Curso 71</v>
      </c>
      <c r="F137" s="29">
        <v>1</v>
      </c>
      <c r="G137" s="29">
        <v>42600</v>
      </c>
      <c r="H137" s="29" t="s">
        <v>635</v>
      </c>
      <c r="I137" s="97">
        <v>46090</v>
      </c>
      <c r="J137" s="94">
        <v>46090</v>
      </c>
      <c r="K137" s="29">
        <f>IF(Ejecucion[[#This Row],[Fecha Fin]]="","",MONTH(Ejecucion[[#This Row],[Fecha Fin]]))</f>
        <v>3</v>
      </c>
      <c r="L137" s="93" t="s">
        <v>75</v>
      </c>
      <c r="M137" s="29">
        <v>32</v>
      </c>
      <c r="N137" s="29">
        <v>32</v>
      </c>
      <c r="O137" s="29"/>
      <c r="P137" s="29"/>
      <c r="Q137" s="29"/>
      <c r="R137" s="93"/>
      <c r="S137" s="29"/>
      <c r="T137" s="93"/>
    </row>
    <row r="138" spans="1:20" ht="28.8" customHeight="1">
      <c r="A138" s="30">
        <f>ROW() - ROW(Ejecucion[[#Headers],[Correlativo]])</f>
        <v>134</v>
      </c>
      <c r="B138" s="40" t="s">
        <v>319</v>
      </c>
      <c r="C138" s="28" t="str">
        <f>IF(Ejecucion[[#This Row],[No. Solicitud]]="","",_xlfn.XLOOKUP(Ejecucion[[#This Row],[No. Solicitud]],Registro!$B$8:$B$997,Registro!$M$8:$M$997,"Sin Dato",0))</f>
        <v>Gestor 2</v>
      </c>
      <c r="D138" s="84" t="str">
        <f>IF(B138="","",HYPERLINK("#"&amp;"Registro!B"&amp;MATCH(B138,Registro!$B$8:$B$999,0)+7,"Ubicar en registro"))</f>
        <v>Ubicar en registro</v>
      </c>
      <c r="E138" s="55" t="str">
        <f>IF(C138="","",_xlfn.XLOOKUP(Ejecucion[[#This Row],[No. Solicitud]],Registro!$B$8:$B$999,Registro!$H$8:$H$999,"",0))</f>
        <v>Curso 71</v>
      </c>
      <c r="F138" s="29">
        <v>3</v>
      </c>
      <c r="G138" s="29">
        <v>42864</v>
      </c>
      <c r="H138" s="29" t="s">
        <v>636</v>
      </c>
      <c r="I138" s="97">
        <v>46129</v>
      </c>
      <c r="J138" s="94">
        <v>46129</v>
      </c>
      <c r="K138" s="29">
        <f>IF(Ejecucion[[#This Row],[Fecha Fin]]="","",MONTH(Ejecucion[[#This Row],[Fecha Fin]]))</f>
        <v>4</v>
      </c>
      <c r="L138" s="93" t="s">
        <v>75</v>
      </c>
      <c r="M138" s="29">
        <v>31</v>
      </c>
      <c r="N138" s="29">
        <v>31</v>
      </c>
      <c r="O138" s="29"/>
      <c r="P138" s="29"/>
      <c r="Q138" s="29"/>
      <c r="R138" s="93"/>
      <c r="S138" s="29"/>
      <c r="T138" s="93"/>
    </row>
    <row r="139" spans="1:20" ht="28.8" customHeight="1">
      <c r="A139" s="30">
        <f>ROW() - ROW(Ejecucion[[#Headers],[Correlativo]])</f>
        <v>135</v>
      </c>
      <c r="B139" s="40" t="s">
        <v>319</v>
      </c>
      <c r="C139" s="28" t="str">
        <f>IF(Ejecucion[[#This Row],[No. Solicitud]]="","",_xlfn.XLOOKUP(Ejecucion[[#This Row],[No. Solicitud]],Registro!$B$8:$B$997,Registro!$M$8:$M$997,"Sin Dato",0))</f>
        <v>Gestor 2</v>
      </c>
      <c r="D139" s="84" t="str">
        <f>IF(B139="","",HYPERLINK("#"&amp;"Registro!B"&amp;MATCH(B139,Registro!$B$8:$B$999,0)+7,"Ubicar en registro"))</f>
        <v>Ubicar en registro</v>
      </c>
      <c r="E139" s="55" t="str">
        <f>IF(C139="","",_xlfn.XLOOKUP(Ejecucion[[#This Row],[No. Solicitud]],Registro!$B$8:$B$999,Registro!$H$8:$H$999,"",0))</f>
        <v>Curso 71</v>
      </c>
      <c r="F139" s="29">
        <v>4</v>
      </c>
      <c r="G139" s="29">
        <v>42988</v>
      </c>
      <c r="H139" s="29" t="s">
        <v>637</v>
      </c>
      <c r="I139" s="97">
        <v>46139</v>
      </c>
      <c r="J139" s="94">
        <v>46139</v>
      </c>
      <c r="K139" s="29">
        <f>IF(Ejecucion[[#This Row],[Fecha Fin]]="","",MONTH(Ejecucion[[#This Row],[Fecha Fin]]))</f>
        <v>4</v>
      </c>
      <c r="L139" s="93" t="s">
        <v>75</v>
      </c>
      <c r="M139" s="29">
        <v>36</v>
      </c>
      <c r="N139" s="29">
        <v>36</v>
      </c>
      <c r="O139" s="29"/>
      <c r="P139" s="29"/>
      <c r="Q139" s="29"/>
      <c r="R139" s="93"/>
      <c r="S139" s="29"/>
      <c r="T139" s="93"/>
    </row>
    <row r="140" spans="1:20" ht="28.8" customHeight="1">
      <c r="A140" s="30">
        <f>ROW() - ROW(Ejecucion[[#Headers],[Correlativo]])</f>
        <v>136</v>
      </c>
      <c r="B140" s="40" t="s">
        <v>319</v>
      </c>
      <c r="C140" s="28" t="str">
        <f>IF(Ejecucion[[#This Row],[No. Solicitud]]="","",_xlfn.XLOOKUP(Ejecucion[[#This Row],[No. Solicitud]],Registro!$B$8:$B$997,Registro!$M$8:$M$997,"Sin Dato",0))</f>
        <v>Gestor 2</v>
      </c>
      <c r="D140" s="84" t="str">
        <f>IF(B140="","",HYPERLINK("#"&amp;"Registro!B"&amp;MATCH(B140,Registro!$B$8:$B$999,0)+7,"Ubicar en registro"))</f>
        <v>Ubicar en registro</v>
      </c>
      <c r="E140" s="55" t="str">
        <f>IF(C140="","",_xlfn.XLOOKUP(Ejecucion[[#This Row],[No. Solicitud]],Registro!$B$8:$B$999,Registro!$H$8:$H$999,"",0))</f>
        <v>Curso 71</v>
      </c>
      <c r="F140" s="29">
        <v>5</v>
      </c>
      <c r="G140" s="29">
        <v>43036</v>
      </c>
      <c r="H140" s="29" t="s">
        <v>638</v>
      </c>
      <c r="I140" s="97">
        <v>46155</v>
      </c>
      <c r="J140" s="94">
        <v>46155</v>
      </c>
      <c r="K140" s="29">
        <f>IF(Ejecucion[[#This Row],[Fecha Fin]]="","",MONTH(Ejecucion[[#This Row],[Fecha Fin]]))</f>
        <v>5</v>
      </c>
      <c r="L140" s="93" t="s">
        <v>75</v>
      </c>
      <c r="M140" s="29">
        <v>36</v>
      </c>
      <c r="N140" s="29">
        <v>36</v>
      </c>
      <c r="O140" s="29"/>
      <c r="P140" s="29"/>
      <c r="Q140" s="29"/>
      <c r="R140" s="93"/>
      <c r="S140" s="29"/>
      <c r="T140" s="93"/>
    </row>
    <row r="141" spans="1:20" ht="28.8" customHeight="1">
      <c r="A141" s="30">
        <f>ROW() - ROW(Ejecucion[[#Headers],[Correlativo]])</f>
        <v>137</v>
      </c>
      <c r="B141" s="40" t="s">
        <v>319</v>
      </c>
      <c r="C141" s="28" t="str">
        <f>IF(Ejecucion[[#This Row],[No. Solicitud]]="","",_xlfn.XLOOKUP(Ejecucion[[#This Row],[No. Solicitud]],Registro!$B$8:$B$997,Registro!$M$8:$M$997,"Sin Dato",0))</f>
        <v>Gestor 2</v>
      </c>
      <c r="D141" s="84" t="str">
        <f>IF(B141="","",HYPERLINK("#"&amp;"Registro!B"&amp;MATCH(B141,Registro!$B$8:$B$999,0)+7,"Ubicar en registro"))</f>
        <v>Ubicar en registro</v>
      </c>
      <c r="E141" s="55" t="str">
        <f>IF(C141="","",_xlfn.XLOOKUP(Ejecucion[[#This Row],[No. Solicitud]],Registro!$B$8:$B$999,Registro!$H$8:$H$999,"",0))</f>
        <v>Curso 71</v>
      </c>
      <c r="F141" s="29">
        <v>6</v>
      </c>
      <c r="G141" s="29">
        <v>43177</v>
      </c>
      <c r="H141" s="29" t="s">
        <v>639</v>
      </c>
      <c r="I141" s="97">
        <v>46167</v>
      </c>
      <c r="J141" s="94">
        <v>46167</v>
      </c>
      <c r="K141" s="29">
        <f>IF(Ejecucion[[#This Row],[Fecha Fin]]="","",MONTH(Ejecucion[[#This Row],[Fecha Fin]]))</f>
        <v>5</v>
      </c>
      <c r="L141" s="93" t="s">
        <v>75</v>
      </c>
      <c r="M141" s="29">
        <v>36</v>
      </c>
      <c r="N141" s="29">
        <v>36</v>
      </c>
      <c r="O141" s="29"/>
      <c r="P141" s="29"/>
      <c r="Q141" s="29"/>
      <c r="R141" s="93"/>
      <c r="S141" s="29"/>
      <c r="T141" s="93"/>
    </row>
    <row r="142" spans="1:20" ht="28.8" customHeight="1">
      <c r="A142" s="30">
        <f>ROW() - ROW(Ejecucion[[#Headers],[Correlativo]])</f>
        <v>138</v>
      </c>
      <c r="B142" s="40" t="s">
        <v>319</v>
      </c>
      <c r="C142" s="28" t="str">
        <f>IF(Ejecucion[[#This Row],[No. Solicitud]]="","",_xlfn.XLOOKUP(Ejecucion[[#This Row],[No. Solicitud]],Registro!$B$8:$B$997,Registro!$M$8:$M$997,"Sin Dato",0))</f>
        <v>Gestor 2</v>
      </c>
      <c r="D142" s="84" t="str">
        <f>IF(B142="","",HYPERLINK("#"&amp;"Registro!B"&amp;MATCH(B142,Registro!$B$8:$B$999,0)+7,"Ubicar en registro"))</f>
        <v>Ubicar en registro</v>
      </c>
      <c r="E142" s="55" t="str">
        <f>IF(C142="","",_xlfn.XLOOKUP(Ejecucion[[#This Row],[No. Solicitud]],Registro!$B$8:$B$999,Registro!$H$8:$H$999,"",0))</f>
        <v>Curso 71</v>
      </c>
      <c r="F142" s="29">
        <v>7</v>
      </c>
      <c r="G142" s="29">
        <v>43197</v>
      </c>
      <c r="H142" s="29" t="s">
        <v>640</v>
      </c>
      <c r="I142" s="97">
        <v>46177</v>
      </c>
      <c r="J142" s="94">
        <v>46177</v>
      </c>
      <c r="K142" s="29">
        <f>IF(Ejecucion[[#This Row],[Fecha Fin]]="","",MONTH(Ejecucion[[#This Row],[Fecha Fin]]))</f>
        <v>6</v>
      </c>
      <c r="L142" s="93" t="s">
        <v>75</v>
      </c>
      <c r="M142" s="29">
        <v>36</v>
      </c>
      <c r="N142" s="29">
        <v>36</v>
      </c>
      <c r="O142" s="29"/>
      <c r="P142" s="29"/>
      <c r="Q142" s="29"/>
      <c r="R142" s="93"/>
      <c r="S142" s="29"/>
      <c r="T142" s="93"/>
    </row>
    <row r="143" spans="1:20" ht="28.8" customHeight="1">
      <c r="A143" s="30">
        <f>ROW() - ROW(Ejecucion[[#Headers],[Correlativo]])</f>
        <v>139</v>
      </c>
      <c r="B143" s="40" t="s">
        <v>319</v>
      </c>
      <c r="C143" s="28" t="str">
        <f>IF(Ejecucion[[#This Row],[No. Solicitud]]="","",_xlfn.XLOOKUP(Ejecucion[[#This Row],[No. Solicitud]],Registro!$B$8:$B$997,Registro!$M$8:$M$997,"Sin Dato",0))</f>
        <v>Gestor 2</v>
      </c>
      <c r="D143" s="84" t="str">
        <f>IF(B143="","",HYPERLINK("#"&amp;"Registro!B"&amp;MATCH(B143,Registro!$B$8:$B$999,0)+7,"Ubicar en registro"))</f>
        <v>Ubicar en registro</v>
      </c>
      <c r="E143" s="55" t="str">
        <f>IF(C143="","",_xlfn.XLOOKUP(Ejecucion[[#This Row],[No. Solicitud]],Registro!$B$8:$B$999,Registro!$H$8:$H$999,"",0))</f>
        <v>Curso 71</v>
      </c>
      <c r="F143" s="29">
        <v>8</v>
      </c>
      <c r="G143" s="29">
        <v>43301</v>
      </c>
      <c r="H143" s="29" t="s">
        <v>641</v>
      </c>
      <c r="I143" s="97">
        <v>46189</v>
      </c>
      <c r="J143" s="94">
        <v>46189</v>
      </c>
      <c r="K143" s="29">
        <f>IF(Ejecucion[[#This Row],[Fecha Fin]]="","",MONTH(Ejecucion[[#This Row],[Fecha Fin]]))</f>
        <v>6</v>
      </c>
      <c r="L143" s="93" t="s">
        <v>75</v>
      </c>
      <c r="M143" s="29">
        <v>34</v>
      </c>
      <c r="N143" s="29">
        <v>34</v>
      </c>
      <c r="O143" s="29"/>
      <c r="P143" s="29"/>
      <c r="Q143" s="29"/>
      <c r="R143" s="93"/>
      <c r="S143" s="29"/>
      <c r="T143" s="93"/>
    </row>
    <row r="144" spans="1:20" ht="28.8" customHeight="1">
      <c r="A144" s="30">
        <f>ROW() - ROW(Ejecucion[[#Headers],[Correlativo]])</f>
        <v>140</v>
      </c>
      <c r="B144" s="40" t="s">
        <v>319</v>
      </c>
      <c r="C144" s="28" t="str">
        <f>IF(Ejecucion[[#This Row],[No. Solicitud]]="","",_xlfn.XLOOKUP(Ejecucion[[#This Row],[No. Solicitud]],Registro!$B$8:$B$997,Registro!$M$8:$M$997,"Sin Dato",0))</f>
        <v>Gestor 2</v>
      </c>
      <c r="D144" s="84" t="str">
        <f>IF(B144="","",HYPERLINK("#"&amp;"Registro!B"&amp;MATCH(B144,Registro!$B$8:$B$999,0)+7,"Ubicar en registro"))</f>
        <v>Ubicar en registro</v>
      </c>
      <c r="E144" s="55" t="str">
        <f>IF(C144="","",_xlfn.XLOOKUP(Ejecucion[[#This Row],[No. Solicitud]],Registro!$B$8:$B$999,Registro!$H$8:$H$999,"",0))</f>
        <v>Curso 71</v>
      </c>
      <c r="F144" s="29">
        <v>9</v>
      </c>
      <c r="G144" s="29">
        <v>43338</v>
      </c>
      <c r="H144" s="29" t="s">
        <v>642</v>
      </c>
      <c r="I144" s="97">
        <v>46205</v>
      </c>
      <c r="J144" s="94">
        <v>46205</v>
      </c>
      <c r="K144" s="29">
        <f>IF(Ejecucion[[#This Row],[Fecha Fin]]="","",MONTH(Ejecucion[[#This Row],[Fecha Fin]]))</f>
        <v>7</v>
      </c>
      <c r="L144" s="93" t="s">
        <v>75</v>
      </c>
      <c r="M144" s="29">
        <v>36</v>
      </c>
      <c r="N144" s="29">
        <v>36</v>
      </c>
      <c r="O144" s="29"/>
      <c r="P144" s="29"/>
      <c r="Q144" s="29"/>
      <c r="R144" s="93"/>
      <c r="S144" s="29"/>
      <c r="T144" s="93"/>
    </row>
    <row r="145" spans="1:20" ht="28.8" customHeight="1">
      <c r="A145" s="30">
        <f>ROW() - ROW(Ejecucion[[#Headers],[Correlativo]])</f>
        <v>141</v>
      </c>
      <c r="B145" s="40" t="s">
        <v>319</v>
      </c>
      <c r="C145" s="28" t="str">
        <f>IF(Ejecucion[[#This Row],[No. Solicitud]]="","",_xlfn.XLOOKUP(Ejecucion[[#This Row],[No. Solicitud]],Registro!$B$8:$B$997,Registro!$M$8:$M$997,"Sin Dato",0))</f>
        <v>Gestor 2</v>
      </c>
      <c r="D145" s="84" t="str">
        <f>IF(B145="","",HYPERLINK("#"&amp;"Registro!B"&amp;MATCH(B145,Registro!$B$8:$B$999,0)+7,"Ubicar en registro"))</f>
        <v>Ubicar en registro</v>
      </c>
      <c r="E145" s="55" t="str">
        <f>IF(C145="","",_xlfn.XLOOKUP(Ejecucion[[#This Row],[No. Solicitud]],Registro!$B$8:$B$999,Registro!$H$8:$H$999,"",0))</f>
        <v>Curso 71</v>
      </c>
      <c r="F145" s="29">
        <v>10</v>
      </c>
      <c r="G145" s="29">
        <v>43485</v>
      </c>
      <c r="H145" s="29" t="s">
        <v>643</v>
      </c>
      <c r="I145" s="97">
        <v>46212</v>
      </c>
      <c r="J145" s="94">
        <v>46212</v>
      </c>
      <c r="K145" s="29">
        <f>IF(Ejecucion[[#This Row],[Fecha Fin]]="","",MONTH(Ejecucion[[#This Row],[Fecha Fin]]))</f>
        <v>7</v>
      </c>
      <c r="L145" s="93" t="s">
        <v>75</v>
      </c>
      <c r="M145" s="29">
        <v>34</v>
      </c>
      <c r="N145" s="29">
        <v>34</v>
      </c>
      <c r="O145" s="29"/>
      <c r="P145" s="29"/>
      <c r="Q145" s="29"/>
      <c r="R145" s="93"/>
      <c r="S145" s="29"/>
      <c r="T145" s="93"/>
    </row>
    <row r="146" spans="1:20" ht="28.8" customHeight="1">
      <c r="A146" s="30">
        <f>ROW() - ROW(Ejecucion[[#Headers],[Correlativo]])</f>
        <v>142</v>
      </c>
      <c r="B146" s="40" t="s">
        <v>321</v>
      </c>
      <c r="C146" s="28" t="str">
        <f>IF(Ejecucion[[#This Row],[No. Solicitud]]="","",_xlfn.XLOOKUP(Ejecucion[[#This Row],[No. Solicitud]],Registro!$B$8:$B$997,Registro!$M$8:$M$997,"Sin Dato",0))</f>
        <v>Gestor 2</v>
      </c>
      <c r="D146" s="84" t="str">
        <f>IF(B146="","",HYPERLINK("#"&amp;"Registro!B"&amp;MATCH(B146,Registro!$B$8:$B$999,0)+7,"Ubicar en registro"))</f>
        <v>Ubicar en registro</v>
      </c>
      <c r="E146" s="55" t="str">
        <f>IF(C146="","",_xlfn.XLOOKUP(Ejecucion[[#This Row],[No. Solicitud]],Registro!$B$8:$B$999,Registro!$H$8:$H$999,"",0))</f>
        <v>Curso 72</v>
      </c>
      <c r="F146" s="29">
        <v>1</v>
      </c>
      <c r="G146" s="29">
        <v>42594</v>
      </c>
      <c r="H146" s="29" t="s">
        <v>644</v>
      </c>
      <c r="I146" s="97">
        <v>46087</v>
      </c>
      <c r="J146" s="94">
        <v>46087</v>
      </c>
      <c r="K146" s="29">
        <f>IF(Ejecucion[[#This Row],[Fecha Fin]]="","",MONTH(Ejecucion[[#This Row],[Fecha Fin]]))</f>
        <v>3</v>
      </c>
      <c r="L146" s="93" t="s">
        <v>75</v>
      </c>
      <c r="M146" s="29">
        <v>32</v>
      </c>
      <c r="N146" s="29">
        <v>32</v>
      </c>
      <c r="O146" s="29"/>
      <c r="P146" s="29"/>
      <c r="Q146" s="29"/>
      <c r="R146" s="93"/>
      <c r="S146" s="29"/>
      <c r="T146" s="93"/>
    </row>
    <row r="147" spans="1:20" ht="28.8" customHeight="1">
      <c r="A147" s="30">
        <f>ROW() - ROW(Ejecucion[[#Headers],[Correlativo]])</f>
        <v>143</v>
      </c>
      <c r="B147" s="40" t="s">
        <v>321</v>
      </c>
      <c r="C147" s="28" t="str">
        <f>IF(Ejecucion[[#This Row],[No. Solicitud]]="","",_xlfn.XLOOKUP(Ejecucion[[#This Row],[No. Solicitud]],Registro!$B$8:$B$997,Registro!$M$8:$M$997,"Sin Dato",0))</f>
        <v>Gestor 2</v>
      </c>
      <c r="D147" s="84" t="str">
        <f>IF(B147="","",HYPERLINK("#"&amp;"Registro!B"&amp;MATCH(B147,Registro!$B$8:$B$999,0)+7,"Ubicar en registro"))</f>
        <v>Ubicar en registro</v>
      </c>
      <c r="E147" s="55" t="str">
        <f>IF(C147="","",_xlfn.XLOOKUP(Ejecucion[[#This Row],[No. Solicitud]],Registro!$B$8:$B$999,Registro!$H$8:$H$999,"",0))</f>
        <v>Curso 72</v>
      </c>
      <c r="F147" s="29">
        <v>2</v>
      </c>
      <c r="G147" s="29">
        <v>42621</v>
      </c>
      <c r="H147" s="29" t="s">
        <v>645</v>
      </c>
      <c r="I147" s="97">
        <v>46101</v>
      </c>
      <c r="J147" s="94">
        <v>46101</v>
      </c>
      <c r="K147" s="29">
        <f>IF(Ejecucion[[#This Row],[Fecha Fin]]="","",MONTH(Ejecucion[[#This Row],[Fecha Fin]]))</f>
        <v>3</v>
      </c>
      <c r="L147" s="93" t="s">
        <v>75</v>
      </c>
      <c r="M147" s="29">
        <v>32</v>
      </c>
      <c r="N147" s="29">
        <v>32</v>
      </c>
      <c r="O147" s="29"/>
      <c r="P147" s="29"/>
      <c r="Q147" s="29"/>
      <c r="R147" s="93"/>
      <c r="S147" s="29"/>
      <c r="T147" s="93"/>
    </row>
    <row r="148" spans="1:20" ht="28.8" customHeight="1">
      <c r="A148" s="30">
        <f>ROW() - ROW(Ejecucion[[#Headers],[Correlativo]])</f>
        <v>144</v>
      </c>
      <c r="B148" s="40" t="s">
        <v>321</v>
      </c>
      <c r="C148" s="28" t="str">
        <f>IF(Ejecucion[[#This Row],[No. Solicitud]]="","",_xlfn.XLOOKUP(Ejecucion[[#This Row],[No. Solicitud]],Registro!$B$8:$B$997,Registro!$M$8:$M$997,"Sin Dato",0))</f>
        <v>Gestor 2</v>
      </c>
      <c r="D148" s="84" t="str">
        <f>IF(B148="","",HYPERLINK("#"&amp;"Registro!B"&amp;MATCH(B148,Registro!$B$8:$B$999,0)+7,"Ubicar en registro"))</f>
        <v>Ubicar en registro</v>
      </c>
      <c r="E148" s="55" t="str">
        <f>IF(C148="","",_xlfn.XLOOKUP(Ejecucion[[#This Row],[No. Solicitud]],Registro!$B$8:$B$999,Registro!$H$8:$H$999,"",0))</f>
        <v>Curso 72</v>
      </c>
      <c r="F148" s="29">
        <v>3</v>
      </c>
      <c r="G148" s="29">
        <v>42827</v>
      </c>
      <c r="H148" s="29" t="s">
        <v>646</v>
      </c>
      <c r="I148" s="97">
        <v>46122</v>
      </c>
      <c r="J148" s="94">
        <v>46122</v>
      </c>
      <c r="K148" s="29">
        <f>IF(Ejecucion[[#This Row],[Fecha Fin]]="","",MONTH(Ejecucion[[#This Row],[Fecha Fin]]))</f>
        <v>4</v>
      </c>
      <c r="L148" s="93" t="s">
        <v>75</v>
      </c>
      <c r="M148" s="29">
        <v>31</v>
      </c>
      <c r="N148" s="29">
        <v>31</v>
      </c>
      <c r="O148" s="29"/>
      <c r="P148" s="29"/>
      <c r="Q148" s="29"/>
      <c r="R148" s="93"/>
      <c r="S148" s="29"/>
      <c r="T148" s="93"/>
    </row>
    <row r="149" spans="1:20" ht="28.8" customHeight="1">
      <c r="A149" s="30">
        <f>ROW() - ROW(Ejecucion[[#Headers],[Correlativo]])</f>
        <v>145</v>
      </c>
      <c r="B149" s="40" t="s">
        <v>321</v>
      </c>
      <c r="C149" s="28" t="str">
        <f>IF(Ejecucion[[#This Row],[No. Solicitud]]="","",_xlfn.XLOOKUP(Ejecucion[[#This Row],[No. Solicitud]],Registro!$B$8:$B$997,Registro!$M$8:$M$997,"Sin Dato",0))</f>
        <v>Gestor 2</v>
      </c>
      <c r="D149" s="84" t="str">
        <f>IF(B149="","",HYPERLINK("#"&amp;"Registro!B"&amp;MATCH(B149,Registro!$B$8:$B$999,0)+7,"Ubicar en registro"))</f>
        <v>Ubicar en registro</v>
      </c>
      <c r="E149" s="55" t="str">
        <f>IF(C149="","",_xlfn.XLOOKUP(Ejecucion[[#This Row],[No. Solicitud]],Registro!$B$8:$B$999,Registro!$H$8:$H$999,"",0))</f>
        <v>Curso 72</v>
      </c>
      <c r="F149" s="29">
        <v>4</v>
      </c>
      <c r="G149" s="29">
        <v>42980</v>
      </c>
      <c r="H149" s="29" t="s">
        <v>647</v>
      </c>
      <c r="I149" s="97">
        <v>46136</v>
      </c>
      <c r="J149" s="94">
        <v>46136</v>
      </c>
      <c r="K149" s="29">
        <f>IF(Ejecucion[[#This Row],[Fecha Fin]]="","",MONTH(Ejecucion[[#This Row],[Fecha Fin]]))</f>
        <v>4</v>
      </c>
      <c r="L149" s="93" t="s">
        <v>75</v>
      </c>
      <c r="M149" s="29">
        <v>36</v>
      </c>
      <c r="N149" s="29">
        <v>36</v>
      </c>
      <c r="O149" s="29"/>
      <c r="P149" s="29"/>
      <c r="Q149" s="29"/>
      <c r="R149" s="93"/>
      <c r="S149" s="29"/>
      <c r="T149" s="93"/>
    </row>
    <row r="150" spans="1:20" ht="28.8" customHeight="1">
      <c r="A150" s="30">
        <f>ROW() - ROW(Ejecucion[[#Headers],[Correlativo]])</f>
        <v>146</v>
      </c>
      <c r="B150" s="41" t="s">
        <v>321</v>
      </c>
      <c r="C150" s="28" t="str">
        <f>IF(Ejecucion[[#This Row],[No. Solicitud]]="","",_xlfn.XLOOKUP(Ejecucion[[#This Row],[No. Solicitud]],Registro!$B$8:$B$997,Registro!$M$8:$M$997,"Sin Dato",0))</f>
        <v>Gestor 2</v>
      </c>
      <c r="D150" s="84" t="str">
        <f>IF(B150="","",HYPERLINK("#"&amp;"Registro!B"&amp;MATCH(B150,Registro!$B$8:$B$999,0)+7,"Ubicar en registro"))</f>
        <v>Ubicar en registro</v>
      </c>
      <c r="E150" s="55" t="str">
        <f>IF(C150="","",_xlfn.XLOOKUP(Ejecucion[[#This Row],[No. Solicitud]],Registro!$B$8:$B$999,Registro!$H$8:$H$999,"",0))</f>
        <v>Curso 72</v>
      </c>
      <c r="F150" s="29">
        <v>5</v>
      </c>
      <c r="G150" s="29">
        <v>43035</v>
      </c>
      <c r="H150" s="29" t="s">
        <v>628</v>
      </c>
      <c r="I150" s="97">
        <v>46150</v>
      </c>
      <c r="J150" s="94">
        <v>46150</v>
      </c>
      <c r="K150" s="29">
        <f>IF(Ejecucion[[#This Row],[Fecha Fin]]="","",MONTH(Ejecucion[[#This Row],[Fecha Fin]]))</f>
        <v>5</v>
      </c>
      <c r="L150" s="93" t="s">
        <v>75</v>
      </c>
      <c r="M150" s="29">
        <v>36</v>
      </c>
      <c r="N150" s="29">
        <v>36</v>
      </c>
      <c r="O150" s="29"/>
      <c r="P150" s="29"/>
      <c r="Q150" s="29"/>
      <c r="R150" s="93"/>
      <c r="S150" s="29"/>
      <c r="T150" s="93"/>
    </row>
    <row r="151" spans="1:20" ht="28.8" customHeight="1">
      <c r="A151" s="30">
        <f>ROW() - ROW(Ejecucion[[#Headers],[Correlativo]])</f>
        <v>147</v>
      </c>
      <c r="B151" s="41" t="s">
        <v>321</v>
      </c>
      <c r="C151" s="28" t="str">
        <f>IF(Ejecucion[[#This Row],[No. Solicitud]]="","",_xlfn.XLOOKUP(Ejecucion[[#This Row],[No. Solicitud]],Registro!$B$8:$B$997,Registro!$M$8:$M$997,"Sin Dato",0))</f>
        <v>Gestor 2</v>
      </c>
      <c r="D151" s="84" t="str">
        <f>IF(B151="","",HYPERLINK("#"&amp;"Registro!B"&amp;MATCH(B151,Registro!$B$8:$B$999,0)+7,"Ubicar en registro"))</f>
        <v>Ubicar en registro</v>
      </c>
      <c r="E151" s="55" t="str">
        <f>IF(C151="","",_xlfn.XLOOKUP(Ejecucion[[#This Row],[No. Solicitud]],Registro!$B$8:$B$999,Registro!$H$8:$H$999,"",0))</f>
        <v>Curso 72</v>
      </c>
      <c r="F151" s="29">
        <v>6</v>
      </c>
      <c r="G151" s="29">
        <v>43168</v>
      </c>
      <c r="H151" s="29" t="s">
        <v>648</v>
      </c>
      <c r="I151" s="97">
        <v>46164</v>
      </c>
      <c r="J151" s="94">
        <v>46164</v>
      </c>
      <c r="K151" s="29">
        <f>IF(Ejecucion[[#This Row],[Fecha Fin]]="","",MONTH(Ejecucion[[#This Row],[Fecha Fin]]))</f>
        <v>5</v>
      </c>
      <c r="L151" s="93" t="s">
        <v>75</v>
      </c>
      <c r="M151" s="29">
        <v>36</v>
      </c>
      <c r="N151" s="29">
        <v>36</v>
      </c>
      <c r="O151" s="29"/>
      <c r="P151" s="29"/>
      <c r="Q151" s="29"/>
      <c r="R151" s="93"/>
      <c r="S151" s="29"/>
      <c r="T151" s="93"/>
    </row>
    <row r="152" spans="1:20" ht="28.8" customHeight="1">
      <c r="A152" s="30">
        <f>ROW() - ROW(Ejecucion[[#Headers],[Correlativo]])</f>
        <v>148</v>
      </c>
      <c r="B152" s="41" t="s">
        <v>321</v>
      </c>
      <c r="C152" s="28" t="str">
        <f>IF(Ejecucion[[#This Row],[No. Solicitud]]="","",_xlfn.XLOOKUP(Ejecucion[[#This Row],[No. Solicitud]],Registro!$B$8:$B$997,Registro!$M$8:$M$997,"Sin Dato",0))</f>
        <v>Gestor 2</v>
      </c>
      <c r="D152" s="84" t="str">
        <f>IF(B152="","",HYPERLINK("#"&amp;"Registro!B"&amp;MATCH(B152,Registro!$B$8:$B$999,0)+7,"Ubicar en registro"))</f>
        <v>Ubicar en registro</v>
      </c>
      <c r="E152" s="55" t="str">
        <f>IF(C152="","",_xlfn.XLOOKUP(Ejecucion[[#This Row],[No. Solicitud]],Registro!$B$8:$B$999,Registro!$H$8:$H$999,"",0))</f>
        <v>Curso 72</v>
      </c>
      <c r="F152" s="29">
        <v>7</v>
      </c>
      <c r="G152" s="29">
        <v>43190</v>
      </c>
      <c r="H152" s="29" t="s">
        <v>649</v>
      </c>
      <c r="I152" s="97">
        <v>46176</v>
      </c>
      <c r="J152" s="94">
        <v>46176</v>
      </c>
      <c r="K152" s="29">
        <f>IF(Ejecucion[[#This Row],[Fecha Fin]]="","",MONTH(Ejecucion[[#This Row],[Fecha Fin]]))</f>
        <v>6</v>
      </c>
      <c r="L152" s="93" t="s">
        <v>75</v>
      </c>
      <c r="M152" s="29">
        <v>36</v>
      </c>
      <c r="N152" s="29">
        <v>36</v>
      </c>
      <c r="O152" s="29"/>
      <c r="P152" s="29"/>
      <c r="Q152" s="29"/>
      <c r="R152" s="93"/>
      <c r="S152" s="29"/>
      <c r="T152" s="93"/>
    </row>
    <row r="153" spans="1:20" ht="28.8" customHeight="1">
      <c r="A153" s="30">
        <f>ROW() - ROW(Ejecucion[[#Headers],[Correlativo]])</f>
        <v>149</v>
      </c>
      <c r="B153" s="41" t="s">
        <v>321</v>
      </c>
      <c r="C153" s="28" t="str">
        <f>IF(Ejecucion[[#This Row],[No. Solicitud]]="","",_xlfn.XLOOKUP(Ejecucion[[#This Row],[No. Solicitud]],Registro!$B$8:$B$997,Registro!$M$8:$M$997,"Sin Dato",0))</f>
        <v>Gestor 2</v>
      </c>
      <c r="D153" s="84" t="str">
        <f>IF(B153="","",HYPERLINK("#"&amp;"Registro!B"&amp;MATCH(B153,Registro!$B$8:$B$999,0)+7,"Ubicar en registro"))</f>
        <v>Ubicar en registro</v>
      </c>
      <c r="E153" s="55" t="str">
        <f>IF(C153="","",_xlfn.XLOOKUP(Ejecucion[[#This Row],[No. Solicitud]],Registro!$B$8:$B$999,Registro!$H$8:$H$999,"",0))</f>
        <v>Curso 72</v>
      </c>
      <c r="F153" s="29">
        <v>8</v>
      </c>
      <c r="G153" s="29">
        <v>43298</v>
      </c>
      <c r="H153" s="29" t="s">
        <v>650</v>
      </c>
      <c r="I153" s="97">
        <v>46188</v>
      </c>
      <c r="J153" s="94">
        <v>46188</v>
      </c>
      <c r="K153" s="29">
        <f>IF(Ejecucion[[#This Row],[Fecha Fin]]="","",MONTH(Ejecucion[[#This Row],[Fecha Fin]]))</f>
        <v>6</v>
      </c>
      <c r="L153" s="93" t="s">
        <v>75</v>
      </c>
      <c r="M153" s="29">
        <v>36</v>
      </c>
      <c r="N153" s="29">
        <v>36</v>
      </c>
      <c r="O153" s="29"/>
      <c r="P153" s="29"/>
      <c r="Q153" s="29"/>
      <c r="R153" s="93"/>
      <c r="S153" s="29"/>
      <c r="T153" s="93"/>
    </row>
    <row r="154" spans="1:20" ht="28.8" customHeight="1">
      <c r="A154" s="30">
        <f>ROW() - ROW(Ejecucion[[#Headers],[Correlativo]])</f>
        <v>150</v>
      </c>
      <c r="B154" s="41" t="s">
        <v>321</v>
      </c>
      <c r="C154" s="28" t="str">
        <f>IF(Ejecucion[[#This Row],[No. Solicitud]]="","",_xlfn.XLOOKUP(Ejecucion[[#This Row],[No. Solicitud]],Registro!$B$8:$B$997,Registro!$M$8:$M$997,"Sin Dato",0))</f>
        <v>Gestor 2</v>
      </c>
      <c r="D154" s="84" t="str">
        <f>IF(B154="","",HYPERLINK("#"&amp;"Registro!B"&amp;MATCH(B154,Registro!$B$8:$B$999,0)+7,"Ubicar en registro"))</f>
        <v>Ubicar en registro</v>
      </c>
      <c r="E154" s="55" t="str">
        <f>IF(C154="","",_xlfn.XLOOKUP(Ejecucion[[#This Row],[No. Solicitud]],Registro!$B$8:$B$999,Registro!$H$8:$H$999,"",0))</f>
        <v>Curso 72</v>
      </c>
      <c r="F154" s="29">
        <v>9</v>
      </c>
      <c r="G154" s="29">
        <v>43328</v>
      </c>
      <c r="H154" s="29" t="s">
        <v>651</v>
      </c>
      <c r="I154" s="97">
        <v>46199</v>
      </c>
      <c r="J154" s="94">
        <v>46199</v>
      </c>
      <c r="K154" s="29">
        <f>IF(Ejecucion[[#This Row],[Fecha Fin]]="","",MONTH(Ejecucion[[#This Row],[Fecha Fin]]))</f>
        <v>6</v>
      </c>
      <c r="L154" s="93" t="s">
        <v>75</v>
      </c>
      <c r="M154" s="29">
        <v>36</v>
      </c>
      <c r="N154" s="29">
        <v>36</v>
      </c>
      <c r="O154" s="29"/>
      <c r="P154" s="29"/>
      <c r="Q154" s="29"/>
      <c r="R154" s="93"/>
      <c r="S154" s="29"/>
      <c r="T154" s="93"/>
    </row>
    <row r="155" spans="1:20" ht="28.8" customHeight="1">
      <c r="A155" s="30">
        <f>ROW() - ROW(Ejecucion[[#Headers],[Correlativo]])</f>
        <v>151</v>
      </c>
      <c r="B155" s="41" t="s">
        <v>321</v>
      </c>
      <c r="C155" s="28" t="str">
        <f>IF(Ejecucion[[#This Row],[No. Solicitud]]="","",_xlfn.XLOOKUP(Ejecucion[[#This Row],[No. Solicitud]],Registro!$B$8:$B$997,Registro!$M$8:$M$997,"Sin Dato",0))</f>
        <v>Gestor 2</v>
      </c>
      <c r="D155" s="84" t="str">
        <f>IF(B155="","",HYPERLINK("#"&amp;"Registro!B"&amp;MATCH(B155,Registro!$B$8:$B$999,0)+7,"Ubicar en registro"))</f>
        <v>Ubicar en registro</v>
      </c>
      <c r="E155" s="55" t="str">
        <f>IF(C155="","",_xlfn.XLOOKUP(Ejecucion[[#This Row],[No. Solicitud]],Registro!$B$8:$B$999,Registro!$H$8:$H$999,"",0))</f>
        <v>Curso 72</v>
      </c>
      <c r="F155" s="29">
        <v>10</v>
      </c>
      <c r="G155" s="29">
        <v>43457</v>
      </c>
      <c r="H155" s="29" t="s">
        <v>652</v>
      </c>
      <c r="I155" s="97">
        <v>46212</v>
      </c>
      <c r="J155" s="94">
        <v>46212</v>
      </c>
      <c r="K155" s="29">
        <f>IF(Ejecucion[[#This Row],[Fecha Fin]]="","",MONTH(Ejecucion[[#This Row],[Fecha Fin]]))</f>
        <v>7</v>
      </c>
      <c r="L155" s="93" t="s">
        <v>75</v>
      </c>
      <c r="M155" s="29">
        <v>34</v>
      </c>
      <c r="N155" s="29">
        <v>34</v>
      </c>
      <c r="O155" s="29"/>
      <c r="P155" s="29"/>
      <c r="Q155" s="29"/>
      <c r="R155" s="93"/>
      <c r="S155" s="29"/>
      <c r="T155" s="93"/>
    </row>
    <row r="156" spans="1:20" ht="28.8" customHeight="1">
      <c r="A156" s="30">
        <f>ROW() - ROW(Ejecucion[[#Headers],[Correlativo]])</f>
        <v>152</v>
      </c>
      <c r="B156" s="41" t="s">
        <v>323</v>
      </c>
      <c r="C156" s="28" t="str">
        <f>IF(Ejecucion[[#This Row],[No. Solicitud]]="","",_xlfn.XLOOKUP(Ejecucion[[#This Row],[No. Solicitud]],Registro!$B$8:$B$997,Registro!$M$8:$M$997,"Sin Dato",0))</f>
        <v>Gestor 2</v>
      </c>
      <c r="D156" s="84" t="str">
        <f>IF(B156="","",HYPERLINK("#"&amp;"Registro!B"&amp;MATCH(B156,Registro!$B$8:$B$999,0)+7,"Ubicar en registro"))</f>
        <v>Ubicar en registro</v>
      </c>
      <c r="E156" s="55" t="str">
        <f>IF(C156="","",_xlfn.XLOOKUP(Ejecucion[[#This Row],[No. Solicitud]],Registro!$B$8:$B$999,Registro!$H$8:$H$999,"",0))</f>
        <v>Curso 73</v>
      </c>
      <c r="F156" s="29">
        <v>1</v>
      </c>
      <c r="G156" s="29">
        <v>42602</v>
      </c>
      <c r="H156" s="29" t="s">
        <v>653</v>
      </c>
      <c r="I156" s="97">
        <v>46091</v>
      </c>
      <c r="J156" s="94">
        <v>46091</v>
      </c>
      <c r="K156" s="29">
        <f>IF(Ejecucion[[#This Row],[Fecha Fin]]="","",MONTH(Ejecucion[[#This Row],[Fecha Fin]]))</f>
        <v>3</v>
      </c>
      <c r="L156" s="93" t="s">
        <v>75</v>
      </c>
      <c r="M156" s="29">
        <v>32</v>
      </c>
      <c r="N156" s="29">
        <v>32</v>
      </c>
      <c r="O156" s="29"/>
      <c r="P156" s="29"/>
      <c r="Q156" s="29"/>
      <c r="R156" s="93"/>
      <c r="S156" s="29"/>
      <c r="T156" s="93"/>
    </row>
    <row r="157" spans="1:20" ht="28.8" customHeight="1">
      <c r="A157" s="30">
        <f>ROW() - ROW(Ejecucion[[#Headers],[Correlativo]])</f>
        <v>153</v>
      </c>
      <c r="B157" s="41" t="s">
        <v>323</v>
      </c>
      <c r="C157" s="28" t="str">
        <f>IF(Ejecucion[[#This Row],[No. Solicitud]]="","",_xlfn.XLOOKUP(Ejecucion[[#This Row],[No. Solicitud]],Registro!$B$8:$B$997,Registro!$M$8:$M$997,"Sin Dato",0))</f>
        <v>Gestor 2</v>
      </c>
      <c r="D157" s="84" t="str">
        <f>IF(B157="","",HYPERLINK("#"&amp;"Registro!B"&amp;MATCH(B157,Registro!$B$8:$B$999,0)+7,"Ubicar en registro"))</f>
        <v>Ubicar en registro</v>
      </c>
      <c r="E157" s="55" t="str">
        <f>IF(C157="","",_xlfn.XLOOKUP(Ejecucion[[#This Row],[No. Solicitud]],Registro!$B$8:$B$999,Registro!$H$8:$H$999,"",0))</f>
        <v>Curso 73</v>
      </c>
      <c r="F157" s="29">
        <v>2</v>
      </c>
      <c r="G157" s="29">
        <v>42625</v>
      </c>
      <c r="H157" s="29" t="s">
        <v>654</v>
      </c>
      <c r="I157" s="97">
        <v>46091</v>
      </c>
      <c r="J157" s="94">
        <v>46091</v>
      </c>
      <c r="K157" s="29">
        <f>IF(Ejecucion[[#This Row],[Fecha Fin]]="","",MONTH(Ejecucion[[#This Row],[Fecha Fin]]))</f>
        <v>3</v>
      </c>
      <c r="L157" s="93" t="s">
        <v>75</v>
      </c>
      <c r="M157" s="29">
        <v>32</v>
      </c>
      <c r="N157" s="29">
        <v>32</v>
      </c>
      <c r="O157" s="29"/>
      <c r="P157" s="29"/>
      <c r="Q157" s="29"/>
      <c r="R157" s="93"/>
      <c r="S157" s="29"/>
      <c r="T157" s="93"/>
    </row>
    <row r="158" spans="1:20" ht="28.8" customHeight="1">
      <c r="A158" s="30">
        <f>ROW() - ROW(Ejecucion[[#Headers],[Correlativo]])</f>
        <v>154</v>
      </c>
      <c r="B158" s="41" t="s">
        <v>323</v>
      </c>
      <c r="C158" s="28" t="str">
        <f>IF(Ejecucion[[#This Row],[No. Solicitud]]="","",_xlfn.XLOOKUP(Ejecucion[[#This Row],[No. Solicitud]],Registro!$B$8:$B$997,Registro!$M$8:$M$997,"Sin Dato",0))</f>
        <v>Gestor 2</v>
      </c>
      <c r="D158" s="84" t="str">
        <f>IF(B158="","",HYPERLINK("#"&amp;"Registro!B"&amp;MATCH(B158,Registro!$B$8:$B$999,0)+7,"Ubicar en registro"))</f>
        <v>Ubicar en registro</v>
      </c>
      <c r="E158" s="55" t="str">
        <f>IF(C158="","",_xlfn.XLOOKUP(Ejecucion[[#This Row],[No. Solicitud]],Registro!$B$8:$B$999,Registro!$H$8:$H$999,"",0))</f>
        <v>Curso 73</v>
      </c>
      <c r="F158" s="29">
        <v>3</v>
      </c>
      <c r="G158" s="29">
        <v>42861</v>
      </c>
      <c r="H158" s="29" t="s">
        <v>655</v>
      </c>
      <c r="I158" s="97">
        <v>46128</v>
      </c>
      <c r="J158" s="94">
        <v>46128</v>
      </c>
      <c r="K158" s="29">
        <f>IF(Ejecucion[[#This Row],[Fecha Fin]]="","",MONTH(Ejecucion[[#This Row],[Fecha Fin]]))</f>
        <v>4</v>
      </c>
      <c r="L158" s="93" t="s">
        <v>75</v>
      </c>
      <c r="M158" s="29">
        <v>31</v>
      </c>
      <c r="N158" s="29">
        <v>31</v>
      </c>
      <c r="O158" s="29"/>
      <c r="P158" s="29"/>
      <c r="Q158" s="29"/>
      <c r="R158" s="93"/>
      <c r="S158" s="29"/>
      <c r="T158" s="93"/>
    </row>
    <row r="159" spans="1:20" ht="28.8" customHeight="1">
      <c r="A159" s="30">
        <f>ROW() - ROW(Ejecucion[[#Headers],[Correlativo]])</f>
        <v>155</v>
      </c>
      <c r="B159" s="41" t="s">
        <v>323</v>
      </c>
      <c r="C159" s="28" t="str">
        <f>IF(Ejecucion[[#This Row],[No. Solicitud]]="","",_xlfn.XLOOKUP(Ejecucion[[#This Row],[No. Solicitud]],Registro!$B$8:$B$997,Registro!$M$8:$M$997,"Sin Dato",0))</f>
        <v>Gestor 2</v>
      </c>
      <c r="D159" s="84" t="str">
        <f>IF(B159="","",HYPERLINK("#"&amp;"Registro!B"&amp;MATCH(B159,Registro!$B$8:$B$999,0)+7,"Ubicar en registro"))</f>
        <v>Ubicar en registro</v>
      </c>
      <c r="E159" s="55" t="str">
        <f>IF(C159="","",_xlfn.XLOOKUP(Ejecucion[[#This Row],[No. Solicitud]],Registro!$B$8:$B$999,Registro!$H$8:$H$999,"",0))</f>
        <v>Curso 73</v>
      </c>
      <c r="F159" s="29">
        <v>4</v>
      </c>
      <c r="G159" s="29">
        <v>42989</v>
      </c>
      <c r="H159" s="29" t="s">
        <v>656</v>
      </c>
      <c r="I159" s="97">
        <v>46140</v>
      </c>
      <c r="J159" s="94">
        <v>46140</v>
      </c>
      <c r="K159" s="29">
        <f>IF(Ejecucion[[#This Row],[Fecha Fin]]="","",MONTH(Ejecucion[[#This Row],[Fecha Fin]]))</f>
        <v>4</v>
      </c>
      <c r="L159" s="93" t="s">
        <v>75</v>
      </c>
      <c r="M159" s="29">
        <v>36</v>
      </c>
      <c r="N159" s="29">
        <v>36</v>
      </c>
      <c r="O159" s="29"/>
      <c r="P159" s="29"/>
      <c r="Q159" s="29"/>
      <c r="R159" s="93"/>
      <c r="S159" s="29"/>
      <c r="T159" s="93"/>
    </row>
    <row r="160" spans="1:20" ht="28.8" customHeight="1">
      <c r="A160" s="30">
        <f>ROW() - ROW(Ejecucion[[#Headers],[Correlativo]])</f>
        <v>156</v>
      </c>
      <c r="B160" s="156" t="s">
        <v>323</v>
      </c>
      <c r="C160" s="28" t="str">
        <f>IF(Ejecucion[[#This Row],[No. Solicitud]]="","",_xlfn.XLOOKUP(Ejecucion[[#This Row],[No. Solicitud]],Registro!$B$8:$B$997,Registro!$M$8:$M$997,"Sin Dato",0))</f>
        <v>Gestor 2</v>
      </c>
      <c r="D160" s="84" t="str">
        <f>IF(B160="","",HYPERLINK("#"&amp;"Registro!B"&amp;MATCH(B160,Registro!$B$8:$B$999,0)+7,"Ubicar en registro"))</f>
        <v>Ubicar en registro</v>
      </c>
      <c r="E160" s="55" t="str">
        <f>IF(C160="","",_xlfn.XLOOKUP(Ejecucion[[#This Row],[No. Solicitud]],Registro!$B$8:$B$999,Registro!$H$8:$H$999,"",0))</f>
        <v>Curso 73</v>
      </c>
      <c r="F160" s="29">
        <v>5</v>
      </c>
      <c r="G160" s="29">
        <v>43043</v>
      </c>
      <c r="H160" s="29" t="s">
        <v>657</v>
      </c>
      <c r="I160" s="97">
        <v>46153</v>
      </c>
      <c r="J160" s="94">
        <v>46153</v>
      </c>
      <c r="K160" s="29">
        <f>IF(Ejecucion[[#This Row],[Fecha Fin]]="","",MONTH(Ejecucion[[#This Row],[Fecha Fin]]))</f>
        <v>5</v>
      </c>
      <c r="L160" s="93" t="s">
        <v>75</v>
      </c>
      <c r="M160" s="29">
        <v>36</v>
      </c>
      <c r="N160" s="29">
        <v>36</v>
      </c>
      <c r="O160" s="29"/>
      <c r="P160" s="29"/>
      <c r="Q160" s="29"/>
      <c r="R160" s="93"/>
      <c r="S160" s="29"/>
      <c r="T160" s="93"/>
    </row>
    <row r="161" spans="1:20" ht="28.8" customHeight="1">
      <c r="A161" s="30">
        <f>ROW() - ROW(Ejecucion[[#Headers],[Correlativo]])</f>
        <v>157</v>
      </c>
      <c r="B161" s="156" t="s">
        <v>323</v>
      </c>
      <c r="C161" s="28" t="str">
        <f>IF(Ejecucion[[#This Row],[No. Solicitud]]="","",_xlfn.XLOOKUP(Ejecucion[[#This Row],[No. Solicitud]],Registro!$B$8:$B$997,Registro!$M$8:$M$997,"Sin Dato",0))</f>
        <v>Gestor 2</v>
      </c>
      <c r="D161" s="84" t="str">
        <f>IF(B161="","",HYPERLINK("#"&amp;"Registro!B"&amp;MATCH(B161,Registro!$B$8:$B$999,0)+7,"Ubicar en registro"))</f>
        <v>Ubicar en registro</v>
      </c>
      <c r="E161" s="55" t="str">
        <f>IF(C161="","",_xlfn.XLOOKUP(Ejecucion[[#This Row],[No. Solicitud]],Registro!$B$8:$B$999,Registro!$H$8:$H$999,"",0))</f>
        <v>Curso 73</v>
      </c>
      <c r="F161" s="29">
        <v>6</v>
      </c>
      <c r="G161" s="29">
        <v>43178</v>
      </c>
      <c r="H161" s="29" t="s">
        <v>658</v>
      </c>
      <c r="I161" s="97">
        <v>46168</v>
      </c>
      <c r="J161" s="94">
        <v>46168</v>
      </c>
      <c r="K161" s="29">
        <f>IF(Ejecucion[[#This Row],[Fecha Fin]]="","",MONTH(Ejecucion[[#This Row],[Fecha Fin]]))</f>
        <v>5</v>
      </c>
      <c r="L161" s="93" t="s">
        <v>75</v>
      </c>
      <c r="M161" s="29">
        <v>36</v>
      </c>
      <c r="N161" s="29">
        <v>36</v>
      </c>
      <c r="O161" s="29"/>
      <c r="P161" s="29"/>
      <c r="Q161" s="29"/>
      <c r="R161" s="93"/>
      <c r="S161" s="29"/>
      <c r="T161" s="93"/>
    </row>
    <row r="162" spans="1:20" ht="28.8" customHeight="1">
      <c r="A162" s="30">
        <f>ROW() - ROW(Ejecucion[[#Headers],[Correlativo]])</f>
        <v>158</v>
      </c>
      <c r="B162" s="156" t="s">
        <v>323</v>
      </c>
      <c r="C162" s="28" t="str">
        <f>IF(Ejecucion[[#This Row],[No. Solicitud]]="","",_xlfn.XLOOKUP(Ejecucion[[#This Row],[No. Solicitud]],Registro!$B$8:$B$997,Registro!$M$8:$M$997,"Sin Dato",0))</f>
        <v>Gestor 2</v>
      </c>
      <c r="D162" s="84" t="str">
        <f>IF(B162="","",HYPERLINK("#"&amp;"Registro!B"&amp;MATCH(B162,Registro!$B$8:$B$999,0)+7,"Ubicar en registro"))</f>
        <v>Ubicar en registro</v>
      </c>
      <c r="E162" s="55" t="str">
        <f>IF(C162="","",_xlfn.XLOOKUP(Ejecucion[[#This Row],[No. Solicitud]],Registro!$B$8:$B$999,Registro!$H$8:$H$999,"",0))</f>
        <v>Curso 73</v>
      </c>
      <c r="F162" s="29">
        <v>7</v>
      </c>
      <c r="G162" s="29">
        <v>43199</v>
      </c>
      <c r="H162" s="29" t="s">
        <v>659</v>
      </c>
      <c r="I162" s="97">
        <v>46178</v>
      </c>
      <c r="J162" s="94">
        <v>46178</v>
      </c>
      <c r="K162" s="29">
        <f>IF(Ejecucion[[#This Row],[Fecha Fin]]="","",MONTH(Ejecucion[[#This Row],[Fecha Fin]]))</f>
        <v>6</v>
      </c>
      <c r="L162" s="93" t="s">
        <v>75</v>
      </c>
      <c r="M162" s="29">
        <v>36</v>
      </c>
      <c r="N162" s="29">
        <v>36</v>
      </c>
      <c r="O162" s="29"/>
      <c r="P162" s="29"/>
      <c r="Q162" s="29"/>
      <c r="R162" s="93"/>
      <c r="S162" s="29"/>
      <c r="T162" s="93"/>
    </row>
    <row r="163" spans="1:20" ht="28.8" customHeight="1">
      <c r="A163" s="30">
        <f>ROW() - ROW(Ejecucion[[#Headers],[Correlativo]])</f>
        <v>159</v>
      </c>
      <c r="B163" s="156" t="s">
        <v>323</v>
      </c>
      <c r="C163" s="28" t="str">
        <f>IF(Ejecucion[[#This Row],[No. Solicitud]]="","",_xlfn.XLOOKUP(Ejecucion[[#This Row],[No. Solicitud]],Registro!$B$8:$B$997,Registro!$M$8:$M$997,"Sin Dato",0))</f>
        <v>Gestor 2</v>
      </c>
      <c r="D163" s="84" t="str">
        <f>IF(B163="","",HYPERLINK("#"&amp;"Registro!B"&amp;MATCH(B163,Registro!$B$8:$B$999,0)+7,"Ubicar en registro"))</f>
        <v>Ubicar en registro</v>
      </c>
      <c r="E163" s="55" t="str">
        <f>IF(C163="","",_xlfn.XLOOKUP(Ejecucion[[#This Row],[No. Solicitud]],Registro!$B$8:$B$999,Registro!$H$8:$H$999,"",0))</f>
        <v>Curso 73</v>
      </c>
      <c r="F163" s="29">
        <v>8</v>
      </c>
      <c r="G163" s="29">
        <v>43306</v>
      </c>
      <c r="H163" s="29" t="s">
        <v>660</v>
      </c>
      <c r="I163" s="97">
        <v>46190</v>
      </c>
      <c r="J163" s="94">
        <v>46190</v>
      </c>
      <c r="K163" s="29">
        <f>IF(Ejecucion[[#This Row],[Fecha Fin]]="","",MONTH(Ejecucion[[#This Row],[Fecha Fin]]))</f>
        <v>6</v>
      </c>
      <c r="L163" s="93" t="s">
        <v>75</v>
      </c>
      <c r="M163" s="29">
        <v>36</v>
      </c>
      <c r="N163" s="29">
        <v>36</v>
      </c>
      <c r="O163" s="29"/>
      <c r="P163" s="29"/>
      <c r="Q163" s="29"/>
      <c r="R163" s="93"/>
      <c r="S163" s="29"/>
      <c r="T163" s="93"/>
    </row>
    <row r="164" spans="1:20" ht="28.8" customHeight="1">
      <c r="A164" s="30">
        <f>ROW() - ROW(Ejecucion[[#Headers],[Correlativo]])</f>
        <v>160</v>
      </c>
      <c r="B164" s="156" t="s">
        <v>323</v>
      </c>
      <c r="C164" s="28" t="str">
        <f>IF(Ejecucion[[#This Row],[No. Solicitud]]="","",_xlfn.XLOOKUP(Ejecucion[[#This Row],[No. Solicitud]],Registro!$B$8:$B$997,Registro!$M$8:$M$997,"Sin Dato",0))</f>
        <v>Gestor 2</v>
      </c>
      <c r="D164" s="84" t="str">
        <f>IF(B164="","",HYPERLINK("#"&amp;"Registro!B"&amp;MATCH(B164,Registro!$B$8:$B$999,0)+7,"Ubicar en registro"))</f>
        <v>Ubicar en registro</v>
      </c>
      <c r="E164" s="55" t="str">
        <f>IF(C164="","",_xlfn.XLOOKUP(Ejecucion[[#This Row],[No. Solicitud]],Registro!$B$8:$B$999,Registro!$H$8:$H$999,"",0))</f>
        <v>Curso 73</v>
      </c>
      <c r="F164" s="29">
        <v>9</v>
      </c>
      <c r="G164" s="29">
        <v>43339</v>
      </c>
      <c r="H164" s="29" t="s">
        <v>661</v>
      </c>
      <c r="I164" s="97">
        <v>46203</v>
      </c>
      <c r="J164" s="94">
        <v>46203</v>
      </c>
      <c r="K164" s="29">
        <f>IF(Ejecucion[[#This Row],[Fecha Fin]]="","",MONTH(Ejecucion[[#This Row],[Fecha Fin]]))</f>
        <v>6</v>
      </c>
      <c r="L164" s="93" t="s">
        <v>75</v>
      </c>
      <c r="M164" s="29">
        <v>36</v>
      </c>
      <c r="N164" s="29">
        <v>36</v>
      </c>
      <c r="O164" s="29"/>
      <c r="P164" s="29"/>
      <c r="Q164" s="29"/>
      <c r="R164" s="93"/>
      <c r="S164" s="29"/>
      <c r="T164" s="93"/>
    </row>
    <row r="165" spans="1:20" ht="28.8" customHeight="1">
      <c r="A165" s="30">
        <f>ROW() - ROW(Ejecucion[[#Headers],[Correlativo]])</f>
        <v>161</v>
      </c>
      <c r="B165" s="156" t="s">
        <v>323</v>
      </c>
      <c r="C165" s="28" t="str">
        <f>IF(Ejecucion[[#This Row],[No. Solicitud]]="","",_xlfn.XLOOKUP(Ejecucion[[#This Row],[No. Solicitud]],Registro!$B$8:$B$997,Registro!$M$8:$M$997,"Sin Dato",0))</f>
        <v>Gestor 2</v>
      </c>
      <c r="D165" s="84" t="str">
        <f>IF(B165="","",HYPERLINK("#"&amp;"Registro!B"&amp;MATCH(B165,Registro!$B$8:$B$999,0)+7,"Ubicar en registro"))</f>
        <v>Ubicar en registro</v>
      </c>
      <c r="E165" s="55" t="str">
        <f>IF(C165="","",_xlfn.XLOOKUP(Ejecucion[[#This Row],[No. Solicitud]],Registro!$B$8:$B$999,Registro!$H$8:$H$999,"",0))</f>
        <v>Curso 73</v>
      </c>
      <c r="F165" s="29">
        <v>10</v>
      </c>
      <c r="G165" s="29">
        <v>43486</v>
      </c>
      <c r="H165" s="29" t="s">
        <v>662</v>
      </c>
      <c r="I165" s="97">
        <v>46216</v>
      </c>
      <c r="J165" s="94">
        <v>46216</v>
      </c>
      <c r="K165" s="29">
        <f>IF(Ejecucion[[#This Row],[Fecha Fin]]="","",MONTH(Ejecucion[[#This Row],[Fecha Fin]]))</f>
        <v>7</v>
      </c>
      <c r="L165" s="93" t="s">
        <v>75</v>
      </c>
      <c r="M165" s="29">
        <v>34</v>
      </c>
      <c r="N165" s="29">
        <v>34</v>
      </c>
      <c r="O165" s="29"/>
      <c r="P165" s="29"/>
      <c r="Q165" s="29"/>
      <c r="R165" s="93"/>
      <c r="S165" s="29"/>
      <c r="T165" s="93"/>
    </row>
    <row r="166" spans="1:20" ht="28.8" customHeight="1">
      <c r="A166" s="30">
        <f>ROW() - ROW(Ejecucion[[#Headers],[Correlativo]])</f>
        <v>162</v>
      </c>
      <c r="B166" s="156" t="s">
        <v>325</v>
      </c>
      <c r="C166" s="28" t="str">
        <f>IF(Ejecucion[[#This Row],[No. Solicitud]]="","",_xlfn.XLOOKUP(Ejecucion[[#This Row],[No. Solicitud]],Registro!$B$8:$B$997,Registro!$M$8:$M$997,"Sin Dato",0))</f>
        <v>Gestor 2</v>
      </c>
      <c r="D166" s="84" t="str">
        <f>IF(B166="","",HYPERLINK("#"&amp;"Registro!B"&amp;MATCH(B166,Registro!$B$8:$B$999,0)+7,"Ubicar en registro"))</f>
        <v>Ubicar en registro</v>
      </c>
      <c r="E166" s="55" t="str">
        <f>IF(C166="","",_xlfn.XLOOKUP(Ejecucion[[#This Row],[No. Solicitud]],Registro!$B$8:$B$999,Registro!$H$8:$H$999,"",0))</f>
        <v>Curso 74</v>
      </c>
      <c r="F166" s="29">
        <v>1</v>
      </c>
      <c r="G166" s="29">
        <v>42604</v>
      </c>
      <c r="H166" s="29" t="s">
        <v>663</v>
      </c>
      <c r="I166" s="97">
        <v>46092</v>
      </c>
      <c r="J166" s="94">
        <v>46092</v>
      </c>
      <c r="K166" s="29">
        <f>IF(Ejecucion[[#This Row],[Fecha Fin]]="","",MONTH(Ejecucion[[#This Row],[Fecha Fin]]))</f>
        <v>3</v>
      </c>
      <c r="L166" s="93" t="s">
        <v>75</v>
      </c>
      <c r="M166" s="29">
        <v>32</v>
      </c>
      <c r="N166" s="29">
        <v>32</v>
      </c>
      <c r="O166" s="29"/>
      <c r="P166" s="29"/>
      <c r="Q166" s="29"/>
      <c r="R166" s="93"/>
      <c r="S166" s="29"/>
      <c r="T166" s="93"/>
    </row>
    <row r="167" spans="1:20" ht="28.8" customHeight="1">
      <c r="A167" s="30">
        <f>ROW() - ROW(Ejecucion[[#Headers],[Correlativo]])</f>
        <v>163</v>
      </c>
      <c r="B167" s="156" t="s">
        <v>325</v>
      </c>
      <c r="C167" s="28" t="str">
        <f>IF(Ejecucion[[#This Row],[No. Solicitud]]="","",_xlfn.XLOOKUP(Ejecucion[[#This Row],[No. Solicitud]],Registro!$B$8:$B$997,Registro!$M$8:$M$997,"Sin Dato",0))</f>
        <v>Gestor 2</v>
      </c>
      <c r="D167" s="84" t="str">
        <f>IF(B167="","",HYPERLINK("#"&amp;"Registro!B"&amp;MATCH(B167,Registro!$B$8:$B$999,0)+7,"Ubicar en registro"))</f>
        <v>Ubicar en registro</v>
      </c>
      <c r="E167" s="55" t="str">
        <f>IF(C167="","",_xlfn.XLOOKUP(Ejecucion[[#This Row],[No. Solicitud]],Registro!$B$8:$B$999,Registro!$H$8:$H$999,"",0))</f>
        <v>Curso 74</v>
      </c>
      <c r="F167" s="29">
        <v>2</v>
      </c>
      <c r="G167" s="29">
        <v>42626</v>
      </c>
      <c r="H167" s="29" t="s">
        <v>664</v>
      </c>
      <c r="I167" s="97">
        <v>46106</v>
      </c>
      <c r="J167" s="94">
        <v>46106</v>
      </c>
      <c r="K167" s="29">
        <f>IF(Ejecucion[[#This Row],[Fecha Fin]]="","",MONTH(Ejecucion[[#This Row],[Fecha Fin]]))</f>
        <v>3</v>
      </c>
      <c r="L167" s="93" t="s">
        <v>75</v>
      </c>
      <c r="M167" s="29">
        <v>32</v>
      </c>
      <c r="N167" s="29">
        <v>32</v>
      </c>
      <c r="O167" s="29"/>
      <c r="P167" s="29"/>
      <c r="Q167" s="29"/>
      <c r="R167" s="93"/>
      <c r="S167" s="29"/>
      <c r="T167" s="93"/>
    </row>
    <row r="168" spans="1:20" ht="28.8" customHeight="1">
      <c r="A168" s="30">
        <f>ROW() - ROW(Ejecucion[[#Headers],[Correlativo]])</f>
        <v>164</v>
      </c>
      <c r="B168" s="156" t="s">
        <v>325</v>
      </c>
      <c r="C168" s="28" t="str">
        <f>IF(Ejecucion[[#This Row],[No. Solicitud]]="","",_xlfn.XLOOKUP(Ejecucion[[#This Row],[No. Solicitud]],Registro!$B$8:$B$997,Registro!$M$8:$M$997,"Sin Dato",0))</f>
        <v>Gestor 2</v>
      </c>
      <c r="D168" s="84" t="str">
        <f>IF(B168="","",HYPERLINK("#"&amp;"Registro!B"&amp;MATCH(B168,Registro!$B$8:$B$999,0)+7,"Ubicar en registro"))</f>
        <v>Ubicar en registro</v>
      </c>
      <c r="E168" s="55" t="str">
        <f>IF(C168="","",_xlfn.XLOOKUP(Ejecucion[[#This Row],[No. Solicitud]],Registro!$B$8:$B$999,Registro!$H$8:$H$999,"",0))</f>
        <v>Curso 74</v>
      </c>
      <c r="F168" s="29">
        <v>3</v>
      </c>
      <c r="G168" s="29">
        <v>42860</v>
      </c>
      <c r="H168" s="29" t="s">
        <v>665</v>
      </c>
      <c r="I168" s="97">
        <v>46127</v>
      </c>
      <c r="J168" s="94">
        <v>46127</v>
      </c>
      <c r="K168" s="29">
        <f>IF(Ejecucion[[#This Row],[Fecha Fin]]="","",MONTH(Ejecucion[[#This Row],[Fecha Fin]]))</f>
        <v>4</v>
      </c>
      <c r="L168" s="93" t="s">
        <v>75</v>
      </c>
      <c r="M168" s="29">
        <v>31</v>
      </c>
      <c r="N168" s="29">
        <v>31</v>
      </c>
      <c r="O168" s="29"/>
      <c r="P168" s="29"/>
      <c r="Q168" s="29"/>
      <c r="R168" s="93"/>
      <c r="S168" s="29"/>
      <c r="T168" s="93"/>
    </row>
    <row r="169" spans="1:20" ht="28.8" customHeight="1">
      <c r="A169" s="30">
        <f>ROW() - ROW(Ejecucion[[#Headers],[Correlativo]])</f>
        <v>165</v>
      </c>
      <c r="B169" s="156" t="s">
        <v>325</v>
      </c>
      <c r="C169" s="28" t="str">
        <f>IF(Ejecucion[[#This Row],[No. Solicitud]]="","",_xlfn.XLOOKUP(Ejecucion[[#This Row],[No. Solicitud]],Registro!$B$8:$B$997,Registro!$M$8:$M$997,"Sin Dato",0))</f>
        <v>Gestor 2</v>
      </c>
      <c r="D169" s="84" t="str">
        <f>IF(B169="","",HYPERLINK("#"&amp;"Registro!B"&amp;MATCH(B169,Registro!$B$8:$B$999,0)+7,"Ubicar en registro"))</f>
        <v>Ubicar en registro</v>
      </c>
      <c r="E169" s="55" t="str">
        <f>IF(C169="","",_xlfn.XLOOKUP(Ejecucion[[#This Row],[No. Solicitud]],Registro!$B$8:$B$999,Registro!$H$8:$H$999,"",0))</f>
        <v>Curso 74</v>
      </c>
      <c r="F169" s="29">
        <v>4</v>
      </c>
      <c r="G169" s="29">
        <v>43019</v>
      </c>
      <c r="H169" s="29" t="s">
        <v>666</v>
      </c>
      <c r="I169" s="97">
        <v>46141</v>
      </c>
      <c r="J169" s="94">
        <v>46141</v>
      </c>
      <c r="K169" s="29">
        <f>IF(Ejecucion[[#This Row],[Fecha Fin]]="","",MONTH(Ejecucion[[#This Row],[Fecha Fin]]))</f>
        <v>4</v>
      </c>
      <c r="L169" s="93" t="s">
        <v>75</v>
      </c>
      <c r="M169" s="29">
        <v>36</v>
      </c>
      <c r="N169" s="29">
        <v>36</v>
      </c>
      <c r="O169" s="29"/>
      <c r="P169" s="29"/>
      <c r="Q169" s="29"/>
      <c r="R169" s="93"/>
      <c r="S169" s="29"/>
      <c r="T169" s="93"/>
    </row>
    <row r="170" spans="1:20" ht="28.8" customHeight="1">
      <c r="A170" s="30">
        <f>ROW() - ROW(Ejecucion[[#Headers],[Correlativo]])</f>
        <v>166</v>
      </c>
      <c r="B170" s="189" t="s">
        <v>325</v>
      </c>
      <c r="C170" s="28" t="str">
        <f>IF(Ejecucion[[#This Row],[No. Solicitud]]="","",_xlfn.XLOOKUP(Ejecucion[[#This Row],[No. Solicitud]],Registro!$B$8:$B$997,Registro!$M$8:$M$997,"Sin Dato",0))</f>
        <v>Gestor 2</v>
      </c>
      <c r="D170" s="84" t="str">
        <f>IF(B170="","",HYPERLINK("#"&amp;"Registro!B"&amp;MATCH(B170,Registro!$B$8:$B$999,0)+7,"Ubicar en registro"))</f>
        <v>Ubicar en registro</v>
      </c>
      <c r="E170" s="55" t="str">
        <f>IF(C170="","",_xlfn.XLOOKUP(Ejecucion[[#This Row],[No. Solicitud]],Registro!$B$8:$B$999,Registro!$H$8:$H$999,"",0))</f>
        <v>Curso 74</v>
      </c>
      <c r="F170" s="29">
        <v>5</v>
      </c>
      <c r="G170" s="29">
        <v>43044</v>
      </c>
      <c r="H170" s="29" t="s">
        <v>667</v>
      </c>
      <c r="I170" s="97">
        <v>46154</v>
      </c>
      <c r="J170" s="94">
        <v>46154</v>
      </c>
      <c r="K170" s="29">
        <f>IF(Ejecucion[[#This Row],[Fecha Fin]]="","",MONTH(Ejecucion[[#This Row],[Fecha Fin]]))</f>
        <v>5</v>
      </c>
      <c r="L170" s="93" t="s">
        <v>75</v>
      </c>
      <c r="M170" s="29">
        <v>36</v>
      </c>
      <c r="N170" s="29">
        <v>36</v>
      </c>
      <c r="O170" s="29"/>
      <c r="P170" s="29"/>
      <c r="Q170" s="29"/>
      <c r="R170" s="93"/>
      <c r="S170" s="29"/>
      <c r="T170" s="93"/>
    </row>
    <row r="171" spans="1:20" ht="28.8" customHeight="1">
      <c r="A171" s="30">
        <f>ROW() - ROW(Ejecucion[[#Headers],[Correlativo]])</f>
        <v>167</v>
      </c>
      <c r="B171" s="189" t="s">
        <v>325</v>
      </c>
      <c r="C171" s="28" t="str">
        <f>IF(Ejecucion[[#This Row],[No. Solicitud]]="","",_xlfn.XLOOKUP(Ejecucion[[#This Row],[No. Solicitud]],Registro!$B$8:$B$997,Registro!$M$8:$M$997,"Sin Dato",0))</f>
        <v>Gestor 2</v>
      </c>
      <c r="D171" s="84" t="str">
        <f>IF(B171="","",HYPERLINK("#"&amp;"Registro!B"&amp;MATCH(B171,Registro!$B$8:$B$999,0)+7,"Ubicar en registro"))</f>
        <v>Ubicar en registro</v>
      </c>
      <c r="E171" s="55" t="str">
        <f>IF(C171="","",_xlfn.XLOOKUP(Ejecucion[[#This Row],[No. Solicitud]],Registro!$B$8:$B$999,Registro!$H$8:$H$999,"",0))</f>
        <v>Curso 74</v>
      </c>
      <c r="F171" s="29">
        <v>6</v>
      </c>
      <c r="G171" s="29">
        <v>43179</v>
      </c>
      <c r="H171" s="29" t="s">
        <v>668</v>
      </c>
      <c r="I171" s="97">
        <v>46169</v>
      </c>
      <c r="J171" s="94">
        <v>46169</v>
      </c>
      <c r="K171" s="29">
        <f>IF(Ejecucion[[#This Row],[Fecha Fin]]="","",MONTH(Ejecucion[[#This Row],[Fecha Fin]]))</f>
        <v>5</v>
      </c>
      <c r="L171" s="93" t="s">
        <v>75</v>
      </c>
      <c r="M171" s="29">
        <v>36</v>
      </c>
      <c r="N171" s="29">
        <v>36</v>
      </c>
      <c r="O171" s="29"/>
      <c r="P171" s="29"/>
      <c r="Q171" s="29"/>
      <c r="R171" s="93"/>
      <c r="S171" s="29"/>
      <c r="T171" s="93"/>
    </row>
    <row r="172" spans="1:20" ht="28.8" customHeight="1">
      <c r="A172" s="30">
        <f>ROW() - ROW(Ejecucion[[#Headers],[Correlativo]])</f>
        <v>168</v>
      </c>
      <c r="B172" s="189" t="s">
        <v>325</v>
      </c>
      <c r="C172" s="28" t="str">
        <f>IF(Ejecucion[[#This Row],[No. Solicitud]]="","",_xlfn.XLOOKUP(Ejecucion[[#This Row],[No. Solicitud]],Registro!$B$8:$B$997,Registro!$M$8:$M$997,"Sin Dato",0))</f>
        <v>Gestor 2</v>
      </c>
      <c r="D172" s="84" t="str">
        <f>IF(B172="","",HYPERLINK("#"&amp;"Registro!B"&amp;MATCH(B172,Registro!$B$8:$B$999,0)+7,"Ubicar en registro"))</f>
        <v>Ubicar en registro</v>
      </c>
      <c r="E172" s="55" t="str">
        <f>IF(C172="","",_xlfn.XLOOKUP(Ejecucion[[#This Row],[No. Solicitud]],Registro!$B$8:$B$999,Registro!$H$8:$H$999,"",0))</f>
        <v>Curso 74</v>
      </c>
      <c r="F172" s="29">
        <v>7</v>
      </c>
      <c r="G172" s="29">
        <v>43200</v>
      </c>
      <c r="H172" s="29" t="s">
        <v>669</v>
      </c>
      <c r="I172" s="97">
        <v>46181</v>
      </c>
      <c r="J172" s="94">
        <v>46181</v>
      </c>
      <c r="K172" s="29">
        <f>IF(Ejecucion[[#This Row],[Fecha Fin]]="","",MONTH(Ejecucion[[#This Row],[Fecha Fin]]))</f>
        <v>6</v>
      </c>
      <c r="L172" s="93" t="s">
        <v>75</v>
      </c>
      <c r="M172" s="29">
        <v>36</v>
      </c>
      <c r="N172" s="29">
        <v>36</v>
      </c>
      <c r="O172" s="29"/>
      <c r="P172" s="29"/>
      <c r="Q172" s="29"/>
      <c r="R172" s="93"/>
      <c r="S172" s="29"/>
      <c r="T172" s="93"/>
    </row>
    <row r="173" spans="1:20" ht="28.8" customHeight="1">
      <c r="A173" s="30">
        <f>ROW() - ROW(Ejecucion[[#Headers],[Correlativo]])</f>
        <v>169</v>
      </c>
      <c r="B173" s="189" t="s">
        <v>325</v>
      </c>
      <c r="C173" s="28" t="str">
        <f>IF(Ejecucion[[#This Row],[No. Solicitud]]="","",_xlfn.XLOOKUP(Ejecucion[[#This Row],[No. Solicitud]],Registro!$B$8:$B$997,Registro!$M$8:$M$997,"Sin Dato",0))</f>
        <v>Gestor 2</v>
      </c>
      <c r="D173" s="84" t="str">
        <f>IF(B173="","",HYPERLINK("#"&amp;"Registro!B"&amp;MATCH(B173,Registro!$B$8:$B$999,0)+7,"Ubicar en registro"))</f>
        <v>Ubicar en registro</v>
      </c>
      <c r="E173" s="55" t="str">
        <f>IF(C173="","",_xlfn.XLOOKUP(Ejecucion[[#This Row],[No. Solicitud]],Registro!$B$8:$B$999,Registro!$H$8:$H$999,"",0))</f>
        <v>Curso 74</v>
      </c>
      <c r="F173" s="29">
        <v>8</v>
      </c>
      <c r="G173" s="29">
        <v>43307</v>
      </c>
      <c r="H173" s="29" t="s">
        <v>670</v>
      </c>
      <c r="I173" s="97">
        <v>46191</v>
      </c>
      <c r="J173" s="94">
        <v>46191</v>
      </c>
      <c r="K173" s="29">
        <f>IF(Ejecucion[[#This Row],[Fecha Fin]]="","",MONTH(Ejecucion[[#This Row],[Fecha Fin]]))</f>
        <v>6</v>
      </c>
      <c r="L173" s="93" t="s">
        <v>75</v>
      </c>
      <c r="M173" s="29">
        <v>36</v>
      </c>
      <c r="N173" s="29">
        <v>36</v>
      </c>
      <c r="O173" s="29"/>
      <c r="P173" s="29"/>
      <c r="Q173" s="29"/>
      <c r="R173" s="93"/>
      <c r="S173" s="29"/>
      <c r="T173" s="93"/>
    </row>
    <row r="174" spans="1:20" ht="28.8" customHeight="1">
      <c r="A174" s="30">
        <f>ROW() - ROW(Ejecucion[[#Headers],[Correlativo]])</f>
        <v>170</v>
      </c>
      <c r="B174" s="189" t="s">
        <v>325</v>
      </c>
      <c r="C174" s="28" t="str">
        <f>IF(Ejecucion[[#This Row],[No. Solicitud]]="","",_xlfn.XLOOKUP(Ejecucion[[#This Row],[No. Solicitud]],Registro!$B$8:$B$997,Registro!$M$8:$M$997,"Sin Dato",0))</f>
        <v>Gestor 2</v>
      </c>
      <c r="D174" s="84" t="str">
        <f>IF(B174="","",HYPERLINK("#"&amp;"Registro!B"&amp;MATCH(B174,Registro!$B$8:$B$999,0)+7,"Ubicar en registro"))</f>
        <v>Ubicar en registro</v>
      </c>
      <c r="E174" s="55" t="str">
        <f>IF(C174="","",_xlfn.XLOOKUP(Ejecucion[[#This Row],[No. Solicitud]],Registro!$B$8:$B$999,Registro!$H$8:$H$999,"",0))</f>
        <v>Curso 74</v>
      </c>
      <c r="F174" s="29">
        <v>9</v>
      </c>
      <c r="G174" s="29">
        <v>43343</v>
      </c>
      <c r="H174" s="29" t="s">
        <v>671</v>
      </c>
      <c r="I174" s="97">
        <v>46204</v>
      </c>
      <c r="J174" s="94">
        <v>46204</v>
      </c>
      <c r="K174" s="29">
        <f>IF(Ejecucion[[#This Row],[Fecha Fin]]="","",MONTH(Ejecucion[[#This Row],[Fecha Fin]]))</f>
        <v>7</v>
      </c>
      <c r="L174" s="93" t="s">
        <v>75</v>
      </c>
      <c r="M174" s="29">
        <v>36</v>
      </c>
      <c r="N174" s="29">
        <v>36</v>
      </c>
      <c r="O174" s="29"/>
      <c r="P174" s="29"/>
      <c r="Q174" s="29"/>
      <c r="R174" s="93"/>
      <c r="S174" s="29"/>
      <c r="T174" s="93"/>
    </row>
    <row r="175" spans="1:20" ht="28.8" customHeight="1">
      <c r="A175" s="30">
        <f>ROW() - ROW(Ejecucion[[#Headers],[Correlativo]])</f>
        <v>171</v>
      </c>
      <c r="B175" s="189" t="s">
        <v>325</v>
      </c>
      <c r="C175" s="28" t="str">
        <f>IF(Ejecucion[[#This Row],[No. Solicitud]]="","",_xlfn.XLOOKUP(Ejecucion[[#This Row],[No. Solicitud]],Registro!$B$8:$B$997,Registro!$M$8:$M$997,"Sin Dato",0))</f>
        <v>Gestor 2</v>
      </c>
      <c r="D175" s="84" t="str">
        <f>IF(B175="","",HYPERLINK("#"&amp;"Registro!B"&amp;MATCH(B175,Registro!$B$8:$B$999,0)+7,"Ubicar en registro"))</f>
        <v>Ubicar en registro</v>
      </c>
      <c r="E175" s="55" t="str">
        <f>IF(C175="","",_xlfn.XLOOKUP(Ejecucion[[#This Row],[No. Solicitud]],Registro!$B$8:$B$999,Registro!$H$8:$H$999,"",0))</f>
        <v>Curso 74</v>
      </c>
      <c r="F175" s="29">
        <v>10</v>
      </c>
      <c r="G175" s="29">
        <v>43488</v>
      </c>
      <c r="H175" s="29" t="s">
        <v>672</v>
      </c>
      <c r="I175" s="97">
        <v>46217</v>
      </c>
      <c r="J175" s="94">
        <v>46217</v>
      </c>
      <c r="K175" s="29">
        <f>IF(Ejecucion[[#This Row],[Fecha Fin]]="","",MONTH(Ejecucion[[#This Row],[Fecha Fin]]))</f>
        <v>7</v>
      </c>
      <c r="L175" s="93" t="s">
        <v>75</v>
      </c>
      <c r="M175" s="29">
        <v>34</v>
      </c>
      <c r="N175" s="29">
        <v>34</v>
      </c>
      <c r="O175" s="29"/>
      <c r="P175" s="29"/>
      <c r="Q175" s="29"/>
      <c r="R175" s="93"/>
      <c r="S175" s="29"/>
      <c r="T175" s="93"/>
    </row>
    <row r="176" spans="1:20" ht="30.75" customHeight="1">
      <c r="A176" s="30">
        <f>ROW() - ROW(Ejecucion[[#Headers],[Correlativo]])</f>
        <v>172</v>
      </c>
      <c r="B176" s="164" t="s">
        <v>421</v>
      </c>
      <c r="C176" s="28" t="str">
        <f>IF(Ejecucion[[#This Row],[No. Solicitud]]="","",_xlfn.XLOOKUP(Ejecucion[[#This Row],[No. Solicitud]],Registro!$B$8:$B$997,Registro!$M$8:$M$997,"Sin Dato",0))</f>
        <v>Gestor 3</v>
      </c>
      <c r="D176" s="84" t="str">
        <f>IF(B176="","",HYPERLINK("#"&amp;"Registro!B"&amp;MATCH(B176,Registro!$B$8:$B$999,0)+7,"Ubicar en registro"))</f>
        <v>Ubicar en registro</v>
      </c>
      <c r="E176" s="55" t="str">
        <f>IF(C176="","",_xlfn.XLOOKUP(Ejecucion[[#This Row],[No. Solicitud]],Registro!$B$8:$B$999,Registro!$H$8:$H$999,"",0))</f>
        <v>Curso 105</v>
      </c>
      <c r="F176" s="29">
        <v>1</v>
      </c>
      <c r="G176" s="29">
        <v>43387</v>
      </c>
      <c r="H176" s="29" t="s">
        <v>673</v>
      </c>
      <c r="I176" s="97">
        <v>46233</v>
      </c>
      <c r="J176" s="97">
        <v>46233</v>
      </c>
      <c r="K176" s="29">
        <f>IF(Ejecucion[[#This Row],[Fecha Fin]]="","",MONTH(Ejecucion[[#This Row],[Fecha Fin]]))</f>
        <v>7</v>
      </c>
      <c r="L176" s="93" t="s">
        <v>75</v>
      </c>
      <c r="M176" s="29">
        <v>23</v>
      </c>
      <c r="N176" s="29">
        <v>20</v>
      </c>
      <c r="O176" s="29"/>
      <c r="P176" s="29"/>
      <c r="Q176" s="29"/>
      <c r="R176" s="93"/>
      <c r="S176" s="29"/>
      <c r="T176" s="93"/>
    </row>
    <row r="177" spans="1:20" ht="30.75" customHeight="1">
      <c r="A177" s="30">
        <f>ROW() - ROW(Ejecucion[[#Headers],[Correlativo]])</f>
        <v>173</v>
      </c>
      <c r="B177" s="164" t="s">
        <v>421</v>
      </c>
      <c r="C177" s="28" t="str">
        <f>IF(Ejecucion[[#This Row],[No. Solicitud]]="","",_xlfn.XLOOKUP(Ejecucion[[#This Row],[No. Solicitud]],Registro!$B$8:$B$997,Registro!$M$8:$M$997,"Sin Dato",0))</f>
        <v>Gestor 3</v>
      </c>
      <c r="D177" s="84" t="str">
        <f>IF(B177="","",HYPERLINK("#"&amp;"Registro!B"&amp;MATCH(B177,Registro!$B$8:$B$999,0)+7,"Ubicar en registro"))</f>
        <v>Ubicar en registro</v>
      </c>
      <c r="E177" s="55" t="str">
        <f>IF(C177="","",_xlfn.XLOOKUP(Ejecucion[[#This Row],[No. Solicitud]],Registro!$B$8:$B$999,Registro!$H$8:$H$999,"",0))</f>
        <v>Curso 105</v>
      </c>
      <c r="F177" s="29">
        <v>2</v>
      </c>
      <c r="G177" s="29">
        <v>43388</v>
      </c>
      <c r="H177" s="29" t="s">
        <v>674</v>
      </c>
      <c r="I177" s="97">
        <v>46234</v>
      </c>
      <c r="J177" s="97">
        <v>46233</v>
      </c>
      <c r="K177" s="29">
        <f>IF(Ejecucion[[#This Row],[Fecha Fin]]="","",MONTH(Ejecucion[[#This Row],[Fecha Fin]]))</f>
        <v>7</v>
      </c>
      <c r="L177" s="93" t="s">
        <v>75</v>
      </c>
      <c r="M177" s="29">
        <v>22</v>
      </c>
      <c r="N177" s="29">
        <v>18</v>
      </c>
      <c r="O177" s="29"/>
      <c r="P177" s="29"/>
      <c r="Q177" s="29"/>
      <c r="R177" s="93"/>
      <c r="S177" s="29"/>
      <c r="T177" s="93"/>
    </row>
    <row r="178" spans="1:20" ht="57.6" customHeight="1">
      <c r="A178" s="30">
        <f>ROW() - ROW(Ejecucion[[#Headers],[Correlativo]])</f>
        <v>174</v>
      </c>
      <c r="B178" s="164" t="s">
        <v>417</v>
      </c>
      <c r="C178" s="28" t="str">
        <f>IF(Ejecucion[[#This Row],[No. Solicitud]]="","",_xlfn.XLOOKUP(Ejecucion[[#This Row],[No. Solicitud]],Registro!$B$8:$B$997,Registro!$M$8:$M$997,"Sin Dato",0))</f>
        <v>Gestor 3</v>
      </c>
      <c r="D178" s="84" t="str">
        <f>IF(B178="","",HYPERLINK("#"&amp;"Registro!B"&amp;MATCH(B178,Registro!$B$8:$B$999,0)+7,"Ubicar en registro"))</f>
        <v>Ubicar en registro</v>
      </c>
      <c r="E178" s="55" t="str">
        <f>IF(C178="","",_xlfn.XLOOKUP(Ejecucion[[#This Row],[No. Solicitud]],Registro!$B$8:$B$999,Registro!$H$8:$H$999,"",0))</f>
        <v>Curso 104</v>
      </c>
      <c r="F178" s="29">
        <v>1</v>
      </c>
      <c r="G178" s="29">
        <v>43445</v>
      </c>
      <c r="H178" s="29" t="s">
        <v>675</v>
      </c>
      <c r="I178" s="97">
        <v>46211</v>
      </c>
      <c r="J178" s="94">
        <v>46211</v>
      </c>
      <c r="K178" s="29">
        <f>IF(Ejecucion[[#This Row],[Fecha Fin]]="","",MONTH(Ejecucion[[#This Row],[Fecha Fin]]))</f>
        <v>7</v>
      </c>
      <c r="L178" s="93" t="s">
        <v>75</v>
      </c>
      <c r="M178" s="29">
        <v>350</v>
      </c>
      <c r="N178" s="29"/>
      <c r="O178" s="29"/>
      <c r="P178" s="29"/>
      <c r="Q178" s="29"/>
      <c r="R178" s="93"/>
      <c r="S178" s="29"/>
      <c r="T178" s="93" t="s">
        <v>676</v>
      </c>
    </row>
    <row r="179" spans="1:20" ht="28.8" customHeight="1">
      <c r="A179" s="30">
        <f>ROW() - ROW(Ejecucion[[#Headers],[Correlativo]])</f>
        <v>175</v>
      </c>
      <c r="B179" s="164" t="s">
        <v>413</v>
      </c>
      <c r="C179" s="28" t="str">
        <f>IF(Ejecucion[[#This Row],[No. Solicitud]]="","",_xlfn.XLOOKUP(Ejecucion[[#This Row],[No. Solicitud]],Registro!$B$8:$B$997,Registro!$M$8:$M$997,"Sin Dato",0))</f>
        <v>Gestor 1</v>
      </c>
      <c r="D179" s="84" t="str">
        <f>IF(B179="","",HYPERLINK("#"&amp;"Registro!B"&amp;MATCH(B179,Registro!$B$8:$B$999,0)+7,"Ubicar en registro"))</f>
        <v>Ubicar en registro</v>
      </c>
      <c r="E179" s="55" t="str">
        <f>IF(C179="","",_xlfn.XLOOKUP(Ejecucion[[#This Row],[No. Solicitud]],Registro!$B$8:$B$999,Registro!$H$8:$H$999,"",0))</f>
        <v>Curso 103</v>
      </c>
      <c r="F179" s="29">
        <v>1</v>
      </c>
      <c r="G179" s="29">
        <v>43516</v>
      </c>
      <c r="H179" s="29" t="s">
        <v>677</v>
      </c>
      <c r="I179" s="97">
        <v>46237</v>
      </c>
      <c r="J179" s="94">
        <v>46240</v>
      </c>
      <c r="K179" s="29">
        <f>IF(Ejecucion[[#This Row],[Fecha Fin]]="","",MONTH(Ejecucion[[#This Row],[Fecha Fin]]))</f>
        <v>8</v>
      </c>
      <c r="L179" s="93" t="s">
        <v>75</v>
      </c>
      <c r="M179" s="29">
        <v>20</v>
      </c>
      <c r="N179" s="29">
        <v>18</v>
      </c>
      <c r="O179" s="29">
        <v>17</v>
      </c>
      <c r="P179" s="29">
        <v>0</v>
      </c>
      <c r="Q179" s="29">
        <v>1</v>
      </c>
      <c r="R179" s="190" t="s">
        <v>678</v>
      </c>
      <c r="S179" s="80">
        <v>46236</v>
      </c>
      <c r="T179" s="93"/>
    </row>
    <row r="180" spans="1:20" ht="28.8" customHeight="1">
      <c r="A180" s="30">
        <f>ROW() - ROW(Ejecucion[[#Headers],[Correlativo]])</f>
        <v>176</v>
      </c>
      <c r="B180" s="24" t="s">
        <v>413</v>
      </c>
      <c r="C180" s="28" t="str">
        <f>IF(Ejecucion[[#This Row],[No. Solicitud]]="","",_xlfn.XLOOKUP(Ejecucion[[#This Row],[No. Solicitud]],Registro!$B$8:$B$997,Registro!$M$8:$M$997,"Sin Dato",0))</f>
        <v>Gestor 1</v>
      </c>
      <c r="D180" s="84" t="str">
        <f>IF(B180="","",HYPERLINK("#"&amp;"Registro!B"&amp;MATCH(B180,Registro!$B$8:$B$999,0)+7,"Ubicar en registro"))</f>
        <v>Ubicar en registro</v>
      </c>
      <c r="E180" s="55" t="str">
        <f>IF(C180="","",_xlfn.XLOOKUP(Ejecucion[[#This Row],[No. Solicitud]],Registro!$B$8:$B$999,Registro!$H$8:$H$999,"",0))</f>
        <v>Curso 103</v>
      </c>
      <c r="F180" s="29">
        <v>2</v>
      </c>
      <c r="G180" s="29">
        <v>43532</v>
      </c>
      <c r="H180" s="29" t="s">
        <v>679</v>
      </c>
      <c r="I180" s="97">
        <v>46244</v>
      </c>
      <c r="J180" s="94">
        <v>46247</v>
      </c>
      <c r="K180" s="29">
        <f>IF(Ejecucion[[#This Row],[Fecha Fin]]="","",MONTH(Ejecucion[[#This Row],[Fecha Fin]]))</f>
        <v>8</v>
      </c>
      <c r="L180" s="93" t="s">
        <v>75</v>
      </c>
      <c r="M180" s="29">
        <v>20</v>
      </c>
      <c r="N180" s="29">
        <v>20</v>
      </c>
      <c r="O180" s="29">
        <v>20</v>
      </c>
      <c r="P180" s="29">
        <v>0</v>
      </c>
      <c r="Q180" s="29">
        <v>0</v>
      </c>
      <c r="R180" s="190" t="s">
        <v>680</v>
      </c>
      <c r="S180" s="80">
        <v>46259</v>
      </c>
      <c r="T180" s="93"/>
    </row>
    <row r="181" spans="1:20" ht="57.6" customHeight="1">
      <c r="A181" s="30">
        <f>ROW() - ROW(Ejecucion[[#Headers],[Correlativo]])</f>
        <v>177</v>
      </c>
      <c r="B181" s="24" t="s">
        <v>410</v>
      </c>
      <c r="C181" s="28" t="str">
        <f>IF(Ejecucion[[#This Row],[No. Solicitud]]="","",_xlfn.XLOOKUP(Ejecucion[[#This Row],[No. Solicitud]],Registro!$B$8:$B$997,Registro!$M$8:$M$997,"Sin Dato",0))</f>
        <v>Gestor 3</v>
      </c>
      <c r="D181" s="84" t="str">
        <f>IF(B181="","",HYPERLINK("#"&amp;"Registro!B"&amp;MATCH(B181,Registro!$B$8:$B$999,0)+7,"Ubicar en registro"))</f>
        <v>Ubicar en registro</v>
      </c>
      <c r="E181" s="55" t="str">
        <f>IF(C181="","",_xlfn.XLOOKUP(Ejecucion[[#This Row],[No. Solicitud]],Registro!$B$8:$B$999,Registro!$H$8:$H$999,"",0))</f>
        <v>Curso 102</v>
      </c>
      <c r="F181" s="29">
        <v>1</v>
      </c>
      <c r="G181" s="29">
        <v>43468</v>
      </c>
      <c r="H181" s="29" t="s">
        <v>681</v>
      </c>
      <c r="I181" s="97">
        <v>46211</v>
      </c>
      <c r="J181" s="94">
        <v>46211</v>
      </c>
      <c r="K181" s="29">
        <f>IF(Ejecucion[[#This Row],[Fecha Fin]]="","",MONTH(Ejecucion[[#This Row],[Fecha Fin]]))</f>
        <v>7</v>
      </c>
      <c r="L181" s="93" t="s">
        <v>75</v>
      </c>
      <c r="M181" s="29">
        <v>350</v>
      </c>
      <c r="N181" s="29"/>
      <c r="O181" s="29"/>
      <c r="P181" s="29"/>
      <c r="Q181" s="29"/>
      <c r="R181" s="93"/>
      <c r="S181" s="29"/>
      <c r="T181" s="93" t="s">
        <v>676</v>
      </c>
    </row>
    <row r="182" spans="1:20" ht="57.6" customHeight="1">
      <c r="A182" s="30">
        <f>ROW() - ROW(Ejecucion[[#Headers],[Correlativo]])</f>
        <v>178</v>
      </c>
      <c r="B182" s="24" t="s">
        <v>406</v>
      </c>
      <c r="C182" s="28" t="str">
        <f>IF(Ejecucion[[#This Row],[No. Solicitud]]="","",_xlfn.XLOOKUP(Ejecucion[[#This Row],[No. Solicitud]],Registro!$B$8:$B$997,Registro!$M$8:$M$997,"Sin Dato",0))</f>
        <v>Gestor 3</v>
      </c>
      <c r="D182" s="84" t="str">
        <f>IF(B182="","",HYPERLINK("#"&amp;"Registro!B"&amp;MATCH(B182,Registro!$B$8:$B$999,0)+7,"Ubicar en registro"))</f>
        <v>Ubicar en registro</v>
      </c>
      <c r="E182" s="55" t="str">
        <f>IF(C182="","",_xlfn.XLOOKUP(Ejecucion[[#This Row],[No. Solicitud]],Registro!$B$8:$B$999,Registro!$H$8:$H$999,"",0))</f>
        <v>Curso 101</v>
      </c>
      <c r="F182" s="29">
        <v>1</v>
      </c>
      <c r="G182" s="29">
        <v>43470</v>
      </c>
      <c r="H182" s="29" t="s">
        <v>682</v>
      </c>
      <c r="I182" s="97">
        <v>46211</v>
      </c>
      <c r="J182" s="94">
        <v>46211</v>
      </c>
      <c r="K182" s="29">
        <f>IF(Ejecucion[[#This Row],[Fecha Fin]]="","",MONTH(Ejecucion[[#This Row],[Fecha Fin]]))</f>
        <v>7</v>
      </c>
      <c r="L182" s="93" t="s">
        <v>75</v>
      </c>
      <c r="M182" s="29">
        <v>350</v>
      </c>
      <c r="N182" s="29"/>
      <c r="O182" s="29"/>
      <c r="P182" s="29"/>
      <c r="Q182" s="29"/>
      <c r="R182" s="93"/>
      <c r="S182" s="29"/>
      <c r="T182" s="93" t="s">
        <v>676</v>
      </c>
    </row>
    <row r="183" spans="1:20" ht="57.6" customHeight="1">
      <c r="A183" s="30">
        <f>ROW() - ROW(Ejecucion[[#Headers],[Correlativo]])</f>
        <v>179</v>
      </c>
      <c r="B183" s="24" t="s">
        <v>404</v>
      </c>
      <c r="C183" s="28" t="str">
        <f>IF(Ejecucion[[#This Row],[No. Solicitud]]="","",_xlfn.XLOOKUP(Ejecucion[[#This Row],[No. Solicitud]],Registro!$B$8:$B$997,Registro!$M$8:$M$997,"Sin Dato",0))</f>
        <v>Gestor 3</v>
      </c>
      <c r="D183" s="84" t="str">
        <f>IF(B183="","",HYPERLINK("#"&amp;"Registro!B"&amp;MATCH(B183,Registro!$B$8:$B$999,0)+7,"Ubicar en registro"))</f>
        <v>Ubicar en registro</v>
      </c>
      <c r="E183" s="55" t="str">
        <f>IF(C183="","",_xlfn.XLOOKUP(Ejecucion[[#This Row],[No. Solicitud]],Registro!$B$8:$B$999,Registro!$H$8:$H$999,"",0))</f>
        <v>Curso 100</v>
      </c>
      <c r="F183" s="29">
        <v>1</v>
      </c>
      <c r="G183" s="29">
        <v>43469</v>
      </c>
      <c r="H183" s="29" t="s">
        <v>683</v>
      </c>
      <c r="I183" s="97">
        <v>46210</v>
      </c>
      <c r="J183" s="94">
        <v>46210</v>
      </c>
      <c r="K183" s="29">
        <f>IF(Ejecucion[[#This Row],[Fecha Fin]]="","",MONTH(Ejecucion[[#This Row],[Fecha Fin]]))</f>
        <v>7</v>
      </c>
      <c r="L183" s="93" t="s">
        <v>75</v>
      </c>
      <c r="M183" s="29">
        <v>350</v>
      </c>
      <c r="N183" s="29"/>
      <c r="O183" s="29"/>
      <c r="P183" s="29"/>
      <c r="Q183" s="29"/>
      <c r="R183" s="93"/>
      <c r="S183" s="29"/>
      <c r="T183" s="93" t="s">
        <v>676</v>
      </c>
    </row>
    <row r="184" spans="1:20" ht="57.6" customHeight="1">
      <c r="A184" s="30">
        <f>ROW() - ROW(Ejecucion[[#Headers],[Correlativo]])</f>
        <v>180</v>
      </c>
      <c r="B184" s="24" t="s">
        <v>402</v>
      </c>
      <c r="C184" s="28" t="str">
        <f>IF(Ejecucion[[#This Row],[No. Solicitud]]="","",_xlfn.XLOOKUP(Ejecucion[[#This Row],[No. Solicitud]],Registro!$B$8:$B$997,Registro!$M$8:$M$997,"Sin Dato",0))</f>
        <v>Gestor 3</v>
      </c>
      <c r="D184" s="84" t="str">
        <f>IF(B184="","",HYPERLINK("#"&amp;"Registro!B"&amp;MATCH(B184,Registro!$B$8:$B$999,0)+7,"Ubicar en registro"))</f>
        <v>Ubicar en registro</v>
      </c>
      <c r="E184" s="55" t="str">
        <f>IF(C184="","",_xlfn.XLOOKUP(Ejecucion[[#This Row],[No. Solicitud]],Registro!$B$8:$B$999,Registro!$H$8:$H$999,"",0))</f>
        <v>Curso 99</v>
      </c>
      <c r="F184" s="29">
        <v>1</v>
      </c>
      <c r="G184" s="29">
        <v>43471</v>
      </c>
      <c r="H184" s="29" t="s">
        <v>684</v>
      </c>
      <c r="I184" s="97">
        <v>46211</v>
      </c>
      <c r="J184" s="94">
        <v>46211</v>
      </c>
      <c r="K184" s="29">
        <f>IF(Ejecucion[[#This Row],[Fecha Fin]]="","",MONTH(Ejecucion[[#This Row],[Fecha Fin]]))</f>
        <v>7</v>
      </c>
      <c r="L184" s="93" t="s">
        <v>75</v>
      </c>
      <c r="M184" s="29">
        <v>350</v>
      </c>
      <c r="N184" s="29"/>
      <c r="O184" s="29"/>
      <c r="P184" s="29"/>
      <c r="Q184" s="29"/>
      <c r="R184" s="93"/>
      <c r="S184" s="29"/>
      <c r="T184" s="93" t="s">
        <v>676</v>
      </c>
    </row>
    <row r="185" spans="1:20" ht="28.8" customHeight="1">
      <c r="A185" s="30">
        <f>ROW() - ROW(Ejecucion[[#Headers],[Correlativo]])</f>
        <v>181</v>
      </c>
      <c r="B185" s="1" t="s">
        <v>398</v>
      </c>
      <c r="C185" s="28" t="str">
        <f>IF(Ejecucion[[#This Row],[No. Solicitud]]="","",_xlfn.XLOOKUP(Ejecucion[[#This Row],[No. Solicitud]],Registro!$B$8:$B$997,Registro!$M$8:$M$997,"Sin Dato",0))</f>
        <v>Gestor 1</v>
      </c>
      <c r="D185" s="84" t="str">
        <f>IF(B185="","",HYPERLINK("#"&amp;"Registro!B"&amp;MATCH(B185,Registro!$B$8:$B$999,0)+7,"Ubicar en registro"))</f>
        <v>Ubicar en registro</v>
      </c>
      <c r="E185" s="55" t="str">
        <f>IF(C185="","",_xlfn.XLOOKUP(Ejecucion[[#This Row],[No. Solicitud]],Registro!$B$8:$B$999,Registro!$H$8:$H$999,"",0))</f>
        <v>Curso 98</v>
      </c>
      <c r="F185" s="29">
        <v>1</v>
      </c>
      <c r="G185" s="29">
        <v>43527</v>
      </c>
      <c r="H185" s="29" t="s">
        <v>685</v>
      </c>
      <c r="I185" s="97">
        <v>46245</v>
      </c>
      <c r="J185" s="97">
        <v>46245</v>
      </c>
      <c r="K185" s="29">
        <f>IF(Ejecucion[[#This Row],[Fecha Fin]]="","",MONTH(Ejecucion[[#This Row],[Fecha Fin]]))</f>
        <v>8</v>
      </c>
      <c r="L185" s="93" t="s">
        <v>75</v>
      </c>
      <c r="M185" s="29">
        <v>15</v>
      </c>
      <c r="N185" s="29">
        <v>15</v>
      </c>
      <c r="O185" s="29">
        <v>12</v>
      </c>
      <c r="P185" s="29">
        <v>0</v>
      </c>
      <c r="Q185" s="29">
        <v>3</v>
      </c>
      <c r="R185" s="190" t="s">
        <v>686</v>
      </c>
      <c r="S185" s="80">
        <v>46251</v>
      </c>
      <c r="T185" s="93"/>
    </row>
    <row r="186" spans="1:20" ht="45.75" customHeight="1">
      <c r="A186" s="30">
        <f>ROW() - ROW(Ejecucion[[#Headers],[Correlativo]])</f>
        <v>182</v>
      </c>
      <c r="B186" s="1" t="s">
        <v>398</v>
      </c>
      <c r="C186" s="28" t="str">
        <f>IF(Ejecucion[[#This Row],[No. Solicitud]]="","",_xlfn.XLOOKUP(Ejecucion[[#This Row],[No. Solicitud]],Registro!$B$8:$B$997,Registro!$M$8:$M$997,"Sin Dato",0))</f>
        <v>Gestor 1</v>
      </c>
      <c r="D186" s="84" t="str">
        <f>IF(B186="","",HYPERLINK("#"&amp;"Registro!B"&amp;MATCH(B186,Registro!$B$8:$B$999,0)+7,"Ubicar en registro"))</f>
        <v>Ubicar en registro</v>
      </c>
      <c r="E186" s="55" t="str">
        <f>IF(C186="","",_xlfn.XLOOKUP(Ejecucion[[#This Row],[No. Solicitud]],Registro!$B$8:$B$999,Registro!$H$8:$H$999,"",0))</f>
        <v>Curso 98</v>
      </c>
      <c r="F186" s="29">
        <v>2</v>
      </c>
      <c r="G186" s="29">
        <v>43528</v>
      </c>
      <c r="H186" s="29" t="s">
        <v>687</v>
      </c>
      <c r="I186" s="97">
        <v>46247</v>
      </c>
      <c r="J186" s="97">
        <v>46247</v>
      </c>
      <c r="K186" s="29">
        <f>IF(Ejecucion[[#This Row],[Fecha Fin]]="","",MONTH(Ejecucion[[#This Row],[Fecha Fin]]))</f>
        <v>8</v>
      </c>
      <c r="L186" s="93" t="s">
        <v>75</v>
      </c>
      <c r="M186" s="29">
        <v>16</v>
      </c>
      <c r="N186" s="29">
        <v>16</v>
      </c>
      <c r="O186" s="29">
        <v>14</v>
      </c>
      <c r="P186" s="29">
        <v>0</v>
      </c>
      <c r="Q186" s="29">
        <v>2</v>
      </c>
      <c r="R186" s="190" t="s">
        <v>688</v>
      </c>
      <c r="S186" s="80">
        <v>46254</v>
      </c>
      <c r="T186" s="93"/>
    </row>
    <row r="187" spans="1:20" ht="57.6" customHeight="1">
      <c r="A187" s="30">
        <f>ROW() - ROW(Ejecucion[[#Headers],[Correlativo]])</f>
        <v>183</v>
      </c>
      <c r="B187" s="1" t="s">
        <v>392</v>
      </c>
      <c r="C187" s="28" t="str">
        <f>IF(Ejecucion[[#This Row],[No. Solicitud]]="","",_xlfn.XLOOKUP(Ejecucion[[#This Row],[No. Solicitud]],Registro!$B$8:$B$997,Registro!$M$8:$M$997,"Sin Dato",0))</f>
        <v>Gestor 1</v>
      </c>
      <c r="D187" s="84" t="str">
        <f>IF(B187="","",HYPERLINK("#"&amp;"Registro!B"&amp;MATCH(B187,Registro!$B$8:$B$999,0)+7,"Ubicar en registro"))</f>
        <v>Ubicar en registro</v>
      </c>
      <c r="E187" s="55" t="str">
        <f>IF(C187="","",_xlfn.XLOOKUP(Ejecucion[[#This Row],[No. Solicitud]],Registro!$B$8:$B$999,Registro!$H$8:$H$999,"",0))</f>
        <v>Curso 96</v>
      </c>
      <c r="F187" s="29">
        <v>1</v>
      </c>
      <c r="G187" s="29">
        <v>43537</v>
      </c>
      <c r="H187" s="29" t="s">
        <v>689</v>
      </c>
      <c r="I187" s="97">
        <v>46245</v>
      </c>
      <c r="J187" s="94">
        <v>46247</v>
      </c>
      <c r="K187" s="29">
        <f>IF(Ejecucion[[#This Row],[Fecha Fin]]="","",MONTH(Ejecucion[[#This Row],[Fecha Fin]]))</f>
        <v>8</v>
      </c>
      <c r="L187" s="93" t="s">
        <v>75</v>
      </c>
      <c r="M187" s="29">
        <v>10</v>
      </c>
      <c r="N187" s="29"/>
      <c r="O187" s="29">
        <v>10</v>
      </c>
      <c r="P187" s="29">
        <v>0</v>
      </c>
      <c r="Q187" s="29">
        <v>0</v>
      </c>
      <c r="R187" s="190" t="s">
        <v>690</v>
      </c>
      <c r="S187" s="80">
        <v>46264</v>
      </c>
      <c r="T187" s="93"/>
    </row>
    <row r="188" spans="1:20" ht="57.6" customHeight="1">
      <c r="A188" s="30">
        <f>ROW() - ROW(Ejecucion[[#Headers],[Correlativo]])</f>
        <v>184</v>
      </c>
      <c r="B188" s="1" t="s">
        <v>392</v>
      </c>
      <c r="C188" s="28" t="str">
        <f>IF(Ejecucion[[#This Row],[No. Solicitud]]="","",_xlfn.XLOOKUP(Ejecucion[[#This Row],[No. Solicitud]],Registro!$B$8:$B$997,Registro!$M$8:$M$997,"Sin Dato",0))</f>
        <v>Gestor 1</v>
      </c>
      <c r="D188" s="84" t="str">
        <f>IF(B188="","",HYPERLINK("#"&amp;"Registro!B"&amp;MATCH(B188,Registro!$B$8:$B$999,0)+7,"Ubicar en registro"))</f>
        <v>Ubicar en registro</v>
      </c>
      <c r="E188" s="55" t="str">
        <f>IF(C188="","",_xlfn.XLOOKUP(Ejecucion[[#This Row],[No. Solicitud]],Registro!$B$8:$B$999,Registro!$H$8:$H$999,"",0))</f>
        <v>Curso 96</v>
      </c>
      <c r="F188" s="29">
        <v>2</v>
      </c>
      <c r="G188" s="29">
        <v>43539</v>
      </c>
      <c r="H188" s="29" t="s">
        <v>691</v>
      </c>
      <c r="I188" s="97">
        <v>46252</v>
      </c>
      <c r="J188" s="94">
        <v>46254</v>
      </c>
      <c r="K188" s="29">
        <f>IF(Ejecucion[[#This Row],[Fecha Fin]]="","",MONTH(Ejecucion[[#This Row],[Fecha Fin]]))</f>
        <v>8</v>
      </c>
      <c r="L188" s="93" t="s">
        <v>75</v>
      </c>
      <c r="M188" s="29">
        <v>10</v>
      </c>
      <c r="N188" s="29">
        <v>10</v>
      </c>
      <c r="O188" s="29">
        <v>8</v>
      </c>
      <c r="P188" s="29">
        <v>0</v>
      </c>
      <c r="Q188" s="29">
        <v>2</v>
      </c>
      <c r="R188" s="190" t="s">
        <v>692</v>
      </c>
      <c r="S188" s="80">
        <v>46264</v>
      </c>
      <c r="T188" s="93"/>
    </row>
    <row r="189" spans="1:20" ht="57.6" customHeight="1">
      <c r="A189" s="30">
        <f>ROW() - ROW(Ejecucion[[#Headers],[Correlativo]])</f>
        <v>185</v>
      </c>
      <c r="B189" s="1" t="s">
        <v>392</v>
      </c>
      <c r="C189" s="28" t="str">
        <f>IF(Ejecucion[[#This Row],[No. Solicitud]]="","",_xlfn.XLOOKUP(Ejecucion[[#This Row],[No. Solicitud]],Registro!$B$8:$B$997,Registro!$M$8:$M$997,"Sin Dato",0))</f>
        <v>Gestor 1</v>
      </c>
      <c r="D189" s="84" t="str">
        <f>IF(B189="","",HYPERLINK("#"&amp;"Registro!B"&amp;MATCH(B189,Registro!$B$8:$B$999,0)+7,"Ubicar en registro"))</f>
        <v>Ubicar en registro</v>
      </c>
      <c r="E189" s="55" t="str">
        <f>IF(C189="","",_xlfn.XLOOKUP(Ejecucion[[#This Row],[No. Solicitud]],Registro!$B$8:$B$999,Registro!$H$8:$H$999,"",0))</f>
        <v>Curso 96</v>
      </c>
      <c r="F189" s="29">
        <v>3</v>
      </c>
      <c r="G189" s="29">
        <v>43543</v>
      </c>
      <c r="H189" s="29" t="s">
        <v>693</v>
      </c>
      <c r="I189" s="97">
        <v>46273</v>
      </c>
      <c r="J189" s="94">
        <v>46275</v>
      </c>
      <c r="K189" s="29">
        <f>IF(Ejecucion[[#This Row],[Fecha Fin]]="","",MONTH(Ejecucion[[#This Row],[Fecha Fin]]))</f>
        <v>9</v>
      </c>
      <c r="L189" s="93" t="s">
        <v>75</v>
      </c>
      <c r="M189" s="29">
        <v>10</v>
      </c>
      <c r="N189" s="29">
        <v>10</v>
      </c>
      <c r="O189" s="29">
        <v>10</v>
      </c>
      <c r="P189" s="29">
        <v>0</v>
      </c>
      <c r="Q189" s="29">
        <v>0</v>
      </c>
      <c r="R189" s="190" t="s">
        <v>694</v>
      </c>
      <c r="S189" s="80">
        <v>46255</v>
      </c>
      <c r="T189" s="93"/>
    </row>
    <row r="190" spans="1:20" ht="57.6" customHeight="1">
      <c r="A190" s="30">
        <f>ROW() - ROW(Ejecucion[[#Headers],[Correlativo]])</f>
        <v>186</v>
      </c>
      <c r="B190" s="1" t="s">
        <v>392</v>
      </c>
      <c r="C190" s="28" t="str">
        <f>IF(Ejecucion[[#This Row],[No. Solicitud]]="","",_xlfn.XLOOKUP(Ejecucion[[#This Row],[No. Solicitud]],Registro!$B$8:$B$997,Registro!$M$8:$M$997,"Sin Dato",0))</f>
        <v>Gestor 1</v>
      </c>
      <c r="D190" s="84" t="str">
        <f>IF(B190="","",HYPERLINK("#"&amp;"Registro!B"&amp;MATCH(B190,Registro!$B$8:$B$999,0)+7,"Ubicar en registro"))</f>
        <v>Ubicar en registro</v>
      </c>
      <c r="E190" s="55" t="str">
        <f>IF(C190="","",_xlfn.XLOOKUP(Ejecucion[[#This Row],[No. Solicitud]],Registro!$B$8:$B$999,Registro!$H$8:$H$999,"",0))</f>
        <v>Curso 96</v>
      </c>
      <c r="F190" s="29">
        <v>4</v>
      </c>
      <c r="G190" s="29">
        <v>43544</v>
      </c>
      <c r="H190" s="29" t="s">
        <v>695</v>
      </c>
      <c r="I190" s="97">
        <v>46281</v>
      </c>
      <c r="J190" s="94">
        <v>46283</v>
      </c>
      <c r="K190" s="29">
        <f>IF(Ejecucion[[#This Row],[Fecha Fin]]="","",MONTH(Ejecucion[[#This Row],[Fecha Fin]]))</f>
        <v>9</v>
      </c>
      <c r="L190" s="93" t="s">
        <v>75</v>
      </c>
      <c r="M190" s="29">
        <v>10</v>
      </c>
      <c r="N190" s="29">
        <v>10</v>
      </c>
      <c r="O190" s="29">
        <v>7</v>
      </c>
      <c r="P190" s="29">
        <v>0</v>
      </c>
      <c r="Q190" s="29">
        <v>3</v>
      </c>
      <c r="R190" s="190" t="s">
        <v>696</v>
      </c>
      <c r="S190" s="80">
        <v>46259</v>
      </c>
      <c r="T190" s="93"/>
    </row>
    <row r="191" spans="1:20" ht="57.6" customHeight="1">
      <c r="A191" s="30">
        <f>ROW() - ROW(Ejecucion[[#Headers],[Correlativo]])</f>
        <v>187</v>
      </c>
      <c r="B191" s="24" t="s">
        <v>390</v>
      </c>
      <c r="C191" s="28" t="str">
        <f>IF(Ejecucion[[#This Row],[No. Solicitud]]="","",_xlfn.XLOOKUP(Ejecucion[[#This Row],[No. Solicitud]],Registro!$B$8:$B$997,Registro!$M$8:$M$997,"Sin Dato",0))</f>
        <v>Gestor 3</v>
      </c>
      <c r="D191" s="84" t="str">
        <f>IF(B191="","",HYPERLINK("#"&amp;"Registro!B"&amp;MATCH(B191,Registro!$B$8:$B$999,0)+7,"Ubicar en registro"))</f>
        <v>Ubicar en registro</v>
      </c>
      <c r="E191" s="55" t="str">
        <f>IF(C191="","",_xlfn.XLOOKUP(Ejecucion[[#This Row],[No. Solicitud]],Registro!$B$8:$B$999,Registro!$H$8:$H$999,"",0))</f>
        <v>Curso 95</v>
      </c>
      <c r="F191" s="29">
        <v>1</v>
      </c>
      <c r="G191" s="29">
        <v>43472</v>
      </c>
      <c r="H191" s="29" t="s">
        <v>697</v>
      </c>
      <c r="I191" s="97">
        <v>46211</v>
      </c>
      <c r="J191" s="94">
        <v>46211</v>
      </c>
      <c r="K191" s="29">
        <f>IF(Ejecucion[[#This Row],[Fecha Fin]]="","",MONTH(Ejecucion[[#This Row],[Fecha Fin]]))</f>
        <v>7</v>
      </c>
      <c r="L191" s="93" t="s">
        <v>75</v>
      </c>
      <c r="M191" s="29">
        <v>350</v>
      </c>
      <c r="N191" s="29"/>
      <c r="O191" s="29"/>
      <c r="P191" s="29"/>
      <c r="Q191" s="29"/>
      <c r="R191" s="93"/>
      <c r="S191" s="29"/>
      <c r="T191" s="93" t="s">
        <v>676</v>
      </c>
    </row>
    <row r="192" spans="1:20" ht="57.6" customHeight="1">
      <c r="A192" s="30">
        <f>ROW() - ROW(Ejecucion[[#Headers],[Correlativo]])</f>
        <v>188</v>
      </c>
      <c r="B192" s="24" t="s">
        <v>388</v>
      </c>
      <c r="C192" s="28" t="str">
        <f>IF(Ejecucion[[#This Row],[No. Solicitud]]="","",_xlfn.XLOOKUP(Ejecucion[[#This Row],[No. Solicitud]],Registro!$B$8:$B$997,Registro!$M$8:$M$997,"Sin Dato",0))</f>
        <v>Gestor 3</v>
      </c>
      <c r="D192" s="84" t="str">
        <f>IF(B192="","",HYPERLINK("#"&amp;"Registro!B"&amp;MATCH(B192,Registro!$B$8:$B$999,0)+7,"Ubicar en registro"))</f>
        <v>Ubicar en registro</v>
      </c>
      <c r="E192" s="55" t="str">
        <f>IF(C192="","",_xlfn.XLOOKUP(Ejecucion[[#This Row],[No. Solicitud]],Registro!$B$8:$B$999,Registro!$H$8:$H$999,"",0))</f>
        <v>Curso 94</v>
      </c>
      <c r="F192" s="29">
        <v>1</v>
      </c>
      <c r="G192" s="29">
        <v>43476</v>
      </c>
      <c r="H192" s="29" t="s">
        <v>698</v>
      </c>
      <c r="I192" s="97">
        <v>46211</v>
      </c>
      <c r="J192" s="94">
        <v>46211</v>
      </c>
      <c r="K192" s="29">
        <f>IF(Ejecucion[[#This Row],[Fecha Fin]]="","",MONTH(Ejecucion[[#This Row],[Fecha Fin]]))</f>
        <v>7</v>
      </c>
      <c r="L192" s="93" t="s">
        <v>75</v>
      </c>
      <c r="M192" s="29">
        <v>350</v>
      </c>
      <c r="N192" s="29"/>
      <c r="O192" s="29"/>
      <c r="P192" s="29"/>
      <c r="Q192" s="29"/>
      <c r="R192" s="93"/>
      <c r="S192" s="29"/>
      <c r="T192" s="93" t="s">
        <v>676</v>
      </c>
    </row>
    <row r="193" spans="1:20" ht="28.8" customHeight="1">
      <c r="A193" s="30">
        <f>ROW() - ROW(Ejecucion[[#Headers],[Correlativo]])</f>
        <v>189</v>
      </c>
      <c r="B193" s="1" t="s">
        <v>385</v>
      </c>
      <c r="C193" s="28" t="str">
        <f>IF(Ejecucion[[#This Row],[No. Solicitud]]="","",_xlfn.XLOOKUP(Ejecucion[[#This Row],[No. Solicitud]],Registro!$B$8:$B$997,Registro!$M$8:$M$997,"Sin Dato",0))</f>
        <v>Gestor 2</v>
      </c>
      <c r="D193" s="84" t="str">
        <f>IF(B193="","",HYPERLINK("#"&amp;"Registro!B"&amp;MATCH(B193,Registro!$B$8:$B$999,0)+7,"Ubicar en registro"))</f>
        <v>Ubicar en registro</v>
      </c>
      <c r="E193" s="55" t="str">
        <f>IF(C193="","",_xlfn.XLOOKUP(Ejecucion[[#This Row],[No. Solicitud]],Registro!$B$8:$B$999,Registro!$H$8:$H$999,"",0))</f>
        <v>Curso 93</v>
      </c>
      <c r="F193" s="29">
        <v>1</v>
      </c>
      <c r="G193" s="29">
        <v>43553</v>
      </c>
      <c r="H193" s="29" t="s">
        <v>699</v>
      </c>
      <c r="I193" s="97">
        <v>46230</v>
      </c>
      <c r="J193" s="94">
        <v>46211</v>
      </c>
      <c r="K193" s="29">
        <f>IF(Ejecucion[[#This Row],[Fecha Fin]]="","",MONTH(Ejecucion[[#This Row],[Fecha Fin]]))</f>
        <v>7</v>
      </c>
      <c r="L193" s="93" t="s">
        <v>75</v>
      </c>
      <c r="M193" s="29">
        <v>36</v>
      </c>
      <c r="N193" s="29"/>
      <c r="O193" s="29"/>
      <c r="P193" s="29"/>
      <c r="Q193" s="29"/>
      <c r="R193" s="93"/>
      <c r="S193" s="29"/>
      <c r="T193" s="93"/>
    </row>
    <row r="194" spans="1:20" ht="28.8" customHeight="1">
      <c r="A194" s="30">
        <f>ROW() - ROW(Ejecucion[[#Headers],[Correlativo]])</f>
        <v>190</v>
      </c>
      <c r="B194" s="1" t="s">
        <v>385</v>
      </c>
      <c r="C194" s="28" t="str">
        <f>IF(Ejecucion[[#This Row],[No. Solicitud]]="","",_xlfn.XLOOKUP(Ejecucion[[#This Row],[No. Solicitud]],Registro!$B$8:$B$997,Registro!$M$8:$M$997,"Sin Dato",0))</f>
        <v>Gestor 2</v>
      </c>
      <c r="D194" s="84" t="str">
        <f>IF(B194="","",HYPERLINK("#"&amp;"Registro!B"&amp;MATCH(B194,Registro!$B$8:$B$999,0)+7,"Ubicar en registro"))</f>
        <v>Ubicar en registro</v>
      </c>
      <c r="E194" s="55" t="str">
        <f>IF(C194="","",_xlfn.XLOOKUP(Ejecucion[[#This Row],[No. Solicitud]],Registro!$B$8:$B$999,Registro!$H$8:$H$999,"",0))</f>
        <v>Curso 93</v>
      </c>
      <c r="F194" s="29">
        <v>2</v>
      </c>
      <c r="G194" s="29">
        <v>43554</v>
      </c>
      <c r="H194" s="29" t="s">
        <v>700</v>
      </c>
      <c r="I194" s="97">
        <v>46232</v>
      </c>
      <c r="J194" s="94">
        <v>46233</v>
      </c>
      <c r="K194" s="29">
        <f>IF(Ejecucion[[#This Row],[Fecha Fin]]="","",MONTH(Ejecucion[[#This Row],[Fecha Fin]]))</f>
        <v>7</v>
      </c>
      <c r="L194" s="93" t="s">
        <v>75</v>
      </c>
      <c r="M194" s="29">
        <v>36</v>
      </c>
      <c r="N194" s="29"/>
      <c r="O194" s="29"/>
      <c r="P194" s="29"/>
      <c r="Q194" s="29"/>
      <c r="R194" s="93"/>
      <c r="S194" s="29"/>
      <c r="T194" s="93"/>
    </row>
    <row r="195" spans="1:20" ht="28.8" customHeight="1">
      <c r="A195" s="30">
        <f>ROW() - ROW(Ejecucion[[#Headers],[Correlativo]])</f>
        <v>191</v>
      </c>
      <c r="B195" s="24" t="s">
        <v>385</v>
      </c>
      <c r="C195" s="28" t="str">
        <f>IF(Ejecucion[[#This Row],[No. Solicitud]]="","",_xlfn.XLOOKUP(Ejecucion[[#This Row],[No. Solicitud]],Registro!$B$8:$B$997,Registro!$M$8:$M$997,"Sin Dato",0))</f>
        <v>Gestor 2</v>
      </c>
      <c r="D195" s="84" t="str">
        <f>IF(B195="","",HYPERLINK("#"&amp;"Registro!B"&amp;MATCH(B195,Registro!$B$8:$B$999,0)+7,"Ubicar en registro"))</f>
        <v>Ubicar en registro</v>
      </c>
      <c r="E195" s="55" t="str">
        <f>IF(C195="","",_xlfn.XLOOKUP(Ejecucion[[#This Row],[No. Solicitud]],Registro!$B$8:$B$999,Registro!$H$8:$H$999,"",0))</f>
        <v>Curso 93</v>
      </c>
      <c r="F195" s="29">
        <v>3</v>
      </c>
      <c r="G195" s="29">
        <v>43555</v>
      </c>
      <c r="H195" s="29" t="s">
        <v>701</v>
      </c>
      <c r="I195" s="97">
        <v>46237</v>
      </c>
      <c r="J195" s="94">
        <v>46238</v>
      </c>
      <c r="K195" s="29">
        <f>IF(Ejecucion[[#This Row],[Fecha Fin]]="","",MONTH(Ejecucion[[#This Row],[Fecha Fin]]))</f>
        <v>8</v>
      </c>
      <c r="L195" s="93" t="s">
        <v>75</v>
      </c>
      <c r="M195" s="29">
        <v>35</v>
      </c>
      <c r="N195" s="29"/>
      <c r="O195" s="29"/>
      <c r="P195" s="29"/>
      <c r="Q195" s="29"/>
      <c r="R195" s="93"/>
      <c r="S195" s="29"/>
      <c r="T195" s="93"/>
    </row>
    <row r="196" spans="1:20" ht="57.6" customHeight="1">
      <c r="A196" s="30">
        <f>ROW() - ROW(Ejecucion[[#Headers],[Correlativo]])</f>
        <v>192</v>
      </c>
      <c r="B196" s="24" t="s">
        <v>378</v>
      </c>
      <c r="C196" s="28" t="str">
        <f>IF(Ejecucion[[#This Row],[No. Solicitud]]="","",_xlfn.XLOOKUP(Ejecucion[[#This Row],[No. Solicitud]],Registro!$B$8:$B$997,Registro!$M$8:$M$997,"Sin Dato",0))</f>
        <v>Gestor 5</v>
      </c>
      <c r="D196" s="84" t="str">
        <f>IF(B196="","",HYPERLINK("#"&amp;"Registro!B"&amp;MATCH(B196,Registro!$B$8:$B$999,0)+7,"Ubicar en registro"))</f>
        <v>Ubicar en registro</v>
      </c>
      <c r="E196" s="55" t="str">
        <f>IF(C196="","",_xlfn.XLOOKUP(Ejecucion[[#This Row],[No. Solicitud]],Registro!$B$8:$B$999,Registro!$H$8:$H$999,"",0))</f>
        <v>Curso 90</v>
      </c>
      <c r="F196" s="29">
        <v>1</v>
      </c>
      <c r="G196" s="29"/>
      <c r="H196" s="29"/>
      <c r="I196" s="97">
        <v>46230</v>
      </c>
      <c r="J196" s="94">
        <v>46230</v>
      </c>
      <c r="K196" s="29">
        <f>IF(Ejecucion[[#This Row],[Fecha Fin]]="","",MONTH(Ejecucion[[#This Row],[Fecha Fin]]))</f>
        <v>7</v>
      </c>
      <c r="L196" s="93" t="s">
        <v>75</v>
      </c>
      <c r="M196" s="29"/>
      <c r="N196" s="29"/>
      <c r="O196" s="29"/>
      <c r="P196" s="29"/>
      <c r="Q196" s="29"/>
      <c r="R196" s="93"/>
      <c r="S196" s="29"/>
      <c r="T196" s="93" t="s">
        <v>676</v>
      </c>
    </row>
    <row r="197" spans="1:20" ht="28.8" customHeight="1">
      <c r="A197" s="30">
        <f>ROW() - ROW(Ejecucion[[#Headers],[Correlativo]])</f>
        <v>193</v>
      </c>
      <c r="B197" s="24" t="s">
        <v>376</v>
      </c>
      <c r="C197" s="28" t="str">
        <f>IF(Ejecucion[[#This Row],[No. Solicitud]]="","",_xlfn.XLOOKUP(Ejecucion[[#This Row],[No. Solicitud]],Registro!$B$8:$B$997,Registro!$M$8:$M$997,"Sin Dato",0))</f>
        <v>Gestor 4</v>
      </c>
      <c r="D197" s="84" t="str">
        <f>IF(B197="","",HYPERLINK("#"&amp;"Registro!B"&amp;MATCH(B197,Registro!$B$8:$B$999,0)+7,"Ubicar en registro"))</f>
        <v>Ubicar en registro</v>
      </c>
      <c r="E197" s="55" t="str">
        <f>IF(C197="","",_xlfn.XLOOKUP(Ejecucion[[#This Row],[No. Solicitud]],Registro!$B$8:$B$999,Registro!$H$8:$H$999,"",0))</f>
        <v>Curso 89</v>
      </c>
      <c r="F197" s="29">
        <v>1</v>
      </c>
      <c r="G197" s="29">
        <v>43580</v>
      </c>
      <c r="H197" s="29" t="s">
        <v>702</v>
      </c>
      <c r="I197" s="97">
        <v>46238</v>
      </c>
      <c r="J197" s="94">
        <v>46239</v>
      </c>
      <c r="K197" s="29">
        <f>IF(Ejecucion[[#This Row],[Fecha Fin]]="","",MONTH(Ejecucion[[#This Row],[Fecha Fin]]))</f>
        <v>8</v>
      </c>
      <c r="L197" s="93" t="s">
        <v>75</v>
      </c>
      <c r="M197" s="29">
        <v>35</v>
      </c>
      <c r="N197" s="29">
        <v>38</v>
      </c>
      <c r="O197" s="29">
        <v>33</v>
      </c>
      <c r="P197" s="29">
        <v>0</v>
      </c>
      <c r="Q197" s="29">
        <v>5</v>
      </c>
      <c r="R197" s="191" t="s">
        <v>703</v>
      </c>
      <c r="S197" s="29"/>
      <c r="T197" s="93"/>
    </row>
    <row r="198" spans="1:20" ht="45.75" customHeight="1">
      <c r="A198" s="30">
        <f>ROW() - ROW(Ejecucion[[#Headers],[Correlativo]])</f>
        <v>194</v>
      </c>
      <c r="B198" s="24" t="s">
        <v>376</v>
      </c>
      <c r="C198" s="28" t="str">
        <f>IF(Ejecucion[[#This Row],[No. Solicitud]]="","",_xlfn.XLOOKUP(Ejecucion[[#This Row],[No. Solicitud]],Registro!$B$8:$B$997,Registro!$M$8:$M$997,"Sin Dato",0))</f>
        <v>Gestor 4</v>
      </c>
      <c r="D198" s="84" t="str">
        <f>IF(B198="","",HYPERLINK("#"&amp;"Registro!B"&amp;MATCH(B198,Registro!$B$8:$B$999,0)+7,"Ubicar en registro"))</f>
        <v>Ubicar en registro</v>
      </c>
      <c r="E198" s="55" t="str">
        <f>IF(C198="","",_xlfn.XLOOKUP(Ejecucion[[#This Row],[No. Solicitud]],Registro!$B$8:$B$999,Registro!$H$8:$H$999,"",0))</f>
        <v>Curso 89</v>
      </c>
      <c r="F198" s="29">
        <v>2</v>
      </c>
      <c r="G198" s="29">
        <v>43581</v>
      </c>
      <c r="H198" s="29" t="s">
        <v>704</v>
      </c>
      <c r="I198" s="97">
        <v>46245</v>
      </c>
      <c r="J198" s="94">
        <v>46246</v>
      </c>
      <c r="K198" s="29">
        <f>IF(Ejecucion[[#This Row],[Fecha Fin]]="","",MONTH(Ejecucion[[#This Row],[Fecha Fin]]))</f>
        <v>8</v>
      </c>
      <c r="L198" s="93" t="s">
        <v>75</v>
      </c>
      <c r="M198" s="29">
        <v>35</v>
      </c>
      <c r="N198" s="29">
        <v>34</v>
      </c>
      <c r="O198" s="29">
        <v>27</v>
      </c>
      <c r="P198" s="29">
        <v>0</v>
      </c>
      <c r="Q198" s="29">
        <v>7</v>
      </c>
      <c r="R198" s="191" t="s">
        <v>705</v>
      </c>
      <c r="S198" s="29"/>
      <c r="T198" s="93"/>
    </row>
    <row r="199" spans="1:20" ht="57.6" customHeight="1">
      <c r="A199" s="30">
        <f>ROW() - ROW(Ejecucion[[#Headers],[Correlativo]])</f>
        <v>195</v>
      </c>
      <c r="B199" s="24" t="s">
        <v>372</v>
      </c>
      <c r="C199" s="28" t="str">
        <f>IF(Ejecucion[[#This Row],[No. Solicitud]]="","",_xlfn.XLOOKUP(Ejecucion[[#This Row],[No. Solicitud]],Registro!$B$8:$B$997,Registro!$M$8:$M$997,"Sin Dato",0))</f>
        <v>Gestor 5</v>
      </c>
      <c r="D199" s="84" t="str">
        <f>IF(B199="","",HYPERLINK("#"&amp;"Registro!B"&amp;MATCH(B199,Registro!$B$8:$B$999,0)+7,"Ubicar en registro"))</f>
        <v>Ubicar en registro</v>
      </c>
      <c r="E199" s="55" t="str">
        <f>IF(C199="","",_xlfn.XLOOKUP(Ejecucion[[#This Row],[No. Solicitud]],Registro!$B$8:$B$999,Registro!$H$8:$H$999,"",0))</f>
        <v>Curso 88</v>
      </c>
      <c r="F199" s="29">
        <v>1</v>
      </c>
      <c r="G199" s="29"/>
      <c r="H199" s="29"/>
      <c r="I199" s="97">
        <v>46349</v>
      </c>
      <c r="J199" s="94">
        <v>46353</v>
      </c>
      <c r="K199" s="29">
        <f>IF(Ejecucion[[#This Row],[Fecha Fin]]="","",MONTH(Ejecucion[[#This Row],[Fecha Fin]]))</f>
        <v>11</v>
      </c>
      <c r="L199" s="93" t="s">
        <v>79</v>
      </c>
      <c r="M199" s="29">
        <v>10</v>
      </c>
      <c r="N199" s="29"/>
      <c r="O199" s="29"/>
      <c r="P199" s="29"/>
      <c r="Q199" s="29"/>
      <c r="R199" s="93"/>
      <c r="S199" s="29"/>
      <c r="T199" s="93" t="s">
        <v>706</v>
      </c>
    </row>
    <row r="200" spans="1:20" ht="28.8" customHeight="1">
      <c r="A200" s="30">
        <f>ROW() - ROW(Ejecucion[[#Headers],[Correlativo]])</f>
        <v>196</v>
      </c>
      <c r="B200" s="24" t="s">
        <v>368</v>
      </c>
      <c r="C200" s="28" t="str">
        <f>IF(Ejecucion[[#This Row],[No. Solicitud]]="","",_xlfn.XLOOKUP(Ejecucion[[#This Row],[No. Solicitud]],Registro!$B$8:$B$997,Registro!$M$8:$M$997,"Sin Dato",0))</f>
        <v>Gestor 1</v>
      </c>
      <c r="D200" s="84" t="str">
        <f>IF(B200="","",HYPERLINK("#"&amp;"Registro!B"&amp;MATCH(B200,Registro!$B$8:$B$999,0)+7,"Ubicar en registro"))</f>
        <v>Ubicar en registro</v>
      </c>
      <c r="E200" s="55" t="str">
        <f>IF(C200="","",_xlfn.XLOOKUP(Ejecucion[[#This Row],[No. Solicitud]],Registro!$B$8:$B$999,Registro!$H$8:$H$999,"",0))</f>
        <v>Curso 87</v>
      </c>
      <c r="F200" s="29">
        <v>1</v>
      </c>
      <c r="G200" s="29">
        <v>43782</v>
      </c>
      <c r="H200" s="29" t="s">
        <v>707</v>
      </c>
      <c r="I200" s="97">
        <v>46272</v>
      </c>
      <c r="J200" s="94">
        <v>46297</v>
      </c>
      <c r="K200" s="29">
        <f>IF(Ejecucion[[#This Row],[Fecha Fin]]="","",MONTH(Ejecucion[[#This Row],[Fecha Fin]]))</f>
        <v>10</v>
      </c>
      <c r="L200" s="93" t="s">
        <v>75</v>
      </c>
      <c r="M200" s="29"/>
      <c r="N200" s="29">
        <v>15</v>
      </c>
      <c r="O200" s="29"/>
      <c r="P200" s="29"/>
      <c r="Q200" s="29"/>
      <c r="R200" s="93"/>
      <c r="S200" s="29"/>
      <c r="T200" s="93"/>
    </row>
    <row r="201" spans="1:20" ht="57.6" customHeight="1">
      <c r="A201" s="30">
        <f>ROW() - ROW(Ejecucion[[#Headers],[Correlativo]])</f>
        <v>197</v>
      </c>
      <c r="B201" s="24" t="s">
        <v>366</v>
      </c>
      <c r="C201" s="28" t="str">
        <f>IF(Ejecucion[[#This Row],[No. Solicitud]]="","",_xlfn.XLOOKUP(Ejecucion[[#This Row],[No. Solicitud]],Registro!$B$8:$B$997,Registro!$M$8:$M$997,"Sin Dato",0))</f>
        <v>Gestor 3</v>
      </c>
      <c r="D201" s="84" t="str">
        <f>IF(B201="","",HYPERLINK("#"&amp;"Registro!B"&amp;MATCH(B201,Registro!$B$8:$B$999,0)+7,"Ubicar en registro"))</f>
        <v>Ubicar en registro</v>
      </c>
      <c r="E201" s="55" t="str">
        <f>IF(C201="","",_xlfn.XLOOKUP(Ejecucion[[#This Row],[No. Solicitud]],Registro!$B$8:$B$999,Registro!$H$8:$H$999,"",0))</f>
        <v>Curso 86</v>
      </c>
      <c r="F201" s="29">
        <v>1</v>
      </c>
      <c r="G201" s="29">
        <v>43675</v>
      </c>
      <c r="H201" s="29" t="s">
        <v>708</v>
      </c>
      <c r="I201" s="97">
        <v>46239</v>
      </c>
      <c r="J201" s="94">
        <v>46245</v>
      </c>
      <c r="K201" s="29">
        <f>IF(Ejecucion[[#This Row],[Fecha Fin]]="","",MONTH(Ejecucion[[#This Row],[Fecha Fin]]))</f>
        <v>8</v>
      </c>
      <c r="L201" s="93" t="s">
        <v>75</v>
      </c>
      <c r="M201" s="29">
        <v>30</v>
      </c>
      <c r="N201" s="29">
        <v>30</v>
      </c>
      <c r="O201" s="29">
        <v>29</v>
      </c>
      <c r="P201" s="29">
        <v>0</v>
      </c>
      <c r="Q201" s="29">
        <v>1</v>
      </c>
      <c r="R201" s="93"/>
      <c r="S201" s="29"/>
      <c r="T201" s="93" t="s">
        <v>706</v>
      </c>
    </row>
    <row r="202" spans="1:20" ht="30.75" customHeight="1">
      <c r="A202" s="30">
        <f>ROW() - ROW(Ejecucion[[#Headers],[Correlativo]])</f>
        <v>198</v>
      </c>
      <c r="B202" s="24" t="s">
        <v>364</v>
      </c>
      <c r="C202" s="28" t="str">
        <f>IF(Ejecucion[[#This Row],[No. Solicitud]]="","",_xlfn.XLOOKUP(Ejecucion[[#This Row],[No. Solicitud]],Registro!$B$8:$B$997,Registro!$M$8:$M$997,"Sin Dato",0))</f>
        <v>Gestor 5</v>
      </c>
      <c r="D202" s="84" t="str">
        <f>IF(B202="","",HYPERLINK("#"&amp;"Registro!B"&amp;MATCH(B202,Registro!$B$8:$B$999,0)+7,"Ubicar en registro"))</f>
        <v>Ubicar en registro</v>
      </c>
      <c r="E202" s="55" t="str">
        <f>IF(C202="","",_xlfn.XLOOKUP(Ejecucion[[#This Row],[No. Solicitud]],Registro!$B$8:$B$999,Registro!$H$8:$H$999,"",0))</f>
        <v>Curso 85</v>
      </c>
      <c r="F202" s="29">
        <v>1</v>
      </c>
      <c r="G202" s="29">
        <v>43671</v>
      </c>
      <c r="H202" s="29" t="s">
        <v>709</v>
      </c>
      <c r="I202" s="97">
        <v>46252</v>
      </c>
      <c r="J202" s="94">
        <v>46252</v>
      </c>
      <c r="K202" s="29">
        <f>IF(Ejecucion[[#This Row],[Fecha Fin]]="","",MONTH(Ejecucion[[#This Row],[Fecha Fin]]))</f>
        <v>8</v>
      </c>
      <c r="L202" s="93" t="s">
        <v>75</v>
      </c>
      <c r="M202" s="29">
        <v>15</v>
      </c>
      <c r="N202" s="29">
        <v>15</v>
      </c>
      <c r="O202" s="29"/>
      <c r="P202" s="29"/>
      <c r="Q202" s="29"/>
      <c r="R202" s="93"/>
      <c r="S202" s="29"/>
      <c r="T202" s="93"/>
    </row>
    <row r="203" spans="1:20" ht="28.8" customHeight="1">
      <c r="A203" s="30">
        <f>ROW() - ROW(Ejecucion[[#Headers],[Correlativo]])</f>
        <v>199</v>
      </c>
      <c r="B203" s="24" t="s">
        <v>362</v>
      </c>
      <c r="C203" s="28" t="str">
        <f>IF(Ejecucion[[#This Row],[No. Solicitud]]="","",_xlfn.XLOOKUP(Ejecucion[[#This Row],[No. Solicitud]],Registro!$B$8:$B$997,Registro!$M$8:$M$997,"Sin Dato",0))</f>
        <v>Gestor 5</v>
      </c>
      <c r="D203" s="84" t="str">
        <f>IF(B203="","",HYPERLINK("#"&amp;"Registro!B"&amp;MATCH(B203,Registro!$B$8:$B$999,0)+7,"Ubicar en registro"))</f>
        <v>Ubicar en registro</v>
      </c>
      <c r="E203" s="55" t="str">
        <f>IF(C203="","",_xlfn.XLOOKUP(Ejecucion[[#This Row],[No. Solicitud]],Registro!$B$8:$B$999,Registro!$H$8:$H$999,"",0))</f>
        <v>Curso 84</v>
      </c>
      <c r="F203" s="29">
        <v>1</v>
      </c>
      <c r="G203" s="29">
        <v>43789</v>
      </c>
      <c r="H203" s="29" t="s">
        <v>710</v>
      </c>
      <c r="I203" s="97">
        <v>46259</v>
      </c>
      <c r="J203" s="94">
        <v>46259</v>
      </c>
      <c r="K203" s="29">
        <f>IF(Ejecucion[[#This Row],[Fecha Fin]]="","",MONTH(Ejecucion[[#This Row],[Fecha Fin]]))</f>
        <v>8</v>
      </c>
      <c r="L203" s="93" t="s">
        <v>75</v>
      </c>
      <c r="M203" s="29">
        <v>15</v>
      </c>
      <c r="N203" s="29">
        <v>23</v>
      </c>
      <c r="O203" s="29"/>
      <c r="P203" s="29"/>
      <c r="Q203" s="29"/>
      <c r="R203" s="93"/>
      <c r="S203" s="29"/>
      <c r="T203" s="93"/>
    </row>
    <row r="204" spans="1:20" ht="28.8" customHeight="1">
      <c r="A204" s="30">
        <f>ROW() - ROW(Ejecucion[[#Headers],[Correlativo]])</f>
        <v>200</v>
      </c>
      <c r="B204" s="24" t="s">
        <v>360</v>
      </c>
      <c r="C204" s="28" t="str">
        <f>IF(Ejecucion[[#This Row],[No. Solicitud]]="","",_xlfn.XLOOKUP(Ejecucion[[#This Row],[No. Solicitud]],Registro!$B$8:$B$997,Registro!$M$8:$M$997,"Sin Dato",0))</f>
        <v>Gestor 1</v>
      </c>
      <c r="D204" s="84" t="str">
        <f>IF(B204="","",HYPERLINK("#"&amp;"Registro!B"&amp;MATCH(B204,Registro!$B$8:$B$999,0)+7,"Ubicar en registro"))</f>
        <v>Ubicar en registro</v>
      </c>
      <c r="E204" s="55" t="str">
        <f>IF(C204="","",_xlfn.XLOOKUP(Ejecucion[[#This Row],[No. Solicitud]],Registro!$B$8:$B$999,Registro!$H$8:$H$999,"",0))</f>
        <v>Curso 83</v>
      </c>
      <c r="F204" s="29">
        <v>1</v>
      </c>
      <c r="G204" s="29">
        <v>43613</v>
      </c>
      <c r="H204" s="29" t="s">
        <v>711</v>
      </c>
      <c r="I204" s="97">
        <v>46281</v>
      </c>
      <c r="J204" s="94">
        <v>46293</v>
      </c>
      <c r="K204" s="29">
        <f>IF(Ejecucion[[#This Row],[Fecha Fin]]="","",MONTH(Ejecucion[[#This Row],[Fecha Fin]]))</f>
        <v>9</v>
      </c>
      <c r="L204" s="93" t="s">
        <v>75</v>
      </c>
      <c r="M204" s="29">
        <v>40</v>
      </c>
      <c r="N204" s="29">
        <v>30</v>
      </c>
      <c r="O204" s="29"/>
      <c r="P204" s="29"/>
      <c r="Q204" s="29"/>
      <c r="R204" s="93"/>
      <c r="S204" s="29"/>
      <c r="T204" s="93"/>
    </row>
    <row r="205" spans="1:20" ht="28.8" customHeight="1">
      <c r="A205" s="30">
        <f>ROW() - ROW(Ejecucion[[#Headers],[Correlativo]])</f>
        <v>201</v>
      </c>
      <c r="B205" s="24" t="s">
        <v>360</v>
      </c>
      <c r="C205" s="28" t="str">
        <f>IF(Ejecucion[[#This Row],[No. Solicitud]]="","",_xlfn.XLOOKUP(Ejecucion[[#This Row],[No. Solicitud]],Registro!$B$8:$B$997,Registro!$M$8:$M$997,"Sin Dato",0))</f>
        <v>Gestor 1</v>
      </c>
      <c r="D205" s="84" t="str">
        <f>IF(B205="","",HYPERLINK("#"&amp;"Registro!B"&amp;MATCH(B205,Registro!$B$8:$B$999,0)+7,"Ubicar en registro"))</f>
        <v>Ubicar en registro</v>
      </c>
      <c r="E205" s="55" t="str">
        <f>IF(C205="","",_xlfn.XLOOKUP(Ejecucion[[#This Row],[No. Solicitud]],Registro!$B$8:$B$999,Registro!$H$8:$H$999,"",0))</f>
        <v>Curso 83</v>
      </c>
      <c r="F205" s="29">
        <v>2</v>
      </c>
      <c r="G205" s="29">
        <v>43615</v>
      </c>
      <c r="H205" s="29" t="s">
        <v>712</v>
      </c>
      <c r="I205" s="97">
        <v>46282</v>
      </c>
      <c r="J205" s="94">
        <v>46294</v>
      </c>
      <c r="K205" s="29">
        <f>IF(Ejecucion[[#This Row],[Fecha Fin]]="","",MONTH(Ejecucion[[#This Row],[Fecha Fin]]))</f>
        <v>9</v>
      </c>
      <c r="L205" s="93" t="s">
        <v>75</v>
      </c>
      <c r="M205" s="29">
        <v>40</v>
      </c>
      <c r="N205" s="29">
        <v>21</v>
      </c>
      <c r="O205" s="29"/>
      <c r="P205" s="29"/>
      <c r="Q205" s="29"/>
      <c r="R205" s="93"/>
      <c r="S205" s="29"/>
      <c r="T205" s="93"/>
    </row>
    <row r="206" spans="1:20" ht="28.8" customHeight="1">
      <c r="A206" s="30">
        <f>ROW() - ROW(Ejecucion[[#Headers],[Correlativo]])</f>
        <v>202</v>
      </c>
      <c r="B206" s="24" t="s">
        <v>356</v>
      </c>
      <c r="C206" s="28" t="str">
        <f>IF(Ejecucion[[#This Row],[No. Solicitud]]="","",_xlfn.XLOOKUP(Ejecucion[[#This Row],[No. Solicitud]],Registro!$B$8:$B$997,Registro!$M$8:$M$997,"Sin Dato",0))</f>
        <v>Gestor 5</v>
      </c>
      <c r="D206" s="84" t="str">
        <f>IF(B206="","",HYPERLINK("#"&amp;"Registro!B"&amp;MATCH(B206,Registro!$B$8:$B$999,0)+7,"Ubicar en registro"))</f>
        <v>Ubicar en registro</v>
      </c>
      <c r="E206" s="55" t="str">
        <f>IF(C206="","",_xlfn.XLOOKUP(Ejecucion[[#This Row],[No. Solicitud]],Registro!$B$8:$B$999,Registro!$H$8:$H$999,"",0))</f>
        <v>Curso 82</v>
      </c>
      <c r="F206" s="29">
        <v>1</v>
      </c>
      <c r="G206" s="29">
        <v>43607</v>
      </c>
      <c r="H206" s="29" t="s">
        <v>713</v>
      </c>
      <c r="I206" s="97">
        <v>46261</v>
      </c>
      <c r="J206" s="94">
        <v>46261</v>
      </c>
      <c r="K206" s="29">
        <f>IF(Ejecucion[[#This Row],[Fecha Fin]]="","",MONTH(Ejecucion[[#This Row],[Fecha Fin]]))</f>
        <v>8</v>
      </c>
      <c r="L206" s="93" t="s">
        <v>75</v>
      </c>
      <c r="M206" s="29">
        <v>9</v>
      </c>
      <c r="N206" s="29"/>
      <c r="O206" s="29"/>
      <c r="P206" s="29"/>
      <c r="Q206" s="29"/>
      <c r="R206" s="93"/>
      <c r="S206" s="29"/>
      <c r="T206" s="93"/>
    </row>
    <row r="207" spans="1:20" ht="57.6" customHeight="1">
      <c r="A207" s="30">
        <f>ROW() - ROW(Ejecucion[[#Headers],[Correlativo]])</f>
        <v>203</v>
      </c>
      <c r="B207" s="24" t="s">
        <v>113</v>
      </c>
      <c r="C207" s="28" t="str">
        <f>IF(Ejecucion[[#This Row],[No. Solicitud]]="","",_xlfn.XLOOKUP(Ejecucion[[#This Row],[No. Solicitud]],Registro!$B$8:$B$997,Registro!$M$8:$M$997,"Sin Dato",0))</f>
        <v>Gestor 4</v>
      </c>
      <c r="D207" s="84" t="str">
        <f>IF(B207="","",HYPERLINK("#"&amp;"Registro!B"&amp;MATCH(B207,Registro!$B$8:$B$999,0)+7,"Ubicar en registro"))</f>
        <v>Ubicar en registro</v>
      </c>
      <c r="E207" s="55" t="str">
        <f>IF(C207="","",_xlfn.XLOOKUP(Ejecucion[[#This Row],[No. Solicitud]],Registro!$B$8:$B$999,Registro!$H$8:$H$999,"",0))</f>
        <v>Curso 2</v>
      </c>
      <c r="F207" s="29">
        <v>1</v>
      </c>
      <c r="G207" s="29"/>
      <c r="H207" s="29"/>
      <c r="I207" s="97">
        <v>46259</v>
      </c>
      <c r="J207" s="94">
        <v>46265</v>
      </c>
      <c r="K207" s="29">
        <f>IF(Ejecucion[[#This Row],[Fecha Fin]]="","",MONTH(Ejecucion[[#This Row],[Fecha Fin]]))</f>
        <v>8</v>
      </c>
      <c r="L207" s="93" t="s">
        <v>75</v>
      </c>
      <c r="M207" s="29"/>
      <c r="N207" s="29"/>
      <c r="O207" s="29"/>
      <c r="P207" s="29"/>
      <c r="Q207" s="29"/>
      <c r="R207" s="191"/>
      <c r="S207" s="29"/>
      <c r="T207" s="93" t="s">
        <v>706</v>
      </c>
    </row>
    <row r="208" spans="1:20" ht="28.8" customHeight="1">
      <c r="A208" s="30">
        <f>ROW() - ROW(Ejecucion[[#Headers],[Correlativo]])</f>
        <v>204</v>
      </c>
      <c r="B208" s="24" t="s">
        <v>108</v>
      </c>
      <c r="C208" s="28" t="str">
        <f>IF(Ejecucion[[#This Row],[No. Solicitud]]="","",_xlfn.XLOOKUP(Ejecucion[[#This Row],[No. Solicitud]],Registro!$B$8:$B$997,Registro!$M$8:$M$997,"Sin Dato",0))</f>
        <v>Gestor 1</v>
      </c>
      <c r="D208" s="84" t="str">
        <f>IF(B208="","",HYPERLINK("#"&amp;"Registro!B"&amp;MATCH(B208,Registro!$B$8:$B$999,0)+7,"Ubicar en registro"))</f>
        <v>Ubicar en registro</v>
      </c>
      <c r="E208" s="55" t="str">
        <f>IF(C208="","",_xlfn.XLOOKUP(Ejecucion[[#This Row],[No. Solicitud]],Registro!$B$8:$B$999,Registro!$H$8:$H$999,"",0))</f>
        <v>Curso 1</v>
      </c>
      <c r="F208" s="29">
        <v>1</v>
      </c>
      <c r="G208" s="29">
        <v>43633</v>
      </c>
      <c r="H208" s="29" t="s">
        <v>714</v>
      </c>
      <c r="I208" s="97">
        <v>46272</v>
      </c>
      <c r="J208" s="94">
        <v>46275</v>
      </c>
      <c r="K208" s="29">
        <f>IF(Ejecucion[[#This Row],[Fecha Fin]]="","",MONTH(Ejecucion[[#This Row],[Fecha Fin]]))</f>
        <v>9</v>
      </c>
      <c r="L208" s="93" t="s">
        <v>75</v>
      </c>
      <c r="M208" s="29"/>
      <c r="N208" s="29"/>
      <c r="O208" s="29"/>
      <c r="P208" s="29"/>
      <c r="Q208" s="29"/>
      <c r="R208" s="88"/>
      <c r="S208" s="29"/>
      <c r="T208" s="93"/>
    </row>
    <row r="209" spans="1:20" ht="28.8" customHeight="1">
      <c r="A209" s="30">
        <f>ROW() - ROW(Ejecucion[[#Headers],[Correlativo]])</f>
        <v>205</v>
      </c>
      <c r="B209" s="24" t="s">
        <v>108</v>
      </c>
      <c r="C209" s="28" t="str">
        <f>IF(Ejecucion[[#This Row],[No. Solicitud]]="","",_xlfn.XLOOKUP(Ejecucion[[#This Row],[No. Solicitud]],Registro!$B$8:$B$997,Registro!$M$8:$M$997,"Sin Dato",0))</f>
        <v>Gestor 1</v>
      </c>
      <c r="D209" s="84" t="str">
        <f>IF(B209="","",HYPERLINK("#"&amp;"Registro!B"&amp;MATCH(B209,Registro!$B$8:$B$999,0)+7,"Ubicar en registro"))</f>
        <v>Ubicar en registro</v>
      </c>
      <c r="E209" s="55" t="str">
        <f>IF(C209="","",_xlfn.XLOOKUP(Ejecucion[[#This Row],[No. Solicitud]],Registro!$B$8:$B$999,Registro!$H$8:$H$999,"",0))</f>
        <v>Curso 1</v>
      </c>
      <c r="F209" s="29">
        <v>2</v>
      </c>
      <c r="G209" s="29">
        <v>43634</v>
      </c>
      <c r="H209" s="29" t="s">
        <v>715</v>
      </c>
      <c r="I209" s="97">
        <v>46273</v>
      </c>
      <c r="J209" s="94">
        <v>46275</v>
      </c>
      <c r="K209" s="29">
        <f>IF(Ejecucion[[#This Row],[Fecha Fin]]="","",MONTH(Ejecucion[[#This Row],[Fecha Fin]]))</f>
        <v>9</v>
      </c>
      <c r="L209" s="93" t="s">
        <v>75</v>
      </c>
      <c r="M209" s="29"/>
      <c r="N209" s="29"/>
      <c r="O209" s="29"/>
      <c r="P209" s="29"/>
      <c r="Q209" s="29"/>
      <c r="R209" s="93"/>
      <c r="S209" s="29"/>
      <c r="T209" s="93"/>
    </row>
    <row r="210" spans="1:20" ht="30.75" customHeight="1">
      <c r="A210" s="30">
        <f>ROW() - ROW(Ejecucion[[#Headers],[Correlativo]])</f>
        <v>206</v>
      </c>
      <c r="B210" s="24" t="s">
        <v>116</v>
      </c>
      <c r="C210" s="28" t="str">
        <f>IF(Ejecucion[[#This Row],[No. Solicitud]]="","",_xlfn.XLOOKUP(Ejecucion[[#This Row],[No. Solicitud]],Registro!$B$8:$B$997,Registro!$M$8:$M$997,"Sin Dato",0))</f>
        <v>Gestor 5</v>
      </c>
      <c r="D210" s="84" t="str">
        <f>IF(B210="","",HYPERLINK("#"&amp;"Registro!B"&amp;MATCH(B210,Registro!$B$8:$B$999,0)+7,"Ubicar en registro"))</f>
        <v>Ubicar en registro</v>
      </c>
      <c r="E210" s="55" t="str">
        <f>IF(C210="","",_xlfn.XLOOKUP(Ejecucion[[#This Row],[No. Solicitud]],Registro!$B$8:$B$999,Registro!$H$8:$H$999,"",0))</f>
        <v>Curso 3</v>
      </c>
      <c r="F210" s="29">
        <v>1</v>
      </c>
      <c r="G210" s="29">
        <v>43682</v>
      </c>
      <c r="H210" s="29" t="s">
        <v>716</v>
      </c>
      <c r="I210" s="97">
        <v>46246</v>
      </c>
      <c r="J210" s="94">
        <v>46246</v>
      </c>
      <c r="K210" s="29">
        <f>IF(Ejecucion[[#This Row],[Fecha Fin]]="","",MONTH(Ejecucion[[#This Row],[Fecha Fin]]))</f>
        <v>8</v>
      </c>
      <c r="L210" s="93" t="s">
        <v>75</v>
      </c>
      <c r="M210" s="29"/>
      <c r="N210" s="29"/>
      <c r="O210" s="29"/>
      <c r="P210" s="29"/>
      <c r="Q210" s="29"/>
      <c r="R210" s="93"/>
      <c r="S210" s="29"/>
      <c r="T210" s="93"/>
    </row>
    <row r="211" spans="1:20" ht="30.75" customHeight="1">
      <c r="A211" s="30">
        <f>ROW() - ROW(Ejecucion[[#Headers],[Correlativo]])</f>
        <v>207</v>
      </c>
      <c r="B211" s="24" t="s">
        <v>116</v>
      </c>
      <c r="C211" s="28" t="str">
        <f>IF(Ejecucion[[#This Row],[No. Solicitud]]="","",_xlfn.XLOOKUP(Ejecucion[[#This Row],[No. Solicitud]],Registro!$B$8:$B$997,Registro!$M$8:$M$997,"Sin Dato",0))</f>
        <v>Gestor 5</v>
      </c>
      <c r="D211" s="84" t="str">
        <f>IF(B211="","",HYPERLINK("#"&amp;"Registro!B"&amp;MATCH(B211,Registro!$B$8:$B$999,0)+7,"Ubicar en registro"))</f>
        <v>Ubicar en registro</v>
      </c>
      <c r="E211" s="55" t="str">
        <f>IF(C211="","",_xlfn.XLOOKUP(Ejecucion[[#This Row],[No. Solicitud]],Registro!$B$8:$B$999,Registro!$H$8:$H$999,"",0))</f>
        <v>Curso 3</v>
      </c>
      <c r="F211" s="29">
        <v>2</v>
      </c>
      <c r="G211" s="29">
        <v>43683</v>
      </c>
      <c r="H211" s="29" t="s">
        <v>717</v>
      </c>
      <c r="I211" s="97">
        <v>46247</v>
      </c>
      <c r="J211" s="94">
        <v>46247</v>
      </c>
      <c r="K211" s="29">
        <f>IF(Ejecucion[[#This Row],[Fecha Fin]]="","",MONTH(Ejecucion[[#This Row],[Fecha Fin]]))</f>
        <v>8</v>
      </c>
      <c r="L211" s="93" t="s">
        <v>75</v>
      </c>
      <c r="M211" s="29"/>
      <c r="N211" s="29"/>
      <c r="O211" s="29"/>
      <c r="P211" s="29"/>
      <c r="Q211" s="29"/>
      <c r="R211" s="93"/>
      <c r="S211" s="29"/>
      <c r="T211" s="93"/>
    </row>
    <row r="212" spans="1:20" ht="28.8" customHeight="1">
      <c r="A212" s="30">
        <f>ROW() - ROW(Ejecucion[[#Headers],[Correlativo]])</f>
        <v>208</v>
      </c>
      <c r="B212" s="24" t="s">
        <v>119</v>
      </c>
      <c r="C212" s="28" t="str">
        <f>IF(Ejecucion[[#This Row],[No. Solicitud]]="","",_xlfn.XLOOKUP(Ejecucion[[#This Row],[No. Solicitud]],Registro!$B$8:$B$997,Registro!$M$8:$M$997,"Sin Dato",0))</f>
        <v>Gestor 3</v>
      </c>
      <c r="D212" s="84" t="str">
        <f>IF(B212="","",HYPERLINK("#"&amp;"Registro!B"&amp;MATCH(B212,Registro!$B$8:$B$999,0)+7,"Ubicar en registro"))</f>
        <v>Ubicar en registro</v>
      </c>
      <c r="E212" s="55" t="str">
        <f>IF(C212="","",_xlfn.XLOOKUP(Ejecucion[[#This Row],[No. Solicitud]],Registro!$B$8:$B$999,Registro!$H$8:$H$999,"",0))</f>
        <v>Curso 4</v>
      </c>
      <c r="F212" s="29">
        <v>1</v>
      </c>
      <c r="G212" s="29">
        <v>43809</v>
      </c>
      <c r="H212" s="29" t="s">
        <v>718</v>
      </c>
      <c r="I212" s="97">
        <v>46262</v>
      </c>
      <c r="J212" s="94">
        <v>46265</v>
      </c>
      <c r="K212" s="29">
        <f>IF(Ejecucion[[#This Row],[Fecha Fin]]="","",MONTH(Ejecucion[[#This Row],[Fecha Fin]]))</f>
        <v>8</v>
      </c>
      <c r="L212" s="93" t="s">
        <v>75</v>
      </c>
      <c r="M212" s="29">
        <v>12</v>
      </c>
      <c r="N212" s="29">
        <v>12</v>
      </c>
      <c r="O212" s="29">
        <v>11</v>
      </c>
      <c r="P212" s="29">
        <v>0</v>
      </c>
      <c r="Q212" s="29">
        <v>1</v>
      </c>
      <c r="R212" s="190" t="s">
        <v>719</v>
      </c>
      <c r="S212" s="29"/>
      <c r="T212" s="93"/>
    </row>
    <row r="213" spans="1:20" ht="45.75" customHeight="1">
      <c r="A213" s="30">
        <f>ROW() - ROW(Ejecucion[[#Headers],[Correlativo]])</f>
        <v>209</v>
      </c>
      <c r="B213" s="24" t="s">
        <v>119</v>
      </c>
      <c r="C213" s="28" t="str">
        <f>IF(Ejecucion[[#This Row],[No. Solicitud]]="","",_xlfn.XLOOKUP(Ejecucion[[#This Row],[No. Solicitud]],Registro!$B$8:$B$997,Registro!$M$8:$M$997,"Sin Dato",0))</f>
        <v>Gestor 3</v>
      </c>
      <c r="D213" s="84" t="str">
        <f>IF(B213="","",HYPERLINK("#"&amp;"Registro!B"&amp;MATCH(B213,Registro!$B$8:$B$999,0)+7,"Ubicar en registro"))</f>
        <v>Ubicar en registro</v>
      </c>
      <c r="E213" s="55" t="str">
        <f>IF(C213="","",_xlfn.XLOOKUP(Ejecucion[[#This Row],[No. Solicitud]],Registro!$B$8:$B$999,Registro!$H$8:$H$999,"",0))</f>
        <v>Curso 4</v>
      </c>
      <c r="F213" s="29">
        <v>2</v>
      </c>
      <c r="G213" s="29">
        <v>43810</v>
      </c>
      <c r="H213" s="29" t="s">
        <v>720</v>
      </c>
      <c r="I213" s="97">
        <v>46272</v>
      </c>
      <c r="J213" s="94">
        <v>46275</v>
      </c>
      <c r="K213" s="29">
        <f>IF(Ejecucion[[#This Row],[Fecha Fin]]="","",MONTH(Ejecucion[[#This Row],[Fecha Fin]]))</f>
        <v>9</v>
      </c>
      <c r="L213" s="93" t="s">
        <v>75</v>
      </c>
      <c r="M213" s="29">
        <v>11</v>
      </c>
      <c r="N213" s="29">
        <v>11</v>
      </c>
      <c r="O213" s="29">
        <v>10</v>
      </c>
      <c r="P213" s="29">
        <v>0</v>
      </c>
      <c r="Q213" s="29">
        <v>1</v>
      </c>
      <c r="R213" s="190" t="s">
        <v>721</v>
      </c>
      <c r="S213" s="29"/>
      <c r="T213" s="93"/>
    </row>
    <row r="214" spans="1:20" ht="30.75" customHeight="1">
      <c r="A214" s="30">
        <f>ROW() - ROW(Ejecucion[[#Headers],[Correlativo]])</f>
        <v>210</v>
      </c>
      <c r="B214" s="24" t="s">
        <v>123</v>
      </c>
      <c r="C214" s="28" t="str">
        <f>IF(Ejecucion[[#This Row],[No. Solicitud]]="","",_xlfn.XLOOKUP(Ejecucion[[#This Row],[No. Solicitud]],Registro!$B$8:$B$997,Registro!$M$8:$M$997,"Sin Dato",0))</f>
        <v>Gestor 5</v>
      </c>
      <c r="D214" s="84" t="str">
        <f>IF(B214="","",HYPERLINK("#"&amp;"Registro!B"&amp;MATCH(B214,Registro!$B$8:$B$999,0)+7,"Ubicar en registro"))</f>
        <v>Ubicar en registro</v>
      </c>
      <c r="E214" s="55" t="str">
        <f>IF(C214="","",_xlfn.XLOOKUP(Ejecucion[[#This Row],[No. Solicitud]],Registro!$B$8:$B$999,Registro!$H$8:$H$999,"",0))</f>
        <v>Curso 5</v>
      </c>
      <c r="F214" s="29">
        <v>1</v>
      </c>
      <c r="G214" s="28">
        <v>43817</v>
      </c>
      <c r="H214" s="29" t="s">
        <v>722</v>
      </c>
      <c r="I214" s="97">
        <v>46274</v>
      </c>
      <c r="J214" s="94">
        <v>46274</v>
      </c>
      <c r="K214" s="29">
        <f>IF(Ejecucion[[#This Row],[Fecha Fin]]="","",MONTH(Ejecucion[[#This Row],[Fecha Fin]]))</f>
        <v>9</v>
      </c>
      <c r="L214" s="93" t="s">
        <v>75</v>
      </c>
      <c r="M214" s="29">
        <v>15</v>
      </c>
      <c r="N214" s="29"/>
      <c r="O214" s="29"/>
      <c r="P214" s="29"/>
      <c r="Q214" s="29"/>
      <c r="R214" s="93"/>
      <c r="S214" s="29"/>
      <c r="T214" s="93"/>
    </row>
    <row r="215" spans="1:20" ht="28.8" customHeight="1">
      <c r="A215" s="30">
        <f>ROW() - ROW(Ejecucion[[#Headers],[Correlativo]])</f>
        <v>211</v>
      </c>
      <c r="B215" s="24" t="s">
        <v>123</v>
      </c>
      <c r="C215" s="28" t="str">
        <f>IF(Ejecucion[[#This Row],[No. Solicitud]]="","",_xlfn.XLOOKUP(Ejecucion[[#This Row],[No. Solicitud]],Registro!$B$8:$B$997,Registro!$M$8:$M$997,"Sin Dato",0))</f>
        <v>Gestor 5</v>
      </c>
      <c r="D215" s="84" t="str">
        <f>IF(B215="","",HYPERLINK("#"&amp;"Registro!B"&amp;MATCH(B215,Registro!$B$8:$B$999,0)+7,"Ubicar en registro"))</f>
        <v>Ubicar en registro</v>
      </c>
      <c r="E215" s="55" t="str">
        <f>IF(C215="","",_xlfn.XLOOKUP(Ejecucion[[#This Row],[No. Solicitud]],Registro!$B$8:$B$999,Registro!$H$8:$H$999,"",0))</f>
        <v>Curso 5</v>
      </c>
      <c r="F215" s="29">
        <v>2</v>
      </c>
      <c r="G215" s="28">
        <v>43818</v>
      </c>
      <c r="H215" s="29" t="s">
        <v>723</v>
      </c>
      <c r="I215" s="97">
        <v>46275</v>
      </c>
      <c r="J215" s="94">
        <v>46275</v>
      </c>
      <c r="K215" s="29">
        <f>IF(Ejecucion[[#This Row],[Fecha Fin]]="","",MONTH(Ejecucion[[#This Row],[Fecha Fin]]))</f>
        <v>9</v>
      </c>
      <c r="L215" s="93" t="s">
        <v>75</v>
      </c>
      <c r="M215" s="29">
        <v>15</v>
      </c>
      <c r="N215" s="29"/>
      <c r="O215" s="29"/>
      <c r="P215" s="29"/>
      <c r="Q215" s="29"/>
      <c r="R215" s="93"/>
      <c r="S215" s="29"/>
      <c r="T215" s="93"/>
    </row>
    <row r="216" spans="1:20" ht="28.8" customHeight="1">
      <c r="A216" s="30">
        <f>ROW() - ROW(Ejecucion[[#Headers],[Correlativo]])</f>
        <v>212</v>
      </c>
      <c r="B216" s="24" t="s">
        <v>125</v>
      </c>
      <c r="C216" s="28" t="str">
        <f>IF(Ejecucion[[#This Row],[No. Solicitud]]="","",_xlfn.XLOOKUP(Ejecucion[[#This Row],[No. Solicitud]],Registro!$B$8:$B$997,Registro!$M$8:$M$997,"Sin Dato",0))</f>
        <v>Gestor 3</v>
      </c>
      <c r="D216" s="84" t="str">
        <f>IF(B216="","",HYPERLINK("#"&amp;"Registro!B"&amp;MATCH(B216,Registro!$B$8:$B$999,0)+7,"Ubicar en registro"))</f>
        <v>Ubicar en registro</v>
      </c>
      <c r="E216" s="55" t="str">
        <f>IF(C216="","",_xlfn.XLOOKUP(Ejecucion[[#This Row],[No. Solicitud]],Registro!$B$8:$B$999,Registro!$H$8:$H$999,"",0))</f>
        <v>Curso 6</v>
      </c>
      <c r="F216" s="29">
        <v>1</v>
      </c>
      <c r="G216" s="29">
        <v>43968</v>
      </c>
      <c r="H216" s="29" t="s">
        <v>724</v>
      </c>
      <c r="I216" s="97">
        <v>46308</v>
      </c>
      <c r="J216" s="94">
        <v>46311</v>
      </c>
      <c r="K216" s="29">
        <f>IF(Ejecucion[[#This Row],[Fecha Fin]]="","",MONTH(Ejecucion[[#This Row],[Fecha Fin]]))</f>
        <v>10</v>
      </c>
      <c r="L216" s="93" t="s">
        <v>79</v>
      </c>
      <c r="M216" s="29"/>
      <c r="N216" s="29"/>
      <c r="O216" s="29"/>
      <c r="P216" s="29"/>
      <c r="Q216" s="29"/>
      <c r="R216" s="190" t="s">
        <v>725</v>
      </c>
      <c r="S216" s="29"/>
      <c r="T216" s="93"/>
    </row>
    <row r="217" spans="1:20" ht="28.8" customHeight="1">
      <c r="A217" s="30">
        <f>ROW() - ROW(Ejecucion[[#Headers],[Correlativo]])</f>
        <v>213</v>
      </c>
      <c r="B217" s="24" t="s">
        <v>125</v>
      </c>
      <c r="C217" s="28" t="str">
        <f>IF(Ejecucion[[#This Row],[No. Solicitud]]="","",_xlfn.XLOOKUP(Ejecucion[[#This Row],[No. Solicitud]],Registro!$B$8:$B$997,Registro!$M$8:$M$997,"Sin Dato",0))</f>
        <v>Gestor 3</v>
      </c>
      <c r="D217" s="84" t="str">
        <f>IF(B217="","",HYPERLINK("#"&amp;"Registro!B"&amp;MATCH(B217,Registro!$B$8:$B$999,0)+7,"Ubicar en registro"))</f>
        <v>Ubicar en registro</v>
      </c>
      <c r="E217" s="55" t="str">
        <f>IF(C217="","",_xlfn.XLOOKUP(Ejecucion[[#This Row],[No. Solicitud]],Registro!$B$8:$B$999,Registro!$H$8:$H$999,"",0))</f>
        <v>Curso 6</v>
      </c>
      <c r="F217" s="29">
        <v>2</v>
      </c>
      <c r="G217" s="29"/>
      <c r="H217" s="29"/>
      <c r="I217" s="97">
        <v>46321</v>
      </c>
      <c r="J217" s="94">
        <v>46325</v>
      </c>
      <c r="K217" s="29">
        <f>IF(Ejecucion[[#This Row],[Fecha Fin]]="","",MONTH(Ejecucion[[#This Row],[Fecha Fin]]))</f>
        <v>10</v>
      </c>
      <c r="L217" s="93" t="s">
        <v>79</v>
      </c>
      <c r="M217" s="29"/>
      <c r="N217" s="29"/>
      <c r="O217" s="29"/>
      <c r="P217" s="29"/>
      <c r="Q217" s="29"/>
      <c r="R217" s="93"/>
      <c r="S217" s="29"/>
      <c r="T217" s="93"/>
    </row>
    <row r="218" spans="1:20" ht="28.8" customHeight="1">
      <c r="A218" s="30">
        <f>ROW() - ROW(Ejecucion[[#Headers],[Correlativo]])</f>
        <v>214</v>
      </c>
      <c r="B218" s="24" t="s">
        <v>144</v>
      </c>
      <c r="C218" s="28" t="str">
        <f>IF(Ejecucion[[#This Row],[No. Solicitud]]="","",_xlfn.XLOOKUP(Ejecucion[[#This Row],[No. Solicitud]],Registro!$B$8:$B$997,Registro!$M$8:$M$997,"Sin Dato",0))</f>
        <v>Gestor 5</v>
      </c>
      <c r="D218" s="84" t="str">
        <f>IF(B218="","",HYPERLINK("#"&amp;"Registro!B"&amp;MATCH(B218,Registro!$B$8:$B$999,0)+7,"Ubicar en registro"))</f>
        <v>Ubicar en registro</v>
      </c>
      <c r="E218" s="55" t="str">
        <f>IF(C218="","",_xlfn.XLOOKUP(Ejecucion[[#This Row],[No. Solicitud]],Registro!$B$8:$B$999,Registro!$H$8:$H$999,"",0))</f>
        <v>Curso 11</v>
      </c>
      <c r="F218" s="29">
        <v>1</v>
      </c>
      <c r="G218" s="29">
        <v>43785</v>
      </c>
      <c r="H218" s="29" t="s">
        <v>726</v>
      </c>
      <c r="I218" s="97">
        <v>46262</v>
      </c>
      <c r="J218" s="94">
        <v>46262</v>
      </c>
      <c r="K218" s="29">
        <f>IF(Ejecucion[[#This Row],[Fecha Fin]]="","",MONTH(Ejecucion[[#This Row],[Fecha Fin]]))</f>
        <v>8</v>
      </c>
      <c r="L218" s="93" t="s">
        <v>79</v>
      </c>
      <c r="M218" s="29"/>
      <c r="N218" s="29"/>
      <c r="O218" s="29"/>
      <c r="P218" s="29"/>
      <c r="Q218" s="29"/>
      <c r="R218" s="93"/>
      <c r="S218" s="29"/>
      <c r="T218" s="93"/>
    </row>
    <row r="219" spans="1:20" ht="28.8" customHeight="1">
      <c r="A219" s="30">
        <f>ROW() - ROW(Ejecucion[[#Headers],[Correlativo]])</f>
        <v>215</v>
      </c>
      <c r="B219" s="24" t="s">
        <v>130</v>
      </c>
      <c r="C219" s="28" t="str">
        <f>IF(Ejecucion[[#This Row],[No. Solicitud]]="","",_xlfn.XLOOKUP(Ejecucion[[#This Row],[No. Solicitud]],Registro!$B$8:$B$997,Registro!$M$8:$M$997,"Sin Dato",0))</f>
        <v>Gestor 4</v>
      </c>
      <c r="D219" s="84" t="str">
        <f>IF(B219="","",HYPERLINK("#"&amp;"Registro!B"&amp;MATCH(B219,Registro!$B$8:$B$999,0)+7,"Ubicar en registro"))</f>
        <v>Ubicar en registro</v>
      </c>
      <c r="E219" s="55" t="str">
        <f>IF(C219="","",_xlfn.XLOOKUP(Ejecucion[[#This Row],[No. Solicitud]],Registro!$B$8:$B$999,Registro!$H$8:$H$999,"",0))</f>
        <v>Curso 7</v>
      </c>
      <c r="F219" s="29">
        <v>1</v>
      </c>
      <c r="G219" s="29">
        <v>43691</v>
      </c>
      <c r="H219" s="29" t="s">
        <v>727</v>
      </c>
      <c r="I219" s="94">
        <v>46311</v>
      </c>
      <c r="J219" s="94">
        <v>46318</v>
      </c>
      <c r="K219" s="29">
        <f>IF(Ejecucion[[#This Row],[Fecha Fin]]="","",MONTH(Ejecucion[[#This Row],[Fecha Fin]]))</f>
        <v>10</v>
      </c>
      <c r="L219" s="93" t="s">
        <v>79</v>
      </c>
      <c r="M219" s="29"/>
      <c r="N219" s="29"/>
      <c r="O219" s="29"/>
      <c r="P219" s="29"/>
      <c r="Q219" s="29"/>
      <c r="R219" s="93"/>
      <c r="S219" s="29"/>
      <c r="T219" s="93"/>
    </row>
    <row r="220" spans="1:20" ht="28.8" customHeight="1">
      <c r="A220" s="30">
        <f>ROW() - ROW(Ejecucion[[#Headers],[Correlativo]])</f>
        <v>216</v>
      </c>
      <c r="B220" s="24" t="s">
        <v>133</v>
      </c>
      <c r="C220" s="28" t="str">
        <f>IF(Ejecucion[[#This Row],[No. Solicitud]]="","",_xlfn.XLOOKUP(Ejecucion[[#This Row],[No. Solicitud]],Registro!$B$8:$B$997,Registro!$M$8:$M$997,"Sin Dato",0))</f>
        <v>Gestor 1</v>
      </c>
      <c r="D220" s="84" t="str">
        <f>IF(B220="","",HYPERLINK("#"&amp;"Registro!B"&amp;MATCH(B220,Registro!$B$8:$B$999,0)+7,"Ubicar en registro"))</f>
        <v>Ubicar en registro</v>
      </c>
      <c r="E220" s="55" t="str">
        <f>IF(C220="","",_xlfn.XLOOKUP(Ejecucion[[#This Row],[No. Solicitud]],Registro!$B$8:$B$999,Registro!$H$8:$H$999,"",0))</f>
        <v>Curso 8</v>
      </c>
      <c r="F220" s="29">
        <v>1</v>
      </c>
      <c r="G220" s="29"/>
      <c r="H220" s="29"/>
      <c r="I220" s="97">
        <v>46329</v>
      </c>
      <c r="J220" s="94">
        <v>46331</v>
      </c>
      <c r="K220" s="29">
        <f>IF(Ejecucion[[#This Row],[Fecha Fin]]="","",MONTH(Ejecucion[[#This Row],[Fecha Fin]]))</f>
        <v>11</v>
      </c>
      <c r="L220" s="93" t="s">
        <v>79</v>
      </c>
      <c r="M220" s="29"/>
      <c r="N220" s="29"/>
      <c r="O220" s="29"/>
      <c r="P220" s="29"/>
      <c r="Q220" s="29"/>
      <c r="R220" s="93"/>
      <c r="S220" s="29"/>
      <c r="T220" s="93"/>
    </row>
    <row r="221" spans="1:20" ht="28.8" customHeight="1">
      <c r="A221" s="30">
        <f>ROW() - ROW(Ejecucion[[#Headers],[Correlativo]])</f>
        <v>217</v>
      </c>
      <c r="B221" s="24" t="s">
        <v>133</v>
      </c>
      <c r="C221" s="28" t="str">
        <f>IF(Ejecucion[[#This Row],[No. Solicitud]]="","",_xlfn.XLOOKUP(Ejecucion[[#This Row],[No. Solicitud]],Registro!$B$8:$B$997,Registro!$M$8:$M$997,"Sin Dato",0))</f>
        <v>Gestor 1</v>
      </c>
      <c r="D221" s="84" t="str">
        <f>IF(B221="","",HYPERLINK("#"&amp;"Registro!B"&amp;MATCH(B221,Registro!$B$8:$B$999,0)+7,"Ubicar en registro"))</f>
        <v>Ubicar en registro</v>
      </c>
      <c r="E221" s="55" t="str">
        <f>IF(C221="","",_xlfn.XLOOKUP(Ejecucion[[#This Row],[No. Solicitud]],Registro!$B$8:$B$999,Registro!$H$8:$H$999,"",0))</f>
        <v>Curso 8</v>
      </c>
      <c r="F221" s="29">
        <v>2</v>
      </c>
      <c r="G221" s="29"/>
      <c r="H221" s="29"/>
      <c r="I221" s="97">
        <v>46330</v>
      </c>
      <c r="J221" s="94">
        <v>46332</v>
      </c>
      <c r="K221" s="29">
        <f>IF(Ejecucion[[#This Row],[Fecha Fin]]="","",MONTH(Ejecucion[[#This Row],[Fecha Fin]]))</f>
        <v>11</v>
      </c>
      <c r="L221" s="93" t="s">
        <v>79</v>
      </c>
      <c r="M221" s="29"/>
      <c r="N221" s="29"/>
      <c r="O221" s="29"/>
      <c r="P221" s="29"/>
      <c r="Q221" s="29"/>
      <c r="R221" s="93"/>
      <c r="S221" s="29"/>
      <c r="T221" s="93"/>
    </row>
    <row r="222" spans="1:20" ht="28.8" customHeight="1">
      <c r="A222" s="30">
        <f>ROW() - ROW(Ejecucion[[#Headers],[Correlativo]])</f>
        <v>218</v>
      </c>
      <c r="B222" s="24" t="s">
        <v>231</v>
      </c>
      <c r="C222" s="28" t="str">
        <f>IF(Ejecucion[[#This Row],[No. Solicitud]]="","",_xlfn.XLOOKUP(Ejecucion[[#This Row],[No. Solicitud]],Registro!$B$8:$B$997,Registro!$M$8:$M$997,"Sin Dato",0))</f>
        <v>Gestor 5</v>
      </c>
      <c r="D222" s="84" t="str">
        <f>IF(B222="","",HYPERLINK("#"&amp;"Registro!B"&amp;MATCH(B222,Registro!$B$8:$B$999,0)+7,"Ubicar en registro"))</f>
        <v>Ubicar en registro</v>
      </c>
      <c r="E222" s="55" t="str">
        <f>IF(C222="","",_xlfn.XLOOKUP(Ejecucion[[#This Row],[No. Solicitud]],Registro!$B$8:$B$999,Registro!$H$8:$H$999,"",0))</f>
        <v>Curso 40</v>
      </c>
      <c r="F222" s="29">
        <v>1</v>
      </c>
      <c r="G222" s="29">
        <v>43827</v>
      </c>
      <c r="H222" s="29" t="s">
        <v>728</v>
      </c>
      <c r="I222" s="97">
        <v>46286</v>
      </c>
      <c r="J222" s="94">
        <v>46288</v>
      </c>
      <c r="K222" s="29">
        <f>IF(Ejecucion[[#This Row],[Fecha Fin]]="","",MONTH(Ejecucion[[#This Row],[Fecha Fin]]))</f>
        <v>9</v>
      </c>
      <c r="L222" s="93" t="s">
        <v>79</v>
      </c>
      <c r="M222" s="29">
        <v>9</v>
      </c>
      <c r="N222" s="29"/>
      <c r="O222" s="29"/>
      <c r="P222" s="29"/>
      <c r="Q222" s="29"/>
      <c r="R222" s="93"/>
      <c r="S222" s="29"/>
      <c r="T222" s="93"/>
    </row>
    <row r="223" spans="1:20" ht="60.75" customHeight="1">
      <c r="A223" s="30">
        <f>ROW() - ROW(Ejecucion[[#Headers],[Correlativo]])</f>
        <v>219</v>
      </c>
      <c r="B223" s="24" t="s">
        <v>137</v>
      </c>
      <c r="C223" s="28" t="str">
        <f>IF(Ejecucion[[#This Row],[No. Solicitud]]="","",_xlfn.XLOOKUP(Ejecucion[[#This Row],[No. Solicitud]],Registro!$B$8:$B$997,Registro!$M$8:$M$997,"Sin Dato",0))</f>
        <v>Gestor 4</v>
      </c>
      <c r="D223" s="84" t="str">
        <f>IF(B223="","",HYPERLINK("#"&amp;"Registro!B"&amp;MATCH(B223,Registro!$B$8:$B$999,0)+7,"Ubicar en registro"))</f>
        <v>Ubicar en registro</v>
      </c>
      <c r="E223" s="55" t="str">
        <f>IF(C223="","",_xlfn.XLOOKUP(Ejecucion[[#This Row],[No. Solicitud]],Registro!$B$8:$B$999,Registro!$H$8:$H$999,"",0))</f>
        <v>Curso 9</v>
      </c>
      <c r="F223" s="29">
        <v>1</v>
      </c>
      <c r="G223" s="29"/>
      <c r="H223" s="29"/>
      <c r="I223" s="97">
        <v>46350</v>
      </c>
      <c r="J223" s="94">
        <v>46356</v>
      </c>
      <c r="K223" s="29">
        <f>IF(Ejecucion[[#This Row],[Fecha Fin]]="","",MONTH(Ejecucion[[#This Row],[Fecha Fin]]))</f>
        <v>11</v>
      </c>
      <c r="L223" s="93" t="s">
        <v>79</v>
      </c>
      <c r="M223" s="29"/>
      <c r="N223" s="29"/>
      <c r="O223" s="29"/>
      <c r="P223" s="29"/>
      <c r="Q223" s="29"/>
      <c r="R223" s="190"/>
      <c r="S223" s="29"/>
      <c r="T223" s="93" t="s">
        <v>706</v>
      </c>
    </row>
    <row r="224" spans="1:20" ht="45.75" customHeight="1">
      <c r="A224" s="30">
        <f>ROW() - ROW(Ejecucion[[#Headers],[Correlativo]])</f>
        <v>220</v>
      </c>
      <c r="B224" s="24" t="s">
        <v>140</v>
      </c>
      <c r="C224" s="28" t="str">
        <f>IF(Ejecucion[[#This Row],[No. Solicitud]]="","",_xlfn.XLOOKUP(Ejecucion[[#This Row],[No. Solicitud]],Registro!$B$8:$B$997,Registro!$M$8:$M$997,"Sin Dato",0))</f>
        <v>Gestor 2</v>
      </c>
      <c r="D224" s="84" t="str">
        <f>IF(B224="","",HYPERLINK("#"&amp;"Registro!B"&amp;MATCH(B224,Registro!$B$8:$B$999,0)+7,"Ubicar en registro"))</f>
        <v>Ubicar en registro</v>
      </c>
      <c r="E224" s="55" t="str">
        <f>IF(C224="","",_xlfn.XLOOKUP(Ejecucion[[#This Row],[No. Solicitud]],Registro!$B$8:$B$999,Registro!$H$8:$H$999,"",0))</f>
        <v>Curso 10</v>
      </c>
      <c r="F224" s="29">
        <v>1</v>
      </c>
      <c r="G224" s="29">
        <v>43777</v>
      </c>
      <c r="H224" s="29" t="s">
        <v>729</v>
      </c>
      <c r="I224" s="97">
        <v>46282</v>
      </c>
      <c r="J224" s="97">
        <v>46282</v>
      </c>
      <c r="K224" s="29">
        <f>IF(Ejecucion[[#This Row],[Fecha Fin]]="","",MONTH(Ejecucion[[#This Row],[Fecha Fin]]))</f>
        <v>9</v>
      </c>
      <c r="L224" s="93" t="s">
        <v>75</v>
      </c>
      <c r="M224" s="29"/>
      <c r="N224" s="29"/>
      <c r="O224" s="29"/>
      <c r="P224" s="29"/>
      <c r="Q224" s="29"/>
      <c r="R224" s="191" t="s">
        <v>730</v>
      </c>
      <c r="S224" s="29"/>
      <c r="T224" s="93"/>
    </row>
    <row r="225" spans="1:20" ht="28.8" customHeight="1">
      <c r="A225" s="30">
        <f>ROW() - ROW(Ejecucion[[#Headers],[Correlativo]])</f>
        <v>221</v>
      </c>
      <c r="B225" s="24" t="s">
        <v>140</v>
      </c>
      <c r="C225" s="28" t="str">
        <f>IF(Ejecucion[[#This Row],[No. Solicitud]]="","",_xlfn.XLOOKUP(Ejecucion[[#This Row],[No. Solicitud]],Registro!$B$8:$B$997,Registro!$M$8:$M$997,"Sin Dato",0))</f>
        <v>Gestor 2</v>
      </c>
      <c r="D225" s="84" t="str">
        <f>IF(B225="","",HYPERLINK("#"&amp;"Registro!B"&amp;MATCH(B225,Registro!$B$8:$B$999,0)+7,"Ubicar en registro"))</f>
        <v>Ubicar en registro</v>
      </c>
      <c r="E225" s="55" t="str">
        <f>IF(C225="","",_xlfn.XLOOKUP(Ejecucion[[#This Row],[No. Solicitud]],Registro!$B$8:$B$999,Registro!$H$8:$H$999,"",0))</f>
        <v>Curso 10</v>
      </c>
      <c r="F225" s="29">
        <v>2</v>
      </c>
      <c r="G225" s="29">
        <v>43778</v>
      </c>
      <c r="H225" s="29" t="s">
        <v>731</v>
      </c>
      <c r="I225" s="97">
        <v>46283</v>
      </c>
      <c r="J225" s="97">
        <v>46283</v>
      </c>
      <c r="K225" s="29">
        <f>IF(Ejecucion[[#This Row],[Fecha Fin]]="","",MONTH(Ejecucion[[#This Row],[Fecha Fin]]))</f>
        <v>9</v>
      </c>
      <c r="L225" s="93" t="s">
        <v>75</v>
      </c>
      <c r="M225" s="29"/>
      <c r="N225" s="29"/>
      <c r="O225" s="29"/>
      <c r="P225" s="29"/>
      <c r="Q225" s="29"/>
      <c r="R225" s="191" t="s">
        <v>732</v>
      </c>
      <c r="S225" s="29"/>
      <c r="T225" s="93"/>
    </row>
    <row r="226" spans="1:20" ht="28.8" customHeight="1">
      <c r="A226" s="30">
        <f>ROW() - ROW(Ejecucion[[#Headers],[Correlativo]])</f>
        <v>222</v>
      </c>
      <c r="B226" s="24" t="s">
        <v>148</v>
      </c>
      <c r="C226" s="28" t="str">
        <f>IF(Ejecucion[[#This Row],[No. Solicitud]]="","",_xlfn.XLOOKUP(Ejecucion[[#This Row],[No. Solicitud]],Registro!$B$8:$B$997,Registro!$M$8:$M$997,"Sin Dato",0))</f>
        <v>Gestor 5</v>
      </c>
      <c r="D226" s="84" t="str">
        <f>IF(B226="","",HYPERLINK("#"&amp;"Registro!B"&amp;MATCH(B226,Registro!$B$8:$B$999,0)+7,"Ubicar en registro"))</f>
        <v>Ubicar en registro</v>
      </c>
      <c r="E226" s="55" t="str">
        <f>IF(C226="","",_xlfn.XLOOKUP(Ejecucion[[#This Row],[No. Solicitud]],Registro!$B$8:$B$999,Registro!$H$8:$H$999,"",0))</f>
        <v>Curso 12</v>
      </c>
      <c r="F226" s="29">
        <v>1</v>
      </c>
      <c r="G226" s="29"/>
      <c r="H226" s="29"/>
      <c r="I226" s="97">
        <v>46308</v>
      </c>
      <c r="J226" s="97">
        <v>46308</v>
      </c>
      <c r="K226" s="29">
        <f>IF(Ejecucion[[#This Row],[Fecha Fin]]="","",MONTH(Ejecucion[[#This Row],[Fecha Fin]]))</f>
        <v>10</v>
      </c>
      <c r="L226" s="93" t="s">
        <v>77</v>
      </c>
      <c r="M226" s="29"/>
      <c r="N226" s="29"/>
      <c r="O226" s="29"/>
      <c r="P226" s="29"/>
      <c r="Q226" s="29"/>
      <c r="R226" s="93"/>
      <c r="S226" s="29"/>
      <c r="T226" s="93"/>
    </row>
    <row r="227" spans="1:20" ht="30.75" customHeight="1">
      <c r="A227" s="30">
        <f>ROW() - ROW(Ejecucion[[#Headers],[Correlativo]])</f>
        <v>223</v>
      </c>
      <c r="B227" s="24" t="s">
        <v>148</v>
      </c>
      <c r="C227" s="28" t="str">
        <f>IF(Ejecucion[[#This Row],[No. Solicitud]]="","",_xlfn.XLOOKUP(Ejecucion[[#This Row],[No. Solicitud]],Registro!$B$8:$B$997,Registro!$M$8:$M$997,"Sin Dato",0))</f>
        <v>Gestor 5</v>
      </c>
      <c r="D227" s="84" t="str">
        <f>IF(B227="","",HYPERLINK("#"&amp;"Registro!B"&amp;MATCH(B227,Registro!$B$8:$B$999,0)+7,"Ubicar en registro"))</f>
        <v>Ubicar en registro</v>
      </c>
      <c r="E227" s="55" t="str">
        <f>IF(C227="","",_xlfn.XLOOKUP(Ejecucion[[#This Row],[No. Solicitud]],Registro!$B$8:$B$999,Registro!$H$8:$H$999,"",0))</f>
        <v>Curso 12</v>
      </c>
      <c r="F227" s="29">
        <v>2</v>
      </c>
      <c r="G227" s="29"/>
      <c r="H227" s="29"/>
      <c r="I227" s="97">
        <v>46309</v>
      </c>
      <c r="J227" s="97">
        <v>46309</v>
      </c>
      <c r="K227" s="29">
        <f>IF(Ejecucion[[#This Row],[Fecha Fin]]="","",MONTH(Ejecucion[[#This Row],[Fecha Fin]]))</f>
        <v>10</v>
      </c>
      <c r="L227" s="93" t="s">
        <v>77</v>
      </c>
      <c r="M227" s="29"/>
      <c r="N227" s="29"/>
      <c r="O227" s="29"/>
      <c r="P227" s="29"/>
      <c r="Q227" s="29"/>
      <c r="R227" s="93"/>
      <c r="S227" s="29"/>
      <c r="T227" s="93"/>
    </row>
    <row r="228" spans="1:20" ht="30.75" customHeight="1">
      <c r="A228" s="30">
        <f>ROW() - ROW(Ejecucion[[#Headers],[Correlativo]])</f>
        <v>224</v>
      </c>
      <c r="B228" s="24" t="s">
        <v>148</v>
      </c>
      <c r="C228" s="28" t="str">
        <f>IF(Ejecucion[[#This Row],[No. Solicitud]]="","",_xlfn.XLOOKUP(Ejecucion[[#This Row],[No. Solicitud]],Registro!$B$8:$B$997,Registro!$M$8:$M$997,"Sin Dato",0))</f>
        <v>Gestor 5</v>
      </c>
      <c r="D228" s="84" t="str">
        <f>IF(B228="","",HYPERLINK("#"&amp;"Registro!B"&amp;MATCH(B228,Registro!$B$8:$B$999,0)+7,"Ubicar en registro"))</f>
        <v>Ubicar en registro</v>
      </c>
      <c r="E228" s="55" t="str">
        <f>IF(C228="","",_xlfn.XLOOKUP(Ejecucion[[#This Row],[No. Solicitud]],Registro!$B$8:$B$999,Registro!$H$8:$H$999,"",0))</f>
        <v>Curso 12</v>
      </c>
      <c r="F228" s="29">
        <v>3</v>
      </c>
      <c r="G228" s="29"/>
      <c r="H228" s="29"/>
      <c r="I228" s="97">
        <v>46314</v>
      </c>
      <c r="J228" s="97">
        <v>46314</v>
      </c>
      <c r="K228" s="29">
        <f>IF(Ejecucion[[#This Row],[Fecha Fin]]="","",MONTH(Ejecucion[[#This Row],[Fecha Fin]]))</f>
        <v>10</v>
      </c>
      <c r="L228" s="93" t="s">
        <v>77</v>
      </c>
      <c r="M228" s="29"/>
      <c r="N228" s="29"/>
      <c r="O228" s="29"/>
      <c r="P228" s="29"/>
      <c r="Q228" s="29"/>
      <c r="R228" s="93"/>
      <c r="S228" s="29"/>
      <c r="T228" s="93"/>
    </row>
    <row r="229" spans="1:20" ht="30.75" customHeight="1">
      <c r="A229" s="30">
        <f>ROW() - ROW(Ejecucion[[#Headers],[Correlativo]])</f>
        <v>225</v>
      </c>
      <c r="B229" s="24" t="s">
        <v>148</v>
      </c>
      <c r="C229" s="28" t="str">
        <f>IF(Ejecucion[[#This Row],[No. Solicitud]]="","",_xlfn.XLOOKUP(Ejecucion[[#This Row],[No. Solicitud]],Registro!$B$8:$B$997,Registro!$M$8:$M$997,"Sin Dato",0))</f>
        <v>Gestor 5</v>
      </c>
      <c r="D229" s="84" t="str">
        <f>IF(B229="","",HYPERLINK("#"&amp;"Registro!B"&amp;MATCH(B229,Registro!$B$8:$B$999,0)+7,"Ubicar en registro"))</f>
        <v>Ubicar en registro</v>
      </c>
      <c r="E229" s="55" t="str">
        <f>IF(C229="","",_xlfn.XLOOKUP(Ejecucion[[#This Row],[No. Solicitud]],Registro!$B$8:$B$999,Registro!$H$8:$H$999,"",0))</f>
        <v>Curso 12</v>
      </c>
      <c r="F229" s="29">
        <v>4</v>
      </c>
      <c r="G229" s="29"/>
      <c r="H229" s="29"/>
      <c r="I229" s="97">
        <v>46316</v>
      </c>
      <c r="J229" s="97">
        <v>46316</v>
      </c>
      <c r="K229" s="29">
        <f>IF(Ejecucion[[#This Row],[Fecha Fin]]="","",MONTH(Ejecucion[[#This Row],[Fecha Fin]]))</f>
        <v>10</v>
      </c>
      <c r="L229" s="93" t="s">
        <v>77</v>
      </c>
      <c r="M229" s="29"/>
      <c r="N229" s="29"/>
      <c r="O229" s="29"/>
      <c r="P229" s="29"/>
      <c r="Q229" s="29"/>
      <c r="R229" s="93"/>
      <c r="S229" s="29"/>
      <c r="T229" s="93"/>
    </row>
    <row r="230" spans="1:20" ht="28.8" customHeight="1">
      <c r="A230" s="30">
        <f>ROW() - ROW(Ejecucion[[#Headers],[Correlativo]])</f>
        <v>226</v>
      </c>
      <c r="B230" s="24" t="s">
        <v>148</v>
      </c>
      <c r="C230" s="28" t="str">
        <f>IF(Ejecucion[[#This Row],[No. Solicitud]]="","",_xlfn.XLOOKUP(Ejecucion[[#This Row],[No. Solicitud]],Registro!$B$8:$B$997,Registro!$M$8:$M$997,"Sin Dato",0))</f>
        <v>Gestor 5</v>
      </c>
      <c r="D230" s="84" t="str">
        <f>IF(B230="","",HYPERLINK("#"&amp;"Registro!B"&amp;MATCH(B230,Registro!$B$8:$B$999,0)+7,"Ubicar en registro"))</f>
        <v>Ubicar en registro</v>
      </c>
      <c r="E230" s="55" t="str">
        <f>IF(C230="","",_xlfn.XLOOKUP(Ejecucion[[#This Row],[No. Solicitud]],Registro!$B$8:$B$999,Registro!$H$8:$H$999,"",0))</f>
        <v>Curso 12</v>
      </c>
      <c r="F230" s="29">
        <v>5</v>
      </c>
      <c r="G230" s="29"/>
      <c r="H230" s="29"/>
      <c r="I230" s="97">
        <v>46318</v>
      </c>
      <c r="J230" s="97">
        <v>46318</v>
      </c>
      <c r="K230" s="29">
        <f>IF(Ejecucion[[#This Row],[Fecha Fin]]="","",MONTH(Ejecucion[[#This Row],[Fecha Fin]]))</f>
        <v>10</v>
      </c>
      <c r="L230" s="93" t="s">
        <v>77</v>
      </c>
      <c r="M230" s="29"/>
      <c r="N230" s="29"/>
      <c r="O230" s="29"/>
      <c r="P230" s="29"/>
      <c r="Q230" s="29"/>
      <c r="R230" s="93"/>
      <c r="S230" s="29"/>
      <c r="T230" s="93"/>
    </row>
    <row r="231" spans="1:20" ht="28.8" customHeight="1">
      <c r="A231" s="30">
        <f>ROW() - ROW(Ejecucion[[#Headers],[Correlativo]])</f>
        <v>227</v>
      </c>
      <c r="B231" s="24" t="s">
        <v>152</v>
      </c>
      <c r="C231" s="28" t="str">
        <f>IF(Ejecucion[[#This Row],[No. Solicitud]]="","",_xlfn.XLOOKUP(Ejecucion[[#This Row],[No. Solicitud]],Registro!$B$8:$B$997,Registro!$M$8:$M$997,"Sin Dato",0))</f>
        <v>Gestor 4</v>
      </c>
      <c r="D231" s="84" t="str">
        <f>IF(B231="","",HYPERLINK("#"&amp;"Registro!B"&amp;MATCH(B231,Registro!$B$8:$B$999,0)+7,"Ubicar en registro"))</f>
        <v>Ubicar en registro</v>
      </c>
      <c r="E231" s="55" t="str">
        <f>IF(C231="","",_xlfn.XLOOKUP(Ejecucion[[#This Row],[No. Solicitud]],Registro!$B$8:$B$999,Registro!$H$8:$H$999,"",0))</f>
        <v>Curso 13</v>
      </c>
      <c r="F231" s="29">
        <v>1</v>
      </c>
      <c r="G231" s="29">
        <v>43783</v>
      </c>
      <c r="H231" s="29" t="s">
        <v>733</v>
      </c>
      <c r="I231" s="97">
        <v>46268</v>
      </c>
      <c r="J231" s="94">
        <v>46268</v>
      </c>
      <c r="K231" s="29">
        <f>IF(Ejecucion[[#This Row],[Fecha Fin]]="","",MONTH(Ejecucion[[#This Row],[Fecha Fin]]))</f>
        <v>9</v>
      </c>
      <c r="L231" s="93" t="s">
        <v>75</v>
      </c>
      <c r="M231" s="29">
        <v>16</v>
      </c>
      <c r="N231" s="29">
        <v>16</v>
      </c>
      <c r="O231" s="29">
        <v>15</v>
      </c>
      <c r="P231" s="29">
        <v>0</v>
      </c>
      <c r="Q231" s="29">
        <v>1</v>
      </c>
      <c r="R231" s="191" t="s">
        <v>734</v>
      </c>
      <c r="S231" s="80">
        <v>46281</v>
      </c>
      <c r="T231" s="93"/>
    </row>
    <row r="232" spans="1:20" ht="28.8" customHeight="1">
      <c r="A232" s="30">
        <f>ROW() - ROW(Ejecucion[[#Headers],[Correlativo]])</f>
        <v>228</v>
      </c>
      <c r="B232" s="24" t="s">
        <v>152</v>
      </c>
      <c r="C232" s="28" t="str">
        <f>IF(Ejecucion[[#This Row],[No. Solicitud]]="","",_xlfn.XLOOKUP(Ejecucion[[#This Row],[No. Solicitud]],Registro!$B$8:$B$997,Registro!$M$8:$M$997,"Sin Dato",0))</f>
        <v>Gestor 4</v>
      </c>
      <c r="D232" s="84" t="str">
        <f>IF(B232="","",HYPERLINK("#"&amp;"Registro!B"&amp;MATCH(B232,Registro!$B$8:$B$999,0)+7,"Ubicar en registro"))</f>
        <v>Ubicar en registro</v>
      </c>
      <c r="E232" s="55" t="str">
        <f>IF(C232="","",_xlfn.XLOOKUP(Ejecucion[[#This Row],[No. Solicitud]],Registro!$B$8:$B$999,Registro!$H$8:$H$999,"",0))</f>
        <v>Curso 13</v>
      </c>
      <c r="F232" s="29">
        <v>2</v>
      </c>
      <c r="G232" s="29">
        <v>43784</v>
      </c>
      <c r="H232" s="29" t="s">
        <v>735</v>
      </c>
      <c r="I232" s="97">
        <v>46275</v>
      </c>
      <c r="J232" s="94">
        <v>46275</v>
      </c>
      <c r="K232" s="29">
        <f>IF(Ejecucion[[#This Row],[Fecha Fin]]="","",MONTH(Ejecucion[[#This Row],[Fecha Fin]]))</f>
        <v>9</v>
      </c>
      <c r="L232" s="93" t="s">
        <v>75</v>
      </c>
      <c r="M232" s="29">
        <v>16</v>
      </c>
      <c r="N232" s="29">
        <v>16</v>
      </c>
      <c r="O232" s="29">
        <v>13</v>
      </c>
      <c r="P232" s="29">
        <v>0</v>
      </c>
      <c r="Q232" s="29">
        <v>3</v>
      </c>
      <c r="R232" s="191" t="s">
        <v>736</v>
      </c>
      <c r="S232" s="80">
        <v>46282</v>
      </c>
      <c r="T232" s="93"/>
    </row>
    <row r="233" spans="1:20" ht="28.8" customHeight="1">
      <c r="A233" s="30">
        <f>ROW() - ROW(Ejecucion[[#Headers],[Correlativo]])</f>
        <v>229</v>
      </c>
      <c r="B233" s="24" t="s">
        <v>154</v>
      </c>
      <c r="C233" s="28" t="str">
        <f>IF(Ejecucion[[#This Row],[No. Solicitud]]="","",_xlfn.XLOOKUP(Ejecucion[[#This Row],[No. Solicitud]],Registro!$B$8:$B$997,Registro!$M$8:$M$997,"Sin Dato",0))</f>
        <v>Gestor 3</v>
      </c>
      <c r="D233" s="84" t="str">
        <f>IF(B233="","",HYPERLINK("#"&amp;"Registro!B"&amp;MATCH(B233,Registro!$B$8:$B$999,0)+7,"Ubicar en registro"))</f>
        <v>Ubicar en registro</v>
      </c>
      <c r="E233" s="55" t="str">
        <f>IF(C233="","",_xlfn.XLOOKUP(Ejecucion[[#This Row],[No. Solicitud]],Registro!$B$8:$B$999,Registro!$H$8:$H$999,"",0))</f>
        <v>Curso 14</v>
      </c>
      <c r="F233" s="29">
        <v>1</v>
      </c>
      <c r="G233" s="29">
        <v>43793</v>
      </c>
      <c r="H233" s="29" t="s">
        <v>737</v>
      </c>
      <c r="I233" s="97">
        <v>46272</v>
      </c>
      <c r="J233" s="94">
        <v>46272</v>
      </c>
      <c r="K233" s="29">
        <f>IF(Ejecucion[[#This Row],[Fecha Fin]]="","",MONTH(Ejecucion[[#This Row],[Fecha Fin]]))</f>
        <v>9</v>
      </c>
      <c r="L233" s="93" t="s">
        <v>75</v>
      </c>
      <c r="M233" s="29">
        <v>16</v>
      </c>
      <c r="N233" s="29">
        <v>16</v>
      </c>
      <c r="O233" s="29">
        <v>16</v>
      </c>
      <c r="P233" s="29">
        <v>0</v>
      </c>
      <c r="Q233" s="29">
        <v>0</v>
      </c>
      <c r="R233" s="190" t="s">
        <v>738</v>
      </c>
      <c r="S233" s="29"/>
      <c r="T233" s="93"/>
    </row>
    <row r="234" spans="1:20" ht="28.8" customHeight="1">
      <c r="A234" s="30">
        <f>ROW() - ROW(Ejecucion[[#Headers],[Correlativo]])</f>
        <v>230</v>
      </c>
      <c r="B234" s="24" t="s">
        <v>156</v>
      </c>
      <c r="C234" s="28" t="str">
        <f>IF(Ejecucion[[#This Row],[No. Solicitud]]="","",_xlfn.XLOOKUP(Ejecucion[[#This Row],[No. Solicitud]],Registro!$B$8:$B$997,Registro!$M$8:$M$997,"Sin Dato",0))</f>
        <v>Gestor 4</v>
      </c>
      <c r="D234" s="84" t="str">
        <f>IF(B234="","",HYPERLINK("#"&amp;"Registro!B"&amp;MATCH(B234,Registro!$B$8:$B$999,0)+7,"Ubicar en registro"))</f>
        <v>Ubicar en registro</v>
      </c>
      <c r="E234" s="55" t="str">
        <f>IF(C234="","",_xlfn.XLOOKUP(Ejecucion[[#This Row],[No. Solicitud]],Registro!$B$8:$B$999,Registro!$H$8:$H$999,"",0))</f>
        <v>Curso 15</v>
      </c>
      <c r="F234" s="29">
        <v>1</v>
      </c>
      <c r="G234" s="29">
        <v>43794</v>
      </c>
      <c r="H234" s="29" t="s">
        <v>739</v>
      </c>
      <c r="I234" s="97">
        <v>46272</v>
      </c>
      <c r="J234" s="97">
        <v>46272</v>
      </c>
      <c r="K234" s="29">
        <f>IF(Ejecucion[[#This Row],[Fecha Fin]]="","",MONTH(Ejecucion[[#This Row],[Fecha Fin]]))</f>
        <v>9</v>
      </c>
      <c r="L234" s="93" t="s">
        <v>75</v>
      </c>
      <c r="M234" s="29">
        <v>12</v>
      </c>
      <c r="N234" s="29">
        <v>12</v>
      </c>
      <c r="O234" s="29">
        <v>10</v>
      </c>
      <c r="P234" s="29">
        <v>0</v>
      </c>
      <c r="Q234" s="29">
        <v>2</v>
      </c>
      <c r="R234" s="191" t="s">
        <v>740</v>
      </c>
      <c r="S234" s="80">
        <v>46281</v>
      </c>
      <c r="T234" s="93"/>
    </row>
    <row r="235" spans="1:20" ht="28.8" customHeight="1">
      <c r="A235" s="30">
        <f>ROW() - ROW(Ejecucion[[#Headers],[Correlativo]])</f>
        <v>231</v>
      </c>
      <c r="B235" s="24" t="s">
        <v>156</v>
      </c>
      <c r="C235" s="28" t="str">
        <f>IF(Ejecucion[[#This Row],[No. Solicitud]]="","",_xlfn.XLOOKUP(Ejecucion[[#This Row],[No. Solicitud]],Registro!$B$8:$B$997,Registro!$M$8:$M$997,"Sin Dato",0))</f>
        <v>Gestor 4</v>
      </c>
      <c r="D235" s="84" t="str">
        <f>IF(B235="","",HYPERLINK("#"&amp;"Registro!B"&amp;MATCH(B235,Registro!$B$8:$B$999,0)+7,"Ubicar en registro"))</f>
        <v>Ubicar en registro</v>
      </c>
      <c r="E235" s="55" t="str">
        <f>IF(C235="","",_xlfn.XLOOKUP(Ejecucion[[#This Row],[No. Solicitud]],Registro!$B$8:$B$999,Registro!$H$8:$H$999,"",0))</f>
        <v>Curso 15</v>
      </c>
      <c r="F235" s="29">
        <v>2</v>
      </c>
      <c r="G235" s="29">
        <v>43796</v>
      </c>
      <c r="H235" s="29" t="s">
        <v>741</v>
      </c>
      <c r="I235" s="97">
        <v>46273</v>
      </c>
      <c r="J235" s="97">
        <v>46273</v>
      </c>
      <c r="K235" s="29">
        <f>IF(Ejecucion[[#This Row],[Fecha Fin]]="","",MONTH(Ejecucion[[#This Row],[Fecha Fin]]))</f>
        <v>9</v>
      </c>
      <c r="L235" s="93" t="s">
        <v>75</v>
      </c>
      <c r="M235" s="29">
        <v>12</v>
      </c>
      <c r="N235" s="29">
        <v>13</v>
      </c>
      <c r="O235" s="29">
        <v>11</v>
      </c>
      <c r="P235" s="29">
        <v>0</v>
      </c>
      <c r="Q235" s="29">
        <v>1</v>
      </c>
      <c r="R235" s="191" t="s">
        <v>742</v>
      </c>
      <c r="S235" s="80">
        <v>46281</v>
      </c>
      <c r="T235" s="93"/>
    </row>
    <row r="236" spans="1:20" ht="30.75" customHeight="1">
      <c r="A236" s="30">
        <f>ROW() - ROW(Ejecucion[[#Headers],[Correlativo]])</f>
        <v>232</v>
      </c>
      <c r="B236" s="24" t="s">
        <v>159</v>
      </c>
      <c r="C236" s="28" t="str">
        <f>IF(Ejecucion[[#This Row],[No. Solicitud]]="","",_xlfn.XLOOKUP(Ejecucion[[#This Row],[No. Solicitud]],Registro!$B$8:$B$997,Registro!$M$8:$M$997,"Sin Dato",0))</f>
        <v>Gestor 3</v>
      </c>
      <c r="D236" s="84" t="str">
        <f>IF(B236="","",HYPERLINK("#"&amp;"Registro!B"&amp;MATCH(B236,Registro!$B$8:$B$999,0)+7,"Ubicar en registro"))</f>
        <v>Ubicar en registro</v>
      </c>
      <c r="E236" s="55" t="str">
        <f>IF(C236="","",_xlfn.XLOOKUP(Ejecucion[[#This Row],[No. Solicitud]],Registro!$B$8:$B$999,Registro!$H$8:$H$999,"",0))</f>
        <v>Curso 16</v>
      </c>
      <c r="F236" s="29">
        <v>1</v>
      </c>
      <c r="G236" s="29">
        <v>43824</v>
      </c>
      <c r="H236" s="29" t="s">
        <v>743</v>
      </c>
      <c r="I236" s="97">
        <v>46308</v>
      </c>
      <c r="J236" s="94">
        <v>46310</v>
      </c>
      <c r="K236" s="29">
        <f>IF(Ejecucion[[#This Row],[Fecha Fin]]="","",MONTH(Ejecucion[[#This Row],[Fecha Fin]]))</f>
        <v>10</v>
      </c>
      <c r="L236" s="93" t="s">
        <v>79</v>
      </c>
      <c r="M236" s="29"/>
      <c r="N236" s="29"/>
      <c r="O236" s="29"/>
      <c r="P236" s="29"/>
      <c r="Q236" s="29"/>
      <c r="R236" s="93"/>
      <c r="S236" s="29"/>
      <c r="T236" s="93"/>
    </row>
    <row r="237" spans="1:20" ht="30.75" customHeight="1">
      <c r="A237" s="30">
        <f>ROW() - ROW(Ejecucion[[#Headers],[Correlativo]])</f>
        <v>233</v>
      </c>
      <c r="B237" s="24" t="s">
        <v>159</v>
      </c>
      <c r="C237" s="28" t="str">
        <f>IF(Ejecucion[[#This Row],[No. Solicitud]]="","",_xlfn.XLOOKUP(Ejecucion[[#This Row],[No. Solicitud]],Registro!$B$8:$B$997,Registro!$M$8:$M$997,"Sin Dato",0))</f>
        <v>Gestor 3</v>
      </c>
      <c r="D237" s="84" t="str">
        <f>IF(B237="","",HYPERLINK("#"&amp;"Registro!B"&amp;MATCH(B237,Registro!$B$8:$B$999,0)+7,"Ubicar en registro"))</f>
        <v>Ubicar en registro</v>
      </c>
      <c r="E237" s="55" t="str">
        <f>IF(C237="","",_xlfn.XLOOKUP(Ejecucion[[#This Row],[No. Solicitud]],Registro!$B$8:$B$999,Registro!$H$8:$H$999,"",0))</f>
        <v>Curso 16</v>
      </c>
      <c r="F237" s="29">
        <v>2</v>
      </c>
      <c r="G237" s="29"/>
      <c r="H237" s="29"/>
      <c r="I237" s="97">
        <v>46317</v>
      </c>
      <c r="J237" s="94">
        <v>46317</v>
      </c>
      <c r="K237" s="29">
        <f>IF(Ejecucion[[#This Row],[Fecha Fin]]="","",MONTH(Ejecucion[[#This Row],[Fecha Fin]]))</f>
        <v>10</v>
      </c>
      <c r="L237" s="93" t="s">
        <v>79</v>
      </c>
      <c r="M237" s="29"/>
      <c r="N237" s="29"/>
      <c r="O237" s="29"/>
      <c r="P237" s="29"/>
      <c r="Q237" s="29"/>
      <c r="R237" s="93"/>
      <c r="S237" s="29"/>
      <c r="T237" s="93"/>
    </row>
    <row r="238" spans="1:20" ht="28.8" customHeight="1">
      <c r="A238" s="30">
        <f>ROW() - ROW(Ejecucion[[#Headers],[Correlativo]])</f>
        <v>234</v>
      </c>
      <c r="B238" s="24" t="s">
        <v>159</v>
      </c>
      <c r="C238" s="28" t="str">
        <f>IF(Ejecucion[[#This Row],[No. Solicitud]]="","",_xlfn.XLOOKUP(Ejecucion[[#This Row],[No. Solicitud]],Registro!$B$8:$B$997,Registro!$M$8:$M$997,"Sin Dato",0))</f>
        <v>Gestor 3</v>
      </c>
      <c r="D238" s="84" t="str">
        <f>IF(B238="","",HYPERLINK("#"&amp;"Registro!B"&amp;MATCH(B238,Registro!$B$8:$B$999,0)+7,"Ubicar en registro"))</f>
        <v>Ubicar en registro</v>
      </c>
      <c r="E238" s="55" t="str">
        <f>IF(C238="","",_xlfn.XLOOKUP(Ejecucion[[#This Row],[No. Solicitud]],Registro!$B$8:$B$999,Registro!$H$8:$H$999,"",0))</f>
        <v>Curso 16</v>
      </c>
      <c r="F238" s="29">
        <v>3</v>
      </c>
      <c r="G238" s="29">
        <v>43828</v>
      </c>
      <c r="H238" s="29" t="s">
        <v>744</v>
      </c>
      <c r="I238" s="97">
        <v>46322</v>
      </c>
      <c r="J238" s="94">
        <v>46324</v>
      </c>
      <c r="K238" s="29">
        <f>IF(Ejecucion[[#This Row],[Fecha Fin]]="","",MONTH(Ejecucion[[#This Row],[Fecha Fin]]))</f>
        <v>10</v>
      </c>
      <c r="L238" s="93" t="s">
        <v>79</v>
      </c>
      <c r="M238" s="29"/>
      <c r="N238" s="29"/>
      <c r="O238" s="29"/>
      <c r="P238" s="29"/>
      <c r="Q238" s="29"/>
      <c r="R238" s="93"/>
      <c r="S238" s="29"/>
      <c r="T238" s="93"/>
    </row>
    <row r="239" spans="1:20" ht="28.8" customHeight="1">
      <c r="A239" s="30">
        <f>ROW() - ROW(Ejecucion[[#Headers],[Correlativo]])</f>
        <v>235</v>
      </c>
      <c r="B239" s="24" t="s">
        <v>169</v>
      </c>
      <c r="C239" s="28" t="str">
        <f>IF(Ejecucion[[#This Row],[No. Solicitud]]="","",_xlfn.XLOOKUP(Ejecucion[[#This Row],[No. Solicitud]],Registro!$B$8:$B$997,Registro!$M$8:$M$997,"Sin Dato",0))</f>
        <v>Gestor 5</v>
      </c>
      <c r="D239" s="84" t="str">
        <f>IF(B239="","",HYPERLINK("#"&amp;"Registro!B"&amp;MATCH(B239,Registro!$B$8:$B$999,0)+7,"Ubicar en registro"))</f>
        <v>Ubicar en registro</v>
      </c>
      <c r="E239" s="55" t="str">
        <f>IF(C239="","",_xlfn.XLOOKUP(Ejecucion[[#This Row],[No. Solicitud]],Registro!$B$8:$B$999,Registro!$H$8:$H$999,"",0))</f>
        <v>Curso 19</v>
      </c>
      <c r="F239" s="29">
        <v>1</v>
      </c>
      <c r="G239" s="29"/>
      <c r="H239" s="29"/>
      <c r="I239" s="97">
        <v>46314</v>
      </c>
      <c r="J239" s="97">
        <v>46314</v>
      </c>
      <c r="K239" s="29">
        <f>IF(Ejecucion[[#This Row],[Fecha Fin]]="","",MONTH(Ejecucion[[#This Row],[Fecha Fin]]))</f>
        <v>10</v>
      </c>
      <c r="L239" s="93" t="s">
        <v>79</v>
      </c>
      <c r="M239" s="29"/>
      <c r="N239" s="29"/>
      <c r="O239" s="29"/>
      <c r="P239" s="29"/>
      <c r="Q239" s="29"/>
      <c r="R239" s="93"/>
      <c r="S239" s="29"/>
      <c r="T239" s="93"/>
    </row>
    <row r="240" spans="1:20" ht="28.8" customHeight="1">
      <c r="A240" s="30">
        <f>ROW() - ROW(Ejecucion[[#Headers],[Correlativo]])</f>
        <v>236</v>
      </c>
      <c r="B240" s="24" t="s">
        <v>169</v>
      </c>
      <c r="C240" s="28" t="str">
        <f>IF(Ejecucion[[#This Row],[No. Solicitud]]="","",_xlfn.XLOOKUP(Ejecucion[[#This Row],[No. Solicitud]],Registro!$B$8:$B$997,Registro!$M$8:$M$997,"Sin Dato",0))</f>
        <v>Gestor 5</v>
      </c>
      <c r="D240" s="84" t="str">
        <f>IF(B240="","",HYPERLINK("#"&amp;"Registro!B"&amp;MATCH(B240,Registro!$B$8:$B$999,0)+7,"Ubicar en registro"))</f>
        <v>Ubicar en registro</v>
      </c>
      <c r="E240" s="55" t="str">
        <f>IF(C240="","",_xlfn.XLOOKUP(Ejecucion[[#This Row],[No. Solicitud]],Registro!$B$8:$B$999,Registro!$H$8:$H$999,"",0))</f>
        <v>Curso 19</v>
      </c>
      <c r="F240" s="29">
        <v>2</v>
      </c>
      <c r="G240" s="29"/>
      <c r="H240" s="29"/>
      <c r="I240" s="97">
        <v>46321</v>
      </c>
      <c r="J240" s="97">
        <v>46321</v>
      </c>
      <c r="K240" s="29">
        <f>IF(Ejecucion[[#This Row],[Fecha Fin]]="","",MONTH(Ejecucion[[#This Row],[Fecha Fin]]))</f>
        <v>10</v>
      </c>
      <c r="L240" s="93" t="s">
        <v>79</v>
      </c>
      <c r="M240" s="29"/>
      <c r="N240" s="29"/>
      <c r="O240" s="29"/>
      <c r="P240" s="29"/>
      <c r="Q240" s="29"/>
      <c r="R240" s="93"/>
      <c r="S240" s="29"/>
      <c r="T240" s="93"/>
    </row>
    <row r="241" spans="1:20" ht="43.2" customHeight="1">
      <c r="A241" s="30">
        <f>ROW() - ROW(Ejecucion[[#Headers],[Correlativo]])</f>
        <v>237</v>
      </c>
      <c r="B241" s="24" t="s">
        <v>163</v>
      </c>
      <c r="C241" s="28" t="str">
        <f>IF(Ejecucion[[#This Row],[No. Solicitud]]="","",_xlfn.XLOOKUP(Ejecucion[[#This Row],[No. Solicitud]],Registro!$B$8:$B$997,Registro!$M$8:$M$997,"Sin Dato",0))</f>
        <v>Gestor 3</v>
      </c>
      <c r="D241" s="84" t="str">
        <f>IF(B241="","",HYPERLINK("#"&amp;"Registro!B"&amp;MATCH(B241,Registro!$B$8:$B$999,0)+7,"Ubicar en registro"))</f>
        <v>Ubicar en registro</v>
      </c>
      <c r="E241" s="55" t="str">
        <f>IF(C241="","",_xlfn.XLOOKUP(Ejecucion[[#This Row],[No. Solicitud]],Registro!$B$8:$B$999,Registro!$H$8:$H$999,"",0))</f>
        <v>Curso 17</v>
      </c>
      <c r="F241" s="29">
        <v>1</v>
      </c>
      <c r="G241" s="29">
        <v>43786</v>
      </c>
      <c r="H241" s="29" t="s">
        <v>745</v>
      </c>
      <c r="I241" s="97">
        <v>46246</v>
      </c>
      <c r="J241" s="94">
        <v>46247</v>
      </c>
      <c r="K241" s="29">
        <f>IF(Ejecucion[[#This Row],[Fecha Fin]]="","",MONTH(Ejecucion[[#This Row],[Fecha Fin]]))</f>
        <v>8</v>
      </c>
      <c r="L241" s="93" t="s">
        <v>79</v>
      </c>
      <c r="M241" s="29"/>
      <c r="N241" s="29"/>
      <c r="O241" s="29"/>
      <c r="P241" s="29"/>
      <c r="Q241" s="29"/>
      <c r="R241" s="190" t="s">
        <v>746</v>
      </c>
      <c r="S241" s="29"/>
      <c r="T241" s="93"/>
    </row>
    <row r="242" spans="1:20" ht="45.75" customHeight="1">
      <c r="A242" s="30">
        <f>ROW() - ROW(Ejecucion[[#Headers],[Correlativo]])</f>
        <v>238</v>
      </c>
      <c r="B242" s="24" t="s">
        <v>165</v>
      </c>
      <c r="C242" s="28" t="str">
        <f>IF(Ejecucion[[#This Row],[No. Solicitud]]="","",_xlfn.XLOOKUP(Ejecucion[[#This Row],[No. Solicitud]],Registro!$B$8:$B$997,Registro!$M$8:$M$997,"Sin Dato",0))</f>
        <v>Gestor 1</v>
      </c>
      <c r="D242" s="84" t="str">
        <f>IF(B242="","",HYPERLINK("#"&amp;"Registro!B"&amp;MATCH(B242,Registro!$B$8:$B$999,0)+7,"Ubicar en registro"))</f>
        <v>Ubicar en registro</v>
      </c>
      <c r="E242" s="55" t="str">
        <f>IF(C242="","",_xlfn.XLOOKUP(Ejecucion[[#This Row],[No. Solicitud]],Registro!$B$8:$B$999,Registro!$H$8:$H$999,"",0))</f>
        <v>Curso 18</v>
      </c>
      <c r="F242" s="29">
        <v>1</v>
      </c>
      <c r="G242" s="29">
        <v>44011</v>
      </c>
      <c r="H242" s="29" t="s">
        <v>747</v>
      </c>
      <c r="I242" s="97">
        <v>46300</v>
      </c>
      <c r="J242" s="94">
        <v>46301</v>
      </c>
      <c r="K242" s="29">
        <f>IF(Ejecucion[[#This Row],[Fecha Fin]]="","",MONTH(Ejecucion[[#This Row],[Fecha Fin]]))</f>
        <v>10</v>
      </c>
      <c r="L242" s="93" t="s">
        <v>79</v>
      </c>
      <c r="M242" s="29"/>
      <c r="N242" s="29"/>
      <c r="O242" s="29"/>
      <c r="P242" s="29"/>
      <c r="Q242" s="29"/>
      <c r="R242" s="93"/>
      <c r="S242" s="29"/>
      <c r="T242" s="93"/>
    </row>
    <row r="243" spans="1:20" ht="45.75" customHeight="1">
      <c r="A243" s="30">
        <f>ROW() - ROW(Ejecucion[[#Headers],[Correlativo]])</f>
        <v>239</v>
      </c>
      <c r="B243" s="24" t="s">
        <v>165</v>
      </c>
      <c r="C243" s="28" t="str">
        <f>IF(Ejecucion[[#This Row],[No. Solicitud]]="","",_xlfn.XLOOKUP(Ejecucion[[#This Row],[No. Solicitud]],Registro!$B$8:$B$997,Registro!$M$8:$M$997,"Sin Dato",0))</f>
        <v>Gestor 1</v>
      </c>
      <c r="D243" s="84" t="str">
        <f>IF(B243="","",HYPERLINK("#"&amp;"Registro!B"&amp;MATCH(B243,Registro!$B$8:$B$999,0)+7,"Ubicar en registro"))</f>
        <v>Ubicar en registro</v>
      </c>
      <c r="E243" s="55" t="str">
        <f>IF(C243="","",_xlfn.XLOOKUP(Ejecucion[[#This Row],[No. Solicitud]],Registro!$B$8:$B$999,Registro!$H$8:$H$999,"",0))</f>
        <v>Curso 18</v>
      </c>
      <c r="F243" s="29">
        <v>2</v>
      </c>
      <c r="G243" s="29">
        <v>44012</v>
      </c>
      <c r="H243" s="29" t="s">
        <v>748</v>
      </c>
      <c r="I243" s="97">
        <v>46307</v>
      </c>
      <c r="J243" s="94">
        <v>46308</v>
      </c>
      <c r="K243" s="29">
        <f>IF(Ejecucion[[#This Row],[Fecha Fin]]="","",MONTH(Ejecucion[[#This Row],[Fecha Fin]]))</f>
        <v>10</v>
      </c>
      <c r="L243" s="93" t="s">
        <v>79</v>
      </c>
      <c r="M243" s="29"/>
      <c r="N243" s="29"/>
      <c r="O243" s="29"/>
      <c r="P243" s="29"/>
      <c r="Q243" s="29"/>
      <c r="R243" s="93"/>
      <c r="S243" s="29"/>
      <c r="T243" s="93"/>
    </row>
    <row r="244" spans="1:20" ht="45" customHeight="1">
      <c r="A244" s="30">
        <f>ROW() - ROW(Ejecucion[[#Headers],[Correlativo]])</f>
        <v>240</v>
      </c>
      <c r="B244" s="24" t="s">
        <v>171</v>
      </c>
      <c r="C244" s="28" t="str">
        <f>IF(Ejecucion[[#This Row],[No. Solicitud]]="","",_xlfn.XLOOKUP(Ejecucion[[#This Row],[No. Solicitud]],Registro!$B$8:$B$997,Registro!$M$8:$M$997,"Sin Dato",0))</f>
        <v>Gestor 4</v>
      </c>
      <c r="D244" s="84" t="str">
        <f>IF(B244="","",HYPERLINK("#"&amp;"Registro!B"&amp;MATCH(B244,Registro!$B$8:$B$999,0)+7,"Ubicar en registro"))</f>
        <v>Ubicar en registro</v>
      </c>
      <c r="E244" s="55" t="str">
        <f>IF(C244="","",_xlfn.XLOOKUP(Ejecucion[[#This Row],[No. Solicitud]],Registro!$B$8:$B$999,Registro!$H$8:$H$999,"",0))</f>
        <v>Curso 20</v>
      </c>
      <c r="F244" s="29">
        <v>1</v>
      </c>
      <c r="G244" s="28">
        <v>43820</v>
      </c>
      <c r="H244" s="29" t="s">
        <v>749</v>
      </c>
      <c r="I244" s="97">
        <v>46287</v>
      </c>
      <c r="J244" s="97">
        <v>46287</v>
      </c>
      <c r="K244" s="29">
        <f>IF(Ejecucion[[#This Row],[Fecha Fin]]="","",MONTH(Ejecucion[[#This Row],[Fecha Fin]]))</f>
        <v>9</v>
      </c>
      <c r="L244" s="93" t="s">
        <v>75</v>
      </c>
      <c r="M244" s="29">
        <v>16</v>
      </c>
      <c r="N244" s="29">
        <v>13</v>
      </c>
      <c r="O244" s="29">
        <v>13</v>
      </c>
      <c r="P244" s="29">
        <v>0</v>
      </c>
      <c r="Q244" s="29">
        <v>2</v>
      </c>
      <c r="R244" s="191" t="s">
        <v>750</v>
      </c>
      <c r="S244" s="80">
        <v>46290</v>
      </c>
      <c r="T244" s="93"/>
    </row>
    <row r="245" spans="1:20" ht="28.8" customHeight="1">
      <c r="A245" s="30">
        <f>ROW() - ROW(Ejecucion[[#Headers],[Correlativo]])</f>
        <v>241</v>
      </c>
      <c r="B245" s="24" t="s">
        <v>171</v>
      </c>
      <c r="C245" s="28" t="str">
        <f>IF(Ejecucion[[#This Row],[No. Solicitud]]="","",_xlfn.XLOOKUP(Ejecucion[[#This Row],[No. Solicitud]],Registro!$B$8:$B$997,Registro!$M$8:$M$997,"Sin Dato",0))</f>
        <v>Gestor 4</v>
      </c>
      <c r="D245" s="84" t="str">
        <f>IF(B245="","",HYPERLINK("#"&amp;"Registro!B"&amp;MATCH(B245,Registro!$B$8:$B$999,0)+7,"Ubicar en registro"))</f>
        <v>Ubicar en registro</v>
      </c>
      <c r="E245" s="55" t="str">
        <f>IF(C245="","",_xlfn.XLOOKUP(Ejecucion[[#This Row],[No. Solicitud]],Registro!$B$8:$B$999,Registro!$H$8:$H$999,"",0))</f>
        <v>Curso 20</v>
      </c>
      <c r="F245" s="29">
        <v>2</v>
      </c>
      <c r="G245" s="28">
        <v>43821</v>
      </c>
      <c r="H245" s="29" t="s">
        <v>751</v>
      </c>
      <c r="I245" s="97">
        <v>46288</v>
      </c>
      <c r="J245" s="97">
        <v>46288</v>
      </c>
      <c r="K245" s="29">
        <f>IF(Ejecucion[[#This Row],[Fecha Fin]]="","",MONTH(Ejecucion[[#This Row],[Fecha Fin]]))</f>
        <v>9</v>
      </c>
      <c r="L245" s="93" t="s">
        <v>75</v>
      </c>
      <c r="M245" s="29">
        <v>16</v>
      </c>
      <c r="N245" s="29">
        <v>15</v>
      </c>
      <c r="O245" s="29">
        <v>14</v>
      </c>
      <c r="P245" s="29">
        <v>0</v>
      </c>
      <c r="Q245" s="29">
        <v>1</v>
      </c>
      <c r="R245" s="191" t="s">
        <v>752</v>
      </c>
      <c r="S245" s="80">
        <v>46292</v>
      </c>
      <c r="T245" s="93"/>
    </row>
    <row r="246" spans="1:20" ht="43.2" customHeight="1">
      <c r="A246" s="30">
        <f>ROW() - ROW(Ejecucion[[#Headers],[Correlativo]])</f>
        <v>242</v>
      </c>
      <c r="B246" s="24" t="s">
        <v>173</v>
      </c>
      <c r="C246" s="28" t="str">
        <f>IF(Ejecucion[[#This Row],[No. Solicitud]]="","",_xlfn.XLOOKUP(Ejecucion[[#This Row],[No. Solicitud]],Registro!$B$8:$B$997,Registro!$M$8:$M$997,"Sin Dato",0))</f>
        <v>Gestor 2</v>
      </c>
      <c r="D246" s="84" t="str">
        <f>IF(B246="","",HYPERLINK("#"&amp;"Registro!B"&amp;MATCH(B246,Registro!$B$8:$B$999,0)+7,"Ubicar en registro"))</f>
        <v>Ubicar en registro</v>
      </c>
      <c r="E246" s="55" t="str">
        <f>IF(C246="","",_xlfn.XLOOKUP(Ejecucion[[#This Row],[No. Solicitud]],Registro!$B$8:$B$999,Registro!$H$8:$H$999,"",0))</f>
        <v>Curso 21</v>
      </c>
      <c r="F246" s="29">
        <v>1</v>
      </c>
      <c r="G246" s="29">
        <v>43807</v>
      </c>
      <c r="H246" s="29" t="s">
        <v>753</v>
      </c>
      <c r="I246" s="97">
        <v>46310</v>
      </c>
      <c r="J246" s="97">
        <v>46310</v>
      </c>
      <c r="K246" s="29">
        <f>IF(Ejecucion[[#This Row],[Fecha Fin]]="","",MONTH(Ejecucion[[#This Row],[Fecha Fin]]))</f>
        <v>10</v>
      </c>
      <c r="L246" s="93" t="s">
        <v>79</v>
      </c>
      <c r="M246" s="29">
        <v>16</v>
      </c>
      <c r="N246" s="29"/>
      <c r="O246" s="29"/>
      <c r="P246" s="29"/>
      <c r="Q246" s="29"/>
      <c r="R246" s="93"/>
      <c r="S246" s="29"/>
      <c r="T246" s="93"/>
    </row>
    <row r="247" spans="1:20" ht="45.75" customHeight="1">
      <c r="A247" s="30">
        <f>ROW() - ROW(Ejecucion[[#Headers],[Correlativo]])</f>
        <v>243</v>
      </c>
      <c r="B247" s="24" t="s">
        <v>173</v>
      </c>
      <c r="C247" s="28" t="str">
        <f>IF(Ejecucion[[#This Row],[No. Solicitud]]="","",_xlfn.XLOOKUP(Ejecucion[[#This Row],[No. Solicitud]],Registro!$B$8:$B$997,Registro!$M$8:$M$997,"Sin Dato",0))</f>
        <v>Gestor 2</v>
      </c>
      <c r="D247" s="84" t="str">
        <f>IF(B247="","",HYPERLINK("#"&amp;"Registro!B"&amp;MATCH(B247,Registro!$B$8:$B$999,0)+7,"Ubicar en registro"))</f>
        <v>Ubicar en registro</v>
      </c>
      <c r="E247" s="55" t="str">
        <f>IF(C247="","",_xlfn.XLOOKUP(Ejecucion[[#This Row],[No. Solicitud]],Registro!$B$8:$B$999,Registro!$H$8:$H$999,"",0))</f>
        <v>Curso 21</v>
      </c>
      <c r="F247" s="29">
        <v>2</v>
      </c>
      <c r="G247" s="29">
        <v>43808</v>
      </c>
      <c r="H247" s="29" t="s">
        <v>754</v>
      </c>
      <c r="I247" s="97">
        <v>46311</v>
      </c>
      <c r="J247" s="97">
        <v>46311</v>
      </c>
      <c r="K247" s="29">
        <f>IF(Ejecucion[[#This Row],[Fecha Fin]]="","",MONTH(Ejecucion[[#This Row],[Fecha Fin]]))</f>
        <v>10</v>
      </c>
      <c r="L247" s="93" t="s">
        <v>79</v>
      </c>
      <c r="M247" s="29">
        <v>16</v>
      </c>
      <c r="N247" s="29"/>
      <c r="O247" s="29"/>
      <c r="P247" s="29"/>
      <c r="Q247" s="29"/>
      <c r="R247" s="93"/>
      <c r="S247" s="29"/>
      <c r="T247" s="93"/>
    </row>
    <row r="248" spans="1:20" ht="57.6" customHeight="1">
      <c r="A248" s="30">
        <f>ROW() - ROW(Ejecucion[[#Headers],[Correlativo]])</f>
        <v>244</v>
      </c>
      <c r="B248" s="24" t="s">
        <v>176</v>
      </c>
      <c r="C248" s="28" t="str">
        <f>IF(Ejecucion[[#This Row],[No. Solicitud]]="","",_xlfn.XLOOKUP(Ejecucion[[#This Row],[No. Solicitud]],Registro!$B$8:$B$997,Registro!$M$8:$M$997,"Sin Dato",0))</f>
        <v>Gestor 4</v>
      </c>
      <c r="D248" s="84" t="str">
        <f>IF(B248="","",HYPERLINK("#"&amp;"Registro!B"&amp;MATCH(B248,Registro!$B$8:$B$999,0)+7,"Ubicar en registro"))</f>
        <v>Ubicar en registro</v>
      </c>
      <c r="E248" s="55" t="str">
        <f>IF(C248="","",_xlfn.XLOOKUP(Ejecucion[[#This Row],[No. Solicitud]],Registro!$B$8:$B$999,Registro!$H$8:$H$999,"",0))</f>
        <v>Curso 22</v>
      </c>
      <c r="F248" s="29">
        <v>1</v>
      </c>
      <c r="G248" s="29"/>
      <c r="H248" s="29"/>
      <c r="I248" s="97"/>
      <c r="J248" s="94"/>
      <c r="K248" s="29" t="str">
        <f>IF(Ejecucion[[#This Row],[Fecha Fin]]="","",MONTH(Ejecucion[[#This Row],[Fecha Fin]]))</f>
        <v/>
      </c>
      <c r="L248" s="93"/>
      <c r="M248" s="29"/>
      <c r="N248" s="29"/>
      <c r="O248" s="29"/>
      <c r="P248" s="29"/>
      <c r="Q248" s="29"/>
      <c r="R248" s="93"/>
      <c r="S248" s="29"/>
      <c r="T248" s="93" t="s">
        <v>706</v>
      </c>
    </row>
    <row r="249" spans="1:20" ht="57.6" customHeight="1">
      <c r="A249" s="30">
        <f>ROW() - ROW(Ejecucion[[#Headers],[Correlativo]])</f>
        <v>245</v>
      </c>
      <c r="B249" s="24" t="s">
        <v>178</v>
      </c>
      <c r="C249" s="28" t="str">
        <f>IF(Ejecucion[[#This Row],[No. Solicitud]]="","",_xlfn.XLOOKUP(Ejecucion[[#This Row],[No. Solicitud]],Registro!$B$8:$B$997,Registro!$M$8:$M$997,"Sin Dato",0))</f>
        <v>Gestor 4</v>
      </c>
      <c r="D249" s="84" t="str">
        <f>IF(B249="","",HYPERLINK("#"&amp;"Registro!B"&amp;MATCH(B249,Registro!$B$8:$B$999,0)+7,"Ubicar en registro"))</f>
        <v>Ubicar en registro</v>
      </c>
      <c r="E249" s="55" t="str">
        <f>IF(C249="","",_xlfn.XLOOKUP(Ejecucion[[#This Row],[No. Solicitud]],Registro!$B$8:$B$999,Registro!$H$8:$H$999,"",0))</f>
        <v>Curso 23</v>
      </c>
      <c r="F249" s="29">
        <v>1</v>
      </c>
      <c r="G249" s="29"/>
      <c r="H249" s="29"/>
      <c r="I249" s="97"/>
      <c r="J249" s="94"/>
      <c r="K249" s="29" t="str">
        <f>IF(Ejecucion[[#This Row],[Fecha Fin]]="","",MONTH(Ejecucion[[#This Row],[Fecha Fin]]))</f>
        <v/>
      </c>
      <c r="L249" s="93"/>
      <c r="M249" s="29"/>
      <c r="N249" s="29"/>
      <c r="O249" s="29"/>
      <c r="P249" s="29"/>
      <c r="Q249" s="29"/>
      <c r="R249" s="93"/>
      <c r="S249" s="29"/>
      <c r="T249" s="93" t="s">
        <v>706</v>
      </c>
    </row>
    <row r="250" spans="1:20" ht="57.6" customHeight="1">
      <c r="A250" s="30">
        <f>ROW() - ROW(Ejecucion[[#Headers],[Correlativo]])</f>
        <v>246</v>
      </c>
      <c r="B250" s="24" t="s">
        <v>180</v>
      </c>
      <c r="C250" s="28" t="str">
        <f>IF(Ejecucion[[#This Row],[No. Solicitud]]="","",_xlfn.XLOOKUP(Ejecucion[[#This Row],[No. Solicitud]],Registro!$B$8:$B$997,Registro!$M$8:$M$997,"Sin Dato",0))</f>
        <v>Gestor 4</v>
      </c>
      <c r="D250" s="84" t="str">
        <f>IF(B250="","",HYPERLINK("#"&amp;"Registro!B"&amp;MATCH(B250,Registro!$B$8:$B$999,0)+7,"Ubicar en registro"))</f>
        <v>Ubicar en registro</v>
      </c>
      <c r="E250" s="55" t="str">
        <f>IF(C250="","",_xlfn.XLOOKUP(Ejecucion[[#This Row],[No. Solicitud]],Registro!$B$8:$B$999,Registro!$H$8:$H$999,"",0))</f>
        <v>Curso 24</v>
      </c>
      <c r="F250" s="29">
        <v>1</v>
      </c>
      <c r="G250" s="29"/>
      <c r="H250" s="29"/>
      <c r="I250" s="97"/>
      <c r="J250" s="94"/>
      <c r="K250" s="29" t="str">
        <f>IF(Ejecucion[[#This Row],[Fecha Fin]]="","",MONTH(Ejecucion[[#This Row],[Fecha Fin]]))</f>
        <v/>
      </c>
      <c r="L250" s="93"/>
      <c r="M250" s="29"/>
      <c r="N250" s="29"/>
      <c r="O250" s="29"/>
      <c r="P250" s="29"/>
      <c r="Q250" s="29"/>
      <c r="R250" s="93"/>
      <c r="S250" s="29"/>
      <c r="T250" s="93" t="s">
        <v>706</v>
      </c>
    </row>
    <row r="251" spans="1:20" ht="28.8" customHeight="1">
      <c r="A251" s="30">
        <f>ROW() - ROW(Ejecucion[[#Headers],[Correlativo]])</f>
        <v>247</v>
      </c>
      <c r="B251" s="24" t="s">
        <v>182</v>
      </c>
      <c r="C251" s="28" t="str">
        <f>IF(Ejecucion[[#This Row],[No. Solicitud]]="","",_xlfn.XLOOKUP(Ejecucion[[#This Row],[No. Solicitud]],Registro!$B$8:$B$997,Registro!$M$8:$M$997,"Sin Dato",0))</f>
        <v>Gestor 1</v>
      </c>
      <c r="D251" s="84" t="str">
        <f>IF(B251="","",HYPERLINK("#"&amp;"Registro!B"&amp;MATCH(B251,Registro!$B$8:$B$999,0)+7,"Ubicar en registro"))</f>
        <v>Ubicar en registro</v>
      </c>
      <c r="E251" s="55" t="str">
        <f>IF(C251="","",_xlfn.XLOOKUP(Ejecucion[[#This Row],[No. Solicitud]],Registro!$B$8:$B$999,Registro!$H$8:$H$999,"",0))</f>
        <v>Curso 25</v>
      </c>
      <c r="F251" s="29">
        <v>1</v>
      </c>
      <c r="G251" s="29">
        <v>43830</v>
      </c>
      <c r="H251" s="29" t="s">
        <v>755</v>
      </c>
      <c r="I251" s="97">
        <v>46287</v>
      </c>
      <c r="J251" s="94">
        <v>46287</v>
      </c>
      <c r="K251" s="29">
        <f>IF(Ejecucion[[#This Row],[Fecha Fin]]="","",MONTH(Ejecucion[[#This Row],[Fecha Fin]]))</f>
        <v>9</v>
      </c>
      <c r="L251" s="93" t="s">
        <v>75</v>
      </c>
      <c r="M251" s="29"/>
      <c r="N251" s="29"/>
      <c r="O251" s="29"/>
      <c r="P251" s="29"/>
      <c r="Q251" s="29"/>
      <c r="R251" s="93"/>
      <c r="S251" s="29"/>
      <c r="T251" s="93"/>
    </row>
    <row r="252" spans="1:20" ht="28.8" customHeight="1">
      <c r="A252" s="30">
        <f>ROW() - ROW(Ejecucion[[#Headers],[Correlativo]])</f>
        <v>248</v>
      </c>
      <c r="B252" s="24" t="s">
        <v>186</v>
      </c>
      <c r="C252" s="28" t="str">
        <f>IF(Ejecucion[[#This Row],[No. Solicitud]]="","",_xlfn.XLOOKUP(Ejecucion[[#This Row],[No. Solicitud]],Registro!$B$8:$B$997,Registro!$M$8:$M$997,"Sin Dato",0))</f>
        <v>Gestor 5</v>
      </c>
      <c r="D252" s="84" t="str">
        <f>IF(B252="","",HYPERLINK("#"&amp;"Registro!B"&amp;MATCH(B252,Registro!$B$8:$B$999,0)+7,"Ubicar en registro"))</f>
        <v>Ubicar en registro</v>
      </c>
      <c r="E252" s="55" t="str">
        <f>IF(C252="","",_xlfn.XLOOKUP(Ejecucion[[#This Row],[No. Solicitud]],Registro!$B$8:$B$999,Registro!$H$8:$H$999,"",0))</f>
        <v>Curso 26</v>
      </c>
      <c r="F252" s="29">
        <v>1</v>
      </c>
      <c r="G252" s="29"/>
      <c r="H252" s="29"/>
      <c r="I252" s="57">
        <v>46316</v>
      </c>
      <c r="J252" s="57">
        <v>46323</v>
      </c>
      <c r="K252" s="29">
        <f>IF(Ejecucion[[#This Row],[Fecha Fin]]="","",MONTH(Ejecucion[[#This Row],[Fecha Fin]]))</f>
        <v>10</v>
      </c>
      <c r="L252" s="93" t="s">
        <v>79</v>
      </c>
      <c r="M252" s="29"/>
      <c r="N252" s="29"/>
      <c r="O252" s="29"/>
      <c r="P252" s="29"/>
      <c r="Q252" s="29"/>
      <c r="R252" s="93"/>
      <c r="S252" s="29"/>
      <c r="T252" s="93"/>
    </row>
    <row r="253" spans="1:20" ht="28.8" customHeight="1">
      <c r="A253" s="30">
        <f>ROW() - ROW(Ejecucion[[#Headers],[Correlativo]])</f>
        <v>249</v>
      </c>
      <c r="B253" s="24" t="s">
        <v>190</v>
      </c>
      <c r="C253" s="28" t="str">
        <f>IF(Ejecucion[[#This Row],[No. Solicitud]]="","",_xlfn.XLOOKUP(Ejecucion[[#This Row],[No. Solicitud]],Registro!$B$8:$B$997,Registro!$M$8:$M$997,"Sin Dato",0))</f>
        <v>Gestor 2</v>
      </c>
      <c r="D253" s="84" t="str">
        <f>IF(B253="","",HYPERLINK("#"&amp;"Registro!B"&amp;MATCH(B253,Registro!$B$8:$B$999,0)+7,"Ubicar en registro"))</f>
        <v>Ubicar en registro</v>
      </c>
      <c r="E253" s="55" t="str">
        <f>IF(C253="","",_xlfn.XLOOKUP(Ejecucion[[#This Row],[No. Solicitud]],Registro!$B$8:$B$999,Registro!$H$8:$H$999,"",0))</f>
        <v>Curso 27</v>
      </c>
      <c r="F253" s="29">
        <v>1</v>
      </c>
      <c r="G253" s="29">
        <v>43940</v>
      </c>
      <c r="H253" s="29" t="s">
        <v>756</v>
      </c>
      <c r="I253" s="97">
        <v>46286</v>
      </c>
      <c r="J253" s="94">
        <v>46290</v>
      </c>
      <c r="K253" s="29">
        <f>IF(Ejecucion[[#This Row],[Fecha Fin]]="","",MONTH(Ejecucion[[#This Row],[Fecha Fin]]))</f>
        <v>9</v>
      </c>
      <c r="L253" s="93" t="s">
        <v>75</v>
      </c>
      <c r="M253" s="29"/>
      <c r="N253" s="29"/>
      <c r="O253" s="29"/>
      <c r="P253" s="29"/>
      <c r="Q253" s="29"/>
      <c r="R253" s="191" t="s">
        <v>757</v>
      </c>
      <c r="S253" s="29"/>
      <c r="T253" s="93"/>
    </row>
    <row r="254" spans="1:20" ht="28.8" customHeight="1">
      <c r="A254" s="30">
        <f>ROW() - ROW(Ejecucion[[#Headers],[Correlativo]])</f>
        <v>250</v>
      </c>
      <c r="B254" s="24" t="s">
        <v>190</v>
      </c>
      <c r="C254" s="28" t="str">
        <f>IF(Ejecucion[[#This Row],[No. Solicitud]]="","",_xlfn.XLOOKUP(Ejecucion[[#This Row],[No. Solicitud]],Registro!$B$8:$B$997,Registro!$M$8:$M$997,"Sin Dato",0))</f>
        <v>Gestor 2</v>
      </c>
      <c r="D254" s="84" t="str">
        <f>IF(B254="","",HYPERLINK("#"&amp;"Registro!B"&amp;MATCH(B254,Registro!$B$8:$B$999,0)+7,"Ubicar en registro"))</f>
        <v>Ubicar en registro</v>
      </c>
      <c r="E254" s="55" t="str">
        <f>IF(C254="","",_xlfn.XLOOKUP(Ejecucion[[#This Row],[No. Solicitud]],Registro!$B$8:$B$999,Registro!$H$8:$H$999,"",0))</f>
        <v>Curso 27</v>
      </c>
      <c r="F254" s="29">
        <v>2</v>
      </c>
      <c r="G254" s="29">
        <v>43941</v>
      </c>
      <c r="H254" s="29" t="s">
        <v>756</v>
      </c>
      <c r="I254" s="97">
        <v>46287</v>
      </c>
      <c r="J254" s="94">
        <v>46293</v>
      </c>
      <c r="K254" s="29">
        <f>IF(Ejecucion[[#This Row],[Fecha Fin]]="","",MONTH(Ejecucion[[#This Row],[Fecha Fin]]))</f>
        <v>9</v>
      </c>
      <c r="L254" s="93" t="s">
        <v>75</v>
      </c>
      <c r="M254" s="29"/>
      <c r="N254" s="29"/>
      <c r="O254" s="29"/>
      <c r="P254" s="29"/>
      <c r="Q254" s="29"/>
      <c r="R254" s="191" t="s">
        <v>758</v>
      </c>
      <c r="S254" s="29"/>
      <c r="T254" s="93"/>
    </row>
    <row r="255" spans="1:20" ht="28.8" customHeight="1">
      <c r="A255" s="30">
        <f>ROW() - ROW(Ejecucion[[#Headers],[Correlativo]])</f>
        <v>251</v>
      </c>
      <c r="B255" s="24" t="s">
        <v>194</v>
      </c>
      <c r="C255" s="28" t="str">
        <f>IF(Ejecucion[[#This Row],[No. Solicitud]]="","",_xlfn.XLOOKUP(Ejecucion[[#This Row],[No. Solicitud]],Registro!$B$8:$B$997,Registro!$M$8:$M$997,"Sin Dato",0))</f>
        <v>Gestor 2</v>
      </c>
      <c r="D255" s="84" t="str">
        <f>IF(B255="","",HYPERLINK("#"&amp;"Registro!B"&amp;MATCH(B255,Registro!$B$8:$B$999,0)+7,"Ubicar en registro"))</f>
        <v>Ubicar en registro</v>
      </c>
      <c r="E255" s="55" t="str">
        <f>IF(C255="","",_xlfn.XLOOKUP(Ejecucion[[#This Row],[No. Solicitud]],Registro!$B$8:$B$999,Registro!$H$8:$H$999,"",0))</f>
        <v>Curso 28</v>
      </c>
      <c r="F255" s="29">
        <v>1</v>
      </c>
      <c r="G255" s="29">
        <v>44142</v>
      </c>
      <c r="H255" s="29" t="s">
        <v>759</v>
      </c>
      <c r="I255" s="97">
        <v>46300</v>
      </c>
      <c r="J255" s="94">
        <v>46302</v>
      </c>
      <c r="K255" s="29">
        <f>IF(Ejecucion[[#This Row],[Fecha Fin]]="","",MONTH(Ejecucion[[#This Row],[Fecha Fin]]))</f>
        <v>10</v>
      </c>
      <c r="L255" s="93" t="s">
        <v>79</v>
      </c>
      <c r="M255" s="29">
        <v>25</v>
      </c>
      <c r="N255" s="29">
        <v>19</v>
      </c>
      <c r="O255" s="29"/>
      <c r="P255" s="29"/>
      <c r="Q255" s="29"/>
      <c r="R255" s="93"/>
      <c r="S255" s="29"/>
      <c r="T255" s="93"/>
    </row>
    <row r="256" spans="1:20" ht="28.8" customHeight="1">
      <c r="A256" s="30">
        <f>ROW() - ROW(Ejecucion[[#Headers],[Correlativo]])</f>
        <v>252</v>
      </c>
      <c r="B256" s="24" t="s">
        <v>194</v>
      </c>
      <c r="C256" s="28" t="str">
        <f>IF(Ejecucion[[#This Row],[No. Solicitud]]="","",_xlfn.XLOOKUP(Ejecucion[[#This Row],[No. Solicitud]],Registro!$B$8:$B$997,Registro!$M$8:$M$997,"Sin Dato",0))</f>
        <v>Gestor 2</v>
      </c>
      <c r="D256" s="84" t="str">
        <f>IF(B256="","",HYPERLINK("#"&amp;"Registro!B"&amp;MATCH(B256,Registro!$B$8:$B$999,0)+7,"Ubicar en registro"))</f>
        <v>Ubicar en registro</v>
      </c>
      <c r="E256" s="55" t="str">
        <f>IF(C256="","",_xlfn.XLOOKUP(Ejecucion[[#This Row],[No. Solicitud]],Registro!$B$8:$B$999,Registro!$H$8:$H$999,"",0))</f>
        <v>Curso 28</v>
      </c>
      <c r="F256" s="29">
        <v>2</v>
      </c>
      <c r="G256" s="29">
        <v>44147</v>
      </c>
      <c r="H256" s="29" t="s">
        <v>759</v>
      </c>
      <c r="I256" s="97">
        <v>46307</v>
      </c>
      <c r="J256" s="94">
        <v>46309</v>
      </c>
      <c r="K256" s="29">
        <f>IF(Ejecucion[[#This Row],[Fecha Fin]]="","",MONTH(Ejecucion[[#This Row],[Fecha Fin]]))</f>
        <v>10</v>
      </c>
      <c r="L256" s="93" t="s">
        <v>79</v>
      </c>
      <c r="M256" s="29">
        <v>25</v>
      </c>
      <c r="N256" s="29"/>
      <c r="O256" s="29"/>
      <c r="P256" s="29"/>
      <c r="Q256" s="29"/>
      <c r="R256" s="93"/>
      <c r="S256" s="29"/>
      <c r="T256" s="93"/>
    </row>
    <row r="257" spans="1:20" ht="28.8" customHeight="1">
      <c r="A257" s="30">
        <f>ROW() - ROW(Ejecucion[[#Headers],[Correlativo]])</f>
        <v>253</v>
      </c>
      <c r="B257" s="24" t="s">
        <v>198</v>
      </c>
      <c r="C257" s="28" t="str">
        <f>IF(Ejecucion[[#This Row],[No. Solicitud]]="","",_xlfn.XLOOKUP(Ejecucion[[#This Row],[No. Solicitud]],Registro!$B$8:$B$997,Registro!$M$8:$M$997,"Sin Dato",0))</f>
        <v>Gestor 4</v>
      </c>
      <c r="D257" s="84" t="str">
        <f>IF(B257="","",HYPERLINK("#"&amp;"Registro!B"&amp;MATCH(B257,Registro!$B$8:$B$999,0)+7,"Ubicar en registro"))</f>
        <v>Ubicar en registro</v>
      </c>
      <c r="E257" s="55" t="str">
        <f>IF(C257="","",_xlfn.XLOOKUP(Ejecucion[[#This Row],[No. Solicitud]],Registro!$B$8:$B$999,Registro!$H$8:$H$999,"",0))</f>
        <v>Curso 29</v>
      </c>
      <c r="F257" s="29">
        <v>1</v>
      </c>
      <c r="G257" s="29"/>
      <c r="H257" s="29"/>
      <c r="I257" s="97">
        <v>46321</v>
      </c>
      <c r="J257" s="94">
        <v>46323</v>
      </c>
      <c r="K257" s="29">
        <f>IF(Ejecucion[[#This Row],[Fecha Fin]]="","",MONTH(Ejecucion[[#This Row],[Fecha Fin]]))</f>
        <v>10</v>
      </c>
      <c r="L257" s="93" t="s">
        <v>79</v>
      </c>
      <c r="M257" s="29"/>
      <c r="N257" s="29"/>
      <c r="O257" s="29"/>
      <c r="P257" s="29"/>
      <c r="Q257" s="29"/>
      <c r="R257" s="93"/>
      <c r="S257" s="29"/>
      <c r="T257" s="93"/>
    </row>
    <row r="258" spans="1:20" ht="28.8" customHeight="1">
      <c r="A258" s="30">
        <f>ROW() - ROW(Ejecucion[[#Headers],[Correlativo]])</f>
        <v>254</v>
      </c>
      <c r="B258" s="24" t="s">
        <v>198</v>
      </c>
      <c r="C258" s="28" t="str">
        <f>IF(Ejecucion[[#This Row],[No. Solicitud]]="","",_xlfn.XLOOKUP(Ejecucion[[#This Row],[No. Solicitud]],Registro!$B$8:$B$997,Registro!$M$8:$M$997,"Sin Dato",0))</f>
        <v>Gestor 4</v>
      </c>
      <c r="D258" s="84" t="str">
        <f>IF(B258="","",HYPERLINK("#"&amp;"Registro!B"&amp;MATCH(B258,Registro!$B$8:$B$999,0)+7,"Ubicar en registro"))</f>
        <v>Ubicar en registro</v>
      </c>
      <c r="E258" s="55" t="str">
        <f>IF(C258="","",_xlfn.XLOOKUP(Ejecucion[[#This Row],[No. Solicitud]],Registro!$B$8:$B$999,Registro!$H$8:$H$999,"",0))</f>
        <v>Curso 29</v>
      </c>
      <c r="F258" s="29">
        <v>2</v>
      </c>
      <c r="G258" s="29"/>
      <c r="H258" s="29"/>
      <c r="I258" s="97">
        <v>46322</v>
      </c>
      <c r="J258" s="94">
        <v>46324</v>
      </c>
      <c r="K258" s="29">
        <f>IF(Ejecucion[[#This Row],[Fecha Fin]]="","",MONTH(Ejecucion[[#This Row],[Fecha Fin]]))</f>
        <v>10</v>
      </c>
      <c r="L258" s="93" t="s">
        <v>79</v>
      </c>
      <c r="M258" s="29"/>
      <c r="N258" s="29"/>
      <c r="O258" s="29"/>
      <c r="P258" s="29"/>
      <c r="Q258" s="29"/>
      <c r="R258" s="93"/>
      <c r="S258" s="29"/>
      <c r="T258" s="93"/>
    </row>
    <row r="259" spans="1:20" ht="28.8" customHeight="1">
      <c r="A259" s="30">
        <f>ROW() - ROW(Ejecucion[[#Headers],[Correlativo]])</f>
        <v>255</v>
      </c>
      <c r="B259" s="24" t="s">
        <v>202</v>
      </c>
      <c r="C259" s="28" t="str">
        <f>IF(Ejecucion[[#This Row],[No. Solicitud]]="","",_xlfn.XLOOKUP(Ejecucion[[#This Row],[No. Solicitud]],Registro!$B$8:$B$997,Registro!$M$8:$M$997,"Sin Dato",0))</f>
        <v>Gestor 1</v>
      </c>
      <c r="D259" s="84" t="str">
        <f>IF(B259="","",HYPERLINK("#"&amp;"Registro!B"&amp;MATCH(B259,Registro!$B$8:$B$999,0)+7,"Ubicar en registro"))</f>
        <v>Ubicar en registro</v>
      </c>
      <c r="E259" s="55" t="str">
        <f>IF(C259="","",_xlfn.XLOOKUP(Ejecucion[[#This Row],[No. Solicitud]],Registro!$B$8:$B$999,Registro!$H$8:$H$999,"",0))</f>
        <v>Curso 30</v>
      </c>
      <c r="F259" s="29">
        <v>1</v>
      </c>
      <c r="G259" s="29"/>
      <c r="H259" s="29"/>
      <c r="I259" s="97">
        <v>46329</v>
      </c>
      <c r="J259" s="94">
        <v>46335</v>
      </c>
      <c r="K259" s="29">
        <f>IF(Ejecucion[[#This Row],[Fecha Fin]]="","",MONTH(Ejecucion[[#This Row],[Fecha Fin]]))</f>
        <v>11</v>
      </c>
      <c r="L259" s="93" t="s">
        <v>79</v>
      </c>
      <c r="M259" s="29"/>
      <c r="N259" s="29"/>
      <c r="O259" s="29"/>
      <c r="P259" s="29"/>
      <c r="Q259" s="29"/>
      <c r="R259" s="93"/>
      <c r="S259" s="29"/>
      <c r="T259" s="93"/>
    </row>
    <row r="260" spans="1:20" ht="28.8" customHeight="1">
      <c r="A260" s="30">
        <f>ROW() - ROW(Ejecucion[[#Headers],[Correlativo]])</f>
        <v>256</v>
      </c>
      <c r="B260" s="24" t="s">
        <v>202</v>
      </c>
      <c r="C260" s="28" t="str">
        <f>IF(Ejecucion[[#This Row],[No. Solicitud]]="","",_xlfn.XLOOKUP(Ejecucion[[#This Row],[No. Solicitud]],Registro!$B$8:$B$997,Registro!$M$8:$M$997,"Sin Dato",0))</f>
        <v>Gestor 1</v>
      </c>
      <c r="D260" s="84" t="str">
        <f>IF(B260="","",HYPERLINK("#"&amp;"Registro!B"&amp;MATCH(B260,Registro!$B$8:$B$999,0)+7,"Ubicar en registro"))</f>
        <v>Ubicar en registro</v>
      </c>
      <c r="E260" s="55" t="str">
        <f>IF(C260="","",_xlfn.XLOOKUP(Ejecucion[[#This Row],[No. Solicitud]],Registro!$B$8:$B$999,Registro!$H$8:$H$999,"",0))</f>
        <v>Curso 30</v>
      </c>
      <c r="F260" s="29">
        <v>2</v>
      </c>
      <c r="G260" s="29"/>
      <c r="H260" s="29"/>
      <c r="I260" s="97">
        <v>46336</v>
      </c>
      <c r="J260" s="94">
        <v>46342</v>
      </c>
      <c r="K260" s="29">
        <f>IF(Ejecucion[[#This Row],[Fecha Fin]]="","",MONTH(Ejecucion[[#This Row],[Fecha Fin]]))</f>
        <v>11</v>
      </c>
      <c r="L260" s="93" t="s">
        <v>79</v>
      </c>
      <c r="M260" s="29"/>
      <c r="N260" s="29"/>
      <c r="O260" s="29"/>
      <c r="P260" s="29"/>
      <c r="Q260" s="29"/>
      <c r="R260" s="93"/>
      <c r="S260" s="29"/>
      <c r="T260" s="93"/>
    </row>
    <row r="261" spans="1:20" ht="43.2" customHeight="1">
      <c r="A261" s="30">
        <f>ROW() - ROW(Ejecucion[[#Headers],[Correlativo]])</f>
        <v>257</v>
      </c>
      <c r="B261" s="24" t="s">
        <v>206</v>
      </c>
      <c r="C261" s="28" t="str">
        <f>IF(Ejecucion[[#This Row],[No. Solicitud]]="","",_xlfn.XLOOKUP(Ejecucion[[#This Row],[No. Solicitud]],Registro!$B$8:$B$997,Registro!$M$8:$M$997,"Sin Dato",0))</f>
        <v>Gestor 1</v>
      </c>
      <c r="D261" s="84" t="str">
        <f>IF(B261="","",HYPERLINK("#"&amp;"Registro!B"&amp;MATCH(B261,Registro!$B$8:$B$999,0)+7,"Ubicar en registro"))</f>
        <v>Ubicar en registro</v>
      </c>
      <c r="E261" s="55" t="str">
        <f>IF(C261="","",_xlfn.XLOOKUP(Ejecucion[[#This Row],[No. Solicitud]],Registro!$B$8:$B$999,Registro!$H$8:$H$999,"",0))</f>
        <v>Curso 31</v>
      </c>
      <c r="F261" s="29">
        <v>1</v>
      </c>
      <c r="G261" s="29"/>
      <c r="H261" s="29"/>
      <c r="I261" s="97">
        <v>46349</v>
      </c>
      <c r="J261" s="94">
        <v>46351</v>
      </c>
      <c r="K261" s="29">
        <f>IF(Ejecucion[[#This Row],[Fecha Fin]]="","",MONTH(Ejecucion[[#This Row],[Fecha Fin]]))</f>
        <v>11</v>
      </c>
      <c r="L261" s="93" t="s">
        <v>79</v>
      </c>
      <c r="M261" s="29"/>
      <c r="N261" s="29"/>
      <c r="O261" s="29"/>
      <c r="P261" s="29"/>
      <c r="Q261" s="29"/>
      <c r="R261" s="93"/>
      <c r="S261" s="29"/>
      <c r="T261" s="93"/>
    </row>
    <row r="262" spans="1:20" ht="43.2" customHeight="1">
      <c r="A262" s="30">
        <f>ROW() - ROW(Ejecucion[[#Headers],[Correlativo]])</f>
        <v>258</v>
      </c>
      <c r="B262" s="24" t="s">
        <v>206</v>
      </c>
      <c r="C262" s="28" t="str">
        <f>IF(Ejecucion[[#This Row],[No. Solicitud]]="","",_xlfn.XLOOKUP(Ejecucion[[#This Row],[No. Solicitud]],Registro!$B$8:$B$997,Registro!$M$8:$M$997,"Sin Dato",0))</f>
        <v>Gestor 1</v>
      </c>
      <c r="D262" s="84" t="str">
        <f>IF(B262="","",HYPERLINK("#"&amp;"Registro!B"&amp;MATCH(B262,Registro!$B$8:$B$999,0)+7,"Ubicar en registro"))</f>
        <v>Ubicar en registro</v>
      </c>
      <c r="E262" s="55" t="str">
        <f>IF(C262="","",_xlfn.XLOOKUP(Ejecucion[[#This Row],[No. Solicitud]],Registro!$B$8:$B$999,Registro!$H$8:$H$999,"",0))</f>
        <v>Curso 31</v>
      </c>
      <c r="F262" s="29">
        <v>2</v>
      </c>
      <c r="G262" s="29"/>
      <c r="H262" s="29"/>
      <c r="I262" s="97">
        <v>46350</v>
      </c>
      <c r="J262" s="94">
        <v>46352</v>
      </c>
      <c r="K262" s="29">
        <f>IF(Ejecucion[[#This Row],[Fecha Fin]]="","",MONTH(Ejecucion[[#This Row],[Fecha Fin]]))</f>
        <v>11</v>
      </c>
      <c r="L262" s="93" t="s">
        <v>79</v>
      </c>
      <c r="M262" s="29"/>
      <c r="N262" s="29"/>
      <c r="O262" s="29"/>
      <c r="P262" s="29"/>
      <c r="Q262" s="29"/>
      <c r="R262" s="93"/>
      <c r="S262" s="29"/>
      <c r="T262" s="93"/>
    </row>
    <row r="263" spans="1:20" ht="28.8" customHeight="1">
      <c r="A263" s="30">
        <f>ROW() - ROW(Ejecucion[[#Headers],[Correlativo]])</f>
        <v>259</v>
      </c>
      <c r="B263" s="24" t="s">
        <v>210</v>
      </c>
      <c r="C263" s="28" t="str">
        <f>IF(Ejecucion[[#This Row],[No. Solicitud]]="","",_xlfn.XLOOKUP(Ejecucion[[#This Row],[No. Solicitud]],Registro!$B$8:$B$997,Registro!$M$8:$M$997,"Sin Dato",0))</f>
        <v>Gestor 4</v>
      </c>
      <c r="D263" s="84" t="str">
        <f>IF(B263="","",HYPERLINK("#"&amp;"Registro!B"&amp;MATCH(B263,Registro!$B$8:$B$999,0)+7,"Ubicar en registro"))</f>
        <v>Ubicar en registro</v>
      </c>
      <c r="E263" s="55" t="str">
        <f>IF(C263="","",_xlfn.XLOOKUP(Ejecucion[[#This Row],[No. Solicitud]],Registro!$B$8:$B$999,Registro!$H$8:$H$999,"",0))</f>
        <v>Curso 32</v>
      </c>
      <c r="F263" s="29">
        <v>1</v>
      </c>
      <c r="G263" s="29"/>
      <c r="H263" s="29"/>
      <c r="I263" s="97"/>
      <c r="J263" s="94"/>
      <c r="K263" s="29" t="str">
        <f>IF(Ejecucion[[#This Row],[Fecha Fin]]="","",MONTH(Ejecucion[[#This Row],[Fecha Fin]]))</f>
        <v/>
      </c>
      <c r="L263" s="93"/>
      <c r="M263" s="29"/>
      <c r="N263" s="29"/>
      <c r="O263" s="29"/>
      <c r="P263" s="29"/>
      <c r="Q263" s="29"/>
      <c r="R263" s="93"/>
      <c r="S263" s="29"/>
      <c r="T263" s="93"/>
    </row>
    <row r="264" spans="1:20" ht="28.8" customHeight="1">
      <c r="A264" s="30">
        <f>ROW() - ROW(Ejecucion[[#Headers],[Correlativo]])</f>
        <v>260</v>
      </c>
      <c r="B264" s="24" t="s">
        <v>210</v>
      </c>
      <c r="C264" s="28" t="str">
        <f>IF(Ejecucion[[#This Row],[No. Solicitud]]="","",_xlfn.XLOOKUP(Ejecucion[[#This Row],[No. Solicitud]],Registro!$B$8:$B$997,Registro!$M$8:$M$997,"Sin Dato",0))</f>
        <v>Gestor 4</v>
      </c>
      <c r="D264" s="84" t="str">
        <f>IF(B264="","",HYPERLINK("#"&amp;"Registro!B"&amp;MATCH(B264,Registro!$B$8:$B$999,0)+7,"Ubicar en registro"))</f>
        <v>Ubicar en registro</v>
      </c>
      <c r="E264" s="55" t="str">
        <f>IF(C264="","",_xlfn.XLOOKUP(Ejecucion[[#This Row],[No. Solicitud]],Registro!$B$8:$B$999,Registro!$H$8:$H$999,"",0))</f>
        <v>Curso 32</v>
      </c>
      <c r="F264" s="29">
        <v>2</v>
      </c>
      <c r="G264" s="29"/>
      <c r="H264" s="29"/>
      <c r="I264" s="97"/>
      <c r="J264" s="94"/>
      <c r="K264" s="29" t="str">
        <f>IF(Ejecucion[[#This Row],[Fecha Fin]]="","",MONTH(Ejecucion[[#This Row],[Fecha Fin]]))</f>
        <v/>
      </c>
      <c r="L264" s="93"/>
      <c r="M264" s="29"/>
      <c r="N264" s="29"/>
      <c r="O264" s="29"/>
      <c r="P264" s="29"/>
      <c r="Q264" s="29"/>
      <c r="R264" s="93"/>
      <c r="S264" s="29"/>
      <c r="T264" s="93"/>
    </row>
    <row r="265" spans="1:20" ht="28.8" customHeight="1">
      <c r="A265" s="30">
        <f>ROW() - ROW(Ejecucion[[#Headers],[Correlativo]])</f>
        <v>261</v>
      </c>
      <c r="B265" s="24" t="s">
        <v>214</v>
      </c>
      <c r="C265" s="28" t="str">
        <f>IF(Ejecucion[[#This Row],[No. Solicitud]]="","",_xlfn.XLOOKUP(Ejecucion[[#This Row],[No. Solicitud]],Registro!$B$8:$B$997,Registro!$M$8:$M$997,"Sin Dato",0))</f>
        <v>Gestor 1</v>
      </c>
      <c r="D265" s="84" t="str">
        <f>IF(B265="","",HYPERLINK("#"&amp;"Registro!B"&amp;MATCH(B265,Registro!$B$8:$B$999,0)+7,"Ubicar en registro"))</f>
        <v>Ubicar en registro</v>
      </c>
      <c r="E265" s="55" t="str">
        <f>IF(C265="","",_xlfn.XLOOKUP(Ejecucion[[#This Row],[No. Solicitud]],Registro!$B$8:$B$999,Registro!$H$8:$H$999,"",0))</f>
        <v>Curso 33</v>
      </c>
      <c r="F265" s="29" t="s">
        <v>760</v>
      </c>
      <c r="G265" s="29">
        <v>44109</v>
      </c>
      <c r="H265" s="29" t="s">
        <v>761</v>
      </c>
      <c r="I265" s="97">
        <v>46293</v>
      </c>
      <c r="J265" s="94">
        <v>46325</v>
      </c>
      <c r="K265" s="29">
        <f>IF(Ejecucion[[#This Row],[Fecha Fin]]="","",MONTH(Ejecucion[[#This Row],[Fecha Fin]]))</f>
        <v>10</v>
      </c>
      <c r="L265" s="93" t="s">
        <v>75</v>
      </c>
      <c r="M265" s="29"/>
      <c r="N265" s="29"/>
      <c r="O265" s="29"/>
      <c r="P265" s="29"/>
      <c r="Q265" s="29"/>
      <c r="R265" s="93"/>
      <c r="S265" s="29"/>
      <c r="T265" s="93"/>
    </row>
    <row r="266" spans="1:20" ht="28.8" customHeight="1">
      <c r="A266" s="30">
        <f>ROW() - ROW(Ejecucion[[#Headers],[Correlativo]])</f>
        <v>262</v>
      </c>
      <c r="B266" s="24" t="s">
        <v>216</v>
      </c>
      <c r="C266" s="28" t="str">
        <f>IF(Ejecucion[[#This Row],[No. Solicitud]]="","",_xlfn.XLOOKUP(Ejecucion[[#This Row],[No. Solicitud]],Registro!$B$8:$B$997,Registro!$M$8:$M$997,"Sin Dato",0))</f>
        <v>Gestor 3</v>
      </c>
      <c r="D266" s="84" t="str">
        <f>IF(B266="","",HYPERLINK("#"&amp;"Registro!B"&amp;MATCH(B266,Registro!$B$8:$B$999,0)+7,"Ubicar en registro"))</f>
        <v>Ubicar en registro</v>
      </c>
      <c r="E266" s="55" t="str">
        <f>IF(C266="","",_xlfn.XLOOKUP(Ejecucion[[#This Row],[No. Solicitud]],Registro!$B$8:$B$999,Registro!$H$8:$H$999,"",0))</f>
        <v>Curso 34</v>
      </c>
      <c r="F266" s="29">
        <v>1</v>
      </c>
      <c r="G266" s="29">
        <v>43881</v>
      </c>
      <c r="H266" s="29" t="s">
        <v>762</v>
      </c>
      <c r="I266" s="97">
        <v>46308</v>
      </c>
      <c r="J266" s="94">
        <v>46308</v>
      </c>
      <c r="K266" s="29">
        <f>IF(Ejecucion[[#This Row],[Fecha Fin]]="","",MONTH(Ejecucion[[#This Row],[Fecha Fin]]))</f>
        <v>10</v>
      </c>
      <c r="L266" s="93" t="s">
        <v>79</v>
      </c>
      <c r="M266" s="29">
        <v>25</v>
      </c>
      <c r="N266" s="29"/>
      <c r="O266" s="29"/>
      <c r="P266" s="29"/>
      <c r="Q266" s="29"/>
      <c r="R266" s="93"/>
      <c r="S266" s="29"/>
      <c r="T266" s="93"/>
    </row>
    <row r="267" spans="1:20" ht="28.8" customHeight="1">
      <c r="A267" s="30">
        <f>ROW() - ROW(Ejecucion[[#Headers],[Correlativo]])</f>
        <v>263</v>
      </c>
      <c r="B267" s="24" t="s">
        <v>218</v>
      </c>
      <c r="C267" s="28" t="str">
        <f>IF(Ejecucion[[#This Row],[No. Solicitud]]="","",_xlfn.XLOOKUP(Ejecucion[[#This Row],[No. Solicitud]],Registro!$B$8:$B$997,Registro!$M$8:$M$997,"Sin Dato",0))</f>
        <v>Gestor 2</v>
      </c>
      <c r="D267" s="84" t="str">
        <f>IF(B267="","",HYPERLINK("#"&amp;"Registro!B"&amp;MATCH(B267,Registro!$B$8:$B$999,0)+7,"Ubicar en registro"))</f>
        <v>Ubicar en registro</v>
      </c>
      <c r="E267" s="55" t="str">
        <f>IF(C267="","",_xlfn.XLOOKUP(Ejecucion[[#This Row],[No. Solicitud]],Registro!$B$8:$B$999,Registro!$H$8:$H$999,"",0))</f>
        <v>Curso 35</v>
      </c>
      <c r="F267" s="29">
        <v>1</v>
      </c>
      <c r="G267" s="29"/>
      <c r="H267" s="29"/>
      <c r="I267" s="97">
        <v>46316</v>
      </c>
      <c r="J267" s="94">
        <v>46316</v>
      </c>
      <c r="K267" s="29">
        <f>IF(Ejecucion[[#This Row],[Fecha Fin]]="","",MONTH(Ejecucion[[#This Row],[Fecha Fin]]))</f>
        <v>10</v>
      </c>
      <c r="L267" s="93" t="s">
        <v>79</v>
      </c>
      <c r="M267" s="29">
        <v>25</v>
      </c>
      <c r="N267" s="29"/>
      <c r="O267" s="29"/>
      <c r="P267" s="29"/>
      <c r="Q267" s="29"/>
      <c r="R267" s="93"/>
      <c r="S267" s="29"/>
      <c r="T267" s="93"/>
    </row>
    <row r="268" spans="1:20" ht="28.8" customHeight="1">
      <c r="A268" s="30">
        <f>ROW() - ROW(Ejecucion[[#Headers],[Correlativo]])</f>
        <v>264</v>
      </c>
      <c r="B268" s="24" t="s">
        <v>218</v>
      </c>
      <c r="C268" s="28" t="str">
        <f>IF(Ejecucion[[#This Row],[No. Solicitud]]="","",_xlfn.XLOOKUP(Ejecucion[[#This Row],[No. Solicitud]],Registro!$B$8:$B$997,Registro!$M$8:$M$997,"Sin Dato",0))</f>
        <v>Gestor 2</v>
      </c>
      <c r="D268" s="84" t="str">
        <f>IF(B268="","",HYPERLINK("#"&amp;"Registro!B"&amp;MATCH(B268,Registro!$B$8:$B$999,0)+7,"Ubicar en registro"))</f>
        <v>Ubicar en registro</v>
      </c>
      <c r="E268" s="55" t="str">
        <f>IF(C268="","",_xlfn.XLOOKUP(Ejecucion[[#This Row],[No. Solicitud]],Registro!$B$8:$B$999,Registro!$H$8:$H$999,"",0))</f>
        <v>Curso 35</v>
      </c>
      <c r="F268" s="29">
        <v>2</v>
      </c>
      <c r="G268" s="29"/>
      <c r="H268" s="29"/>
      <c r="I268" s="97">
        <v>46318</v>
      </c>
      <c r="J268" s="97">
        <v>46318</v>
      </c>
      <c r="K268" s="29">
        <f>IF(Ejecucion[[#This Row],[Fecha Fin]]="","",MONTH(Ejecucion[[#This Row],[Fecha Fin]]))</f>
        <v>10</v>
      </c>
      <c r="L268" s="93" t="s">
        <v>79</v>
      </c>
      <c r="M268" s="29">
        <v>25</v>
      </c>
      <c r="N268" s="29"/>
      <c r="O268" s="29"/>
      <c r="P268" s="29"/>
      <c r="Q268" s="29"/>
      <c r="R268" s="93"/>
      <c r="S268" s="29"/>
      <c r="T268" s="93"/>
    </row>
    <row r="269" spans="1:20" ht="28.8" customHeight="1">
      <c r="A269" s="30">
        <f>ROW() - ROW(Ejecucion[[#Headers],[Correlativo]])</f>
        <v>265</v>
      </c>
      <c r="B269" s="24" t="s">
        <v>220</v>
      </c>
      <c r="C269" s="28" t="str">
        <f>IF(Ejecucion[[#This Row],[No. Solicitud]]="","",_xlfn.XLOOKUP(Ejecucion[[#This Row],[No. Solicitud]],Registro!$B$8:$B$997,Registro!$M$8:$M$997,"Sin Dato",0))</f>
        <v>Gestor 4</v>
      </c>
      <c r="D269" s="84" t="str">
        <f>IF(B269="","",HYPERLINK("#"&amp;"Registro!B"&amp;MATCH(B269,Registro!$B$8:$B$999,0)+7,"Ubicar en registro"))</f>
        <v>Ubicar en registro</v>
      </c>
      <c r="E269" s="55" t="str">
        <f>IF(C269="","",_xlfn.XLOOKUP(Ejecucion[[#This Row],[No. Solicitud]],Registro!$B$8:$B$999,Registro!$H$8:$H$999,"",0))</f>
        <v>Curso 36</v>
      </c>
      <c r="F269" s="29">
        <v>1</v>
      </c>
      <c r="G269" s="29"/>
      <c r="H269" s="29"/>
      <c r="I269" s="97">
        <v>46331</v>
      </c>
      <c r="J269" s="94">
        <v>46337</v>
      </c>
      <c r="K269" s="29">
        <f>IF(Ejecucion[[#This Row],[Fecha Fin]]="","",MONTH(Ejecucion[[#This Row],[Fecha Fin]]))</f>
        <v>11</v>
      </c>
      <c r="L269" s="93" t="s">
        <v>79</v>
      </c>
      <c r="M269" s="29"/>
      <c r="N269" s="29"/>
      <c r="O269" s="29"/>
      <c r="P269" s="29"/>
      <c r="Q269" s="29"/>
      <c r="R269" s="93"/>
      <c r="S269" s="29"/>
      <c r="T269" s="93" t="s">
        <v>763</v>
      </c>
    </row>
    <row r="270" spans="1:20" ht="28.8" customHeight="1">
      <c r="A270" s="30">
        <f>ROW() - ROW(Ejecucion[[#Headers],[Correlativo]])</f>
        <v>266</v>
      </c>
      <c r="B270" s="24" t="s">
        <v>224</v>
      </c>
      <c r="C270" s="28" t="str">
        <f>IF(Ejecucion[[#This Row],[No. Solicitud]]="","",_xlfn.XLOOKUP(Ejecucion[[#This Row],[No. Solicitud]],Registro!$B$8:$B$997,Registro!$M$8:$M$997,"Sin Dato",0))</f>
        <v>Gestor 2</v>
      </c>
      <c r="D270" s="84" t="str">
        <f>IF(B270="","",HYPERLINK("#"&amp;"Registro!B"&amp;MATCH(B270,Registro!$B$8:$B$999,0)+7,"Ubicar en registro"))</f>
        <v>Ubicar en registro</v>
      </c>
      <c r="E270" s="55" t="str">
        <f>IF(C270="","",_xlfn.XLOOKUP(Ejecucion[[#This Row],[No. Solicitud]],Registro!$B$8:$B$999,Registro!$H$8:$H$999,"",0))</f>
        <v>Curso 38</v>
      </c>
      <c r="F270" s="29">
        <v>1</v>
      </c>
      <c r="G270" s="29">
        <v>43931</v>
      </c>
      <c r="H270" s="29" t="s">
        <v>764</v>
      </c>
      <c r="I270" s="97">
        <v>46289</v>
      </c>
      <c r="J270" s="97">
        <v>46289</v>
      </c>
      <c r="K270" s="29">
        <f>IF(Ejecucion[[#This Row],[Fecha Fin]]="","",MONTH(Ejecucion[[#This Row],[Fecha Fin]]))</f>
        <v>9</v>
      </c>
      <c r="L270" s="93" t="s">
        <v>75</v>
      </c>
      <c r="M270" s="29">
        <v>25</v>
      </c>
      <c r="N270" s="29"/>
      <c r="O270" s="29"/>
      <c r="P270" s="29"/>
      <c r="Q270" s="29"/>
      <c r="R270" s="93"/>
      <c r="S270" s="29"/>
      <c r="T270" s="93"/>
    </row>
    <row r="271" spans="1:20" ht="28.8" customHeight="1">
      <c r="A271" s="30">
        <f>ROW() - ROW(Ejecucion[[#Headers],[Correlativo]])</f>
        <v>267</v>
      </c>
      <c r="B271" s="24" t="s">
        <v>224</v>
      </c>
      <c r="C271" s="28" t="str">
        <f>IF(Ejecucion[[#This Row],[No. Solicitud]]="","",_xlfn.XLOOKUP(Ejecucion[[#This Row],[No. Solicitud]],Registro!$B$8:$B$997,Registro!$M$8:$M$997,"Sin Dato",0))</f>
        <v>Gestor 2</v>
      </c>
      <c r="D271" s="84" t="str">
        <f>IF(B271="","",HYPERLINK("#"&amp;"Registro!B"&amp;MATCH(B271,Registro!$B$8:$B$999,0)+7,"Ubicar en registro"))</f>
        <v>Ubicar en registro</v>
      </c>
      <c r="E271" s="55" t="str">
        <f>IF(C271="","",_xlfn.XLOOKUP(Ejecucion[[#This Row],[No. Solicitud]],Registro!$B$8:$B$999,Registro!$H$8:$H$999,"",0))</f>
        <v>Curso 38</v>
      </c>
      <c r="F271" s="29">
        <v>2</v>
      </c>
      <c r="G271" s="29">
        <v>43932</v>
      </c>
      <c r="H271" s="29" t="s">
        <v>764</v>
      </c>
      <c r="I271" s="97">
        <v>46293</v>
      </c>
      <c r="J271" s="97">
        <v>46293</v>
      </c>
      <c r="K271" s="29">
        <f>IF(Ejecucion[[#This Row],[Fecha Fin]]="","",MONTH(Ejecucion[[#This Row],[Fecha Fin]]))</f>
        <v>9</v>
      </c>
      <c r="L271" s="93" t="s">
        <v>75</v>
      </c>
      <c r="M271" s="29">
        <v>30</v>
      </c>
      <c r="N271" s="29"/>
      <c r="O271" s="29"/>
      <c r="P271" s="29"/>
      <c r="Q271" s="29"/>
      <c r="R271" s="93"/>
      <c r="S271" s="29"/>
      <c r="T271" s="93"/>
    </row>
    <row r="272" spans="1:20" ht="28.8" customHeight="1">
      <c r="A272" s="30">
        <f>ROW() - ROW(Ejecucion[[#Headers],[Correlativo]])</f>
        <v>268</v>
      </c>
      <c r="B272" s="24" t="s">
        <v>224</v>
      </c>
      <c r="C272" s="28" t="str">
        <f>IF(Ejecucion[[#This Row],[No. Solicitud]]="","",_xlfn.XLOOKUP(Ejecucion[[#This Row],[No. Solicitud]],Registro!$B$8:$B$997,Registro!$M$8:$M$997,"Sin Dato",0))</f>
        <v>Gestor 2</v>
      </c>
      <c r="D272" s="84" t="str">
        <f>IF(B272="","",HYPERLINK("#"&amp;"Registro!B"&amp;MATCH(B272,Registro!$B$8:$B$999,0)+7,"Ubicar en registro"))</f>
        <v>Ubicar en registro</v>
      </c>
      <c r="E272" s="55" t="str">
        <f>IF(C272="","",_xlfn.XLOOKUP(Ejecucion[[#This Row],[No. Solicitud]],Registro!$B$8:$B$999,Registro!$H$8:$H$999,"",0))</f>
        <v>Curso 38</v>
      </c>
      <c r="F272" s="29">
        <v>3</v>
      </c>
      <c r="G272" s="29">
        <v>43934</v>
      </c>
      <c r="H272" s="29" t="s">
        <v>765</v>
      </c>
      <c r="I272" s="97">
        <v>46295</v>
      </c>
      <c r="J272" s="97">
        <v>46295</v>
      </c>
      <c r="K272" s="29">
        <f>IF(Ejecucion[[#This Row],[Fecha Fin]]="","",MONTH(Ejecucion[[#This Row],[Fecha Fin]]))</f>
        <v>9</v>
      </c>
      <c r="L272" s="93" t="s">
        <v>75</v>
      </c>
      <c r="M272" s="29">
        <v>20</v>
      </c>
      <c r="N272" s="29"/>
      <c r="O272" s="29"/>
      <c r="P272" s="29"/>
      <c r="Q272" s="29"/>
      <c r="R272" s="93"/>
      <c r="S272" s="29"/>
      <c r="T272" s="93"/>
    </row>
    <row r="273" spans="1:20" ht="28.8" customHeight="1">
      <c r="A273" s="30">
        <f>ROW() - ROW(Ejecucion[[#Headers],[Correlativo]])</f>
        <v>269</v>
      </c>
      <c r="B273" s="24" t="s">
        <v>224</v>
      </c>
      <c r="C273" s="28" t="str">
        <f>IF(Ejecucion[[#This Row],[No. Solicitud]]="","",_xlfn.XLOOKUP(Ejecucion[[#This Row],[No. Solicitud]],Registro!$B$8:$B$997,Registro!$M$8:$M$997,"Sin Dato",0))</f>
        <v>Gestor 2</v>
      </c>
      <c r="D273" s="84" t="str">
        <f>IF(B273="","",HYPERLINK("#"&amp;"Registro!B"&amp;MATCH(B273,Registro!$B$8:$B$999,0)+7,"Ubicar en registro"))</f>
        <v>Ubicar en registro</v>
      </c>
      <c r="E273" s="55" t="str">
        <f>IF(C273="","",_xlfn.XLOOKUP(Ejecucion[[#This Row],[No. Solicitud]],Registro!$B$8:$B$999,Registro!$H$8:$H$999,"",0))</f>
        <v>Curso 38</v>
      </c>
      <c r="F273" s="29">
        <v>4</v>
      </c>
      <c r="G273" s="29">
        <v>43936</v>
      </c>
      <c r="H273" s="29" t="s">
        <v>766</v>
      </c>
      <c r="I273" s="97">
        <v>46301</v>
      </c>
      <c r="J273" s="97">
        <v>46301</v>
      </c>
      <c r="K273" s="29">
        <f>IF(Ejecucion[[#This Row],[Fecha Fin]]="","",MONTH(Ejecucion[[#This Row],[Fecha Fin]]))</f>
        <v>10</v>
      </c>
      <c r="L273" s="93" t="s">
        <v>75</v>
      </c>
      <c r="M273" s="29">
        <v>20</v>
      </c>
      <c r="N273" s="29"/>
      <c r="O273" s="29"/>
      <c r="P273" s="29"/>
      <c r="Q273" s="29"/>
      <c r="R273" s="93"/>
      <c r="S273" s="29"/>
      <c r="T273" s="93"/>
    </row>
    <row r="274" spans="1:20" ht="28.8" customHeight="1">
      <c r="A274" s="30">
        <f>ROW() - ROW(Ejecucion[[#Headers],[Correlativo]])</f>
        <v>270</v>
      </c>
      <c r="B274" s="24" t="s">
        <v>224</v>
      </c>
      <c r="C274" s="28" t="str">
        <f>IF(Ejecucion[[#This Row],[No. Solicitud]]="","",_xlfn.XLOOKUP(Ejecucion[[#This Row],[No. Solicitud]],Registro!$B$8:$B$997,Registro!$M$8:$M$997,"Sin Dato",0))</f>
        <v>Gestor 2</v>
      </c>
      <c r="D274" s="84" t="str">
        <f>IF(B274="","",HYPERLINK("#"&amp;"Registro!B"&amp;MATCH(B274,Registro!$B$8:$B$999,0)+7,"Ubicar en registro"))</f>
        <v>Ubicar en registro</v>
      </c>
      <c r="E274" s="55" t="str">
        <f>IF(C274="","",_xlfn.XLOOKUP(Ejecucion[[#This Row],[No. Solicitud]],Registro!$B$8:$B$999,Registro!$H$8:$H$999,"",0))</f>
        <v>Curso 38</v>
      </c>
      <c r="F274" s="29">
        <v>5</v>
      </c>
      <c r="G274" s="29">
        <v>43937</v>
      </c>
      <c r="H274" s="29" t="s">
        <v>767</v>
      </c>
      <c r="I274" s="97">
        <v>46302</v>
      </c>
      <c r="J274" s="97">
        <v>46302</v>
      </c>
      <c r="K274" s="29">
        <f>IF(Ejecucion[[#This Row],[Fecha Fin]]="","",MONTH(Ejecucion[[#This Row],[Fecha Fin]]))</f>
        <v>10</v>
      </c>
      <c r="L274" s="93" t="s">
        <v>75</v>
      </c>
      <c r="M274" s="29">
        <v>30</v>
      </c>
      <c r="N274" s="29"/>
      <c r="O274" s="29"/>
      <c r="P274" s="29"/>
      <c r="Q274" s="29"/>
      <c r="R274" s="93"/>
      <c r="S274" s="29"/>
      <c r="T274" s="93"/>
    </row>
    <row r="275" spans="1:20" ht="28.8" customHeight="1">
      <c r="A275" s="30">
        <f>ROW() - ROW(Ejecucion[[#Headers],[Correlativo]])</f>
        <v>271</v>
      </c>
      <c r="B275" s="24" t="s">
        <v>224</v>
      </c>
      <c r="C275" s="28" t="str">
        <f>IF(Ejecucion[[#This Row],[No. Solicitud]]="","",_xlfn.XLOOKUP(Ejecucion[[#This Row],[No. Solicitud]],Registro!$B$8:$B$997,Registro!$M$8:$M$997,"Sin Dato",0))</f>
        <v>Gestor 2</v>
      </c>
      <c r="D275" s="84" t="str">
        <f>IF(B275="","",HYPERLINK("#"&amp;"Registro!B"&amp;MATCH(B275,Registro!$B$8:$B$999,0)+7,"Ubicar en registro"))</f>
        <v>Ubicar en registro</v>
      </c>
      <c r="E275" s="55" t="str">
        <f>IF(C275="","",_xlfn.XLOOKUP(Ejecucion[[#This Row],[No. Solicitud]],Registro!$B$8:$B$999,Registro!$H$8:$H$999,"",0))</f>
        <v>Curso 38</v>
      </c>
      <c r="F275" s="29">
        <v>6</v>
      </c>
      <c r="G275" s="29">
        <v>43939</v>
      </c>
      <c r="H275" s="29" t="s">
        <v>768</v>
      </c>
      <c r="I275" s="97">
        <v>46303</v>
      </c>
      <c r="J275" s="97">
        <v>46303</v>
      </c>
      <c r="K275" s="29">
        <f>IF(Ejecucion[[#This Row],[Fecha Fin]]="","",MONTH(Ejecucion[[#This Row],[Fecha Fin]]))</f>
        <v>10</v>
      </c>
      <c r="L275" s="93" t="s">
        <v>75</v>
      </c>
      <c r="M275" s="29">
        <v>30</v>
      </c>
      <c r="N275" s="29"/>
      <c r="O275" s="29"/>
      <c r="P275" s="29"/>
      <c r="Q275" s="29"/>
      <c r="R275" s="93"/>
      <c r="S275" s="29"/>
      <c r="T275" s="93"/>
    </row>
    <row r="276" spans="1:20" ht="57.6" customHeight="1">
      <c r="A276" s="30">
        <f>ROW() - ROW(Ejecucion[[#Headers],[Correlativo]])</f>
        <v>272</v>
      </c>
      <c r="B276" s="24" t="s">
        <v>222</v>
      </c>
      <c r="C276" s="28" t="str">
        <f>IF(Ejecucion[[#This Row],[No. Solicitud]]="","",_xlfn.XLOOKUP(Ejecucion[[#This Row],[No. Solicitud]],Registro!$B$8:$B$997,Registro!$M$8:$M$997,"Sin Dato",0))</f>
        <v>Gestor 3</v>
      </c>
      <c r="D276" s="84" t="str">
        <f>IF(B276="","",HYPERLINK("#"&amp;"Registro!B"&amp;MATCH(B276,Registro!$B$8:$B$999,0)+7,"Ubicar en registro"))</f>
        <v>Ubicar en registro</v>
      </c>
      <c r="E276" s="55" t="str">
        <f>IF(C276="","",_xlfn.XLOOKUP(Ejecucion[[#This Row],[No. Solicitud]],Registro!$B$8:$B$999,Registro!$H$8:$H$999,"",0))</f>
        <v>Curso 37</v>
      </c>
      <c r="F276" s="29">
        <v>1</v>
      </c>
      <c r="G276" s="29">
        <v>43875</v>
      </c>
      <c r="H276" s="29" t="s">
        <v>769</v>
      </c>
      <c r="I276" s="97">
        <v>46266</v>
      </c>
      <c r="J276" s="97">
        <v>46266</v>
      </c>
      <c r="K276" s="29">
        <f>IF(Ejecucion[[#This Row],[Fecha Fin]]="","",MONTH(Ejecucion[[#This Row],[Fecha Fin]]))</f>
        <v>9</v>
      </c>
      <c r="L276" s="93" t="s">
        <v>75</v>
      </c>
      <c r="M276" s="29"/>
      <c r="N276" s="29"/>
      <c r="O276" s="29"/>
      <c r="P276" s="29"/>
      <c r="Q276" s="29"/>
      <c r="R276" s="93"/>
      <c r="S276" s="29"/>
      <c r="T276" s="93" t="s">
        <v>770</v>
      </c>
    </row>
    <row r="277" spans="1:20" ht="57.6" customHeight="1">
      <c r="A277" s="30">
        <f>ROW() - ROW(Ejecucion[[#Headers],[Correlativo]])</f>
        <v>273</v>
      </c>
      <c r="B277" s="24" t="s">
        <v>222</v>
      </c>
      <c r="C277" s="28" t="str">
        <f>IF(Ejecucion[[#This Row],[No. Solicitud]]="","",_xlfn.XLOOKUP(Ejecucion[[#This Row],[No. Solicitud]],Registro!$B$8:$B$997,Registro!$M$8:$M$997,"Sin Dato",0))</f>
        <v>Gestor 3</v>
      </c>
      <c r="D277" s="84" t="str">
        <f>IF(B277="","",HYPERLINK("#"&amp;"Registro!B"&amp;MATCH(B277,Registro!$B$8:$B$999,0)+7,"Ubicar en registro"))</f>
        <v>Ubicar en registro</v>
      </c>
      <c r="E277" s="55" t="str">
        <f>IF(C277="","",_xlfn.XLOOKUP(Ejecucion[[#This Row],[No. Solicitud]],Registro!$B$8:$B$999,Registro!$H$8:$H$999,"",0))</f>
        <v>Curso 37</v>
      </c>
      <c r="F277" s="29">
        <v>2</v>
      </c>
      <c r="G277" s="29">
        <v>43876</v>
      </c>
      <c r="H277" s="29" t="s">
        <v>771</v>
      </c>
      <c r="I277" s="97">
        <v>46267</v>
      </c>
      <c r="J277" s="97">
        <v>46267</v>
      </c>
      <c r="K277" s="29">
        <f>IF(Ejecucion[[#This Row],[Fecha Fin]]="","",MONTH(Ejecucion[[#This Row],[Fecha Fin]]))</f>
        <v>9</v>
      </c>
      <c r="L277" s="93" t="s">
        <v>75</v>
      </c>
      <c r="M277" s="29"/>
      <c r="N277" s="29"/>
      <c r="O277" s="29"/>
      <c r="P277" s="29"/>
      <c r="Q277" s="29"/>
      <c r="R277" s="93"/>
      <c r="S277" s="29"/>
      <c r="T277" s="93" t="s">
        <v>770</v>
      </c>
    </row>
    <row r="278" spans="1:20" ht="57.6" customHeight="1">
      <c r="A278" s="30">
        <f>ROW() - ROW(Ejecucion[[#Headers],[Correlativo]])</f>
        <v>274</v>
      </c>
      <c r="B278" s="24" t="s">
        <v>222</v>
      </c>
      <c r="C278" s="28" t="str">
        <f>IF(Ejecucion[[#This Row],[No. Solicitud]]="","",_xlfn.XLOOKUP(Ejecucion[[#This Row],[No. Solicitud]],Registro!$B$8:$B$997,Registro!$M$8:$M$997,"Sin Dato",0))</f>
        <v>Gestor 3</v>
      </c>
      <c r="D278" s="84" t="str">
        <f>IF(B278="","",HYPERLINK("#"&amp;"Registro!B"&amp;MATCH(B278,Registro!$B$8:$B$999,0)+7,"Ubicar en registro"))</f>
        <v>Ubicar en registro</v>
      </c>
      <c r="E278" s="55" t="str">
        <f>IF(C278="","",_xlfn.XLOOKUP(Ejecucion[[#This Row],[No. Solicitud]],Registro!$B$8:$B$999,Registro!$H$8:$H$999,"",0))</f>
        <v>Curso 37</v>
      </c>
      <c r="F278" s="29">
        <v>3</v>
      </c>
      <c r="G278" s="29">
        <v>43874</v>
      </c>
      <c r="H278" s="29" t="s">
        <v>772</v>
      </c>
      <c r="I278" s="97">
        <v>46268</v>
      </c>
      <c r="J278" s="97">
        <v>46268</v>
      </c>
      <c r="K278" s="29">
        <f>IF(Ejecucion[[#This Row],[Fecha Fin]]="","",MONTH(Ejecucion[[#This Row],[Fecha Fin]]))</f>
        <v>9</v>
      </c>
      <c r="L278" s="93" t="s">
        <v>75</v>
      </c>
      <c r="M278" s="29"/>
      <c r="N278" s="29"/>
      <c r="O278" s="29"/>
      <c r="P278" s="29"/>
      <c r="Q278" s="29"/>
      <c r="R278" s="93"/>
      <c r="S278" s="29"/>
      <c r="T278" s="93" t="s">
        <v>770</v>
      </c>
    </row>
    <row r="279" spans="1:20" ht="57.6" customHeight="1">
      <c r="A279" s="30">
        <f>ROW() - ROW(Ejecucion[[#Headers],[Correlativo]])</f>
        <v>275</v>
      </c>
      <c r="B279" s="24" t="s">
        <v>222</v>
      </c>
      <c r="C279" s="28" t="str">
        <f>IF(Ejecucion[[#This Row],[No. Solicitud]]="","",_xlfn.XLOOKUP(Ejecucion[[#This Row],[No. Solicitud]],Registro!$B$8:$B$997,Registro!$M$8:$M$997,"Sin Dato",0))</f>
        <v>Gestor 3</v>
      </c>
      <c r="D279" s="84" t="str">
        <f>IF(B279="","",HYPERLINK("#"&amp;"Registro!B"&amp;MATCH(B279,Registro!$B$8:$B$999,0)+7,"Ubicar en registro"))</f>
        <v>Ubicar en registro</v>
      </c>
      <c r="E279" s="55" t="str">
        <f>IF(C279="","",_xlfn.XLOOKUP(Ejecucion[[#This Row],[No. Solicitud]],Registro!$B$8:$B$999,Registro!$H$8:$H$999,"",0))</f>
        <v>Curso 37</v>
      </c>
      <c r="F279" s="29">
        <v>4</v>
      </c>
      <c r="G279" s="29">
        <v>43877</v>
      </c>
      <c r="H279" s="29" t="s">
        <v>773</v>
      </c>
      <c r="I279" s="97">
        <v>46273</v>
      </c>
      <c r="J279" s="97">
        <v>46273</v>
      </c>
      <c r="K279" s="29">
        <f>IF(Ejecucion[[#This Row],[Fecha Fin]]="","",MONTH(Ejecucion[[#This Row],[Fecha Fin]]))</f>
        <v>9</v>
      </c>
      <c r="L279" s="93" t="s">
        <v>75</v>
      </c>
      <c r="M279" s="29"/>
      <c r="N279" s="29"/>
      <c r="O279" s="29"/>
      <c r="P279" s="29"/>
      <c r="Q279" s="29"/>
      <c r="R279" s="93"/>
      <c r="S279" s="29"/>
      <c r="T279" s="93" t="s">
        <v>770</v>
      </c>
    </row>
    <row r="280" spans="1:20" ht="28.8" customHeight="1">
      <c r="A280" s="30">
        <f>ROW() - ROW(Ejecucion[[#Headers],[Correlativo]])</f>
        <v>276</v>
      </c>
      <c r="B280" s="24" t="s">
        <v>228</v>
      </c>
      <c r="C280" s="28" t="str">
        <f>IF(Ejecucion[[#This Row],[No. Solicitud]]="","",_xlfn.XLOOKUP(Ejecucion[[#This Row],[No. Solicitud]],Registro!$B$8:$B$997,Registro!$M$8:$M$997,"Sin Dato",0))</f>
        <v>Gestor 5</v>
      </c>
      <c r="D280" s="84" t="str">
        <f>IF(B280="","",HYPERLINK("#"&amp;"Registro!B"&amp;MATCH(B280,Registro!$B$8:$B$999,0)+7,"Ubicar en registro"))</f>
        <v>Ubicar en registro</v>
      </c>
      <c r="E280" s="55" t="str">
        <f>IF(C280="","",_xlfn.XLOOKUP(Ejecucion[[#This Row],[No. Solicitud]],Registro!$B$8:$B$999,Registro!$H$8:$H$999,"",0))</f>
        <v>Curso 39</v>
      </c>
      <c r="F280" s="29">
        <v>1</v>
      </c>
      <c r="G280" s="29"/>
      <c r="H280" s="29"/>
      <c r="I280" s="130">
        <v>46337</v>
      </c>
      <c r="J280" s="97">
        <v>46300</v>
      </c>
      <c r="K280" s="29">
        <f>IF(Ejecucion[[#This Row],[Fecha Fin]]="","",MONTH(Ejecucion[[#This Row],[Fecha Fin]]))</f>
        <v>10</v>
      </c>
      <c r="L280" s="93" t="s">
        <v>79</v>
      </c>
      <c r="M280" s="29"/>
      <c r="N280" s="29"/>
      <c r="O280" s="29"/>
      <c r="P280" s="29"/>
      <c r="Q280" s="29"/>
      <c r="R280" s="93"/>
      <c r="S280" s="29"/>
      <c r="T280" s="93"/>
    </row>
    <row r="281" spans="1:20" ht="28.8" customHeight="1">
      <c r="A281" s="30">
        <f>ROW() - ROW(Ejecucion[[#Headers],[Correlativo]])</f>
        <v>277</v>
      </c>
      <c r="B281" s="23" t="s">
        <v>228</v>
      </c>
      <c r="C281" s="28" t="str">
        <f>IF(Ejecucion[[#This Row],[No. Solicitud]]="","",_xlfn.XLOOKUP(Ejecucion[[#This Row],[No. Solicitud]],Registro!$B$8:$B$997,Registro!$M$8:$M$997,"Sin Dato",0))</f>
        <v>Gestor 5</v>
      </c>
      <c r="D281" s="84" t="str">
        <f>IF(B281="","",HYPERLINK("#"&amp;"Registro!B"&amp;MATCH(B281,Registro!$B$8:$B$999,0)+7,"Ubicar en registro"))</f>
        <v>Ubicar en registro</v>
      </c>
      <c r="E281" s="55" t="str">
        <f>IF(C281="","",_xlfn.XLOOKUP(Ejecucion[[#This Row],[No. Solicitud]],Registro!$B$8:$B$999,Registro!$H$8:$H$999,"",0))</f>
        <v>Curso 39</v>
      </c>
      <c r="F281" s="29">
        <v>2</v>
      </c>
      <c r="G281" s="29"/>
      <c r="H281" s="29"/>
      <c r="I281" s="130">
        <v>46338</v>
      </c>
      <c r="J281" s="97">
        <v>46301</v>
      </c>
      <c r="K281" s="29">
        <f>IF(Ejecucion[[#This Row],[Fecha Fin]]="","",MONTH(Ejecucion[[#This Row],[Fecha Fin]]))</f>
        <v>10</v>
      </c>
      <c r="L281" s="93" t="s">
        <v>79</v>
      </c>
      <c r="M281" s="29"/>
      <c r="N281" s="29"/>
      <c r="O281" s="29"/>
      <c r="P281" s="29"/>
      <c r="Q281" s="29"/>
      <c r="R281" s="93"/>
      <c r="S281" s="29"/>
      <c r="T281" s="93"/>
    </row>
    <row r="282" spans="1:20" ht="28.8" customHeight="1">
      <c r="A282" s="30">
        <f>ROW() - ROW(Ejecucion[[#Headers],[Correlativo]])</f>
        <v>278</v>
      </c>
      <c r="B282" s="23" t="s">
        <v>228</v>
      </c>
      <c r="C282" s="28" t="str">
        <f>IF(Ejecucion[[#This Row],[No. Solicitud]]="","",_xlfn.XLOOKUP(Ejecucion[[#This Row],[No. Solicitud]],Registro!$B$8:$B$997,Registro!$M$8:$M$997,"Sin Dato",0))</f>
        <v>Gestor 5</v>
      </c>
      <c r="D282" s="84" t="str">
        <f>IF(B282="","",HYPERLINK("#"&amp;"Registro!B"&amp;MATCH(B282,Registro!$B$8:$B$999,0)+7,"Ubicar en registro"))</f>
        <v>Ubicar en registro</v>
      </c>
      <c r="E282" s="55" t="str">
        <f>IF(C282="","",_xlfn.XLOOKUP(Ejecucion[[#This Row],[No. Solicitud]],Registro!$B$8:$B$999,Registro!$H$8:$H$999,"",0))</f>
        <v>Curso 39</v>
      </c>
      <c r="F282" s="29">
        <v>3</v>
      </c>
      <c r="G282" s="29">
        <v>44153</v>
      </c>
      <c r="H282" s="29" t="s">
        <v>774</v>
      </c>
      <c r="I282" s="130">
        <v>46304</v>
      </c>
      <c r="J282" s="97">
        <v>46304</v>
      </c>
      <c r="K282" s="29">
        <f>IF(Ejecucion[[#This Row],[Fecha Fin]]="","",MONTH(Ejecucion[[#This Row],[Fecha Fin]]))</f>
        <v>10</v>
      </c>
      <c r="L282" s="93" t="s">
        <v>79</v>
      </c>
      <c r="M282" s="29"/>
      <c r="N282" s="29"/>
      <c r="O282" s="29"/>
      <c r="P282" s="29"/>
      <c r="Q282" s="29"/>
      <c r="R282" s="93"/>
      <c r="S282" s="29"/>
      <c r="T282" s="93"/>
    </row>
    <row r="283" spans="1:20" ht="28.8" customHeight="1">
      <c r="A283" s="30">
        <f>ROW() - ROW(Ejecucion[[#Headers],[Correlativo]])</f>
        <v>279</v>
      </c>
      <c r="B283" s="23" t="s">
        <v>228</v>
      </c>
      <c r="C283" s="28" t="str">
        <f>IF(Ejecucion[[#This Row],[No. Solicitud]]="","",_xlfn.XLOOKUP(Ejecucion[[#This Row],[No. Solicitud]],Registro!$B$8:$B$997,Registro!$M$8:$M$997,"Sin Dato",0))</f>
        <v>Gestor 5</v>
      </c>
      <c r="D283" s="84" t="str">
        <f>IF(B283="","",HYPERLINK("#"&amp;"Registro!B"&amp;MATCH(B283,Registro!$B$8:$B$999,0)+7,"Ubicar en registro"))</f>
        <v>Ubicar en registro</v>
      </c>
      <c r="E283" s="55" t="str">
        <f>IF(C283="","",_xlfn.XLOOKUP(Ejecucion[[#This Row],[No. Solicitud]],Registro!$B$8:$B$999,Registro!$H$8:$H$999,"",0))</f>
        <v>Curso 39</v>
      </c>
      <c r="F283" s="29">
        <v>4</v>
      </c>
      <c r="G283" s="29">
        <v>44143</v>
      </c>
      <c r="H283" s="29" t="s">
        <v>775</v>
      </c>
      <c r="I283" s="130">
        <v>46307</v>
      </c>
      <c r="J283" s="97">
        <v>46307</v>
      </c>
      <c r="K283" s="29">
        <f>IF(Ejecucion[[#This Row],[Fecha Fin]]="","",MONTH(Ejecucion[[#This Row],[Fecha Fin]]))</f>
        <v>10</v>
      </c>
      <c r="L283" s="93" t="s">
        <v>79</v>
      </c>
      <c r="M283" s="29"/>
      <c r="N283" s="29"/>
      <c r="O283" s="29"/>
      <c r="P283" s="29"/>
      <c r="Q283" s="29"/>
      <c r="R283" s="93"/>
      <c r="S283" s="29"/>
      <c r="T283" s="93"/>
    </row>
    <row r="284" spans="1:20" ht="28.8" customHeight="1">
      <c r="A284" s="30">
        <f>ROW() - ROW(Ejecucion[[#Headers],[Correlativo]])</f>
        <v>280</v>
      </c>
      <c r="B284" s="23" t="s">
        <v>228</v>
      </c>
      <c r="C284" s="28" t="str">
        <f>IF(Ejecucion[[#This Row],[No. Solicitud]]="","",_xlfn.XLOOKUP(Ejecucion[[#This Row],[No. Solicitud]],Registro!$B$8:$B$997,Registro!$M$8:$M$997,"Sin Dato",0))</f>
        <v>Gestor 5</v>
      </c>
      <c r="D284" s="84" t="str">
        <f>IF(B284="","",HYPERLINK("#"&amp;"Registro!B"&amp;MATCH(B284,Registro!$B$8:$B$999,0)+7,"Ubicar en registro"))</f>
        <v>Ubicar en registro</v>
      </c>
      <c r="E284" s="55" t="str">
        <f>IF(C284="","",_xlfn.XLOOKUP(Ejecucion[[#This Row],[No. Solicitud]],Registro!$B$8:$B$999,Registro!$H$8:$H$999,"",0))</f>
        <v>Curso 39</v>
      </c>
      <c r="F284" s="29">
        <v>5</v>
      </c>
      <c r="G284" s="29">
        <v>44144</v>
      </c>
      <c r="H284" s="29" t="s">
        <v>776</v>
      </c>
      <c r="I284" s="130">
        <v>46308</v>
      </c>
      <c r="J284" s="97">
        <v>46308</v>
      </c>
      <c r="K284" s="29">
        <f>IF(Ejecucion[[#This Row],[Fecha Fin]]="","",MONTH(Ejecucion[[#This Row],[Fecha Fin]]))</f>
        <v>10</v>
      </c>
      <c r="L284" s="93" t="s">
        <v>79</v>
      </c>
      <c r="M284" s="29"/>
      <c r="N284" s="29"/>
      <c r="O284" s="29"/>
      <c r="P284" s="29"/>
      <c r="Q284" s="29"/>
      <c r="R284" s="93"/>
      <c r="S284" s="29"/>
      <c r="T284" s="93"/>
    </row>
    <row r="285" spans="1:20" ht="28.8" customHeight="1">
      <c r="A285" s="30">
        <f>ROW() - ROW(Ejecucion[[#Headers],[Correlativo]])</f>
        <v>281</v>
      </c>
      <c r="B285" s="23" t="s">
        <v>228</v>
      </c>
      <c r="C285" s="28" t="str">
        <f>IF(Ejecucion[[#This Row],[No. Solicitud]]="","",_xlfn.XLOOKUP(Ejecucion[[#This Row],[No. Solicitud]],Registro!$B$8:$B$997,Registro!$M$8:$M$997,"Sin Dato",0))</f>
        <v>Gestor 5</v>
      </c>
      <c r="D285" s="84" t="str">
        <f>IF(B285="","",HYPERLINK("#"&amp;"Registro!B"&amp;MATCH(B285,Registro!$B$8:$B$999,0)+7,"Ubicar en registro"))</f>
        <v>Ubicar en registro</v>
      </c>
      <c r="E285" s="55" t="str">
        <f>IF(C285="","",_xlfn.XLOOKUP(Ejecucion[[#This Row],[No. Solicitud]],Registro!$B$8:$B$999,Registro!$H$8:$H$999,"",0))</f>
        <v>Curso 39</v>
      </c>
      <c r="F285" s="29">
        <v>6</v>
      </c>
      <c r="G285" s="29"/>
      <c r="H285" s="29"/>
      <c r="I285" s="130">
        <v>46329</v>
      </c>
      <c r="J285" s="97">
        <v>46311</v>
      </c>
      <c r="K285" s="29">
        <f>IF(Ejecucion[[#This Row],[Fecha Fin]]="","",MONTH(Ejecucion[[#This Row],[Fecha Fin]]))</f>
        <v>10</v>
      </c>
      <c r="L285" s="93" t="s">
        <v>79</v>
      </c>
      <c r="M285" s="29"/>
      <c r="N285" s="29"/>
      <c r="O285" s="29"/>
      <c r="P285" s="29"/>
      <c r="Q285" s="29"/>
      <c r="R285" s="93"/>
      <c r="S285" s="29"/>
      <c r="T285" s="93"/>
    </row>
    <row r="286" spans="1:20" ht="28.8" customHeight="1">
      <c r="A286" s="30">
        <f>ROW() - ROW(Ejecucion[[#Headers],[Correlativo]])</f>
        <v>282</v>
      </c>
      <c r="B286" s="23" t="s">
        <v>228</v>
      </c>
      <c r="C286" s="28" t="str">
        <f>IF(Ejecucion[[#This Row],[No. Solicitud]]="","",_xlfn.XLOOKUP(Ejecucion[[#This Row],[No. Solicitud]],Registro!$B$8:$B$997,Registro!$M$8:$M$997,"Sin Dato",0))</f>
        <v>Gestor 5</v>
      </c>
      <c r="D286" s="84" t="str">
        <f>IF(B286="","",HYPERLINK("#"&amp;"Registro!B"&amp;MATCH(B286,Registro!$B$8:$B$999,0)+7,"Ubicar en registro"))</f>
        <v>Ubicar en registro</v>
      </c>
      <c r="E286" s="55" t="str">
        <f>IF(C286="","",_xlfn.XLOOKUP(Ejecucion[[#This Row],[No. Solicitud]],Registro!$B$8:$B$999,Registro!$H$8:$H$999,"",0))</f>
        <v>Curso 39</v>
      </c>
      <c r="F286" s="29">
        <v>7</v>
      </c>
      <c r="G286" s="29"/>
      <c r="H286" s="29"/>
      <c r="I286" s="130">
        <v>46316</v>
      </c>
      <c r="J286" s="97">
        <v>46316</v>
      </c>
      <c r="K286" s="29">
        <f>IF(Ejecucion[[#This Row],[Fecha Fin]]="","",MONTH(Ejecucion[[#This Row],[Fecha Fin]]))</f>
        <v>10</v>
      </c>
      <c r="L286" s="93" t="s">
        <v>79</v>
      </c>
      <c r="M286" s="29"/>
      <c r="N286" s="29"/>
      <c r="O286" s="29"/>
      <c r="P286" s="29"/>
      <c r="Q286" s="29"/>
      <c r="R286" s="93"/>
      <c r="S286" s="29"/>
      <c r="T286" s="93"/>
    </row>
    <row r="287" spans="1:20" ht="28.8" customHeight="1">
      <c r="A287" s="30">
        <f>ROW() - ROW(Ejecucion[[#Headers],[Correlativo]])</f>
        <v>283</v>
      </c>
      <c r="B287" s="23" t="s">
        <v>228</v>
      </c>
      <c r="C287" s="28" t="str">
        <f>IF(Ejecucion[[#This Row],[No. Solicitud]]="","",_xlfn.XLOOKUP(Ejecucion[[#This Row],[No. Solicitud]],Registro!$B$8:$B$997,Registro!$M$8:$M$997,"Sin Dato",0))</f>
        <v>Gestor 5</v>
      </c>
      <c r="D287" s="84" t="str">
        <f>IF(B287="","",HYPERLINK("#"&amp;"Registro!B"&amp;MATCH(B287,Registro!$B$8:$B$999,0)+7,"Ubicar en registro"))</f>
        <v>Ubicar en registro</v>
      </c>
      <c r="E287" s="55" t="str">
        <f>IF(C287="","",_xlfn.XLOOKUP(Ejecucion[[#This Row],[No. Solicitud]],Registro!$B$8:$B$999,Registro!$H$8:$H$999,"",0))</f>
        <v>Curso 39</v>
      </c>
      <c r="F287" s="29">
        <v>8</v>
      </c>
      <c r="G287" s="29"/>
      <c r="H287" s="29"/>
      <c r="I287" s="130">
        <v>46317</v>
      </c>
      <c r="J287" s="97">
        <v>46317</v>
      </c>
      <c r="K287" s="29">
        <f>IF(Ejecucion[[#This Row],[Fecha Fin]]="","",MONTH(Ejecucion[[#This Row],[Fecha Fin]]))</f>
        <v>10</v>
      </c>
      <c r="L287" s="93" t="s">
        <v>79</v>
      </c>
      <c r="M287" s="29"/>
      <c r="N287" s="29"/>
      <c r="O287" s="29"/>
      <c r="P287" s="29"/>
      <c r="Q287" s="29"/>
      <c r="R287" s="93"/>
      <c r="S287" s="29"/>
      <c r="T287" s="93"/>
    </row>
    <row r="288" spans="1:20" ht="28.8" customHeight="1">
      <c r="A288" s="30">
        <f>ROW() - ROW(Ejecucion[[#Headers],[Correlativo]])</f>
        <v>284</v>
      </c>
      <c r="B288" s="23" t="s">
        <v>228</v>
      </c>
      <c r="C288" s="28" t="str">
        <f>IF(Ejecucion[[#This Row],[No. Solicitud]]="","",_xlfn.XLOOKUP(Ejecucion[[#This Row],[No. Solicitud]],Registro!$B$8:$B$997,Registro!$M$8:$M$997,"Sin Dato",0))</f>
        <v>Gestor 5</v>
      </c>
      <c r="D288" s="84" t="str">
        <f>IF(B288="","",HYPERLINK("#"&amp;"Registro!B"&amp;MATCH(B288,Registro!$B$8:$B$999,0)+7,"Ubicar en registro"))</f>
        <v>Ubicar en registro</v>
      </c>
      <c r="E288" s="55" t="str">
        <f>IF(C288="","",_xlfn.XLOOKUP(Ejecucion[[#This Row],[No. Solicitud]],Registro!$B$8:$B$999,Registro!$H$8:$H$999,"",0))</f>
        <v>Curso 39</v>
      </c>
      <c r="F288" s="29">
        <v>9</v>
      </c>
      <c r="G288" s="29"/>
      <c r="H288" s="29"/>
      <c r="I288" s="130">
        <v>46321</v>
      </c>
      <c r="J288" s="97">
        <v>46321</v>
      </c>
      <c r="K288" s="29">
        <f>IF(Ejecucion[[#This Row],[Fecha Fin]]="","",MONTH(Ejecucion[[#This Row],[Fecha Fin]]))</f>
        <v>10</v>
      </c>
      <c r="L288" s="93" t="s">
        <v>79</v>
      </c>
      <c r="M288" s="29"/>
      <c r="N288" s="29"/>
      <c r="O288" s="29"/>
      <c r="P288" s="29"/>
      <c r="Q288" s="29"/>
      <c r="R288" s="93"/>
      <c r="S288" s="29"/>
      <c r="T288" s="93"/>
    </row>
    <row r="289" spans="1:20" ht="28.8" customHeight="1">
      <c r="A289" s="30">
        <f>ROW() - ROW(Ejecucion[[#Headers],[Correlativo]])</f>
        <v>285</v>
      </c>
      <c r="B289" s="23" t="s">
        <v>228</v>
      </c>
      <c r="C289" s="28" t="str">
        <f>IF(Ejecucion[[#This Row],[No. Solicitud]]="","",_xlfn.XLOOKUP(Ejecucion[[#This Row],[No. Solicitud]],Registro!$B$8:$B$997,Registro!$M$8:$M$997,"Sin Dato",0))</f>
        <v>Gestor 5</v>
      </c>
      <c r="D289" s="84" t="str">
        <f>IF(B289="","",HYPERLINK("#"&amp;"Registro!B"&amp;MATCH(B289,Registro!$B$8:$B$999,0)+7,"Ubicar en registro"))</f>
        <v>Ubicar en registro</v>
      </c>
      <c r="E289" s="55" t="str">
        <f>IF(C289="","",_xlfn.XLOOKUP(Ejecucion[[#This Row],[No. Solicitud]],Registro!$B$8:$B$999,Registro!$H$8:$H$999,"",0))</f>
        <v>Curso 39</v>
      </c>
      <c r="F289" s="29">
        <v>10</v>
      </c>
      <c r="G289" s="29"/>
      <c r="H289" s="29"/>
      <c r="I289" s="130">
        <v>46322</v>
      </c>
      <c r="J289" s="97">
        <v>46322</v>
      </c>
      <c r="K289" s="29">
        <f>IF(Ejecucion[[#This Row],[Fecha Fin]]="","",MONTH(Ejecucion[[#This Row],[Fecha Fin]]))</f>
        <v>10</v>
      </c>
      <c r="L289" s="93" t="s">
        <v>79</v>
      </c>
      <c r="M289" s="29"/>
      <c r="N289" s="29"/>
      <c r="O289" s="29"/>
      <c r="P289" s="29"/>
      <c r="Q289" s="29"/>
      <c r="R289" s="93"/>
      <c r="S289" s="29"/>
      <c r="T289" s="93"/>
    </row>
    <row r="290" spans="1:20" ht="28.8" customHeight="1">
      <c r="A290" s="30">
        <f>ROW() - ROW(Ejecucion[[#Headers],[Correlativo]])</f>
        <v>286</v>
      </c>
      <c r="B290" s="24" t="s">
        <v>235</v>
      </c>
      <c r="C290" s="28" t="str">
        <f>IF(Ejecucion[[#This Row],[No. Solicitud]]="","",_xlfn.XLOOKUP(Ejecucion[[#This Row],[No. Solicitud]],Registro!$B$8:$B$997,Registro!$M$8:$M$997,"Sin Dato",0))</f>
        <v>Gestor 5</v>
      </c>
      <c r="D290" s="84" t="str">
        <f>IF(B290="","",HYPERLINK("#"&amp;"Registro!B"&amp;MATCH(B290,Registro!$B$8:$B$999,0)+7,"Ubicar en registro"))</f>
        <v>Ubicar en registro</v>
      </c>
      <c r="E290" s="55" t="str">
        <f>IF(C290="","",_xlfn.XLOOKUP(Ejecucion[[#This Row],[No. Solicitud]],Registro!$B$8:$B$999,Registro!$H$8:$H$999,"",0))</f>
        <v>Curso 41</v>
      </c>
      <c r="F290" s="29">
        <v>1</v>
      </c>
      <c r="G290" s="29">
        <v>43978</v>
      </c>
      <c r="H290" s="29" t="s">
        <v>777</v>
      </c>
      <c r="I290" s="97">
        <v>46286</v>
      </c>
      <c r="J290" s="97">
        <v>46286</v>
      </c>
      <c r="K290" s="29">
        <f>IF(Ejecucion[[#This Row],[Fecha Fin]]="","",MONTH(Ejecucion[[#This Row],[Fecha Fin]]))</f>
        <v>9</v>
      </c>
      <c r="L290" s="93" t="s">
        <v>75</v>
      </c>
      <c r="M290" s="29">
        <v>106</v>
      </c>
      <c r="N290" s="29"/>
      <c r="O290" s="29"/>
      <c r="P290" s="29"/>
      <c r="Q290" s="29"/>
      <c r="R290" s="93"/>
      <c r="S290" s="29"/>
      <c r="T290" s="93"/>
    </row>
    <row r="291" spans="1:20" ht="28.8" customHeight="1">
      <c r="A291" s="30">
        <f>ROW() - ROW(Ejecucion[[#Headers],[Correlativo]])</f>
        <v>287</v>
      </c>
      <c r="B291" s="24" t="s">
        <v>235</v>
      </c>
      <c r="C291" s="28" t="str">
        <f>IF(Ejecucion[[#This Row],[No. Solicitud]]="","",_xlfn.XLOOKUP(Ejecucion[[#This Row],[No. Solicitud]],Registro!$B$8:$B$997,Registro!$M$8:$M$997,"Sin Dato",0))</f>
        <v>Gestor 5</v>
      </c>
      <c r="D291" s="84" t="str">
        <f>IF(B291="","",HYPERLINK("#"&amp;"Registro!B"&amp;MATCH(B291,Registro!$B$8:$B$999,0)+7,"Ubicar en registro"))</f>
        <v>Ubicar en registro</v>
      </c>
      <c r="E291" s="55" t="str">
        <f>IF(C291="","",_xlfn.XLOOKUP(Ejecucion[[#This Row],[No. Solicitud]],Registro!$B$8:$B$999,Registro!$H$8:$H$999,"",0))</f>
        <v>Curso 41</v>
      </c>
      <c r="F291" s="29">
        <v>2</v>
      </c>
      <c r="G291" s="29">
        <v>43980</v>
      </c>
      <c r="H291" s="29" t="s">
        <v>778</v>
      </c>
      <c r="I291" s="97">
        <v>46286</v>
      </c>
      <c r="J291" s="97">
        <v>46286</v>
      </c>
      <c r="K291" s="29">
        <f>IF(Ejecucion[[#This Row],[Fecha Fin]]="","",MONTH(Ejecucion[[#This Row],[Fecha Fin]]))</f>
        <v>9</v>
      </c>
      <c r="L291" s="93" t="s">
        <v>75</v>
      </c>
      <c r="M291" s="29">
        <v>94</v>
      </c>
      <c r="N291" s="29"/>
      <c r="O291" s="29"/>
      <c r="P291" s="29"/>
      <c r="Q291" s="29"/>
      <c r="R291" s="93"/>
      <c r="S291" s="29"/>
      <c r="T291" s="93"/>
    </row>
    <row r="292" spans="1:20" ht="30.75" customHeight="1">
      <c r="A292" s="30">
        <f>ROW() - ROW(Ejecucion[[#Headers],[Correlativo]])</f>
        <v>288</v>
      </c>
      <c r="B292" s="24" t="s">
        <v>285</v>
      </c>
      <c r="C292" s="28" t="str">
        <f>IF(Ejecucion[[#This Row],[No. Solicitud]]="","",_xlfn.XLOOKUP(Ejecucion[[#This Row],[No. Solicitud]],Registro!$B$8:$B$997,Registro!$M$8:$M$997,"Sin Dato",0))</f>
        <v>Gestor 2</v>
      </c>
      <c r="D292" s="153" t="str">
        <f>IF(B292="","",HYPERLINK("#"&amp;"Registro!B"&amp;MATCH(B292,Registro!$B$8:$B$999,0)+7,"Ubicar en registro"))</f>
        <v>Ubicar en registro</v>
      </c>
      <c r="E292" s="55" t="str">
        <f>IF(C292="","",_xlfn.XLOOKUP(Ejecucion[[#This Row],[No. Solicitud]],Registro!$B$8:$B$999,Registro!$H$8:$H$999,"",0))</f>
        <v>Curso 58</v>
      </c>
      <c r="F292" s="29">
        <v>1</v>
      </c>
      <c r="G292" s="29"/>
      <c r="H292" s="29"/>
      <c r="I292" s="97">
        <v>46329</v>
      </c>
      <c r="J292" s="97">
        <v>46329</v>
      </c>
      <c r="K292" s="29">
        <f>IF(Ejecucion[[#This Row],[Fecha Fin]]="","",MONTH(Ejecucion[[#This Row],[Fecha Fin]]))</f>
        <v>11</v>
      </c>
      <c r="L292" s="93" t="s">
        <v>76</v>
      </c>
      <c r="M292" s="29"/>
      <c r="N292" s="29"/>
      <c r="O292" s="29"/>
      <c r="P292" s="29"/>
      <c r="Q292" s="29"/>
      <c r="R292" s="93"/>
      <c r="S292" s="29"/>
      <c r="T292" s="93"/>
    </row>
    <row r="293" spans="1:20" ht="30.75" customHeight="1">
      <c r="A293" s="30">
        <f>ROW() - ROW(Ejecucion[[#Headers],[Correlativo]])</f>
        <v>289</v>
      </c>
      <c r="B293" s="24" t="s">
        <v>285</v>
      </c>
      <c r="C293" s="28" t="str">
        <f>IF(Ejecucion[[#This Row],[No. Solicitud]]="","",_xlfn.XLOOKUP(Ejecucion[[#This Row],[No. Solicitud]],Registro!$B$8:$B$997,Registro!$M$8:$M$997,"Sin Dato",0))</f>
        <v>Gestor 2</v>
      </c>
      <c r="D293" s="153" t="str">
        <f>IF(B293="","",HYPERLINK("#"&amp;"Registro!B"&amp;MATCH(B293,Registro!$B$8:$B$999,0)+7,"Ubicar en registro"))</f>
        <v>Ubicar en registro</v>
      </c>
      <c r="E293" s="55" t="str">
        <f>IF(C293="","",_xlfn.XLOOKUP(Ejecucion[[#This Row],[No. Solicitud]],Registro!$B$8:$B$999,Registro!$H$8:$H$999,"",0))</f>
        <v>Curso 58</v>
      </c>
      <c r="F293" s="29">
        <v>2</v>
      </c>
      <c r="G293" s="29"/>
      <c r="H293" s="29"/>
      <c r="I293" s="97">
        <v>46330</v>
      </c>
      <c r="J293" s="97">
        <v>46330</v>
      </c>
      <c r="K293" s="29">
        <f>IF(Ejecucion[[#This Row],[Fecha Fin]]="","",MONTH(Ejecucion[[#This Row],[Fecha Fin]]))</f>
        <v>11</v>
      </c>
      <c r="L293" s="93" t="s">
        <v>76</v>
      </c>
      <c r="M293" s="29"/>
      <c r="N293" s="29"/>
      <c r="O293" s="29"/>
      <c r="P293" s="29"/>
      <c r="Q293" s="29"/>
      <c r="R293" s="93"/>
      <c r="S293" s="29"/>
      <c r="T293" s="93"/>
    </row>
    <row r="294" spans="1:20" ht="28.8" customHeight="1">
      <c r="A294" s="30">
        <f>ROW() - ROW(Ejecucion[[#Headers],[Correlativo]])</f>
        <v>290</v>
      </c>
      <c r="B294" s="24" t="s">
        <v>285</v>
      </c>
      <c r="C294" s="28" t="str">
        <f>IF(Ejecucion[[#This Row],[No. Solicitud]]="","",_xlfn.XLOOKUP(Ejecucion[[#This Row],[No. Solicitud]],Registro!$B$8:$B$997,Registro!$M$8:$M$997,"Sin Dato",0))</f>
        <v>Gestor 2</v>
      </c>
      <c r="D294" s="153" t="str">
        <f>IF(B294="","",HYPERLINK("#"&amp;"Registro!B"&amp;MATCH(B294,Registro!$B$8:$B$999,0)+7,"Ubicar en registro"))</f>
        <v>Ubicar en registro</v>
      </c>
      <c r="E294" s="55" t="str">
        <f>IF(C294="","",_xlfn.XLOOKUP(Ejecucion[[#This Row],[No. Solicitud]],Registro!$B$8:$B$999,Registro!$H$8:$H$999,"",0))</f>
        <v>Curso 58</v>
      </c>
      <c r="F294" s="29">
        <v>3</v>
      </c>
      <c r="G294" s="29"/>
      <c r="H294" s="29"/>
      <c r="I294" s="97">
        <v>46331</v>
      </c>
      <c r="J294" s="97">
        <v>46331</v>
      </c>
      <c r="K294" s="29">
        <f>IF(Ejecucion[[#This Row],[Fecha Fin]]="","",MONTH(Ejecucion[[#This Row],[Fecha Fin]]))</f>
        <v>11</v>
      </c>
      <c r="L294" s="93" t="s">
        <v>76</v>
      </c>
      <c r="M294" s="29"/>
      <c r="N294" s="29"/>
      <c r="O294" s="29"/>
      <c r="P294" s="29"/>
      <c r="Q294" s="29"/>
      <c r="R294" s="93"/>
      <c r="S294" s="29"/>
      <c r="T294" s="93"/>
    </row>
    <row r="295" spans="1:20" ht="28.8" customHeight="1">
      <c r="A295" s="30">
        <f>ROW() - ROW(Ejecucion[[#Headers],[Correlativo]])</f>
        <v>291</v>
      </c>
      <c r="B295" s="24" t="s">
        <v>285</v>
      </c>
      <c r="C295" s="28" t="str">
        <f>IF(Ejecucion[[#This Row],[No. Solicitud]]="","",_xlfn.XLOOKUP(Ejecucion[[#This Row],[No. Solicitud]],Registro!$B$8:$B$997,Registro!$M$8:$M$997,"Sin Dato",0))</f>
        <v>Gestor 2</v>
      </c>
      <c r="D295" s="153" t="str">
        <f>IF(B295="","",HYPERLINK("#"&amp;"Registro!B"&amp;MATCH(B295,Registro!$B$8:$B$999,0)+7,"Ubicar en registro"))</f>
        <v>Ubicar en registro</v>
      </c>
      <c r="E295" s="55" t="str">
        <f>IF(C295="","",_xlfn.XLOOKUP(Ejecucion[[#This Row],[No. Solicitud]],Registro!$B$8:$B$999,Registro!$H$8:$H$999,"",0))</f>
        <v>Curso 58</v>
      </c>
      <c r="F295" s="29">
        <v>1</v>
      </c>
      <c r="G295" s="29"/>
      <c r="H295" s="29"/>
      <c r="I295" s="97">
        <v>46360</v>
      </c>
      <c r="J295" s="97">
        <v>46360</v>
      </c>
      <c r="K295" s="29">
        <f>IF(Ejecucion[[#This Row],[Fecha Fin]]="","",MONTH(Ejecucion[[#This Row],[Fecha Fin]]))</f>
        <v>12</v>
      </c>
      <c r="L295" s="93" t="s">
        <v>76</v>
      </c>
      <c r="M295" s="29"/>
      <c r="N295" s="29"/>
      <c r="O295" s="29"/>
      <c r="P295" s="29"/>
      <c r="Q295" s="29"/>
      <c r="R295" s="93"/>
      <c r="S295" s="29"/>
      <c r="T295" s="93"/>
    </row>
    <row r="296" spans="1:20" ht="28.8" customHeight="1">
      <c r="A296" s="30">
        <f>ROW() - ROW(Ejecucion[[#Headers],[Correlativo]])</f>
        <v>292</v>
      </c>
      <c r="B296" s="24" t="s">
        <v>285</v>
      </c>
      <c r="C296" s="28" t="str">
        <f>IF(Ejecucion[[#This Row],[No. Solicitud]]="","",_xlfn.XLOOKUP(Ejecucion[[#This Row],[No. Solicitud]],Registro!$B$8:$B$997,Registro!$M$8:$M$997,"Sin Dato",0))</f>
        <v>Gestor 2</v>
      </c>
      <c r="D296" s="153" t="str">
        <f>IF(B296="","",HYPERLINK("#"&amp;"Registro!B"&amp;MATCH(B296,Registro!$B$8:$B$999,0)+7,"Ubicar en registro"))</f>
        <v>Ubicar en registro</v>
      </c>
      <c r="E296" s="55" t="str">
        <f>IF(C296="","",_xlfn.XLOOKUP(Ejecucion[[#This Row],[No. Solicitud]],Registro!$B$8:$B$999,Registro!$H$8:$H$999,"",0))</f>
        <v>Curso 58</v>
      </c>
      <c r="F296" s="29">
        <v>2</v>
      </c>
      <c r="G296" s="29"/>
      <c r="H296" s="29"/>
      <c r="I296" s="97">
        <v>46363</v>
      </c>
      <c r="J296" s="97">
        <v>46363</v>
      </c>
      <c r="K296" s="29">
        <f>IF(Ejecucion[[#This Row],[Fecha Fin]]="","",MONTH(Ejecucion[[#This Row],[Fecha Fin]]))</f>
        <v>12</v>
      </c>
      <c r="L296" s="93" t="s">
        <v>76</v>
      </c>
      <c r="M296" s="29"/>
      <c r="N296" s="29"/>
      <c r="O296" s="29"/>
      <c r="P296" s="29"/>
      <c r="Q296" s="29"/>
      <c r="R296" s="93"/>
      <c r="S296" s="29"/>
      <c r="T296" s="93"/>
    </row>
    <row r="297" spans="1:20" ht="28.8" customHeight="1">
      <c r="A297" s="30">
        <f>ROW() - ROW(Ejecucion[[#Headers],[Correlativo]])</f>
        <v>293</v>
      </c>
      <c r="B297" s="24" t="s">
        <v>285</v>
      </c>
      <c r="C297" s="28" t="str">
        <f>IF(Ejecucion[[#This Row],[No. Solicitud]]="","",_xlfn.XLOOKUP(Ejecucion[[#This Row],[No. Solicitud]],Registro!$B$8:$B$997,Registro!$M$8:$M$997,"Sin Dato",0))</f>
        <v>Gestor 2</v>
      </c>
      <c r="D297" s="153" t="str">
        <f>IF(B297="","",HYPERLINK("#"&amp;"Registro!B"&amp;MATCH(B297,Registro!$B$8:$B$999,0)+7,"Ubicar en registro"))</f>
        <v>Ubicar en registro</v>
      </c>
      <c r="E297" s="55" t="str">
        <f>IF(C297="","",_xlfn.XLOOKUP(Ejecucion[[#This Row],[No. Solicitud]],Registro!$B$8:$B$999,Registro!$H$8:$H$999,"",0))</f>
        <v>Curso 58</v>
      </c>
      <c r="F297" s="29">
        <v>3</v>
      </c>
      <c r="G297" s="29"/>
      <c r="H297" s="29"/>
      <c r="I297" s="97">
        <v>46364</v>
      </c>
      <c r="J297" s="97">
        <v>46364</v>
      </c>
      <c r="K297" s="29">
        <f>IF(Ejecucion[[#This Row],[Fecha Fin]]="","",MONTH(Ejecucion[[#This Row],[Fecha Fin]]))</f>
        <v>12</v>
      </c>
      <c r="L297" s="93" t="s">
        <v>76</v>
      </c>
      <c r="M297" s="29"/>
      <c r="N297" s="29"/>
      <c r="O297" s="29"/>
      <c r="P297" s="29"/>
      <c r="Q297" s="29"/>
      <c r="R297" s="93"/>
      <c r="S297" s="29"/>
      <c r="T297" s="93"/>
    </row>
    <row r="298" spans="1:20" ht="28.8" customHeight="1">
      <c r="A298" s="30">
        <f>ROW() - ROW(Ejecucion[[#Headers],[Correlativo]])</f>
        <v>294</v>
      </c>
      <c r="B298" s="24" t="s">
        <v>285</v>
      </c>
      <c r="C298" s="28" t="str">
        <f>IF(Ejecucion[[#This Row],[No. Solicitud]]="","",_xlfn.XLOOKUP(Ejecucion[[#This Row],[No. Solicitud]],Registro!$B$8:$B$997,Registro!$M$8:$M$997,"Sin Dato",0))</f>
        <v>Gestor 2</v>
      </c>
      <c r="D298" s="153" t="str">
        <f>IF(B298="","",HYPERLINK("#"&amp;"Registro!B"&amp;MATCH(B298,Registro!$B$8:$B$999,0)+7,"Ubicar en registro"))</f>
        <v>Ubicar en registro</v>
      </c>
      <c r="E298" s="55" t="str">
        <f>IF(C298="","",_xlfn.XLOOKUP(Ejecucion[[#This Row],[No. Solicitud]],Registro!$B$8:$B$999,Registro!$H$8:$H$999,"",0))</f>
        <v>Curso 58</v>
      </c>
      <c r="F298" s="29">
        <v>4</v>
      </c>
      <c r="G298" s="29"/>
      <c r="H298" s="29"/>
      <c r="I298" s="97">
        <v>46365</v>
      </c>
      <c r="J298" s="97">
        <v>46365</v>
      </c>
      <c r="K298" s="29">
        <f>IF(Ejecucion[[#This Row],[Fecha Fin]]="","",MONTH(Ejecucion[[#This Row],[Fecha Fin]]))</f>
        <v>12</v>
      </c>
      <c r="L298" s="93" t="s">
        <v>76</v>
      </c>
      <c r="M298" s="29"/>
      <c r="N298" s="29"/>
      <c r="O298" s="29"/>
      <c r="P298" s="29"/>
      <c r="Q298" s="29"/>
      <c r="R298" s="93"/>
      <c r="S298" s="29"/>
      <c r="T298" s="93"/>
    </row>
    <row r="299" spans="1:20" ht="28.8" customHeight="1">
      <c r="A299" s="30">
        <f>ROW() - ROW(Ejecucion[[#Headers],[Correlativo]])</f>
        <v>295</v>
      </c>
      <c r="B299" s="24" t="s">
        <v>277</v>
      </c>
      <c r="C299" s="28" t="str">
        <f>IF(Ejecucion[[#This Row],[No. Solicitud]]="","",_xlfn.XLOOKUP(Ejecucion[[#This Row],[No. Solicitud]],Registro!$B$8:$B$997,Registro!$M$8:$M$997,"Sin Dato",0))</f>
        <v>Gestor 2</v>
      </c>
      <c r="D299" s="153" t="str">
        <f>IF(B299="","",HYPERLINK("#"&amp;"Registro!B"&amp;MATCH(B299,Registro!$B$8:$B$999,0)+7,"Ubicar en registro"))</f>
        <v>Ubicar en registro</v>
      </c>
      <c r="E299" s="55" t="str">
        <f>IF(C299="","",_xlfn.XLOOKUP(Ejecucion[[#This Row],[No. Solicitud]],Registro!$B$8:$B$999,Registro!$H$8:$H$999,"",0))</f>
        <v>Curso 56</v>
      </c>
      <c r="F299" s="29">
        <v>1</v>
      </c>
      <c r="G299" s="29"/>
      <c r="H299" s="29"/>
      <c r="I299" s="97">
        <v>46342</v>
      </c>
      <c r="J299" s="97">
        <v>46342</v>
      </c>
      <c r="K299" s="29">
        <f>IF(Ejecucion[[#This Row],[Fecha Fin]]="","",MONTH(Ejecucion[[#This Row],[Fecha Fin]]))</f>
        <v>11</v>
      </c>
      <c r="L299" s="93" t="s">
        <v>76</v>
      </c>
      <c r="M299" s="29"/>
      <c r="N299" s="29"/>
      <c r="O299" s="29"/>
      <c r="P299" s="29"/>
      <c r="Q299" s="29"/>
      <c r="R299" s="93"/>
      <c r="S299" s="29"/>
      <c r="T299" s="93"/>
    </row>
    <row r="300" spans="1:20" ht="28.8" customHeight="1">
      <c r="A300" s="30">
        <f>ROW() - ROW(Ejecucion[[#Headers],[Correlativo]])</f>
        <v>296</v>
      </c>
      <c r="B300" s="24" t="s">
        <v>277</v>
      </c>
      <c r="C300" s="28" t="str">
        <f>IF(Ejecucion[[#This Row],[No. Solicitud]]="","",_xlfn.XLOOKUP(Ejecucion[[#This Row],[No. Solicitud]],Registro!$B$8:$B$997,Registro!$M$8:$M$997,"Sin Dato",0))</f>
        <v>Gestor 2</v>
      </c>
      <c r="D300" s="153" t="str">
        <f>IF(B300="","",HYPERLINK("#"&amp;"Registro!B"&amp;MATCH(B300,Registro!$B$8:$B$999,0)+7,"Ubicar en registro"))</f>
        <v>Ubicar en registro</v>
      </c>
      <c r="E300" s="55" t="str">
        <f>IF(C300="","",_xlfn.XLOOKUP(Ejecucion[[#This Row],[No. Solicitud]],Registro!$B$8:$B$999,Registro!$H$8:$H$999,"",0))</f>
        <v>Curso 56</v>
      </c>
      <c r="F300" s="29">
        <v>1</v>
      </c>
      <c r="G300" s="29"/>
      <c r="H300" s="29"/>
      <c r="I300" s="97">
        <v>46357</v>
      </c>
      <c r="J300" s="97">
        <v>46357</v>
      </c>
      <c r="K300" s="29">
        <f>IF(Ejecucion[[#This Row],[Fecha Fin]]="","",MONTH(Ejecucion[[#This Row],[Fecha Fin]]))</f>
        <v>12</v>
      </c>
      <c r="L300" s="93" t="s">
        <v>76</v>
      </c>
      <c r="M300" s="29"/>
      <c r="N300" s="29"/>
      <c r="O300" s="29"/>
      <c r="P300" s="29"/>
      <c r="Q300" s="29"/>
      <c r="R300" s="93"/>
      <c r="S300" s="29"/>
      <c r="T300" s="93"/>
    </row>
    <row r="301" spans="1:20" ht="28.8" customHeight="1">
      <c r="A301" s="30">
        <f>ROW() - ROW(Ejecucion[[#Headers],[Correlativo]])</f>
        <v>297</v>
      </c>
      <c r="B301" s="24" t="s">
        <v>277</v>
      </c>
      <c r="C301" s="28" t="str">
        <f>IF(Ejecucion[[#This Row],[No. Solicitud]]="","",_xlfn.XLOOKUP(Ejecucion[[#This Row],[No. Solicitud]],Registro!$B$8:$B$997,Registro!$M$8:$M$997,"Sin Dato",0))</f>
        <v>Gestor 2</v>
      </c>
      <c r="D301" s="153" t="str">
        <f>IF(B301="","",HYPERLINK("#"&amp;"Registro!B"&amp;MATCH(B301,Registro!$B$8:$B$999,0)+7,"Ubicar en registro"))</f>
        <v>Ubicar en registro</v>
      </c>
      <c r="E301" s="55" t="str">
        <f>IF(C301="","",_xlfn.XLOOKUP(Ejecucion[[#This Row],[No. Solicitud]],Registro!$B$8:$B$999,Registro!$H$8:$H$999,"",0))</f>
        <v>Curso 56</v>
      </c>
      <c r="F301" s="29">
        <v>2</v>
      </c>
      <c r="G301" s="29">
        <v>44094</v>
      </c>
      <c r="H301" s="29" t="s">
        <v>779</v>
      </c>
      <c r="I301" s="97">
        <v>46310</v>
      </c>
      <c r="J301" s="97">
        <v>46310</v>
      </c>
      <c r="K301" s="29">
        <f>IF(Ejecucion[[#This Row],[Fecha Fin]]="","",MONTH(Ejecucion[[#This Row],[Fecha Fin]]))</f>
        <v>10</v>
      </c>
      <c r="L301" s="93" t="s">
        <v>76</v>
      </c>
      <c r="M301" s="29"/>
      <c r="N301" s="29"/>
      <c r="O301" s="29"/>
      <c r="P301" s="29"/>
      <c r="Q301" s="29"/>
      <c r="R301" s="93"/>
      <c r="S301" s="29"/>
      <c r="T301" s="93"/>
    </row>
    <row r="302" spans="1:20" ht="28.8" customHeight="1">
      <c r="A302" s="30">
        <f>ROW() - ROW(Ejecucion[[#Headers],[Correlativo]])</f>
        <v>298</v>
      </c>
      <c r="B302" s="24" t="s">
        <v>277</v>
      </c>
      <c r="C302" s="28" t="str">
        <f>IF(Ejecucion[[#This Row],[No. Solicitud]]="","",_xlfn.XLOOKUP(Ejecucion[[#This Row],[No. Solicitud]],Registro!$B$8:$B$997,Registro!$M$8:$M$997,"Sin Dato",0))</f>
        <v>Gestor 2</v>
      </c>
      <c r="D302" s="153" t="str">
        <f>IF(B302="","",HYPERLINK("#"&amp;"Registro!B"&amp;MATCH(B302,Registro!$B$8:$B$999,0)+7,"Ubicar en registro"))</f>
        <v>Ubicar en registro</v>
      </c>
      <c r="E302" s="55" t="str">
        <f>IF(C302="","",_xlfn.XLOOKUP(Ejecucion[[#This Row],[No. Solicitud]],Registro!$B$8:$B$999,Registro!$H$8:$H$999,"",0))</f>
        <v>Curso 56</v>
      </c>
      <c r="F302" s="29">
        <v>2</v>
      </c>
      <c r="G302" s="29"/>
      <c r="H302" s="29"/>
      <c r="I302" s="97">
        <v>46343</v>
      </c>
      <c r="J302" s="97">
        <v>46343</v>
      </c>
      <c r="K302" s="29">
        <f>IF(Ejecucion[[#This Row],[Fecha Fin]]="","",MONTH(Ejecucion[[#This Row],[Fecha Fin]]))</f>
        <v>11</v>
      </c>
      <c r="L302" s="93" t="s">
        <v>76</v>
      </c>
      <c r="M302" s="29"/>
      <c r="N302" s="29"/>
      <c r="O302" s="29"/>
      <c r="P302" s="29"/>
      <c r="Q302" s="29"/>
      <c r="R302" s="93"/>
      <c r="S302" s="29"/>
      <c r="T302" s="93"/>
    </row>
    <row r="303" spans="1:20" ht="28.8" customHeight="1">
      <c r="A303" s="30">
        <f>ROW() - ROW(Ejecucion[[#Headers],[Correlativo]])</f>
        <v>299</v>
      </c>
      <c r="B303" s="24" t="s">
        <v>277</v>
      </c>
      <c r="C303" s="28" t="str">
        <f>IF(Ejecucion[[#This Row],[No. Solicitud]]="","",_xlfn.XLOOKUP(Ejecucion[[#This Row],[No. Solicitud]],Registro!$B$8:$B$997,Registro!$M$8:$M$997,"Sin Dato",0))</f>
        <v>Gestor 2</v>
      </c>
      <c r="D303" s="153" t="str">
        <f>IF(B303="","",HYPERLINK("#"&amp;"Registro!B"&amp;MATCH(B303,Registro!$B$8:$B$999,0)+7,"Ubicar en registro"))</f>
        <v>Ubicar en registro</v>
      </c>
      <c r="E303" s="55" t="str">
        <f>IF(C303="","",_xlfn.XLOOKUP(Ejecucion[[#This Row],[No. Solicitud]],Registro!$B$8:$B$999,Registro!$H$8:$H$999,"",0))</f>
        <v>Curso 56</v>
      </c>
      <c r="F303" s="29">
        <v>3</v>
      </c>
      <c r="G303" s="29"/>
      <c r="H303" s="29"/>
      <c r="I303" s="97">
        <v>46344</v>
      </c>
      <c r="J303" s="97">
        <v>46344</v>
      </c>
      <c r="K303" s="29">
        <f>IF(Ejecucion[[#This Row],[Fecha Fin]]="","",MONTH(Ejecucion[[#This Row],[Fecha Fin]]))</f>
        <v>11</v>
      </c>
      <c r="L303" s="93" t="s">
        <v>76</v>
      </c>
      <c r="M303" s="29"/>
      <c r="N303" s="29"/>
      <c r="O303" s="29"/>
      <c r="P303" s="29"/>
      <c r="Q303" s="29"/>
      <c r="R303" s="93"/>
      <c r="S303" s="29"/>
      <c r="T303" s="93"/>
    </row>
    <row r="304" spans="1:20" ht="28.8" customHeight="1">
      <c r="A304" s="30">
        <f>ROW() - ROW(Ejecucion[[#Headers],[Correlativo]])</f>
        <v>300</v>
      </c>
      <c r="B304" s="24" t="s">
        <v>277</v>
      </c>
      <c r="C304" s="28" t="str">
        <f>IF(Ejecucion[[#This Row],[No. Solicitud]]="","",_xlfn.XLOOKUP(Ejecucion[[#This Row],[No. Solicitud]],Registro!$B$8:$B$997,Registro!$M$8:$M$997,"Sin Dato",0))</f>
        <v>Gestor 2</v>
      </c>
      <c r="D304" s="153" t="str">
        <f>IF(B304="","",HYPERLINK("#"&amp;"Registro!B"&amp;MATCH(B304,Registro!$B$8:$B$999,0)+7,"Ubicar en registro"))</f>
        <v>Ubicar en registro</v>
      </c>
      <c r="E304" s="55" t="str">
        <f>IF(C304="","",_xlfn.XLOOKUP(Ejecucion[[#This Row],[No. Solicitud]],Registro!$B$8:$B$999,Registro!$H$8:$H$999,"",0))</f>
        <v>Curso 56</v>
      </c>
      <c r="F304" s="29">
        <v>3</v>
      </c>
      <c r="G304" s="29"/>
      <c r="H304" s="29"/>
      <c r="I304" s="97">
        <v>46358</v>
      </c>
      <c r="J304" s="97">
        <v>46358</v>
      </c>
      <c r="K304" s="29">
        <f>IF(Ejecucion[[#This Row],[Fecha Fin]]="","",MONTH(Ejecucion[[#This Row],[Fecha Fin]]))</f>
        <v>12</v>
      </c>
      <c r="L304" s="93" t="s">
        <v>76</v>
      </c>
      <c r="M304" s="29"/>
      <c r="N304" s="29"/>
      <c r="O304" s="29"/>
      <c r="P304" s="29"/>
      <c r="Q304" s="29"/>
      <c r="R304" s="93"/>
      <c r="S304" s="29"/>
      <c r="T304" s="93"/>
    </row>
    <row r="305" spans="1:20" ht="28.8" customHeight="1">
      <c r="A305" s="30">
        <f>ROW() - ROW(Ejecucion[[#Headers],[Correlativo]])</f>
        <v>301</v>
      </c>
      <c r="B305" s="24" t="s">
        <v>277</v>
      </c>
      <c r="C305" s="28" t="str">
        <f>IF(Ejecucion[[#This Row],[No. Solicitud]]="","",_xlfn.XLOOKUP(Ejecucion[[#This Row],[No. Solicitud]],Registro!$B$8:$B$997,Registro!$M$8:$M$997,"Sin Dato",0))</f>
        <v>Gestor 2</v>
      </c>
      <c r="D305" s="153" t="str">
        <f>IF(B305="","",HYPERLINK("#"&amp;"Registro!B"&amp;MATCH(B305,Registro!$B$8:$B$999,0)+7,"Ubicar en registro"))</f>
        <v>Ubicar en registro</v>
      </c>
      <c r="E305" s="55" t="str">
        <f>IF(C305="","",_xlfn.XLOOKUP(Ejecucion[[#This Row],[No. Solicitud]],Registro!$B$8:$B$999,Registro!$H$8:$H$999,"",0))</f>
        <v>Curso 56</v>
      </c>
      <c r="F305" s="29">
        <v>4</v>
      </c>
      <c r="G305" s="29"/>
      <c r="H305" s="29"/>
      <c r="I305" s="97">
        <v>46339</v>
      </c>
      <c r="J305" s="97">
        <v>46339</v>
      </c>
      <c r="K305" s="29">
        <f>IF(Ejecucion[[#This Row],[Fecha Fin]]="","",MONTH(Ejecucion[[#This Row],[Fecha Fin]]))</f>
        <v>11</v>
      </c>
      <c r="L305" s="93" t="s">
        <v>76</v>
      </c>
      <c r="M305" s="29"/>
      <c r="N305" s="29"/>
      <c r="O305" s="29"/>
      <c r="P305" s="29"/>
      <c r="Q305" s="29"/>
      <c r="R305" s="93"/>
      <c r="S305" s="29"/>
      <c r="T305" s="93"/>
    </row>
    <row r="306" spans="1:20" ht="28.8" customHeight="1">
      <c r="A306" s="30">
        <f>ROW() - ROW(Ejecucion[[#Headers],[Correlativo]])</f>
        <v>302</v>
      </c>
      <c r="B306" s="24" t="s">
        <v>277</v>
      </c>
      <c r="C306" s="28" t="str">
        <f>IF(Ejecucion[[#This Row],[No. Solicitud]]="","",_xlfn.XLOOKUP(Ejecucion[[#This Row],[No. Solicitud]],Registro!$B$8:$B$997,Registro!$M$8:$M$997,"Sin Dato",0))</f>
        <v>Gestor 2</v>
      </c>
      <c r="D306" s="153" t="str">
        <f>IF(B306="","",HYPERLINK("#"&amp;"Registro!B"&amp;MATCH(B306,Registro!$B$8:$B$999,0)+7,"Ubicar en registro"))</f>
        <v>Ubicar en registro</v>
      </c>
      <c r="E306" s="55" t="str">
        <f>IF(C306="","",_xlfn.XLOOKUP(Ejecucion[[#This Row],[No. Solicitud]],Registro!$B$8:$B$999,Registro!$H$8:$H$999,"",0))</f>
        <v>Curso 56</v>
      </c>
      <c r="F306" s="29">
        <v>5</v>
      </c>
      <c r="G306" s="29"/>
      <c r="H306" s="29"/>
      <c r="I306" s="97">
        <v>46353</v>
      </c>
      <c r="J306" s="97">
        <v>46353</v>
      </c>
      <c r="K306" s="29">
        <f>IF(Ejecucion[[#This Row],[Fecha Fin]]="","",MONTH(Ejecucion[[#This Row],[Fecha Fin]]))</f>
        <v>11</v>
      </c>
      <c r="L306" s="93" t="s">
        <v>76</v>
      </c>
      <c r="M306" s="29"/>
      <c r="N306" s="29"/>
      <c r="O306" s="29"/>
      <c r="P306" s="29"/>
      <c r="Q306" s="29"/>
      <c r="R306" s="93"/>
      <c r="S306" s="29"/>
      <c r="T306" s="93"/>
    </row>
    <row r="307" spans="1:20" ht="43.2" customHeight="1">
      <c r="A307" s="30">
        <f>ROW() - ROW(Ejecucion[[#Headers],[Correlativo]])</f>
        <v>303</v>
      </c>
      <c r="B307" s="156" t="s">
        <v>331</v>
      </c>
      <c r="C307" s="28" t="str">
        <f>IF(Ejecucion[[#This Row],[No. Solicitud]]="","",_xlfn.XLOOKUP(Ejecucion[[#This Row],[No. Solicitud]],Registro!$B$8:$B$997,Registro!$M$8:$M$997,"Sin Dato",0))</f>
        <v>Gestor 5</v>
      </c>
      <c r="D307" s="84" t="str">
        <f>IF(B307="","",HYPERLINK("#"&amp;"Registro!B"&amp;MATCH(B307,Registro!$B$8:$B$999,0)+7,"Ubicar en registro"))</f>
        <v>Ubicar en registro</v>
      </c>
      <c r="E307" s="55" t="str">
        <f>IF(C307="","",_xlfn.XLOOKUP(Ejecucion[[#This Row],[No. Solicitud]],Registro!$B$8:$B$999,Registro!$H$8:$H$999,"",0))</f>
        <v>Curso 76</v>
      </c>
      <c r="F307" s="29">
        <v>1</v>
      </c>
      <c r="G307" s="29"/>
      <c r="H307" s="29"/>
      <c r="I307" s="97">
        <v>46302</v>
      </c>
      <c r="J307" s="94">
        <v>46304</v>
      </c>
      <c r="K307" s="29">
        <f>IF(Ejecucion[[#This Row],[Fecha Fin]]="","",MONTH(Ejecucion[[#This Row],[Fecha Fin]]))</f>
        <v>10</v>
      </c>
      <c r="L307" s="93" t="s">
        <v>79</v>
      </c>
      <c r="M307" s="29"/>
      <c r="N307" s="29"/>
      <c r="O307" s="29"/>
      <c r="P307" s="29"/>
      <c r="Q307" s="29"/>
      <c r="R307" s="93"/>
      <c r="S307" s="29"/>
      <c r="T307" s="93"/>
    </row>
    <row r="308" spans="1:20" ht="43.2" customHeight="1">
      <c r="A308" s="30">
        <f>ROW() - ROW(Ejecucion[[#Headers],[Correlativo]])</f>
        <v>304</v>
      </c>
      <c r="B308" s="156" t="s">
        <v>331</v>
      </c>
      <c r="C308" s="28" t="str">
        <f>IF(Ejecucion[[#This Row],[No. Solicitud]]="","",_xlfn.XLOOKUP(Ejecucion[[#This Row],[No. Solicitud]],Registro!$B$8:$B$997,Registro!$M$8:$M$997,"Sin Dato",0))</f>
        <v>Gestor 5</v>
      </c>
      <c r="D308" s="84" t="str">
        <f>IF(B308="","",HYPERLINK("#"&amp;"Registro!B"&amp;MATCH(B308,Registro!$B$8:$B$999,0)+7,"Ubicar en registro"))</f>
        <v>Ubicar en registro</v>
      </c>
      <c r="E308" s="55" t="str">
        <f>IF(C308="","",_xlfn.XLOOKUP(Ejecucion[[#This Row],[No. Solicitud]],Registro!$B$8:$B$999,Registro!$H$8:$H$999,"",0))</f>
        <v>Curso 76</v>
      </c>
      <c r="F308" s="29">
        <v>2</v>
      </c>
      <c r="G308" s="29"/>
      <c r="H308" s="29"/>
      <c r="I308" s="97">
        <v>46308</v>
      </c>
      <c r="J308" s="94">
        <v>46310</v>
      </c>
      <c r="K308" s="29">
        <f>IF(Ejecucion[[#This Row],[Fecha Fin]]="","",MONTH(Ejecucion[[#This Row],[Fecha Fin]]))</f>
        <v>10</v>
      </c>
      <c r="L308" s="93" t="s">
        <v>79</v>
      </c>
      <c r="M308" s="29"/>
      <c r="N308" s="29"/>
      <c r="O308" s="29"/>
      <c r="P308" s="29"/>
      <c r="Q308" s="29"/>
      <c r="R308" s="93"/>
      <c r="S308" s="29"/>
      <c r="T308" s="93"/>
    </row>
    <row r="309" spans="1:20" ht="43.2" customHeight="1">
      <c r="A309" s="30">
        <f>ROW() - ROW(Ejecucion[[#Headers],[Correlativo]])</f>
        <v>305</v>
      </c>
      <c r="B309" s="156" t="s">
        <v>331</v>
      </c>
      <c r="C309" s="28" t="str">
        <f>IF(Ejecucion[[#This Row],[No. Solicitud]]="","",_xlfn.XLOOKUP(Ejecucion[[#This Row],[No. Solicitud]],Registro!$B$8:$B$997,Registro!$M$8:$M$997,"Sin Dato",0))</f>
        <v>Gestor 5</v>
      </c>
      <c r="D309" s="84" t="str">
        <f>IF(B309="","",HYPERLINK("#"&amp;"Registro!B"&amp;MATCH(B309,Registro!$B$8:$B$999,0)+7,"Ubicar en registro"))</f>
        <v>Ubicar en registro</v>
      </c>
      <c r="E309" s="55" t="str">
        <f>IF(C309="","",_xlfn.XLOOKUP(Ejecucion[[#This Row],[No. Solicitud]],Registro!$B$8:$B$999,Registro!$H$8:$H$999,"",0))</f>
        <v>Curso 76</v>
      </c>
      <c r="F309" s="29">
        <v>3</v>
      </c>
      <c r="G309" s="29"/>
      <c r="H309" s="29"/>
      <c r="I309" s="97">
        <v>46322</v>
      </c>
      <c r="J309" s="94">
        <v>46324</v>
      </c>
      <c r="K309" s="29">
        <f>IF(Ejecucion[[#This Row],[Fecha Fin]]="","",MONTH(Ejecucion[[#This Row],[Fecha Fin]]))</f>
        <v>10</v>
      </c>
      <c r="L309" s="93" t="s">
        <v>79</v>
      </c>
      <c r="M309" s="29"/>
      <c r="N309" s="29"/>
      <c r="O309" s="29"/>
      <c r="P309" s="29"/>
      <c r="Q309" s="29"/>
      <c r="R309" s="93"/>
      <c r="S309" s="29"/>
      <c r="T309" s="93"/>
    </row>
    <row r="310" spans="1:20" ht="43.2" customHeight="1">
      <c r="A310" s="30">
        <f>ROW() - ROW(Ejecucion[[#Headers],[Correlativo]])</f>
        <v>306</v>
      </c>
      <c r="B310" s="156" t="s">
        <v>331</v>
      </c>
      <c r="C310" s="28" t="str">
        <f>IF(Ejecucion[[#This Row],[No. Solicitud]]="","",_xlfn.XLOOKUP(Ejecucion[[#This Row],[No. Solicitud]],Registro!$B$8:$B$997,Registro!$M$8:$M$997,"Sin Dato",0))</f>
        <v>Gestor 5</v>
      </c>
      <c r="D310" s="84" t="str">
        <f>IF(B310="","",HYPERLINK("#"&amp;"Registro!B"&amp;MATCH(B310,Registro!$B$8:$B$999,0)+7,"Ubicar en registro"))</f>
        <v>Ubicar en registro</v>
      </c>
      <c r="E310" s="55" t="str">
        <f>IF(C310="","",_xlfn.XLOOKUP(Ejecucion[[#This Row],[No. Solicitud]],Registro!$B$8:$B$999,Registro!$H$8:$H$999,"",0))</f>
        <v>Curso 76</v>
      </c>
      <c r="F310" s="29">
        <v>4</v>
      </c>
      <c r="G310" s="29"/>
      <c r="H310" s="29"/>
      <c r="I310" s="97">
        <v>46336</v>
      </c>
      <c r="J310" s="94">
        <v>46338</v>
      </c>
      <c r="K310" s="29">
        <f>IF(Ejecucion[[#This Row],[Fecha Fin]]="","",MONTH(Ejecucion[[#This Row],[Fecha Fin]]))</f>
        <v>11</v>
      </c>
      <c r="L310" s="93" t="s">
        <v>79</v>
      </c>
      <c r="M310" s="29"/>
      <c r="N310" s="29"/>
      <c r="O310" s="29"/>
      <c r="P310" s="29"/>
      <c r="Q310" s="29"/>
      <c r="R310" s="93"/>
      <c r="S310" s="29"/>
      <c r="T310" s="93"/>
    </row>
    <row r="311" spans="1:20" ht="43.2" customHeight="1">
      <c r="A311" s="30">
        <f>ROW() - ROW(Ejecucion[[#Headers],[Correlativo]])</f>
        <v>307</v>
      </c>
      <c r="B311" s="156" t="s">
        <v>331</v>
      </c>
      <c r="C311" s="28" t="str">
        <f>IF(Ejecucion[[#This Row],[No. Solicitud]]="","",_xlfn.XLOOKUP(Ejecucion[[#This Row],[No. Solicitud]],Registro!$B$8:$B$997,Registro!$M$8:$M$997,"Sin Dato",0))</f>
        <v>Gestor 5</v>
      </c>
      <c r="D311" s="84" t="str">
        <f>IF(B311="","",HYPERLINK("#"&amp;"Registro!B"&amp;MATCH(B311,Registro!$B$8:$B$999,0)+7,"Ubicar en registro"))</f>
        <v>Ubicar en registro</v>
      </c>
      <c r="E311" s="55" t="str">
        <f>IF(C311="","",_xlfn.XLOOKUP(Ejecucion[[#This Row],[No. Solicitud]],Registro!$B$8:$B$999,Registro!$H$8:$H$999,"",0))</f>
        <v>Curso 76</v>
      </c>
      <c r="F311" s="29">
        <v>5</v>
      </c>
      <c r="G311" s="29"/>
      <c r="H311" s="29"/>
      <c r="I311" s="97">
        <v>46343</v>
      </c>
      <c r="J311" s="94">
        <v>46345</v>
      </c>
      <c r="K311" s="29">
        <f>IF(Ejecucion[[#This Row],[Fecha Fin]]="","",MONTH(Ejecucion[[#This Row],[Fecha Fin]]))</f>
        <v>11</v>
      </c>
      <c r="L311" s="93" t="s">
        <v>79</v>
      </c>
      <c r="M311" s="29"/>
      <c r="N311" s="29"/>
      <c r="O311" s="29"/>
      <c r="P311" s="29"/>
      <c r="Q311" s="29"/>
      <c r="R311" s="93"/>
      <c r="S311" s="29"/>
      <c r="T311" s="93"/>
    </row>
    <row r="312" spans="1:20" ht="43.2" customHeight="1">
      <c r="A312" s="30">
        <f>ROW() - ROW(Ejecucion[[#Headers],[Correlativo]])</f>
        <v>308</v>
      </c>
      <c r="B312" s="156" t="s">
        <v>331</v>
      </c>
      <c r="C312" s="28" t="str">
        <f>IF(Ejecucion[[#This Row],[No. Solicitud]]="","",_xlfn.XLOOKUP(Ejecucion[[#This Row],[No. Solicitud]],Registro!$B$8:$B$997,Registro!$M$8:$M$997,"Sin Dato",0))</f>
        <v>Gestor 5</v>
      </c>
      <c r="D312" s="84" t="str">
        <f>IF(B312="","",HYPERLINK("#"&amp;"Registro!B"&amp;MATCH(B312,Registro!$B$8:$B$999,0)+7,"Ubicar en registro"))</f>
        <v>Ubicar en registro</v>
      </c>
      <c r="E312" s="55" t="str">
        <f>IF(C312="","",_xlfn.XLOOKUP(Ejecucion[[#This Row],[No. Solicitud]],Registro!$B$8:$B$999,Registro!$H$8:$H$999,"",0))</f>
        <v>Curso 76</v>
      </c>
      <c r="F312" s="29">
        <v>6</v>
      </c>
      <c r="G312" s="29"/>
      <c r="H312" s="29"/>
      <c r="I312" s="97">
        <v>46350</v>
      </c>
      <c r="J312" s="94">
        <v>46352</v>
      </c>
      <c r="K312" s="29">
        <f>IF(Ejecucion[[#This Row],[Fecha Fin]]="","",MONTH(Ejecucion[[#This Row],[Fecha Fin]]))</f>
        <v>11</v>
      </c>
      <c r="L312" s="93" t="s">
        <v>79</v>
      </c>
      <c r="M312" s="29"/>
      <c r="N312" s="29"/>
      <c r="O312" s="29"/>
      <c r="P312" s="29"/>
      <c r="Q312" s="29"/>
      <c r="R312" s="93"/>
      <c r="S312" s="29"/>
      <c r="T312" s="93"/>
    </row>
    <row r="313" spans="1:20" ht="43.2" customHeight="1">
      <c r="A313" s="30">
        <f>ROW() - ROW(Ejecucion[[#Headers],[Correlativo]])</f>
        <v>309</v>
      </c>
      <c r="B313" s="156" t="s">
        <v>327</v>
      </c>
      <c r="C313" s="28" t="str">
        <f>IF(Ejecucion[[#This Row],[No. Solicitud]]="","",_xlfn.XLOOKUP(Ejecucion[[#This Row],[No. Solicitud]],Registro!$B$8:$B$997,Registro!$M$8:$M$997,"Sin Dato",0))</f>
        <v>Gestor 5</v>
      </c>
      <c r="D313" s="84" t="str">
        <f>IF(B313="","",HYPERLINK("#"&amp;"Registro!B"&amp;MATCH(B313,Registro!$B$8:$B$999,0)+7,"Ubicar en registro"))</f>
        <v>Ubicar en registro</v>
      </c>
      <c r="E313" s="55" t="str">
        <f>IF(C313="","",_xlfn.XLOOKUP(Ejecucion[[#This Row],[No. Solicitud]],Registro!$B$8:$B$999,Registro!$H$8:$H$999,"",0))</f>
        <v>Curso 75</v>
      </c>
      <c r="F313" s="29">
        <v>1</v>
      </c>
      <c r="G313" s="29">
        <v>44121</v>
      </c>
      <c r="H313" s="29" t="s">
        <v>780</v>
      </c>
      <c r="I313" s="97">
        <v>46307</v>
      </c>
      <c r="J313" s="97">
        <v>46307</v>
      </c>
      <c r="K313" s="29">
        <f>IF(Ejecucion[[#This Row],[Fecha Fin]]="","",MONTH(Ejecucion[[#This Row],[Fecha Fin]]))</f>
        <v>10</v>
      </c>
      <c r="L313" s="93" t="s">
        <v>78</v>
      </c>
      <c r="M313" s="29"/>
      <c r="N313" s="29"/>
      <c r="O313" s="29"/>
      <c r="P313" s="29"/>
      <c r="Q313" s="29"/>
      <c r="R313" s="93"/>
      <c r="S313" s="29"/>
      <c r="T313" s="93"/>
    </row>
    <row r="314" spans="1:20" ht="43.2" customHeight="1">
      <c r="A314" s="30">
        <f>ROW() - ROW(Ejecucion[[#Headers],[Correlativo]])</f>
        <v>310</v>
      </c>
      <c r="B314" s="156" t="s">
        <v>327</v>
      </c>
      <c r="C314" s="28" t="str">
        <f>IF(Ejecucion[[#This Row],[No. Solicitud]]="","",_xlfn.XLOOKUP(Ejecucion[[#This Row],[No. Solicitud]],Registro!$B$8:$B$997,Registro!$M$8:$M$997,"Sin Dato",0))</f>
        <v>Gestor 5</v>
      </c>
      <c r="D314" s="84" t="str">
        <f>IF(B314="","",HYPERLINK("#"&amp;"Registro!B"&amp;MATCH(B314,Registro!$B$8:$B$999,0)+7,"Ubicar en registro"))</f>
        <v>Ubicar en registro</v>
      </c>
      <c r="E314" s="55" t="str">
        <f>IF(C314="","",_xlfn.XLOOKUP(Ejecucion[[#This Row],[No. Solicitud]],Registro!$B$8:$B$999,Registro!$H$8:$H$999,"",0))</f>
        <v>Curso 75</v>
      </c>
      <c r="F314" s="29">
        <v>2</v>
      </c>
      <c r="G314" s="29"/>
      <c r="H314" s="29"/>
      <c r="I314" s="97">
        <v>46309</v>
      </c>
      <c r="J314" s="97">
        <v>46309</v>
      </c>
      <c r="K314" s="29">
        <f>IF(Ejecucion[[#This Row],[Fecha Fin]]="","",MONTH(Ejecucion[[#This Row],[Fecha Fin]]))</f>
        <v>10</v>
      </c>
      <c r="L314" s="93" t="s">
        <v>78</v>
      </c>
      <c r="M314" s="29"/>
      <c r="N314" s="29"/>
      <c r="O314" s="29"/>
      <c r="P314" s="29"/>
      <c r="Q314" s="29"/>
      <c r="R314" s="93"/>
      <c r="S314" s="29"/>
      <c r="T314" s="93"/>
    </row>
    <row r="315" spans="1:20" ht="28.8" customHeight="1">
      <c r="A315" s="30">
        <f>ROW() - ROW(Ejecucion[[#Headers],[Correlativo]])</f>
        <v>311</v>
      </c>
      <c r="B315" s="156" t="s">
        <v>336</v>
      </c>
      <c r="C315" s="28" t="str">
        <f>IF(Ejecucion[[#This Row],[No. Solicitud]]="","",_xlfn.XLOOKUP(Ejecucion[[#This Row],[No. Solicitud]],Registro!$B$8:$B$997,Registro!$M$8:$M$997,"Sin Dato",0))</f>
        <v>Gestor 4</v>
      </c>
      <c r="D315" s="84" t="str">
        <f>IF(B315="","",HYPERLINK("#"&amp;"Registro!B"&amp;MATCH(B315,Registro!$B$8:$B$999,0)+7,"Ubicar en registro"))</f>
        <v>Ubicar en registro</v>
      </c>
      <c r="E315" s="55" t="str">
        <f>IF(C315="","",_xlfn.XLOOKUP(Ejecucion[[#This Row],[No. Solicitud]],Registro!$B$8:$B$999,Registro!$H$8:$H$999,"",0))</f>
        <v>Curso 77</v>
      </c>
      <c r="F315" s="29">
        <v>1</v>
      </c>
      <c r="G315" s="29"/>
      <c r="H315" s="29"/>
      <c r="I315" s="97">
        <v>46316</v>
      </c>
      <c r="J315" s="97">
        <v>46316</v>
      </c>
      <c r="K315" s="29">
        <f>IF(Ejecucion[[#This Row],[Fecha Fin]]="","",MONTH(Ejecucion[[#This Row],[Fecha Fin]]))</f>
        <v>10</v>
      </c>
      <c r="L315" s="93" t="s">
        <v>79</v>
      </c>
      <c r="M315" s="29"/>
      <c r="N315" s="29"/>
      <c r="O315" s="29"/>
      <c r="P315" s="29"/>
      <c r="Q315" s="29"/>
      <c r="R315" s="93"/>
      <c r="S315" s="29"/>
      <c r="T315" s="93"/>
    </row>
    <row r="316" spans="1:20" ht="28.8" customHeight="1">
      <c r="A316" s="30">
        <f>ROW() - ROW(Ejecucion[[#Headers],[Correlativo]])</f>
        <v>312</v>
      </c>
      <c r="B316" s="156" t="s">
        <v>336</v>
      </c>
      <c r="C316" s="28" t="str">
        <f>IF(Ejecucion[[#This Row],[No. Solicitud]]="","",_xlfn.XLOOKUP(Ejecucion[[#This Row],[No. Solicitud]],Registro!$B$8:$B$997,Registro!$M$8:$M$997,"Sin Dato",0))</f>
        <v>Gestor 4</v>
      </c>
      <c r="D316" s="84" t="str">
        <f>IF(B316="","",HYPERLINK("#"&amp;"Registro!B"&amp;MATCH(B316,Registro!$B$8:$B$999,0)+7,"Ubicar en registro"))</f>
        <v>Ubicar en registro</v>
      </c>
      <c r="E316" s="55" t="str">
        <f>IF(C316="","",_xlfn.XLOOKUP(Ejecucion[[#This Row],[No. Solicitud]],Registro!$B$8:$B$999,Registro!$H$8:$H$999,"",0))</f>
        <v>Curso 77</v>
      </c>
      <c r="F316" s="29">
        <v>2</v>
      </c>
      <c r="G316" s="29"/>
      <c r="H316" s="29"/>
      <c r="I316" s="97">
        <v>46317</v>
      </c>
      <c r="J316" s="97">
        <v>46317</v>
      </c>
      <c r="K316" s="29">
        <f>IF(Ejecucion[[#This Row],[Fecha Fin]]="","",MONTH(Ejecucion[[#This Row],[Fecha Fin]]))</f>
        <v>10</v>
      </c>
      <c r="L316" s="93" t="s">
        <v>79</v>
      </c>
      <c r="M316" s="29"/>
      <c r="N316" s="29"/>
      <c r="O316" s="29"/>
      <c r="P316" s="29"/>
      <c r="Q316" s="29"/>
      <c r="R316" s="93"/>
      <c r="S316" s="29"/>
      <c r="T316" s="93"/>
    </row>
    <row r="317" spans="1:20" ht="43.2" customHeight="1">
      <c r="A317" s="30">
        <f>ROW() - ROW(Ejecucion[[#Headers],[Correlativo]])</f>
        <v>313</v>
      </c>
      <c r="B317" s="156" t="s">
        <v>340</v>
      </c>
      <c r="C317" s="28" t="str">
        <f>IF(Ejecucion[[#This Row],[No. Solicitud]]="","",_xlfn.XLOOKUP(Ejecucion[[#This Row],[No. Solicitud]],Registro!$B$8:$B$997,Registro!$M$8:$M$997,"Sin Dato",0))</f>
        <v>Gestor 1</v>
      </c>
      <c r="D317" s="84" t="str">
        <f>IF(B317="","",HYPERLINK("#"&amp;"Registro!B"&amp;MATCH(B317,Registro!$B$8:$B$999,0)+7,"Ubicar en registro"))</f>
        <v>Ubicar en registro</v>
      </c>
      <c r="E317" s="55" t="str">
        <f>IF(C317="","",_xlfn.XLOOKUP(Ejecucion[[#This Row],[No. Solicitud]],Registro!$B$8:$B$999,Registro!$H$8:$H$999,"",0))</f>
        <v>Curso 78</v>
      </c>
      <c r="F317" s="29">
        <v>1</v>
      </c>
      <c r="G317" s="29">
        <v>44106</v>
      </c>
      <c r="H317" s="29" t="s">
        <v>781</v>
      </c>
      <c r="I317" s="97">
        <v>46302</v>
      </c>
      <c r="J317" s="94">
        <v>46304</v>
      </c>
      <c r="K317" s="29">
        <f>IF(Ejecucion[[#This Row],[Fecha Fin]]="","",MONTH(Ejecucion[[#This Row],[Fecha Fin]]))</f>
        <v>10</v>
      </c>
      <c r="L317" s="93" t="s">
        <v>79</v>
      </c>
      <c r="M317" s="29">
        <v>9</v>
      </c>
      <c r="N317" s="29">
        <v>9</v>
      </c>
      <c r="O317" s="29"/>
      <c r="P317" s="29"/>
      <c r="Q317" s="29"/>
      <c r="R317" s="93"/>
      <c r="S317" s="29"/>
      <c r="T317" s="93"/>
    </row>
    <row r="318" spans="1:20" ht="43.2" customHeight="1">
      <c r="A318" s="30">
        <f>ROW() - ROW(Ejecucion[[#Headers],[Correlativo]])</f>
        <v>314</v>
      </c>
      <c r="B318" s="156" t="s">
        <v>340</v>
      </c>
      <c r="C318" s="28" t="str">
        <f>IF(Ejecucion[[#This Row],[No. Solicitud]]="","",_xlfn.XLOOKUP(Ejecucion[[#This Row],[No. Solicitud]],Registro!$B$8:$B$997,Registro!$M$8:$M$997,"Sin Dato",0))</f>
        <v>Gestor 1</v>
      </c>
      <c r="D318" s="84" t="str">
        <f>IF(B318="","",HYPERLINK("#"&amp;"Registro!B"&amp;MATCH(B318,Registro!$B$8:$B$999,0)+7,"Ubicar en registro"))</f>
        <v>Ubicar en registro</v>
      </c>
      <c r="E318" s="55" t="str">
        <f>IF(C318="","",_xlfn.XLOOKUP(Ejecucion[[#This Row],[No. Solicitud]],Registro!$B$8:$B$999,Registro!$H$8:$H$999,"",0))</f>
        <v>Curso 78</v>
      </c>
      <c r="F318" s="29">
        <v>2</v>
      </c>
      <c r="G318" s="29">
        <v>44012</v>
      </c>
      <c r="H318" s="29" t="s">
        <v>782</v>
      </c>
      <c r="I318" s="97">
        <v>46307</v>
      </c>
      <c r="J318" s="94">
        <v>46309</v>
      </c>
      <c r="K318" s="29">
        <f>IF(Ejecucion[[#This Row],[Fecha Fin]]="","",MONTH(Ejecucion[[#This Row],[Fecha Fin]]))</f>
        <v>10</v>
      </c>
      <c r="L318" s="93" t="s">
        <v>79</v>
      </c>
      <c r="M318" s="29"/>
      <c r="N318" s="29"/>
      <c r="O318" s="29"/>
      <c r="P318" s="29"/>
      <c r="Q318" s="29"/>
      <c r="R318" s="93"/>
      <c r="S318" s="29"/>
      <c r="T318" s="93"/>
    </row>
    <row r="319" spans="1:20" ht="43.2" customHeight="1">
      <c r="A319" s="30">
        <f>ROW() - ROW(Ejecucion[[#Headers],[Correlativo]])</f>
        <v>315</v>
      </c>
      <c r="B319" s="24" t="s">
        <v>340</v>
      </c>
      <c r="C319" s="28" t="str">
        <f>IF(Ejecucion[[#This Row],[No. Solicitud]]="","",_xlfn.XLOOKUP(Ejecucion[[#This Row],[No. Solicitud]],Registro!$B$8:$B$997,Registro!$M$8:$M$997,"Sin Dato",0))</f>
        <v>Gestor 1</v>
      </c>
      <c r="D319" s="84" t="str">
        <f>IF(B319="","",HYPERLINK("#"&amp;"Registro!B"&amp;MATCH(B319,Registro!$B$8:$B$999,0)+7,"Ubicar en registro"))</f>
        <v>Ubicar en registro</v>
      </c>
      <c r="E319" s="55" t="str">
        <f>IF(C319="","",_xlfn.XLOOKUP(Ejecucion[[#This Row],[No. Solicitud]],Registro!$B$8:$B$999,Registro!$H$8:$H$999,"",0))</f>
        <v>Curso 78</v>
      </c>
      <c r="F319" s="29">
        <v>3</v>
      </c>
      <c r="G319" s="29"/>
      <c r="H319" s="29"/>
      <c r="I319" s="97">
        <v>46330</v>
      </c>
      <c r="J319" s="94">
        <v>46332</v>
      </c>
      <c r="K319" s="29">
        <f>IF(Ejecucion[[#This Row],[Fecha Fin]]="","",MONTH(Ejecucion[[#This Row],[Fecha Fin]]))</f>
        <v>11</v>
      </c>
      <c r="L319" s="93" t="s">
        <v>79</v>
      </c>
      <c r="M319" s="29"/>
      <c r="N319" s="29"/>
      <c r="O319" s="29"/>
      <c r="P319" s="29"/>
      <c r="Q319" s="29"/>
      <c r="R319" s="93"/>
      <c r="S319" s="29"/>
      <c r="T319" s="93"/>
    </row>
    <row r="320" spans="1:20" ht="28.8" customHeight="1">
      <c r="A320" s="30">
        <f>ROW() - ROW(Ejecucion[[#Headers],[Correlativo]])</f>
        <v>316</v>
      </c>
      <c r="B320" s="24" t="s">
        <v>344</v>
      </c>
      <c r="C320" s="28" t="str">
        <f>IF(Ejecucion[[#This Row],[No. Solicitud]]="","",_xlfn.XLOOKUP(Ejecucion[[#This Row],[No. Solicitud]],Registro!$B$8:$B$997,Registro!$M$8:$M$997,"Sin Dato",0))</f>
        <v>Gestor 3</v>
      </c>
      <c r="D320" s="84" t="str">
        <f>IF(B320="","",HYPERLINK("#"&amp;"Registro!B"&amp;MATCH(B320,Registro!$B$8:$B$999,0)+7,"Ubicar en registro"))</f>
        <v>Ubicar en registro</v>
      </c>
      <c r="E320" s="55" t="str">
        <f>IF(C320="","",_xlfn.XLOOKUP(Ejecucion[[#This Row],[No. Solicitud]],Registro!$B$8:$B$999,Registro!$H$8:$H$999,"",0))</f>
        <v>Curso 79</v>
      </c>
      <c r="F320" s="29">
        <v>1</v>
      </c>
      <c r="G320" s="29"/>
      <c r="H320" s="29"/>
      <c r="I320" s="97">
        <v>46317</v>
      </c>
      <c r="J320" s="97">
        <v>46317</v>
      </c>
      <c r="K320" s="29">
        <f>IF(Ejecucion[[#This Row],[Fecha Fin]]="","",MONTH(Ejecucion[[#This Row],[Fecha Fin]]))</f>
        <v>10</v>
      </c>
      <c r="L320" s="93" t="s">
        <v>79</v>
      </c>
      <c r="M320" s="29"/>
      <c r="N320" s="29"/>
      <c r="O320" s="29"/>
      <c r="P320" s="29"/>
      <c r="Q320" s="29"/>
      <c r="R320" s="93"/>
      <c r="S320" s="29"/>
      <c r="T320" s="93"/>
    </row>
    <row r="321" spans="1:20" ht="28.8" customHeight="1">
      <c r="A321" s="30">
        <f>ROW() - ROW(Ejecucion[[#Headers],[Correlativo]])</f>
        <v>317</v>
      </c>
      <c r="B321" s="24" t="s">
        <v>344</v>
      </c>
      <c r="C321" s="28" t="str">
        <f>IF(Ejecucion[[#This Row],[No. Solicitud]]="","",_xlfn.XLOOKUP(Ejecucion[[#This Row],[No. Solicitud]],Registro!$B$8:$B$997,Registro!$M$8:$M$997,"Sin Dato",0))</f>
        <v>Gestor 3</v>
      </c>
      <c r="D321" s="84" t="str">
        <f>IF(B321="","",HYPERLINK("#"&amp;"Registro!B"&amp;MATCH(B321,Registro!$B$8:$B$999,0)+7,"Ubicar en registro"))</f>
        <v>Ubicar en registro</v>
      </c>
      <c r="E321" s="55" t="str">
        <f>IF(C321="","",_xlfn.XLOOKUP(Ejecucion[[#This Row],[No. Solicitud]],Registro!$B$8:$B$999,Registro!$H$8:$H$999,"",0))</f>
        <v>Curso 79</v>
      </c>
      <c r="F321" s="29">
        <v>2</v>
      </c>
      <c r="G321" s="29"/>
      <c r="H321" s="29"/>
      <c r="I321" s="97">
        <v>46321</v>
      </c>
      <c r="J321" s="97">
        <v>46321</v>
      </c>
      <c r="K321" s="29">
        <f>IF(Ejecucion[[#This Row],[Fecha Fin]]="","",MONTH(Ejecucion[[#This Row],[Fecha Fin]]))</f>
        <v>10</v>
      </c>
      <c r="L321" s="93" t="s">
        <v>79</v>
      </c>
      <c r="M321" s="29"/>
      <c r="N321" s="29"/>
      <c r="O321" s="29"/>
      <c r="P321" s="29"/>
      <c r="Q321" s="29"/>
      <c r="R321" s="93"/>
      <c r="S321" s="29"/>
      <c r="T321" s="93"/>
    </row>
    <row r="322" spans="1:20" ht="28.8" customHeight="1">
      <c r="A322" s="30">
        <f>ROW() - ROW(Ejecucion[[#Headers],[Correlativo]])</f>
        <v>318</v>
      </c>
      <c r="B322" s="24" t="s">
        <v>348</v>
      </c>
      <c r="C322" s="28" t="str">
        <f>IF(Ejecucion[[#This Row],[No. Solicitud]]="","",_xlfn.XLOOKUP(Ejecucion[[#This Row],[No. Solicitud]],Registro!$B$8:$B$997,Registro!$M$8:$M$997,"Sin Dato",0))</f>
        <v>Gestor 3</v>
      </c>
      <c r="D322" s="84" t="str">
        <f>IF(B322="","",HYPERLINK("#"&amp;"Registro!B"&amp;MATCH(B322,Registro!$B$8:$B$999,0)+7,"Ubicar en registro"))</f>
        <v>Ubicar en registro</v>
      </c>
      <c r="E322" s="55" t="str">
        <f>IF(C322="","",_xlfn.XLOOKUP(Ejecucion[[#This Row],[No. Solicitud]],Registro!$B$8:$B$999,Registro!$H$8:$H$999,"",0))</f>
        <v>Curso 80</v>
      </c>
      <c r="F322" s="29">
        <v>1</v>
      </c>
      <c r="G322" s="29">
        <v>44076</v>
      </c>
      <c r="H322" s="29" t="s">
        <v>783</v>
      </c>
      <c r="I322" s="97">
        <v>46303</v>
      </c>
      <c r="J322" s="97">
        <v>46309</v>
      </c>
      <c r="K322" s="29">
        <f>IF(Ejecucion[[#This Row],[Fecha Fin]]="","",MONTH(Ejecucion[[#This Row],[Fecha Fin]]))</f>
        <v>10</v>
      </c>
      <c r="L322" s="93" t="s">
        <v>79</v>
      </c>
      <c r="M322" s="29">
        <v>14</v>
      </c>
      <c r="N322" s="29"/>
      <c r="O322" s="29"/>
      <c r="P322" s="29"/>
      <c r="Q322" s="29"/>
      <c r="R322" s="93"/>
      <c r="S322" s="29"/>
      <c r="T322" s="93"/>
    </row>
    <row r="323" spans="1:20" ht="28.8" customHeight="1">
      <c r="A323" s="30">
        <f>ROW() - ROW(Ejecucion[[#Headers],[Correlativo]])</f>
        <v>319</v>
      </c>
      <c r="B323" s="24" t="s">
        <v>352</v>
      </c>
      <c r="C323" s="28" t="str">
        <f>IF(Ejecucion[[#This Row],[No. Solicitud]]="","",_xlfn.XLOOKUP(Ejecucion[[#This Row],[No. Solicitud]],Registro!$B$8:$B$997,Registro!$M$8:$M$997,"Sin Dato",0))</f>
        <v>Gestor 2</v>
      </c>
      <c r="D323" s="84" t="str">
        <f>IF(B323="","",HYPERLINK("#"&amp;"Registro!B"&amp;MATCH(B323,Registro!$B$8:$B$999,0)+7,"Ubicar en registro"))</f>
        <v>Ubicar en registro</v>
      </c>
      <c r="E323" s="55" t="str">
        <f>IF(C323="","",_xlfn.XLOOKUP(Ejecucion[[#This Row],[No. Solicitud]],Registro!$B$8:$B$999,Registro!$H$8:$H$999,"",0))</f>
        <v>Curso 81</v>
      </c>
      <c r="F323" s="29">
        <v>1</v>
      </c>
      <c r="G323" s="29"/>
      <c r="H323" s="29"/>
      <c r="I323" s="97">
        <v>46316</v>
      </c>
      <c r="J323" s="94">
        <v>46316</v>
      </c>
      <c r="K323" s="29">
        <f>IF(Ejecucion[[#This Row],[Fecha Fin]]="","",MONTH(Ejecucion[[#This Row],[Fecha Fin]]))</f>
        <v>10</v>
      </c>
      <c r="L323" s="93" t="s">
        <v>79</v>
      </c>
      <c r="M323" s="29"/>
      <c r="N323" s="29"/>
      <c r="O323" s="29"/>
      <c r="P323" s="29"/>
      <c r="Q323" s="29"/>
      <c r="R323" s="93"/>
      <c r="S323" s="29"/>
      <c r="T323" s="93"/>
    </row>
    <row r="324" spans="1:20" ht="28.8" customHeight="1">
      <c r="A324" s="30">
        <f>ROW() - ROW(Ejecucion[[#Headers],[Correlativo]])</f>
        <v>320</v>
      </c>
      <c r="B324" s="24" t="s">
        <v>381</v>
      </c>
      <c r="C324" s="28" t="str">
        <f>IF(Ejecucion[[#This Row],[No. Solicitud]]="","",_xlfn.XLOOKUP(Ejecucion[[#This Row],[No. Solicitud]],Registro!$B$8:$B$997,Registro!$M$8:$M$997,"Sin Dato",0))</f>
        <v>Gestor 3</v>
      </c>
      <c r="D324" s="84" t="str">
        <f>IF(B324="","",HYPERLINK("#"&amp;"Registro!B"&amp;MATCH(B324,Registro!$B$8:$B$999,0)+7,"Ubicar en registro"))</f>
        <v>Ubicar en registro</v>
      </c>
      <c r="E324" s="55" t="str">
        <f>IF(C324="","",_xlfn.XLOOKUP(Ejecucion[[#This Row],[No. Solicitud]],Registro!$B$8:$B$999,Registro!$H$8:$H$999,"",0))</f>
        <v>Curso 91</v>
      </c>
      <c r="F324" s="29">
        <v>1</v>
      </c>
      <c r="G324" s="29"/>
      <c r="H324" s="29"/>
      <c r="I324" s="97">
        <v>46332</v>
      </c>
      <c r="J324" s="94">
        <v>46338</v>
      </c>
      <c r="K324" s="29">
        <f>IF(Ejecucion[[#This Row],[Fecha Fin]]="","",MONTH(Ejecucion[[#This Row],[Fecha Fin]]))</f>
        <v>11</v>
      </c>
      <c r="L324" s="93" t="s">
        <v>79</v>
      </c>
      <c r="M324" s="29"/>
      <c r="N324" s="29"/>
      <c r="O324" s="29"/>
      <c r="P324" s="29"/>
      <c r="Q324" s="29"/>
      <c r="R324" s="93"/>
      <c r="S324" s="29"/>
      <c r="T324" s="93"/>
    </row>
    <row r="325" spans="1:20" ht="28.8" customHeight="1">
      <c r="A325" s="30">
        <f>ROW() - ROW(Ejecucion[[#Headers],[Correlativo]])</f>
        <v>321</v>
      </c>
      <c r="B325" s="24" t="s">
        <v>425</v>
      </c>
      <c r="C325" s="28" t="str">
        <f>IF(Ejecucion[[#This Row],[No. Solicitud]]="","",_xlfn.XLOOKUP(Ejecucion[[#This Row],[No. Solicitud]],Registro!$B$8:$B$997,Registro!$M$8:$M$997,"Sin Dato",0))</f>
        <v>Gestor 3</v>
      </c>
      <c r="D325" s="84" t="str">
        <f>IF(B325="","",HYPERLINK("#"&amp;"Registro!B"&amp;MATCH(B325,Registro!$B$8:$B$999,0)+7,"Ubicar en registro"))</f>
        <v>Ubicar en registro</v>
      </c>
      <c r="E325" s="55" t="str">
        <f>IF(C325="","",_xlfn.XLOOKUP(Ejecucion[[#This Row],[No. Solicitud]],Registro!$B$8:$B$999,Registro!$H$8:$H$999,"",0))</f>
        <v>Curso 106</v>
      </c>
      <c r="F325" s="29">
        <v>1</v>
      </c>
      <c r="G325" s="29"/>
      <c r="H325" s="29"/>
      <c r="I325" s="97">
        <v>46316</v>
      </c>
      <c r="J325" s="97">
        <v>46316</v>
      </c>
      <c r="K325" s="29">
        <f>IF(Ejecucion[[#This Row],[Fecha Fin]]="","",MONTH(Ejecucion[[#This Row],[Fecha Fin]]))</f>
        <v>10</v>
      </c>
      <c r="L325" s="93" t="s">
        <v>79</v>
      </c>
      <c r="M325" s="29"/>
      <c r="N325" s="29"/>
      <c r="O325" s="29"/>
      <c r="P325" s="29"/>
      <c r="Q325" s="29"/>
      <c r="R325" s="93"/>
      <c r="S325" s="29"/>
      <c r="T325" s="93"/>
    </row>
    <row r="326" spans="1:20" ht="28.8" customHeight="1">
      <c r="A326" s="30">
        <f>ROW() - ROW(Ejecucion[[#Headers],[Correlativo]])</f>
        <v>322</v>
      </c>
      <c r="B326" s="24" t="s">
        <v>425</v>
      </c>
      <c r="C326" s="28" t="str">
        <f>IF(Ejecucion[[#This Row],[No. Solicitud]]="","",_xlfn.XLOOKUP(Ejecucion[[#This Row],[No. Solicitud]],Registro!$B$8:$B$997,Registro!$M$8:$M$997,"Sin Dato",0))</f>
        <v>Gestor 3</v>
      </c>
      <c r="D326" s="84" t="str">
        <f>IF(B326="","",HYPERLINK("#"&amp;"Registro!B"&amp;MATCH(B326,Registro!$B$8:$B$999,0)+7,"Ubicar en registro"))</f>
        <v>Ubicar en registro</v>
      </c>
      <c r="E326" s="55" t="str">
        <f>IF(C326="","",_xlfn.XLOOKUP(Ejecucion[[#This Row],[No. Solicitud]],Registro!$B$8:$B$999,Registro!$H$8:$H$999,"",0))</f>
        <v>Curso 106</v>
      </c>
      <c r="F326" s="29">
        <v>2</v>
      </c>
      <c r="G326" s="29"/>
      <c r="H326" s="29"/>
      <c r="I326" s="97">
        <v>46321</v>
      </c>
      <c r="J326" s="97">
        <v>46321</v>
      </c>
      <c r="K326" s="29">
        <f>IF(Ejecucion[[#This Row],[Fecha Fin]]="","",MONTH(Ejecucion[[#This Row],[Fecha Fin]]))</f>
        <v>10</v>
      </c>
      <c r="L326" s="93" t="s">
        <v>79</v>
      </c>
      <c r="M326" s="29"/>
      <c r="N326" s="29"/>
      <c r="O326" s="29"/>
      <c r="P326" s="29"/>
      <c r="Q326" s="29"/>
      <c r="R326" s="93"/>
      <c r="S326" s="29"/>
      <c r="T326" s="93"/>
    </row>
    <row r="327" spans="1:20" ht="28.8" customHeight="1">
      <c r="A327" s="30">
        <f>ROW() - ROW(Ejecucion[[#Headers],[Correlativo]])</f>
        <v>323</v>
      </c>
      <c r="B327" s="24" t="s">
        <v>425</v>
      </c>
      <c r="C327" s="28" t="str">
        <f>IF(Ejecucion[[#This Row],[No. Solicitud]]="","",_xlfn.XLOOKUP(Ejecucion[[#This Row],[No. Solicitud]],Registro!$B$8:$B$997,Registro!$M$8:$M$997,"Sin Dato",0))</f>
        <v>Gestor 3</v>
      </c>
      <c r="D327" s="84" t="str">
        <f>IF(B327="","",HYPERLINK("#"&amp;"Registro!B"&amp;MATCH(B327,Registro!$B$8:$B$999,0)+7,"Ubicar en registro"))</f>
        <v>Ubicar en registro</v>
      </c>
      <c r="E327" s="55" t="str">
        <f>IF(C327="","",_xlfn.XLOOKUP(Ejecucion[[#This Row],[No. Solicitud]],Registro!$B$8:$B$999,Registro!$H$8:$H$999,"",0))</f>
        <v>Curso 106</v>
      </c>
      <c r="F327" s="29">
        <v>3</v>
      </c>
      <c r="G327" s="29"/>
      <c r="H327" s="29"/>
      <c r="I327" s="97">
        <v>46324</v>
      </c>
      <c r="J327" s="97">
        <v>46324</v>
      </c>
      <c r="K327" s="29">
        <f>IF(Ejecucion[[#This Row],[Fecha Fin]]="","",MONTH(Ejecucion[[#This Row],[Fecha Fin]]))</f>
        <v>10</v>
      </c>
      <c r="L327" s="93" t="s">
        <v>79</v>
      </c>
      <c r="M327" s="29"/>
      <c r="N327" s="29"/>
      <c r="O327" s="29"/>
      <c r="P327" s="29"/>
      <c r="Q327" s="29"/>
      <c r="R327" s="93"/>
      <c r="S327" s="29"/>
      <c r="T327" s="93"/>
    </row>
    <row r="328" spans="1:20" ht="28.8" customHeight="1">
      <c r="A328" s="30">
        <f>ROW() - ROW(Ejecucion[[#Headers],[Correlativo]])</f>
        <v>324</v>
      </c>
      <c r="B328" s="24" t="s">
        <v>425</v>
      </c>
      <c r="C328" s="28" t="str">
        <f>IF(Ejecucion[[#This Row],[No. Solicitud]]="","",_xlfn.XLOOKUP(Ejecucion[[#This Row],[No. Solicitud]],Registro!$B$8:$B$997,Registro!$M$8:$M$997,"Sin Dato",0))</f>
        <v>Gestor 3</v>
      </c>
      <c r="D328" s="84" t="str">
        <f>IF(B328="","",HYPERLINK("#"&amp;"Registro!B"&amp;MATCH(B328,Registro!$B$8:$B$999,0)+7,"Ubicar en registro"))</f>
        <v>Ubicar en registro</v>
      </c>
      <c r="E328" s="55" t="str">
        <f>IF(C328="","",_xlfn.XLOOKUP(Ejecucion[[#This Row],[No. Solicitud]],Registro!$B$8:$B$999,Registro!$H$8:$H$999,"",0))</f>
        <v>Curso 106</v>
      </c>
      <c r="F328" s="29">
        <v>4</v>
      </c>
      <c r="G328" s="29"/>
      <c r="H328" s="29"/>
      <c r="I328" s="97">
        <v>46325</v>
      </c>
      <c r="J328" s="97">
        <v>46325</v>
      </c>
      <c r="K328" s="29">
        <f>IF(Ejecucion[[#This Row],[Fecha Fin]]="","",MONTH(Ejecucion[[#This Row],[Fecha Fin]]))</f>
        <v>10</v>
      </c>
      <c r="L328" s="93" t="s">
        <v>79</v>
      </c>
      <c r="M328" s="29"/>
      <c r="N328" s="29"/>
      <c r="O328" s="29"/>
      <c r="P328" s="29"/>
      <c r="Q328" s="29"/>
      <c r="R328" s="93"/>
      <c r="S328" s="29"/>
      <c r="T328" s="93"/>
    </row>
    <row r="329" spans="1:20" ht="30.75" customHeight="1">
      <c r="A329" s="30">
        <f>ROW() - ROW(Ejecucion[[#Headers],[Correlativo]])</f>
        <v>325</v>
      </c>
      <c r="B329" s="24" t="s">
        <v>429</v>
      </c>
      <c r="C329" s="28" t="str">
        <f>IF(Ejecucion[[#This Row],[No. Solicitud]]="","",_xlfn.XLOOKUP(Ejecucion[[#This Row],[No. Solicitud]],Registro!$B$8:$B$997,Registro!$M$8:$M$997,"Sin Dato",0))</f>
        <v>Gestor 1</v>
      </c>
      <c r="D329" s="84" t="str">
        <f>IF(B329="","",HYPERLINK("#"&amp;"Registro!B"&amp;MATCH(B329,Registro!$B$8:$B$999,0)+7,"Ubicar en registro"))</f>
        <v>Ubicar en registro</v>
      </c>
      <c r="E329" s="55" t="str">
        <f>IF(C329="","",_xlfn.XLOOKUP(Ejecucion[[#This Row],[No. Solicitud]],Registro!$B$8:$B$999,Registro!$H$8:$H$999,"",0))</f>
        <v>Curso 107</v>
      </c>
      <c r="F329" s="29">
        <v>1</v>
      </c>
      <c r="G329" s="29"/>
      <c r="H329" s="29"/>
      <c r="I329" s="97">
        <v>46345</v>
      </c>
      <c r="J329" s="97">
        <v>46345</v>
      </c>
      <c r="K329" s="29">
        <f>IF(Ejecucion[[#This Row],[Fecha Fin]]="","",MONTH(Ejecucion[[#This Row],[Fecha Fin]]))</f>
        <v>11</v>
      </c>
      <c r="L329" s="93" t="s">
        <v>79</v>
      </c>
      <c r="M329" s="29"/>
      <c r="N329" s="29"/>
      <c r="O329" s="29"/>
      <c r="P329" s="29"/>
      <c r="Q329" s="29"/>
      <c r="R329" s="93"/>
      <c r="S329" s="29"/>
      <c r="T329" s="93"/>
    </row>
    <row r="330" spans="1:20" ht="30.75" customHeight="1">
      <c r="A330" s="30">
        <f>ROW() - ROW(Ejecucion[[#Headers],[Correlativo]])</f>
        <v>326</v>
      </c>
      <c r="B330" s="24" t="s">
        <v>429</v>
      </c>
      <c r="C330" s="28" t="str">
        <f>IF(Ejecucion[[#This Row],[No. Solicitud]]="","",_xlfn.XLOOKUP(Ejecucion[[#This Row],[No. Solicitud]],Registro!$B$8:$B$997,Registro!$M$8:$M$997,"Sin Dato",0))</f>
        <v>Gestor 1</v>
      </c>
      <c r="D330" s="84" t="str">
        <f>IF(B330="","",HYPERLINK("#"&amp;"Registro!B"&amp;MATCH(B330,Registro!$B$8:$B$999,0)+7,"Ubicar en registro"))</f>
        <v>Ubicar en registro</v>
      </c>
      <c r="E330" s="55" t="str">
        <f>IF(C330="","",_xlfn.XLOOKUP(Ejecucion[[#This Row],[No. Solicitud]],Registro!$B$8:$B$999,Registro!$H$8:$H$999,"",0))</f>
        <v>Curso 107</v>
      </c>
      <c r="F330" s="29">
        <v>2</v>
      </c>
      <c r="G330" s="29"/>
      <c r="H330" s="29"/>
      <c r="I330" s="97">
        <v>46349</v>
      </c>
      <c r="J330" s="97">
        <v>46349</v>
      </c>
      <c r="K330" s="29">
        <f>IF(Ejecucion[[#This Row],[Fecha Fin]]="","",MONTH(Ejecucion[[#This Row],[Fecha Fin]]))</f>
        <v>11</v>
      </c>
      <c r="L330" s="93" t="s">
        <v>79</v>
      </c>
      <c r="M330" s="29"/>
      <c r="N330" s="29"/>
      <c r="O330" s="29"/>
      <c r="P330" s="29"/>
      <c r="Q330" s="29"/>
      <c r="R330" s="93"/>
      <c r="S330" s="29"/>
      <c r="T330" s="93"/>
    </row>
    <row r="331" spans="1:20" ht="28.8" customHeight="1">
      <c r="A331" s="30">
        <f>ROW() - ROW(Ejecucion[[#Headers],[Correlativo]])</f>
        <v>327</v>
      </c>
      <c r="B331" s="24" t="s">
        <v>432</v>
      </c>
      <c r="C331" s="28" t="str">
        <f>IF(Ejecucion[[#This Row],[No. Solicitud]]="","",_xlfn.XLOOKUP(Ejecucion[[#This Row],[No. Solicitud]],Registro!$B$8:$B$997,Registro!$M$8:$M$997,"Sin Dato",0))</f>
        <v>Gestor 2</v>
      </c>
      <c r="D331" s="84" t="str">
        <f>IF(B331="","",HYPERLINK("#"&amp;"Registro!B"&amp;MATCH(B331,Registro!$B$8:$B$999,0)+7,"Ubicar en registro"))</f>
        <v>Ubicar en registro</v>
      </c>
      <c r="E331" s="55" t="str">
        <f>IF(C331="","",_xlfn.XLOOKUP(Ejecucion[[#This Row],[No. Solicitud]],Registro!$B$8:$B$999,Registro!$H$8:$H$999,"",0))</f>
        <v>Curso 108</v>
      </c>
      <c r="F331" s="29">
        <v>1</v>
      </c>
      <c r="G331" s="29"/>
      <c r="H331" s="29"/>
      <c r="I331" s="130">
        <v>46342</v>
      </c>
      <c r="J331" s="130">
        <v>46342</v>
      </c>
      <c r="K331" s="29">
        <f>IF(Ejecucion[[#This Row],[Fecha Fin]]="","",MONTH(Ejecucion[[#This Row],[Fecha Fin]]))</f>
        <v>11</v>
      </c>
      <c r="L331" s="93" t="s">
        <v>79</v>
      </c>
      <c r="M331" s="29">
        <v>193</v>
      </c>
      <c r="N331" s="29"/>
      <c r="O331" s="29"/>
      <c r="P331" s="29"/>
      <c r="Q331" s="29"/>
      <c r="R331" s="93"/>
      <c r="S331" s="29"/>
      <c r="T331" s="93"/>
    </row>
    <row r="332" spans="1:20" ht="28.8" customHeight="1">
      <c r="A332" s="30">
        <f>ROW() - ROW(Ejecucion[[#Headers],[Correlativo]])</f>
        <v>328</v>
      </c>
      <c r="B332" s="24" t="s">
        <v>432</v>
      </c>
      <c r="C332" s="28" t="str">
        <f>IF(Ejecucion[[#This Row],[No. Solicitud]]="","",_xlfn.XLOOKUP(Ejecucion[[#This Row],[No. Solicitud]],Registro!$B$8:$B$997,Registro!$M$8:$M$997,"Sin Dato",0))</f>
        <v>Gestor 2</v>
      </c>
      <c r="D332" s="84" t="str">
        <f>IF(B332="","",HYPERLINK("#"&amp;"Registro!B"&amp;MATCH(B332,Registro!$B$8:$B$999,0)+7,"Ubicar en registro"))</f>
        <v>Ubicar en registro</v>
      </c>
      <c r="E332" s="55" t="str">
        <f>IF(C332="","",_xlfn.XLOOKUP(Ejecucion[[#This Row],[No. Solicitud]],Registro!$B$8:$B$999,Registro!$H$8:$H$999,"",0))</f>
        <v>Curso 108</v>
      </c>
      <c r="F332" s="29">
        <v>2</v>
      </c>
      <c r="G332" s="29"/>
      <c r="H332" s="29"/>
      <c r="I332" s="130">
        <v>46349</v>
      </c>
      <c r="J332" s="130">
        <v>46349</v>
      </c>
      <c r="K332" s="29">
        <f>IF(Ejecucion[[#This Row],[Fecha Fin]]="","",MONTH(Ejecucion[[#This Row],[Fecha Fin]]))</f>
        <v>11</v>
      </c>
      <c r="L332" s="93" t="s">
        <v>79</v>
      </c>
      <c r="M332" s="29">
        <v>193</v>
      </c>
      <c r="N332" s="29"/>
      <c r="O332" s="29"/>
      <c r="P332" s="29"/>
      <c r="Q332" s="29"/>
      <c r="R332" s="93"/>
      <c r="S332" s="29"/>
      <c r="T332" s="93"/>
    </row>
    <row r="333" spans="1:20" ht="28.8" customHeight="1">
      <c r="A333" s="30">
        <f>ROW() - ROW(Ejecucion[[#Headers],[Correlativo]])</f>
        <v>329</v>
      </c>
      <c r="B333" s="24" t="s">
        <v>434</v>
      </c>
      <c r="C333" s="28" t="str">
        <f>IF(Ejecucion[[#This Row],[No. Solicitud]]="","",_xlfn.XLOOKUP(Ejecucion[[#This Row],[No. Solicitud]],Registro!$B$8:$B$997,Registro!$M$8:$M$997,"Sin Dato",0))</f>
        <v>Gestor 3</v>
      </c>
      <c r="D333" s="84" t="str">
        <f>IF(B333="","",HYPERLINK("#"&amp;"Registro!B"&amp;MATCH(B333,Registro!$B$8:$B$999,0)+7,"Ubicar en registro"))</f>
        <v>Ubicar en registro</v>
      </c>
      <c r="E333" s="55" t="str">
        <f>IF(C333="","",_xlfn.XLOOKUP(Ejecucion[[#This Row],[No. Solicitud]],Registro!$B$8:$B$999,Registro!$H$8:$H$999,"",0))</f>
        <v>Curso 109</v>
      </c>
      <c r="F333" s="29">
        <v>1</v>
      </c>
      <c r="G333" s="29">
        <v>44159</v>
      </c>
      <c r="H333" s="29" t="s">
        <v>784</v>
      </c>
      <c r="I333" s="97">
        <v>46307</v>
      </c>
      <c r="J333" s="94">
        <v>46307</v>
      </c>
      <c r="K333" s="29">
        <f>IF(Ejecucion[[#This Row],[Fecha Fin]]="","",MONTH(Ejecucion[[#This Row],[Fecha Fin]]))</f>
        <v>10</v>
      </c>
      <c r="L333" s="93" t="s">
        <v>79</v>
      </c>
      <c r="M333" s="29">
        <v>42</v>
      </c>
      <c r="N333" s="29"/>
      <c r="O333" s="29"/>
      <c r="P333" s="29"/>
      <c r="Q333" s="29"/>
      <c r="R333" s="93"/>
      <c r="S333" s="29"/>
      <c r="T333" s="93"/>
    </row>
    <row r="334" spans="1:20" ht="86.4" customHeight="1">
      <c r="A334" s="30">
        <f>ROW() - ROW(Ejecucion[[#Headers],[Correlativo]])</f>
        <v>330</v>
      </c>
      <c r="B334" s="24" t="s">
        <v>445</v>
      </c>
      <c r="C334" s="28" t="str">
        <f>IF(Ejecucion[[#This Row],[No. Solicitud]]="","",_xlfn.XLOOKUP(Ejecucion[[#This Row],[No. Solicitud]],Registro!$B$8:$B$997,Registro!$M$8:$M$997,"Sin Dato",0))</f>
        <v>Gestor 4</v>
      </c>
      <c r="D334" s="84" t="str">
        <f>IF(B334="","",HYPERLINK("#"&amp;"Registro!B"&amp;MATCH(B334,Registro!$B$8:$B$999,0)+7,"Ubicar en registro"))</f>
        <v>Ubicar en registro</v>
      </c>
      <c r="E334" s="55" t="str">
        <f>IF(C334="","",_xlfn.XLOOKUP(Ejecucion[[#This Row],[No. Solicitud]],Registro!$B$8:$B$999,Registro!$H$8:$H$999,"",0))</f>
        <v>Curso 112</v>
      </c>
      <c r="F334" s="29">
        <v>1</v>
      </c>
      <c r="G334" s="29"/>
      <c r="H334" s="29"/>
      <c r="I334" s="97">
        <v>46324</v>
      </c>
      <c r="J334" s="94">
        <v>46328</v>
      </c>
      <c r="K334" s="29">
        <f>IF(Ejecucion[[#This Row],[Fecha Fin]]="","",MONTH(Ejecucion[[#This Row],[Fecha Fin]]))</f>
        <v>11</v>
      </c>
      <c r="L334" s="93" t="s">
        <v>79</v>
      </c>
      <c r="M334" s="29"/>
      <c r="N334" s="29"/>
      <c r="O334" s="29"/>
      <c r="P334" s="29"/>
      <c r="Q334" s="29"/>
      <c r="R334" s="93"/>
      <c r="S334" s="29"/>
      <c r="T334" s="93" t="s">
        <v>785</v>
      </c>
    </row>
    <row r="335" spans="1:20" ht="28.8" customHeight="1">
      <c r="A335" s="30">
        <f>ROW() - ROW(Ejecucion[[#Headers],[Correlativo]])</f>
        <v>331</v>
      </c>
      <c r="B335" s="24" t="s">
        <v>438</v>
      </c>
      <c r="C335" s="28" t="str">
        <f>IF(Ejecucion[[#This Row],[No. Solicitud]]="","",_xlfn.XLOOKUP(Ejecucion[[#This Row],[No. Solicitud]],Registro!$B$8:$B$997,Registro!$M$8:$M$997,"Sin Dato",0))</f>
        <v>Gestor 3</v>
      </c>
      <c r="D335" s="84" t="str">
        <f>IF(B335="","",HYPERLINK("#"&amp;"Registro!B"&amp;MATCH(B335,Registro!$B$8:$B$999,0)+7,"Ubicar en registro"))</f>
        <v>Ubicar en registro</v>
      </c>
      <c r="E335" s="55" t="str">
        <f>IF(C335="","",_xlfn.XLOOKUP(Ejecucion[[#This Row],[No. Solicitud]],Registro!$B$8:$B$999,Registro!$H$8:$H$999,"",0))</f>
        <v>Curso 110</v>
      </c>
      <c r="F335" s="29">
        <v>1</v>
      </c>
      <c r="G335" s="29"/>
      <c r="H335" s="29"/>
      <c r="I335" s="97">
        <v>46314</v>
      </c>
      <c r="J335" s="94">
        <v>46314</v>
      </c>
      <c r="K335" s="29">
        <f>IF(Ejecucion[[#This Row],[Fecha Fin]]="","",MONTH(Ejecucion[[#This Row],[Fecha Fin]]))</f>
        <v>10</v>
      </c>
      <c r="L335" s="93" t="s">
        <v>79</v>
      </c>
      <c r="M335" s="29">
        <v>425</v>
      </c>
      <c r="N335" s="29"/>
      <c r="O335" s="29"/>
      <c r="P335" s="29"/>
      <c r="Q335" s="29"/>
      <c r="R335" s="93"/>
      <c r="S335" s="29"/>
      <c r="T335" s="93"/>
    </row>
    <row r="336" spans="1:20" ht="28.8" customHeight="1">
      <c r="A336" s="30">
        <f>ROW() - ROW(Ejecucion[[#Headers],[Correlativo]])</f>
        <v>332</v>
      </c>
      <c r="B336" s="24" t="s">
        <v>447</v>
      </c>
      <c r="C336" s="28" t="str">
        <f>IF(Ejecucion[[#This Row],[No. Solicitud]]="","",_xlfn.XLOOKUP(Ejecucion[[#This Row],[No. Solicitud]],Registro!$B$8:$B$997,Registro!$M$8:$M$997,"Sin Dato",0))</f>
        <v>Gestor 1</v>
      </c>
      <c r="D336" s="211" t="str">
        <f>IF(B336="","",HYPERLINK("#"&amp;"Registro!B"&amp;MATCH(B336,Registro!$B$8:$B$999,0)+7,"Ubicar en registro"))</f>
        <v>Ubicar en registro</v>
      </c>
      <c r="E336" s="55" t="str">
        <f>IF(C336="","",_xlfn.XLOOKUP(Ejecucion[[#This Row],[No. Solicitud]],Registro!$B$8:$B$999,Registro!$H$8:$H$999,"",0))</f>
        <v>Curso 113</v>
      </c>
      <c r="F336" s="29">
        <v>1</v>
      </c>
      <c r="G336" s="29"/>
      <c r="H336" s="29"/>
      <c r="I336" s="97">
        <v>46316</v>
      </c>
      <c r="J336" s="94">
        <v>46318</v>
      </c>
      <c r="K336" s="29">
        <f>IF(Ejecucion[[#This Row],[Fecha Fin]]="","",MONTH(Ejecucion[[#This Row],[Fecha Fin]]))</f>
        <v>10</v>
      </c>
      <c r="L336" s="93" t="s">
        <v>79</v>
      </c>
      <c r="M336" s="29"/>
      <c r="N336" s="29"/>
      <c r="O336" s="29"/>
      <c r="P336" s="29"/>
      <c r="Q336" s="29"/>
      <c r="R336" s="93"/>
      <c r="S336" s="29"/>
      <c r="T336" s="93"/>
    </row>
    <row r="337" spans="1:20" ht="28.8" customHeight="1">
      <c r="A337" s="30">
        <f>ROW() - ROW(Ejecucion[[#Headers],[Correlativo]])</f>
        <v>333</v>
      </c>
      <c r="B337" s="24" t="s">
        <v>245</v>
      </c>
      <c r="C337" s="28" t="str">
        <f>IF(Ejecucion[[#This Row],[No. Solicitud]]="","",_xlfn.XLOOKUP(Ejecucion[[#This Row],[No. Solicitud]],Registro!$B$8:$B$997,Registro!$M$8:$M$997,"Sin Dato",0))</f>
        <v>Gestor 1</v>
      </c>
      <c r="D337" s="211" t="str">
        <f>IF(B337="","",HYPERLINK("#"&amp;"Registro!B"&amp;MATCH(B337,Registro!$B$8:$B$999,0)+7,"Ubicar en registro"))</f>
        <v>Ubicar en registro</v>
      </c>
      <c r="E337" s="55" t="str">
        <f>IF(C337="","",_xlfn.XLOOKUP(Ejecucion[[#This Row],[No. Solicitud]],Registro!$B$8:$B$999,Registro!$H$8:$H$999,"",0))</f>
        <v>Curso 44</v>
      </c>
      <c r="F337" s="29">
        <v>1</v>
      </c>
      <c r="G337" s="29">
        <v>44101</v>
      </c>
      <c r="H337" s="29" t="s">
        <v>786</v>
      </c>
      <c r="I337" s="97">
        <v>46293</v>
      </c>
      <c r="J337" s="94">
        <v>46297</v>
      </c>
      <c r="K337" s="29">
        <f>IF(Ejecucion[[#This Row],[Fecha Fin]]="","",MONTH(Ejecucion[[#This Row],[Fecha Fin]]))</f>
        <v>10</v>
      </c>
      <c r="L337" s="93" t="s">
        <v>75</v>
      </c>
      <c r="M337" s="29"/>
      <c r="N337" s="29"/>
      <c r="O337" s="29"/>
      <c r="P337" s="29"/>
      <c r="Q337" s="29"/>
      <c r="R337" s="93"/>
      <c r="S337" s="29"/>
      <c r="T337" s="93"/>
    </row>
    <row r="338" spans="1:20" ht="28.8" customHeight="1">
      <c r="A338" s="30">
        <f>ROW() - ROW(Ejecucion[[#Headers],[Correlativo]])</f>
        <v>334</v>
      </c>
      <c r="B338" s="24" t="s">
        <v>247</v>
      </c>
      <c r="C338" s="28" t="str">
        <f>IF(Ejecucion[[#This Row],[No. Solicitud]]="","",_xlfn.XLOOKUP(Ejecucion[[#This Row],[No. Solicitud]],Registro!$B$8:$B$997,Registro!$M$8:$M$997,"Sin Dato",0))</f>
        <v>Gestor 1</v>
      </c>
      <c r="D338" s="211" t="str">
        <f>IF(B338="","",HYPERLINK("#"&amp;"Registro!B"&amp;MATCH(B338,Registro!$B$8:$B$999,0)+7,"Ubicar en registro"))</f>
        <v>Ubicar en registro</v>
      </c>
      <c r="E338" s="55" t="str">
        <f>IF(C338="","",_xlfn.XLOOKUP(Ejecucion[[#This Row],[No. Solicitud]],Registro!$B$8:$B$999,Registro!$H$8:$H$999,"",0))</f>
        <v>Curso 45</v>
      </c>
      <c r="F338" s="29">
        <v>1</v>
      </c>
      <c r="G338" s="29"/>
      <c r="H338" s="29"/>
      <c r="I338" s="97"/>
      <c r="J338" s="94"/>
      <c r="K338" s="29" t="str">
        <f>IF(Ejecucion[[#This Row],[Fecha Fin]]="","",MONTH(Ejecucion[[#This Row],[Fecha Fin]]))</f>
        <v/>
      </c>
      <c r="L338" s="93"/>
      <c r="M338" s="29"/>
      <c r="N338" s="29"/>
      <c r="O338" s="29"/>
      <c r="P338" s="29"/>
      <c r="Q338" s="29"/>
      <c r="R338" s="93"/>
      <c r="S338" s="29"/>
      <c r="T338" s="93"/>
    </row>
  </sheetData>
  <mergeCells count="1">
    <mergeCell ref="A1:X1"/>
  </mergeCells>
  <hyperlinks>
    <hyperlink ref="B5" r:id="rId1" xr:uid="{00000000-0004-0000-0600-000000000000}"/>
    <hyperlink ref="B6" r:id="rId2" xr:uid="{00000000-0004-0000-0600-000001000000}"/>
    <hyperlink ref="B7" r:id="rId3" xr:uid="{00000000-0004-0000-0600-000002000000}"/>
    <hyperlink ref="R33" r:id="rId4" xr:uid="{00000000-0004-0000-0600-000003000000}"/>
    <hyperlink ref="R34" r:id="rId5" xr:uid="{00000000-0004-0000-0600-000004000000}"/>
    <hyperlink ref="R35" r:id="rId6" xr:uid="{00000000-0004-0000-0600-000005000000}"/>
    <hyperlink ref="R36" r:id="rId7" xr:uid="{00000000-0004-0000-0600-000006000000}"/>
    <hyperlink ref="R179" r:id="rId8" xr:uid="{00000000-0004-0000-0600-000007000000}"/>
    <hyperlink ref="R180" r:id="rId9" xr:uid="{00000000-0004-0000-0600-000008000000}"/>
    <hyperlink ref="R185" r:id="rId10" xr:uid="{00000000-0004-0000-0600-000009000000}"/>
    <hyperlink ref="R186" r:id="rId11" xr:uid="{00000000-0004-0000-0600-00000A000000}"/>
    <hyperlink ref="R187" r:id="rId12" display="https://ecampus.sat.gob.gt/formacionsat/course/view.php?id=9306" xr:uid="{00000000-0004-0000-0600-00000B000000}"/>
    <hyperlink ref="R189" r:id="rId13" xr:uid="{00000000-0004-0000-0600-00000C000000}"/>
    <hyperlink ref="R190" r:id="rId14" xr:uid="{00000000-0004-0000-0600-00000D000000}"/>
    <hyperlink ref="R197" r:id="rId15" xr:uid="{00000000-0004-0000-0600-00000E000000}"/>
    <hyperlink ref="R198" r:id="rId16" xr:uid="{00000000-0004-0000-0600-00000F000000}"/>
    <hyperlink ref="R212" r:id="rId17" xr:uid="{00000000-0004-0000-0600-000010000000}"/>
    <hyperlink ref="R213" r:id="rId18" xr:uid="{00000000-0004-0000-0600-000011000000}"/>
    <hyperlink ref="R216" r:id="rId19" location="section-0" xr:uid="{00000000-0004-0000-0600-000012000000}"/>
    <hyperlink ref="R224" r:id="rId20" xr:uid="{00000000-0004-0000-0600-000013000000}"/>
    <hyperlink ref="R225" r:id="rId21" xr:uid="{00000000-0004-0000-0600-000014000000}"/>
    <hyperlink ref="R231" r:id="rId22" xr:uid="{00000000-0004-0000-0600-000015000000}"/>
    <hyperlink ref="R232" r:id="rId23" xr:uid="{00000000-0004-0000-0600-000016000000}"/>
    <hyperlink ref="R233" r:id="rId24" xr:uid="{00000000-0004-0000-0600-000017000000}"/>
    <hyperlink ref="R234" r:id="rId25" xr:uid="{00000000-0004-0000-0600-000018000000}"/>
    <hyperlink ref="R235" r:id="rId26" xr:uid="{00000000-0004-0000-0600-000019000000}"/>
    <hyperlink ref="R241" r:id="rId27" xr:uid="{00000000-0004-0000-0600-00001A000000}"/>
    <hyperlink ref="R244" r:id="rId28" xr:uid="{00000000-0004-0000-0600-00001B000000}"/>
    <hyperlink ref="R245" r:id="rId29" xr:uid="{00000000-0004-0000-0600-00001C000000}"/>
    <hyperlink ref="R253" r:id="rId30" xr:uid="{00000000-0004-0000-0600-00001D000000}"/>
    <hyperlink ref="R254" r:id="rId31" xr:uid="{00000000-0004-0000-0600-00001E000000}"/>
    <hyperlink ref="B281" r:id="rId32" xr:uid="{00000000-0004-0000-0600-00001F000000}"/>
    <hyperlink ref="B282" r:id="rId33" xr:uid="{00000000-0004-0000-0600-000020000000}"/>
    <hyperlink ref="B283" r:id="rId34" xr:uid="{00000000-0004-0000-0600-000021000000}"/>
    <hyperlink ref="B284" r:id="rId35" xr:uid="{00000000-0004-0000-0600-000022000000}"/>
    <hyperlink ref="B285" r:id="rId36" xr:uid="{00000000-0004-0000-0600-000023000000}"/>
    <hyperlink ref="B286" r:id="rId37" xr:uid="{00000000-0004-0000-0600-000024000000}"/>
    <hyperlink ref="B287" r:id="rId38" xr:uid="{00000000-0004-0000-0600-000025000000}"/>
    <hyperlink ref="B288" r:id="rId39" xr:uid="{00000000-0004-0000-0600-000026000000}"/>
    <hyperlink ref="B289" r:id="rId40" xr:uid="{00000000-0004-0000-0600-000027000000}"/>
  </hyperlinks>
  <pageMargins left="0.7" right="0.7" top="0.75" bottom="0.75" header="0.3" footer="0.3"/>
  <pageSetup orientation="portrait" horizontalDpi="360" verticalDpi="360"/>
  <drawing r:id="rId41"/>
  <tableParts count="1">
    <tablePart r:id="rId4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93"/>
  <sheetViews>
    <sheetView showGridLines="0" zoomScale="80" zoomScaleNormal="80" workbookViewId="0">
      <pane ySplit="4" topLeftCell="A5" activePane="bottomLeft" state="frozen"/>
      <selection pane="bottomLeft" activeCell="E5" sqref="E5"/>
    </sheetView>
  </sheetViews>
  <sheetFormatPr baseColWidth="10" defaultColWidth="11" defaultRowHeight="14.4"/>
  <cols>
    <col min="1" max="1" width="7" customWidth="1"/>
    <col min="2" max="2" width="13" customWidth="1"/>
    <col min="3" max="3" width="14" customWidth="1"/>
    <col min="4" max="4" width="41.6640625" customWidth="1"/>
    <col min="5" max="5" width="13.88671875" style="81" customWidth="1"/>
    <col min="6" max="6" width="13.109375" style="81" customWidth="1"/>
    <col min="7" max="7" width="11.33203125" style="81" customWidth="1"/>
    <col min="8" max="8" width="13.109375" style="81" customWidth="1"/>
    <col min="9" max="10" width="13.44140625" style="81" customWidth="1"/>
    <col min="11" max="11" width="41.88671875" style="81" customWidth="1"/>
    <col min="12" max="13" width="17" customWidth="1"/>
    <col min="14" max="14" width="40" style="55" customWidth="1"/>
    <col min="15" max="15" width="38" customWidth="1"/>
    <col min="16" max="16" width="41" customWidth="1"/>
    <col min="17" max="17" width="29" customWidth="1"/>
  </cols>
  <sheetData>
    <row r="1" spans="1:14" ht="46.2" customHeight="1">
      <c r="A1" s="222"/>
      <c r="B1" s="216"/>
      <c r="C1" s="216"/>
      <c r="D1" s="216"/>
      <c r="E1" s="223"/>
      <c r="F1" s="223"/>
      <c r="G1" s="223"/>
      <c r="H1" s="223"/>
      <c r="I1" s="223"/>
      <c r="J1" s="223"/>
      <c r="K1" s="223"/>
      <c r="L1" s="216"/>
      <c r="M1" s="216"/>
      <c r="N1" s="224"/>
    </row>
    <row r="2" spans="1:14" ht="15" customHeight="1"/>
    <row r="3" spans="1:14" ht="21" customHeight="1"/>
    <row r="4" spans="1:14" s="28" customFormat="1" ht="46.5" customHeight="1">
      <c r="A4" s="28" t="s">
        <v>484</v>
      </c>
      <c r="B4" s="55" t="s">
        <v>485</v>
      </c>
      <c r="C4" s="28" t="s">
        <v>487</v>
      </c>
      <c r="D4" s="28" t="s">
        <v>4</v>
      </c>
      <c r="E4" s="28" t="s">
        <v>8162</v>
      </c>
      <c r="F4" s="28" t="s">
        <v>488</v>
      </c>
      <c r="G4" s="28" t="s">
        <v>787</v>
      </c>
      <c r="H4" s="28" t="s">
        <v>788</v>
      </c>
      <c r="I4" s="28" t="s">
        <v>789</v>
      </c>
      <c r="J4" s="28" t="s">
        <v>790</v>
      </c>
      <c r="K4" s="28" t="s">
        <v>107</v>
      </c>
    </row>
    <row r="5" spans="1:14" ht="46.5" customHeight="1">
      <c r="A5" s="30">
        <f>ROW() - ROW(Ejecucion4[[#Headers],[Correlativo]])</f>
        <v>1</v>
      </c>
      <c r="B5" s="30" t="s">
        <v>239</v>
      </c>
      <c r="C5" s="84" t="str">
        <f>IF(B5="","",HYPERLINK("#"&amp;"Registro!B"&amp;MATCH(B5,Registro!$B$8:$B$997,0)+7,"Ubicar en registro"))</f>
        <v>Ubicar en registro</v>
      </c>
      <c r="D5" s="55" t="str">
        <f>IF(Ejecucion4[[#This Row],[No. Solicitud]]="","",_xlfn.XLOOKUP(Ejecucion4[[#This Row],[No. Solicitud]],Registro!$B$8:$B$997,Registro!$H$8:$H$997,"Sin Dato",0))</f>
        <v>Curso 42</v>
      </c>
      <c r="E5" s="28"/>
      <c r="F5" s="28">
        <v>1</v>
      </c>
      <c r="G5" s="30">
        <v>1</v>
      </c>
      <c r="H5" s="130"/>
      <c r="I5" s="104"/>
      <c r="J5" s="105"/>
      <c r="K5" s="28"/>
    </row>
    <row r="6" spans="1:14" ht="28.8" customHeight="1">
      <c r="A6" s="30">
        <f>ROW() - ROW(Ejecucion4[[#Headers],[Correlativo]])</f>
        <v>2</v>
      </c>
      <c r="B6" s="40" t="s">
        <v>242</v>
      </c>
      <c r="C6" s="84" t="str">
        <f>IF(B6="","",HYPERLINK("#"&amp;"Registro!B"&amp;MATCH(B6,Registro!$B$8:$B$997,0)+7,"Ubicar en registro"))</f>
        <v>Ubicar en registro</v>
      </c>
      <c r="D6" s="55" t="str">
        <f>IF(Ejecucion4[[#This Row],[No. Solicitud]]="","",_xlfn.XLOOKUP(Ejecucion4[[#This Row],[No. Solicitud]],Registro!$B$8:$B$997,Registro!$H$8:$H$997,"Sin Dato",0))</f>
        <v>Curso 43</v>
      </c>
      <c r="E6" s="28"/>
      <c r="F6" s="28">
        <v>1</v>
      </c>
      <c r="G6" s="30">
        <v>1</v>
      </c>
      <c r="H6" s="130"/>
      <c r="I6" s="104"/>
      <c r="J6" s="105"/>
      <c r="K6" s="28" t="s">
        <v>791</v>
      </c>
      <c r="L6" s="55"/>
    </row>
    <row r="7" spans="1:14" ht="28.8" customHeight="1">
      <c r="A7" s="30">
        <f>ROW() - ROW(Ejecucion4[[#Headers],[Correlativo]])</f>
        <v>3</v>
      </c>
      <c r="B7" s="40" t="s">
        <v>245</v>
      </c>
      <c r="C7" s="84" t="str">
        <f>IF(B7="","",HYPERLINK("#"&amp;"Registro!B"&amp;MATCH(B7,Registro!$B$8:$B$997,0)+7,"Ubicar en registro"))</f>
        <v>Ubicar en registro</v>
      </c>
      <c r="D7" s="55" t="str">
        <f>IF(Ejecucion4[[#This Row],[No. Solicitud]]="","",_xlfn.XLOOKUP(Ejecucion4[[#This Row],[No. Solicitud]],Registro!$B$8:$B$997,Registro!$H$8:$H$997,"Sin Dato",0))</f>
        <v>Curso 44</v>
      </c>
      <c r="E7" s="28">
        <v>44101</v>
      </c>
      <c r="F7" s="28">
        <v>1</v>
      </c>
      <c r="G7" s="30">
        <v>1</v>
      </c>
      <c r="H7" s="30"/>
      <c r="I7" s="104">
        <v>0.33333333333333331</v>
      </c>
      <c r="J7" s="105">
        <v>0.66666666666666663</v>
      </c>
      <c r="K7" s="28" t="s">
        <v>791</v>
      </c>
      <c r="L7" s="55"/>
    </row>
    <row r="8" spans="1:14" ht="28.8" customHeight="1">
      <c r="A8" s="30">
        <f>ROW() - ROW(Ejecucion4[[#Headers],[Correlativo]])</f>
        <v>4</v>
      </c>
      <c r="B8" s="40" t="s">
        <v>247</v>
      </c>
      <c r="C8" s="84" t="str">
        <f>IF(B8="","",HYPERLINK("#"&amp;"Registro!B"&amp;MATCH(B8,Registro!$B$8:$B$997,0)+7,"Ubicar en registro"))</f>
        <v>Ubicar en registro</v>
      </c>
      <c r="D8" s="55" t="str">
        <f>IF(Ejecucion4[[#This Row],[No. Solicitud]]="","",_xlfn.XLOOKUP(Ejecucion4[[#This Row],[No. Solicitud]],Registro!$B$8:$B$997,Registro!$H$8:$H$997,"Sin Dato",0))</f>
        <v>Curso 45</v>
      </c>
      <c r="E8" s="29">
        <v>44101</v>
      </c>
      <c r="F8" s="28">
        <v>1</v>
      </c>
      <c r="G8" s="30">
        <v>1</v>
      </c>
      <c r="H8" s="30"/>
      <c r="I8" s="104"/>
      <c r="J8" s="105"/>
      <c r="K8" s="28" t="s">
        <v>791</v>
      </c>
    </row>
    <row r="9" spans="1:14" ht="43.2" customHeight="1">
      <c r="A9" s="30">
        <f>ROW() - ROW(Ejecucion4[[#Headers],[Correlativo]])</f>
        <v>5</v>
      </c>
      <c r="B9" s="40" t="s">
        <v>249</v>
      </c>
      <c r="C9" s="84" t="str">
        <f>IF(B9="","",HYPERLINK("#"&amp;"Registro!B"&amp;MATCH(B9,Registro!$B$8:$B$997,0)+7,"Ubicar en registro"))</f>
        <v>Ubicar en registro</v>
      </c>
      <c r="D9" s="55" t="str">
        <f>IF(Ejecucion4[[#This Row],[No. Solicitud]]="","",_xlfn.XLOOKUP(Ejecucion4[[#This Row],[No. Solicitud]],Registro!$B$8:$B$997,Registro!$H$8:$H$997,"Sin Dato",0))</f>
        <v>Curso 46</v>
      </c>
      <c r="E9" s="28"/>
      <c r="F9" s="28"/>
      <c r="G9" s="30"/>
      <c r="H9" s="30"/>
      <c r="I9" s="104"/>
      <c r="J9" s="105"/>
      <c r="K9" s="28" t="s">
        <v>791</v>
      </c>
    </row>
    <row r="10" spans="1:14" ht="28.8" customHeight="1">
      <c r="A10" s="30">
        <f>ROW() - ROW(Ejecucion4[[#Headers],[Correlativo]])</f>
        <v>6</v>
      </c>
      <c r="B10" s="30" t="s">
        <v>251</v>
      </c>
      <c r="C10" s="84" t="str">
        <f>IF(B10="","",HYPERLINK("#"&amp;"Registro!B"&amp;MATCH(B10,Registro!$B$8:$B$997,0)+7,"Ubicar en registro"))</f>
        <v>Ubicar en registro</v>
      </c>
      <c r="D10" s="55" t="str">
        <f>IF(Ejecucion4[[#This Row],[No. Solicitud]]="","",_xlfn.XLOOKUP(Ejecucion4[[#This Row],[No. Solicitud]],Registro!$B$8:$B$997,Registro!$H$8:$H$997,"Sin Dato",0))</f>
        <v>Curso 47</v>
      </c>
      <c r="E10" s="28"/>
      <c r="F10" s="28"/>
      <c r="G10" s="30"/>
      <c r="H10" s="30"/>
      <c r="I10" s="104"/>
      <c r="J10" s="105"/>
      <c r="K10" s="28" t="s">
        <v>791</v>
      </c>
    </row>
    <row r="11" spans="1:14" ht="28.8" customHeight="1">
      <c r="A11" s="30">
        <f>ROW() - ROW(Ejecucion4[[#Headers],[Correlativo]])</f>
        <v>7</v>
      </c>
      <c r="B11" s="30" t="s">
        <v>253</v>
      </c>
      <c r="C11" s="84" t="str">
        <f>IF(B11="","",HYPERLINK("#"&amp;"Registro!B"&amp;MATCH(B11,Registro!$B$8:$B$997,0)+7,"Ubicar en registro"))</f>
        <v>Ubicar en registro</v>
      </c>
      <c r="D11" s="55" t="str">
        <f>IF(Ejecucion4[[#This Row],[No. Solicitud]]="","",_xlfn.XLOOKUP(Ejecucion4[[#This Row],[No. Solicitud]],Registro!$B$8:$B$997,Registro!$H$8:$H$997,"Sin Dato",0))</f>
        <v>Curso 48</v>
      </c>
      <c r="E11" s="28"/>
      <c r="F11" s="28"/>
      <c r="G11" s="30"/>
      <c r="H11" s="30"/>
      <c r="I11" s="104"/>
      <c r="J11" s="105"/>
      <c r="K11" s="28" t="s">
        <v>791</v>
      </c>
    </row>
    <row r="12" spans="1:14" ht="28.8" customHeight="1">
      <c r="A12" s="30">
        <f>ROW() - ROW(Ejecucion4[[#Headers],[Correlativo]])</f>
        <v>8</v>
      </c>
      <c r="B12" s="30" t="s">
        <v>255</v>
      </c>
      <c r="C12" s="84" t="str">
        <f>IF(B12="","",HYPERLINK("#"&amp;"Registro!B"&amp;MATCH(B12,Registro!$B$8:$B$997,0)+7,"Ubicar en registro"))</f>
        <v>Ubicar en registro</v>
      </c>
      <c r="D12" s="55" t="str">
        <f>IF(Ejecucion4[[#This Row],[No. Solicitud]]="","",_xlfn.XLOOKUP(Ejecucion4[[#This Row],[No. Solicitud]],Registro!$B$8:$B$997,Registro!$H$8:$H$997,"Sin Dato",0))</f>
        <v>Curso 49</v>
      </c>
      <c r="E12" s="28"/>
      <c r="F12" s="28"/>
      <c r="G12" s="30"/>
      <c r="H12" s="30"/>
      <c r="I12" s="104"/>
      <c r="J12" s="105"/>
      <c r="K12" s="28" t="s">
        <v>791</v>
      </c>
    </row>
    <row r="13" spans="1:14" ht="28.8" customHeight="1">
      <c r="A13" s="30">
        <f>ROW() - ROW(Ejecucion4[[#Headers],[Correlativo]])</f>
        <v>9</v>
      </c>
      <c r="B13" s="30" t="s">
        <v>257</v>
      </c>
      <c r="C13" s="84" t="str">
        <f>IF(B13="","",HYPERLINK("#"&amp;"Registro!B"&amp;MATCH(B13,Registro!$B$8:$B$997,0)+7,"Ubicar en registro"))</f>
        <v>Ubicar en registro</v>
      </c>
      <c r="D13" s="55" t="str">
        <f>IF(Ejecucion4[[#This Row],[No. Solicitud]]="","",_xlfn.XLOOKUP(Ejecucion4[[#This Row],[No. Solicitud]],Registro!$B$8:$B$997,Registro!$H$8:$H$997,"Sin Dato",0))</f>
        <v>Curso 50</v>
      </c>
      <c r="E13" s="28"/>
      <c r="F13" s="28"/>
      <c r="G13" s="30"/>
      <c r="H13" s="30"/>
      <c r="I13" s="104"/>
      <c r="J13" s="105"/>
      <c r="K13" s="28" t="s">
        <v>791</v>
      </c>
    </row>
    <row r="14" spans="1:14" ht="28.8" customHeight="1">
      <c r="A14" s="30">
        <f>ROW() - ROW(Ejecucion4[[#Headers],[Correlativo]])</f>
        <v>10</v>
      </c>
      <c r="B14" s="40" t="s">
        <v>259</v>
      </c>
      <c r="C14" s="84" t="str">
        <f>IF(B14="","",HYPERLINK("#"&amp;"Registro!B"&amp;MATCH(B14,Registro!$B$8:$B$997,0)+7,"Ubicar en registro"))</f>
        <v>Ubicar en registro</v>
      </c>
      <c r="D14" s="55" t="str">
        <f>IF(Ejecucion4[[#This Row],[No. Solicitud]]="","",_xlfn.XLOOKUP(Ejecucion4[[#This Row],[No. Solicitud]],Registro!$B$8:$B$997,Registro!$H$8:$H$997,"Sin Dato",0))</f>
        <v>Curso 51</v>
      </c>
      <c r="E14" s="28"/>
      <c r="F14" s="28"/>
      <c r="G14" s="30"/>
      <c r="H14" s="30"/>
      <c r="I14" s="104"/>
      <c r="J14" s="105"/>
      <c r="K14" s="28" t="s">
        <v>791</v>
      </c>
    </row>
    <row r="15" spans="1:14" ht="28.8" customHeight="1">
      <c r="A15" s="30">
        <f>ROW() - ROW(Ejecucion4[[#Headers],[Correlativo]])</f>
        <v>11</v>
      </c>
      <c r="B15" s="40" t="s">
        <v>261</v>
      </c>
      <c r="C15" s="84" t="str">
        <f>IF(B15="","",HYPERLINK("#"&amp;"Registro!B"&amp;MATCH(B15,Registro!$B$8:$B$997,0)+7,"Ubicar en registro"))</f>
        <v>Ubicar en registro</v>
      </c>
      <c r="D15" s="55" t="str">
        <f>IF(Ejecucion4[[#This Row],[No. Solicitud]]="","",_xlfn.XLOOKUP(Ejecucion4[[#This Row],[No. Solicitud]],Registro!$B$8:$B$997,Registro!$H$8:$H$997,"Sin Dato",0))</f>
        <v>Curso 52</v>
      </c>
      <c r="E15" s="28">
        <v>41825</v>
      </c>
      <c r="F15" s="28">
        <v>1</v>
      </c>
      <c r="G15" s="30">
        <v>1</v>
      </c>
      <c r="H15" s="130">
        <v>46044</v>
      </c>
      <c r="I15" s="104">
        <v>0.33333333333333331</v>
      </c>
      <c r="J15" s="105">
        <v>0.45833333333333331</v>
      </c>
      <c r="K15" s="28"/>
    </row>
    <row r="16" spans="1:14" ht="28.8" customHeight="1">
      <c r="A16" s="30">
        <f>ROW() - ROW(Ejecucion4[[#Headers],[Correlativo]])</f>
        <v>12</v>
      </c>
      <c r="B16" s="40" t="s">
        <v>261</v>
      </c>
      <c r="C16" s="153" t="str">
        <f>IF(B16="","",HYPERLINK("#"&amp;"Registro!B"&amp;MATCH(B16,Registro!$B$8:$B$997,0)+7,"Ubicar en registro"))</f>
        <v>Ubicar en registro</v>
      </c>
      <c r="D16" s="55" t="str">
        <f>IF(Ejecucion4[[#This Row],[No. Solicitud]]="","",_xlfn.XLOOKUP(Ejecucion4[[#This Row],[No. Solicitud]],Registro!$B$8:$B$997,Registro!$H$8:$H$997,"Sin Dato",0))</f>
        <v>Curso 52</v>
      </c>
      <c r="E16" s="28">
        <v>41825</v>
      </c>
      <c r="F16" s="28">
        <v>1</v>
      </c>
      <c r="G16" s="30">
        <v>2</v>
      </c>
      <c r="H16" s="130">
        <v>46045</v>
      </c>
      <c r="I16" s="104">
        <v>0.33333333333333331</v>
      </c>
      <c r="J16" s="105">
        <v>0.45833333333333331</v>
      </c>
      <c r="K16" s="28"/>
    </row>
    <row r="17" spans="1:11" ht="28.8" customHeight="1">
      <c r="A17" s="30">
        <f>ROW() - ROW(Ejecucion4[[#Headers],[Correlativo]])</f>
        <v>13</v>
      </c>
      <c r="B17" s="40" t="s">
        <v>261</v>
      </c>
      <c r="C17" s="153" t="str">
        <f>IF(B17="","",HYPERLINK("#"&amp;"Registro!B"&amp;MATCH(B17,Registro!$B$8:$B$997,0)+7,"Ubicar en registro"))</f>
        <v>Ubicar en registro</v>
      </c>
      <c r="D17" s="55" t="str">
        <f>IF(Ejecucion4[[#This Row],[No. Solicitud]]="","",_xlfn.XLOOKUP(Ejecucion4[[#This Row],[No. Solicitud]],Registro!$B$8:$B$997,Registro!$H$8:$H$997,"Sin Dato",0))</f>
        <v>Curso 52</v>
      </c>
      <c r="E17" s="28">
        <v>41827</v>
      </c>
      <c r="F17" s="28">
        <v>2</v>
      </c>
      <c r="G17" s="30">
        <v>1</v>
      </c>
      <c r="H17" s="130">
        <v>46048</v>
      </c>
      <c r="I17" s="104">
        <v>0.33333333333333331</v>
      </c>
      <c r="J17" s="105">
        <v>0.45833333333333331</v>
      </c>
      <c r="K17" s="28"/>
    </row>
    <row r="18" spans="1:11" ht="28.8" customHeight="1">
      <c r="A18" s="30">
        <f>ROW() - ROW(Ejecucion4[[#Headers],[Correlativo]])</f>
        <v>14</v>
      </c>
      <c r="B18" s="40" t="s">
        <v>261</v>
      </c>
      <c r="C18" s="153" t="str">
        <f>IF(B18="","",HYPERLINK("#"&amp;"Registro!B"&amp;MATCH(B18,Registro!$B$8:$B$997,0)+7,"Ubicar en registro"))</f>
        <v>Ubicar en registro</v>
      </c>
      <c r="D18" s="55" t="str">
        <f>IF(Ejecucion4[[#This Row],[No. Solicitud]]="","",_xlfn.XLOOKUP(Ejecucion4[[#This Row],[No. Solicitud]],Registro!$B$8:$B$997,Registro!$H$8:$H$997,"Sin Dato",0))</f>
        <v>Curso 52</v>
      </c>
      <c r="E18" s="28">
        <v>41827</v>
      </c>
      <c r="F18" s="28">
        <v>2</v>
      </c>
      <c r="G18" s="30">
        <v>2</v>
      </c>
      <c r="H18" s="130">
        <v>46049</v>
      </c>
      <c r="I18" s="104">
        <v>0.33333333333333331</v>
      </c>
      <c r="J18" s="105">
        <v>0.45833333333333331</v>
      </c>
      <c r="K18" s="28"/>
    </row>
    <row r="19" spans="1:11" ht="28.8" customHeight="1">
      <c r="A19" s="30">
        <f>ROW() - ROW(Ejecucion4[[#Headers],[Correlativo]])</f>
        <v>15</v>
      </c>
      <c r="B19" s="30" t="s">
        <v>266</v>
      </c>
      <c r="C19" s="84" t="str">
        <f>IF(B19="","",HYPERLINK("#"&amp;"Registro!B"&amp;MATCH(B19,Registro!$B$8:$B$997,0)+7,"Ubicar en registro"))</f>
        <v>Ubicar en registro</v>
      </c>
      <c r="D19" s="55" t="str">
        <f>IF(Ejecucion4[[#This Row],[No. Solicitud]]="","",_xlfn.XLOOKUP(Ejecucion4[[#This Row],[No. Solicitud]],Registro!$B$8:$B$997,Registro!$H$8:$H$997,"Sin Dato",0))</f>
        <v>Curso 53</v>
      </c>
      <c r="E19" s="28"/>
      <c r="F19" s="28"/>
      <c r="G19" s="30"/>
      <c r="H19" s="30"/>
      <c r="I19" s="104"/>
      <c r="J19" s="105"/>
      <c r="K19" s="28" t="s">
        <v>791</v>
      </c>
    </row>
    <row r="20" spans="1:11" ht="28.8" customHeight="1">
      <c r="A20" s="30">
        <f>ROW() - ROW(Ejecucion4[[#Headers],[Correlativo]])</f>
        <v>16</v>
      </c>
      <c r="B20" s="30" t="s">
        <v>269</v>
      </c>
      <c r="C20" s="84" t="str">
        <f>IF(B20="","",HYPERLINK("#"&amp;"Registro!B"&amp;MATCH(B20,Registro!$B$8:$B$997,0)+7,"Ubicar en registro"))</f>
        <v>Ubicar en registro</v>
      </c>
      <c r="D20" s="55" t="str">
        <f>IF(Ejecucion4[[#This Row],[No. Solicitud]]="","",_xlfn.XLOOKUP(Ejecucion4[[#This Row],[No. Solicitud]],Registro!$B$8:$B$997,Registro!$H$8:$H$997,"Sin Dato",0))</f>
        <v>Curso 54</v>
      </c>
      <c r="E20" s="28"/>
      <c r="F20" s="28"/>
      <c r="G20" s="30"/>
      <c r="H20" s="30"/>
      <c r="I20" s="104"/>
      <c r="J20" s="105"/>
      <c r="K20" s="28" t="s">
        <v>791</v>
      </c>
    </row>
    <row r="21" spans="1:11" ht="28.8" customHeight="1">
      <c r="A21" s="30">
        <f>ROW() - ROW(Ejecucion4[[#Headers],[Correlativo]])</f>
        <v>17</v>
      </c>
      <c r="B21" t="s">
        <v>274</v>
      </c>
      <c r="C21" s="153" t="str">
        <f>IF(B21="","",HYPERLINK("#"&amp;"Registro!B"&amp;MATCH(B21,Registro!$B$8:$B$997,0)+7,"Ubicar en registro"))</f>
        <v>Ubicar en registro</v>
      </c>
      <c r="D21" s="55" t="str">
        <f>IF(Ejecucion4[[#This Row],[No. Solicitud]]="","",_xlfn.XLOOKUP(Ejecucion4[[#This Row],[No. Solicitud]],Registro!$B$8:$B$997,Registro!$H$8:$H$997,"Sin Dato",0))</f>
        <v>Curso 55</v>
      </c>
      <c r="E21" s="28"/>
      <c r="F21" s="28"/>
      <c r="G21" s="30">
        <v>1</v>
      </c>
      <c r="H21" s="97">
        <v>46042</v>
      </c>
      <c r="I21" s="104">
        <v>0.29166666666666669</v>
      </c>
      <c r="J21" s="105">
        <v>0.41666666666666669</v>
      </c>
      <c r="K21" s="28"/>
    </row>
    <row r="22" spans="1:11" ht="28.8" customHeight="1">
      <c r="A22" s="30">
        <f>ROW() - ROW(Ejecucion4[[#Headers],[Correlativo]])</f>
        <v>18</v>
      </c>
      <c r="B22" s="100" t="s">
        <v>292</v>
      </c>
      <c r="C22" s="84" t="str">
        <f>IF(B22="","",HYPERLINK("#"&amp;"Registro!B"&amp;MATCH(B22,Registro!$B$8:$B$997,0)+7,"Ubicar en registro"))</f>
        <v>Ubicar en registro</v>
      </c>
      <c r="D22" s="55" t="str">
        <f>IF(Ejecucion4[[#This Row],[No. Solicitud]]="","",_xlfn.XLOOKUP(Ejecucion4[[#This Row],[No. Solicitud]],Registro!$B$8:$B$997,Registro!$H$8:$H$997,"Sin Dato",0))</f>
        <v>Curso 60</v>
      </c>
      <c r="E22" s="28">
        <v>42870</v>
      </c>
      <c r="F22" s="28">
        <v>1</v>
      </c>
      <c r="G22" s="30">
        <v>1</v>
      </c>
      <c r="H22" s="130">
        <v>46125</v>
      </c>
      <c r="I22" s="104">
        <v>0.33333333333333331</v>
      </c>
      <c r="J22" s="105">
        <v>0.5</v>
      </c>
      <c r="K22" s="28"/>
    </row>
    <row r="23" spans="1:11" ht="28.8" customHeight="1">
      <c r="A23" s="30">
        <f>ROW() - ROW(Ejecucion4[[#Headers],[Correlativo]])</f>
        <v>19</v>
      </c>
      <c r="B23" s="100" t="s">
        <v>292</v>
      </c>
      <c r="C23" s="84" t="str">
        <f>IF(B23="","",HYPERLINK("#"&amp;"Registro!B"&amp;MATCH(B23,Registro!$B$8:$B$997,0)+7,"Ubicar en registro"))</f>
        <v>Ubicar en registro</v>
      </c>
      <c r="D23" s="55" t="str">
        <f>IF(Ejecucion4[[#This Row],[No. Solicitud]]="","",_xlfn.XLOOKUP(Ejecucion4[[#This Row],[No. Solicitud]],Registro!$B$8:$B$997,Registro!$H$8:$H$997,"Sin Dato",0))</f>
        <v>Curso 60</v>
      </c>
      <c r="E23" s="28">
        <v>42870</v>
      </c>
      <c r="F23" s="28">
        <v>1</v>
      </c>
      <c r="G23" s="30">
        <v>2</v>
      </c>
      <c r="H23" s="130">
        <v>46126</v>
      </c>
      <c r="I23" s="104">
        <v>0.33333333333333331</v>
      </c>
      <c r="J23" s="105">
        <v>0.5</v>
      </c>
      <c r="K23" s="28"/>
    </row>
    <row r="24" spans="1:11" ht="28.8" customHeight="1">
      <c r="A24" s="30">
        <f>ROW() - ROW(Ejecucion4[[#Headers],[Correlativo]])</f>
        <v>20</v>
      </c>
      <c r="B24" s="100" t="s">
        <v>292</v>
      </c>
      <c r="C24" s="84" t="str">
        <f>IF(B24="","",HYPERLINK("#"&amp;"Registro!B"&amp;MATCH(B24,Registro!$B$8:$B$997,0)+7,"Ubicar en registro"))</f>
        <v>Ubicar en registro</v>
      </c>
      <c r="D24" s="55" t="str">
        <f>IF(Ejecucion4[[#This Row],[No. Solicitud]]="","",_xlfn.XLOOKUP(Ejecucion4[[#This Row],[No. Solicitud]],Registro!$B$8:$B$997,Registro!$H$8:$H$997,"Sin Dato",0))</f>
        <v>Curso 60</v>
      </c>
      <c r="E24" s="28">
        <v>42977</v>
      </c>
      <c r="F24" s="28">
        <v>2</v>
      </c>
      <c r="G24" s="30">
        <v>1</v>
      </c>
      <c r="H24" s="130">
        <v>46135</v>
      </c>
      <c r="I24" s="104">
        <v>0.33333333333333331</v>
      </c>
      <c r="J24" s="105">
        <v>0.66666666666666663</v>
      </c>
      <c r="K24" s="28"/>
    </row>
    <row r="25" spans="1:11" ht="28.8" customHeight="1">
      <c r="A25" s="30">
        <f>ROW() - ROW(Ejecucion4[[#Headers],[Correlativo]])</f>
        <v>21</v>
      </c>
      <c r="B25" s="100" t="s">
        <v>292</v>
      </c>
      <c r="C25" s="84" t="str">
        <f>IF(B25="","",HYPERLINK("#"&amp;"Registro!B"&amp;MATCH(B25,Registro!$B$8:$B$997,0)+7,"Ubicar en registro"))</f>
        <v>Ubicar en registro</v>
      </c>
      <c r="D25" s="55" t="str">
        <f>IF(Ejecucion4[[#This Row],[No. Solicitud]]="","",_xlfn.XLOOKUP(Ejecucion4[[#This Row],[No. Solicitud]],Registro!$B$8:$B$997,Registro!$H$8:$H$997,"Sin Dato",0))</f>
        <v>Curso 60</v>
      </c>
      <c r="E25" s="28">
        <v>43056</v>
      </c>
      <c r="F25" s="28">
        <v>3</v>
      </c>
      <c r="G25" s="30">
        <v>1</v>
      </c>
      <c r="H25" s="130">
        <v>46149</v>
      </c>
      <c r="I25" s="104">
        <v>0.33333333333333331</v>
      </c>
      <c r="J25" s="105">
        <v>0.66666666666666663</v>
      </c>
      <c r="K25" s="28"/>
    </row>
    <row r="26" spans="1:11" ht="28.8" customHeight="1">
      <c r="A26" s="30">
        <f>ROW() - ROW(Ejecucion4[[#Headers],[Correlativo]])</f>
        <v>22</v>
      </c>
      <c r="B26" s="100" t="s">
        <v>292</v>
      </c>
      <c r="C26" s="84" t="str">
        <f>IF(B26="","",HYPERLINK("#"&amp;"Registro!B"&amp;MATCH(B26,Registro!$B$8:$B$997,0)+7,"Ubicar en registro"))</f>
        <v>Ubicar en registro</v>
      </c>
      <c r="D26" s="55" t="str">
        <f>IF(Ejecucion4[[#This Row],[No. Solicitud]]="","",_xlfn.XLOOKUP(Ejecucion4[[#This Row],[No. Solicitud]],Registro!$B$8:$B$997,Registro!$H$8:$H$997,"Sin Dato",0))</f>
        <v>Curso 60</v>
      </c>
      <c r="E26" s="28">
        <v>43091</v>
      </c>
      <c r="F26" s="28">
        <v>4</v>
      </c>
      <c r="G26" s="30">
        <v>1</v>
      </c>
      <c r="H26" s="130">
        <v>46123</v>
      </c>
      <c r="I26" s="104">
        <v>0.33333333333333331</v>
      </c>
      <c r="J26" s="105">
        <v>0.5</v>
      </c>
      <c r="K26" s="28"/>
    </row>
    <row r="27" spans="1:11" ht="28.8" customHeight="1">
      <c r="A27" s="30">
        <f>ROW() - ROW(Ejecucion4[[#Headers],[Correlativo]])</f>
        <v>23</v>
      </c>
      <c r="B27" s="100" t="s">
        <v>292</v>
      </c>
      <c r="C27" s="153" t="str">
        <f>IF(B27="","",HYPERLINK("#"&amp;"Registro!B"&amp;MATCH(B27,Registro!$B$8:$B$997,0)+7,"Ubicar en registro"))</f>
        <v>Ubicar en registro</v>
      </c>
      <c r="D27" s="55" t="str">
        <f>IF(Ejecucion4[[#This Row],[No. Solicitud]]="","",_xlfn.XLOOKUP(Ejecucion4[[#This Row],[No. Solicitud]],Registro!$B$8:$B$997,Registro!$H$8:$H$997,"Sin Dato",0))</f>
        <v>Curso 60</v>
      </c>
      <c r="E27" s="28">
        <v>43091</v>
      </c>
      <c r="F27" s="28">
        <v>4</v>
      </c>
      <c r="G27" s="30">
        <v>2</v>
      </c>
      <c r="H27" s="130">
        <v>46123</v>
      </c>
      <c r="I27" s="104">
        <v>0.33333333333333331</v>
      </c>
      <c r="J27" s="105">
        <v>0.5</v>
      </c>
      <c r="K27" s="28"/>
    </row>
    <row r="28" spans="1:11" ht="28.8" customHeight="1">
      <c r="A28" s="30">
        <f>ROW() - ROW(Ejecucion4[[#Headers],[Correlativo]])</f>
        <v>24</v>
      </c>
      <c r="B28" s="30" t="s">
        <v>281</v>
      </c>
      <c r="C28" s="84" t="str">
        <f>IF(B28="","",HYPERLINK("#"&amp;"Registro!B"&amp;MATCH(B28,Registro!$B$8:$B$997,0)+7,"Ubicar en registro"))</f>
        <v>Ubicar en registro</v>
      </c>
      <c r="D28" s="55" t="str">
        <f>IF(Ejecucion4[[#This Row],[No. Solicitud]]="","",_xlfn.XLOOKUP(Ejecucion4[[#This Row],[No. Solicitud]],Registro!$B$8:$B$997,Registro!$H$8:$H$997,"Sin Dato",0))</f>
        <v>Curso 57</v>
      </c>
      <c r="E28" s="28">
        <v>42460</v>
      </c>
      <c r="F28" s="28">
        <v>1</v>
      </c>
      <c r="G28" s="30">
        <v>1</v>
      </c>
      <c r="H28" s="130">
        <v>46057</v>
      </c>
      <c r="I28" s="104">
        <v>0.35416666666666669</v>
      </c>
      <c r="J28" s="105">
        <v>0.66666666666666663</v>
      </c>
      <c r="K28" s="28"/>
    </row>
    <row r="29" spans="1:11" ht="28.8" customHeight="1">
      <c r="A29" s="30">
        <f>ROW() - ROW(Ejecucion4[[#Headers],[Correlativo]])</f>
        <v>25</v>
      </c>
      <c r="B29" s="30" t="s">
        <v>288</v>
      </c>
      <c r="C29" s="84" t="str">
        <f>IF(B29="","",HYPERLINK("#"&amp;"Registro!B"&amp;MATCH(B29,Registro!$B$8:$B$997,0)+7,"Ubicar en registro"))</f>
        <v>Ubicar en registro</v>
      </c>
      <c r="D29" s="55" t="str">
        <f>IF(Ejecucion4[[#This Row],[No. Solicitud]]="","",_xlfn.XLOOKUP(Ejecucion4[[#This Row],[No. Solicitud]],Registro!$B$8:$B$997,Registro!$H$8:$H$997,"Sin Dato",0))</f>
        <v>Curso 59</v>
      </c>
      <c r="E29" s="28">
        <v>42674</v>
      </c>
      <c r="F29" s="28">
        <v>1</v>
      </c>
      <c r="G29" s="30">
        <v>1</v>
      </c>
      <c r="H29" s="130">
        <v>46093</v>
      </c>
      <c r="I29" s="104">
        <v>0.33333333333333331</v>
      </c>
      <c r="J29" s="105">
        <v>0.5</v>
      </c>
      <c r="K29" s="28"/>
    </row>
    <row r="30" spans="1:11" ht="28.8" customHeight="1">
      <c r="A30" s="30">
        <f>ROW() - ROW(Ejecucion4[[#Headers],[Correlativo]])</f>
        <v>26</v>
      </c>
      <c r="B30" s="30" t="s">
        <v>288</v>
      </c>
      <c r="C30" s="84" t="str">
        <f>IF(B30="","",HYPERLINK("#"&amp;"Registro!B"&amp;MATCH(B30,Registro!$B$8:$B$997,0)+7,"Ubicar en registro"))</f>
        <v>Ubicar en registro</v>
      </c>
      <c r="D30" s="55" t="str">
        <f>IF(Ejecucion4[[#This Row],[No. Solicitud]]="","",_xlfn.XLOOKUP(Ejecucion4[[#This Row],[No. Solicitud]],Registro!$B$8:$B$997,Registro!$H$8:$H$997,"Sin Dato",0))</f>
        <v>Curso 59</v>
      </c>
      <c r="E30" s="28">
        <v>42674</v>
      </c>
      <c r="F30" s="28">
        <v>1</v>
      </c>
      <c r="G30" s="30">
        <v>2</v>
      </c>
      <c r="H30" s="130">
        <v>46094</v>
      </c>
      <c r="I30" s="104"/>
      <c r="J30" s="105">
        <v>0.5</v>
      </c>
      <c r="K30" s="28"/>
    </row>
    <row r="31" spans="1:11" ht="28.8" customHeight="1">
      <c r="A31" s="30">
        <f>ROW() - ROW(Ejecucion4[[#Headers],[Correlativo]])</f>
        <v>27</v>
      </c>
      <c r="B31" s="30" t="s">
        <v>288</v>
      </c>
      <c r="C31" s="84" t="str">
        <f>IF(B31="","",HYPERLINK("#"&amp;"Registro!B"&amp;MATCH(B31,Registro!$B$8:$B$997,0)+7,"Ubicar en registro"))</f>
        <v>Ubicar en registro</v>
      </c>
      <c r="D31" s="55" t="str">
        <f>IF(Ejecucion4[[#This Row],[No. Solicitud]]="","",_xlfn.XLOOKUP(Ejecucion4[[#This Row],[No. Solicitud]],Registro!$B$8:$B$997,Registro!$H$8:$H$997,"Sin Dato",0))</f>
        <v>Curso 59</v>
      </c>
      <c r="E31" s="28">
        <v>42698</v>
      </c>
      <c r="F31" s="28">
        <v>2</v>
      </c>
      <c r="G31" s="30">
        <v>1</v>
      </c>
      <c r="H31" s="130">
        <v>46097</v>
      </c>
      <c r="I31" s="104">
        <v>0.33333333333333331</v>
      </c>
      <c r="J31" s="105">
        <v>0.5</v>
      </c>
      <c r="K31" s="28"/>
    </row>
    <row r="32" spans="1:11" ht="28.8" customHeight="1">
      <c r="A32" s="30">
        <f>ROW() - ROW(Ejecucion4[[#Headers],[Correlativo]])</f>
        <v>28</v>
      </c>
      <c r="B32" s="30" t="s">
        <v>288</v>
      </c>
      <c r="C32" s="153" t="str">
        <f>IF(B32="","",HYPERLINK("#"&amp;"Registro!B"&amp;MATCH(B32,Registro!$B$8:$B$997,0)+7,"Ubicar en registro"))</f>
        <v>Ubicar en registro</v>
      </c>
      <c r="D32" s="55" t="str">
        <f>IF(Ejecucion4[[#This Row],[No. Solicitud]]="","",_xlfn.XLOOKUP(Ejecucion4[[#This Row],[No. Solicitud]],Registro!$B$8:$B$997,Registro!$H$8:$H$997,"Sin Dato",0))</f>
        <v>Curso 59</v>
      </c>
      <c r="E32" s="28">
        <v>42698</v>
      </c>
      <c r="F32" s="28">
        <v>2</v>
      </c>
      <c r="G32" s="30">
        <v>1</v>
      </c>
      <c r="H32" s="130">
        <v>46098</v>
      </c>
      <c r="I32" s="104">
        <v>0.33333333333333331</v>
      </c>
      <c r="J32" s="105">
        <v>0.5</v>
      </c>
      <c r="K32" s="28"/>
    </row>
    <row r="33" spans="1:11" ht="28.8" customHeight="1">
      <c r="A33" s="30">
        <f>ROW() - ROW(Ejecucion4[[#Headers],[Correlativo]])</f>
        <v>29</v>
      </c>
      <c r="B33" s="30" t="s">
        <v>288</v>
      </c>
      <c r="C33" s="153" t="str">
        <f>IF(B33="","",HYPERLINK("#"&amp;"Registro!B"&amp;MATCH(B33,Registro!$B$8:$B$997,0)+7,"Ubicar en registro"))</f>
        <v>Ubicar en registro</v>
      </c>
      <c r="D33" s="55" t="str">
        <f>IF(Ejecucion4[[#This Row],[No. Solicitud]]="","",_xlfn.XLOOKUP(Ejecucion4[[#This Row],[No. Solicitud]],Registro!$B$8:$B$997,Registro!$H$8:$H$997,"Sin Dato",0))</f>
        <v>Curso 59</v>
      </c>
      <c r="E33" s="28">
        <v>42857</v>
      </c>
      <c r="F33" s="28">
        <v>3</v>
      </c>
      <c r="G33" s="30">
        <v>1</v>
      </c>
      <c r="H33" s="130">
        <v>46125</v>
      </c>
      <c r="I33" s="104">
        <v>0.33333333333333331</v>
      </c>
      <c r="J33" s="105">
        <v>0.5</v>
      </c>
      <c r="K33" s="28"/>
    </row>
    <row r="34" spans="1:11" ht="28.8" customHeight="1">
      <c r="A34" s="30">
        <f>ROW() - ROW(Ejecucion4[[#Headers],[Correlativo]])</f>
        <v>30</v>
      </c>
      <c r="B34" s="30" t="s">
        <v>288</v>
      </c>
      <c r="C34" s="153" t="str">
        <f>IF(B34="","",HYPERLINK("#"&amp;"Registro!B"&amp;MATCH(B34,Registro!$B$8:$B$997,0)+7,"Ubicar en registro"))</f>
        <v>Ubicar en registro</v>
      </c>
      <c r="D34" s="55" t="str">
        <f>IF(Ejecucion4[[#This Row],[No. Solicitud]]="","",_xlfn.XLOOKUP(Ejecucion4[[#This Row],[No. Solicitud]],Registro!$B$8:$B$997,Registro!$H$8:$H$997,"Sin Dato",0))</f>
        <v>Curso 59</v>
      </c>
      <c r="E34" s="28">
        <v>42857</v>
      </c>
      <c r="F34" s="28">
        <v>3</v>
      </c>
      <c r="G34" s="30">
        <v>1</v>
      </c>
      <c r="H34" s="130">
        <v>46126</v>
      </c>
      <c r="I34" s="104">
        <v>0.33333333333333331</v>
      </c>
      <c r="J34" s="105">
        <v>0.5</v>
      </c>
      <c r="K34" s="28"/>
    </row>
    <row r="35" spans="1:11" ht="28.8" customHeight="1">
      <c r="A35" s="30">
        <f>ROW() - ROW(Ejecucion4[[#Headers],[Correlativo]])</f>
        <v>31</v>
      </c>
      <c r="B35" s="30" t="s">
        <v>296</v>
      </c>
      <c r="C35" s="84" t="str">
        <f>IF(B35="","",HYPERLINK("#"&amp;"Registro!B"&amp;MATCH(B35,Registro!$B$8:$B$997,0)+7,"Ubicar en registro"))</f>
        <v>Ubicar en registro</v>
      </c>
      <c r="D35" s="55" t="str">
        <f>IF(Ejecucion4[[#This Row],[No. Solicitud]]="","",_xlfn.XLOOKUP(Ejecucion4[[#This Row],[No. Solicitud]],Registro!$B$8:$B$997,Registro!$H$8:$H$997,"Sin Dato",0))</f>
        <v>Curso 61</v>
      </c>
      <c r="E35" s="28">
        <v>42537</v>
      </c>
      <c r="F35" s="28">
        <v>1</v>
      </c>
      <c r="G35" s="30">
        <v>1</v>
      </c>
      <c r="H35" s="30"/>
      <c r="I35" s="104"/>
      <c r="J35" s="105"/>
      <c r="K35" s="28" t="s">
        <v>791</v>
      </c>
    </row>
    <row r="36" spans="1:11" ht="28.8" customHeight="1">
      <c r="A36" s="30">
        <f>ROW() - ROW(Ejecucion4[[#Headers],[Correlativo]])</f>
        <v>32</v>
      </c>
      <c r="B36" s="40" t="s">
        <v>299</v>
      </c>
      <c r="C36" s="84" t="str">
        <f>IF(B36="","",HYPERLINK("#"&amp;"Registro!B"&amp;MATCH(B36,Registro!$B$8:$B$997,0)+7,"Ubicar en registro"))</f>
        <v>Ubicar en registro</v>
      </c>
      <c r="D36" s="55" t="str">
        <f>IF(Ejecucion4[[#This Row],[No. Solicitud]]="","",_xlfn.XLOOKUP(Ejecucion4[[#This Row],[No. Solicitud]],Registro!$B$8:$B$997,Registro!$H$8:$H$997,"Sin Dato",0))</f>
        <v>Curso 62</v>
      </c>
      <c r="E36" s="28">
        <v>42538</v>
      </c>
      <c r="F36" s="28">
        <v>2</v>
      </c>
      <c r="G36" s="30">
        <v>1</v>
      </c>
      <c r="H36" s="97">
        <v>46083</v>
      </c>
      <c r="I36" s="104">
        <v>0.33333333333333331</v>
      </c>
      <c r="J36" s="105">
        <v>0.5</v>
      </c>
      <c r="K36" s="28"/>
    </row>
    <row r="37" spans="1:11" ht="28.8" customHeight="1">
      <c r="A37" s="30">
        <f>ROW() - ROW(Ejecucion4[[#Headers],[Correlativo]])</f>
        <v>33</v>
      </c>
      <c r="B37" s="40" t="s">
        <v>299</v>
      </c>
      <c r="C37" s="84" t="str">
        <f>IF(B37="","",HYPERLINK("#"&amp;"Registro!B"&amp;MATCH(B37,Registro!$B$8:$B$997,0)+7,"Ubicar en registro"))</f>
        <v>Ubicar en registro</v>
      </c>
      <c r="D37" s="55" t="str">
        <f>IF(Ejecucion4[[#This Row],[No. Solicitud]]="","",_xlfn.XLOOKUP(Ejecucion4[[#This Row],[No. Solicitud]],Registro!$B$8:$B$997,Registro!$H$8:$H$997,"Sin Dato",0))</f>
        <v>Curso 62</v>
      </c>
      <c r="E37" s="28">
        <v>42539</v>
      </c>
      <c r="F37" s="28">
        <v>3</v>
      </c>
      <c r="G37" s="30">
        <v>1</v>
      </c>
      <c r="H37" s="97">
        <v>46097</v>
      </c>
      <c r="I37" s="104">
        <v>0.33333333333333331</v>
      </c>
      <c r="J37" s="105">
        <v>0.5</v>
      </c>
      <c r="K37" s="28"/>
    </row>
    <row r="38" spans="1:11" ht="28.8" customHeight="1">
      <c r="A38" s="30">
        <f>ROW() - ROW(Ejecucion4[[#Headers],[Correlativo]])</f>
        <v>34</v>
      </c>
      <c r="B38" s="40" t="s">
        <v>299</v>
      </c>
      <c r="C38" s="84" t="str">
        <f>IF(B38="","",HYPERLINK("#"&amp;"Registro!B"&amp;MATCH(B38,Registro!$B$8:$B$997,0)+7,"Ubicar en registro"))</f>
        <v>Ubicar en registro</v>
      </c>
      <c r="D38" s="55" t="str">
        <f>IF(Ejecucion4[[#This Row],[No. Solicitud]]="","",_xlfn.XLOOKUP(Ejecucion4[[#This Row],[No. Solicitud]],Registro!$B$8:$B$997,Registro!$H$8:$H$997,"Sin Dato",0))</f>
        <v>Curso 62</v>
      </c>
      <c r="E38" s="28">
        <v>42540</v>
      </c>
      <c r="F38" s="28">
        <v>4</v>
      </c>
      <c r="G38" s="30">
        <v>1</v>
      </c>
      <c r="H38" s="97">
        <v>46118</v>
      </c>
      <c r="I38" s="104">
        <v>0.33333333333333331</v>
      </c>
      <c r="J38" s="105">
        <v>0.5</v>
      </c>
      <c r="K38" s="28"/>
    </row>
    <row r="39" spans="1:11" ht="28.8" customHeight="1">
      <c r="A39" s="30">
        <f>ROW() - ROW(Ejecucion4[[#Headers],[Correlativo]])</f>
        <v>35</v>
      </c>
      <c r="B39" s="40" t="s">
        <v>299</v>
      </c>
      <c r="C39" s="84" t="str">
        <f>IF(B39="","",HYPERLINK("#"&amp;"Registro!B"&amp;MATCH(B39,Registro!$B$8:$B$997,0)+7,"Ubicar en registro"))</f>
        <v>Ubicar en registro</v>
      </c>
      <c r="D39" s="55" t="str">
        <f>IF(Ejecucion4[[#This Row],[No. Solicitud]]="","",_xlfn.XLOOKUP(Ejecucion4[[#This Row],[No. Solicitud]],Registro!$B$8:$B$997,Registro!$H$8:$H$997,"Sin Dato",0))</f>
        <v>Curso 62</v>
      </c>
      <c r="E39" s="28">
        <v>42541</v>
      </c>
      <c r="F39" s="28">
        <v>5</v>
      </c>
      <c r="G39" s="30">
        <v>1</v>
      </c>
      <c r="H39" s="97">
        <v>46132</v>
      </c>
      <c r="I39" s="104">
        <v>0.33333333333333331</v>
      </c>
      <c r="J39" s="105">
        <v>0.5</v>
      </c>
      <c r="K39" s="28"/>
    </row>
    <row r="40" spans="1:11" ht="28.8" customHeight="1">
      <c r="A40" s="30">
        <f>ROW() - ROW(Ejecucion4[[#Headers],[Correlativo]])</f>
        <v>36</v>
      </c>
      <c r="B40" s="40" t="s">
        <v>299</v>
      </c>
      <c r="C40" s="84" t="str">
        <f>IF(B40="","",HYPERLINK("#"&amp;"Registro!B"&amp;MATCH(B40,Registro!$B$8:$B$997,0)+7,"Ubicar en registro"))</f>
        <v>Ubicar en registro</v>
      </c>
      <c r="D40" s="55" t="str">
        <f>IF(Ejecucion4[[#This Row],[No. Solicitud]]="","",_xlfn.XLOOKUP(Ejecucion4[[#This Row],[No. Solicitud]],Registro!$B$8:$B$997,Registro!$H$8:$H$997,"Sin Dato",0))</f>
        <v>Curso 62</v>
      </c>
      <c r="E40" s="28">
        <v>42542</v>
      </c>
      <c r="F40" s="28">
        <v>6</v>
      </c>
      <c r="G40" s="30">
        <v>1</v>
      </c>
      <c r="H40" s="97">
        <v>46146</v>
      </c>
      <c r="I40" s="104">
        <v>0.33333333333333331</v>
      </c>
      <c r="J40" s="105">
        <v>0.5</v>
      </c>
      <c r="K40" s="28"/>
    </row>
    <row r="41" spans="1:11" ht="28.8" customHeight="1">
      <c r="A41" s="30">
        <f>ROW() - ROW(Ejecucion4[[#Headers],[Correlativo]])</f>
        <v>37</v>
      </c>
      <c r="B41" s="41" t="s">
        <v>299</v>
      </c>
      <c r="C41" s="84" t="str">
        <f>IF(B41="","",HYPERLINK("#"&amp;"Registro!B"&amp;MATCH(B41,Registro!$B$8:$B$997,0)+7,"Ubicar en registro"))</f>
        <v>Ubicar en registro</v>
      </c>
      <c r="D41" s="55" t="str">
        <f>IF(Ejecucion4[[#This Row],[No. Solicitud]]="","",_xlfn.XLOOKUP(Ejecucion4[[#This Row],[No. Solicitud]],Registro!$B$8:$B$997,Registro!$H$8:$H$997,"Sin Dato",0))</f>
        <v>Curso 62</v>
      </c>
      <c r="E41" s="28">
        <v>42543</v>
      </c>
      <c r="F41" s="28">
        <v>7</v>
      </c>
      <c r="G41" s="30">
        <v>1</v>
      </c>
      <c r="H41" s="97">
        <v>46160</v>
      </c>
      <c r="I41" s="104">
        <v>0.33333333333333331</v>
      </c>
      <c r="J41" s="105">
        <v>0.5</v>
      </c>
      <c r="K41" s="28"/>
    </row>
    <row r="42" spans="1:11" ht="28.8" customHeight="1">
      <c r="A42" s="30">
        <f>ROW() - ROW(Ejecucion4[[#Headers],[Correlativo]])</f>
        <v>38</v>
      </c>
      <c r="B42" s="156" t="s">
        <v>299</v>
      </c>
      <c r="C42" s="84" t="str">
        <f>IF(B42="","",HYPERLINK("#"&amp;"Registro!B"&amp;MATCH(B42,Registro!$B$8:$B$997,0)+7,"Ubicar en registro"))</f>
        <v>Ubicar en registro</v>
      </c>
      <c r="D42" s="55" t="str">
        <f>IF(Ejecucion4[[#This Row],[No. Solicitud]]="","",_xlfn.XLOOKUP(Ejecucion4[[#This Row],[No. Solicitud]],Registro!$B$8:$B$997,Registro!$H$8:$H$997,"Sin Dato",0))</f>
        <v>Curso 62</v>
      </c>
      <c r="E42" s="28">
        <v>42545</v>
      </c>
      <c r="F42" s="28">
        <v>8</v>
      </c>
      <c r="G42" s="30">
        <v>1</v>
      </c>
      <c r="H42" s="97">
        <v>46170</v>
      </c>
      <c r="I42" s="104">
        <v>0.33333333333333331</v>
      </c>
      <c r="J42" s="105">
        <v>0.5</v>
      </c>
      <c r="K42" s="28"/>
    </row>
    <row r="43" spans="1:11" ht="28.8" customHeight="1">
      <c r="A43" s="30">
        <f>ROW() - ROW(Ejecucion4[[#Headers],[Correlativo]])</f>
        <v>39</v>
      </c>
      <c r="B43" s="40" t="s">
        <v>299</v>
      </c>
      <c r="C43" s="84" t="str">
        <f>IF(B43="","",HYPERLINK("#"&amp;"Registro!B"&amp;MATCH(B43,Registro!$B$8:$B$997,0)+7,"Ubicar en registro"))</f>
        <v>Ubicar en registro</v>
      </c>
      <c r="D43" s="55" t="str">
        <f>IF(Ejecucion4[[#This Row],[No. Solicitud]]="","",_xlfn.XLOOKUP(Ejecucion4[[#This Row],[No. Solicitud]],Registro!$B$8:$B$997,Registro!$H$8:$H$997,"Sin Dato",0))</f>
        <v>Curso 62</v>
      </c>
      <c r="E43" s="28">
        <v>42549</v>
      </c>
      <c r="F43" s="28">
        <v>9</v>
      </c>
      <c r="G43" s="30">
        <v>1</v>
      </c>
      <c r="H43" s="97">
        <v>46182</v>
      </c>
      <c r="I43" s="104">
        <v>0.33333333333333331</v>
      </c>
      <c r="J43" s="105">
        <v>0.5</v>
      </c>
      <c r="K43" s="28"/>
    </row>
    <row r="44" spans="1:11" ht="28.8" customHeight="1">
      <c r="A44" s="30">
        <f>ROW() - ROW(Ejecucion4[[#Headers],[Correlativo]])</f>
        <v>40</v>
      </c>
      <c r="B44" s="40" t="s">
        <v>299</v>
      </c>
      <c r="C44" s="84" t="str">
        <f>IF(B44="","",HYPERLINK("#"&amp;"Registro!B"&amp;MATCH(B44,Registro!$B$8:$B$997,0)+7,"Ubicar en registro"))</f>
        <v>Ubicar en registro</v>
      </c>
      <c r="D44" s="55" t="str">
        <f>IF(Ejecucion4[[#This Row],[No. Solicitud]]="","",_xlfn.XLOOKUP(Ejecucion4[[#This Row],[No. Solicitud]],Registro!$B$8:$B$997,Registro!$H$8:$H$997,"Sin Dato",0))</f>
        <v>Curso 62</v>
      </c>
      <c r="E44" s="28">
        <v>42550</v>
      </c>
      <c r="F44" s="28">
        <v>10</v>
      </c>
      <c r="G44" s="30">
        <v>1</v>
      </c>
      <c r="H44" s="97">
        <v>45827</v>
      </c>
      <c r="I44" s="104">
        <v>0.33333333333333331</v>
      </c>
      <c r="J44" s="105">
        <v>0.5</v>
      </c>
      <c r="K44" s="28"/>
    </row>
    <row r="45" spans="1:11" ht="28.8" customHeight="1">
      <c r="A45" s="30">
        <f>ROW() - ROW(Ejecucion4[[#Headers],[Correlativo]])</f>
        <v>41</v>
      </c>
      <c r="B45" t="s">
        <v>301</v>
      </c>
      <c r="C45" s="153" t="str">
        <f>IF(B45="","",HYPERLINK("#"&amp;"Registro!B"&amp;MATCH(B45,Registro!$B$8:$B$997,0)+7,"Ubicar en registro"))</f>
        <v>Ubicar en registro</v>
      </c>
      <c r="D45" s="55" t="str">
        <f>IF(Ejecucion4[[#This Row],[No. Solicitud]]="","",_xlfn.XLOOKUP(Ejecucion4[[#This Row],[No. Solicitud]],Registro!$B$8:$B$997,Registro!$H$8:$H$997,"Sin Dato",0))</f>
        <v>Curso 63</v>
      </c>
      <c r="E45" s="28">
        <v>42585</v>
      </c>
      <c r="F45" s="28">
        <v>1</v>
      </c>
      <c r="G45" s="30">
        <v>1</v>
      </c>
      <c r="H45" s="97">
        <v>46083</v>
      </c>
      <c r="I45" s="104">
        <v>0.33333333333333331</v>
      </c>
      <c r="J45" s="105">
        <v>0.5</v>
      </c>
      <c r="K45" s="28"/>
    </row>
    <row r="46" spans="1:11" ht="28.8" customHeight="1">
      <c r="A46" s="30">
        <f>ROW() - ROW(Ejecucion4[[#Headers],[Correlativo]])</f>
        <v>42</v>
      </c>
      <c r="B46" s="30" t="s">
        <v>301</v>
      </c>
      <c r="C46" s="153" t="str">
        <f>IF(B46="","",HYPERLINK("#"&amp;"Registro!B"&amp;MATCH(B46,Registro!$B$8:$B$997,0)+7,"Ubicar en registro"))</f>
        <v>Ubicar en registro</v>
      </c>
      <c r="D46" s="55" t="str">
        <f>IF(Ejecucion4[[#This Row],[No. Solicitud]]="","",_xlfn.XLOOKUP(Ejecucion4[[#This Row],[No. Solicitud]],Registro!$B$8:$B$997,Registro!$H$8:$H$997,"Sin Dato",0))</f>
        <v>Curso 63</v>
      </c>
      <c r="E46" s="28">
        <v>42611</v>
      </c>
      <c r="F46" s="28">
        <v>2</v>
      </c>
      <c r="G46" s="30">
        <v>1</v>
      </c>
      <c r="H46" s="97">
        <v>46097</v>
      </c>
      <c r="I46" s="104">
        <v>0.33333333333333331</v>
      </c>
      <c r="J46" s="105">
        <v>0.5</v>
      </c>
      <c r="K46" s="28"/>
    </row>
    <row r="47" spans="1:11" ht="28.8" customHeight="1">
      <c r="A47" s="30">
        <f>ROW() - ROW(Ejecucion4[[#Headers],[Correlativo]])</f>
        <v>43</v>
      </c>
      <c r="B47" s="30" t="s">
        <v>301</v>
      </c>
      <c r="C47" s="153" t="str">
        <f>IF(B47="","",HYPERLINK("#"&amp;"Registro!B"&amp;MATCH(B47,Registro!$B$8:$B$997,0)+7,"Ubicar en registro"))</f>
        <v>Ubicar en registro</v>
      </c>
      <c r="D47" s="55" t="str">
        <f>IF(Ejecucion4[[#This Row],[No. Solicitud]]="","",_xlfn.XLOOKUP(Ejecucion4[[#This Row],[No. Solicitud]],Registro!$B$8:$B$997,Registro!$H$8:$H$997,"Sin Dato",0))</f>
        <v>Curso 63</v>
      </c>
      <c r="E47" s="28">
        <v>42819</v>
      </c>
      <c r="F47" s="28">
        <v>3</v>
      </c>
      <c r="G47" s="30">
        <v>1</v>
      </c>
      <c r="H47" s="97">
        <v>46118</v>
      </c>
      <c r="I47" s="104">
        <v>0.33333333333333331</v>
      </c>
      <c r="J47" s="105">
        <v>0.5</v>
      </c>
      <c r="K47" s="28"/>
    </row>
    <row r="48" spans="1:11" ht="28.8" customHeight="1">
      <c r="A48" s="30">
        <f>ROW() - ROW(Ejecucion4[[#Headers],[Correlativo]])</f>
        <v>44</v>
      </c>
      <c r="B48" s="30" t="s">
        <v>301</v>
      </c>
      <c r="C48" s="153" t="str">
        <f>IF(B48="","",HYPERLINK("#"&amp;"Registro!B"&amp;MATCH(B48,Registro!$B$8:$B$997,0)+7,"Ubicar en registro"))</f>
        <v>Ubicar en registro</v>
      </c>
      <c r="D48" s="55" t="str">
        <f>IF(Ejecucion4[[#This Row],[No. Solicitud]]="","",_xlfn.XLOOKUP(Ejecucion4[[#This Row],[No. Solicitud]],Registro!$B$8:$B$997,Registro!$H$8:$H$997,"Sin Dato",0))</f>
        <v>Curso 63</v>
      </c>
      <c r="E48" s="28">
        <v>42883</v>
      </c>
      <c r="F48" s="28">
        <v>4</v>
      </c>
      <c r="G48" s="30">
        <v>1</v>
      </c>
      <c r="H48" s="97">
        <v>46132</v>
      </c>
      <c r="I48" s="104">
        <v>0.33333333333333331</v>
      </c>
      <c r="J48" s="105">
        <v>0.5</v>
      </c>
      <c r="K48" s="28"/>
    </row>
    <row r="49" spans="1:11" ht="28.8" customHeight="1">
      <c r="A49" s="30">
        <f>ROW() - ROW(Ejecucion4[[#Headers],[Correlativo]])</f>
        <v>45</v>
      </c>
      <c r="B49" s="30" t="s">
        <v>301</v>
      </c>
      <c r="C49" s="153" t="str">
        <f>IF(B49="","",HYPERLINK("#"&amp;"Registro!B"&amp;MATCH(B49,Registro!$B$8:$B$997,0)+7,"Ubicar en registro"))</f>
        <v>Ubicar en registro</v>
      </c>
      <c r="D49" s="55" t="str">
        <f>IF(Ejecucion4[[#This Row],[No. Solicitud]]="","",_xlfn.XLOOKUP(Ejecucion4[[#This Row],[No. Solicitud]],Registro!$B$8:$B$997,Registro!$H$8:$H$997,"Sin Dato",0))</f>
        <v>Curso 63</v>
      </c>
      <c r="E49" s="28">
        <v>43023</v>
      </c>
      <c r="F49" s="28">
        <v>5</v>
      </c>
      <c r="G49" s="30">
        <v>1</v>
      </c>
      <c r="H49" s="97">
        <v>46146</v>
      </c>
      <c r="I49" s="104">
        <v>0.33333333333333331</v>
      </c>
      <c r="J49" s="105">
        <v>0.5</v>
      </c>
      <c r="K49" s="28"/>
    </row>
    <row r="50" spans="1:11" ht="28.8" customHeight="1">
      <c r="A50" s="30">
        <f>ROW() - ROW(Ejecucion4[[#Headers],[Correlativo]])</f>
        <v>46</v>
      </c>
      <c r="B50" s="30" t="s">
        <v>301</v>
      </c>
      <c r="C50" s="153" t="str">
        <f>IF(B50="","",HYPERLINK("#"&amp;"Registro!B"&amp;MATCH(B50,Registro!$B$8:$B$997,0)+7,"Ubicar en registro"))</f>
        <v>Ubicar en registro</v>
      </c>
      <c r="D50" s="55" t="str">
        <f>IF(Ejecucion4[[#This Row],[No. Solicitud]]="","",_xlfn.XLOOKUP(Ejecucion4[[#This Row],[No. Solicitud]],Registro!$B$8:$B$997,Registro!$H$8:$H$997,"Sin Dato",0))</f>
        <v>Curso 63</v>
      </c>
      <c r="E50" s="28">
        <v>43146</v>
      </c>
      <c r="F50" s="28">
        <v>6</v>
      </c>
      <c r="G50" s="30">
        <v>1</v>
      </c>
      <c r="H50" s="97">
        <v>46189</v>
      </c>
      <c r="I50" s="104">
        <v>0.33333333333333331</v>
      </c>
      <c r="J50" s="105">
        <v>0.5</v>
      </c>
      <c r="K50" s="28"/>
    </row>
    <row r="51" spans="1:11" ht="28.8" customHeight="1">
      <c r="A51" s="30">
        <f>ROW() - ROW(Ejecucion4[[#Headers],[Correlativo]])</f>
        <v>47</v>
      </c>
      <c r="B51" s="30" t="s">
        <v>301</v>
      </c>
      <c r="C51" s="153" t="str">
        <f>IF(B51="","",HYPERLINK("#"&amp;"Registro!B"&amp;MATCH(B51,Registro!$B$8:$B$997,0)+7,"Ubicar en registro"))</f>
        <v>Ubicar en registro</v>
      </c>
      <c r="D51" s="55" t="str">
        <f>IF(Ejecucion4[[#This Row],[No. Solicitud]]="","",_xlfn.XLOOKUP(Ejecucion4[[#This Row],[No. Solicitud]],Registro!$B$8:$B$997,Registro!$H$8:$H$997,"Sin Dato",0))</f>
        <v>Curso 63</v>
      </c>
      <c r="E51" s="28">
        <v>43180</v>
      </c>
      <c r="F51" s="28">
        <v>7</v>
      </c>
      <c r="G51" s="30">
        <v>1</v>
      </c>
      <c r="H51" s="97">
        <v>46170</v>
      </c>
      <c r="I51" s="104">
        <v>0.33333333333333331</v>
      </c>
      <c r="J51" s="105">
        <v>0.5</v>
      </c>
      <c r="K51" s="28"/>
    </row>
    <row r="52" spans="1:11" ht="28.8" customHeight="1">
      <c r="A52" s="30">
        <f>ROW() - ROW(Ejecucion4[[#Headers],[Correlativo]])</f>
        <v>48</v>
      </c>
      <c r="B52" s="30" t="s">
        <v>301</v>
      </c>
      <c r="C52" s="153" t="str">
        <f>IF(B52="","",HYPERLINK("#"&amp;"Registro!B"&amp;MATCH(B52,Registro!$B$8:$B$997,0)+7,"Ubicar en registro"))</f>
        <v>Ubicar en registro</v>
      </c>
      <c r="D52" s="55" t="str">
        <f>IF(Ejecucion4[[#This Row],[No. Solicitud]]="","",_xlfn.XLOOKUP(Ejecucion4[[#This Row],[No. Solicitud]],Registro!$B$8:$B$997,Registro!$H$8:$H$997,"Sin Dato",0))</f>
        <v>Curso 63</v>
      </c>
      <c r="E52" s="28">
        <v>43267</v>
      </c>
      <c r="F52" s="28">
        <v>8</v>
      </c>
      <c r="G52" s="30">
        <v>1</v>
      </c>
      <c r="H52" s="97">
        <v>46182</v>
      </c>
      <c r="I52" s="104">
        <v>0.33333333333333331</v>
      </c>
      <c r="J52" s="105">
        <v>0.5</v>
      </c>
      <c r="K52" s="28"/>
    </row>
    <row r="53" spans="1:11" ht="28.8" customHeight="1">
      <c r="A53" s="30">
        <f>ROW() - ROW(Ejecucion4[[#Headers],[Correlativo]])</f>
        <v>49</v>
      </c>
      <c r="B53" s="30" t="s">
        <v>301</v>
      </c>
      <c r="C53" s="153" t="str">
        <f>IF(B53="","",HYPERLINK("#"&amp;"Registro!B"&amp;MATCH(B53,Registro!$B$8:$B$997,0)+7,"Ubicar en registro"))</f>
        <v>Ubicar en registro</v>
      </c>
      <c r="D53" s="55" t="str">
        <f>IF(Ejecucion4[[#This Row],[No. Solicitud]]="","",_xlfn.XLOOKUP(Ejecucion4[[#This Row],[No. Solicitud]],Registro!$B$8:$B$997,Registro!$H$8:$H$997,"Sin Dato",0))</f>
        <v>Curso 63</v>
      </c>
      <c r="E53" s="28">
        <v>43308</v>
      </c>
      <c r="F53" s="28">
        <v>9</v>
      </c>
      <c r="G53" s="30">
        <v>1</v>
      </c>
      <c r="H53" s="97">
        <v>46192</v>
      </c>
      <c r="I53" s="104">
        <v>0.33333333333333331</v>
      </c>
      <c r="J53" s="105">
        <v>0.5</v>
      </c>
      <c r="K53" s="28"/>
    </row>
    <row r="54" spans="1:11" ht="28.8" customHeight="1">
      <c r="A54" s="30">
        <f>ROW() - ROW(Ejecucion4[[#Headers],[Correlativo]])</f>
        <v>50</v>
      </c>
      <c r="B54" s="30" t="s">
        <v>301</v>
      </c>
      <c r="C54" s="153" t="str">
        <f>IF(B54="","",HYPERLINK("#"&amp;"Registro!B"&amp;MATCH(B54,Registro!$B$8:$B$997,0)+7,"Ubicar en registro"))</f>
        <v>Ubicar en registro</v>
      </c>
      <c r="D54" s="55" t="str">
        <f>IF(Ejecucion4[[#This Row],[No. Solicitud]]="","",_xlfn.XLOOKUP(Ejecucion4[[#This Row],[No. Solicitud]],Registro!$B$8:$B$997,Registro!$H$8:$H$997,"Sin Dato",0))</f>
        <v>Curso 63</v>
      </c>
      <c r="E54" s="28">
        <v>43374</v>
      </c>
      <c r="F54" s="28">
        <v>10</v>
      </c>
      <c r="G54" s="30">
        <v>1</v>
      </c>
      <c r="H54" s="97">
        <v>46206</v>
      </c>
      <c r="I54" s="104">
        <v>0.33333333333333331</v>
      </c>
      <c r="J54" s="105">
        <v>0.5</v>
      </c>
      <c r="K54" s="28"/>
    </row>
    <row r="55" spans="1:11" ht="28.8" customHeight="1">
      <c r="A55" s="30">
        <f>ROW() - ROW(Ejecucion4[[#Headers],[Correlativo]])</f>
        <v>51</v>
      </c>
      <c r="B55" s="30" t="s">
        <v>303</v>
      </c>
      <c r="C55" s="153" t="str">
        <f>IF(B55="","",HYPERLINK("#"&amp;"Registro!B"&amp;MATCH(B55,Registro!$B$8:$B$997,0)+7,"Ubicar en registro"))</f>
        <v>Ubicar en registro</v>
      </c>
      <c r="D55" s="55" t="str">
        <f>IF(Ejecucion4[[#This Row],[No. Solicitud]]="","",_xlfn.XLOOKUP(Ejecucion4[[#This Row],[No. Solicitud]],Registro!$B$8:$B$997,Registro!$H$8:$H$997,"Sin Dato",0))</f>
        <v>Curso 64</v>
      </c>
      <c r="E55" s="29">
        <v>42586</v>
      </c>
      <c r="F55" s="28">
        <v>1</v>
      </c>
      <c r="G55" s="30">
        <v>1</v>
      </c>
      <c r="H55" s="97">
        <v>46084</v>
      </c>
      <c r="I55" s="104">
        <v>0.33333333333333331</v>
      </c>
      <c r="J55" s="105">
        <v>0.66666666666666663</v>
      </c>
      <c r="K55" s="28"/>
    </row>
    <row r="56" spans="1:11" ht="28.8" customHeight="1">
      <c r="A56" s="30">
        <f>ROW() - ROW(Ejecucion4[[#Headers],[Correlativo]])</f>
        <v>52</v>
      </c>
      <c r="B56" s="30" t="s">
        <v>303</v>
      </c>
      <c r="C56" s="153" t="str">
        <f>IF(B56="","",HYPERLINK("#"&amp;"Registro!B"&amp;MATCH(B56,Registro!$B$8:$B$997,0)+7,"Ubicar en registro"))</f>
        <v>Ubicar en registro</v>
      </c>
      <c r="D56" s="55" t="str">
        <f>IF(Ejecucion4[[#This Row],[No. Solicitud]]="","",_xlfn.XLOOKUP(Ejecucion4[[#This Row],[No. Solicitud]],Registro!$B$8:$B$997,Registro!$H$8:$H$997,"Sin Dato",0))</f>
        <v>Curso 64</v>
      </c>
      <c r="E56" s="29">
        <v>42614</v>
      </c>
      <c r="F56" s="28">
        <v>2</v>
      </c>
      <c r="G56" s="30">
        <v>1</v>
      </c>
      <c r="H56" s="97">
        <v>46100</v>
      </c>
      <c r="I56" s="104">
        <v>0.33333333333333331</v>
      </c>
      <c r="J56" s="105">
        <v>0.66666666666666663</v>
      </c>
      <c r="K56" s="28"/>
    </row>
    <row r="57" spans="1:11" ht="28.8" customHeight="1">
      <c r="A57" s="30">
        <f>ROW() - ROW(Ejecucion4[[#Headers],[Correlativo]])</f>
        <v>53</v>
      </c>
      <c r="B57" s="30" t="s">
        <v>303</v>
      </c>
      <c r="C57" s="153" t="str">
        <f>IF(B57="","",HYPERLINK("#"&amp;"Registro!B"&amp;MATCH(B57,Registro!$B$8:$B$997,0)+7,"Ubicar en registro"))</f>
        <v>Ubicar en registro</v>
      </c>
      <c r="D57" s="55" t="str">
        <f>IF(Ejecucion4[[#This Row],[No. Solicitud]]="","",_xlfn.XLOOKUP(Ejecucion4[[#This Row],[No. Solicitud]],Registro!$B$8:$B$997,Registro!$H$8:$H$997,"Sin Dato",0))</f>
        <v>Curso 64</v>
      </c>
      <c r="E57" s="29">
        <v>42822</v>
      </c>
      <c r="F57" s="28">
        <v>3</v>
      </c>
      <c r="G57" s="30">
        <v>1</v>
      </c>
      <c r="H57" s="97">
        <v>46119</v>
      </c>
      <c r="I57" s="104">
        <v>0.33333333333333331</v>
      </c>
      <c r="J57" s="105">
        <v>0.66666666666666663</v>
      </c>
      <c r="K57" s="28"/>
    </row>
    <row r="58" spans="1:11" ht="28.8" customHeight="1">
      <c r="A58" s="30">
        <f>ROW() - ROW(Ejecucion4[[#Headers],[Correlativo]])</f>
        <v>54</v>
      </c>
      <c r="B58" s="30" t="s">
        <v>303</v>
      </c>
      <c r="C58" s="153" t="str">
        <f>IF(B58="","",HYPERLINK("#"&amp;"Registro!B"&amp;MATCH(B58,Registro!$B$8:$B$997,0)+7,"Ubicar en registro"))</f>
        <v>Ubicar en registro</v>
      </c>
      <c r="D58" s="55" t="str">
        <f>IF(Ejecucion4[[#This Row],[No. Solicitud]]="","",_xlfn.XLOOKUP(Ejecucion4[[#This Row],[No. Solicitud]],Registro!$B$8:$B$997,Registro!$H$8:$H$997,"Sin Dato",0))</f>
        <v>Curso 64</v>
      </c>
      <c r="E58" s="29">
        <v>42891</v>
      </c>
      <c r="F58" s="28">
        <v>4</v>
      </c>
      <c r="G58" s="30">
        <v>1</v>
      </c>
      <c r="H58" s="97">
        <v>46133</v>
      </c>
      <c r="I58" s="104">
        <v>0.33333333333333331</v>
      </c>
      <c r="J58" s="105">
        <v>0.66666666666666663</v>
      </c>
      <c r="K58" s="28"/>
    </row>
    <row r="59" spans="1:11" ht="28.8" customHeight="1">
      <c r="A59" s="30">
        <f>ROW() - ROW(Ejecucion4[[#Headers],[Correlativo]])</f>
        <v>55</v>
      </c>
      <c r="B59" s="30" t="s">
        <v>303</v>
      </c>
      <c r="C59" s="153" t="str">
        <f>IF(B59="","",HYPERLINK("#"&amp;"Registro!B"&amp;MATCH(B59,Registro!$B$8:$B$997,0)+7,"Ubicar en registro"))</f>
        <v>Ubicar en registro</v>
      </c>
      <c r="D59" s="55" t="str">
        <f>IF(Ejecucion4[[#This Row],[No. Solicitud]]="","",_xlfn.XLOOKUP(Ejecucion4[[#This Row],[No. Solicitud]],Registro!$B$8:$B$997,Registro!$H$8:$H$997,"Sin Dato",0))</f>
        <v>Curso 64</v>
      </c>
      <c r="E59" s="29">
        <v>43026</v>
      </c>
      <c r="F59" s="28">
        <v>5</v>
      </c>
      <c r="G59" s="30">
        <v>1</v>
      </c>
      <c r="H59" s="97">
        <v>46147</v>
      </c>
      <c r="I59" s="104">
        <v>0.33333333333333331</v>
      </c>
      <c r="J59" s="105">
        <v>0.66666666666666663</v>
      </c>
      <c r="K59" s="28"/>
    </row>
    <row r="60" spans="1:11" ht="28.8" customHeight="1">
      <c r="A60" s="30">
        <f>ROW() - ROW(Ejecucion4[[#Headers],[Correlativo]])</f>
        <v>56</v>
      </c>
      <c r="B60" s="30" t="s">
        <v>303</v>
      </c>
      <c r="C60" s="153" t="str">
        <f>IF(B60="","",HYPERLINK("#"&amp;"Registro!B"&amp;MATCH(B60,Registro!$B$8:$B$997,0)+7,"Ubicar en registro"))</f>
        <v>Ubicar en registro</v>
      </c>
      <c r="D60" s="55" t="str">
        <f>IF(Ejecucion4[[#This Row],[No. Solicitud]]="","",_xlfn.XLOOKUP(Ejecucion4[[#This Row],[No. Solicitud]],Registro!$B$8:$B$997,Registro!$H$8:$H$997,"Sin Dato",0))</f>
        <v>Curso 64</v>
      </c>
      <c r="E60" s="29">
        <v>43155</v>
      </c>
      <c r="F60" s="28">
        <v>6</v>
      </c>
      <c r="G60" s="30">
        <v>1</v>
      </c>
      <c r="H60" s="97">
        <v>46161</v>
      </c>
      <c r="I60" s="104">
        <v>0.33333333333333331</v>
      </c>
      <c r="J60" s="105">
        <v>0.66666666666666663</v>
      </c>
      <c r="K60" s="28"/>
    </row>
    <row r="61" spans="1:11" ht="28.8" customHeight="1">
      <c r="A61" s="30">
        <f>ROW() - ROW(Ejecucion4[[#Headers],[Correlativo]])</f>
        <v>57</v>
      </c>
      <c r="B61" s="30" t="s">
        <v>303</v>
      </c>
      <c r="C61" s="153" t="str">
        <f>IF(B61="","",HYPERLINK("#"&amp;"Registro!B"&amp;MATCH(B61,Registro!$B$8:$B$997,0)+7,"Ubicar en registro"))</f>
        <v>Ubicar en registro</v>
      </c>
      <c r="D61" s="55" t="str">
        <f>IF(Ejecucion4[[#This Row],[No. Solicitud]]="","",_xlfn.XLOOKUP(Ejecucion4[[#This Row],[No. Solicitud]],Registro!$B$8:$B$997,Registro!$H$8:$H$997,"Sin Dato",0))</f>
        <v>Curso 64</v>
      </c>
      <c r="E61" s="29">
        <v>43181</v>
      </c>
      <c r="F61" s="28">
        <v>7</v>
      </c>
      <c r="G61" s="30">
        <v>1</v>
      </c>
      <c r="H61" s="97">
        <v>46171</v>
      </c>
      <c r="I61" s="104">
        <v>0.33333333333333331</v>
      </c>
      <c r="J61" s="105">
        <v>0.66666666666666663</v>
      </c>
      <c r="K61" s="28"/>
    </row>
    <row r="62" spans="1:11" ht="28.8" customHeight="1">
      <c r="A62" s="30">
        <f>ROW() - ROW(Ejecucion4[[#Headers],[Correlativo]])</f>
        <v>58</v>
      </c>
      <c r="B62" s="30" t="s">
        <v>303</v>
      </c>
      <c r="C62" s="153" t="str">
        <f>IF(B62="","",HYPERLINK("#"&amp;"Registro!B"&amp;MATCH(B62,Registro!$B$8:$B$997,0)+7,"Ubicar en registro"))</f>
        <v>Ubicar en registro</v>
      </c>
      <c r="D62" s="55" t="str">
        <f>IF(Ejecucion4[[#This Row],[No. Solicitud]]="","",_xlfn.XLOOKUP(Ejecucion4[[#This Row],[No. Solicitud]],Registro!$B$8:$B$997,Registro!$H$8:$H$997,"Sin Dato",0))</f>
        <v>Curso 64</v>
      </c>
      <c r="E62" s="169">
        <v>43268</v>
      </c>
      <c r="F62" s="28">
        <v>8</v>
      </c>
      <c r="G62" s="30">
        <v>1</v>
      </c>
      <c r="H62" s="97">
        <v>46183</v>
      </c>
      <c r="I62" s="104">
        <v>0.33333333333333331</v>
      </c>
      <c r="J62" s="105">
        <v>0.66666666666666663</v>
      </c>
      <c r="K62" s="28"/>
    </row>
    <row r="63" spans="1:11" ht="28.8" customHeight="1">
      <c r="A63" s="30">
        <f>ROW() - ROW(Ejecucion4[[#Headers],[Correlativo]])</f>
        <v>59</v>
      </c>
      <c r="B63" s="30" t="s">
        <v>303</v>
      </c>
      <c r="C63" s="153" t="str">
        <f>IF(B63="","",HYPERLINK("#"&amp;"Registro!B"&amp;MATCH(B63,Registro!$B$8:$B$997,0)+7,"Ubicar en registro"))</f>
        <v>Ubicar en registro</v>
      </c>
      <c r="D63" s="55" t="str">
        <f>IF(Ejecucion4[[#This Row],[No. Solicitud]]="","",_xlfn.XLOOKUP(Ejecucion4[[#This Row],[No. Solicitud]],Registro!$B$8:$B$997,Registro!$H$8:$H$997,"Sin Dato",0))</f>
        <v>Curso 64</v>
      </c>
      <c r="E63" s="29">
        <v>43324</v>
      </c>
      <c r="F63" s="28">
        <v>9</v>
      </c>
      <c r="G63" s="30">
        <v>1</v>
      </c>
      <c r="H63" s="97">
        <v>46195</v>
      </c>
      <c r="I63" s="104">
        <v>0.33333333333333331</v>
      </c>
      <c r="J63" s="105">
        <v>0.66666666666666663</v>
      </c>
      <c r="K63" s="28"/>
    </row>
    <row r="64" spans="1:11" ht="28.8" customHeight="1">
      <c r="A64" s="30">
        <f>ROW() - ROW(Ejecucion4[[#Headers],[Correlativo]])</f>
        <v>60</v>
      </c>
      <c r="B64" s="30" t="s">
        <v>303</v>
      </c>
      <c r="C64" s="153" t="str">
        <f>IF(B64="","",HYPERLINK("#"&amp;"Registro!B"&amp;MATCH(B64,Registro!$B$8:$B$997,0)+7,"Ubicar en registro"))</f>
        <v>Ubicar en registro</v>
      </c>
      <c r="D64" s="55" t="str">
        <f>IF(Ejecucion4[[#This Row],[No. Solicitud]]="","",_xlfn.XLOOKUP(Ejecucion4[[#This Row],[No. Solicitud]],Registro!$B$8:$B$997,Registro!$H$8:$H$997,"Sin Dato",0))</f>
        <v>Curso 64</v>
      </c>
      <c r="E64" s="29">
        <v>43375</v>
      </c>
      <c r="F64" s="28">
        <v>10</v>
      </c>
      <c r="G64" s="30">
        <v>1</v>
      </c>
      <c r="H64" s="97">
        <v>46209</v>
      </c>
      <c r="I64" s="104">
        <v>0.33333333333333331</v>
      </c>
      <c r="J64" s="105">
        <v>0.66666666666666663</v>
      </c>
      <c r="K64" s="28"/>
    </row>
    <row r="65" spans="1:11" ht="28.8" customHeight="1">
      <c r="A65" s="30">
        <f>ROW() - ROW(Ejecucion4[[#Headers],[Correlativo]])</f>
        <v>61</v>
      </c>
      <c r="B65" s="32" t="s">
        <v>305</v>
      </c>
      <c r="C65" s="84" t="str">
        <f>IF(B65="","",HYPERLINK("#"&amp;"Registro!B"&amp;MATCH(B65,Registro!$B$8:$B$997,0)+7,"Ubicar en registro"))</f>
        <v>Ubicar en registro</v>
      </c>
      <c r="D65" s="55" t="str">
        <f>IF(Ejecucion4[[#This Row],[No. Solicitud]]="","",_xlfn.XLOOKUP(Ejecucion4[[#This Row],[No. Solicitud]],Registro!$B$8:$B$997,Registro!$H$8:$H$997,"Sin Dato",0))</f>
        <v>Curso 65</v>
      </c>
      <c r="E65" s="29">
        <v>42729</v>
      </c>
      <c r="F65" s="28">
        <v>1</v>
      </c>
      <c r="G65" s="30">
        <v>1</v>
      </c>
      <c r="H65" s="172">
        <v>46126</v>
      </c>
      <c r="I65" s="104">
        <v>0.33333333333333331</v>
      </c>
      <c r="J65" s="105">
        <v>0.66666666666666663</v>
      </c>
      <c r="K65" s="28"/>
    </row>
    <row r="66" spans="1:11" ht="28.8" customHeight="1">
      <c r="A66" s="30">
        <f>ROW() - ROW(Ejecucion4[[#Headers],[Correlativo]])</f>
        <v>62</v>
      </c>
      <c r="B66" s="32" t="s">
        <v>305</v>
      </c>
      <c r="C66" s="84" t="str">
        <f>IF(B66="","",HYPERLINK("#"&amp;"Registro!B"&amp;MATCH(B66,Registro!$B$8:$B$997,0)+7,"Ubicar en registro"))</f>
        <v>Ubicar en registro</v>
      </c>
      <c r="D66" s="55" t="str">
        <f>IF(Ejecucion4[[#This Row],[No. Solicitud]]="","",_xlfn.XLOOKUP(Ejecucion4[[#This Row],[No. Solicitud]],Registro!$B$8:$B$997,Registro!$H$8:$H$997,"Sin Dato",0))</f>
        <v>Curso 65</v>
      </c>
      <c r="E66" s="29">
        <v>42733</v>
      </c>
      <c r="F66" s="28">
        <v>2</v>
      </c>
      <c r="G66" s="30">
        <v>1</v>
      </c>
      <c r="H66" s="172">
        <v>46128</v>
      </c>
      <c r="I66" s="104">
        <v>0.33333333333333331</v>
      </c>
      <c r="J66" s="105">
        <v>0.66666666666666663</v>
      </c>
      <c r="K66" s="28"/>
    </row>
    <row r="67" spans="1:11" ht="28.8" customHeight="1">
      <c r="A67" s="30">
        <f>ROW() - ROW(Ejecucion4[[#Headers],[Correlativo]])</f>
        <v>63</v>
      </c>
      <c r="B67" s="32" t="s">
        <v>305</v>
      </c>
      <c r="C67" s="84" t="str">
        <f>IF(B67="","",HYPERLINK("#"&amp;"Registro!B"&amp;MATCH(B67,Registro!$B$8:$B$997,0)+7,"Ubicar en registro"))</f>
        <v>Ubicar en registro</v>
      </c>
      <c r="D67" s="55" t="str">
        <f>IF(Ejecucion4[[#This Row],[No. Solicitud]]="","",_xlfn.XLOOKUP(Ejecucion4[[#This Row],[No. Solicitud]],Registro!$B$8:$B$997,Registro!$H$8:$H$997,"Sin Dato",0))</f>
        <v>Curso 65</v>
      </c>
      <c r="E67" s="29">
        <v>42735</v>
      </c>
      <c r="F67" s="28">
        <v>3</v>
      </c>
      <c r="G67" s="30">
        <v>1</v>
      </c>
      <c r="H67" s="172">
        <v>46133</v>
      </c>
      <c r="I67" s="104">
        <v>0.33333333333333331</v>
      </c>
      <c r="J67" s="105">
        <v>0.66666666666666663</v>
      </c>
      <c r="K67" s="28"/>
    </row>
    <row r="68" spans="1:11" ht="28.8" customHeight="1">
      <c r="A68" s="30">
        <f>ROW() - ROW(Ejecucion4[[#Headers],[Correlativo]])</f>
        <v>64</v>
      </c>
      <c r="B68" s="32" t="s">
        <v>305</v>
      </c>
      <c r="C68" s="84" t="str">
        <f>IF(B68="","",HYPERLINK("#"&amp;"Registro!B"&amp;MATCH(B68,Registro!$B$8:$B$997,0)+7,"Ubicar en registro"))</f>
        <v>Ubicar en registro</v>
      </c>
      <c r="D68" s="55" t="str">
        <f>IF(Ejecucion4[[#This Row],[No. Solicitud]]="","",_xlfn.XLOOKUP(Ejecucion4[[#This Row],[No. Solicitud]],Registro!$B$8:$B$997,Registro!$H$8:$H$997,"Sin Dato",0))</f>
        <v>Curso 65</v>
      </c>
      <c r="E68" s="29">
        <v>42731</v>
      </c>
      <c r="F68" s="28">
        <v>4</v>
      </c>
      <c r="G68" s="30">
        <v>1</v>
      </c>
      <c r="H68" s="172">
        <v>46142</v>
      </c>
      <c r="I68" s="104">
        <v>0.33333333333333331</v>
      </c>
      <c r="J68" s="105">
        <v>0.66666666666666663</v>
      </c>
      <c r="K68" s="28"/>
    </row>
    <row r="69" spans="1:11" ht="28.8" customHeight="1">
      <c r="A69" s="30">
        <f>ROW() - ROW(Ejecucion4[[#Headers],[Correlativo]])</f>
        <v>65</v>
      </c>
      <c r="B69" s="32" t="s">
        <v>305</v>
      </c>
      <c r="C69" s="84" t="str">
        <f>IF(B69="","",HYPERLINK("#"&amp;"Registro!B"&amp;MATCH(B69,Registro!$B$8:$B$997,0)+7,"Ubicar en registro"))</f>
        <v>Ubicar en registro</v>
      </c>
      <c r="D69" s="55" t="str">
        <f>IF(Ejecucion4[[#This Row],[No. Solicitud]]="","",_xlfn.XLOOKUP(Ejecucion4[[#This Row],[No. Solicitud]],Registro!$B$8:$B$997,Registro!$H$8:$H$997,"Sin Dato",0))</f>
        <v>Curso 65</v>
      </c>
      <c r="E69" s="29">
        <v>42732</v>
      </c>
      <c r="F69" s="28">
        <v>5</v>
      </c>
      <c r="G69" s="30">
        <v>1</v>
      </c>
      <c r="H69" s="172">
        <v>46140</v>
      </c>
      <c r="I69" s="104">
        <v>0.33333333333333331</v>
      </c>
      <c r="J69" s="105">
        <v>0.66666666666666663</v>
      </c>
      <c r="K69" s="28"/>
    </row>
    <row r="70" spans="1:11" ht="28.8" customHeight="1">
      <c r="A70" s="30">
        <f>ROW() - ROW(Ejecucion4[[#Headers],[Correlativo]])</f>
        <v>66</v>
      </c>
      <c r="B70" s="40" t="s">
        <v>308</v>
      </c>
      <c r="C70" s="84" t="str">
        <f>IF(B70="","",HYPERLINK("#"&amp;"Registro!B"&amp;MATCH(B70,Registro!$B$8:$B$997,0)+7,"Ubicar en registro"))</f>
        <v>Ubicar en registro</v>
      </c>
      <c r="D70" s="55" t="str">
        <f>IF(Ejecucion4[[#This Row],[No. Solicitud]]="","",_xlfn.XLOOKUP(Ejecucion4[[#This Row],[No. Solicitud]],Registro!$B$8:$B$997,Registro!$H$8:$H$997,"Sin Dato",0))</f>
        <v>Curso 66</v>
      </c>
      <c r="E70" s="29">
        <v>42595</v>
      </c>
      <c r="F70" s="29">
        <v>1</v>
      </c>
      <c r="G70" s="30">
        <v>1</v>
      </c>
      <c r="H70" s="97">
        <v>46087</v>
      </c>
      <c r="I70" s="104">
        <v>0.45833333333333331</v>
      </c>
      <c r="J70" s="105">
        <v>0.58333333333333337</v>
      </c>
      <c r="K70" s="28"/>
    </row>
    <row r="71" spans="1:11" ht="28.8" customHeight="1">
      <c r="A71" s="30">
        <f>ROW() - ROW(Ejecucion4[[#Headers],[Correlativo]])</f>
        <v>67</v>
      </c>
      <c r="B71" s="40" t="s">
        <v>308</v>
      </c>
      <c r="C71" s="84" t="str">
        <f>IF(B71="","",HYPERLINK("#"&amp;"Registro!B"&amp;MATCH(B71,Registro!$B$8:$B$997,0)+7,"Ubicar en registro"))</f>
        <v>Ubicar en registro</v>
      </c>
      <c r="D71" s="55" t="str">
        <f>IF(Ejecucion4[[#This Row],[No. Solicitud]]="","",_xlfn.XLOOKUP(Ejecucion4[[#This Row],[No. Solicitud]],Registro!$B$8:$B$997,Registro!$H$8:$H$997,"Sin Dato",0))</f>
        <v>Curso 66</v>
      </c>
      <c r="E71" s="29">
        <v>42622</v>
      </c>
      <c r="F71" s="29">
        <v>2</v>
      </c>
      <c r="G71" s="30">
        <v>2</v>
      </c>
      <c r="H71" s="97">
        <v>46101</v>
      </c>
      <c r="I71" s="104">
        <v>0.45833333333333331</v>
      </c>
      <c r="J71" s="105">
        <v>0.58333333333333337</v>
      </c>
      <c r="K71" s="28"/>
    </row>
    <row r="72" spans="1:11" ht="28.8" customHeight="1">
      <c r="A72" s="30">
        <f>ROW() - ROW(Ejecucion4[[#Headers],[Correlativo]])</f>
        <v>68</v>
      </c>
      <c r="B72" s="40" t="s">
        <v>308</v>
      </c>
      <c r="C72" s="84" t="str">
        <f>IF(B72="","",HYPERLINK("#"&amp;"Registro!B"&amp;MATCH(B72,Registro!$B$8:$B$997,0)+7,"Ubicar en registro"))</f>
        <v>Ubicar en registro</v>
      </c>
      <c r="D72" s="55" t="str">
        <f>IF(Ejecucion4[[#This Row],[No. Solicitud]]="","",_xlfn.XLOOKUP(Ejecucion4[[#This Row],[No. Solicitud]],Registro!$B$8:$B$997,Registro!$H$8:$H$997,"Sin Dato",0))</f>
        <v>Curso 66</v>
      </c>
      <c r="E72" s="29">
        <v>42839</v>
      </c>
      <c r="F72" s="29">
        <v>3</v>
      </c>
      <c r="G72" s="30">
        <v>3</v>
      </c>
      <c r="H72" s="97">
        <v>46122</v>
      </c>
      <c r="I72" s="104">
        <v>0.45833333333333331</v>
      </c>
      <c r="J72" s="105">
        <v>0.58333333333333337</v>
      </c>
      <c r="K72" s="28"/>
    </row>
    <row r="73" spans="1:11" ht="28.8" customHeight="1">
      <c r="A73" s="30">
        <f>ROW() - ROW(Ejecucion4[[#Headers],[Correlativo]])</f>
        <v>69</v>
      </c>
      <c r="B73" s="40" t="s">
        <v>308</v>
      </c>
      <c r="C73" s="84" t="str">
        <f>IF(B73="","",HYPERLINK("#"&amp;"Registro!B"&amp;MATCH(B73,Registro!$B$8:$B$997,0)+7,"Ubicar en registro"))</f>
        <v>Ubicar en registro</v>
      </c>
      <c r="D73" s="55" t="str">
        <f>IF(Ejecucion4[[#This Row],[No. Solicitud]]="","",_xlfn.XLOOKUP(Ejecucion4[[#This Row],[No. Solicitud]],Registro!$B$8:$B$997,Registro!$H$8:$H$997,"Sin Dato",0))</f>
        <v>Curso 66</v>
      </c>
      <c r="E73" s="29">
        <v>42986</v>
      </c>
      <c r="F73" s="29">
        <v>4</v>
      </c>
      <c r="G73" s="30">
        <v>4</v>
      </c>
      <c r="H73" s="97">
        <v>46136</v>
      </c>
      <c r="I73" s="104">
        <v>0.45833333333333331</v>
      </c>
      <c r="J73" s="105">
        <v>0.58333333333333337</v>
      </c>
      <c r="K73" s="28"/>
    </row>
    <row r="74" spans="1:11" ht="28.8" customHeight="1">
      <c r="A74" s="30">
        <f>ROW() - ROW(Ejecucion4[[#Headers],[Correlativo]])</f>
        <v>70</v>
      </c>
      <c r="B74" s="40" t="s">
        <v>308</v>
      </c>
      <c r="C74" s="84" t="str">
        <f>IF(B74="","",HYPERLINK("#"&amp;"Registro!B"&amp;MATCH(B74,Registro!$B$8:$B$997,0)+7,"Ubicar en registro"))</f>
        <v>Ubicar en registro</v>
      </c>
      <c r="D74" s="55" t="str">
        <f>IF(Ejecucion4[[#This Row],[No. Solicitud]]="","",_xlfn.XLOOKUP(Ejecucion4[[#This Row],[No. Solicitud]],Registro!$B$8:$B$997,Registro!$H$8:$H$997,"Sin Dato",0))</f>
        <v>Curso 66</v>
      </c>
      <c r="E74" s="29">
        <v>43037</v>
      </c>
      <c r="F74" s="29">
        <v>5</v>
      </c>
      <c r="G74" s="30">
        <v>5</v>
      </c>
      <c r="H74" s="97">
        <v>46150</v>
      </c>
      <c r="I74" s="104">
        <v>0.45833333333333331</v>
      </c>
      <c r="J74" s="105">
        <v>0.58333333333333337</v>
      </c>
      <c r="K74" s="28"/>
    </row>
    <row r="75" spans="1:11" ht="28.8" customHeight="1">
      <c r="A75" s="30">
        <f>ROW() - ROW(Ejecucion4[[#Headers],[Correlativo]])</f>
        <v>71</v>
      </c>
      <c r="B75" s="40" t="s">
        <v>308</v>
      </c>
      <c r="C75" s="84" t="str">
        <f>IF(B75="","",HYPERLINK("#"&amp;"Registro!B"&amp;MATCH(B75,Registro!$B$8:$B$997,0)+7,"Ubicar en registro"))</f>
        <v>Ubicar en registro</v>
      </c>
      <c r="D75" s="55" t="str">
        <f>IF(Ejecucion4[[#This Row],[No. Solicitud]]="","",_xlfn.XLOOKUP(Ejecucion4[[#This Row],[No. Solicitud]],Registro!$B$8:$B$997,Registro!$H$8:$H$997,"Sin Dato",0))</f>
        <v>Curso 66</v>
      </c>
      <c r="E75" s="29">
        <v>43170</v>
      </c>
      <c r="F75" s="29">
        <v>6</v>
      </c>
      <c r="G75" s="30">
        <v>6</v>
      </c>
      <c r="H75" s="97">
        <v>46164</v>
      </c>
      <c r="I75" s="104">
        <v>0.45833333333333331</v>
      </c>
      <c r="J75" s="105">
        <v>0.58333333333333337</v>
      </c>
      <c r="K75" s="28"/>
    </row>
    <row r="76" spans="1:11" ht="28.8" customHeight="1">
      <c r="A76" s="30">
        <f>ROW() - ROW(Ejecucion4[[#Headers],[Correlativo]])</f>
        <v>72</v>
      </c>
      <c r="B76" s="40" t="s">
        <v>308</v>
      </c>
      <c r="C76" s="84" t="str">
        <f>IF(B76="","",HYPERLINK("#"&amp;"Registro!B"&amp;MATCH(B76,Registro!$B$8:$B$997,0)+7,"Ubicar en registro"))</f>
        <v>Ubicar en registro</v>
      </c>
      <c r="D76" s="55" t="str">
        <f>IF(Ejecucion4[[#This Row],[No. Solicitud]]="","",_xlfn.XLOOKUP(Ejecucion4[[#This Row],[No. Solicitud]],Registro!$B$8:$B$997,Registro!$H$8:$H$997,"Sin Dato",0))</f>
        <v>Curso 66</v>
      </c>
      <c r="E76" s="29">
        <v>43191</v>
      </c>
      <c r="F76" s="29">
        <v>7</v>
      </c>
      <c r="G76" s="30">
        <v>7</v>
      </c>
      <c r="H76" s="97">
        <v>46176</v>
      </c>
      <c r="I76" s="104">
        <v>0.45833333333333331</v>
      </c>
      <c r="J76" s="105">
        <v>0.58333333333333337</v>
      </c>
      <c r="K76" s="28"/>
    </row>
    <row r="77" spans="1:11" ht="28.8" customHeight="1">
      <c r="A77" s="30">
        <f>ROW() - ROW(Ejecucion4[[#Headers],[Correlativo]])</f>
        <v>73</v>
      </c>
      <c r="B77" s="40" t="s">
        <v>308</v>
      </c>
      <c r="C77" s="84" t="str">
        <f>IF(B77="","",HYPERLINK("#"&amp;"Registro!B"&amp;MATCH(B77,Registro!$B$8:$B$997,0)+7,"Ubicar en registro"))</f>
        <v>Ubicar en registro</v>
      </c>
      <c r="D77" s="55" t="str">
        <f>IF(Ejecucion4[[#This Row],[No. Solicitud]]="","",_xlfn.XLOOKUP(Ejecucion4[[#This Row],[No. Solicitud]],Registro!$B$8:$B$997,Registro!$H$8:$H$997,"Sin Dato",0))</f>
        <v>Curso 66</v>
      </c>
      <c r="E77" s="29">
        <v>43299</v>
      </c>
      <c r="F77" s="29">
        <v>8</v>
      </c>
      <c r="G77" s="30">
        <v>8</v>
      </c>
      <c r="H77" s="97">
        <v>46188</v>
      </c>
      <c r="I77" s="104">
        <v>0.45833333333333331</v>
      </c>
      <c r="J77" s="105">
        <v>0.58333333333333337</v>
      </c>
      <c r="K77" s="28"/>
    </row>
    <row r="78" spans="1:11" ht="28.8" customHeight="1">
      <c r="A78" s="30">
        <f>ROW() - ROW(Ejecucion4[[#Headers],[Correlativo]])</f>
        <v>74</v>
      </c>
      <c r="B78" s="40" t="s">
        <v>308</v>
      </c>
      <c r="C78" s="84" t="str">
        <f>IF(B78="","",HYPERLINK("#"&amp;"Registro!B"&amp;MATCH(B78,Registro!$B$8:$B$997,0)+7,"Ubicar en registro"))</f>
        <v>Ubicar en registro</v>
      </c>
      <c r="D78" s="55" t="str">
        <f>IF(Ejecucion4[[#This Row],[No. Solicitud]]="","",_xlfn.XLOOKUP(Ejecucion4[[#This Row],[No. Solicitud]],Registro!$B$8:$B$997,Registro!$H$8:$H$997,"Sin Dato",0))</f>
        <v>Curso 66</v>
      </c>
      <c r="E78" s="29">
        <v>43329</v>
      </c>
      <c r="F78" s="29">
        <v>9</v>
      </c>
      <c r="G78" s="30">
        <v>9</v>
      </c>
      <c r="H78" s="97">
        <v>46199</v>
      </c>
      <c r="I78" s="104">
        <v>0.45833333333333331</v>
      </c>
      <c r="J78" s="105">
        <v>0.58333333333333337</v>
      </c>
      <c r="K78" s="28"/>
    </row>
    <row r="79" spans="1:11" ht="28.8" customHeight="1">
      <c r="A79" s="30">
        <f>ROW() - ROW(Ejecucion4[[#Headers],[Correlativo]])</f>
        <v>75</v>
      </c>
      <c r="B79" s="40" t="s">
        <v>308</v>
      </c>
      <c r="C79" s="84" t="str">
        <f>IF(B79="","",HYPERLINK("#"&amp;"Registro!B"&amp;MATCH(B79,Registro!$B$8:$B$997,0)+7,"Ubicar en registro"))</f>
        <v>Ubicar en registro</v>
      </c>
      <c r="D79" s="55" t="str">
        <f>IF(Ejecucion4[[#This Row],[No. Solicitud]]="","",_xlfn.XLOOKUP(Ejecucion4[[#This Row],[No. Solicitud]],Registro!$B$8:$B$997,Registro!$H$8:$H$997,"Sin Dato",0))</f>
        <v>Curso 66</v>
      </c>
      <c r="E79" s="29">
        <v>43459</v>
      </c>
      <c r="F79" s="29">
        <v>10</v>
      </c>
      <c r="G79" s="30">
        <v>10</v>
      </c>
      <c r="H79" s="97">
        <v>46212</v>
      </c>
      <c r="I79" s="104">
        <v>0.45833333333333331</v>
      </c>
      <c r="J79" s="105">
        <v>0.58333333333333337</v>
      </c>
      <c r="K79" s="28"/>
    </row>
    <row r="80" spans="1:11" ht="28.8" customHeight="1">
      <c r="A80" s="30">
        <f>ROW() - ROW(Ejecucion4[[#Headers],[Correlativo]])</f>
        <v>76</v>
      </c>
      <c r="B80" s="32" t="s">
        <v>311</v>
      </c>
      <c r="C80" s="84" t="str">
        <f>IF(B80="","",HYPERLINK("#"&amp;"Registro!B"&amp;MATCH(B80,Registro!$B$8:$B$997,0)+7,"Ubicar en registro"))</f>
        <v>Ubicar en registro</v>
      </c>
      <c r="D80" s="55" t="str">
        <f>IF(Ejecucion4[[#This Row],[No. Solicitud]]="","",_xlfn.XLOOKUP(Ejecucion4[[#This Row],[No. Solicitud]],Registro!$B$8:$B$997,Registro!$H$8:$H$997,"Sin Dato",0))</f>
        <v>Curso 67</v>
      </c>
      <c r="E80" s="29">
        <v>42588</v>
      </c>
      <c r="F80" s="28">
        <v>1</v>
      </c>
      <c r="G80" s="30">
        <v>1</v>
      </c>
      <c r="H80" s="97">
        <v>46085</v>
      </c>
      <c r="I80" s="104">
        <v>0.33333333333333331</v>
      </c>
      <c r="J80" s="105">
        <v>0.5</v>
      </c>
      <c r="K80" s="28"/>
    </row>
    <row r="81" spans="1:11" ht="28.8" customHeight="1">
      <c r="A81" s="30">
        <f>ROW() - ROW(Ejecucion4[[#Headers],[Correlativo]])</f>
        <v>77</v>
      </c>
      <c r="B81" s="32" t="s">
        <v>311</v>
      </c>
      <c r="C81" s="84" t="str">
        <f>IF(B81="","",HYPERLINK("#"&amp;"Registro!B"&amp;MATCH(B81,Registro!$B$8:$B$997,0)+7,"Ubicar en registro"))</f>
        <v>Ubicar en registro</v>
      </c>
      <c r="D81" s="55" t="str">
        <f>IF(Ejecucion4[[#This Row],[No. Solicitud]]="","",_xlfn.XLOOKUP(Ejecucion4[[#This Row],[No. Solicitud]],Registro!$B$8:$B$997,Registro!$H$8:$H$997,"Sin Dato",0))</f>
        <v>Curso 67</v>
      </c>
      <c r="E81" s="29">
        <v>42615</v>
      </c>
      <c r="F81" s="28">
        <v>2</v>
      </c>
      <c r="G81" s="30">
        <v>1</v>
      </c>
      <c r="H81" s="97">
        <v>46099</v>
      </c>
      <c r="I81" s="104">
        <v>0.33333333333333331</v>
      </c>
      <c r="J81" s="105">
        <v>0.5</v>
      </c>
      <c r="K81" s="28"/>
    </row>
    <row r="82" spans="1:11" ht="28.8" customHeight="1">
      <c r="A82" s="30">
        <f>ROW() - ROW(Ejecucion4[[#Headers],[Correlativo]])</f>
        <v>78</v>
      </c>
      <c r="B82" s="32" t="s">
        <v>311</v>
      </c>
      <c r="C82" s="84" t="str">
        <f>IF(B82="","",HYPERLINK("#"&amp;"Registro!B"&amp;MATCH(B82,Registro!$B$8:$B$997,0)+7,"Ubicar en registro"))</f>
        <v>Ubicar en registro</v>
      </c>
      <c r="D82" s="55" t="str">
        <f>IF(Ejecucion4[[#This Row],[No. Solicitud]]="","",_xlfn.XLOOKUP(Ejecucion4[[#This Row],[No. Solicitud]],Registro!$B$8:$B$997,Registro!$H$8:$H$997,"Sin Dato",0))</f>
        <v>Curso 67</v>
      </c>
      <c r="E82" s="29">
        <v>42823</v>
      </c>
      <c r="F82" s="28">
        <v>3</v>
      </c>
      <c r="G82" s="30">
        <v>1</v>
      </c>
      <c r="H82" s="97">
        <v>46120</v>
      </c>
      <c r="I82" s="104">
        <v>0.33333333333333331</v>
      </c>
      <c r="J82" s="105">
        <v>0.5</v>
      </c>
      <c r="K82" s="28"/>
    </row>
    <row r="83" spans="1:11" ht="28.8" customHeight="1">
      <c r="A83" s="30">
        <f>ROW() - ROW(Ejecucion4[[#Headers],[Correlativo]])</f>
        <v>79</v>
      </c>
      <c r="B83" s="32" t="s">
        <v>311</v>
      </c>
      <c r="C83" s="84" t="str">
        <f>IF(B83="","",HYPERLINK("#"&amp;"Registro!B"&amp;MATCH(B83,Registro!$B$8:$B$997,0)+7,"Ubicar en registro"))</f>
        <v>Ubicar en registro</v>
      </c>
      <c r="D83" s="55" t="str">
        <f>IF(Ejecucion4[[#This Row],[No. Solicitud]]="","",_xlfn.XLOOKUP(Ejecucion4[[#This Row],[No. Solicitud]],Registro!$B$8:$B$997,Registro!$H$8:$H$997,"Sin Dato",0))</f>
        <v>Curso 67</v>
      </c>
      <c r="E83" s="29">
        <v>42895</v>
      </c>
      <c r="F83" s="28">
        <v>4</v>
      </c>
      <c r="G83" s="30">
        <v>1</v>
      </c>
      <c r="H83" s="97">
        <v>46134</v>
      </c>
      <c r="I83" s="104">
        <v>0.33333333333333331</v>
      </c>
      <c r="J83" s="105">
        <v>0.5</v>
      </c>
      <c r="K83" s="28"/>
    </row>
    <row r="84" spans="1:11" ht="28.8" customHeight="1">
      <c r="A84" s="30">
        <f>ROW() - ROW(Ejecucion4[[#Headers],[Correlativo]])</f>
        <v>80</v>
      </c>
      <c r="B84" s="32" t="s">
        <v>311</v>
      </c>
      <c r="C84" s="84" t="str">
        <f>IF(B84="","",HYPERLINK("#"&amp;"Registro!B"&amp;MATCH(B84,Registro!$B$8:$B$997,0)+7,"Ubicar en registro"))</f>
        <v>Ubicar en registro</v>
      </c>
      <c r="D84" s="55" t="str">
        <f>IF(Ejecucion4[[#This Row],[No. Solicitud]]="","",_xlfn.XLOOKUP(Ejecucion4[[#This Row],[No. Solicitud]],Registro!$B$8:$B$997,Registro!$H$8:$H$997,"Sin Dato",0))</f>
        <v>Curso 67</v>
      </c>
      <c r="E84" s="29">
        <v>43028</v>
      </c>
      <c r="F84" s="28">
        <v>5</v>
      </c>
      <c r="G84" s="30">
        <v>1</v>
      </c>
      <c r="H84" s="97">
        <v>46148</v>
      </c>
      <c r="I84" s="104">
        <v>0.33333333333333331</v>
      </c>
      <c r="J84" s="105">
        <v>0.5</v>
      </c>
      <c r="K84" s="28"/>
    </row>
    <row r="85" spans="1:11" ht="28.8" customHeight="1">
      <c r="A85" s="30">
        <f>ROW() - ROW(Ejecucion4[[#Headers],[Correlativo]])</f>
        <v>81</v>
      </c>
      <c r="B85" s="32" t="s">
        <v>311</v>
      </c>
      <c r="C85" s="84" t="str">
        <f>IF(B85="","",HYPERLINK("#"&amp;"Registro!B"&amp;MATCH(B85,Registro!$B$8:$B$997,0)+7,"Ubicar en registro"))</f>
        <v>Ubicar en registro</v>
      </c>
      <c r="D85" s="55" t="str">
        <f>IF(Ejecucion4[[#This Row],[No. Solicitud]]="","",_xlfn.XLOOKUP(Ejecucion4[[#This Row],[No. Solicitud]],Registro!$B$8:$B$997,Registro!$H$8:$H$997,"Sin Dato",0))</f>
        <v>Curso 67</v>
      </c>
      <c r="E85" s="29">
        <v>43161</v>
      </c>
      <c r="F85" s="28">
        <v>6</v>
      </c>
      <c r="G85" s="30">
        <v>1</v>
      </c>
      <c r="H85" s="97">
        <v>46162</v>
      </c>
      <c r="I85" s="104">
        <v>0.33333333333333331</v>
      </c>
      <c r="J85" s="105">
        <v>0.5</v>
      </c>
      <c r="K85" s="28"/>
    </row>
    <row r="86" spans="1:11" ht="28.8" customHeight="1">
      <c r="A86" s="30">
        <f>ROW() - ROW(Ejecucion4[[#Headers],[Correlativo]])</f>
        <v>82</v>
      </c>
      <c r="B86" s="32" t="s">
        <v>311</v>
      </c>
      <c r="C86" s="84" t="str">
        <f>IF(B86="","",HYPERLINK("#"&amp;"Registro!B"&amp;MATCH(B86,Registro!$B$8:$B$997,0)+7,"Ubicar en registro"))</f>
        <v>Ubicar en registro</v>
      </c>
      <c r="D86" s="55" t="str">
        <f>IF(Ejecucion4[[#This Row],[No. Solicitud]]="","",_xlfn.XLOOKUP(Ejecucion4[[#This Row],[No. Solicitud]],Registro!$B$8:$B$997,Registro!$H$8:$H$997,"Sin Dato",0))</f>
        <v>Curso 67</v>
      </c>
      <c r="E86" s="29">
        <v>43182</v>
      </c>
      <c r="F86" s="28">
        <v>7</v>
      </c>
      <c r="G86" s="30">
        <v>1</v>
      </c>
      <c r="H86" s="97">
        <v>46174</v>
      </c>
      <c r="I86" s="104">
        <v>0.33333333333333331</v>
      </c>
      <c r="J86" s="105">
        <v>0.5</v>
      </c>
      <c r="K86" s="28"/>
    </row>
    <row r="87" spans="1:11" ht="28.8" customHeight="1">
      <c r="A87" s="30">
        <f>ROW() - ROW(Ejecucion4[[#Headers],[Correlativo]])</f>
        <v>83</v>
      </c>
      <c r="B87" s="32" t="s">
        <v>311</v>
      </c>
      <c r="C87" s="84" t="str">
        <f>IF(B87="","",HYPERLINK("#"&amp;"Registro!B"&amp;MATCH(B87,Registro!$B$8:$B$997,0)+7,"Ubicar en registro"))</f>
        <v>Ubicar en registro</v>
      </c>
      <c r="D87" s="55" t="str">
        <f>IF(Ejecucion4[[#This Row],[No. Solicitud]]="","",_xlfn.XLOOKUP(Ejecucion4[[#This Row],[No. Solicitud]],Registro!$B$8:$B$997,Registro!$H$8:$H$997,"Sin Dato",0))</f>
        <v>Curso 67</v>
      </c>
      <c r="E87" s="29">
        <v>43269</v>
      </c>
      <c r="F87" s="28">
        <v>8</v>
      </c>
      <c r="G87" s="30">
        <v>1</v>
      </c>
      <c r="H87" s="97">
        <v>46184</v>
      </c>
      <c r="I87" s="104">
        <v>0.33333333333333331</v>
      </c>
      <c r="J87" s="105">
        <v>0.5</v>
      </c>
      <c r="K87" s="28"/>
    </row>
    <row r="88" spans="1:11" ht="28.8" customHeight="1">
      <c r="A88" s="30">
        <f>ROW() - ROW(Ejecucion4[[#Headers],[Correlativo]])</f>
        <v>84</v>
      </c>
      <c r="B88" s="32" t="s">
        <v>311</v>
      </c>
      <c r="C88" s="84" t="str">
        <f>IF(B88="","",HYPERLINK("#"&amp;"Registro!B"&amp;MATCH(B88,Registro!$B$8:$B$997,0)+7,"Ubicar en registro"))</f>
        <v>Ubicar en registro</v>
      </c>
      <c r="D88" s="55" t="str">
        <f>IF(Ejecucion4[[#This Row],[No. Solicitud]]="","",_xlfn.XLOOKUP(Ejecucion4[[#This Row],[No. Solicitud]],Registro!$B$8:$B$997,Registro!$H$8:$H$997,"Sin Dato",0))</f>
        <v>Curso 67</v>
      </c>
      <c r="E88" s="29">
        <v>43325</v>
      </c>
      <c r="F88" s="28">
        <v>9</v>
      </c>
      <c r="G88" s="30">
        <v>1</v>
      </c>
      <c r="H88" s="97">
        <v>46197</v>
      </c>
      <c r="I88" s="104">
        <v>0.33333333333333331</v>
      </c>
      <c r="J88" s="105">
        <v>0.5</v>
      </c>
      <c r="K88" s="28"/>
    </row>
    <row r="89" spans="1:11" ht="28.8" customHeight="1">
      <c r="A89" s="30">
        <f>ROW() - ROW(Ejecucion4[[#Headers],[Correlativo]])</f>
        <v>85</v>
      </c>
      <c r="B89" s="32" t="s">
        <v>311</v>
      </c>
      <c r="C89" s="84" t="str">
        <f>IF(B89="","",HYPERLINK("#"&amp;"Registro!B"&amp;MATCH(B89,Registro!$B$8:$B$997,0)+7,"Ubicar en registro"))</f>
        <v>Ubicar en registro</v>
      </c>
      <c r="D89" s="55" t="str">
        <f>IF(Ejecucion4[[#This Row],[No. Solicitud]]="","",_xlfn.XLOOKUP(Ejecucion4[[#This Row],[No. Solicitud]],Registro!$B$8:$B$997,Registro!$H$8:$H$997,"Sin Dato",0))</f>
        <v>Curso 67</v>
      </c>
      <c r="E89" s="169">
        <v>43454</v>
      </c>
      <c r="F89" s="171">
        <v>10</v>
      </c>
      <c r="G89" s="30">
        <v>1</v>
      </c>
      <c r="H89" s="97">
        <v>46210</v>
      </c>
      <c r="I89" s="104">
        <v>0.33333333333333331</v>
      </c>
      <c r="J89" s="105">
        <v>0.5</v>
      </c>
      <c r="K89" s="28"/>
    </row>
    <row r="90" spans="1:11" ht="28.8" customHeight="1">
      <c r="A90" s="30">
        <f>ROW() - ROW(Ejecucion4[[#Headers],[Correlativo]])</f>
        <v>86</v>
      </c>
      <c r="B90" s="40" t="s">
        <v>313</v>
      </c>
      <c r="C90" s="84" t="str">
        <f>IF(B90="","",HYPERLINK("#"&amp;"Registro!B"&amp;MATCH(B90,Registro!$B$8:$B$997,0)+7,"Ubicar en registro"))</f>
        <v>Ubicar en registro</v>
      </c>
      <c r="D90" s="55" t="str">
        <f>IF(Ejecucion4[[#This Row],[No. Solicitud]]="","",_xlfn.XLOOKUP(Ejecucion4[[#This Row],[No. Solicitud]],Registro!$B$8:$B$997,Registro!$H$8:$H$997,"Sin Dato",0))</f>
        <v>Curso 68</v>
      </c>
      <c r="E90" s="29">
        <v>42589</v>
      </c>
      <c r="F90" s="29">
        <v>1</v>
      </c>
      <c r="G90" s="30">
        <v>1</v>
      </c>
      <c r="H90" s="97">
        <v>46085</v>
      </c>
      <c r="I90" s="104">
        <v>0.58333333333333337</v>
      </c>
      <c r="J90" s="105">
        <v>0.66666666666666663</v>
      </c>
      <c r="K90" s="28"/>
    </row>
    <row r="91" spans="1:11" ht="28.8" customHeight="1">
      <c r="A91" s="30">
        <f>ROW() - ROW(Ejecucion4[[#Headers],[Correlativo]])</f>
        <v>87</v>
      </c>
      <c r="B91" s="40" t="s">
        <v>313</v>
      </c>
      <c r="C91" s="153" t="str">
        <f>IF(B91="","",HYPERLINK("#"&amp;"Registro!B"&amp;MATCH(B91,Registro!$B$8:$B$997,0)+7,"Ubicar en registro"))</f>
        <v>Ubicar en registro</v>
      </c>
      <c r="D91" s="55" t="str">
        <f>IF(Ejecucion4[[#This Row],[No. Solicitud]]="","",_xlfn.XLOOKUP(Ejecucion4[[#This Row],[No. Solicitud]],Registro!$B$8:$B$997,Registro!$H$8:$H$997,"Sin Dato",0))</f>
        <v>Curso 68</v>
      </c>
      <c r="E91" s="29">
        <v>42619</v>
      </c>
      <c r="F91" s="29">
        <v>2</v>
      </c>
      <c r="G91" s="30">
        <v>1</v>
      </c>
      <c r="H91" s="97">
        <v>46099</v>
      </c>
      <c r="I91" s="104">
        <v>0.5</v>
      </c>
      <c r="J91" s="105">
        <v>0.66666666666666663</v>
      </c>
      <c r="K91" s="28"/>
    </row>
    <row r="92" spans="1:11" ht="28.8" customHeight="1">
      <c r="A92" s="30">
        <f>ROW() - ROW(Ejecucion4[[#Headers],[Correlativo]])</f>
        <v>88</v>
      </c>
      <c r="B92" s="40" t="s">
        <v>313</v>
      </c>
      <c r="C92" s="153" t="str">
        <f>IF(B92="","",HYPERLINK("#"&amp;"Registro!B"&amp;MATCH(B92,Registro!$B$8:$B$997,0)+7,"Ubicar en registro"))</f>
        <v>Ubicar en registro</v>
      </c>
      <c r="D92" s="55" t="str">
        <f>IF(Ejecucion4[[#This Row],[No. Solicitud]]="","",_xlfn.XLOOKUP(Ejecucion4[[#This Row],[No. Solicitud]],Registro!$B$8:$B$997,Registro!$H$8:$H$997,"Sin Dato",0))</f>
        <v>Curso 68</v>
      </c>
      <c r="E92" s="29">
        <v>42824</v>
      </c>
      <c r="F92" s="29">
        <v>3</v>
      </c>
      <c r="G92" s="30">
        <v>1</v>
      </c>
      <c r="H92" s="97">
        <v>46120</v>
      </c>
      <c r="I92" s="104">
        <v>0.5</v>
      </c>
      <c r="J92" s="105">
        <v>0.66666666666666663</v>
      </c>
      <c r="K92" s="28"/>
    </row>
    <row r="93" spans="1:11" ht="28.8" customHeight="1">
      <c r="A93" s="30">
        <f>ROW() - ROW(Ejecucion4[[#Headers],[Correlativo]])</f>
        <v>89</v>
      </c>
      <c r="B93" s="40" t="s">
        <v>313</v>
      </c>
      <c r="C93" s="153" t="str">
        <f>IF(B93="","",HYPERLINK("#"&amp;"Registro!B"&amp;MATCH(B93,Registro!$B$8:$B$997,0)+7,"Ubicar en registro"))</f>
        <v>Ubicar en registro</v>
      </c>
      <c r="D93" s="55" t="str">
        <f>IF(Ejecucion4[[#This Row],[No. Solicitud]]="","",_xlfn.XLOOKUP(Ejecucion4[[#This Row],[No. Solicitud]],Registro!$B$8:$B$997,Registro!$H$8:$H$997,"Sin Dato",0))</f>
        <v>Curso 68</v>
      </c>
      <c r="E93" s="29">
        <v>42962</v>
      </c>
      <c r="F93" s="29">
        <v>4</v>
      </c>
      <c r="G93" s="30">
        <v>1</v>
      </c>
      <c r="H93" s="97">
        <v>46134</v>
      </c>
      <c r="I93" s="104">
        <v>0.5</v>
      </c>
      <c r="J93" s="105">
        <v>0.66666666666666663</v>
      </c>
      <c r="K93" s="28"/>
    </row>
    <row r="94" spans="1:11" ht="28.8" customHeight="1">
      <c r="A94" s="30">
        <f>ROW() - ROW(Ejecucion4[[#Headers],[Correlativo]])</f>
        <v>90</v>
      </c>
      <c r="B94" s="40" t="s">
        <v>313</v>
      </c>
      <c r="C94" s="153" t="str">
        <f>IF(B94="","",HYPERLINK("#"&amp;"Registro!B"&amp;MATCH(B94,Registro!$B$8:$B$997,0)+7,"Ubicar en registro"))</f>
        <v>Ubicar en registro</v>
      </c>
      <c r="D94" s="55" t="str">
        <f>IF(Ejecucion4[[#This Row],[No. Solicitud]]="","",_xlfn.XLOOKUP(Ejecucion4[[#This Row],[No. Solicitud]],Registro!$B$8:$B$997,Registro!$H$8:$H$997,"Sin Dato",0))</f>
        <v>Curso 68</v>
      </c>
      <c r="E94" s="29">
        <v>43030</v>
      </c>
      <c r="F94" s="29">
        <v>5</v>
      </c>
      <c r="G94" s="30">
        <v>1</v>
      </c>
      <c r="H94" s="97">
        <v>46148</v>
      </c>
      <c r="I94" s="104">
        <v>0.5</v>
      </c>
      <c r="J94" s="105">
        <v>0.66666666666666663</v>
      </c>
      <c r="K94" s="28"/>
    </row>
    <row r="95" spans="1:11" ht="28.8" customHeight="1">
      <c r="A95" s="30">
        <f>ROW() - ROW(Ejecucion4[[#Headers],[Correlativo]])</f>
        <v>91</v>
      </c>
      <c r="B95" s="40" t="s">
        <v>313</v>
      </c>
      <c r="C95" s="153" t="str">
        <f>IF(B95="","",HYPERLINK("#"&amp;"Registro!B"&amp;MATCH(B95,Registro!$B$8:$B$997,0)+7,"Ubicar en registro"))</f>
        <v>Ubicar en registro</v>
      </c>
      <c r="D95" s="55" t="str">
        <f>IF(Ejecucion4[[#This Row],[No. Solicitud]]="","",_xlfn.XLOOKUP(Ejecucion4[[#This Row],[No. Solicitud]],Registro!$B$8:$B$997,Registro!$H$8:$H$997,"Sin Dato",0))</f>
        <v>Curso 68</v>
      </c>
      <c r="E95" s="29">
        <v>43163</v>
      </c>
      <c r="F95" s="29">
        <v>6</v>
      </c>
      <c r="G95" s="30">
        <v>1</v>
      </c>
      <c r="H95" s="97">
        <v>46162</v>
      </c>
      <c r="I95" s="104">
        <v>0.5</v>
      </c>
      <c r="J95" s="105">
        <v>0.66666666666666663</v>
      </c>
      <c r="K95" s="28"/>
    </row>
    <row r="96" spans="1:11" ht="28.8" customHeight="1">
      <c r="A96" s="30">
        <f>ROW() - ROW(Ejecucion4[[#Headers],[Correlativo]])</f>
        <v>92</v>
      </c>
      <c r="B96" s="40" t="s">
        <v>313</v>
      </c>
      <c r="C96" s="153" t="str">
        <f>IF(B96="","",HYPERLINK("#"&amp;"Registro!B"&amp;MATCH(B96,Registro!$B$8:$B$997,0)+7,"Ubicar en registro"))</f>
        <v>Ubicar en registro</v>
      </c>
      <c r="D96" s="55" t="str">
        <f>IF(Ejecucion4[[#This Row],[No. Solicitud]]="","",_xlfn.XLOOKUP(Ejecucion4[[#This Row],[No. Solicitud]],Registro!$B$8:$B$997,Registro!$H$8:$H$997,"Sin Dato",0))</f>
        <v>Curso 68</v>
      </c>
      <c r="E96" s="29">
        <v>43186</v>
      </c>
      <c r="F96" s="29">
        <v>7</v>
      </c>
      <c r="G96" s="30">
        <v>1</v>
      </c>
      <c r="H96" s="97">
        <v>46174</v>
      </c>
      <c r="I96" s="104">
        <v>0.5</v>
      </c>
      <c r="J96" s="105">
        <v>0.66666666666666663</v>
      </c>
      <c r="K96" s="28"/>
    </row>
    <row r="97" spans="1:11" ht="28.8" customHeight="1">
      <c r="A97" s="30">
        <f>ROW() - ROW(Ejecucion4[[#Headers],[Correlativo]])</f>
        <v>93</v>
      </c>
      <c r="B97" s="40" t="s">
        <v>313</v>
      </c>
      <c r="C97" s="153" t="str">
        <f>IF(B97="","",HYPERLINK("#"&amp;"Registro!B"&amp;MATCH(B97,Registro!$B$8:$B$997,0)+7,"Ubicar en registro"))</f>
        <v>Ubicar en registro</v>
      </c>
      <c r="D97" s="55" t="str">
        <f>IF(Ejecucion4[[#This Row],[No. Solicitud]]="","",_xlfn.XLOOKUP(Ejecucion4[[#This Row],[No. Solicitud]],Registro!$B$8:$B$997,Registro!$H$8:$H$997,"Sin Dato",0))</f>
        <v>Curso 68</v>
      </c>
      <c r="E97" s="29">
        <v>43270</v>
      </c>
      <c r="F97" s="29">
        <v>8</v>
      </c>
      <c r="G97" s="30">
        <v>1</v>
      </c>
      <c r="H97" s="97">
        <v>46184</v>
      </c>
      <c r="I97" s="104">
        <v>0.5</v>
      </c>
      <c r="J97" s="105">
        <v>0.66666666666666663</v>
      </c>
      <c r="K97" s="28"/>
    </row>
    <row r="98" spans="1:11" ht="28.8" customHeight="1">
      <c r="A98" s="30">
        <f>ROW() - ROW(Ejecucion4[[#Headers],[Correlativo]])</f>
        <v>94</v>
      </c>
      <c r="B98" s="40" t="s">
        <v>313</v>
      </c>
      <c r="C98" s="153" t="str">
        <f>IF(B98="","",HYPERLINK("#"&amp;"Registro!B"&amp;MATCH(B98,Registro!$B$8:$B$997,0)+7,"Ubicar en registro"))</f>
        <v>Ubicar en registro</v>
      </c>
      <c r="D98" s="55" t="str">
        <f>IF(Ejecucion4[[#This Row],[No. Solicitud]]="","",_xlfn.XLOOKUP(Ejecucion4[[#This Row],[No. Solicitud]],Registro!$B$8:$B$997,Registro!$H$8:$H$997,"Sin Dato",0))</f>
        <v>Curso 68</v>
      </c>
      <c r="E98" s="29">
        <v>43326</v>
      </c>
      <c r="F98" s="29">
        <v>9</v>
      </c>
      <c r="G98" s="30">
        <v>1</v>
      </c>
      <c r="H98" s="97">
        <v>46197</v>
      </c>
      <c r="I98" s="104">
        <v>0.5</v>
      </c>
      <c r="J98" s="105">
        <v>0.66666666666666663</v>
      </c>
      <c r="K98" s="28"/>
    </row>
    <row r="99" spans="1:11" ht="28.8" customHeight="1">
      <c r="A99" s="30">
        <f>ROW() - ROW(Ejecucion4[[#Headers],[Correlativo]])</f>
        <v>95</v>
      </c>
      <c r="B99" s="40" t="s">
        <v>313</v>
      </c>
      <c r="C99" s="153" t="str">
        <f>IF(B99="","",HYPERLINK("#"&amp;"Registro!B"&amp;MATCH(B99,Registro!$B$8:$B$997,0)+7,"Ubicar en registro"))</f>
        <v>Ubicar en registro</v>
      </c>
      <c r="D99" s="55" t="str">
        <f>IF(Ejecucion4[[#This Row],[No. Solicitud]]="","",_xlfn.XLOOKUP(Ejecucion4[[#This Row],[No. Solicitud]],Registro!$B$8:$B$997,Registro!$H$8:$H$997,"Sin Dato",0))</f>
        <v>Curso 68</v>
      </c>
      <c r="E99" s="29">
        <v>43455</v>
      </c>
      <c r="F99" s="29">
        <v>10</v>
      </c>
      <c r="G99" s="30">
        <v>1</v>
      </c>
      <c r="H99" s="97">
        <v>46210</v>
      </c>
      <c r="I99" s="104">
        <v>0.5</v>
      </c>
      <c r="J99" s="105">
        <v>0.66666666666666663</v>
      </c>
      <c r="K99" s="28"/>
    </row>
    <row r="100" spans="1:11" ht="28.8" customHeight="1">
      <c r="A100" s="30">
        <f>ROW() - ROW(Ejecucion4[[#Headers],[Correlativo]])</f>
        <v>96</v>
      </c>
      <c r="B100" s="32" t="s">
        <v>315</v>
      </c>
      <c r="C100" s="84" t="str">
        <f>IF(B100="","",HYPERLINK("#"&amp;"Registro!B"&amp;MATCH(B100,Registro!$B$8:$B$997,0)+7,"Ubicar en registro"))</f>
        <v>Ubicar en registro</v>
      </c>
      <c r="D100" s="55" t="str">
        <f>IF(Ejecucion4[[#This Row],[No. Solicitud]]="","",_xlfn.XLOOKUP(Ejecucion4[[#This Row],[No. Solicitud]],Registro!$B$8:$B$997,Registro!$H$8:$H$997,"Sin Dato",0))</f>
        <v>Curso 69</v>
      </c>
      <c r="E100" s="29">
        <v>42596</v>
      </c>
      <c r="F100" s="28">
        <v>1</v>
      </c>
      <c r="G100" s="30">
        <v>1</v>
      </c>
      <c r="H100" s="97">
        <v>46087</v>
      </c>
      <c r="I100" s="104">
        <v>0.58333333333333337</v>
      </c>
      <c r="J100" s="105">
        <v>0.66666666666666663</v>
      </c>
      <c r="K100" s="28"/>
    </row>
    <row r="101" spans="1:11" ht="28.8" customHeight="1">
      <c r="A101" s="30">
        <f>ROW() - ROW(Ejecucion4[[#Headers],[Correlativo]])</f>
        <v>97</v>
      </c>
      <c r="B101" s="32" t="s">
        <v>315</v>
      </c>
      <c r="C101" s="84" t="str">
        <f>IF(B101="","",HYPERLINK("#"&amp;"Registro!B"&amp;MATCH(B101,Registro!$B$8:$B$997,0)+7,"Ubicar en registro"))</f>
        <v>Ubicar en registro</v>
      </c>
      <c r="D101" s="55" t="str">
        <f>IF(Ejecucion4[[#This Row],[No. Solicitud]]="","",_xlfn.XLOOKUP(Ejecucion4[[#This Row],[No. Solicitud]],Registro!$B$8:$B$997,Registro!$H$8:$H$997,"Sin Dato",0))</f>
        <v>Curso 69</v>
      </c>
      <c r="E101" s="29">
        <v>42623</v>
      </c>
      <c r="F101" s="28">
        <v>2</v>
      </c>
      <c r="G101" s="30">
        <v>1</v>
      </c>
      <c r="H101" s="97">
        <v>46101</v>
      </c>
      <c r="I101" s="104">
        <v>0.58333333333333337</v>
      </c>
      <c r="J101" s="105">
        <v>0.66666666666666663</v>
      </c>
      <c r="K101" s="28"/>
    </row>
    <row r="102" spans="1:11" ht="28.8" customHeight="1">
      <c r="A102" s="30">
        <f>ROW() - ROW(Ejecucion4[[#Headers],[Correlativo]])</f>
        <v>98</v>
      </c>
      <c r="B102" s="32" t="s">
        <v>315</v>
      </c>
      <c r="C102" s="84" t="str">
        <f>IF(B102="","",HYPERLINK("#"&amp;"Registro!B"&amp;MATCH(B102,Registro!$B$8:$B$997,0)+7,"Ubicar en registro"))</f>
        <v>Ubicar en registro</v>
      </c>
      <c r="D102" s="55" t="str">
        <f>IF(Ejecucion4[[#This Row],[No. Solicitud]]="","",_xlfn.XLOOKUP(Ejecucion4[[#This Row],[No. Solicitud]],Registro!$B$8:$B$997,Registro!$H$8:$H$997,"Sin Dato",0))</f>
        <v>Curso 69</v>
      </c>
      <c r="E102" s="29">
        <v>42840</v>
      </c>
      <c r="F102" s="28">
        <v>3</v>
      </c>
      <c r="G102" s="30">
        <v>1</v>
      </c>
      <c r="H102" s="97">
        <v>46122</v>
      </c>
      <c r="I102" s="104">
        <v>0.58333333333333337</v>
      </c>
      <c r="J102" s="105">
        <v>0.66666666666666663</v>
      </c>
      <c r="K102" s="28"/>
    </row>
    <row r="103" spans="1:11" ht="28.8" customHeight="1">
      <c r="A103" s="30">
        <f>ROW() - ROW(Ejecucion4[[#Headers],[Correlativo]])</f>
        <v>99</v>
      </c>
      <c r="B103" s="32" t="s">
        <v>315</v>
      </c>
      <c r="C103" s="153" t="str">
        <f>IF(B103="","",HYPERLINK("#"&amp;"Registro!B"&amp;MATCH(B103,Registro!$B$8:$B$997,0)+7,"Ubicar en registro"))</f>
        <v>Ubicar en registro</v>
      </c>
      <c r="D103" s="55" t="str">
        <f>IF(Ejecucion4[[#This Row],[No. Solicitud]]="","",_xlfn.XLOOKUP(Ejecucion4[[#This Row],[No. Solicitud]],Registro!$B$8:$B$997,Registro!$H$8:$H$997,"Sin Dato",0))</f>
        <v>Curso 69</v>
      </c>
      <c r="E103" s="29">
        <v>42987</v>
      </c>
      <c r="F103" s="28">
        <v>4</v>
      </c>
      <c r="G103" s="30">
        <v>1</v>
      </c>
      <c r="H103" s="97">
        <v>46136</v>
      </c>
      <c r="I103" s="104">
        <v>0.58333333333333337</v>
      </c>
      <c r="J103" s="105">
        <v>0.66666666666666663</v>
      </c>
      <c r="K103" s="28"/>
    </row>
    <row r="104" spans="1:11" ht="28.8" customHeight="1">
      <c r="A104" s="30">
        <f>ROW() - ROW(Ejecucion4[[#Headers],[Correlativo]])</f>
        <v>100</v>
      </c>
      <c r="B104" s="32" t="s">
        <v>315</v>
      </c>
      <c r="C104" s="153" t="str">
        <f>IF(B104="","",HYPERLINK("#"&amp;"Registro!B"&amp;MATCH(B104,Registro!$B$8:$B$997,0)+7,"Ubicar en registro"))</f>
        <v>Ubicar en registro</v>
      </c>
      <c r="D104" s="55" t="str">
        <f>IF(Ejecucion4[[#This Row],[No. Solicitud]]="","",_xlfn.XLOOKUP(Ejecucion4[[#This Row],[No. Solicitud]],Registro!$B$8:$B$997,Registro!$H$8:$H$997,"Sin Dato",0))</f>
        <v>Curso 69</v>
      </c>
      <c r="E104" s="29">
        <v>43041</v>
      </c>
      <c r="F104" s="28">
        <v>5</v>
      </c>
      <c r="G104" s="30">
        <v>1</v>
      </c>
      <c r="H104" s="97">
        <v>46150</v>
      </c>
      <c r="I104" s="104">
        <v>0.58333333333333337</v>
      </c>
      <c r="J104" s="105">
        <v>0.66666666666666663</v>
      </c>
      <c r="K104" s="28"/>
    </row>
    <row r="105" spans="1:11" ht="28.8" customHeight="1">
      <c r="A105" s="30">
        <f>ROW() - ROW(Ejecucion4[[#Headers],[Correlativo]])</f>
        <v>101</v>
      </c>
      <c r="B105" s="32" t="s">
        <v>315</v>
      </c>
      <c r="C105" s="153" t="str">
        <f>IF(B105="","",HYPERLINK("#"&amp;"Registro!B"&amp;MATCH(B105,Registro!$B$8:$B$997,0)+7,"Ubicar en registro"))</f>
        <v>Ubicar en registro</v>
      </c>
      <c r="D105" s="55" t="str">
        <f>IF(Ejecucion4[[#This Row],[No. Solicitud]]="","",_xlfn.XLOOKUP(Ejecucion4[[#This Row],[No. Solicitud]],Registro!$B$8:$B$997,Registro!$H$8:$H$997,"Sin Dato",0))</f>
        <v>Curso 69</v>
      </c>
      <c r="E105" s="29">
        <v>43171</v>
      </c>
      <c r="F105" s="28">
        <v>6</v>
      </c>
      <c r="G105" s="30">
        <v>1</v>
      </c>
      <c r="H105" s="97">
        <v>46164</v>
      </c>
      <c r="I105" s="104">
        <v>0.58333333333333337</v>
      </c>
      <c r="J105" s="105">
        <v>0.66666666666666663</v>
      </c>
      <c r="K105" s="28"/>
    </row>
    <row r="106" spans="1:11" ht="28.8" customHeight="1">
      <c r="A106" s="30">
        <f>ROW() - ROW(Ejecucion4[[#Headers],[Correlativo]])</f>
        <v>102</v>
      </c>
      <c r="B106" s="32" t="s">
        <v>315</v>
      </c>
      <c r="C106" s="153" t="str">
        <f>IF(B106="","",HYPERLINK("#"&amp;"Registro!B"&amp;MATCH(B106,Registro!$B$8:$B$997,0)+7,"Ubicar en registro"))</f>
        <v>Ubicar en registro</v>
      </c>
      <c r="D106" s="55" t="str">
        <f>IF(Ejecucion4[[#This Row],[No. Solicitud]]="","",_xlfn.XLOOKUP(Ejecucion4[[#This Row],[No. Solicitud]],Registro!$B$8:$B$997,Registro!$H$8:$H$997,"Sin Dato",0))</f>
        <v>Curso 69</v>
      </c>
      <c r="E106" s="29">
        <v>43194</v>
      </c>
      <c r="F106" s="28">
        <v>7</v>
      </c>
      <c r="G106" s="30">
        <v>1</v>
      </c>
      <c r="H106" s="97">
        <v>46176</v>
      </c>
      <c r="I106" s="104">
        <v>0.58333333333333337</v>
      </c>
      <c r="J106" s="105">
        <v>0.66666666666666663</v>
      </c>
      <c r="K106" s="28"/>
    </row>
    <row r="107" spans="1:11" ht="28.8" customHeight="1">
      <c r="A107" s="30">
        <f>ROW() - ROW(Ejecucion4[[#Headers],[Correlativo]])</f>
        <v>103</v>
      </c>
      <c r="B107" s="32" t="s">
        <v>315</v>
      </c>
      <c r="C107" s="153" t="str">
        <f>IF(B107="","",HYPERLINK("#"&amp;"Registro!B"&amp;MATCH(B107,Registro!$B$8:$B$997,0)+7,"Ubicar en registro"))</f>
        <v>Ubicar en registro</v>
      </c>
      <c r="D107" s="55" t="str">
        <f>IF(Ejecucion4[[#This Row],[No. Solicitud]]="","",_xlfn.XLOOKUP(Ejecucion4[[#This Row],[No. Solicitud]],Registro!$B$8:$B$997,Registro!$H$8:$H$997,"Sin Dato",0))</f>
        <v>Curso 69</v>
      </c>
      <c r="E107" s="29">
        <v>43300</v>
      </c>
      <c r="F107" s="28">
        <v>8</v>
      </c>
      <c r="G107" s="30">
        <v>1</v>
      </c>
      <c r="H107" s="97">
        <v>46188</v>
      </c>
      <c r="I107" s="104">
        <v>0.58333333333333337</v>
      </c>
      <c r="J107" s="105">
        <v>0.66666666666666663</v>
      </c>
      <c r="K107" s="28"/>
    </row>
    <row r="108" spans="1:11" ht="28.8" customHeight="1">
      <c r="A108" s="30">
        <f>ROW() - ROW(Ejecucion4[[#Headers],[Correlativo]])</f>
        <v>104</v>
      </c>
      <c r="B108" s="32" t="s">
        <v>315</v>
      </c>
      <c r="C108" s="153" t="str">
        <f>IF(B108="","",HYPERLINK("#"&amp;"Registro!B"&amp;MATCH(B108,Registro!$B$8:$B$997,0)+7,"Ubicar en registro"))</f>
        <v>Ubicar en registro</v>
      </c>
      <c r="D108" s="55" t="str">
        <f>IF(Ejecucion4[[#This Row],[No. Solicitud]]="","",_xlfn.XLOOKUP(Ejecucion4[[#This Row],[No. Solicitud]],Registro!$B$8:$B$997,Registro!$H$8:$H$997,"Sin Dato",0))</f>
        <v>Curso 69</v>
      </c>
      <c r="E108" s="29">
        <v>43331</v>
      </c>
      <c r="F108" s="28">
        <v>9</v>
      </c>
      <c r="G108" s="30">
        <v>1</v>
      </c>
      <c r="H108" s="97">
        <v>46199</v>
      </c>
      <c r="I108" s="104">
        <v>0.58333333333333337</v>
      </c>
      <c r="J108" s="105">
        <v>0.66666666666666663</v>
      </c>
      <c r="K108" s="28"/>
    </row>
    <row r="109" spans="1:11" ht="28.8" customHeight="1">
      <c r="A109" s="30">
        <f>ROW() - ROW(Ejecucion4[[#Headers],[Correlativo]])</f>
        <v>105</v>
      </c>
      <c r="B109" s="32" t="s">
        <v>315</v>
      </c>
      <c r="C109" s="153" t="str">
        <f>IF(B109="","",HYPERLINK("#"&amp;"Registro!B"&amp;MATCH(B109,Registro!$B$8:$B$997,0)+7,"Ubicar en registro"))</f>
        <v>Ubicar en registro</v>
      </c>
      <c r="D109" s="55" t="str">
        <f>IF(Ejecucion4[[#This Row],[No. Solicitud]]="","",_xlfn.XLOOKUP(Ejecucion4[[#This Row],[No. Solicitud]],Registro!$B$8:$B$997,Registro!$H$8:$H$997,"Sin Dato",0))</f>
        <v>Curso 69</v>
      </c>
      <c r="E109" s="29">
        <v>43462</v>
      </c>
      <c r="F109" s="28">
        <v>10</v>
      </c>
      <c r="G109" s="30">
        <v>1</v>
      </c>
      <c r="H109" s="97">
        <v>46212</v>
      </c>
      <c r="I109" s="104">
        <v>0.58333333333333337</v>
      </c>
      <c r="J109" s="105">
        <v>0.66666666666666663</v>
      </c>
      <c r="K109" s="28"/>
    </row>
    <row r="110" spans="1:11" ht="28.8" customHeight="1">
      <c r="A110" s="30">
        <f>ROW() - ROW(Ejecucion4[[#Headers],[Correlativo]])</f>
        <v>106</v>
      </c>
      <c r="B110" s="40" t="s">
        <v>317</v>
      </c>
      <c r="C110" s="84" t="str">
        <f>IF(B110="","",HYPERLINK("#"&amp;"Registro!B"&amp;MATCH(B110,Registro!$B$8:$B$997,0)+7,"Ubicar en registro"))</f>
        <v>Ubicar en registro</v>
      </c>
      <c r="D110" s="55" t="str">
        <f>IF(Ejecucion4[[#This Row],[No. Solicitud]]="","",_xlfn.XLOOKUP(Ejecucion4[[#This Row],[No. Solicitud]],Registro!$B$8:$B$997,Registro!$H$8:$H$997,"Sin Dato",0))</f>
        <v>Curso 70</v>
      </c>
      <c r="E110" s="28">
        <v>43456</v>
      </c>
      <c r="F110" s="28">
        <v>1</v>
      </c>
      <c r="G110" s="30">
        <v>1</v>
      </c>
      <c r="H110" s="130">
        <v>46451</v>
      </c>
      <c r="I110" s="104">
        <v>0.33333333333333331</v>
      </c>
      <c r="J110" s="105">
        <v>0.66666666666666663</v>
      </c>
      <c r="K110" s="28"/>
    </row>
    <row r="111" spans="1:11" ht="28.8" customHeight="1">
      <c r="A111" s="30">
        <f>ROW() - ROW(Ejecucion4[[#Headers],[Correlativo]])</f>
        <v>107</v>
      </c>
      <c r="B111" s="40" t="s">
        <v>317</v>
      </c>
      <c r="C111" s="84" t="str">
        <f>IF(B111="","",HYPERLINK("#"&amp;"Registro!B"&amp;MATCH(B111,Registro!$B$8:$B$997,0)+7,"Ubicar en registro"))</f>
        <v>Ubicar en registro</v>
      </c>
      <c r="D111" s="55" t="str">
        <f>IF(Ejecucion4[[#This Row],[No. Solicitud]]="","",_xlfn.XLOOKUP(Ejecucion4[[#This Row],[No. Solicitud]],Registro!$B$8:$B$997,Registro!$H$8:$H$997,"Sin Dato",0))</f>
        <v>Curso 70</v>
      </c>
      <c r="E111" s="29">
        <v>42620</v>
      </c>
      <c r="F111" s="28">
        <v>2</v>
      </c>
      <c r="G111" s="30">
        <v>1</v>
      </c>
      <c r="H111" s="97">
        <v>46108</v>
      </c>
      <c r="I111" s="104">
        <v>0.33333333333333331</v>
      </c>
      <c r="J111" s="105">
        <v>0.66666666666666663</v>
      </c>
      <c r="K111" s="28"/>
    </row>
    <row r="112" spans="1:11" ht="28.8" customHeight="1">
      <c r="A112" s="30">
        <f>ROW() - ROW(Ejecucion4[[#Headers],[Correlativo]])</f>
        <v>108</v>
      </c>
      <c r="B112" s="40" t="s">
        <v>317</v>
      </c>
      <c r="C112" s="84" t="str">
        <f>IF(B112="","",HYPERLINK("#"&amp;"Registro!B"&amp;MATCH(B112,Registro!$B$8:$B$997,0)+7,"Ubicar en registro"))</f>
        <v>Ubicar en registro</v>
      </c>
      <c r="D112" s="55" t="str">
        <f>IF(Ejecucion4[[#This Row],[No. Solicitud]]="","",_xlfn.XLOOKUP(Ejecucion4[[#This Row],[No. Solicitud]],Registro!$B$8:$B$997,Registro!$H$8:$H$997,"Sin Dato",0))</f>
        <v>Curso 70</v>
      </c>
      <c r="E112" s="29">
        <v>42825</v>
      </c>
      <c r="F112" s="28">
        <v>3</v>
      </c>
      <c r="G112" s="30">
        <v>1</v>
      </c>
      <c r="H112" s="97">
        <v>46121</v>
      </c>
      <c r="I112" s="104">
        <v>0.33333333333333331</v>
      </c>
      <c r="J112" s="105">
        <v>0.66666666666666663</v>
      </c>
      <c r="K112" s="28"/>
    </row>
    <row r="113" spans="1:11" ht="28.8" customHeight="1">
      <c r="A113" s="30">
        <f>ROW() - ROW(Ejecucion4[[#Headers],[Correlativo]])</f>
        <v>109</v>
      </c>
      <c r="B113" s="40" t="s">
        <v>317</v>
      </c>
      <c r="C113" s="84" t="str">
        <f>IF(B113="","",HYPERLINK("#"&amp;"Registro!B"&amp;MATCH(B113,Registro!$B$8:$B$997,0)+7,"Ubicar en registro"))</f>
        <v>Ubicar en registro</v>
      </c>
      <c r="D113" s="55" t="str">
        <f>IF(Ejecucion4[[#This Row],[No. Solicitud]]="","",_xlfn.XLOOKUP(Ejecucion4[[#This Row],[No. Solicitud]],Registro!$B$8:$B$997,Registro!$H$8:$H$997,"Sin Dato",0))</f>
        <v>Curso 70</v>
      </c>
      <c r="E113" s="29">
        <v>42975</v>
      </c>
      <c r="F113" s="28">
        <v>4</v>
      </c>
      <c r="G113" s="30">
        <v>1</v>
      </c>
      <c r="H113" s="97">
        <v>46135</v>
      </c>
      <c r="I113" s="104">
        <v>0.33333333333333331</v>
      </c>
      <c r="J113" s="105">
        <v>0.66666666666666663</v>
      </c>
      <c r="K113" s="28"/>
    </row>
    <row r="114" spans="1:11" ht="28.8" customHeight="1">
      <c r="A114" s="30">
        <f>ROW() - ROW(Ejecucion4[[#Headers],[Correlativo]])</f>
        <v>110</v>
      </c>
      <c r="B114" s="40" t="s">
        <v>317</v>
      </c>
      <c r="C114" s="84" t="str">
        <f>IF(B114="","",HYPERLINK("#"&amp;"Registro!B"&amp;MATCH(B114,Registro!$B$8:$B$997,0)+7,"Ubicar en registro"))</f>
        <v>Ubicar en registro</v>
      </c>
      <c r="D114" s="55" t="str">
        <f>IF(Ejecucion4[[#This Row],[No. Solicitud]]="","",_xlfn.XLOOKUP(Ejecucion4[[#This Row],[No. Solicitud]],Registro!$B$8:$B$997,Registro!$H$8:$H$997,"Sin Dato",0))</f>
        <v>Curso 70</v>
      </c>
      <c r="E114" s="29">
        <v>43032</v>
      </c>
      <c r="F114" s="28">
        <v>5</v>
      </c>
      <c r="G114" s="30">
        <v>1</v>
      </c>
      <c r="H114" s="97">
        <v>46149</v>
      </c>
      <c r="I114" s="104">
        <v>0.33333333333333331</v>
      </c>
      <c r="J114" s="105">
        <v>0.66666666666666663</v>
      </c>
      <c r="K114" s="28"/>
    </row>
    <row r="115" spans="1:11" ht="28.8" customHeight="1">
      <c r="A115" s="30">
        <f>ROW() - ROW(Ejecucion4[[#Headers],[Correlativo]])</f>
        <v>111</v>
      </c>
      <c r="B115" s="40" t="s">
        <v>317</v>
      </c>
      <c r="C115" s="84" t="str">
        <f>IF(B115="","",HYPERLINK("#"&amp;"Registro!B"&amp;MATCH(B115,Registro!$B$8:$B$997,0)+7,"Ubicar en registro"))</f>
        <v>Ubicar en registro</v>
      </c>
      <c r="D115" s="55" t="str">
        <f>IF(Ejecucion4[[#This Row],[No. Solicitud]]="","",_xlfn.XLOOKUP(Ejecucion4[[#This Row],[No. Solicitud]],Registro!$B$8:$B$997,Registro!$H$8:$H$997,"Sin Dato",0))</f>
        <v>Curso 70</v>
      </c>
      <c r="E115" s="29">
        <v>43165</v>
      </c>
      <c r="F115" s="28">
        <v>6</v>
      </c>
      <c r="G115" s="30">
        <v>1</v>
      </c>
      <c r="H115" s="97">
        <v>46163</v>
      </c>
      <c r="I115" s="104">
        <v>0.33333333333333331</v>
      </c>
      <c r="J115" s="105">
        <v>0.66666666666666663</v>
      </c>
      <c r="K115" s="28"/>
    </row>
    <row r="116" spans="1:11" ht="28.8" customHeight="1">
      <c r="A116" s="30">
        <f>ROW() - ROW(Ejecucion4[[#Headers],[Correlativo]])</f>
        <v>112</v>
      </c>
      <c r="B116" s="40" t="s">
        <v>317</v>
      </c>
      <c r="C116" s="84" t="str">
        <f>IF(B116="","",HYPERLINK("#"&amp;"Registro!B"&amp;MATCH(B116,Registro!$B$8:$B$997,0)+7,"Ubicar en registro"))</f>
        <v>Ubicar en registro</v>
      </c>
      <c r="D116" s="55" t="str">
        <f>IF(Ejecucion4[[#This Row],[No. Solicitud]]="","",_xlfn.XLOOKUP(Ejecucion4[[#This Row],[No. Solicitud]],Registro!$B$8:$B$997,Registro!$H$8:$H$997,"Sin Dato",0))</f>
        <v>Curso 70</v>
      </c>
      <c r="E116" s="29">
        <v>43187</v>
      </c>
      <c r="F116" s="28">
        <v>7</v>
      </c>
      <c r="G116" s="30">
        <v>1</v>
      </c>
      <c r="H116" s="97">
        <v>46175</v>
      </c>
      <c r="I116" s="104">
        <v>0.33333333333333331</v>
      </c>
      <c r="J116" s="105">
        <v>0.66666666666666663</v>
      </c>
      <c r="K116" s="28"/>
    </row>
    <row r="117" spans="1:11" ht="28.8" customHeight="1">
      <c r="A117" s="30">
        <f>ROW() - ROW(Ejecucion4[[#Headers],[Correlativo]])</f>
        <v>113</v>
      </c>
      <c r="B117" s="40" t="s">
        <v>317</v>
      </c>
      <c r="C117" s="84" t="str">
        <f>IF(B117="","",HYPERLINK("#"&amp;"Registro!B"&amp;MATCH(B117,Registro!$B$8:$B$997,0)+7,"Ubicar en registro"))</f>
        <v>Ubicar en registro</v>
      </c>
      <c r="D117" s="55" t="str">
        <f>IF(Ejecucion4[[#This Row],[No. Solicitud]]="","",_xlfn.XLOOKUP(Ejecucion4[[#This Row],[No. Solicitud]],Registro!$B$8:$B$997,Registro!$H$8:$H$997,"Sin Dato",0))</f>
        <v>Curso 70</v>
      </c>
      <c r="E117" s="29">
        <v>43271</v>
      </c>
      <c r="F117" s="28">
        <v>8</v>
      </c>
      <c r="G117" s="30">
        <v>1</v>
      </c>
      <c r="H117" s="97">
        <v>46185</v>
      </c>
      <c r="I117" s="104">
        <v>0.33333333333333331</v>
      </c>
      <c r="J117" s="105">
        <v>0.66666666666666663</v>
      </c>
      <c r="K117" s="28"/>
    </row>
    <row r="118" spans="1:11" ht="28.8" customHeight="1">
      <c r="A118" s="30">
        <f>ROW() - ROW(Ejecucion4[[#Headers],[Correlativo]])</f>
        <v>114</v>
      </c>
      <c r="B118" s="40" t="s">
        <v>317</v>
      </c>
      <c r="C118" s="84" t="str">
        <f>IF(B118="","",HYPERLINK("#"&amp;"Registro!B"&amp;MATCH(B118,Registro!$B$8:$B$997,0)+7,"Ubicar en registro"))</f>
        <v>Ubicar en registro</v>
      </c>
      <c r="D118" s="55" t="str">
        <f>IF(Ejecucion4[[#This Row],[No. Solicitud]]="","",_xlfn.XLOOKUP(Ejecucion4[[#This Row],[No. Solicitud]],Registro!$B$8:$B$997,Registro!$H$8:$H$997,"Sin Dato",0))</f>
        <v>Curso 70</v>
      </c>
      <c r="E118" s="29">
        <v>43327</v>
      </c>
      <c r="F118" s="28">
        <v>9</v>
      </c>
      <c r="G118" s="30">
        <v>1</v>
      </c>
      <c r="H118" s="97">
        <v>46198</v>
      </c>
      <c r="I118" s="104">
        <v>0.33333333333333331</v>
      </c>
      <c r="J118" s="105">
        <v>0.66666666666666663</v>
      </c>
      <c r="K118" s="28"/>
    </row>
    <row r="119" spans="1:11" ht="28.8" customHeight="1">
      <c r="A119" s="30">
        <f>ROW() - ROW(Ejecucion4[[#Headers],[Correlativo]])</f>
        <v>115</v>
      </c>
      <c r="B119" s="156" t="s">
        <v>317</v>
      </c>
      <c r="C119" s="84" t="str">
        <f>IF(B119="","",HYPERLINK("#"&amp;"Registro!B"&amp;MATCH(B119,Registro!$B$8:$B$997,0)+7,"Ubicar en registro"))</f>
        <v>Ubicar en registro</v>
      </c>
      <c r="D119" s="55" t="str">
        <f>IF(Ejecucion4[[#This Row],[No. Solicitud]]="","",_xlfn.XLOOKUP(Ejecucion4[[#This Row],[No. Solicitud]],Registro!$B$8:$B$997,Registro!$H$8:$H$997,"Sin Dato",0))</f>
        <v>Curso 70</v>
      </c>
      <c r="E119" s="29">
        <v>43456</v>
      </c>
      <c r="F119" s="28">
        <v>10</v>
      </c>
      <c r="G119" s="30">
        <v>1</v>
      </c>
      <c r="H119" s="97">
        <v>46211</v>
      </c>
      <c r="I119" s="104">
        <v>0.33333333333333331</v>
      </c>
      <c r="J119" s="105">
        <v>0.66666666666666663</v>
      </c>
      <c r="K119" s="28"/>
    </row>
    <row r="120" spans="1:11" ht="33.75" customHeight="1">
      <c r="A120" s="30">
        <f>ROW() - ROW(Ejecucion4[[#Headers],[Correlativo]])</f>
        <v>116</v>
      </c>
      <c r="B120" s="41" t="s">
        <v>319</v>
      </c>
      <c r="C120" s="84" t="str">
        <f>IF(B120="","",HYPERLINK("#"&amp;"Registro!B"&amp;MATCH(B120,Registro!$B$8:$B$997,0)+7,"Ubicar en registro"))</f>
        <v>Ubicar en registro</v>
      </c>
      <c r="D120" s="55" t="str">
        <f>IF(Ejecucion4[[#This Row],[No. Solicitud]]="","",_xlfn.XLOOKUP(Ejecucion4[[#This Row],[No. Solicitud]],Registro!$B$8:$B$997,Registro!$H$8:$H$997,"Sin Dato",0))</f>
        <v>Curso 71</v>
      </c>
      <c r="E120" s="29">
        <v>42600</v>
      </c>
      <c r="F120" s="28">
        <v>1</v>
      </c>
      <c r="G120" s="30">
        <v>1</v>
      </c>
      <c r="H120" s="97">
        <v>46090</v>
      </c>
      <c r="I120" s="104">
        <v>0.33333333333333331</v>
      </c>
      <c r="J120" s="105">
        <v>0.66666666666666663</v>
      </c>
      <c r="K120" s="28"/>
    </row>
    <row r="121" spans="1:11" ht="33.75" customHeight="1">
      <c r="A121" s="30">
        <f>ROW() - ROW(Ejecucion4[[#Headers],[Correlativo]])</f>
        <v>117</v>
      </c>
      <c r="B121" s="41" t="s">
        <v>319</v>
      </c>
      <c r="C121" s="153" t="str">
        <f>IF(B121="","",HYPERLINK("#"&amp;"Registro!B"&amp;MATCH(B121,Registro!$B$8:$B$997,0)+7,"Ubicar en registro"))</f>
        <v>Ubicar en registro</v>
      </c>
      <c r="D121" s="55" t="str">
        <f>IF(Ejecucion4[[#This Row],[No. Solicitud]]="","",_xlfn.XLOOKUP(Ejecucion4[[#This Row],[No. Solicitud]],Registro!$B$8:$B$997,Registro!$H$8:$H$997,"Sin Dato",0))</f>
        <v>Curso 71</v>
      </c>
      <c r="E121" s="29">
        <v>42624</v>
      </c>
      <c r="F121" s="28">
        <v>2</v>
      </c>
      <c r="G121" s="30">
        <v>1</v>
      </c>
      <c r="H121" s="97">
        <v>38799</v>
      </c>
      <c r="I121" s="104">
        <v>0.33333333333333331</v>
      </c>
      <c r="J121" s="105">
        <v>0.66666666666666663</v>
      </c>
      <c r="K121" s="28"/>
    </row>
    <row r="122" spans="1:11" ht="28.8" customHeight="1">
      <c r="A122" s="30">
        <f>ROW() - ROW(Ejecucion4[[#Headers],[Correlativo]])</f>
        <v>118</v>
      </c>
      <c r="B122" s="41" t="s">
        <v>319</v>
      </c>
      <c r="C122" s="153" t="str">
        <f>IF(B122="","",HYPERLINK("#"&amp;"Registro!B"&amp;MATCH(B122,Registro!$B$8:$B$997,0)+7,"Ubicar en registro"))</f>
        <v>Ubicar en registro</v>
      </c>
      <c r="D122" s="55" t="str">
        <f>IF(Ejecucion4[[#This Row],[No. Solicitud]]="","",_xlfn.XLOOKUP(Ejecucion4[[#This Row],[No. Solicitud]],Registro!$B$8:$B$997,Registro!$H$8:$H$997,"Sin Dato",0))</f>
        <v>Curso 71</v>
      </c>
      <c r="E122" s="29">
        <v>42864</v>
      </c>
      <c r="F122" s="28">
        <v>3</v>
      </c>
      <c r="G122" s="30">
        <v>1</v>
      </c>
      <c r="H122" s="97">
        <v>46129</v>
      </c>
      <c r="I122" s="104">
        <v>0.33333333333333331</v>
      </c>
      <c r="J122" s="105">
        <v>0.66666666666666663</v>
      </c>
      <c r="K122" s="28"/>
    </row>
    <row r="123" spans="1:11" ht="28.8" customHeight="1">
      <c r="A123" s="30">
        <f>ROW() - ROW(Ejecucion4[[#Headers],[Correlativo]])</f>
        <v>119</v>
      </c>
      <c r="B123" s="41" t="s">
        <v>319</v>
      </c>
      <c r="C123" s="153" t="str">
        <f>IF(B123="","",HYPERLINK("#"&amp;"Registro!B"&amp;MATCH(B123,Registro!$B$8:$B$997,0)+7,"Ubicar en registro"))</f>
        <v>Ubicar en registro</v>
      </c>
      <c r="D123" s="55" t="str">
        <f>IF(Ejecucion4[[#This Row],[No. Solicitud]]="","",_xlfn.XLOOKUP(Ejecucion4[[#This Row],[No. Solicitud]],Registro!$B$8:$B$997,Registro!$H$8:$H$997,"Sin Dato",0))</f>
        <v>Curso 71</v>
      </c>
      <c r="E123" s="29">
        <v>42988</v>
      </c>
      <c r="F123" s="28">
        <v>4</v>
      </c>
      <c r="G123" s="30">
        <v>1</v>
      </c>
      <c r="H123" s="97">
        <v>46139</v>
      </c>
      <c r="I123" s="104">
        <v>0.33333333333333331</v>
      </c>
      <c r="J123" s="105">
        <v>0.66666666666666663</v>
      </c>
      <c r="K123" s="28"/>
    </row>
    <row r="124" spans="1:11" ht="28.8" customHeight="1">
      <c r="A124" s="30">
        <f>ROW() - ROW(Ejecucion4[[#Headers],[Correlativo]])</f>
        <v>120</v>
      </c>
      <c r="B124" s="41" t="s">
        <v>319</v>
      </c>
      <c r="C124" s="153" t="str">
        <f>IF(B124="","",HYPERLINK("#"&amp;"Registro!B"&amp;MATCH(B124,Registro!$B$8:$B$997,0)+7,"Ubicar en registro"))</f>
        <v>Ubicar en registro</v>
      </c>
      <c r="D124" s="55" t="str">
        <f>IF(Ejecucion4[[#This Row],[No. Solicitud]]="","",_xlfn.XLOOKUP(Ejecucion4[[#This Row],[No. Solicitud]],Registro!$B$8:$B$997,Registro!$H$8:$H$997,"Sin Dato",0))</f>
        <v>Curso 71</v>
      </c>
      <c r="E124" s="29">
        <v>43036</v>
      </c>
      <c r="F124" s="28">
        <v>5</v>
      </c>
      <c r="G124" s="30">
        <v>1</v>
      </c>
      <c r="H124" s="97">
        <v>46155</v>
      </c>
      <c r="I124" s="104">
        <v>0.33333333333333331</v>
      </c>
      <c r="J124" s="105">
        <v>0.66666666666666663</v>
      </c>
      <c r="K124" s="28"/>
    </row>
    <row r="125" spans="1:11" ht="28.8" customHeight="1">
      <c r="A125" s="30">
        <f>ROW() - ROW(Ejecucion4[[#Headers],[Correlativo]])</f>
        <v>121</v>
      </c>
      <c r="B125" s="41" t="s">
        <v>319</v>
      </c>
      <c r="C125" s="153" t="str">
        <f>IF(B125="","",HYPERLINK("#"&amp;"Registro!B"&amp;MATCH(B125,Registro!$B$8:$B$997,0)+7,"Ubicar en registro"))</f>
        <v>Ubicar en registro</v>
      </c>
      <c r="D125" s="55" t="str">
        <f>IF(Ejecucion4[[#This Row],[No. Solicitud]]="","",_xlfn.XLOOKUP(Ejecucion4[[#This Row],[No. Solicitud]],Registro!$B$8:$B$997,Registro!$H$8:$H$997,"Sin Dato",0))</f>
        <v>Curso 71</v>
      </c>
      <c r="E125" s="29">
        <v>43177</v>
      </c>
      <c r="F125" s="28">
        <v>6</v>
      </c>
      <c r="G125" s="30">
        <v>1</v>
      </c>
      <c r="H125" s="97">
        <v>46167</v>
      </c>
      <c r="I125" s="104">
        <v>0.33333333333333331</v>
      </c>
      <c r="J125" s="105">
        <v>0.66666666666666663</v>
      </c>
      <c r="K125" s="28"/>
    </row>
    <row r="126" spans="1:11" ht="28.8" customHeight="1">
      <c r="A126" s="30">
        <f>ROW() - ROW(Ejecucion4[[#Headers],[Correlativo]])</f>
        <v>122</v>
      </c>
      <c r="B126" s="41" t="s">
        <v>319</v>
      </c>
      <c r="C126" s="153" t="str">
        <f>IF(B126="","",HYPERLINK("#"&amp;"Registro!B"&amp;MATCH(B126,Registro!$B$8:$B$997,0)+7,"Ubicar en registro"))</f>
        <v>Ubicar en registro</v>
      </c>
      <c r="D126" s="55" t="str">
        <f>IF(Ejecucion4[[#This Row],[No. Solicitud]]="","",_xlfn.XLOOKUP(Ejecucion4[[#This Row],[No. Solicitud]],Registro!$B$8:$B$997,Registro!$H$8:$H$997,"Sin Dato",0))</f>
        <v>Curso 71</v>
      </c>
      <c r="E126" s="29">
        <v>43197</v>
      </c>
      <c r="F126" s="28">
        <v>7</v>
      </c>
      <c r="G126" s="30">
        <v>1</v>
      </c>
      <c r="H126" s="97">
        <v>46177</v>
      </c>
      <c r="I126" s="104">
        <v>0.33333333333333331</v>
      </c>
      <c r="J126" s="105">
        <v>0.66666666666666663</v>
      </c>
      <c r="K126" s="28"/>
    </row>
    <row r="127" spans="1:11" ht="28.8" customHeight="1">
      <c r="A127" s="30">
        <f>ROW() - ROW(Ejecucion4[[#Headers],[Correlativo]])</f>
        <v>123</v>
      </c>
      <c r="B127" s="41" t="s">
        <v>319</v>
      </c>
      <c r="C127" s="153" t="str">
        <f>IF(B127="","",HYPERLINK("#"&amp;"Registro!B"&amp;MATCH(B127,Registro!$B$8:$B$997,0)+7,"Ubicar en registro"))</f>
        <v>Ubicar en registro</v>
      </c>
      <c r="D127" s="55" t="str">
        <f>IF(Ejecucion4[[#This Row],[No. Solicitud]]="","",_xlfn.XLOOKUP(Ejecucion4[[#This Row],[No. Solicitud]],Registro!$B$8:$B$997,Registro!$H$8:$H$997,"Sin Dato",0))</f>
        <v>Curso 71</v>
      </c>
      <c r="E127" s="29">
        <v>43301</v>
      </c>
      <c r="F127" s="28">
        <v>8</v>
      </c>
      <c r="G127" s="30">
        <v>1</v>
      </c>
      <c r="H127" s="97">
        <v>46189</v>
      </c>
      <c r="I127" s="104">
        <v>0.33333333333333331</v>
      </c>
      <c r="J127" s="105">
        <v>0.66666666666666663</v>
      </c>
      <c r="K127" s="28"/>
    </row>
    <row r="128" spans="1:11" ht="28.8" customHeight="1">
      <c r="A128" s="30">
        <f>ROW() - ROW(Ejecucion4[[#Headers],[Correlativo]])</f>
        <v>124</v>
      </c>
      <c r="B128" s="156" t="s">
        <v>319</v>
      </c>
      <c r="C128" s="153" t="str">
        <f>IF(B128="","",HYPERLINK("#"&amp;"Registro!B"&amp;MATCH(B128,Registro!$B$8:$B$997,0)+7,"Ubicar en registro"))</f>
        <v>Ubicar en registro</v>
      </c>
      <c r="D128" s="55" t="str">
        <f>IF(Ejecucion4[[#This Row],[No. Solicitud]]="","",_xlfn.XLOOKUP(Ejecucion4[[#This Row],[No. Solicitud]],Registro!$B$8:$B$997,Registro!$H$8:$H$997,"Sin Dato",0))</f>
        <v>Curso 71</v>
      </c>
      <c r="E128" s="29">
        <v>43338</v>
      </c>
      <c r="F128" s="28">
        <v>9</v>
      </c>
      <c r="G128" s="30">
        <v>1</v>
      </c>
      <c r="H128" s="97">
        <v>46205</v>
      </c>
      <c r="I128" s="104">
        <v>0.33333333333333331</v>
      </c>
      <c r="J128" s="105">
        <v>0.66666666666666663</v>
      </c>
      <c r="K128" s="28"/>
    </row>
    <row r="129" spans="1:11" ht="24" customHeight="1">
      <c r="A129" s="30">
        <f>ROW() - ROW(Ejecucion4[[#Headers],[Correlativo]])</f>
        <v>125</v>
      </c>
      <c r="B129" s="156" t="s">
        <v>319</v>
      </c>
      <c r="C129" s="153" t="str">
        <f>IF(B129="","",HYPERLINK("#"&amp;"Registro!B"&amp;MATCH(B129,Registro!$B$8:$B$997,0)+7,"Ubicar en registro"))</f>
        <v>Ubicar en registro</v>
      </c>
      <c r="D129" s="55" t="str">
        <f>IF(Ejecucion4[[#This Row],[No. Solicitud]]="","",_xlfn.XLOOKUP(Ejecucion4[[#This Row],[No. Solicitud]],Registro!$B$8:$B$997,Registro!$H$8:$H$997,"Sin Dato",0))</f>
        <v>Curso 71</v>
      </c>
      <c r="E129" s="29">
        <v>43485</v>
      </c>
      <c r="F129" s="28">
        <v>10</v>
      </c>
      <c r="G129" s="30">
        <v>1</v>
      </c>
      <c r="H129" s="97">
        <v>46212</v>
      </c>
      <c r="I129" s="104">
        <v>0.33333333333333331</v>
      </c>
      <c r="J129" s="105">
        <v>0.66666666666666663</v>
      </c>
      <c r="K129" s="28"/>
    </row>
    <row r="130" spans="1:11" ht="28.8" customHeight="1">
      <c r="A130" s="30">
        <f>ROW() - ROW(Ejecucion4[[#Headers],[Correlativo]])</f>
        <v>126</v>
      </c>
      <c r="B130" s="188" t="s">
        <v>323</v>
      </c>
      <c r="C130" s="84" t="str">
        <f>IF(B130="","",HYPERLINK("#"&amp;"Registro!B"&amp;MATCH(B130,Registro!$B$8:$B$997,0)+7,"Ubicar en registro"))</f>
        <v>Ubicar en registro</v>
      </c>
      <c r="D130" s="55" t="str">
        <f>IF(Ejecucion4[[#This Row],[No. Solicitud]]="","",_xlfn.XLOOKUP(Ejecucion4[[#This Row],[No. Solicitud]],Registro!$B$8:$B$997,Registro!$H$8:$H$997,"Sin Dato",0))</f>
        <v>Curso 73</v>
      </c>
      <c r="E130" s="29">
        <v>42602</v>
      </c>
      <c r="F130" s="28">
        <v>1</v>
      </c>
      <c r="G130" s="30">
        <v>1</v>
      </c>
      <c r="H130" s="97">
        <v>46091</v>
      </c>
      <c r="I130" s="104">
        <v>0.33333333333333331</v>
      </c>
      <c r="J130" s="105">
        <v>0.66666666666666663</v>
      </c>
      <c r="K130" s="28"/>
    </row>
    <row r="131" spans="1:11" ht="28.8" customHeight="1">
      <c r="A131" s="30">
        <f>ROW() - ROW(Ejecucion4[[#Headers],[Correlativo]])</f>
        <v>127</v>
      </c>
      <c r="B131" s="188" t="s">
        <v>323</v>
      </c>
      <c r="C131" s="84" t="str">
        <f>IF(B131="","",HYPERLINK("#"&amp;"Registro!B"&amp;MATCH(B131,Registro!$B$8:$B$997,0)+7,"Ubicar en registro"))</f>
        <v>Ubicar en registro</v>
      </c>
      <c r="D131" s="55" t="str">
        <f>IF(Ejecucion4[[#This Row],[No. Solicitud]]="","",_xlfn.XLOOKUP(Ejecucion4[[#This Row],[No. Solicitud]],Registro!$B$8:$B$997,Registro!$H$8:$H$997,"Sin Dato",0))</f>
        <v>Curso 73</v>
      </c>
      <c r="E131" s="29">
        <v>42625</v>
      </c>
      <c r="F131" s="28">
        <v>2</v>
      </c>
      <c r="G131" s="30">
        <v>1</v>
      </c>
      <c r="H131" s="97">
        <v>46091</v>
      </c>
      <c r="I131" s="104">
        <v>0.33333333333333331</v>
      </c>
      <c r="J131" s="105">
        <v>0.66666666666666663</v>
      </c>
      <c r="K131" s="28"/>
    </row>
    <row r="132" spans="1:11" ht="28.8" customHeight="1">
      <c r="A132" s="30">
        <f>ROW() - ROW(Ejecucion4[[#Headers],[Correlativo]])</f>
        <v>128</v>
      </c>
      <c r="B132" s="188" t="s">
        <v>323</v>
      </c>
      <c r="C132" s="84" t="str">
        <f>IF(B132="","",HYPERLINK("#"&amp;"Registro!B"&amp;MATCH(B132,Registro!$B$8:$B$997,0)+7,"Ubicar en registro"))</f>
        <v>Ubicar en registro</v>
      </c>
      <c r="D132" s="55" t="str">
        <f>IF(Ejecucion4[[#This Row],[No. Solicitud]]="","",_xlfn.XLOOKUP(Ejecucion4[[#This Row],[No. Solicitud]],Registro!$B$8:$B$997,Registro!$H$8:$H$997,"Sin Dato",0))</f>
        <v>Curso 73</v>
      </c>
      <c r="E132" s="29">
        <v>42861</v>
      </c>
      <c r="F132" s="28">
        <v>3</v>
      </c>
      <c r="G132" s="30">
        <v>1</v>
      </c>
      <c r="H132" s="97">
        <v>46128</v>
      </c>
      <c r="I132" s="104">
        <v>0.33333333333333331</v>
      </c>
      <c r="J132" s="105">
        <v>0.66666666666666663</v>
      </c>
      <c r="K132" s="28"/>
    </row>
    <row r="133" spans="1:11" ht="28.8" customHeight="1">
      <c r="A133" s="30">
        <f>ROW() - ROW(Ejecucion4[[#Headers],[Correlativo]])</f>
        <v>129</v>
      </c>
      <c r="B133" s="188" t="s">
        <v>323</v>
      </c>
      <c r="C133" s="84" t="str">
        <f>IF(B133="","",HYPERLINK("#"&amp;"Registro!B"&amp;MATCH(B133,Registro!$B$8:$B$997,0)+7,"Ubicar en registro"))</f>
        <v>Ubicar en registro</v>
      </c>
      <c r="D133" s="55" t="str">
        <f>IF(Ejecucion4[[#This Row],[No. Solicitud]]="","",_xlfn.XLOOKUP(Ejecucion4[[#This Row],[No. Solicitud]],Registro!$B$8:$B$997,Registro!$H$8:$H$997,"Sin Dato",0))</f>
        <v>Curso 73</v>
      </c>
      <c r="E133" s="29">
        <v>42989</v>
      </c>
      <c r="F133" s="28">
        <v>4</v>
      </c>
      <c r="G133" s="30">
        <v>1</v>
      </c>
      <c r="H133" s="97">
        <v>46140</v>
      </c>
      <c r="I133" s="104">
        <v>0.33333333333333331</v>
      </c>
      <c r="J133" s="105">
        <v>0.66666666666666663</v>
      </c>
      <c r="K133" s="28"/>
    </row>
    <row r="134" spans="1:11" ht="28.8" customHeight="1">
      <c r="A134" s="30">
        <f>ROW() - ROW(Ejecucion4[[#Headers],[Correlativo]])</f>
        <v>130</v>
      </c>
      <c r="B134" s="188" t="s">
        <v>323</v>
      </c>
      <c r="C134" s="84" t="str">
        <f>IF(B134="","",HYPERLINK("#"&amp;"Registro!B"&amp;MATCH(B134,Registro!$B$8:$B$997,0)+7,"Ubicar en registro"))</f>
        <v>Ubicar en registro</v>
      </c>
      <c r="D134" s="55" t="str">
        <f>IF(Ejecucion4[[#This Row],[No. Solicitud]]="","",_xlfn.XLOOKUP(Ejecucion4[[#This Row],[No. Solicitud]],Registro!$B$8:$B$997,Registro!$H$8:$H$997,"Sin Dato",0))</f>
        <v>Curso 73</v>
      </c>
      <c r="E134" s="29">
        <v>43043</v>
      </c>
      <c r="F134" s="28">
        <v>5</v>
      </c>
      <c r="G134" s="30">
        <v>1</v>
      </c>
      <c r="H134" s="97">
        <v>46153</v>
      </c>
      <c r="I134" s="104">
        <v>0.33333333333333331</v>
      </c>
      <c r="J134" s="105">
        <v>0.66666666666666663</v>
      </c>
      <c r="K134" s="28"/>
    </row>
    <row r="135" spans="1:11" ht="28.8" customHeight="1">
      <c r="A135" s="30">
        <f>ROW() - ROW(Ejecucion4[[#Headers],[Correlativo]])</f>
        <v>131</v>
      </c>
      <c r="B135" s="32" t="s">
        <v>323</v>
      </c>
      <c r="C135" s="84" t="str">
        <f>IF(B135="","",HYPERLINK("#"&amp;"Registro!B"&amp;MATCH(B135,Registro!$B$8:$B$997,0)+7,"Ubicar en registro"))</f>
        <v>Ubicar en registro</v>
      </c>
      <c r="D135" s="55" t="str">
        <f>IF(Ejecucion4[[#This Row],[No. Solicitud]]="","",_xlfn.XLOOKUP(Ejecucion4[[#This Row],[No. Solicitud]],Registro!$B$8:$B$997,Registro!$H$8:$H$997,"Sin Dato",0))</f>
        <v>Curso 73</v>
      </c>
      <c r="E135" s="29">
        <v>43178</v>
      </c>
      <c r="F135" s="28">
        <v>6</v>
      </c>
      <c r="G135" s="30">
        <v>1</v>
      </c>
      <c r="H135" s="97">
        <v>46168</v>
      </c>
      <c r="I135" s="104">
        <v>0.33333333333333331</v>
      </c>
      <c r="J135" s="105">
        <v>0.66666666666666663</v>
      </c>
      <c r="K135" s="28"/>
    </row>
    <row r="136" spans="1:11" ht="28.8" customHeight="1">
      <c r="A136" s="30">
        <f>ROW() - ROW(Ejecucion4[[#Headers],[Correlativo]])</f>
        <v>132</v>
      </c>
      <c r="B136" s="32" t="s">
        <v>323</v>
      </c>
      <c r="C136" s="84" t="str">
        <f>IF(B136="","",HYPERLINK("#"&amp;"Registro!B"&amp;MATCH(B136,Registro!$B$8:$B$997,0)+7,"Ubicar en registro"))</f>
        <v>Ubicar en registro</v>
      </c>
      <c r="D136" s="55" t="str">
        <f>IF(Ejecucion4[[#This Row],[No. Solicitud]]="","",_xlfn.XLOOKUP(Ejecucion4[[#This Row],[No. Solicitud]],Registro!$B$8:$B$997,Registro!$H$8:$H$997,"Sin Dato",0))</f>
        <v>Curso 73</v>
      </c>
      <c r="E136" s="29">
        <v>43199</v>
      </c>
      <c r="F136" s="28">
        <v>7</v>
      </c>
      <c r="G136" s="30">
        <v>1</v>
      </c>
      <c r="H136" s="97">
        <v>46178</v>
      </c>
      <c r="I136" s="104">
        <v>0.33333333333333331</v>
      </c>
      <c r="J136" s="105">
        <v>0.66666666666666663</v>
      </c>
      <c r="K136" s="28"/>
    </row>
    <row r="137" spans="1:11" ht="28.8" customHeight="1">
      <c r="A137" s="30">
        <f>ROW() - ROW(Ejecucion4[[#Headers],[Correlativo]])</f>
        <v>133</v>
      </c>
      <c r="B137" s="32" t="s">
        <v>323</v>
      </c>
      <c r="C137" s="84" t="str">
        <f>IF(B137="","",HYPERLINK("#"&amp;"Registro!B"&amp;MATCH(B137,Registro!$B$8:$B$997,0)+7,"Ubicar en registro"))</f>
        <v>Ubicar en registro</v>
      </c>
      <c r="D137" s="55" t="str">
        <f>IF(Ejecucion4[[#This Row],[No. Solicitud]]="","",_xlfn.XLOOKUP(Ejecucion4[[#This Row],[No. Solicitud]],Registro!$B$8:$B$997,Registro!$H$8:$H$997,"Sin Dato",0))</f>
        <v>Curso 73</v>
      </c>
      <c r="E137" s="29">
        <v>43306</v>
      </c>
      <c r="F137" s="28">
        <v>8</v>
      </c>
      <c r="G137" s="30">
        <v>1</v>
      </c>
      <c r="H137" s="97">
        <v>46190</v>
      </c>
      <c r="I137" s="104">
        <v>0.33333333333333331</v>
      </c>
      <c r="J137" s="105">
        <v>0.66666666666666663</v>
      </c>
      <c r="K137" s="28"/>
    </row>
    <row r="138" spans="1:11" ht="28.8" customHeight="1">
      <c r="A138" s="30">
        <f>ROW() - ROW(Ejecucion4[[#Headers],[Correlativo]])</f>
        <v>134</v>
      </c>
      <c r="B138" s="32" t="s">
        <v>323</v>
      </c>
      <c r="C138" s="84" t="str">
        <f>IF(B138="","",HYPERLINK("#"&amp;"Registro!B"&amp;MATCH(B138,Registro!$B$8:$B$997,0)+7,"Ubicar en registro"))</f>
        <v>Ubicar en registro</v>
      </c>
      <c r="D138" s="55" t="str">
        <f>IF(Ejecucion4[[#This Row],[No. Solicitud]]="","",_xlfn.XLOOKUP(Ejecucion4[[#This Row],[No. Solicitud]],Registro!$B$8:$B$997,Registro!$H$8:$H$997,"Sin Dato",0))</f>
        <v>Curso 73</v>
      </c>
      <c r="E138" s="29">
        <v>43339</v>
      </c>
      <c r="F138" s="28">
        <v>9</v>
      </c>
      <c r="G138" s="30">
        <v>1</v>
      </c>
      <c r="H138" s="97">
        <v>46203</v>
      </c>
      <c r="I138" s="104">
        <v>0.33333333333333331</v>
      </c>
      <c r="J138" s="105">
        <v>0.66666666666666663</v>
      </c>
      <c r="K138" s="28"/>
    </row>
    <row r="139" spans="1:11" ht="28.8" customHeight="1">
      <c r="A139" s="30">
        <f>ROW() - ROW(Ejecucion4[[#Headers],[Correlativo]])</f>
        <v>135</v>
      </c>
      <c r="B139" s="32" t="s">
        <v>323</v>
      </c>
      <c r="C139" s="84" t="str">
        <f>IF(B139="","",HYPERLINK("#"&amp;"Registro!B"&amp;MATCH(B139,Registro!$B$8:$B$997,0)+7,"Ubicar en registro"))</f>
        <v>Ubicar en registro</v>
      </c>
      <c r="D139" s="55" t="str">
        <f>IF(Ejecucion4[[#This Row],[No. Solicitud]]="","",_xlfn.XLOOKUP(Ejecucion4[[#This Row],[No. Solicitud]],Registro!$B$8:$B$997,Registro!$H$8:$H$997,"Sin Dato",0))</f>
        <v>Curso 73</v>
      </c>
      <c r="E139" s="29">
        <v>43486</v>
      </c>
      <c r="F139" s="28">
        <v>10</v>
      </c>
      <c r="G139" s="30">
        <v>1</v>
      </c>
      <c r="H139" s="97">
        <v>46216</v>
      </c>
      <c r="I139" s="104">
        <v>0.33333333333333331</v>
      </c>
      <c r="J139" s="105">
        <v>0.66666666666666663</v>
      </c>
      <c r="K139" s="28"/>
    </row>
    <row r="140" spans="1:11" ht="28.8" customHeight="1">
      <c r="A140" s="30">
        <f>ROW() - ROW(Ejecucion4[[#Headers],[Correlativo]])</f>
        <v>136</v>
      </c>
      <c r="B140" s="32" t="s">
        <v>325</v>
      </c>
      <c r="C140" s="84" t="str">
        <f>IF(B140="","",HYPERLINK("#"&amp;"Registro!B"&amp;MATCH(B140,Registro!$B$8:$B$997,0)+7,"Ubicar en registro"))</f>
        <v>Ubicar en registro</v>
      </c>
      <c r="D140" s="55" t="str">
        <f>IF(Ejecucion4[[#This Row],[No. Solicitud]]="","",_xlfn.XLOOKUP(Ejecucion4[[#This Row],[No. Solicitud]],Registro!$B$8:$B$997,Registro!$H$8:$H$997,"Sin Dato",0))</f>
        <v>Curso 74</v>
      </c>
      <c r="E140" s="28">
        <v>42604</v>
      </c>
      <c r="F140" s="28">
        <v>1</v>
      </c>
      <c r="G140" s="30">
        <v>1</v>
      </c>
      <c r="H140" s="97">
        <v>46092</v>
      </c>
      <c r="I140" s="104">
        <v>0.33333333333333331</v>
      </c>
      <c r="J140" s="105">
        <v>0.66666666666666663</v>
      </c>
      <c r="K140" s="28"/>
    </row>
    <row r="141" spans="1:11" ht="28.8" customHeight="1">
      <c r="A141" s="30">
        <f>ROW() - ROW(Ejecucion4[[#Headers],[Correlativo]])</f>
        <v>137</v>
      </c>
      <c r="B141" s="32" t="s">
        <v>325</v>
      </c>
      <c r="C141" s="84" t="str">
        <f>IF(B141="","",HYPERLINK("#"&amp;"Registro!B"&amp;MATCH(B141,Registro!$B$8:$B$997,0)+7,"Ubicar en registro"))</f>
        <v>Ubicar en registro</v>
      </c>
      <c r="D141" s="55" t="str">
        <f>IF(Ejecucion4[[#This Row],[No. Solicitud]]="","",_xlfn.XLOOKUP(Ejecucion4[[#This Row],[No. Solicitud]],Registro!$B$8:$B$997,Registro!$H$8:$H$997,"Sin Dato",0))</f>
        <v>Curso 74</v>
      </c>
      <c r="E141" s="28">
        <v>42626</v>
      </c>
      <c r="F141" s="28">
        <v>2</v>
      </c>
      <c r="G141" s="30">
        <v>1</v>
      </c>
      <c r="H141" s="97">
        <v>46106</v>
      </c>
      <c r="I141" s="104">
        <v>0.33333333333333331</v>
      </c>
      <c r="J141" s="105">
        <v>0.66666666666666663</v>
      </c>
      <c r="K141" s="28"/>
    </row>
    <row r="142" spans="1:11" ht="28.8" customHeight="1">
      <c r="A142" s="30">
        <f>ROW() - ROW(Ejecucion4[[#Headers],[Correlativo]])</f>
        <v>138</v>
      </c>
      <c r="B142" s="32" t="s">
        <v>325</v>
      </c>
      <c r="C142" s="84" t="str">
        <f>IF(B142="","",HYPERLINK("#"&amp;"Registro!B"&amp;MATCH(B142,Registro!$B$8:$B$997,0)+7,"Ubicar en registro"))</f>
        <v>Ubicar en registro</v>
      </c>
      <c r="D142" s="55" t="str">
        <f>IF(Ejecucion4[[#This Row],[No. Solicitud]]="","",_xlfn.XLOOKUP(Ejecucion4[[#This Row],[No. Solicitud]],Registro!$B$8:$B$997,Registro!$H$8:$H$997,"Sin Dato",0))</f>
        <v>Curso 74</v>
      </c>
      <c r="E142" s="28">
        <v>42860</v>
      </c>
      <c r="F142" s="28">
        <v>3</v>
      </c>
      <c r="G142" s="30">
        <v>1</v>
      </c>
      <c r="H142" s="97">
        <v>46127</v>
      </c>
      <c r="I142" s="104">
        <v>0.33333333333333331</v>
      </c>
      <c r="J142" s="105">
        <v>0.66666666666666663</v>
      </c>
      <c r="K142" s="28"/>
    </row>
    <row r="143" spans="1:11" ht="28.8" customHeight="1">
      <c r="A143" s="30">
        <f>ROW() - ROW(Ejecucion4[[#Headers],[Correlativo]])</f>
        <v>139</v>
      </c>
      <c r="B143" s="36" t="s">
        <v>325</v>
      </c>
      <c r="C143" s="84" t="str">
        <f>IF(B143="","",HYPERLINK("#"&amp;"Registro!B"&amp;MATCH(B143,Registro!$B$8:$B$997,0)+7,"Ubicar en registro"))</f>
        <v>Ubicar en registro</v>
      </c>
      <c r="D143" s="55" t="str">
        <f>IF(Ejecucion4[[#This Row],[No. Solicitud]]="","",_xlfn.XLOOKUP(Ejecucion4[[#This Row],[No. Solicitud]],Registro!$B$8:$B$997,Registro!$H$8:$H$997,"Sin Dato",0))</f>
        <v>Curso 74</v>
      </c>
      <c r="E143" s="28">
        <v>43019</v>
      </c>
      <c r="F143" s="28">
        <v>4</v>
      </c>
      <c r="G143" s="30">
        <v>1</v>
      </c>
      <c r="H143" s="97">
        <v>46141</v>
      </c>
      <c r="I143" s="104">
        <v>0.33333333333333331</v>
      </c>
      <c r="J143" s="105">
        <v>0.66666666666666663</v>
      </c>
      <c r="K143" s="28"/>
    </row>
    <row r="144" spans="1:11" ht="28.8" customHeight="1">
      <c r="A144" s="30">
        <f>ROW() - ROW(Ejecucion4[[#Headers],[Correlativo]])</f>
        <v>140</v>
      </c>
      <c r="B144" s="32" t="s">
        <v>325</v>
      </c>
      <c r="C144" s="84" t="str">
        <f>IF(B144="","",HYPERLINK("#"&amp;"Registro!B"&amp;MATCH(B144,Registro!$B$8:$B$997,0)+7,"Ubicar en registro"))</f>
        <v>Ubicar en registro</v>
      </c>
      <c r="D144" s="55" t="str">
        <f>IF(Ejecucion4[[#This Row],[No. Solicitud]]="","",_xlfn.XLOOKUP(Ejecucion4[[#This Row],[No. Solicitud]],Registro!$B$8:$B$997,Registro!$H$8:$H$997,"Sin Dato",0))</f>
        <v>Curso 74</v>
      </c>
      <c r="E144" s="28">
        <v>43044</v>
      </c>
      <c r="F144" s="28">
        <v>5</v>
      </c>
      <c r="G144" s="30">
        <v>1</v>
      </c>
      <c r="H144" s="97">
        <v>46154</v>
      </c>
      <c r="I144" s="104">
        <v>0.33333333333333331</v>
      </c>
      <c r="J144" s="105">
        <v>0.66666666666666663</v>
      </c>
      <c r="K144" s="28"/>
    </row>
    <row r="145" spans="1:11" ht="28.8" customHeight="1">
      <c r="A145" s="30">
        <f>ROW() - ROW(Ejecucion4[[#Headers],[Correlativo]])</f>
        <v>141</v>
      </c>
      <c r="B145" s="32" t="s">
        <v>325</v>
      </c>
      <c r="C145" s="84" t="str">
        <f>IF(B145="","",HYPERLINK("#"&amp;"Registro!B"&amp;MATCH(B145,Registro!$B$8:$B$997,0)+7,"Ubicar en registro"))</f>
        <v>Ubicar en registro</v>
      </c>
      <c r="D145" s="55" t="str">
        <f>IF(Ejecucion4[[#This Row],[No. Solicitud]]="","",_xlfn.XLOOKUP(Ejecucion4[[#This Row],[No. Solicitud]],Registro!$B$8:$B$997,Registro!$H$8:$H$997,"Sin Dato",0))</f>
        <v>Curso 74</v>
      </c>
      <c r="E145" s="28">
        <v>43179</v>
      </c>
      <c r="F145" s="28">
        <v>6</v>
      </c>
      <c r="G145" s="30">
        <v>1</v>
      </c>
      <c r="H145" s="97">
        <v>46169</v>
      </c>
      <c r="I145" s="104">
        <v>0.33333333333333331</v>
      </c>
      <c r="J145" s="105">
        <v>0.66666666666666663</v>
      </c>
      <c r="K145" s="28"/>
    </row>
    <row r="146" spans="1:11" ht="28.8" customHeight="1">
      <c r="A146" s="30">
        <f>ROW() - ROW(Ejecucion4[[#Headers],[Correlativo]])</f>
        <v>142</v>
      </c>
      <c r="B146" s="32" t="s">
        <v>325</v>
      </c>
      <c r="C146" s="84" t="str">
        <f>IF(B146="","",HYPERLINK("#"&amp;"Registro!B"&amp;MATCH(B146,Registro!$B$8:$B$997,0)+7,"Ubicar en registro"))</f>
        <v>Ubicar en registro</v>
      </c>
      <c r="D146" s="55" t="str">
        <f>IF(Ejecucion4[[#This Row],[No. Solicitud]]="","",_xlfn.XLOOKUP(Ejecucion4[[#This Row],[No. Solicitud]],Registro!$B$8:$B$997,Registro!$H$8:$H$997,"Sin Dato",0))</f>
        <v>Curso 74</v>
      </c>
      <c r="E146" s="28">
        <v>43200</v>
      </c>
      <c r="F146" s="28">
        <v>7</v>
      </c>
      <c r="G146" s="30">
        <v>1</v>
      </c>
      <c r="H146" s="97">
        <v>46181</v>
      </c>
      <c r="I146" s="104">
        <v>0.33333333333333331</v>
      </c>
      <c r="J146" s="105">
        <v>0.66666666666666663</v>
      </c>
      <c r="K146" s="28"/>
    </row>
    <row r="147" spans="1:11" ht="28.8" customHeight="1">
      <c r="A147" s="30">
        <f>ROW() - ROW(Ejecucion4[[#Headers],[Correlativo]])</f>
        <v>143</v>
      </c>
      <c r="B147" s="32" t="s">
        <v>325</v>
      </c>
      <c r="C147" s="84" t="str">
        <f>IF(B147="","",HYPERLINK("#"&amp;"Registro!B"&amp;MATCH(B147,Registro!$B$8:$B$997,0)+7,"Ubicar en registro"))</f>
        <v>Ubicar en registro</v>
      </c>
      <c r="D147" s="55" t="str">
        <f>IF(Ejecucion4[[#This Row],[No. Solicitud]]="","",_xlfn.XLOOKUP(Ejecucion4[[#This Row],[No. Solicitud]],Registro!$B$8:$B$997,Registro!$H$8:$H$997,"Sin Dato",0))</f>
        <v>Curso 74</v>
      </c>
      <c r="E147" s="28">
        <v>43307</v>
      </c>
      <c r="F147" s="28">
        <v>8</v>
      </c>
      <c r="G147" s="30">
        <v>1</v>
      </c>
      <c r="H147" s="97">
        <v>46191</v>
      </c>
      <c r="I147" s="104">
        <v>0.33333333333333331</v>
      </c>
      <c r="J147" s="105">
        <v>0.66666666666666663</v>
      </c>
      <c r="K147" s="28"/>
    </row>
    <row r="148" spans="1:11" ht="28.8" customHeight="1">
      <c r="A148" s="30">
        <f>ROW() - ROW(Ejecucion4[[#Headers],[Correlativo]])</f>
        <v>144</v>
      </c>
      <c r="B148" s="32" t="s">
        <v>325</v>
      </c>
      <c r="C148" s="84" t="str">
        <f>IF(B148="","",HYPERLINK("#"&amp;"Registro!B"&amp;MATCH(B148,Registro!$B$8:$B$997,0)+7,"Ubicar en registro"))</f>
        <v>Ubicar en registro</v>
      </c>
      <c r="D148" s="55" t="str">
        <f>IF(Ejecucion4[[#This Row],[No. Solicitud]]="","",_xlfn.XLOOKUP(Ejecucion4[[#This Row],[No. Solicitud]],Registro!$B$8:$B$997,Registro!$H$8:$H$997,"Sin Dato",0))</f>
        <v>Curso 74</v>
      </c>
      <c r="E148" s="28">
        <v>43343</v>
      </c>
      <c r="F148" s="28">
        <v>9</v>
      </c>
      <c r="G148" s="30">
        <v>1</v>
      </c>
      <c r="H148" s="97">
        <v>46204</v>
      </c>
      <c r="I148" s="104">
        <v>0.33333333333333331</v>
      </c>
      <c r="J148" s="105">
        <v>0.66666666666666663</v>
      </c>
      <c r="K148" s="28"/>
    </row>
    <row r="149" spans="1:11" ht="28.8" customHeight="1">
      <c r="A149" s="30">
        <f>ROW() - ROW(Ejecucion4[[#Headers],[Correlativo]])</f>
        <v>145</v>
      </c>
      <c r="B149" s="32" t="s">
        <v>325</v>
      </c>
      <c r="C149" s="84" t="str">
        <f>IF(B149="","",HYPERLINK("#"&amp;"Registro!B"&amp;MATCH(B149,Registro!$B$8:$B$997,0)+7,"Ubicar en registro"))</f>
        <v>Ubicar en registro</v>
      </c>
      <c r="D149" s="55" t="str">
        <f>IF(Ejecucion4[[#This Row],[No. Solicitud]]="","",_xlfn.XLOOKUP(Ejecucion4[[#This Row],[No. Solicitud]],Registro!$B$8:$B$997,Registro!$H$8:$H$997,"Sin Dato",0))</f>
        <v>Curso 74</v>
      </c>
      <c r="E149" s="28">
        <v>43488</v>
      </c>
      <c r="F149" s="28">
        <v>10</v>
      </c>
      <c r="G149" s="30">
        <v>1</v>
      </c>
      <c r="H149" s="97">
        <v>46217</v>
      </c>
      <c r="I149" s="104">
        <v>0.33333333333333331</v>
      </c>
      <c r="J149" s="105">
        <v>0.66666666666666663</v>
      </c>
      <c r="K149" s="28"/>
    </row>
    <row r="150" spans="1:11" ht="30.75" customHeight="1">
      <c r="A150" s="30">
        <f>ROW() - ROW(Ejecucion4[[#Headers],[Correlativo]])</f>
        <v>146</v>
      </c>
      <c r="B150" s="30" t="s">
        <v>421</v>
      </c>
      <c r="C150" s="84" t="str">
        <f>IF(B150="","",HYPERLINK("#"&amp;"Registro!B"&amp;MATCH(B150,Registro!$B$8:$B$997,0)+7,"Ubicar en registro"))</f>
        <v>Ubicar en registro</v>
      </c>
      <c r="D150" s="55" t="str">
        <f>IF(Ejecucion4[[#This Row],[No. Solicitud]]="","",_xlfn.XLOOKUP(Ejecucion4[[#This Row],[No. Solicitud]],Registro!$B$8:$B$997,Registro!$H$8:$H$997,"Sin Dato",0))</f>
        <v>Curso 105</v>
      </c>
      <c r="E150" s="29">
        <v>43387</v>
      </c>
      <c r="F150" s="28">
        <v>1</v>
      </c>
      <c r="G150" s="30">
        <v>1</v>
      </c>
      <c r="H150" s="130">
        <v>46233</v>
      </c>
      <c r="I150" s="104">
        <v>0.33333333333333331</v>
      </c>
      <c r="J150" s="105">
        <v>0.66666666666666663</v>
      </c>
      <c r="K150" s="28"/>
    </row>
    <row r="151" spans="1:11" ht="30.75" customHeight="1">
      <c r="A151" s="30">
        <f>ROW() - ROW(Ejecucion4[[#Headers],[Correlativo]])</f>
        <v>147</v>
      </c>
      <c r="B151" s="24" t="s">
        <v>421</v>
      </c>
      <c r="C151" s="84" t="str">
        <f>IF(B151="","",HYPERLINK("#"&amp;"Registro!B"&amp;MATCH(B151,Registro!$B$8:$B$997,0)+7,"Ubicar en registro"))</f>
        <v>Ubicar en registro</v>
      </c>
      <c r="D151" s="55" t="str">
        <f>IF(Ejecucion4[[#This Row],[No. Solicitud]]="","",_xlfn.XLOOKUP(Ejecucion4[[#This Row],[No. Solicitud]],Registro!$B$8:$B$997,Registro!$H$8:$H$997,"Sin Dato",0))</f>
        <v>Curso 105</v>
      </c>
      <c r="E151" s="29">
        <v>43388</v>
      </c>
      <c r="F151" s="28">
        <v>1</v>
      </c>
      <c r="G151" s="30">
        <v>1</v>
      </c>
      <c r="H151" s="130">
        <v>46234</v>
      </c>
      <c r="I151" s="104">
        <v>0.33333333333333331</v>
      </c>
      <c r="J151" s="105">
        <v>0.66666666666666663</v>
      </c>
      <c r="K151" s="28"/>
    </row>
    <row r="152" spans="1:11" ht="30.75" customHeight="1">
      <c r="A152" s="30">
        <f>ROW() - ROW(Ejecucion4[[#Headers],[Correlativo]])</f>
        <v>148</v>
      </c>
      <c r="B152" s="30" t="s">
        <v>417</v>
      </c>
      <c r="C152" s="84" t="str">
        <f>IF(B152="","",HYPERLINK("#"&amp;"Registro!B"&amp;MATCH(B152,Registro!$B$8:$B$997,0)+7,"Ubicar en registro"))</f>
        <v>Ubicar en registro</v>
      </c>
      <c r="D152" s="55" t="str">
        <f>IF(Ejecucion4[[#This Row],[No. Solicitud]]="","",_xlfn.XLOOKUP(Ejecucion4[[#This Row],[No. Solicitud]],Registro!$B$8:$B$997,Registro!$H$8:$H$997,"Sin Dato",0))</f>
        <v>Curso 104</v>
      </c>
      <c r="E152" s="29">
        <v>43445</v>
      </c>
      <c r="F152" s="28">
        <v>1</v>
      </c>
      <c r="G152" s="30">
        <v>1</v>
      </c>
      <c r="H152" s="130">
        <v>46211</v>
      </c>
      <c r="I152" s="104">
        <v>0.33333333333333331</v>
      </c>
      <c r="J152" s="105">
        <v>0.38541666666666669</v>
      </c>
      <c r="K152" s="28"/>
    </row>
    <row r="153" spans="1:11" ht="30.75" customHeight="1">
      <c r="A153" s="30">
        <f>ROW() - ROW(Ejecucion4[[#Headers],[Correlativo]])</f>
        <v>149</v>
      </c>
      <c r="B153" s="30" t="s">
        <v>413</v>
      </c>
      <c r="C153" s="84" t="str">
        <f>IF(B153="","",HYPERLINK("#"&amp;"Registro!B"&amp;MATCH(B153,Registro!$B$8:$B$997,0)+7,"Ubicar en registro"))</f>
        <v>Ubicar en registro</v>
      </c>
      <c r="D153" s="55" t="str">
        <f>IF(Ejecucion4[[#This Row],[No. Solicitud]]="","",_xlfn.XLOOKUP(Ejecucion4[[#This Row],[No. Solicitud]],Registro!$B$8:$B$997,Registro!$H$8:$H$997,"Sin Dato",0))</f>
        <v>Curso 103</v>
      </c>
      <c r="E153" s="29">
        <v>43516</v>
      </c>
      <c r="F153" s="28">
        <v>1</v>
      </c>
      <c r="G153" s="30">
        <v>1</v>
      </c>
      <c r="H153" s="130">
        <v>46237</v>
      </c>
      <c r="I153" s="104">
        <v>0.41666666666666669</v>
      </c>
      <c r="J153" s="105">
        <v>0.5</v>
      </c>
      <c r="K153" s="28"/>
    </row>
    <row r="154" spans="1:11" ht="30.75" customHeight="1">
      <c r="A154" s="30">
        <f>ROW() - ROW(Ejecucion4[[#Headers],[Correlativo]])</f>
        <v>150</v>
      </c>
      <c r="B154" s="30" t="s">
        <v>413</v>
      </c>
      <c r="C154" s="84" t="str">
        <f>IF(B154="","",HYPERLINK("#"&amp;"Registro!B"&amp;MATCH(B154,Registro!$B$8:$B$997,0)+7,"Ubicar en registro"))</f>
        <v>Ubicar en registro</v>
      </c>
      <c r="D154" s="55" t="str">
        <f>IF(Ejecucion4[[#This Row],[No. Solicitud]]="","",_xlfn.XLOOKUP(Ejecucion4[[#This Row],[No. Solicitud]],Registro!$B$8:$B$997,Registro!$H$8:$H$997,"Sin Dato",0))</f>
        <v>Curso 103</v>
      </c>
      <c r="E154" s="29">
        <v>43516</v>
      </c>
      <c r="F154" s="28">
        <v>1</v>
      </c>
      <c r="G154" s="30">
        <v>2</v>
      </c>
      <c r="H154" s="130">
        <v>46238</v>
      </c>
      <c r="I154" s="104">
        <v>0.41666666666666669</v>
      </c>
      <c r="J154" s="105">
        <v>0.5</v>
      </c>
      <c r="K154" s="28"/>
    </row>
    <row r="155" spans="1:11" ht="30.75" customHeight="1">
      <c r="A155" s="30">
        <f>ROW() - ROW(Ejecucion4[[#Headers],[Correlativo]])</f>
        <v>151</v>
      </c>
      <c r="B155" s="30" t="s">
        <v>413</v>
      </c>
      <c r="C155" s="84" t="str">
        <f>IF(B155="","",HYPERLINK("#"&amp;"Registro!B"&amp;MATCH(B155,Registro!$B$8:$B$997,0)+7,"Ubicar en registro"))</f>
        <v>Ubicar en registro</v>
      </c>
      <c r="D155" s="55" t="str">
        <f>IF(Ejecucion4[[#This Row],[No. Solicitud]]="","",_xlfn.XLOOKUP(Ejecucion4[[#This Row],[No. Solicitud]],Registro!$B$8:$B$997,Registro!$H$8:$H$997,"Sin Dato",0))</f>
        <v>Curso 103</v>
      </c>
      <c r="E155" s="29">
        <v>43516</v>
      </c>
      <c r="F155" s="28">
        <v>1</v>
      </c>
      <c r="G155" s="30">
        <v>3</v>
      </c>
      <c r="H155" s="130">
        <v>46239</v>
      </c>
      <c r="I155" s="104">
        <v>0.41666666666666669</v>
      </c>
      <c r="J155" s="105">
        <v>0.5</v>
      </c>
      <c r="K155" s="28"/>
    </row>
    <row r="156" spans="1:11" ht="30.75" customHeight="1">
      <c r="A156" s="30">
        <f>ROW() - ROW(Ejecucion4[[#Headers],[Correlativo]])</f>
        <v>152</v>
      </c>
      <c r="B156" s="30" t="s">
        <v>413</v>
      </c>
      <c r="C156" s="84" t="str">
        <f>IF(B156="","",HYPERLINK("#"&amp;"Registro!B"&amp;MATCH(B156,Registro!$B$8:$B$997,0)+7,"Ubicar en registro"))</f>
        <v>Ubicar en registro</v>
      </c>
      <c r="D156" s="55" t="str">
        <f>IF(Ejecucion4[[#This Row],[No. Solicitud]]="","",_xlfn.XLOOKUP(Ejecucion4[[#This Row],[No. Solicitud]],Registro!$B$8:$B$997,Registro!$H$8:$H$997,"Sin Dato",0))</f>
        <v>Curso 103</v>
      </c>
      <c r="E156" s="29">
        <v>43516</v>
      </c>
      <c r="F156" s="28">
        <v>1</v>
      </c>
      <c r="G156" s="30">
        <v>4</v>
      </c>
      <c r="H156" s="130">
        <v>46240</v>
      </c>
      <c r="I156" s="104">
        <v>0.41666666666666669</v>
      </c>
      <c r="J156" s="105">
        <v>0.5</v>
      </c>
      <c r="K156" s="28"/>
    </row>
    <row r="157" spans="1:11" ht="30.75" customHeight="1">
      <c r="A157" s="30">
        <f>ROW() - ROW(Ejecucion4[[#Headers],[Correlativo]])</f>
        <v>153</v>
      </c>
      <c r="B157" s="30" t="s">
        <v>413</v>
      </c>
      <c r="C157" s="84" t="str">
        <f>IF(B157="","",HYPERLINK("#"&amp;"Registro!B"&amp;MATCH(B157,Registro!$B$8:$B$997,0)+7,"Ubicar en registro"))</f>
        <v>Ubicar en registro</v>
      </c>
      <c r="D157" s="55" t="str">
        <f>IF(Ejecucion4[[#This Row],[No. Solicitud]]="","",_xlfn.XLOOKUP(Ejecucion4[[#This Row],[No. Solicitud]],Registro!$B$8:$B$997,Registro!$H$8:$H$997,"Sin Dato",0))</f>
        <v>Curso 103</v>
      </c>
      <c r="E157" s="29">
        <v>43532</v>
      </c>
      <c r="F157" s="28">
        <v>2</v>
      </c>
      <c r="G157" s="30">
        <v>1</v>
      </c>
      <c r="H157" s="130">
        <v>46244</v>
      </c>
      <c r="I157" s="104">
        <v>0.41666666666666669</v>
      </c>
      <c r="J157" s="105">
        <v>0.5</v>
      </c>
      <c r="K157" s="28"/>
    </row>
    <row r="158" spans="1:11" ht="30.75" customHeight="1">
      <c r="A158" s="30">
        <f>ROW() - ROW(Ejecucion4[[#Headers],[Correlativo]])</f>
        <v>154</v>
      </c>
      <c r="B158" s="30" t="s">
        <v>413</v>
      </c>
      <c r="C158" s="84" t="str">
        <f>IF(B158="","",HYPERLINK("#"&amp;"Registro!B"&amp;MATCH(B158,Registro!$B$8:$B$997,0)+7,"Ubicar en registro"))</f>
        <v>Ubicar en registro</v>
      </c>
      <c r="D158" s="55" t="str">
        <f>IF(Ejecucion4[[#This Row],[No. Solicitud]]="","",_xlfn.XLOOKUP(Ejecucion4[[#This Row],[No. Solicitud]],Registro!$B$8:$B$997,Registro!$H$8:$H$997,"Sin Dato",0))</f>
        <v>Curso 103</v>
      </c>
      <c r="E158" s="29">
        <v>43532</v>
      </c>
      <c r="F158" s="28">
        <v>2</v>
      </c>
      <c r="G158" s="30">
        <v>2</v>
      </c>
      <c r="H158" s="130">
        <v>46245</v>
      </c>
      <c r="I158" s="104">
        <v>0.41666666666666669</v>
      </c>
      <c r="J158" s="105">
        <v>0.5</v>
      </c>
      <c r="K158" s="28"/>
    </row>
    <row r="159" spans="1:11" ht="30.75" customHeight="1">
      <c r="A159" s="30">
        <f>ROW() - ROW(Ejecucion4[[#Headers],[Correlativo]])</f>
        <v>155</v>
      </c>
      <c r="B159" s="30" t="s">
        <v>413</v>
      </c>
      <c r="C159" s="84" t="str">
        <f>IF(B159="","",HYPERLINK("#"&amp;"Registro!B"&amp;MATCH(B159,Registro!$B$8:$B$997,0)+7,"Ubicar en registro"))</f>
        <v>Ubicar en registro</v>
      </c>
      <c r="D159" s="55" t="str">
        <f>IF(Ejecucion4[[#This Row],[No. Solicitud]]="","",_xlfn.XLOOKUP(Ejecucion4[[#This Row],[No. Solicitud]],Registro!$B$8:$B$997,Registro!$H$8:$H$997,"Sin Dato",0))</f>
        <v>Curso 103</v>
      </c>
      <c r="E159" s="29">
        <v>43532</v>
      </c>
      <c r="F159" s="28">
        <v>2</v>
      </c>
      <c r="G159" s="30">
        <v>3</v>
      </c>
      <c r="H159" s="130">
        <v>46246</v>
      </c>
      <c r="I159" s="104">
        <v>0.41666666666666669</v>
      </c>
      <c r="J159" s="105">
        <v>0.5</v>
      </c>
      <c r="K159" s="28"/>
    </row>
    <row r="160" spans="1:11" ht="30.75" customHeight="1">
      <c r="A160" s="30">
        <f>ROW() - ROW(Ejecucion4[[#Headers],[Correlativo]])</f>
        <v>156</v>
      </c>
      <c r="B160" s="30" t="s">
        <v>413</v>
      </c>
      <c r="C160" s="84" t="str">
        <f>IF(B160="","",HYPERLINK("#"&amp;"Registro!B"&amp;MATCH(B160,Registro!$B$8:$B$997,0)+7,"Ubicar en registro"))</f>
        <v>Ubicar en registro</v>
      </c>
      <c r="D160" s="55" t="str">
        <f>IF(Ejecucion4[[#This Row],[No. Solicitud]]="","",_xlfn.XLOOKUP(Ejecucion4[[#This Row],[No. Solicitud]],Registro!$B$8:$B$997,Registro!$H$8:$H$997,"Sin Dato",0))</f>
        <v>Curso 103</v>
      </c>
      <c r="E160" s="29">
        <v>43532</v>
      </c>
      <c r="F160" s="28">
        <v>2</v>
      </c>
      <c r="G160" s="30">
        <v>4</v>
      </c>
      <c r="H160" s="130">
        <v>46247</v>
      </c>
      <c r="I160" s="104">
        <v>0.41666666666666669</v>
      </c>
      <c r="J160" s="105">
        <v>0.5</v>
      </c>
      <c r="K160" s="28"/>
    </row>
    <row r="161" spans="1:11" ht="30.75" customHeight="1">
      <c r="A161" s="30">
        <f>ROW() - ROW(Ejecucion4[[#Headers],[Correlativo]])</f>
        <v>157</v>
      </c>
      <c r="B161" s="30" t="s">
        <v>410</v>
      </c>
      <c r="C161" s="84" t="str">
        <f>IF(B161="","",HYPERLINK("#"&amp;"Registro!B"&amp;MATCH(B161,Registro!$B$8:$B$997,0)+7,"Ubicar en registro"))</f>
        <v>Ubicar en registro</v>
      </c>
      <c r="D161" s="55" t="str">
        <f>IF(Ejecucion4[[#This Row],[No. Solicitud]]="","",_xlfn.XLOOKUP(Ejecucion4[[#This Row],[No. Solicitud]],Registro!$B$8:$B$997,Registro!$H$8:$H$997,"Sin Dato",0))</f>
        <v>Curso 102</v>
      </c>
      <c r="E161" s="29">
        <v>43468</v>
      </c>
      <c r="F161" s="28">
        <v>1</v>
      </c>
      <c r="G161" s="30">
        <v>1</v>
      </c>
      <c r="H161" s="130">
        <v>46211</v>
      </c>
      <c r="I161" s="104">
        <v>0.44791666666666669</v>
      </c>
      <c r="J161" s="105">
        <v>0.5</v>
      </c>
      <c r="K161" s="28"/>
    </row>
    <row r="162" spans="1:11" ht="30.75" customHeight="1">
      <c r="A162" s="30">
        <f>ROW() - ROW(Ejecucion4[[#Headers],[Correlativo]])</f>
        <v>158</v>
      </c>
      <c r="B162" s="30" t="s">
        <v>406</v>
      </c>
      <c r="C162" s="84" t="str">
        <f>IF(B162="","",HYPERLINK("#"&amp;"Registro!B"&amp;MATCH(B162,Registro!$B$8:$B$997,0)+7,"Ubicar en registro"))</f>
        <v>Ubicar en registro</v>
      </c>
      <c r="D162" s="55" t="str">
        <f>IF(Ejecucion4[[#This Row],[No. Solicitud]]="","",_xlfn.XLOOKUP(Ejecucion4[[#This Row],[No. Solicitud]],Registro!$B$8:$B$997,Registro!$H$8:$H$997,"Sin Dato",0))</f>
        <v>Curso 101</v>
      </c>
      <c r="E162" s="29">
        <v>43470</v>
      </c>
      <c r="F162" s="28">
        <v>1</v>
      </c>
      <c r="G162" s="30">
        <v>1</v>
      </c>
      <c r="H162" s="130">
        <v>46211</v>
      </c>
      <c r="I162" s="104">
        <v>0.54166666666666663</v>
      </c>
      <c r="J162" s="105">
        <v>0.58333333333333337</v>
      </c>
      <c r="K162" s="28"/>
    </row>
    <row r="163" spans="1:11" ht="30.75" customHeight="1">
      <c r="A163" s="30">
        <f>ROW() - ROW(Ejecucion4[[#Headers],[Correlativo]])</f>
        <v>159</v>
      </c>
      <c r="B163" s="30" t="s">
        <v>404</v>
      </c>
      <c r="C163" s="84" t="str">
        <f>IF(B163="","",HYPERLINK("#"&amp;"Registro!B"&amp;MATCH(B163,Registro!$B$8:$B$997,0)+7,"Ubicar en registro"))</f>
        <v>Ubicar en registro</v>
      </c>
      <c r="D163" s="55" t="str">
        <f>IF(Ejecucion4[[#This Row],[No. Solicitud]]="","",_xlfn.XLOOKUP(Ejecucion4[[#This Row],[No. Solicitud]],Registro!$B$8:$B$997,Registro!$H$8:$H$997,"Sin Dato",0))</f>
        <v>Curso 100</v>
      </c>
      <c r="E163" s="29">
        <v>43469</v>
      </c>
      <c r="F163" s="28">
        <v>1</v>
      </c>
      <c r="G163" s="30">
        <v>1</v>
      </c>
      <c r="H163" s="130">
        <v>46210</v>
      </c>
      <c r="I163" s="104">
        <v>0.625</v>
      </c>
      <c r="J163" s="105">
        <v>0.66666666666666663</v>
      </c>
      <c r="K163" s="28"/>
    </row>
    <row r="164" spans="1:11" ht="22.5" customHeight="1">
      <c r="A164" s="30">
        <f>ROW() - ROW(Ejecucion4[[#Headers],[Correlativo]])</f>
        <v>160</v>
      </c>
      <c r="B164" s="30" t="s">
        <v>402</v>
      </c>
      <c r="C164" s="84" t="str">
        <f>IF(B164="","",HYPERLINK("#"&amp;"Registro!B"&amp;MATCH(B164,Registro!$B$8:$B$997,0)+7,"Ubicar en registro"))</f>
        <v>Ubicar en registro</v>
      </c>
      <c r="D164" s="55" t="str">
        <f>IF(Ejecucion4[[#This Row],[No. Solicitud]]="","",_xlfn.XLOOKUP(Ejecucion4[[#This Row],[No. Solicitud]],Registro!$B$8:$B$997,Registro!$H$8:$H$997,"Sin Dato",0))</f>
        <v>Curso 99</v>
      </c>
      <c r="E164" s="28">
        <v>43471</v>
      </c>
      <c r="F164" s="28">
        <v>1</v>
      </c>
      <c r="G164" s="30">
        <v>1</v>
      </c>
      <c r="H164" s="130">
        <v>46211</v>
      </c>
      <c r="I164" s="104">
        <v>0.38541666666666669</v>
      </c>
      <c r="J164" s="105">
        <v>0.44791666666666669</v>
      </c>
      <c r="K164" s="28"/>
    </row>
    <row r="165" spans="1:11" ht="30.75" customHeight="1">
      <c r="A165" s="30">
        <f>ROW() - ROW(Ejecucion4[[#Headers],[Correlativo]])</f>
        <v>161</v>
      </c>
      <c r="B165" s="24" t="s">
        <v>398</v>
      </c>
      <c r="C165" s="84" t="str">
        <f>IF(B165="","",HYPERLINK("#"&amp;"Registro!B"&amp;MATCH(B165,Registro!$B$8:$B$997,0)+7,"Ubicar en registro"))</f>
        <v>Ubicar en registro</v>
      </c>
      <c r="D165" s="55" t="str">
        <f>IF(Ejecucion4[[#This Row],[No. Solicitud]]="","",_xlfn.XLOOKUP(Ejecucion4[[#This Row],[No. Solicitud]],Registro!$B$8:$B$997,Registro!$H$8:$H$997,"Sin Dato",0))</f>
        <v>Curso 98</v>
      </c>
      <c r="E165" s="29">
        <v>43527</v>
      </c>
      <c r="F165" s="28">
        <v>1</v>
      </c>
      <c r="G165" s="30">
        <v>1</v>
      </c>
      <c r="H165" s="97">
        <v>46245</v>
      </c>
      <c r="I165" s="104">
        <v>0.33333333333333331</v>
      </c>
      <c r="J165" s="105">
        <v>0.66666666666666663</v>
      </c>
      <c r="K165" s="28"/>
    </row>
    <row r="166" spans="1:11" ht="30.75" customHeight="1">
      <c r="A166" s="30">
        <f>ROW() - ROW(Ejecucion4[[#Headers],[Correlativo]])</f>
        <v>162</v>
      </c>
      <c r="B166" s="24" t="s">
        <v>398</v>
      </c>
      <c r="C166" s="84" t="str">
        <f>IF(B166="","",HYPERLINK("#"&amp;"Registro!B"&amp;MATCH(B166,Registro!$B$8:$B$997,0)+7,"Ubicar en registro"))</f>
        <v>Ubicar en registro</v>
      </c>
      <c r="D166" s="55" t="str">
        <f>IF(Ejecucion4[[#This Row],[No. Solicitud]]="","",_xlfn.XLOOKUP(Ejecucion4[[#This Row],[No. Solicitud]],Registro!$B$8:$B$997,Registro!$H$8:$H$997,"Sin Dato",0))</f>
        <v>Curso 98</v>
      </c>
      <c r="E166" s="29">
        <v>43528</v>
      </c>
      <c r="F166" s="28">
        <v>2</v>
      </c>
      <c r="G166" s="30">
        <v>1</v>
      </c>
      <c r="H166" s="97">
        <v>46247</v>
      </c>
      <c r="I166" s="104">
        <v>0.33333333333333331</v>
      </c>
      <c r="J166" s="105">
        <v>0.66666666666666663</v>
      </c>
      <c r="K166" s="28"/>
    </row>
    <row r="167" spans="1:11" ht="60.75" customHeight="1">
      <c r="A167" s="30">
        <f>ROW() - ROW(Ejecucion4[[#Headers],[Correlativo]])</f>
        <v>163</v>
      </c>
      <c r="B167" s="24" t="s">
        <v>392</v>
      </c>
      <c r="C167" s="84" t="str">
        <f>IF(B167="","",HYPERLINK("#"&amp;"Registro!B"&amp;MATCH(B167,Registro!$B$8:$B$997,0)+7,"Ubicar en registro"))</f>
        <v>Ubicar en registro</v>
      </c>
      <c r="D167" s="55" t="str">
        <f>IF(Ejecucion4[[#This Row],[No. Solicitud]]="","",_xlfn.XLOOKUP(Ejecucion4[[#This Row],[No. Solicitud]],Registro!$B$8:$B$997,Registro!$H$8:$H$997,"Sin Dato",0))</f>
        <v>Curso 96</v>
      </c>
      <c r="E167" s="28">
        <v>43537</v>
      </c>
      <c r="F167" s="28">
        <v>1</v>
      </c>
      <c r="G167" s="30">
        <v>1</v>
      </c>
      <c r="H167" s="130">
        <v>46245</v>
      </c>
      <c r="I167" s="104">
        <v>0.33333333333333331</v>
      </c>
      <c r="J167" s="105">
        <v>0.66666666666666663</v>
      </c>
      <c r="K167" s="28"/>
    </row>
    <row r="168" spans="1:11" ht="60.75" customHeight="1">
      <c r="A168" s="30">
        <f>ROW() - ROW(Ejecucion4[[#Headers],[Correlativo]])</f>
        <v>164</v>
      </c>
      <c r="B168" s="24" t="s">
        <v>392</v>
      </c>
      <c r="C168" s="84" t="str">
        <f>IF(B168="","",HYPERLINK("#"&amp;"Registro!B"&amp;MATCH(B168,Registro!$B$8:$B$997,0)+7,"Ubicar en registro"))</f>
        <v>Ubicar en registro</v>
      </c>
      <c r="D168" s="55" t="str">
        <f>IF(Ejecucion4[[#This Row],[No. Solicitud]]="","",_xlfn.XLOOKUP(Ejecucion4[[#This Row],[No. Solicitud]],Registro!$B$8:$B$997,Registro!$H$8:$H$997,"Sin Dato",0))</f>
        <v>Curso 96</v>
      </c>
      <c r="E168" s="28">
        <v>43537</v>
      </c>
      <c r="F168" s="28">
        <v>1</v>
      </c>
      <c r="G168" s="30">
        <v>2</v>
      </c>
      <c r="H168" s="130">
        <v>46246</v>
      </c>
      <c r="I168" s="104">
        <v>0.33333333333333331</v>
      </c>
      <c r="J168" s="105">
        <v>0.66666666666666663</v>
      </c>
      <c r="K168" s="28"/>
    </row>
    <row r="169" spans="1:11" ht="60.75" customHeight="1">
      <c r="A169" s="30">
        <f>ROW() - ROW(Ejecucion4[[#Headers],[Correlativo]])</f>
        <v>165</v>
      </c>
      <c r="B169" s="24" t="s">
        <v>392</v>
      </c>
      <c r="C169" s="84" t="str">
        <f>IF(B169="","",HYPERLINK("#"&amp;"Registro!B"&amp;MATCH(B169,Registro!$B$8:$B$997,0)+7,"Ubicar en registro"))</f>
        <v>Ubicar en registro</v>
      </c>
      <c r="D169" s="55" t="str">
        <f>IF(Ejecucion4[[#This Row],[No. Solicitud]]="","",_xlfn.XLOOKUP(Ejecucion4[[#This Row],[No. Solicitud]],Registro!$B$8:$B$997,Registro!$H$8:$H$997,"Sin Dato",0))</f>
        <v>Curso 96</v>
      </c>
      <c r="E169" s="28">
        <v>43537</v>
      </c>
      <c r="F169" s="28">
        <v>1</v>
      </c>
      <c r="G169" s="30">
        <v>3</v>
      </c>
      <c r="H169" s="130">
        <v>46247</v>
      </c>
      <c r="I169" s="104">
        <v>0.33333333333333331</v>
      </c>
      <c r="J169" s="105">
        <v>0.5</v>
      </c>
      <c r="K169" s="28"/>
    </row>
    <row r="170" spans="1:11" ht="60.75" customHeight="1">
      <c r="A170" s="30">
        <f>ROW() - ROW(Ejecucion4[[#Headers],[Correlativo]])</f>
        <v>166</v>
      </c>
      <c r="B170" s="24" t="s">
        <v>392</v>
      </c>
      <c r="C170" s="84" t="str">
        <f>IF(B170="","",HYPERLINK("#"&amp;"Registro!B"&amp;MATCH(B170,Registro!$B$8:$B$997,0)+7,"Ubicar en registro"))</f>
        <v>Ubicar en registro</v>
      </c>
      <c r="D170" s="55" t="str">
        <f>IF(Ejecucion4[[#This Row],[No. Solicitud]]="","",_xlfn.XLOOKUP(Ejecucion4[[#This Row],[No. Solicitud]],Registro!$B$8:$B$997,Registro!$H$8:$H$997,"Sin Dato",0))</f>
        <v>Curso 96</v>
      </c>
      <c r="E170" s="28">
        <v>43539</v>
      </c>
      <c r="F170" s="28">
        <v>2</v>
      </c>
      <c r="G170" s="30">
        <v>1</v>
      </c>
      <c r="H170" s="130">
        <v>46252</v>
      </c>
      <c r="I170" s="104">
        <v>0.33333333333333331</v>
      </c>
      <c r="J170" s="105">
        <v>0.66666666666666663</v>
      </c>
      <c r="K170" s="28"/>
    </row>
    <row r="171" spans="1:11" ht="60.75" customHeight="1">
      <c r="A171" s="30">
        <f>ROW() - ROW(Ejecucion4[[#Headers],[Correlativo]])</f>
        <v>167</v>
      </c>
      <c r="B171" s="24" t="s">
        <v>392</v>
      </c>
      <c r="C171" s="84" t="str">
        <f>IF(B171="","",HYPERLINK("#"&amp;"Registro!B"&amp;MATCH(B171,Registro!$B$8:$B$997,0)+7,"Ubicar en registro"))</f>
        <v>Ubicar en registro</v>
      </c>
      <c r="D171" s="55" t="str">
        <f>IF(Ejecucion4[[#This Row],[No. Solicitud]]="","",_xlfn.XLOOKUP(Ejecucion4[[#This Row],[No. Solicitud]],Registro!$B$8:$B$997,Registro!$H$8:$H$997,"Sin Dato",0))</f>
        <v>Curso 96</v>
      </c>
      <c r="E171" s="28">
        <v>43539</v>
      </c>
      <c r="F171" s="28">
        <v>2</v>
      </c>
      <c r="G171" s="30">
        <v>2</v>
      </c>
      <c r="H171" s="130">
        <v>46253</v>
      </c>
      <c r="I171" s="104">
        <v>0.33333333333333331</v>
      </c>
      <c r="J171" s="105">
        <v>0.66666666666666663</v>
      </c>
      <c r="K171" s="28"/>
    </row>
    <row r="172" spans="1:11" ht="60.75" customHeight="1">
      <c r="A172" s="30">
        <f>ROW() - ROW(Ejecucion4[[#Headers],[Correlativo]])</f>
        <v>168</v>
      </c>
      <c r="B172" s="24" t="s">
        <v>392</v>
      </c>
      <c r="C172" s="84" t="str">
        <f>IF(B172="","",HYPERLINK("#"&amp;"Registro!B"&amp;MATCH(B172,Registro!$B$8:$B$997,0)+7,"Ubicar en registro"))</f>
        <v>Ubicar en registro</v>
      </c>
      <c r="D172" s="55" t="str">
        <f>IF(Ejecucion4[[#This Row],[No. Solicitud]]="","",_xlfn.XLOOKUP(Ejecucion4[[#This Row],[No. Solicitud]],Registro!$B$8:$B$997,Registro!$H$8:$H$997,"Sin Dato",0))</f>
        <v>Curso 96</v>
      </c>
      <c r="E172" s="28">
        <v>43539</v>
      </c>
      <c r="F172" s="28">
        <v>2</v>
      </c>
      <c r="G172" s="30">
        <v>3</v>
      </c>
      <c r="H172" s="130">
        <v>46254</v>
      </c>
      <c r="I172" s="104">
        <v>0.33333333333333331</v>
      </c>
      <c r="J172" s="105">
        <v>0.5</v>
      </c>
      <c r="K172" s="28"/>
    </row>
    <row r="173" spans="1:11" ht="60.75" customHeight="1">
      <c r="A173" s="30">
        <f>ROW() - ROW(Ejecucion4[[#Headers],[Correlativo]])</f>
        <v>169</v>
      </c>
      <c r="B173" s="24" t="s">
        <v>392</v>
      </c>
      <c r="C173" s="84" t="str">
        <f>IF(B173="","",HYPERLINK("#"&amp;"Registro!B"&amp;MATCH(B173,Registro!$B$8:$B$997,0)+7,"Ubicar en registro"))</f>
        <v>Ubicar en registro</v>
      </c>
      <c r="D173" s="55" t="str">
        <f>IF(Ejecucion4[[#This Row],[No. Solicitud]]="","",_xlfn.XLOOKUP(Ejecucion4[[#This Row],[No. Solicitud]],Registro!$B$8:$B$997,Registro!$H$8:$H$997,"Sin Dato",0))</f>
        <v>Curso 96</v>
      </c>
      <c r="E173" s="28">
        <v>43543</v>
      </c>
      <c r="F173" s="28">
        <v>3</v>
      </c>
      <c r="G173" s="30">
        <v>1</v>
      </c>
      <c r="H173" s="130">
        <v>46273</v>
      </c>
      <c r="I173" s="104">
        <v>0.33333333333333331</v>
      </c>
      <c r="J173" s="105">
        <v>0.66666666666666663</v>
      </c>
      <c r="K173" s="28"/>
    </row>
    <row r="174" spans="1:11" ht="60.75" customHeight="1">
      <c r="A174" s="30">
        <f>ROW() - ROW(Ejecucion4[[#Headers],[Correlativo]])</f>
        <v>170</v>
      </c>
      <c r="B174" s="1" t="s">
        <v>392</v>
      </c>
      <c r="C174" s="84" t="str">
        <f>IF(B174="","",HYPERLINK("#"&amp;"Registro!B"&amp;MATCH(B174,Registro!$B$8:$B$997,0)+7,"Ubicar en registro"))</f>
        <v>Ubicar en registro</v>
      </c>
      <c r="D174" s="55" t="str">
        <f>IF(Ejecucion4[[#This Row],[No. Solicitud]]="","",_xlfn.XLOOKUP(Ejecucion4[[#This Row],[No. Solicitud]],Registro!$B$8:$B$997,Registro!$H$8:$H$997,"Sin Dato",0))</f>
        <v>Curso 96</v>
      </c>
      <c r="E174" s="28">
        <v>43543</v>
      </c>
      <c r="F174" s="28">
        <v>3</v>
      </c>
      <c r="G174" s="30">
        <v>2</v>
      </c>
      <c r="H174" s="130">
        <v>46274</v>
      </c>
      <c r="I174" s="104">
        <v>0.33333333333333331</v>
      </c>
      <c r="J174" s="105">
        <v>0.66666666666666663</v>
      </c>
      <c r="K174" s="28"/>
    </row>
    <row r="175" spans="1:11" ht="60.75" customHeight="1">
      <c r="A175" s="30">
        <f>ROW() - ROW(Ejecucion4[[#Headers],[Correlativo]])</f>
        <v>171</v>
      </c>
      <c r="B175" s="1" t="s">
        <v>392</v>
      </c>
      <c r="C175" s="84" t="str">
        <f>IF(B175="","",HYPERLINK("#"&amp;"Registro!B"&amp;MATCH(B175,Registro!$B$8:$B$997,0)+7,"Ubicar en registro"))</f>
        <v>Ubicar en registro</v>
      </c>
      <c r="D175" s="55" t="str">
        <f>IF(Ejecucion4[[#This Row],[No. Solicitud]]="","",_xlfn.XLOOKUP(Ejecucion4[[#This Row],[No. Solicitud]],Registro!$B$8:$B$997,Registro!$H$8:$H$997,"Sin Dato",0))</f>
        <v>Curso 96</v>
      </c>
      <c r="E175" s="28">
        <v>43543</v>
      </c>
      <c r="F175" s="28">
        <v>3</v>
      </c>
      <c r="G175" s="30">
        <v>3</v>
      </c>
      <c r="H175" s="130">
        <v>46275</v>
      </c>
      <c r="I175" s="104">
        <v>0.33333333333333331</v>
      </c>
      <c r="J175" s="105">
        <v>0.5</v>
      </c>
      <c r="K175" s="28"/>
    </row>
    <row r="176" spans="1:11" ht="60.75" customHeight="1">
      <c r="A176" s="30">
        <f>ROW() - ROW(Ejecucion4[[#Headers],[Correlativo]])</f>
        <v>172</v>
      </c>
      <c r="B176" s="1" t="s">
        <v>392</v>
      </c>
      <c r="C176" s="84" t="str">
        <f>IF(B176="","",HYPERLINK("#"&amp;"Registro!B"&amp;MATCH(B176,Registro!$B$8:$B$997,0)+7,"Ubicar en registro"))</f>
        <v>Ubicar en registro</v>
      </c>
      <c r="D176" s="55" t="str">
        <f>IF(Ejecucion4[[#This Row],[No. Solicitud]]="","",_xlfn.XLOOKUP(Ejecucion4[[#This Row],[No. Solicitud]],Registro!$B$8:$B$997,Registro!$H$8:$H$997,"Sin Dato",0))</f>
        <v>Curso 96</v>
      </c>
      <c r="E176" s="28">
        <v>43544</v>
      </c>
      <c r="F176" s="28">
        <v>4</v>
      </c>
      <c r="G176" s="30">
        <v>1</v>
      </c>
      <c r="H176" s="130">
        <v>46281</v>
      </c>
      <c r="I176" s="104">
        <v>0.33333333333333331</v>
      </c>
      <c r="J176" s="105">
        <v>0.66666666666666663</v>
      </c>
      <c r="K176" s="28"/>
    </row>
    <row r="177" spans="1:11" ht="60.75" customHeight="1">
      <c r="A177" s="30">
        <f>ROW() - ROW(Ejecucion4[[#Headers],[Correlativo]])</f>
        <v>173</v>
      </c>
      <c r="B177" s="1" t="s">
        <v>392</v>
      </c>
      <c r="C177" s="84" t="str">
        <f>IF(B177="","",HYPERLINK("#"&amp;"Registro!B"&amp;MATCH(B177,Registro!$B$8:$B$997,0)+7,"Ubicar en registro"))</f>
        <v>Ubicar en registro</v>
      </c>
      <c r="D177" s="55" t="str">
        <f>IF(Ejecucion4[[#This Row],[No. Solicitud]]="","",_xlfn.XLOOKUP(Ejecucion4[[#This Row],[No. Solicitud]],Registro!$B$8:$B$997,Registro!$H$8:$H$997,"Sin Dato",0))</f>
        <v>Curso 96</v>
      </c>
      <c r="E177" s="28">
        <v>43544</v>
      </c>
      <c r="F177" s="28">
        <v>4</v>
      </c>
      <c r="G177" s="30">
        <v>2</v>
      </c>
      <c r="H177" s="130">
        <v>46282</v>
      </c>
      <c r="I177" s="104">
        <v>0.33333333333333331</v>
      </c>
      <c r="J177" s="105">
        <v>0.66666666666666663</v>
      </c>
      <c r="K177" s="28"/>
    </row>
    <row r="178" spans="1:11" ht="60.75" customHeight="1">
      <c r="A178" s="30">
        <f>ROW() - ROW(Ejecucion4[[#Headers],[Correlativo]])</f>
        <v>174</v>
      </c>
      <c r="B178" s="1" t="s">
        <v>392</v>
      </c>
      <c r="C178" s="84" t="str">
        <f>IF(B178="","",HYPERLINK("#"&amp;"Registro!B"&amp;MATCH(B178,Registro!$B$8:$B$997,0)+7,"Ubicar en registro"))</f>
        <v>Ubicar en registro</v>
      </c>
      <c r="D178" s="55" t="str">
        <f>IF(Ejecucion4[[#This Row],[No. Solicitud]]="","",_xlfn.XLOOKUP(Ejecucion4[[#This Row],[No. Solicitud]],Registro!$B$8:$B$997,Registro!$H$8:$H$997,"Sin Dato",0))</f>
        <v>Curso 96</v>
      </c>
      <c r="E178" s="28">
        <v>43544</v>
      </c>
      <c r="F178" s="28">
        <v>4</v>
      </c>
      <c r="G178" s="30">
        <v>3</v>
      </c>
      <c r="H178" s="130">
        <v>46283</v>
      </c>
      <c r="I178" s="104">
        <v>0.33333333333333331</v>
      </c>
      <c r="J178" s="105">
        <v>0.5</v>
      </c>
      <c r="K178" s="28"/>
    </row>
    <row r="179" spans="1:11" ht="30.75" customHeight="1">
      <c r="A179" s="30">
        <f>ROW() - ROW(Ejecucion4[[#Headers],[Correlativo]])</f>
        <v>175</v>
      </c>
      <c r="B179" s="1" t="s">
        <v>390</v>
      </c>
      <c r="C179" s="84" t="str">
        <f>IF(B179="","",HYPERLINK("#"&amp;"Registro!B"&amp;MATCH(B179,Registro!$B$8:$B$997,0)+7,"Ubicar en registro"))</f>
        <v>Ubicar en registro</v>
      </c>
      <c r="D179" s="55" t="str">
        <f>IF(Ejecucion4[[#This Row],[No. Solicitud]]="","",_xlfn.XLOOKUP(Ejecucion4[[#This Row],[No. Solicitud]],Registro!$B$8:$B$997,Registro!$H$8:$H$997,"Sin Dato",0))</f>
        <v>Curso 95</v>
      </c>
      <c r="E179" s="28">
        <v>43472</v>
      </c>
      <c r="F179" s="28">
        <v>1</v>
      </c>
      <c r="G179" s="30">
        <v>1</v>
      </c>
      <c r="H179" s="130">
        <v>46211</v>
      </c>
      <c r="I179" s="104">
        <v>0.58333333333333337</v>
      </c>
      <c r="J179" s="105">
        <v>0.625</v>
      </c>
      <c r="K179" s="28"/>
    </row>
    <row r="180" spans="1:11" ht="30.75" customHeight="1">
      <c r="A180" s="30">
        <f>ROW() - ROW(Ejecucion4[[#Headers],[Correlativo]])</f>
        <v>176</v>
      </c>
      <c r="B180" s="1" t="s">
        <v>388</v>
      </c>
      <c r="C180" s="84" t="str">
        <f>IF(B180="","",HYPERLINK("#"&amp;"Registro!B"&amp;MATCH(B180,Registro!$B$8:$B$997,0)+7,"Ubicar en registro"))</f>
        <v>Ubicar en registro</v>
      </c>
      <c r="D180" s="55" t="str">
        <f>IF(Ejecucion4[[#This Row],[No. Solicitud]]="","",_xlfn.XLOOKUP(Ejecucion4[[#This Row],[No. Solicitud]],Registro!$B$8:$B$997,Registro!$H$8:$H$997,"Sin Dato",0))</f>
        <v>Curso 94</v>
      </c>
      <c r="E180" s="28">
        <v>43476</v>
      </c>
      <c r="F180" s="28">
        <v>1</v>
      </c>
      <c r="G180" s="30">
        <v>1</v>
      </c>
      <c r="H180" s="130">
        <v>46211</v>
      </c>
      <c r="I180" s="104">
        <v>0.625</v>
      </c>
      <c r="J180" s="105">
        <v>0.66666666666666663</v>
      </c>
      <c r="K180" s="28"/>
    </row>
    <row r="181" spans="1:11" ht="30.75" customHeight="1">
      <c r="A181" s="30">
        <f>ROW() - ROW(Ejecucion4[[#Headers],[Correlativo]])</f>
        <v>177</v>
      </c>
      <c r="B181" s="1" t="s">
        <v>385</v>
      </c>
      <c r="C181" s="84" t="str">
        <f>IF(B181="","",HYPERLINK("#"&amp;"Registro!B"&amp;MATCH(B181,Registro!$B$8:$B$997,0)+7,"Ubicar en registro"))</f>
        <v>Ubicar en registro</v>
      </c>
      <c r="D181" s="55" t="str">
        <f>IF(Ejecucion4[[#This Row],[No. Solicitud]]="","",_xlfn.XLOOKUP(Ejecucion4[[#This Row],[No. Solicitud]],Registro!$B$8:$B$997,Registro!$H$8:$H$997,"Sin Dato",0))</f>
        <v>Curso 93</v>
      </c>
      <c r="E181" s="28">
        <v>43553</v>
      </c>
      <c r="F181" s="28">
        <v>1</v>
      </c>
      <c r="G181" s="30">
        <v>1</v>
      </c>
      <c r="H181" s="130">
        <v>46230</v>
      </c>
      <c r="I181" s="104">
        <v>0.33333333333333331</v>
      </c>
      <c r="J181" s="105">
        <v>0.66666666666666663</v>
      </c>
      <c r="K181" s="28"/>
    </row>
    <row r="182" spans="1:11" ht="30.75" customHeight="1">
      <c r="A182" s="30">
        <f>ROW() - ROW(Ejecucion4[[#Headers],[Correlativo]])</f>
        <v>178</v>
      </c>
      <c r="B182" s="1" t="s">
        <v>385</v>
      </c>
      <c r="C182" s="84" t="str">
        <f>IF(B182="","",HYPERLINK("#"&amp;"Registro!B"&amp;MATCH(B182,Registro!$B$8:$B$997,0)+7,"Ubicar en registro"))</f>
        <v>Ubicar en registro</v>
      </c>
      <c r="D182" s="55" t="str">
        <f>IF(Ejecucion4[[#This Row],[No. Solicitud]]="","",_xlfn.XLOOKUP(Ejecucion4[[#This Row],[No. Solicitud]],Registro!$B$8:$B$997,Registro!$H$8:$H$997,"Sin Dato",0))</f>
        <v>Curso 93</v>
      </c>
      <c r="E182" s="28">
        <v>43553</v>
      </c>
      <c r="F182" s="28">
        <v>1</v>
      </c>
      <c r="G182" s="30">
        <v>2</v>
      </c>
      <c r="H182" s="130">
        <v>46231</v>
      </c>
      <c r="I182" s="104">
        <v>0.33333333333333331</v>
      </c>
      <c r="J182" s="105">
        <v>0.5</v>
      </c>
      <c r="K182" s="28"/>
    </row>
    <row r="183" spans="1:11" ht="30.75" customHeight="1">
      <c r="A183" s="30">
        <f>ROW() - ROW(Ejecucion4[[#Headers],[Correlativo]])</f>
        <v>179</v>
      </c>
      <c r="B183" s="1" t="s">
        <v>385</v>
      </c>
      <c r="C183" s="84" t="str">
        <f>IF(B183="","",HYPERLINK("#"&amp;"Registro!B"&amp;MATCH(B183,Registro!$B$8:$B$997,0)+7,"Ubicar en registro"))</f>
        <v>Ubicar en registro</v>
      </c>
      <c r="D183" s="55" t="str">
        <f>IF(Ejecucion4[[#This Row],[No. Solicitud]]="","",_xlfn.XLOOKUP(Ejecucion4[[#This Row],[No. Solicitud]],Registro!$B$8:$B$997,Registro!$H$8:$H$997,"Sin Dato",0))</f>
        <v>Curso 93</v>
      </c>
      <c r="E183" s="28">
        <v>43554</v>
      </c>
      <c r="F183" s="28">
        <v>2</v>
      </c>
      <c r="G183" s="30">
        <v>1</v>
      </c>
      <c r="H183" s="130">
        <v>46232</v>
      </c>
      <c r="I183" s="104">
        <v>0.33333333333333331</v>
      </c>
      <c r="J183" s="105">
        <v>0.66666666666666663</v>
      </c>
      <c r="K183" s="28"/>
    </row>
    <row r="184" spans="1:11" ht="30.75" customHeight="1">
      <c r="A184" s="30">
        <f>ROW() - ROW(Ejecucion4[[#Headers],[Correlativo]])</f>
        <v>180</v>
      </c>
      <c r="B184" s="30" t="s">
        <v>385</v>
      </c>
      <c r="C184" s="84" t="str">
        <f>IF(B184="","",HYPERLINK("#"&amp;"Registro!B"&amp;MATCH(B184,Registro!$B$8:$B$997,0)+7,"Ubicar en registro"))</f>
        <v>Ubicar en registro</v>
      </c>
      <c r="D184" s="55" t="str">
        <f>IF(Ejecucion4[[#This Row],[No. Solicitud]]="","",_xlfn.XLOOKUP(Ejecucion4[[#This Row],[No. Solicitud]],Registro!$B$8:$B$997,Registro!$H$8:$H$997,"Sin Dato",0))</f>
        <v>Curso 93</v>
      </c>
      <c r="E184" s="28">
        <v>43554</v>
      </c>
      <c r="F184" s="28">
        <v>2</v>
      </c>
      <c r="G184" s="30">
        <v>2</v>
      </c>
      <c r="H184" s="130">
        <v>46233</v>
      </c>
      <c r="I184" s="104">
        <v>0.33333333333333331</v>
      </c>
      <c r="J184" s="105">
        <v>0.5</v>
      </c>
      <c r="K184" s="28"/>
    </row>
    <row r="185" spans="1:11" ht="30.75" customHeight="1">
      <c r="A185" s="30">
        <f>ROW() - ROW(Ejecucion4[[#Headers],[Correlativo]])</f>
        <v>181</v>
      </c>
      <c r="B185" s="30" t="s">
        <v>385</v>
      </c>
      <c r="C185" s="84" t="str">
        <f>IF(B185="","",HYPERLINK("#"&amp;"Registro!B"&amp;MATCH(B185,Registro!$B$8:$B$997,0)+7,"Ubicar en registro"))</f>
        <v>Ubicar en registro</v>
      </c>
      <c r="D185" s="55" t="str">
        <f>IF(Ejecucion4[[#This Row],[No. Solicitud]]="","",_xlfn.XLOOKUP(Ejecucion4[[#This Row],[No. Solicitud]],Registro!$B$8:$B$997,Registro!$H$8:$H$997,"Sin Dato",0))</f>
        <v>Curso 93</v>
      </c>
      <c r="E185" s="28">
        <v>43555</v>
      </c>
      <c r="F185" s="28">
        <v>3</v>
      </c>
      <c r="G185" s="30">
        <v>1</v>
      </c>
      <c r="H185" s="130">
        <v>46237</v>
      </c>
      <c r="I185" s="104">
        <v>0.33333333333333331</v>
      </c>
      <c r="J185" s="105">
        <v>0.66666666666666663</v>
      </c>
      <c r="K185" s="28"/>
    </row>
    <row r="186" spans="1:11" ht="30.75" customHeight="1">
      <c r="A186" s="30">
        <f>ROW() - ROW(Ejecucion4[[#Headers],[Correlativo]])</f>
        <v>182</v>
      </c>
      <c r="B186" s="30" t="s">
        <v>385</v>
      </c>
      <c r="C186" s="84" t="str">
        <f>IF(B186="","",HYPERLINK("#"&amp;"Registro!B"&amp;MATCH(B186,Registro!$B$8:$B$997,0)+7,"Ubicar en registro"))</f>
        <v>Ubicar en registro</v>
      </c>
      <c r="D186" s="55" t="str">
        <f>IF(Ejecucion4[[#This Row],[No. Solicitud]]="","",_xlfn.XLOOKUP(Ejecucion4[[#This Row],[No. Solicitud]],Registro!$B$8:$B$997,Registro!$H$8:$H$997,"Sin Dato",0))</f>
        <v>Curso 93</v>
      </c>
      <c r="E186" s="28">
        <v>43555</v>
      </c>
      <c r="F186" s="28">
        <v>3</v>
      </c>
      <c r="G186" s="30">
        <v>2</v>
      </c>
      <c r="H186" s="130">
        <v>46238</v>
      </c>
      <c r="I186" s="104">
        <v>0.33333333333333331</v>
      </c>
      <c r="J186" s="105">
        <v>0.5</v>
      </c>
      <c r="K186" s="28"/>
    </row>
    <row r="187" spans="1:11" ht="45.75" customHeight="1">
      <c r="A187" s="30">
        <f>ROW() - ROW(Ejecucion4[[#Headers],[Correlativo]])</f>
        <v>183</v>
      </c>
      <c r="B187" s="30" t="s">
        <v>378</v>
      </c>
      <c r="C187" s="84" t="str">
        <f>IF(B187="","",HYPERLINK("#"&amp;"Registro!B"&amp;MATCH(B187,Registro!$B$8:$B$997,0)+7,"Ubicar en registro"))</f>
        <v>Ubicar en registro</v>
      </c>
      <c r="D187" s="55" t="str">
        <f>IF(Ejecucion4[[#This Row],[No. Solicitud]]="","",_xlfn.XLOOKUP(Ejecucion4[[#This Row],[No. Solicitud]],Registro!$B$8:$B$997,Registro!$H$8:$H$997,"Sin Dato",0))</f>
        <v>Curso 90</v>
      </c>
      <c r="E187" s="28"/>
      <c r="F187" s="28">
        <v>1</v>
      </c>
      <c r="G187" s="30">
        <v>1</v>
      </c>
      <c r="H187" s="130">
        <v>46230</v>
      </c>
      <c r="I187" s="104">
        <v>0.33333333333333331</v>
      </c>
      <c r="J187" s="105">
        <v>0.41666666666666669</v>
      </c>
      <c r="K187" s="28" t="s">
        <v>792</v>
      </c>
    </row>
    <row r="188" spans="1:11" ht="30.75" customHeight="1">
      <c r="A188" s="30">
        <f>ROW() - ROW(Ejecucion4[[#Headers],[Correlativo]])</f>
        <v>184</v>
      </c>
      <c r="B188" s="30" t="s">
        <v>376</v>
      </c>
      <c r="C188" s="84" t="str">
        <f>IF(B188="","",HYPERLINK("#"&amp;"Registro!B"&amp;MATCH(B188,Registro!$B$8:$B$997,0)+7,"Ubicar en registro"))</f>
        <v>Ubicar en registro</v>
      </c>
      <c r="D188" s="55" t="str">
        <f>IF(Ejecucion4[[#This Row],[No. Solicitud]]="","",_xlfn.XLOOKUP(Ejecucion4[[#This Row],[No. Solicitud]],Registro!$B$8:$B$997,Registro!$H$8:$H$997,"Sin Dato",0))</f>
        <v>Curso 89</v>
      </c>
      <c r="E188" s="29">
        <v>43580</v>
      </c>
      <c r="F188" s="28">
        <v>1</v>
      </c>
      <c r="G188" s="30">
        <v>1</v>
      </c>
      <c r="H188" s="130">
        <v>46238</v>
      </c>
      <c r="I188" s="104">
        <v>0.33333333333333331</v>
      </c>
      <c r="J188" s="105">
        <v>0.5</v>
      </c>
      <c r="K188" s="28"/>
    </row>
    <row r="189" spans="1:11" ht="30.75" customHeight="1">
      <c r="A189" s="30">
        <f>ROW() - ROW(Ejecucion4[[#Headers],[Correlativo]])</f>
        <v>185</v>
      </c>
      <c r="B189" s="30" t="s">
        <v>376</v>
      </c>
      <c r="C189" s="84" t="str">
        <f>IF(B189="","",HYPERLINK("#"&amp;"Registro!B"&amp;MATCH(B189,Registro!$B$8:$B$997,0)+7,"Ubicar en registro"))</f>
        <v>Ubicar en registro</v>
      </c>
      <c r="D189" s="55" t="str">
        <f>IF(Ejecucion4[[#This Row],[No. Solicitud]]="","",_xlfn.XLOOKUP(Ejecucion4[[#This Row],[No. Solicitud]],Registro!$B$8:$B$997,Registro!$H$8:$H$997,"Sin Dato",0))</f>
        <v>Curso 89</v>
      </c>
      <c r="E189" s="29">
        <v>43580</v>
      </c>
      <c r="F189" s="28">
        <v>1</v>
      </c>
      <c r="G189" s="30">
        <v>2</v>
      </c>
      <c r="H189" s="130">
        <v>46239</v>
      </c>
      <c r="I189" s="104">
        <v>0.33333333333333331</v>
      </c>
      <c r="J189" s="105">
        <v>0.5</v>
      </c>
      <c r="K189" s="28"/>
    </row>
    <row r="190" spans="1:11" ht="30.75" customHeight="1">
      <c r="A190" s="30">
        <f>ROW() - ROW(Ejecucion4[[#Headers],[Correlativo]])</f>
        <v>186</v>
      </c>
      <c r="B190" s="30" t="s">
        <v>376</v>
      </c>
      <c r="C190" s="84" t="str">
        <f>IF(B190="","",HYPERLINK("#"&amp;"Registro!B"&amp;MATCH(B190,Registro!$B$8:$B$997,0)+7,"Ubicar en registro"))</f>
        <v>Ubicar en registro</v>
      </c>
      <c r="D190" s="55" t="str">
        <f>IF(Ejecucion4[[#This Row],[No. Solicitud]]="","",_xlfn.XLOOKUP(Ejecucion4[[#This Row],[No. Solicitud]],Registro!$B$8:$B$997,Registro!$H$8:$H$997,"Sin Dato",0))</f>
        <v>Curso 89</v>
      </c>
      <c r="E190" s="29">
        <v>43581</v>
      </c>
      <c r="F190" s="28">
        <v>2</v>
      </c>
      <c r="G190" s="30">
        <v>1</v>
      </c>
      <c r="H190" s="130">
        <v>46245</v>
      </c>
      <c r="I190" s="104">
        <v>0.33333333333333331</v>
      </c>
      <c r="J190" s="105">
        <v>0.5</v>
      </c>
      <c r="K190" s="28"/>
    </row>
    <row r="191" spans="1:11" ht="30.75" customHeight="1">
      <c r="A191" s="30">
        <f>ROW() - ROW(Ejecucion4[[#Headers],[Correlativo]])</f>
        <v>187</v>
      </c>
      <c r="B191" s="30" t="s">
        <v>376</v>
      </c>
      <c r="C191" s="84" t="str">
        <f>IF(B191="","",HYPERLINK("#"&amp;"Registro!B"&amp;MATCH(B191,Registro!$B$8:$B$997,0)+7,"Ubicar en registro"))</f>
        <v>Ubicar en registro</v>
      </c>
      <c r="D191" s="55" t="str">
        <f>IF(Ejecucion4[[#This Row],[No. Solicitud]]="","",_xlfn.XLOOKUP(Ejecucion4[[#This Row],[No. Solicitud]],Registro!$B$8:$B$997,Registro!$H$8:$H$997,"Sin Dato",0))</f>
        <v>Curso 89</v>
      </c>
      <c r="E191" s="29">
        <v>43581</v>
      </c>
      <c r="F191" s="28">
        <v>2</v>
      </c>
      <c r="G191" s="30">
        <v>2</v>
      </c>
      <c r="H191" s="130">
        <v>46246</v>
      </c>
      <c r="I191" s="104">
        <v>0.33333333333333331</v>
      </c>
      <c r="J191" s="105">
        <v>0.5</v>
      </c>
      <c r="K191" s="28"/>
    </row>
    <row r="192" spans="1:11" ht="30.75" customHeight="1">
      <c r="A192" s="30">
        <f>ROW() - ROW(Ejecucion4[[#Headers],[Correlativo]])</f>
        <v>188</v>
      </c>
      <c r="B192" s="30" t="s">
        <v>372</v>
      </c>
      <c r="C192" s="84" t="str">
        <f>IF(B192="","",HYPERLINK("#"&amp;"Registro!B"&amp;MATCH(B192,Registro!$B$8:$B$997,0)+7,"Ubicar en registro"))</f>
        <v>Ubicar en registro</v>
      </c>
      <c r="D192" s="55" t="str">
        <f>IF(Ejecucion4[[#This Row],[No. Solicitud]]="","",_xlfn.XLOOKUP(Ejecucion4[[#This Row],[No. Solicitud]],Registro!$B$8:$B$997,Registro!$H$8:$H$997,"Sin Dato",0))</f>
        <v>Curso 88</v>
      </c>
      <c r="E192" s="28"/>
      <c r="F192" s="28">
        <v>1</v>
      </c>
      <c r="G192" s="30">
        <v>5</v>
      </c>
      <c r="H192" s="30"/>
      <c r="I192" s="104"/>
      <c r="J192" s="105"/>
      <c r="K192" s="28" t="s">
        <v>791</v>
      </c>
    </row>
    <row r="193" spans="1:11" ht="30.75" customHeight="1">
      <c r="A193" s="30">
        <f>ROW() - ROW(Ejecucion4[[#Headers],[Correlativo]])</f>
        <v>189</v>
      </c>
      <c r="B193" s="30" t="s">
        <v>368</v>
      </c>
      <c r="C193" s="84" t="str">
        <f>IF(B193="","",HYPERLINK("#"&amp;"Registro!B"&amp;MATCH(B193,Registro!$B$8:$B$997,0)+7,"Ubicar en registro"))</f>
        <v>Ubicar en registro</v>
      </c>
      <c r="D193" s="55" t="str">
        <f>IF(Ejecucion4[[#This Row],[No. Solicitud]]="","",_xlfn.XLOOKUP(Ejecucion4[[#This Row],[No. Solicitud]],Registro!$B$8:$B$997,Registro!$H$8:$H$997,"Sin Dato",0))</f>
        <v>Curso 87</v>
      </c>
      <c r="E193" s="28">
        <v>43782</v>
      </c>
      <c r="F193" s="28">
        <v>1</v>
      </c>
      <c r="G193" s="28">
        <v>1</v>
      </c>
      <c r="H193" s="130">
        <v>46272</v>
      </c>
      <c r="I193" s="104">
        <v>0.33333333333333331</v>
      </c>
      <c r="J193" s="105">
        <v>0.45833333333333331</v>
      </c>
      <c r="K193" s="28"/>
    </row>
    <row r="194" spans="1:11" ht="30.75" customHeight="1">
      <c r="A194" s="30">
        <f>ROW() - ROW(Ejecucion4[[#Headers],[Correlativo]])</f>
        <v>190</v>
      </c>
      <c r="B194" s="1" t="s">
        <v>368</v>
      </c>
      <c r="C194" s="84" t="str">
        <f>IF(B194="","",HYPERLINK("#"&amp;"Registro!B"&amp;MATCH(B194,Registro!$B$8:$B$997,0)+7,"Ubicar en registro"))</f>
        <v>Ubicar en registro</v>
      </c>
      <c r="D194" s="55" t="str">
        <f>IF(Ejecucion4[[#This Row],[No. Solicitud]]="","",_xlfn.XLOOKUP(Ejecucion4[[#This Row],[No. Solicitud]],Registro!$B$8:$B$997,Registro!$H$8:$H$997,"Sin Dato",0))</f>
        <v>Curso 87</v>
      </c>
      <c r="E194" s="28">
        <v>43782</v>
      </c>
      <c r="F194" s="28">
        <v>1</v>
      </c>
      <c r="G194" s="28">
        <v>2</v>
      </c>
      <c r="H194" s="130">
        <v>46286</v>
      </c>
      <c r="I194" s="104">
        <v>0.33333333333333331</v>
      </c>
      <c r="J194" s="105">
        <v>0.45833333333333331</v>
      </c>
      <c r="K194" s="28"/>
    </row>
    <row r="195" spans="1:11" ht="30.75" customHeight="1">
      <c r="A195" s="30">
        <f>ROW() - ROW(Ejecucion4[[#Headers],[Correlativo]])</f>
        <v>191</v>
      </c>
      <c r="B195" s="1" t="s">
        <v>368</v>
      </c>
      <c r="C195" s="84" t="str">
        <f>IF(B195="","",HYPERLINK("#"&amp;"Registro!B"&amp;MATCH(B195,Registro!$B$8:$B$997,0)+7,"Ubicar en registro"))</f>
        <v>Ubicar en registro</v>
      </c>
      <c r="D195" s="55" t="str">
        <f>IF(Ejecucion4[[#This Row],[No. Solicitud]]="","",_xlfn.XLOOKUP(Ejecucion4[[#This Row],[No. Solicitud]],Registro!$B$8:$B$997,Registro!$H$8:$H$997,"Sin Dato",0))</f>
        <v>Curso 87</v>
      </c>
      <c r="E195" s="28">
        <v>43782</v>
      </c>
      <c r="F195" s="28">
        <v>1</v>
      </c>
      <c r="G195" s="28">
        <v>3</v>
      </c>
      <c r="H195" s="130">
        <v>46290</v>
      </c>
      <c r="I195" s="104">
        <v>0.33333333333333331</v>
      </c>
      <c r="J195" s="105">
        <v>0.45833333333333331</v>
      </c>
      <c r="K195" s="28"/>
    </row>
    <row r="196" spans="1:11" ht="30.75" customHeight="1">
      <c r="A196" s="30">
        <f>ROW() - ROW(Ejecucion4[[#Headers],[Correlativo]])</f>
        <v>192</v>
      </c>
      <c r="B196" s="1" t="s">
        <v>368</v>
      </c>
      <c r="C196" s="84" t="str">
        <f>IF(B196="","",HYPERLINK("#"&amp;"Registro!B"&amp;MATCH(B196,Registro!$B$8:$B$997,0)+7,"Ubicar en registro"))</f>
        <v>Ubicar en registro</v>
      </c>
      <c r="D196" s="55" t="str">
        <f>IF(Ejecucion4[[#This Row],[No. Solicitud]]="","",_xlfn.XLOOKUP(Ejecucion4[[#This Row],[No. Solicitud]],Registro!$B$8:$B$997,Registro!$H$8:$H$997,"Sin Dato",0))</f>
        <v>Curso 87</v>
      </c>
      <c r="E196" s="28">
        <v>43782</v>
      </c>
      <c r="F196" s="28">
        <v>1</v>
      </c>
      <c r="G196" s="28">
        <v>4</v>
      </c>
      <c r="H196" s="130">
        <v>46293</v>
      </c>
      <c r="I196" s="104">
        <v>0.33333333333333331</v>
      </c>
      <c r="J196" s="105">
        <v>0.45833333333333331</v>
      </c>
      <c r="K196" s="28"/>
    </row>
    <row r="197" spans="1:11" ht="30.75" customHeight="1">
      <c r="A197" s="30">
        <f>ROW() - ROW(Ejecucion4[[#Headers],[Correlativo]])</f>
        <v>193</v>
      </c>
      <c r="B197" s="24" t="s">
        <v>368</v>
      </c>
      <c r="C197" s="84" t="str">
        <f>IF(B197="","",HYPERLINK("#"&amp;"Registro!B"&amp;MATCH(B197,Registro!$B$8:$B$997,0)+7,"Ubicar en registro"))</f>
        <v>Ubicar en registro</v>
      </c>
      <c r="D197" s="55" t="str">
        <f>IF(Ejecucion4[[#This Row],[No. Solicitud]]="","",_xlfn.XLOOKUP(Ejecucion4[[#This Row],[No. Solicitud]],Registro!$B$8:$B$997,Registro!$H$8:$H$997,"Sin Dato",0))</f>
        <v>Curso 87</v>
      </c>
      <c r="E197" s="28">
        <v>43782</v>
      </c>
      <c r="F197" s="28">
        <v>1</v>
      </c>
      <c r="G197" s="28">
        <v>5</v>
      </c>
      <c r="H197" s="130">
        <v>46297</v>
      </c>
      <c r="I197" s="104">
        <v>0.33333333333333331</v>
      </c>
      <c r="J197" s="105">
        <v>0.5</v>
      </c>
      <c r="K197" s="28"/>
    </row>
    <row r="198" spans="1:11" ht="30.75" customHeight="1">
      <c r="A198" s="30">
        <f>ROW() - ROW(Ejecucion4[[#Headers],[Correlativo]])</f>
        <v>194</v>
      </c>
      <c r="B198" s="24" t="s">
        <v>366</v>
      </c>
      <c r="C198" s="84" t="str">
        <f>IF(B198="","",HYPERLINK("#"&amp;"Registro!B"&amp;MATCH(B198,Registro!$B$8:$B$997,0)+7,"Ubicar en registro"))</f>
        <v>Ubicar en registro</v>
      </c>
      <c r="D198" s="55" t="str">
        <f>IF(Ejecucion4[[#This Row],[No. Solicitud]]="","",_xlfn.XLOOKUP(Ejecucion4[[#This Row],[No. Solicitud]],Registro!$B$8:$B$997,Registro!$H$8:$H$997,"Sin Dato",0))</f>
        <v>Curso 86</v>
      </c>
      <c r="E198" s="28">
        <v>43675</v>
      </c>
      <c r="F198" s="28">
        <v>1</v>
      </c>
      <c r="G198" s="30">
        <v>5</v>
      </c>
      <c r="H198" s="30"/>
      <c r="I198" s="104"/>
      <c r="J198" s="105"/>
      <c r="K198" s="28" t="s">
        <v>791</v>
      </c>
    </row>
    <row r="199" spans="1:11" ht="30.75" customHeight="1">
      <c r="A199" s="30">
        <f>ROW() - ROW(Ejecucion4[[#Headers],[Correlativo]])</f>
        <v>195</v>
      </c>
      <c r="B199" s="24" t="s">
        <v>364</v>
      </c>
      <c r="C199" s="84" t="str">
        <f>IF(B199="","",HYPERLINK("#"&amp;"Registro!B"&amp;MATCH(B199,Registro!$B$8:$B$997,0)+7,"Ubicar en registro"))</f>
        <v>Ubicar en registro</v>
      </c>
      <c r="D199" s="55" t="str">
        <f>IF(Ejecucion4[[#This Row],[No. Solicitud]]="","",_xlfn.XLOOKUP(Ejecucion4[[#This Row],[No. Solicitud]],Registro!$B$8:$B$997,Registro!$H$8:$H$997,"Sin Dato",0))</f>
        <v>Curso 85</v>
      </c>
      <c r="E199" s="28">
        <v>43671</v>
      </c>
      <c r="F199" s="28">
        <v>1</v>
      </c>
      <c r="G199" s="30">
        <v>1</v>
      </c>
      <c r="H199" s="130">
        <v>46252</v>
      </c>
      <c r="I199" s="104">
        <v>0.33333333333333331</v>
      </c>
      <c r="J199" s="105">
        <v>0.66666666666666663</v>
      </c>
      <c r="K199" s="28"/>
    </row>
    <row r="200" spans="1:11" ht="30.75" customHeight="1">
      <c r="A200" s="30">
        <f>ROW() - ROW(Ejecucion4[[#Headers],[Correlativo]])</f>
        <v>196</v>
      </c>
      <c r="B200" s="24" t="s">
        <v>362</v>
      </c>
      <c r="C200" s="84" t="str">
        <f>IF(B200="","",HYPERLINK("#"&amp;"Registro!B"&amp;MATCH(B200,Registro!$B$8:$B$997,0)+7,"Ubicar en registro"))</f>
        <v>Ubicar en registro</v>
      </c>
      <c r="D200" s="55" t="str">
        <f>IF(Ejecucion4[[#This Row],[No. Solicitud]]="","",_xlfn.XLOOKUP(Ejecucion4[[#This Row],[No. Solicitud]],Registro!$B$8:$B$997,Registro!$H$8:$H$997,"Sin Dato",0))</f>
        <v>Curso 84</v>
      </c>
      <c r="E200" s="28">
        <v>43789</v>
      </c>
      <c r="F200" s="28">
        <v>1</v>
      </c>
      <c r="G200" s="30">
        <v>1</v>
      </c>
      <c r="H200" s="130">
        <v>46259</v>
      </c>
      <c r="I200" s="104">
        <v>0.33333333333333331</v>
      </c>
      <c r="J200" s="105">
        <v>0.66666666666666663</v>
      </c>
      <c r="K200" s="28"/>
    </row>
    <row r="201" spans="1:11" ht="30.75" customHeight="1">
      <c r="A201" s="30">
        <f>ROW() - ROW(Ejecucion4[[#Headers],[Correlativo]])</f>
        <v>197</v>
      </c>
      <c r="B201" s="24" t="s">
        <v>360</v>
      </c>
      <c r="C201" s="84" t="str">
        <f>IF(B201="","",HYPERLINK("#"&amp;"Registro!B"&amp;MATCH(B201,Registro!$B$8:$B$997,0)+7,"Ubicar en registro"))</f>
        <v>Ubicar en registro</v>
      </c>
      <c r="D201" s="55" t="str">
        <f>IF(Ejecucion4[[#This Row],[No. Solicitud]]="","",_xlfn.XLOOKUP(Ejecucion4[[#This Row],[No. Solicitud]],Registro!$B$8:$B$997,Registro!$H$8:$H$997,"Sin Dato",0))</f>
        <v>Curso 83</v>
      </c>
      <c r="E201" s="28">
        <v>43613</v>
      </c>
      <c r="F201" s="28">
        <v>1</v>
      </c>
      <c r="G201" s="30">
        <v>1</v>
      </c>
      <c r="H201" s="130">
        <v>46281</v>
      </c>
      <c r="I201" s="104">
        <v>0.375</v>
      </c>
      <c r="J201" s="105">
        <v>0.5</v>
      </c>
      <c r="K201" s="28"/>
    </row>
    <row r="202" spans="1:11" ht="30.75" customHeight="1">
      <c r="A202" s="30">
        <f>ROW() - ROW(Ejecucion4[[#Headers],[Correlativo]])</f>
        <v>198</v>
      </c>
      <c r="B202" s="24" t="s">
        <v>360</v>
      </c>
      <c r="C202" s="84" t="str">
        <f>IF(B202="","",HYPERLINK("#"&amp;"Registro!B"&amp;MATCH(B202,Registro!$B$8:$B$997,0)+7,"Ubicar en registro"))</f>
        <v>Ubicar en registro</v>
      </c>
      <c r="D202" s="55" t="str">
        <f>IF(Ejecucion4[[#This Row],[No. Solicitud]]="","",_xlfn.XLOOKUP(Ejecucion4[[#This Row],[No. Solicitud]],Registro!$B$8:$B$997,Registro!$H$8:$H$997,"Sin Dato",0))</f>
        <v>Curso 83</v>
      </c>
      <c r="E202" s="28">
        <v>43613</v>
      </c>
      <c r="F202" s="28">
        <v>1</v>
      </c>
      <c r="G202" s="30">
        <v>2</v>
      </c>
      <c r="H202" s="130">
        <v>46283</v>
      </c>
      <c r="I202" s="104">
        <v>0.375</v>
      </c>
      <c r="J202" s="105">
        <v>0.5</v>
      </c>
      <c r="K202" s="28"/>
    </row>
    <row r="203" spans="1:11" ht="30.75" customHeight="1">
      <c r="A203" s="30">
        <f>ROW() - ROW(Ejecucion4[[#Headers],[Correlativo]])</f>
        <v>199</v>
      </c>
      <c r="B203" s="24" t="s">
        <v>360</v>
      </c>
      <c r="C203" s="84" t="str">
        <f>IF(B203="","",HYPERLINK("#"&amp;"Registro!B"&amp;MATCH(B203,Registro!$B$8:$B$997,0)+7,"Ubicar en registro"))</f>
        <v>Ubicar en registro</v>
      </c>
      <c r="D203" s="55" t="str">
        <f>IF(Ejecucion4[[#This Row],[No. Solicitud]]="","",_xlfn.XLOOKUP(Ejecucion4[[#This Row],[No. Solicitud]],Registro!$B$8:$B$997,Registro!$H$8:$H$997,"Sin Dato",0))</f>
        <v>Curso 83</v>
      </c>
      <c r="E203" s="28">
        <v>43613</v>
      </c>
      <c r="F203" s="28">
        <v>1</v>
      </c>
      <c r="G203" s="30">
        <v>3</v>
      </c>
      <c r="H203" s="130">
        <v>46287</v>
      </c>
      <c r="I203" s="104">
        <v>0.375</v>
      </c>
      <c r="J203" s="105">
        <v>0.5</v>
      </c>
      <c r="K203" s="28"/>
    </row>
    <row r="204" spans="1:11" ht="30.75" customHeight="1">
      <c r="A204" s="30">
        <f>ROW() - ROW(Ejecucion4[[#Headers],[Correlativo]])</f>
        <v>200</v>
      </c>
      <c r="B204" s="24" t="s">
        <v>360</v>
      </c>
      <c r="C204" s="84" t="str">
        <f>IF(B204="","",HYPERLINK("#"&amp;"Registro!B"&amp;MATCH(B204,Registro!$B$8:$B$997,0)+7,"Ubicar en registro"))</f>
        <v>Ubicar en registro</v>
      </c>
      <c r="D204" s="55" t="str">
        <f>IF(Ejecucion4[[#This Row],[No. Solicitud]]="","",_xlfn.XLOOKUP(Ejecucion4[[#This Row],[No. Solicitud]],Registro!$B$8:$B$997,Registro!$H$8:$H$997,"Sin Dato",0))</f>
        <v>Curso 83</v>
      </c>
      <c r="E204" s="28">
        <v>43613</v>
      </c>
      <c r="F204" s="28">
        <v>1</v>
      </c>
      <c r="G204" s="30">
        <v>4</v>
      </c>
      <c r="H204" s="130">
        <v>46289</v>
      </c>
      <c r="I204" s="104">
        <v>0.375</v>
      </c>
      <c r="J204" s="105">
        <v>0.5</v>
      </c>
      <c r="K204" s="28"/>
    </row>
    <row r="205" spans="1:11" ht="30.75" customHeight="1">
      <c r="A205" s="30">
        <f>ROW() - ROW(Ejecucion4[[#Headers],[Correlativo]])</f>
        <v>201</v>
      </c>
      <c r="B205" s="24" t="s">
        <v>360</v>
      </c>
      <c r="C205" s="84" t="str">
        <f>IF(B205="","",HYPERLINK("#"&amp;"Registro!B"&amp;MATCH(B205,Registro!$B$8:$B$997,0)+7,"Ubicar en registro"))</f>
        <v>Ubicar en registro</v>
      </c>
      <c r="D205" s="55" t="str">
        <f>IF(Ejecucion4[[#This Row],[No. Solicitud]]="","",_xlfn.XLOOKUP(Ejecucion4[[#This Row],[No. Solicitud]],Registro!$B$8:$B$997,Registro!$H$8:$H$997,"Sin Dato",0))</f>
        <v>Curso 83</v>
      </c>
      <c r="E205" s="28">
        <v>43613</v>
      </c>
      <c r="F205" s="28">
        <v>1</v>
      </c>
      <c r="G205" s="30">
        <v>5</v>
      </c>
      <c r="H205" s="130">
        <v>46293</v>
      </c>
      <c r="I205" s="104">
        <v>0.375</v>
      </c>
      <c r="J205" s="105">
        <v>0.5</v>
      </c>
      <c r="K205" s="28"/>
    </row>
    <row r="206" spans="1:11" ht="30.75" customHeight="1">
      <c r="A206" s="30">
        <f>ROW() - ROW(Ejecucion4[[#Headers],[Correlativo]])</f>
        <v>202</v>
      </c>
      <c r="B206" s="24" t="s">
        <v>360</v>
      </c>
      <c r="C206" s="84" t="str">
        <f>IF(B206="","",HYPERLINK("#"&amp;"Registro!B"&amp;MATCH(B206,Registro!$B$8:$B$997,0)+7,"Ubicar en registro"))</f>
        <v>Ubicar en registro</v>
      </c>
      <c r="D206" s="55" t="str">
        <f>IF(Ejecucion4[[#This Row],[No. Solicitud]]="","",_xlfn.XLOOKUP(Ejecucion4[[#This Row],[No. Solicitud]],Registro!$B$8:$B$997,Registro!$H$8:$H$997,"Sin Dato",0))</f>
        <v>Curso 83</v>
      </c>
      <c r="E206" s="28">
        <v>43615</v>
      </c>
      <c r="F206" s="28">
        <v>2</v>
      </c>
      <c r="G206" s="30">
        <v>1</v>
      </c>
      <c r="H206" s="130">
        <v>46282</v>
      </c>
      <c r="I206" s="104">
        <v>0.375</v>
      </c>
      <c r="J206" s="105">
        <v>0.5</v>
      </c>
      <c r="K206" s="28"/>
    </row>
    <row r="207" spans="1:11" ht="30.75" customHeight="1">
      <c r="A207" s="30">
        <f>ROW() - ROW(Ejecucion4[[#Headers],[Correlativo]])</f>
        <v>203</v>
      </c>
      <c r="B207" s="1" t="s">
        <v>360</v>
      </c>
      <c r="C207" s="84" t="str">
        <f>IF(B207="","",HYPERLINK("#"&amp;"Registro!B"&amp;MATCH(B207,Registro!$B$8:$B$997,0)+7,"Ubicar en registro"))</f>
        <v>Ubicar en registro</v>
      </c>
      <c r="D207" s="55" t="str">
        <f>IF(Ejecucion4[[#This Row],[No. Solicitud]]="","",_xlfn.XLOOKUP(Ejecucion4[[#This Row],[No. Solicitud]],Registro!$B$8:$B$997,Registro!$H$8:$H$997,"Sin Dato",0))</f>
        <v>Curso 83</v>
      </c>
      <c r="E207" s="28">
        <v>43615</v>
      </c>
      <c r="F207" s="28">
        <v>2</v>
      </c>
      <c r="G207" s="30">
        <v>2</v>
      </c>
      <c r="H207" s="130">
        <v>46286</v>
      </c>
      <c r="I207" s="104">
        <v>0.375</v>
      </c>
      <c r="J207" s="105">
        <v>0.5</v>
      </c>
      <c r="K207" s="28"/>
    </row>
    <row r="208" spans="1:11" ht="30.75" customHeight="1">
      <c r="A208" s="30">
        <f>ROW() - ROW(Ejecucion4[[#Headers],[Correlativo]])</f>
        <v>204</v>
      </c>
      <c r="B208" s="1" t="s">
        <v>360</v>
      </c>
      <c r="C208" s="84" t="str">
        <f>IF(B208="","",HYPERLINK("#"&amp;"Registro!B"&amp;MATCH(B208,Registro!$B$8:$B$997,0)+7,"Ubicar en registro"))</f>
        <v>Ubicar en registro</v>
      </c>
      <c r="D208" s="55" t="str">
        <f>IF(Ejecucion4[[#This Row],[No. Solicitud]]="","",_xlfn.XLOOKUP(Ejecucion4[[#This Row],[No. Solicitud]],Registro!$B$8:$B$997,Registro!$H$8:$H$997,"Sin Dato",0))</f>
        <v>Curso 83</v>
      </c>
      <c r="E208" s="28">
        <v>43615</v>
      </c>
      <c r="F208" s="28">
        <v>2</v>
      </c>
      <c r="G208" s="30">
        <v>3</v>
      </c>
      <c r="H208" s="130">
        <v>46288</v>
      </c>
      <c r="I208" s="104">
        <v>0.375</v>
      </c>
      <c r="J208" s="105">
        <v>0.5</v>
      </c>
      <c r="K208" s="28"/>
    </row>
    <row r="209" spans="1:11" ht="30.75" customHeight="1">
      <c r="A209" s="30">
        <f>ROW() - ROW(Ejecucion4[[#Headers],[Correlativo]])</f>
        <v>205</v>
      </c>
      <c r="B209" s="1" t="s">
        <v>360</v>
      </c>
      <c r="C209" s="84" t="str">
        <f>IF(B209="","",HYPERLINK("#"&amp;"Registro!B"&amp;MATCH(B209,Registro!$B$8:$B$997,0)+7,"Ubicar en registro"))</f>
        <v>Ubicar en registro</v>
      </c>
      <c r="D209" s="55" t="str">
        <f>IF(Ejecucion4[[#This Row],[No. Solicitud]]="","",_xlfn.XLOOKUP(Ejecucion4[[#This Row],[No. Solicitud]],Registro!$B$8:$B$997,Registro!$H$8:$H$997,"Sin Dato",0))</f>
        <v>Curso 83</v>
      </c>
      <c r="E209" s="28">
        <v>43615</v>
      </c>
      <c r="F209" s="28">
        <v>2</v>
      </c>
      <c r="G209" s="30">
        <v>4</v>
      </c>
      <c r="H209" s="130">
        <v>46290</v>
      </c>
      <c r="I209" s="104">
        <v>0.375</v>
      </c>
      <c r="J209" s="105">
        <v>0.5</v>
      </c>
      <c r="K209" s="28"/>
    </row>
    <row r="210" spans="1:11" ht="30.75" customHeight="1">
      <c r="A210" s="30">
        <f>ROW() - ROW(Ejecucion4[[#Headers],[Correlativo]])</f>
        <v>206</v>
      </c>
      <c r="B210" s="1" t="s">
        <v>360</v>
      </c>
      <c r="C210" s="84" t="str">
        <f>IF(B210="","",HYPERLINK("#"&amp;"Registro!B"&amp;MATCH(B210,Registro!$B$8:$B$997,0)+7,"Ubicar en registro"))</f>
        <v>Ubicar en registro</v>
      </c>
      <c r="D210" s="55" t="str">
        <f>IF(Ejecucion4[[#This Row],[No. Solicitud]]="","",_xlfn.XLOOKUP(Ejecucion4[[#This Row],[No. Solicitud]],Registro!$B$8:$B$997,Registro!$H$8:$H$997,"Sin Dato",0))</f>
        <v>Curso 83</v>
      </c>
      <c r="E210" s="28">
        <v>43615</v>
      </c>
      <c r="F210" s="28">
        <v>2</v>
      </c>
      <c r="G210" s="30">
        <v>5</v>
      </c>
      <c r="H210" s="130">
        <v>46294</v>
      </c>
      <c r="I210" s="104">
        <v>0.375</v>
      </c>
      <c r="J210" s="105">
        <v>0.5</v>
      </c>
      <c r="K210" s="28"/>
    </row>
    <row r="211" spans="1:11" ht="30.75" customHeight="1">
      <c r="A211" s="30">
        <f>ROW() - ROW(Ejecucion4[[#Headers],[Correlativo]])</f>
        <v>207</v>
      </c>
      <c r="B211" s="1" t="s">
        <v>356</v>
      </c>
      <c r="C211" s="84" t="str">
        <f>IF(B211="","",HYPERLINK("#"&amp;"Registro!B"&amp;MATCH(B211,Registro!$B$8:$B$997,0)+7,"Ubicar en registro"))</f>
        <v>Ubicar en registro</v>
      </c>
      <c r="D211" s="55" t="str">
        <f>IF(Ejecucion4[[#This Row],[No. Solicitud]]="","",_xlfn.XLOOKUP(Ejecucion4[[#This Row],[No. Solicitud]],Registro!$B$8:$B$997,Registro!$H$8:$H$997,"Sin Dato",0))</f>
        <v>Curso 82</v>
      </c>
      <c r="E211" s="28">
        <v>43607</v>
      </c>
      <c r="F211" s="28">
        <v>1</v>
      </c>
      <c r="G211" s="30">
        <v>1</v>
      </c>
      <c r="H211" s="130">
        <v>46261</v>
      </c>
      <c r="I211" s="104">
        <v>0.33333333333333331</v>
      </c>
      <c r="J211" s="105">
        <v>0.66666666666666663</v>
      </c>
      <c r="K211" s="28"/>
    </row>
    <row r="212" spans="1:11" ht="30.75" customHeight="1">
      <c r="A212" s="30">
        <f>ROW() - ROW(Ejecucion4[[#Headers],[Correlativo]])</f>
        <v>208</v>
      </c>
      <c r="B212" s="1" t="s">
        <v>113</v>
      </c>
      <c r="C212" s="84" t="str">
        <f>IF(B212="","",HYPERLINK("#"&amp;"Registro!B"&amp;MATCH(B212,Registro!$B$8:$B$997,0)+7,"Ubicar en registro"))</f>
        <v>Ubicar en registro</v>
      </c>
      <c r="D212" s="55" t="str">
        <f>IF(Ejecucion4[[#This Row],[No. Solicitud]]="","",_xlfn.XLOOKUP(Ejecucion4[[#This Row],[No. Solicitud]],Registro!$B$8:$B$997,Registro!$H$8:$H$997,"Sin Dato",0))</f>
        <v>Curso 2</v>
      </c>
      <c r="E212" s="28"/>
      <c r="F212" s="28">
        <v>1</v>
      </c>
      <c r="G212" s="30">
        <v>5</v>
      </c>
      <c r="H212" s="30"/>
      <c r="I212" s="104"/>
      <c r="J212" s="105"/>
      <c r="K212" s="28" t="s">
        <v>791</v>
      </c>
    </row>
    <row r="213" spans="1:11" ht="30.75" customHeight="1">
      <c r="A213" s="30">
        <f>ROW() - ROW(Ejecucion4[[#Headers],[Correlativo]])</f>
        <v>209</v>
      </c>
      <c r="B213" s="1" t="s">
        <v>108</v>
      </c>
      <c r="C213" s="84" t="str">
        <f>IF(B213="","",HYPERLINK("#"&amp;"Registro!B"&amp;MATCH(B213,Registro!$B$8:$B$997,0)+7,"Ubicar en registro"))</f>
        <v>Ubicar en registro</v>
      </c>
      <c r="D213" s="55" t="str">
        <f>IF(Ejecucion4[[#This Row],[No. Solicitud]]="","",_xlfn.XLOOKUP(Ejecucion4[[#This Row],[No. Solicitud]],Registro!$B$8:$B$997,Registro!$H$8:$H$997,"Sin Dato",0))</f>
        <v>Curso 1</v>
      </c>
      <c r="E213" s="29">
        <v>43633</v>
      </c>
      <c r="F213" s="29">
        <v>1</v>
      </c>
      <c r="G213" s="30">
        <v>1</v>
      </c>
      <c r="H213" s="130">
        <v>46272</v>
      </c>
      <c r="I213" s="104">
        <v>0.33333333333333331</v>
      </c>
      <c r="J213" s="105">
        <v>0.5</v>
      </c>
      <c r="K213" s="28"/>
    </row>
    <row r="214" spans="1:11" ht="30.75" customHeight="1">
      <c r="A214" s="30">
        <f>ROW() - ROW(Ejecucion4[[#Headers],[Correlativo]])</f>
        <v>210</v>
      </c>
      <c r="B214" s="1" t="s">
        <v>108</v>
      </c>
      <c r="C214" s="84" t="str">
        <f>IF(B214="","",HYPERLINK("#"&amp;"Registro!B"&amp;MATCH(B214,Registro!$B$8:$B$997,0)+7,"Ubicar en registro"))</f>
        <v>Ubicar en registro</v>
      </c>
      <c r="D214" s="55" t="str">
        <f>IF(Ejecucion4[[#This Row],[No. Solicitud]]="","",_xlfn.XLOOKUP(Ejecucion4[[#This Row],[No. Solicitud]],Registro!$B$8:$B$997,Registro!$H$8:$H$997,"Sin Dato",0))</f>
        <v>Curso 1</v>
      </c>
      <c r="E214" s="29">
        <v>43633</v>
      </c>
      <c r="F214" s="29">
        <v>1</v>
      </c>
      <c r="G214" s="30">
        <v>2</v>
      </c>
      <c r="H214" s="130">
        <v>46275</v>
      </c>
      <c r="I214" s="104">
        <v>0.33333333333333331</v>
      </c>
      <c r="J214" s="105">
        <v>0.5</v>
      </c>
      <c r="K214" s="28"/>
    </row>
    <row r="215" spans="1:11" ht="30.75" customHeight="1">
      <c r="A215" s="30">
        <f>ROW() - ROW(Ejecucion4[[#Headers],[Correlativo]])</f>
        <v>211</v>
      </c>
      <c r="B215" s="1" t="s">
        <v>108</v>
      </c>
      <c r="C215" s="84" t="str">
        <f>IF(B215="","",HYPERLINK("#"&amp;"Registro!B"&amp;MATCH(B215,Registro!$B$8:$B$997,0)+7,"Ubicar en registro"))</f>
        <v>Ubicar en registro</v>
      </c>
      <c r="D215" s="55" t="str">
        <f>IF(Ejecucion4[[#This Row],[No. Solicitud]]="","",_xlfn.XLOOKUP(Ejecucion4[[#This Row],[No. Solicitud]],Registro!$B$8:$B$997,Registro!$H$8:$H$997,"Sin Dato",0))</f>
        <v>Curso 1</v>
      </c>
      <c r="E215" s="29">
        <v>43634</v>
      </c>
      <c r="F215" s="28">
        <v>2</v>
      </c>
      <c r="G215" s="30">
        <v>1</v>
      </c>
      <c r="H215" s="130">
        <v>46273</v>
      </c>
      <c r="I215" s="104">
        <v>0.33333333333333331</v>
      </c>
      <c r="J215" s="105">
        <v>0.5</v>
      </c>
      <c r="K215" s="28"/>
    </row>
    <row r="216" spans="1:11" ht="30.75" customHeight="1">
      <c r="A216" s="30">
        <f>ROW() - ROW(Ejecucion4[[#Headers],[Correlativo]])</f>
        <v>212</v>
      </c>
      <c r="B216" s="1" t="s">
        <v>108</v>
      </c>
      <c r="C216" s="84" t="str">
        <f>IF(B216="","",HYPERLINK("#"&amp;"Registro!B"&amp;MATCH(B216,Registro!$B$8:$B$997,0)+7,"Ubicar en registro"))</f>
        <v>Ubicar en registro</v>
      </c>
      <c r="D216" s="55" t="str">
        <f>IF(Ejecucion4[[#This Row],[No. Solicitud]]="","",_xlfn.XLOOKUP(Ejecucion4[[#This Row],[No. Solicitud]],Registro!$B$8:$B$997,Registro!$H$8:$H$997,"Sin Dato",0))</f>
        <v>Curso 1</v>
      </c>
      <c r="E216" s="29">
        <v>43634</v>
      </c>
      <c r="F216" s="28">
        <v>2</v>
      </c>
      <c r="G216" s="30">
        <v>2</v>
      </c>
      <c r="H216" s="130">
        <v>46275</v>
      </c>
      <c r="I216" s="104">
        <v>0.33333333333333331</v>
      </c>
      <c r="J216" s="105">
        <v>0.5</v>
      </c>
      <c r="K216" s="28"/>
    </row>
    <row r="217" spans="1:11" ht="30.75" customHeight="1">
      <c r="A217" s="30">
        <f>ROW() - ROW(Ejecucion4[[#Headers],[Correlativo]])</f>
        <v>213</v>
      </c>
      <c r="B217" s="24" t="s">
        <v>116</v>
      </c>
      <c r="C217" s="84" t="str">
        <f>IF(B217="","",HYPERLINK("#"&amp;"Registro!B"&amp;MATCH(B217,Registro!$B$8:$B$997,0)+7,"Ubicar en registro"))</f>
        <v>Ubicar en registro</v>
      </c>
      <c r="D217" s="55" t="str">
        <f>IF(Ejecucion4[[#This Row],[No. Solicitud]]="","",_xlfn.XLOOKUP(Ejecucion4[[#This Row],[No. Solicitud]],Registro!$B$8:$B$997,Registro!$H$8:$H$997,"Sin Dato",0))</f>
        <v>Curso 3</v>
      </c>
      <c r="E217" s="29">
        <v>43682</v>
      </c>
      <c r="F217" s="28">
        <v>1</v>
      </c>
      <c r="G217" s="30">
        <v>1</v>
      </c>
      <c r="H217" s="130">
        <v>46246</v>
      </c>
      <c r="I217" s="104">
        <v>0.29166666666666669</v>
      </c>
      <c r="J217" s="105">
        <v>0.45833333333333331</v>
      </c>
      <c r="K217" s="28"/>
    </row>
    <row r="218" spans="1:11" ht="30.75" customHeight="1">
      <c r="A218" s="30">
        <f>ROW() - ROW(Ejecucion4[[#Headers],[Correlativo]])</f>
        <v>214</v>
      </c>
      <c r="B218" s="24" t="s">
        <v>116</v>
      </c>
      <c r="C218" s="84" t="str">
        <f>IF(B218="","",HYPERLINK("#"&amp;"Registro!B"&amp;MATCH(B218,Registro!$B$8:$B$997,0)+7,"Ubicar en registro"))</f>
        <v>Ubicar en registro</v>
      </c>
      <c r="D218" s="55" t="str">
        <f>IF(Ejecucion4[[#This Row],[No. Solicitud]]="","",_xlfn.XLOOKUP(Ejecucion4[[#This Row],[No. Solicitud]],Registro!$B$8:$B$997,Registro!$H$8:$H$997,"Sin Dato",0))</f>
        <v>Curso 3</v>
      </c>
      <c r="E218" s="29">
        <v>43683</v>
      </c>
      <c r="F218" s="28">
        <v>2</v>
      </c>
      <c r="G218" s="30">
        <v>1</v>
      </c>
      <c r="H218" s="130">
        <v>46247</v>
      </c>
      <c r="I218" s="104">
        <v>0.29166666666666669</v>
      </c>
      <c r="J218" s="105">
        <v>0.45833333333333331</v>
      </c>
      <c r="K218" s="28"/>
    </row>
    <row r="219" spans="1:11" ht="30.75" customHeight="1">
      <c r="A219" s="30">
        <f>ROW() - ROW(Ejecucion4[[#Headers],[Correlativo]])</f>
        <v>215</v>
      </c>
      <c r="B219" s="24" t="s">
        <v>119</v>
      </c>
      <c r="C219" s="84" t="str">
        <f>IF(B219="","",HYPERLINK("#"&amp;"Registro!B"&amp;MATCH(B219,Registro!$B$8:$B$997,0)+7,"Ubicar en registro"))</f>
        <v>Ubicar en registro</v>
      </c>
      <c r="D219" s="55" t="str">
        <f>IF(Ejecucion4[[#This Row],[No. Solicitud]]="","",_xlfn.XLOOKUP(Ejecucion4[[#This Row],[No. Solicitud]],Registro!$B$8:$B$997,Registro!$H$8:$H$997,"Sin Dato",0))</f>
        <v>Curso 4</v>
      </c>
      <c r="E219" s="29">
        <v>43809</v>
      </c>
      <c r="F219" s="28">
        <v>1</v>
      </c>
      <c r="G219" s="30">
        <v>1</v>
      </c>
      <c r="H219" s="130">
        <v>46262</v>
      </c>
      <c r="I219" s="104">
        <v>0.33333333333333331</v>
      </c>
      <c r="J219" s="105">
        <v>0.58333333333333337</v>
      </c>
      <c r="K219" s="28"/>
    </row>
    <row r="220" spans="1:11" ht="30.75" customHeight="1">
      <c r="A220" s="30">
        <f>ROW() - ROW(Ejecucion4[[#Headers],[Correlativo]])</f>
        <v>216</v>
      </c>
      <c r="B220" s="24" t="s">
        <v>119</v>
      </c>
      <c r="C220" s="84" t="str">
        <f>IF(B220="","",HYPERLINK("#"&amp;"Registro!B"&amp;MATCH(B220,Registro!$B$8:$B$997,0)+7,"Ubicar en registro"))</f>
        <v>Ubicar en registro</v>
      </c>
      <c r="D220" s="55" t="str">
        <f>IF(Ejecucion4[[#This Row],[No. Solicitud]]="","",_xlfn.XLOOKUP(Ejecucion4[[#This Row],[No. Solicitud]],Registro!$B$8:$B$997,Registro!$H$8:$H$997,"Sin Dato",0))</f>
        <v>Curso 4</v>
      </c>
      <c r="E220" s="29">
        <v>43809</v>
      </c>
      <c r="F220" s="28">
        <v>1</v>
      </c>
      <c r="G220" s="30">
        <v>2</v>
      </c>
      <c r="H220" s="130">
        <v>46265</v>
      </c>
      <c r="I220" s="104">
        <v>0.33333333333333331</v>
      </c>
      <c r="J220" s="105">
        <v>0.58333333333333337</v>
      </c>
      <c r="K220" s="28"/>
    </row>
    <row r="221" spans="1:11" ht="30.75" customHeight="1">
      <c r="A221" s="30">
        <f>ROW() - ROW(Ejecucion4[[#Headers],[Correlativo]])</f>
        <v>217</v>
      </c>
      <c r="B221" s="24" t="s">
        <v>119</v>
      </c>
      <c r="C221" s="84" t="str">
        <f>IF(B221="","",HYPERLINK("#"&amp;"Registro!B"&amp;MATCH(B221,Registro!$B$8:$B$997,0)+7,"Ubicar en registro"))</f>
        <v>Ubicar en registro</v>
      </c>
      <c r="D221" s="55" t="str">
        <f>IF(Ejecucion4[[#This Row],[No. Solicitud]]="","",_xlfn.XLOOKUP(Ejecucion4[[#This Row],[No. Solicitud]],Registro!$B$8:$B$997,Registro!$H$8:$H$997,"Sin Dato",0))</f>
        <v>Curso 4</v>
      </c>
      <c r="E221" s="29">
        <v>43810</v>
      </c>
      <c r="F221" s="28">
        <v>2</v>
      </c>
      <c r="G221" s="30">
        <v>1</v>
      </c>
      <c r="H221" s="130">
        <v>46272</v>
      </c>
      <c r="I221" s="104">
        <v>0.33333333333333331</v>
      </c>
      <c r="J221" s="105">
        <v>0.58333333333333337</v>
      </c>
      <c r="K221" s="28"/>
    </row>
    <row r="222" spans="1:11" ht="30.75" customHeight="1">
      <c r="A222" s="30">
        <f>ROW() - ROW(Ejecucion4[[#Headers],[Correlativo]])</f>
        <v>218</v>
      </c>
      <c r="B222" s="24" t="s">
        <v>119</v>
      </c>
      <c r="C222" s="84" t="str">
        <f>IF(B222="","",HYPERLINK("#"&amp;"Registro!B"&amp;MATCH(B222,Registro!$B$8:$B$997,0)+7,"Ubicar en registro"))</f>
        <v>Ubicar en registro</v>
      </c>
      <c r="D222" s="55" t="str">
        <f>IF(Ejecucion4[[#This Row],[No. Solicitud]]="","",_xlfn.XLOOKUP(Ejecucion4[[#This Row],[No. Solicitud]],Registro!$B$8:$B$997,Registro!$H$8:$H$997,"Sin Dato",0))</f>
        <v>Curso 4</v>
      </c>
      <c r="E222" s="29">
        <v>43810</v>
      </c>
      <c r="F222" s="28">
        <v>2</v>
      </c>
      <c r="G222" s="30">
        <v>2</v>
      </c>
      <c r="H222" s="130">
        <v>46275</v>
      </c>
      <c r="I222" s="104">
        <v>0.33333333333333331</v>
      </c>
      <c r="J222" s="105">
        <v>0.58333333333333337</v>
      </c>
      <c r="K222" s="28"/>
    </row>
    <row r="223" spans="1:11" ht="30.75" customHeight="1">
      <c r="A223" s="30">
        <f>ROW() - ROW(Ejecucion4[[#Headers],[Correlativo]])</f>
        <v>219</v>
      </c>
      <c r="B223" s="24" t="s">
        <v>123</v>
      </c>
      <c r="C223" s="84" t="str">
        <f>IF(B223="","",HYPERLINK("#"&amp;"Registro!B"&amp;MATCH(B223,Registro!$B$8:$B$997,0)+7,"Ubicar en registro"))</f>
        <v>Ubicar en registro</v>
      </c>
      <c r="D223" s="55" t="str">
        <f>IF(Ejecucion4[[#This Row],[No. Solicitud]]="","",_xlfn.XLOOKUP(Ejecucion4[[#This Row],[No. Solicitud]],Registro!$B$8:$B$997,Registro!$H$8:$H$997,"Sin Dato",0))</f>
        <v>Curso 5</v>
      </c>
      <c r="E223" s="28">
        <v>43817</v>
      </c>
      <c r="F223" s="28">
        <v>1</v>
      </c>
      <c r="G223" s="30">
        <v>1</v>
      </c>
      <c r="H223" s="130">
        <v>46274</v>
      </c>
      <c r="I223" s="104">
        <v>0.33333333333333331</v>
      </c>
      <c r="J223" s="105">
        <v>0.66666666666666663</v>
      </c>
      <c r="K223" s="28"/>
    </row>
    <row r="224" spans="1:11" ht="30.75" customHeight="1">
      <c r="A224" s="30">
        <f>ROW() - ROW(Ejecucion4[[#Headers],[Correlativo]])</f>
        <v>220</v>
      </c>
      <c r="B224" s="24" t="s">
        <v>123</v>
      </c>
      <c r="C224" s="84" t="str">
        <f>IF(B224="","",HYPERLINK("#"&amp;"Registro!B"&amp;MATCH(B224,Registro!$B$8:$B$997,0)+7,"Ubicar en registro"))</f>
        <v>Ubicar en registro</v>
      </c>
      <c r="D224" s="55" t="str">
        <f>IF(Ejecucion4[[#This Row],[No. Solicitud]]="","",_xlfn.XLOOKUP(Ejecucion4[[#This Row],[No. Solicitud]],Registro!$B$8:$B$997,Registro!$H$8:$H$997,"Sin Dato",0))</f>
        <v>Curso 5</v>
      </c>
      <c r="E224" s="28">
        <v>43818</v>
      </c>
      <c r="F224" s="28">
        <v>2</v>
      </c>
      <c r="G224" s="30">
        <v>1</v>
      </c>
      <c r="H224" s="130">
        <v>46275</v>
      </c>
      <c r="I224" s="104">
        <v>0.33333333333333331</v>
      </c>
      <c r="J224" s="105">
        <v>0.66666666666666663</v>
      </c>
      <c r="K224" s="28"/>
    </row>
    <row r="225" spans="1:11" ht="30.75" customHeight="1">
      <c r="A225" s="30">
        <f>ROW() - ROW(Ejecucion4[[#Headers],[Correlativo]])</f>
        <v>221</v>
      </c>
      <c r="B225" s="24" t="s">
        <v>125</v>
      </c>
      <c r="C225" s="84" t="str">
        <f>IF(B225="","",HYPERLINK("#"&amp;"Registro!B"&amp;MATCH(B225,Registro!$B$8:$B$997,0)+7,"Ubicar en registro"))</f>
        <v>Ubicar en registro</v>
      </c>
      <c r="D225" s="55" t="str">
        <f>IF(Ejecucion4[[#This Row],[No. Solicitud]]="","",_xlfn.XLOOKUP(Ejecucion4[[#This Row],[No. Solicitud]],Registro!$B$8:$B$997,Registro!$H$8:$H$997,"Sin Dato",0))</f>
        <v>Curso 6</v>
      </c>
      <c r="E225" s="28">
        <v>43968</v>
      </c>
      <c r="F225" s="28">
        <v>1</v>
      </c>
      <c r="G225" s="30">
        <v>1</v>
      </c>
      <c r="H225" s="130">
        <v>46308</v>
      </c>
      <c r="I225" s="104">
        <v>0.33333333333333331</v>
      </c>
      <c r="J225" s="105">
        <v>0.5</v>
      </c>
      <c r="K225" s="28"/>
    </row>
    <row r="226" spans="1:11" ht="30.75" customHeight="1">
      <c r="A226" s="30">
        <f>ROW() - ROW(Ejecucion4[[#Headers],[Correlativo]])</f>
        <v>222</v>
      </c>
      <c r="B226" s="24" t="s">
        <v>125</v>
      </c>
      <c r="C226" s="84" t="str">
        <f>IF(B226="","",HYPERLINK("#"&amp;"Registro!B"&amp;MATCH(B226,Registro!$B$8:$B$997,0)+7,"Ubicar en registro"))</f>
        <v>Ubicar en registro</v>
      </c>
      <c r="D226" s="55" t="str">
        <f>IF(Ejecucion4[[#This Row],[No. Solicitud]]="","",_xlfn.XLOOKUP(Ejecucion4[[#This Row],[No. Solicitud]],Registro!$B$8:$B$997,Registro!$H$8:$H$997,"Sin Dato",0))</f>
        <v>Curso 6</v>
      </c>
      <c r="E226" s="28">
        <v>43968</v>
      </c>
      <c r="F226" s="28">
        <v>1</v>
      </c>
      <c r="G226" s="30">
        <v>2</v>
      </c>
      <c r="H226" s="130">
        <v>46310</v>
      </c>
      <c r="I226" s="104">
        <v>0.33333333333333331</v>
      </c>
      <c r="J226" s="105">
        <v>0.5</v>
      </c>
      <c r="K226" s="28"/>
    </row>
    <row r="227" spans="1:11" ht="30.75" customHeight="1">
      <c r="A227" s="30">
        <f>ROW() - ROW(Ejecucion4[[#Headers],[Correlativo]])</f>
        <v>223</v>
      </c>
      <c r="B227" s="1" t="s">
        <v>125</v>
      </c>
      <c r="C227" s="84" t="str">
        <f>IF(B227="","",HYPERLINK("#"&amp;"Registro!B"&amp;MATCH(B227,Registro!$B$8:$B$997,0)+7,"Ubicar en registro"))</f>
        <v>Ubicar en registro</v>
      </c>
      <c r="D227" s="55" t="str">
        <f>IF(Ejecucion4[[#This Row],[No. Solicitud]]="","",_xlfn.XLOOKUP(Ejecucion4[[#This Row],[No. Solicitud]],Registro!$B$8:$B$997,Registro!$H$8:$H$997,"Sin Dato",0))</f>
        <v>Curso 6</v>
      </c>
      <c r="E227" s="28">
        <v>43968</v>
      </c>
      <c r="F227" s="28">
        <v>1</v>
      </c>
      <c r="G227" s="30">
        <v>3</v>
      </c>
      <c r="H227" s="130">
        <v>46311</v>
      </c>
      <c r="I227" s="104">
        <v>0.33333333333333331</v>
      </c>
      <c r="J227" s="105">
        <v>0.5</v>
      </c>
      <c r="K227" s="28"/>
    </row>
    <row r="228" spans="1:11" ht="30.75" customHeight="1">
      <c r="A228" s="30">
        <f>ROW() - ROW(Ejecucion4[[#Headers],[Correlativo]])</f>
        <v>224</v>
      </c>
      <c r="B228" s="1" t="s">
        <v>125</v>
      </c>
      <c r="C228" s="84" t="str">
        <f>IF(B228="","",HYPERLINK("#"&amp;"Registro!B"&amp;MATCH(B228,Registro!$B$8:$B$997,0)+7,"Ubicar en registro"))</f>
        <v>Ubicar en registro</v>
      </c>
      <c r="D228" s="55" t="str">
        <f>IF(Ejecucion4[[#This Row],[No. Solicitud]]="","",_xlfn.XLOOKUP(Ejecucion4[[#This Row],[No. Solicitud]],Registro!$B$8:$B$997,Registro!$H$8:$H$997,"Sin Dato",0))</f>
        <v>Curso 6</v>
      </c>
      <c r="E228" s="28"/>
      <c r="F228" s="28">
        <v>2</v>
      </c>
      <c r="G228" s="30">
        <v>1</v>
      </c>
      <c r="H228" s="130">
        <v>46321</v>
      </c>
      <c r="I228" s="104">
        <v>0.33333333333333331</v>
      </c>
      <c r="J228" s="105">
        <v>0.5</v>
      </c>
      <c r="K228" s="28"/>
    </row>
    <row r="229" spans="1:11" ht="30.75" customHeight="1">
      <c r="A229" s="30">
        <f>ROW() - ROW(Ejecucion4[[#Headers],[Correlativo]])</f>
        <v>225</v>
      </c>
      <c r="B229" s="1" t="s">
        <v>125</v>
      </c>
      <c r="C229" s="84" t="str">
        <f>IF(B229="","",HYPERLINK("#"&amp;"Registro!B"&amp;MATCH(B229,Registro!$B$8:$B$997,0)+7,"Ubicar en registro"))</f>
        <v>Ubicar en registro</v>
      </c>
      <c r="D229" s="55" t="str">
        <f>IF(Ejecucion4[[#This Row],[No. Solicitud]]="","",_xlfn.XLOOKUP(Ejecucion4[[#This Row],[No. Solicitud]],Registro!$B$8:$B$997,Registro!$H$8:$H$997,"Sin Dato",0))</f>
        <v>Curso 6</v>
      </c>
      <c r="E229" s="28"/>
      <c r="F229" s="28">
        <v>2</v>
      </c>
      <c r="G229" s="30">
        <v>2</v>
      </c>
      <c r="H229" s="130">
        <v>46323</v>
      </c>
      <c r="I229" s="104">
        <v>0.33333333333333331</v>
      </c>
      <c r="J229" s="105">
        <v>0.5</v>
      </c>
      <c r="K229" s="28"/>
    </row>
    <row r="230" spans="1:11" ht="30.75" customHeight="1">
      <c r="A230" s="30">
        <f>ROW() - ROW(Ejecucion4[[#Headers],[Correlativo]])</f>
        <v>226</v>
      </c>
      <c r="B230" s="1" t="s">
        <v>125</v>
      </c>
      <c r="C230" s="84" t="str">
        <f>IF(B230="","",HYPERLINK("#"&amp;"Registro!B"&amp;MATCH(B230,Registro!$B$8:$B$997,0)+7,"Ubicar en registro"))</f>
        <v>Ubicar en registro</v>
      </c>
      <c r="D230" s="55" t="str">
        <f>IF(Ejecucion4[[#This Row],[No. Solicitud]]="","",_xlfn.XLOOKUP(Ejecucion4[[#This Row],[No. Solicitud]],Registro!$B$8:$B$997,Registro!$H$8:$H$997,"Sin Dato",0))</f>
        <v>Curso 6</v>
      </c>
      <c r="E230" s="28"/>
      <c r="F230" s="28">
        <v>2</v>
      </c>
      <c r="G230" s="30">
        <v>3</v>
      </c>
      <c r="H230" s="130">
        <v>46325</v>
      </c>
      <c r="I230" s="104">
        <v>0.33333333333333331</v>
      </c>
      <c r="J230" s="105">
        <v>0.5</v>
      </c>
      <c r="K230" s="28"/>
    </row>
    <row r="231" spans="1:11" ht="30.75" customHeight="1">
      <c r="A231" s="30">
        <f>ROW() - ROW(Ejecucion4[[#Headers],[Correlativo]])</f>
        <v>227</v>
      </c>
      <c r="B231" s="1" t="s">
        <v>144</v>
      </c>
      <c r="C231" s="84" t="str">
        <f>IF(B231="","",HYPERLINK("#"&amp;"Registro!B"&amp;MATCH(B231,Registro!$B$8:$B$997,0)+7,"Ubicar en registro"))</f>
        <v>Ubicar en registro</v>
      </c>
      <c r="D231" s="55" t="str">
        <f>IF(Ejecucion4[[#This Row],[No. Solicitud]]="","",_xlfn.XLOOKUP(Ejecucion4[[#This Row],[No. Solicitud]],Registro!$B$8:$B$997,Registro!$H$8:$H$997,"Sin Dato",0))</f>
        <v>Curso 11</v>
      </c>
      <c r="E231" s="28">
        <v>43785</v>
      </c>
      <c r="F231" s="28">
        <v>1</v>
      </c>
      <c r="G231" s="30">
        <v>1</v>
      </c>
      <c r="H231" s="130">
        <v>46262</v>
      </c>
      <c r="I231" s="104">
        <v>0.33333333333333331</v>
      </c>
      <c r="J231" s="105">
        <v>0.66666666666666663</v>
      </c>
      <c r="K231" s="28"/>
    </row>
    <row r="232" spans="1:11" ht="30.75" customHeight="1">
      <c r="A232" s="30">
        <f>ROW() - ROW(Ejecucion4[[#Headers],[Correlativo]])</f>
        <v>228</v>
      </c>
      <c r="B232" s="1" t="s">
        <v>130</v>
      </c>
      <c r="C232" s="84" t="str">
        <f>IF(B232="","",HYPERLINK("#"&amp;"Registro!B"&amp;MATCH(B232,Registro!$B$8:$B$997,0)+7,"Ubicar en registro"))</f>
        <v>Ubicar en registro</v>
      </c>
      <c r="D232" s="55" t="str">
        <f>IF(Ejecucion4[[#This Row],[No. Solicitud]]="","",_xlfn.XLOOKUP(Ejecucion4[[#This Row],[No. Solicitud]],Registro!$B$8:$B$997,Registro!$H$8:$H$997,"Sin Dato",0))</f>
        <v>Curso 7</v>
      </c>
      <c r="E232" s="28"/>
      <c r="F232" s="28">
        <v>1</v>
      </c>
      <c r="G232" s="30">
        <v>1</v>
      </c>
      <c r="H232" s="130">
        <v>46311</v>
      </c>
      <c r="I232" s="104">
        <v>0.58333333333333337</v>
      </c>
      <c r="J232" s="105">
        <v>0.66666666666666663</v>
      </c>
      <c r="K232" s="28"/>
    </row>
    <row r="233" spans="1:11" ht="30.75" customHeight="1">
      <c r="A233" s="30">
        <f>ROW() - ROW(Ejecucion4[[#Headers],[Correlativo]])</f>
        <v>229</v>
      </c>
      <c r="B233" s="1" t="s">
        <v>130</v>
      </c>
      <c r="C233" s="84" t="str">
        <f>IF(B233="","",HYPERLINK("#"&amp;"Registro!B"&amp;MATCH(B233,Registro!$B$8:$B$997,0)+7,"Ubicar en registro"))</f>
        <v>Ubicar en registro</v>
      </c>
      <c r="D233" s="55" t="str">
        <f>IF(Ejecucion4[[#This Row],[No. Solicitud]]="","",_xlfn.XLOOKUP(Ejecucion4[[#This Row],[No. Solicitud]],Registro!$B$8:$B$997,Registro!$H$8:$H$997,"Sin Dato",0))</f>
        <v>Curso 7</v>
      </c>
      <c r="E233" s="28"/>
      <c r="F233" s="28">
        <v>1</v>
      </c>
      <c r="G233" s="30">
        <v>2</v>
      </c>
      <c r="H233" s="130">
        <v>46318</v>
      </c>
      <c r="I233" s="104">
        <v>0.58333333333333337</v>
      </c>
      <c r="J233" s="105">
        <v>0.66666666666666663</v>
      </c>
      <c r="K233" s="28"/>
    </row>
    <row r="234" spans="1:11" ht="30.75" customHeight="1">
      <c r="A234" s="30">
        <f>ROW() - ROW(Ejecucion4[[#Headers],[Correlativo]])</f>
        <v>230</v>
      </c>
      <c r="B234" s="1" t="s">
        <v>133</v>
      </c>
      <c r="C234" s="84" t="str">
        <f>IF(B234="","",HYPERLINK("#"&amp;"Registro!B"&amp;MATCH(B234,Registro!$B$8:$B$997,0)+7,"Ubicar en registro"))</f>
        <v>Ubicar en registro</v>
      </c>
      <c r="D234" s="55" t="str">
        <f>IF(Ejecucion4[[#This Row],[No. Solicitud]]="","",_xlfn.XLOOKUP(Ejecucion4[[#This Row],[No. Solicitud]],Registro!$B$8:$B$997,Registro!$H$8:$H$997,"Sin Dato",0))</f>
        <v>Curso 8</v>
      </c>
      <c r="E234" s="28"/>
      <c r="F234" s="28">
        <v>1</v>
      </c>
      <c r="G234" s="30">
        <v>1</v>
      </c>
      <c r="H234" s="130">
        <v>46329</v>
      </c>
      <c r="I234" s="104">
        <v>0.375</v>
      </c>
      <c r="J234" s="105">
        <v>0.5</v>
      </c>
      <c r="K234" s="28"/>
    </row>
    <row r="235" spans="1:11" ht="30.75" customHeight="1">
      <c r="A235" s="30">
        <f>ROW() - ROW(Ejecucion4[[#Headers],[Correlativo]])</f>
        <v>231</v>
      </c>
      <c r="B235" s="1" t="s">
        <v>133</v>
      </c>
      <c r="C235" s="84" t="str">
        <f>IF(B235="","",HYPERLINK("#"&amp;"Registro!B"&amp;MATCH(B235,Registro!$B$8:$B$997,0)+7,"Ubicar en registro"))</f>
        <v>Ubicar en registro</v>
      </c>
      <c r="D235" s="55" t="str">
        <f>IF(Ejecucion4[[#This Row],[No. Solicitud]]="","",_xlfn.XLOOKUP(Ejecucion4[[#This Row],[No. Solicitud]],Registro!$B$8:$B$997,Registro!$H$8:$H$997,"Sin Dato",0))</f>
        <v>Curso 8</v>
      </c>
      <c r="E235" s="28"/>
      <c r="F235" s="28">
        <v>1</v>
      </c>
      <c r="G235" s="30">
        <v>2</v>
      </c>
      <c r="H235" s="130">
        <v>46331</v>
      </c>
      <c r="I235" s="104">
        <v>0.375</v>
      </c>
      <c r="J235" s="105">
        <v>0.5</v>
      </c>
      <c r="K235" s="28"/>
    </row>
    <row r="236" spans="1:11" ht="30.75" customHeight="1">
      <c r="A236" s="30">
        <f>ROW() - ROW(Ejecucion4[[#Headers],[Correlativo]])</f>
        <v>232</v>
      </c>
      <c r="B236" s="1" t="s">
        <v>133</v>
      </c>
      <c r="C236" s="84" t="str">
        <f>IF(B236="","",HYPERLINK("#"&amp;"Registro!B"&amp;MATCH(B236,Registro!$B$8:$B$997,0)+7,"Ubicar en registro"))</f>
        <v>Ubicar en registro</v>
      </c>
      <c r="D236" s="55" t="str">
        <f>IF(Ejecucion4[[#This Row],[No. Solicitud]]="","",_xlfn.XLOOKUP(Ejecucion4[[#This Row],[No. Solicitud]],Registro!$B$8:$B$997,Registro!$H$8:$H$997,"Sin Dato",0))</f>
        <v>Curso 8</v>
      </c>
      <c r="E236" s="28"/>
      <c r="F236" s="28">
        <v>2</v>
      </c>
      <c r="G236" s="30">
        <v>1</v>
      </c>
      <c r="H236" s="130">
        <v>46330</v>
      </c>
      <c r="I236" s="104">
        <v>0.375</v>
      </c>
      <c r="J236" s="105">
        <v>0.5</v>
      </c>
      <c r="K236" s="28"/>
    </row>
    <row r="237" spans="1:11" ht="30.75" customHeight="1">
      <c r="A237" s="30">
        <f>ROW() - ROW(Ejecucion4[[#Headers],[Correlativo]])</f>
        <v>233</v>
      </c>
      <c r="B237" s="24" t="s">
        <v>133</v>
      </c>
      <c r="C237" s="84" t="str">
        <f>IF(B237="","",HYPERLINK("#"&amp;"Registro!B"&amp;MATCH(B237,Registro!$B$8:$B$997,0)+7,"Ubicar en registro"))</f>
        <v>Ubicar en registro</v>
      </c>
      <c r="D237" s="55" t="str">
        <f>IF(Ejecucion4[[#This Row],[No. Solicitud]]="","",_xlfn.XLOOKUP(Ejecucion4[[#This Row],[No. Solicitud]],Registro!$B$8:$B$997,Registro!$H$8:$H$997,"Sin Dato",0))</f>
        <v>Curso 8</v>
      </c>
      <c r="E237" s="28"/>
      <c r="F237" s="28">
        <v>2</v>
      </c>
      <c r="G237" s="30">
        <v>2</v>
      </c>
      <c r="H237" s="130">
        <v>46332</v>
      </c>
      <c r="I237" s="104">
        <v>0.375</v>
      </c>
      <c r="J237" s="105">
        <v>0.5</v>
      </c>
      <c r="K237" s="28"/>
    </row>
    <row r="238" spans="1:11" ht="30.75" customHeight="1">
      <c r="A238" s="30">
        <f>ROW() - ROW(Ejecucion4[[#Headers],[Correlativo]])</f>
        <v>234</v>
      </c>
      <c r="B238" s="24" t="s">
        <v>231</v>
      </c>
      <c r="C238" s="84" t="str">
        <f>IF(B238="","",HYPERLINK("#"&amp;"Registro!B"&amp;MATCH(B238,Registro!$B$8:$B$997,0)+7,"Ubicar en registro"))</f>
        <v>Ubicar en registro</v>
      </c>
      <c r="D238" s="55" t="str">
        <f>IF(Ejecucion4[[#This Row],[No. Solicitud]]="","",_xlfn.XLOOKUP(Ejecucion4[[#This Row],[No. Solicitud]],Registro!$B$8:$B$997,Registro!$H$8:$H$997,"Sin Dato",0))</f>
        <v>Curso 40</v>
      </c>
      <c r="E238" s="28">
        <v>43827</v>
      </c>
      <c r="F238" s="28">
        <v>1</v>
      </c>
      <c r="G238" s="30">
        <v>1</v>
      </c>
      <c r="H238" s="130">
        <v>46286</v>
      </c>
      <c r="I238" s="104">
        <v>0.33333333333333331</v>
      </c>
      <c r="J238" s="105">
        <v>0.45833333333333331</v>
      </c>
      <c r="K238" s="28"/>
    </row>
    <row r="239" spans="1:11" ht="30.75" customHeight="1">
      <c r="A239" s="30">
        <f>ROW() - ROW(Ejecucion4[[#Headers],[Correlativo]])</f>
        <v>235</v>
      </c>
      <c r="B239" s="24" t="s">
        <v>231</v>
      </c>
      <c r="C239" s="84" t="str">
        <f>IF(B239="","",HYPERLINK("#"&amp;"Registro!B"&amp;MATCH(B239,Registro!$B$8:$B$997,0)+7,"Ubicar en registro"))</f>
        <v>Ubicar en registro</v>
      </c>
      <c r="D239" s="55" t="str">
        <f>IF(Ejecucion4[[#This Row],[No. Solicitud]]="","",_xlfn.XLOOKUP(Ejecucion4[[#This Row],[No. Solicitud]],Registro!$B$8:$B$997,Registro!$H$8:$H$997,"Sin Dato",0))</f>
        <v>Curso 40</v>
      </c>
      <c r="E239" s="28">
        <v>43827</v>
      </c>
      <c r="F239" s="28">
        <v>1</v>
      </c>
      <c r="G239" s="30">
        <v>2</v>
      </c>
      <c r="H239" s="130">
        <v>46287</v>
      </c>
      <c r="I239" s="104">
        <v>0.33333333333333331</v>
      </c>
      <c r="J239" s="105">
        <v>0.45833333333333331</v>
      </c>
      <c r="K239" s="28"/>
    </row>
    <row r="240" spans="1:11" ht="30.75" customHeight="1">
      <c r="A240" s="30">
        <f>ROW() - ROW(Ejecucion4[[#Headers],[Correlativo]])</f>
        <v>236</v>
      </c>
      <c r="B240" s="24" t="s">
        <v>231</v>
      </c>
      <c r="C240" s="84" t="str">
        <f>IF(B240="","",HYPERLINK("#"&amp;"Registro!B"&amp;MATCH(B240,Registro!$B$8:$B$997,0)+7,"Ubicar en registro"))</f>
        <v>Ubicar en registro</v>
      </c>
      <c r="D240" s="55" t="str">
        <f>IF(Ejecucion4[[#This Row],[No. Solicitud]]="","",_xlfn.XLOOKUP(Ejecucion4[[#This Row],[No. Solicitud]],Registro!$B$8:$B$997,Registro!$H$8:$H$997,"Sin Dato",0))</f>
        <v>Curso 40</v>
      </c>
      <c r="E240" s="28">
        <v>43827</v>
      </c>
      <c r="F240" s="28">
        <v>1</v>
      </c>
      <c r="G240" s="30">
        <v>3</v>
      </c>
      <c r="H240" s="130">
        <v>46288</v>
      </c>
      <c r="I240" s="104">
        <v>0.33333333333333331</v>
      </c>
      <c r="J240" s="105">
        <v>0.45833333333333331</v>
      </c>
      <c r="K240" s="28"/>
    </row>
    <row r="241" spans="1:11" ht="30.75" customHeight="1">
      <c r="A241" s="30">
        <f>ROW() - ROW(Ejecucion4[[#Headers],[Correlativo]])</f>
        <v>237</v>
      </c>
      <c r="B241" s="24" t="s">
        <v>137</v>
      </c>
      <c r="C241" s="84" t="str">
        <f>IF(B241="","",HYPERLINK("#"&amp;"Registro!B"&amp;MATCH(B241,Registro!$B$8:$B$997,0)+7,"Ubicar en registro"))</f>
        <v>Ubicar en registro</v>
      </c>
      <c r="D241" s="55" t="str">
        <f>IF(Ejecucion4[[#This Row],[No. Solicitud]]="","",_xlfn.XLOOKUP(Ejecucion4[[#This Row],[No. Solicitud]],Registro!$B$8:$B$997,Registro!$H$8:$H$997,"Sin Dato",0))</f>
        <v>Curso 9</v>
      </c>
      <c r="E241" s="28"/>
      <c r="F241" s="28">
        <v>1</v>
      </c>
      <c r="G241" s="30">
        <v>5</v>
      </c>
      <c r="H241" s="30"/>
      <c r="I241" s="104"/>
      <c r="J241" s="105"/>
      <c r="K241" s="28" t="s">
        <v>791</v>
      </c>
    </row>
    <row r="242" spans="1:11" ht="30.75" customHeight="1">
      <c r="A242" s="30">
        <f>ROW() - ROW(Ejecucion4[[#Headers],[Correlativo]])</f>
        <v>238</v>
      </c>
      <c r="B242" s="24" t="s">
        <v>140</v>
      </c>
      <c r="C242" s="84" t="str">
        <f>IF(B242="","",HYPERLINK("#"&amp;"Registro!B"&amp;MATCH(B242,Registro!$B$8:$B$997,0)+7,"Ubicar en registro"))</f>
        <v>Ubicar en registro</v>
      </c>
      <c r="D242" s="55" t="str">
        <f>IF(Ejecucion4[[#This Row],[No. Solicitud]]="","",_xlfn.XLOOKUP(Ejecucion4[[#This Row],[No. Solicitud]],Registro!$B$8:$B$997,Registro!$H$8:$H$997,"Sin Dato",0))</f>
        <v>Curso 10</v>
      </c>
      <c r="E242" s="29">
        <v>43777</v>
      </c>
      <c r="F242" s="28">
        <v>1</v>
      </c>
      <c r="G242" s="30">
        <v>1</v>
      </c>
      <c r="H242" s="130">
        <v>46282</v>
      </c>
      <c r="I242" s="104">
        <v>0.33333333333333331</v>
      </c>
      <c r="J242" s="104">
        <v>0.66666666666666663</v>
      </c>
      <c r="K242" s="28"/>
    </row>
    <row r="243" spans="1:11" ht="30.75" customHeight="1">
      <c r="A243" s="30">
        <f>ROW() - ROW(Ejecucion4[[#Headers],[Correlativo]])</f>
        <v>239</v>
      </c>
      <c r="B243" s="24" t="s">
        <v>140</v>
      </c>
      <c r="C243" s="84" t="str">
        <f>IF(B243="","",HYPERLINK("#"&amp;"Registro!B"&amp;MATCH(B243,Registro!$B$8:$B$997,0)+7,"Ubicar en registro"))</f>
        <v>Ubicar en registro</v>
      </c>
      <c r="D243" s="55" t="str">
        <f>IF(Ejecucion4[[#This Row],[No. Solicitud]]="","",_xlfn.XLOOKUP(Ejecucion4[[#This Row],[No. Solicitud]],Registro!$B$8:$B$997,Registro!$H$8:$H$997,"Sin Dato",0))</f>
        <v>Curso 10</v>
      </c>
      <c r="E243" s="29">
        <v>43778</v>
      </c>
      <c r="F243" s="28">
        <v>2</v>
      </c>
      <c r="G243" s="30">
        <v>1</v>
      </c>
      <c r="H243" s="130">
        <v>46283</v>
      </c>
      <c r="I243" s="104">
        <v>0.33333333333333331</v>
      </c>
      <c r="J243" s="104">
        <v>0.66666666666666663</v>
      </c>
      <c r="K243" s="28"/>
    </row>
    <row r="244" spans="1:11" ht="30.75" customHeight="1">
      <c r="A244" s="30">
        <f>ROW() - ROW(Ejecucion4[[#Headers],[Correlativo]])</f>
        <v>240</v>
      </c>
      <c r="B244" s="24" t="s">
        <v>148</v>
      </c>
      <c r="C244" s="84" t="str">
        <f>IF(B244="","",HYPERLINK("#"&amp;"Registro!B"&amp;MATCH(B244,Registro!$B$8:$B$997,0)+7,"Ubicar en registro"))</f>
        <v>Ubicar en registro</v>
      </c>
      <c r="D244" s="55" t="str">
        <f>IF(Ejecucion4[[#This Row],[No. Solicitud]]="","",_xlfn.XLOOKUP(Ejecucion4[[#This Row],[No. Solicitud]],Registro!$B$8:$B$997,Registro!$H$8:$H$997,"Sin Dato",0))</f>
        <v>Curso 12</v>
      </c>
      <c r="E244" s="28"/>
      <c r="F244" s="28">
        <v>1</v>
      </c>
      <c r="G244" s="30">
        <v>1</v>
      </c>
      <c r="H244" s="130">
        <v>46308</v>
      </c>
      <c r="I244" s="104">
        <v>0.33333333333333331</v>
      </c>
      <c r="J244" s="104">
        <v>0.66666666666666663</v>
      </c>
      <c r="K244" s="28"/>
    </row>
    <row r="245" spans="1:11" ht="30.75" customHeight="1">
      <c r="A245" s="30">
        <f>ROW() - ROW(Ejecucion4[[#Headers],[Correlativo]])</f>
        <v>241</v>
      </c>
      <c r="B245" s="24" t="s">
        <v>148</v>
      </c>
      <c r="C245" s="84" t="str">
        <f>IF(B245="","",HYPERLINK("#"&amp;"Registro!B"&amp;MATCH(B245,Registro!$B$8:$B$997,0)+7,"Ubicar en registro"))</f>
        <v>Ubicar en registro</v>
      </c>
      <c r="D245" s="55" t="str">
        <f>IF(Ejecucion4[[#This Row],[No. Solicitud]]="","",_xlfn.XLOOKUP(Ejecucion4[[#This Row],[No. Solicitud]],Registro!$B$8:$B$997,Registro!$H$8:$H$997,"Sin Dato",0))</f>
        <v>Curso 12</v>
      </c>
      <c r="E245" s="28"/>
      <c r="F245" s="28">
        <v>2</v>
      </c>
      <c r="G245" s="30">
        <v>1</v>
      </c>
      <c r="H245" s="130">
        <v>46309</v>
      </c>
      <c r="I245" s="104">
        <v>0.33333333333333331</v>
      </c>
      <c r="J245" s="104">
        <v>0.66666666666666663</v>
      </c>
      <c r="K245" s="28"/>
    </row>
    <row r="246" spans="1:11" ht="30.75" customHeight="1">
      <c r="A246" s="30">
        <f>ROW() - ROW(Ejecucion4[[#Headers],[Correlativo]])</f>
        <v>242</v>
      </c>
      <c r="B246" s="24" t="s">
        <v>148</v>
      </c>
      <c r="C246" s="84" t="str">
        <f>IF(B246="","",HYPERLINK("#"&amp;"Registro!B"&amp;MATCH(B246,Registro!$B$8:$B$997,0)+7,"Ubicar en registro"))</f>
        <v>Ubicar en registro</v>
      </c>
      <c r="D246" s="55" t="str">
        <f>IF(Ejecucion4[[#This Row],[No. Solicitud]]="","",_xlfn.XLOOKUP(Ejecucion4[[#This Row],[No. Solicitud]],Registro!$B$8:$B$997,Registro!$H$8:$H$997,"Sin Dato",0))</f>
        <v>Curso 12</v>
      </c>
      <c r="E246" s="28"/>
      <c r="F246" s="28">
        <v>3</v>
      </c>
      <c r="G246" s="30">
        <v>1</v>
      </c>
      <c r="H246" s="130">
        <v>46314</v>
      </c>
      <c r="I246" s="104">
        <v>0.33333333333333331</v>
      </c>
      <c r="J246" s="104">
        <v>0.66666666666666663</v>
      </c>
      <c r="K246" s="28"/>
    </row>
    <row r="247" spans="1:11" ht="30.75" customHeight="1">
      <c r="A247" s="30">
        <f>ROW() - ROW(Ejecucion4[[#Headers],[Correlativo]])</f>
        <v>243</v>
      </c>
      <c r="B247" s="24" t="s">
        <v>148</v>
      </c>
      <c r="C247" s="84" t="str">
        <f>IF(B247="","",HYPERLINK("#"&amp;"Registro!B"&amp;MATCH(B247,Registro!$B$8:$B$997,0)+7,"Ubicar en registro"))</f>
        <v>Ubicar en registro</v>
      </c>
      <c r="D247" s="55" t="str">
        <f>IF(Ejecucion4[[#This Row],[No. Solicitud]]="","",_xlfn.XLOOKUP(Ejecucion4[[#This Row],[No. Solicitud]],Registro!$B$8:$B$997,Registro!$H$8:$H$997,"Sin Dato",0))</f>
        <v>Curso 12</v>
      </c>
      <c r="E247" s="28"/>
      <c r="F247" s="28">
        <v>4</v>
      </c>
      <c r="G247" s="30">
        <v>1</v>
      </c>
      <c r="H247" s="130">
        <v>46316</v>
      </c>
      <c r="I247" s="104">
        <v>0.33333333333333331</v>
      </c>
      <c r="J247" s="104">
        <v>0.66666666666666663</v>
      </c>
      <c r="K247" s="28"/>
    </row>
    <row r="248" spans="1:11" ht="30.75" customHeight="1">
      <c r="A248" s="30">
        <f>ROW() - ROW(Ejecucion4[[#Headers],[Correlativo]])</f>
        <v>244</v>
      </c>
      <c r="B248" s="24" t="s">
        <v>148</v>
      </c>
      <c r="C248" s="84" t="str">
        <f>IF(B248="","",HYPERLINK("#"&amp;"Registro!B"&amp;MATCH(B248,Registro!$B$8:$B$997,0)+7,"Ubicar en registro"))</f>
        <v>Ubicar en registro</v>
      </c>
      <c r="D248" s="55" t="str">
        <f>IF(Ejecucion4[[#This Row],[No. Solicitud]]="","",_xlfn.XLOOKUP(Ejecucion4[[#This Row],[No. Solicitud]],Registro!$B$8:$B$997,Registro!$H$8:$H$997,"Sin Dato",0))</f>
        <v>Curso 12</v>
      </c>
      <c r="E248" s="28"/>
      <c r="F248" s="28">
        <v>5</v>
      </c>
      <c r="G248" s="30">
        <v>1</v>
      </c>
      <c r="H248" s="130">
        <v>46318</v>
      </c>
      <c r="I248" s="104">
        <v>0.33333333333333331</v>
      </c>
      <c r="J248" s="104">
        <v>0.66666666666666663</v>
      </c>
      <c r="K248" s="28"/>
    </row>
    <row r="249" spans="1:11" ht="30.75" customHeight="1">
      <c r="A249" s="30">
        <f>ROW() - ROW(Ejecucion4[[#Headers],[Correlativo]])</f>
        <v>245</v>
      </c>
      <c r="B249" s="24" t="s">
        <v>152</v>
      </c>
      <c r="C249" s="84" t="str">
        <f>IF(B249="","",HYPERLINK("#"&amp;"Registro!B"&amp;MATCH(B249,Registro!$B$8:$B$997,0)+7,"Ubicar en registro"))</f>
        <v>Ubicar en registro</v>
      </c>
      <c r="D249" s="55" t="str">
        <f>IF(Ejecucion4[[#This Row],[No. Solicitud]]="","",_xlfn.XLOOKUP(Ejecucion4[[#This Row],[No. Solicitud]],Registro!$B$8:$B$997,Registro!$H$8:$H$997,"Sin Dato",0))</f>
        <v>Curso 13</v>
      </c>
      <c r="E249" s="29">
        <v>43783</v>
      </c>
      <c r="F249" s="28">
        <v>1</v>
      </c>
      <c r="G249" s="30">
        <v>1</v>
      </c>
      <c r="H249" s="130">
        <v>46268</v>
      </c>
      <c r="I249" s="104">
        <v>0.33333333333333331</v>
      </c>
      <c r="J249" s="105">
        <v>0.66666666666666663</v>
      </c>
      <c r="K249" s="28"/>
    </row>
    <row r="250" spans="1:11" ht="30.75" customHeight="1">
      <c r="A250" s="30">
        <f>ROW() - ROW(Ejecucion4[[#Headers],[Correlativo]])</f>
        <v>246</v>
      </c>
      <c r="B250" s="24" t="s">
        <v>152</v>
      </c>
      <c r="C250" s="84" t="str">
        <f>IF(B250="","",HYPERLINK("#"&amp;"Registro!B"&amp;MATCH(B250,Registro!$B$8:$B$997,0)+7,"Ubicar en registro"))</f>
        <v>Ubicar en registro</v>
      </c>
      <c r="D250" s="55" t="str">
        <f>IF(Ejecucion4[[#This Row],[No. Solicitud]]="","",_xlfn.XLOOKUP(Ejecucion4[[#This Row],[No. Solicitud]],Registro!$B$8:$B$997,Registro!$H$8:$H$997,"Sin Dato",0))</f>
        <v>Curso 13</v>
      </c>
      <c r="E250" s="29">
        <v>43784</v>
      </c>
      <c r="F250" s="28">
        <v>2</v>
      </c>
      <c r="G250" s="30">
        <v>1</v>
      </c>
      <c r="H250" s="130">
        <v>46275</v>
      </c>
      <c r="I250" s="104">
        <v>0.33333333333333331</v>
      </c>
      <c r="J250" s="105">
        <v>0.66666666666666663</v>
      </c>
      <c r="K250" s="28"/>
    </row>
    <row r="251" spans="1:11" ht="30.75" customHeight="1">
      <c r="A251" s="30">
        <f>ROW() - ROW(Ejecucion4[[#Headers],[Correlativo]])</f>
        <v>247</v>
      </c>
      <c r="B251" s="24" t="s">
        <v>154</v>
      </c>
      <c r="C251" s="84" t="str">
        <f>IF(B251="","",HYPERLINK("#"&amp;"Registro!B"&amp;MATCH(B251,Registro!$B$8:$B$997,0)+7,"Ubicar en registro"))</f>
        <v>Ubicar en registro</v>
      </c>
      <c r="D251" s="55" t="str">
        <f>IF(Ejecucion4[[#This Row],[No. Solicitud]]="","",_xlfn.XLOOKUP(Ejecucion4[[#This Row],[No. Solicitud]],Registro!$B$8:$B$997,Registro!$H$8:$H$997,"Sin Dato",0))</f>
        <v>Curso 14</v>
      </c>
      <c r="E251" s="28"/>
      <c r="F251" s="28">
        <v>1</v>
      </c>
      <c r="G251" s="30">
        <v>1</v>
      </c>
      <c r="H251" s="130">
        <v>46272</v>
      </c>
      <c r="I251" s="104">
        <v>0.33333333333333331</v>
      </c>
      <c r="J251" s="105">
        <v>0.66666666666666663</v>
      </c>
      <c r="K251" s="28"/>
    </row>
    <row r="252" spans="1:11" ht="30.75" customHeight="1">
      <c r="A252" s="30">
        <f>ROW() - ROW(Ejecucion4[[#Headers],[Correlativo]])</f>
        <v>248</v>
      </c>
      <c r="B252" s="24" t="s">
        <v>156</v>
      </c>
      <c r="C252" s="84" t="str">
        <f>IF(B252="","",HYPERLINK("#"&amp;"Registro!B"&amp;MATCH(B252,Registro!$B$8:$B$997,0)+7,"Ubicar en registro"))</f>
        <v>Ubicar en registro</v>
      </c>
      <c r="D252" s="55" t="str">
        <f>IF(Ejecucion4[[#This Row],[No. Solicitud]]="","",_xlfn.XLOOKUP(Ejecucion4[[#This Row],[No. Solicitud]],Registro!$B$8:$B$997,Registro!$H$8:$H$997,"Sin Dato",0))</f>
        <v>Curso 15</v>
      </c>
      <c r="E252" s="29">
        <v>43794</v>
      </c>
      <c r="F252" s="28">
        <v>1</v>
      </c>
      <c r="G252" s="30">
        <v>1</v>
      </c>
      <c r="H252" s="130">
        <v>46272</v>
      </c>
      <c r="I252" s="104">
        <v>0.33333333333333331</v>
      </c>
      <c r="J252" s="104">
        <v>0.66666666666666663</v>
      </c>
      <c r="K252" s="28"/>
    </row>
    <row r="253" spans="1:11" ht="30.75" customHeight="1">
      <c r="A253" s="30">
        <f>ROW() - ROW(Ejecucion4[[#Headers],[Correlativo]])</f>
        <v>249</v>
      </c>
      <c r="B253" s="24" t="s">
        <v>156</v>
      </c>
      <c r="C253" s="84" t="str">
        <f>IF(B253="","",HYPERLINK("#"&amp;"Registro!B"&amp;MATCH(B253,Registro!$B$8:$B$997,0)+7,"Ubicar en registro"))</f>
        <v>Ubicar en registro</v>
      </c>
      <c r="D253" s="55" t="str">
        <f>IF(Ejecucion4[[#This Row],[No. Solicitud]]="","",_xlfn.XLOOKUP(Ejecucion4[[#This Row],[No. Solicitud]],Registro!$B$8:$B$997,Registro!$H$8:$H$997,"Sin Dato",0))</f>
        <v>Curso 15</v>
      </c>
      <c r="E253" s="29">
        <v>43796</v>
      </c>
      <c r="F253" s="28">
        <v>2</v>
      </c>
      <c r="G253" s="30">
        <v>1</v>
      </c>
      <c r="H253" s="130">
        <v>46273</v>
      </c>
      <c r="I253" s="104">
        <v>0.33333333333333331</v>
      </c>
      <c r="J253" s="104">
        <v>0.66666666666666663</v>
      </c>
      <c r="K253" s="28"/>
    </row>
    <row r="254" spans="1:11" ht="30.75" customHeight="1">
      <c r="A254" s="30">
        <f>ROW() - ROW(Ejecucion4[[#Headers],[Correlativo]])</f>
        <v>250</v>
      </c>
      <c r="B254" s="24" t="s">
        <v>159</v>
      </c>
      <c r="C254" s="84" t="str">
        <f>IF(B254="","",HYPERLINK("#"&amp;"Registro!B"&amp;MATCH(B254,Registro!$B$8:$B$997,0)+7,"Ubicar en registro"))</f>
        <v>Ubicar en registro</v>
      </c>
      <c r="D254" s="55" t="str">
        <f>IF(Ejecucion4[[#This Row],[No. Solicitud]]="","",_xlfn.XLOOKUP(Ejecucion4[[#This Row],[No. Solicitud]],Registro!$B$8:$B$997,Registro!$H$8:$H$997,"Sin Dato",0))</f>
        <v>Curso 16</v>
      </c>
      <c r="E254" s="28">
        <v>43824</v>
      </c>
      <c r="F254" s="28">
        <v>1</v>
      </c>
      <c r="G254" s="30">
        <v>1</v>
      </c>
      <c r="H254" s="130">
        <v>46308</v>
      </c>
      <c r="I254" s="104">
        <v>0.33333333333333331</v>
      </c>
      <c r="J254" s="105">
        <v>0.5</v>
      </c>
      <c r="K254" s="28"/>
    </row>
    <row r="255" spans="1:11" ht="30.75" customHeight="1">
      <c r="A255" s="30">
        <f>ROW() - ROW(Ejecucion4[[#Headers],[Correlativo]])</f>
        <v>251</v>
      </c>
      <c r="B255" s="24" t="s">
        <v>159</v>
      </c>
      <c r="C255" s="84" t="str">
        <f>IF(B255="","",HYPERLINK("#"&amp;"Registro!B"&amp;MATCH(B255,Registro!$B$8:$B$997,0)+7,"Ubicar en registro"))</f>
        <v>Ubicar en registro</v>
      </c>
      <c r="D255" s="55" t="str">
        <f>IF(Ejecucion4[[#This Row],[No. Solicitud]]="","",_xlfn.XLOOKUP(Ejecucion4[[#This Row],[No. Solicitud]],Registro!$B$8:$B$997,Registro!$H$8:$H$997,"Sin Dato",0))</f>
        <v>Curso 16</v>
      </c>
      <c r="E255" s="28">
        <v>43824</v>
      </c>
      <c r="F255" s="28">
        <v>1</v>
      </c>
      <c r="G255" s="30">
        <v>2</v>
      </c>
      <c r="H255" s="130">
        <v>46310</v>
      </c>
      <c r="I255" s="104">
        <v>0.33333333333333331</v>
      </c>
      <c r="J255" s="105">
        <v>0.5</v>
      </c>
      <c r="K255" s="28"/>
    </row>
    <row r="256" spans="1:11" ht="33.75" customHeight="1">
      <c r="A256" s="30">
        <f>ROW() - ROW(Ejecucion4[[#Headers],[Correlativo]])</f>
        <v>252</v>
      </c>
      <c r="B256" s="24" t="s">
        <v>159</v>
      </c>
      <c r="C256" s="84" t="str">
        <f>IF(B256="","",HYPERLINK("#"&amp;"Registro!B"&amp;MATCH(B256,Registro!$B$8:$B$997,0)+7,"Ubicar en registro"))</f>
        <v>Ubicar en registro</v>
      </c>
      <c r="D256" s="55" t="str">
        <f>IF(Ejecucion4[[#This Row],[No. Solicitud]]="","",_xlfn.XLOOKUP(Ejecucion4[[#This Row],[No. Solicitud]],Registro!$B$8:$B$997,Registro!$H$8:$H$997,"Sin Dato",0))</f>
        <v>Curso 16</v>
      </c>
      <c r="E256" s="28"/>
      <c r="F256" s="28">
        <v>2</v>
      </c>
      <c r="G256" s="30">
        <v>1</v>
      </c>
      <c r="H256" s="130">
        <v>46317</v>
      </c>
      <c r="I256" s="104">
        <v>0.33333333333333331</v>
      </c>
      <c r="J256" s="105">
        <v>0.66666666666666663</v>
      </c>
      <c r="K256" s="28"/>
    </row>
    <row r="257" spans="1:11" ht="33.75" customHeight="1">
      <c r="A257" s="30">
        <f>ROW() - ROW(Ejecucion4[[#Headers],[Correlativo]])</f>
        <v>253</v>
      </c>
      <c r="B257" s="1" t="s">
        <v>159</v>
      </c>
      <c r="C257" s="84" t="str">
        <f>IF(B257="","",HYPERLINK("#"&amp;"Registro!B"&amp;MATCH(B257,Registro!$B$8:$B$997,0)+7,"Ubicar en registro"))</f>
        <v>Ubicar en registro</v>
      </c>
      <c r="D257" s="55" t="str">
        <f>IF(Ejecucion4[[#This Row],[No. Solicitud]]="","",_xlfn.XLOOKUP(Ejecucion4[[#This Row],[No. Solicitud]],Registro!$B$8:$B$997,Registro!$H$8:$H$997,"Sin Dato",0))</f>
        <v>Curso 16</v>
      </c>
      <c r="E257" s="28">
        <v>43828</v>
      </c>
      <c r="F257" s="28">
        <v>3</v>
      </c>
      <c r="G257" s="30">
        <v>1</v>
      </c>
      <c r="H257" s="130">
        <v>46322</v>
      </c>
      <c r="I257" s="104">
        <v>0.33333333333333331</v>
      </c>
      <c r="J257" s="105">
        <v>0.5</v>
      </c>
      <c r="K257" s="28"/>
    </row>
    <row r="258" spans="1:11" ht="27" customHeight="1">
      <c r="A258" s="30">
        <f>ROW() - ROW(Ejecucion4[[#Headers],[Correlativo]])</f>
        <v>254</v>
      </c>
      <c r="B258" s="1" t="s">
        <v>159</v>
      </c>
      <c r="C258" s="84" t="str">
        <f>IF(B258="","",HYPERLINK("#"&amp;"Registro!B"&amp;MATCH(B258,Registro!$B$8:$B$997,0)+7,"Ubicar en registro"))</f>
        <v>Ubicar en registro</v>
      </c>
      <c r="D258" s="55" t="str">
        <f>IF(Ejecucion4[[#This Row],[No. Solicitud]]="","",_xlfn.XLOOKUP(Ejecucion4[[#This Row],[No. Solicitud]],Registro!$B$8:$B$997,Registro!$H$8:$H$997,"Sin Dato",0))</f>
        <v>Curso 16</v>
      </c>
      <c r="E258" s="28">
        <v>43828</v>
      </c>
      <c r="F258" s="28">
        <v>3</v>
      </c>
      <c r="G258" s="30">
        <v>2</v>
      </c>
      <c r="H258" s="130">
        <v>46324</v>
      </c>
      <c r="I258" s="104">
        <v>0.33333333333333331</v>
      </c>
      <c r="J258" s="105">
        <v>0.5</v>
      </c>
      <c r="K258" s="28"/>
    </row>
    <row r="259" spans="1:11" ht="30.75" customHeight="1">
      <c r="A259" s="30">
        <f>ROW() - ROW(Ejecucion4[[#Headers],[Correlativo]])</f>
        <v>255</v>
      </c>
      <c r="B259" s="1" t="s">
        <v>169</v>
      </c>
      <c r="C259" s="84" t="str">
        <f>IF(B259="","",HYPERLINK("#"&amp;"Registro!B"&amp;MATCH(B259,Registro!$B$8:$B$997,0)+7,"Ubicar en registro"))</f>
        <v>Ubicar en registro</v>
      </c>
      <c r="D259" s="55" t="str">
        <f>IF(Ejecucion4[[#This Row],[No. Solicitud]]="","",_xlfn.XLOOKUP(Ejecucion4[[#This Row],[No. Solicitud]],Registro!$B$8:$B$997,Registro!$H$8:$H$997,"Sin Dato",0))</f>
        <v>Curso 19</v>
      </c>
      <c r="E259" s="28"/>
      <c r="F259" s="28">
        <v>1</v>
      </c>
      <c r="G259" s="30">
        <v>1</v>
      </c>
      <c r="H259" s="130">
        <v>46314</v>
      </c>
      <c r="I259" s="104">
        <v>0.33333333333333331</v>
      </c>
      <c r="J259" s="104">
        <v>0.66666666666666663</v>
      </c>
      <c r="K259" s="28"/>
    </row>
    <row r="260" spans="1:11" ht="30.75" customHeight="1">
      <c r="A260" s="30">
        <f>ROW() - ROW(Ejecucion4[[#Headers],[Correlativo]])</f>
        <v>256</v>
      </c>
      <c r="B260" s="1" t="s">
        <v>169</v>
      </c>
      <c r="C260" s="84" t="str">
        <f>IF(B260="","",HYPERLINK("#"&amp;"Registro!B"&amp;MATCH(B260,Registro!$B$8:$B$997,0)+7,"Ubicar en registro"))</f>
        <v>Ubicar en registro</v>
      </c>
      <c r="D260" s="55" t="str">
        <f>IF(Ejecucion4[[#This Row],[No. Solicitud]]="","",_xlfn.XLOOKUP(Ejecucion4[[#This Row],[No. Solicitud]],Registro!$B$8:$B$997,Registro!$H$8:$H$997,"Sin Dato",0))</f>
        <v>Curso 19</v>
      </c>
      <c r="E260" s="28"/>
      <c r="F260" s="28">
        <v>2</v>
      </c>
      <c r="G260" s="30">
        <v>1</v>
      </c>
      <c r="H260" s="130">
        <v>46321</v>
      </c>
      <c r="I260" s="104">
        <v>0.33333333333333331</v>
      </c>
      <c r="J260" s="104">
        <v>0.66666666666666663</v>
      </c>
      <c r="K260" s="28"/>
    </row>
    <row r="261" spans="1:11" ht="60.75" customHeight="1">
      <c r="A261" s="30">
        <f>ROW() - ROW(Ejecucion4[[#Headers],[Correlativo]])</f>
        <v>257</v>
      </c>
      <c r="B261" s="1" t="s">
        <v>163</v>
      </c>
      <c r="C261" s="84" t="str">
        <f>IF(B261="","",HYPERLINK("#"&amp;"Registro!B"&amp;MATCH(B261,Registro!$B$8:$B$997,0)+7,"Ubicar en registro"))</f>
        <v>Ubicar en registro</v>
      </c>
      <c r="D261" s="55" t="str">
        <f>IF(Ejecucion4[[#This Row],[No. Solicitud]]="","",_xlfn.XLOOKUP(Ejecucion4[[#This Row],[No. Solicitud]],Registro!$B$8:$B$997,Registro!$H$8:$H$997,"Sin Dato",0))</f>
        <v>Curso 17</v>
      </c>
      <c r="E261" s="28">
        <v>43786</v>
      </c>
      <c r="F261" s="28">
        <v>1</v>
      </c>
      <c r="G261" s="30">
        <v>1</v>
      </c>
      <c r="H261" s="130">
        <v>46246</v>
      </c>
      <c r="I261" s="104">
        <v>0.33333333333333331</v>
      </c>
      <c r="J261" s="105">
        <v>0.54166666666666663</v>
      </c>
      <c r="K261" s="28"/>
    </row>
    <row r="262" spans="1:11" ht="60.75" customHeight="1">
      <c r="A262" s="30">
        <f>ROW() - ROW(Ejecucion4[[#Headers],[Correlativo]])</f>
        <v>258</v>
      </c>
      <c r="B262" s="209" t="s">
        <v>163</v>
      </c>
      <c r="C262" s="84" t="str">
        <f>IF(B262="","",HYPERLINK("#"&amp;"Registro!B"&amp;MATCH(B262,Registro!$B$8:$B$997,0)+7,"Ubicar en registro"))</f>
        <v>Ubicar en registro</v>
      </c>
      <c r="D262" s="55" t="str">
        <f>IF(Ejecucion4[[#This Row],[No. Solicitud]]="","",_xlfn.XLOOKUP(Ejecucion4[[#This Row],[No. Solicitud]],Registro!$B$8:$B$997,Registro!$H$8:$H$997,"Sin Dato",0))</f>
        <v>Curso 17</v>
      </c>
      <c r="E262" s="28">
        <v>43786</v>
      </c>
      <c r="F262" s="28">
        <v>1</v>
      </c>
      <c r="G262" s="30">
        <v>2</v>
      </c>
      <c r="H262" s="130">
        <v>46247</v>
      </c>
      <c r="I262" s="104">
        <v>0.33333333333333331</v>
      </c>
      <c r="J262" s="105">
        <v>0.54166666666666663</v>
      </c>
      <c r="K262" s="28"/>
    </row>
    <row r="263" spans="1:11" ht="45.75" customHeight="1">
      <c r="A263" s="30">
        <f>ROW() - ROW(Ejecucion4[[#Headers],[Correlativo]])</f>
        <v>259</v>
      </c>
      <c r="B263" s="1" t="s">
        <v>165</v>
      </c>
      <c r="C263" s="84" t="str">
        <f>IF(B263="","",HYPERLINK("#"&amp;"Registro!B"&amp;MATCH(B263,Registro!$B$8:$B$997,0)+7,"Ubicar en registro"))</f>
        <v>Ubicar en registro</v>
      </c>
      <c r="D263" s="55" t="str">
        <f>IF(Ejecucion4[[#This Row],[No. Solicitud]]="","",_xlfn.XLOOKUP(Ejecucion4[[#This Row],[No. Solicitud]],Registro!$B$8:$B$997,Registro!$H$8:$H$997,"Sin Dato",0))</f>
        <v>Curso 18</v>
      </c>
      <c r="E263" s="29">
        <v>44011</v>
      </c>
      <c r="F263" s="28">
        <v>1</v>
      </c>
      <c r="G263" s="30">
        <v>1</v>
      </c>
      <c r="H263" s="130">
        <v>46300</v>
      </c>
      <c r="I263" s="104">
        <v>0.33333333333333331</v>
      </c>
      <c r="J263" s="105">
        <v>0.66666666666666663</v>
      </c>
      <c r="K263" s="28"/>
    </row>
    <row r="264" spans="1:11" ht="45.75" customHeight="1">
      <c r="A264" s="30">
        <f>ROW() - ROW(Ejecucion4[[#Headers],[Correlativo]])</f>
        <v>260</v>
      </c>
      <c r="B264" s="1" t="s">
        <v>165</v>
      </c>
      <c r="C264" s="84" t="str">
        <f>IF(B264="","",HYPERLINK("#"&amp;"Registro!B"&amp;MATCH(B264,Registro!$B$8:$B$997,0)+7,"Ubicar en registro"))</f>
        <v>Ubicar en registro</v>
      </c>
      <c r="D264" s="55" t="str">
        <f>IF(Ejecucion4[[#This Row],[No. Solicitud]]="","",_xlfn.XLOOKUP(Ejecucion4[[#This Row],[No. Solicitud]],Registro!$B$8:$B$997,Registro!$H$8:$H$997,"Sin Dato",0))</f>
        <v>Curso 18</v>
      </c>
      <c r="E264" s="29"/>
      <c r="F264" s="28">
        <v>1</v>
      </c>
      <c r="G264" s="30">
        <v>2</v>
      </c>
      <c r="H264" s="130">
        <v>46301</v>
      </c>
      <c r="I264" s="104">
        <v>0.33333333333333331</v>
      </c>
      <c r="J264" s="105">
        <v>0.66666666666666663</v>
      </c>
      <c r="K264" s="28"/>
    </row>
    <row r="265" spans="1:11" ht="45.75" customHeight="1">
      <c r="A265" s="30">
        <f>ROW() - ROW(Ejecucion4[[#Headers],[Correlativo]])</f>
        <v>261</v>
      </c>
      <c r="B265" s="1" t="s">
        <v>165</v>
      </c>
      <c r="C265" s="84" t="str">
        <f>IF(B265="","",HYPERLINK("#"&amp;"Registro!B"&amp;MATCH(B265,Registro!$B$8:$B$997,0)+7,"Ubicar en registro"))</f>
        <v>Ubicar en registro</v>
      </c>
      <c r="D265" s="55" t="str">
        <f>IF(Ejecucion4[[#This Row],[No. Solicitud]]="","",_xlfn.XLOOKUP(Ejecucion4[[#This Row],[No. Solicitud]],Registro!$B$8:$B$997,Registro!$H$8:$H$997,"Sin Dato",0))</f>
        <v>Curso 18</v>
      </c>
      <c r="E265" s="29">
        <v>44011</v>
      </c>
      <c r="F265" s="28">
        <v>2</v>
      </c>
      <c r="G265" s="30">
        <v>1</v>
      </c>
      <c r="H265" s="130">
        <v>46307</v>
      </c>
      <c r="I265" s="104">
        <v>0.33333333333333331</v>
      </c>
      <c r="J265" s="105">
        <v>0.66666666666666663</v>
      </c>
      <c r="K265" s="28"/>
    </row>
    <row r="266" spans="1:11" ht="45.75" customHeight="1">
      <c r="A266" s="30">
        <f>ROW() - ROW(Ejecucion4[[#Headers],[Correlativo]])</f>
        <v>262</v>
      </c>
      <c r="B266" s="1" t="s">
        <v>165</v>
      </c>
      <c r="C266" s="84" t="str">
        <f>IF(B266="","",HYPERLINK("#"&amp;"Registro!B"&amp;MATCH(B266,Registro!$B$8:$B$997,0)+7,"Ubicar en registro"))</f>
        <v>Ubicar en registro</v>
      </c>
      <c r="D266" s="55" t="str">
        <f>IF(Ejecucion4[[#This Row],[No. Solicitud]]="","",_xlfn.XLOOKUP(Ejecucion4[[#This Row],[No. Solicitud]],Registro!$B$8:$B$997,Registro!$H$8:$H$997,"Sin Dato",0))</f>
        <v>Curso 18</v>
      </c>
      <c r="E266" s="29">
        <v>44012</v>
      </c>
      <c r="F266" s="28">
        <v>2</v>
      </c>
      <c r="G266" s="30">
        <v>2</v>
      </c>
      <c r="H266" s="130">
        <v>46308</v>
      </c>
      <c r="I266" s="104">
        <v>0.33333333333333331</v>
      </c>
      <c r="J266" s="105">
        <v>0.66666666666666663</v>
      </c>
      <c r="K266" s="28"/>
    </row>
    <row r="267" spans="1:11" ht="30.75" customHeight="1">
      <c r="A267" s="30">
        <f>ROW() - ROW(Ejecucion4[[#Headers],[Correlativo]])</f>
        <v>263</v>
      </c>
      <c r="B267" s="1" t="s">
        <v>171</v>
      </c>
      <c r="C267" s="84" t="str">
        <f>IF(B267="","",HYPERLINK("#"&amp;"Registro!B"&amp;MATCH(B267,Registro!$B$8:$B$997,0)+7,"Ubicar en registro"))</f>
        <v>Ubicar en registro</v>
      </c>
      <c r="D267" s="55" t="str">
        <f>IF(Ejecucion4[[#This Row],[No. Solicitud]]="","",_xlfn.XLOOKUP(Ejecucion4[[#This Row],[No. Solicitud]],Registro!$B$8:$B$997,Registro!$H$8:$H$997,"Sin Dato",0))</f>
        <v>Curso 20</v>
      </c>
      <c r="E267" s="28">
        <v>43820</v>
      </c>
      <c r="F267" s="28">
        <v>1</v>
      </c>
      <c r="G267" s="30">
        <v>1</v>
      </c>
      <c r="H267" s="130">
        <v>46287</v>
      </c>
      <c r="I267" s="104">
        <v>0.33333333333333331</v>
      </c>
      <c r="J267" s="104">
        <v>0.66666666666666663</v>
      </c>
      <c r="K267" s="28"/>
    </row>
    <row r="268" spans="1:11" ht="30.75" customHeight="1">
      <c r="A268" s="30">
        <f>ROW() - ROW(Ejecucion4[[#Headers],[Correlativo]])</f>
        <v>264</v>
      </c>
      <c r="B268" s="1" t="s">
        <v>171</v>
      </c>
      <c r="C268" s="84" t="str">
        <f>IF(B268="","",HYPERLINK("#"&amp;"Registro!B"&amp;MATCH(B268,Registro!$B$8:$B$997,0)+7,"Ubicar en registro"))</f>
        <v>Ubicar en registro</v>
      </c>
      <c r="D268" s="55" t="str">
        <f>IF(Ejecucion4[[#This Row],[No. Solicitud]]="","",_xlfn.XLOOKUP(Ejecucion4[[#This Row],[No. Solicitud]],Registro!$B$8:$B$997,Registro!$H$8:$H$997,"Sin Dato",0))</f>
        <v>Curso 20</v>
      </c>
      <c r="E268" s="28">
        <v>43821</v>
      </c>
      <c r="F268" s="28">
        <v>2</v>
      </c>
      <c r="G268" s="30">
        <v>1</v>
      </c>
      <c r="H268" s="130">
        <v>46288</v>
      </c>
      <c r="I268" s="104">
        <v>0.33333333333333331</v>
      </c>
      <c r="J268" s="104">
        <v>0.66666666666666663</v>
      </c>
      <c r="K268" s="28"/>
    </row>
    <row r="269" spans="1:11" ht="45.75" customHeight="1">
      <c r="A269" s="30">
        <f>ROW() - ROW(Ejecucion4[[#Headers],[Correlativo]])</f>
        <v>265</v>
      </c>
      <c r="B269" s="1" t="s">
        <v>173</v>
      </c>
      <c r="C269" s="84" t="str">
        <f>IF(B269="","",HYPERLINK("#"&amp;"Registro!B"&amp;MATCH(B269,Registro!$B$8:$B$997,0)+7,"Ubicar en registro"))</f>
        <v>Ubicar en registro</v>
      </c>
      <c r="D269" s="55" t="str">
        <f>IF(Ejecucion4[[#This Row],[No. Solicitud]]="","",_xlfn.XLOOKUP(Ejecucion4[[#This Row],[No. Solicitud]],Registro!$B$8:$B$997,Registro!$H$8:$H$997,"Sin Dato",0))</f>
        <v>Curso 21</v>
      </c>
      <c r="E269" s="28">
        <v>43807</v>
      </c>
      <c r="F269" s="28">
        <v>1</v>
      </c>
      <c r="G269" s="30">
        <v>1</v>
      </c>
      <c r="H269" s="130">
        <v>46310</v>
      </c>
      <c r="I269" s="104">
        <v>0.33333333333333331</v>
      </c>
      <c r="J269" s="104">
        <v>0.66666666666666663</v>
      </c>
      <c r="K269" s="28"/>
    </row>
    <row r="270" spans="1:11" ht="45.75" customHeight="1">
      <c r="A270" s="30">
        <f>ROW() - ROW(Ejecucion4[[#Headers],[Correlativo]])</f>
        <v>266</v>
      </c>
      <c r="B270" s="1" t="s">
        <v>173</v>
      </c>
      <c r="C270" s="84" t="str">
        <f>IF(B270="","",HYPERLINK("#"&amp;"Registro!B"&amp;MATCH(B270,Registro!$B$8:$B$997,0)+7,"Ubicar en registro"))</f>
        <v>Ubicar en registro</v>
      </c>
      <c r="D270" s="55" t="str">
        <f>IF(Ejecucion4[[#This Row],[No. Solicitud]]="","",_xlfn.XLOOKUP(Ejecucion4[[#This Row],[No. Solicitud]],Registro!$B$8:$B$997,Registro!$H$8:$H$997,"Sin Dato",0))</f>
        <v>Curso 21</v>
      </c>
      <c r="E270" s="28">
        <v>43808</v>
      </c>
      <c r="F270" s="28">
        <v>2</v>
      </c>
      <c r="G270" s="30">
        <v>1</v>
      </c>
      <c r="H270" s="130">
        <v>46311</v>
      </c>
      <c r="I270" s="104">
        <v>0.33333333333333331</v>
      </c>
      <c r="J270" s="104">
        <v>0.66666666666666663</v>
      </c>
      <c r="K270" s="28"/>
    </row>
    <row r="271" spans="1:11" ht="30.75" customHeight="1">
      <c r="A271" s="30">
        <f>ROW() - ROW(Ejecucion4[[#Headers],[Correlativo]])</f>
        <v>267</v>
      </c>
      <c r="B271" s="2" t="s">
        <v>176</v>
      </c>
      <c r="C271" s="84" t="str">
        <f>IF(B271="","",HYPERLINK("#"&amp;"Registro!B"&amp;MATCH(B271,Registro!$B$8:$B$997,0)+7,"Ubicar en registro"))</f>
        <v>Ubicar en registro</v>
      </c>
      <c r="D271" s="55" t="str">
        <f>IF(Ejecucion4[[#This Row],[No. Solicitud]]="","",_xlfn.XLOOKUP(Ejecucion4[[#This Row],[No. Solicitud]],Registro!$B$8:$B$997,Registro!$H$8:$H$997,"Sin Dato",0))</f>
        <v>Curso 22</v>
      </c>
      <c r="E271" s="28"/>
      <c r="F271" s="28">
        <v>1</v>
      </c>
      <c r="G271" s="30">
        <v>5</v>
      </c>
      <c r="H271" s="30"/>
      <c r="I271" s="104"/>
      <c r="J271" s="105"/>
      <c r="K271" s="28" t="s">
        <v>791</v>
      </c>
    </row>
    <row r="272" spans="1:11" ht="30.75" customHeight="1">
      <c r="A272" s="30">
        <f>ROW() - ROW(Ejecucion4[[#Headers],[Correlativo]])</f>
        <v>268</v>
      </c>
      <c r="B272" s="1" t="s">
        <v>178</v>
      </c>
      <c r="C272" s="84" t="str">
        <f>IF(B272="","",HYPERLINK("#"&amp;"Registro!B"&amp;MATCH(B272,Registro!$B$8:$B$997,0)+7,"Ubicar en registro"))</f>
        <v>Ubicar en registro</v>
      </c>
      <c r="D272" s="55" t="str">
        <f>IF(Ejecucion4[[#This Row],[No. Solicitud]]="","",_xlfn.XLOOKUP(Ejecucion4[[#This Row],[No. Solicitud]],Registro!$B$8:$B$997,Registro!$H$8:$H$997,"Sin Dato",0))</f>
        <v>Curso 23</v>
      </c>
      <c r="E272" s="28"/>
      <c r="F272" s="28">
        <v>1</v>
      </c>
      <c r="G272" s="30">
        <v>5</v>
      </c>
      <c r="H272" s="30"/>
      <c r="I272" s="104"/>
      <c r="J272" s="105"/>
      <c r="K272" s="28" t="s">
        <v>791</v>
      </c>
    </row>
    <row r="273" spans="1:11" ht="30.75" customHeight="1">
      <c r="A273" s="30">
        <f>ROW() - ROW(Ejecucion4[[#Headers],[Correlativo]])</f>
        <v>269</v>
      </c>
      <c r="B273" s="1" t="s">
        <v>180</v>
      </c>
      <c r="C273" s="84" t="str">
        <f>IF(B273="","",HYPERLINK("#"&amp;"Registro!B"&amp;MATCH(B273,Registro!$B$8:$B$997,0)+7,"Ubicar en registro"))</f>
        <v>Ubicar en registro</v>
      </c>
      <c r="D273" s="55" t="str">
        <f>IF(Ejecucion4[[#This Row],[No. Solicitud]]="","",_xlfn.XLOOKUP(Ejecucion4[[#This Row],[No. Solicitud]],Registro!$B$8:$B$997,Registro!$H$8:$H$997,"Sin Dato",0))</f>
        <v>Curso 24</v>
      </c>
      <c r="E273" s="28"/>
      <c r="F273" s="28">
        <v>1</v>
      </c>
      <c r="G273" s="30">
        <v>5</v>
      </c>
      <c r="H273" s="30"/>
      <c r="I273" s="104"/>
      <c r="J273" s="105"/>
      <c r="K273" s="28" t="s">
        <v>791</v>
      </c>
    </row>
    <row r="274" spans="1:11" ht="30.75" customHeight="1">
      <c r="A274" s="30">
        <f>ROW() - ROW(Ejecucion4[[#Headers],[Correlativo]])</f>
        <v>270</v>
      </c>
      <c r="B274" s="1" t="s">
        <v>182</v>
      </c>
      <c r="C274" s="84" t="str">
        <f>IF(B274="","",HYPERLINK("#"&amp;"Registro!B"&amp;MATCH(B274,Registro!$B$8:$B$997,0)+7,"Ubicar en registro"))</f>
        <v>Ubicar en registro</v>
      </c>
      <c r="D274" s="55" t="str">
        <f>IF(Ejecucion4[[#This Row],[No. Solicitud]]="","",_xlfn.XLOOKUP(Ejecucion4[[#This Row],[No. Solicitud]],Registro!$B$8:$B$997,Registro!$H$8:$H$997,"Sin Dato",0))</f>
        <v>Curso 25</v>
      </c>
      <c r="E274" s="29">
        <v>43830</v>
      </c>
      <c r="F274" s="28">
        <v>1</v>
      </c>
      <c r="G274" s="30">
        <v>1</v>
      </c>
      <c r="H274" s="130">
        <v>46287</v>
      </c>
      <c r="I274" s="104">
        <v>0.33333333333333331</v>
      </c>
      <c r="J274" s="105">
        <v>0.66666666666666663</v>
      </c>
      <c r="K274" s="28"/>
    </row>
    <row r="275" spans="1:11" ht="30.75" customHeight="1">
      <c r="A275" s="30">
        <f>ROW() - ROW(Ejecucion4[[#Headers],[Correlativo]])</f>
        <v>271</v>
      </c>
      <c r="B275" s="1" t="s">
        <v>186</v>
      </c>
      <c r="C275" s="84" t="str">
        <f>IF(B275="","",HYPERLINK("#"&amp;"Registro!B"&amp;MATCH(B275,Registro!$B$8:$B$997,0)+7,"Ubicar en registro"))</f>
        <v>Ubicar en registro</v>
      </c>
      <c r="D275" s="55" t="str">
        <f>IF(Ejecucion4[[#This Row],[No. Solicitud]]="","",_xlfn.XLOOKUP(Ejecucion4[[#This Row],[No. Solicitud]],Registro!$B$8:$B$997,Registro!$H$8:$H$997,"Sin Dato",0))</f>
        <v>Curso 26</v>
      </c>
      <c r="E275" s="28"/>
      <c r="F275" s="28">
        <v>1</v>
      </c>
      <c r="G275" s="30">
        <v>5</v>
      </c>
      <c r="H275" s="30"/>
      <c r="I275" s="104"/>
      <c r="J275" s="105"/>
      <c r="K275" s="28" t="s">
        <v>791</v>
      </c>
    </row>
    <row r="276" spans="1:11" ht="30.75" customHeight="1">
      <c r="A276" s="30">
        <f>ROW() - ROW(Ejecucion4[[#Headers],[Correlativo]])</f>
        <v>272</v>
      </c>
      <c r="B276" s="1" t="s">
        <v>190</v>
      </c>
      <c r="C276" s="84" t="str">
        <f>IF(B276="","",HYPERLINK("#"&amp;"Registro!B"&amp;MATCH(B276,Registro!$B$8:$B$997,0)+7,"Ubicar en registro"))</f>
        <v>Ubicar en registro</v>
      </c>
      <c r="D276" s="55" t="str">
        <f>IF(Ejecucion4[[#This Row],[No. Solicitud]]="","",_xlfn.XLOOKUP(Ejecucion4[[#This Row],[No. Solicitud]],Registro!$B$8:$B$997,Registro!$H$8:$H$997,"Sin Dato",0))</f>
        <v>Curso 27</v>
      </c>
      <c r="E276" s="29">
        <v>43940</v>
      </c>
      <c r="F276" s="28">
        <v>1</v>
      </c>
      <c r="G276" s="30">
        <v>1</v>
      </c>
      <c r="H276" s="130">
        <v>46286</v>
      </c>
      <c r="I276" s="104">
        <v>0.35416666666666669</v>
      </c>
      <c r="J276" s="105">
        <v>0.47916666666666669</v>
      </c>
      <c r="K276" s="28"/>
    </row>
    <row r="277" spans="1:11" ht="30.75" customHeight="1">
      <c r="A277" s="30">
        <f>ROW() - ROW(Ejecucion4[[#Headers],[Correlativo]])</f>
        <v>273</v>
      </c>
      <c r="B277" s="30" t="s">
        <v>190</v>
      </c>
      <c r="C277" s="84" t="str">
        <f>IF(B277="","",HYPERLINK("#"&amp;"Registro!B"&amp;MATCH(B277,Registro!$B$8:$B$997,0)+7,"Ubicar en registro"))</f>
        <v>Ubicar en registro</v>
      </c>
      <c r="D277" s="55" t="str">
        <f>IF(Ejecucion4[[#This Row],[No. Solicitud]]="","",_xlfn.XLOOKUP(Ejecucion4[[#This Row],[No. Solicitud]],Registro!$B$8:$B$997,Registro!$H$8:$H$997,"Sin Dato",0))</f>
        <v>Curso 27</v>
      </c>
      <c r="E277" s="29">
        <v>43940</v>
      </c>
      <c r="F277" s="28">
        <v>1</v>
      </c>
      <c r="G277" s="30">
        <v>2</v>
      </c>
      <c r="H277" s="130">
        <v>46288</v>
      </c>
      <c r="I277" s="104">
        <v>0.35416666666666669</v>
      </c>
      <c r="J277" s="105">
        <v>0.47916666666666669</v>
      </c>
      <c r="K277" s="28"/>
    </row>
    <row r="278" spans="1:11" ht="30.75" customHeight="1">
      <c r="A278" s="30">
        <f>ROW() - ROW(Ejecucion4[[#Headers],[Correlativo]])</f>
        <v>274</v>
      </c>
      <c r="B278" s="30" t="s">
        <v>190</v>
      </c>
      <c r="C278" s="84" t="str">
        <f>IF(B278="","",HYPERLINK("#"&amp;"Registro!B"&amp;MATCH(B278,Registro!$B$8:$B$997,0)+7,"Ubicar en registro"))</f>
        <v>Ubicar en registro</v>
      </c>
      <c r="D278" s="55" t="str">
        <f>IF(Ejecucion4[[#This Row],[No. Solicitud]]="","",_xlfn.XLOOKUP(Ejecucion4[[#This Row],[No. Solicitud]],Registro!$B$8:$B$997,Registro!$H$8:$H$997,"Sin Dato",0))</f>
        <v>Curso 27</v>
      </c>
      <c r="E278" s="29">
        <v>43940</v>
      </c>
      <c r="F278" s="28">
        <v>1</v>
      </c>
      <c r="G278" s="30">
        <v>3</v>
      </c>
      <c r="H278" s="130">
        <v>46290</v>
      </c>
      <c r="I278" s="104">
        <v>0.35416666666666669</v>
      </c>
      <c r="J278" s="105">
        <v>0.47916666666666669</v>
      </c>
      <c r="K278" s="28"/>
    </row>
    <row r="279" spans="1:11" ht="30.75" customHeight="1">
      <c r="A279" s="30">
        <f>ROW() - ROW(Ejecucion4[[#Headers],[Correlativo]])</f>
        <v>275</v>
      </c>
      <c r="B279" s="30" t="s">
        <v>190</v>
      </c>
      <c r="C279" s="84" t="str">
        <f>IF(B279="","",HYPERLINK("#"&amp;"Registro!B"&amp;MATCH(B279,Registro!$B$8:$B$997,0)+7,"Ubicar en registro"))</f>
        <v>Ubicar en registro</v>
      </c>
      <c r="D279" s="55" t="str">
        <f>IF(Ejecucion4[[#This Row],[No. Solicitud]]="","",_xlfn.XLOOKUP(Ejecucion4[[#This Row],[No. Solicitud]],Registro!$B$8:$B$997,Registro!$H$8:$H$997,"Sin Dato",0))</f>
        <v>Curso 27</v>
      </c>
      <c r="E279" s="29">
        <v>43941</v>
      </c>
      <c r="F279" s="28">
        <v>2</v>
      </c>
      <c r="G279" s="30">
        <v>1</v>
      </c>
      <c r="H279" s="130">
        <v>46287</v>
      </c>
      <c r="I279" s="104">
        <v>0.35416666666666669</v>
      </c>
      <c r="J279" s="105">
        <v>0.47916666666666669</v>
      </c>
      <c r="K279" s="28"/>
    </row>
    <row r="280" spans="1:11" ht="30.75" customHeight="1">
      <c r="A280" s="30">
        <f>ROW() - ROW(Ejecucion4[[#Headers],[Correlativo]])</f>
        <v>276</v>
      </c>
      <c r="B280" s="30" t="s">
        <v>190</v>
      </c>
      <c r="C280" s="84" t="str">
        <f>IF(B280="","",HYPERLINK("#"&amp;"Registro!B"&amp;MATCH(B280,Registro!$B$8:$B$997,0)+7,"Ubicar en registro"))</f>
        <v>Ubicar en registro</v>
      </c>
      <c r="D280" s="55" t="str">
        <f>IF(Ejecucion4[[#This Row],[No. Solicitud]]="","",_xlfn.XLOOKUP(Ejecucion4[[#This Row],[No. Solicitud]],Registro!$B$8:$B$997,Registro!$H$8:$H$997,"Sin Dato",0))</f>
        <v>Curso 27</v>
      </c>
      <c r="E280" s="29">
        <v>43941</v>
      </c>
      <c r="F280" s="28">
        <v>2</v>
      </c>
      <c r="G280" s="30">
        <v>2</v>
      </c>
      <c r="H280" s="130">
        <v>46289</v>
      </c>
      <c r="I280" s="104">
        <v>0.35416666666666669</v>
      </c>
      <c r="J280" s="105">
        <v>0.47916666666666669</v>
      </c>
      <c r="K280" s="28"/>
    </row>
    <row r="281" spans="1:11" ht="30.75" customHeight="1">
      <c r="A281" s="30">
        <f>ROW() - ROW(Ejecucion4[[#Headers],[Correlativo]])</f>
        <v>277</v>
      </c>
      <c r="B281" s="30" t="s">
        <v>190</v>
      </c>
      <c r="C281" s="84" t="str">
        <f>IF(B281="","",HYPERLINK("#"&amp;"Registro!B"&amp;MATCH(B281,Registro!$B$8:$B$997,0)+7,"Ubicar en registro"))</f>
        <v>Ubicar en registro</v>
      </c>
      <c r="D281" s="55" t="str">
        <f>IF(Ejecucion4[[#This Row],[No. Solicitud]]="","",_xlfn.XLOOKUP(Ejecucion4[[#This Row],[No. Solicitud]],Registro!$B$8:$B$997,Registro!$H$8:$H$997,"Sin Dato",0))</f>
        <v>Curso 27</v>
      </c>
      <c r="E281" s="29">
        <v>43941</v>
      </c>
      <c r="F281" s="28">
        <v>2</v>
      </c>
      <c r="G281" s="30">
        <v>3</v>
      </c>
      <c r="H281" s="130">
        <v>46293</v>
      </c>
      <c r="I281" s="104">
        <v>0.35416666666666669</v>
      </c>
      <c r="J281" s="105">
        <v>0.47916666666666669</v>
      </c>
      <c r="K281" s="28"/>
    </row>
    <row r="282" spans="1:11" ht="30.75" customHeight="1">
      <c r="A282" s="30">
        <f>ROW() - ROW(Ejecucion4[[#Headers],[Correlativo]])</f>
        <v>278</v>
      </c>
      <c r="B282" s="127" t="s">
        <v>194</v>
      </c>
      <c r="C282" s="84" t="str">
        <f>IF(B282="","",HYPERLINK("#"&amp;"Registro!B"&amp;MATCH(B282,Registro!$B$8:$B$997,0)+7,"Ubicar en registro"))</f>
        <v>Ubicar en registro</v>
      </c>
      <c r="D282" s="55" t="str">
        <f>IF(Ejecucion4[[#This Row],[No. Solicitud]]="","",_xlfn.XLOOKUP(Ejecucion4[[#This Row],[No. Solicitud]],Registro!$B$8:$B$997,Registro!$H$8:$H$997,"Sin Dato",0))</f>
        <v>Curso 28</v>
      </c>
      <c r="E282" s="28">
        <v>44142</v>
      </c>
      <c r="F282" s="28">
        <v>1</v>
      </c>
      <c r="G282" s="30">
        <v>1</v>
      </c>
      <c r="H282" s="130">
        <v>46300</v>
      </c>
      <c r="I282" s="104">
        <v>0.33333333333333331</v>
      </c>
      <c r="J282" s="105">
        <v>0.5</v>
      </c>
      <c r="K282" s="28"/>
    </row>
    <row r="283" spans="1:11" ht="30.75" customHeight="1">
      <c r="A283" s="30">
        <f>ROW() - ROW(Ejecucion4[[#Headers],[Correlativo]])</f>
        <v>279</v>
      </c>
      <c r="B283" s="30" t="s">
        <v>194</v>
      </c>
      <c r="C283" s="84" t="str">
        <f>IF(B283="","",HYPERLINK("#"&amp;"Registro!B"&amp;MATCH(B283,Registro!$B$8:$B$997,0)+7,"Ubicar en registro"))</f>
        <v>Ubicar en registro</v>
      </c>
      <c r="D283" s="55" t="str">
        <f>IF(Ejecucion4[[#This Row],[No. Solicitud]]="","",_xlfn.XLOOKUP(Ejecucion4[[#This Row],[No. Solicitud]],Registro!$B$8:$B$997,Registro!$H$8:$H$997,"Sin Dato",0))</f>
        <v>Curso 28</v>
      </c>
      <c r="E283" s="28">
        <v>44142</v>
      </c>
      <c r="F283" s="28">
        <v>1</v>
      </c>
      <c r="G283" s="30">
        <v>2</v>
      </c>
      <c r="H283" s="130">
        <v>46302</v>
      </c>
      <c r="I283" s="104">
        <v>0.33333333333333331</v>
      </c>
      <c r="J283" s="105">
        <v>0.5</v>
      </c>
      <c r="K283" s="28"/>
    </row>
    <row r="284" spans="1:11" ht="30.75" customHeight="1">
      <c r="A284" s="30">
        <f>ROW() - ROW(Ejecucion4[[#Headers],[Correlativo]])</f>
        <v>280</v>
      </c>
      <c r="B284" s="30" t="s">
        <v>194</v>
      </c>
      <c r="C284" s="84" t="str">
        <f>IF(B284="","",HYPERLINK("#"&amp;"Registro!B"&amp;MATCH(B284,Registro!$B$8:$B$997,0)+7,"Ubicar en registro"))</f>
        <v>Ubicar en registro</v>
      </c>
      <c r="D284" s="55" t="str">
        <f>IF(Ejecucion4[[#This Row],[No. Solicitud]]="","",_xlfn.XLOOKUP(Ejecucion4[[#This Row],[No. Solicitud]],Registro!$B$8:$B$997,Registro!$H$8:$H$997,"Sin Dato",0))</f>
        <v>Curso 28</v>
      </c>
      <c r="E284" s="28">
        <v>44147</v>
      </c>
      <c r="F284" s="28">
        <v>2</v>
      </c>
      <c r="G284" s="30">
        <v>1</v>
      </c>
      <c r="H284" s="130">
        <v>46307</v>
      </c>
      <c r="I284" s="104">
        <v>0.33333333333333331</v>
      </c>
      <c r="J284" s="105">
        <v>0.5</v>
      </c>
      <c r="K284" s="28"/>
    </row>
    <row r="285" spans="1:11" ht="30.75" customHeight="1">
      <c r="A285" s="30">
        <f>ROW() - ROW(Ejecucion4[[#Headers],[Correlativo]])</f>
        <v>281</v>
      </c>
      <c r="B285" s="30" t="s">
        <v>194</v>
      </c>
      <c r="C285" s="84" t="str">
        <f>IF(B285="","",HYPERLINK("#"&amp;"Registro!B"&amp;MATCH(B285,Registro!$B$8:$B$997,0)+7,"Ubicar en registro"))</f>
        <v>Ubicar en registro</v>
      </c>
      <c r="D285" s="55" t="str">
        <f>IF(Ejecucion4[[#This Row],[No. Solicitud]]="","",_xlfn.XLOOKUP(Ejecucion4[[#This Row],[No. Solicitud]],Registro!$B$8:$B$997,Registro!$H$8:$H$997,"Sin Dato",0))</f>
        <v>Curso 28</v>
      </c>
      <c r="E285" s="28">
        <v>44147</v>
      </c>
      <c r="F285" s="28">
        <v>2</v>
      </c>
      <c r="G285" s="30">
        <v>2</v>
      </c>
      <c r="H285" s="130">
        <v>46309</v>
      </c>
      <c r="I285" s="104">
        <v>0.33333333333333331</v>
      </c>
      <c r="J285" s="105">
        <v>0.5</v>
      </c>
      <c r="K285" s="28"/>
    </row>
    <row r="286" spans="1:11" ht="30.75" customHeight="1">
      <c r="A286" s="30">
        <f>ROW() - ROW(Ejecucion4[[#Headers],[Correlativo]])</f>
        <v>282</v>
      </c>
      <c r="B286" s="30" t="s">
        <v>198</v>
      </c>
      <c r="C286" s="84" t="str">
        <f>IF(B286="","",HYPERLINK("#"&amp;"Registro!B"&amp;MATCH(B286,Registro!$B$8:$B$997,0)+7,"Ubicar en registro"))</f>
        <v>Ubicar en registro</v>
      </c>
      <c r="D286" s="55" t="str">
        <f>IF(Ejecucion4[[#This Row],[No. Solicitud]]="","",_xlfn.XLOOKUP(Ejecucion4[[#This Row],[No. Solicitud]],Registro!$B$8:$B$997,Registro!$H$8:$H$997,"Sin Dato",0))</f>
        <v>Curso 29</v>
      </c>
      <c r="E286" s="28"/>
      <c r="F286" s="28">
        <v>1</v>
      </c>
      <c r="G286" s="30">
        <v>1</v>
      </c>
      <c r="H286" s="130">
        <v>46321</v>
      </c>
      <c r="I286" s="104">
        <v>0.33333333333333331</v>
      </c>
      <c r="J286" s="105">
        <v>0.5</v>
      </c>
      <c r="K286" s="28"/>
    </row>
    <row r="287" spans="1:11" ht="30.75" customHeight="1">
      <c r="A287" s="30">
        <f>ROW() - ROW(Ejecucion4[[#Headers],[Correlativo]])</f>
        <v>283</v>
      </c>
      <c r="B287" s="30" t="s">
        <v>198</v>
      </c>
      <c r="C287" s="84" t="str">
        <f>IF(B287="","",HYPERLINK("#"&amp;"Registro!B"&amp;MATCH(B287,Registro!$B$8:$B$997,0)+7,"Ubicar en registro"))</f>
        <v>Ubicar en registro</v>
      </c>
      <c r="D287" s="55" t="str">
        <f>IF(Ejecucion4[[#This Row],[No. Solicitud]]="","",_xlfn.XLOOKUP(Ejecucion4[[#This Row],[No. Solicitud]],Registro!$B$8:$B$997,Registro!$H$8:$H$997,"Sin Dato",0))</f>
        <v>Curso 29</v>
      </c>
      <c r="E287" s="28"/>
      <c r="F287" s="28">
        <v>1</v>
      </c>
      <c r="G287" s="30">
        <v>2</v>
      </c>
      <c r="H287" s="130">
        <v>46323</v>
      </c>
      <c r="I287" s="104">
        <v>0.33333333333333331</v>
      </c>
      <c r="J287" s="105">
        <v>0.5</v>
      </c>
      <c r="K287" s="28"/>
    </row>
    <row r="288" spans="1:11" ht="30.75" customHeight="1">
      <c r="A288" s="30">
        <f>ROW() - ROW(Ejecucion4[[#Headers],[Correlativo]])</f>
        <v>284</v>
      </c>
      <c r="B288" s="30" t="s">
        <v>198</v>
      </c>
      <c r="C288" s="84" t="str">
        <f>IF(B288="","",HYPERLINK("#"&amp;"Registro!B"&amp;MATCH(B288,Registro!$B$8:$B$997,0)+7,"Ubicar en registro"))</f>
        <v>Ubicar en registro</v>
      </c>
      <c r="D288" s="55" t="str">
        <f>IF(Ejecucion4[[#This Row],[No. Solicitud]]="","",_xlfn.XLOOKUP(Ejecucion4[[#This Row],[No. Solicitud]],Registro!$B$8:$B$997,Registro!$H$8:$H$997,"Sin Dato",0))</f>
        <v>Curso 29</v>
      </c>
      <c r="E288" s="28"/>
      <c r="F288" s="28">
        <v>2</v>
      </c>
      <c r="G288" s="30">
        <v>1</v>
      </c>
      <c r="H288" s="130">
        <v>46322</v>
      </c>
      <c r="I288" s="104">
        <v>0.33333333333333331</v>
      </c>
      <c r="J288" s="105">
        <v>0.5</v>
      </c>
      <c r="K288" s="28"/>
    </row>
    <row r="289" spans="1:11" ht="30.75" customHeight="1">
      <c r="A289" s="30">
        <f>ROW() - ROW(Ejecucion4[[#Headers],[Correlativo]])</f>
        <v>285</v>
      </c>
      <c r="B289" s="30" t="s">
        <v>198</v>
      </c>
      <c r="C289" s="84" t="str">
        <f>IF(B289="","",HYPERLINK("#"&amp;"Registro!B"&amp;MATCH(B289,Registro!$B$8:$B$997,0)+7,"Ubicar en registro"))</f>
        <v>Ubicar en registro</v>
      </c>
      <c r="D289" s="55" t="str">
        <f>IF(Ejecucion4[[#This Row],[No. Solicitud]]="","",_xlfn.XLOOKUP(Ejecucion4[[#This Row],[No. Solicitud]],Registro!$B$8:$B$997,Registro!$H$8:$H$997,"Sin Dato",0))</f>
        <v>Curso 29</v>
      </c>
      <c r="E289" s="28"/>
      <c r="F289" s="28">
        <v>2</v>
      </c>
      <c r="G289" s="30">
        <v>2</v>
      </c>
      <c r="H289" s="130">
        <v>46324</v>
      </c>
      <c r="I289" s="104">
        <v>0.33333333333333331</v>
      </c>
      <c r="J289" s="105">
        <v>0.5</v>
      </c>
      <c r="K289" s="28"/>
    </row>
    <row r="290" spans="1:11" ht="30.75" customHeight="1">
      <c r="A290" s="30">
        <f>ROW() - ROW(Ejecucion4[[#Headers],[Correlativo]])</f>
        <v>286</v>
      </c>
      <c r="B290" s="30" t="s">
        <v>202</v>
      </c>
      <c r="C290" s="84" t="str">
        <f>IF(B290="","",HYPERLINK("#"&amp;"Registro!B"&amp;MATCH(B290,Registro!$B$8:$B$997,0)+7,"Ubicar en registro"))</f>
        <v>Ubicar en registro</v>
      </c>
      <c r="D290" s="55" t="str">
        <f>IF(Ejecucion4[[#This Row],[No. Solicitud]]="","",_xlfn.XLOOKUP(Ejecucion4[[#This Row],[No. Solicitud]],Registro!$B$8:$B$997,Registro!$H$8:$H$997,"Sin Dato",0))</f>
        <v>Curso 30</v>
      </c>
      <c r="E290" s="28"/>
      <c r="F290" s="28">
        <v>1</v>
      </c>
      <c r="G290" s="30">
        <v>5</v>
      </c>
      <c r="H290" s="30"/>
      <c r="I290" s="104"/>
      <c r="J290" s="105"/>
      <c r="K290" s="28" t="s">
        <v>791</v>
      </c>
    </row>
    <row r="291" spans="1:11" ht="30.75" customHeight="1">
      <c r="A291" s="30">
        <f>ROW() - ROW(Ejecucion4[[#Headers],[Correlativo]])</f>
        <v>287</v>
      </c>
      <c r="B291" s="30" t="s">
        <v>202</v>
      </c>
      <c r="C291" s="84" t="str">
        <f>IF(B291="","",HYPERLINK("#"&amp;"Registro!B"&amp;MATCH(B291,Registro!$B$8:$B$997,0)+7,"Ubicar en registro"))</f>
        <v>Ubicar en registro</v>
      </c>
      <c r="D291" s="55" t="str">
        <f>IF(Ejecucion4[[#This Row],[No. Solicitud]]="","",_xlfn.XLOOKUP(Ejecucion4[[#This Row],[No. Solicitud]],Registro!$B$8:$B$997,Registro!$H$8:$H$997,"Sin Dato",0))</f>
        <v>Curso 30</v>
      </c>
      <c r="E291" s="28"/>
      <c r="F291" s="28">
        <v>2</v>
      </c>
      <c r="G291" s="30">
        <v>5</v>
      </c>
      <c r="H291" s="30"/>
      <c r="I291" s="104"/>
      <c r="J291" s="105"/>
      <c r="K291" s="28" t="s">
        <v>791</v>
      </c>
    </row>
    <row r="292" spans="1:11" ht="45.75" customHeight="1">
      <c r="A292" s="30">
        <f>ROW() - ROW(Ejecucion4[[#Headers],[Correlativo]])</f>
        <v>288</v>
      </c>
      <c r="B292" s="30" t="s">
        <v>206</v>
      </c>
      <c r="C292" s="84" t="str">
        <f>IF(B292="","",HYPERLINK("#"&amp;"Registro!B"&amp;MATCH(B292,Registro!$B$8:$B$997,0)+7,"Ubicar en registro"))</f>
        <v>Ubicar en registro</v>
      </c>
      <c r="D292" s="55" t="str">
        <f>IF(Ejecucion4[[#This Row],[No. Solicitud]]="","",_xlfn.XLOOKUP(Ejecucion4[[#This Row],[No. Solicitud]],Registro!$B$8:$B$997,Registro!$H$8:$H$997,"Sin Dato",0))</f>
        <v>Curso 31</v>
      </c>
      <c r="E292" s="28"/>
      <c r="F292" s="28">
        <v>1</v>
      </c>
      <c r="G292" s="30">
        <v>1</v>
      </c>
      <c r="H292" s="130">
        <v>46349</v>
      </c>
      <c r="I292" s="104">
        <v>0.33333333333333331</v>
      </c>
      <c r="J292" s="105">
        <v>0.5</v>
      </c>
      <c r="K292" s="28"/>
    </row>
    <row r="293" spans="1:11" ht="45.75" customHeight="1">
      <c r="A293" s="30">
        <f>ROW() - ROW(Ejecucion4[[#Headers],[Correlativo]])</f>
        <v>289</v>
      </c>
      <c r="B293" s="30" t="s">
        <v>206</v>
      </c>
      <c r="C293" s="84" t="str">
        <f>IF(B293="","",HYPERLINK("#"&amp;"Registro!B"&amp;MATCH(B293,Registro!$B$8:$B$997,0)+7,"Ubicar en registro"))</f>
        <v>Ubicar en registro</v>
      </c>
      <c r="D293" s="55" t="str">
        <f>IF(Ejecucion4[[#This Row],[No. Solicitud]]="","",_xlfn.XLOOKUP(Ejecucion4[[#This Row],[No. Solicitud]],Registro!$B$8:$B$997,Registro!$H$8:$H$997,"Sin Dato",0))</f>
        <v>Curso 31</v>
      </c>
      <c r="E293" s="28"/>
      <c r="F293" s="28">
        <v>1</v>
      </c>
      <c r="G293" s="30">
        <v>2</v>
      </c>
      <c r="H293" s="130">
        <v>46351</v>
      </c>
      <c r="I293" s="104">
        <v>0.33333333333333331</v>
      </c>
      <c r="J293" s="105">
        <v>0.5</v>
      </c>
      <c r="K293" s="28"/>
    </row>
    <row r="294" spans="1:11" ht="45.75" customHeight="1">
      <c r="A294" s="30">
        <f>ROW() - ROW(Ejecucion4[[#Headers],[Correlativo]])</f>
        <v>290</v>
      </c>
      <c r="B294" s="30" t="s">
        <v>206</v>
      </c>
      <c r="C294" s="84" t="str">
        <f>IF(B294="","",HYPERLINK("#"&amp;"Registro!B"&amp;MATCH(B294,Registro!$B$8:$B$997,0)+7,"Ubicar en registro"))</f>
        <v>Ubicar en registro</v>
      </c>
      <c r="D294" s="55" t="str">
        <f>IF(Ejecucion4[[#This Row],[No. Solicitud]]="","",_xlfn.XLOOKUP(Ejecucion4[[#This Row],[No. Solicitud]],Registro!$B$8:$B$997,Registro!$H$8:$H$997,"Sin Dato",0))</f>
        <v>Curso 31</v>
      </c>
      <c r="E294" s="28"/>
      <c r="F294" s="28">
        <v>2</v>
      </c>
      <c r="G294" s="30">
        <v>1</v>
      </c>
      <c r="H294" s="130">
        <v>46350</v>
      </c>
      <c r="I294" s="104">
        <v>0.33333333333333331</v>
      </c>
      <c r="J294" s="105">
        <v>0.5</v>
      </c>
      <c r="K294" s="28"/>
    </row>
    <row r="295" spans="1:11" ht="45.75" customHeight="1">
      <c r="A295" s="30">
        <f>ROW() - ROW(Ejecucion4[[#Headers],[Correlativo]])</f>
        <v>291</v>
      </c>
      <c r="B295" s="30" t="s">
        <v>206</v>
      </c>
      <c r="C295" s="84" t="str">
        <f>IF(B295="","",HYPERLINK("#"&amp;"Registro!B"&amp;MATCH(B295,Registro!$B$8:$B$997,0)+7,"Ubicar en registro"))</f>
        <v>Ubicar en registro</v>
      </c>
      <c r="D295" s="55" t="str">
        <f>IF(Ejecucion4[[#This Row],[No. Solicitud]]="","",_xlfn.XLOOKUP(Ejecucion4[[#This Row],[No. Solicitud]],Registro!$B$8:$B$997,Registro!$H$8:$H$997,"Sin Dato",0))</f>
        <v>Curso 31</v>
      </c>
      <c r="E295" s="28"/>
      <c r="F295" s="28">
        <v>2</v>
      </c>
      <c r="G295" s="30">
        <v>2</v>
      </c>
      <c r="H295" s="130">
        <v>46352</v>
      </c>
      <c r="I295" s="104">
        <v>0.33333333333333331</v>
      </c>
      <c r="J295" s="105">
        <v>0.5</v>
      </c>
      <c r="K295" s="28"/>
    </row>
    <row r="296" spans="1:11" ht="30.75" customHeight="1">
      <c r="A296" s="30">
        <f>ROW() - ROW(Ejecucion4[[#Headers],[Correlativo]])</f>
        <v>292</v>
      </c>
      <c r="B296" s="30" t="s">
        <v>210</v>
      </c>
      <c r="C296" s="84" t="str">
        <f>IF(B296="","",HYPERLINK("#"&amp;"Registro!B"&amp;MATCH(B296,Registro!$B$8:$B$997,0)+7,"Ubicar en registro"))</f>
        <v>Ubicar en registro</v>
      </c>
      <c r="D296" s="55" t="str">
        <f>IF(Ejecucion4[[#This Row],[No. Solicitud]]="","",_xlfn.XLOOKUP(Ejecucion4[[#This Row],[No. Solicitud]],Registro!$B$8:$B$997,Registro!$H$8:$H$997,"Sin Dato",0))</f>
        <v>Curso 32</v>
      </c>
      <c r="E296" s="28"/>
      <c r="F296" s="28">
        <v>1</v>
      </c>
      <c r="G296" s="30">
        <v>1</v>
      </c>
      <c r="H296" s="130">
        <v>46353</v>
      </c>
      <c r="I296" s="104">
        <v>0.33333333333333331</v>
      </c>
      <c r="J296" s="105">
        <v>0.5</v>
      </c>
      <c r="K296" s="28"/>
    </row>
    <row r="297" spans="1:11" ht="30.75" customHeight="1">
      <c r="A297" s="30">
        <f>ROW() - ROW(Ejecucion4[[#Headers],[Correlativo]])</f>
        <v>293</v>
      </c>
      <c r="B297" s="30" t="s">
        <v>210</v>
      </c>
      <c r="C297" s="84" t="str">
        <f>IF(B297="","",HYPERLINK("#"&amp;"Registro!B"&amp;MATCH(B297,Registro!$B$8:$B$997,0)+7,"Ubicar en registro"))</f>
        <v>Ubicar en registro</v>
      </c>
      <c r="D297" s="55" t="str">
        <f>IF(Ejecucion4[[#This Row],[No. Solicitud]]="","",_xlfn.XLOOKUP(Ejecucion4[[#This Row],[No. Solicitud]],Registro!$B$8:$B$997,Registro!$H$8:$H$997,"Sin Dato",0))</f>
        <v>Curso 32</v>
      </c>
      <c r="E297" s="28"/>
      <c r="F297" s="28">
        <v>2</v>
      </c>
      <c r="G297" s="30">
        <v>1</v>
      </c>
      <c r="H297" s="130">
        <v>46356</v>
      </c>
      <c r="I297" s="104">
        <v>0.33333333333333331</v>
      </c>
      <c r="J297" s="105">
        <v>0.5</v>
      </c>
      <c r="K297" s="28"/>
    </row>
    <row r="298" spans="1:11" ht="30.75" customHeight="1">
      <c r="A298" s="30">
        <f>ROW() - ROW(Ejecucion4[[#Headers],[Correlativo]])</f>
        <v>294</v>
      </c>
      <c r="B298" s="30" t="s">
        <v>214</v>
      </c>
      <c r="C298" s="84" t="str">
        <f>IF(B298="","",HYPERLINK("#"&amp;"Registro!B"&amp;MATCH(B298,Registro!$B$8:$B$997,0)+7,"Ubicar en registro"))</f>
        <v>Ubicar en registro</v>
      </c>
      <c r="D298" s="55" t="str">
        <f>IF(Ejecucion4[[#This Row],[No. Solicitud]]="","",_xlfn.XLOOKUP(Ejecucion4[[#This Row],[No. Solicitud]],Registro!$B$8:$B$997,Registro!$H$8:$H$997,"Sin Dato",0))</f>
        <v>Curso 33</v>
      </c>
      <c r="E298" s="28">
        <v>44109</v>
      </c>
      <c r="F298" s="28">
        <v>1</v>
      </c>
      <c r="G298" s="30">
        <v>5</v>
      </c>
      <c r="H298" s="30"/>
      <c r="I298" s="104"/>
      <c r="J298" s="105"/>
      <c r="K298" s="28" t="s">
        <v>791</v>
      </c>
    </row>
    <row r="299" spans="1:11" ht="30.75" customHeight="1">
      <c r="A299" s="30">
        <f>ROW() - ROW(Ejecucion4[[#Headers],[Correlativo]])</f>
        <v>295</v>
      </c>
      <c r="B299" s="30" t="s">
        <v>216</v>
      </c>
      <c r="C299" s="84" t="str">
        <f>IF(B299="","",HYPERLINK("#"&amp;"Registro!B"&amp;MATCH(B299,Registro!$B$8:$B$997,0)+7,"Ubicar en registro"))</f>
        <v>Ubicar en registro</v>
      </c>
      <c r="D299" s="55" t="str">
        <f>IF(Ejecucion4[[#This Row],[No. Solicitud]]="","",_xlfn.XLOOKUP(Ejecucion4[[#This Row],[No. Solicitud]],Registro!$B$8:$B$997,Registro!$H$8:$H$997,"Sin Dato",0))</f>
        <v>Curso 34</v>
      </c>
      <c r="E299" s="28">
        <v>43881</v>
      </c>
      <c r="F299" s="28">
        <v>1</v>
      </c>
      <c r="G299" s="30">
        <v>1</v>
      </c>
      <c r="H299" s="130">
        <v>46308</v>
      </c>
      <c r="I299" s="104">
        <v>0.33333333333333331</v>
      </c>
      <c r="J299" s="105">
        <v>0.66666666666666663</v>
      </c>
      <c r="K299" s="28"/>
    </row>
    <row r="300" spans="1:11" ht="28.8" customHeight="1">
      <c r="A300" s="30">
        <f>ROW() - ROW(Ejecucion4[[#Headers],[Correlativo]])</f>
        <v>296</v>
      </c>
      <c r="B300" s="30" t="s">
        <v>218</v>
      </c>
      <c r="C300" s="84" t="str">
        <f>IF(B300="","",HYPERLINK("#"&amp;"Registro!B"&amp;MATCH(B300,Registro!$B$8:$B$997,0)+7,"Ubicar en registro"))</f>
        <v>Ubicar en registro</v>
      </c>
      <c r="D300" s="55" t="str">
        <f>IF(Ejecucion4[[#This Row],[No. Solicitud]]="","",_xlfn.XLOOKUP(Ejecucion4[[#This Row],[No. Solicitud]],Registro!$B$8:$B$997,Registro!$H$8:$H$997,"Sin Dato",0))</f>
        <v>Curso 35</v>
      </c>
      <c r="E300" s="28"/>
      <c r="F300" s="28">
        <v>1</v>
      </c>
      <c r="G300" s="30">
        <v>1</v>
      </c>
      <c r="H300" s="130">
        <v>46316</v>
      </c>
      <c r="I300" s="104">
        <v>0.33333333333333331</v>
      </c>
      <c r="J300" s="105">
        <v>0.66666666666666663</v>
      </c>
      <c r="K300" s="28"/>
    </row>
    <row r="301" spans="1:11" ht="30.75" customHeight="1">
      <c r="A301" s="30">
        <f>ROW() - ROW(Ejecucion4[[#Headers],[Correlativo]])</f>
        <v>297</v>
      </c>
      <c r="B301" s="30" t="s">
        <v>218</v>
      </c>
      <c r="C301" s="84" t="str">
        <f>IF(B301="","",HYPERLINK("#"&amp;"Registro!B"&amp;MATCH(B301,Registro!$B$8:$B$997,0)+7,"Ubicar en registro"))</f>
        <v>Ubicar en registro</v>
      </c>
      <c r="D301" s="55" t="str">
        <f>IF(Ejecucion4[[#This Row],[No. Solicitud]]="","",_xlfn.XLOOKUP(Ejecucion4[[#This Row],[No. Solicitud]],Registro!$B$8:$B$997,Registro!$H$8:$H$997,"Sin Dato",0))</f>
        <v>Curso 35</v>
      </c>
      <c r="E301" s="28"/>
      <c r="F301" s="28">
        <v>2</v>
      </c>
      <c r="G301" s="30">
        <v>1</v>
      </c>
      <c r="H301" s="130">
        <v>46318</v>
      </c>
      <c r="I301" s="104">
        <v>0.33333333333333331</v>
      </c>
      <c r="J301" s="105">
        <v>0.66666666666666663</v>
      </c>
      <c r="K301" s="28"/>
    </row>
    <row r="302" spans="1:11" ht="30.75" customHeight="1">
      <c r="A302" s="30">
        <f>ROW() - ROW(Ejecucion4[[#Headers],[Correlativo]])</f>
        <v>298</v>
      </c>
      <c r="B302" s="30" t="s">
        <v>220</v>
      </c>
      <c r="C302" s="84" t="str">
        <f>IF(B302="","",HYPERLINK("#"&amp;"Registro!B"&amp;MATCH(B302,Registro!$B$8:$B$997,0)+7,"Ubicar en registro"))</f>
        <v>Ubicar en registro</v>
      </c>
      <c r="D302" s="55" t="str">
        <f>IF(Ejecucion4[[#This Row],[No. Solicitud]]="","",_xlfn.XLOOKUP(Ejecucion4[[#This Row],[No. Solicitud]],Registro!$B$8:$B$997,Registro!$H$8:$H$997,"Sin Dato",0))</f>
        <v>Curso 36</v>
      </c>
      <c r="E302" s="28"/>
      <c r="F302" s="28">
        <v>1</v>
      </c>
      <c r="G302" s="30">
        <v>5</v>
      </c>
      <c r="H302" s="30"/>
      <c r="I302" s="104"/>
      <c r="J302" s="105"/>
      <c r="K302" s="28" t="s">
        <v>791</v>
      </c>
    </row>
    <row r="303" spans="1:11" ht="30.75" customHeight="1">
      <c r="A303" s="30">
        <f>ROW() - ROW(Ejecucion4[[#Headers],[Correlativo]])</f>
        <v>299</v>
      </c>
      <c r="B303" s="28" t="s">
        <v>224</v>
      </c>
      <c r="C303" s="84" t="str">
        <f>IF(B303="","",HYPERLINK("#"&amp;"Registro!B"&amp;MATCH(B303,Registro!$B$8:$B$997,0)+7,"Ubicar en registro"))</f>
        <v>Ubicar en registro</v>
      </c>
      <c r="D303" s="55" t="str">
        <f>IF(Ejecucion4[[#This Row],[No. Solicitud]]="","",_xlfn.XLOOKUP(Ejecucion4[[#This Row],[No. Solicitud]],Registro!$B$8:$B$997,Registro!$H$8:$H$997,"Sin Dato",0))</f>
        <v>Curso 38</v>
      </c>
      <c r="E303" s="28">
        <v>43931</v>
      </c>
      <c r="F303" s="28">
        <v>1</v>
      </c>
      <c r="G303" s="30">
        <v>1</v>
      </c>
      <c r="H303" s="130">
        <v>46289</v>
      </c>
      <c r="I303" s="104">
        <v>0.33333333333333331</v>
      </c>
      <c r="J303" s="105">
        <v>0.5</v>
      </c>
      <c r="K303" s="28"/>
    </row>
    <row r="304" spans="1:11" ht="30.75" customHeight="1">
      <c r="A304" s="30">
        <f>ROW() - ROW(Ejecucion4[[#Headers],[Correlativo]])</f>
        <v>300</v>
      </c>
      <c r="B304" s="28" t="s">
        <v>224</v>
      </c>
      <c r="C304" s="84" t="str">
        <f>IF(B304="","",HYPERLINK("#"&amp;"Registro!B"&amp;MATCH(B304,Registro!$B$8:$B$997,0)+7,"Ubicar en registro"))</f>
        <v>Ubicar en registro</v>
      </c>
      <c r="D304" s="55" t="str">
        <f>IF(Ejecucion4[[#This Row],[No. Solicitud]]="","",_xlfn.XLOOKUP(Ejecucion4[[#This Row],[No. Solicitud]],Registro!$B$8:$B$997,Registro!$H$8:$H$997,"Sin Dato",0))</f>
        <v>Curso 38</v>
      </c>
      <c r="E304" s="28">
        <v>43932</v>
      </c>
      <c r="F304" s="28">
        <v>2</v>
      </c>
      <c r="G304" s="30">
        <v>1</v>
      </c>
      <c r="H304" s="130">
        <v>46293</v>
      </c>
      <c r="I304" s="104">
        <v>0.33333333333333331</v>
      </c>
      <c r="J304" s="105">
        <v>0.5</v>
      </c>
      <c r="K304" s="28"/>
    </row>
    <row r="305" spans="1:11" ht="30.75" customHeight="1">
      <c r="A305" s="30">
        <f>ROW() - ROW(Ejecucion4[[#Headers],[Correlativo]])</f>
        <v>301</v>
      </c>
      <c r="B305" s="30" t="s">
        <v>224</v>
      </c>
      <c r="C305" s="84" t="str">
        <f>IF(B305="","",HYPERLINK("#"&amp;"Registro!B"&amp;MATCH(B305,Registro!$B$8:$B$997,0)+7,"Ubicar en registro"))</f>
        <v>Ubicar en registro</v>
      </c>
      <c r="D305" s="55" t="str">
        <f>IF(Ejecucion4[[#This Row],[No. Solicitud]]="","",_xlfn.XLOOKUP(Ejecucion4[[#This Row],[No. Solicitud]],Registro!$B$8:$B$997,Registro!$H$8:$H$997,"Sin Dato",0))</f>
        <v>Curso 38</v>
      </c>
      <c r="E305" s="29">
        <v>43934</v>
      </c>
      <c r="F305" s="28">
        <v>3</v>
      </c>
      <c r="G305" s="30">
        <v>1</v>
      </c>
      <c r="H305" s="130">
        <v>46295</v>
      </c>
      <c r="I305" s="104">
        <v>0.33333333333333331</v>
      </c>
      <c r="J305" s="105">
        <v>0.5</v>
      </c>
      <c r="K305" s="28"/>
    </row>
    <row r="306" spans="1:11" ht="30.75" customHeight="1">
      <c r="A306" s="30">
        <f>ROW() - ROW(Ejecucion4[[#Headers],[Correlativo]])</f>
        <v>302</v>
      </c>
      <c r="B306" s="30" t="s">
        <v>224</v>
      </c>
      <c r="C306" s="84" t="str">
        <f>IF(B306="","",HYPERLINK("#"&amp;"Registro!B"&amp;MATCH(B306,Registro!$B$8:$B$997,0)+7,"Ubicar en registro"))</f>
        <v>Ubicar en registro</v>
      </c>
      <c r="D306" s="55" t="str">
        <f>IF(Ejecucion4[[#This Row],[No. Solicitud]]="","",_xlfn.XLOOKUP(Ejecucion4[[#This Row],[No. Solicitud]],Registro!$B$8:$B$997,Registro!$H$8:$H$997,"Sin Dato",0))</f>
        <v>Curso 38</v>
      </c>
      <c r="E306" s="29">
        <v>43936</v>
      </c>
      <c r="F306" s="28">
        <v>4</v>
      </c>
      <c r="G306" s="30">
        <v>1</v>
      </c>
      <c r="H306" s="130">
        <v>46301</v>
      </c>
      <c r="I306" s="104">
        <v>0.33333333333333331</v>
      </c>
      <c r="J306" s="105">
        <v>0.5</v>
      </c>
      <c r="K306" s="28"/>
    </row>
    <row r="307" spans="1:11" ht="45.75" customHeight="1">
      <c r="A307" s="30">
        <f>ROW() - ROW(Ejecucion4[[#Headers],[Correlativo]])</f>
        <v>303</v>
      </c>
      <c r="B307" s="30" t="s">
        <v>224</v>
      </c>
      <c r="C307" s="84" t="str">
        <f>IF(B307="","",HYPERLINK("#"&amp;"Registro!B"&amp;MATCH(B307,Registro!$B$8:$B$997,0)+7,"Ubicar en registro"))</f>
        <v>Ubicar en registro</v>
      </c>
      <c r="D307" s="55" t="str">
        <f>IF(Ejecucion4[[#This Row],[No. Solicitud]]="","",_xlfn.XLOOKUP(Ejecucion4[[#This Row],[No. Solicitud]],Registro!$B$8:$B$997,Registro!$H$8:$H$997,"Sin Dato",0))</f>
        <v>Curso 38</v>
      </c>
      <c r="E307" s="29">
        <v>43937</v>
      </c>
      <c r="F307" s="28">
        <v>5</v>
      </c>
      <c r="G307" s="30">
        <v>1</v>
      </c>
      <c r="H307" s="130">
        <v>46302</v>
      </c>
      <c r="I307" s="104">
        <v>0.33333333333333331</v>
      </c>
      <c r="J307" s="105">
        <v>0.5</v>
      </c>
      <c r="K307" s="28"/>
    </row>
    <row r="308" spans="1:11" ht="45.75" customHeight="1">
      <c r="A308" s="30">
        <f>ROW() - ROW(Ejecucion4[[#Headers],[Correlativo]])</f>
        <v>304</v>
      </c>
      <c r="B308" s="30" t="s">
        <v>224</v>
      </c>
      <c r="C308" s="84" t="str">
        <f>IF(B308="","",HYPERLINK("#"&amp;"Registro!B"&amp;MATCH(B308,Registro!$B$8:$B$997,0)+7,"Ubicar en registro"))</f>
        <v>Ubicar en registro</v>
      </c>
      <c r="D308" s="55" t="str">
        <f>IF(Ejecucion4[[#This Row],[No. Solicitud]]="","",_xlfn.XLOOKUP(Ejecucion4[[#This Row],[No. Solicitud]],Registro!$B$8:$B$997,Registro!$H$8:$H$997,"Sin Dato",0))</f>
        <v>Curso 38</v>
      </c>
      <c r="E308" s="29">
        <v>43939</v>
      </c>
      <c r="F308" s="28">
        <v>6</v>
      </c>
      <c r="G308" s="30">
        <v>1</v>
      </c>
      <c r="H308" s="130">
        <v>46303</v>
      </c>
      <c r="I308" s="104">
        <v>0.33333333333333331</v>
      </c>
      <c r="J308" s="105">
        <v>0.5</v>
      </c>
      <c r="K308" s="28"/>
    </row>
    <row r="309" spans="1:11" ht="45.75" customHeight="1">
      <c r="A309" s="30">
        <f>ROW() - ROW(Ejecucion4[[#Headers],[Correlativo]])</f>
        <v>305</v>
      </c>
      <c r="B309" s="127" t="s">
        <v>222</v>
      </c>
      <c r="C309" s="84" t="str">
        <f>IF(B309="","",HYPERLINK("#"&amp;"Registro!B"&amp;MATCH(B309,Registro!$B$8:$B$997,0)+7,"Ubicar en registro"))</f>
        <v>Ubicar en registro</v>
      </c>
      <c r="D309" s="55" t="str">
        <f>IF(Ejecucion4[[#This Row],[No. Solicitud]]="","",_xlfn.XLOOKUP(Ejecucion4[[#This Row],[No. Solicitud]],Registro!$B$8:$B$997,Registro!$H$8:$H$997,"Sin Dato",0))</f>
        <v>Curso 37</v>
      </c>
      <c r="E309" s="29">
        <v>43875</v>
      </c>
      <c r="F309" s="28">
        <v>1</v>
      </c>
      <c r="G309" s="30">
        <v>1</v>
      </c>
      <c r="H309" s="97">
        <v>46266</v>
      </c>
      <c r="I309" s="104">
        <v>0.29166666666666669</v>
      </c>
      <c r="J309" s="105">
        <v>0.45833333333333331</v>
      </c>
      <c r="K309" s="28"/>
    </row>
    <row r="310" spans="1:11" ht="45.75" customHeight="1">
      <c r="A310" s="30">
        <f>ROW() - ROW(Ejecucion4[[#Headers],[Correlativo]])</f>
        <v>306</v>
      </c>
      <c r="B310" s="127" t="s">
        <v>222</v>
      </c>
      <c r="C310" s="84" t="str">
        <f>IF(B310="","",HYPERLINK("#"&amp;"Registro!B"&amp;MATCH(B310,Registro!$B$8:$B$997,0)+7,"Ubicar en registro"))</f>
        <v>Ubicar en registro</v>
      </c>
      <c r="D310" s="55" t="str">
        <f>IF(Ejecucion4[[#This Row],[No. Solicitud]]="","",_xlfn.XLOOKUP(Ejecucion4[[#This Row],[No. Solicitud]],Registro!$B$8:$B$997,Registro!$H$8:$H$997,"Sin Dato",0))</f>
        <v>Curso 37</v>
      </c>
      <c r="E310" s="29">
        <v>43876</v>
      </c>
      <c r="F310" s="28">
        <v>2</v>
      </c>
      <c r="G310" s="30">
        <v>1</v>
      </c>
      <c r="H310" s="97">
        <v>46267</v>
      </c>
      <c r="I310" s="104">
        <v>0.29166666666666669</v>
      </c>
      <c r="J310" s="105">
        <v>0.45833333333333331</v>
      </c>
      <c r="K310" s="28"/>
    </row>
    <row r="311" spans="1:11" ht="30.75" customHeight="1">
      <c r="A311" s="30">
        <f>ROW() - ROW(Ejecucion4[[#Headers],[Correlativo]])</f>
        <v>307</v>
      </c>
      <c r="B311" s="127" t="s">
        <v>222</v>
      </c>
      <c r="C311" s="84" t="str">
        <f>IF(B311="","",HYPERLINK("#"&amp;"Registro!B"&amp;MATCH(B311,Registro!$B$8:$B$997,0)+7,"Ubicar en registro"))</f>
        <v>Ubicar en registro</v>
      </c>
      <c r="D311" s="55" t="str">
        <f>IF(Ejecucion4[[#This Row],[No. Solicitud]]="","",_xlfn.XLOOKUP(Ejecucion4[[#This Row],[No. Solicitud]],Registro!$B$8:$B$997,Registro!$H$8:$H$997,"Sin Dato",0))</f>
        <v>Curso 37</v>
      </c>
      <c r="E311" s="29">
        <v>43874</v>
      </c>
      <c r="F311" s="28">
        <v>3</v>
      </c>
      <c r="G311" s="30">
        <v>1</v>
      </c>
      <c r="H311" s="97">
        <v>46268</v>
      </c>
      <c r="I311" s="104">
        <v>0.29166666666666669</v>
      </c>
      <c r="J311" s="105">
        <v>0.45833333333333331</v>
      </c>
      <c r="K311" s="28"/>
    </row>
    <row r="312" spans="1:11" ht="30.75" customHeight="1">
      <c r="A312" s="30">
        <f>ROW() - ROW(Ejecucion4[[#Headers],[Correlativo]])</f>
        <v>308</v>
      </c>
      <c r="B312" s="127" t="s">
        <v>222</v>
      </c>
      <c r="C312" s="84" t="str">
        <f>IF(B312="","",HYPERLINK("#"&amp;"Registro!B"&amp;MATCH(B312,Registro!$B$8:$B$997,0)+7,"Ubicar en registro"))</f>
        <v>Ubicar en registro</v>
      </c>
      <c r="D312" s="55" t="str">
        <f>IF(Ejecucion4[[#This Row],[No. Solicitud]]="","",_xlfn.XLOOKUP(Ejecucion4[[#This Row],[No. Solicitud]],Registro!$B$8:$B$997,Registro!$H$8:$H$997,"Sin Dato",0))</f>
        <v>Curso 37</v>
      </c>
      <c r="E312" s="29">
        <v>43877</v>
      </c>
      <c r="F312" s="28">
        <v>4</v>
      </c>
      <c r="G312" s="30">
        <v>1</v>
      </c>
      <c r="H312" s="97">
        <v>46273</v>
      </c>
      <c r="I312" s="104">
        <v>0.29166666666666669</v>
      </c>
      <c r="J312" s="105">
        <v>0.45833333333333331</v>
      </c>
      <c r="K312" s="28"/>
    </row>
    <row r="313" spans="1:11" ht="30.75" customHeight="1">
      <c r="A313" s="30">
        <f>ROW() - ROW(Ejecucion4[[#Headers],[Correlativo]])</f>
        <v>309</v>
      </c>
      <c r="B313" s="30" t="s">
        <v>228</v>
      </c>
      <c r="C313" s="84" t="str">
        <f>IF(B313="","",HYPERLINK("#"&amp;"Registro!B"&amp;MATCH(B313,Registro!$B$8:$B$997,0)+7,"Ubicar en registro"))</f>
        <v>Ubicar en registro</v>
      </c>
      <c r="D313" s="55" t="str">
        <f>IF(Ejecucion4[[#This Row],[No. Solicitud]]="","",_xlfn.XLOOKUP(Ejecucion4[[#This Row],[No. Solicitud]],Registro!$B$8:$B$997,Registro!$H$8:$H$997,"Sin Dato",0))</f>
        <v>Curso 39</v>
      </c>
      <c r="E313" s="28"/>
      <c r="F313" s="28">
        <v>1</v>
      </c>
      <c r="G313" s="30">
        <v>1</v>
      </c>
      <c r="H313" s="130">
        <v>46337</v>
      </c>
      <c r="I313" s="104">
        <v>0.33333333333333331</v>
      </c>
      <c r="J313" s="105">
        <v>0.66666666666666663</v>
      </c>
      <c r="K313" s="28"/>
    </row>
    <row r="314" spans="1:11" ht="30.75" customHeight="1">
      <c r="A314" s="30">
        <f>ROW() - ROW(Ejecucion4[[#Headers],[Correlativo]])</f>
        <v>310</v>
      </c>
      <c r="B314" s="127" t="s">
        <v>228</v>
      </c>
      <c r="C314" s="84" t="str">
        <f>IF(B314="","",HYPERLINK("#"&amp;"Registro!B"&amp;MATCH(B314,Registro!$B$8:$B$997,0)+7,"Ubicar en registro"))</f>
        <v>Ubicar en registro</v>
      </c>
      <c r="D314" s="55" t="str">
        <f>IF(Ejecucion4[[#This Row],[No. Solicitud]]="","",_xlfn.XLOOKUP(Ejecucion4[[#This Row],[No. Solicitud]],Registro!$B$8:$B$997,Registro!$H$8:$H$997,"Sin Dato",0))</f>
        <v>Curso 39</v>
      </c>
      <c r="E314" s="28"/>
      <c r="F314" s="28">
        <v>2</v>
      </c>
      <c r="G314" s="30">
        <v>1</v>
      </c>
      <c r="H314" s="130">
        <v>46338</v>
      </c>
      <c r="I314" s="104">
        <v>0.33333333333333331</v>
      </c>
      <c r="J314" s="105">
        <v>0.66666666666666663</v>
      </c>
      <c r="K314" s="28"/>
    </row>
    <row r="315" spans="1:11" ht="30.75" customHeight="1">
      <c r="A315" s="30">
        <f>ROW() - ROW(Ejecucion4[[#Headers],[Correlativo]])</f>
        <v>311</v>
      </c>
      <c r="B315" s="127" t="s">
        <v>228</v>
      </c>
      <c r="C315" s="84" t="str">
        <f>IF(B315="","",HYPERLINK("#"&amp;"Registro!B"&amp;MATCH(B315,Registro!$B$8:$B$997,0)+7,"Ubicar en registro"))</f>
        <v>Ubicar en registro</v>
      </c>
      <c r="D315" s="55" t="str">
        <f>IF(Ejecucion4[[#This Row],[No. Solicitud]]="","",_xlfn.XLOOKUP(Ejecucion4[[#This Row],[No. Solicitud]],Registro!$B$8:$B$997,Registro!$H$8:$H$997,"Sin Dato",0))</f>
        <v>Curso 39</v>
      </c>
      <c r="E315" s="29">
        <v>44153</v>
      </c>
      <c r="F315" s="28">
        <v>3</v>
      </c>
      <c r="G315" s="30">
        <v>1</v>
      </c>
      <c r="H315" s="130">
        <v>46304</v>
      </c>
      <c r="I315" s="104">
        <v>0.33333333333333331</v>
      </c>
      <c r="J315" s="105">
        <v>0.66666666666666663</v>
      </c>
      <c r="K315" s="28"/>
    </row>
    <row r="316" spans="1:11" ht="30.75" customHeight="1">
      <c r="A316" s="30">
        <f>ROW() - ROW(Ejecucion4[[#Headers],[Correlativo]])</f>
        <v>312</v>
      </c>
      <c r="B316" s="127" t="s">
        <v>228</v>
      </c>
      <c r="C316" s="84" t="str">
        <f>IF(B316="","",HYPERLINK("#"&amp;"Registro!B"&amp;MATCH(B316,Registro!$B$8:$B$997,0)+7,"Ubicar en registro"))</f>
        <v>Ubicar en registro</v>
      </c>
      <c r="D316" s="55" t="str">
        <f>IF(Ejecucion4[[#This Row],[No. Solicitud]]="","",_xlfn.XLOOKUP(Ejecucion4[[#This Row],[No. Solicitud]],Registro!$B$8:$B$997,Registro!$H$8:$H$997,"Sin Dato",0))</f>
        <v>Curso 39</v>
      </c>
      <c r="E316" s="29">
        <v>44143</v>
      </c>
      <c r="F316" s="28">
        <v>4</v>
      </c>
      <c r="G316" s="30">
        <v>1</v>
      </c>
      <c r="H316" s="130">
        <v>46307</v>
      </c>
      <c r="I316" s="104">
        <v>0.33333333333333331</v>
      </c>
      <c r="J316" s="105">
        <v>0.66666666666666663</v>
      </c>
      <c r="K316" s="28"/>
    </row>
    <row r="317" spans="1:11" ht="30.75" customHeight="1">
      <c r="A317" s="30">
        <f>ROW() - ROW(Ejecucion4[[#Headers],[Correlativo]])</f>
        <v>313</v>
      </c>
      <c r="B317" s="127" t="s">
        <v>228</v>
      </c>
      <c r="C317" s="84" t="str">
        <f>IF(B317="","",HYPERLINK("#"&amp;"Registro!B"&amp;MATCH(B317,Registro!$B$8:$B$997,0)+7,"Ubicar en registro"))</f>
        <v>Ubicar en registro</v>
      </c>
      <c r="D317" s="55" t="str">
        <f>IF(Ejecucion4[[#This Row],[No. Solicitud]]="","",_xlfn.XLOOKUP(Ejecucion4[[#This Row],[No. Solicitud]],Registro!$B$8:$B$997,Registro!$H$8:$H$997,"Sin Dato",0))</f>
        <v>Curso 39</v>
      </c>
      <c r="E317" s="29">
        <v>44144</v>
      </c>
      <c r="F317" s="28">
        <v>5</v>
      </c>
      <c r="G317" s="30">
        <v>1</v>
      </c>
      <c r="H317" s="130">
        <v>46308</v>
      </c>
      <c r="I317" s="104">
        <v>0.33333333333333331</v>
      </c>
      <c r="J317" s="105">
        <v>0.66666666666666663</v>
      </c>
      <c r="K317" s="28"/>
    </row>
    <row r="318" spans="1:11" ht="30.75" customHeight="1">
      <c r="A318" s="30">
        <f>ROW() - ROW(Ejecucion4[[#Headers],[Correlativo]])</f>
        <v>314</v>
      </c>
      <c r="B318" s="127" t="s">
        <v>228</v>
      </c>
      <c r="C318" s="84" t="str">
        <f>IF(B318="","",HYPERLINK("#"&amp;"Registro!B"&amp;MATCH(B318,Registro!$B$8:$B$997,0)+7,"Ubicar en registro"))</f>
        <v>Ubicar en registro</v>
      </c>
      <c r="D318" s="55" t="str">
        <f>IF(Ejecucion4[[#This Row],[No. Solicitud]]="","",_xlfn.XLOOKUP(Ejecucion4[[#This Row],[No. Solicitud]],Registro!$B$8:$B$997,Registro!$H$8:$H$997,"Sin Dato",0))</f>
        <v>Curso 39</v>
      </c>
      <c r="E318" s="28"/>
      <c r="F318" s="28">
        <v>6</v>
      </c>
      <c r="G318" s="30">
        <v>1</v>
      </c>
      <c r="H318" s="130">
        <v>46329</v>
      </c>
      <c r="I318" s="104">
        <v>0.33333333333333331</v>
      </c>
      <c r="J318" s="105">
        <v>0.66666666666666663</v>
      </c>
      <c r="K318" s="28"/>
    </row>
    <row r="319" spans="1:11" ht="30.75" customHeight="1">
      <c r="A319" s="30">
        <f>ROW() - ROW(Ejecucion4[[#Headers],[Correlativo]])</f>
        <v>315</v>
      </c>
      <c r="B319" s="127" t="s">
        <v>228</v>
      </c>
      <c r="C319" s="84" t="str">
        <f>IF(B319="","",HYPERLINK("#"&amp;"Registro!B"&amp;MATCH(B319,Registro!$B$8:$B$997,0)+7,"Ubicar en registro"))</f>
        <v>Ubicar en registro</v>
      </c>
      <c r="D319" s="55" t="str">
        <f>IF(Ejecucion4[[#This Row],[No. Solicitud]]="","",_xlfn.XLOOKUP(Ejecucion4[[#This Row],[No. Solicitud]],Registro!$B$8:$B$997,Registro!$H$8:$H$997,"Sin Dato",0))</f>
        <v>Curso 39</v>
      </c>
      <c r="E319" s="28"/>
      <c r="F319" s="28">
        <v>7</v>
      </c>
      <c r="G319" s="30">
        <v>1</v>
      </c>
      <c r="H319" s="130">
        <v>46316</v>
      </c>
      <c r="I319" s="104">
        <v>0.33333333333333331</v>
      </c>
      <c r="J319" s="105">
        <v>0.66666666666666663</v>
      </c>
      <c r="K319" s="28"/>
    </row>
    <row r="320" spans="1:11" ht="30.75" customHeight="1">
      <c r="A320" s="30">
        <f>ROW() - ROW(Ejecucion4[[#Headers],[Correlativo]])</f>
        <v>316</v>
      </c>
      <c r="B320" s="127" t="s">
        <v>228</v>
      </c>
      <c r="C320" s="84" t="str">
        <f>IF(B320="","",HYPERLINK("#"&amp;"Registro!B"&amp;MATCH(B320,Registro!$B$8:$B$997,0)+7,"Ubicar en registro"))</f>
        <v>Ubicar en registro</v>
      </c>
      <c r="D320" s="55" t="str">
        <f>IF(Ejecucion4[[#This Row],[No. Solicitud]]="","",_xlfn.XLOOKUP(Ejecucion4[[#This Row],[No. Solicitud]],Registro!$B$8:$B$997,Registro!$H$8:$H$997,"Sin Dato",0))</f>
        <v>Curso 39</v>
      </c>
      <c r="E320" s="28"/>
      <c r="F320" s="28">
        <v>8</v>
      </c>
      <c r="G320" s="30">
        <v>1</v>
      </c>
      <c r="H320" s="130">
        <v>46317</v>
      </c>
      <c r="I320" s="104">
        <v>0.33333333333333331</v>
      </c>
      <c r="J320" s="105">
        <v>0.66666666666666663</v>
      </c>
      <c r="K320" s="28"/>
    </row>
    <row r="321" spans="1:11" ht="30.75" customHeight="1">
      <c r="A321" s="30">
        <f>ROW() - ROW(Ejecucion4[[#Headers],[Correlativo]])</f>
        <v>317</v>
      </c>
      <c r="B321" s="127" t="s">
        <v>228</v>
      </c>
      <c r="C321" s="84" t="str">
        <f>IF(B321="","",HYPERLINK("#"&amp;"Registro!B"&amp;MATCH(B321,Registro!$B$8:$B$997,0)+7,"Ubicar en registro"))</f>
        <v>Ubicar en registro</v>
      </c>
      <c r="D321" s="55" t="str">
        <f>IF(Ejecucion4[[#This Row],[No. Solicitud]]="","",_xlfn.XLOOKUP(Ejecucion4[[#This Row],[No. Solicitud]],Registro!$B$8:$B$997,Registro!$H$8:$H$997,"Sin Dato",0))</f>
        <v>Curso 39</v>
      </c>
      <c r="E321" s="28"/>
      <c r="F321" s="28">
        <v>9</v>
      </c>
      <c r="G321" s="30">
        <v>1</v>
      </c>
      <c r="H321" s="130">
        <v>46321</v>
      </c>
      <c r="I321" s="104">
        <v>0.33333333333333331</v>
      </c>
      <c r="J321" s="105">
        <v>0.66666666666666663</v>
      </c>
      <c r="K321" s="28"/>
    </row>
    <row r="322" spans="1:11" ht="30.75" customHeight="1">
      <c r="A322" s="30">
        <f>ROW() - ROW(Ejecucion4[[#Headers],[Correlativo]])</f>
        <v>318</v>
      </c>
      <c r="B322" s="127" t="s">
        <v>228</v>
      </c>
      <c r="C322" s="84" t="str">
        <f>IF(B322="","",HYPERLINK("#"&amp;"Registro!B"&amp;MATCH(B322,Registro!$B$8:$B$997,0)+7,"Ubicar en registro"))</f>
        <v>Ubicar en registro</v>
      </c>
      <c r="D322" s="55" t="str">
        <f>IF(Ejecucion4[[#This Row],[No. Solicitud]]="","",_xlfn.XLOOKUP(Ejecucion4[[#This Row],[No. Solicitud]],Registro!$B$8:$B$997,Registro!$H$8:$H$997,"Sin Dato",0))</f>
        <v>Curso 39</v>
      </c>
      <c r="E322" s="28"/>
      <c r="F322" s="28">
        <v>10</v>
      </c>
      <c r="G322" s="30">
        <v>1</v>
      </c>
      <c r="H322" s="130">
        <v>46322</v>
      </c>
      <c r="I322" s="104">
        <v>0.33333333333333331</v>
      </c>
      <c r="J322" s="105">
        <v>0.66666666666666663</v>
      </c>
      <c r="K322" s="28"/>
    </row>
    <row r="323" spans="1:11" ht="30.75" customHeight="1">
      <c r="A323" s="30">
        <f>ROW() - ROW(Ejecucion4[[#Headers],[Correlativo]])</f>
        <v>319</v>
      </c>
      <c r="B323" s="30" t="s">
        <v>235</v>
      </c>
      <c r="C323" s="84" t="str">
        <f>IF(B323="","",HYPERLINK("#"&amp;"Registro!B"&amp;MATCH(B323,Registro!$B$8:$B$997,0)+7,"Ubicar en registro"))</f>
        <v>Ubicar en registro</v>
      </c>
      <c r="D323" s="55" t="str">
        <f>IF(Ejecucion4[[#This Row],[No. Solicitud]]="","",_xlfn.XLOOKUP(Ejecucion4[[#This Row],[No. Solicitud]],Registro!$B$8:$B$997,Registro!$H$8:$H$997,"Sin Dato",0))</f>
        <v>Curso 41</v>
      </c>
      <c r="E323" s="28">
        <v>43978</v>
      </c>
      <c r="F323" s="28">
        <v>1</v>
      </c>
      <c r="G323" s="30">
        <v>1</v>
      </c>
      <c r="H323" s="130">
        <v>46286</v>
      </c>
      <c r="I323" s="104">
        <v>0.33333333333333331</v>
      </c>
      <c r="J323" s="105">
        <v>0.45833333333333331</v>
      </c>
      <c r="K323" s="28"/>
    </row>
    <row r="324" spans="1:11" ht="30.75" customHeight="1">
      <c r="A324" s="30">
        <f>ROW() - ROW(Ejecucion4[[#Headers],[Correlativo]])</f>
        <v>320</v>
      </c>
      <c r="B324" s="30" t="s">
        <v>235</v>
      </c>
      <c r="C324" s="84" t="str">
        <f>IF(B324="","",HYPERLINK("#"&amp;"Registro!B"&amp;MATCH(B324,Registro!$B$8:$B$997,0)+7,"Ubicar en registro"))</f>
        <v>Ubicar en registro</v>
      </c>
      <c r="D324" s="55" t="str">
        <f>IF(Ejecucion4[[#This Row],[No. Solicitud]]="","",_xlfn.XLOOKUP(Ejecucion4[[#This Row],[No. Solicitud]],Registro!$B$8:$B$997,Registro!$H$8:$H$997,"Sin Dato",0))</f>
        <v>Curso 41</v>
      </c>
      <c r="E324" s="28">
        <v>43980</v>
      </c>
      <c r="F324" s="28">
        <v>2</v>
      </c>
      <c r="G324" s="30">
        <v>1</v>
      </c>
      <c r="H324" s="130">
        <v>46286</v>
      </c>
      <c r="I324" s="104">
        <v>0.5</v>
      </c>
      <c r="J324" s="105">
        <v>0.625</v>
      </c>
      <c r="K324" s="28"/>
    </row>
    <row r="325" spans="1:11" ht="30.75" customHeight="1">
      <c r="A325" s="30">
        <f>ROW() - ROW(Ejecucion4[[#Headers],[Correlativo]])</f>
        <v>321</v>
      </c>
      <c r="B325" s="30" t="s">
        <v>285</v>
      </c>
      <c r="C325" s="84" t="str">
        <f>IF(B325="","",HYPERLINK("#"&amp;"Registro!B"&amp;MATCH(B325,Registro!$B$8:$B$997,0)+7,"Ubicar en registro"))</f>
        <v>Ubicar en registro</v>
      </c>
      <c r="D325" s="55" t="str">
        <f>IF(Ejecucion4[[#This Row],[No. Solicitud]]="","",_xlfn.XLOOKUP(Ejecucion4[[#This Row],[No. Solicitud]],Registro!$B$8:$B$997,Registro!$H$8:$H$997,"Sin Dato",0))</f>
        <v>Curso 58</v>
      </c>
      <c r="E325" s="28"/>
      <c r="F325" s="28">
        <v>1</v>
      </c>
      <c r="G325" s="30">
        <v>1</v>
      </c>
      <c r="H325" s="97">
        <v>46329</v>
      </c>
      <c r="I325" s="104">
        <v>0.33333333333333331</v>
      </c>
      <c r="J325" s="105">
        <v>0.66666666666666663</v>
      </c>
      <c r="K325" s="28"/>
    </row>
    <row r="326" spans="1:11" ht="30.75" customHeight="1">
      <c r="A326" s="30">
        <f>ROW() - ROW(Ejecucion4[[#Headers],[Correlativo]])</f>
        <v>322</v>
      </c>
      <c r="B326" s="30" t="s">
        <v>285</v>
      </c>
      <c r="C326" s="84" t="str">
        <f>IF(B326="","",HYPERLINK("#"&amp;"Registro!B"&amp;MATCH(B326,Registro!$B$8:$B$997,0)+7,"Ubicar en registro"))</f>
        <v>Ubicar en registro</v>
      </c>
      <c r="D326" s="55" t="str">
        <f>IF(Ejecucion4[[#This Row],[No. Solicitud]]="","",_xlfn.XLOOKUP(Ejecucion4[[#This Row],[No. Solicitud]],Registro!$B$8:$B$997,Registro!$H$8:$H$997,"Sin Dato",0))</f>
        <v>Curso 58</v>
      </c>
      <c r="E326" s="28"/>
      <c r="F326" s="28">
        <v>1</v>
      </c>
      <c r="G326" s="30">
        <v>1</v>
      </c>
      <c r="H326" s="97">
        <v>46360</v>
      </c>
      <c r="I326" s="104">
        <v>0.33333333333333331</v>
      </c>
      <c r="J326" s="105">
        <v>0.66666666666666663</v>
      </c>
      <c r="K326" s="28"/>
    </row>
    <row r="327" spans="1:11" ht="30.75" customHeight="1">
      <c r="A327" s="30">
        <f>ROW() - ROW(Ejecucion4[[#Headers],[Correlativo]])</f>
        <v>323</v>
      </c>
      <c r="B327" s="30" t="s">
        <v>285</v>
      </c>
      <c r="C327" s="84" t="str">
        <f>IF(B327="","",HYPERLINK("#"&amp;"Registro!B"&amp;MATCH(B327,Registro!$B$8:$B$997,0)+7,"Ubicar en registro"))</f>
        <v>Ubicar en registro</v>
      </c>
      <c r="D327" s="55" t="str">
        <f>IF(Ejecucion4[[#This Row],[No. Solicitud]]="","",_xlfn.XLOOKUP(Ejecucion4[[#This Row],[No. Solicitud]],Registro!$B$8:$B$997,Registro!$H$8:$H$997,"Sin Dato",0))</f>
        <v>Curso 58</v>
      </c>
      <c r="E327" s="28"/>
      <c r="F327" s="28">
        <v>2</v>
      </c>
      <c r="G327" s="30">
        <v>1</v>
      </c>
      <c r="H327" s="97">
        <v>46330</v>
      </c>
      <c r="I327" s="104">
        <v>0.33333333333333331</v>
      </c>
      <c r="J327" s="105">
        <v>0.66666666666666663</v>
      </c>
      <c r="K327" s="28"/>
    </row>
    <row r="328" spans="1:11" ht="30.75" customHeight="1">
      <c r="A328" s="30">
        <f>ROW() - ROW(Ejecucion4[[#Headers],[Correlativo]])</f>
        <v>324</v>
      </c>
      <c r="B328" s="30" t="s">
        <v>285</v>
      </c>
      <c r="C328" s="84" t="str">
        <f>IF(B328="","",HYPERLINK("#"&amp;"Registro!B"&amp;MATCH(B328,Registro!$B$8:$B$997,0)+7,"Ubicar en registro"))</f>
        <v>Ubicar en registro</v>
      </c>
      <c r="D328" s="55" t="str">
        <f>IF(Ejecucion4[[#This Row],[No. Solicitud]]="","",_xlfn.XLOOKUP(Ejecucion4[[#This Row],[No. Solicitud]],Registro!$B$8:$B$997,Registro!$H$8:$H$997,"Sin Dato",0))</f>
        <v>Curso 58</v>
      </c>
      <c r="E328" s="28"/>
      <c r="F328" s="28">
        <v>2</v>
      </c>
      <c r="G328" s="30">
        <v>1</v>
      </c>
      <c r="H328" s="97">
        <v>46363</v>
      </c>
      <c r="I328" s="104">
        <v>0.33333333333333331</v>
      </c>
      <c r="J328" s="105">
        <v>0.66666666666666663</v>
      </c>
      <c r="K328" s="28"/>
    </row>
    <row r="329" spans="1:11" ht="30.75" customHeight="1">
      <c r="A329" s="30">
        <f>ROW() - ROW(Ejecucion4[[#Headers],[Correlativo]])</f>
        <v>325</v>
      </c>
      <c r="B329" s="30" t="s">
        <v>285</v>
      </c>
      <c r="C329" s="84" t="str">
        <f>IF(B329="","",HYPERLINK("#"&amp;"Registro!B"&amp;MATCH(B329,Registro!$B$8:$B$997,0)+7,"Ubicar en registro"))</f>
        <v>Ubicar en registro</v>
      </c>
      <c r="D329" s="55" t="str">
        <f>IF(Ejecucion4[[#This Row],[No. Solicitud]]="","",_xlfn.XLOOKUP(Ejecucion4[[#This Row],[No. Solicitud]],Registro!$B$8:$B$997,Registro!$H$8:$H$997,"Sin Dato",0))</f>
        <v>Curso 58</v>
      </c>
      <c r="E329" s="28"/>
      <c r="F329" s="28">
        <v>3</v>
      </c>
      <c r="G329" s="30">
        <v>1</v>
      </c>
      <c r="H329" s="97">
        <v>46331</v>
      </c>
      <c r="I329" s="104">
        <v>0.33333333333333331</v>
      </c>
      <c r="J329" s="105">
        <v>0.66666666666666663</v>
      </c>
      <c r="K329" s="28"/>
    </row>
    <row r="330" spans="1:11" ht="30.75" customHeight="1">
      <c r="A330" s="30">
        <f>ROW() - ROW(Ejecucion4[[#Headers],[Correlativo]])</f>
        <v>326</v>
      </c>
      <c r="B330" s="30" t="s">
        <v>285</v>
      </c>
      <c r="C330" s="84" t="str">
        <f>IF(B330="","",HYPERLINK("#"&amp;"Registro!B"&amp;MATCH(B330,Registro!$B$8:$B$997,0)+7,"Ubicar en registro"))</f>
        <v>Ubicar en registro</v>
      </c>
      <c r="D330" s="55" t="str">
        <f>IF(Ejecucion4[[#This Row],[No. Solicitud]]="","",_xlfn.XLOOKUP(Ejecucion4[[#This Row],[No. Solicitud]],Registro!$B$8:$B$997,Registro!$H$8:$H$997,"Sin Dato",0))</f>
        <v>Curso 58</v>
      </c>
      <c r="E330" s="28"/>
      <c r="F330" s="28">
        <v>3</v>
      </c>
      <c r="G330" s="30">
        <v>1</v>
      </c>
      <c r="H330" s="97">
        <v>46364</v>
      </c>
      <c r="I330" s="104">
        <v>0.33333333333333331</v>
      </c>
      <c r="J330" s="105">
        <v>0.66666666666666663</v>
      </c>
      <c r="K330" s="28"/>
    </row>
    <row r="331" spans="1:11" ht="30.75" customHeight="1">
      <c r="A331" s="30">
        <f>ROW() - ROW(Ejecucion4[[#Headers],[Correlativo]])</f>
        <v>327</v>
      </c>
      <c r="B331" s="30" t="s">
        <v>285</v>
      </c>
      <c r="C331" s="84" t="str">
        <f>IF(B331="","",HYPERLINK("#"&amp;"Registro!B"&amp;MATCH(B331,Registro!$B$8:$B$997,0)+7,"Ubicar en registro"))</f>
        <v>Ubicar en registro</v>
      </c>
      <c r="D331" s="55" t="str">
        <f>IF(Ejecucion4[[#This Row],[No. Solicitud]]="","",_xlfn.XLOOKUP(Ejecucion4[[#This Row],[No. Solicitud]],Registro!$B$8:$B$997,Registro!$H$8:$H$997,"Sin Dato",0))</f>
        <v>Curso 58</v>
      </c>
      <c r="E331" s="28"/>
      <c r="F331" s="28">
        <v>4</v>
      </c>
      <c r="G331" s="30">
        <v>1</v>
      </c>
      <c r="H331" s="97">
        <v>46365</v>
      </c>
      <c r="I331" s="104">
        <v>0.33333333333333331</v>
      </c>
      <c r="J331" s="105">
        <v>0.66666666666666663</v>
      </c>
      <c r="K331" s="28"/>
    </row>
    <row r="332" spans="1:11" ht="30.75" customHeight="1">
      <c r="A332" s="30">
        <f>ROW() - ROW(Ejecucion4[[#Headers],[Correlativo]])</f>
        <v>328</v>
      </c>
      <c r="B332" s="28" t="s">
        <v>277</v>
      </c>
      <c r="C332" s="84" t="str">
        <f>IF(B332="","",HYPERLINK("#"&amp;"Registro!B"&amp;MATCH(B332,Registro!$B$8:$B$997,0)+7,"Ubicar en registro"))</f>
        <v>Ubicar en registro</v>
      </c>
      <c r="D332" s="55" t="str">
        <f>IF(Ejecucion4[[#This Row],[No. Solicitud]]="","",_xlfn.XLOOKUP(Ejecucion4[[#This Row],[No. Solicitud]],Registro!$B$8:$B$997,Registro!$H$8:$H$997,"Sin Dato",0))</f>
        <v>Curso 56</v>
      </c>
      <c r="E332" s="28"/>
      <c r="F332" s="28">
        <v>1</v>
      </c>
      <c r="G332" s="30">
        <v>1</v>
      </c>
      <c r="H332" s="97">
        <v>46342</v>
      </c>
      <c r="I332" s="104">
        <v>0.33333333333333331</v>
      </c>
      <c r="J332" s="105">
        <v>0.66666666666666663</v>
      </c>
      <c r="K332" s="28"/>
    </row>
    <row r="333" spans="1:11" ht="30.75" customHeight="1">
      <c r="A333" s="30">
        <f>ROW() - ROW(Ejecucion4[[#Headers],[Correlativo]])</f>
        <v>329</v>
      </c>
      <c r="B333" s="30" t="s">
        <v>277</v>
      </c>
      <c r="C333" s="84" t="str">
        <f>IF(B333="","",HYPERLINK("#"&amp;"Registro!B"&amp;MATCH(B333,Registro!$B$8:$B$997,0)+7,"Ubicar en registro"))</f>
        <v>Ubicar en registro</v>
      </c>
      <c r="D333" s="55" t="str">
        <f>IF(Ejecucion4[[#This Row],[No. Solicitud]]="","",_xlfn.XLOOKUP(Ejecucion4[[#This Row],[No. Solicitud]],Registro!$B$8:$B$997,Registro!$H$8:$H$997,"Sin Dato",0))</f>
        <v>Curso 56</v>
      </c>
      <c r="E333" s="28"/>
      <c r="F333" s="28">
        <v>1</v>
      </c>
      <c r="G333" s="30">
        <v>1</v>
      </c>
      <c r="H333" s="97">
        <v>46357</v>
      </c>
      <c r="I333" s="104">
        <v>0.33333333333333331</v>
      </c>
      <c r="J333" s="105">
        <v>0.66666666666666663</v>
      </c>
      <c r="K333" s="28"/>
    </row>
    <row r="334" spans="1:11" ht="30.75" customHeight="1">
      <c r="A334" s="30">
        <f>ROW() - ROW(Ejecucion4[[#Headers],[Correlativo]])</f>
        <v>330</v>
      </c>
      <c r="B334" s="30" t="s">
        <v>277</v>
      </c>
      <c r="C334" s="84" t="str">
        <f>IF(B334="","",HYPERLINK("#"&amp;"Registro!B"&amp;MATCH(B334,Registro!$B$8:$B$997,0)+7,"Ubicar en registro"))</f>
        <v>Ubicar en registro</v>
      </c>
      <c r="D334" s="55" t="str">
        <f>IF(Ejecucion4[[#This Row],[No. Solicitud]]="","",_xlfn.XLOOKUP(Ejecucion4[[#This Row],[No. Solicitud]],Registro!$B$8:$B$997,Registro!$H$8:$H$997,"Sin Dato",0))</f>
        <v>Curso 56</v>
      </c>
      <c r="E334" s="28">
        <v>44094</v>
      </c>
      <c r="F334" s="28">
        <v>2</v>
      </c>
      <c r="G334" s="30">
        <v>1</v>
      </c>
      <c r="H334" s="97">
        <v>46343</v>
      </c>
      <c r="I334" s="104">
        <v>0.33333333333333331</v>
      </c>
      <c r="J334" s="105">
        <v>0.66666666666666663</v>
      </c>
      <c r="K334" s="28"/>
    </row>
    <row r="335" spans="1:11" ht="30.75" customHeight="1">
      <c r="A335" s="30">
        <f>ROW() - ROW(Ejecucion4[[#Headers],[Correlativo]])</f>
        <v>331</v>
      </c>
      <c r="B335" s="30" t="s">
        <v>277</v>
      </c>
      <c r="C335" s="84" t="str">
        <f>IF(B335="","",HYPERLINK("#"&amp;"Registro!B"&amp;MATCH(B335,Registro!$B$8:$B$997,0)+7,"Ubicar en registro"))</f>
        <v>Ubicar en registro</v>
      </c>
      <c r="D335" s="55" t="str">
        <f>IF(Ejecucion4[[#This Row],[No. Solicitud]]="","",_xlfn.XLOOKUP(Ejecucion4[[#This Row],[No. Solicitud]],Registro!$B$8:$B$997,Registro!$H$8:$H$997,"Sin Dato",0))</f>
        <v>Curso 56</v>
      </c>
      <c r="E335" s="28">
        <v>44094</v>
      </c>
      <c r="F335" s="28">
        <v>2</v>
      </c>
      <c r="G335" s="30">
        <v>1</v>
      </c>
      <c r="H335" s="97">
        <v>46310</v>
      </c>
      <c r="I335" s="104">
        <v>0.33333333333333331</v>
      </c>
      <c r="J335" s="105">
        <v>0.66666666666666663</v>
      </c>
      <c r="K335" s="28"/>
    </row>
    <row r="336" spans="1:11" ht="30.75" customHeight="1">
      <c r="A336" s="30">
        <f>ROW() - ROW(Ejecucion4[[#Headers],[Correlativo]])</f>
        <v>332</v>
      </c>
      <c r="B336" s="30" t="s">
        <v>277</v>
      </c>
      <c r="C336" s="84" t="str">
        <f>IF(B336="","",HYPERLINK("#"&amp;"Registro!B"&amp;MATCH(B336,Registro!$B$8:$B$997,0)+7,"Ubicar en registro"))</f>
        <v>Ubicar en registro</v>
      </c>
      <c r="D336" s="55" t="str">
        <f>IF(Ejecucion4[[#This Row],[No. Solicitud]]="","",_xlfn.XLOOKUP(Ejecucion4[[#This Row],[No. Solicitud]],Registro!$B$8:$B$997,Registro!$H$8:$H$997,"Sin Dato",0))</f>
        <v>Curso 56</v>
      </c>
      <c r="E336" s="28"/>
      <c r="F336" s="28">
        <v>3</v>
      </c>
      <c r="G336" s="30">
        <v>1</v>
      </c>
      <c r="H336" s="97">
        <v>46344</v>
      </c>
      <c r="I336" s="104">
        <v>0.33333333333333331</v>
      </c>
      <c r="J336" s="105">
        <v>0.66666666666666663</v>
      </c>
      <c r="K336" s="28"/>
    </row>
    <row r="337" spans="1:11" ht="45.75" customHeight="1">
      <c r="A337" s="30">
        <f>ROW() - ROW(Ejecucion4[[#Headers],[Correlativo]])</f>
        <v>333</v>
      </c>
      <c r="B337" s="30" t="s">
        <v>277</v>
      </c>
      <c r="C337" s="84" t="str">
        <f>IF(B337="","",HYPERLINK("#"&amp;"Registro!B"&amp;MATCH(B337,Registro!$B$8:$B$997,0)+7,"Ubicar en registro"))</f>
        <v>Ubicar en registro</v>
      </c>
      <c r="D337" s="55" t="str">
        <f>IF(Ejecucion4[[#This Row],[No. Solicitud]]="","",_xlfn.XLOOKUP(Ejecucion4[[#This Row],[No. Solicitud]],Registro!$B$8:$B$997,Registro!$H$8:$H$997,"Sin Dato",0))</f>
        <v>Curso 56</v>
      </c>
      <c r="E337" s="28"/>
      <c r="F337" s="28">
        <v>3</v>
      </c>
      <c r="G337" s="30">
        <v>1</v>
      </c>
      <c r="H337" s="97">
        <v>46358</v>
      </c>
      <c r="I337" s="104">
        <v>0.33333333333333331</v>
      </c>
      <c r="J337" s="105">
        <v>0.66666666666666663</v>
      </c>
      <c r="K337" s="28"/>
    </row>
    <row r="338" spans="1:11" ht="45.75" customHeight="1">
      <c r="A338" s="30">
        <f>ROW() - ROW(Ejecucion4[[#Headers],[Correlativo]])</f>
        <v>334</v>
      </c>
      <c r="B338" s="30" t="s">
        <v>277</v>
      </c>
      <c r="C338" s="84" t="str">
        <f>IF(B338="","",HYPERLINK("#"&amp;"Registro!B"&amp;MATCH(B338,Registro!$B$8:$B$997,0)+7,"Ubicar en registro"))</f>
        <v>Ubicar en registro</v>
      </c>
      <c r="D338" s="55" t="str">
        <f>IF(Ejecucion4[[#This Row],[No. Solicitud]]="","",_xlfn.XLOOKUP(Ejecucion4[[#This Row],[No. Solicitud]],Registro!$B$8:$B$997,Registro!$H$8:$H$997,"Sin Dato",0))</f>
        <v>Curso 56</v>
      </c>
      <c r="E338" s="28"/>
      <c r="F338" s="28">
        <v>4</v>
      </c>
      <c r="G338" s="30">
        <v>1</v>
      </c>
      <c r="H338" s="97">
        <v>46339</v>
      </c>
      <c r="I338" s="104">
        <v>0.33333333333333331</v>
      </c>
      <c r="J338" s="105">
        <v>0.66666666666666663</v>
      </c>
      <c r="K338" s="28"/>
    </row>
    <row r="339" spans="1:11" ht="45.75" customHeight="1">
      <c r="A339" s="30">
        <f>ROW() - ROW(Ejecucion4[[#Headers],[Correlativo]])</f>
        <v>335</v>
      </c>
      <c r="B339" s="30" t="s">
        <v>277</v>
      </c>
      <c r="C339" s="84" t="str">
        <f>IF(B339="","",HYPERLINK("#"&amp;"Registro!B"&amp;MATCH(B339,Registro!$B$8:$B$997,0)+7,"Ubicar en registro"))</f>
        <v>Ubicar en registro</v>
      </c>
      <c r="D339" s="55" t="str">
        <f>IF(Ejecucion4[[#This Row],[No. Solicitud]]="","",_xlfn.XLOOKUP(Ejecucion4[[#This Row],[No. Solicitud]],Registro!$B$8:$B$997,Registro!$H$8:$H$997,"Sin Dato",0))</f>
        <v>Curso 56</v>
      </c>
      <c r="E339" s="28"/>
      <c r="F339" s="28">
        <v>5</v>
      </c>
      <c r="G339" s="30">
        <v>1</v>
      </c>
      <c r="H339" s="97">
        <v>46353</v>
      </c>
      <c r="I339" s="104">
        <v>0.33333333333333331</v>
      </c>
      <c r="J339" s="105">
        <v>0.66666666666666663</v>
      </c>
      <c r="K339" s="28"/>
    </row>
    <row r="340" spans="1:11" ht="45.75" customHeight="1">
      <c r="A340" s="30">
        <f>ROW() - ROW(Ejecucion4[[#Headers],[Correlativo]])</f>
        <v>336</v>
      </c>
      <c r="B340" s="30" t="s">
        <v>331</v>
      </c>
      <c r="C340" s="84" t="str">
        <f>IF(B340="","",HYPERLINK("#"&amp;"Registro!B"&amp;MATCH(B340,Registro!$B$8:$B$997,0)+7,"Ubicar en registro"))</f>
        <v>Ubicar en registro</v>
      </c>
      <c r="D340" s="55" t="str">
        <f>IF(Ejecucion4[[#This Row],[No. Solicitud]]="","",_xlfn.XLOOKUP(Ejecucion4[[#This Row],[No. Solicitud]],Registro!$B$8:$B$997,Registro!$H$8:$H$997,"Sin Dato",0))</f>
        <v>Curso 76</v>
      </c>
      <c r="E340" s="28"/>
      <c r="F340" s="28">
        <v>1</v>
      </c>
      <c r="G340" s="30">
        <v>1</v>
      </c>
      <c r="H340" s="130">
        <v>46302</v>
      </c>
      <c r="I340" s="104">
        <v>0.33333333333333331</v>
      </c>
      <c r="J340" s="105">
        <v>0.66666666666666663</v>
      </c>
      <c r="K340" s="28"/>
    </row>
    <row r="341" spans="1:11" ht="45.75" customHeight="1">
      <c r="A341" s="30">
        <f>ROW() - ROW(Ejecucion4[[#Headers],[Correlativo]])</f>
        <v>337</v>
      </c>
      <c r="B341" s="30" t="s">
        <v>331</v>
      </c>
      <c r="C341" s="84" t="str">
        <f>IF(B341="","",HYPERLINK("#"&amp;"Registro!B"&amp;MATCH(B341,Registro!$B$8:$B$997,0)+7,"Ubicar en registro"))</f>
        <v>Ubicar en registro</v>
      </c>
      <c r="D341" s="55" t="str">
        <f>IF(Ejecucion4[[#This Row],[No. Solicitud]]="","",_xlfn.XLOOKUP(Ejecucion4[[#This Row],[No. Solicitud]],Registro!$B$8:$B$997,Registro!$H$8:$H$997,"Sin Dato",0))</f>
        <v>Curso 76</v>
      </c>
      <c r="E341" s="28"/>
      <c r="F341" s="28">
        <v>1</v>
      </c>
      <c r="G341" s="30">
        <v>2</v>
      </c>
      <c r="H341" s="130">
        <v>46303</v>
      </c>
      <c r="I341" s="104">
        <v>0.33333333333333331</v>
      </c>
      <c r="J341" s="105">
        <v>0.66666666666666663</v>
      </c>
      <c r="K341" s="28"/>
    </row>
    <row r="342" spans="1:11" ht="45.75" customHeight="1">
      <c r="A342" s="30">
        <f>ROW() - ROW(Ejecucion4[[#Headers],[Correlativo]])</f>
        <v>338</v>
      </c>
      <c r="B342" s="30" t="s">
        <v>331</v>
      </c>
      <c r="C342" s="84" t="str">
        <f>IF(B342="","",HYPERLINK("#"&amp;"Registro!B"&amp;MATCH(B342,Registro!$B$8:$B$997,0)+7,"Ubicar en registro"))</f>
        <v>Ubicar en registro</v>
      </c>
      <c r="D342" s="55" t="str">
        <f>IF(Ejecucion4[[#This Row],[No. Solicitud]]="","",_xlfn.XLOOKUP(Ejecucion4[[#This Row],[No. Solicitud]],Registro!$B$8:$B$997,Registro!$H$8:$H$997,"Sin Dato",0))</f>
        <v>Curso 76</v>
      </c>
      <c r="E342" s="28"/>
      <c r="F342" s="28">
        <v>1</v>
      </c>
      <c r="G342" s="30">
        <v>3</v>
      </c>
      <c r="H342" s="130">
        <v>46304</v>
      </c>
      <c r="I342" s="104">
        <v>0.33333333333333331</v>
      </c>
      <c r="J342" s="105">
        <v>0.66666666666666663</v>
      </c>
      <c r="K342" s="28"/>
    </row>
    <row r="343" spans="1:11" ht="45.75" customHeight="1">
      <c r="A343" s="30">
        <f>ROW() - ROW(Ejecucion4[[#Headers],[Correlativo]])</f>
        <v>339</v>
      </c>
      <c r="B343" s="30" t="s">
        <v>331</v>
      </c>
      <c r="C343" s="84" t="str">
        <f>IF(B343="","",HYPERLINK("#"&amp;"Registro!B"&amp;MATCH(B343,Registro!$B$8:$B$997,0)+7,"Ubicar en registro"))</f>
        <v>Ubicar en registro</v>
      </c>
      <c r="D343" s="55" t="str">
        <f>IF(Ejecucion4[[#This Row],[No. Solicitud]]="","",_xlfn.XLOOKUP(Ejecucion4[[#This Row],[No. Solicitud]],Registro!$B$8:$B$997,Registro!$H$8:$H$997,"Sin Dato",0))</f>
        <v>Curso 76</v>
      </c>
      <c r="E343" s="28"/>
      <c r="F343" s="28">
        <v>2</v>
      </c>
      <c r="G343" s="30">
        <v>1</v>
      </c>
      <c r="H343" s="130">
        <v>46308</v>
      </c>
      <c r="I343" s="104">
        <v>0.33333333333333331</v>
      </c>
      <c r="J343" s="105">
        <v>0.66666666666666663</v>
      </c>
      <c r="K343" s="28"/>
    </row>
    <row r="344" spans="1:11" ht="45.75" customHeight="1">
      <c r="A344" s="30">
        <f>ROW() - ROW(Ejecucion4[[#Headers],[Correlativo]])</f>
        <v>340</v>
      </c>
      <c r="B344" s="30" t="s">
        <v>331</v>
      </c>
      <c r="C344" s="84" t="str">
        <f>IF(B344="","",HYPERLINK("#"&amp;"Registro!B"&amp;MATCH(B344,Registro!$B$8:$B$997,0)+7,"Ubicar en registro"))</f>
        <v>Ubicar en registro</v>
      </c>
      <c r="D344" s="55" t="str">
        <f>IF(Ejecucion4[[#This Row],[No. Solicitud]]="","",_xlfn.XLOOKUP(Ejecucion4[[#This Row],[No. Solicitud]],Registro!$B$8:$B$997,Registro!$H$8:$H$997,"Sin Dato",0))</f>
        <v>Curso 76</v>
      </c>
      <c r="E344" s="28"/>
      <c r="F344" s="28">
        <v>2</v>
      </c>
      <c r="G344" s="30">
        <v>2</v>
      </c>
      <c r="H344" s="130">
        <v>46309</v>
      </c>
      <c r="I344" s="104">
        <v>0.33333333333333331</v>
      </c>
      <c r="J344" s="105">
        <v>0.66666666666666663</v>
      </c>
      <c r="K344" s="28"/>
    </row>
    <row r="345" spans="1:11" ht="45.75" customHeight="1">
      <c r="A345" s="30">
        <f>ROW() - ROW(Ejecucion4[[#Headers],[Correlativo]])</f>
        <v>341</v>
      </c>
      <c r="B345" s="30" t="s">
        <v>331</v>
      </c>
      <c r="C345" s="84" t="str">
        <f>IF(B345="","",HYPERLINK("#"&amp;"Registro!B"&amp;MATCH(B345,Registro!$B$8:$B$997,0)+7,"Ubicar en registro"))</f>
        <v>Ubicar en registro</v>
      </c>
      <c r="D345" s="55" t="str">
        <f>IF(Ejecucion4[[#This Row],[No. Solicitud]]="","",_xlfn.XLOOKUP(Ejecucion4[[#This Row],[No. Solicitud]],Registro!$B$8:$B$997,Registro!$H$8:$H$997,"Sin Dato",0))</f>
        <v>Curso 76</v>
      </c>
      <c r="E345" s="28"/>
      <c r="F345" s="28">
        <v>2</v>
      </c>
      <c r="G345" s="30">
        <v>3</v>
      </c>
      <c r="H345" s="130">
        <v>46310</v>
      </c>
      <c r="I345" s="104">
        <v>0.33333333333333331</v>
      </c>
      <c r="J345" s="105">
        <v>0.66666666666666663</v>
      </c>
      <c r="K345" s="28"/>
    </row>
    <row r="346" spans="1:11" ht="45.75" customHeight="1">
      <c r="A346" s="30">
        <f>ROW() - ROW(Ejecucion4[[#Headers],[Correlativo]])</f>
        <v>342</v>
      </c>
      <c r="B346" s="30" t="s">
        <v>331</v>
      </c>
      <c r="C346" s="84" t="str">
        <f>IF(B346="","",HYPERLINK("#"&amp;"Registro!B"&amp;MATCH(B346,Registro!$B$8:$B$997,0)+7,"Ubicar en registro"))</f>
        <v>Ubicar en registro</v>
      </c>
      <c r="D346" s="55" t="str">
        <f>IF(Ejecucion4[[#This Row],[No. Solicitud]]="","",_xlfn.XLOOKUP(Ejecucion4[[#This Row],[No. Solicitud]],Registro!$B$8:$B$997,Registro!$H$8:$H$997,"Sin Dato",0))</f>
        <v>Curso 76</v>
      </c>
      <c r="E346" s="28"/>
      <c r="F346" s="28">
        <v>3</v>
      </c>
      <c r="G346" s="30">
        <v>1</v>
      </c>
      <c r="H346" s="130">
        <v>46322</v>
      </c>
      <c r="I346" s="104">
        <v>0.33333333333333331</v>
      </c>
      <c r="J346" s="105">
        <v>0.66666666666666663</v>
      </c>
      <c r="K346" s="28"/>
    </row>
    <row r="347" spans="1:11" ht="45.75" customHeight="1">
      <c r="A347" s="30">
        <f>ROW() - ROW(Ejecucion4[[#Headers],[Correlativo]])</f>
        <v>343</v>
      </c>
      <c r="B347" s="30" t="s">
        <v>331</v>
      </c>
      <c r="C347" s="84" t="str">
        <f>IF(B347="","",HYPERLINK("#"&amp;"Registro!B"&amp;MATCH(B347,Registro!$B$8:$B$997,0)+7,"Ubicar en registro"))</f>
        <v>Ubicar en registro</v>
      </c>
      <c r="D347" s="55" t="str">
        <f>IF(Ejecucion4[[#This Row],[No. Solicitud]]="","",_xlfn.XLOOKUP(Ejecucion4[[#This Row],[No. Solicitud]],Registro!$B$8:$B$997,Registro!$H$8:$H$997,"Sin Dato",0))</f>
        <v>Curso 76</v>
      </c>
      <c r="E347" s="28"/>
      <c r="F347" s="28">
        <v>3</v>
      </c>
      <c r="G347" s="30">
        <v>2</v>
      </c>
      <c r="H347" s="130">
        <v>46323</v>
      </c>
      <c r="I347" s="104">
        <v>0.33333333333333331</v>
      </c>
      <c r="J347" s="105">
        <v>0.66666666666666663</v>
      </c>
      <c r="K347" s="28"/>
    </row>
    <row r="348" spans="1:11" ht="45.75" customHeight="1">
      <c r="A348" s="30">
        <f>ROW() - ROW(Ejecucion4[[#Headers],[Correlativo]])</f>
        <v>344</v>
      </c>
      <c r="B348" s="30" t="s">
        <v>331</v>
      </c>
      <c r="C348" s="84" t="str">
        <f>IF(B348="","",HYPERLINK("#"&amp;"Registro!B"&amp;MATCH(B348,Registro!$B$8:$B$997,0)+7,"Ubicar en registro"))</f>
        <v>Ubicar en registro</v>
      </c>
      <c r="D348" s="55" t="str">
        <f>IF(Ejecucion4[[#This Row],[No. Solicitud]]="","",_xlfn.XLOOKUP(Ejecucion4[[#This Row],[No. Solicitud]],Registro!$B$8:$B$997,Registro!$H$8:$H$997,"Sin Dato",0))</f>
        <v>Curso 76</v>
      </c>
      <c r="E348" s="28"/>
      <c r="F348" s="28">
        <v>3</v>
      </c>
      <c r="G348" s="30">
        <v>3</v>
      </c>
      <c r="H348" s="130">
        <v>46324</v>
      </c>
      <c r="I348" s="104">
        <v>0.33333333333333331</v>
      </c>
      <c r="J348" s="105">
        <v>0.66666666666666663</v>
      </c>
      <c r="K348" s="28"/>
    </row>
    <row r="349" spans="1:11" ht="45.75" customHeight="1">
      <c r="A349" s="30">
        <f>ROW() - ROW(Ejecucion4[[#Headers],[Correlativo]])</f>
        <v>345</v>
      </c>
      <c r="B349" s="30" t="s">
        <v>331</v>
      </c>
      <c r="C349" s="84" t="str">
        <f>IF(B349="","",HYPERLINK("#"&amp;"Registro!B"&amp;MATCH(B349,Registro!$B$8:$B$997,0)+7,"Ubicar en registro"))</f>
        <v>Ubicar en registro</v>
      </c>
      <c r="D349" s="55" t="str">
        <f>IF(Ejecucion4[[#This Row],[No. Solicitud]]="","",_xlfn.XLOOKUP(Ejecucion4[[#This Row],[No. Solicitud]],Registro!$B$8:$B$997,Registro!$H$8:$H$997,"Sin Dato",0))</f>
        <v>Curso 76</v>
      </c>
      <c r="E349" s="28"/>
      <c r="F349" s="28">
        <v>4</v>
      </c>
      <c r="G349" s="30">
        <v>1</v>
      </c>
      <c r="H349" s="130">
        <v>46336</v>
      </c>
      <c r="I349" s="104">
        <v>0.33333333333333331</v>
      </c>
      <c r="J349" s="105">
        <v>0.66666666666666663</v>
      </c>
      <c r="K349" s="28"/>
    </row>
    <row r="350" spans="1:11" ht="45.75" customHeight="1">
      <c r="A350" s="30">
        <f>ROW() - ROW(Ejecucion4[[#Headers],[Correlativo]])</f>
        <v>346</v>
      </c>
      <c r="B350" s="30" t="s">
        <v>331</v>
      </c>
      <c r="C350" s="84" t="str">
        <f>IF(B350="","",HYPERLINK("#"&amp;"Registro!B"&amp;MATCH(B350,Registro!$B$8:$B$997,0)+7,"Ubicar en registro"))</f>
        <v>Ubicar en registro</v>
      </c>
      <c r="D350" s="55" t="str">
        <f>IF(Ejecucion4[[#This Row],[No. Solicitud]]="","",_xlfn.XLOOKUP(Ejecucion4[[#This Row],[No. Solicitud]],Registro!$B$8:$B$997,Registro!$H$8:$H$997,"Sin Dato",0))</f>
        <v>Curso 76</v>
      </c>
      <c r="E350" s="28"/>
      <c r="F350" s="28">
        <v>4</v>
      </c>
      <c r="G350" s="30">
        <v>2</v>
      </c>
      <c r="H350" s="130">
        <v>46337</v>
      </c>
      <c r="I350" s="104">
        <v>0.33333333333333331</v>
      </c>
      <c r="J350" s="105">
        <v>0.66666666666666663</v>
      </c>
      <c r="K350" s="28"/>
    </row>
    <row r="351" spans="1:11" ht="45.75" customHeight="1">
      <c r="A351" s="30">
        <f>ROW() - ROW(Ejecucion4[[#Headers],[Correlativo]])</f>
        <v>347</v>
      </c>
      <c r="B351" s="30" t="s">
        <v>331</v>
      </c>
      <c r="C351" s="84" t="str">
        <f>IF(B351="","",HYPERLINK("#"&amp;"Registro!B"&amp;MATCH(B351,Registro!$B$8:$B$997,0)+7,"Ubicar en registro"))</f>
        <v>Ubicar en registro</v>
      </c>
      <c r="D351" s="55" t="str">
        <f>IF(Ejecucion4[[#This Row],[No. Solicitud]]="","",_xlfn.XLOOKUP(Ejecucion4[[#This Row],[No. Solicitud]],Registro!$B$8:$B$997,Registro!$H$8:$H$997,"Sin Dato",0))</f>
        <v>Curso 76</v>
      </c>
      <c r="E351" s="28"/>
      <c r="F351" s="28">
        <v>4</v>
      </c>
      <c r="G351" s="30">
        <v>3</v>
      </c>
      <c r="H351" s="130">
        <v>46338</v>
      </c>
      <c r="I351" s="104">
        <v>0.33333333333333331</v>
      </c>
      <c r="J351" s="105">
        <v>0.66666666666666663</v>
      </c>
      <c r="K351" s="28"/>
    </row>
    <row r="352" spans="1:11" ht="45.75" customHeight="1">
      <c r="A352" s="30">
        <f>ROW() - ROW(Ejecucion4[[#Headers],[Correlativo]])</f>
        <v>348</v>
      </c>
      <c r="B352" s="30" t="s">
        <v>331</v>
      </c>
      <c r="C352" s="84" t="str">
        <f>IF(B352="","",HYPERLINK("#"&amp;"Registro!B"&amp;MATCH(B352,Registro!$B$8:$B$997,0)+7,"Ubicar en registro"))</f>
        <v>Ubicar en registro</v>
      </c>
      <c r="D352" s="55" t="str">
        <f>IF(Ejecucion4[[#This Row],[No. Solicitud]]="","",_xlfn.XLOOKUP(Ejecucion4[[#This Row],[No. Solicitud]],Registro!$B$8:$B$997,Registro!$H$8:$H$997,"Sin Dato",0))</f>
        <v>Curso 76</v>
      </c>
      <c r="E352" s="28"/>
      <c r="F352" s="28">
        <v>5</v>
      </c>
      <c r="G352" s="30">
        <v>1</v>
      </c>
      <c r="H352" s="130">
        <v>46343</v>
      </c>
      <c r="I352" s="104">
        <v>0.33333333333333331</v>
      </c>
      <c r="J352" s="105">
        <v>0.66666666666666663</v>
      </c>
      <c r="K352" s="28"/>
    </row>
    <row r="353" spans="1:11" ht="45.75" customHeight="1">
      <c r="A353" s="30">
        <f>ROW() - ROW(Ejecucion4[[#Headers],[Correlativo]])</f>
        <v>349</v>
      </c>
      <c r="B353" s="30" t="s">
        <v>331</v>
      </c>
      <c r="C353" s="84" t="str">
        <f>IF(B353="","",HYPERLINK("#"&amp;"Registro!B"&amp;MATCH(B353,Registro!$B$8:$B$997,0)+7,"Ubicar en registro"))</f>
        <v>Ubicar en registro</v>
      </c>
      <c r="D353" s="55" t="str">
        <f>IF(Ejecucion4[[#This Row],[No. Solicitud]]="","",_xlfn.XLOOKUP(Ejecucion4[[#This Row],[No. Solicitud]],Registro!$B$8:$B$997,Registro!$H$8:$H$997,"Sin Dato",0))</f>
        <v>Curso 76</v>
      </c>
      <c r="E353" s="28"/>
      <c r="F353" s="28">
        <v>5</v>
      </c>
      <c r="G353" s="30">
        <v>2</v>
      </c>
      <c r="H353" s="130">
        <v>46344</v>
      </c>
      <c r="I353" s="104">
        <v>0.33333333333333331</v>
      </c>
      <c r="J353" s="105">
        <v>0.66666666666666663</v>
      </c>
      <c r="K353" s="28"/>
    </row>
    <row r="354" spans="1:11" ht="45.75" customHeight="1">
      <c r="A354" s="30">
        <f>ROW() - ROW(Ejecucion4[[#Headers],[Correlativo]])</f>
        <v>350</v>
      </c>
      <c r="B354" s="30" t="s">
        <v>331</v>
      </c>
      <c r="C354" s="84" t="str">
        <f>IF(B354="","",HYPERLINK("#"&amp;"Registro!B"&amp;MATCH(B354,Registro!$B$8:$B$997,0)+7,"Ubicar en registro"))</f>
        <v>Ubicar en registro</v>
      </c>
      <c r="D354" s="55" t="str">
        <f>IF(Ejecucion4[[#This Row],[No. Solicitud]]="","",_xlfn.XLOOKUP(Ejecucion4[[#This Row],[No. Solicitud]],Registro!$B$8:$B$997,Registro!$H$8:$H$997,"Sin Dato",0))</f>
        <v>Curso 76</v>
      </c>
      <c r="E354" s="28"/>
      <c r="F354" s="28">
        <v>5</v>
      </c>
      <c r="G354" s="30">
        <v>3</v>
      </c>
      <c r="H354" s="130">
        <v>46345</v>
      </c>
      <c r="I354" s="104">
        <v>0.33333333333333331</v>
      </c>
      <c r="J354" s="105">
        <v>0.66666666666666663</v>
      </c>
      <c r="K354" s="28"/>
    </row>
    <row r="355" spans="1:11" ht="30.75" customHeight="1">
      <c r="A355" s="30">
        <f>ROW() - ROW(Ejecucion4[[#Headers],[Correlativo]])</f>
        <v>351</v>
      </c>
      <c r="B355" s="30" t="s">
        <v>331</v>
      </c>
      <c r="C355" s="84" t="str">
        <f>IF(B355="","",HYPERLINK("#"&amp;"Registro!B"&amp;MATCH(B355,Registro!$B$8:$B$997,0)+7,"Ubicar en registro"))</f>
        <v>Ubicar en registro</v>
      </c>
      <c r="D355" s="55" t="str">
        <f>IF(Ejecucion4[[#This Row],[No. Solicitud]]="","",_xlfn.XLOOKUP(Ejecucion4[[#This Row],[No. Solicitud]],Registro!$B$8:$B$997,Registro!$H$8:$H$997,"Sin Dato",0))</f>
        <v>Curso 76</v>
      </c>
      <c r="E355" s="28"/>
      <c r="F355" s="28">
        <v>6</v>
      </c>
      <c r="G355" s="30">
        <v>1</v>
      </c>
      <c r="H355" s="130">
        <v>46350</v>
      </c>
      <c r="I355" s="104">
        <v>0.33333333333333331</v>
      </c>
      <c r="J355" s="105">
        <v>0.66666666666666663</v>
      </c>
      <c r="K355" s="28"/>
    </row>
    <row r="356" spans="1:11" ht="30.75" customHeight="1">
      <c r="A356" s="30">
        <f>ROW() - ROW(Ejecucion4[[#Headers],[Correlativo]])</f>
        <v>352</v>
      </c>
      <c r="B356" s="30" t="s">
        <v>331</v>
      </c>
      <c r="C356" s="84" t="str">
        <f>IF(B356="","",HYPERLINK("#"&amp;"Registro!B"&amp;MATCH(B356,Registro!$B$8:$B$997,0)+7,"Ubicar en registro"))</f>
        <v>Ubicar en registro</v>
      </c>
      <c r="D356" s="55" t="str">
        <f>IF(Ejecucion4[[#This Row],[No. Solicitud]]="","",_xlfn.XLOOKUP(Ejecucion4[[#This Row],[No. Solicitud]],Registro!$B$8:$B$997,Registro!$H$8:$H$997,"Sin Dato",0))</f>
        <v>Curso 76</v>
      </c>
      <c r="E356" s="28"/>
      <c r="F356" s="28">
        <v>6</v>
      </c>
      <c r="G356" s="30">
        <v>2</v>
      </c>
      <c r="H356" s="130">
        <v>46351</v>
      </c>
      <c r="I356" s="104">
        <v>0.33333333333333331</v>
      </c>
      <c r="J356" s="105">
        <v>0.66666666666666663</v>
      </c>
      <c r="K356" s="28"/>
    </row>
    <row r="357" spans="1:11" ht="30.75" customHeight="1">
      <c r="A357" s="30">
        <f>ROW() - ROW(Ejecucion4[[#Headers],[Correlativo]])</f>
        <v>353</v>
      </c>
      <c r="B357" s="30" t="s">
        <v>331</v>
      </c>
      <c r="C357" s="84" t="str">
        <f>IF(B357="","",HYPERLINK("#"&amp;"Registro!B"&amp;MATCH(B357,Registro!$B$8:$B$997,0)+7,"Ubicar en registro"))</f>
        <v>Ubicar en registro</v>
      </c>
      <c r="D357" s="55" t="str">
        <f>IF(Ejecucion4[[#This Row],[No. Solicitud]]="","",_xlfn.XLOOKUP(Ejecucion4[[#This Row],[No. Solicitud]],Registro!$B$8:$B$997,Registro!$H$8:$H$997,"Sin Dato",0))</f>
        <v>Curso 76</v>
      </c>
      <c r="E357" s="28"/>
      <c r="F357" s="28">
        <v>6</v>
      </c>
      <c r="G357" s="30">
        <v>3</v>
      </c>
      <c r="H357" s="130">
        <v>46352</v>
      </c>
      <c r="I357" s="104">
        <v>0.33333333333333331</v>
      </c>
      <c r="J357" s="105">
        <v>0.66666666666666663</v>
      </c>
      <c r="K357" s="28"/>
    </row>
    <row r="358" spans="1:11" ht="30.75" customHeight="1">
      <c r="A358" s="30">
        <f>ROW() - ROW(Ejecucion4[[#Headers],[Correlativo]])</f>
        <v>354</v>
      </c>
      <c r="B358" s="30" t="s">
        <v>327</v>
      </c>
      <c r="C358" s="84" t="str">
        <f>IF(B358="","",HYPERLINK("#"&amp;"Registro!B"&amp;MATCH(B358,Registro!$B$8:$B$997,0)+7,"Ubicar en registro"))</f>
        <v>Ubicar en registro</v>
      </c>
      <c r="D358" s="55" t="str">
        <f>IF(Ejecucion4[[#This Row],[No. Solicitud]]="","",_xlfn.XLOOKUP(Ejecucion4[[#This Row],[No. Solicitud]],Registro!$B$8:$B$997,Registro!$H$8:$H$997,"Sin Dato",0))</f>
        <v>Curso 75</v>
      </c>
      <c r="E358" s="28">
        <v>44121</v>
      </c>
      <c r="F358" s="28">
        <v>1</v>
      </c>
      <c r="G358" s="30">
        <v>1</v>
      </c>
      <c r="H358" s="130">
        <v>46307</v>
      </c>
      <c r="I358" s="104">
        <v>0.33333333333333331</v>
      </c>
      <c r="J358" s="105">
        <v>0.5</v>
      </c>
      <c r="K358" s="28"/>
    </row>
    <row r="359" spans="1:11" ht="45.75" customHeight="1">
      <c r="A359" s="30">
        <f>ROW() - ROW(Ejecucion4[[#Headers],[Correlativo]])</f>
        <v>355</v>
      </c>
      <c r="B359" s="30" t="s">
        <v>327</v>
      </c>
      <c r="C359" s="84" t="str">
        <f>IF(B359="","",HYPERLINK("#"&amp;"Registro!B"&amp;MATCH(B359,Registro!$B$8:$B$997,0)+7,"Ubicar en registro"))</f>
        <v>Ubicar en registro</v>
      </c>
      <c r="D359" s="55" t="str">
        <f>IF(Ejecucion4[[#This Row],[No. Solicitud]]="","",_xlfn.XLOOKUP(Ejecucion4[[#This Row],[No. Solicitud]],Registro!$B$8:$B$997,Registro!$H$8:$H$997,"Sin Dato",0))</f>
        <v>Curso 75</v>
      </c>
      <c r="E359" s="28"/>
      <c r="F359" s="28">
        <v>2</v>
      </c>
      <c r="G359" s="30">
        <v>1</v>
      </c>
      <c r="H359" s="130">
        <v>46309</v>
      </c>
      <c r="I359" s="104">
        <v>0.33333333333333331</v>
      </c>
      <c r="J359" s="105">
        <v>0.5</v>
      </c>
      <c r="K359" s="28"/>
    </row>
    <row r="360" spans="1:11" ht="45.75" customHeight="1">
      <c r="A360" s="30">
        <f>ROW() - ROW(Ejecucion4[[#Headers],[Correlativo]])</f>
        <v>356</v>
      </c>
      <c r="B360" s="30" t="s">
        <v>336</v>
      </c>
      <c r="C360" s="84" t="str">
        <f>IF(B360="","",HYPERLINK("#"&amp;"Registro!B"&amp;MATCH(B360,Registro!$B$8:$B$997,0)+7,"Ubicar en registro"))</f>
        <v>Ubicar en registro</v>
      </c>
      <c r="D360" s="55" t="str">
        <f>IF(Ejecucion4[[#This Row],[No. Solicitud]]="","",_xlfn.XLOOKUP(Ejecucion4[[#This Row],[No. Solicitud]],Registro!$B$8:$B$997,Registro!$H$8:$H$997,"Sin Dato",0))</f>
        <v>Curso 77</v>
      </c>
      <c r="E360" s="28"/>
      <c r="F360" s="28">
        <v>1</v>
      </c>
      <c r="G360" s="30">
        <v>1</v>
      </c>
      <c r="H360" s="130">
        <v>46316</v>
      </c>
      <c r="I360" s="104">
        <v>0.33333333333333331</v>
      </c>
      <c r="J360" s="105">
        <v>0.5</v>
      </c>
      <c r="K360" s="28"/>
    </row>
    <row r="361" spans="1:11" ht="45.75" customHeight="1">
      <c r="A361" s="30">
        <f>ROW() - ROW(Ejecucion4[[#Headers],[Correlativo]])</f>
        <v>357</v>
      </c>
      <c r="B361" s="30" t="s">
        <v>336</v>
      </c>
      <c r="C361" s="84" t="str">
        <f>IF(B361="","",HYPERLINK("#"&amp;"Registro!B"&amp;MATCH(B361,Registro!$B$8:$B$997,0)+7,"Ubicar en registro"))</f>
        <v>Ubicar en registro</v>
      </c>
      <c r="D361" s="55" t="str">
        <f>IF(Ejecucion4[[#This Row],[No. Solicitud]]="","",_xlfn.XLOOKUP(Ejecucion4[[#This Row],[No. Solicitud]],Registro!$B$8:$B$997,Registro!$H$8:$H$997,"Sin Dato",0))</f>
        <v>Curso 77</v>
      </c>
      <c r="E361" s="28"/>
      <c r="F361" s="28">
        <v>2</v>
      </c>
      <c r="G361" s="30">
        <v>1</v>
      </c>
      <c r="H361" s="130">
        <v>46317</v>
      </c>
      <c r="I361" s="104">
        <v>0.33333333333333331</v>
      </c>
      <c r="J361" s="105">
        <v>0.5</v>
      </c>
      <c r="K361" s="28"/>
    </row>
    <row r="362" spans="1:11" ht="45.75" customHeight="1">
      <c r="A362" s="30">
        <f>ROW() - ROW(Ejecucion4[[#Headers],[Correlativo]])</f>
        <v>358</v>
      </c>
      <c r="B362" s="30" t="s">
        <v>340</v>
      </c>
      <c r="C362" s="84" t="str">
        <f>IF(B362="","",HYPERLINK("#"&amp;"Registro!B"&amp;MATCH(B362,Registro!$B$8:$B$997,0)+7,"Ubicar en registro"))</f>
        <v>Ubicar en registro</v>
      </c>
      <c r="D362" s="55" t="str">
        <f>IF(Ejecucion4[[#This Row],[No. Solicitud]]="","",_xlfn.XLOOKUP(Ejecucion4[[#This Row],[No. Solicitud]],Registro!$B$8:$B$997,Registro!$H$8:$H$997,"Sin Dato",0))</f>
        <v>Curso 78</v>
      </c>
      <c r="E362" s="28">
        <v>44106</v>
      </c>
      <c r="F362" s="30">
        <v>1</v>
      </c>
      <c r="G362" s="30">
        <v>1</v>
      </c>
      <c r="H362" s="130">
        <v>46302</v>
      </c>
      <c r="I362" s="104">
        <v>0.33333333333333331</v>
      </c>
      <c r="J362" s="105">
        <v>0.66666666666666663</v>
      </c>
      <c r="K362" s="28"/>
    </row>
    <row r="363" spans="1:11" ht="45.75" customHeight="1">
      <c r="A363" s="30">
        <f>ROW() - ROW(Ejecucion4[[#Headers],[Correlativo]])</f>
        <v>359</v>
      </c>
      <c r="B363" s="30" t="s">
        <v>340</v>
      </c>
      <c r="C363" s="84" t="str">
        <f>IF(B363="","",HYPERLINK("#"&amp;"Registro!B"&amp;MATCH(B363,Registro!$B$8:$B$997,0)+7,"Ubicar en registro"))</f>
        <v>Ubicar en registro</v>
      </c>
      <c r="D363" s="55" t="str">
        <f>IF(Ejecucion4[[#This Row],[No. Solicitud]]="","",_xlfn.XLOOKUP(Ejecucion4[[#This Row],[No. Solicitud]],Registro!$B$8:$B$997,Registro!$H$8:$H$997,"Sin Dato",0))</f>
        <v>Curso 78</v>
      </c>
      <c r="E363" s="28">
        <v>44106</v>
      </c>
      <c r="F363" s="30">
        <v>1</v>
      </c>
      <c r="G363" s="30">
        <v>2</v>
      </c>
      <c r="H363" s="130">
        <v>46303</v>
      </c>
      <c r="I363" s="104">
        <v>0.33333333333333331</v>
      </c>
      <c r="J363" s="105">
        <v>0.66666666666666663</v>
      </c>
      <c r="K363" s="28"/>
    </row>
    <row r="364" spans="1:11" ht="45.75" customHeight="1">
      <c r="A364" s="30">
        <f>ROW() - ROW(Ejecucion4[[#Headers],[Correlativo]])</f>
        <v>360</v>
      </c>
      <c r="B364" s="30" t="s">
        <v>340</v>
      </c>
      <c r="C364" s="84" t="str">
        <f>IF(B364="","",HYPERLINK("#"&amp;"Registro!B"&amp;MATCH(B364,Registro!$B$8:$B$997,0)+7,"Ubicar en registro"))</f>
        <v>Ubicar en registro</v>
      </c>
      <c r="D364" s="55" t="str">
        <f>IF(Ejecucion4[[#This Row],[No. Solicitud]]="","",_xlfn.XLOOKUP(Ejecucion4[[#This Row],[No. Solicitud]],Registro!$B$8:$B$997,Registro!$H$8:$H$997,"Sin Dato",0))</f>
        <v>Curso 78</v>
      </c>
      <c r="E364" s="28">
        <v>44106</v>
      </c>
      <c r="F364" s="30">
        <v>1</v>
      </c>
      <c r="G364" s="30">
        <v>3</v>
      </c>
      <c r="H364" s="130">
        <v>46304</v>
      </c>
      <c r="I364" s="104">
        <v>0.33333333333333331</v>
      </c>
      <c r="J364" s="105">
        <v>0.5</v>
      </c>
      <c r="K364" s="28"/>
    </row>
    <row r="365" spans="1:11" ht="45.75" customHeight="1">
      <c r="A365" s="30">
        <f>ROW() - ROW(Ejecucion4[[#Headers],[Correlativo]])</f>
        <v>361</v>
      </c>
      <c r="B365" s="24" t="s">
        <v>340</v>
      </c>
      <c r="C365" s="84" t="str">
        <f>IF(B365="","",HYPERLINK("#"&amp;"Registro!B"&amp;MATCH(B365,Registro!$B$8:$B$997,0)+7,"Ubicar en registro"))</f>
        <v>Ubicar en registro</v>
      </c>
      <c r="D365" s="55" t="str">
        <f>IF(Ejecucion4[[#This Row],[No. Solicitud]]="","",_xlfn.XLOOKUP(Ejecucion4[[#This Row],[No. Solicitud]],Registro!$B$8:$B$997,Registro!$H$8:$H$997,"Sin Dato",0))</f>
        <v>Curso 78</v>
      </c>
      <c r="E365" s="28">
        <v>44012</v>
      </c>
      <c r="F365" s="30">
        <v>2</v>
      </c>
      <c r="G365" s="30">
        <v>2</v>
      </c>
      <c r="H365" s="130">
        <v>46308</v>
      </c>
      <c r="I365" s="104">
        <v>0.33333333333333331</v>
      </c>
      <c r="J365" s="105">
        <v>0.66666666666666663</v>
      </c>
      <c r="K365" s="28"/>
    </row>
    <row r="366" spans="1:11" ht="45.75" customHeight="1">
      <c r="A366" s="30">
        <f>ROW() - ROW(Ejecucion4[[#Headers],[Correlativo]])</f>
        <v>362</v>
      </c>
      <c r="B366" s="24" t="s">
        <v>340</v>
      </c>
      <c r="C366" s="84" t="str">
        <f>IF(B366="","",HYPERLINK("#"&amp;"Registro!B"&amp;MATCH(B366,Registro!$B$8:$B$997,0)+7,"Ubicar en registro"))</f>
        <v>Ubicar en registro</v>
      </c>
      <c r="D366" s="55" t="str">
        <f>IF(Ejecucion4[[#This Row],[No. Solicitud]]="","",_xlfn.XLOOKUP(Ejecucion4[[#This Row],[No. Solicitud]],Registro!$B$8:$B$997,Registro!$H$8:$H$997,"Sin Dato",0))</f>
        <v>Curso 78</v>
      </c>
      <c r="E366" s="28">
        <v>44012</v>
      </c>
      <c r="F366" s="30">
        <v>2</v>
      </c>
      <c r="G366" s="30">
        <v>3</v>
      </c>
      <c r="H366" s="130">
        <v>46309</v>
      </c>
      <c r="I366" s="104">
        <v>0.33333333333333331</v>
      </c>
      <c r="J366" s="105">
        <v>0.5</v>
      </c>
      <c r="K366" s="28"/>
    </row>
    <row r="367" spans="1:11" ht="45.75" customHeight="1">
      <c r="A367" s="30">
        <f>ROW() - ROW(Ejecucion4[[#Headers],[Correlativo]])</f>
        <v>363</v>
      </c>
      <c r="B367" s="24" t="s">
        <v>340</v>
      </c>
      <c r="C367" s="84" t="str">
        <f>IF(B367="","",HYPERLINK("#"&amp;"Registro!B"&amp;MATCH(B367,Registro!$B$8:$B$997,0)+7,"Ubicar en registro"))</f>
        <v>Ubicar en registro</v>
      </c>
      <c r="D367" s="55" t="str">
        <f>IF(Ejecucion4[[#This Row],[No. Solicitud]]="","",_xlfn.XLOOKUP(Ejecucion4[[#This Row],[No. Solicitud]],Registro!$B$8:$B$997,Registro!$H$8:$H$997,"Sin Dato",0))</f>
        <v>Curso 78</v>
      </c>
      <c r="E367" s="28">
        <v>44012</v>
      </c>
      <c r="F367" s="30">
        <v>2</v>
      </c>
      <c r="G367" s="30">
        <v>1</v>
      </c>
      <c r="H367" s="130">
        <v>46307</v>
      </c>
      <c r="I367" s="104">
        <v>0.33333333333333331</v>
      </c>
      <c r="J367" s="105">
        <v>0.66666666666666663</v>
      </c>
      <c r="K367" s="28"/>
    </row>
    <row r="368" spans="1:11" ht="30.75" customHeight="1">
      <c r="A368" s="30">
        <f>ROW() - ROW(Ejecucion4[[#Headers],[Correlativo]])</f>
        <v>364</v>
      </c>
      <c r="B368" s="24" t="s">
        <v>340</v>
      </c>
      <c r="C368" s="84" t="str">
        <f>IF(B368="","",HYPERLINK("#"&amp;"Registro!B"&amp;MATCH(B368,Registro!$B$8:$B$997,0)+7,"Ubicar en registro"))</f>
        <v>Ubicar en registro</v>
      </c>
      <c r="D368" s="55" t="str">
        <f>IF(Ejecucion4[[#This Row],[No. Solicitud]]="","",_xlfn.XLOOKUP(Ejecucion4[[#This Row],[No. Solicitud]],Registro!$B$8:$B$997,Registro!$H$8:$H$997,"Sin Dato",0))</f>
        <v>Curso 78</v>
      </c>
      <c r="E368" s="28"/>
      <c r="F368" s="30">
        <v>3</v>
      </c>
      <c r="G368" s="30">
        <v>1</v>
      </c>
      <c r="H368" s="130">
        <v>46330</v>
      </c>
      <c r="I368" s="104">
        <v>0.33333333333333331</v>
      </c>
      <c r="J368" s="105">
        <v>0.66666666666666663</v>
      </c>
      <c r="K368" s="28"/>
    </row>
    <row r="369" spans="1:11" ht="30.75" customHeight="1">
      <c r="A369" s="30">
        <f>ROW() - ROW(Ejecucion4[[#Headers],[Correlativo]])</f>
        <v>365</v>
      </c>
      <c r="B369" s="24" t="s">
        <v>340</v>
      </c>
      <c r="C369" s="84" t="str">
        <f>IF(B369="","",HYPERLINK("#"&amp;"Registro!B"&amp;MATCH(B369,Registro!$B$8:$B$997,0)+7,"Ubicar en registro"))</f>
        <v>Ubicar en registro</v>
      </c>
      <c r="D369" s="55" t="str">
        <f>IF(Ejecucion4[[#This Row],[No. Solicitud]]="","",_xlfn.XLOOKUP(Ejecucion4[[#This Row],[No. Solicitud]],Registro!$B$8:$B$997,Registro!$H$8:$H$997,"Sin Dato",0))</f>
        <v>Curso 78</v>
      </c>
      <c r="E369" s="28"/>
      <c r="F369" s="30">
        <v>3</v>
      </c>
      <c r="G369" s="30">
        <v>2</v>
      </c>
      <c r="H369" s="130">
        <v>46331</v>
      </c>
      <c r="I369" s="104">
        <v>0.33333333333333331</v>
      </c>
      <c r="J369" s="105">
        <v>0.66666666666666663</v>
      </c>
      <c r="K369" s="28"/>
    </row>
    <row r="370" spans="1:11" ht="30.75" customHeight="1">
      <c r="A370" s="30">
        <f>ROW() - ROW(Ejecucion4[[#Headers],[Correlativo]])</f>
        <v>366</v>
      </c>
      <c r="B370" s="24" t="s">
        <v>340</v>
      </c>
      <c r="C370" s="84" t="str">
        <f>IF(B370="","",HYPERLINK("#"&amp;"Registro!B"&amp;MATCH(B370,Registro!$B$8:$B$997,0)+7,"Ubicar en registro"))</f>
        <v>Ubicar en registro</v>
      </c>
      <c r="D370" s="55" t="str">
        <f>IF(Ejecucion4[[#This Row],[No. Solicitud]]="","",_xlfn.XLOOKUP(Ejecucion4[[#This Row],[No. Solicitud]],Registro!$B$8:$B$997,Registro!$H$8:$H$997,"Sin Dato",0))</f>
        <v>Curso 78</v>
      </c>
      <c r="E370" s="28"/>
      <c r="F370" s="30">
        <v>3</v>
      </c>
      <c r="G370" s="30">
        <v>3</v>
      </c>
      <c r="H370" s="130">
        <v>46332</v>
      </c>
      <c r="I370" s="104">
        <v>0.33333333333333331</v>
      </c>
      <c r="J370" s="105">
        <v>0.5</v>
      </c>
      <c r="K370" s="28"/>
    </row>
    <row r="371" spans="1:11" ht="30.75" customHeight="1">
      <c r="A371" s="30">
        <f>ROW() - ROW(Ejecucion4[[#Headers],[Correlativo]])</f>
        <v>367</v>
      </c>
      <c r="B371" s="24" t="s">
        <v>344</v>
      </c>
      <c r="C371" s="84" t="str">
        <f>IF(B371="","",HYPERLINK("#"&amp;"Registro!B"&amp;MATCH(B371,Registro!$B$8:$B$997,0)+7,"Ubicar en registro"))</f>
        <v>Ubicar en registro</v>
      </c>
      <c r="D371" s="55" t="str">
        <f>IF(Ejecucion4[[#This Row],[No. Solicitud]]="","",_xlfn.XLOOKUP(Ejecucion4[[#This Row],[No. Solicitud]],Registro!$B$8:$B$997,Registro!$H$8:$H$997,"Sin Dato",0))</f>
        <v>Curso 79</v>
      </c>
      <c r="E371" s="28"/>
      <c r="F371" s="28">
        <v>1</v>
      </c>
      <c r="G371" s="30">
        <v>1</v>
      </c>
      <c r="H371" s="130">
        <v>46317</v>
      </c>
      <c r="I371" s="104">
        <v>0.33333333333333331</v>
      </c>
      <c r="J371" s="105">
        <v>0.5</v>
      </c>
      <c r="K371" s="28"/>
    </row>
    <row r="372" spans="1:11" ht="30.75" customHeight="1">
      <c r="A372" s="30">
        <f>ROW() - ROW(Ejecucion4[[#Headers],[Correlativo]])</f>
        <v>368</v>
      </c>
      <c r="B372" s="24" t="s">
        <v>344</v>
      </c>
      <c r="C372" s="84" t="str">
        <f>IF(B372="","",HYPERLINK("#"&amp;"Registro!B"&amp;MATCH(B372,Registro!$B$8:$B$997,0)+7,"Ubicar en registro"))</f>
        <v>Ubicar en registro</v>
      </c>
      <c r="D372" s="55" t="str">
        <f>IF(Ejecucion4[[#This Row],[No. Solicitud]]="","",_xlfn.XLOOKUP(Ejecucion4[[#This Row],[No. Solicitud]],Registro!$B$8:$B$997,Registro!$H$8:$H$997,"Sin Dato",0))</f>
        <v>Curso 79</v>
      </c>
      <c r="E372" s="28"/>
      <c r="F372" s="28">
        <v>2</v>
      </c>
      <c r="G372" s="30">
        <v>1</v>
      </c>
      <c r="H372" s="130">
        <v>46321</v>
      </c>
      <c r="I372" s="104">
        <v>0.33333333333333331</v>
      </c>
      <c r="J372" s="105">
        <v>0.5</v>
      </c>
      <c r="K372" s="28"/>
    </row>
    <row r="373" spans="1:11" ht="30.75" customHeight="1">
      <c r="A373" s="30">
        <f>ROW() - ROW(Ejecucion4[[#Headers],[Correlativo]])</f>
        <v>369</v>
      </c>
      <c r="B373" s="30" t="s">
        <v>348</v>
      </c>
      <c r="C373" s="84" t="str">
        <f>IF(B373="","",HYPERLINK("#"&amp;"Registro!B"&amp;MATCH(B373,Registro!$B$8:$B$997,0)+7,"Ubicar en registro"))</f>
        <v>Ubicar en registro</v>
      </c>
      <c r="D373" s="55" t="str">
        <f>IF(Ejecucion4[[#This Row],[No. Solicitud]]="","",_xlfn.XLOOKUP(Ejecucion4[[#This Row],[No. Solicitud]],Registro!$B$8:$B$997,Registro!$H$8:$H$997,"Sin Dato",0))</f>
        <v>Curso 80</v>
      </c>
      <c r="E373" s="28">
        <v>44076</v>
      </c>
      <c r="F373" s="28">
        <v>1</v>
      </c>
      <c r="G373" s="30">
        <v>1</v>
      </c>
      <c r="H373" s="130">
        <v>46303</v>
      </c>
      <c r="I373" s="104">
        <v>0.33333333333333331</v>
      </c>
      <c r="J373" s="105">
        <v>0.5</v>
      </c>
      <c r="K373" s="28"/>
    </row>
    <row r="374" spans="1:11" ht="30.75" customHeight="1">
      <c r="A374" s="30">
        <f>ROW() - ROW(Ejecucion4[[#Headers],[Correlativo]])</f>
        <v>370</v>
      </c>
      <c r="B374" s="30" t="s">
        <v>348</v>
      </c>
      <c r="C374" s="84" t="str">
        <f>IF(B374="","",HYPERLINK("#"&amp;"Registro!B"&amp;MATCH(B374,Registro!$B$8:$B$997,0)+7,"Ubicar en registro"))</f>
        <v>Ubicar en registro</v>
      </c>
      <c r="D374" s="55" t="str">
        <f>IF(Ejecucion4[[#This Row],[No. Solicitud]]="","",_xlfn.XLOOKUP(Ejecucion4[[#This Row],[No. Solicitud]],Registro!$B$8:$B$997,Registro!$H$8:$H$997,"Sin Dato",0))</f>
        <v>Curso 80</v>
      </c>
      <c r="E374" s="28">
        <v>44076</v>
      </c>
      <c r="F374" s="28">
        <v>1</v>
      </c>
      <c r="G374" s="30">
        <v>2</v>
      </c>
      <c r="H374" s="130">
        <v>46304</v>
      </c>
      <c r="I374" s="104">
        <v>0.33333333333333331</v>
      </c>
      <c r="J374" s="105">
        <v>0.5</v>
      </c>
      <c r="K374" s="28"/>
    </row>
    <row r="375" spans="1:11" ht="30.75" customHeight="1">
      <c r="A375" s="30">
        <f>ROW() - ROW(Ejecucion4[[#Headers],[Correlativo]])</f>
        <v>371</v>
      </c>
      <c r="B375" s="30" t="s">
        <v>348</v>
      </c>
      <c r="C375" s="84" t="str">
        <f>IF(B375="","",HYPERLINK("#"&amp;"Registro!B"&amp;MATCH(B375,Registro!$B$8:$B$997,0)+7,"Ubicar en registro"))</f>
        <v>Ubicar en registro</v>
      </c>
      <c r="D375" s="55" t="str">
        <f>IF(Ejecucion4[[#This Row],[No. Solicitud]]="","",_xlfn.XLOOKUP(Ejecucion4[[#This Row],[No. Solicitud]],Registro!$B$8:$B$997,Registro!$H$8:$H$997,"Sin Dato",0))</f>
        <v>Curso 80</v>
      </c>
      <c r="E375" s="28">
        <v>44076</v>
      </c>
      <c r="F375" s="28">
        <v>1</v>
      </c>
      <c r="G375" s="30">
        <v>3</v>
      </c>
      <c r="H375" s="130">
        <v>46307</v>
      </c>
      <c r="I375" s="104">
        <v>0.33333333333333331</v>
      </c>
      <c r="J375" s="105">
        <v>0.5</v>
      </c>
      <c r="K375" s="28"/>
    </row>
    <row r="376" spans="1:11" ht="28.8" customHeight="1">
      <c r="A376" s="30">
        <f>ROW() - ROW(Ejecucion4[[#Headers],[Correlativo]])</f>
        <v>372</v>
      </c>
      <c r="B376" s="30" t="s">
        <v>348</v>
      </c>
      <c r="C376" s="84" t="str">
        <f>IF(B376="","",HYPERLINK("#"&amp;"Registro!B"&amp;MATCH(B376,Registro!$B$8:$B$997,0)+7,"Ubicar en registro"))</f>
        <v>Ubicar en registro</v>
      </c>
      <c r="D376" s="55" t="str">
        <f>IF(Ejecucion4[[#This Row],[No. Solicitud]]="","",_xlfn.XLOOKUP(Ejecucion4[[#This Row],[No. Solicitud]],Registro!$B$8:$B$997,Registro!$H$8:$H$997,"Sin Dato",0))</f>
        <v>Curso 80</v>
      </c>
      <c r="E376" s="28">
        <v>44076</v>
      </c>
      <c r="F376" s="28">
        <v>1</v>
      </c>
      <c r="G376" s="30">
        <v>4</v>
      </c>
      <c r="H376" s="130">
        <v>46308</v>
      </c>
      <c r="I376" s="104">
        <v>0.33333333333333331</v>
      </c>
      <c r="J376" s="105">
        <v>0.5</v>
      </c>
      <c r="K376" s="28"/>
    </row>
    <row r="377" spans="1:11" ht="28.8" customHeight="1">
      <c r="A377" s="30">
        <f>ROW() - ROW(Ejecucion4[[#Headers],[Correlativo]])</f>
        <v>373</v>
      </c>
      <c r="B377" s="30" t="s">
        <v>348</v>
      </c>
      <c r="C377" s="84" t="str">
        <f>IF(B377="","",HYPERLINK("#"&amp;"Registro!B"&amp;MATCH(B377,Registro!$B$8:$B$997,0)+7,"Ubicar en registro"))</f>
        <v>Ubicar en registro</v>
      </c>
      <c r="D377" s="55" t="str">
        <f>IF(Ejecucion4[[#This Row],[No. Solicitud]]="","",_xlfn.XLOOKUP(Ejecucion4[[#This Row],[No. Solicitud]],Registro!$B$8:$B$997,Registro!$H$8:$H$997,"Sin Dato",0))</f>
        <v>Curso 80</v>
      </c>
      <c r="E377" s="28">
        <v>44076</v>
      </c>
      <c r="F377" s="28">
        <v>1</v>
      </c>
      <c r="G377" s="30">
        <v>5</v>
      </c>
      <c r="H377" s="130">
        <v>46309</v>
      </c>
      <c r="I377" s="104">
        <v>0.33333333333333331</v>
      </c>
      <c r="J377" s="105">
        <v>0.5</v>
      </c>
      <c r="K377" s="28"/>
    </row>
    <row r="378" spans="1:11" ht="28.8" customHeight="1">
      <c r="A378" s="30">
        <f>ROW() - ROW(Ejecucion4[[#Headers],[Correlativo]])</f>
        <v>374</v>
      </c>
      <c r="B378" s="30" t="s">
        <v>352</v>
      </c>
      <c r="C378" s="84" t="str">
        <f>IF(B378="","",HYPERLINK("#"&amp;"Registro!B"&amp;MATCH(B378,Registro!$B$8:$B$997,0)+7,"Ubicar en registro"))</f>
        <v>Ubicar en registro</v>
      </c>
      <c r="D378" s="55" t="str">
        <f>IF(Ejecucion4[[#This Row],[No. Solicitud]]="","",_xlfn.XLOOKUP(Ejecucion4[[#This Row],[No. Solicitud]],Registro!$B$8:$B$997,Registro!$H$8:$H$997,"Sin Dato",0))</f>
        <v>Curso 81</v>
      </c>
      <c r="E378" s="28"/>
      <c r="F378" s="28">
        <v>1</v>
      </c>
      <c r="G378" s="30">
        <v>1</v>
      </c>
      <c r="H378" s="130">
        <v>46316</v>
      </c>
      <c r="I378" s="104">
        <v>0.33333333333333331</v>
      </c>
      <c r="J378" s="105">
        <v>0.5</v>
      </c>
      <c r="K378" s="28"/>
    </row>
    <row r="379" spans="1:11" ht="28.8" customHeight="1">
      <c r="A379" s="30">
        <f>ROW() - ROW(Ejecucion4[[#Headers],[Correlativo]])</f>
        <v>375</v>
      </c>
      <c r="B379" s="30" t="s">
        <v>381</v>
      </c>
      <c r="C379" s="84" t="str">
        <f>IF(B379="","",HYPERLINK("#"&amp;"Registro!B"&amp;MATCH(B379,Registro!$B$8:$B$997,0)+7,"Ubicar en registro"))</f>
        <v>Ubicar en registro</v>
      </c>
      <c r="D379" s="55" t="str">
        <f>IF(Ejecucion4[[#This Row],[No. Solicitud]]="","",_xlfn.XLOOKUP(Ejecucion4[[#This Row],[No. Solicitud]],Registro!$B$8:$B$997,Registro!$H$8:$H$997,"Sin Dato",0))</f>
        <v>Curso 91</v>
      </c>
      <c r="E379" s="28"/>
      <c r="F379" s="28">
        <v>1</v>
      </c>
      <c r="G379" s="30">
        <v>1</v>
      </c>
      <c r="H379" s="130">
        <v>46332</v>
      </c>
      <c r="I379" s="104">
        <v>0.33333333333333331</v>
      </c>
      <c r="J379" s="105">
        <v>0.5</v>
      </c>
      <c r="K379" s="28"/>
    </row>
    <row r="380" spans="1:11" ht="28.8" customHeight="1">
      <c r="A380" s="30">
        <f>ROW() - ROW(Ejecucion4[[#Headers],[Correlativo]])</f>
        <v>376</v>
      </c>
      <c r="B380" s="30" t="s">
        <v>381</v>
      </c>
      <c r="C380" s="84" t="str">
        <f>IF(B380="","",HYPERLINK("#"&amp;"Registro!B"&amp;MATCH(B380,Registro!$B$8:$B$997,0)+7,"Ubicar en registro"))</f>
        <v>Ubicar en registro</v>
      </c>
      <c r="D380" s="55" t="str">
        <f>IF(Ejecucion4[[#This Row],[No. Solicitud]]="","",_xlfn.XLOOKUP(Ejecucion4[[#This Row],[No. Solicitud]],Registro!$B$8:$B$997,Registro!$H$8:$H$997,"Sin Dato",0))</f>
        <v>Curso 91</v>
      </c>
      <c r="E380" s="28"/>
      <c r="F380" s="28">
        <v>1</v>
      </c>
      <c r="G380" s="30">
        <v>2</v>
      </c>
      <c r="H380" s="130">
        <v>46336</v>
      </c>
      <c r="I380" s="104">
        <v>0.33333333333333331</v>
      </c>
      <c r="J380" s="105">
        <v>0.5</v>
      </c>
      <c r="K380" s="28"/>
    </row>
    <row r="381" spans="1:11" ht="28.8" customHeight="1">
      <c r="A381" s="30">
        <f>ROW() - ROW(Ejecucion4[[#Headers],[Correlativo]])</f>
        <v>377</v>
      </c>
      <c r="B381" s="30" t="s">
        <v>381</v>
      </c>
      <c r="C381" s="84" t="str">
        <f>IF(B381="","",HYPERLINK("#"&amp;"Registro!B"&amp;MATCH(B381,Registro!$B$8:$B$997,0)+7,"Ubicar en registro"))</f>
        <v>Ubicar en registro</v>
      </c>
      <c r="D381" s="55" t="str">
        <f>IF(Ejecucion4[[#This Row],[No. Solicitud]]="","",_xlfn.XLOOKUP(Ejecucion4[[#This Row],[No. Solicitud]],Registro!$B$8:$B$997,Registro!$H$8:$H$997,"Sin Dato",0))</f>
        <v>Curso 91</v>
      </c>
      <c r="E381" s="28"/>
      <c r="F381" s="28">
        <v>1</v>
      </c>
      <c r="G381" s="30">
        <v>3</v>
      </c>
      <c r="H381" s="130">
        <v>46338</v>
      </c>
      <c r="I381" s="104">
        <v>0.33333333333333331</v>
      </c>
      <c r="J381" s="105">
        <v>0.5</v>
      </c>
      <c r="K381" s="28"/>
    </row>
    <row r="382" spans="1:11" ht="28.8" customHeight="1">
      <c r="A382" s="30">
        <f>ROW() - ROW(Ejecucion4[[#Headers],[Correlativo]])</f>
        <v>378</v>
      </c>
      <c r="B382" s="30" t="s">
        <v>425</v>
      </c>
      <c r="C382" s="84" t="str">
        <f>IF(B382="","",HYPERLINK("#"&amp;"Registro!B"&amp;MATCH(B382,Registro!$B$8:$B$997,0)+7,"Ubicar en registro"))</f>
        <v>Ubicar en registro</v>
      </c>
      <c r="D382" s="55" t="str">
        <f>IF(Ejecucion4[[#This Row],[No. Solicitud]]="","",_xlfn.XLOOKUP(Ejecucion4[[#This Row],[No. Solicitud]],Registro!$B$8:$B$997,Registro!$H$8:$H$997,"Sin Dato",0))</f>
        <v>Curso 106</v>
      </c>
      <c r="E382" s="28"/>
      <c r="F382" s="28">
        <v>1</v>
      </c>
      <c r="G382" s="30">
        <v>1</v>
      </c>
      <c r="H382" s="97">
        <v>46316</v>
      </c>
      <c r="I382" s="104">
        <v>0.33333333333333331</v>
      </c>
      <c r="J382" s="105">
        <v>0.54166666666666663</v>
      </c>
      <c r="K382" s="28"/>
    </row>
    <row r="383" spans="1:11" ht="28.8" customHeight="1">
      <c r="A383" s="30">
        <f>ROW() - ROW(Ejecucion4[[#Headers],[Correlativo]])</f>
        <v>379</v>
      </c>
      <c r="B383" s="30" t="s">
        <v>425</v>
      </c>
      <c r="C383" s="84" t="str">
        <f>IF(B383="","",HYPERLINK("#"&amp;"Registro!B"&amp;MATCH(B383,Registro!$B$8:$B$997,0)+7,"Ubicar en registro"))</f>
        <v>Ubicar en registro</v>
      </c>
      <c r="D383" s="55" t="str">
        <f>IF(Ejecucion4[[#This Row],[No. Solicitud]]="","",_xlfn.XLOOKUP(Ejecucion4[[#This Row],[No. Solicitud]],Registro!$B$8:$B$997,Registro!$H$8:$H$997,"Sin Dato",0))</f>
        <v>Curso 106</v>
      </c>
      <c r="E383" s="28"/>
      <c r="F383" s="28">
        <v>2</v>
      </c>
      <c r="G383" s="30">
        <v>1</v>
      </c>
      <c r="H383" s="97">
        <v>46321</v>
      </c>
      <c r="I383" s="104">
        <v>0.33333333333333331</v>
      </c>
      <c r="J383" s="105">
        <v>0.54166666666666663</v>
      </c>
      <c r="K383" s="28"/>
    </row>
    <row r="384" spans="1:11" ht="28.8" customHeight="1">
      <c r="A384" s="30">
        <f>ROW() - ROW(Ejecucion4[[#Headers],[Correlativo]])</f>
        <v>380</v>
      </c>
      <c r="B384" s="30" t="s">
        <v>425</v>
      </c>
      <c r="C384" s="84" t="str">
        <f>IF(B384="","",HYPERLINK("#"&amp;"Registro!B"&amp;MATCH(B384,Registro!$B$8:$B$997,0)+7,"Ubicar en registro"))</f>
        <v>Ubicar en registro</v>
      </c>
      <c r="D384" s="55" t="str">
        <f>IF(Ejecucion4[[#This Row],[No. Solicitud]]="","",_xlfn.XLOOKUP(Ejecucion4[[#This Row],[No. Solicitud]],Registro!$B$8:$B$997,Registro!$H$8:$H$997,"Sin Dato",0))</f>
        <v>Curso 106</v>
      </c>
      <c r="E384" s="28"/>
      <c r="F384" s="28">
        <v>3</v>
      </c>
      <c r="G384" s="30">
        <v>1</v>
      </c>
      <c r="H384" s="97">
        <v>46324</v>
      </c>
      <c r="I384" s="104">
        <v>0.33333333333333331</v>
      </c>
      <c r="J384" s="105">
        <v>0.54166666666666663</v>
      </c>
      <c r="K384" s="28"/>
    </row>
    <row r="385" spans="1:11" ht="28.8" customHeight="1">
      <c r="A385" s="30">
        <f>ROW() - ROW(Ejecucion4[[#Headers],[Correlativo]])</f>
        <v>381</v>
      </c>
      <c r="B385" s="30" t="s">
        <v>425</v>
      </c>
      <c r="C385" s="84" t="str">
        <f>IF(B385="","",HYPERLINK("#"&amp;"Registro!B"&amp;MATCH(B385,Registro!$B$8:$B$997,0)+7,"Ubicar en registro"))</f>
        <v>Ubicar en registro</v>
      </c>
      <c r="D385" s="55" t="str">
        <f>IF(Ejecucion4[[#This Row],[No. Solicitud]]="","",_xlfn.XLOOKUP(Ejecucion4[[#This Row],[No. Solicitud]],Registro!$B$8:$B$997,Registro!$H$8:$H$997,"Sin Dato",0))</f>
        <v>Curso 106</v>
      </c>
      <c r="E385" s="28"/>
      <c r="F385" s="28">
        <v>4</v>
      </c>
      <c r="G385" s="30">
        <v>1</v>
      </c>
      <c r="H385" s="97">
        <v>46325</v>
      </c>
      <c r="I385" s="104">
        <v>0.33333333333333331</v>
      </c>
      <c r="J385" s="105">
        <v>0.54166666666666663</v>
      </c>
      <c r="K385" s="28"/>
    </row>
    <row r="386" spans="1:11" ht="28.8" customHeight="1">
      <c r="A386" s="30">
        <f>ROW() - ROW(Ejecucion4[[#Headers],[Correlativo]])</f>
        <v>382</v>
      </c>
      <c r="B386" s="30" t="s">
        <v>429</v>
      </c>
      <c r="C386" s="84" t="str">
        <f>IF(B386="","",HYPERLINK("#"&amp;"Registro!B"&amp;MATCH(B386,Registro!$B$8:$B$997,0)+7,"Ubicar en registro"))</f>
        <v>Ubicar en registro</v>
      </c>
      <c r="D386" s="55" t="str">
        <f>IF(Ejecucion4[[#This Row],[No. Solicitud]]="","",_xlfn.XLOOKUP(Ejecucion4[[#This Row],[No. Solicitud]],Registro!$B$8:$B$997,Registro!$H$8:$H$997,"Sin Dato",0))</f>
        <v>Curso 107</v>
      </c>
      <c r="E386" s="28"/>
      <c r="F386" s="28">
        <v>1</v>
      </c>
      <c r="G386" s="30">
        <v>1</v>
      </c>
      <c r="H386" s="30" t="s">
        <v>793</v>
      </c>
      <c r="I386" s="104">
        <v>0.33333333333333331</v>
      </c>
      <c r="J386" s="105">
        <v>0.66666666666666663</v>
      </c>
      <c r="K386" s="28"/>
    </row>
    <row r="387" spans="1:11" ht="28.8" customHeight="1">
      <c r="A387" s="30">
        <f>ROW() - ROW(Ejecucion4[[#Headers],[Correlativo]])</f>
        <v>383</v>
      </c>
      <c r="B387" s="30" t="s">
        <v>429</v>
      </c>
      <c r="C387" s="84" t="str">
        <f>IF(B387="","",HYPERLINK("#"&amp;"Registro!B"&amp;MATCH(B387,Registro!$B$8:$B$997,0)+7,"Ubicar en registro"))</f>
        <v>Ubicar en registro</v>
      </c>
      <c r="D387" s="55" t="str">
        <f>IF(Ejecucion4[[#This Row],[No. Solicitud]]="","",_xlfn.XLOOKUP(Ejecucion4[[#This Row],[No. Solicitud]],Registro!$B$8:$B$997,Registro!$H$8:$H$997,"Sin Dato",0))</f>
        <v>Curso 107</v>
      </c>
      <c r="E387" s="28"/>
      <c r="F387" s="28">
        <v>2</v>
      </c>
      <c r="G387" s="30">
        <v>1</v>
      </c>
      <c r="H387" s="130">
        <v>46349</v>
      </c>
      <c r="I387" s="104">
        <v>0.33333333333333331</v>
      </c>
      <c r="J387" s="105">
        <v>0.66666666666666663</v>
      </c>
      <c r="K387" s="28"/>
    </row>
    <row r="388" spans="1:11" ht="28.8" customHeight="1">
      <c r="A388" s="30">
        <f>ROW() - ROW(Ejecucion4[[#Headers],[Correlativo]])</f>
        <v>384</v>
      </c>
      <c r="B388" s="30" t="s">
        <v>432</v>
      </c>
      <c r="C388" s="84" t="str">
        <f>IF(B388="","",HYPERLINK("#"&amp;"Registro!B"&amp;MATCH(B388,Registro!$B$8:$B$997,0)+7,"Ubicar en registro"))</f>
        <v>Ubicar en registro</v>
      </c>
      <c r="D388" s="55" t="str">
        <f>IF(Ejecucion4[[#This Row],[No. Solicitud]]="","",_xlfn.XLOOKUP(Ejecucion4[[#This Row],[No. Solicitud]],Registro!$B$8:$B$997,Registro!$H$8:$H$997,"Sin Dato",0))</f>
        <v>Curso 108</v>
      </c>
      <c r="E388" s="28"/>
      <c r="F388" s="28">
        <v>1</v>
      </c>
      <c r="G388" s="30">
        <v>1</v>
      </c>
      <c r="H388" s="130">
        <v>46342</v>
      </c>
      <c r="I388" s="104">
        <v>0.33333333333333331</v>
      </c>
      <c r="J388" s="105">
        <v>0.45833333333333331</v>
      </c>
      <c r="K388" s="28"/>
    </row>
    <row r="389" spans="1:11" ht="28.8" customHeight="1">
      <c r="A389" s="30">
        <f>ROW() - ROW(Ejecucion4[[#Headers],[Correlativo]])</f>
        <v>385</v>
      </c>
      <c r="B389" s="30" t="s">
        <v>432</v>
      </c>
      <c r="C389" s="84" t="str">
        <f>IF(B389="","",HYPERLINK("#"&amp;"Registro!B"&amp;MATCH(B389,Registro!$B$8:$B$997,0)+7,"Ubicar en registro"))</f>
        <v>Ubicar en registro</v>
      </c>
      <c r="D389" s="55" t="str">
        <f>IF(Ejecucion4[[#This Row],[No. Solicitud]]="","",_xlfn.XLOOKUP(Ejecucion4[[#This Row],[No. Solicitud]],Registro!$B$8:$B$997,Registro!$H$8:$H$997,"Sin Dato",0))</f>
        <v>Curso 108</v>
      </c>
      <c r="E389" s="28"/>
      <c r="F389" s="28">
        <v>2</v>
      </c>
      <c r="G389" s="30">
        <v>1</v>
      </c>
      <c r="H389" s="130">
        <v>46349</v>
      </c>
      <c r="I389" s="104">
        <v>0.33333333333333331</v>
      </c>
      <c r="J389" s="105">
        <v>0.45833333333333331</v>
      </c>
      <c r="K389" s="28"/>
    </row>
    <row r="390" spans="1:11" ht="28.8" customHeight="1">
      <c r="A390" s="30">
        <f>ROW() - ROW(Ejecucion4[[#Headers],[Correlativo]])</f>
        <v>386</v>
      </c>
      <c r="B390" s="30" t="s">
        <v>434</v>
      </c>
      <c r="C390" s="84" t="str">
        <f>IF(B390="","",HYPERLINK("#"&amp;"Registro!B"&amp;MATCH(B390,Registro!$B$8:$B$997,0)+7,"Ubicar en registro"))</f>
        <v>Ubicar en registro</v>
      </c>
      <c r="D390" s="55" t="str">
        <f>IF(Ejecucion4[[#This Row],[No. Solicitud]]="","",_xlfn.XLOOKUP(Ejecucion4[[#This Row],[No. Solicitud]],Registro!$B$8:$B$997,Registro!$H$8:$H$997,"Sin Dato",0))</f>
        <v>Curso 109</v>
      </c>
      <c r="E390" s="28">
        <v>44159</v>
      </c>
      <c r="F390" s="28">
        <v>1</v>
      </c>
      <c r="G390" s="30">
        <v>1</v>
      </c>
      <c r="H390" s="130">
        <v>46307</v>
      </c>
      <c r="I390" s="104">
        <v>0.33333333333333331</v>
      </c>
      <c r="J390" s="105">
        <v>0.47916666666666669</v>
      </c>
      <c r="K390" s="28"/>
    </row>
    <row r="391" spans="1:11" ht="72" customHeight="1">
      <c r="A391" s="30">
        <f>ROW() - ROW(Ejecucion4[[#Headers],[Correlativo]])</f>
        <v>387</v>
      </c>
      <c r="B391" s="30" t="s">
        <v>445</v>
      </c>
      <c r="C391" s="84" t="str">
        <f>IF(B391="","",HYPERLINK("#"&amp;"Registro!B"&amp;MATCH(B391,Registro!$B$8:$B$997,0)+7,"Ubicar en registro"))</f>
        <v>Ubicar en registro</v>
      </c>
      <c r="D391" s="55" t="str">
        <f>IF(Ejecucion4[[#This Row],[No. Solicitud]]="","",_xlfn.XLOOKUP(Ejecucion4[[#This Row],[No. Solicitud]],Registro!$B$8:$B$997,Registro!$H$8:$H$997,"Sin Dato",0))</f>
        <v>Curso 112</v>
      </c>
      <c r="E391" s="28"/>
      <c r="F391" s="28">
        <v>1</v>
      </c>
      <c r="G391" s="30">
        <v>3</v>
      </c>
      <c r="H391" s="130"/>
      <c r="I391" s="104"/>
      <c r="J391" s="105"/>
      <c r="K391" s="28" t="s">
        <v>791</v>
      </c>
    </row>
    <row r="392" spans="1:11" ht="28.8" customHeight="1">
      <c r="A392" s="30">
        <f>ROW() - ROW(Ejecucion4[[#Headers],[Correlativo]])</f>
        <v>388</v>
      </c>
      <c r="B392" s="30" t="s">
        <v>438</v>
      </c>
      <c r="C392" s="84" t="str">
        <f>IF(B392="","",HYPERLINK("#"&amp;"Registro!B"&amp;MATCH(B392,Registro!$B$8:$B$997,0)+7,"Ubicar en registro"))</f>
        <v>Ubicar en registro</v>
      </c>
      <c r="D392" s="55" t="str">
        <f>IF(Ejecucion4[[#This Row],[No. Solicitud]]="","",_xlfn.XLOOKUP(Ejecucion4[[#This Row],[No. Solicitud]],Registro!$B$8:$B$997,Registro!$H$8:$H$997,"Sin Dato",0))</f>
        <v>Curso 110</v>
      </c>
      <c r="E392" s="28"/>
      <c r="F392" s="28">
        <v>1</v>
      </c>
      <c r="G392" s="30">
        <v>1</v>
      </c>
      <c r="H392" s="130">
        <v>46314</v>
      </c>
      <c r="I392" s="104">
        <v>0.33333333333333331</v>
      </c>
      <c r="J392" s="105">
        <v>0.45833333333333331</v>
      </c>
      <c r="K392" s="28"/>
    </row>
    <row r="393" spans="1:11" ht="28.8" customHeight="1">
      <c r="A393" s="30">
        <f>ROW() - ROW(Ejecucion4[[#Headers],[Correlativo]])</f>
        <v>389</v>
      </c>
      <c r="B393" s="30" t="s">
        <v>447</v>
      </c>
      <c r="C393" s="211" t="str">
        <f>IF(B393="","",HYPERLINK("#"&amp;"Registro!B"&amp;MATCH(B393,Registro!$B$8:$B$997,0)+7,"Ubicar en registro"))</f>
        <v>Ubicar en registro</v>
      </c>
      <c r="D393" s="55" t="str">
        <f>IF(Ejecucion4[[#This Row],[No. Solicitud]]="","",_xlfn.XLOOKUP(Ejecucion4[[#This Row],[No. Solicitud]],Registro!$B$8:$B$997,Registro!$H$8:$H$997,"Sin Dato",0))</f>
        <v>Curso 113</v>
      </c>
      <c r="E393" s="28"/>
      <c r="F393" s="28">
        <v>1</v>
      </c>
      <c r="G393" s="30">
        <v>2</v>
      </c>
      <c r="H393" s="130">
        <v>46318</v>
      </c>
      <c r="I393" s="104">
        <v>0.33333333333333331</v>
      </c>
      <c r="J393" s="105">
        <v>0.5</v>
      </c>
      <c r="K393" s="28"/>
    </row>
  </sheetData>
  <mergeCells count="1">
    <mergeCell ref="A1:N1"/>
  </mergeCells>
  <hyperlinks>
    <hyperlink ref="B5" r:id="rId1" xr:uid="{00000000-0004-0000-0700-000000000000}"/>
    <hyperlink ref="B271" r:id="rId2" xr:uid="{00000000-0004-0000-0700-000001000000}"/>
    <hyperlink ref="B282" r:id="rId3" xr:uid="{00000000-0004-0000-0700-000002000000}"/>
    <hyperlink ref="B309" r:id="rId4" xr:uid="{00000000-0004-0000-0700-000003000000}"/>
    <hyperlink ref="B310" r:id="rId5" xr:uid="{00000000-0004-0000-0700-000004000000}"/>
    <hyperlink ref="B311" r:id="rId6" xr:uid="{00000000-0004-0000-0700-000005000000}"/>
    <hyperlink ref="B312" r:id="rId7" xr:uid="{00000000-0004-0000-0700-000006000000}"/>
    <hyperlink ref="B314" r:id="rId8" xr:uid="{00000000-0004-0000-0700-000007000000}"/>
    <hyperlink ref="B315" r:id="rId9" xr:uid="{00000000-0004-0000-0700-000008000000}"/>
    <hyperlink ref="B316" r:id="rId10" xr:uid="{00000000-0004-0000-0700-000009000000}"/>
    <hyperlink ref="B317" r:id="rId11" xr:uid="{00000000-0004-0000-0700-00000A000000}"/>
    <hyperlink ref="B318" r:id="rId12" xr:uid="{00000000-0004-0000-0700-00000B000000}"/>
    <hyperlink ref="B319" r:id="rId13" xr:uid="{00000000-0004-0000-0700-00000C000000}"/>
    <hyperlink ref="B320" r:id="rId14" xr:uid="{00000000-0004-0000-0700-00000D000000}"/>
    <hyperlink ref="B321" r:id="rId15" xr:uid="{00000000-0004-0000-0700-00000E000000}"/>
    <hyperlink ref="B322" r:id="rId16" xr:uid="{00000000-0004-0000-0700-00000F000000}"/>
  </hyperlinks>
  <pageMargins left="0.7" right="0.7" top="0.75" bottom="0.75" header="0.3" footer="0.3"/>
  <pageSetup orientation="portrait" horizontalDpi="360" verticalDpi="360"/>
  <drawing r:id="rId17"/>
  <tableParts count="1">
    <tablePart r:id="rId1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46"/>
  <sheetViews>
    <sheetView showGridLines="0" zoomScale="80" zoomScaleNormal="80" workbookViewId="0">
      <selection activeCell="K21" sqref="K21"/>
    </sheetView>
  </sheetViews>
  <sheetFormatPr baseColWidth="10" defaultColWidth="11" defaultRowHeight="14.4"/>
  <cols>
    <col min="1" max="1" width="7" customWidth="1"/>
    <col min="2" max="2" width="13" customWidth="1"/>
    <col min="3" max="3" width="14" customWidth="1"/>
    <col min="4" max="4" width="41.6640625" customWidth="1"/>
    <col min="5" max="5" width="21.33203125" style="159" customWidth="1"/>
    <col min="6" max="6" width="41.6640625" style="55" customWidth="1"/>
    <col min="7" max="7" width="14.5546875" style="55" customWidth="1"/>
    <col min="8" max="8" width="13.88671875" style="55" customWidth="1"/>
    <col min="9" max="9" width="10.88671875" style="55" customWidth="1"/>
    <col min="10" max="10" width="11.33203125" style="55" customWidth="1"/>
    <col min="11" max="11" width="41.88671875" style="55" customWidth="1"/>
    <col min="12" max="13" width="17" customWidth="1"/>
    <col min="14" max="14" width="40" style="55" customWidth="1"/>
    <col min="15" max="15" width="38" customWidth="1"/>
    <col min="16" max="16" width="41" customWidth="1"/>
    <col min="17" max="17" width="29" customWidth="1"/>
  </cols>
  <sheetData>
    <row r="1" spans="1:14" ht="46.2" customHeight="1">
      <c r="A1" s="222"/>
      <c r="B1" s="216"/>
      <c r="C1" s="216"/>
      <c r="D1" s="216"/>
      <c r="E1" s="225"/>
      <c r="F1" s="224"/>
      <c r="G1" s="224"/>
      <c r="H1" s="224"/>
      <c r="I1" s="224"/>
      <c r="J1" s="224"/>
      <c r="K1" s="224"/>
      <c r="L1" s="216"/>
      <c r="M1" s="216"/>
      <c r="N1" s="224"/>
    </row>
    <row r="2" spans="1:14" ht="15" customHeight="1"/>
    <row r="3" spans="1:14" ht="21" customHeight="1"/>
    <row r="4" spans="1:14" s="28" customFormat="1" ht="46.5" customHeight="1">
      <c r="A4" s="28" t="s">
        <v>484</v>
      </c>
      <c r="B4" s="55" t="s">
        <v>485</v>
      </c>
      <c r="C4" s="28" t="s">
        <v>487</v>
      </c>
      <c r="D4" s="28" t="s">
        <v>4</v>
      </c>
      <c r="E4" s="159" t="s">
        <v>794</v>
      </c>
      <c r="F4" s="55" t="s">
        <v>795</v>
      </c>
      <c r="G4" s="55" t="s">
        <v>796</v>
      </c>
      <c r="H4" s="55" t="s">
        <v>489</v>
      </c>
      <c r="I4" s="55" t="s">
        <v>488</v>
      </c>
      <c r="J4" s="55" t="s">
        <v>797</v>
      </c>
      <c r="K4" s="55" t="s">
        <v>107</v>
      </c>
    </row>
    <row r="5" spans="1:14" ht="28.5" customHeight="1">
      <c r="A5" s="30">
        <f>ROW() - ROW(Ejecucion45[[#Headers],[Correlativo]])</f>
        <v>1</v>
      </c>
      <c r="B5" s="30" t="s">
        <v>116</v>
      </c>
      <c r="C5" s="84" t="str">
        <f>IF(B5="","",HYPERLINK("#"&amp;"Registro!B"&amp;MATCH(B5,Registro!$B$8:$B$997,0)+7,"Ubicar en registro"))</f>
        <v>Ubicar en registro</v>
      </c>
      <c r="D5" s="55" t="str">
        <f>IF(Ejecucion45[[#This Row],[No. Solicitud]]="","",_xlfn.XLOOKUP(Ejecucion45[[#This Row],[No. Solicitud]],Registro!$B$8:$B$997,Registro!$H$8:$H$997,"Sin Dato",0))</f>
        <v>Curso 3</v>
      </c>
      <c r="E5" s="160" t="s">
        <v>798</v>
      </c>
      <c r="F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</v>
      </c>
      <c r="G5" s="55">
        <v>1</v>
      </c>
      <c r="H5" s="55">
        <v>43682</v>
      </c>
      <c r="I5" s="55">
        <f>IF(Ejecucion45[[#This Row],[PC]]="","",_xlfn.XLOOKUP(Ejecucion45[[#This Row],[PC]],Ejecucion[PC],Ejecucion[Grupo],"NE",0))</f>
        <v>1</v>
      </c>
      <c r="J5" s="55">
        <f>IF(Ejecucion45[[#This Row],[PC]]="","",COUNTIF(Ejecucion4[Codigo],Ejecucion45[[#This Row],[PC]]))</f>
        <v>1</v>
      </c>
    </row>
    <row r="6" spans="1:14" ht="25.5" customHeight="1">
      <c r="A6" s="30">
        <f>ROW() - ROW(Ejecucion45[[#Headers],[Correlativo]])</f>
        <v>2</v>
      </c>
      <c r="B6" s="30" t="s">
        <v>116</v>
      </c>
      <c r="C6" s="84" t="str">
        <f>IF(B6="","",HYPERLINK("#"&amp;"Registro!B"&amp;MATCH(B6,Registro!$B$8:$B$997,0)+7,"Ubicar en registro"))</f>
        <v>Ubicar en registro</v>
      </c>
      <c r="D6" s="55" t="str">
        <f>IF(Ejecucion45[[#This Row],[No. Solicitud]]="","",_xlfn.XLOOKUP(Ejecucion45[[#This Row],[No. Solicitud]],Registro!$B$8:$B$997,Registro!$H$8:$H$997,"Sin Dato",0))</f>
        <v>Curso 3</v>
      </c>
      <c r="E6" s="160" t="s">
        <v>799</v>
      </c>
      <c r="F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</v>
      </c>
      <c r="G6" s="55">
        <v>1</v>
      </c>
      <c r="H6" s="55">
        <v>43682</v>
      </c>
      <c r="I6" s="55">
        <f>IF(Ejecucion45[[#This Row],[PC]]="","",_xlfn.XLOOKUP(Ejecucion45[[#This Row],[PC]],Ejecucion[PC],Ejecucion[Grupo],"NE",0))</f>
        <v>1</v>
      </c>
      <c r="J6" s="55">
        <f>IF(Ejecucion45[[#This Row],[PC]]="","",COUNTIF(Ejecucion4[Codigo],Ejecucion45[[#This Row],[PC]]))</f>
        <v>1</v>
      </c>
      <c r="L6" s="55"/>
    </row>
    <row r="7" spans="1:14" ht="43.2" customHeight="1">
      <c r="A7" s="30">
        <f>ROW() - ROW(Ejecucion45[[#Headers],[Correlativo]])</f>
        <v>3</v>
      </c>
      <c r="B7" s="30" t="s">
        <v>163</v>
      </c>
      <c r="C7" s="84" t="str">
        <f>IF(B7="","",HYPERLINK("#"&amp;"Registro!B"&amp;MATCH(B7,Registro!$B$8:$B$997,0)+7,"Ubicar en registro"))</f>
        <v>Ubicar en registro</v>
      </c>
      <c r="D7" s="55" t="str">
        <f>IF(Ejecucion45[[#This Row],[No. Solicitud]]="","",_xlfn.XLOOKUP(Ejecucion45[[#This Row],[No. Solicitud]],Registro!$B$8:$B$997,Registro!$H$8:$H$997,"Sin Dato",0))</f>
        <v>Curso 17</v>
      </c>
      <c r="E7" s="160" t="s">
        <v>800</v>
      </c>
      <c r="F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</v>
      </c>
      <c r="G7" s="55">
        <v>10</v>
      </c>
      <c r="H7" s="55">
        <v>43786</v>
      </c>
      <c r="I7" s="55">
        <f>IF(Ejecucion45[[#This Row],[PC]]="","",_xlfn.XLOOKUP(Ejecucion45[[#This Row],[PC]],Ejecucion[PC],Ejecucion[Grupo],"NE",0))</f>
        <v>1</v>
      </c>
      <c r="J7" s="55">
        <f>IF(Ejecucion45[[#This Row],[PC]]="","",COUNTIF(Ejecucion4[Codigo],Ejecucion45[[#This Row],[PC]]))</f>
        <v>2</v>
      </c>
    </row>
    <row r="8" spans="1:14" ht="28.8" customHeight="1">
      <c r="A8" s="30">
        <f>ROW() - ROW(Ejecucion45[[#Headers],[Correlativo]])</f>
        <v>4</v>
      </c>
      <c r="B8" s="30" t="s">
        <v>108</v>
      </c>
      <c r="C8" s="84" t="str">
        <f>IF(B8="","",HYPERLINK("#"&amp;"Registro!B"&amp;MATCH(B8,Registro!$B$8:$B$997,0)+7,"Ubicar en registro"))</f>
        <v>Ubicar en registro</v>
      </c>
      <c r="D8" s="55" t="str">
        <f>IF(Ejecucion45[[#This Row],[No. Solicitud]]="","",_xlfn.XLOOKUP(Ejecucion45[[#This Row],[No. Solicitud]],Registro!$B$8:$B$997,Registro!$H$8:$H$997,"Sin Dato",0))</f>
        <v>Curso 1</v>
      </c>
      <c r="E8" s="160" t="s">
        <v>801</v>
      </c>
      <c r="F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</v>
      </c>
      <c r="G8" s="55">
        <v>4</v>
      </c>
      <c r="H8" s="55">
        <v>43634</v>
      </c>
      <c r="I8" s="55">
        <f>IF(Ejecucion45[[#This Row],[PC]]="","",_xlfn.XLOOKUP(Ejecucion45[[#This Row],[PC]],Ejecucion[PC],Ejecucion[Grupo],"NE",0))</f>
        <v>2</v>
      </c>
      <c r="J8" s="55">
        <f>IF(Ejecucion45[[#This Row],[PC]]="","",COUNTIF(Ejecucion4[Codigo],Ejecucion45[[#This Row],[PC]]))</f>
        <v>2</v>
      </c>
    </row>
    <row r="9" spans="1:14" ht="28.8" customHeight="1">
      <c r="A9" s="30">
        <f>ROW() - ROW(Ejecucion45[[#Headers],[Correlativo]])</f>
        <v>5</v>
      </c>
      <c r="B9" s="30" t="s">
        <v>108</v>
      </c>
      <c r="C9" s="84" t="str">
        <f>IF(B9="","",HYPERLINK("#"&amp;"Registro!B"&amp;MATCH(B9,Registro!$B$8:$B$997,0)+7,"Ubicar en registro"))</f>
        <v>Ubicar en registro</v>
      </c>
      <c r="D9" s="55" t="str">
        <f>IF(Ejecucion45[[#This Row],[No. Solicitud]]="","",_xlfn.XLOOKUP(Ejecucion45[[#This Row],[No. Solicitud]],Registro!$B$8:$B$997,Registro!$H$8:$H$997,"Sin Dato",0))</f>
        <v>Curso 1</v>
      </c>
      <c r="E9" s="160" t="s">
        <v>802</v>
      </c>
      <c r="F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</v>
      </c>
      <c r="G9" s="55">
        <v>4</v>
      </c>
      <c r="H9" s="55">
        <v>43633</v>
      </c>
      <c r="I9" s="55">
        <f>IF(Ejecucion45[[#This Row],[PC]]="","",_xlfn.XLOOKUP(Ejecucion45[[#This Row],[PC]],Ejecucion[PC],Ejecucion[Grupo],"NE",0))</f>
        <v>1</v>
      </c>
      <c r="J9" s="55">
        <f>IF(Ejecucion45[[#This Row],[PC]]="","",COUNTIF(Ejecucion4[Codigo],Ejecucion45[[#This Row],[PC]]))</f>
        <v>2</v>
      </c>
    </row>
    <row r="10" spans="1:14" ht="28.8" customHeight="1">
      <c r="A10" s="30">
        <f>ROW() - ROW(Ejecucion45[[#Headers],[Correlativo]])</f>
        <v>6</v>
      </c>
      <c r="B10" s="30" t="s">
        <v>116</v>
      </c>
      <c r="C10" s="84" t="str">
        <f>IF(B10="","",HYPERLINK("#"&amp;"Registro!B"&amp;MATCH(B10,Registro!$B$8:$B$997,0)+7,"Ubicar en registro"))</f>
        <v>Ubicar en registro</v>
      </c>
      <c r="D10" s="55" t="str">
        <f>IF(Ejecucion45[[#This Row],[No. Solicitud]]="","",_xlfn.XLOOKUP(Ejecucion45[[#This Row],[No. Solicitud]],Registro!$B$8:$B$997,Registro!$H$8:$H$997,"Sin Dato",0))</f>
        <v>Curso 3</v>
      </c>
      <c r="E10" s="160" t="s">
        <v>803</v>
      </c>
      <c r="F1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</v>
      </c>
      <c r="G10" s="55">
        <v>1</v>
      </c>
      <c r="H10" s="55">
        <v>43683</v>
      </c>
      <c r="I10" s="55">
        <f>IF(Ejecucion45[[#This Row],[PC]]="","",_xlfn.XLOOKUP(Ejecucion45[[#This Row],[PC]],Ejecucion[PC],Ejecucion[Grupo],"NE",0))</f>
        <v>2</v>
      </c>
      <c r="J10" s="55">
        <f>IF(Ejecucion45[[#This Row],[PC]]="","",COUNTIF(Ejecucion4[Codigo],Ejecucion45[[#This Row],[PC]]))</f>
        <v>1</v>
      </c>
    </row>
    <row r="11" spans="1:14" ht="28.8" customHeight="1">
      <c r="A11" s="30">
        <f>ROW() - ROW(Ejecucion45[[#Headers],[Correlativo]])</f>
        <v>7</v>
      </c>
      <c r="B11" s="30" t="s">
        <v>116</v>
      </c>
      <c r="C11" s="84" t="str">
        <f>IF(B11="","",HYPERLINK("#"&amp;"Registro!B"&amp;MATCH(B11,Registro!$B$8:$B$997,0)+7,"Ubicar en registro"))</f>
        <v>Ubicar en registro</v>
      </c>
      <c r="D11" s="55" t="str">
        <f>IF(Ejecucion45[[#This Row],[No. Solicitud]]="","",_xlfn.XLOOKUP(Ejecucion45[[#This Row],[No. Solicitud]],Registro!$B$8:$B$997,Registro!$H$8:$H$997,"Sin Dato",0))</f>
        <v>Curso 3</v>
      </c>
      <c r="E11" s="160" t="s">
        <v>804</v>
      </c>
      <c r="F1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</v>
      </c>
      <c r="G11" s="55">
        <v>1</v>
      </c>
      <c r="H11" s="55">
        <v>43683</v>
      </c>
      <c r="I11" s="55">
        <f>IF(Ejecucion45[[#This Row],[PC]]="","",_xlfn.XLOOKUP(Ejecucion45[[#This Row],[PC]],Ejecucion[PC],Ejecucion[Grupo],"NE",0))</f>
        <v>2</v>
      </c>
      <c r="J11" s="55">
        <f>IF(Ejecucion45[[#This Row],[PC]]="","",COUNTIF(Ejecucion4[Codigo],Ejecucion45[[#This Row],[PC]]))</f>
        <v>1</v>
      </c>
    </row>
    <row r="12" spans="1:14" ht="28.8" customHeight="1">
      <c r="A12" s="30">
        <f>ROW() - ROW(Ejecucion45[[#Headers],[Correlativo]])</f>
        <v>8</v>
      </c>
      <c r="B12" s="30" t="s">
        <v>113</v>
      </c>
      <c r="C12" s="84" t="str">
        <f>IF(B12="","",HYPERLINK("#"&amp;"Registro!B"&amp;MATCH(B12,Registro!$B$8:$B$997,0)+7,"Ubicar en registro"))</f>
        <v>Ubicar en registro</v>
      </c>
      <c r="D12" s="55" t="str">
        <f>IF(Ejecucion45[[#This Row],[No. Solicitud]]="","",_xlfn.XLOOKUP(Ejecucion45[[#This Row],[No. Solicitud]],Registro!$B$8:$B$997,Registro!$H$8:$H$997,"Sin Dato",0))</f>
        <v>Curso 2</v>
      </c>
      <c r="E12" s="160" t="s">
        <v>805</v>
      </c>
      <c r="F1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</v>
      </c>
      <c r="I12" s="55" t="str">
        <f>IF(Ejecucion45[[#This Row],[PC]]="","",_xlfn.XLOOKUP(Ejecucion45[[#This Row],[PC]],Ejecucion[PC],Ejecucion[Grupo],"NE",0))</f>
        <v/>
      </c>
      <c r="J12" s="55" t="str">
        <f>IF(Ejecucion45[[#This Row],[PC]]="","",COUNTIF(Ejecucion4[Codigo],Ejecucion45[[#This Row],[PC]]))</f>
        <v/>
      </c>
    </row>
    <row r="13" spans="1:14" ht="28.8" customHeight="1">
      <c r="A13" s="30">
        <f>ROW() - ROW(Ejecucion45[[#Headers],[Correlativo]])</f>
        <v>9</v>
      </c>
      <c r="B13" s="30" t="s">
        <v>113</v>
      </c>
      <c r="C13" s="84" t="str">
        <f>IF(B13="","",HYPERLINK("#"&amp;"Registro!B"&amp;MATCH(B13,Registro!$B$8:$B$997,0)+7,"Ubicar en registro"))</f>
        <v>Ubicar en registro</v>
      </c>
      <c r="D13" s="55" t="str">
        <f>IF(Ejecucion45[[#This Row],[No. Solicitud]]="","",_xlfn.XLOOKUP(Ejecucion45[[#This Row],[No. Solicitud]],Registro!$B$8:$B$997,Registro!$H$8:$H$997,"Sin Dato",0))</f>
        <v>Curso 2</v>
      </c>
      <c r="E13" s="160" t="s">
        <v>806</v>
      </c>
      <c r="F1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</v>
      </c>
      <c r="I13" s="55" t="str">
        <f>IF(Ejecucion45[[#This Row],[PC]]="","",_xlfn.XLOOKUP(Ejecucion45[[#This Row],[PC]],Ejecucion[PC],Ejecucion[Grupo],"NE",0))</f>
        <v/>
      </c>
      <c r="J13" s="55" t="str">
        <f>IF(Ejecucion45[[#This Row],[PC]]="","",COUNTIF(Ejecucion4[Codigo],Ejecucion45[[#This Row],[PC]]))</f>
        <v/>
      </c>
    </row>
    <row r="14" spans="1:14" ht="28.8" customHeight="1">
      <c r="A14" s="30">
        <f>ROW() - ROW(Ejecucion45[[#Headers],[Correlativo]])</f>
        <v>10</v>
      </c>
      <c r="B14" s="30" t="s">
        <v>152</v>
      </c>
      <c r="C14" s="84" t="str">
        <f>IF(B14="","",HYPERLINK("#"&amp;"Registro!B"&amp;MATCH(B14,Registro!$B$8:$B$997,0)+7,"Ubicar en registro"))</f>
        <v>Ubicar en registro</v>
      </c>
      <c r="D14" s="55" t="str">
        <f>IF(Ejecucion45[[#This Row],[No. Solicitud]]="","",_xlfn.XLOOKUP(Ejecucion45[[#This Row],[No. Solicitud]],Registro!$B$8:$B$997,Registro!$H$8:$H$997,"Sin Dato",0))</f>
        <v>Curso 13</v>
      </c>
      <c r="E14" s="160" t="s">
        <v>807</v>
      </c>
      <c r="F1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</v>
      </c>
      <c r="G14" s="55">
        <v>8</v>
      </c>
      <c r="H14" s="55">
        <v>43783</v>
      </c>
      <c r="I14" s="55">
        <f>IF(Ejecucion45[[#This Row],[PC]]="","",_xlfn.XLOOKUP(Ejecucion45[[#This Row],[PC]],Ejecucion[PC],Ejecucion[Grupo],"NE",0))</f>
        <v>1</v>
      </c>
      <c r="J14" s="55">
        <f>IF(Ejecucion45[[#This Row],[PC]]="","",COUNTIF(Ejecucion4[Codigo],Ejecucion45[[#This Row],[PC]]))</f>
        <v>1</v>
      </c>
    </row>
    <row r="15" spans="1:14" ht="28.8" customHeight="1">
      <c r="A15" s="30">
        <f>ROW() - ROW(Ejecucion45[[#Headers],[Correlativo]])</f>
        <v>11</v>
      </c>
      <c r="B15" s="30" t="s">
        <v>152</v>
      </c>
      <c r="C15" s="84" t="str">
        <f>IF(B15="","",HYPERLINK("#"&amp;"Registro!B"&amp;MATCH(B15,Registro!$B$8:$B$997,0)+7,"Ubicar en registro"))</f>
        <v>Ubicar en registro</v>
      </c>
      <c r="D15" s="55" t="str">
        <f>IF(Ejecucion45[[#This Row],[No. Solicitud]]="","",_xlfn.XLOOKUP(Ejecucion45[[#This Row],[No. Solicitud]],Registro!$B$8:$B$997,Registro!$H$8:$H$997,"Sin Dato",0))</f>
        <v>Curso 13</v>
      </c>
      <c r="E15" s="160" t="s">
        <v>808</v>
      </c>
      <c r="F1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</v>
      </c>
      <c r="G15" s="55">
        <v>8</v>
      </c>
      <c r="H15" s="55">
        <v>43783</v>
      </c>
      <c r="I15" s="55">
        <f>IF(Ejecucion45[[#This Row],[PC]]="","",_xlfn.XLOOKUP(Ejecucion45[[#This Row],[PC]],Ejecucion[PC],Ejecucion[Grupo],"NE",0))</f>
        <v>1</v>
      </c>
      <c r="J15" s="55">
        <f>IF(Ejecucion45[[#This Row],[PC]]="","",COUNTIF(Ejecucion4[Codigo],Ejecucion45[[#This Row],[PC]]))</f>
        <v>1</v>
      </c>
    </row>
    <row r="16" spans="1:14" ht="28.8" customHeight="1">
      <c r="A16" s="30">
        <f>ROW() - ROW(Ejecucion45[[#Headers],[Correlativo]])</f>
        <v>12</v>
      </c>
      <c r="B16" s="30" t="s">
        <v>176</v>
      </c>
      <c r="C16" s="84" t="str">
        <f>IF(B16="","",HYPERLINK("#"&amp;"Registro!B"&amp;MATCH(B16,Registro!$B$8:$B$997,0)+7,"Ubicar en registro"))</f>
        <v>Ubicar en registro</v>
      </c>
      <c r="D16" s="55" t="str">
        <f>IF(Ejecucion45[[#This Row],[No. Solicitud]]="","",_xlfn.XLOOKUP(Ejecucion45[[#This Row],[No. Solicitud]],Registro!$B$8:$B$997,Registro!$H$8:$H$997,"Sin Dato",0))</f>
        <v>Curso 22</v>
      </c>
      <c r="E16" s="160" t="s">
        <v>809</v>
      </c>
      <c r="F1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15</v>
      </c>
      <c r="I16" s="55" t="str">
        <f>IF(Ejecucion45[[#This Row],[PC]]="","",_xlfn.XLOOKUP(Ejecucion45[[#This Row],[PC]],Ejecucion[PC],Ejecucion[Grupo],"NE",0))</f>
        <v/>
      </c>
      <c r="J16" s="55" t="str">
        <f>IF(Ejecucion45[[#This Row],[PC]]="","",COUNTIF(Ejecucion4[Codigo],Ejecucion45[[#This Row],[PC]]))</f>
        <v/>
      </c>
    </row>
    <row r="17" spans="1:10" ht="28.8" customHeight="1">
      <c r="A17" s="30">
        <f>ROW() - ROW(Ejecucion45[[#Headers],[Correlativo]])</f>
        <v>13</v>
      </c>
      <c r="B17" s="127" t="s">
        <v>152</v>
      </c>
      <c r="C17" s="84" t="str">
        <f>IF(B17="","",HYPERLINK("#"&amp;"Registro!B"&amp;MATCH(B17,Registro!$B$8:$B$997,0)+7,"Ubicar en registro"))</f>
        <v>Ubicar en registro</v>
      </c>
      <c r="D17" s="55" t="str">
        <f>IF(Ejecucion45[[#This Row],[No. Solicitud]]="","",_xlfn.XLOOKUP(Ejecucion45[[#This Row],[No. Solicitud]],Registro!$B$8:$B$997,Registro!$H$8:$H$997,"Sin Dato",0))</f>
        <v>Curso 13</v>
      </c>
      <c r="E17" s="160" t="s">
        <v>810</v>
      </c>
      <c r="F1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16</v>
      </c>
      <c r="G17" s="55">
        <v>8</v>
      </c>
      <c r="H17" s="55">
        <v>43783</v>
      </c>
      <c r="I17" s="55">
        <f>IF(Ejecucion45[[#This Row],[PC]]="","",_xlfn.XLOOKUP(Ejecucion45[[#This Row],[PC]],Ejecucion[PC],Ejecucion[Grupo],"NE",0))</f>
        <v>1</v>
      </c>
      <c r="J17" s="55">
        <f>IF(Ejecucion45[[#This Row],[PC]]="","",COUNTIF(Ejecucion4[Codigo],Ejecucion45[[#This Row],[PC]]))</f>
        <v>1</v>
      </c>
    </row>
    <row r="18" spans="1:10" ht="28.8" customHeight="1">
      <c r="A18" s="30">
        <f>ROW() - ROW(Ejecucion45[[#Headers],[Correlativo]])</f>
        <v>14</v>
      </c>
      <c r="B18" s="30" t="s">
        <v>119</v>
      </c>
      <c r="C18" s="84" t="str">
        <f>IF(B18="","",HYPERLINK("#"&amp;"Registro!B"&amp;MATCH(B18,Registro!$B$8:$B$997,0)+7,"Ubicar en registro"))</f>
        <v>Ubicar en registro</v>
      </c>
      <c r="D18" s="55" t="str">
        <f>IF(Ejecucion45[[#This Row],[No. Solicitud]]="","",_xlfn.XLOOKUP(Ejecucion45[[#This Row],[No. Solicitud]],Registro!$B$8:$B$997,Registro!$H$8:$H$997,"Sin Dato",0))</f>
        <v>Curso 4</v>
      </c>
      <c r="E18" s="160" t="s">
        <v>811</v>
      </c>
      <c r="F1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17</v>
      </c>
      <c r="G18" s="55">
        <v>12</v>
      </c>
      <c r="H18" s="81">
        <v>43809</v>
      </c>
      <c r="I18" s="55">
        <f>IF(Ejecucion45[[#This Row],[PC]]="","",_xlfn.XLOOKUP(Ejecucion45[[#This Row],[PC]],Ejecucion[PC],Ejecucion[Grupo],"NE",0))</f>
        <v>1</v>
      </c>
      <c r="J18" s="55">
        <f>IF(Ejecucion45[[#This Row],[PC]]="","",COUNTIF(Ejecucion4[Codigo],Ejecucion45[[#This Row],[PC]]))</f>
        <v>2</v>
      </c>
    </row>
    <row r="19" spans="1:10" ht="28.8" customHeight="1">
      <c r="A19" s="30">
        <f>ROW() - ROW(Ejecucion45[[#Headers],[Correlativo]])</f>
        <v>15</v>
      </c>
      <c r="B19" s="30" t="s">
        <v>119</v>
      </c>
      <c r="C19" s="84" t="str">
        <f>IF(B19="","",HYPERLINK("#"&amp;"Registro!B"&amp;MATCH(B19,Registro!$B$8:$B$997,0)+7,"Ubicar en registro"))</f>
        <v>Ubicar en registro</v>
      </c>
      <c r="D19" s="55" t="str">
        <f>IF(Ejecucion45[[#This Row],[No. Solicitud]]="","",_xlfn.XLOOKUP(Ejecucion45[[#This Row],[No. Solicitud]],Registro!$B$8:$B$997,Registro!$H$8:$H$997,"Sin Dato",0))</f>
        <v>Curso 4</v>
      </c>
      <c r="E19" s="160" t="s">
        <v>812</v>
      </c>
      <c r="F1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18</v>
      </c>
      <c r="G19" s="55">
        <v>12</v>
      </c>
      <c r="H19" s="81">
        <v>43810</v>
      </c>
      <c r="I19" s="55">
        <f>IF(Ejecucion45[[#This Row],[PC]]="","",_xlfn.XLOOKUP(Ejecucion45[[#This Row],[PC]],Ejecucion[PC],Ejecucion[Grupo],"NE",0))</f>
        <v>2</v>
      </c>
      <c r="J19" s="55">
        <f>IF(Ejecucion45[[#This Row],[PC]]="","",COUNTIF(Ejecucion4[Codigo],Ejecucion45[[#This Row],[PC]]))</f>
        <v>2</v>
      </c>
    </row>
    <row r="20" spans="1:10" ht="28.8" customHeight="1">
      <c r="A20" s="30">
        <f>ROW() - ROW(Ejecucion45[[#Headers],[Correlativo]])</f>
        <v>16</v>
      </c>
      <c r="B20" s="30" t="s">
        <v>171</v>
      </c>
      <c r="C20" s="84" t="str">
        <f>IF(B20="","",HYPERLINK("#"&amp;"Registro!B"&amp;MATCH(B20,Registro!$B$8:$B$997,0)+7,"Ubicar en registro"))</f>
        <v>Ubicar en registro</v>
      </c>
      <c r="D20" s="55" t="str">
        <f>IF(Ejecucion45[[#This Row],[No. Solicitud]]="","",_xlfn.XLOOKUP(Ejecucion45[[#This Row],[No. Solicitud]],Registro!$B$8:$B$997,Registro!$H$8:$H$997,"Sin Dato",0))</f>
        <v>Curso 20</v>
      </c>
      <c r="E20" s="160" t="s">
        <v>813</v>
      </c>
      <c r="F2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19</v>
      </c>
      <c r="G20" s="55">
        <v>8</v>
      </c>
      <c r="H20" s="55">
        <v>43820</v>
      </c>
      <c r="I20" s="55">
        <f>IF(Ejecucion45[[#This Row],[PC]]="","",_xlfn.XLOOKUP(Ejecucion45[[#This Row],[PC]],Ejecucion[PC],Ejecucion[Grupo],"NE",0))</f>
        <v>1</v>
      </c>
      <c r="J20" s="55">
        <f>IF(Ejecucion45[[#This Row],[PC]]="","",COUNTIF(Ejecucion4[Codigo],Ejecucion45[[#This Row],[PC]]))</f>
        <v>1</v>
      </c>
    </row>
    <row r="21" spans="1:10" ht="28.8" customHeight="1">
      <c r="A21" s="30">
        <f>ROW() - ROW(Ejecucion45[[#Headers],[Correlativo]])</f>
        <v>17</v>
      </c>
      <c r="B21" s="30" t="s">
        <v>171</v>
      </c>
      <c r="C21" s="84" t="str">
        <f>IF(B21="","",HYPERLINK("#"&amp;"Registro!B"&amp;MATCH(B21,Registro!$B$8:$B$997,0)+7,"Ubicar en registro"))</f>
        <v>Ubicar en registro</v>
      </c>
      <c r="D21" s="55" t="str">
        <f>IF(Ejecucion45[[#This Row],[No. Solicitud]]="","",_xlfn.XLOOKUP(Ejecucion45[[#This Row],[No. Solicitud]],Registro!$B$8:$B$997,Registro!$H$8:$H$997,"Sin Dato",0))</f>
        <v>Curso 20</v>
      </c>
      <c r="E21" s="160" t="s">
        <v>814</v>
      </c>
      <c r="F2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20</v>
      </c>
      <c r="G21" s="55">
        <v>8</v>
      </c>
      <c r="H21" s="55">
        <v>43820</v>
      </c>
      <c r="I21" s="55">
        <f>IF(Ejecucion45[[#This Row],[PC]]="","",_xlfn.XLOOKUP(Ejecucion45[[#This Row],[PC]],Ejecucion[PC],Ejecucion[Grupo],"NE",0))</f>
        <v>1</v>
      </c>
      <c r="J21" s="55">
        <f>IF(Ejecucion45[[#This Row],[PC]]="","",COUNTIF(Ejecucion4[Codigo],Ejecucion45[[#This Row],[PC]]))</f>
        <v>1</v>
      </c>
    </row>
    <row r="22" spans="1:10" ht="28.8" customHeight="1">
      <c r="A22" s="30">
        <f>ROW() - ROW(Ejecucion45[[#Headers],[Correlativo]])</f>
        <v>18</v>
      </c>
      <c r="B22" s="30" t="s">
        <v>130</v>
      </c>
      <c r="C22" s="84" t="str">
        <f>IF(B22="","",HYPERLINK("#"&amp;"Registro!B"&amp;MATCH(B22,Registro!$B$8:$B$997,0)+7,"Ubicar en registro"))</f>
        <v>Ubicar en registro</v>
      </c>
      <c r="D22" s="55" t="str">
        <f>IF(Ejecucion45[[#This Row],[No. Solicitud]]="","",_xlfn.XLOOKUP(Ejecucion45[[#This Row],[No. Solicitud]],Registro!$B$8:$B$997,Registro!$H$8:$H$997,"Sin Dato",0))</f>
        <v>Curso 7</v>
      </c>
      <c r="E22" s="160" t="s">
        <v>815</v>
      </c>
      <c r="F2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21</v>
      </c>
      <c r="I22" s="55" t="str">
        <f>IF(Ejecucion45[[#This Row],[PC]]="","",_xlfn.XLOOKUP(Ejecucion45[[#This Row],[PC]],Ejecucion[PC],Ejecucion[Grupo],"NE",0))</f>
        <v/>
      </c>
      <c r="J22" s="55" t="str">
        <f>IF(Ejecucion45[[#This Row],[PC]]="","",COUNTIF(Ejecucion4[Codigo],Ejecucion45[[#This Row],[PC]]))</f>
        <v/>
      </c>
    </row>
    <row r="23" spans="1:10" ht="28.8" customHeight="1">
      <c r="A23" s="30">
        <f>ROW() - ROW(Ejecucion45[[#Headers],[Correlativo]])</f>
        <v>19</v>
      </c>
      <c r="B23" s="30" t="s">
        <v>137</v>
      </c>
      <c r="C23" s="84" t="str">
        <f>IF(B23="","",HYPERLINK("#"&amp;"Registro!B"&amp;MATCH(B23,Registro!$B$8:$B$997,0)+7,"Ubicar en registro"))</f>
        <v>Ubicar en registro</v>
      </c>
      <c r="D23" s="55" t="str">
        <f>IF(Ejecucion45[[#This Row],[No. Solicitud]]="","",_xlfn.XLOOKUP(Ejecucion45[[#This Row],[No. Solicitud]],Registro!$B$8:$B$997,Registro!$H$8:$H$997,"Sin Dato",0))</f>
        <v>Curso 9</v>
      </c>
      <c r="E23" s="160" t="s">
        <v>816</v>
      </c>
      <c r="F2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22</v>
      </c>
      <c r="I23" s="55" t="str">
        <f>IF(Ejecucion45[[#This Row],[PC]]="","",_xlfn.XLOOKUP(Ejecucion45[[#This Row],[PC]],Ejecucion[PC],Ejecucion[Grupo],"NE",0))</f>
        <v/>
      </c>
      <c r="J23" s="55" t="str">
        <f>IF(Ejecucion45[[#This Row],[PC]]="","",COUNTIF(Ejecucion4[Codigo],Ejecucion45[[#This Row],[PC]]))</f>
        <v/>
      </c>
    </row>
    <row r="24" spans="1:10" ht="28.8" customHeight="1">
      <c r="A24" s="30">
        <f>ROW() - ROW(Ejecucion45[[#Headers],[Correlativo]])</f>
        <v>20</v>
      </c>
      <c r="B24" s="30" t="s">
        <v>137</v>
      </c>
      <c r="C24" s="84" t="str">
        <f>IF(B24="","",HYPERLINK("#"&amp;"Registro!B"&amp;MATCH(B24,Registro!$B$8:$B$997,0)+7,"Ubicar en registro"))</f>
        <v>Ubicar en registro</v>
      </c>
      <c r="D24" s="55" t="str">
        <f>IF(Ejecucion45[[#This Row],[No. Solicitud]]="","",_xlfn.XLOOKUP(Ejecucion45[[#This Row],[No. Solicitud]],Registro!$B$8:$B$997,Registro!$H$8:$H$997,"Sin Dato",0))</f>
        <v>Curso 9</v>
      </c>
      <c r="E24" s="160" t="s">
        <v>817</v>
      </c>
      <c r="F2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23</v>
      </c>
      <c r="I24" s="55" t="str">
        <f>IF(Ejecucion45[[#This Row],[PC]]="","",_xlfn.XLOOKUP(Ejecucion45[[#This Row],[PC]],Ejecucion[PC],Ejecucion[Grupo],"NE",0))</f>
        <v/>
      </c>
      <c r="J24" s="55" t="str">
        <f>IF(Ejecucion45[[#This Row],[PC]]="","",COUNTIF(Ejecucion4[Codigo],Ejecucion45[[#This Row],[PC]]))</f>
        <v/>
      </c>
    </row>
    <row r="25" spans="1:10" ht="28.8" customHeight="1">
      <c r="A25" s="30">
        <f>ROW() - ROW(Ejecucion45[[#Headers],[Correlativo]])</f>
        <v>21</v>
      </c>
      <c r="B25" s="30" t="s">
        <v>214</v>
      </c>
      <c r="C25" s="84" t="str">
        <f>IF(B25="","",HYPERLINK("#"&amp;"Registro!B"&amp;MATCH(B25,Registro!$B$8:$B$997,0)+7,"Ubicar en registro"))</f>
        <v>Ubicar en registro</v>
      </c>
      <c r="D25" s="55" t="str">
        <f>IF(Ejecucion45[[#This Row],[No. Solicitud]]="","",_xlfn.XLOOKUP(Ejecucion45[[#This Row],[No. Solicitud]],Registro!$B$8:$B$997,Registro!$H$8:$H$997,"Sin Dato",0))</f>
        <v>Curso 33</v>
      </c>
      <c r="E25" s="161" t="s">
        <v>818</v>
      </c>
      <c r="F2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24</v>
      </c>
      <c r="H25" s="55">
        <v>44109</v>
      </c>
      <c r="I25" s="55" t="str">
        <f>IF(Ejecucion45[[#This Row],[PC]]="","",_xlfn.XLOOKUP(Ejecucion45[[#This Row],[PC]],Ejecucion[PC],Ejecucion[Grupo],"NE",0))</f>
        <v>Indefinido</v>
      </c>
      <c r="J25" s="55">
        <f>IF(Ejecucion45[[#This Row],[PC]]="","",COUNTIF(Ejecucion4[Codigo],Ejecucion45[[#This Row],[PC]]))</f>
        <v>1</v>
      </c>
    </row>
    <row r="26" spans="1:10" ht="28.8" customHeight="1">
      <c r="A26" s="30">
        <f>ROW() - ROW(Ejecucion45[[#Headers],[Correlativo]])</f>
        <v>22</v>
      </c>
      <c r="B26" s="30" t="s">
        <v>144</v>
      </c>
      <c r="C26" s="84" t="str">
        <f>IF(B26="","",HYPERLINK("#"&amp;"Registro!B"&amp;MATCH(B26,Registro!$B$8:$B$997,0)+7,"Ubicar en registro"))</f>
        <v>Ubicar en registro</v>
      </c>
      <c r="D26" s="55" t="str">
        <f>IF(Ejecucion45[[#This Row],[No. Solicitud]]="","",_xlfn.XLOOKUP(Ejecucion45[[#This Row],[No. Solicitud]],Registro!$B$8:$B$997,Registro!$H$8:$H$997,"Sin Dato",0))</f>
        <v>Curso 11</v>
      </c>
      <c r="E26" s="160" t="s">
        <v>819</v>
      </c>
      <c r="F2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25</v>
      </c>
      <c r="H26" s="55">
        <v>43785</v>
      </c>
      <c r="I26" s="55">
        <f>IF(Ejecucion45[[#This Row],[PC]]="","",_xlfn.XLOOKUP(Ejecucion45[[#This Row],[PC]],Ejecucion[PC],Ejecucion[Grupo],"NE",0))</f>
        <v>1</v>
      </c>
      <c r="J26" s="55">
        <f>IF(Ejecucion45[[#This Row],[PC]]="","",COUNTIF(Ejecucion4[Codigo],Ejecucion45[[#This Row],[PC]]))</f>
        <v>1</v>
      </c>
    </row>
    <row r="27" spans="1:10" ht="28.8" customHeight="1">
      <c r="A27" s="30">
        <f>ROW() - ROW(Ejecucion45[[#Headers],[Correlativo]])</f>
        <v>23</v>
      </c>
      <c r="B27" s="30" t="s">
        <v>220</v>
      </c>
      <c r="C27" s="84" t="str">
        <f>IF(B27="","",HYPERLINK("#"&amp;"Registro!B"&amp;MATCH(B27,Registro!$B$8:$B$997,0)+7,"Ubicar en registro"))</f>
        <v>Ubicar en registro</v>
      </c>
      <c r="D27" s="55" t="str">
        <f>IF(Ejecucion45[[#This Row],[No. Solicitud]]="","",_xlfn.XLOOKUP(Ejecucion45[[#This Row],[No. Solicitud]],Registro!$B$8:$B$997,Registro!$H$8:$H$997,"Sin Dato",0))</f>
        <v>Curso 36</v>
      </c>
      <c r="E27" s="160" t="s">
        <v>820</v>
      </c>
      <c r="F2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26</v>
      </c>
      <c r="I27" s="55" t="str">
        <f>IF(Ejecucion45[[#This Row],[PC]]="","",_xlfn.XLOOKUP(Ejecucion45[[#This Row],[PC]],Ejecucion[PC],Ejecucion[Grupo],"NE",0))</f>
        <v/>
      </c>
      <c r="J27" s="55" t="str">
        <f>IF(Ejecucion45[[#This Row],[PC]]="","",COUNTIF(Ejecucion4[Codigo],Ejecucion45[[#This Row],[PC]]))</f>
        <v/>
      </c>
    </row>
    <row r="28" spans="1:10" ht="28.8" customHeight="1">
      <c r="A28" s="30">
        <f>ROW() - ROW(Ejecucion45[[#Headers],[Correlativo]])</f>
        <v>24</v>
      </c>
      <c r="B28" s="30" t="s">
        <v>220</v>
      </c>
      <c r="C28" s="84" t="str">
        <f>IF(B28="","",HYPERLINK("#"&amp;"Registro!B"&amp;MATCH(B28,Registro!$B$8:$B$997,0)+7,"Ubicar en registro"))</f>
        <v>Ubicar en registro</v>
      </c>
      <c r="D28" s="55" t="str">
        <f>IF(Ejecucion45[[#This Row],[No. Solicitud]]="","",_xlfn.XLOOKUP(Ejecucion45[[#This Row],[No. Solicitud]],Registro!$B$8:$B$997,Registro!$H$8:$H$997,"Sin Dato",0))</f>
        <v>Curso 36</v>
      </c>
      <c r="E28" s="160" t="s">
        <v>821</v>
      </c>
      <c r="F2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27</v>
      </c>
      <c r="I28" s="55" t="str">
        <f>IF(Ejecucion45[[#This Row],[PC]]="","",_xlfn.XLOOKUP(Ejecucion45[[#This Row],[PC]],Ejecucion[PC],Ejecucion[Grupo],"NE",0))</f>
        <v/>
      </c>
      <c r="J28" s="55" t="str">
        <f>IF(Ejecucion45[[#This Row],[PC]]="","",COUNTIF(Ejecucion4[Codigo],Ejecucion45[[#This Row],[PC]]))</f>
        <v/>
      </c>
    </row>
    <row r="29" spans="1:10" ht="28.8" customHeight="1">
      <c r="A29" s="30">
        <f>ROW() - ROW(Ejecucion45[[#Headers],[Correlativo]])</f>
        <v>25</v>
      </c>
      <c r="B29" s="30" t="s">
        <v>222</v>
      </c>
      <c r="C29" s="84" t="str">
        <f>IF(B29="","",HYPERLINK("#"&amp;"Registro!B"&amp;MATCH(B29,Registro!$B$8:$B$997,0)+7,"Ubicar en registro"))</f>
        <v>Ubicar en registro</v>
      </c>
      <c r="D29" s="55" t="str">
        <f>IF(Ejecucion45[[#This Row],[No. Solicitud]]="","",_xlfn.XLOOKUP(Ejecucion45[[#This Row],[No. Solicitud]],Registro!$B$8:$B$997,Registro!$H$8:$H$997,"Sin Dato",0))</f>
        <v>Curso 37</v>
      </c>
      <c r="E29" s="160" t="s">
        <v>822</v>
      </c>
      <c r="F2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28</v>
      </c>
      <c r="I29" s="55" t="str">
        <f>IF(Ejecucion45[[#This Row],[PC]]="","",_xlfn.XLOOKUP(Ejecucion45[[#This Row],[PC]],Ejecucion[PC],Ejecucion[Grupo],"NE",0))</f>
        <v/>
      </c>
      <c r="J29" s="55" t="str">
        <f>IF(Ejecucion45[[#This Row],[PC]]="","",COUNTIF(Ejecucion4[Codigo],Ejecucion45[[#This Row],[PC]]))</f>
        <v/>
      </c>
    </row>
    <row r="30" spans="1:10" ht="28.8" customHeight="1">
      <c r="A30" s="30">
        <f>ROW() - ROW(Ejecucion45[[#Headers],[Correlativo]])</f>
        <v>26</v>
      </c>
      <c r="B30" s="30" t="s">
        <v>222</v>
      </c>
      <c r="C30" s="84" t="str">
        <f>IF(B30="","",HYPERLINK("#"&amp;"Registro!B"&amp;MATCH(B30,Registro!$B$8:$B$997,0)+7,"Ubicar en registro"))</f>
        <v>Ubicar en registro</v>
      </c>
      <c r="D30" s="55" t="str">
        <f>IF(Ejecucion45[[#This Row],[No. Solicitud]]="","",_xlfn.XLOOKUP(Ejecucion45[[#This Row],[No. Solicitud]],Registro!$B$8:$B$997,Registro!$H$8:$H$997,"Sin Dato",0))</f>
        <v>Curso 37</v>
      </c>
      <c r="E30" s="160" t="s">
        <v>823</v>
      </c>
      <c r="F3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29</v>
      </c>
      <c r="I30" s="55" t="str">
        <f>IF(Ejecucion45[[#This Row],[PC]]="","",_xlfn.XLOOKUP(Ejecucion45[[#This Row],[PC]],Ejecucion[PC],Ejecucion[Grupo],"NE",0))</f>
        <v/>
      </c>
      <c r="J30" s="55" t="str">
        <f>IF(Ejecucion45[[#This Row],[PC]]="","",COUNTIF(Ejecucion4[Codigo],Ejecucion45[[#This Row],[PC]]))</f>
        <v/>
      </c>
    </row>
    <row r="31" spans="1:10" ht="28.8" customHeight="1">
      <c r="A31" s="30">
        <f>ROW() - ROW(Ejecucion45[[#Headers],[Correlativo]])</f>
        <v>27</v>
      </c>
      <c r="B31" s="30" t="s">
        <v>222</v>
      </c>
      <c r="C31" s="84" t="str">
        <f>IF(B31="","",HYPERLINK("#"&amp;"Registro!B"&amp;MATCH(B31,Registro!$B$8:$B$997,0)+7,"Ubicar en registro"))</f>
        <v>Ubicar en registro</v>
      </c>
      <c r="D31" s="55" t="str">
        <f>IF(Ejecucion45[[#This Row],[No. Solicitud]]="","",_xlfn.XLOOKUP(Ejecucion45[[#This Row],[No. Solicitud]],Registro!$B$8:$B$997,Registro!$H$8:$H$997,"Sin Dato",0))</f>
        <v>Curso 37</v>
      </c>
      <c r="E31" s="160" t="s">
        <v>824</v>
      </c>
      <c r="F3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30</v>
      </c>
      <c r="I31" s="55" t="str">
        <f>IF(Ejecucion45[[#This Row],[PC]]="","",_xlfn.XLOOKUP(Ejecucion45[[#This Row],[PC]],Ejecucion[PC],Ejecucion[Grupo],"NE",0))</f>
        <v/>
      </c>
      <c r="J31" s="55" t="str">
        <f>IF(Ejecucion45[[#This Row],[PC]]="","",COUNTIF(Ejecucion4[Codigo],Ejecucion45[[#This Row],[PC]]))</f>
        <v/>
      </c>
    </row>
    <row r="32" spans="1:10" ht="28.8" customHeight="1">
      <c r="A32" s="30">
        <f>ROW() - ROW(Ejecucion45[[#Headers],[Correlativo]])</f>
        <v>28</v>
      </c>
      <c r="B32" s="30" t="s">
        <v>222</v>
      </c>
      <c r="C32" s="84" t="str">
        <f>IF(B32="","",HYPERLINK("#"&amp;"Registro!B"&amp;MATCH(B32,Registro!$B$8:$B$997,0)+7,"Ubicar en registro"))</f>
        <v>Ubicar en registro</v>
      </c>
      <c r="D32" s="55" t="str">
        <f>IF(Ejecucion45[[#This Row],[No. Solicitud]]="","",_xlfn.XLOOKUP(Ejecucion45[[#This Row],[No. Solicitud]],Registro!$B$8:$B$997,Registro!$H$8:$H$997,"Sin Dato",0))</f>
        <v>Curso 37</v>
      </c>
      <c r="E32" s="160" t="s">
        <v>825</v>
      </c>
      <c r="F3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31</v>
      </c>
      <c r="I32" s="55" t="str">
        <f>IF(Ejecucion45[[#This Row],[PC]]="","",_xlfn.XLOOKUP(Ejecucion45[[#This Row],[PC]],Ejecucion[PC],Ejecucion[Grupo],"NE",0))</f>
        <v/>
      </c>
      <c r="J32" s="55" t="str">
        <f>IF(Ejecucion45[[#This Row],[PC]]="","",COUNTIF(Ejecucion4[Codigo],Ejecucion45[[#This Row],[PC]]))</f>
        <v/>
      </c>
    </row>
    <row r="33" spans="1:10" ht="28.8" customHeight="1">
      <c r="A33" s="30">
        <f>ROW() - ROW(Ejecucion45[[#Headers],[Correlativo]])</f>
        <v>29</v>
      </c>
      <c r="B33" s="30" t="s">
        <v>216</v>
      </c>
      <c r="C33" s="84" t="str">
        <f>IF(B33="","",HYPERLINK("#"&amp;"Registro!B"&amp;MATCH(B33,Registro!$B$8:$B$997,0)+7,"Ubicar en registro"))</f>
        <v>Ubicar en registro</v>
      </c>
      <c r="D33" s="55" t="str">
        <f>IF(Ejecucion45[[#This Row],[No. Solicitud]]="","",_xlfn.XLOOKUP(Ejecucion45[[#This Row],[No. Solicitud]],Registro!$B$8:$B$997,Registro!$H$8:$H$997,"Sin Dato",0))</f>
        <v>Curso 34</v>
      </c>
      <c r="E33" s="160" t="s">
        <v>826</v>
      </c>
      <c r="F3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32</v>
      </c>
      <c r="G33" s="55">
        <v>8</v>
      </c>
      <c r="H33" s="55">
        <v>43881</v>
      </c>
      <c r="I33" s="55">
        <f>IF(Ejecucion45[[#This Row],[PC]]="","",_xlfn.XLOOKUP(Ejecucion45[[#This Row],[PC]],Ejecucion[PC],Ejecucion[Grupo],"NE",0))</f>
        <v>1</v>
      </c>
      <c r="J33" s="55">
        <f>IF(Ejecucion45[[#This Row],[PC]]="","",COUNTIF(Ejecucion4[Codigo],Ejecucion45[[#This Row],[PC]]))</f>
        <v>1</v>
      </c>
    </row>
    <row r="34" spans="1:10" ht="28.8" customHeight="1">
      <c r="A34" s="30">
        <f>ROW() - ROW(Ejecucion45[[#Headers],[Correlativo]])</f>
        <v>30</v>
      </c>
      <c r="B34" s="30" t="s">
        <v>220</v>
      </c>
      <c r="C34" s="84" t="str">
        <f>IF(B34="","",HYPERLINK("#"&amp;"Registro!B"&amp;MATCH(B34,Registro!$B$8:$B$997,0)+7,"Ubicar en registro"))</f>
        <v>Ubicar en registro</v>
      </c>
      <c r="D34" s="55" t="str">
        <f>IF(Ejecucion45[[#This Row],[No. Solicitud]]="","",_xlfn.XLOOKUP(Ejecucion45[[#This Row],[No. Solicitud]],Registro!$B$8:$B$997,Registro!$H$8:$H$997,"Sin Dato",0))</f>
        <v>Curso 36</v>
      </c>
      <c r="E34" s="160" t="s">
        <v>827</v>
      </c>
      <c r="F3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33</v>
      </c>
      <c r="I34" s="55" t="str">
        <f>IF(Ejecucion45[[#This Row],[PC]]="","",_xlfn.XLOOKUP(Ejecucion45[[#This Row],[PC]],Ejecucion[PC],Ejecucion[Grupo],"NE",0))</f>
        <v/>
      </c>
      <c r="J34" s="55" t="str">
        <f>IF(Ejecucion45[[#This Row],[PC]]="","",COUNTIF(Ejecucion4[Codigo],Ejecucion45[[#This Row],[PC]]))</f>
        <v/>
      </c>
    </row>
    <row r="35" spans="1:10" ht="28.8" customHeight="1">
      <c r="A35" s="30">
        <f>ROW() - ROW(Ejecucion45[[#Headers],[Correlativo]])</f>
        <v>31</v>
      </c>
      <c r="B35" s="30" t="s">
        <v>154</v>
      </c>
      <c r="C35" s="84" t="str">
        <f>IF(B35="","",HYPERLINK("#"&amp;"Registro!B"&amp;MATCH(B35,Registro!$B$8:$B$997,0)+7,"Ubicar en registro"))</f>
        <v>Ubicar en registro</v>
      </c>
      <c r="D35" s="55" t="str">
        <f>IF(Ejecucion45[[#This Row],[No. Solicitud]]="","",_xlfn.XLOOKUP(Ejecucion45[[#This Row],[No. Solicitud]],Registro!$B$8:$B$997,Registro!$H$8:$H$997,"Sin Dato",0))</f>
        <v>Curso 14</v>
      </c>
      <c r="E35" s="162" t="s">
        <v>828</v>
      </c>
      <c r="F3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34</v>
      </c>
      <c r="G35" s="55">
        <v>8</v>
      </c>
      <c r="H35" s="55">
        <v>43793</v>
      </c>
      <c r="I35" s="55">
        <f>IF(Ejecucion45[[#This Row],[PC]]="","",_xlfn.XLOOKUP(Ejecucion45[[#This Row],[PC]],Ejecucion[PC],Ejecucion[Grupo],"NE",0))</f>
        <v>1</v>
      </c>
      <c r="J35" s="55">
        <f>IF(Ejecucion45[[#This Row],[PC]]="","",COUNTIF(Ejecucion4[Codigo],Ejecucion45[[#This Row],[PC]]))</f>
        <v>0</v>
      </c>
    </row>
    <row r="36" spans="1:10" ht="28.8" customHeight="1">
      <c r="A36" s="30">
        <f>ROW() - ROW(Ejecucion45[[#Headers],[Correlativo]])</f>
        <v>32</v>
      </c>
      <c r="B36" s="127" t="s">
        <v>154</v>
      </c>
      <c r="C36" s="84" t="str">
        <f>IF(B36="","",HYPERLINK("#"&amp;"Registro!B"&amp;MATCH(B36,Registro!$B$8:$B$997,0)+7,"Ubicar en registro"))</f>
        <v>Ubicar en registro</v>
      </c>
      <c r="D36" s="55" t="str">
        <f>IF(Ejecucion45[[#This Row],[No. Solicitud]]="","",_xlfn.XLOOKUP(Ejecucion45[[#This Row],[No. Solicitud]],Registro!$B$8:$B$997,Registro!$H$8:$H$997,"Sin Dato",0))</f>
        <v>Curso 14</v>
      </c>
      <c r="E36" s="160" t="s">
        <v>829</v>
      </c>
      <c r="F3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35</v>
      </c>
      <c r="G36" s="55">
        <v>8</v>
      </c>
      <c r="H36" s="55">
        <v>43793</v>
      </c>
      <c r="I36" s="55">
        <f>IF(Ejecucion45[[#This Row],[PC]]="","",_xlfn.XLOOKUP(Ejecucion45[[#This Row],[PC]],Ejecucion[PC],Ejecucion[Grupo],"NE",0))</f>
        <v>1</v>
      </c>
      <c r="J36" s="55">
        <f>IF(Ejecucion45[[#This Row],[PC]]="","",COUNTIF(Ejecucion4[Codigo],Ejecucion45[[#This Row],[PC]]))</f>
        <v>0</v>
      </c>
    </row>
    <row r="37" spans="1:10" ht="28.8" customHeight="1">
      <c r="A37" s="30">
        <f>ROW() - ROW(Ejecucion45[[#Headers],[Correlativo]])</f>
        <v>33</v>
      </c>
      <c r="B37" s="30" t="s">
        <v>165</v>
      </c>
      <c r="C37" s="84" t="str">
        <f>IF(B37="","",HYPERLINK("#"&amp;"Registro!B"&amp;MATCH(B37,Registro!$B$8:$B$997,0)+7,"Ubicar en registro"))</f>
        <v>Ubicar en registro</v>
      </c>
      <c r="D37" s="55" t="str">
        <f>IF(Ejecucion45[[#This Row],[No. Solicitud]]="","",_xlfn.XLOOKUP(Ejecucion45[[#This Row],[No. Solicitud]],Registro!$B$8:$B$997,Registro!$H$8:$H$997,"Sin Dato",0))</f>
        <v>Curso 18</v>
      </c>
      <c r="E37" s="160" t="s">
        <v>830</v>
      </c>
      <c r="F3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36</v>
      </c>
      <c r="G37" s="55">
        <v>16</v>
      </c>
      <c r="H37" s="55">
        <v>44011</v>
      </c>
      <c r="I37" s="55">
        <f>IF(Ejecucion45[[#This Row],[PC]]="","",_xlfn.XLOOKUP(Ejecucion45[[#This Row],[PC]],Ejecucion[PC],Ejecucion[Grupo],"NE",0))</f>
        <v>1</v>
      </c>
      <c r="J37" s="55">
        <f>IF(Ejecucion45[[#This Row],[PC]]="","",COUNTIF(Ejecucion4[Codigo],Ejecucion45[[#This Row],[PC]]))</f>
        <v>2</v>
      </c>
    </row>
    <row r="38" spans="1:10" ht="28.8" customHeight="1">
      <c r="A38" s="30">
        <f>ROW() - ROW(Ejecucion45[[#Headers],[Correlativo]])</f>
        <v>34</v>
      </c>
      <c r="B38" s="30" t="s">
        <v>137</v>
      </c>
      <c r="C38" s="84" t="str">
        <f>IF(B38="","",HYPERLINK("#"&amp;"Registro!B"&amp;MATCH(B38,Registro!$B$8:$B$997,0)+7,"Ubicar en registro"))</f>
        <v>Ubicar en registro</v>
      </c>
      <c r="D38" s="55" t="str">
        <f>IF(Ejecucion45[[#This Row],[No. Solicitud]]="","",_xlfn.XLOOKUP(Ejecucion45[[#This Row],[No. Solicitud]],Registro!$B$8:$B$997,Registro!$H$8:$H$997,"Sin Dato",0))</f>
        <v>Curso 9</v>
      </c>
      <c r="E38" s="160" t="s">
        <v>831</v>
      </c>
      <c r="F3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37</v>
      </c>
      <c r="I38" s="55" t="str">
        <f>IF(Ejecucion45[[#This Row],[PC]]="","",_xlfn.XLOOKUP(Ejecucion45[[#This Row],[PC]],Ejecucion[PC],Ejecucion[Grupo],"NE",0))</f>
        <v/>
      </c>
      <c r="J38" s="55" t="str">
        <f>IF(Ejecucion45[[#This Row],[PC]]="","",COUNTIF(Ejecucion4[Codigo],Ejecucion45[[#This Row],[PC]]))</f>
        <v/>
      </c>
    </row>
    <row r="39" spans="1:10" ht="28.8" customHeight="1">
      <c r="A39" s="30">
        <f>ROW() - ROW(Ejecucion45[[#Headers],[Correlativo]])</f>
        <v>35</v>
      </c>
      <c r="B39" s="30" t="s">
        <v>123</v>
      </c>
      <c r="C39" s="84" t="str">
        <f>IF(B39="","",HYPERLINK("#"&amp;"Registro!B"&amp;MATCH(B39,Registro!$B$8:$B$997,0)+7,"Ubicar en registro"))</f>
        <v>Ubicar en registro</v>
      </c>
      <c r="D39" s="55" t="str">
        <f>IF(Ejecucion45[[#This Row],[No. Solicitud]]="","",_xlfn.XLOOKUP(Ejecucion45[[#This Row],[No. Solicitud]],Registro!$B$8:$B$997,Registro!$H$8:$H$997,"Sin Dato",0))</f>
        <v>Curso 5</v>
      </c>
      <c r="E39" s="160" t="s">
        <v>832</v>
      </c>
      <c r="F3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38</v>
      </c>
      <c r="I39" s="55" t="str">
        <f>IF(Ejecucion45[[#This Row],[PC]]="","",_xlfn.XLOOKUP(Ejecucion45[[#This Row],[PC]],Ejecucion[PC],Ejecucion[Grupo],"NE",0))</f>
        <v/>
      </c>
      <c r="J39" s="55" t="str">
        <f>IF(Ejecucion45[[#This Row],[PC]]="","",COUNTIF(Ejecucion4[Codigo],Ejecucion45[[#This Row],[PC]]))</f>
        <v/>
      </c>
    </row>
    <row r="40" spans="1:10" ht="28.8" customHeight="1">
      <c r="A40" s="30">
        <f>ROW() - ROW(Ejecucion45[[#Headers],[Correlativo]])</f>
        <v>36</v>
      </c>
      <c r="B40" s="1" t="s">
        <v>239</v>
      </c>
      <c r="C40" s="84" t="str">
        <f>IF(B40="","",HYPERLINK("#"&amp;"Registro!B"&amp;MATCH(B40,Registro!$B$8:$B$997,0)+7,"Ubicar en registro"))</f>
        <v>Ubicar en registro</v>
      </c>
      <c r="D40" s="55" t="str">
        <f>IF(Ejecucion45[[#This Row],[No. Solicitud]]="","",_xlfn.XLOOKUP(Ejecucion45[[#This Row],[No. Solicitud]],Registro!$B$8:$B$997,Registro!$H$8:$H$997,"Sin Dato",0))</f>
        <v>Curso 42</v>
      </c>
      <c r="E40" s="160" t="s">
        <v>833</v>
      </c>
      <c r="F4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39</v>
      </c>
      <c r="I40" s="55" t="str">
        <f>IF(Ejecucion45[[#This Row],[PC]]="","",_xlfn.XLOOKUP(Ejecucion45[[#This Row],[PC]],Ejecucion[PC],Ejecucion[Grupo],"NE",0))</f>
        <v/>
      </c>
      <c r="J40" s="55" t="str">
        <f>IF(Ejecucion45[[#This Row],[PC]]="","",COUNTIF(Ejecucion4[Codigo],Ejecucion45[[#This Row],[PC]]))</f>
        <v/>
      </c>
    </row>
    <row r="41" spans="1:10" ht="23.25" customHeight="1">
      <c r="A41" s="30">
        <f>ROW() - ROW(Ejecucion45[[#Headers],[Correlativo]])</f>
        <v>37</v>
      </c>
      <c r="B41" s="41" t="s">
        <v>242</v>
      </c>
      <c r="C41" s="84" t="str">
        <f>IF(B41="","",HYPERLINK("#"&amp;"Registro!B"&amp;MATCH(B41,Registro!$B$8:$B$997,0)+7,"Ubicar en registro"))</f>
        <v>Ubicar en registro</v>
      </c>
      <c r="D41" s="55" t="str">
        <f>IF(Ejecucion45[[#This Row],[No. Solicitud]]="","",_xlfn.XLOOKUP(Ejecucion45[[#This Row],[No. Solicitud]],Registro!$B$8:$B$997,Registro!$H$8:$H$997,"Sin Dato",0))</f>
        <v>Curso 43</v>
      </c>
      <c r="E41" s="160" t="s">
        <v>834</v>
      </c>
      <c r="F4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40</v>
      </c>
      <c r="I41" s="55" t="str">
        <f>IF(Ejecucion45[[#This Row],[PC]]="","",_xlfn.XLOOKUP(Ejecucion45[[#This Row],[PC]],Ejecucion[PC],Ejecucion[Grupo],"NE",0))</f>
        <v/>
      </c>
      <c r="J41" s="55" t="str">
        <f>IF(Ejecucion45[[#This Row],[PC]]="","",COUNTIF(Ejecucion4[Codigo],Ejecucion45[[#This Row],[PC]]))</f>
        <v/>
      </c>
    </row>
    <row r="42" spans="1:10" ht="23.25" customHeight="1">
      <c r="A42" s="30">
        <f>ROW() - ROW(Ejecucion45[[#Headers],[Correlativo]])</f>
        <v>38</v>
      </c>
      <c r="B42" s="41" t="s">
        <v>245</v>
      </c>
      <c r="C42" s="84" t="str">
        <f>IF(B42="","",HYPERLINK("#"&amp;"Registro!B"&amp;MATCH(B42,Registro!$B$8:$B$997,0)+7,"Ubicar en registro"))</f>
        <v>Ubicar en registro</v>
      </c>
      <c r="D42" s="55" t="str">
        <f>IF(Ejecucion45[[#This Row],[No. Solicitud]]="","",_xlfn.XLOOKUP(Ejecucion45[[#This Row],[No. Solicitud]],Registro!$B$8:$B$997,Registro!$H$8:$H$997,"Sin Dato",0))</f>
        <v>Curso 44</v>
      </c>
      <c r="E42" s="160" t="s">
        <v>835</v>
      </c>
      <c r="F4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41</v>
      </c>
      <c r="H42" s="81">
        <v>44101</v>
      </c>
      <c r="I42" s="55">
        <f>IF(Ejecucion45[[#This Row],[PC]]="","",_xlfn.XLOOKUP(Ejecucion45[[#This Row],[PC]],Ejecucion[PC],Ejecucion[Grupo],"NE",0))</f>
        <v>1</v>
      </c>
      <c r="J42" s="55">
        <f>IF(Ejecucion45[[#This Row],[PC]]="","",COUNTIF(Ejecucion4[Codigo],Ejecucion45[[#This Row],[PC]]))</f>
        <v>2</v>
      </c>
    </row>
    <row r="43" spans="1:10" ht="23.25" customHeight="1">
      <c r="A43" s="30">
        <f>ROW() - ROW(Ejecucion45[[#Headers],[Correlativo]])</f>
        <v>39</v>
      </c>
      <c r="B43" s="41" t="s">
        <v>247</v>
      </c>
      <c r="C43" s="84" t="str">
        <f>IF(B43="","",HYPERLINK("#"&amp;"Registro!B"&amp;MATCH(B43,Registro!$B$8:$B$997,0)+7,"Ubicar en registro"))</f>
        <v>Ubicar en registro</v>
      </c>
      <c r="D43" s="55" t="str">
        <f>IF(Ejecucion45[[#This Row],[No. Solicitud]]="","",_xlfn.XLOOKUP(Ejecucion45[[#This Row],[No. Solicitud]],Registro!$B$8:$B$997,Registro!$H$8:$H$997,"Sin Dato",0))</f>
        <v>Curso 45</v>
      </c>
      <c r="E43" s="160" t="s">
        <v>836</v>
      </c>
      <c r="F4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42</v>
      </c>
      <c r="I43" s="55" t="str">
        <f>IF(Ejecucion45[[#This Row],[PC]]="","",_xlfn.XLOOKUP(Ejecucion45[[#This Row],[PC]],Ejecucion[PC],Ejecucion[Grupo],"NE",0))</f>
        <v/>
      </c>
      <c r="J43" s="55" t="str">
        <f>IF(Ejecucion45[[#This Row],[PC]]="","",COUNTIF(Ejecucion4[Codigo],Ejecucion45[[#This Row],[PC]]))</f>
        <v/>
      </c>
    </row>
    <row r="44" spans="1:10" ht="23.25" customHeight="1">
      <c r="A44" s="30">
        <f>ROW() - ROW(Ejecucion45[[#Headers],[Correlativo]])</f>
        <v>40</v>
      </c>
      <c r="B44" s="41" t="s">
        <v>249</v>
      </c>
      <c r="C44" s="84" t="str">
        <f>IF(B44="","",HYPERLINK("#"&amp;"Registro!B"&amp;MATCH(B44,Registro!$B$8:$B$997,0)+7,"Ubicar en registro"))</f>
        <v>Ubicar en registro</v>
      </c>
      <c r="D44" s="55" t="str">
        <f>IF(Ejecucion45[[#This Row],[No. Solicitud]]="","",_xlfn.XLOOKUP(Ejecucion45[[#This Row],[No. Solicitud]],Registro!$B$8:$B$997,Registro!$H$8:$H$997,"Sin Dato",0))</f>
        <v>Curso 46</v>
      </c>
      <c r="E44" s="160" t="s">
        <v>837</v>
      </c>
      <c r="F4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43</v>
      </c>
      <c r="I44" s="55" t="str">
        <f>IF(Ejecucion45[[#This Row],[PC]]="","",_xlfn.XLOOKUP(Ejecucion45[[#This Row],[PC]],Ejecucion[PC],Ejecucion[Grupo],"NE",0))</f>
        <v/>
      </c>
      <c r="J44" s="55" t="str">
        <f>IF(Ejecucion45[[#This Row],[PC]]="","",COUNTIF(Ejecucion4[Codigo],Ejecucion45[[#This Row],[PC]]))</f>
        <v/>
      </c>
    </row>
    <row r="45" spans="1:10" ht="23.25" customHeight="1">
      <c r="A45" s="30">
        <f>ROW() - ROW(Ejecucion45[[#Headers],[Correlativo]])</f>
        <v>41</v>
      </c>
      <c r="B45" s="1" t="s">
        <v>251</v>
      </c>
      <c r="C45" s="84" t="str">
        <f>IF(B45="","",HYPERLINK("#"&amp;"Registro!B"&amp;MATCH(B45,Registro!$B$8:$B$997,0)+7,"Ubicar en registro"))</f>
        <v>Ubicar en registro</v>
      </c>
      <c r="D45" s="55" t="str">
        <f>IF(Ejecucion45[[#This Row],[No. Solicitud]]="","",_xlfn.XLOOKUP(Ejecucion45[[#This Row],[No. Solicitud]],Registro!$B$8:$B$997,Registro!$H$8:$H$997,"Sin Dato",0))</f>
        <v>Curso 47</v>
      </c>
      <c r="E45" s="160" t="s">
        <v>838</v>
      </c>
      <c r="F4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44</v>
      </c>
      <c r="I45" s="55" t="str">
        <f>IF(Ejecucion45[[#This Row],[PC]]="","",_xlfn.XLOOKUP(Ejecucion45[[#This Row],[PC]],Ejecucion[PC],Ejecucion[Grupo],"NE",0))</f>
        <v/>
      </c>
      <c r="J45" s="55" t="str">
        <f>IF(Ejecucion45[[#This Row],[PC]]="","",COUNTIF(Ejecucion4[Codigo],Ejecucion45[[#This Row],[PC]]))</f>
        <v/>
      </c>
    </row>
    <row r="46" spans="1:10" ht="23.25" customHeight="1">
      <c r="A46" s="30">
        <f>ROW() - ROW(Ejecucion45[[#Headers],[Correlativo]])</f>
        <v>42</v>
      </c>
      <c r="B46" s="1" t="s">
        <v>253</v>
      </c>
      <c r="C46" s="84" t="str">
        <f>IF(B46="","",HYPERLINK("#"&amp;"Registro!B"&amp;MATCH(B46,Registro!$B$8:$B$997,0)+7,"Ubicar en registro"))</f>
        <v>Ubicar en registro</v>
      </c>
      <c r="D46" s="55" t="str">
        <f>IF(Ejecucion45[[#This Row],[No. Solicitud]]="","",_xlfn.XLOOKUP(Ejecucion45[[#This Row],[No. Solicitud]],Registro!$B$8:$B$997,Registro!$H$8:$H$997,"Sin Dato",0))</f>
        <v>Curso 48</v>
      </c>
      <c r="E46" s="160" t="s">
        <v>839</v>
      </c>
      <c r="F4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45</v>
      </c>
      <c r="I46" s="55" t="str">
        <f>IF(Ejecucion45[[#This Row],[PC]]="","",_xlfn.XLOOKUP(Ejecucion45[[#This Row],[PC]],Ejecucion[PC],Ejecucion[Grupo],"NE",0))</f>
        <v/>
      </c>
      <c r="J46" s="55" t="str">
        <f>IF(Ejecucion45[[#This Row],[PC]]="","",COUNTIF(Ejecucion4[Codigo],Ejecucion45[[#This Row],[PC]]))</f>
        <v/>
      </c>
    </row>
    <row r="47" spans="1:10" ht="23.25" customHeight="1">
      <c r="A47" s="30">
        <f>ROW() - ROW(Ejecucion45[[#Headers],[Correlativo]])</f>
        <v>43</v>
      </c>
      <c r="B47" s="1" t="s">
        <v>255</v>
      </c>
      <c r="C47" s="84" t="str">
        <f>IF(B47="","",HYPERLINK("#"&amp;"Registro!B"&amp;MATCH(B47,Registro!$B$8:$B$997,0)+7,"Ubicar en registro"))</f>
        <v>Ubicar en registro</v>
      </c>
      <c r="D47" s="55" t="str">
        <f>IF(Ejecucion45[[#This Row],[No. Solicitud]]="","",_xlfn.XLOOKUP(Ejecucion45[[#This Row],[No. Solicitud]],Registro!$B$8:$B$997,Registro!$H$8:$H$997,"Sin Dato",0))</f>
        <v>Curso 49</v>
      </c>
      <c r="E47" s="160" t="s">
        <v>840</v>
      </c>
      <c r="F4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46</v>
      </c>
      <c r="I47" s="55" t="str">
        <f>IF(Ejecucion45[[#This Row],[PC]]="","",_xlfn.XLOOKUP(Ejecucion45[[#This Row],[PC]],Ejecucion[PC],Ejecucion[Grupo],"NE",0))</f>
        <v/>
      </c>
      <c r="J47" s="55" t="str">
        <f>IF(Ejecucion45[[#This Row],[PC]]="","",COUNTIF(Ejecucion4[Codigo],Ejecucion45[[#This Row],[PC]]))</f>
        <v/>
      </c>
    </row>
    <row r="48" spans="1:10" ht="23.25" customHeight="1">
      <c r="A48" s="30">
        <f>ROW() - ROW(Ejecucion45[[#Headers],[Correlativo]])</f>
        <v>44</v>
      </c>
      <c r="B48" s="1" t="s">
        <v>257</v>
      </c>
      <c r="C48" s="84" t="str">
        <f>IF(B48="","",HYPERLINK("#"&amp;"Registro!B"&amp;MATCH(B48,Registro!$B$8:$B$997,0)+7,"Ubicar en registro"))</f>
        <v>Ubicar en registro</v>
      </c>
      <c r="D48" s="55" t="str">
        <f>IF(Ejecucion45[[#This Row],[No. Solicitud]]="","",_xlfn.XLOOKUP(Ejecucion45[[#This Row],[No. Solicitud]],Registro!$B$8:$B$997,Registro!$H$8:$H$997,"Sin Dato",0))</f>
        <v>Curso 50</v>
      </c>
      <c r="E48" s="160" t="s">
        <v>841</v>
      </c>
      <c r="F4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47</v>
      </c>
      <c r="I48" s="55" t="str">
        <f>IF(Ejecucion45[[#This Row],[PC]]="","",_xlfn.XLOOKUP(Ejecucion45[[#This Row],[PC]],Ejecucion[PC],Ejecucion[Grupo],"NE",0))</f>
        <v/>
      </c>
      <c r="J48" s="55" t="str">
        <f>IF(Ejecucion45[[#This Row],[PC]]="","",COUNTIF(Ejecucion4[Codigo],Ejecucion45[[#This Row],[PC]]))</f>
        <v/>
      </c>
    </row>
    <row r="49" spans="1:10" ht="23.25" customHeight="1">
      <c r="A49" s="30">
        <f>ROW() - ROW(Ejecucion45[[#Headers],[Correlativo]])</f>
        <v>45</v>
      </c>
      <c r="B49" s="41" t="s">
        <v>259</v>
      </c>
      <c r="C49" s="84" t="str">
        <f>IF(B49="","",HYPERLINK("#"&amp;"Registro!B"&amp;MATCH(B49,Registro!$B$8:$B$997,0)+7,"Ubicar en registro"))</f>
        <v>Ubicar en registro</v>
      </c>
      <c r="D49" s="55" t="str">
        <f>IF(Ejecucion45[[#This Row],[No. Solicitud]]="","",_xlfn.XLOOKUP(Ejecucion45[[#This Row],[No. Solicitud]],Registro!$B$8:$B$997,Registro!$H$8:$H$997,"Sin Dato",0))</f>
        <v>Curso 51</v>
      </c>
      <c r="E49" s="160" t="s">
        <v>842</v>
      </c>
      <c r="F4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48</v>
      </c>
      <c r="I49" s="55" t="str">
        <f>IF(Ejecucion45[[#This Row],[PC]]="","",_xlfn.XLOOKUP(Ejecucion45[[#This Row],[PC]],Ejecucion[PC],Ejecucion[Grupo],"NE",0))</f>
        <v/>
      </c>
      <c r="J49" s="55" t="str">
        <f>IF(Ejecucion45[[#This Row],[PC]]="","",COUNTIF(Ejecucion4[Codigo],Ejecucion45[[#This Row],[PC]]))</f>
        <v/>
      </c>
    </row>
    <row r="50" spans="1:10" ht="23.25" customHeight="1">
      <c r="A50" s="30">
        <f>ROW() - ROW(Ejecucion45[[#Headers],[Correlativo]])</f>
        <v>46</v>
      </c>
      <c r="B50" s="156" t="s">
        <v>261</v>
      </c>
      <c r="C50" s="84" t="str">
        <f>IF(B50="","",HYPERLINK("#"&amp;"Registro!B"&amp;MATCH(B50,Registro!$B$8:$B$997,0)+7,"Ubicar en registro"))</f>
        <v>Ubicar en registro</v>
      </c>
      <c r="D50" s="55" t="str">
        <f>IF(Ejecucion45[[#This Row],[No. Solicitud]]="","",_xlfn.XLOOKUP(Ejecucion45[[#This Row],[No. Solicitud]],Registro!$B$8:$B$997,Registro!$H$8:$H$997,"Sin Dato",0))</f>
        <v>Curso 52</v>
      </c>
      <c r="E50" s="160" t="s">
        <v>843</v>
      </c>
      <c r="F5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49</v>
      </c>
      <c r="G50" s="55">
        <v>6</v>
      </c>
      <c r="H50" s="55">
        <v>41825</v>
      </c>
      <c r="I50" s="55">
        <f>IF(Ejecucion45[[#This Row],[PC]]="","",_xlfn.XLOOKUP(Ejecucion45[[#This Row],[PC]],Ejecucion[PC],Ejecucion[Grupo],"NE",0))</f>
        <v>1</v>
      </c>
      <c r="J50" s="55">
        <f>IF(Ejecucion45[[#This Row],[PC]]="","",COUNTIF(Ejecucion4[Codigo],Ejecucion45[[#This Row],[PC]]))</f>
        <v>2</v>
      </c>
    </row>
    <row r="51" spans="1:10" ht="28.8" customHeight="1">
      <c r="A51" s="30">
        <f>ROW() - ROW(Ejecucion45[[#Headers],[Correlativo]])</f>
        <v>47</v>
      </c>
      <c r="B51" s="24" t="s">
        <v>261</v>
      </c>
      <c r="C51" s="153" t="str">
        <f>IF(B51="","",HYPERLINK("#"&amp;"Registro!B"&amp;MATCH(B51,Registro!$B$8:$B$997,0)+7,"Ubicar en registro"))</f>
        <v>Ubicar en registro</v>
      </c>
      <c r="D51" s="55" t="str">
        <f>IF(Ejecucion45[[#This Row],[No. Solicitud]]="","",_xlfn.XLOOKUP(Ejecucion45[[#This Row],[No. Solicitud]],Registro!$B$8:$B$997,Registro!$H$8:$H$997,"Sin Dato",0))</f>
        <v>Curso 52</v>
      </c>
      <c r="E51" s="160" t="s">
        <v>844</v>
      </c>
      <c r="F5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50</v>
      </c>
      <c r="G51" s="55">
        <v>6</v>
      </c>
      <c r="H51" s="55">
        <v>41825</v>
      </c>
      <c r="I51" s="55">
        <f>IF(Ejecucion45[[#This Row],[PC]]="","",_xlfn.XLOOKUP(Ejecucion45[[#This Row],[PC]],Ejecucion[PC],Ejecucion[Grupo],"NE",0))</f>
        <v>1</v>
      </c>
      <c r="J51" s="55">
        <f>IF(Ejecucion45[[#This Row],[PC]]="","",COUNTIF(Ejecucion4[Codigo],Ejecucion45[[#This Row],[PC]]))</f>
        <v>2</v>
      </c>
    </row>
    <row r="52" spans="1:10" ht="28.8" customHeight="1">
      <c r="A52" s="30">
        <f>ROW() - ROW(Ejecucion45[[#Headers],[Correlativo]])</f>
        <v>48</v>
      </c>
      <c r="B52" s="24" t="s">
        <v>266</v>
      </c>
      <c r="C52" s="84" t="str">
        <f>IF(B52="","",HYPERLINK("#"&amp;"Registro!B"&amp;MATCH(B52,Registro!$B$8:$B$997,0)+7,"Ubicar en registro"))</f>
        <v>Ubicar en registro</v>
      </c>
      <c r="D52" s="55" t="str">
        <f>IF(Ejecucion45[[#This Row],[No. Solicitud]]="","",_xlfn.XLOOKUP(Ejecucion45[[#This Row],[No. Solicitud]],Registro!$B$8:$B$997,Registro!$H$8:$H$997,"Sin Dato",0))</f>
        <v>Curso 53</v>
      </c>
      <c r="E52" s="160" t="s">
        <v>845</v>
      </c>
      <c r="F5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51</v>
      </c>
      <c r="I52" s="55" t="str">
        <f>IF(Ejecucion45[[#This Row],[PC]]="","",_xlfn.XLOOKUP(Ejecucion45[[#This Row],[PC]],Ejecucion[PC],Ejecucion[Grupo],"NE",0))</f>
        <v/>
      </c>
      <c r="J52" s="55" t="str">
        <f>IF(Ejecucion45[[#This Row],[PC]]="","",COUNTIF(Ejecucion4[Codigo],Ejecucion45[[#This Row],[PC]]))</f>
        <v/>
      </c>
    </row>
    <row r="53" spans="1:10" ht="28.8" customHeight="1">
      <c r="A53" s="30">
        <f>ROW() - ROW(Ejecucion45[[#Headers],[Correlativo]])</f>
        <v>49</v>
      </c>
      <c r="B53" s="24" t="s">
        <v>266</v>
      </c>
      <c r="C53" s="84" t="str">
        <f>IF(B53="","",HYPERLINK("#"&amp;"Registro!B"&amp;MATCH(B53,Registro!$B$8:$B$997,0)+7,"Ubicar en registro"))</f>
        <v>Ubicar en registro</v>
      </c>
      <c r="D53" s="55" t="str">
        <f>IF(Ejecucion45[[#This Row],[No. Solicitud]]="","",_xlfn.XLOOKUP(Ejecucion45[[#This Row],[No. Solicitud]],Registro!$B$8:$B$997,Registro!$H$8:$H$997,"Sin Dato",0))</f>
        <v>Curso 53</v>
      </c>
      <c r="E53" s="160" t="s">
        <v>846</v>
      </c>
      <c r="F5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52</v>
      </c>
      <c r="I53" s="55" t="str">
        <f>IF(Ejecucion45[[#This Row],[PC]]="","",_xlfn.XLOOKUP(Ejecucion45[[#This Row],[PC]],Ejecucion[PC],Ejecucion[Grupo],"NE",0))</f>
        <v/>
      </c>
      <c r="J53" s="55" t="str">
        <f>IF(Ejecucion45[[#This Row],[PC]]="","",COUNTIF(Ejecucion4[Codigo],Ejecucion45[[#This Row],[PC]]))</f>
        <v/>
      </c>
    </row>
    <row r="54" spans="1:10" ht="28.8" customHeight="1">
      <c r="A54" s="30">
        <f>ROW() - ROW(Ejecucion45[[#Headers],[Correlativo]])</f>
        <v>50</v>
      </c>
      <c r="B54" s="24" t="s">
        <v>269</v>
      </c>
      <c r="C54" s="84" t="str">
        <f>IF(B54="","",HYPERLINK("#"&amp;"Registro!B"&amp;MATCH(B54,Registro!$B$8:$B$997,0)+7,"Ubicar en registro"))</f>
        <v>Ubicar en registro</v>
      </c>
      <c r="D54" s="55" t="str">
        <f>IF(Ejecucion45[[#This Row],[No. Solicitud]]="","",_xlfn.XLOOKUP(Ejecucion45[[#This Row],[No. Solicitud]],Registro!$B$8:$B$997,Registro!$H$8:$H$997,"Sin Dato",0))</f>
        <v>Curso 54</v>
      </c>
      <c r="E54" s="160" t="s">
        <v>847</v>
      </c>
      <c r="F5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53</v>
      </c>
      <c r="I54" s="55" t="str">
        <f>IF(Ejecucion45[[#This Row],[PC]]="","",_xlfn.XLOOKUP(Ejecucion45[[#This Row],[PC]],Ejecucion[PC],Ejecucion[Grupo],"NE",0))</f>
        <v/>
      </c>
      <c r="J54" s="55" t="str">
        <f>IF(Ejecucion45[[#This Row],[PC]]="","",COUNTIF(Ejecucion4[Codigo],Ejecucion45[[#This Row],[PC]]))</f>
        <v/>
      </c>
    </row>
    <row r="55" spans="1:10" ht="28.8" customHeight="1">
      <c r="A55" s="30">
        <f>ROW() - ROW(Ejecucion45[[#Headers],[Correlativo]])</f>
        <v>51</v>
      </c>
      <c r="B55" s="24" t="s">
        <v>269</v>
      </c>
      <c r="C55" s="84" t="str">
        <f>IF(B55="","",HYPERLINK("#"&amp;"Registro!B"&amp;MATCH(B55,Registro!$B$8:$B$997,0)+7,"Ubicar en registro"))</f>
        <v>Ubicar en registro</v>
      </c>
      <c r="D55" s="55" t="str">
        <f>IF(Ejecucion45[[#This Row],[No. Solicitud]]="","",_xlfn.XLOOKUP(Ejecucion45[[#This Row],[No. Solicitud]],Registro!$B$8:$B$997,Registro!$H$8:$H$997,"Sin Dato",0))</f>
        <v>Curso 54</v>
      </c>
      <c r="E55" s="117" t="s">
        <v>848</v>
      </c>
      <c r="F5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54</v>
      </c>
      <c r="I55" s="55" t="str">
        <f>IF(Ejecucion45[[#This Row],[PC]]="","",_xlfn.XLOOKUP(Ejecucion45[[#This Row],[PC]],Ejecucion[PC],Ejecucion[Grupo],"NE",0))</f>
        <v/>
      </c>
      <c r="J55" s="55" t="str">
        <f>IF(Ejecucion45[[#This Row],[PC]]="","",COUNTIF(Ejecucion4[Codigo],Ejecucion45[[#This Row],[PC]]))</f>
        <v/>
      </c>
    </row>
    <row r="56" spans="1:10" ht="28.8" customHeight="1">
      <c r="A56" s="30">
        <f>ROW() - ROW(Ejecucion45[[#Headers],[Correlativo]])</f>
        <v>52</v>
      </c>
      <c r="B56" s="24" t="s">
        <v>274</v>
      </c>
      <c r="C56" s="84" t="str">
        <f>IF(B56="","",HYPERLINK("#"&amp;"Registro!B"&amp;MATCH(B56,Registro!$B$8:$B$997,0)+7,"Ubicar en registro"))</f>
        <v>Ubicar en registro</v>
      </c>
      <c r="D56" s="55" t="str">
        <f>IF(Ejecucion45[[#This Row],[No. Solicitud]]="","",_xlfn.XLOOKUP(Ejecucion45[[#This Row],[No. Solicitud]],Registro!$B$8:$B$997,Registro!$H$8:$H$997,"Sin Dato",0))</f>
        <v>Curso 55</v>
      </c>
      <c r="E56" s="160" t="s">
        <v>849</v>
      </c>
      <c r="F5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55</v>
      </c>
      <c r="G56" s="55">
        <v>3</v>
      </c>
      <c r="H56" s="55">
        <v>42460</v>
      </c>
      <c r="I56" s="55">
        <f>IF(Ejecucion45[[#This Row],[PC]]="","",_xlfn.XLOOKUP(Ejecucion45[[#This Row],[PC]],Ejecucion[PC],Ejecucion[Grupo],"NE",0))</f>
        <v>1</v>
      </c>
      <c r="J56" s="55">
        <f>IF(Ejecucion45[[#This Row],[PC]]="","",COUNTIF(Ejecucion4[Codigo],Ejecucion45[[#This Row],[PC]]))</f>
        <v>1</v>
      </c>
    </row>
    <row r="57" spans="1:10" ht="28.8" customHeight="1">
      <c r="A57" s="30">
        <f>ROW() - ROW(Ejecucion45[[#Headers],[Correlativo]])</f>
        <v>53</v>
      </c>
      <c r="B57" s="24" t="s">
        <v>281</v>
      </c>
      <c r="C57" s="84" t="str">
        <f>IF(B57="","",HYPERLINK("#"&amp;"Registro!B"&amp;MATCH(B57,Registro!$B$8:$B$997,0)+7,"Ubicar en registro"))</f>
        <v>Ubicar en registro</v>
      </c>
      <c r="D57" s="55" t="str">
        <f>IF(Ejecucion45[[#This Row],[No. Solicitud]]="","",_xlfn.XLOOKUP(Ejecucion45[[#This Row],[No. Solicitud]],Registro!$B$8:$B$997,Registro!$H$8:$H$997,"Sin Dato",0))</f>
        <v>Curso 57</v>
      </c>
      <c r="E57" s="160" t="s">
        <v>850</v>
      </c>
      <c r="F5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56</v>
      </c>
      <c r="G57" s="55">
        <v>7</v>
      </c>
      <c r="H57" s="214">
        <v>42460</v>
      </c>
      <c r="I57" s="55">
        <f>IF(Ejecucion45[[#This Row],[PC]]="","",_xlfn.XLOOKUP(Ejecucion45[[#This Row],[PC]],Ejecucion[PC],Ejecucion[Grupo],"NE",0))</f>
        <v>1</v>
      </c>
      <c r="J57" s="55">
        <f>IF(Ejecucion45[[#This Row],[PC]]="","",COUNTIF(Ejecucion4[Codigo],Ejecucion45[[#This Row],[PC]]))</f>
        <v>1</v>
      </c>
    </row>
    <row r="58" spans="1:10" ht="28.8" customHeight="1">
      <c r="A58" s="30">
        <f>ROW() - ROW(Ejecucion45[[#Headers],[Correlativo]])</f>
        <v>54</v>
      </c>
      <c r="B58" s="30" t="s">
        <v>288</v>
      </c>
      <c r="C58" s="84" t="str">
        <f>IF(B58="","",HYPERLINK("#"&amp;"Registro!B"&amp;MATCH(B58,Registro!$B$8:$B$997,0)+7,"Ubicar en registro"))</f>
        <v>Ubicar en registro</v>
      </c>
      <c r="D58" s="55" t="str">
        <f>IF(Ejecucion45[[#This Row],[No. Solicitud]]="","",_xlfn.XLOOKUP(Ejecucion45[[#This Row],[No. Solicitud]],Registro!$B$8:$B$997,Registro!$H$8:$H$997,"Sin Dato",0))</f>
        <v>Curso 59</v>
      </c>
      <c r="E58" s="160" t="s">
        <v>851</v>
      </c>
      <c r="F5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57</v>
      </c>
      <c r="G58" s="55">
        <v>8</v>
      </c>
      <c r="H58" s="55">
        <v>42674</v>
      </c>
      <c r="I58" s="55">
        <f>IF(Ejecucion45[[#This Row],[PC]]="","",_xlfn.XLOOKUP(Ejecucion45[[#This Row],[PC]],Ejecucion[PC],Ejecucion[Grupo],"NE",0))</f>
        <v>1</v>
      </c>
      <c r="J58" s="55">
        <f>IF(Ejecucion45[[#This Row],[PC]]="","",COUNTIF(Ejecucion4[Codigo],Ejecucion45[[#This Row],[PC]]))</f>
        <v>2</v>
      </c>
    </row>
    <row r="59" spans="1:10" ht="28.8" customHeight="1">
      <c r="A59" s="30">
        <f>ROW() - ROW(Ejecucion45[[#Headers],[Correlativo]])</f>
        <v>55</v>
      </c>
      <c r="B59" s="30" t="s">
        <v>288</v>
      </c>
      <c r="C59" s="153" t="str">
        <f>IF(B59="","",HYPERLINK("#"&amp;"Registro!B"&amp;MATCH(B59,Registro!$B$8:$B$997,0)+7,"Ubicar en registro"))</f>
        <v>Ubicar en registro</v>
      </c>
      <c r="D59" s="55" t="str">
        <f>IF(Ejecucion45[[#This Row],[No. Solicitud]]="","",_xlfn.XLOOKUP(Ejecucion45[[#This Row],[No. Solicitud]],Registro!$B$8:$B$997,Registro!$H$8:$H$997,"Sin Dato",0))</f>
        <v>Curso 59</v>
      </c>
      <c r="E59" s="160" t="s">
        <v>852</v>
      </c>
      <c r="F5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58</v>
      </c>
      <c r="G59" s="55">
        <v>8</v>
      </c>
      <c r="H59" s="55">
        <v>42698</v>
      </c>
      <c r="I59" s="55">
        <f>IF(Ejecucion45[[#This Row],[PC]]="","",_xlfn.XLOOKUP(Ejecucion45[[#This Row],[PC]],Ejecucion[PC],Ejecucion[Grupo],"NE",0))</f>
        <v>2</v>
      </c>
      <c r="J59" s="55">
        <f>IF(Ejecucion45[[#This Row],[PC]]="","",COUNTIF(Ejecucion4[Codigo],Ejecucion45[[#This Row],[PC]]))</f>
        <v>2</v>
      </c>
    </row>
    <row r="60" spans="1:10" ht="28.8" customHeight="1">
      <c r="A60" s="30">
        <f>ROW() - ROW(Ejecucion45[[#Headers],[Correlativo]])</f>
        <v>56</v>
      </c>
      <c r="B60" s="30" t="s">
        <v>288</v>
      </c>
      <c r="C60" s="153" t="str">
        <f>IF(B60="","",HYPERLINK("#"&amp;"Registro!B"&amp;MATCH(B60,Registro!$B$8:$B$997,0)+7,"Ubicar en registro"))</f>
        <v>Ubicar en registro</v>
      </c>
      <c r="D60" s="55" t="str">
        <f>IF(Ejecucion45[[#This Row],[No. Solicitud]]="","",_xlfn.XLOOKUP(Ejecucion45[[#This Row],[No. Solicitud]],Registro!$B$8:$B$997,Registro!$H$8:$H$997,"Sin Dato",0))</f>
        <v>Curso 59</v>
      </c>
      <c r="E60" s="160" t="s">
        <v>853</v>
      </c>
      <c r="F6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59</v>
      </c>
      <c r="G60" s="55">
        <v>8</v>
      </c>
      <c r="H60" s="55">
        <v>42857</v>
      </c>
      <c r="I60" s="55">
        <f>IF(Ejecucion45[[#This Row],[PC]]="","",_xlfn.XLOOKUP(Ejecucion45[[#This Row],[PC]],Ejecucion[PC],Ejecucion[Grupo],"NE",0))</f>
        <v>3</v>
      </c>
      <c r="J60" s="55">
        <f>IF(Ejecucion45[[#This Row],[PC]]="","",COUNTIF(Ejecucion4[Codigo],Ejecucion45[[#This Row],[PC]]))</f>
        <v>2</v>
      </c>
    </row>
    <row r="61" spans="1:10" ht="28.8" customHeight="1">
      <c r="A61" s="30">
        <f>ROW() - ROW(Ejecucion45[[#Headers],[Correlativo]])</f>
        <v>57</v>
      </c>
      <c r="B61" s="100" t="s">
        <v>292</v>
      </c>
      <c r="C61" s="84" t="str">
        <f>IF(B61="","",HYPERLINK("#"&amp;"Registro!B"&amp;MATCH(B61,Registro!$B$8:$B$997,0)+7,"Ubicar en registro"))</f>
        <v>Ubicar en registro</v>
      </c>
      <c r="D61" s="55" t="str">
        <f>IF(Ejecucion45[[#This Row],[No. Solicitud]]="","",_xlfn.XLOOKUP(Ejecucion45[[#This Row],[No. Solicitud]],Registro!$B$8:$B$997,Registro!$H$8:$H$997,"Sin Dato",0))</f>
        <v>Curso 60</v>
      </c>
      <c r="E61" s="160" t="s">
        <v>854</v>
      </c>
      <c r="F6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60</v>
      </c>
      <c r="G61" s="55">
        <v>4</v>
      </c>
      <c r="H61" s="214">
        <v>42870</v>
      </c>
      <c r="I61" s="55">
        <f>IF(Ejecucion45[[#This Row],[PC]]="","",_xlfn.XLOOKUP(Ejecucion45[[#This Row],[PC]],Ejecucion[PC],Ejecucion[Grupo],"NE",0))</f>
        <v>1</v>
      </c>
      <c r="J61" s="55">
        <f>IF(Ejecucion45[[#This Row],[PC]]="","",COUNTIF(Ejecucion4[Codigo],Ejecucion45[[#This Row],[PC]]))</f>
        <v>2</v>
      </c>
    </row>
    <row r="62" spans="1:10" ht="28.8" customHeight="1">
      <c r="A62" s="30">
        <f>ROW() - ROW(Ejecucion45[[#Headers],[Correlativo]])</f>
        <v>58</v>
      </c>
      <c r="B62" s="100" t="s">
        <v>292</v>
      </c>
      <c r="C62" s="153" t="str">
        <f>IF(B62="","",HYPERLINK("#"&amp;"Registro!B"&amp;MATCH(B62,Registro!$B$8:$B$997,0)+7,"Ubicar en registro"))</f>
        <v>Ubicar en registro</v>
      </c>
      <c r="D62" s="55" t="str">
        <f>IF(Ejecucion45[[#This Row],[No. Solicitud]]="","",_xlfn.XLOOKUP(Ejecucion45[[#This Row],[No. Solicitud]],Registro!$B$8:$B$997,Registro!$H$8:$H$997,"Sin Dato",0))</f>
        <v>Curso 60</v>
      </c>
      <c r="E62" s="160" t="s">
        <v>855</v>
      </c>
      <c r="F6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61</v>
      </c>
      <c r="G62" s="55">
        <v>4</v>
      </c>
      <c r="H62" s="214">
        <v>42977</v>
      </c>
      <c r="I62" s="55">
        <f>IF(Ejecucion45[[#This Row],[PC]]="","",_xlfn.XLOOKUP(Ejecucion45[[#This Row],[PC]],Ejecucion[PC],Ejecucion[Grupo],"NE",0))</f>
        <v>2</v>
      </c>
      <c r="J62" s="55">
        <f>IF(Ejecucion45[[#This Row],[PC]]="","",COUNTIF(Ejecucion4[Codigo],Ejecucion45[[#This Row],[PC]]))</f>
        <v>1</v>
      </c>
    </row>
    <row r="63" spans="1:10" ht="28.8" customHeight="1">
      <c r="A63" s="30">
        <f>ROW() - ROW(Ejecucion45[[#Headers],[Correlativo]])</f>
        <v>59</v>
      </c>
      <c r="B63" s="100" t="s">
        <v>292</v>
      </c>
      <c r="C63" s="153" t="str">
        <f>IF(B63="","",HYPERLINK("#"&amp;"Registro!B"&amp;MATCH(B63,Registro!$B$8:$B$997,0)+7,"Ubicar en registro"))</f>
        <v>Ubicar en registro</v>
      </c>
      <c r="D63" s="55" t="str">
        <f>IF(Ejecucion45[[#This Row],[No. Solicitud]]="","",_xlfn.XLOOKUP(Ejecucion45[[#This Row],[No. Solicitud]],Registro!$B$8:$B$997,Registro!$H$8:$H$997,"Sin Dato",0))</f>
        <v>Curso 60</v>
      </c>
      <c r="E63" s="160" t="s">
        <v>856</v>
      </c>
      <c r="F6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62</v>
      </c>
      <c r="G63" s="55">
        <v>8</v>
      </c>
      <c r="H63" s="214">
        <v>43056</v>
      </c>
      <c r="I63" s="55">
        <f>IF(Ejecucion45[[#This Row],[PC]]="","",_xlfn.XLOOKUP(Ejecucion45[[#This Row],[PC]],Ejecucion[PC],Ejecucion[Grupo],"NE",0))</f>
        <v>3</v>
      </c>
      <c r="J63" s="55">
        <f>IF(Ejecucion45[[#This Row],[PC]]="","",COUNTIF(Ejecucion4[Codigo],Ejecucion45[[#This Row],[PC]]))</f>
        <v>1</v>
      </c>
    </row>
    <row r="64" spans="1:10" ht="28.8" customHeight="1">
      <c r="A64" s="30">
        <f>ROW() - ROW(Ejecucion45[[#Headers],[Correlativo]])</f>
        <v>60</v>
      </c>
      <c r="B64" s="100" t="s">
        <v>292</v>
      </c>
      <c r="C64" s="153" t="str">
        <f>IF(B64="","",HYPERLINK("#"&amp;"Registro!B"&amp;MATCH(B64,Registro!$B$8:$B$997,0)+7,"Ubicar en registro"))</f>
        <v>Ubicar en registro</v>
      </c>
      <c r="D64" s="55" t="str">
        <f>IF(Ejecucion45[[#This Row],[No. Solicitud]]="","",_xlfn.XLOOKUP(Ejecucion45[[#This Row],[No. Solicitud]],Registro!$B$8:$B$997,Registro!$H$8:$H$997,"Sin Dato",0))</f>
        <v>Curso 60</v>
      </c>
      <c r="E64" s="160" t="s">
        <v>857</v>
      </c>
      <c r="F6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63</v>
      </c>
      <c r="G64" s="55">
        <v>8</v>
      </c>
      <c r="H64" s="214">
        <v>43091</v>
      </c>
      <c r="I64" s="55">
        <f>IF(Ejecucion45[[#This Row],[PC]]="","",_xlfn.XLOOKUP(Ejecucion45[[#This Row],[PC]],Ejecucion[PC],Ejecucion[Grupo],"NE",0))</f>
        <v>4</v>
      </c>
      <c r="J64" s="55">
        <f>IF(Ejecucion45[[#This Row],[PC]]="","",COUNTIF(Ejecucion4[Codigo],Ejecucion45[[#This Row],[PC]]))</f>
        <v>2</v>
      </c>
    </row>
    <row r="65" spans="1:10" ht="28.8" customHeight="1">
      <c r="A65" s="30">
        <f>ROW() - ROW(Ejecucion45[[#Headers],[Correlativo]])</f>
        <v>61</v>
      </c>
      <c r="B65" s="100" t="s">
        <v>292</v>
      </c>
      <c r="C65" s="153" t="str">
        <f>IF(B65="","",HYPERLINK("#"&amp;"Registro!B"&amp;MATCH(B65,Registro!$B$8:$B$997,0)+7,"Ubicar en registro"))</f>
        <v>Ubicar en registro</v>
      </c>
      <c r="D65" s="55" t="str">
        <f>IF(Ejecucion45[[#This Row],[No. Solicitud]]="","",_xlfn.XLOOKUP(Ejecucion45[[#This Row],[No. Solicitud]],Registro!$B$8:$B$997,Registro!$H$8:$H$997,"Sin Dato",0))</f>
        <v>Curso 60</v>
      </c>
      <c r="E65" s="160" t="s">
        <v>858</v>
      </c>
      <c r="F6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64</v>
      </c>
      <c r="G65" s="55">
        <v>4</v>
      </c>
      <c r="H65" s="158">
        <v>43091</v>
      </c>
      <c r="I65" s="55">
        <f>IF(Ejecucion45[[#This Row],[PC]]="","",_xlfn.XLOOKUP(Ejecucion45[[#This Row],[PC]],Ejecucion[PC],Ejecucion[Grupo],"NE",0))</f>
        <v>4</v>
      </c>
      <c r="J65" s="55">
        <f>IF(Ejecucion45[[#This Row],[PC]]="","",COUNTIF(Ejecucion4[Codigo],Ejecucion45[[#This Row],[PC]]))</f>
        <v>2</v>
      </c>
    </row>
    <row r="66" spans="1:10" ht="28.8" customHeight="1">
      <c r="A66" s="30">
        <f>ROW() - ROW(Ejecucion45[[#Headers],[Correlativo]])</f>
        <v>62</v>
      </c>
      <c r="B66" s="100" t="s">
        <v>292</v>
      </c>
      <c r="C66" s="153" t="str">
        <f>IF(B66="","",HYPERLINK("#"&amp;"Registro!B"&amp;MATCH(B66,Registro!$B$8:$B$997,0)+7,"Ubicar en registro"))</f>
        <v>Ubicar en registro</v>
      </c>
      <c r="D66" s="55" t="str">
        <f>IF(Ejecucion45[[#This Row],[No. Solicitud]]="","",_xlfn.XLOOKUP(Ejecucion45[[#This Row],[No. Solicitud]],Registro!$B$8:$B$997,Registro!$H$8:$H$997,"Sin Dato",0))</f>
        <v>Curso 60</v>
      </c>
      <c r="E66" s="160" t="s">
        <v>859</v>
      </c>
      <c r="F6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65</v>
      </c>
      <c r="G66" s="55">
        <v>4</v>
      </c>
      <c r="H66" s="158">
        <v>43091</v>
      </c>
      <c r="I66" s="55">
        <f>IF(Ejecucion45[[#This Row],[PC]]="","",_xlfn.XLOOKUP(Ejecucion45[[#This Row],[PC]],Ejecucion[PC],Ejecucion[Grupo],"NE",0))</f>
        <v>4</v>
      </c>
      <c r="J66" s="55">
        <f>IF(Ejecucion45[[#This Row],[PC]]="","",COUNTIF(Ejecucion4[Codigo],Ejecucion45[[#This Row],[PC]]))</f>
        <v>2</v>
      </c>
    </row>
    <row r="67" spans="1:10" ht="28.8" customHeight="1">
      <c r="A67" s="30">
        <f>ROW() - ROW(Ejecucion45[[#Headers],[Correlativo]])</f>
        <v>63</v>
      </c>
      <c r="B67" s="24" t="s">
        <v>296</v>
      </c>
      <c r="C67" s="84" t="str">
        <f>IF(B67="","",HYPERLINK("#"&amp;"Registro!B"&amp;MATCH(B67,Registro!$B$8:$B$997,0)+7,"Ubicar en registro"))</f>
        <v>Ubicar en registro</v>
      </c>
      <c r="D67" s="55" t="str">
        <f>IF(Ejecucion45[[#This Row],[No. Solicitud]]="","",_xlfn.XLOOKUP(Ejecucion45[[#This Row],[No. Solicitud]],Registro!$B$8:$B$997,Registro!$H$8:$H$997,"Sin Dato",0))</f>
        <v>Curso 61</v>
      </c>
      <c r="E67" s="117" t="s">
        <v>860</v>
      </c>
      <c r="F6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66</v>
      </c>
      <c r="I67" s="55" t="str">
        <f>IF(Ejecucion45[[#This Row],[PC]]="","",_xlfn.XLOOKUP(Ejecucion45[[#This Row],[PC]],Ejecucion[PC],Ejecucion[Grupo],"NE",0))</f>
        <v/>
      </c>
      <c r="J67" s="55" t="str">
        <f>IF(Ejecucion45[[#This Row],[PC]]="","",COUNTIF(Ejecucion4[Codigo],Ejecucion45[[#This Row],[PC]]))</f>
        <v/>
      </c>
    </row>
    <row r="68" spans="1:10" ht="28.8" customHeight="1">
      <c r="A68" s="30">
        <f>ROW() - ROW(Ejecucion45[[#Headers],[Correlativo]])</f>
        <v>64</v>
      </c>
      <c r="B68" s="24" t="s">
        <v>296</v>
      </c>
      <c r="C68" s="84" t="str">
        <f>IF(B68="","",HYPERLINK("#"&amp;"Registro!B"&amp;MATCH(B68,Registro!$B$8:$B$997,0)+7,"Ubicar en registro"))</f>
        <v>Ubicar en registro</v>
      </c>
      <c r="D68" s="55" t="str">
        <f>IF(Ejecucion45[[#This Row],[No. Solicitud]]="","",_xlfn.XLOOKUP(Ejecucion45[[#This Row],[No. Solicitud]],Registro!$B$8:$B$997,Registro!$H$8:$H$997,"Sin Dato",0))</f>
        <v>Curso 61</v>
      </c>
      <c r="E68" s="117" t="s">
        <v>861</v>
      </c>
      <c r="F6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67</v>
      </c>
      <c r="I68" s="55" t="str">
        <f>IF(Ejecucion45[[#This Row],[PC]]="","",_xlfn.XLOOKUP(Ejecucion45[[#This Row],[PC]],Ejecucion[PC],Ejecucion[Grupo],"NE",0))</f>
        <v/>
      </c>
      <c r="J68" s="55" t="str">
        <f>IF(Ejecucion45[[#This Row],[PC]]="","",COUNTIF(Ejecucion4[Codigo],Ejecucion45[[#This Row],[PC]]))</f>
        <v/>
      </c>
    </row>
    <row r="69" spans="1:10" ht="28.8" customHeight="1">
      <c r="A69" s="30">
        <f>ROW() - ROW(Ejecucion45[[#Headers],[Correlativo]])</f>
        <v>65</v>
      </c>
      <c r="B69" s="24" t="s">
        <v>296</v>
      </c>
      <c r="C69" s="84" t="str">
        <f>IF(B69="","",HYPERLINK("#"&amp;"Registro!B"&amp;MATCH(B69,Registro!$B$8:$B$997,0)+7,"Ubicar en registro"))</f>
        <v>Ubicar en registro</v>
      </c>
      <c r="D69" s="55" t="str">
        <f>IF(Ejecucion45[[#This Row],[No. Solicitud]]="","",_xlfn.XLOOKUP(Ejecucion45[[#This Row],[No. Solicitud]],Registro!$B$8:$B$997,Registro!$H$8:$H$997,"Sin Dato",0))</f>
        <v>Curso 61</v>
      </c>
      <c r="E69" s="117" t="s">
        <v>862</v>
      </c>
      <c r="F6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68</v>
      </c>
      <c r="I69" s="55" t="str">
        <f>IF(Ejecucion45[[#This Row],[PC]]="","",_xlfn.XLOOKUP(Ejecucion45[[#This Row],[PC]],Ejecucion[PC],Ejecucion[Grupo],"NE",0))</f>
        <v/>
      </c>
      <c r="J69" s="55" t="str">
        <f>IF(Ejecucion45[[#This Row],[PC]]="","",COUNTIF(Ejecucion4[Codigo],Ejecucion45[[#This Row],[PC]]))</f>
        <v/>
      </c>
    </row>
    <row r="70" spans="1:10" ht="28.8" customHeight="1">
      <c r="A70" s="30">
        <f>ROW() - ROW(Ejecucion45[[#Headers],[Correlativo]])</f>
        <v>66</v>
      </c>
      <c r="B70" s="156" t="s">
        <v>299</v>
      </c>
      <c r="C70" s="84" t="str">
        <f>IF(B70="","",HYPERLINK("#"&amp;"Registro!B"&amp;MATCH(B70,Registro!$B$8:$B$997,0)+7,"Ubicar en registro"))</f>
        <v>Ubicar en registro</v>
      </c>
      <c r="D70" s="55" t="str">
        <f>IF(Ejecucion45[[#This Row],[No. Solicitud]]="","",_xlfn.XLOOKUP(Ejecucion45[[#This Row],[No. Solicitud]],Registro!$B$8:$B$997,Registro!$H$8:$H$997,"Sin Dato",0))</f>
        <v>Curso 62</v>
      </c>
      <c r="E70" s="160" t="s">
        <v>863</v>
      </c>
      <c r="F7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69</v>
      </c>
      <c r="G70" s="55">
        <v>4</v>
      </c>
      <c r="H70" s="55">
        <v>42537</v>
      </c>
      <c r="I70" s="55">
        <f>IF(Ejecucion45[[#This Row],[PC]]="","",_xlfn.XLOOKUP(Ejecucion45[[#This Row],[PC]],Ejecucion[PC],Ejecucion[Grupo],"NE",0))</f>
        <v>1</v>
      </c>
      <c r="J70" s="55">
        <f>IF(Ejecucion45[[#This Row],[PC]]="","",COUNTIF(Ejecucion4[Codigo],Ejecucion45[[#This Row],[PC]]))</f>
        <v>1</v>
      </c>
    </row>
    <row r="71" spans="1:10" ht="28.8" customHeight="1">
      <c r="A71" s="30">
        <f>ROW() - ROW(Ejecucion45[[#Headers],[Correlativo]])</f>
        <v>67</v>
      </c>
      <c r="B71" s="156" t="s">
        <v>299</v>
      </c>
      <c r="C71" s="84" t="str">
        <f>IF(B71="","",HYPERLINK("#"&amp;"Registro!B"&amp;MATCH(B71,Registro!$B$8:$B$997,0)+7,"Ubicar en registro"))</f>
        <v>Ubicar en registro</v>
      </c>
      <c r="D71" s="55" t="str">
        <f>IF(Ejecucion45[[#This Row],[No. Solicitud]]="","",_xlfn.XLOOKUP(Ejecucion45[[#This Row],[No. Solicitud]],Registro!$B$8:$B$997,Registro!$H$8:$H$997,"Sin Dato",0))</f>
        <v>Curso 62</v>
      </c>
      <c r="E71" s="160" t="s">
        <v>864</v>
      </c>
      <c r="F7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70</v>
      </c>
      <c r="G71" s="55">
        <v>4</v>
      </c>
      <c r="H71" s="214">
        <v>42537</v>
      </c>
      <c r="I71" s="55">
        <f>IF(Ejecucion45[[#This Row],[PC]]="","",_xlfn.XLOOKUP(Ejecucion45[[#This Row],[PC]],Ejecucion[PC],Ejecucion[Grupo],"NE",0))</f>
        <v>1</v>
      </c>
      <c r="J71" s="55">
        <f>IF(Ejecucion45[[#This Row],[PC]]="","",COUNTIF(Ejecucion4[Codigo],Ejecucion45[[#This Row],[PC]]))</f>
        <v>1</v>
      </c>
    </row>
    <row r="72" spans="1:10" ht="28.8" customHeight="1">
      <c r="A72" s="30">
        <f>ROW() - ROW(Ejecucion45[[#Headers],[Correlativo]])</f>
        <v>68</v>
      </c>
      <c r="B72" s="156" t="s">
        <v>299</v>
      </c>
      <c r="C72" s="84" t="str">
        <f>IF(B72="","",HYPERLINK("#"&amp;"Registro!B"&amp;MATCH(B72,Registro!$B$8:$B$997,0)+7,"Ubicar en registro"))</f>
        <v>Ubicar en registro</v>
      </c>
      <c r="D72" s="55" t="str">
        <f>IF(Ejecucion45[[#This Row],[No. Solicitud]]="","",_xlfn.XLOOKUP(Ejecucion45[[#This Row],[No. Solicitud]],Registro!$B$8:$B$997,Registro!$H$8:$H$997,"Sin Dato",0))</f>
        <v>Curso 62</v>
      </c>
      <c r="E72" s="160" t="s">
        <v>865</v>
      </c>
      <c r="F7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71</v>
      </c>
      <c r="G72" s="55">
        <v>4</v>
      </c>
      <c r="H72" s="81">
        <v>42538</v>
      </c>
      <c r="I72" s="55">
        <f>IF(Ejecucion45[[#This Row],[PC]]="","",_xlfn.XLOOKUP(Ejecucion45[[#This Row],[PC]],Ejecucion[PC],Ejecucion[Grupo],"NE",0))</f>
        <v>2</v>
      </c>
      <c r="J72" s="55">
        <f>IF(Ejecucion45[[#This Row],[PC]]="","",COUNTIF(Ejecucion4[Codigo],Ejecucion45[[#This Row],[PC]]))</f>
        <v>1</v>
      </c>
    </row>
    <row r="73" spans="1:10" ht="28.8" customHeight="1">
      <c r="A73" s="30">
        <f>ROW() - ROW(Ejecucion45[[#Headers],[Correlativo]])</f>
        <v>69</v>
      </c>
      <c r="B73" s="156" t="s">
        <v>299</v>
      </c>
      <c r="C73" s="84" t="str">
        <f>IF(B73="","",HYPERLINK("#"&amp;"Registro!B"&amp;MATCH(B73,Registro!$B$8:$B$997,0)+7,"Ubicar en registro"))</f>
        <v>Ubicar en registro</v>
      </c>
      <c r="D73" s="55" t="str">
        <f>IF(Ejecucion45[[#This Row],[No. Solicitud]]="","",_xlfn.XLOOKUP(Ejecucion45[[#This Row],[No. Solicitud]],Registro!$B$8:$B$997,Registro!$H$8:$H$997,"Sin Dato",0))</f>
        <v>Curso 62</v>
      </c>
      <c r="E73" s="160" t="s">
        <v>866</v>
      </c>
      <c r="F7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72</v>
      </c>
      <c r="G73" s="55">
        <v>4</v>
      </c>
      <c r="H73" s="81">
        <v>42538</v>
      </c>
      <c r="I73" s="55">
        <f>IF(Ejecucion45[[#This Row],[PC]]="","",_xlfn.XLOOKUP(Ejecucion45[[#This Row],[PC]],Ejecucion[PC],Ejecucion[Grupo],"NE",0))</f>
        <v>2</v>
      </c>
      <c r="J73" s="55">
        <f>IF(Ejecucion45[[#This Row],[PC]]="","",COUNTIF(Ejecucion4[Codigo],Ejecucion45[[#This Row],[PC]]))</f>
        <v>1</v>
      </c>
    </row>
    <row r="74" spans="1:10" ht="28.8" customHeight="1">
      <c r="A74" s="30">
        <f>ROW() - ROW(Ejecucion45[[#Headers],[Correlativo]])</f>
        <v>70</v>
      </c>
      <c r="B74" s="156" t="s">
        <v>299</v>
      </c>
      <c r="C74" s="84" t="str">
        <f>IF(B74="","",HYPERLINK("#"&amp;"Registro!B"&amp;MATCH(B74,Registro!$B$8:$B$997,0)+7,"Ubicar en registro"))</f>
        <v>Ubicar en registro</v>
      </c>
      <c r="D74" s="55" t="str">
        <f>IF(Ejecucion45[[#This Row],[No. Solicitud]]="","",_xlfn.XLOOKUP(Ejecucion45[[#This Row],[No. Solicitud]],Registro!$B$8:$B$997,Registro!$H$8:$H$997,"Sin Dato",0))</f>
        <v>Curso 62</v>
      </c>
      <c r="E74" s="160" t="s">
        <v>867</v>
      </c>
      <c r="F7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73</v>
      </c>
      <c r="G74" s="55">
        <v>4</v>
      </c>
      <c r="H74" s="81">
        <v>42539</v>
      </c>
      <c r="I74" s="55">
        <f>IF(Ejecucion45[[#This Row],[PC]]="","",_xlfn.XLOOKUP(Ejecucion45[[#This Row],[PC]],Ejecucion[PC],Ejecucion[Grupo],"NE",0))</f>
        <v>3</v>
      </c>
      <c r="J74" s="55">
        <f>IF(Ejecucion45[[#This Row],[PC]]="","",COUNTIF(Ejecucion4[Codigo],Ejecucion45[[#This Row],[PC]]))</f>
        <v>1</v>
      </c>
    </row>
    <row r="75" spans="1:10" ht="28.8" customHeight="1">
      <c r="A75" s="30">
        <f>ROW() - ROW(Ejecucion45[[#Headers],[Correlativo]])</f>
        <v>71</v>
      </c>
      <c r="B75" s="156" t="s">
        <v>299</v>
      </c>
      <c r="C75" s="84" t="str">
        <f>IF(B75="","",HYPERLINK("#"&amp;"Registro!B"&amp;MATCH(B75,Registro!$B$8:$B$997,0)+7,"Ubicar en registro"))</f>
        <v>Ubicar en registro</v>
      </c>
      <c r="D75" s="55" t="str">
        <f>IF(Ejecucion45[[#This Row],[No. Solicitud]]="","",_xlfn.XLOOKUP(Ejecucion45[[#This Row],[No. Solicitud]],Registro!$B$8:$B$997,Registro!$H$8:$H$997,"Sin Dato",0))</f>
        <v>Curso 62</v>
      </c>
      <c r="E75" s="160" t="s">
        <v>868</v>
      </c>
      <c r="F7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74</v>
      </c>
      <c r="G75" s="55">
        <v>4</v>
      </c>
      <c r="H75" s="81">
        <v>42539</v>
      </c>
      <c r="I75" s="55">
        <f>IF(Ejecucion45[[#This Row],[PC]]="","",_xlfn.XLOOKUP(Ejecucion45[[#This Row],[PC]],Ejecucion[PC],Ejecucion[Grupo],"NE",0))</f>
        <v>3</v>
      </c>
      <c r="J75" s="55">
        <f>IF(Ejecucion45[[#This Row],[PC]]="","",COUNTIF(Ejecucion4[Codigo],Ejecucion45[[#This Row],[PC]]))</f>
        <v>1</v>
      </c>
    </row>
    <row r="76" spans="1:10" ht="28.8" customHeight="1">
      <c r="A76" s="30">
        <f>ROW() - ROW(Ejecucion45[[#Headers],[Correlativo]])</f>
        <v>72</v>
      </c>
      <c r="B76" s="156" t="s">
        <v>299</v>
      </c>
      <c r="C76" s="84" t="str">
        <f>IF(B76="","",HYPERLINK("#"&amp;"Registro!B"&amp;MATCH(B76,Registro!$B$8:$B$997,0)+7,"Ubicar en registro"))</f>
        <v>Ubicar en registro</v>
      </c>
      <c r="D76" s="55" t="str">
        <f>IF(Ejecucion45[[#This Row],[No. Solicitud]]="","",_xlfn.XLOOKUP(Ejecucion45[[#This Row],[No. Solicitud]],Registro!$B$8:$B$997,Registro!$H$8:$H$997,"Sin Dato",0))</f>
        <v>Curso 62</v>
      </c>
      <c r="E76" s="160" t="s">
        <v>869</v>
      </c>
      <c r="G76" s="55">
        <v>4</v>
      </c>
      <c r="H76" s="158"/>
      <c r="I76" s="55" t="str">
        <f>IF(Ejecucion45[[#This Row],[PC]]="","",_xlfn.XLOOKUP(Ejecucion45[[#This Row],[PC]],Ejecucion[PC],Ejecucion[Grupo],"NE",0))</f>
        <v/>
      </c>
      <c r="J76" s="55" t="str">
        <f>IF(Ejecucion45[[#This Row],[PC]]="","",COUNTIF(Ejecucion4[Codigo],Ejecucion45[[#This Row],[PC]]))</f>
        <v/>
      </c>
    </row>
    <row r="77" spans="1:10" ht="28.8" customHeight="1">
      <c r="A77" s="30">
        <f>ROW() - ROW(Ejecucion45[[#Headers],[Correlativo]])</f>
        <v>73</v>
      </c>
      <c r="B77" s="156" t="s">
        <v>299</v>
      </c>
      <c r="C77" s="84" t="str">
        <f>IF(B77="","",HYPERLINK("#"&amp;"Registro!B"&amp;MATCH(B77,Registro!$B$8:$B$997,0)+7,"Ubicar en registro"))</f>
        <v>Ubicar en registro</v>
      </c>
      <c r="D77" s="55" t="str">
        <f>IF(Ejecucion45[[#This Row],[No. Solicitud]]="","",_xlfn.XLOOKUP(Ejecucion45[[#This Row],[No. Solicitud]],Registro!$B$8:$B$997,Registro!$H$8:$H$997,"Sin Dato",0))</f>
        <v>Curso 62</v>
      </c>
      <c r="E77" s="160" t="s">
        <v>870</v>
      </c>
      <c r="G77" s="55">
        <v>4</v>
      </c>
      <c r="H77" s="158"/>
      <c r="I77" s="55" t="str">
        <f>IF(Ejecucion45[[#This Row],[PC]]="","",_xlfn.XLOOKUP(Ejecucion45[[#This Row],[PC]],Ejecucion[PC],Ejecucion[Grupo],"NE",0))</f>
        <v/>
      </c>
      <c r="J77" s="55" t="str">
        <f>IF(Ejecucion45[[#This Row],[PC]]="","",COUNTIF(Ejecucion4[Codigo],Ejecucion45[[#This Row],[PC]]))</f>
        <v/>
      </c>
    </row>
    <row r="78" spans="1:10" ht="28.8" customHeight="1">
      <c r="A78" s="30">
        <f>ROW() - ROW(Ejecucion45[[#Headers],[Correlativo]])</f>
        <v>74</v>
      </c>
      <c r="B78" s="156" t="s">
        <v>299</v>
      </c>
      <c r="C78" s="84" t="str">
        <f>IF(B78="","",HYPERLINK("#"&amp;"Registro!B"&amp;MATCH(B78,Registro!$B$8:$B$997,0)+7,"Ubicar en registro"))</f>
        <v>Ubicar en registro</v>
      </c>
      <c r="D78" s="55" t="str">
        <f>IF(Ejecucion45[[#This Row],[No. Solicitud]]="","",_xlfn.XLOOKUP(Ejecucion45[[#This Row],[No. Solicitud]],Registro!$B$8:$B$997,Registro!$H$8:$H$997,"Sin Dato",0))</f>
        <v>Curso 62</v>
      </c>
      <c r="E78" s="160" t="s">
        <v>871</v>
      </c>
      <c r="G78" s="55">
        <v>4</v>
      </c>
      <c r="H78" s="158"/>
      <c r="I78" s="55" t="str">
        <f>IF(Ejecucion45[[#This Row],[PC]]="","",_xlfn.XLOOKUP(Ejecucion45[[#This Row],[PC]],Ejecucion[PC],Ejecucion[Grupo],"NE",0))</f>
        <v/>
      </c>
      <c r="J78" s="55" t="str">
        <f>IF(Ejecucion45[[#This Row],[PC]]="","",COUNTIF(Ejecucion4[Codigo],Ejecucion45[[#This Row],[PC]]))</f>
        <v/>
      </c>
    </row>
    <row r="79" spans="1:10" ht="28.8" customHeight="1">
      <c r="A79" s="30">
        <f>ROW() - ROW(Ejecucion45[[#Headers],[Correlativo]])</f>
        <v>75</v>
      </c>
      <c r="B79" s="156" t="s">
        <v>299</v>
      </c>
      <c r="C79" s="84" t="str">
        <f>IF(B79="","",HYPERLINK("#"&amp;"Registro!B"&amp;MATCH(B79,Registro!$B$8:$B$997,0)+7,"Ubicar en registro"))</f>
        <v>Ubicar en registro</v>
      </c>
      <c r="D79" s="55" t="str">
        <f>IF(Ejecucion45[[#This Row],[No. Solicitud]]="","",_xlfn.XLOOKUP(Ejecucion45[[#This Row],[No. Solicitud]],Registro!$B$8:$B$997,Registro!$H$8:$H$997,"Sin Dato",0))</f>
        <v>Curso 62</v>
      </c>
      <c r="E79" s="160" t="s">
        <v>872</v>
      </c>
      <c r="G79" s="55">
        <v>4</v>
      </c>
      <c r="H79" s="158"/>
      <c r="I79" s="55" t="str">
        <f>IF(Ejecucion45[[#This Row],[PC]]="","",_xlfn.XLOOKUP(Ejecucion45[[#This Row],[PC]],Ejecucion[PC],Ejecucion[Grupo],"NE",0))</f>
        <v/>
      </c>
      <c r="J79" s="55" t="str">
        <f>IF(Ejecucion45[[#This Row],[PC]]="","",COUNTIF(Ejecucion4[Codigo],Ejecucion45[[#This Row],[PC]]))</f>
        <v/>
      </c>
    </row>
    <row r="80" spans="1:10" ht="28.8" customHeight="1">
      <c r="A80" s="30">
        <f>ROW() - ROW(Ejecucion45[[#Headers],[Correlativo]])</f>
        <v>76</v>
      </c>
      <c r="B80" s="156" t="s">
        <v>299</v>
      </c>
      <c r="C80" s="84" t="str">
        <f>IF(B80="","",HYPERLINK("#"&amp;"Registro!B"&amp;MATCH(B80,Registro!$B$8:$B$997,0)+7,"Ubicar en registro"))</f>
        <v>Ubicar en registro</v>
      </c>
      <c r="D80" s="55" t="str">
        <f>IF(Ejecucion45[[#This Row],[No. Solicitud]]="","",_xlfn.XLOOKUP(Ejecucion45[[#This Row],[No. Solicitud]],Registro!$B$8:$B$997,Registro!$H$8:$H$997,"Sin Dato",0))</f>
        <v>Curso 62</v>
      </c>
      <c r="E80" s="160" t="s">
        <v>873</v>
      </c>
      <c r="G80" s="55">
        <v>4</v>
      </c>
      <c r="H80" s="158"/>
      <c r="I80" s="55" t="str">
        <f>IF(Ejecucion45[[#This Row],[PC]]="","",_xlfn.XLOOKUP(Ejecucion45[[#This Row],[PC]],Ejecucion[PC],Ejecucion[Grupo],"NE",0))</f>
        <v/>
      </c>
      <c r="J80" s="55" t="str">
        <f>IF(Ejecucion45[[#This Row],[PC]]="","",COUNTIF(Ejecucion4[Codigo],Ejecucion45[[#This Row],[PC]]))</f>
        <v/>
      </c>
    </row>
    <row r="81" spans="1:10" ht="28.8" customHeight="1">
      <c r="A81" s="30">
        <f>ROW() - ROW(Ejecucion45[[#Headers],[Correlativo]])</f>
        <v>77</v>
      </c>
      <c r="B81" s="156" t="s">
        <v>299</v>
      </c>
      <c r="C81" s="84" t="str">
        <f>IF(B81="","",HYPERLINK("#"&amp;"Registro!B"&amp;MATCH(B81,Registro!$B$8:$B$997,0)+7,"Ubicar en registro"))</f>
        <v>Ubicar en registro</v>
      </c>
      <c r="D81" s="55" t="str">
        <f>IF(Ejecucion45[[#This Row],[No. Solicitud]]="","",_xlfn.XLOOKUP(Ejecucion45[[#This Row],[No. Solicitud]],Registro!$B$8:$B$997,Registro!$H$8:$H$997,"Sin Dato",0))</f>
        <v>Curso 62</v>
      </c>
      <c r="E81" s="160" t="s">
        <v>874</v>
      </c>
      <c r="G81" s="55">
        <v>4</v>
      </c>
      <c r="H81" s="158"/>
      <c r="I81" s="55" t="str">
        <f>IF(Ejecucion45[[#This Row],[PC]]="","",_xlfn.XLOOKUP(Ejecucion45[[#This Row],[PC]],Ejecucion[PC],Ejecucion[Grupo],"NE",0))</f>
        <v/>
      </c>
      <c r="J81" s="55" t="str">
        <f>IF(Ejecucion45[[#This Row],[PC]]="","",COUNTIF(Ejecucion4[Codigo],Ejecucion45[[#This Row],[PC]]))</f>
        <v/>
      </c>
    </row>
    <row r="82" spans="1:10" ht="28.8" customHeight="1">
      <c r="A82" s="30">
        <f>ROW() - ROW(Ejecucion45[[#Headers],[Correlativo]])</f>
        <v>78</v>
      </c>
      <c r="B82" s="156" t="s">
        <v>299</v>
      </c>
      <c r="C82" s="84" t="str">
        <f>IF(B82="","",HYPERLINK("#"&amp;"Registro!B"&amp;MATCH(B82,Registro!$B$8:$B$997,0)+7,"Ubicar en registro"))</f>
        <v>Ubicar en registro</v>
      </c>
      <c r="D82" s="55" t="str">
        <f>IF(Ejecucion45[[#This Row],[No. Solicitud]]="","",_xlfn.XLOOKUP(Ejecucion45[[#This Row],[No. Solicitud]],Registro!$B$8:$B$997,Registro!$H$8:$H$997,"Sin Dato",0))</f>
        <v>Curso 62</v>
      </c>
      <c r="E82" s="160" t="s">
        <v>875</v>
      </c>
      <c r="F8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81</v>
      </c>
      <c r="G82" s="55">
        <v>4</v>
      </c>
      <c r="H82" s="158"/>
      <c r="I82" s="55" t="str">
        <f>IF(Ejecucion45[[#This Row],[PC]]="","",_xlfn.XLOOKUP(Ejecucion45[[#This Row],[PC]],Ejecucion[PC],Ejecucion[Grupo],"NE",0))</f>
        <v/>
      </c>
      <c r="J82" s="55" t="str">
        <f>IF(Ejecucion45[[#This Row],[PC]]="","",COUNTIF(Ejecucion4[Codigo],Ejecucion45[[#This Row],[PC]]))</f>
        <v/>
      </c>
    </row>
    <row r="83" spans="1:10" ht="28.8" customHeight="1">
      <c r="A83" s="30">
        <f>ROW() - ROW(Ejecucion45[[#Headers],[Correlativo]])</f>
        <v>79</v>
      </c>
      <c r="B83" s="156" t="s">
        <v>299</v>
      </c>
      <c r="C83" s="84" t="str">
        <f>IF(B83="","",HYPERLINK("#"&amp;"Registro!B"&amp;MATCH(B83,Registro!$B$8:$B$997,0)+7,"Ubicar en registro"))</f>
        <v>Ubicar en registro</v>
      </c>
      <c r="D83" s="55" t="str">
        <f>IF(Ejecucion45[[#This Row],[No. Solicitud]]="","",_xlfn.XLOOKUP(Ejecucion45[[#This Row],[No. Solicitud]],Registro!$B$8:$B$997,Registro!$H$8:$H$997,"Sin Dato",0))</f>
        <v>Curso 62</v>
      </c>
      <c r="E83" s="160" t="s">
        <v>876</v>
      </c>
      <c r="G83" s="55">
        <v>4</v>
      </c>
      <c r="H83" s="158"/>
      <c r="I83" s="55" t="str">
        <f>IF(Ejecucion45[[#This Row],[PC]]="","",_xlfn.XLOOKUP(Ejecucion45[[#This Row],[PC]],Ejecucion[PC],Ejecucion[Grupo],"NE",0))</f>
        <v/>
      </c>
      <c r="J83" s="55" t="str">
        <f>IF(Ejecucion45[[#This Row],[PC]]="","",COUNTIF(Ejecucion4[Codigo],Ejecucion45[[#This Row],[PC]]))</f>
        <v/>
      </c>
    </row>
    <row r="84" spans="1:10" ht="28.8" customHeight="1">
      <c r="A84" s="30">
        <f>ROW() - ROW(Ejecucion45[[#Headers],[Correlativo]])</f>
        <v>80</v>
      </c>
      <c r="B84" s="156" t="s">
        <v>299</v>
      </c>
      <c r="C84" s="84" t="str">
        <f>IF(B84="","",HYPERLINK("#"&amp;"Registro!B"&amp;MATCH(B84,Registro!$B$8:$B$997,0)+7,"Ubicar en registro"))</f>
        <v>Ubicar en registro</v>
      </c>
      <c r="D84" s="55" t="str">
        <f>IF(Ejecucion45[[#This Row],[No. Solicitud]]="","",_xlfn.XLOOKUP(Ejecucion45[[#This Row],[No. Solicitud]],Registro!$B$8:$B$997,Registro!$H$8:$H$997,"Sin Dato",0))</f>
        <v>Curso 62</v>
      </c>
      <c r="E84" s="160" t="s">
        <v>877</v>
      </c>
      <c r="G84" s="55">
        <v>4</v>
      </c>
      <c r="H84" s="158"/>
      <c r="I84" s="55" t="str">
        <f>IF(Ejecucion45[[#This Row],[PC]]="","",_xlfn.XLOOKUP(Ejecucion45[[#This Row],[PC]],Ejecucion[PC],Ejecucion[Grupo],"NE",0))</f>
        <v/>
      </c>
      <c r="J84" s="55" t="str">
        <f>IF(Ejecucion45[[#This Row],[PC]]="","",COUNTIF(Ejecucion4[Codigo],Ejecucion45[[#This Row],[PC]]))</f>
        <v/>
      </c>
    </row>
    <row r="85" spans="1:10" ht="28.8" customHeight="1">
      <c r="A85" s="30">
        <f>ROW() - ROW(Ejecucion45[[#Headers],[Correlativo]])</f>
        <v>81</v>
      </c>
      <c r="B85" s="156" t="s">
        <v>299</v>
      </c>
      <c r="C85" s="84" t="str">
        <f>IF(B85="","",HYPERLINK("#"&amp;"Registro!B"&amp;MATCH(B85,Registro!$B$8:$B$997,0)+7,"Ubicar en registro"))</f>
        <v>Ubicar en registro</v>
      </c>
      <c r="D85" s="55" t="str">
        <f>IF(Ejecucion45[[#This Row],[No. Solicitud]]="","",_xlfn.XLOOKUP(Ejecucion45[[#This Row],[No. Solicitud]],Registro!$B$8:$B$997,Registro!$H$8:$H$997,"Sin Dato",0))</f>
        <v>Curso 62</v>
      </c>
      <c r="E85" s="160" t="s">
        <v>878</v>
      </c>
      <c r="G85" s="55">
        <v>4</v>
      </c>
      <c r="H85" s="158"/>
      <c r="I85" s="55" t="str">
        <f>IF(Ejecucion45[[#This Row],[PC]]="","",_xlfn.XLOOKUP(Ejecucion45[[#This Row],[PC]],Ejecucion[PC],Ejecucion[Grupo],"NE",0))</f>
        <v/>
      </c>
      <c r="J85" s="55" t="str">
        <f>IF(Ejecucion45[[#This Row],[PC]]="","",COUNTIF(Ejecucion4[Codigo],Ejecucion45[[#This Row],[PC]]))</f>
        <v/>
      </c>
    </row>
    <row r="86" spans="1:10" ht="28.8" customHeight="1">
      <c r="A86" s="30">
        <f>ROW() - ROW(Ejecucion45[[#Headers],[Correlativo]])</f>
        <v>82</v>
      </c>
      <c r="B86" s="156" t="s">
        <v>299</v>
      </c>
      <c r="C86" s="84" t="str">
        <f>IF(B86="","",HYPERLINK("#"&amp;"Registro!B"&amp;MATCH(B86,Registro!$B$8:$B$997,0)+7,"Ubicar en registro"))</f>
        <v>Ubicar en registro</v>
      </c>
      <c r="D86" s="55" t="str">
        <f>IF(Ejecucion45[[#This Row],[No. Solicitud]]="","",_xlfn.XLOOKUP(Ejecucion45[[#This Row],[No. Solicitud]],Registro!$B$8:$B$997,Registro!$H$8:$H$997,"Sin Dato",0))</f>
        <v>Curso 62</v>
      </c>
      <c r="E86" s="160" t="s">
        <v>879</v>
      </c>
      <c r="G86" s="55">
        <v>4</v>
      </c>
      <c r="H86" s="158"/>
      <c r="I86" s="55" t="str">
        <f>IF(Ejecucion45[[#This Row],[PC]]="","",_xlfn.XLOOKUP(Ejecucion45[[#This Row],[PC]],Ejecucion[PC],Ejecucion[Grupo],"NE",0))</f>
        <v/>
      </c>
      <c r="J86" s="55" t="str">
        <f>IF(Ejecucion45[[#This Row],[PC]]="","",COUNTIF(Ejecucion4[Codigo],Ejecucion45[[#This Row],[PC]]))</f>
        <v/>
      </c>
    </row>
    <row r="87" spans="1:10" ht="28.8" customHeight="1">
      <c r="A87" s="30">
        <f>ROW() - ROW(Ejecucion45[[#Headers],[Correlativo]])</f>
        <v>83</v>
      </c>
      <c r="B87" s="156" t="s">
        <v>299</v>
      </c>
      <c r="C87" s="84" t="str">
        <f>IF(B87="","",HYPERLINK("#"&amp;"Registro!B"&amp;MATCH(B87,Registro!$B$8:$B$997,0)+7,"Ubicar en registro"))</f>
        <v>Ubicar en registro</v>
      </c>
      <c r="D87" s="55" t="str">
        <f>IF(Ejecucion45[[#This Row],[No. Solicitud]]="","",_xlfn.XLOOKUP(Ejecucion45[[#This Row],[No. Solicitud]],Registro!$B$8:$B$997,Registro!$H$8:$H$997,"Sin Dato",0))</f>
        <v>Curso 62</v>
      </c>
      <c r="E87" s="160" t="s">
        <v>880</v>
      </c>
      <c r="G87" s="55">
        <v>4</v>
      </c>
      <c r="H87" s="158"/>
      <c r="I87" s="55" t="str">
        <f>IF(Ejecucion45[[#This Row],[PC]]="","",_xlfn.XLOOKUP(Ejecucion45[[#This Row],[PC]],Ejecucion[PC],Ejecucion[Grupo],"NE",0))</f>
        <v/>
      </c>
      <c r="J87" s="55" t="str">
        <f>IF(Ejecucion45[[#This Row],[PC]]="","",COUNTIF(Ejecucion4[Codigo],Ejecucion45[[#This Row],[PC]]))</f>
        <v/>
      </c>
    </row>
    <row r="88" spans="1:10" ht="28.8" customHeight="1">
      <c r="A88" s="30">
        <f>ROW() - ROW(Ejecucion45[[#Headers],[Correlativo]])</f>
        <v>84</v>
      </c>
      <c r="B88" s="156" t="s">
        <v>299</v>
      </c>
      <c r="C88" s="84" t="str">
        <f>IF(B88="","",HYPERLINK("#"&amp;"Registro!B"&amp;MATCH(B88,Registro!$B$8:$B$997,0)+7,"Ubicar en registro"))</f>
        <v>Ubicar en registro</v>
      </c>
      <c r="D88" s="55" t="str">
        <f>IF(Ejecucion45[[#This Row],[No. Solicitud]]="","",_xlfn.XLOOKUP(Ejecucion45[[#This Row],[No. Solicitud]],Registro!$B$8:$B$997,Registro!$H$8:$H$997,"Sin Dato",0))</f>
        <v>Curso 62</v>
      </c>
      <c r="E88" s="160" t="s">
        <v>881</v>
      </c>
      <c r="G88" s="55">
        <v>4</v>
      </c>
      <c r="H88" s="158"/>
      <c r="I88" s="55" t="str">
        <f>IF(Ejecucion45[[#This Row],[PC]]="","",_xlfn.XLOOKUP(Ejecucion45[[#This Row],[PC]],Ejecucion[PC],Ejecucion[Grupo],"NE",0))</f>
        <v/>
      </c>
      <c r="J88" s="55" t="str">
        <f>IF(Ejecucion45[[#This Row],[PC]]="","",COUNTIF(Ejecucion4[Codigo],Ejecucion45[[#This Row],[PC]]))</f>
        <v/>
      </c>
    </row>
    <row r="89" spans="1:10" ht="28.8" customHeight="1">
      <c r="A89" s="30">
        <f>ROW() - ROW(Ejecucion45[[#Headers],[Correlativo]])</f>
        <v>85</v>
      </c>
      <c r="B89" s="156" t="s">
        <v>299</v>
      </c>
      <c r="C89" s="84" t="str">
        <f>IF(B89="","",HYPERLINK("#"&amp;"Registro!B"&amp;MATCH(B89,Registro!$B$8:$B$997,0)+7,"Ubicar en registro"))</f>
        <v>Ubicar en registro</v>
      </c>
      <c r="D89" s="55" t="str">
        <f>IF(Ejecucion45[[#This Row],[No. Solicitud]]="","",_xlfn.XLOOKUP(Ejecucion45[[#This Row],[No. Solicitud]],Registro!$B$8:$B$997,Registro!$H$8:$H$997,"Sin Dato",0))</f>
        <v>Curso 62</v>
      </c>
      <c r="E89" s="160" t="s">
        <v>882</v>
      </c>
      <c r="G89" s="55">
        <v>4</v>
      </c>
      <c r="H89" s="158"/>
      <c r="I89" s="55" t="str">
        <f>IF(Ejecucion45[[#This Row],[PC]]="","",_xlfn.XLOOKUP(Ejecucion45[[#This Row],[PC]],Ejecucion[PC],Ejecucion[Grupo],"NE",0))</f>
        <v/>
      </c>
      <c r="J89" s="55" t="str">
        <f>IF(Ejecucion45[[#This Row],[PC]]="","",COUNTIF(Ejecucion4[Codigo],Ejecucion45[[#This Row],[PC]]))</f>
        <v/>
      </c>
    </row>
    <row r="90" spans="1:10" ht="28.8" customHeight="1">
      <c r="A90" s="30">
        <f>ROW() - ROW(Ejecucion45[[#Headers],[Correlativo]])</f>
        <v>86</v>
      </c>
      <c r="B90" s="18" t="s">
        <v>301</v>
      </c>
      <c r="C90" s="84" t="str">
        <f>IF(B90="","",HYPERLINK("#"&amp;"Registro!B"&amp;MATCH(B90,Registro!$B$8:$B$997,0)+7,"Ubicar en registro"))</f>
        <v>Ubicar en registro</v>
      </c>
      <c r="D90" s="55" t="str">
        <f>IF(Ejecucion45[[#This Row],[No. Solicitud]]="","",_xlfn.XLOOKUP(Ejecucion45[[#This Row],[No. Solicitud]],Registro!$B$8:$B$997,Registro!$H$8:$H$997,"Sin Dato",0))</f>
        <v>Curso 63</v>
      </c>
      <c r="E90" s="160" t="s">
        <v>883</v>
      </c>
      <c r="F9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89</v>
      </c>
      <c r="G90" s="55">
        <v>4</v>
      </c>
      <c r="H90" s="81">
        <v>42585</v>
      </c>
      <c r="I90" s="55">
        <f>IF(Ejecucion45[[#This Row],[PC]]="","",_xlfn.XLOOKUP(Ejecucion45[[#This Row],[PC]],Ejecucion[PC],Ejecucion[Grupo],"NE",0))</f>
        <v>1</v>
      </c>
      <c r="J90" s="55">
        <f>IF(Ejecucion45[[#This Row],[PC]]="","",COUNTIF(Ejecucion4[Codigo],Ejecucion45[[#This Row],[PC]]))</f>
        <v>1</v>
      </c>
    </row>
    <row r="91" spans="1:10" ht="28.8" customHeight="1">
      <c r="A91" s="30">
        <f>ROW() - ROW(Ejecucion45[[#Headers],[Correlativo]])</f>
        <v>87</v>
      </c>
      <c r="B91" s="18" t="s">
        <v>301</v>
      </c>
      <c r="C91" s="84" t="str">
        <f>IF(B91="","",HYPERLINK("#"&amp;"Registro!B"&amp;MATCH(B91,Registro!$B$8:$B$997,0)+7,"Ubicar en registro"))</f>
        <v>Ubicar en registro</v>
      </c>
      <c r="D91" s="55" t="str">
        <f>IF(Ejecucion45[[#This Row],[No. Solicitud]]="","",_xlfn.XLOOKUP(Ejecucion45[[#This Row],[No. Solicitud]],Registro!$B$8:$B$997,Registro!$H$8:$H$997,"Sin Dato",0))</f>
        <v>Curso 63</v>
      </c>
      <c r="E91" s="160" t="s">
        <v>884</v>
      </c>
      <c r="F9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90</v>
      </c>
      <c r="G91" s="55">
        <v>4</v>
      </c>
      <c r="H91" s="81">
        <v>42611</v>
      </c>
      <c r="I91" s="55">
        <f>IF(Ejecucion45[[#This Row],[PC]]="","",_xlfn.XLOOKUP(Ejecucion45[[#This Row],[PC]],Ejecucion[PC],Ejecucion[Grupo],"NE",0))</f>
        <v>2</v>
      </c>
      <c r="J91" s="55">
        <f>IF(Ejecucion45[[#This Row],[PC]]="","",COUNTIF(Ejecucion4[Codigo],Ejecucion45[[#This Row],[PC]]))</f>
        <v>1</v>
      </c>
    </row>
    <row r="92" spans="1:10" ht="28.8" customHeight="1">
      <c r="A92" s="30">
        <f>ROW() - ROW(Ejecucion45[[#Headers],[Correlativo]])</f>
        <v>88</v>
      </c>
      <c r="B92" s="18" t="s">
        <v>301</v>
      </c>
      <c r="C92" s="84" t="str">
        <f>IF(B92="","",HYPERLINK("#"&amp;"Registro!B"&amp;MATCH(B92,Registro!$B$8:$B$997,0)+7,"Ubicar en registro"))</f>
        <v>Ubicar en registro</v>
      </c>
      <c r="D92" s="55" t="str">
        <f>IF(Ejecucion45[[#This Row],[No. Solicitud]]="","",_xlfn.XLOOKUP(Ejecucion45[[#This Row],[No. Solicitud]],Registro!$B$8:$B$997,Registro!$H$8:$H$997,"Sin Dato",0))</f>
        <v>Curso 63</v>
      </c>
      <c r="E92" s="160" t="s">
        <v>885</v>
      </c>
      <c r="F9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91</v>
      </c>
      <c r="G92" s="55">
        <v>4</v>
      </c>
      <c r="H92" s="81">
        <v>42819</v>
      </c>
      <c r="I92" s="55">
        <f>IF(Ejecucion45[[#This Row],[PC]]="","",_xlfn.XLOOKUP(Ejecucion45[[#This Row],[PC]],Ejecucion[PC],Ejecucion[Grupo],"NE",0))</f>
        <v>3</v>
      </c>
      <c r="J92" s="55">
        <f>IF(Ejecucion45[[#This Row],[PC]]="","",COUNTIF(Ejecucion4[Codigo],Ejecucion45[[#This Row],[PC]]))</f>
        <v>1</v>
      </c>
    </row>
    <row r="93" spans="1:10" ht="28.8" customHeight="1">
      <c r="A93" s="30">
        <f>ROW() - ROW(Ejecucion45[[#Headers],[Correlativo]])</f>
        <v>89</v>
      </c>
      <c r="B93" s="18" t="s">
        <v>301</v>
      </c>
      <c r="C93" s="84" t="str">
        <f>IF(B93="","",HYPERLINK("#"&amp;"Registro!B"&amp;MATCH(B93,Registro!$B$8:$B$997,0)+7,"Ubicar en registro"))</f>
        <v>Ubicar en registro</v>
      </c>
      <c r="D93" s="55" t="str">
        <f>IF(Ejecucion45[[#This Row],[No. Solicitud]]="","",_xlfn.XLOOKUP(Ejecucion45[[#This Row],[No. Solicitud]],Registro!$B$8:$B$997,Registro!$H$8:$H$997,"Sin Dato",0))</f>
        <v>Curso 63</v>
      </c>
      <c r="E93" s="160" t="s">
        <v>886</v>
      </c>
      <c r="F9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92</v>
      </c>
      <c r="G93" s="55">
        <v>4</v>
      </c>
      <c r="H93" s="81">
        <v>42883</v>
      </c>
      <c r="I93" s="55">
        <f>IF(Ejecucion45[[#This Row],[PC]]="","",_xlfn.XLOOKUP(Ejecucion45[[#This Row],[PC]],Ejecucion[PC],Ejecucion[Grupo],"NE",0))</f>
        <v>4</v>
      </c>
      <c r="J93" s="55">
        <f>IF(Ejecucion45[[#This Row],[PC]]="","",COUNTIF(Ejecucion4[Codigo],Ejecucion45[[#This Row],[PC]]))</f>
        <v>1</v>
      </c>
    </row>
    <row r="94" spans="1:10" ht="28.8" customHeight="1">
      <c r="A94" s="30">
        <f>ROW() - ROW(Ejecucion45[[#Headers],[Correlativo]])</f>
        <v>90</v>
      </c>
      <c r="B94" s="18" t="s">
        <v>301</v>
      </c>
      <c r="C94" s="84" t="str">
        <f>IF(B94="","",HYPERLINK("#"&amp;"Registro!B"&amp;MATCH(B94,Registro!$B$8:$B$997,0)+7,"Ubicar en registro"))</f>
        <v>Ubicar en registro</v>
      </c>
      <c r="D94" s="55" t="str">
        <f>IF(Ejecucion45[[#This Row],[No. Solicitud]]="","",_xlfn.XLOOKUP(Ejecucion45[[#This Row],[No. Solicitud]],Registro!$B$8:$B$997,Registro!$H$8:$H$997,"Sin Dato",0))</f>
        <v>Curso 63</v>
      </c>
      <c r="E94" s="160" t="s">
        <v>887</v>
      </c>
      <c r="F9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93</v>
      </c>
      <c r="G94" s="55">
        <v>4</v>
      </c>
      <c r="H94" s="81">
        <v>43023</v>
      </c>
      <c r="I94" s="55">
        <f>IF(Ejecucion45[[#This Row],[PC]]="","",_xlfn.XLOOKUP(Ejecucion45[[#This Row],[PC]],Ejecucion[PC],Ejecucion[Grupo],"NE",0))</f>
        <v>5</v>
      </c>
      <c r="J94" s="55">
        <f>IF(Ejecucion45[[#This Row],[PC]]="","",COUNTIF(Ejecucion4[Codigo],Ejecucion45[[#This Row],[PC]]))</f>
        <v>1</v>
      </c>
    </row>
    <row r="95" spans="1:10" ht="28.8" customHeight="1">
      <c r="A95" s="30">
        <f>ROW() - ROW(Ejecucion45[[#Headers],[Correlativo]])</f>
        <v>91</v>
      </c>
      <c r="B95" s="18" t="s">
        <v>301</v>
      </c>
      <c r="C95" s="84" t="str">
        <f>IF(B95="","",HYPERLINK("#"&amp;"Registro!B"&amp;MATCH(B95,Registro!$B$8:$B$997,0)+7,"Ubicar en registro"))</f>
        <v>Ubicar en registro</v>
      </c>
      <c r="D95" s="55" t="str">
        <f>IF(Ejecucion45[[#This Row],[No. Solicitud]]="","",_xlfn.XLOOKUP(Ejecucion45[[#This Row],[No. Solicitud]],Registro!$B$8:$B$997,Registro!$H$8:$H$997,"Sin Dato",0))</f>
        <v>Curso 63</v>
      </c>
      <c r="E95" s="160" t="s">
        <v>888</v>
      </c>
      <c r="F9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94</v>
      </c>
      <c r="G95" s="55">
        <v>4</v>
      </c>
      <c r="H95" s="81">
        <v>43146</v>
      </c>
      <c r="I95" s="55">
        <f>IF(Ejecucion45[[#This Row],[PC]]="","",_xlfn.XLOOKUP(Ejecucion45[[#This Row],[PC]],Ejecucion[PC],Ejecucion[Grupo],"NE",0))</f>
        <v>6</v>
      </c>
      <c r="J95" s="55">
        <f>IF(Ejecucion45[[#This Row],[PC]]="","",COUNTIF(Ejecucion4[Codigo],Ejecucion45[[#This Row],[PC]]))</f>
        <v>1</v>
      </c>
    </row>
    <row r="96" spans="1:10" ht="28.8" customHeight="1">
      <c r="A96" s="30">
        <f>ROW() - ROW(Ejecucion45[[#Headers],[Correlativo]])</f>
        <v>92</v>
      </c>
      <c r="B96" s="18" t="s">
        <v>301</v>
      </c>
      <c r="C96" s="84" t="str">
        <f>IF(B96="","",HYPERLINK("#"&amp;"Registro!B"&amp;MATCH(B96,Registro!$B$8:$B$997,0)+7,"Ubicar en registro"))</f>
        <v>Ubicar en registro</v>
      </c>
      <c r="D96" s="55" t="str">
        <f>IF(Ejecucion45[[#This Row],[No. Solicitud]]="","",_xlfn.XLOOKUP(Ejecucion45[[#This Row],[No. Solicitud]],Registro!$B$8:$B$997,Registro!$H$8:$H$997,"Sin Dato",0))</f>
        <v>Curso 63</v>
      </c>
      <c r="E96" s="160" t="s">
        <v>889</v>
      </c>
      <c r="F9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95</v>
      </c>
      <c r="G96" s="55">
        <v>4</v>
      </c>
      <c r="H96" s="81">
        <v>43180</v>
      </c>
      <c r="I96" s="55">
        <f>IF(Ejecucion45[[#This Row],[PC]]="","",_xlfn.XLOOKUP(Ejecucion45[[#This Row],[PC]],Ejecucion[PC],Ejecucion[Grupo],"NE",0))</f>
        <v>7</v>
      </c>
      <c r="J96" s="55">
        <f>IF(Ejecucion45[[#This Row],[PC]]="","",COUNTIF(Ejecucion4[Codigo],Ejecucion45[[#This Row],[PC]]))</f>
        <v>1</v>
      </c>
    </row>
    <row r="97" spans="1:10" ht="28.8" customHeight="1">
      <c r="A97" s="30">
        <f>ROW() - ROW(Ejecucion45[[#Headers],[Correlativo]])</f>
        <v>93</v>
      </c>
      <c r="B97" s="18" t="s">
        <v>301</v>
      </c>
      <c r="C97" s="84" t="str">
        <f>IF(B97="","",HYPERLINK("#"&amp;"Registro!B"&amp;MATCH(B97,Registro!$B$8:$B$997,0)+7,"Ubicar en registro"))</f>
        <v>Ubicar en registro</v>
      </c>
      <c r="D97" s="55" t="str">
        <f>IF(Ejecucion45[[#This Row],[No. Solicitud]]="","",_xlfn.XLOOKUP(Ejecucion45[[#This Row],[No. Solicitud]],Registro!$B$8:$B$997,Registro!$H$8:$H$997,"Sin Dato",0))</f>
        <v>Curso 63</v>
      </c>
      <c r="E97" s="160" t="s">
        <v>890</v>
      </c>
      <c r="F9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96</v>
      </c>
      <c r="G97" s="55">
        <v>4</v>
      </c>
      <c r="H97" s="81">
        <v>43267</v>
      </c>
      <c r="I97" s="55">
        <f>IF(Ejecucion45[[#This Row],[PC]]="","",_xlfn.XLOOKUP(Ejecucion45[[#This Row],[PC]],Ejecucion[PC],Ejecucion[Grupo],"NE",0))</f>
        <v>8</v>
      </c>
      <c r="J97" s="55">
        <f>IF(Ejecucion45[[#This Row],[PC]]="","",COUNTIF(Ejecucion4[Codigo],Ejecucion45[[#This Row],[PC]]))</f>
        <v>1</v>
      </c>
    </row>
    <row r="98" spans="1:10" ht="28.8" customHeight="1">
      <c r="A98" s="30">
        <f>ROW() - ROW(Ejecucion45[[#Headers],[Correlativo]])</f>
        <v>94</v>
      </c>
      <c r="B98" s="18" t="s">
        <v>301</v>
      </c>
      <c r="C98" s="84" t="str">
        <f>IF(B98="","",HYPERLINK("#"&amp;"Registro!B"&amp;MATCH(B98,Registro!$B$8:$B$997,0)+7,"Ubicar en registro"))</f>
        <v>Ubicar en registro</v>
      </c>
      <c r="D98" s="55" t="str">
        <f>IF(Ejecucion45[[#This Row],[No. Solicitud]]="","",_xlfn.XLOOKUP(Ejecucion45[[#This Row],[No. Solicitud]],Registro!$B$8:$B$997,Registro!$H$8:$H$997,"Sin Dato",0))</f>
        <v>Curso 63</v>
      </c>
      <c r="E98" s="160" t="s">
        <v>891</v>
      </c>
      <c r="F9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97</v>
      </c>
      <c r="G98" s="55">
        <v>4</v>
      </c>
      <c r="H98" s="81">
        <v>43308</v>
      </c>
      <c r="I98" s="55">
        <f>IF(Ejecucion45[[#This Row],[PC]]="","",_xlfn.XLOOKUP(Ejecucion45[[#This Row],[PC]],Ejecucion[PC],Ejecucion[Grupo],"NE",0))</f>
        <v>9</v>
      </c>
      <c r="J98" s="55">
        <f>IF(Ejecucion45[[#This Row],[PC]]="","",COUNTIF(Ejecucion4[Codigo],Ejecucion45[[#This Row],[PC]]))</f>
        <v>1</v>
      </c>
    </row>
    <row r="99" spans="1:10" ht="28.8" customHeight="1">
      <c r="A99" s="30">
        <f>ROW() - ROW(Ejecucion45[[#Headers],[Correlativo]])</f>
        <v>95</v>
      </c>
      <c r="B99" s="18" t="s">
        <v>301</v>
      </c>
      <c r="C99" s="84" t="str">
        <f>IF(B99="","",HYPERLINK("#"&amp;"Registro!B"&amp;MATCH(B99,Registro!$B$8:$B$997,0)+7,"Ubicar en registro"))</f>
        <v>Ubicar en registro</v>
      </c>
      <c r="D99" s="55" t="str">
        <f>IF(Ejecucion45[[#This Row],[No. Solicitud]]="","",_xlfn.XLOOKUP(Ejecucion45[[#This Row],[No. Solicitud]],Registro!$B$8:$B$997,Registro!$H$8:$H$997,"Sin Dato",0))</f>
        <v>Curso 63</v>
      </c>
      <c r="E99" s="170" t="s">
        <v>892</v>
      </c>
      <c r="F9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98</v>
      </c>
      <c r="G99" s="55">
        <v>4</v>
      </c>
      <c r="H99" s="81">
        <v>43374</v>
      </c>
      <c r="I99" s="55">
        <f>IF(Ejecucion45[[#This Row],[PC]]="","",_xlfn.XLOOKUP(Ejecucion45[[#This Row],[PC]],Ejecucion[PC],Ejecucion[Grupo],"NE",0))</f>
        <v>10</v>
      </c>
      <c r="J99" s="55">
        <f>IF(Ejecucion45[[#This Row],[PC]]="","",COUNTIF(Ejecucion4[Codigo],Ejecucion45[[#This Row],[PC]]))</f>
        <v>1</v>
      </c>
    </row>
    <row r="100" spans="1:10" ht="28.8" customHeight="1">
      <c r="A100" s="30">
        <f>ROW() - ROW(Ejecucion45[[#Headers],[Correlativo]])</f>
        <v>96</v>
      </c>
      <c r="B100" s="164" t="s">
        <v>303</v>
      </c>
      <c r="C100" s="84" t="str">
        <f>IF(B100="","",HYPERLINK("#"&amp;"Registro!B"&amp;MATCH(B100,Registro!$B$8:$B$997,0)+7,"Ubicar en registro"))</f>
        <v>Ubicar en registro</v>
      </c>
      <c r="D100" s="55" t="str">
        <f>IF(Ejecucion45[[#This Row],[No. Solicitud]]="","",_xlfn.XLOOKUP(Ejecucion45[[#This Row],[No. Solicitud]],Registro!$B$8:$B$997,Registro!$H$8:$H$997,"Sin Dato",0))</f>
        <v>Curso 64</v>
      </c>
      <c r="E100" s="160" t="s">
        <v>893</v>
      </c>
      <c r="F10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99</v>
      </c>
      <c r="G100" s="55">
        <v>8</v>
      </c>
      <c r="H100" s="81">
        <v>42586</v>
      </c>
      <c r="I100" s="55">
        <f>IF(Ejecucion45[[#This Row],[PC]]="","",_xlfn.XLOOKUP(Ejecucion45[[#This Row],[PC]],Ejecucion[PC],Ejecucion[Grupo],"NE",0))</f>
        <v>1</v>
      </c>
      <c r="J100" s="55">
        <f>IF(Ejecucion45[[#This Row],[PC]]="","",COUNTIF(Ejecucion4[Codigo],Ejecucion45[[#This Row],[PC]]))</f>
        <v>1</v>
      </c>
    </row>
    <row r="101" spans="1:10" ht="28.8" customHeight="1">
      <c r="A101" s="30">
        <f>ROW() - ROW(Ejecucion45[[#Headers],[Correlativo]])</f>
        <v>97</v>
      </c>
      <c r="B101" s="164" t="s">
        <v>303</v>
      </c>
      <c r="C101" s="84" t="str">
        <f>IF(B101="","",HYPERLINK("#"&amp;"Registro!B"&amp;MATCH(B101,Registro!$B$8:$B$997,0)+7,"Ubicar en registro"))</f>
        <v>Ubicar en registro</v>
      </c>
      <c r="D101" s="55" t="str">
        <f>IF(Ejecucion45[[#This Row],[No. Solicitud]]="","",_xlfn.XLOOKUP(Ejecucion45[[#This Row],[No. Solicitud]],Registro!$B$8:$B$997,Registro!$H$8:$H$997,"Sin Dato",0))</f>
        <v>Curso 64</v>
      </c>
      <c r="E101" s="160" t="s">
        <v>894</v>
      </c>
      <c r="F10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100</v>
      </c>
      <c r="G101" s="55">
        <v>8</v>
      </c>
      <c r="H101" s="55">
        <v>42614</v>
      </c>
      <c r="I101" s="55">
        <f>IF(Ejecucion45[[#This Row],[PC]]="","",_xlfn.XLOOKUP(Ejecucion45[[#This Row],[PC]],Ejecucion[PC],Ejecucion[Grupo],"NE",0))</f>
        <v>2</v>
      </c>
      <c r="J101" s="55">
        <f>IF(Ejecucion45[[#This Row],[PC]]="","",COUNTIF(Ejecucion4[Codigo],Ejecucion45[[#This Row],[PC]]))</f>
        <v>1</v>
      </c>
    </row>
    <row r="102" spans="1:10" ht="28.8" customHeight="1">
      <c r="A102" s="30">
        <f>ROW() - ROW(Ejecucion45[[#Headers],[Correlativo]])</f>
        <v>98</v>
      </c>
      <c r="B102" s="164" t="s">
        <v>303</v>
      </c>
      <c r="C102" s="84" t="str">
        <f>IF(B102="","",HYPERLINK("#"&amp;"Registro!B"&amp;MATCH(B102,Registro!$B$8:$B$997,0)+7,"Ubicar en registro"))</f>
        <v>Ubicar en registro</v>
      </c>
      <c r="D102" s="55" t="str">
        <f>IF(Ejecucion45[[#This Row],[No. Solicitud]]="","",_xlfn.XLOOKUP(Ejecucion45[[#This Row],[No. Solicitud]],Registro!$B$8:$B$997,Registro!$H$8:$H$997,"Sin Dato",0))</f>
        <v>Curso 64</v>
      </c>
      <c r="E102" s="160" t="s">
        <v>895</v>
      </c>
      <c r="F10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101</v>
      </c>
      <c r="G102" s="55">
        <v>8</v>
      </c>
      <c r="H102" s="55">
        <v>42822</v>
      </c>
      <c r="I102" s="55">
        <f>IF(Ejecucion45[[#This Row],[PC]]="","",_xlfn.XLOOKUP(Ejecucion45[[#This Row],[PC]],Ejecucion[PC],Ejecucion[Grupo],"NE",0))</f>
        <v>3</v>
      </c>
      <c r="J102" s="55">
        <f>IF(Ejecucion45[[#This Row],[PC]]="","",COUNTIF(Ejecucion4[Codigo],Ejecucion45[[#This Row],[PC]]))</f>
        <v>1</v>
      </c>
    </row>
    <row r="103" spans="1:10" ht="28.8" customHeight="1">
      <c r="A103" s="30">
        <f>ROW() - ROW(Ejecucion45[[#Headers],[Correlativo]])</f>
        <v>99</v>
      </c>
      <c r="B103" s="164" t="s">
        <v>303</v>
      </c>
      <c r="C103" s="84" t="str">
        <f>IF(B103="","",HYPERLINK("#"&amp;"Registro!B"&amp;MATCH(B103,Registro!$B$8:$B$997,0)+7,"Ubicar en registro"))</f>
        <v>Ubicar en registro</v>
      </c>
      <c r="D103" s="55" t="str">
        <f>IF(Ejecucion45[[#This Row],[No. Solicitud]]="","",_xlfn.XLOOKUP(Ejecucion45[[#This Row],[No. Solicitud]],Registro!$B$8:$B$997,Registro!$H$8:$H$997,"Sin Dato",0))</f>
        <v>Curso 64</v>
      </c>
      <c r="E103" s="160" t="s">
        <v>896</v>
      </c>
      <c r="F10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102</v>
      </c>
      <c r="G103" s="55">
        <v>8</v>
      </c>
      <c r="H103" s="55">
        <v>42891</v>
      </c>
      <c r="I103" s="55">
        <f>IF(Ejecucion45[[#This Row],[PC]]="","",_xlfn.XLOOKUP(Ejecucion45[[#This Row],[PC]],Ejecucion[PC],Ejecucion[Grupo],"NE",0))</f>
        <v>4</v>
      </c>
      <c r="J103" s="55">
        <f>IF(Ejecucion45[[#This Row],[PC]]="","",COUNTIF(Ejecucion4[Codigo],Ejecucion45[[#This Row],[PC]]))</f>
        <v>1</v>
      </c>
    </row>
    <row r="104" spans="1:10" ht="28.8" customHeight="1">
      <c r="A104" s="30">
        <f>ROW() - ROW(Ejecucion45[[#Headers],[Correlativo]])</f>
        <v>100</v>
      </c>
      <c r="B104" s="164" t="s">
        <v>303</v>
      </c>
      <c r="C104" s="84" t="str">
        <f>IF(B104="","",HYPERLINK("#"&amp;"Registro!B"&amp;MATCH(B104,Registro!$B$8:$B$997,0)+7,"Ubicar en registro"))</f>
        <v>Ubicar en registro</v>
      </c>
      <c r="D104" s="55" t="str">
        <f>IF(Ejecucion45[[#This Row],[No. Solicitud]]="","",_xlfn.XLOOKUP(Ejecucion45[[#This Row],[No. Solicitud]],Registro!$B$8:$B$997,Registro!$H$8:$H$997,"Sin Dato",0))</f>
        <v>Curso 64</v>
      </c>
      <c r="E104" s="160" t="s">
        <v>897</v>
      </c>
      <c r="F10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103</v>
      </c>
      <c r="G104" s="55">
        <v>8</v>
      </c>
      <c r="H104" s="55">
        <v>43026</v>
      </c>
      <c r="I104" s="55">
        <f>IF(Ejecucion45[[#This Row],[PC]]="","",_xlfn.XLOOKUP(Ejecucion45[[#This Row],[PC]],Ejecucion[PC],Ejecucion[Grupo],"NE",0))</f>
        <v>5</v>
      </c>
      <c r="J104" s="55">
        <f>IF(Ejecucion45[[#This Row],[PC]]="","",COUNTIF(Ejecucion4[Codigo],Ejecucion45[[#This Row],[PC]]))</f>
        <v>1</v>
      </c>
    </row>
    <row r="105" spans="1:10" ht="28.8" customHeight="1">
      <c r="A105" s="30">
        <f>ROW() - ROW(Ejecucion45[[#Headers],[Correlativo]])</f>
        <v>101</v>
      </c>
      <c r="B105" s="164" t="s">
        <v>303</v>
      </c>
      <c r="C105" s="84" t="str">
        <f>IF(B105="","",HYPERLINK("#"&amp;"Registro!B"&amp;MATCH(B105,Registro!$B$8:$B$997,0)+7,"Ubicar en registro"))</f>
        <v>Ubicar en registro</v>
      </c>
      <c r="D105" s="55" t="str">
        <f>IF(Ejecucion45[[#This Row],[No. Solicitud]]="","",_xlfn.XLOOKUP(Ejecucion45[[#This Row],[No. Solicitud]],Registro!$B$8:$B$997,Registro!$H$8:$H$997,"Sin Dato",0))</f>
        <v>Curso 64</v>
      </c>
      <c r="E105" s="160" t="s">
        <v>898</v>
      </c>
      <c r="F10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104</v>
      </c>
      <c r="G105" s="55">
        <v>8</v>
      </c>
      <c r="H105" s="55">
        <v>43155</v>
      </c>
      <c r="I105" s="55">
        <f>IF(Ejecucion45[[#This Row],[PC]]="","",_xlfn.XLOOKUP(Ejecucion45[[#This Row],[PC]],Ejecucion[PC],Ejecucion[Grupo],"NE",0))</f>
        <v>6</v>
      </c>
      <c r="J105" s="55">
        <f>IF(Ejecucion45[[#This Row],[PC]]="","",COUNTIF(Ejecucion4[Codigo],Ejecucion45[[#This Row],[PC]]))</f>
        <v>1</v>
      </c>
    </row>
    <row r="106" spans="1:10" ht="28.8" customHeight="1">
      <c r="A106" s="30">
        <f>ROW() - ROW(Ejecucion45[[#Headers],[Correlativo]])</f>
        <v>102</v>
      </c>
      <c r="B106" s="164" t="s">
        <v>303</v>
      </c>
      <c r="C106" s="84" t="str">
        <f>IF(B106="","",HYPERLINK("#"&amp;"Registro!B"&amp;MATCH(B106,Registro!$B$8:$B$997,0)+7,"Ubicar en registro"))</f>
        <v>Ubicar en registro</v>
      </c>
      <c r="D106" s="55" t="str">
        <f>IF(Ejecucion45[[#This Row],[No. Solicitud]]="","",_xlfn.XLOOKUP(Ejecucion45[[#This Row],[No. Solicitud]],Registro!$B$8:$B$997,Registro!$H$8:$H$997,"Sin Dato",0))</f>
        <v>Curso 64</v>
      </c>
      <c r="E106" s="160" t="s">
        <v>899</v>
      </c>
      <c r="F10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105</v>
      </c>
      <c r="G106" s="55">
        <v>8</v>
      </c>
      <c r="H106" s="55">
        <v>43181</v>
      </c>
      <c r="I106" s="55">
        <f>IF(Ejecucion45[[#This Row],[PC]]="","",_xlfn.XLOOKUP(Ejecucion45[[#This Row],[PC]],Ejecucion[PC],Ejecucion[Grupo],"NE",0))</f>
        <v>7</v>
      </c>
      <c r="J106" s="55">
        <f>IF(Ejecucion45[[#This Row],[PC]]="","",COUNTIF(Ejecucion4[Codigo],Ejecucion45[[#This Row],[PC]]))</f>
        <v>1</v>
      </c>
    </row>
    <row r="107" spans="1:10" ht="28.8" customHeight="1">
      <c r="A107" s="30">
        <f>ROW() - ROW(Ejecucion45[[#Headers],[Correlativo]])</f>
        <v>103</v>
      </c>
      <c r="B107" s="164" t="s">
        <v>303</v>
      </c>
      <c r="C107" s="84" t="str">
        <f>IF(B107="","",HYPERLINK("#"&amp;"Registro!B"&amp;MATCH(B107,Registro!$B$8:$B$997,0)+7,"Ubicar en registro"))</f>
        <v>Ubicar en registro</v>
      </c>
      <c r="D107" s="55" t="str">
        <f>IF(Ejecucion45[[#This Row],[No. Solicitud]]="","",_xlfn.XLOOKUP(Ejecucion45[[#This Row],[No. Solicitud]],Registro!$B$8:$B$997,Registro!$H$8:$H$997,"Sin Dato",0))</f>
        <v>Curso 64</v>
      </c>
      <c r="E107" s="160" t="s">
        <v>900</v>
      </c>
      <c r="F10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106</v>
      </c>
      <c r="G107" s="55">
        <v>8</v>
      </c>
      <c r="H107" s="158">
        <v>43268</v>
      </c>
      <c r="I107" s="55">
        <f>IF(Ejecucion45[[#This Row],[PC]]="","",_xlfn.XLOOKUP(Ejecucion45[[#This Row],[PC]],Ejecucion[PC],Ejecucion[Grupo],"NE",0))</f>
        <v>8</v>
      </c>
      <c r="J107" s="55">
        <f>IF(Ejecucion45[[#This Row],[PC]]="","",COUNTIF(Ejecucion4[Codigo],Ejecucion45[[#This Row],[PC]]))</f>
        <v>1</v>
      </c>
    </row>
    <row r="108" spans="1:10" ht="28.8" customHeight="1">
      <c r="A108" s="30">
        <f>ROW() - ROW(Ejecucion45[[#Headers],[Correlativo]])</f>
        <v>104</v>
      </c>
      <c r="B108" s="164" t="s">
        <v>303</v>
      </c>
      <c r="C108" s="84" t="str">
        <f>IF(B108="","",HYPERLINK("#"&amp;"Registro!B"&amp;MATCH(B108,Registro!$B$8:$B$997,0)+7,"Ubicar en registro"))</f>
        <v>Ubicar en registro</v>
      </c>
      <c r="D108" s="55" t="str">
        <f>IF(Ejecucion45[[#This Row],[No. Solicitud]]="","",_xlfn.XLOOKUP(Ejecucion45[[#This Row],[No. Solicitud]],Registro!$B$8:$B$997,Registro!$H$8:$H$997,"Sin Dato",0))</f>
        <v>Curso 64</v>
      </c>
      <c r="E108" s="160" t="s">
        <v>901</v>
      </c>
      <c r="F10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107</v>
      </c>
      <c r="G108" s="55">
        <v>8</v>
      </c>
      <c r="H108" s="55">
        <v>43324</v>
      </c>
      <c r="I108" s="55">
        <f>IF(Ejecucion45[[#This Row],[PC]]="","",_xlfn.XLOOKUP(Ejecucion45[[#This Row],[PC]],Ejecucion[PC],Ejecucion[Grupo],"NE",0))</f>
        <v>9</v>
      </c>
      <c r="J108" s="55">
        <f>IF(Ejecucion45[[#This Row],[PC]]="","",COUNTIF(Ejecucion4[Codigo],Ejecucion45[[#This Row],[PC]]))</f>
        <v>1</v>
      </c>
    </row>
    <row r="109" spans="1:10" ht="28.8" customHeight="1">
      <c r="A109" s="30">
        <f>ROW() - ROW(Ejecucion45[[#Headers],[Correlativo]])</f>
        <v>105</v>
      </c>
      <c r="B109" s="164" t="s">
        <v>303</v>
      </c>
      <c r="C109" s="84" t="str">
        <f>IF(B109="","",HYPERLINK("#"&amp;"Registro!B"&amp;MATCH(B109,Registro!$B$8:$B$997,0)+7,"Ubicar en registro"))</f>
        <v>Ubicar en registro</v>
      </c>
      <c r="D109" s="55" t="str">
        <f>IF(Ejecucion45[[#This Row],[No. Solicitud]]="","",_xlfn.XLOOKUP(Ejecucion45[[#This Row],[No. Solicitud]],Registro!$B$8:$B$997,Registro!$H$8:$H$997,"Sin Dato",0))</f>
        <v>Curso 64</v>
      </c>
      <c r="E109" s="160" t="s">
        <v>902</v>
      </c>
      <c r="F10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108</v>
      </c>
      <c r="G109" s="55">
        <v>8</v>
      </c>
      <c r="H109" s="55">
        <v>43375</v>
      </c>
      <c r="I109" s="55">
        <f>IF(Ejecucion45[[#This Row],[PC]]="","",_xlfn.XLOOKUP(Ejecucion45[[#This Row],[PC]],Ejecucion[PC],Ejecucion[Grupo],"NE",0))</f>
        <v>10</v>
      </c>
      <c r="J109" s="55">
        <f>IF(Ejecucion45[[#This Row],[PC]]="","",COUNTIF(Ejecucion4[Codigo],Ejecucion45[[#This Row],[PC]]))</f>
        <v>1</v>
      </c>
    </row>
    <row r="110" spans="1:10" ht="28.8" customHeight="1">
      <c r="A110" s="30">
        <f>ROW() - ROW(Ejecucion45[[#Headers],[Correlativo]])</f>
        <v>106</v>
      </c>
      <c r="B110" s="156" t="s">
        <v>305</v>
      </c>
      <c r="C110" s="84" t="str">
        <f>IF(B110="","",HYPERLINK("#"&amp;"Registro!B"&amp;MATCH(B110,Registro!$B$8:$B$997,0)+7,"Ubicar en registro"))</f>
        <v>Ubicar en registro</v>
      </c>
      <c r="D110" s="55" t="str">
        <f>IF(Ejecucion45[[#This Row],[No. Solicitud]]="","",_xlfn.XLOOKUP(Ejecucion45[[#This Row],[No. Solicitud]],Registro!$B$8:$B$997,Registro!$H$8:$H$997,"Sin Dato",0))</f>
        <v>Curso 65</v>
      </c>
      <c r="E110" s="160" t="s">
        <v>903</v>
      </c>
      <c r="F11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109</v>
      </c>
      <c r="G110" s="55">
        <v>8</v>
      </c>
      <c r="H110" s="81">
        <v>42729</v>
      </c>
      <c r="I110" s="55">
        <f>IF(Ejecucion45[[#This Row],[PC]]="","",_xlfn.XLOOKUP(Ejecucion45[[#This Row],[PC]],Ejecucion[PC],Ejecucion[Grupo],"NE",0))</f>
        <v>1</v>
      </c>
      <c r="J110" s="55">
        <f>IF(Ejecucion45[[#This Row],[PC]]="","",COUNTIF(Ejecucion4[Codigo],Ejecucion45[[#This Row],[PC]]))</f>
        <v>1</v>
      </c>
    </row>
    <row r="111" spans="1:10" ht="28.8" customHeight="1">
      <c r="A111" s="30">
        <f>ROW() - ROW(Ejecucion45[[#Headers],[Correlativo]])</f>
        <v>107</v>
      </c>
      <c r="B111" s="156" t="s">
        <v>305</v>
      </c>
      <c r="C111" s="84" t="str">
        <f>IF(B111="","",HYPERLINK("#"&amp;"Registro!B"&amp;MATCH(B111,Registro!$B$8:$B$997,0)+7,"Ubicar en registro"))</f>
        <v>Ubicar en registro</v>
      </c>
      <c r="D111" s="55" t="str">
        <f>IF(Ejecucion45[[#This Row],[No. Solicitud]]="","",_xlfn.XLOOKUP(Ejecucion45[[#This Row],[No. Solicitud]],Registro!$B$8:$B$997,Registro!$H$8:$H$997,"Sin Dato",0))</f>
        <v>Curso 65</v>
      </c>
      <c r="E111" s="160" t="s">
        <v>904</v>
      </c>
      <c r="F11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110</v>
      </c>
      <c r="G111" s="55">
        <v>8</v>
      </c>
      <c r="H111" s="81">
        <v>42733</v>
      </c>
      <c r="I111" s="55">
        <f>IF(Ejecucion45[[#This Row],[PC]]="","",_xlfn.XLOOKUP(Ejecucion45[[#This Row],[PC]],Ejecucion[PC],Ejecucion[Grupo],"NE",0))</f>
        <v>2</v>
      </c>
      <c r="J111" s="55">
        <f>IF(Ejecucion45[[#This Row],[PC]]="","",COUNTIF(Ejecucion4[Codigo],Ejecucion45[[#This Row],[PC]]))</f>
        <v>1</v>
      </c>
    </row>
    <row r="112" spans="1:10" ht="28.8" customHeight="1">
      <c r="A112" s="30">
        <f>ROW() - ROW(Ejecucion45[[#Headers],[Correlativo]])</f>
        <v>108</v>
      </c>
      <c r="B112" s="156" t="s">
        <v>305</v>
      </c>
      <c r="C112" s="84" t="str">
        <f>IF(B112="","",HYPERLINK("#"&amp;"Registro!B"&amp;MATCH(B112,Registro!$B$8:$B$997,0)+7,"Ubicar en registro"))</f>
        <v>Ubicar en registro</v>
      </c>
      <c r="D112" s="55" t="str">
        <f>IF(Ejecucion45[[#This Row],[No. Solicitud]]="","",_xlfn.XLOOKUP(Ejecucion45[[#This Row],[No. Solicitud]],Registro!$B$8:$B$997,Registro!$H$8:$H$997,"Sin Dato",0))</f>
        <v>Curso 65</v>
      </c>
      <c r="E112" s="160" t="s">
        <v>905</v>
      </c>
      <c r="F11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111</v>
      </c>
      <c r="G112" s="55">
        <v>8</v>
      </c>
      <c r="H112" s="81">
        <v>42735</v>
      </c>
      <c r="I112" s="55">
        <f>IF(Ejecucion45[[#This Row],[PC]]="","",_xlfn.XLOOKUP(Ejecucion45[[#This Row],[PC]],Ejecucion[PC],Ejecucion[Grupo],"NE",0))</f>
        <v>3</v>
      </c>
      <c r="J112" s="55">
        <f>IF(Ejecucion45[[#This Row],[PC]]="","",COUNTIF(Ejecucion4[Codigo],Ejecucion45[[#This Row],[PC]]))</f>
        <v>1</v>
      </c>
    </row>
    <row r="113" spans="1:10" ht="28.8" customHeight="1">
      <c r="A113" s="30">
        <f>ROW() - ROW(Ejecucion45[[#Headers],[Correlativo]])</f>
        <v>109</v>
      </c>
      <c r="B113" s="156" t="s">
        <v>305</v>
      </c>
      <c r="C113" s="84" t="str">
        <f>IF(B113="","",HYPERLINK("#"&amp;"Registro!B"&amp;MATCH(B113,Registro!$B$8:$B$997,0)+7,"Ubicar en registro"))</f>
        <v>Ubicar en registro</v>
      </c>
      <c r="D113" s="55" t="str">
        <f>IF(Ejecucion45[[#This Row],[No. Solicitud]]="","",_xlfn.XLOOKUP(Ejecucion45[[#This Row],[No. Solicitud]],Registro!$B$8:$B$997,Registro!$H$8:$H$997,"Sin Dato",0))</f>
        <v>Curso 65</v>
      </c>
      <c r="E113" s="160" t="s">
        <v>906</v>
      </c>
      <c r="F11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112</v>
      </c>
      <c r="G113" s="55">
        <v>8</v>
      </c>
      <c r="H113" s="81">
        <v>42731</v>
      </c>
      <c r="I113" s="55">
        <f>IF(Ejecucion45[[#This Row],[PC]]="","",_xlfn.XLOOKUP(Ejecucion45[[#This Row],[PC]],Ejecucion[PC],Ejecucion[Grupo],"NE",0))</f>
        <v>4</v>
      </c>
      <c r="J113" s="55">
        <f>IF(Ejecucion45[[#This Row],[PC]]="","",COUNTIF(Ejecucion4[Codigo],Ejecucion45[[#This Row],[PC]]))</f>
        <v>1</v>
      </c>
    </row>
    <row r="114" spans="1:10" ht="28.8" customHeight="1">
      <c r="A114" s="30">
        <f>ROW() - ROW(Ejecucion45[[#Headers],[Correlativo]])</f>
        <v>110</v>
      </c>
      <c r="B114" s="156" t="s">
        <v>305</v>
      </c>
      <c r="C114" s="84" t="str">
        <f>IF(B114="","",HYPERLINK("#"&amp;"Registro!B"&amp;MATCH(B114,Registro!$B$8:$B$997,0)+7,"Ubicar en registro"))</f>
        <v>Ubicar en registro</v>
      </c>
      <c r="D114" s="55" t="str">
        <f>IF(Ejecucion45[[#This Row],[No. Solicitud]]="","",_xlfn.XLOOKUP(Ejecucion45[[#This Row],[No. Solicitud]],Registro!$B$8:$B$997,Registro!$H$8:$H$997,"Sin Dato",0))</f>
        <v>Curso 65</v>
      </c>
      <c r="E114" s="160" t="s">
        <v>907</v>
      </c>
      <c r="F11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113</v>
      </c>
      <c r="G114" s="55">
        <v>8</v>
      </c>
      <c r="H114" s="81">
        <v>42732</v>
      </c>
      <c r="I114" s="55">
        <f>IF(Ejecucion45[[#This Row],[PC]]="","",_xlfn.XLOOKUP(Ejecucion45[[#This Row],[PC]],Ejecucion[PC],Ejecucion[Grupo],"NE",0))</f>
        <v>5</v>
      </c>
      <c r="J114" s="55">
        <f>IF(Ejecucion45[[#This Row],[PC]]="","",COUNTIF(Ejecucion4[Codigo],Ejecucion45[[#This Row],[PC]]))</f>
        <v>1</v>
      </c>
    </row>
    <row r="115" spans="1:10" ht="28.8" customHeight="1">
      <c r="A115" s="30">
        <f>ROW() - ROW(Ejecucion45[[#Headers],[Correlativo]])</f>
        <v>111</v>
      </c>
      <c r="B115" s="36" t="s">
        <v>308</v>
      </c>
      <c r="C115" s="84" t="str">
        <f>IF(B115="","",HYPERLINK("#"&amp;"Registro!B"&amp;MATCH(B115,Registro!$B$8:$B$997,0)+7,"Ubicar en registro"))</f>
        <v>Ubicar en registro</v>
      </c>
      <c r="D115" s="55" t="str">
        <f>IF(Ejecucion45[[#This Row],[No. Solicitud]]="","",_xlfn.XLOOKUP(Ejecucion45[[#This Row],[No. Solicitud]],Registro!$B$8:$B$997,Registro!$H$8:$H$997,"Sin Dato",0))</f>
        <v>Curso 66</v>
      </c>
      <c r="E115" s="160" t="s">
        <v>908</v>
      </c>
      <c r="F11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114</v>
      </c>
      <c r="G115" s="55">
        <v>3</v>
      </c>
      <c r="H115" s="81">
        <v>42595</v>
      </c>
      <c r="I115" s="55">
        <f>IF(Ejecucion45[[#This Row],[PC]]="","",_xlfn.XLOOKUP(Ejecucion45[[#This Row],[PC]],Ejecucion[PC],Ejecucion[Grupo],"NE",0))</f>
        <v>1</v>
      </c>
      <c r="J115" s="55">
        <f>IF(Ejecucion45[[#This Row],[PC]]="","",COUNTIF(Ejecucion4[Codigo],Ejecucion45[[#This Row],[PC]]))</f>
        <v>1</v>
      </c>
    </row>
    <row r="116" spans="1:10" ht="28.8" customHeight="1">
      <c r="A116" s="30">
        <f>ROW() - ROW(Ejecucion45[[#Headers],[Correlativo]])</f>
        <v>112</v>
      </c>
      <c r="B116" s="156" t="s">
        <v>308</v>
      </c>
      <c r="C116" s="84" t="str">
        <f>IF(B116="","",HYPERLINK("#"&amp;"Registro!B"&amp;MATCH(B116,Registro!$B$8:$B$997,0)+7,"Ubicar en registro"))</f>
        <v>Ubicar en registro</v>
      </c>
      <c r="D116" s="55" t="str">
        <f>IF(Ejecucion45[[#This Row],[No. Solicitud]]="","",_xlfn.XLOOKUP(Ejecucion45[[#This Row],[No. Solicitud]],Registro!$B$8:$B$997,Registro!$H$8:$H$997,"Sin Dato",0))</f>
        <v>Curso 66</v>
      </c>
      <c r="E116" s="160" t="s">
        <v>909</v>
      </c>
      <c r="F11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115</v>
      </c>
      <c r="G116" s="55">
        <v>3</v>
      </c>
      <c r="H116" s="81">
        <v>42595</v>
      </c>
      <c r="I116" s="55">
        <f>IF(Ejecucion45[[#This Row],[PC]]="","",_xlfn.XLOOKUP(Ejecucion45[[#This Row],[PC]],Ejecucion[PC],Ejecucion[Grupo],"NE",0))</f>
        <v>1</v>
      </c>
      <c r="J116" s="55">
        <f>IF(Ejecucion45[[#This Row],[PC]]="","",COUNTIF(Ejecucion4[Codigo],Ejecucion45[[#This Row],[PC]]))</f>
        <v>1</v>
      </c>
    </row>
    <row r="117" spans="1:10" ht="28.8" customHeight="1">
      <c r="A117" s="30">
        <f>ROW() - ROW(Ejecucion45[[#Headers],[Correlativo]])</f>
        <v>113</v>
      </c>
      <c r="B117" s="156" t="s">
        <v>308</v>
      </c>
      <c r="C117" s="84" t="str">
        <f>IF(B117="","",HYPERLINK("#"&amp;"Registro!B"&amp;MATCH(B117,Registro!$B$8:$B$997,0)+7,"Ubicar en registro"))</f>
        <v>Ubicar en registro</v>
      </c>
      <c r="D117" s="55" t="str">
        <f>IF(Ejecucion45[[#This Row],[No. Solicitud]]="","",_xlfn.XLOOKUP(Ejecucion45[[#This Row],[No. Solicitud]],Registro!$B$8:$B$997,Registro!$H$8:$H$997,"Sin Dato",0))</f>
        <v>Curso 66</v>
      </c>
      <c r="E117" s="160" t="s">
        <v>910</v>
      </c>
      <c r="F11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116</v>
      </c>
      <c r="G117" s="55">
        <v>3</v>
      </c>
      <c r="H117" s="81">
        <v>42622</v>
      </c>
      <c r="I117" s="55">
        <f>IF(Ejecucion45[[#This Row],[PC]]="","",_xlfn.XLOOKUP(Ejecucion45[[#This Row],[PC]],Ejecucion[PC],Ejecucion[Grupo],"NE",0))</f>
        <v>2</v>
      </c>
      <c r="J117" s="55">
        <f>IF(Ejecucion45[[#This Row],[PC]]="","",COUNTIF(Ejecucion4[Codigo],Ejecucion45[[#This Row],[PC]]))</f>
        <v>1</v>
      </c>
    </row>
    <row r="118" spans="1:10" ht="28.8" customHeight="1">
      <c r="A118" s="30">
        <f>ROW() - ROW(Ejecucion45[[#Headers],[Correlativo]])</f>
        <v>114</v>
      </c>
      <c r="B118" s="156" t="s">
        <v>308</v>
      </c>
      <c r="C118" s="84" t="str">
        <f>IF(B118="","",HYPERLINK("#"&amp;"Registro!B"&amp;MATCH(B118,Registro!$B$8:$B$997,0)+7,"Ubicar en registro"))</f>
        <v>Ubicar en registro</v>
      </c>
      <c r="D118" s="55" t="str">
        <f>IF(Ejecucion45[[#This Row],[No. Solicitud]]="","",_xlfn.XLOOKUP(Ejecucion45[[#This Row],[No. Solicitud]],Registro!$B$8:$B$997,Registro!$H$8:$H$997,"Sin Dato",0))</f>
        <v>Curso 66</v>
      </c>
      <c r="E118" s="160" t="s">
        <v>911</v>
      </c>
      <c r="F11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117</v>
      </c>
      <c r="G118" s="55">
        <v>3</v>
      </c>
      <c r="H118" s="81">
        <v>42622</v>
      </c>
      <c r="I118" s="55">
        <f>IF(Ejecucion45[[#This Row],[PC]]="","",_xlfn.XLOOKUP(Ejecucion45[[#This Row],[PC]],Ejecucion[PC],Ejecucion[Grupo],"NE",0))</f>
        <v>2</v>
      </c>
      <c r="J118" s="55">
        <f>IF(Ejecucion45[[#This Row],[PC]]="","",COUNTIF(Ejecucion4[Codigo],Ejecucion45[[#This Row],[PC]]))</f>
        <v>1</v>
      </c>
    </row>
    <row r="119" spans="1:10" ht="28.8" customHeight="1">
      <c r="A119" s="30">
        <f>ROW() - ROW(Ejecucion45[[#Headers],[Correlativo]])</f>
        <v>115</v>
      </c>
      <c r="B119" s="156" t="s">
        <v>308</v>
      </c>
      <c r="C119" s="84" t="str">
        <f>IF(B119="","",HYPERLINK("#"&amp;"Registro!B"&amp;MATCH(B119,Registro!$B$8:$B$997,0)+7,"Ubicar en registro"))</f>
        <v>Ubicar en registro</v>
      </c>
      <c r="D119" s="55" t="str">
        <f>IF(Ejecucion45[[#This Row],[No. Solicitud]]="","",_xlfn.XLOOKUP(Ejecucion45[[#This Row],[No. Solicitud]],Registro!$B$8:$B$997,Registro!$H$8:$H$997,"Sin Dato",0))</f>
        <v>Curso 66</v>
      </c>
      <c r="E119" s="160" t="s">
        <v>912</v>
      </c>
      <c r="F11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118</v>
      </c>
      <c r="G119" s="55">
        <v>3</v>
      </c>
      <c r="H119" s="81">
        <v>42839</v>
      </c>
      <c r="I119" s="55">
        <f>IF(Ejecucion45[[#This Row],[PC]]="","",_xlfn.XLOOKUP(Ejecucion45[[#This Row],[PC]],Ejecucion[PC],Ejecucion[Grupo],"NE",0))</f>
        <v>3</v>
      </c>
      <c r="J119" s="55">
        <f>IF(Ejecucion45[[#This Row],[PC]]="","",COUNTIF(Ejecucion4[Codigo],Ejecucion45[[#This Row],[PC]]))</f>
        <v>1</v>
      </c>
    </row>
    <row r="120" spans="1:10" ht="28.8" customHeight="1">
      <c r="A120" s="30">
        <f>ROW() - ROW(Ejecucion45[[#Headers],[Correlativo]])</f>
        <v>116</v>
      </c>
      <c r="B120" s="156" t="s">
        <v>308</v>
      </c>
      <c r="C120" s="84" t="str">
        <f>IF(B120="","",HYPERLINK("#"&amp;"Registro!B"&amp;MATCH(B120,Registro!$B$8:$B$997,0)+7,"Ubicar en registro"))</f>
        <v>Ubicar en registro</v>
      </c>
      <c r="D120" s="55" t="str">
        <f>IF(Ejecucion45[[#This Row],[No. Solicitud]]="","",_xlfn.XLOOKUP(Ejecucion45[[#This Row],[No. Solicitud]],Registro!$B$8:$B$997,Registro!$H$8:$H$997,"Sin Dato",0))</f>
        <v>Curso 66</v>
      </c>
      <c r="E120" s="160" t="s">
        <v>913</v>
      </c>
      <c r="F12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119</v>
      </c>
      <c r="G120" s="55">
        <v>3</v>
      </c>
      <c r="H120" s="81">
        <v>42839</v>
      </c>
      <c r="I120" s="55">
        <f>IF(Ejecucion45[[#This Row],[PC]]="","",_xlfn.XLOOKUP(Ejecucion45[[#This Row],[PC]],Ejecucion[PC],Ejecucion[Grupo],"NE",0))</f>
        <v>3</v>
      </c>
      <c r="J120" s="55">
        <f>IF(Ejecucion45[[#This Row],[PC]]="","",COUNTIF(Ejecucion4[Codigo],Ejecucion45[[#This Row],[PC]]))</f>
        <v>1</v>
      </c>
    </row>
    <row r="121" spans="1:10" ht="28.8" customHeight="1">
      <c r="A121" s="30">
        <f>ROW() - ROW(Ejecucion45[[#Headers],[Correlativo]])</f>
        <v>117</v>
      </c>
      <c r="B121" s="156" t="s">
        <v>308</v>
      </c>
      <c r="C121" s="84" t="str">
        <f>IF(B121="","",HYPERLINK("#"&amp;"Registro!B"&amp;MATCH(B121,Registro!$B$8:$B$997,0)+7,"Ubicar en registro"))</f>
        <v>Ubicar en registro</v>
      </c>
      <c r="D121" s="55" t="str">
        <f>IF(Ejecucion45[[#This Row],[No. Solicitud]]="","",_xlfn.XLOOKUP(Ejecucion45[[#This Row],[No. Solicitud]],Registro!$B$8:$B$997,Registro!$H$8:$H$997,"Sin Dato",0))</f>
        <v>Curso 66</v>
      </c>
      <c r="E121" s="160" t="s">
        <v>914</v>
      </c>
      <c r="F12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120</v>
      </c>
      <c r="G121" s="55">
        <v>3</v>
      </c>
      <c r="H121" s="55">
        <v>42986</v>
      </c>
      <c r="I121" s="55">
        <f>IF(Ejecucion45[[#This Row],[PC]]="","",_xlfn.XLOOKUP(Ejecucion45[[#This Row],[PC]],Ejecucion[PC],Ejecucion[Grupo],"NE",0))</f>
        <v>4</v>
      </c>
      <c r="J121" s="55">
        <f>IF(Ejecucion45[[#This Row],[PC]]="","",COUNTIF(Ejecucion4[Codigo],Ejecucion45[[#This Row],[PC]]))</f>
        <v>1</v>
      </c>
    </row>
    <row r="122" spans="1:10" ht="28.8" customHeight="1">
      <c r="A122" s="30">
        <f>ROW() - ROW(Ejecucion45[[#Headers],[Correlativo]])</f>
        <v>118</v>
      </c>
      <c r="B122" s="156" t="s">
        <v>308</v>
      </c>
      <c r="C122" s="84" t="str">
        <f>IF(B122="","",HYPERLINK("#"&amp;"Registro!B"&amp;MATCH(B122,Registro!$B$8:$B$997,0)+7,"Ubicar en registro"))</f>
        <v>Ubicar en registro</v>
      </c>
      <c r="D122" s="55" t="str">
        <f>IF(Ejecucion45[[#This Row],[No. Solicitud]]="","",_xlfn.XLOOKUP(Ejecucion45[[#This Row],[No. Solicitud]],Registro!$B$8:$B$997,Registro!$H$8:$H$997,"Sin Dato",0))</f>
        <v>Curso 66</v>
      </c>
      <c r="E122" s="160" t="s">
        <v>915</v>
      </c>
      <c r="F12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121</v>
      </c>
      <c r="G122" s="55">
        <v>3</v>
      </c>
      <c r="H122" s="55">
        <v>42986</v>
      </c>
      <c r="I122" s="55">
        <f>IF(Ejecucion45[[#This Row],[PC]]="","",_xlfn.XLOOKUP(Ejecucion45[[#This Row],[PC]],Ejecucion[PC],Ejecucion[Grupo],"NE",0))</f>
        <v>4</v>
      </c>
      <c r="J122" s="55">
        <f>IF(Ejecucion45[[#This Row],[PC]]="","",COUNTIF(Ejecucion4[Codigo],Ejecucion45[[#This Row],[PC]]))</f>
        <v>1</v>
      </c>
    </row>
    <row r="123" spans="1:10" ht="28.8" customHeight="1">
      <c r="A123" s="30">
        <f>ROW() - ROW(Ejecucion45[[#Headers],[Correlativo]])</f>
        <v>119</v>
      </c>
      <c r="B123" s="156" t="s">
        <v>308</v>
      </c>
      <c r="C123" s="84" t="str">
        <f>IF(B123="","",HYPERLINK("#"&amp;"Registro!B"&amp;MATCH(B123,Registro!$B$8:$B$997,0)+7,"Ubicar en registro"))</f>
        <v>Ubicar en registro</v>
      </c>
      <c r="D123" s="55" t="str">
        <f>IF(Ejecucion45[[#This Row],[No. Solicitud]]="","",_xlfn.XLOOKUP(Ejecucion45[[#This Row],[No. Solicitud]],Registro!$B$8:$B$997,Registro!$H$8:$H$997,"Sin Dato",0))</f>
        <v>Curso 66</v>
      </c>
      <c r="E123" s="160" t="s">
        <v>916</v>
      </c>
      <c r="F12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122</v>
      </c>
      <c r="G123" s="55">
        <v>3</v>
      </c>
      <c r="H123" s="55">
        <v>43037</v>
      </c>
      <c r="I123" s="55">
        <f>IF(Ejecucion45[[#This Row],[PC]]="","",_xlfn.XLOOKUP(Ejecucion45[[#This Row],[PC]],Ejecucion[PC],Ejecucion[Grupo],"NE",0))</f>
        <v>5</v>
      </c>
      <c r="J123" s="55">
        <f>IF(Ejecucion45[[#This Row],[PC]]="","",COUNTIF(Ejecucion4[Codigo],Ejecucion45[[#This Row],[PC]]))</f>
        <v>1</v>
      </c>
    </row>
    <row r="124" spans="1:10" ht="28.8" customHeight="1">
      <c r="A124" s="30">
        <f>ROW() - ROW(Ejecucion45[[#Headers],[Correlativo]])</f>
        <v>120</v>
      </c>
      <c r="B124" s="156" t="s">
        <v>308</v>
      </c>
      <c r="C124" s="84" t="str">
        <f>IF(B124="","",HYPERLINK("#"&amp;"Registro!B"&amp;MATCH(B124,Registro!$B$8:$B$997,0)+7,"Ubicar en registro"))</f>
        <v>Ubicar en registro</v>
      </c>
      <c r="D124" s="55" t="str">
        <f>IF(Ejecucion45[[#This Row],[No. Solicitud]]="","",_xlfn.XLOOKUP(Ejecucion45[[#This Row],[No. Solicitud]],Registro!$B$8:$B$997,Registro!$H$8:$H$997,"Sin Dato",0))</f>
        <v>Curso 66</v>
      </c>
      <c r="E124" s="160" t="s">
        <v>917</v>
      </c>
      <c r="F12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123</v>
      </c>
      <c r="G124" s="55">
        <v>3</v>
      </c>
      <c r="H124" s="55">
        <v>43037</v>
      </c>
      <c r="I124" s="55">
        <f>IF(Ejecucion45[[#This Row],[PC]]="","",_xlfn.XLOOKUP(Ejecucion45[[#This Row],[PC]],Ejecucion[PC],Ejecucion[Grupo],"NE",0))</f>
        <v>5</v>
      </c>
      <c r="J124" s="55">
        <f>IF(Ejecucion45[[#This Row],[PC]]="","",COUNTIF(Ejecucion4[Codigo],Ejecucion45[[#This Row],[PC]]))</f>
        <v>1</v>
      </c>
    </row>
    <row r="125" spans="1:10" ht="28.8" customHeight="1">
      <c r="A125" s="30">
        <f>ROW() - ROW(Ejecucion45[[#Headers],[Correlativo]])</f>
        <v>121</v>
      </c>
      <c r="B125" s="156" t="s">
        <v>308</v>
      </c>
      <c r="C125" s="84" t="str">
        <f>IF(B125="","",HYPERLINK("#"&amp;"Registro!B"&amp;MATCH(B125,Registro!$B$8:$B$997,0)+7,"Ubicar en registro"))</f>
        <v>Ubicar en registro</v>
      </c>
      <c r="D125" s="55" t="str">
        <f>IF(Ejecucion45[[#This Row],[No. Solicitud]]="","",_xlfn.XLOOKUP(Ejecucion45[[#This Row],[No. Solicitud]],Registro!$B$8:$B$997,Registro!$H$8:$H$997,"Sin Dato",0))</f>
        <v>Curso 66</v>
      </c>
      <c r="E125" s="160" t="s">
        <v>918</v>
      </c>
      <c r="F12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124</v>
      </c>
      <c r="G125" s="55">
        <v>3</v>
      </c>
      <c r="H125" s="81">
        <v>43170</v>
      </c>
      <c r="I125" s="55">
        <f>IF(Ejecucion45[[#This Row],[PC]]="","",_xlfn.XLOOKUP(Ejecucion45[[#This Row],[PC]],Ejecucion[PC],Ejecucion[Grupo],"NE",0))</f>
        <v>6</v>
      </c>
      <c r="J125" s="55">
        <f>IF(Ejecucion45[[#This Row],[PC]]="","",COUNTIF(Ejecucion4[Codigo],Ejecucion45[[#This Row],[PC]]))</f>
        <v>1</v>
      </c>
    </row>
    <row r="126" spans="1:10" ht="28.8" customHeight="1">
      <c r="A126" s="30">
        <f>ROW() - ROW(Ejecucion45[[#Headers],[Correlativo]])</f>
        <v>122</v>
      </c>
      <c r="B126" s="156" t="s">
        <v>308</v>
      </c>
      <c r="C126" s="84" t="str">
        <f>IF(B126="","",HYPERLINK("#"&amp;"Registro!B"&amp;MATCH(B126,Registro!$B$8:$B$997,0)+7,"Ubicar en registro"))</f>
        <v>Ubicar en registro</v>
      </c>
      <c r="D126" s="55" t="str">
        <f>IF(Ejecucion45[[#This Row],[No. Solicitud]]="","",_xlfn.XLOOKUP(Ejecucion45[[#This Row],[No. Solicitud]],Registro!$B$8:$B$997,Registro!$H$8:$H$997,"Sin Dato",0))</f>
        <v>Curso 66</v>
      </c>
      <c r="E126" s="160" t="s">
        <v>919</v>
      </c>
      <c r="F12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125</v>
      </c>
      <c r="G126" s="55">
        <v>3</v>
      </c>
      <c r="H126" s="81">
        <v>43170</v>
      </c>
      <c r="I126" s="55">
        <f>IF(Ejecucion45[[#This Row],[PC]]="","",_xlfn.XLOOKUP(Ejecucion45[[#This Row],[PC]],Ejecucion[PC],Ejecucion[Grupo],"NE",0))</f>
        <v>6</v>
      </c>
      <c r="J126" s="55">
        <f>IF(Ejecucion45[[#This Row],[PC]]="","",COUNTIF(Ejecucion4[Codigo],Ejecucion45[[#This Row],[PC]]))</f>
        <v>1</v>
      </c>
    </row>
    <row r="127" spans="1:10" ht="28.8" customHeight="1">
      <c r="A127" s="30">
        <f>ROW() - ROW(Ejecucion45[[#Headers],[Correlativo]])</f>
        <v>123</v>
      </c>
      <c r="B127" s="156" t="s">
        <v>308</v>
      </c>
      <c r="C127" s="84" t="str">
        <f>IF(B127="","",HYPERLINK("#"&amp;"Registro!B"&amp;MATCH(B127,Registro!$B$8:$B$997,0)+7,"Ubicar en registro"))</f>
        <v>Ubicar en registro</v>
      </c>
      <c r="D127" s="55" t="str">
        <f>IF(Ejecucion45[[#This Row],[No. Solicitud]]="","",_xlfn.XLOOKUP(Ejecucion45[[#This Row],[No. Solicitud]],Registro!$B$8:$B$997,Registro!$H$8:$H$997,"Sin Dato",0))</f>
        <v>Curso 66</v>
      </c>
      <c r="E127" s="160" t="s">
        <v>920</v>
      </c>
      <c r="F12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126</v>
      </c>
      <c r="G127" s="55">
        <v>3</v>
      </c>
      <c r="H127" s="81">
        <v>43191</v>
      </c>
      <c r="I127" s="55">
        <f>IF(Ejecucion45[[#This Row],[PC]]="","",_xlfn.XLOOKUP(Ejecucion45[[#This Row],[PC]],Ejecucion[PC],Ejecucion[Grupo],"NE",0))</f>
        <v>7</v>
      </c>
      <c r="J127" s="55">
        <f>IF(Ejecucion45[[#This Row],[PC]]="","",COUNTIF(Ejecucion4[Codigo],Ejecucion45[[#This Row],[PC]]))</f>
        <v>1</v>
      </c>
    </row>
    <row r="128" spans="1:10" ht="28.8" customHeight="1">
      <c r="A128" s="30">
        <f>ROW() - ROW(Ejecucion45[[#Headers],[Correlativo]])</f>
        <v>124</v>
      </c>
      <c r="B128" s="156" t="s">
        <v>308</v>
      </c>
      <c r="C128" s="84" t="str">
        <f>IF(B128="","",HYPERLINK("#"&amp;"Registro!B"&amp;MATCH(B128,Registro!$B$8:$B$997,0)+7,"Ubicar en registro"))</f>
        <v>Ubicar en registro</v>
      </c>
      <c r="D128" s="55" t="str">
        <f>IF(Ejecucion45[[#This Row],[No. Solicitud]]="","",_xlfn.XLOOKUP(Ejecucion45[[#This Row],[No. Solicitud]],Registro!$B$8:$B$997,Registro!$H$8:$H$997,"Sin Dato",0))</f>
        <v>Curso 66</v>
      </c>
      <c r="E128" s="174" t="s">
        <v>921</v>
      </c>
      <c r="F12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127</v>
      </c>
      <c r="G128" s="55">
        <v>3</v>
      </c>
      <c r="H128" s="81">
        <v>43191</v>
      </c>
      <c r="I128" s="55">
        <f>IF(Ejecucion45[[#This Row],[PC]]="","",_xlfn.XLOOKUP(Ejecucion45[[#This Row],[PC]],Ejecucion[PC],Ejecucion[Grupo],"NE",0))</f>
        <v>7</v>
      </c>
      <c r="J128" s="55">
        <f>IF(Ejecucion45[[#This Row],[PC]]="","",COUNTIF(Ejecucion4[Codigo],Ejecucion45[[#This Row],[PC]]))</f>
        <v>1</v>
      </c>
    </row>
    <row r="129" spans="1:10" ht="28.8" customHeight="1">
      <c r="A129" s="30">
        <f>ROW() - ROW(Ejecucion45[[#Headers],[Correlativo]])</f>
        <v>125</v>
      </c>
      <c r="B129" s="156" t="s">
        <v>308</v>
      </c>
      <c r="C129" s="84" t="str">
        <f>IF(B129="","",HYPERLINK("#"&amp;"Registro!B"&amp;MATCH(B129,Registro!$B$8:$B$997,0)+7,"Ubicar en registro"))</f>
        <v>Ubicar en registro</v>
      </c>
      <c r="D129" s="55" t="str">
        <f>IF(Ejecucion45[[#This Row],[No. Solicitud]]="","",_xlfn.XLOOKUP(Ejecucion45[[#This Row],[No. Solicitud]],Registro!$B$8:$B$997,Registro!$H$8:$H$997,"Sin Dato",0))</f>
        <v>Curso 66</v>
      </c>
      <c r="E129" s="160" t="s">
        <v>922</v>
      </c>
      <c r="F12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128</v>
      </c>
      <c r="G129" s="55">
        <v>3</v>
      </c>
      <c r="H129" s="55">
        <v>43299</v>
      </c>
      <c r="I129" s="55">
        <f>IF(Ejecucion45[[#This Row],[PC]]="","",_xlfn.XLOOKUP(Ejecucion45[[#This Row],[PC]],Ejecucion[PC],Ejecucion[Grupo],"NE",0))</f>
        <v>8</v>
      </c>
      <c r="J129" s="55">
        <f>IF(Ejecucion45[[#This Row],[PC]]="","",COUNTIF(Ejecucion4[Codigo],Ejecucion45[[#This Row],[PC]]))</f>
        <v>1</v>
      </c>
    </row>
    <row r="130" spans="1:10" ht="28.8" customHeight="1">
      <c r="A130" s="30">
        <f>ROW() - ROW(Ejecucion45[[#Headers],[Correlativo]])</f>
        <v>126</v>
      </c>
      <c r="B130" s="156" t="s">
        <v>308</v>
      </c>
      <c r="C130" s="84" t="str">
        <f>IF(B130="","",HYPERLINK("#"&amp;"Registro!B"&amp;MATCH(B130,Registro!$B$8:$B$997,0)+7,"Ubicar en registro"))</f>
        <v>Ubicar en registro</v>
      </c>
      <c r="D130" s="55" t="str">
        <f>IF(Ejecucion45[[#This Row],[No. Solicitud]]="","",_xlfn.XLOOKUP(Ejecucion45[[#This Row],[No. Solicitud]],Registro!$B$8:$B$997,Registro!$H$8:$H$997,"Sin Dato",0))</f>
        <v>Curso 66</v>
      </c>
      <c r="E130" s="174" t="s">
        <v>923</v>
      </c>
      <c r="F13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129</v>
      </c>
      <c r="G130" s="55">
        <v>3</v>
      </c>
      <c r="H130" s="55">
        <v>43299</v>
      </c>
      <c r="I130" s="55">
        <f>IF(Ejecucion45[[#This Row],[PC]]="","",_xlfn.XLOOKUP(Ejecucion45[[#This Row],[PC]],Ejecucion[PC],Ejecucion[Grupo],"NE",0))</f>
        <v>8</v>
      </c>
      <c r="J130" s="55">
        <f>IF(Ejecucion45[[#This Row],[PC]]="","",COUNTIF(Ejecucion4[Codigo],Ejecucion45[[#This Row],[PC]]))</f>
        <v>1</v>
      </c>
    </row>
    <row r="131" spans="1:10" ht="28.8" customHeight="1">
      <c r="A131" s="30">
        <f>ROW() - ROW(Ejecucion45[[#Headers],[Correlativo]])</f>
        <v>127</v>
      </c>
      <c r="B131" s="156" t="s">
        <v>308</v>
      </c>
      <c r="C131" s="84" t="str">
        <f>IF(B131="","",HYPERLINK("#"&amp;"Registro!B"&amp;MATCH(B131,Registro!$B$8:$B$997,0)+7,"Ubicar en registro"))</f>
        <v>Ubicar en registro</v>
      </c>
      <c r="D131" s="55" t="str">
        <f>IF(Ejecucion45[[#This Row],[No. Solicitud]]="","",_xlfn.XLOOKUP(Ejecucion45[[#This Row],[No. Solicitud]],Registro!$B$8:$B$997,Registro!$H$8:$H$997,"Sin Dato",0))</f>
        <v>Curso 66</v>
      </c>
      <c r="E131" s="174" t="s">
        <v>924</v>
      </c>
      <c r="F13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130</v>
      </c>
      <c r="G131" s="55">
        <v>3</v>
      </c>
      <c r="H131" s="55">
        <v>43329</v>
      </c>
      <c r="I131" s="55">
        <f>IF(Ejecucion45[[#This Row],[PC]]="","",_xlfn.XLOOKUP(Ejecucion45[[#This Row],[PC]],Ejecucion[PC],Ejecucion[Grupo],"NE",0))</f>
        <v>9</v>
      </c>
      <c r="J131" s="55">
        <f>IF(Ejecucion45[[#This Row],[PC]]="","",COUNTIF(Ejecucion4[Codigo],Ejecucion45[[#This Row],[PC]]))</f>
        <v>1</v>
      </c>
    </row>
    <row r="132" spans="1:10" ht="28.8" customHeight="1">
      <c r="A132" s="30">
        <f>ROW() - ROW(Ejecucion45[[#Headers],[Correlativo]])</f>
        <v>128</v>
      </c>
      <c r="B132" s="156" t="s">
        <v>308</v>
      </c>
      <c r="C132" s="84" t="str">
        <f>IF(B132="","",HYPERLINK("#"&amp;"Registro!B"&amp;MATCH(B132,Registro!$B$8:$B$997,0)+7,"Ubicar en registro"))</f>
        <v>Ubicar en registro</v>
      </c>
      <c r="D132" s="55" t="str">
        <f>IF(Ejecucion45[[#This Row],[No. Solicitud]]="","",_xlfn.XLOOKUP(Ejecucion45[[#This Row],[No. Solicitud]],Registro!$B$8:$B$997,Registro!$H$8:$H$997,"Sin Dato",0))</f>
        <v>Curso 66</v>
      </c>
      <c r="E132" s="160" t="s">
        <v>925</v>
      </c>
      <c r="F13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131</v>
      </c>
      <c r="G132" s="55">
        <v>3</v>
      </c>
      <c r="H132" s="55">
        <v>43329</v>
      </c>
      <c r="I132" s="55">
        <f>IF(Ejecucion45[[#This Row],[PC]]="","",_xlfn.XLOOKUP(Ejecucion45[[#This Row],[PC]],Ejecucion[PC],Ejecucion[Grupo],"NE",0))</f>
        <v>9</v>
      </c>
      <c r="J132" s="55">
        <f>IF(Ejecucion45[[#This Row],[PC]]="","",COUNTIF(Ejecucion4[Codigo],Ejecucion45[[#This Row],[PC]]))</f>
        <v>1</v>
      </c>
    </row>
    <row r="133" spans="1:10" ht="28.8" customHeight="1">
      <c r="A133" s="30">
        <f>ROW() - ROW(Ejecucion45[[#Headers],[Correlativo]])</f>
        <v>129</v>
      </c>
      <c r="B133" s="156" t="s">
        <v>308</v>
      </c>
      <c r="C133" s="84" t="str">
        <f>IF(B133="","",HYPERLINK("#"&amp;"Registro!B"&amp;MATCH(B133,Registro!$B$8:$B$997,0)+7,"Ubicar en registro"))</f>
        <v>Ubicar en registro</v>
      </c>
      <c r="D133" s="55" t="str">
        <f>IF(Ejecucion45[[#This Row],[No. Solicitud]]="","",_xlfn.XLOOKUP(Ejecucion45[[#This Row],[No. Solicitud]],Registro!$B$8:$B$997,Registro!$H$8:$H$997,"Sin Dato",0))</f>
        <v>Curso 66</v>
      </c>
      <c r="E133" s="160" t="s">
        <v>926</v>
      </c>
      <c r="F13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132</v>
      </c>
      <c r="G133" s="55">
        <v>3</v>
      </c>
      <c r="H133" s="81">
        <v>43459</v>
      </c>
      <c r="I133" s="55">
        <f>IF(Ejecucion45[[#This Row],[PC]]="","",_xlfn.XLOOKUP(Ejecucion45[[#This Row],[PC]],Ejecucion[PC],Ejecucion[Grupo],"NE",0))</f>
        <v>10</v>
      </c>
      <c r="J133" s="55">
        <f>IF(Ejecucion45[[#This Row],[PC]]="","",COUNTIF(Ejecucion4[Codigo],Ejecucion45[[#This Row],[PC]]))</f>
        <v>1</v>
      </c>
    </row>
    <row r="134" spans="1:10" ht="28.8" customHeight="1">
      <c r="A134" s="30">
        <f>ROW() - ROW(Ejecucion45[[#Headers],[Correlativo]])</f>
        <v>130</v>
      </c>
      <c r="B134" s="156" t="s">
        <v>308</v>
      </c>
      <c r="C134" s="84" t="str">
        <f>IF(B134="","",HYPERLINK("#"&amp;"Registro!B"&amp;MATCH(B134,Registro!$B$8:$B$997,0)+7,"Ubicar en registro"))</f>
        <v>Ubicar en registro</v>
      </c>
      <c r="D134" s="55" t="str">
        <f>IF(Ejecucion45[[#This Row],[No. Solicitud]]="","",_xlfn.XLOOKUP(Ejecucion45[[#This Row],[No. Solicitud]],Registro!$B$8:$B$997,Registro!$H$8:$H$997,"Sin Dato",0))</f>
        <v>Curso 66</v>
      </c>
      <c r="E134" s="160" t="s">
        <v>927</v>
      </c>
      <c r="F13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133</v>
      </c>
      <c r="G134" s="55">
        <v>3</v>
      </c>
      <c r="H134" s="81">
        <v>43459</v>
      </c>
      <c r="I134" s="55">
        <f>IF(Ejecucion45[[#This Row],[PC]]="","",_xlfn.XLOOKUP(Ejecucion45[[#This Row],[PC]],Ejecucion[PC],Ejecucion[Grupo],"NE",0))</f>
        <v>10</v>
      </c>
      <c r="J134" s="55">
        <f>IF(Ejecucion45[[#This Row],[PC]]="","",COUNTIF(Ejecucion4[Codigo],Ejecucion45[[#This Row],[PC]]))</f>
        <v>1</v>
      </c>
    </row>
    <row r="135" spans="1:10" ht="28.8" customHeight="1">
      <c r="A135" s="30">
        <f>ROW() - ROW(Ejecucion45[[#Headers],[Correlativo]])</f>
        <v>131</v>
      </c>
      <c r="B135" s="30" t="s">
        <v>140</v>
      </c>
      <c r="C135" s="84" t="str">
        <f>IF(B135="","",HYPERLINK("#"&amp;"Registro!B"&amp;MATCH(B135,Registro!$B$8:$B$997,0)+7,"Ubicar en registro"))</f>
        <v>Ubicar en registro</v>
      </c>
      <c r="D135" s="55" t="str">
        <f>IF(Ejecucion45[[#This Row],[No. Solicitud]]="","",_xlfn.XLOOKUP(Ejecucion45[[#This Row],[No. Solicitud]],Registro!$B$8:$B$997,Registro!$H$8:$H$997,"Sin Dato",0))</f>
        <v>Curso 10</v>
      </c>
      <c r="E135" s="160" t="s">
        <v>928</v>
      </c>
      <c r="F13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134</v>
      </c>
      <c r="G135" s="55">
        <v>8</v>
      </c>
      <c r="H135" s="81">
        <v>43777</v>
      </c>
      <c r="I135" s="55">
        <f>IF(Ejecucion45[[#This Row],[PC]]="","",_xlfn.XLOOKUP(Ejecucion45[[#This Row],[PC]],Ejecucion[PC],Ejecucion[Grupo],"NE",0))</f>
        <v>1</v>
      </c>
      <c r="J135" s="55">
        <f>IF(Ejecucion45[[#This Row],[PC]]="","",COUNTIF(Ejecucion4[Codigo],Ejecucion45[[#This Row],[PC]]))</f>
        <v>1</v>
      </c>
    </row>
    <row r="136" spans="1:10" ht="28.8" customHeight="1">
      <c r="A136" s="30">
        <f>ROW() - ROW(Ejecucion45[[#Headers],[Correlativo]])</f>
        <v>132</v>
      </c>
      <c r="B136" s="36" t="s">
        <v>311</v>
      </c>
      <c r="C136" s="84" t="str">
        <f>IF(B137="","",HYPERLINK("#"&amp;"Registro!B"&amp;MATCH(B137,Registro!$B$8:$B$997,0)+7,"Ubicar en registro"))</f>
        <v>Ubicar en registro</v>
      </c>
      <c r="D136" s="55" t="str">
        <f>IF(Ejecucion45[[#This Row],[No. Solicitud]]="","",_xlfn.XLOOKUP(Ejecucion45[[#This Row],[No. Solicitud]],Registro!$B$8:$B$997,Registro!$H$8:$H$997,"Sin Dato",0))</f>
        <v>Curso 67</v>
      </c>
      <c r="E136" s="160" t="s">
        <v>929</v>
      </c>
      <c r="F13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135</v>
      </c>
      <c r="G136" s="55">
        <v>4</v>
      </c>
      <c r="H136" s="81">
        <v>43778</v>
      </c>
      <c r="I136" s="55">
        <f>IF(Ejecucion45[[#This Row],[PC]]="","",_xlfn.XLOOKUP(Ejecucion45[[#This Row],[PC]],Ejecucion[PC],Ejecucion[Grupo],"NE",0))</f>
        <v>2</v>
      </c>
      <c r="J136" s="55">
        <f>IF(Ejecucion45[[#This Row],[PC]]="","",COUNTIF(Ejecucion4[Codigo],Ejecucion45[[#This Row],[PC]]))</f>
        <v>1</v>
      </c>
    </row>
    <row r="137" spans="1:10">
      <c r="A137" s="30">
        <f>ROW() - ROW(Ejecucion45[[#Headers],[Correlativo]])</f>
        <v>133</v>
      </c>
      <c r="B137" s="36" t="s">
        <v>311</v>
      </c>
      <c r="C137" s="84"/>
      <c r="D137" s="55" t="str">
        <f>IF(Ejecucion45[[#This Row],[No. Solicitud]]="","",_xlfn.XLOOKUP(Ejecucion45[[#This Row],[No. Solicitud]],Registro!$B$8:$B$997,Registro!$H$8:$H$997,"Sin Dato",0))</f>
        <v>Curso 67</v>
      </c>
      <c r="E137" s="160" t="s">
        <v>930</v>
      </c>
      <c r="F13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136</v>
      </c>
      <c r="G137" s="55">
        <v>4</v>
      </c>
      <c r="H137" s="81">
        <v>42588</v>
      </c>
      <c r="I137" s="55">
        <f>IF(Ejecucion45[[#This Row],[PC]]="","",_xlfn.XLOOKUP(Ejecucion45[[#This Row],[PC]],Ejecucion[PC],Ejecucion[Grupo],"NE",0))</f>
        <v>1</v>
      </c>
      <c r="J137" s="55">
        <f>IF(Ejecucion45[[#This Row],[PC]]="","",COUNTIF(Ejecucion4[Codigo],Ejecucion45[[#This Row],[PC]]))</f>
        <v>1</v>
      </c>
    </row>
    <row r="138" spans="1:10" ht="28.8" customHeight="1">
      <c r="A138" s="30">
        <f>ROW() - ROW(Ejecucion45[[#Headers],[Correlativo]])</f>
        <v>134</v>
      </c>
      <c r="B138" s="36" t="s">
        <v>311</v>
      </c>
      <c r="C138" s="84" t="str">
        <f>IF(B138="","",HYPERLINK("#"&amp;"Registro!B"&amp;MATCH(B138,Registro!$B$8:$B$997,0)+7,"Ubicar en registro"))</f>
        <v>Ubicar en registro</v>
      </c>
      <c r="D138" s="55" t="str">
        <f>IF(Ejecucion45[[#This Row],[No. Solicitud]]="","",_xlfn.XLOOKUP(Ejecucion45[[#This Row],[No. Solicitud]],Registro!$B$8:$B$997,Registro!$H$8:$H$997,"Sin Dato",0))</f>
        <v>Curso 67</v>
      </c>
      <c r="E138" s="160" t="s">
        <v>931</v>
      </c>
      <c r="F13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137</v>
      </c>
      <c r="G138" s="55">
        <v>4</v>
      </c>
      <c r="H138" s="81">
        <v>42615</v>
      </c>
      <c r="I138" s="55">
        <f>IF(Ejecucion45[[#This Row],[PC]]="","",_xlfn.XLOOKUP(Ejecucion45[[#This Row],[PC]],Ejecucion[PC],Ejecucion[Grupo],"NE",0))</f>
        <v>2</v>
      </c>
      <c r="J138" s="55">
        <f>IF(Ejecucion45[[#This Row],[PC]]="","",COUNTIF(Ejecucion4[Codigo],Ejecucion45[[#This Row],[PC]]))</f>
        <v>1</v>
      </c>
    </row>
    <row r="139" spans="1:10" ht="28.8" customHeight="1">
      <c r="A139" s="30">
        <f>ROW() - ROW(Ejecucion45[[#Headers],[Correlativo]])</f>
        <v>135</v>
      </c>
      <c r="B139" s="36" t="s">
        <v>311</v>
      </c>
      <c r="C139" s="84" t="str">
        <f>IF(B139="","",HYPERLINK("#"&amp;"Registro!B"&amp;MATCH(B139,Registro!$B$8:$B$997,0)+7,"Ubicar en registro"))</f>
        <v>Ubicar en registro</v>
      </c>
      <c r="D139" s="55" t="str">
        <f>IF(Ejecucion45[[#This Row],[No. Solicitud]]="","",_xlfn.XLOOKUP(Ejecucion45[[#This Row],[No. Solicitud]],Registro!$B$8:$B$997,Registro!$H$8:$H$997,"Sin Dato",0))</f>
        <v>Curso 67</v>
      </c>
      <c r="E139" s="160" t="s">
        <v>932</v>
      </c>
      <c r="F13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138</v>
      </c>
      <c r="G139" s="55">
        <v>4</v>
      </c>
      <c r="H139" s="81">
        <v>42615</v>
      </c>
      <c r="I139" s="55">
        <f>IF(Ejecucion45[[#This Row],[PC]]="","",_xlfn.XLOOKUP(Ejecucion45[[#This Row],[PC]],Ejecucion[PC],Ejecucion[Grupo],"NE",0))</f>
        <v>2</v>
      </c>
      <c r="J139" s="55">
        <f>IF(Ejecucion45[[#This Row],[PC]]="","",COUNTIF(Ejecucion4[Codigo],Ejecucion45[[#This Row],[PC]]))</f>
        <v>1</v>
      </c>
    </row>
    <row r="140" spans="1:10" ht="28.8" customHeight="1">
      <c r="A140" s="30">
        <f>ROW() - ROW(Ejecucion45[[#Headers],[Correlativo]])</f>
        <v>136</v>
      </c>
      <c r="B140" s="36" t="s">
        <v>311</v>
      </c>
      <c r="C140" s="84" t="str">
        <f>IF(B140="","",HYPERLINK("#"&amp;"Registro!B"&amp;MATCH(B140,Registro!$B$8:$B$997,0)+7,"Ubicar en registro"))</f>
        <v>Ubicar en registro</v>
      </c>
      <c r="D140" s="55" t="str">
        <f>IF(Ejecucion45[[#This Row],[No. Solicitud]]="","",_xlfn.XLOOKUP(Ejecucion45[[#This Row],[No. Solicitud]],Registro!$B$8:$B$997,Registro!$H$8:$H$997,"Sin Dato",0))</f>
        <v>Curso 67</v>
      </c>
      <c r="E140" s="160" t="s">
        <v>933</v>
      </c>
      <c r="F14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139</v>
      </c>
      <c r="G140" s="55">
        <v>4</v>
      </c>
      <c r="H140" s="81">
        <v>42823</v>
      </c>
      <c r="I140" s="55">
        <f>IF(Ejecucion45[[#This Row],[PC]]="","",_xlfn.XLOOKUP(Ejecucion45[[#This Row],[PC]],Ejecucion[PC],Ejecucion[Grupo],"NE",0))</f>
        <v>3</v>
      </c>
      <c r="J140" s="55">
        <f>IF(Ejecucion45[[#This Row],[PC]]="","",COUNTIF(Ejecucion4[Codigo],Ejecucion45[[#This Row],[PC]]))</f>
        <v>1</v>
      </c>
    </row>
    <row r="141" spans="1:10" ht="28.8" customHeight="1">
      <c r="A141" s="30">
        <f>ROW() - ROW(Ejecucion45[[#Headers],[Correlativo]])</f>
        <v>137</v>
      </c>
      <c r="B141" s="36" t="s">
        <v>311</v>
      </c>
      <c r="C141" s="84" t="str">
        <f>IF(B141="","",HYPERLINK("#"&amp;"Registro!B"&amp;MATCH(B141,Registro!$B$8:$B$997,0)+7,"Ubicar en registro"))</f>
        <v>Ubicar en registro</v>
      </c>
      <c r="D141" s="55" t="str">
        <f>IF(Ejecucion45[[#This Row],[No. Solicitud]]="","",_xlfn.XLOOKUP(Ejecucion45[[#This Row],[No. Solicitud]],Registro!$B$8:$B$997,Registro!$H$8:$H$997,"Sin Dato",0))</f>
        <v>Curso 67</v>
      </c>
      <c r="E141" s="160" t="s">
        <v>934</v>
      </c>
      <c r="F14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140</v>
      </c>
      <c r="G141" s="55">
        <v>4</v>
      </c>
      <c r="H141" s="81">
        <v>42823</v>
      </c>
      <c r="I141" s="55">
        <f>IF(Ejecucion45[[#This Row],[PC]]="","",_xlfn.XLOOKUP(Ejecucion45[[#This Row],[PC]],Ejecucion[PC],Ejecucion[Grupo],"NE",0))</f>
        <v>3</v>
      </c>
      <c r="J141" s="55">
        <f>IF(Ejecucion45[[#This Row],[PC]]="","",COUNTIF(Ejecucion4[Codigo],Ejecucion45[[#This Row],[PC]]))</f>
        <v>1</v>
      </c>
    </row>
    <row r="142" spans="1:10" ht="28.8" customHeight="1">
      <c r="A142" s="30">
        <f>ROW() - ROW(Ejecucion45[[#Headers],[Correlativo]])</f>
        <v>138</v>
      </c>
      <c r="B142" s="36" t="s">
        <v>311</v>
      </c>
      <c r="C142" s="84" t="str">
        <f>IF(B142="","",HYPERLINK("#"&amp;"Registro!B"&amp;MATCH(B142,Registro!$B$8:$B$997,0)+7,"Ubicar en registro"))</f>
        <v>Ubicar en registro</v>
      </c>
      <c r="D142" s="55" t="str">
        <f>IF(Ejecucion45[[#This Row],[No. Solicitud]]="","",_xlfn.XLOOKUP(Ejecucion45[[#This Row],[No. Solicitud]],Registro!$B$8:$B$997,Registro!$H$8:$H$997,"Sin Dato",0))</f>
        <v>Curso 67</v>
      </c>
      <c r="E142" s="160" t="s">
        <v>935</v>
      </c>
      <c r="F14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141</v>
      </c>
      <c r="G142" s="55">
        <v>4</v>
      </c>
      <c r="H142" s="81">
        <v>42895</v>
      </c>
      <c r="I142" s="55">
        <f>IF(Ejecucion45[[#This Row],[PC]]="","",_xlfn.XLOOKUP(Ejecucion45[[#This Row],[PC]],Ejecucion[PC],Ejecucion[Grupo],"NE",0))</f>
        <v>4</v>
      </c>
      <c r="J142" s="55">
        <f>IF(Ejecucion45[[#This Row],[PC]]="","",COUNTIF(Ejecucion4[Codigo],Ejecucion45[[#This Row],[PC]]))</f>
        <v>1</v>
      </c>
    </row>
    <row r="143" spans="1:10" ht="28.8" customHeight="1">
      <c r="A143" s="30">
        <f>ROW() - ROW(Ejecucion45[[#Headers],[Correlativo]])</f>
        <v>139</v>
      </c>
      <c r="B143" s="36" t="s">
        <v>311</v>
      </c>
      <c r="C143" s="84" t="str">
        <f>IF(B143="","",HYPERLINK("#"&amp;"Registro!B"&amp;MATCH(B143,Registro!$B$8:$B$997,0)+7,"Ubicar en registro"))</f>
        <v>Ubicar en registro</v>
      </c>
      <c r="D143" s="55" t="str">
        <f>IF(Ejecucion45[[#This Row],[No. Solicitud]]="","",_xlfn.XLOOKUP(Ejecucion45[[#This Row],[No. Solicitud]],Registro!$B$8:$B$997,Registro!$H$8:$H$997,"Sin Dato",0))</f>
        <v>Curso 67</v>
      </c>
      <c r="E143" s="160" t="s">
        <v>936</v>
      </c>
      <c r="F14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142</v>
      </c>
      <c r="G143" s="55">
        <v>4</v>
      </c>
      <c r="H143" s="81">
        <v>42895</v>
      </c>
      <c r="I143" s="55">
        <f>IF(Ejecucion45[[#This Row],[PC]]="","",_xlfn.XLOOKUP(Ejecucion45[[#This Row],[PC]],Ejecucion[PC],Ejecucion[Grupo],"NE",0))</f>
        <v>4</v>
      </c>
      <c r="J143" s="55">
        <f>IF(Ejecucion45[[#This Row],[PC]]="","",COUNTIF(Ejecucion4[Codigo],Ejecucion45[[#This Row],[PC]]))</f>
        <v>1</v>
      </c>
    </row>
    <row r="144" spans="1:10" ht="28.8" customHeight="1">
      <c r="A144" s="30">
        <f>ROW() - ROW(Ejecucion45[[#Headers],[Correlativo]])</f>
        <v>140</v>
      </c>
      <c r="B144" s="36" t="s">
        <v>311</v>
      </c>
      <c r="C144" s="84" t="str">
        <f>IF(B144="","",HYPERLINK("#"&amp;"Registro!B"&amp;MATCH(B144,Registro!$B$8:$B$997,0)+7,"Ubicar en registro"))</f>
        <v>Ubicar en registro</v>
      </c>
      <c r="D144" s="55" t="str">
        <f>IF(Ejecucion45[[#This Row],[No. Solicitud]]="","",_xlfn.XLOOKUP(Ejecucion45[[#This Row],[No. Solicitud]],Registro!$B$8:$B$997,Registro!$H$8:$H$997,"Sin Dato",0))</f>
        <v>Curso 67</v>
      </c>
      <c r="E144" s="160" t="s">
        <v>937</v>
      </c>
      <c r="F14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143</v>
      </c>
      <c r="G144" s="55">
        <v>4</v>
      </c>
      <c r="H144" s="81">
        <v>43028</v>
      </c>
      <c r="I144" s="55">
        <f>IF(Ejecucion45[[#This Row],[PC]]="","",_xlfn.XLOOKUP(Ejecucion45[[#This Row],[PC]],Ejecucion[PC],Ejecucion[Grupo],"NE",0))</f>
        <v>5</v>
      </c>
      <c r="J144" s="55">
        <f>IF(Ejecucion45[[#This Row],[PC]]="","",COUNTIF(Ejecucion4[Codigo],Ejecucion45[[#This Row],[PC]]))</f>
        <v>1</v>
      </c>
    </row>
    <row r="145" spans="1:10" ht="28.8" customHeight="1">
      <c r="A145" s="30">
        <f>ROW() - ROW(Ejecucion45[[#Headers],[Correlativo]])</f>
        <v>141</v>
      </c>
      <c r="B145" s="36" t="s">
        <v>311</v>
      </c>
      <c r="C145" s="84" t="str">
        <f>IF(B145="","",HYPERLINK("#"&amp;"Registro!B"&amp;MATCH(B145,Registro!$B$8:$B$997,0)+7,"Ubicar en registro"))</f>
        <v>Ubicar en registro</v>
      </c>
      <c r="D145" s="55" t="str">
        <f>IF(Ejecucion45[[#This Row],[No. Solicitud]]="","",_xlfn.XLOOKUP(Ejecucion45[[#This Row],[No. Solicitud]],Registro!$B$8:$B$997,Registro!$H$8:$H$997,"Sin Dato",0))</f>
        <v>Curso 67</v>
      </c>
      <c r="E145" s="160" t="s">
        <v>938</v>
      </c>
      <c r="F14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144</v>
      </c>
      <c r="G145" s="55">
        <v>4</v>
      </c>
      <c r="H145" s="81">
        <v>43028</v>
      </c>
      <c r="I145" s="55">
        <f>IF(Ejecucion45[[#This Row],[PC]]="","",_xlfn.XLOOKUP(Ejecucion45[[#This Row],[PC]],Ejecucion[PC],Ejecucion[Grupo],"NE",0))</f>
        <v>5</v>
      </c>
      <c r="J145" s="55">
        <f>IF(Ejecucion45[[#This Row],[PC]]="","",COUNTIF(Ejecucion4[Codigo],Ejecucion45[[#This Row],[PC]]))</f>
        <v>1</v>
      </c>
    </row>
    <row r="146" spans="1:10" ht="28.8" customHeight="1">
      <c r="A146" s="30">
        <f>ROW() - ROW(Ejecucion45[[#Headers],[Correlativo]])</f>
        <v>142</v>
      </c>
      <c r="B146" s="36" t="s">
        <v>311</v>
      </c>
      <c r="C146" s="84" t="str">
        <f>IF(B146="","",HYPERLINK("#"&amp;"Registro!B"&amp;MATCH(B146,Registro!$B$8:$B$997,0)+7,"Ubicar en registro"))</f>
        <v>Ubicar en registro</v>
      </c>
      <c r="D146" s="55" t="str">
        <f>IF(Ejecucion45[[#This Row],[No. Solicitud]]="","",_xlfn.XLOOKUP(Ejecucion45[[#This Row],[No. Solicitud]],Registro!$B$8:$B$997,Registro!$H$8:$H$997,"Sin Dato",0))</f>
        <v>Curso 67</v>
      </c>
      <c r="E146" s="160" t="s">
        <v>939</v>
      </c>
      <c r="F14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145</v>
      </c>
      <c r="G146" s="55">
        <v>4</v>
      </c>
      <c r="H146" s="81">
        <v>43161</v>
      </c>
      <c r="I146" s="55">
        <f>IF(Ejecucion45[[#This Row],[PC]]="","",_xlfn.XLOOKUP(Ejecucion45[[#This Row],[PC]],Ejecucion[PC],Ejecucion[Grupo],"NE",0))</f>
        <v>6</v>
      </c>
      <c r="J146" s="55">
        <f>IF(Ejecucion45[[#This Row],[PC]]="","",COUNTIF(Ejecucion4[Codigo],Ejecucion45[[#This Row],[PC]]))</f>
        <v>1</v>
      </c>
    </row>
    <row r="147" spans="1:10" ht="28.8" customHeight="1">
      <c r="A147" s="30">
        <f>ROW() - ROW(Ejecucion45[[#Headers],[Correlativo]])</f>
        <v>143</v>
      </c>
      <c r="B147" s="36" t="s">
        <v>311</v>
      </c>
      <c r="C147" s="84" t="str">
        <f>IF(B147="","",HYPERLINK("#"&amp;"Registro!B"&amp;MATCH(B147,Registro!$B$8:$B$997,0)+7,"Ubicar en registro"))</f>
        <v>Ubicar en registro</v>
      </c>
      <c r="D147" s="55" t="str">
        <f>IF(Ejecucion45[[#This Row],[No. Solicitud]]="","",_xlfn.XLOOKUP(Ejecucion45[[#This Row],[No. Solicitud]],Registro!$B$8:$B$997,Registro!$H$8:$H$997,"Sin Dato",0))</f>
        <v>Curso 67</v>
      </c>
      <c r="E147" s="160" t="s">
        <v>940</v>
      </c>
      <c r="F14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146</v>
      </c>
      <c r="G147" s="55">
        <v>4</v>
      </c>
      <c r="H147" s="81">
        <v>43161</v>
      </c>
      <c r="I147" s="55">
        <f>IF(Ejecucion45[[#This Row],[PC]]="","",_xlfn.XLOOKUP(Ejecucion45[[#This Row],[PC]],Ejecucion[PC],Ejecucion[Grupo],"NE",0))</f>
        <v>6</v>
      </c>
      <c r="J147" s="55">
        <f>IF(Ejecucion45[[#This Row],[PC]]="","",COUNTIF(Ejecucion4[Codigo],Ejecucion45[[#This Row],[PC]]))</f>
        <v>1</v>
      </c>
    </row>
    <row r="148" spans="1:10" ht="28.8" customHeight="1">
      <c r="A148" s="30">
        <f>ROW() - ROW(Ejecucion45[[#Headers],[Correlativo]])</f>
        <v>144</v>
      </c>
      <c r="B148" s="36" t="s">
        <v>311</v>
      </c>
      <c r="C148" s="84" t="str">
        <f>IF(B148="","",HYPERLINK("#"&amp;"Registro!B"&amp;MATCH(B148,Registro!$B$8:$B$997,0)+7,"Ubicar en registro"))</f>
        <v>Ubicar en registro</v>
      </c>
      <c r="D148" s="55" t="str">
        <f>IF(Ejecucion45[[#This Row],[No. Solicitud]]="","",_xlfn.XLOOKUP(Ejecucion45[[#This Row],[No. Solicitud]],Registro!$B$8:$B$997,Registro!$H$8:$H$997,"Sin Dato",0))</f>
        <v>Curso 67</v>
      </c>
      <c r="E148" s="160" t="s">
        <v>941</v>
      </c>
      <c r="F14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147</v>
      </c>
      <c r="G148" s="55">
        <v>4</v>
      </c>
      <c r="H148" s="81">
        <v>43182</v>
      </c>
      <c r="I148" s="55">
        <f>IF(Ejecucion45[[#This Row],[PC]]="","",_xlfn.XLOOKUP(Ejecucion45[[#This Row],[PC]],Ejecucion[PC],Ejecucion[Grupo],"NE",0))</f>
        <v>7</v>
      </c>
      <c r="J148" s="55">
        <f>IF(Ejecucion45[[#This Row],[PC]]="","",COUNTIF(Ejecucion4[Codigo],Ejecucion45[[#This Row],[PC]]))</f>
        <v>1</v>
      </c>
    </row>
    <row r="149" spans="1:10" ht="28.8" customHeight="1">
      <c r="A149" s="30">
        <f>ROW() - ROW(Ejecucion45[[#Headers],[Correlativo]])</f>
        <v>145</v>
      </c>
      <c r="B149" s="36" t="s">
        <v>311</v>
      </c>
      <c r="C149" s="84" t="str">
        <f>IF(B149="","",HYPERLINK("#"&amp;"Registro!B"&amp;MATCH(B149,Registro!$B$8:$B$997,0)+7,"Ubicar en registro"))</f>
        <v>Ubicar en registro</v>
      </c>
      <c r="D149" s="55" t="str">
        <f>IF(Ejecucion45[[#This Row],[No. Solicitud]]="","",_xlfn.XLOOKUP(Ejecucion45[[#This Row],[No. Solicitud]],Registro!$B$8:$B$997,Registro!$H$8:$H$997,"Sin Dato",0))</f>
        <v>Curso 67</v>
      </c>
      <c r="E149" s="160" t="s">
        <v>942</v>
      </c>
      <c r="F14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148</v>
      </c>
      <c r="G149" s="55">
        <v>4</v>
      </c>
      <c r="H149" s="81">
        <v>43182</v>
      </c>
      <c r="I149" s="55">
        <f>IF(Ejecucion45[[#This Row],[PC]]="","",_xlfn.XLOOKUP(Ejecucion45[[#This Row],[PC]],Ejecucion[PC],Ejecucion[Grupo],"NE",0))</f>
        <v>7</v>
      </c>
      <c r="J149" s="55">
        <f>IF(Ejecucion45[[#This Row],[PC]]="","",COUNTIF(Ejecucion4[Codigo],Ejecucion45[[#This Row],[PC]]))</f>
        <v>1</v>
      </c>
    </row>
    <row r="150" spans="1:10" ht="28.8" customHeight="1">
      <c r="A150" s="30">
        <f>ROW() - ROW(Ejecucion45[[#Headers],[Correlativo]])</f>
        <v>146</v>
      </c>
      <c r="B150" s="36" t="s">
        <v>311</v>
      </c>
      <c r="C150" s="84" t="str">
        <f>IF(B150="","",HYPERLINK("#"&amp;"Registro!B"&amp;MATCH(B150,Registro!$B$8:$B$997,0)+7,"Ubicar en registro"))</f>
        <v>Ubicar en registro</v>
      </c>
      <c r="D150" s="55" t="str">
        <f>IF(Ejecucion45[[#This Row],[No. Solicitud]]="","",_xlfn.XLOOKUP(Ejecucion45[[#This Row],[No. Solicitud]],Registro!$B$8:$B$997,Registro!$H$8:$H$997,"Sin Dato",0))</f>
        <v>Curso 67</v>
      </c>
      <c r="E150" s="160" t="s">
        <v>943</v>
      </c>
      <c r="F15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NE</v>
      </c>
      <c r="G150" s="55">
        <v>4</v>
      </c>
      <c r="H150" s="81">
        <v>43269</v>
      </c>
      <c r="I150" s="55">
        <f>IF(Ejecucion45[[#This Row],[PC]]="","",_xlfn.XLOOKUP(Ejecucion45[[#This Row],[PC]],Ejecucion[PC],Ejecucion[Grupo],"NE",0))</f>
        <v>8</v>
      </c>
      <c r="J150" s="55">
        <f>IF(Ejecucion45[[#This Row],[PC]]="","",COUNTIF(Ejecucion4[Codigo],Ejecucion45[[#This Row],[PC]]))</f>
        <v>1</v>
      </c>
    </row>
    <row r="151" spans="1:10" ht="28.8" customHeight="1">
      <c r="A151" s="30">
        <f>ROW() - ROW(Ejecucion45[[#Headers],[Correlativo]])</f>
        <v>147</v>
      </c>
      <c r="B151" s="36" t="s">
        <v>311</v>
      </c>
      <c r="C151" s="84" t="str">
        <f>IF(B151="","",HYPERLINK("#"&amp;"Registro!B"&amp;MATCH(B151,Registro!$B$8:$B$997,0)+7,"Ubicar en registro"))</f>
        <v>Ubicar en registro</v>
      </c>
      <c r="D151" s="55" t="str">
        <f>IF(Ejecucion45[[#This Row],[No. Solicitud]]="","",_xlfn.XLOOKUP(Ejecucion45[[#This Row],[No. Solicitud]],Registro!$B$8:$B$997,Registro!$H$8:$H$997,"Sin Dato",0))</f>
        <v>Curso 67</v>
      </c>
      <c r="E151" s="160" t="s">
        <v>944</v>
      </c>
      <c r="F15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NE</v>
      </c>
      <c r="G151" s="55">
        <v>4</v>
      </c>
      <c r="H151" s="81">
        <v>43269</v>
      </c>
      <c r="I151" s="55">
        <f>IF(Ejecucion45[[#This Row],[PC]]="","",_xlfn.XLOOKUP(Ejecucion45[[#This Row],[PC]],Ejecucion[PC],Ejecucion[Grupo],"NE",0))</f>
        <v>8</v>
      </c>
      <c r="J151" s="55">
        <f>IF(Ejecucion45[[#This Row],[PC]]="","",COUNTIF(Ejecucion4[Codigo],Ejecucion45[[#This Row],[PC]]))</f>
        <v>1</v>
      </c>
    </row>
    <row r="152" spans="1:10" ht="28.8" customHeight="1">
      <c r="A152" s="30">
        <f>ROW() - ROW(Ejecucion45[[#Headers],[Correlativo]])</f>
        <v>148</v>
      </c>
      <c r="B152" s="36" t="s">
        <v>311</v>
      </c>
      <c r="C152" s="84" t="str">
        <f>IF(B152="","",HYPERLINK("#"&amp;"Registro!B"&amp;MATCH(B152,Registro!$B$8:$B$997,0)+7,"Ubicar en registro"))</f>
        <v>Ubicar en registro</v>
      </c>
      <c r="D152" s="55" t="str">
        <f>IF(Ejecucion45[[#This Row],[No. Solicitud]]="","",_xlfn.XLOOKUP(Ejecucion45[[#This Row],[No. Solicitud]],Registro!$B$8:$B$997,Registro!$H$8:$H$997,"Sin Dato",0))</f>
        <v>Curso 67</v>
      </c>
      <c r="E152" s="160" t="s">
        <v>945</v>
      </c>
      <c r="F15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</v>
      </c>
      <c r="G152" s="55">
        <v>4</v>
      </c>
      <c r="H152" s="81">
        <v>43325</v>
      </c>
      <c r="I152" s="55">
        <f>IF(Ejecucion45[[#This Row],[PC]]="","",_xlfn.XLOOKUP(Ejecucion45[[#This Row],[PC]],Ejecucion[PC],Ejecucion[Grupo],"NE",0))</f>
        <v>9</v>
      </c>
      <c r="J152" s="55">
        <f>IF(Ejecucion45[[#This Row],[PC]]="","",COUNTIF(Ejecucion4[Codigo],Ejecucion45[[#This Row],[PC]]))</f>
        <v>1</v>
      </c>
    </row>
    <row r="153" spans="1:10" ht="28.8" customHeight="1">
      <c r="A153" s="30">
        <f>ROW() - ROW(Ejecucion45[[#Headers],[Correlativo]])</f>
        <v>149</v>
      </c>
      <c r="B153" s="36" t="s">
        <v>311</v>
      </c>
      <c r="C153" s="84" t="str">
        <f>IF(B153="","",HYPERLINK("#"&amp;"Registro!B"&amp;MATCH(B153,Registro!$B$8:$B$997,0)+7,"Ubicar en registro"))</f>
        <v>Ubicar en registro</v>
      </c>
      <c r="D153" s="55" t="str">
        <f>IF(Ejecucion45[[#This Row],[No. Solicitud]]="","",_xlfn.XLOOKUP(Ejecucion45[[#This Row],[No. Solicitud]],Registro!$B$8:$B$997,Registro!$H$8:$H$997,"Sin Dato",0))</f>
        <v>Curso 67</v>
      </c>
      <c r="E153" s="160" t="s">
        <v>946</v>
      </c>
      <c r="F15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</v>
      </c>
      <c r="G153" s="55">
        <v>4</v>
      </c>
      <c r="H153" s="81">
        <v>43325</v>
      </c>
      <c r="I153" s="55">
        <f>IF(Ejecucion45[[#This Row],[PC]]="","",_xlfn.XLOOKUP(Ejecucion45[[#This Row],[PC]],Ejecucion[PC],Ejecucion[Grupo],"NE",0))</f>
        <v>9</v>
      </c>
      <c r="J153" s="55">
        <f>IF(Ejecucion45[[#This Row],[PC]]="","",COUNTIF(Ejecucion4[Codigo],Ejecucion45[[#This Row],[PC]]))</f>
        <v>1</v>
      </c>
    </row>
    <row r="154" spans="1:10" ht="28.8" customHeight="1">
      <c r="A154" s="30">
        <f>ROW() - ROW(Ejecucion45[[#Headers],[Correlativo]])</f>
        <v>150</v>
      </c>
      <c r="B154" s="36" t="s">
        <v>311</v>
      </c>
      <c r="C154" s="84" t="str">
        <f>IF(B154="","",HYPERLINK("#"&amp;"Registro!B"&amp;MATCH(B154,Registro!$B$8:$B$997,0)+7,"Ubicar en registro"))</f>
        <v>Ubicar en registro</v>
      </c>
      <c r="D154" s="55" t="str">
        <f>IF(Ejecucion45[[#This Row],[No. Solicitud]]="","",_xlfn.XLOOKUP(Ejecucion45[[#This Row],[No. Solicitud]],Registro!$B$8:$B$997,Registro!$H$8:$H$997,"Sin Dato",0))</f>
        <v>Curso 67</v>
      </c>
      <c r="E154" s="160" t="s">
        <v>947</v>
      </c>
      <c r="F15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</v>
      </c>
      <c r="G154" s="55">
        <v>4</v>
      </c>
      <c r="H154" s="214">
        <v>43454</v>
      </c>
      <c r="I154" s="55">
        <f>IF(Ejecucion45[[#This Row],[PC]]="","",_xlfn.XLOOKUP(Ejecucion45[[#This Row],[PC]],Ejecucion[PC],Ejecucion[Grupo],"NE",0))</f>
        <v>10</v>
      </c>
      <c r="J154" s="55">
        <f>IF(Ejecucion45[[#This Row],[PC]]="","",COUNTIF(Ejecucion4[Codigo],Ejecucion45[[#This Row],[PC]]))</f>
        <v>1</v>
      </c>
    </row>
    <row r="155" spans="1:10" ht="28.8" customHeight="1">
      <c r="A155" s="30">
        <f>ROW() - ROW(Ejecucion45[[#Headers],[Correlativo]])</f>
        <v>151</v>
      </c>
      <c r="B155" s="36" t="s">
        <v>311</v>
      </c>
      <c r="C155" s="84" t="str">
        <f>IF(B155="","",HYPERLINK("#"&amp;"Registro!B"&amp;MATCH(B155,Registro!$B$8:$B$997,0)+7,"Ubicar en registro"))</f>
        <v>Ubicar en registro</v>
      </c>
      <c r="D155" s="55" t="str">
        <f>IF(Ejecucion45[[#This Row],[No. Solicitud]]="","",_xlfn.XLOOKUP(Ejecucion45[[#This Row],[No. Solicitud]],Registro!$B$8:$B$997,Registro!$H$8:$H$997,"Sin Dato",0))</f>
        <v>Curso 67</v>
      </c>
      <c r="E155" s="160" t="s">
        <v>798</v>
      </c>
      <c r="F15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</v>
      </c>
      <c r="G155" s="55">
        <v>4</v>
      </c>
      <c r="H155" s="214">
        <v>43454</v>
      </c>
      <c r="I155" s="55">
        <f>IF(Ejecucion45[[#This Row],[PC]]="","",_xlfn.XLOOKUP(Ejecucion45[[#This Row],[PC]],Ejecucion[PC],Ejecucion[Grupo],"NE",0))</f>
        <v>10</v>
      </c>
      <c r="J155" s="55">
        <f>IF(Ejecucion45[[#This Row],[PC]]="","",COUNTIF(Ejecucion4[Codigo],Ejecucion45[[#This Row],[PC]]))</f>
        <v>1</v>
      </c>
    </row>
    <row r="156" spans="1:10" ht="28.8" customHeight="1">
      <c r="A156" s="30">
        <f>ROW() - ROW(Ejecucion45[[#Headers],[Correlativo]])</f>
        <v>152</v>
      </c>
      <c r="B156" s="30" t="s">
        <v>182</v>
      </c>
      <c r="C156" s="84" t="str">
        <f>IF(B156="","",HYPERLINK("#"&amp;"Registro!B"&amp;MATCH(B156,Registro!$B$8:$B$997,0)+7,"Ubicar en registro"))</f>
        <v>Ubicar en registro</v>
      </c>
      <c r="D156" s="55" t="str">
        <f>IF(Ejecucion45[[#This Row],[No. Solicitud]]="","",_xlfn.XLOOKUP(Ejecucion45[[#This Row],[No. Solicitud]],Registro!$B$8:$B$997,Registro!$H$8:$H$997,"Sin Dato",0))</f>
        <v>Curso 25</v>
      </c>
      <c r="E156" s="160" t="s">
        <v>799</v>
      </c>
      <c r="F15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</v>
      </c>
      <c r="G156" s="55">
        <v>8</v>
      </c>
      <c r="H156" s="55">
        <v>43830</v>
      </c>
      <c r="I156" s="55">
        <f>IF(Ejecucion45[[#This Row],[PC]]="","",_xlfn.XLOOKUP(Ejecucion45[[#This Row],[PC]],Ejecucion[PC],Ejecucion[Grupo],"NE",0))</f>
        <v>1</v>
      </c>
      <c r="J156" s="55">
        <f>IF(Ejecucion45[[#This Row],[PC]]="","",COUNTIF(Ejecucion4[Codigo],Ejecucion45[[#This Row],[PC]]))</f>
        <v>1</v>
      </c>
    </row>
    <row r="157" spans="1:10" ht="28.8" customHeight="1">
      <c r="A157" s="30">
        <f>ROW() - ROW(Ejecucion45[[#Headers],[Correlativo]])</f>
        <v>153</v>
      </c>
      <c r="B157" s="36" t="s">
        <v>313</v>
      </c>
      <c r="C157" s="84" t="str">
        <f>IF(B157="","",HYPERLINK("#"&amp;"Registro!B"&amp;MATCH(B157,Registro!$B$8:$B$997,0)+7,"Ubicar en registro"))</f>
        <v>Ubicar en registro</v>
      </c>
      <c r="D157" s="55" t="str">
        <f>IF(Ejecucion45[[#This Row],[No. Solicitud]]="","",_xlfn.XLOOKUP(Ejecucion45[[#This Row],[No. Solicitud]],Registro!$B$8:$B$997,Registro!$H$8:$H$997,"Sin Dato",0))</f>
        <v>Curso 68</v>
      </c>
      <c r="E157" s="185" t="s">
        <v>800</v>
      </c>
      <c r="F15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</v>
      </c>
      <c r="G157" s="55">
        <v>4</v>
      </c>
      <c r="H157" s="81">
        <v>42589</v>
      </c>
      <c r="I157" s="55">
        <f>IF(Ejecucion45[[#This Row],[PC]]="","",_xlfn.XLOOKUP(Ejecucion45[[#This Row],[PC]],Ejecucion[PC],Ejecucion[Grupo],"NE",0))</f>
        <v>1</v>
      </c>
      <c r="J157" s="55">
        <f>IF(Ejecucion45[[#This Row],[PC]]="","",COUNTIF(Ejecucion4[Codigo],Ejecucion45[[#This Row],[PC]]))</f>
        <v>1</v>
      </c>
    </row>
    <row r="158" spans="1:10" ht="28.8" customHeight="1">
      <c r="A158" s="30">
        <f>ROW() - ROW(Ejecucion45[[#Headers],[Correlativo]])</f>
        <v>154</v>
      </c>
      <c r="B158" s="156" t="s">
        <v>313</v>
      </c>
      <c r="C158" s="84" t="str">
        <f>IF(B158="","",HYPERLINK("#"&amp;"Registro!B"&amp;MATCH(B158,Registro!$B$8:$B$997,0)+7,"Ubicar en registro"))</f>
        <v>Ubicar en registro</v>
      </c>
      <c r="D158" s="55" t="str">
        <f>IF(Ejecucion45[[#This Row],[No. Solicitud]]="","",_xlfn.XLOOKUP(Ejecucion45[[#This Row],[No. Solicitud]],Registro!$B$8:$B$997,Registro!$H$8:$H$997,"Sin Dato",0))</f>
        <v>Curso 68</v>
      </c>
      <c r="E158" s="185" t="s">
        <v>801</v>
      </c>
      <c r="F15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</v>
      </c>
      <c r="G158" s="55">
        <v>4</v>
      </c>
      <c r="H158" s="81">
        <v>42619</v>
      </c>
      <c r="I158" s="55">
        <f>IF(Ejecucion45[[#This Row],[PC]]="","",_xlfn.XLOOKUP(Ejecucion45[[#This Row],[PC]],Ejecucion[PC],Ejecucion[Grupo],"NE",0))</f>
        <v>2</v>
      </c>
      <c r="J158" s="55">
        <f>IF(Ejecucion45[[#This Row],[PC]]="","",COUNTIF(Ejecucion4[Codigo],Ejecucion45[[#This Row],[PC]]))</f>
        <v>1</v>
      </c>
    </row>
    <row r="159" spans="1:10" ht="28.8" customHeight="1">
      <c r="A159" s="30">
        <f>ROW() - ROW(Ejecucion45[[#Headers],[Correlativo]])</f>
        <v>155</v>
      </c>
      <c r="B159" s="156" t="s">
        <v>313</v>
      </c>
      <c r="C159" s="153" t="str">
        <f>IF(B159="","",HYPERLINK("#"&amp;"Registro!B"&amp;MATCH(B159,Registro!$B$8:$B$997,0)+7,"Ubicar en registro"))</f>
        <v>Ubicar en registro</v>
      </c>
      <c r="D159" s="55" t="str">
        <f>IF(Ejecucion45[[#This Row],[No. Solicitud]]="","",_xlfn.XLOOKUP(Ejecucion45[[#This Row],[No. Solicitud]],Registro!$B$8:$B$997,Registro!$H$8:$H$997,"Sin Dato",0))</f>
        <v>Curso 68</v>
      </c>
      <c r="E159" s="160" t="s">
        <v>802</v>
      </c>
      <c r="F15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</v>
      </c>
      <c r="G159" s="55">
        <v>4</v>
      </c>
      <c r="H159" s="81">
        <v>42824</v>
      </c>
      <c r="I159" s="55">
        <f>IF(Ejecucion45[[#This Row],[PC]]="","",_xlfn.XLOOKUP(Ejecucion45[[#This Row],[PC]],Ejecucion[PC],Ejecucion[Grupo],"NE",0))</f>
        <v>3</v>
      </c>
      <c r="J159" s="55">
        <f>IF(Ejecucion45[[#This Row],[PC]]="","",COUNTIF(Ejecucion4[Codigo],Ejecucion45[[#This Row],[PC]]))</f>
        <v>1</v>
      </c>
    </row>
    <row r="160" spans="1:10" ht="28.8" customHeight="1">
      <c r="A160" s="30">
        <f>ROW() - ROW(Ejecucion45[[#Headers],[Correlativo]])</f>
        <v>156</v>
      </c>
      <c r="B160" s="156" t="s">
        <v>313</v>
      </c>
      <c r="C160" s="153" t="str">
        <f>IF(B160="","",HYPERLINK("#"&amp;"Registro!B"&amp;MATCH(B160,Registro!$B$8:$B$997,0)+7,"Ubicar en registro"))</f>
        <v>Ubicar en registro</v>
      </c>
      <c r="D160" s="55" t="str">
        <f>IF(Ejecucion45[[#This Row],[No. Solicitud]]="","",_xlfn.XLOOKUP(Ejecucion45[[#This Row],[No. Solicitud]],Registro!$B$8:$B$997,Registro!$H$8:$H$997,"Sin Dato",0))</f>
        <v>Curso 68</v>
      </c>
      <c r="E160" s="185" t="s">
        <v>803</v>
      </c>
      <c r="F16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</v>
      </c>
      <c r="G160" s="55">
        <v>4</v>
      </c>
      <c r="H160" s="81">
        <v>42962</v>
      </c>
      <c r="I160" s="55">
        <f>IF(Ejecucion45[[#This Row],[PC]]="","",_xlfn.XLOOKUP(Ejecucion45[[#This Row],[PC]],Ejecucion[PC],Ejecucion[Grupo],"NE",0))</f>
        <v>4</v>
      </c>
      <c r="J160" s="55">
        <f>IF(Ejecucion45[[#This Row],[PC]]="","",COUNTIF(Ejecucion4[Codigo],Ejecucion45[[#This Row],[PC]]))</f>
        <v>1</v>
      </c>
    </row>
    <row r="161" spans="1:10" ht="28.8" customHeight="1">
      <c r="A161" s="30">
        <f>ROW() - ROW(Ejecucion45[[#Headers],[Correlativo]])</f>
        <v>157</v>
      </c>
      <c r="B161" s="156" t="s">
        <v>313</v>
      </c>
      <c r="C161" s="153" t="str">
        <f>IF(B161="","",HYPERLINK("#"&amp;"Registro!B"&amp;MATCH(B161,Registro!$B$8:$B$997,0)+7,"Ubicar en registro"))</f>
        <v>Ubicar en registro</v>
      </c>
      <c r="D161" s="55" t="str">
        <f>IF(Ejecucion45[[#This Row],[No. Solicitud]]="","",_xlfn.XLOOKUP(Ejecucion45[[#This Row],[No. Solicitud]],Registro!$B$8:$B$997,Registro!$H$8:$H$997,"Sin Dato",0))</f>
        <v>Curso 68</v>
      </c>
      <c r="E161" s="160" t="s">
        <v>804</v>
      </c>
      <c r="F16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</v>
      </c>
      <c r="G161" s="55">
        <v>4</v>
      </c>
      <c r="H161" s="81">
        <v>43030</v>
      </c>
      <c r="I161" s="55">
        <f>IF(Ejecucion45[[#This Row],[PC]]="","",_xlfn.XLOOKUP(Ejecucion45[[#This Row],[PC]],Ejecucion[PC],Ejecucion[Grupo],"NE",0))</f>
        <v>5</v>
      </c>
      <c r="J161" s="55">
        <f>IF(Ejecucion45[[#This Row],[PC]]="","",COUNTIF(Ejecucion4[Codigo],Ejecucion45[[#This Row],[PC]]))</f>
        <v>1</v>
      </c>
    </row>
    <row r="162" spans="1:10" ht="28.8" customHeight="1">
      <c r="A162" s="30">
        <f>ROW() - ROW(Ejecucion45[[#Headers],[Correlativo]])</f>
        <v>158</v>
      </c>
      <c r="B162" s="156" t="s">
        <v>313</v>
      </c>
      <c r="C162" s="153" t="str">
        <f>IF(B162="","",HYPERLINK("#"&amp;"Registro!B"&amp;MATCH(B162,Registro!$B$8:$B$997,0)+7,"Ubicar en registro"))</f>
        <v>Ubicar en registro</v>
      </c>
      <c r="D162" s="55" t="str">
        <f>IF(Ejecucion45[[#This Row],[No. Solicitud]]="","",_xlfn.XLOOKUP(Ejecucion45[[#This Row],[No. Solicitud]],Registro!$B$8:$B$997,Registro!$H$8:$H$997,"Sin Dato",0))</f>
        <v>Curso 68</v>
      </c>
      <c r="E162" s="185" t="s">
        <v>805</v>
      </c>
      <c r="F16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</v>
      </c>
      <c r="G162" s="55">
        <v>4</v>
      </c>
      <c r="H162" s="81">
        <v>43163</v>
      </c>
      <c r="I162" s="55">
        <f>IF(Ejecucion45[[#This Row],[PC]]="","",_xlfn.XLOOKUP(Ejecucion45[[#This Row],[PC]],Ejecucion[PC],Ejecucion[Grupo],"NE",0))</f>
        <v>6</v>
      </c>
      <c r="J162" s="55">
        <f>IF(Ejecucion45[[#This Row],[PC]]="","",COUNTIF(Ejecucion4[Codigo],Ejecucion45[[#This Row],[PC]]))</f>
        <v>1</v>
      </c>
    </row>
    <row r="163" spans="1:10" ht="28.8" customHeight="1">
      <c r="A163" s="30">
        <f>ROW() - ROW(Ejecucion45[[#Headers],[Correlativo]])</f>
        <v>159</v>
      </c>
      <c r="B163" s="156" t="s">
        <v>313</v>
      </c>
      <c r="C163" s="153" t="str">
        <f>IF(B163="","",HYPERLINK("#"&amp;"Registro!B"&amp;MATCH(B163,Registro!$B$8:$B$997,0)+7,"Ubicar en registro"))</f>
        <v>Ubicar en registro</v>
      </c>
      <c r="D163" s="55" t="str">
        <f>IF(Ejecucion45[[#This Row],[No. Solicitud]]="","",_xlfn.XLOOKUP(Ejecucion45[[#This Row],[No. Solicitud]],Registro!$B$8:$B$997,Registro!$H$8:$H$997,"Sin Dato",0))</f>
        <v>Curso 68</v>
      </c>
      <c r="E163" s="185" t="s">
        <v>806</v>
      </c>
      <c r="F16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</v>
      </c>
      <c r="G163" s="55">
        <v>4</v>
      </c>
      <c r="H163" s="81">
        <v>43186</v>
      </c>
      <c r="I163" s="55">
        <f>IF(Ejecucion45[[#This Row],[PC]]="","",_xlfn.XLOOKUP(Ejecucion45[[#This Row],[PC]],Ejecucion[PC],Ejecucion[Grupo],"NE",0))</f>
        <v>7</v>
      </c>
      <c r="J163" s="55">
        <f>IF(Ejecucion45[[#This Row],[PC]]="","",COUNTIF(Ejecucion4[Codigo],Ejecucion45[[#This Row],[PC]]))</f>
        <v>1</v>
      </c>
    </row>
    <row r="164" spans="1:10" ht="28.8" customHeight="1">
      <c r="A164" s="30">
        <f>ROW() - ROW(Ejecucion45[[#Headers],[Correlativo]])</f>
        <v>160</v>
      </c>
      <c r="B164" s="156" t="s">
        <v>313</v>
      </c>
      <c r="C164" s="153" t="str">
        <f>IF(B164="","",HYPERLINK("#"&amp;"Registro!B"&amp;MATCH(B164,Registro!$B$8:$B$997,0)+7,"Ubicar en registro"))</f>
        <v>Ubicar en registro</v>
      </c>
      <c r="D164" s="55" t="str">
        <f>IF(Ejecucion45[[#This Row],[No. Solicitud]]="","",_xlfn.XLOOKUP(Ejecucion45[[#This Row],[No. Solicitud]],Registro!$B$8:$B$997,Registro!$H$8:$H$997,"Sin Dato",0))</f>
        <v>Curso 68</v>
      </c>
      <c r="E164" s="185" t="s">
        <v>807</v>
      </c>
      <c r="F16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</v>
      </c>
      <c r="G164" s="55">
        <v>4</v>
      </c>
      <c r="H164" s="81">
        <v>43270</v>
      </c>
      <c r="I164" s="55">
        <f>IF(Ejecucion45[[#This Row],[PC]]="","",_xlfn.XLOOKUP(Ejecucion45[[#This Row],[PC]],Ejecucion[PC],Ejecucion[Grupo],"NE",0))</f>
        <v>8</v>
      </c>
      <c r="J164" s="55">
        <f>IF(Ejecucion45[[#This Row],[PC]]="","",COUNTIF(Ejecucion4[Codigo],Ejecucion45[[#This Row],[PC]]))</f>
        <v>1</v>
      </c>
    </row>
    <row r="165" spans="1:10" ht="28.8" customHeight="1">
      <c r="A165" s="30">
        <f>ROW() - ROW(Ejecucion45[[#Headers],[Correlativo]])</f>
        <v>161</v>
      </c>
      <c r="B165" s="156" t="s">
        <v>313</v>
      </c>
      <c r="C165" s="153" t="str">
        <f>IF(B165="","",HYPERLINK("#"&amp;"Registro!B"&amp;MATCH(B165,Registro!$B$8:$B$997,0)+7,"Ubicar en registro"))</f>
        <v>Ubicar en registro</v>
      </c>
      <c r="D165" s="55" t="str">
        <f>IF(Ejecucion45[[#This Row],[No. Solicitud]]="","",_xlfn.XLOOKUP(Ejecucion45[[#This Row],[No. Solicitud]],Registro!$B$8:$B$997,Registro!$H$8:$H$997,"Sin Dato",0))</f>
        <v>Curso 68</v>
      </c>
      <c r="E165" s="185" t="s">
        <v>808</v>
      </c>
      <c r="F16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</v>
      </c>
      <c r="G165" s="55">
        <v>4</v>
      </c>
      <c r="H165" s="81">
        <v>43326</v>
      </c>
      <c r="I165" s="55">
        <f>IF(Ejecucion45[[#This Row],[PC]]="","",_xlfn.XLOOKUP(Ejecucion45[[#This Row],[PC]],Ejecucion[PC],Ejecucion[Grupo],"NE",0))</f>
        <v>9</v>
      </c>
      <c r="J165" s="55">
        <f>IF(Ejecucion45[[#This Row],[PC]]="","",COUNTIF(Ejecucion4[Codigo],Ejecucion45[[#This Row],[PC]]))</f>
        <v>1</v>
      </c>
    </row>
    <row r="166" spans="1:10" ht="28.8" customHeight="1">
      <c r="A166" s="30">
        <f>ROW() - ROW(Ejecucion45[[#Headers],[Correlativo]])</f>
        <v>162</v>
      </c>
      <c r="B166" s="156" t="s">
        <v>313</v>
      </c>
      <c r="C166" s="153" t="str">
        <f>IF(B166="","",HYPERLINK("#"&amp;"Registro!B"&amp;MATCH(B166,Registro!$B$8:$B$997,0)+7,"Ubicar en registro"))</f>
        <v>Ubicar en registro</v>
      </c>
      <c r="D166" s="55" t="str">
        <f>IF(Ejecucion45[[#This Row],[No. Solicitud]]="","",_xlfn.XLOOKUP(Ejecucion45[[#This Row],[No. Solicitud]],Registro!$B$8:$B$997,Registro!$H$8:$H$997,"Sin Dato",0))</f>
        <v>Curso 68</v>
      </c>
      <c r="E166" s="185" t="s">
        <v>809</v>
      </c>
      <c r="F16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15</v>
      </c>
      <c r="G166" s="55">
        <v>4</v>
      </c>
      <c r="H166" s="81">
        <v>43455</v>
      </c>
      <c r="I166" s="55">
        <f>IF(Ejecucion45[[#This Row],[PC]]="","",_xlfn.XLOOKUP(Ejecucion45[[#This Row],[PC]],Ejecucion[PC],Ejecucion[Grupo],"NE",0))</f>
        <v>10</v>
      </c>
      <c r="J166" s="55">
        <f>IF(Ejecucion45[[#This Row],[PC]]="","",COUNTIF(Ejecucion4[Codigo],Ejecucion45[[#This Row],[PC]]))</f>
        <v>1</v>
      </c>
    </row>
    <row r="167" spans="1:10" ht="28.8" customHeight="1">
      <c r="A167" s="30">
        <f>ROW() - ROW(Ejecucion45[[#Headers],[Correlativo]])</f>
        <v>163</v>
      </c>
      <c r="B167" s="36" t="s">
        <v>315</v>
      </c>
      <c r="C167" s="84" t="str">
        <f>IF(B167="","",HYPERLINK("#"&amp;"Registro!B"&amp;MATCH(B167,Registro!$B$8:$B$997,0)+7,"Ubicar en registro"))</f>
        <v>Ubicar en registro</v>
      </c>
      <c r="D167" s="55" t="str">
        <f>IF(Ejecucion45[[#This Row],[No. Solicitud]]="","",_xlfn.XLOOKUP(Ejecucion45[[#This Row],[No. Solicitud]],Registro!$B$8:$B$997,Registro!$H$8:$H$997,"Sin Dato",0))</f>
        <v>Curso 69</v>
      </c>
      <c r="E167" s="185" t="s">
        <v>810</v>
      </c>
      <c r="F16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16</v>
      </c>
      <c r="G167" s="55">
        <v>4</v>
      </c>
      <c r="H167" s="55">
        <v>42596</v>
      </c>
      <c r="I167" s="55">
        <f>IF(Ejecucion45[[#This Row],[PC]]="","",_xlfn.XLOOKUP(Ejecucion45[[#This Row],[PC]],Ejecucion[PC],Ejecucion[Grupo],"NE",0))</f>
        <v>1</v>
      </c>
      <c r="J167" s="55">
        <f>IF(Ejecucion45[[#This Row],[PC]]="","",COUNTIF(Ejecucion4[Codigo],Ejecucion45[[#This Row],[PC]]))</f>
        <v>1</v>
      </c>
    </row>
    <row r="168" spans="1:10" ht="28.8" customHeight="1">
      <c r="A168" s="30">
        <f>ROW() - ROW(Ejecucion45[[#Headers],[Correlativo]])</f>
        <v>164</v>
      </c>
      <c r="B168" s="36" t="s">
        <v>315</v>
      </c>
      <c r="C168" s="84" t="str">
        <f>IF(B168="","",HYPERLINK("#"&amp;"Registro!B"&amp;MATCH(B168,Registro!$B$8:$B$997,0)+7,"Ubicar en registro"))</f>
        <v>Ubicar en registro</v>
      </c>
      <c r="D168" s="55" t="str">
        <f>IF(Ejecucion45[[#This Row],[No. Solicitud]]="","",_xlfn.XLOOKUP(Ejecucion45[[#This Row],[No. Solicitud]],Registro!$B$8:$B$997,Registro!$H$8:$H$997,"Sin Dato",0))</f>
        <v>Curso 69</v>
      </c>
      <c r="E168" s="185" t="s">
        <v>811</v>
      </c>
      <c r="F16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17</v>
      </c>
      <c r="G168" s="55">
        <v>4</v>
      </c>
      <c r="H168" s="55">
        <v>42623</v>
      </c>
      <c r="I168" s="55">
        <f>IF(Ejecucion45[[#This Row],[PC]]="","",_xlfn.XLOOKUP(Ejecucion45[[#This Row],[PC]],Ejecucion[PC],Ejecucion[Grupo],"NE",0))</f>
        <v>2</v>
      </c>
      <c r="J168" s="55">
        <f>IF(Ejecucion45[[#This Row],[PC]]="","",COUNTIF(Ejecucion4[Codigo],Ejecucion45[[#This Row],[PC]]))</f>
        <v>1</v>
      </c>
    </row>
    <row r="169" spans="1:10" ht="28.8" customHeight="1">
      <c r="A169" s="30">
        <f>ROW() - ROW(Ejecucion45[[#Headers],[Correlativo]])</f>
        <v>165</v>
      </c>
      <c r="B169" s="36" t="s">
        <v>315</v>
      </c>
      <c r="C169" s="84" t="str">
        <f>IF(B169="","",HYPERLINK("#"&amp;"Registro!B"&amp;MATCH(B169,Registro!$B$8:$B$997,0)+7,"Ubicar en registro"))</f>
        <v>Ubicar en registro</v>
      </c>
      <c r="D169" s="55" t="str">
        <f>IF(Ejecucion45[[#This Row],[No. Solicitud]]="","",_xlfn.XLOOKUP(Ejecucion45[[#This Row],[No. Solicitud]],Registro!$B$8:$B$997,Registro!$H$8:$H$997,"Sin Dato",0))</f>
        <v>Curso 69</v>
      </c>
      <c r="E169" s="185" t="s">
        <v>812</v>
      </c>
      <c r="F16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18</v>
      </c>
      <c r="G169" s="55">
        <v>4</v>
      </c>
      <c r="H169" s="55">
        <v>42840</v>
      </c>
      <c r="I169" s="55">
        <f>IF(Ejecucion45[[#This Row],[PC]]="","",_xlfn.XLOOKUP(Ejecucion45[[#This Row],[PC]],Ejecucion[PC],Ejecucion[Grupo],"NE",0))</f>
        <v>3</v>
      </c>
      <c r="J169" s="55">
        <f>IF(Ejecucion45[[#This Row],[PC]]="","",COUNTIF(Ejecucion4[Codigo],Ejecucion45[[#This Row],[PC]]))</f>
        <v>1</v>
      </c>
    </row>
    <row r="170" spans="1:10" ht="28.8" customHeight="1">
      <c r="A170" s="30">
        <f>ROW() - ROW(Ejecucion45[[#Headers],[Correlativo]])</f>
        <v>166</v>
      </c>
      <c r="B170" s="36" t="s">
        <v>315</v>
      </c>
      <c r="C170" s="84" t="str">
        <f>IF(B170="","",HYPERLINK("#"&amp;"Registro!B"&amp;MATCH(B170,Registro!$B$8:$B$997,0)+7,"Ubicar en registro"))</f>
        <v>Ubicar en registro</v>
      </c>
      <c r="D170" s="55" t="str">
        <f>IF(Ejecucion45[[#This Row],[No. Solicitud]]="","",_xlfn.XLOOKUP(Ejecucion45[[#This Row],[No. Solicitud]],Registro!$B$8:$B$997,Registro!$H$8:$H$997,"Sin Dato",0))</f>
        <v>Curso 69</v>
      </c>
      <c r="E170" s="185" t="s">
        <v>813</v>
      </c>
      <c r="F17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19</v>
      </c>
      <c r="G170" s="55">
        <v>4</v>
      </c>
      <c r="H170" s="55">
        <v>42987</v>
      </c>
      <c r="I170" s="55">
        <f>IF(Ejecucion45[[#This Row],[PC]]="","",_xlfn.XLOOKUP(Ejecucion45[[#This Row],[PC]],Ejecucion[PC],Ejecucion[Grupo],"NE",0))</f>
        <v>4</v>
      </c>
      <c r="J170" s="55">
        <f>IF(Ejecucion45[[#This Row],[PC]]="","",COUNTIF(Ejecucion4[Codigo],Ejecucion45[[#This Row],[PC]]))</f>
        <v>1</v>
      </c>
    </row>
    <row r="171" spans="1:10" ht="28.8" customHeight="1">
      <c r="A171" s="30">
        <f>ROW() - ROW(Ejecucion45[[#Headers],[Correlativo]])</f>
        <v>167</v>
      </c>
      <c r="B171" s="36" t="s">
        <v>315</v>
      </c>
      <c r="C171" s="84" t="str">
        <f>IF(B171="","",HYPERLINK("#"&amp;"Registro!B"&amp;MATCH(B171,Registro!$B$8:$B$997,0)+7,"Ubicar en registro"))</f>
        <v>Ubicar en registro</v>
      </c>
      <c r="D171" s="55" t="str">
        <f>IF(Ejecucion45[[#This Row],[No. Solicitud]]="","",_xlfn.XLOOKUP(Ejecucion45[[#This Row],[No. Solicitud]],Registro!$B$8:$B$997,Registro!$H$8:$H$997,"Sin Dato",0))</f>
        <v>Curso 69</v>
      </c>
      <c r="E171" s="185" t="s">
        <v>814</v>
      </c>
      <c r="F17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20</v>
      </c>
      <c r="G171" s="55">
        <v>4</v>
      </c>
      <c r="H171" s="55">
        <v>43041</v>
      </c>
      <c r="I171" s="55">
        <f>IF(Ejecucion45[[#This Row],[PC]]="","",_xlfn.XLOOKUP(Ejecucion45[[#This Row],[PC]],Ejecucion[PC],Ejecucion[Grupo],"NE",0))</f>
        <v>5</v>
      </c>
      <c r="J171" s="55">
        <f>IF(Ejecucion45[[#This Row],[PC]]="","",COUNTIF(Ejecucion4[Codigo],Ejecucion45[[#This Row],[PC]]))</f>
        <v>1</v>
      </c>
    </row>
    <row r="172" spans="1:10" ht="28.8" customHeight="1">
      <c r="A172" s="30">
        <f>ROW() - ROW(Ejecucion45[[#Headers],[Correlativo]])</f>
        <v>168</v>
      </c>
      <c r="B172" s="36" t="s">
        <v>315</v>
      </c>
      <c r="C172" s="84" t="str">
        <f>IF(B172="","",HYPERLINK("#"&amp;"Registro!B"&amp;MATCH(B172,Registro!$B$8:$B$997,0)+7,"Ubicar en registro"))</f>
        <v>Ubicar en registro</v>
      </c>
      <c r="D172" s="55" t="str">
        <f>IF(Ejecucion45[[#This Row],[No. Solicitud]]="","",_xlfn.XLOOKUP(Ejecucion45[[#This Row],[No. Solicitud]],Registro!$B$8:$B$997,Registro!$H$8:$H$997,"Sin Dato",0))</f>
        <v>Curso 69</v>
      </c>
      <c r="E172" s="185" t="s">
        <v>815</v>
      </c>
      <c r="F17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21</v>
      </c>
      <c r="G172" s="55">
        <v>4</v>
      </c>
      <c r="H172" s="55">
        <v>43171</v>
      </c>
      <c r="I172" s="55">
        <f>IF(Ejecucion45[[#This Row],[PC]]="","",_xlfn.XLOOKUP(Ejecucion45[[#This Row],[PC]],Ejecucion[PC],Ejecucion[Grupo],"NE",0))</f>
        <v>6</v>
      </c>
      <c r="J172" s="55">
        <f>IF(Ejecucion45[[#This Row],[PC]]="","",COUNTIF(Ejecucion4[Codigo],Ejecucion45[[#This Row],[PC]]))</f>
        <v>1</v>
      </c>
    </row>
    <row r="173" spans="1:10" ht="28.8" customHeight="1">
      <c r="A173" s="30">
        <f>ROW() - ROW(Ejecucion45[[#Headers],[Correlativo]])</f>
        <v>169</v>
      </c>
      <c r="B173" s="36" t="s">
        <v>315</v>
      </c>
      <c r="C173" s="84" t="str">
        <f>IF(B173="","",HYPERLINK("#"&amp;"Registro!B"&amp;MATCH(B173,Registro!$B$8:$B$997,0)+7,"Ubicar en registro"))</f>
        <v>Ubicar en registro</v>
      </c>
      <c r="D173" s="55" t="str">
        <f>IF(Ejecucion45[[#This Row],[No. Solicitud]]="","",_xlfn.XLOOKUP(Ejecucion45[[#This Row],[No. Solicitud]],Registro!$B$8:$B$997,Registro!$H$8:$H$997,"Sin Dato",0))</f>
        <v>Curso 69</v>
      </c>
      <c r="E173" s="185" t="s">
        <v>816</v>
      </c>
      <c r="F17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22</v>
      </c>
      <c r="G173" s="55">
        <v>4</v>
      </c>
      <c r="H173" s="55">
        <v>43194</v>
      </c>
      <c r="I173" s="55">
        <f>IF(Ejecucion45[[#This Row],[PC]]="","",_xlfn.XLOOKUP(Ejecucion45[[#This Row],[PC]],Ejecucion[PC],Ejecucion[Grupo],"NE",0))</f>
        <v>7</v>
      </c>
      <c r="J173" s="55">
        <f>IF(Ejecucion45[[#This Row],[PC]]="","",COUNTIF(Ejecucion4[Codigo],Ejecucion45[[#This Row],[PC]]))</f>
        <v>1</v>
      </c>
    </row>
    <row r="174" spans="1:10" ht="28.8" customHeight="1">
      <c r="A174" s="30">
        <f>ROW() - ROW(Ejecucion45[[#Headers],[Correlativo]])</f>
        <v>170</v>
      </c>
      <c r="B174" s="36" t="s">
        <v>315</v>
      </c>
      <c r="C174" s="84" t="str">
        <f>IF(B174="","",HYPERLINK("#"&amp;"Registro!B"&amp;MATCH(B174,Registro!$B$8:$B$997,0)+7,"Ubicar en registro"))</f>
        <v>Ubicar en registro</v>
      </c>
      <c r="D174" s="55" t="str">
        <f>IF(Ejecucion45[[#This Row],[No. Solicitud]]="","",_xlfn.XLOOKUP(Ejecucion45[[#This Row],[No. Solicitud]],Registro!$B$8:$B$997,Registro!$H$8:$H$997,"Sin Dato",0))</f>
        <v>Curso 69</v>
      </c>
      <c r="E174" s="185" t="s">
        <v>817</v>
      </c>
      <c r="F17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23</v>
      </c>
      <c r="G174" s="55">
        <v>4</v>
      </c>
      <c r="H174" s="55">
        <v>43300</v>
      </c>
      <c r="I174" s="55">
        <f>IF(Ejecucion45[[#This Row],[PC]]="","",_xlfn.XLOOKUP(Ejecucion45[[#This Row],[PC]],Ejecucion[PC],Ejecucion[Grupo],"NE",0))</f>
        <v>8</v>
      </c>
      <c r="J174" s="55">
        <f>IF(Ejecucion45[[#This Row],[PC]]="","",COUNTIF(Ejecucion4[Codigo],Ejecucion45[[#This Row],[PC]]))</f>
        <v>1</v>
      </c>
    </row>
    <row r="175" spans="1:10" ht="28.8" customHeight="1">
      <c r="A175" s="30">
        <f>ROW() - ROW(Ejecucion45[[#Headers],[Correlativo]])</f>
        <v>171</v>
      </c>
      <c r="B175" s="36" t="s">
        <v>315</v>
      </c>
      <c r="C175" s="84" t="str">
        <f>IF(B175="","",HYPERLINK("#"&amp;"Registro!B"&amp;MATCH(B175,Registro!$B$8:$B$997,0)+7,"Ubicar en registro"))</f>
        <v>Ubicar en registro</v>
      </c>
      <c r="D175" s="55" t="str">
        <f>IF(Ejecucion45[[#This Row],[No. Solicitud]]="","",_xlfn.XLOOKUP(Ejecucion45[[#This Row],[No. Solicitud]],Registro!$B$8:$B$997,Registro!$H$8:$H$997,"Sin Dato",0))</f>
        <v>Curso 69</v>
      </c>
      <c r="E175" s="185" t="s">
        <v>818</v>
      </c>
      <c r="F17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24</v>
      </c>
      <c r="G175" s="55">
        <v>4</v>
      </c>
      <c r="H175" s="55">
        <v>43331</v>
      </c>
      <c r="I175" s="55">
        <f>IF(Ejecucion45[[#This Row],[PC]]="","",_xlfn.XLOOKUP(Ejecucion45[[#This Row],[PC]],Ejecucion[PC],Ejecucion[Grupo],"NE",0))</f>
        <v>9</v>
      </c>
      <c r="J175" s="55">
        <f>IF(Ejecucion45[[#This Row],[PC]]="","",COUNTIF(Ejecucion4[Codigo],Ejecucion45[[#This Row],[PC]]))</f>
        <v>1</v>
      </c>
    </row>
    <row r="176" spans="1:10" ht="28.8" customHeight="1">
      <c r="A176" s="30">
        <f>ROW() - ROW(Ejecucion45[[#Headers],[Correlativo]])</f>
        <v>172</v>
      </c>
      <c r="B176" s="36" t="s">
        <v>315</v>
      </c>
      <c r="C176" s="84" t="str">
        <f>IF(B176="","",HYPERLINK("#"&amp;"Registro!B"&amp;MATCH(B176,Registro!$B$8:$B$997,0)+7,"Ubicar en registro"))</f>
        <v>Ubicar en registro</v>
      </c>
      <c r="D176" s="55" t="str">
        <f>IF(Ejecucion45[[#This Row],[No. Solicitud]]="","",_xlfn.XLOOKUP(Ejecucion45[[#This Row],[No. Solicitud]],Registro!$B$8:$B$997,Registro!$H$8:$H$997,"Sin Dato",0))</f>
        <v>Curso 69</v>
      </c>
      <c r="E176" s="185" t="s">
        <v>819</v>
      </c>
      <c r="F17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25</v>
      </c>
      <c r="G176" s="55">
        <v>4</v>
      </c>
      <c r="H176" s="55">
        <v>43462</v>
      </c>
      <c r="I176" s="55">
        <f>IF(Ejecucion45[[#This Row],[PC]]="","",_xlfn.XLOOKUP(Ejecucion45[[#This Row],[PC]],Ejecucion[PC],Ejecucion[Grupo],"NE",0))</f>
        <v>10</v>
      </c>
      <c r="J176" s="55">
        <f>IF(Ejecucion45[[#This Row],[PC]]="","",COUNTIF(Ejecucion4[Codigo],Ejecucion45[[#This Row],[PC]]))</f>
        <v>1</v>
      </c>
    </row>
    <row r="177" spans="1:10" ht="28.8" customHeight="1">
      <c r="A177" s="30">
        <f>ROW() - ROW(Ejecucion45[[#Headers],[Correlativo]])</f>
        <v>173</v>
      </c>
      <c r="B177" s="156" t="s">
        <v>317</v>
      </c>
      <c r="C177" s="84" t="str">
        <f>IF(B177="","",HYPERLINK("#"&amp;"Registro!B"&amp;MATCH(B177,Registro!$B$8:$B$997,0)+7,"Ubicar en registro"))</f>
        <v>Ubicar en registro</v>
      </c>
      <c r="D177" s="55" t="str">
        <f>IF(Ejecucion45[[#This Row],[No. Solicitud]]="","",_xlfn.XLOOKUP(Ejecucion45[[#This Row],[No. Solicitud]],Registro!$B$8:$B$997,Registro!$H$8:$H$997,"Sin Dato",0))</f>
        <v>Curso 70</v>
      </c>
      <c r="E177" s="160" t="s">
        <v>820</v>
      </c>
      <c r="F17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26</v>
      </c>
      <c r="G177" s="55">
        <v>8</v>
      </c>
      <c r="H177" s="55">
        <v>43462</v>
      </c>
      <c r="I177" s="55">
        <f>IF(Ejecucion45[[#This Row],[PC]]="","",_xlfn.XLOOKUP(Ejecucion45[[#This Row],[PC]],Ejecucion[PC],Ejecucion[Grupo],"NE",0))</f>
        <v>10</v>
      </c>
      <c r="J177" s="55">
        <f>IF(Ejecucion45[[#This Row],[PC]]="","",COUNTIF(Ejecucion4[Codigo],Ejecucion45[[#This Row],[PC]]))</f>
        <v>1</v>
      </c>
    </row>
    <row r="178" spans="1:10" ht="28.8" customHeight="1">
      <c r="A178" s="30">
        <f>ROW() - ROW(Ejecucion45[[#Headers],[Correlativo]])</f>
        <v>174</v>
      </c>
      <c r="B178" s="156" t="s">
        <v>317</v>
      </c>
      <c r="C178" s="84" t="str">
        <f>IF(B178="","",HYPERLINK("#"&amp;"Registro!B"&amp;MATCH(B178,Registro!$B$8:$B$997,0)+7,"Ubicar en registro"))</f>
        <v>Ubicar en registro</v>
      </c>
      <c r="D178" s="55" t="str">
        <f>IF(Ejecucion45[[#This Row],[No. Solicitud]]="","",_xlfn.XLOOKUP(Ejecucion45[[#This Row],[No. Solicitud]],Registro!$B$8:$B$997,Registro!$H$8:$H$997,"Sin Dato",0))</f>
        <v>Curso 70</v>
      </c>
      <c r="E178" s="160" t="s">
        <v>821</v>
      </c>
      <c r="F17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27</v>
      </c>
      <c r="G178" s="55">
        <v>8</v>
      </c>
      <c r="H178" s="55">
        <v>42620</v>
      </c>
      <c r="I178" s="55">
        <f>IF(Ejecucion45[[#This Row],[PC]]="","",_xlfn.XLOOKUP(Ejecucion45[[#This Row],[PC]],Ejecucion[PC],Ejecucion[Grupo],"NE",0))</f>
        <v>2</v>
      </c>
      <c r="J178" s="55">
        <f>IF(Ejecucion45[[#This Row],[PC]]="","",COUNTIF(Ejecucion4[Codigo],Ejecucion45[[#This Row],[PC]]))</f>
        <v>1</v>
      </c>
    </row>
    <row r="179" spans="1:10" ht="28.8" customHeight="1">
      <c r="A179" s="30">
        <f>ROW() - ROW(Ejecucion45[[#Headers],[Correlativo]])</f>
        <v>175</v>
      </c>
      <c r="B179" s="156" t="s">
        <v>317</v>
      </c>
      <c r="C179" s="84" t="str">
        <f>IF(B179="","",HYPERLINK("#"&amp;"Registro!B"&amp;MATCH(B179,Registro!$B$8:$B$997,0)+7,"Ubicar en registro"))</f>
        <v>Ubicar en registro</v>
      </c>
      <c r="D179" s="55" t="str">
        <f>IF(Ejecucion45[[#This Row],[No. Solicitud]]="","",_xlfn.XLOOKUP(Ejecucion45[[#This Row],[No. Solicitud]],Registro!$B$8:$B$997,Registro!$H$8:$H$997,"Sin Dato",0))</f>
        <v>Curso 70</v>
      </c>
      <c r="E179" s="160" t="s">
        <v>822</v>
      </c>
      <c r="F17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28</v>
      </c>
      <c r="G179" s="55">
        <v>8</v>
      </c>
      <c r="H179" s="55">
        <v>42825</v>
      </c>
      <c r="I179" s="55">
        <f>IF(Ejecucion45[[#This Row],[PC]]="","",_xlfn.XLOOKUP(Ejecucion45[[#This Row],[PC]],Ejecucion[PC],Ejecucion[Grupo],"NE",0))</f>
        <v>3</v>
      </c>
      <c r="J179" s="55">
        <f>IF(Ejecucion45[[#This Row],[PC]]="","",COUNTIF(Ejecucion4[Codigo],Ejecucion45[[#This Row],[PC]]))</f>
        <v>1</v>
      </c>
    </row>
    <row r="180" spans="1:10" ht="28.8" customHeight="1">
      <c r="A180" s="30">
        <f>ROW() - ROW(Ejecucion45[[#Headers],[Correlativo]])</f>
        <v>176</v>
      </c>
      <c r="B180" s="156" t="s">
        <v>317</v>
      </c>
      <c r="C180" s="84" t="str">
        <f>IF(B180="","",HYPERLINK("#"&amp;"Registro!B"&amp;MATCH(B180,Registro!$B$8:$B$997,0)+7,"Ubicar en registro"))</f>
        <v>Ubicar en registro</v>
      </c>
      <c r="D180" s="55" t="str">
        <f>IF(Ejecucion45[[#This Row],[No. Solicitud]]="","",_xlfn.XLOOKUP(Ejecucion45[[#This Row],[No. Solicitud]],Registro!$B$8:$B$997,Registro!$H$8:$H$997,"Sin Dato",0))</f>
        <v>Curso 70</v>
      </c>
      <c r="E180" s="160" t="s">
        <v>823</v>
      </c>
      <c r="F18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29</v>
      </c>
      <c r="G180" s="55">
        <v>8</v>
      </c>
      <c r="H180" s="55">
        <v>42975</v>
      </c>
      <c r="I180" s="55">
        <f>IF(Ejecucion45[[#This Row],[PC]]="","",_xlfn.XLOOKUP(Ejecucion45[[#This Row],[PC]],Ejecucion[PC],Ejecucion[Grupo],"NE",0))</f>
        <v>4</v>
      </c>
      <c r="J180" s="55">
        <f>IF(Ejecucion45[[#This Row],[PC]]="","",COUNTIF(Ejecucion4[Codigo],Ejecucion45[[#This Row],[PC]]))</f>
        <v>1</v>
      </c>
    </row>
    <row r="181" spans="1:10" ht="28.8" customHeight="1">
      <c r="A181" s="30">
        <f>ROW() - ROW(Ejecucion45[[#Headers],[Correlativo]])</f>
        <v>177</v>
      </c>
      <c r="B181" s="156" t="s">
        <v>317</v>
      </c>
      <c r="C181" s="84" t="str">
        <f>IF(B181="","",HYPERLINK("#"&amp;"Registro!B"&amp;MATCH(B181,Registro!$B$8:$B$997,0)+7,"Ubicar en registro"))</f>
        <v>Ubicar en registro</v>
      </c>
      <c r="D181" s="55" t="str">
        <f>IF(Ejecucion45[[#This Row],[No. Solicitud]]="","",_xlfn.XLOOKUP(Ejecucion45[[#This Row],[No. Solicitud]],Registro!$B$8:$B$997,Registro!$H$8:$H$997,"Sin Dato",0))</f>
        <v>Curso 70</v>
      </c>
      <c r="E181" s="160" t="s">
        <v>824</v>
      </c>
      <c r="F18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30</v>
      </c>
      <c r="G181" s="55">
        <v>8</v>
      </c>
      <c r="H181" s="55">
        <v>43032</v>
      </c>
      <c r="I181" s="55">
        <f>IF(Ejecucion45[[#This Row],[PC]]="","",_xlfn.XLOOKUP(Ejecucion45[[#This Row],[PC]],Ejecucion[PC],Ejecucion[Grupo],"NE",0))</f>
        <v>5</v>
      </c>
      <c r="J181" s="55">
        <f>IF(Ejecucion45[[#This Row],[PC]]="","",COUNTIF(Ejecucion4[Codigo],Ejecucion45[[#This Row],[PC]]))</f>
        <v>1</v>
      </c>
    </row>
    <row r="182" spans="1:10" ht="28.8" customHeight="1">
      <c r="A182" s="30">
        <f>ROW() - ROW(Ejecucion45[[#Headers],[Correlativo]])</f>
        <v>178</v>
      </c>
      <c r="B182" s="156" t="s">
        <v>317</v>
      </c>
      <c r="C182" s="84" t="str">
        <f>IF(B182="","",HYPERLINK("#"&amp;"Registro!B"&amp;MATCH(B182,Registro!$B$8:$B$997,0)+7,"Ubicar en registro"))</f>
        <v>Ubicar en registro</v>
      </c>
      <c r="D182" s="55" t="str">
        <f>IF(Ejecucion45[[#This Row],[No. Solicitud]]="","",_xlfn.XLOOKUP(Ejecucion45[[#This Row],[No. Solicitud]],Registro!$B$8:$B$997,Registro!$H$8:$H$997,"Sin Dato",0))</f>
        <v>Curso 70</v>
      </c>
      <c r="E182" s="160" t="s">
        <v>825</v>
      </c>
      <c r="F18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31</v>
      </c>
      <c r="G182" s="55">
        <v>8</v>
      </c>
      <c r="H182" s="55">
        <v>43165</v>
      </c>
      <c r="I182" s="55">
        <f>IF(Ejecucion45[[#This Row],[PC]]="","",_xlfn.XLOOKUP(Ejecucion45[[#This Row],[PC]],Ejecucion[PC],Ejecucion[Grupo],"NE",0))</f>
        <v>6</v>
      </c>
      <c r="J182" s="55">
        <f>IF(Ejecucion45[[#This Row],[PC]]="","",COUNTIF(Ejecucion4[Codigo],Ejecucion45[[#This Row],[PC]]))</f>
        <v>1</v>
      </c>
    </row>
    <row r="183" spans="1:10" ht="28.8" customHeight="1">
      <c r="A183" s="30">
        <f>ROW() - ROW(Ejecucion45[[#Headers],[Correlativo]])</f>
        <v>179</v>
      </c>
      <c r="B183" s="156" t="s">
        <v>317</v>
      </c>
      <c r="C183" s="84" t="str">
        <f>IF(B183="","",HYPERLINK("#"&amp;"Registro!B"&amp;MATCH(B183,Registro!$B$8:$B$997,0)+7,"Ubicar en registro"))</f>
        <v>Ubicar en registro</v>
      </c>
      <c r="D183" s="55" t="str">
        <f>IF(Ejecucion45[[#This Row],[No. Solicitud]]="","",_xlfn.XLOOKUP(Ejecucion45[[#This Row],[No. Solicitud]],Registro!$B$8:$B$997,Registro!$H$8:$H$997,"Sin Dato",0))</f>
        <v>Curso 70</v>
      </c>
      <c r="E183" s="160" t="s">
        <v>826</v>
      </c>
      <c r="F18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32</v>
      </c>
      <c r="G183" s="55">
        <v>8</v>
      </c>
      <c r="H183" s="55">
        <v>43187</v>
      </c>
      <c r="I183" s="55">
        <f>IF(Ejecucion45[[#This Row],[PC]]="","",_xlfn.XLOOKUP(Ejecucion45[[#This Row],[PC]],Ejecucion[PC],Ejecucion[Grupo],"NE",0))</f>
        <v>7</v>
      </c>
      <c r="J183" s="55">
        <f>IF(Ejecucion45[[#This Row],[PC]]="","",COUNTIF(Ejecucion4[Codigo],Ejecucion45[[#This Row],[PC]]))</f>
        <v>1</v>
      </c>
    </row>
    <row r="184" spans="1:10" ht="28.8" customHeight="1">
      <c r="A184" s="30">
        <f>ROW() - ROW(Ejecucion45[[#Headers],[Correlativo]])</f>
        <v>180</v>
      </c>
      <c r="B184" s="156" t="s">
        <v>317</v>
      </c>
      <c r="C184" s="84" t="str">
        <f>IF(B184="","",HYPERLINK("#"&amp;"Registro!B"&amp;MATCH(B184,Registro!$B$8:$B$997,0)+7,"Ubicar en registro"))</f>
        <v>Ubicar en registro</v>
      </c>
      <c r="D184" s="55" t="str">
        <f>IF(Ejecucion45[[#This Row],[No. Solicitud]]="","",_xlfn.XLOOKUP(Ejecucion45[[#This Row],[No. Solicitud]],Registro!$B$8:$B$997,Registro!$H$8:$H$997,"Sin Dato",0))</f>
        <v>Curso 70</v>
      </c>
      <c r="E184" s="160" t="s">
        <v>827</v>
      </c>
      <c r="F18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33</v>
      </c>
      <c r="G184" s="55">
        <v>8</v>
      </c>
      <c r="H184" s="55">
        <v>43271</v>
      </c>
      <c r="I184" s="55">
        <f>IF(Ejecucion45[[#This Row],[PC]]="","",_xlfn.XLOOKUP(Ejecucion45[[#This Row],[PC]],Ejecucion[PC],Ejecucion[Grupo],"NE",0))</f>
        <v>8</v>
      </c>
      <c r="J184" s="55">
        <f>IF(Ejecucion45[[#This Row],[PC]]="","",COUNTIF(Ejecucion4[Codigo],Ejecucion45[[#This Row],[PC]]))</f>
        <v>1</v>
      </c>
    </row>
    <row r="185" spans="1:10" ht="28.8" customHeight="1">
      <c r="A185" s="30">
        <f>ROW() - ROW(Ejecucion45[[#Headers],[Correlativo]])</f>
        <v>181</v>
      </c>
      <c r="B185" s="156" t="s">
        <v>317</v>
      </c>
      <c r="C185" s="84" t="str">
        <f>IF(B185="","",HYPERLINK("#"&amp;"Registro!B"&amp;MATCH(B185,Registro!$B$8:$B$997,0)+7,"Ubicar en registro"))</f>
        <v>Ubicar en registro</v>
      </c>
      <c r="D185" s="55" t="str">
        <f>IF(Ejecucion45[[#This Row],[No. Solicitud]]="","",_xlfn.XLOOKUP(Ejecucion45[[#This Row],[No. Solicitud]],Registro!$B$8:$B$997,Registro!$H$8:$H$997,"Sin Dato",0))</f>
        <v>Curso 70</v>
      </c>
      <c r="E185" s="160" t="s">
        <v>828</v>
      </c>
      <c r="F18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34</v>
      </c>
      <c r="G185" s="55">
        <v>8</v>
      </c>
      <c r="H185" s="55">
        <v>43327</v>
      </c>
      <c r="I185" s="55">
        <f>IF(Ejecucion45[[#This Row],[PC]]="","",_xlfn.XLOOKUP(Ejecucion45[[#This Row],[PC]],Ejecucion[PC],Ejecucion[Grupo],"NE",0))</f>
        <v>9</v>
      </c>
      <c r="J185" s="55">
        <f>IF(Ejecucion45[[#This Row],[PC]]="","",COUNTIF(Ejecucion4[Codigo],Ejecucion45[[#This Row],[PC]]))</f>
        <v>1</v>
      </c>
    </row>
    <row r="186" spans="1:10" ht="28.8" customHeight="1">
      <c r="A186" s="30">
        <f>ROW() - ROW(Ejecucion45[[#Headers],[Correlativo]])</f>
        <v>182</v>
      </c>
      <c r="B186" s="156" t="s">
        <v>317</v>
      </c>
      <c r="C186" s="84" t="str">
        <f>IF(B186="","",HYPERLINK("#"&amp;"Registro!B"&amp;MATCH(B186,Registro!$B$8:$B$997,0)+7,"Ubicar en registro"))</f>
        <v>Ubicar en registro</v>
      </c>
      <c r="D186" s="55" t="str">
        <f>IF(Ejecucion45[[#This Row],[No. Solicitud]]="","",_xlfn.XLOOKUP(Ejecucion45[[#This Row],[No. Solicitud]],Registro!$B$8:$B$997,Registro!$H$8:$H$997,"Sin Dato",0))</f>
        <v>Curso 70</v>
      </c>
      <c r="E186" s="160" t="s">
        <v>829</v>
      </c>
      <c r="F18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35</v>
      </c>
      <c r="G186" s="55">
        <v>8</v>
      </c>
      <c r="H186" s="55">
        <v>43456</v>
      </c>
      <c r="I186" s="55">
        <f>IF(Ejecucion45[[#This Row],[PC]]="","",_xlfn.XLOOKUP(Ejecucion45[[#This Row],[PC]],Ejecucion[PC],Ejecucion[Grupo],"NE",0))</f>
        <v>10</v>
      </c>
      <c r="J186" s="55">
        <f>IF(Ejecucion45[[#This Row],[PC]]="","",COUNTIF(Ejecucion4[Codigo],Ejecucion45[[#This Row],[PC]]))</f>
        <v>2</v>
      </c>
    </row>
    <row r="187" spans="1:10" ht="28.8" customHeight="1">
      <c r="A187" s="30">
        <f>ROW() - ROW(Ejecucion45[[#Headers],[Correlativo]])</f>
        <v>183</v>
      </c>
      <c r="B187" s="156" t="s">
        <v>319</v>
      </c>
      <c r="C187" s="84" t="str">
        <f>IF(B187="","",HYPERLINK("#"&amp;"Registro!B"&amp;MATCH(B187,Registro!$B$8:$B$997,0)+7,"Ubicar en registro"))</f>
        <v>Ubicar en registro</v>
      </c>
      <c r="D187" s="55" t="str">
        <f>IF(Ejecucion45[[#This Row],[No. Solicitud]]="","",_xlfn.XLOOKUP(Ejecucion45[[#This Row],[No. Solicitud]],Registro!$B$8:$B$997,Registro!$H$8:$H$997,"Sin Dato",0))</f>
        <v>Curso 71</v>
      </c>
      <c r="E187" s="160" t="s">
        <v>830</v>
      </c>
      <c r="F18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36</v>
      </c>
      <c r="G187" s="55">
        <v>8</v>
      </c>
      <c r="H187" s="55">
        <v>42600</v>
      </c>
      <c r="I187" s="55">
        <f>IF(Ejecucion45[[#This Row],[PC]]="","",_xlfn.XLOOKUP(Ejecucion45[[#This Row],[PC]],Ejecucion[PC],Ejecucion[Grupo],"NE",0))</f>
        <v>1</v>
      </c>
      <c r="J187" s="55">
        <f>IF(Ejecucion45[[#This Row],[PC]]="","",COUNTIF(Ejecucion4[Codigo],Ejecucion45[[#This Row],[PC]]))</f>
        <v>1</v>
      </c>
    </row>
    <row r="188" spans="1:10" ht="28.8" customHeight="1">
      <c r="A188" s="30">
        <f>ROW() - ROW(Ejecucion45[[#Headers],[Correlativo]])</f>
        <v>184</v>
      </c>
      <c r="B188" s="156" t="s">
        <v>319</v>
      </c>
      <c r="C188" s="84" t="str">
        <f>IF(B188="","",HYPERLINK("#"&amp;"Registro!B"&amp;MATCH(B188,Registro!$B$8:$B$997,0)+7,"Ubicar en registro"))</f>
        <v>Ubicar en registro</v>
      </c>
      <c r="D188" s="55" t="str">
        <f>IF(Ejecucion45[[#This Row],[No. Solicitud]]="","",_xlfn.XLOOKUP(Ejecucion45[[#This Row],[No. Solicitud]],Registro!$B$8:$B$997,Registro!$H$8:$H$997,"Sin Dato",0))</f>
        <v>Curso 71</v>
      </c>
      <c r="E188" s="160" t="s">
        <v>831</v>
      </c>
      <c r="F18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37</v>
      </c>
      <c r="G188" s="55">
        <v>8</v>
      </c>
      <c r="H188" s="55">
        <v>42600</v>
      </c>
      <c r="I188" s="55">
        <f>IF(Ejecucion45[[#This Row],[PC]]="","",_xlfn.XLOOKUP(Ejecucion45[[#This Row],[PC]],Ejecucion[PC],Ejecucion[Grupo],"NE",0))</f>
        <v>1</v>
      </c>
      <c r="J188" s="55">
        <f>IF(Ejecucion45[[#This Row],[PC]]="","",COUNTIF(Ejecucion4[Codigo],Ejecucion45[[#This Row],[PC]]))</f>
        <v>1</v>
      </c>
    </row>
    <row r="189" spans="1:10" ht="28.8" customHeight="1">
      <c r="A189" s="30">
        <f>ROW() - ROW(Ejecucion45[[#Headers],[Correlativo]])</f>
        <v>185</v>
      </c>
      <c r="B189" s="156" t="s">
        <v>319</v>
      </c>
      <c r="C189" s="84" t="str">
        <f>IF(B189="","",HYPERLINK("#"&amp;"Registro!B"&amp;MATCH(B189,Registro!$B$8:$B$997,0)+7,"Ubicar en registro"))</f>
        <v>Ubicar en registro</v>
      </c>
      <c r="D189" s="55" t="str">
        <f>IF(Ejecucion45[[#This Row],[No. Solicitud]]="","",_xlfn.XLOOKUP(Ejecucion45[[#This Row],[No. Solicitud]],Registro!$B$8:$B$997,Registro!$H$8:$H$997,"Sin Dato",0))</f>
        <v>Curso 71</v>
      </c>
      <c r="E189" s="160" t="s">
        <v>832</v>
      </c>
      <c r="F18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38</v>
      </c>
      <c r="G189" s="55">
        <v>8</v>
      </c>
      <c r="H189" s="55">
        <v>42624</v>
      </c>
      <c r="I189" s="55">
        <f>IF(Ejecucion45[[#This Row],[PC]]="","",_xlfn.XLOOKUP(Ejecucion45[[#This Row],[PC]],Ejecucion[PC],Ejecucion[Grupo],"NE",0))</f>
        <v>2</v>
      </c>
      <c r="J189" s="55">
        <f>IF(Ejecucion45[[#This Row],[PC]]="","",COUNTIF(Ejecucion4[Codigo],Ejecucion45[[#This Row],[PC]]))</f>
        <v>1</v>
      </c>
    </row>
    <row r="190" spans="1:10">
      <c r="A190" s="30">
        <f>ROW() - ROW(Ejecucion45[[#Headers],[Correlativo]])</f>
        <v>186</v>
      </c>
      <c r="B190" s="156"/>
      <c r="C190" s="84" t="str">
        <f>IF(B190="","",HYPERLINK("#"&amp;"Registro!B"&amp;MATCH(B190,Registro!$B$8:$B$997,0)+7,"Ubicar en registro"))</f>
        <v/>
      </c>
      <c r="D190" s="55" t="str">
        <f>IF(Ejecucion45[[#This Row],[No. Solicitud]]="","",_xlfn.XLOOKUP(Ejecucion45[[#This Row],[No. Solicitud]],Registro!$B$8:$B$997,Registro!$H$8:$H$997,"Sin Dato",0))</f>
        <v/>
      </c>
      <c r="E190" s="160">
        <v>81631618</v>
      </c>
      <c r="F19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NE</v>
      </c>
      <c r="G190" s="55">
        <v>8</v>
      </c>
      <c r="H190" s="55">
        <v>42624</v>
      </c>
      <c r="I190" s="55">
        <f>IF(Ejecucion45[[#This Row],[PC]]="","",_xlfn.XLOOKUP(Ejecucion45[[#This Row],[PC]],Ejecucion[PC],Ejecucion[Grupo],"NE",0))</f>
        <v>2</v>
      </c>
      <c r="J190" s="55">
        <f>IF(Ejecucion45[[#This Row],[PC]]="","",COUNTIF(Ejecucion4[Codigo],Ejecucion45[[#This Row],[PC]]))</f>
        <v>1</v>
      </c>
    </row>
    <row r="191" spans="1:10" ht="28.8" customHeight="1">
      <c r="A191" s="30">
        <f>ROW() - ROW(Ejecucion45[[#Headers],[Correlativo]])</f>
        <v>187</v>
      </c>
      <c r="B191" s="156" t="s">
        <v>319</v>
      </c>
      <c r="C191" s="84" t="str">
        <f>IF(B191="","",HYPERLINK("#"&amp;"Registro!B"&amp;MATCH(B191,Registro!$B$8:$B$997,0)+7,"Ubicar en registro"))</f>
        <v>Ubicar en registro</v>
      </c>
      <c r="D191" s="55" t="str">
        <f>IF(Ejecucion45[[#This Row],[No. Solicitud]]="","",_xlfn.XLOOKUP(Ejecucion45[[#This Row],[No. Solicitud]],Registro!$B$8:$B$997,Registro!$H$8:$H$997,"Sin Dato",0))</f>
        <v>Curso 71</v>
      </c>
      <c r="E191" s="160" t="s">
        <v>834</v>
      </c>
      <c r="F19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40</v>
      </c>
      <c r="G191" s="55">
        <v>8</v>
      </c>
      <c r="H191" s="55">
        <v>42864</v>
      </c>
      <c r="I191" s="55">
        <f>IF(Ejecucion45[[#This Row],[PC]]="","",_xlfn.XLOOKUP(Ejecucion45[[#This Row],[PC]],Ejecucion[PC],Ejecucion[Grupo],"NE",0))</f>
        <v>3</v>
      </c>
      <c r="J191" s="55">
        <f>IF(Ejecucion45[[#This Row],[PC]]="","",COUNTIF(Ejecucion4[Codigo],Ejecucion45[[#This Row],[PC]]))</f>
        <v>1</v>
      </c>
    </row>
    <row r="192" spans="1:10">
      <c r="A192" s="30">
        <f>ROW() - ROW(Ejecucion45[[#Headers],[Correlativo]])</f>
        <v>188</v>
      </c>
      <c r="B192" s="156"/>
      <c r="C192" s="84" t="str">
        <f>IF(B192="","",HYPERLINK("#"&amp;"Registro!B"&amp;MATCH(B192,Registro!$B$8:$B$997,0)+7,"Ubicar en registro"))</f>
        <v/>
      </c>
      <c r="D192" s="55" t="str">
        <f>IF(Ejecucion45[[#This Row],[No. Solicitud]]="","",_xlfn.XLOOKUP(Ejecucion45[[#This Row],[No. Solicitud]],Registro!$B$8:$B$997,Registro!$H$8:$H$997,"Sin Dato",0))</f>
        <v/>
      </c>
      <c r="E192" s="160">
        <v>81631618</v>
      </c>
      <c r="F19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NE</v>
      </c>
      <c r="G192" s="55">
        <v>8</v>
      </c>
      <c r="H192" s="55">
        <v>42864</v>
      </c>
      <c r="I192" s="55">
        <f>IF(Ejecucion45[[#This Row],[PC]]="","",_xlfn.XLOOKUP(Ejecucion45[[#This Row],[PC]],Ejecucion[PC],Ejecucion[Grupo],"NE",0))</f>
        <v>3</v>
      </c>
      <c r="J192" s="55">
        <f>IF(Ejecucion45[[#This Row],[PC]]="","",COUNTIF(Ejecucion4[Codigo],Ejecucion45[[#This Row],[PC]]))</f>
        <v>1</v>
      </c>
    </row>
    <row r="193" spans="1:10" ht="28.8" customHeight="1">
      <c r="A193" s="30">
        <f>ROW() - ROW(Ejecucion45[[#Headers],[Correlativo]])</f>
        <v>189</v>
      </c>
      <c r="B193" s="156" t="s">
        <v>319</v>
      </c>
      <c r="C193" s="84" t="str">
        <f>IF(B193="","",HYPERLINK("#"&amp;"Registro!B"&amp;MATCH(B193,Registro!$B$8:$B$997,0)+7,"Ubicar en registro"))</f>
        <v>Ubicar en registro</v>
      </c>
      <c r="D193" s="55" t="str">
        <f>IF(Ejecucion45[[#This Row],[No. Solicitud]]="","",_xlfn.XLOOKUP(Ejecucion45[[#This Row],[No. Solicitud]],Registro!$B$8:$B$997,Registro!$H$8:$H$997,"Sin Dato",0))</f>
        <v>Curso 71</v>
      </c>
      <c r="E193" s="160" t="s">
        <v>836</v>
      </c>
      <c r="F19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42</v>
      </c>
      <c r="G193" s="55">
        <v>8</v>
      </c>
      <c r="H193" s="55">
        <v>42988</v>
      </c>
      <c r="I193" s="55">
        <f>IF(Ejecucion45[[#This Row],[PC]]="","",_xlfn.XLOOKUP(Ejecucion45[[#This Row],[PC]],Ejecucion[PC],Ejecucion[Grupo],"NE",0))</f>
        <v>4</v>
      </c>
      <c r="J193" s="55">
        <f>IF(Ejecucion45[[#This Row],[PC]]="","",COUNTIF(Ejecucion4[Codigo],Ejecucion45[[#This Row],[PC]]))</f>
        <v>1</v>
      </c>
    </row>
    <row r="194" spans="1:10">
      <c r="A194" s="30">
        <f>ROW() - ROW(Ejecucion45[[#Headers],[Correlativo]])</f>
        <v>190</v>
      </c>
      <c r="B194" s="156"/>
      <c r="C194" s="84" t="str">
        <f>IF(B194="","",HYPERLINK("#"&amp;"Registro!B"&amp;MATCH(B194,Registro!$B$8:$B$997,0)+7,"Ubicar en registro"))</f>
        <v/>
      </c>
      <c r="D194" s="55" t="str">
        <f>IF(Ejecucion45[[#This Row],[No. Solicitud]]="","",_xlfn.XLOOKUP(Ejecucion45[[#This Row],[No. Solicitud]],Registro!$B$8:$B$997,Registro!$H$8:$H$997,"Sin Dato",0))</f>
        <v/>
      </c>
      <c r="E194" s="160">
        <v>81631618</v>
      </c>
      <c r="F19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NE</v>
      </c>
      <c r="G194" s="55">
        <v>8</v>
      </c>
      <c r="H194" s="55">
        <v>42988</v>
      </c>
      <c r="I194" s="55">
        <f>IF(Ejecucion45[[#This Row],[PC]]="","",_xlfn.XLOOKUP(Ejecucion45[[#This Row],[PC]],Ejecucion[PC],Ejecucion[Grupo],"NE",0))</f>
        <v>4</v>
      </c>
      <c r="J194" s="55">
        <f>IF(Ejecucion45[[#This Row],[PC]]="","",COUNTIF(Ejecucion4[Codigo],Ejecucion45[[#This Row],[PC]]))</f>
        <v>1</v>
      </c>
    </row>
    <row r="195" spans="1:10" ht="28.8" customHeight="1">
      <c r="A195" s="30">
        <f>ROW() - ROW(Ejecucion45[[#Headers],[Correlativo]])</f>
        <v>191</v>
      </c>
      <c r="B195" s="156" t="s">
        <v>319</v>
      </c>
      <c r="C195" s="84" t="str">
        <f>IF(B195="","",HYPERLINK("#"&amp;"Registro!B"&amp;MATCH(B195,Registro!$B$8:$B$997,0)+7,"Ubicar en registro"))</f>
        <v>Ubicar en registro</v>
      </c>
      <c r="D195" s="55" t="str">
        <f>IF(Ejecucion45[[#This Row],[No. Solicitud]]="","",_xlfn.XLOOKUP(Ejecucion45[[#This Row],[No. Solicitud]],Registro!$B$8:$B$997,Registro!$H$8:$H$997,"Sin Dato",0))</f>
        <v>Curso 71</v>
      </c>
      <c r="E195" s="160" t="s">
        <v>838</v>
      </c>
      <c r="F19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44</v>
      </c>
      <c r="G195" s="55">
        <v>8</v>
      </c>
      <c r="H195" s="55">
        <v>43036</v>
      </c>
      <c r="I195" s="55">
        <f>IF(Ejecucion45[[#This Row],[PC]]="","",_xlfn.XLOOKUP(Ejecucion45[[#This Row],[PC]],Ejecucion[PC],Ejecucion[Grupo],"NE",0))</f>
        <v>5</v>
      </c>
      <c r="J195" s="55">
        <f>IF(Ejecucion45[[#This Row],[PC]]="","",COUNTIF(Ejecucion4[Codigo],Ejecucion45[[#This Row],[PC]]))</f>
        <v>1</v>
      </c>
    </row>
    <row r="196" spans="1:10">
      <c r="A196" s="30">
        <f>ROW() - ROW(Ejecucion45[[#Headers],[Correlativo]])</f>
        <v>192</v>
      </c>
      <c r="B196" s="156"/>
      <c r="C196" s="84" t="str">
        <f>IF(B196="","",HYPERLINK("#"&amp;"Registro!B"&amp;MATCH(B196,Registro!$B$8:$B$997,0)+7,"Ubicar en registro"))</f>
        <v/>
      </c>
      <c r="D196" s="55" t="str">
        <f>IF(Ejecucion45[[#This Row],[No. Solicitud]]="","",_xlfn.XLOOKUP(Ejecucion45[[#This Row],[No. Solicitud]],Registro!$B$8:$B$997,Registro!$H$8:$H$997,"Sin Dato",0))</f>
        <v/>
      </c>
      <c r="E196" s="160">
        <v>81631618</v>
      </c>
      <c r="F19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NE</v>
      </c>
      <c r="G196" s="55">
        <v>8</v>
      </c>
      <c r="H196" s="55">
        <v>43036</v>
      </c>
      <c r="I196" s="55">
        <f>IF(Ejecucion45[[#This Row],[PC]]="","",_xlfn.XLOOKUP(Ejecucion45[[#This Row],[PC]],Ejecucion[PC],Ejecucion[Grupo],"NE",0))</f>
        <v>5</v>
      </c>
      <c r="J196" s="55">
        <f>IF(Ejecucion45[[#This Row],[PC]]="","",COUNTIF(Ejecucion4[Codigo],Ejecucion45[[#This Row],[PC]]))</f>
        <v>1</v>
      </c>
    </row>
    <row r="197" spans="1:10" ht="28.8" customHeight="1">
      <c r="A197" s="30">
        <f>ROW() - ROW(Ejecucion45[[#Headers],[Correlativo]])</f>
        <v>193</v>
      </c>
      <c r="B197" s="156" t="s">
        <v>319</v>
      </c>
      <c r="C197" s="84" t="str">
        <f>IF(B197="","",HYPERLINK("#"&amp;"Registro!B"&amp;MATCH(B197,Registro!$B$8:$B$997,0)+7,"Ubicar en registro"))</f>
        <v>Ubicar en registro</v>
      </c>
      <c r="D197" s="55" t="str">
        <f>IF(Ejecucion45[[#This Row],[No. Solicitud]]="","",_xlfn.XLOOKUP(Ejecucion45[[#This Row],[No. Solicitud]],Registro!$B$8:$B$997,Registro!$H$8:$H$997,"Sin Dato",0))</f>
        <v>Curso 71</v>
      </c>
      <c r="E197" s="160" t="s">
        <v>840</v>
      </c>
      <c r="F19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46</v>
      </c>
      <c r="G197" s="55">
        <v>8</v>
      </c>
      <c r="H197" s="55">
        <v>43177</v>
      </c>
      <c r="I197" s="55">
        <f>IF(Ejecucion45[[#This Row],[PC]]="","",_xlfn.XLOOKUP(Ejecucion45[[#This Row],[PC]],Ejecucion[PC],Ejecucion[Grupo],"NE",0))</f>
        <v>6</v>
      </c>
      <c r="J197" s="55">
        <f>IF(Ejecucion45[[#This Row],[PC]]="","",COUNTIF(Ejecucion4[Codigo],Ejecucion45[[#This Row],[PC]]))</f>
        <v>1</v>
      </c>
    </row>
    <row r="198" spans="1:10" ht="28.8" customHeight="1">
      <c r="A198" s="30">
        <f>ROW() - ROW(Ejecucion45[[#Headers],[Correlativo]])</f>
        <v>194</v>
      </c>
      <c r="B198" s="156" t="s">
        <v>319</v>
      </c>
      <c r="C198" s="84" t="str">
        <f>IF(B198="","",HYPERLINK("#"&amp;"Registro!B"&amp;MATCH(B198,Registro!$B$8:$B$997,0)+7,"Ubicar en registro"))</f>
        <v>Ubicar en registro</v>
      </c>
      <c r="D198" s="55" t="str">
        <f>IF(Ejecucion45[[#This Row],[No. Solicitud]]="","",_xlfn.XLOOKUP(Ejecucion45[[#This Row],[No. Solicitud]],Registro!$B$8:$B$997,Registro!$H$8:$H$997,"Sin Dato",0))</f>
        <v>Curso 71</v>
      </c>
      <c r="E198" s="160" t="s">
        <v>841</v>
      </c>
      <c r="F19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47</v>
      </c>
      <c r="G198" s="55">
        <v>8</v>
      </c>
      <c r="H198" s="55">
        <v>43177</v>
      </c>
      <c r="I198" s="55">
        <f>IF(Ejecucion45[[#This Row],[PC]]="","",_xlfn.XLOOKUP(Ejecucion45[[#This Row],[PC]],Ejecucion[PC],Ejecucion[Grupo],"NE",0))</f>
        <v>6</v>
      </c>
      <c r="J198" s="55">
        <f>IF(Ejecucion45[[#This Row],[PC]]="","",COUNTIF(Ejecucion4[Codigo],Ejecucion45[[#This Row],[PC]]))</f>
        <v>1</v>
      </c>
    </row>
    <row r="199" spans="1:10" ht="28.8" customHeight="1">
      <c r="A199" s="30">
        <f>ROW() - ROW(Ejecucion45[[#Headers],[Correlativo]])</f>
        <v>195</v>
      </c>
      <c r="B199" s="156" t="s">
        <v>319</v>
      </c>
      <c r="C199" s="84" t="str">
        <f>IF(B199="","",HYPERLINK("#"&amp;"Registro!B"&amp;MATCH(B199,Registro!$B$8:$B$997,0)+7,"Ubicar en registro"))</f>
        <v>Ubicar en registro</v>
      </c>
      <c r="D199" s="55" t="str">
        <f>IF(Ejecucion45[[#This Row],[No. Solicitud]]="","",_xlfn.XLOOKUP(Ejecucion45[[#This Row],[No. Solicitud]],Registro!$B$8:$B$997,Registro!$H$8:$H$997,"Sin Dato",0))</f>
        <v>Curso 71</v>
      </c>
      <c r="E199" s="160" t="s">
        <v>842</v>
      </c>
      <c r="F19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48</v>
      </c>
      <c r="G199" s="55">
        <v>8</v>
      </c>
      <c r="H199" s="55">
        <v>43197</v>
      </c>
      <c r="I199" s="55">
        <f>IF(Ejecucion45[[#This Row],[PC]]="","",_xlfn.XLOOKUP(Ejecucion45[[#This Row],[PC]],Ejecucion[PC],Ejecucion[Grupo],"NE",0))</f>
        <v>7</v>
      </c>
      <c r="J199" s="55">
        <f>IF(Ejecucion45[[#This Row],[PC]]="","",COUNTIF(Ejecucion4[Codigo],Ejecucion45[[#This Row],[PC]]))</f>
        <v>1</v>
      </c>
    </row>
    <row r="200" spans="1:10" ht="28.8" customHeight="1">
      <c r="A200" s="30">
        <f>ROW() - ROW(Ejecucion45[[#Headers],[Correlativo]])</f>
        <v>196</v>
      </c>
      <c r="B200" s="156" t="s">
        <v>319</v>
      </c>
      <c r="C200" s="84" t="str">
        <f>IF(B200="","",HYPERLINK("#"&amp;"Registro!B"&amp;MATCH(B200,Registro!$B$8:$B$997,0)+7,"Ubicar en registro"))</f>
        <v>Ubicar en registro</v>
      </c>
      <c r="D200" s="55" t="str">
        <f>IF(Ejecucion45[[#This Row],[No. Solicitud]]="","",_xlfn.XLOOKUP(Ejecucion45[[#This Row],[No. Solicitud]],Registro!$B$8:$B$997,Registro!$H$8:$H$997,"Sin Dato",0))</f>
        <v>Curso 71</v>
      </c>
      <c r="E200" s="160" t="s">
        <v>843</v>
      </c>
      <c r="F20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49</v>
      </c>
      <c r="G200" s="55">
        <v>8</v>
      </c>
      <c r="H200" s="55">
        <v>43197</v>
      </c>
      <c r="I200" s="55">
        <f>IF(Ejecucion45[[#This Row],[PC]]="","",_xlfn.XLOOKUP(Ejecucion45[[#This Row],[PC]],Ejecucion[PC],Ejecucion[Grupo],"NE",0))</f>
        <v>7</v>
      </c>
      <c r="J200" s="55">
        <f>IF(Ejecucion45[[#This Row],[PC]]="","",COUNTIF(Ejecucion4[Codigo],Ejecucion45[[#This Row],[PC]]))</f>
        <v>1</v>
      </c>
    </row>
    <row r="201" spans="1:10" ht="28.8" customHeight="1">
      <c r="A201" s="30">
        <f>ROW() - ROW(Ejecucion45[[#Headers],[Correlativo]])</f>
        <v>197</v>
      </c>
      <c r="B201" s="156" t="s">
        <v>319</v>
      </c>
      <c r="C201" s="84" t="str">
        <f>IF(B201="","",HYPERLINK("#"&amp;"Registro!B"&amp;MATCH(B201,Registro!$B$8:$B$997,0)+7,"Ubicar en registro"))</f>
        <v>Ubicar en registro</v>
      </c>
      <c r="D201" s="55" t="str">
        <f>IF(Ejecucion45[[#This Row],[No. Solicitud]]="","",_xlfn.XLOOKUP(Ejecucion45[[#This Row],[No. Solicitud]],Registro!$B$8:$B$997,Registro!$H$8:$H$997,"Sin Dato",0))</f>
        <v>Curso 71</v>
      </c>
      <c r="E201" s="160" t="s">
        <v>844</v>
      </c>
      <c r="F20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50</v>
      </c>
      <c r="G201" s="55">
        <v>8</v>
      </c>
      <c r="H201" s="55">
        <v>43301</v>
      </c>
      <c r="I201" s="55">
        <f>IF(Ejecucion45[[#This Row],[PC]]="","",_xlfn.XLOOKUP(Ejecucion45[[#This Row],[PC]],Ejecucion[PC],Ejecucion[Grupo],"NE",0))</f>
        <v>8</v>
      </c>
      <c r="J201" s="55">
        <f>IF(Ejecucion45[[#This Row],[PC]]="","",COUNTIF(Ejecucion4[Codigo],Ejecucion45[[#This Row],[PC]]))</f>
        <v>1</v>
      </c>
    </row>
    <row r="202" spans="1:10" ht="28.8" customHeight="1">
      <c r="A202" s="30">
        <f>ROW() - ROW(Ejecucion45[[#Headers],[Correlativo]])</f>
        <v>198</v>
      </c>
      <c r="B202" s="156" t="s">
        <v>319</v>
      </c>
      <c r="C202" s="84" t="str">
        <f>IF(B202="","",HYPERLINK("#"&amp;"Registro!B"&amp;MATCH(B202,Registro!$B$8:$B$997,0)+7,"Ubicar en registro"))</f>
        <v>Ubicar en registro</v>
      </c>
      <c r="D202" s="55" t="str">
        <f>IF(Ejecucion45[[#This Row],[No. Solicitud]]="","",_xlfn.XLOOKUP(Ejecucion45[[#This Row],[No. Solicitud]],Registro!$B$8:$B$997,Registro!$H$8:$H$997,"Sin Dato",0))</f>
        <v>Curso 71</v>
      </c>
      <c r="E202" s="160" t="s">
        <v>845</v>
      </c>
      <c r="F20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51</v>
      </c>
      <c r="G202" s="55">
        <v>8</v>
      </c>
      <c r="H202" s="55">
        <v>43338</v>
      </c>
      <c r="I202" s="55">
        <f>IF(Ejecucion45[[#This Row],[PC]]="","",_xlfn.XLOOKUP(Ejecucion45[[#This Row],[PC]],Ejecucion[PC],Ejecucion[Grupo],"NE",0))</f>
        <v>9</v>
      </c>
      <c r="J202" s="55">
        <f>IF(Ejecucion45[[#This Row],[PC]]="","",COUNTIF(Ejecucion4[Codigo],Ejecucion45[[#This Row],[PC]]))</f>
        <v>1</v>
      </c>
    </row>
    <row r="203" spans="1:10" ht="28.8" customHeight="1">
      <c r="A203" s="30">
        <f>ROW() - ROW(Ejecucion45[[#Headers],[Correlativo]])</f>
        <v>199</v>
      </c>
      <c r="B203" s="156" t="s">
        <v>319</v>
      </c>
      <c r="C203" s="84" t="str">
        <f>IF(B203="","",HYPERLINK("#"&amp;"Registro!B"&amp;MATCH(B203,Registro!$B$8:$B$997,0)+7,"Ubicar en registro"))</f>
        <v>Ubicar en registro</v>
      </c>
      <c r="D203" s="55" t="str">
        <f>IF(Ejecucion45[[#This Row],[No. Solicitud]]="","",_xlfn.XLOOKUP(Ejecucion45[[#This Row],[No. Solicitud]],Registro!$B$8:$B$997,Registro!$H$8:$H$997,"Sin Dato",0))</f>
        <v>Curso 71</v>
      </c>
      <c r="E203" s="160" t="s">
        <v>846</v>
      </c>
      <c r="F20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52</v>
      </c>
      <c r="G203" s="55">
        <v>8</v>
      </c>
      <c r="H203" s="55">
        <v>43338</v>
      </c>
      <c r="I203" s="55">
        <f>IF(Ejecucion45[[#This Row],[PC]]="","",_xlfn.XLOOKUP(Ejecucion45[[#This Row],[PC]],Ejecucion[PC],Ejecucion[Grupo],"NE",0))</f>
        <v>9</v>
      </c>
      <c r="J203" s="55">
        <f>IF(Ejecucion45[[#This Row],[PC]]="","",COUNTIF(Ejecucion4[Codigo],Ejecucion45[[#This Row],[PC]]))</f>
        <v>1</v>
      </c>
    </row>
    <row r="204" spans="1:10" ht="28.8" customHeight="1">
      <c r="A204" s="30">
        <f>ROW() - ROW(Ejecucion45[[#Headers],[Correlativo]])</f>
        <v>200</v>
      </c>
      <c r="B204" s="156" t="s">
        <v>319</v>
      </c>
      <c r="C204" s="84" t="str">
        <f>IF(B204="","",HYPERLINK("#"&amp;"Registro!B"&amp;MATCH(B204,Registro!$B$8:$B$997,0)+7,"Ubicar en registro"))</f>
        <v>Ubicar en registro</v>
      </c>
      <c r="D204" s="55" t="str">
        <f>IF(Ejecucion45[[#This Row],[No. Solicitud]]="","",_xlfn.XLOOKUP(Ejecucion45[[#This Row],[No. Solicitud]],Registro!$B$8:$B$997,Registro!$H$8:$H$997,"Sin Dato",0))</f>
        <v>Curso 71</v>
      </c>
      <c r="E204" s="160" t="s">
        <v>847</v>
      </c>
      <c r="F20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53</v>
      </c>
      <c r="G204" s="55">
        <v>8</v>
      </c>
      <c r="H204" s="55">
        <v>43485</v>
      </c>
      <c r="I204" s="55">
        <f>IF(Ejecucion45[[#This Row],[PC]]="","",_xlfn.XLOOKUP(Ejecucion45[[#This Row],[PC]],Ejecucion[PC],Ejecucion[Grupo],"NE",0))</f>
        <v>10</v>
      </c>
      <c r="J204" s="55">
        <f>IF(Ejecucion45[[#This Row],[PC]]="","",COUNTIF(Ejecucion4[Codigo],Ejecucion45[[#This Row],[PC]]))</f>
        <v>1</v>
      </c>
    </row>
    <row r="205" spans="1:10" ht="28.8" customHeight="1">
      <c r="A205" s="30">
        <f>ROW() - ROW(Ejecucion45[[#Headers],[Correlativo]])</f>
        <v>201</v>
      </c>
      <c r="B205" s="30" t="s">
        <v>198</v>
      </c>
      <c r="C205" s="84" t="str">
        <f>IF(B205="","",HYPERLINK("#"&amp;"Registro!B"&amp;MATCH(B205,Registro!$B$8:$B$997,0)+7,"Ubicar en registro"))</f>
        <v>Ubicar en registro</v>
      </c>
      <c r="D205" s="55" t="str">
        <f>IF(Ejecucion45[[#This Row],[No. Solicitud]]="","",_xlfn.XLOOKUP(Ejecucion45[[#This Row],[No. Solicitud]],Registro!$B$8:$B$997,Registro!$H$8:$H$997,"Sin Dato",0))</f>
        <v>Curso 29</v>
      </c>
      <c r="E205" s="160" t="s">
        <v>848</v>
      </c>
      <c r="F20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54</v>
      </c>
      <c r="G205" s="55">
        <v>8</v>
      </c>
      <c r="I205" s="55" t="str">
        <f>IF(Ejecucion45[[#This Row],[PC]]="","",_xlfn.XLOOKUP(Ejecucion45[[#This Row],[PC]],Ejecucion[PC],Ejecucion[Grupo],"NE",0))</f>
        <v/>
      </c>
      <c r="J205" s="55" t="str">
        <f>IF(Ejecucion45[[#This Row],[PC]]="","",COUNTIF(Ejecucion4[Codigo],Ejecucion45[[#This Row],[PC]]))</f>
        <v/>
      </c>
    </row>
    <row r="206" spans="1:10" ht="28.8" customHeight="1">
      <c r="A206" s="30">
        <f>ROW() - ROW(Ejecucion45[[#Headers],[Correlativo]])</f>
        <v>202</v>
      </c>
      <c r="B206" s="30" t="s">
        <v>198</v>
      </c>
      <c r="C206" s="84" t="str">
        <f>IF(B206="","",HYPERLINK("#"&amp;"Registro!B"&amp;MATCH(B206,Registro!$B$8:$B$997,0)+7,"Ubicar en registro"))</f>
        <v>Ubicar en registro</v>
      </c>
      <c r="D206" s="55" t="str">
        <f>IF(Ejecucion45[[#This Row],[No. Solicitud]]="","",_xlfn.XLOOKUP(Ejecucion45[[#This Row],[No. Solicitud]],Registro!$B$8:$B$997,Registro!$H$8:$H$997,"Sin Dato",0))</f>
        <v>Curso 29</v>
      </c>
      <c r="E206" s="160" t="s">
        <v>849</v>
      </c>
      <c r="F20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55</v>
      </c>
      <c r="G206" s="55">
        <v>8</v>
      </c>
      <c r="I206" s="55" t="str">
        <f>IF(Ejecucion45[[#This Row],[PC]]="","",_xlfn.XLOOKUP(Ejecucion45[[#This Row],[PC]],Ejecucion[PC],Ejecucion[Grupo],"NE",0))</f>
        <v/>
      </c>
      <c r="J206" s="55" t="str">
        <f>IF(Ejecucion45[[#This Row],[PC]]="","",COUNTIF(Ejecucion4[Codigo],Ejecucion45[[#This Row],[PC]]))</f>
        <v/>
      </c>
    </row>
    <row r="207" spans="1:10" ht="28.8" customHeight="1">
      <c r="A207" s="30">
        <f>ROW() - ROW(Ejecucion45[[#Headers],[Correlativo]])</f>
        <v>203</v>
      </c>
      <c r="B207" s="36" t="s">
        <v>323</v>
      </c>
      <c r="C207" s="84" t="str">
        <f>IF(B207="","",HYPERLINK("#"&amp;"Registro!B"&amp;MATCH(B207,Registro!$B$8:$B$997,0)+7,"Ubicar en registro"))</f>
        <v>Ubicar en registro</v>
      </c>
      <c r="D207" s="55" t="str">
        <f>IF(Ejecucion45[[#This Row],[No. Solicitud]]="","",_xlfn.XLOOKUP(Ejecucion45[[#This Row],[No. Solicitud]],Registro!$B$8:$B$997,Registro!$H$8:$H$997,"Sin Dato",0))</f>
        <v>Curso 73</v>
      </c>
      <c r="E207" s="160" t="s">
        <v>850</v>
      </c>
      <c r="H207" s="55">
        <v>42602</v>
      </c>
      <c r="I207" s="55">
        <f>IF(Ejecucion45[[#This Row],[PC]]="","",_xlfn.XLOOKUP(Ejecucion45[[#This Row],[PC]],Ejecucion[PC],Ejecucion[Grupo],"NE",0))</f>
        <v>1</v>
      </c>
      <c r="J207" s="55">
        <f>IF(Ejecucion45[[#This Row],[PC]]="","",COUNTIF(Ejecucion4[Codigo],Ejecucion45[[#This Row],[PC]]))</f>
        <v>1</v>
      </c>
    </row>
    <row r="208" spans="1:10" ht="28.5" customHeight="1">
      <c r="A208" s="30">
        <f>ROW() - ROW(Ejecucion45[[#Headers],[Correlativo]])</f>
        <v>204</v>
      </c>
      <c r="B208" s="36" t="s">
        <v>323</v>
      </c>
      <c r="C208" s="84" t="str">
        <f>IF(B208="","",HYPERLINK("#"&amp;"Registro!B"&amp;MATCH(B208,Registro!$B$8:$B$997,0)+7,"Ubicar en registro"))</f>
        <v>Ubicar en registro</v>
      </c>
      <c r="D208" s="55" t="str">
        <f>IF(Ejecucion45[[#This Row],[No. Solicitud]]="","",_xlfn.XLOOKUP(Ejecucion45[[#This Row],[No. Solicitud]],Registro!$B$8:$B$997,Registro!$H$8:$H$997,"Sin Dato",0))</f>
        <v>Curso 73</v>
      </c>
      <c r="E208" s="160" t="s">
        <v>851</v>
      </c>
      <c r="F20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57</v>
      </c>
      <c r="H208" s="55">
        <v>42625</v>
      </c>
      <c r="I208" s="55">
        <f>IF(Ejecucion45[[#This Row],[PC]]="","",_xlfn.XLOOKUP(Ejecucion45[[#This Row],[PC]],Ejecucion[PC],Ejecucion[Grupo],"NE",0))</f>
        <v>2</v>
      </c>
      <c r="J208" s="55">
        <f>IF(Ejecucion45[[#This Row],[PC]]="","",COUNTIF(Ejecucion4[Codigo],Ejecucion45[[#This Row],[PC]]))</f>
        <v>1</v>
      </c>
    </row>
    <row r="209" spans="1:10" ht="28.5" customHeight="1">
      <c r="A209" s="30">
        <f>ROW() - ROW(Ejecucion45[[#Headers],[Correlativo]])</f>
        <v>205</v>
      </c>
      <c r="B209" s="36" t="s">
        <v>323</v>
      </c>
      <c r="C209" s="84" t="str">
        <f>IF(B209="","",HYPERLINK("#"&amp;"Registro!B"&amp;MATCH(B209,Registro!$B$8:$B$997,0)+7,"Ubicar en registro"))</f>
        <v>Ubicar en registro</v>
      </c>
      <c r="D209" s="55" t="str">
        <f>IF(Ejecucion45[[#This Row],[No. Solicitud]]="","",_xlfn.XLOOKUP(Ejecucion45[[#This Row],[No. Solicitud]],Registro!$B$8:$B$997,Registro!$H$8:$H$997,"Sin Dato",0))</f>
        <v>Curso 73</v>
      </c>
      <c r="E209" s="160" t="s">
        <v>852</v>
      </c>
      <c r="F20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58</v>
      </c>
      <c r="H209" s="55">
        <v>42625</v>
      </c>
      <c r="I209" s="55">
        <f>IF(Ejecucion45[[#This Row],[PC]]="","",_xlfn.XLOOKUP(Ejecucion45[[#This Row],[PC]],Ejecucion[PC],Ejecucion[Grupo],"NE",0))</f>
        <v>2</v>
      </c>
      <c r="J209" s="55">
        <f>IF(Ejecucion45[[#This Row],[PC]]="","",COUNTIF(Ejecucion4[Codigo],Ejecucion45[[#This Row],[PC]]))</f>
        <v>1</v>
      </c>
    </row>
    <row r="210" spans="1:10" ht="28.8" customHeight="1">
      <c r="A210" s="30">
        <f>ROW() - ROW(Ejecucion45[[#Headers],[Correlativo]])</f>
        <v>206</v>
      </c>
      <c r="B210" s="36" t="s">
        <v>323</v>
      </c>
      <c r="C210" s="84" t="str">
        <f>IF(B210="","",HYPERLINK("#"&amp;"Registro!B"&amp;MATCH(B210,Registro!$B$8:$B$997,0)+7,"Ubicar en registro"))</f>
        <v>Ubicar en registro</v>
      </c>
      <c r="D210" s="55" t="str">
        <f>IF(Ejecucion45[[#This Row],[No. Solicitud]]="","",_xlfn.XLOOKUP(Ejecucion45[[#This Row],[No. Solicitud]],Registro!$B$8:$B$997,Registro!$H$8:$H$997,"Sin Dato",0))</f>
        <v>Curso 73</v>
      </c>
      <c r="E210" s="160" t="s">
        <v>853</v>
      </c>
      <c r="F21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59</v>
      </c>
      <c r="H210" s="55">
        <v>42861</v>
      </c>
      <c r="I210" s="55">
        <f>IF(Ejecucion45[[#This Row],[PC]]="","",_xlfn.XLOOKUP(Ejecucion45[[#This Row],[PC]],Ejecucion[PC],Ejecucion[Grupo],"NE",0))</f>
        <v>3</v>
      </c>
      <c r="J210" s="55">
        <f>IF(Ejecucion45[[#This Row],[PC]]="","",COUNTIF(Ejecucion4[Codigo],Ejecucion45[[#This Row],[PC]]))</f>
        <v>1</v>
      </c>
    </row>
    <row r="211" spans="1:10" ht="28.8" customHeight="1">
      <c r="A211" s="30">
        <f>ROW() - ROW(Ejecucion45[[#Headers],[Correlativo]])</f>
        <v>207</v>
      </c>
      <c r="B211" s="36" t="s">
        <v>323</v>
      </c>
      <c r="C211" s="84" t="str">
        <f>IF(B211="","",HYPERLINK("#"&amp;"Registro!B"&amp;MATCH(B211,Registro!$B$8:$B$997,0)+7,"Ubicar en registro"))</f>
        <v>Ubicar en registro</v>
      </c>
      <c r="D211" s="55" t="str">
        <f>IF(Ejecucion45[[#This Row],[No. Solicitud]]="","",_xlfn.XLOOKUP(Ejecucion45[[#This Row],[No. Solicitud]],Registro!$B$8:$B$997,Registro!$H$8:$H$997,"Sin Dato",0))</f>
        <v>Curso 73</v>
      </c>
      <c r="E211" s="160" t="s">
        <v>854</v>
      </c>
      <c r="F21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60</v>
      </c>
      <c r="H211" s="55">
        <v>42861</v>
      </c>
      <c r="I211" s="55">
        <f>IF(Ejecucion45[[#This Row],[PC]]="","",_xlfn.XLOOKUP(Ejecucion45[[#This Row],[PC]],Ejecucion[PC],Ejecucion[Grupo],"NE",0))</f>
        <v>3</v>
      </c>
      <c r="J211" s="55">
        <f>IF(Ejecucion45[[#This Row],[PC]]="","",COUNTIF(Ejecucion4[Codigo],Ejecucion45[[#This Row],[PC]]))</f>
        <v>1</v>
      </c>
    </row>
    <row r="212" spans="1:10" ht="28.8" customHeight="1">
      <c r="A212" s="30">
        <f>ROW() - ROW(Ejecucion45[[#Headers],[Correlativo]])</f>
        <v>208</v>
      </c>
      <c r="B212" s="36" t="s">
        <v>323</v>
      </c>
      <c r="C212" s="84" t="str">
        <f>IF(B212="","",HYPERLINK("#"&amp;"Registro!B"&amp;MATCH(B212,Registro!$B$8:$B$997,0)+7,"Ubicar en registro"))</f>
        <v>Ubicar en registro</v>
      </c>
      <c r="D212" s="55" t="str">
        <f>IF(Ejecucion45[[#This Row],[No. Solicitud]]="","",_xlfn.XLOOKUP(Ejecucion45[[#This Row],[No. Solicitud]],Registro!$B$8:$B$997,Registro!$H$8:$H$997,"Sin Dato",0))</f>
        <v>Curso 73</v>
      </c>
      <c r="E212" s="160" t="s">
        <v>855</v>
      </c>
      <c r="F21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61</v>
      </c>
      <c r="H212" s="55">
        <v>42989</v>
      </c>
      <c r="I212" s="55">
        <f>IF(Ejecucion45[[#This Row],[PC]]="","",_xlfn.XLOOKUP(Ejecucion45[[#This Row],[PC]],Ejecucion[PC],Ejecucion[Grupo],"NE",0))</f>
        <v>4</v>
      </c>
      <c r="J212" s="55">
        <f>IF(Ejecucion45[[#This Row],[PC]]="","",COUNTIF(Ejecucion4[Codigo],Ejecucion45[[#This Row],[PC]]))</f>
        <v>1</v>
      </c>
    </row>
    <row r="213" spans="1:10" ht="28.8" customHeight="1">
      <c r="A213" s="30">
        <f>ROW() - ROW(Ejecucion45[[#Headers],[Correlativo]])</f>
        <v>209</v>
      </c>
      <c r="B213" s="36" t="s">
        <v>323</v>
      </c>
      <c r="C213" s="84" t="str">
        <f>IF(B213="","",HYPERLINK("#"&amp;"Registro!B"&amp;MATCH(B213,Registro!$B$8:$B$997,0)+7,"Ubicar en registro"))</f>
        <v>Ubicar en registro</v>
      </c>
      <c r="D213" s="55" t="str">
        <f>IF(Ejecucion45[[#This Row],[No. Solicitud]]="","",_xlfn.XLOOKUP(Ejecucion45[[#This Row],[No. Solicitud]],Registro!$B$8:$B$997,Registro!$H$8:$H$997,"Sin Dato",0))</f>
        <v>Curso 73</v>
      </c>
      <c r="E213" s="160" t="s">
        <v>856</v>
      </c>
      <c r="F21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62</v>
      </c>
      <c r="H213" s="55">
        <v>42989</v>
      </c>
      <c r="I213" s="55">
        <f>IF(Ejecucion45[[#This Row],[PC]]="","",_xlfn.XLOOKUP(Ejecucion45[[#This Row],[PC]],Ejecucion[PC],Ejecucion[Grupo],"NE",0))</f>
        <v>4</v>
      </c>
      <c r="J213" s="55">
        <f>IF(Ejecucion45[[#This Row],[PC]]="","",COUNTIF(Ejecucion4[Codigo],Ejecucion45[[#This Row],[PC]]))</f>
        <v>1</v>
      </c>
    </row>
    <row r="214" spans="1:10" ht="28.8" customHeight="1">
      <c r="A214" s="30">
        <f>ROW() - ROW(Ejecucion45[[#Headers],[Correlativo]])</f>
        <v>210</v>
      </c>
      <c r="B214" s="36" t="s">
        <v>323</v>
      </c>
      <c r="C214" s="84" t="str">
        <f>IF(B214="","",HYPERLINK("#"&amp;"Registro!B"&amp;MATCH(B214,Registro!$B$8:$B$997,0)+7,"Ubicar en registro"))</f>
        <v>Ubicar en registro</v>
      </c>
      <c r="D214" s="55" t="str">
        <f>IF(Ejecucion45[[#This Row],[No. Solicitud]]="","",_xlfn.XLOOKUP(Ejecucion45[[#This Row],[No. Solicitud]],Registro!$B$8:$B$997,Registro!$H$8:$H$997,"Sin Dato",0))</f>
        <v>Curso 73</v>
      </c>
      <c r="E214" s="160" t="s">
        <v>857</v>
      </c>
      <c r="F21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63</v>
      </c>
      <c r="H214" s="55">
        <v>43043</v>
      </c>
      <c r="I214" s="55">
        <f>IF(Ejecucion45[[#This Row],[PC]]="","",_xlfn.XLOOKUP(Ejecucion45[[#This Row],[PC]],Ejecucion[PC],Ejecucion[Grupo],"NE",0))</f>
        <v>5</v>
      </c>
      <c r="J214" s="55">
        <f>IF(Ejecucion45[[#This Row],[PC]]="","",COUNTIF(Ejecucion4[Codigo],Ejecucion45[[#This Row],[PC]]))</f>
        <v>1</v>
      </c>
    </row>
    <row r="215" spans="1:10" ht="28.8" customHeight="1">
      <c r="A215" s="30">
        <f>ROW() - ROW(Ejecucion45[[#Headers],[Correlativo]])</f>
        <v>211</v>
      </c>
      <c r="B215" s="36" t="s">
        <v>323</v>
      </c>
      <c r="C215" s="84" t="str">
        <f>IF(B215="","",HYPERLINK("#"&amp;"Registro!B"&amp;MATCH(B215,Registro!$B$8:$B$997,0)+7,"Ubicar en registro"))</f>
        <v>Ubicar en registro</v>
      </c>
      <c r="D215" s="55" t="str">
        <f>IF(Ejecucion45[[#This Row],[No. Solicitud]]="","",_xlfn.XLOOKUP(Ejecucion45[[#This Row],[No. Solicitud]],Registro!$B$8:$B$997,Registro!$H$8:$H$997,"Sin Dato",0))</f>
        <v>Curso 73</v>
      </c>
      <c r="E215" s="160" t="s">
        <v>858</v>
      </c>
      <c r="F21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64</v>
      </c>
      <c r="H215" s="55">
        <v>43043</v>
      </c>
      <c r="I215" s="55">
        <f>IF(Ejecucion45[[#This Row],[PC]]="","",_xlfn.XLOOKUP(Ejecucion45[[#This Row],[PC]],Ejecucion[PC],Ejecucion[Grupo],"NE",0))</f>
        <v>5</v>
      </c>
      <c r="J215" s="55">
        <f>IF(Ejecucion45[[#This Row],[PC]]="","",COUNTIF(Ejecucion4[Codigo],Ejecucion45[[#This Row],[PC]]))</f>
        <v>1</v>
      </c>
    </row>
    <row r="216" spans="1:10" ht="28.8" customHeight="1">
      <c r="A216" s="30">
        <f>ROW() - ROW(Ejecucion45[[#Headers],[Correlativo]])</f>
        <v>212</v>
      </c>
      <c r="B216" s="36" t="s">
        <v>323</v>
      </c>
      <c r="C216" s="84" t="str">
        <f>IF(B216="","",HYPERLINK("#"&amp;"Registro!B"&amp;MATCH(B216,Registro!$B$8:$B$997,0)+7,"Ubicar en registro"))</f>
        <v>Ubicar en registro</v>
      </c>
      <c r="D216" s="55" t="str">
        <f>IF(Ejecucion45[[#This Row],[No. Solicitud]]="","",_xlfn.XLOOKUP(Ejecucion45[[#This Row],[No. Solicitud]],Registro!$B$8:$B$997,Registro!$H$8:$H$997,"Sin Dato",0))</f>
        <v>Curso 73</v>
      </c>
      <c r="E216" s="160" t="s">
        <v>859</v>
      </c>
      <c r="F21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65</v>
      </c>
      <c r="H216" s="55">
        <v>43178</v>
      </c>
      <c r="I216" s="55">
        <f>IF(Ejecucion45[[#This Row],[PC]]="","",_xlfn.XLOOKUP(Ejecucion45[[#This Row],[PC]],Ejecucion[PC],Ejecucion[Grupo],"NE",0))</f>
        <v>6</v>
      </c>
      <c r="J216" s="55">
        <f>IF(Ejecucion45[[#This Row],[PC]]="","",COUNTIF(Ejecucion4[Codigo],Ejecucion45[[#This Row],[PC]]))</f>
        <v>1</v>
      </c>
    </row>
    <row r="217" spans="1:10" ht="28.8" customHeight="1">
      <c r="A217" s="30">
        <f>ROW() - ROW(Ejecucion45[[#Headers],[Correlativo]])</f>
        <v>213</v>
      </c>
      <c r="B217" s="36" t="s">
        <v>323</v>
      </c>
      <c r="C217" s="84" t="str">
        <f>IF(B217="","",HYPERLINK("#"&amp;"Registro!B"&amp;MATCH(B217,Registro!$B$8:$B$997,0)+7,"Ubicar en registro"))</f>
        <v>Ubicar en registro</v>
      </c>
      <c r="D217" s="55" t="str">
        <f>IF(Ejecucion45[[#This Row],[No. Solicitud]]="","",_xlfn.XLOOKUP(Ejecucion45[[#This Row],[No. Solicitud]],Registro!$B$8:$B$997,Registro!$H$8:$H$997,"Sin Dato",0))</f>
        <v>Curso 73</v>
      </c>
      <c r="E217" s="160" t="s">
        <v>860</v>
      </c>
      <c r="F21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66</v>
      </c>
      <c r="H217" s="55">
        <v>43178</v>
      </c>
      <c r="I217" s="55">
        <f>IF(Ejecucion45[[#This Row],[PC]]="","",_xlfn.XLOOKUP(Ejecucion45[[#This Row],[PC]],Ejecucion[PC],Ejecucion[Grupo],"NE",0))</f>
        <v>6</v>
      </c>
      <c r="J217" s="55">
        <f>IF(Ejecucion45[[#This Row],[PC]]="","",COUNTIF(Ejecucion4[Codigo],Ejecucion45[[#This Row],[PC]]))</f>
        <v>1</v>
      </c>
    </row>
    <row r="218" spans="1:10" ht="28.8" customHeight="1">
      <c r="A218" s="30">
        <f>ROW() - ROW(Ejecucion45[[#Headers],[Correlativo]])</f>
        <v>214</v>
      </c>
      <c r="B218" s="36" t="s">
        <v>323</v>
      </c>
      <c r="C218" s="84" t="str">
        <f>IF(B218="","",HYPERLINK("#"&amp;"Registro!B"&amp;MATCH(B218,Registro!$B$8:$B$997,0)+7,"Ubicar en registro"))</f>
        <v>Ubicar en registro</v>
      </c>
      <c r="D218" s="55" t="str">
        <f>IF(Ejecucion45[[#This Row],[No. Solicitud]]="","",_xlfn.XLOOKUP(Ejecucion45[[#This Row],[No. Solicitud]],Registro!$B$8:$B$997,Registro!$H$8:$H$997,"Sin Dato",0))</f>
        <v>Curso 73</v>
      </c>
      <c r="E218" s="160" t="s">
        <v>861</v>
      </c>
      <c r="F21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67</v>
      </c>
      <c r="H218" s="55">
        <v>43199</v>
      </c>
      <c r="I218" s="55">
        <f>IF(Ejecucion45[[#This Row],[PC]]="","",_xlfn.XLOOKUP(Ejecucion45[[#This Row],[PC]],Ejecucion[PC],Ejecucion[Grupo],"NE",0))</f>
        <v>7</v>
      </c>
      <c r="J218" s="55">
        <f>IF(Ejecucion45[[#This Row],[PC]]="","",COUNTIF(Ejecucion4[Codigo],Ejecucion45[[#This Row],[PC]]))</f>
        <v>1</v>
      </c>
    </row>
    <row r="219" spans="1:10" ht="28.8" customHeight="1">
      <c r="A219" s="30">
        <f>ROW() - ROW(Ejecucion45[[#Headers],[Correlativo]])</f>
        <v>215</v>
      </c>
      <c r="B219" s="36" t="s">
        <v>323</v>
      </c>
      <c r="C219" s="84" t="str">
        <f>IF(B219="","",HYPERLINK("#"&amp;"Registro!B"&amp;MATCH(B219,Registro!$B$8:$B$997,0)+7,"Ubicar en registro"))</f>
        <v>Ubicar en registro</v>
      </c>
      <c r="D219" s="55" t="str">
        <f>IF(Ejecucion45[[#This Row],[No. Solicitud]]="","",_xlfn.XLOOKUP(Ejecucion45[[#This Row],[No. Solicitud]],Registro!$B$8:$B$997,Registro!$H$8:$H$997,"Sin Dato",0))</f>
        <v>Curso 73</v>
      </c>
      <c r="E219" s="160" t="s">
        <v>862</v>
      </c>
      <c r="F21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68</v>
      </c>
      <c r="H219" s="55">
        <v>43199</v>
      </c>
      <c r="I219" s="55">
        <f>IF(Ejecucion45[[#This Row],[PC]]="","",_xlfn.XLOOKUP(Ejecucion45[[#This Row],[PC]],Ejecucion[PC],Ejecucion[Grupo],"NE",0))</f>
        <v>7</v>
      </c>
      <c r="J219" s="55">
        <f>IF(Ejecucion45[[#This Row],[PC]]="","",COUNTIF(Ejecucion4[Codigo],Ejecucion45[[#This Row],[PC]]))</f>
        <v>1</v>
      </c>
    </row>
    <row r="220" spans="1:10" ht="28.8" customHeight="1">
      <c r="A220" s="30">
        <f>ROW() - ROW(Ejecucion45[[#Headers],[Correlativo]])</f>
        <v>216</v>
      </c>
      <c r="B220" s="36" t="s">
        <v>323</v>
      </c>
      <c r="C220" s="84" t="str">
        <f>IF(B220="","",HYPERLINK("#"&amp;"Registro!B"&amp;MATCH(B220,Registro!$B$8:$B$997,0)+7,"Ubicar en registro"))</f>
        <v>Ubicar en registro</v>
      </c>
      <c r="D220" s="55" t="str">
        <f>IF(Ejecucion45[[#This Row],[No. Solicitud]]="","",_xlfn.XLOOKUP(Ejecucion45[[#This Row],[No. Solicitud]],Registro!$B$8:$B$997,Registro!$H$8:$H$997,"Sin Dato",0))</f>
        <v>Curso 73</v>
      </c>
      <c r="E220" s="160" t="s">
        <v>863</v>
      </c>
      <c r="F22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69</v>
      </c>
      <c r="H220" s="55">
        <v>43306</v>
      </c>
      <c r="I220" s="55">
        <f>IF(Ejecucion45[[#This Row],[PC]]="","",_xlfn.XLOOKUP(Ejecucion45[[#This Row],[PC]],Ejecucion[PC],Ejecucion[Grupo],"NE",0))</f>
        <v>8</v>
      </c>
      <c r="J220" s="55">
        <f>IF(Ejecucion45[[#This Row],[PC]]="","",COUNTIF(Ejecucion4[Codigo],Ejecucion45[[#This Row],[PC]]))</f>
        <v>1</v>
      </c>
    </row>
    <row r="221" spans="1:10" ht="28.8" customHeight="1">
      <c r="A221" s="30">
        <f>ROW() - ROW(Ejecucion45[[#Headers],[Correlativo]])</f>
        <v>217</v>
      </c>
      <c r="B221" s="36" t="s">
        <v>323</v>
      </c>
      <c r="C221" s="84" t="str">
        <f>IF(B221="","",HYPERLINK("#"&amp;"Registro!B"&amp;MATCH(B221,Registro!$B$8:$B$997,0)+7,"Ubicar en registro"))</f>
        <v>Ubicar en registro</v>
      </c>
      <c r="D221" s="55" t="str">
        <f>IF(Ejecucion45[[#This Row],[No. Solicitud]]="","",_xlfn.XLOOKUP(Ejecucion45[[#This Row],[No. Solicitud]],Registro!$B$8:$B$997,Registro!$H$8:$H$997,"Sin Dato",0))</f>
        <v>Curso 73</v>
      </c>
      <c r="E221" s="160" t="s">
        <v>864</v>
      </c>
      <c r="F22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70</v>
      </c>
      <c r="H221" s="55">
        <v>43306</v>
      </c>
      <c r="I221" s="55">
        <f>IF(Ejecucion45[[#This Row],[PC]]="","",_xlfn.XLOOKUP(Ejecucion45[[#This Row],[PC]],Ejecucion[PC],Ejecucion[Grupo],"NE",0))</f>
        <v>8</v>
      </c>
      <c r="J221" s="55">
        <f>IF(Ejecucion45[[#This Row],[PC]]="","",COUNTIF(Ejecucion4[Codigo],Ejecucion45[[#This Row],[PC]]))</f>
        <v>1</v>
      </c>
    </row>
    <row r="222" spans="1:10" ht="28.8" customHeight="1">
      <c r="A222" s="30">
        <f>ROW() - ROW(Ejecucion45[[#Headers],[Correlativo]])</f>
        <v>218</v>
      </c>
      <c r="B222" s="36" t="s">
        <v>323</v>
      </c>
      <c r="C222" s="84" t="str">
        <f>IF(B222="","",HYPERLINK("#"&amp;"Registro!B"&amp;MATCH(B222,Registro!$B$8:$B$997,0)+7,"Ubicar en registro"))</f>
        <v>Ubicar en registro</v>
      </c>
      <c r="D222" s="55" t="str">
        <f>IF(Ejecucion45[[#This Row],[No. Solicitud]]="","",_xlfn.XLOOKUP(Ejecucion45[[#This Row],[No. Solicitud]],Registro!$B$8:$B$997,Registro!$H$8:$H$997,"Sin Dato",0))</f>
        <v>Curso 73</v>
      </c>
      <c r="E222" s="160" t="s">
        <v>865</v>
      </c>
      <c r="F22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71</v>
      </c>
      <c r="H222" s="55">
        <v>43339</v>
      </c>
      <c r="I222" s="55">
        <f>IF(Ejecucion45[[#This Row],[PC]]="","",_xlfn.XLOOKUP(Ejecucion45[[#This Row],[PC]],Ejecucion[PC],Ejecucion[Grupo],"NE",0))</f>
        <v>9</v>
      </c>
      <c r="J222" s="55">
        <f>IF(Ejecucion45[[#This Row],[PC]]="","",COUNTIF(Ejecucion4[Codigo],Ejecucion45[[#This Row],[PC]]))</f>
        <v>1</v>
      </c>
    </row>
    <row r="223" spans="1:10" ht="28.8" customHeight="1">
      <c r="A223" s="30">
        <f>ROW() - ROW(Ejecucion45[[#Headers],[Correlativo]])</f>
        <v>219</v>
      </c>
      <c r="B223" s="36" t="s">
        <v>323</v>
      </c>
      <c r="C223" s="84" t="str">
        <f>IF(B223="","",HYPERLINK("#"&amp;"Registro!B"&amp;MATCH(B223,Registro!$B$8:$B$997,0)+7,"Ubicar en registro"))</f>
        <v>Ubicar en registro</v>
      </c>
      <c r="D223" s="55" t="str">
        <f>IF(Ejecucion45[[#This Row],[No. Solicitud]]="","",_xlfn.XLOOKUP(Ejecucion45[[#This Row],[No. Solicitud]],Registro!$B$8:$B$997,Registro!$H$8:$H$997,"Sin Dato",0))</f>
        <v>Curso 73</v>
      </c>
      <c r="E223" s="160" t="s">
        <v>866</v>
      </c>
      <c r="H223" s="55">
        <v>43486</v>
      </c>
      <c r="I223" s="55">
        <f>IF(Ejecucion45[[#This Row],[PC]]="","",_xlfn.XLOOKUP(Ejecucion45[[#This Row],[PC]],Ejecucion[PC],Ejecucion[Grupo],"NE",0))</f>
        <v>10</v>
      </c>
      <c r="J223" s="55">
        <f>IF(Ejecucion45[[#This Row],[PC]]="","",COUNTIF(Ejecucion4[Codigo],Ejecucion45[[#This Row],[PC]]))</f>
        <v>1</v>
      </c>
    </row>
    <row r="224" spans="1:10" ht="28.8" customHeight="1">
      <c r="A224" s="30">
        <f>ROW() - ROW(Ejecucion45[[#Headers],[Correlativo]])</f>
        <v>220</v>
      </c>
      <c r="B224" s="36" t="s">
        <v>323</v>
      </c>
      <c r="C224" s="84" t="str">
        <f>IF(B224="","",HYPERLINK("#"&amp;"Registro!B"&amp;MATCH(B224,Registro!$B$8:$B$997,0)+7,"Ubicar en registro"))</f>
        <v>Ubicar en registro</v>
      </c>
      <c r="D224" s="55" t="str">
        <f>IF(Ejecucion45[[#This Row],[No. Solicitud]]="","",_xlfn.XLOOKUP(Ejecucion45[[#This Row],[No. Solicitud]],Registro!$B$8:$B$997,Registro!$H$8:$H$997,"Sin Dato",0))</f>
        <v>Curso 73</v>
      </c>
      <c r="E224" s="160" t="s">
        <v>867</v>
      </c>
      <c r="F22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73</v>
      </c>
      <c r="H224" s="55">
        <v>43486</v>
      </c>
      <c r="I224" s="55">
        <f>IF(Ejecucion45[[#This Row],[PC]]="","",_xlfn.XLOOKUP(Ejecucion45[[#This Row],[PC]],Ejecucion[PC],Ejecucion[Grupo],"NE",0))</f>
        <v>10</v>
      </c>
      <c r="J224" s="55">
        <f>IF(Ejecucion45[[#This Row],[PC]]="","",COUNTIF(Ejecucion4[Codigo],Ejecucion45[[#This Row],[PC]]))</f>
        <v>1</v>
      </c>
    </row>
    <row r="225" spans="1:10" ht="28.8" customHeight="1">
      <c r="A225" s="30">
        <f>ROW() - ROW(Ejecucion45[[#Headers],[Correlativo]])</f>
        <v>221</v>
      </c>
      <c r="B225" s="36" t="s">
        <v>325</v>
      </c>
      <c r="C225" s="153" t="str">
        <f>IF(B225="","",HYPERLINK("#"&amp;"Registro!B"&amp;MATCH(B225,Registro!$B$8:$B$997,0)+7,"Ubicar en registro"))</f>
        <v>Ubicar en registro</v>
      </c>
      <c r="D225" s="55" t="str">
        <f>IF(Ejecucion45[[#This Row],[No. Solicitud]]="","",_xlfn.XLOOKUP(Ejecucion45[[#This Row],[No. Solicitud]],Registro!$B$8:$B$997,Registro!$H$8:$H$997,"Sin Dato",0))</f>
        <v>Curso 74</v>
      </c>
      <c r="E225" s="160" t="s">
        <v>868</v>
      </c>
      <c r="F22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74</v>
      </c>
      <c r="H225" s="55">
        <v>42604</v>
      </c>
      <c r="I225" s="55">
        <f>IF(Ejecucion45[[#This Row],[PC]]="","",_xlfn.XLOOKUP(Ejecucion45[[#This Row],[PC]],Ejecucion[PC],Ejecucion[Grupo],"NE",0))</f>
        <v>1</v>
      </c>
      <c r="J225" s="55">
        <f>IF(Ejecucion45[[#This Row],[PC]]="","",COUNTIF(Ejecucion4[Codigo],Ejecucion45[[#This Row],[PC]]))</f>
        <v>1</v>
      </c>
    </row>
    <row r="226" spans="1:10" ht="28.8" customHeight="1">
      <c r="A226" s="30">
        <f>ROW() - ROW(Ejecucion45[[#Headers],[Correlativo]])</f>
        <v>222</v>
      </c>
      <c r="B226" s="36" t="s">
        <v>325</v>
      </c>
      <c r="C226" s="153" t="str">
        <f>IF(B226="","",HYPERLINK("#"&amp;"Registro!B"&amp;MATCH(B226,Registro!$B$8:$B$997,0)+7,"Ubicar en registro"))</f>
        <v>Ubicar en registro</v>
      </c>
      <c r="D226" s="55" t="str">
        <f>IF(Ejecucion45[[#This Row],[No. Solicitud]]="","",_xlfn.XLOOKUP(Ejecucion45[[#This Row],[No. Solicitud]],Registro!$B$8:$B$997,Registro!$H$8:$H$997,"Sin Dato",0))</f>
        <v>Curso 74</v>
      </c>
      <c r="E226" s="160" t="s">
        <v>869</v>
      </c>
      <c r="F22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75</v>
      </c>
      <c r="H226" s="55">
        <v>42626</v>
      </c>
      <c r="I226" s="55">
        <f>IF(Ejecucion45[[#This Row],[PC]]="","",_xlfn.XLOOKUP(Ejecucion45[[#This Row],[PC]],Ejecucion[PC],Ejecucion[Grupo],"NE",0))</f>
        <v>2</v>
      </c>
      <c r="J226" s="55">
        <f>IF(Ejecucion45[[#This Row],[PC]]="","",COUNTIF(Ejecucion4[Codigo],Ejecucion45[[#This Row],[PC]]))</f>
        <v>1</v>
      </c>
    </row>
    <row r="227" spans="1:10" ht="28.8" customHeight="1">
      <c r="A227" s="30">
        <f>ROW() - ROW(Ejecucion45[[#Headers],[Correlativo]])</f>
        <v>223</v>
      </c>
      <c r="B227" s="36" t="s">
        <v>325</v>
      </c>
      <c r="C227" s="84" t="str">
        <f>IF(B227="","",HYPERLINK("#"&amp;"Registro!B"&amp;MATCH(B227,Registro!$B$8:$B$997,0)+7,"Ubicar en registro"))</f>
        <v>Ubicar en registro</v>
      </c>
      <c r="D227" s="55" t="str">
        <f>IF(Ejecucion45[[#This Row],[No. Solicitud]]="","",_xlfn.XLOOKUP(Ejecucion45[[#This Row],[No. Solicitud]],Registro!$B$8:$B$997,Registro!$H$8:$H$997,"Sin Dato",0))</f>
        <v>Curso 74</v>
      </c>
      <c r="E227" s="160" t="s">
        <v>870</v>
      </c>
      <c r="F22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76</v>
      </c>
      <c r="H227" s="55">
        <v>42626</v>
      </c>
      <c r="I227" s="55">
        <f>IF(Ejecucion45[[#This Row],[PC]]="","",_xlfn.XLOOKUP(Ejecucion45[[#This Row],[PC]],Ejecucion[PC],Ejecucion[Grupo],"NE",0))</f>
        <v>2</v>
      </c>
      <c r="J227" s="55">
        <f>IF(Ejecucion45[[#This Row],[PC]]="","",COUNTIF(Ejecucion4[Codigo],Ejecucion45[[#This Row],[PC]]))</f>
        <v>1</v>
      </c>
    </row>
    <row r="228" spans="1:10" ht="28.8" customHeight="1">
      <c r="A228" s="30">
        <f>ROW() - ROW(Ejecucion45[[#Headers],[Correlativo]])</f>
        <v>224</v>
      </c>
      <c r="B228" s="36" t="s">
        <v>325</v>
      </c>
      <c r="C228" s="153" t="str">
        <f>IF(B228="","",HYPERLINK("#"&amp;"Registro!B"&amp;MATCH(B228,Registro!$B$8:$B$997,0)+7,"Ubicar en registro"))</f>
        <v>Ubicar en registro</v>
      </c>
      <c r="D228" s="55" t="str">
        <f>IF(Ejecucion45[[#This Row],[No. Solicitud]]="","",_xlfn.XLOOKUP(Ejecucion45[[#This Row],[No. Solicitud]],Registro!$B$8:$B$997,Registro!$H$8:$H$997,"Sin Dato",0))</f>
        <v>Curso 74</v>
      </c>
      <c r="E228" s="160" t="s">
        <v>871</v>
      </c>
      <c r="F22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77</v>
      </c>
      <c r="H228" s="55">
        <v>42860</v>
      </c>
      <c r="I228" s="55">
        <f>IF(Ejecucion45[[#This Row],[PC]]="","",_xlfn.XLOOKUP(Ejecucion45[[#This Row],[PC]],Ejecucion[PC],Ejecucion[Grupo],"NE",0))</f>
        <v>3</v>
      </c>
      <c r="J228" s="55">
        <f>IF(Ejecucion45[[#This Row],[PC]]="","",COUNTIF(Ejecucion4[Codigo],Ejecucion45[[#This Row],[PC]]))</f>
        <v>1</v>
      </c>
    </row>
    <row r="229" spans="1:10" ht="28.8" customHeight="1">
      <c r="A229" s="30">
        <f>ROW() - ROW(Ejecucion45[[#Headers],[Correlativo]])</f>
        <v>225</v>
      </c>
      <c r="B229" s="36" t="s">
        <v>325</v>
      </c>
      <c r="C229" s="84" t="str">
        <f>IF(B229="","",HYPERLINK("#"&amp;"Registro!B"&amp;MATCH(B229,Registro!$B$8:$B$997,0)+7,"Ubicar en registro"))</f>
        <v>Ubicar en registro</v>
      </c>
      <c r="D229" s="55" t="str">
        <f>IF(Ejecucion45[[#This Row],[No. Solicitud]]="","",_xlfn.XLOOKUP(Ejecucion45[[#This Row],[No. Solicitud]],Registro!$B$8:$B$997,Registro!$H$8:$H$997,"Sin Dato",0))</f>
        <v>Curso 74</v>
      </c>
      <c r="E229" s="160" t="s">
        <v>872</v>
      </c>
      <c r="F22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78</v>
      </c>
      <c r="H229" s="55">
        <v>42860</v>
      </c>
      <c r="I229" s="55">
        <f>IF(Ejecucion45[[#This Row],[PC]]="","",_xlfn.XLOOKUP(Ejecucion45[[#This Row],[PC]],Ejecucion[PC],Ejecucion[Grupo],"NE",0))</f>
        <v>3</v>
      </c>
      <c r="J229" s="55">
        <f>IF(Ejecucion45[[#This Row],[PC]]="","",COUNTIF(Ejecucion4[Codigo],Ejecucion45[[#This Row],[PC]]))</f>
        <v>1</v>
      </c>
    </row>
    <row r="230" spans="1:10" ht="28.8" customHeight="1">
      <c r="A230" s="30">
        <f>ROW() - ROW(Ejecucion45[[#Headers],[Correlativo]])</f>
        <v>226</v>
      </c>
      <c r="B230" s="36" t="s">
        <v>325</v>
      </c>
      <c r="C230" s="153" t="str">
        <f>IF(B230="","",HYPERLINK("#"&amp;"Registro!B"&amp;MATCH(B230,Registro!$B$8:$B$997,0)+7,"Ubicar en registro"))</f>
        <v>Ubicar en registro</v>
      </c>
      <c r="D230" s="55" t="str">
        <f>IF(Ejecucion45[[#This Row],[No. Solicitud]]="","",_xlfn.XLOOKUP(Ejecucion45[[#This Row],[No. Solicitud]],Registro!$B$8:$B$997,Registro!$H$8:$H$997,"Sin Dato",0))</f>
        <v>Curso 74</v>
      </c>
      <c r="E230" s="160" t="s">
        <v>873</v>
      </c>
      <c r="F23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79</v>
      </c>
      <c r="H230" s="55">
        <v>43019</v>
      </c>
      <c r="I230" s="55">
        <f>IF(Ejecucion45[[#This Row],[PC]]="","",_xlfn.XLOOKUP(Ejecucion45[[#This Row],[PC]],Ejecucion[PC],Ejecucion[Grupo],"NE",0))</f>
        <v>4</v>
      </c>
      <c r="J230" s="55">
        <f>IF(Ejecucion45[[#This Row],[PC]]="","",COUNTIF(Ejecucion4[Codigo],Ejecucion45[[#This Row],[PC]]))</f>
        <v>1</v>
      </c>
    </row>
    <row r="231" spans="1:10" ht="28.8" customHeight="1">
      <c r="A231" s="30">
        <f>ROW() - ROW(Ejecucion45[[#Headers],[Correlativo]])</f>
        <v>227</v>
      </c>
      <c r="B231" s="36" t="s">
        <v>325</v>
      </c>
      <c r="C231" s="84" t="str">
        <f>IF(B231="","",HYPERLINK("#"&amp;"Registro!B"&amp;MATCH(B231,Registro!$B$8:$B$997,0)+7,"Ubicar en registro"))</f>
        <v>Ubicar en registro</v>
      </c>
      <c r="D231" s="55" t="str">
        <f>IF(Ejecucion45[[#This Row],[No. Solicitud]]="","",_xlfn.XLOOKUP(Ejecucion45[[#This Row],[No. Solicitud]],Registro!$B$8:$B$997,Registro!$H$8:$H$997,"Sin Dato",0))</f>
        <v>Curso 74</v>
      </c>
      <c r="E231" s="160" t="s">
        <v>874</v>
      </c>
      <c r="F23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80</v>
      </c>
      <c r="H231" s="55">
        <v>43019</v>
      </c>
      <c r="I231" s="55">
        <f>IF(Ejecucion45[[#This Row],[PC]]="","",_xlfn.XLOOKUP(Ejecucion45[[#This Row],[PC]],Ejecucion[PC],Ejecucion[Grupo],"NE",0))</f>
        <v>4</v>
      </c>
      <c r="J231" s="55">
        <f>IF(Ejecucion45[[#This Row],[PC]]="","",COUNTIF(Ejecucion4[Codigo],Ejecucion45[[#This Row],[PC]]))</f>
        <v>1</v>
      </c>
    </row>
    <row r="232" spans="1:10" ht="28.8" customHeight="1">
      <c r="A232" s="30">
        <f>ROW() - ROW(Ejecucion45[[#Headers],[Correlativo]])</f>
        <v>228</v>
      </c>
      <c r="B232" s="36" t="s">
        <v>325</v>
      </c>
      <c r="C232" s="153" t="str">
        <f>IF(B232="","",HYPERLINK("#"&amp;"Registro!B"&amp;MATCH(B232,Registro!$B$8:$B$997,0)+7,"Ubicar en registro"))</f>
        <v>Ubicar en registro</v>
      </c>
      <c r="D232" s="55" t="str">
        <f>IF(Ejecucion45[[#This Row],[No. Solicitud]]="","",_xlfn.XLOOKUP(Ejecucion45[[#This Row],[No. Solicitud]],Registro!$B$8:$B$997,Registro!$H$8:$H$997,"Sin Dato",0))</f>
        <v>Curso 74</v>
      </c>
      <c r="E232" s="160" t="s">
        <v>875</v>
      </c>
      <c r="F23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81</v>
      </c>
      <c r="H232" s="55">
        <v>43044</v>
      </c>
      <c r="I232" s="55">
        <f>IF(Ejecucion45[[#This Row],[PC]]="","",_xlfn.XLOOKUP(Ejecucion45[[#This Row],[PC]],Ejecucion[PC],Ejecucion[Grupo],"NE",0))</f>
        <v>5</v>
      </c>
      <c r="J232" s="55">
        <f>IF(Ejecucion45[[#This Row],[PC]]="","",COUNTIF(Ejecucion4[Codigo],Ejecucion45[[#This Row],[PC]]))</f>
        <v>1</v>
      </c>
    </row>
    <row r="233" spans="1:10" ht="28.8" customHeight="1">
      <c r="A233" s="30">
        <f>ROW() - ROW(Ejecucion45[[#Headers],[Correlativo]])</f>
        <v>229</v>
      </c>
      <c r="B233" s="36" t="s">
        <v>325</v>
      </c>
      <c r="C233" s="84" t="str">
        <f>IF(B233="","",HYPERLINK("#"&amp;"Registro!B"&amp;MATCH(B233,Registro!$B$8:$B$997,0)+7,"Ubicar en registro"))</f>
        <v>Ubicar en registro</v>
      </c>
      <c r="D233" s="55" t="str">
        <f>IF(Ejecucion45[[#This Row],[No. Solicitud]]="","",_xlfn.XLOOKUP(Ejecucion45[[#This Row],[No. Solicitud]],Registro!$B$8:$B$997,Registro!$H$8:$H$997,"Sin Dato",0))</f>
        <v>Curso 74</v>
      </c>
      <c r="E233" s="160" t="s">
        <v>876</v>
      </c>
      <c r="F23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82</v>
      </c>
      <c r="H233" s="55">
        <v>43044</v>
      </c>
      <c r="I233" s="55">
        <f>IF(Ejecucion45[[#This Row],[PC]]="","",_xlfn.XLOOKUP(Ejecucion45[[#This Row],[PC]],Ejecucion[PC],Ejecucion[Grupo],"NE",0))</f>
        <v>5</v>
      </c>
      <c r="J233" s="55">
        <f>IF(Ejecucion45[[#This Row],[PC]]="","",COUNTIF(Ejecucion4[Codigo],Ejecucion45[[#This Row],[PC]]))</f>
        <v>1</v>
      </c>
    </row>
    <row r="234" spans="1:10" ht="28.8" customHeight="1">
      <c r="A234" s="30">
        <f>ROW() - ROW(Ejecucion45[[#Headers],[Correlativo]])</f>
        <v>230</v>
      </c>
      <c r="B234" s="36" t="s">
        <v>325</v>
      </c>
      <c r="C234" s="153" t="str">
        <f>IF(B234="","",HYPERLINK("#"&amp;"Registro!B"&amp;MATCH(B234,Registro!$B$8:$B$997,0)+7,"Ubicar en registro"))</f>
        <v>Ubicar en registro</v>
      </c>
      <c r="D234" s="55" t="str">
        <f>IF(Ejecucion45[[#This Row],[No. Solicitud]]="","",_xlfn.XLOOKUP(Ejecucion45[[#This Row],[No. Solicitud]],Registro!$B$8:$B$997,Registro!$H$8:$H$997,"Sin Dato",0))</f>
        <v>Curso 74</v>
      </c>
      <c r="E234" s="160" t="s">
        <v>877</v>
      </c>
      <c r="F23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83</v>
      </c>
      <c r="H234" s="55">
        <v>43179</v>
      </c>
      <c r="I234" s="55">
        <f>IF(Ejecucion45[[#This Row],[PC]]="","",_xlfn.XLOOKUP(Ejecucion45[[#This Row],[PC]],Ejecucion[PC],Ejecucion[Grupo],"NE",0))</f>
        <v>6</v>
      </c>
      <c r="J234" s="55">
        <f>IF(Ejecucion45[[#This Row],[PC]]="","",COUNTIF(Ejecucion4[Codigo],Ejecucion45[[#This Row],[PC]]))</f>
        <v>1</v>
      </c>
    </row>
    <row r="235" spans="1:10" ht="28.8" customHeight="1">
      <c r="A235" s="30">
        <f>ROW() - ROW(Ejecucion45[[#Headers],[Correlativo]])</f>
        <v>231</v>
      </c>
      <c r="B235" s="36" t="s">
        <v>325</v>
      </c>
      <c r="C235" s="84" t="str">
        <f>IF(B235="","",HYPERLINK("#"&amp;"Registro!B"&amp;MATCH(B235,Registro!$B$8:$B$997,0)+7,"Ubicar en registro"))</f>
        <v>Ubicar en registro</v>
      </c>
      <c r="D235" s="55" t="str">
        <f>IF(Ejecucion45[[#This Row],[No. Solicitud]]="","",_xlfn.XLOOKUP(Ejecucion45[[#This Row],[No. Solicitud]],Registro!$B$8:$B$997,Registro!$H$8:$H$997,"Sin Dato",0))</f>
        <v>Curso 74</v>
      </c>
      <c r="E235" s="160" t="s">
        <v>878</v>
      </c>
      <c r="F23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84</v>
      </c>
      <c r="H235" s="55">
        <v>43179</v>
      </c>
      <c r="I235" s="55">
        <f>IF(Ejecucion45[[#This Row],[PC]]="","",_xlfn.XLOOKUP(Ejecucion45[[#This Row],[PC]],Ejecucion[PC],Ejecucion[Grupo],"NE",0))</f>
        <v>6</v>
      </c>
      <c r="J235" s="55">
        <f>IF(Ejecucion45[[#This Row],[PC]]="","",COUNTIF(Ejecucion4[Codigo],Ejecucion45[[#This Row],[PC]]))</f>
        <v>1</v>
      </c>
    </row>
    <row r="236" spans="1:10" ht="28.8" customHeight="1">
      <c r="A236" s="30">
        <f>ROW() - ROW(Ejecucion45[[#Headers],[Correlativo]])</f>
        <v>232</v>
      </c>
      <c r="B236" s="36" t="s">
        <v>325</v>
      </c>
      <c r="C236" s="153" t="str">
        <f>IF(B236="","",HYPERLINK("#"&amp;"Registro!B"&amp;MATCH(B236,Registro!$B$8:$B$997,0)+7,"Ubicar en registro"))</f>
        <v>Ubicar en registro</v>
      </c>
      <c r="D236" s="55" t="str">
        <f>IF(Ejecucion45[[#This Row],[No. Solicitud]]="","",_xlfn.XLOOKUP(Ejecucion45[[#This Row],[No. Solicitud]],Registro!$B$8:$B$997,Registro!$H$8:$H$997,"Sin Dato",0))</f>
        <v>Curso 74</v>
      </c>
      <c r="E236" s="160" t="s">
        <v>879</v>
      </c>
      <c r="F23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85</v>
      </c>
      <c r="H236" s="55">
        <v>43200</v>
      </c>
      <c r="I236" s="55">
        <f>IF(Ejecucion45[[#This Row],[PC]]="","",_xlfn.XLOOKUP(Ejecucion45[[#This Row],[PC]],Ejecucion[PC],Ejecucion[Grupo],"NE",0))</f>
        <v>7</v>
      </c>
      <c r="J236" s="55">
        <f>IF(Ejecucion45[[#This Row],[PC]]="","",COUNTIF(Ejecucion4[Codigo],Ejecucion45[[#This Row],[PC]]))</f>
        <v>1</v>
      </c>
    </row>
    <row r="237" spans="1:10" ht="28.8" customHeight="1">
      <c r="A237" s="30">
        <f>ROW() - ROW(Ejecucion45[[#Headers],[Correlativo]])</f>
        <v>233</v>
      </c>
      <c r="B237" s="36" t="s">
        <v>325</v>
      </c>
      <c r="C237" s="84" t="str">
        <f>IF(B237="","",HYPERLINK("#"&amp;"Registro!B"&amp;MATCH(B237,Registro!$B$8:$B$997,0)+7,"Ubicar en registro"))</f>
        <v>Ubicar en registro</v>
      </c>
      <c r="D237" s="55" t="str">
        <f>IF(Ejecucion45[[#This Row],[No. Solicitud]]="","",_xlfn.XLOOKUP(Ejecucion45[[#This Row],[No. Solicitud]],Registro!$B$8:$B$997,Registro!$H$8:$H$997,"Sin Dato",0))</f>
        <v>Curso 74</v>
      </c>
      <c r="E237" s="160" t="s">
        <v>880</v>
      </c>
      <c r="F23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86</v>
      </c>
      <c r="H237" s="55">
        <v>43200</v>
      </c>
      <c r="I237" s="55">
        <f>IF(Ejecucion45[[#This Row],[PC]]="","",_xlfn.XLOOKUP(Ejecucion45[[#This Row],[PC]],Ejecucion[PC],Ejecucion[Grupo],"NE",0))</f>
        <v>7</v>
      </c>
      <c r="J237" s="55">
        <f>IF(Ejecucion45[[#This Row],[PC]]="","",COUNTIF(Ejecucion4[Codigo],Ejecucion45[[#This Row],[PC]]))</f>
        <v>1</v>
      </c>
    </row>
    <row r="238" spans="1:10" ht="28.8" customHeight="1">
      <c r="A238" s="30">
        <f>ROW() - ROW(Ejecucion45[[#Headers],[Correlativo]])</f>
        <v>234</v>
      </c>
      <c r="B238" s="36" t="s">
        <v>325</v>
      </c>
      <c r="C238" s="153" t="str">
        <f>IF(B238="","",HYPERLINK("#"&amp;"Registro!B"&amp;MATCH(B238,Registro!$B$8:$B$997,0)+7,"Ubicar en registro"))</f>
        <v>Ubicar en registro</v>
      </c>
      <c r="D238" s="55" t="str">
        <f>IF(Ejecucion45[[#This Row],[No. Solicitud]]="","",_xlfn.XLOOKUP(Ejecucion45[[#This Row],[No. Solicitud]],Registro!$B$8:$B$997,Registro!$H$8:$H$997,"Sin Dato",0))</f>
        <v>Curso 74</v>
      </c>
      <c r="E238" s="160" t="s">
        <v>881</v>
      </c>
      <c r="F23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87</v>
      </c>
      <c r="H238" s="55">
        <v>43307</v>
      </c>
      <c r="I238" s="55">
        <f>IF(Ejecucion45[[#This Row],[PC]]="","",_xlfn.XLOOKUP(Ejecucion45[[#This Row],[PC]],Ejecucion[PC],Ejecucion[Grupo],"NE",0))</f>
        <v>8</v>
      </c>
      <c r="J238" s="55">
        <f>IF(Ejecucion45[[#This Row],[PC]]="","",COUNTIF(Ejecucion4[Codigo],Ejecucion45[[#This Row],[PC]]))</f>
        <v>1</v>
      </c>
    </row>
    <row r="239" spans="1:10" ht="28.8" customHeight="1">
      <c r="A239" s="30">
        <f>ROW() - ROW(Ejecucion45[[#Headers],[Correlativo]])</f>
        <v>235</v>
      </c>
      <c r="B239" s="36" t="s">
        <v>325</v>
      </c>
      <c r="C239" s="84" t="str">
        <f>IF(B239="","",HYPERLINK("#"&amp;"Registro!B"&amp;MATCH(B239,Registro!$B$8:$B$997,0)+7,"Ubicar en registro"))</f>
        <v>Ubicar en registro</v>
      </c>
      <c r="D239" s="55" t="str">
        <f>IF(Ejecucion45[[#This Row],[No. Solicitud]]="","",_xlfn.XLOOKUP(Ejecucion45[[#This Row],[No. Solicitud]],Registro!$B$8:$B$997,Registro!$H$8:$H$997,"Sin Dato",0))</f>
        <v>Curso 74</v>
      </c>
      <c r="E239" s="160" t="s">
        <v>882</v>
      </c>
      <c r="F23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88</v>
      </c>
      <c r="H239" s="55">
        <v>43307</v>
      </c>
      <c r="I239" s="55">
        <f>IF(Ejecucion45[[#This Row],[PC]]="","",_xlfn.XLOOKUP(Ejecucion45[[#This Row],[PC]],Ejecucion[PC],Ejecucion[Grupo],"NE",0))</f>
        <v>8</v>
      </c>
      <c r="J239" s="55">
        <f>IF(Ejecucion45[[#This Row],[PC]]="","",COUNTIF(Ejecucion4[Codigo],Ejecucion45[[#This Row],[PC]]))</f>
        <v>1</v>
      </c>
    </row>
    <row r="240" spans="1:10" ht="28.8" customHeight="1">
      <c r="A240" s="30">
        <f>ROW() - ROW(Ejecucion45[[#Headers],[Correlativo]])</f>
        <v>236</v>
      </c>
      <c r="B240" s="36" t="s">
        <v>325</v>
      </c>
      <c r="C240" s="153" t="str">
        <f>IF(B240="","",HYPERLINK("#"&amp;"Registro!B"&amp;MATCH(B240,Registro!$B$8:$B$997,0)+7,"Ubicar en registro"))</f>
        <v>Ubicar en registro</v>
      </c>
      <c r="D240" s="55" t="str">
        <f>IF(Ejecucion45[[#This Row],[No. Solicitud]]="","",_xlfn.XLOOKUP(Ejecucion45[[#This Row],[No. Solicitud]],Registro!$B$8:$B$997,Registro!$H$8:$H$997,"Sin Dato",0))</f>
        <v>Curso 74</v>
      </c>
      <c r="E240" s="160" t="s">
        <v>883</v>
      </c>
      <c r="F24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89</v>
      </c>
      <c r="H240" s="55">
        <v>43343</v>
      </c>
      <c r="I240" s="55">
        <f>IF(Ejecucion45[[#This Row],[PC]]="","",_xlfn.XLOOKUP(Ejecucion45[[#This Row],[PC]],Ejecucion[PC],Ejecucion[Grupo],"NE",0))</f>
        <v>9</v>
      </c>
      <c r="J240" s="55">
        <f>IF(Ejecucion45[[#This Row],[PC]]="","",COUNTIF(Ejecucion4[Codigo],Ejecucion45[[#This Row],[PC]]))</f>
        <v>1</v>
      </c>
    </row>
    <row r="241" spans="1:10" ht="28.8" customHeight="1">
      <c r="A241" s="30">
        <f>ROW() - ROW(Ejecucion45[[#Headers],[Correlativo]])</f>
        <v>237</v>
      </c>
      <c r="B241" s="36" t="s">
        <v>325</v>
      </c>
      <c r="C241" s="153" t="str">
        <f>IF(B241="","",HYPERLINK("#"&amp;"Registro!B"&amp;MATCH(B241,Registro!$B$8:$B$997,0)+7,"Ubicar en registro"))</f>
        <v>Ubicar en registro</v>
      </c>
      <c r="D241" s="55" t="str">
        <f>IF(Ejecucion45[[#This Row],[No. Solicitud]]="","",_xlfn.XLOOKUP(Ejecucion45[[#This Row],[No. Solicitud]],Registro!$B$8:$B$997,Registro!$H$8:$H$997,"Sin Dato",0))</f>
        <v>Curso 74</v>
      </c>
      <c r="E241" s="160" t="s">
        <v>884</v>
      </c>
      <c r="F24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90</v>
      </c>
      <c r="H241" s="55">
        <v>43488</v>
      </c>
      <c r="I241" s="55">
        <f>IF(Ejecucion45[[#This Row],[PC]]="","",_xlfn.XLOOKUP(Ejecucion45[[#This Row],[PC]],Ejecucion[PC],Ejecucion[Grupo],"NE",0))</f>
        <v>10</v>
      </c>
      <c r="J241" s="55">
        <f>IF(Ejecucion45[[#This Row],[PC]]="","",COUNTIF(Ejecucion4[Codigo],Ejecucion45[[#This Row],[PC]]))</f>
        <v>1</v>
      </c>
    </row>
    <row r="242" spans="1:10" ht="28.8" customHeight="1">
      <c r="A242" s="30">
        <f>ROW() - ROW(Ejecucion45[[#Headers],[Correlativo]])</f>
        <v>238</v>
      </c>
      <c r="B242" s="36" t="s">
        <v>325</v>
      </c>
      <c r="C242" s="153" t="str">
        <f>IF(B242="","",HYPERLINK("#"&amp;"Registro!B"&amp;MATCH(B242,Registro!$B$8:$B$997,0)+7,"Ubicar en registro"))</f>
        <v>Ubicar en registro</v>
      </c>
      <c r="D242" s="55" t="str">
        <f>IF(Ejecucion45[[#This Row],[No. Solicitud]]="","",_xlfn.XLOOKUP(Ejecucion45[[#This Row],[No. Solicitud]],Registro!$B$8:$B$997,Registro!$H$8:$H$997,"Sin Dato",0))</f>
        <v>Curso 74</v>
      </c>
      <c r="E242" s="160" t="s">
        <v>885</v>
      </c>
      <c r="F24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91</v>
      </c>
      <c r="H242" s="55">
        <v>43488</v>
      </c>
      <c r="I242" s="55">
        <f>IF(Ejecucion45[[#This Row],[PC]]="","",_xlfn.XLOOKUP(Ejecucion45[[#This Row],[PC]],Ejecucion[PC],Ejecucion[Grupo],"NE",0))</f>
        <v>10</v>
      </c>
      <c r="J242" s="55">
        <f>IF(Ejecucion45[[#This Row],[PC]]="","",COUNTIF(Ejecucion4[Codigo],Ejecucion45[[#This Row],[PC]]))</f>
        <v>1</v>
      </c>
    </row>
    <row r="243" spans="1:10" ht="28.8" customHeight="1">
      <c r="A243" s="30">
        <f>ROW() - ROW(Ejecucion45[[#Headers],[Correlativo]])</f>
        <v>239</v>
      </c>
      <c r="B243" s="30" t="s">
        <v>218</v>
      </c>
      <c r="C243" s="84" t="str">
        <f>IF(B243="","",HYPERLINK("#"&amp;"Registro!B"&amp;MATCH(B243,Registro!$B$8:$B$997,0)+7,"Ubicar en registro"))</f>
        <v>Ubicar en registro</v>
      </c>
      <c r="D243" s="55" t="str">
        <f>IF(Ejecucion45[[#This Row],[No. Solicitud]]="","",_xlfn.XLOOKUP(Ejecucion45[[#This Row],[No. Solicitud]],Registro!$B$8:$B$997,Registro!$H$8:$H$997,"Sin Dato",0))</f>
        <v>Curso 35</v>
      </c>
      <c r="E243" s="160" t="s">
        <v>886</v>
      </c>
      <c r="F24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92</v>
      </c>
      <c r="I243" s="55" t="str">
        <f>IF(Ejecucion45[[#This Row],[PC]]="","",_xlfn.XLOOKUP(Ejecucion45[[#This Row],[PC]],Ejecucion[PC],Ejecucion[Grupo],"NE",0))</f>
        <v/>
      </c>
      <c r="J243" s="55" t="str">
        <f>IF(Ejecucion45[[#This Row],[PC]]="","",COUNTIF(Ejecucion4[Codigo],Ejecucion45[[#This Row],[PC]]))</f>
        <v/>
      </c>
    </row>
    <row r="244" spans="1:10" ht="28.8" customHeight="1">
      <c r="A244" s="30">
        <f>ROW() - ROW(Ejecucion45[[#Headers],[Correlativo]])</f>
        <v>240</v>
      </c>
      <c r="B244" s="30" t="s">
        <v>356</v>
      </c>
      <c r="C244" s="84" t="str">
        <f>IF(B244="","",HYPERLINK("#"&amp;"Registro!B"&amp;MATCH(B244,Registro!$B$8:$B$997,0)+7,"Ubicar en registro"))</f>
        <v>Ubicar en registro</v>
      </c>
      <c r="D244" s="55" t="str">
        <f>IF(Ejecucion45[[#This Row],[No. Solicitud]]="","",_xlfn.XLOOKUP(Ejecucion45[[#This Row],[No. Solicitud]],Registro!$B$8:$B$997,Registro!$H$8:$H$997,"Sin Dato",0))</f>
        <v>Curso 82</v>
      </c>
      <c r="E244" s="160" t="s">
        <v>887</v>
      </c>
      <c r="F24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93</v>
      </c>
      <c r="G244" s="55">
        <v>8</v>
      </c>
      <c r="H244" s="55">
        <v>43607</v>
      </c>
      <c r="I244" s="55">
        <f>IF(Ejecucion45[[#This Row],[PC]]="","",_xlfn.XLOOKUP(Ejecucion45[[#This Row],[PC]],Ejecucion[PC],Ejecucion[Grupo],"NE",0))</f>
        <v>1</v>
      </c>
      <c r="J244" s="55">
        <f>IF(Ejecucion45[[#This Row],[PC]]="","",COUNTIF(Ejecucion4[Codigo],Ejecucion45[[#This Row],[PC]]))</f>
        <v>1</v>
      </c>
    </row>
    <row r="245" spans="1:10" ht="28.8" customHeight="1">
      <c r="A245" s="30">
        <f>ROW() - ROW(Ejecucion45[[#Headers],[Correlativo]])</f>
        <v>241</v>
      </c>
      <c r="B245" s="30" t="s">
        <v>360</v>
      </c>
      <c r="C245" s="84" t="str">
        <f>IF(B245="","",HYPERLINK("#"&amp;"Registro!B"&amp;MATCH(B245,Registro!$B$8:$B$997,0)+7,"Ubicar en registro"))</f>
        <v>Ubicar en registro</v>
      </c>
      <c r="D245" s="55" t="str">
        <f>IF(Ejecucion45[[#This Row],[No. Solicitud]]="","",_xlfn.XLOOKUP(Ejecucion45[[#This Row],[No. Solicitud]],Registro!$B$8:$B$997,Registro!$H$8:$H$997,"Sin Dato",0))</f>
        <v>Curso 83</v>
      </c>
      <c r="E245" s="160" t="s">
        <v>888</v>
      </c>
      <c r="F24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94</v>
      </c>
      <c r="G245" s="55">
        <v>15</v>
      </c>
      <c r="H245" s="55">
        <v>43613</v>
      </c>
      <c r="I245" s="55">
        <f>IF(Ejecucion45[[#This Row],[PC]]="","",_xlfn.XLOOKUP(Ejecucion45[[#This Row],[PC]],Ejecucion[PC],Ejecucion[Grupo],"NE",0))</f>
        <v>1</v>
      </c>
      <c r="J245" s="55">
        <f>IF(Ejecucion45[[#This Row],[PC]]="","",COUNTIF(Ejecucion4[Codigo],Ejecucion45[[#This Row],[PC]]))</f>
        <v>5</v>
      </c>
    </row>
    <row r="246" spans="1:10" ht="28.8" customHeight="1">
      <c r="A246" s="30">
        <f>ROW() - ROW(Ejecucion45[[#Headers],[Correlativo]])</f>
        <v>242</v>
      </c>
      <c r="B246" s="30" t="s">
        <v>360</v>
      </c>
      <c r="C246" s="84" t="str">
        <f>IF(B246="","",HYPERLINK("#"&amp;"Registro!B"&amp;MATCH(B246,Registro!$B$8:$B$997,0)+7,"Ubicar en registro"))</f>
        <v>Ubicar en registro</v>
      </c>
      <c r="D246" s="55" t="str">
        <f>IF(Ejecucion45[[#This Row],[No. Solicitud]]="","",_xlfn.XLOOKUP(Ejecucion45[[#This Row],[No. Solicitud]],Registro!$B$8:$B$997,Registro!$H$8:$H$997,"Sin Dato",0))</f>
        <v>Curso 83</v>
      </c>
      <c r="E246" s="160" t="s">
        <v>889</v>
      </c>
      <c r="F24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95</v>
      </c>
      <c r="G246" s="55">
        <v>15</v>
      </c>
      <c r="H246" s="55">
        <v>43615</v>
      </c>
      <c r="I246" s="55">
        <f>IF(Ejecucion45[[#This Row],[PC]]="","",_xlfn.XLOOKUP(Ejecucion45[[#This Row],[PC]],Ejecucion[PC],Ejecucion[Grupo],"NE",0))</f>
        <v>2</v>
      </c>
      <c r="J246" s="55">
        <f>IF(Ejecucion45[[#This Row],[PC]]="","",COUNTIF(Ejecucion4[Codigo],Ejecucion45[[#This Row],[PC]]))</f>
        <v>5</v>
      </c>
    </row>
    <row r="247" spans="1:10" ht="28.8" customHeight="1">
      <c r="A247" s="30">
        <f>ROW() - ROW(Ejecucion45[[#Headers],[Correlativo]])</f>
        <v>243</v>
      </c>
      <c r="B247" s="30" t="s">
        <v>231</v>
      </c>
      <c r="C247" s="84" t="str">
        <f>IF(B247="","",HYPERLINK("#"&amp;"Registro!B"&amp;MATCH(B247,Registro!$B$8:$B$997,0)+7,"Ubicar en registro"))</f>
        <v>Ubicar en registro</v>
      </c>
      <c r="D247" s="55" t="str">
        <f>IF(Ejecucion45[[#This Row],[No. Solicitud]]="","",_xlfn.XLOOKUP(Ejecucion45[[#This Row],[No. Solicitud]],Registro!$B$8:$B$997,Registro!$H$8:$H$997,"Sin Dato",0))</f>
        <v>Curso 40</v>
      </c>
      <c r="E247" s="160" t="s">
        <v>890</v>
      </c>
      <c r="F24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96</v>
      </c>
      <c r="G247" s="55">
        <v>9</v>
      </c>
      <c r="H247" s="55">
        <v>43827</v>
      </c>
      <c r="I247" s="55">
        <f>IF(Ejecucion45[[#This Row],[PC]]="","",_xlfn.XLOOKUP(Ejecucion45[[#This Row],[PC]],Ejecucion[PC],Ejecucion[Grupo],"NE",0))</f>
        <v>1</v>
      </c>
      <c r="J247" s="55">
        <f>IF(Ejecucion45[[#This Row],[PC]]="","",COUNTIF(Ejecucion4[Codigo],Ejecucion45[[#This Row],[PC]]))</f>
        <v>3</v>
      </c>
    </row>
    <row r="248" spans="1:10" ht="28.8" customHeight="1">
      <c r="A248" s="30">
        <f>ROW() - ROW(Ejecucion45[[#Headers],[Correlativo]])</f>
        <v>244</v>
      </c>
      <c r="B248" s="30" t="s">
        <v>194</v>
      </c>
      <c r="C248" s="84" t="str">
        <f>IF(B248="","",HYPERLINK("#"&amp;"Registro!B"&amp;MATCH(B248,Registro!$B$8:$B$997,0)+7,"Ubicar en registro"))</f>
        <v>Ubicar en registro</v>
      </c>
      <c r="D248" s="55" t="str">
        <f>IF(Ejecucion45[[#This Row],[No. Solicitud]]="","",_xlfn.XLOOKUP(Ejecucion45[[#This Row],[No. Solicitud]],Registro!$B$8:$B$997,Registro!$H$8:$H$997,"Sin Dato",0))</f>
        <v>Curso 28</v>
      </c>
      <c r="E248" s="160" t="s">
        <v>891</v>
      </c>
      <c r="F24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97</v>
      </c>
      <c r="G248" s="55">
        <v>16</v>
      </c>
      <c r="H248" s="55">
        <v>44147</v>
      </c>
      <c r="I248" s="55">
        <f>IF(Ejecucion45[[#This Row],[PC]]="","",_xlfn.XLOOKUP(Ejecucion45[[#This Row],[PC]],Ejecucion[PC],Ejecucion[Grupo],"NE",0))</f>
        <v>2</v>
      </c>
      <c r="J248" s="55">
        <f>IF(Ejecucion45[[#This Row],[PC]]="","",COUNTIF(Ejecucion4[Codigo],Ejecucion45[[#This Row],[PC]]))</f>
        <v>2</v>
      </c>
    </row>
    <row r="249" spans="1:10" ht="28.8" customHeight="1">
      <c r="A249" s="30">
        <f>ROW() - ROW(Ejecucion45[[#Headers],[Correlativo]])</f>
        <v>245</v>
      </c>
      <c r="B249" s="30" t="s">
        <v>190</v>
      </c>
      <c r="C249" s="84" t="str">
        <f>IF(B249="","",HYPERLINK("#"&amp;"Registro!B"&amp;MATCH(B249,Registro!$B$8:$B$997,0)+7,"Ubicar en registro"))</f>
        <v>Ubicar en registro</v>
      </c>
      <c r="D249" s="55" t="str">
        <f>IF(Ejecucion45[[#This Row],[No. Solicitud]]="","",_xlfn.XLOOKUP(Ejecucion45[[#This Row],[No. Solicitud]],Registro!$B$8:$B$997,Registro!$H$8:$H$997,"Sin Dato",0))</f>
        <v>Curso 27</v>
      </c>
      <c r="E249" s="160" t="s">
        <v>892</v>
      </c>
      <c r="F24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98</v>
      </c>
      <c r="G249" s="55">
        <v>9</v>
      </c>
      <c r="H249" s="81">
        <v>43940</v>
      </c>
      <c r="I249" s="55">
        <f>IF(Ejecucion45[[#This Row],[PC]]="","",_xlfn.XLOOKUP(Ejecucion45[[#This Row],[PC]],Ejecucion[PC],Ejecucion[Grupo],"NE",0))</f>
        <v>1</v>
      </c>
      <c r="J249" s="55">
        <f>IF(Ejecucion45[[#This Row],[PC]]="","",COUNTIF(Ejecucion4[Codigo],Ejecucion45[[#This Row],[PC]]))</f>
        <v>3</v>
      </c>
    </row>
    <row r="250" spans="1:10" ht="28.8" customHeight="1">
      <c r="A250" s="30">
        <f>ROW() - ROW(Ejecucion45[[#Headers],[Correlativo]])</f>
        <v>246</v>
      </c>
      <c r="B250" s="127" t="s">
        <v>224</v>
      </c>
      <c r="C250" s="84" t="str">
        <f>IF(B250="","",HYPERLINK("#"&amp;"Registro!B"&amp;MATCH(B250,Registro!$B$8:$B$997,0)+7,"Ubicar en registro"))</f>
        <v>Ubicar en registro</v>
      </c>
      <c r="D250" s="55" t="str">
        <f>IF(Ejecucion45[[#This Row],[No. Solicitud]]="","",_xlfn.XLOOKUP(Ejecucion45[[#This Row],[No. Solicitud]],Registro!$B$8:$B$997,Registro!$H$8:$H$997,"Sin Dato",0))</f>
        <v>Curso 38</v>
      </c>
      <c r="E250" s="160" t="s">
        <v>893</v>
      </c>
      <c r="F25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99</v>
      </c>
      <c r="G250" s="55">
        <v>4</v>
      </c>
      <c r="H250" s="55">
        <v>43931</v>
      </c>
      <c r="I250" s="55">
        <f>IF(Ejecucion45[[#This Row],[PC]]="","",_xlfn.XLOOKUP(Ejecucion45[[#This Row],[PC]],Ejecucion[PC],Ejecucion[Grupo],"NE",0))</f>
        <v>1</v>
      </c>
      <c r="J250" s="55">
        <f>IF(Ejecucion45[[#This Row],[PC]]="","",COUNTIF(Ejecucion4[Codigo],Ejecucion45[[#This Row],[PC]]))</f>
        <v>1</v>
      </c>
    </row>
    <row r="251" spans="1:10" ht="28.8" customHeight="1">
      <c r="A251" s="30">
        <f>ROW() - ROW(Ejecucion45[[#Headers],[Correlativo]])</f>
        <v>247</v>
      </c>
      <c r="B251" s="127" t="s">
        <v>224</v>
      </c>
      <c r="C251" s="84" t="str">
        <f>IF(B251="","",HYPERLINK("#"&amp;"Registro!B"&amp;MATCH(B251,Registro!$B$8:$B$997,0)+7,"Ubicar en registro"))</f>
        <v>Ubicar en registro</v>
      </c>
      <c r="D251" s="55" t="str">
        <f>IF(Ejecucion45[[#This Row],[No. Solicitud]]="","",_xlfn.XLOOKUP(Ejecucion45[[#This Row],[No. Solicitud]],Registro!$B$8:$B$997,Registro!$H$8:$H$997,"Sin Dato",0))</f>
        <v>Curso 38</v>
      </c>
      <c r="E251" s="160" t="s">
        <v>894</v>
      </c>
      <c r="F25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100</v>
      </c>
      <c r="G251" s="55">
        <v>4</v>
      </c>
      <c r="H251" s="55">
        <v>43932</v>
      </c>
      <c r="I251" s="55">
        <f>IF(Ejecucion45[[#This Row],[PC]]="","",_xlfn.XLOOKUP(Ejecucion45[[#This Row],[PC]],Ejecucion[PC],Ejecucion[Grupo],"NE",0))</f>
        <v>2</v>
      </c>
      <c r="J251" s="55">
        <f>IF(Ejecucion45[[#This Row],[PC]]="","",COUNTIF(Ejecucion4[Codigo],Ejecucion45[[#This Row],[PC]]))</f>
        <v>1</v>
      </c>
    </row>
    <row r="252" spans="1:10" ht="28.8" customHeight="1">
      <c r="A252" s="30">
        <f>ROW() - ROW(Ejecucion45[[#Headers],[Correlativo]])</f>
        <v>248</v>
      </c>
      <c r="B252" s="127" t="s">
        <v>224</v>
      </c>
      <c r="C252" s="84" t="str">
        <f>IF(B252="","",HYPERLINK("#"&amp;"Registro!B"&amp;MATCH(B252,Registro!$B$8:$B$997,0)+7,"Ubicar en registro"))</f>
        <v>Ubicar en registro</v>
      </c>
      <c r="D252" s="55" t="str">
        <f>IF(Ejecucion45[[#This Row],[No. Solicitud]]="","",_xlfn.XLOOKUP(Ejecucion45[[#This Row],[No. Solicitud]],Registro!$B$8:$B$997,Registro!$H$8:$H$997,"Sin Dato",0))</f>
        <v>Curso 38</v>
      </c>
      <c r="E252" s="160" t="s">
        <v>895</v>
      </c>
      <c r="F25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101</v>
      </c>
      <c r="G252" s="55">
        <v>4</v>
      </c>
      <c r="H252" s="81">
        <v>43934</v>
      </c>
      <c r="I252" s="55">
        <f>IF(Ejecucion45[[#This Row],[PC]]="","",_xlfn.XLOOKUP(Ejecucion45[[#This Row],[PC]],Ejecucion[PC],Ejecucion[Grupo],"NE",0))</f>
        <v>3</v>
      </c>
      <c r="J252" s="55">
        <f>IF(Ejecucion45[[#This Row],[PC]]="","",COUNTIF(Ejecucion4[Codigo],Ejecucion45[[#This Row],[PC]]))</f>
        <v>1</v>
      </c>
    </row>
    <row r="253" spans="1:10" ht="28.8" customHeight="1">
      <c r="A253" s="30">
        <f>ROW() - ROW(Ejecucion45[[#Headers],[Correlativo]])</f>
        <v>249</v>
      </c>
      <c r="B253" s="127" t="s">
        <v>224</v>
      </c>
      <c r="C253" s="84" t="str">
        <f>IF(B253="","",HYPERLINK("#"&amp;"Registro!B"&amp;MATCH(B253,Registro!$B$8:$B$997,0)+7,"Ubicar en registro"))</f>
        <v>Ubicar en registro</v>
      </c>
      <c r="D253" s="55" t="str">
        <f>IF(Ejecucion45[[#This Row],[No. Solicitud]]="","",_xlfn.XLOOKUP(Ejecucion45[[#This Row],[No. Solicitud]],Registro!$B$8:$B$997,Registro!$H$8:$H$997,"Sin Dato",0))</f>
        <v>Curso 38</v>
      </c>
      <c r="E253" s="160" t="s">
        <v>896</v>
      </c>
      <c r="F25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102</v>
      </c>
      <c r="G253" s="55">
        <v>4</v>
      </c>
      <c r="H253" s="81">
        <v>43936</v>
      </c>
      <c r="I253" s="55">
        <f>IF(Ejecucion45[[#This Row],[PC]]="","",_xlfn.XLOOKUP(Ejecucion45[[#This Row],[PC]],Ejecucion[PC],Ejecucion[Grupo],"NE",0))</f>
        <v>4</v>
      </c>
      <c r="J253" s="55">
        <f>IF(Ejecucion45[[#This Row],[PC]]="","",COUNTIF(Ejecucion4[Codigo],Ejecucion45[[#This Row],[PC]]))</f>
        <v>1</v>
      </c>
    </row>
    <row r="254" spans="1:10" ht="28.8" customHeight="1">
      <c r="A254" s="30">
        <f>ROW() - ROW(Ejecucion45[[#Headers],[Correlativo]])</f>
        <v>250</v>
      </c>
      <c r="B254" s="127" t="s">
        <v>224</v>
      </c>
      <c r="C254" s="84" t="str">
        <f>IF(B254="","",HYPERLINK("#"&amp;"Registro!B"&amp;MATCH(B254,Registro!$B$8:$B$997,0)+7,"Ubicar en registro"))</f>
        <v>Ubicar en registro</v>
      </c>
      <c r="D254" s="55" t="str">
        <f>IF(Ejecucion45[[#This Row],[No. Solicitud]]="","",_xlfn.XLOOKUP(Ejecucion45[[#This Row],[No. Solicitud]],Registro!$B$8:$B$997,Registro!$H$8:$H$997,"Sin Dato",0))</f>
        <v>Curso 38</v>
      </c>
      <c r="E254" s="160" t="s">
        <v>897</v>
      </c>
      <c r="F25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103</v>
      </c>
      <c r="G254" s="55">
        <v>4</v>
      </c>
      <c r="H254" s="81">
        <v>43937</v>
      </c>
      <c r="I254" s="55">
        <f>IF(Ejecucion45[[#This Row],[PC]]="","",_xlfn.XLOOKUP(Ejecucion45[[#This Row],[PC]],Ejecucion[PC],Ejecucion[Grupo],"NE",0))</f>
        <v>5</v>
      </c>
      <c r="J254" s="55">
        <f>IF(Ejecucion45[[#This Row],[PC]]="","",COUNTIF(Ejecucion4[Codigo],Ejecucion45[[#This Row],[PC]]))</f>
        <v>1</v>
      </c>
    </row>
    <row r="255" spans="1:10" ht="28.8" customHeight="1">
      <c r="A255" s="30">
        <f>ROW() - ROW(Ejecucion45[[#Headers],[Correlativo]])</f>
        <v>251</v>
      </c>
      <c r="B255" s="127" t="s">
        <v>224</v>
      </c>
      <c r="C255" s="84" t="str">
        <f>IF(B255="","",HYPERLINK("#"&amp;"Registro!B"&amp;MATCH(B255,Registro!$B$8:$B$997,0)+7,"Ubicar en registro"))</f>
        <v>Ubicar en registro</v>
      </c>
      <c r="D255" s="55" t="str">
        <f>IF(Ejecucion45[[#This Row],[No. Solicitud]]="","",_xlfn.XLOOKUP(Ejecucion45[[#This Row],[No. Solicitud]],Registro!$B$8:$B$997,Registro!$H$8:$H$997,"Sin Dato",0))</f>
        <v>Curso 38</v>
      </c>
      <c r="E255" s="160" t="s">
        <v>898</v>
      </c>
      <c r="F25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104</v>
      </c>
      <c r="G255" s="55">
        <v>4</v>
      </c>
      <c r="H255" s="81">
        <v>43939</v>
      </c>
      <c r="I255" s="55">
        <f>IF(Ejecucion45[[#This Row],[PC]]="","",_xlfn.XLOOKUP(Ejecucion45[[#This Row],[PC]],Ejecucion[PC],Ejecucion[Grupo],"NE",0))</f>
        <v>6</v>
      </c>
      <c r="J255" s="55">
        <f>IF(Ejecucion45[[#This Row],[PC]]="","",COUNTIF(Ejecucion4[Codigo],Ejecucion45[[#This Row],[PC]]))</f>
        <v>1</v>
      </c>
    </row>
    <row r="256" spans="1:10" ht="28.8" customHeight="1">
      <c r="A256" s="30">
        <f>ROW() - ROW(Ejecucion45[[#Headers],[Correlativo]])</f>
        <v>252</v>
      </c>
      <c r="B256" s="30" t="s">
        <v>235</v>
      </c>
      <c r="C256" s="84" t="str">
        <f>IF(B256="","",HYPERLINK("#"&amp;"Registro!B"&amp;MATCH(B256,Registro!$B$8:$B$997,0)+7,"Ubicar en registro"))</f>
        <v>Ubicar en registro</v>
      </c>
      <c r="D256" s="55" t="str">
        <f>IF(Ejecucion45[[#This Row],[No. Solicitud]]="","",_xlfn.XLOOKUP(Ejecucion45[[#This Row],[No. Solicitud]],Registro!$B$8:$B$997,Registro!$H$8:$H$997,"Sin Dato",0))</f>
        <v>Curso 41</v>
      </c>
      <c r="E256" s="160" t="s">
        <v>899</v>
      </c>
      <c r="F25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105</v>
      </c>
      <c r="G256" s="55">
        <v>3</v>
      </c>
      <c r="H256" s="55">
        <v>43978</v>
      </c>
      <c r="I256" s="55">
        <f>IF(Ejecucion45[[#This Row],[PC]]="","",_xlfn.XLOOKUP(Ejecucion45[[#This Row],[PC]],Ejecucion[PC],Ejecucion[Grupo],"NE",0))</f>
        <v>1</v>
      </c>
      <c r="J256" s="55">
        <f>IF(Ejecucion45[[#This Row],[PC]]="","",COUNTIF(Ejecucion4[Codigo],Ejecucion45[[#This Row],[PC]]))</f>
        <v>1</v>
      </c>
    </row>
    <row r="257" spans="1:11" ht="28.8" customHeight="1">
      <c r="A257" s="30">
        <f>ROW() - ROW(Ejecucion45[[#Headers],[Correlativo]])</f>
        <v>253</v>
      </c>
      <c r="B257" s="30" t="s">
        <v>235</v>
      </c>
      <c r="C257" s="84" t="str">
        <f>IF(B257="","",HYPERLINK("#"&amp;"Registro!B"&amp;MATCH(B257,Registro!$B$8:$B$997,0)+7,"Ubicar en registro"))</f>
        <v>Ubicar en registro</v>
      </c>
      <c r="D257" s="55" t="str">
        <f>IF(Ejecucion45[[#This Row],[No. Solicitud]]="","",_xlfn.XLOOKUP(Ejecucion45[[#This Row],[No. Solicitud]],Registro!$B$8:$B$997,Registro!$H$8:$H$997,"Sin Dato",0))</f>
        <v>Curso 41</v>
      </c>
      <c r="E257" s="160" t="s">
        <v>900</v>
      </c>
      <c r="F25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106</v>
      </c>
      <c r="G257" s="55">
        <v>3</v>
      </c>
      <c r="H257" s="55">
        <v>43980</v>
      </c>
      <c r="I257" s="55">
        <f>IF(Ejecucion45[[#This Row],[PC]]="","",_xlfn.XLOOKUP(Ejecucion45[[#This Row],[PC]],Ejecucion[PC],Ejecucion[Grupo],"NE",0))</f>
        <v>2</v>
      </c>
      <c r="J257" s="55">
        <f>IF(Ejecucion45[[#This Row],[PC]]="","",COUNTIF(Ejecucion4[Codigo],Ejecucion45[[#This Row],[PC]]))</f>
        <v>1</v>
      </c>
    </row>
    <row r="258" spans="1:11" ht="28.8" customHeight="1">
      <c r="A258" s="30">
        <f>ROW() - ROW(Ejecucion45[[#Headers],[Correlativo]])</f>
        <v>254</v>
      </c>
      <c r="B258" s="30" t="s">
        <v>190</v>
      </c>
      <c r="C258" s="84" t="str">
        <f>IF(B258="","",HYPERLINK("#"&amp;"Registro!B"&amp;MATCH(B258,Registro!$B$8:$B$997,0)+7,"Ubicar en registro"))</f>
        <v>Ubicar en registro</v>
      </c>
      <c r="D258" s="55" t="str">
        <f>IF(Ejecucion45[[#This Row],[No. Solicitud]]="","",_xlfn.XLOOKUP(Ejecucion45[[#This Row],[No. Solicitud]],Registro!$B$8:$B$997,Registro!$H$8:$H$997,"Sin Dato",0))</f>
        <v>Curso 27</v>
      </c>
      <c r="E258" s="160" t="s">
        <v>901</v>
      </c>
      <c r="F25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107</v>
      </c>
      <c r="G258" s="55">
        <v>9</v>
      </c>
      <c r="H258" s="81">
        <v>43941</v>
      </c>
      <c r="I258" s="55">
        <f>IF(Ejecucion45[[#This Row],[PC]]="","",_xlfn.XLOOKUP(Ejecucion45[[#This Row],[PC]],Ejecucion[PC],Ejecucion[Grupo],"NE",0))</f>
        <v>2</v>
      </c>
      <c r="J258" s="55">
        <f>IF(Ejecucion45[[#This Row],[PC]]="","",COUNTIF(Ejecucion4[Codigo],Ejecucion45[[#This Row],[PC]]))</f>
        <v>3</v>
      </c>
    </row>
    <row r="259" spans="1:11" ht="28.8" customHeight="1">
      <c r="A259" s="30">
        <f>ROW() - ROW(Ejecucion45[[#Headers],[Correlativo]])</f>
        <v>255</v>
      </c>
      <c r="B259" s="30" t="s">
        <v>362</v>
      </c>
      <c r="C259" s="84" t="str">
        <f>IF(B259="","",HYPERLINK("#"&amp;"Registro!B"&amp;MATCH(B259,Registro!$B$8:$B$997,0)+7,"Ubicar en registro"))</f>
        <v>Ubicar en registro</v>
      </c>
      <c r="D259" s="55" t="str">
        <f>IF(Ejecucion45[[#This Row],[No. Solicitud]]="","",_xlfn.XLOOKUP(Ejecucion45[[#This Row],[No. Solicitud]],Registro!$B$8:$B$997,Registro!$H$8:$H$997,"Sin Dato",0))</f>
        <v>Curso 84</v>
      </c>
      <c r="E259" s="160" t="s">
        <v>902</v>
      </c>
      <c r="F25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108</v>
      </c>
      <c r="G259" s="55">
        <v>8</v>
      </c>
      <c r="H259" s="55">
        <v>43789</v>
      </c>
      <c r="I259" s="55">
        <f>IF(Ejecucion45[[#This Row],[PC]]="","",_xlfn.XLOOKUP(Ejecucion45[[#This Row],[PC]],Ejecucion[PC],Ejecucion[Grupo],"NE",0))</f>
        <v>1</v>
      </c>
      <c r="J259" s="55">
        <f>IF(Ejecucion45[[#This Row],[PC]]="","",COUNTIF(Ejecucion4[Codigo],Ejecucion45[[#This Row],[PC]]))</f>
        <v>1</v>
      </c>
    </row>
    <row r="260" spans="1:11" ht="28.8" customHeight="1">
      <c r="A260" s="30">
        <f>ROW() - ROW(Ejecucion45[[#Headers],[Correlativo]])</f>
        <v>256</v>
      </c>
      <c r="B260" s="30" t="s">
        <v>364</v>
      </c>
      <c r="C260" s="84" t="str">
        <f>IF(B260="","",HYPERLINK("#"&amp;"Registro!B"&amp;MATCH(B260,Registro!$B$8:$B$997,0)+7,"Ubicar en registro"))</f>
        <v>Ubicar en registro</v>
      </c>
      <c r="D260" s="55" t="str">
        <f>IF(Ejecucion45[[#This Row],[No. Solicitud]]="","",_xlfn.XLOOKUP(Ejecucion45[[#This Row],[No. Solicitud]],Registro!$B$8:$B$997,Registro!$H$8:$H$997,"Sin Dato",0))</f>
        <v>Curso 85</v>
      </c>
      <c r="E260" s="160" t="s">
        <v>903</v>
      </c>
      <c r="F26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109</v>
      </c>
      <c r="G260" s="55">
        <v>8</v>
      </c>
      <c r="H260" s="55">
        <v>43671</v>
      </c>
      <c r="I260" s="55">
        <f>IF(Ejecucion45[[#This Row],[PC]]="","",_xlfn.XLOOKUP(Ejecucion45[[#This Row],[PC]],Ejecucion[PC],Ejecucion[Grupo],"NE",0))</f>
        <v>1</v>
      </c>
      <c r="J260" s="55">
        <f>IF(Ejecucion45[[#This Row],[PC]]="","",COUNTIF(Ejecucion4[Codigo],Ejecucion45[[#This Row],[PC]]))</f>
        <v>1</v>
      </c>
    </row>
    <row r="261" spans="1:11" ht="72" customHeight="1">
      <c r="A261" s="30">
        <f>ROW() - ROW(Ejecucion45[[#Headers],[Correlativo]])</f>
        <v>257</v>
      </c>
      <c r="B261" s="30" t="s">
        <v>366</v>
      </c>
      <c r="C261" s="84" t="str">
        <f>IF(B261="","",HYPERLINK("#"&amp;"Registro!B"&amp;MATCH(B261,Registro!$B$8:$B$997,0)+7,"Ubicar en registro"))</f>
        <v>Ubicar en registro</v>
      </c>
      <c r="D261" s="55" t="str">
        <f>IF(Ejecucion45[[#This Row],[No. Solicitud]]="","",_xlfn.XLOOKUP(Ejecucion45[[#This Row],[No. Solicitud]],Registro!$B$8:$B$997,Registro!$H$8:$H$997,"Sin Dato",0))</f>
        <v>Curso 86</v>
      </c>
      <c r="E261" s="160" t="s">
        <v>904</v>
      </c>
      <c r="F26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110</v>
      </c>
      <c r="H261" s="55">
        <v>43675</v>
      </c>
      <c r="I261" s="55">
        <f>IF(Ejecucion45[[#This Row],[PC]]="","",_xlfn.XLOOKUP(Ejecucion45[[#This Row],[PC]],Ejecucion[PC],Ejecucion[Grupo],"NE",0))</f>
        <v>1</v>
      </c>
      <c r="J261" s="55">
        <f>IF(Ejecucion45[[#This Row],[PC]]="","",COUNTIF(Ejecucion4[Codigo],Ejecucion45[[#This Row],[PC]]))</f>
        <v>1</v>
      </c>
      <c r="K261" s="55" t="s">
        <v>948</v>
      </c>
    </row>
    <row r="262" spans="1:11" ht="28.8" customHeight="1">
      <c r="A262" s="30">
        <f>ROW() - ROW(Ejecucion45[[#Headers],[Correlativo]])</f>
        <v>258</v>
      </c>
      <c r="B262" s="30" t="s">
        <v>368</v>
      </c>
      <c r="C262" s="84" t="str">
        <f>IF(B262="","",HYPERLINK("#"&amp;"Registro!B"&amp;MATCH(B262,Registro!$B$8:$B$997,0)+7,"Ubicar en registro"))</f>
        <v>Ubicar en registro</v>
      </c>
      <c r="D262" s="55" t="str">
        <f>IF(Ejecucion45[[#This Row],[No. Solicitud]]="","",_xlfn.XLOOKUP(Ejecucion45[[#This Row],[No. Solicitud]],Registro!$B$8:$B$997,Registro!$H$8:$H$997,"Sin Dato",0))</f>
        <v>Curso 87</v>
      </c>
      <c r="E262" s="160" t="s">
        <v>905</v>
      </c>
      <c r="F26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111</v>
      </c>
      <c r="G262" s="55">
        <v>16</v>
      </c>
      <c r="H262" s="55">
        <v>43782</v>
      </c>
      <c r="I262" s="55">
        <f>IF(Ejecucion45[[#This Row],[PC]]="","",_xlfn.XLOOKUP(Ejecucion45[[#This Row],[PC]],Ejecucion[PC],Ejecucion[Grupo],"NE",0))</f>
        <v>1</v>
      </c>
      <c r="J262" s="55">
        <f>IF(Ejecucion45[[#This Row],[PC]]="","",COUNTIF(Ejecucion4[Codigo],Ejecucion45[[#This Row],[PC]]))</f>
        <v>5</v>
      </c>
    </row>
    <row r="263" spans="1:11" ht="28.8" customHeight="1">
      <c r="A263" s="30">
        <f>ROW() - ROW(Ejecucion45[[#Headers],[Correlativo]])</f>
        <v>259</v>
      </c>
      <c r="B263" s="30" t="s">
        <v>216</v>
      </c>
      <c r="C263" s="84" t="str">
        <f>IF(B263="","",HYPERLINK("#"&amp;"Registro!B"&amp;MATCH(B263,Registro!$B$8:$B$997,0)+7,"Ubicar en registro"))</f>
        <v>Ubicar en registro</v>
      </c>
      <c r="D263" s="55" t="str">
        <f>IF(Ejecucion45[[#This Row],[No. Solicitud]]="","",_xlfn.XLOOKUP(Ejecucion45[[#This Row],[No. Solicitud]],Registro!$B$8:$B$997,Registro!$H$8:$H$997,"Sin Dato",0))</f>
        <v>Curso 34</v>
      </c>
      <c r="E263" s="160" t="s">
        <v>906</v>
      </c>
      <c r="F26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112</v>
      </c>
      <c r="G263" s="55">
        <v>8</v>
      </c>
      <c r="H263" s="55">
        <v>43881</v>
      </c>
      <c r="I263" s="55">
        <f>IF(Ejecucion45[[#This Row],[PC]]="","",_xlfn.XLOOKUP(Ejecucion45[[#This Row],[PC]],Ejecucion[PC],Ejecucion[Grupo],"NE",0))</f>
        <v>1</v>
      </c>
      <c r="J263" s="55">
        <f>IF(Ejecucion45[[#This Row],[PC]]="","",COUNTIF(Ejecucion4[Codigo],Ejecucion45[[#This Row],[PC]]))</f>
        <v>1</v>
      </c>
    </row>
    <row r="264" spans="1:11" ht="28.8" customHeight="1">
      <c r="A264" s="30">
        <f>ROW() - ROW(Ejecucion45[[#Headers],[Correlativo]])</f>
        <v>260</v>
      </c>
      <c r="B264" s="30" t="s">
        <v>376</v>
      </c>
      <c r="C264" s="84" t="str">
        <f>IF(B264="","",HYPERLINK("#"&amp;"Registro!B"&amp;MATCH(B264,Registro!$B$8:$B$997,0)+7,"Ubicar en registro"))</f>
        <v>Ubicar en registro</v>
      </c>
      <c r="D264" s="55" t="str">
        <f>IF(Ejecucion45[[#This Row],[No. Solicitud]]="","",_xlfn.XLOOKUP(Ejecucion45[[#This Row],[No. Solicitud]],Registro!$B$8:$B$997,Registro!$H$8:$H$997,"Sin Dato",0))</f>
        <v>Curso 89</v>
      </c>
      <c r="E264" s="160" t="s">
        <v>907</v>
      </c>
      <c r="F26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113</v>
      </c>
      <c r="G264" s="55">
        <v>8</v>
      </c>
      <c r="H264" s="81">
        <v>43581</v>
      </c>
      <c r="I264" s="55">
        <f>IF(Ejecucion45[[#This Row],[PC]]="","",_xlfn.XLOOKUP(Ejecucion45[[#This Row],[PC]],Ejecucion[PC],Ejecucion[Grupo],"NE",0))</f>
        <v>2</v>
      </c>
      <c r="J264" s="55">
        <f>IF(Ejecucion45[[#This Row],[PC]]="","",COUNTIF(Ejecucion4[Codigo],Ejecucion45[[#This Row],[PC]]))</f>
        <v>2</v>
      </c>
    </row>
    <row r="265" spans="1:11" ht="28.8" customHeight="1">
      <c r="A265" s="30">
        <f>ROW() - ROW(Ejecucion45[[#Headers],[Correlativo]])</f>
        <v>261</v>
      </c>
      <c r="B265" s="30" t="s">
        <v>376</v>
      </c>
      <c r="C265" s="84" t="str">
        <f>IF(B265="","",HYPERLINK("#"&amp;"Registro!B"&amp;MATCH(B265,Registro!$B$8:$B$997,0)+7,"Ubicar en registro"))</f>
        <v>Ubicar en registro</v>
      </c>
      <c r="D265" s="55" t="str">
        <f>IF(Ejecucion45[[#This Row],[No. Solicitud]]="","",_xlfn.XLOOKUP(Ejecucion45[[#This Row],[No. Solicitud]],Registro!$B$8:$B$997,Registro!$H$8:$H$997,"Sin Dato",0))</f>
        <v>Curso 89</v>
      </c>
      <c r="E265" s="160" t="s">
        <v>908</v>
      </c>
      <c r="F26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114</v>
      </c>
      <c r="G265" s="55">
        <v>8</v>
      </c>
      <c r="H265" s="81">
        <v>43581</v>
      </c>
      <c r="I265" s="55">
        <f>IF(Ejecucion45[[#This Row],[PC]]="","",_xlfn.XLOOKUP(Ejecucion45[[#This Row],[PC]],Ejecucion[PC],Ejecucion[Grupo],"NE",0))</f>
        <v>2</v>
      </c>
      <c r="J265" s="55">
        <f>IF(Ejecucion45[[#This Row],[PC]]="","",COUNTIF(Ejecucion4[Codigo],Ejecucion45[[#This Row],[PC]]))</f>
        <v>2</v>
      </c>
    </row>
    <row r="266" spans="1:11" ht="43.2" customHeight="1">
      <c r="A266" s="30">
        <f>ROW() - ROW(Ejecucion45[[#Headers],[Correlativo]])</f>
        <v>262</v>
      </c>
      <c r="B266" s="30" t="s">
        <v>378</v>
      </c>
      <c r="C266" s="84" t="str">
        <f>IF(B266="","",HYPERLINK("#"&amp;"Registro!B"&amp;MATCH(B266,Registro!$B$8:$B$997,0)+7,"Ubicar en registro"))</f>
        <v>Ubicar en registro</v>
      </c>
      <c r="D266" s="55" t="str">
        <f>IF(Ejecucion45[[#This Row],[No. Solicitud]]="","",_xlfn.XLOOKUP(Ejecucion45[[#This Row],[No. Solicitud]],Registro!$B$8:$B$997,Registro!$H$8:$H$997,"Sin Dato",0))</f>
        <v>Curso 90</v>
      </c>
      <c r="E266" s="160" t="s">
        <v>909</v>
      </c>
      <c r="F26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115</v>
      </c>
      <c r="G266" s="55">
        <v>2</v>
      </c>
      <c r="I266" s="55" t="str">
        <f>IF(Ejecucion45[[#This Row],[PC]]="","",_xlfn.XLOOKUP(Ejecucion45[[#This Row],[PC]],Ejecucion[PC],Ejecucion[Grupo],"NE",0))</f>
        <v/>
      </c>
      <c r="J266" s="55" t="str">
        <f>IF(Ejecucion45[[#This Row],[PC]]="","",COUNTIF(Ejecucion4[Codigo],Ejecucion45[[#This Row],[PC]]))</f>
        <v/>
      </c>
      <c r="K266" s="55" t="s">
        <v>792</v>
      </c>
    </row>
    <row r="267" spans="1:11" ht="28.8" customHeight="1">
      <c r="A267" s="30">
        <f>ROW() - ROW(Ejecucion45[[#Headers],[Correlativo]])</f>
        <v>263</v>
      </c>
      <c r="B267" s="30" t="s">
        <v>169</v>
      </c>
      <c r="C267" s="84" t="str">
        <f>IF(B267="","",HYPERLINK("#"&amp;"Registro!B"&amp;MATCH(B267,Registro!$B$8:$B$997,0)+7,"Ubicar en registro"))</f>
        <v>Ubicar en registro</v>
      </c>
      <c r="D267" s="55" t="str">
        <f>IF(Ejecucion45[[#This Row],[No. Solicitud]]="","",_xlfn.XLOOKUP(Ejecucion45[[#This Row],[No. Solicitud]],Registro!$B$8:$B$997,Registro!$H$8:$H$997,"Sin Dato",0))</f>
        <v>Curso 19</v>
      </c>
      <c r="E267" s="160" t="s">
        <v>910</v>
      </c>
      <c r="F26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116</v>
      </c>
      <c r="G267" s="55">
        <v>8</v>
      </c>
      <c r="I267" s="55" t="str">
        <f>IF(Ejecucion45[[#This Row],[PC]]="","",_xlfn.XLOOKUP(Ejecucion45[[#This Row],[PC]],Ejecucion[PC],Ejecucion[Grupo],"NE",0))</f>
        <v/>
      </c>
      <c r="J267" s="55" t="str">
        <f>IF(Ejecucion45[[#This Row],[PC]]="","",COUNTIF(Ejecucion4[Codigo],Ejecucion45[[#This Row],[PC]]))</f>
        <v/>
      </c>
    </row>
    <row r="268" spans="1:11" ht="28.8" customHeight="1">
      <c r="A268" s="30">
        <f>ROW() - ROW(Ejecucion45[[#Headers],[Correlativo]])</f>
        <v>264</v>
      </c>
      <c r="B268" s="30" t="s">
        <v>169</v>
      </c>
      <c r="C268" s="84" t="str">
        <f>IF(B268="","",HYPERLINK("#"&amp;"Registro!B"&amp;MATCH(B268,Registro!$B$8:$B$997,0)+7,"Ubicar en registro"))</f>
        <v>Ubicar en registro</v>
      </c>
      <c r="D268" s="55" t="str">
        <f>IF(Ejecucion45[[#This Row],[No. Solicitud]]="","",_xlfn.XLOOKUP(Ejecucion45[[#This Row],[No. Solicitud]],Registro!$B$8:$B$997,Registro!$H$8:$H$997,"Sin Dato",0))</f>
        <v>Curso 19</v>
      </c>
      <c r="E268" s="160" t="s">
        <v>911</v>
      </c>
      <c r="F26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117</v>
      </c>
      <c r="G268" s="55">
        <v>8</v>
      </c>
      <c r="I268" s="55" t="str">
        <f>IF(Ejecucion45[[#This Row],[PC]]="","",_xlfn.XLOOKUP(Ejecucion45[[#This Row],[PC]],Ejecucion[PC],Ejecucion[Grupo],"NE",0))</f>
        <v/>
      </c>
      <c r="J268" s="55" t="str">
        <f>IF(Ejecucion45[[#This Row],[PC]]="","",COUNTIF(Ejecucion4[Codigo],Ejecucion45[[#This Row],[PC]]))</f>
        <v/>
      </c>
    </row>
    <row r="269" spans="1:11" ht="28.8" customHeight="1">
      <c r="A269" s="30">
        <f>ROW() - ROW(Ejecucion45[[#Headers],[Correlativo]])</f>
        <v>265</v>
      </c>
      <c r="B269" s="30" t="s">
        <v>385</v>
      </c>
      <c r="C269" s="84" t="str">
        <f>IF(B269="","",HYPERLINK("#"&amp;"Registro!B"&amp;MATCH(B269,Registro!$B$8:$B$997,0)+7,"Ubicar en registro"))</f>
        <v>Ubicar en registro</v>
      </c>
      <c r="D269" s="55" t="str">
        <f>IF(Ejecucion45[[#This Row],[No. Solicitud]]="","",_xlfn.XLOOKUP(Ejecucion45[[#This Row],[No. Solicitud]],Registro!$B$8:$B$997,Registro!$H$8:$H$997,"Sin Dato",0))</f>
        <v>Curso 93</v>
      </c>
      <c r="E269" s="160" t="s">
        <v>912</v>
      </c>
      <c r="F26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118</v>
      </c>
      <c r="G269" s="55">
        <v>12</v>
      </c>
      <c r="H269" s="81">
        <v>43553</v>
      </c>
      <c r="I269" s="55">
        <f>IF(Ejecucion45[[#This Row],[PC]]="","",_xlfn.XLOOKUP(Ejecucion45[[#This Row],[PC]],Ejecucion[PC],Ejecucion[Grupo],"NE",0))</f>
        <v>1</v>
      </c>
      <c r="J269" s="55">
        <f>IF(Ejecucion45[[#This Row],[PC]]="","",COUNTIF(Ejecucion4[Codigo],Ejecucion45[[#This Row],[PC]]))</f>
        <v>2</v>
      </c>
    </row>
    <row r="270" spans="1:11" ht="28.8" customHeight="1">
      <c r="A270" s="30">
        <f>ROW() - ROW(Ejecucion45[[#Headers],[Correlativo]])</f>
        <v>266</v>
      </c>
      <c r="B270" s="30" t="s">
        <v>385</v>
      </c>
      <c r="C270" s="84" t="str">
        <f>IF(B270="","",HYPERLINK("#"&amp;"Registro!B"&amp;MATCH(B270,Registro!$B$8:$B$997,0)+7,"Ubicar en registro"))</f>
        <v>Ubicar en registro</v>
      </c>
      <c r="D270" s="55" t="str">
        <f>IF(Ejecucion45[[#This Row],[No. Solicitud]]="","",_xlfn.XLOOKUP(Ejecucion45[[#This Row],[No. Solicitud]],Registro!$B$8:$B$997,Registro!$H$8:$H$997,"Sin Dato",0))</f>
        <v>Curso 93</v>
      </c>
      <c r="E270" s="160" t="s">
        <v>913</v>
      </c>
      <c r="F27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119</v>
      </c>
      <c r="G270" s="55">
        <v>12</v>
      </c>
      <c r="H270" s="81">
        <v>43554</v>
      </c>
      <c r="I270" s="55">
        <f>IF(Ejecucion45[[#This Row],[PC]]="","",_xlfn.XLOOKUP(Ejecucion45[[#This Row],[PC]],Ejecucion[PC],Ejecucion[Grupo],"NE",0))</f>
        <v>2</v>
      </c>
      <c r="J270" s="55">
        <f>IF(Ejecucion45[[#This Row],[PC]]="","",COUNTIF(Ejecucion4[Codigo],Ejecucion45[[#This Row],[PC]]))</f>
        <v>2</v>
      </c>
    </row>
    <row r="271" spans="1:11" ht="28.8" customHeight="1">
      <c r="A271" s="30">
        <f>ROW() - ROW(Ejecucion45[[#Headers],[Correlativo]])</f>
        <v>267</v>
      </c>
      <c r="B271" s="30" t="s">
        <v>385</v>
      </c>
      <c r="C271" s="84" t="str">
        <f>IF(B271="","",HYPERLINK("#"&amp;"Registro!B"&amp;MATCH(B271,Registro!$B$8:$B$997,0)+7,"Ubicar en registro"))</f>
        <v>Ubicar en registro</v>
      </c>
      <c r="D271" s="55" t="str">
        <f>IF(Ejecucion45[[#This Row],[No. Solicitud]]="","",_xlfn.XLOOKUP(Ejecucion45[[#This Row],[No. Solicitud]],Registro!$B$8:$B$997,Registro!$H$8:$H$997,"Sin Dato",0))</f>
        <v>Curso 93</v>
      </c>
      <c r="E271" s="160" t="s">
        <v>914</v>
      </c>
      <c r="F27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120</v>
      </c>
      <c r="G271" s="55">
        <v>12</v>
      </c>
      <c r="H271" s="81">
        <v>43555</v>
      </c>
      <c r="I271" s="55">
        <f>IF(Ejecucion45[[#This Row],[PC]]="","",_xlfn.XLOOKUP(Ejecucion45[[#This Row],[PC]],Ejecucion[PC],Ejecucion[Grupo],"NE",0))</f>
        <v>3</v>
      </c>
      <c r="J271" s="55">
        <f>IF(Ejecucion45[[#This Row],[PC]]="","",COUNTIF(Ejecucion4[Codigo],Ejecucion45[[#This Row],[PC]]))</f>
        <v>2</v>
      </c>
    </row>
    <row r="272" spans="1:11" ht="43.2" customHeight="1">
      <c r="A272" s="30">
        <f>ROW() - ROW(Ejecucion45[[#Headers],[Correlativo]])</f>
        <v>268</v>
      </c>
      <c r="B272" s="30" t="s">
        <v>388</v>
      </c>
      <c r="C272" s="84" t="str">
        <f>IF(B272="","",HYPERLINK("#"&amp;"Registro!B"&amp;MATCH(B272,Registro!$B$8:$B$997,0)+7,"Ubicar en registro"))</f>
        <v>Ubicar en registro</v>
      </c>
      <c r="D272" s="55" t="str">
        <f>IF(Ejecucion45[[#This Row],[No. Solicitud]]="","",_xlfn.XLOOKUP(Ejecucion45[[#This Row],[No. Solicitud]],Registro!$B$8:$B$997,Registro!$H$8:$H$997,"Sin Dato",0))</f>
        <v>Curso 94</v>
      </c>
      <c r="E272" s="160" t="s">
        <v>915</v>
      </c>
      <c r="F27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121</v>
      </c>
      <c r="G272" s="55">
        <v>1</v>
      </c>
      <c r="H272" s="55">
        <v>43476</v>
      </c>
      <c r="I272" s="55">
        <f>IF(Ejecucion45[[#This Row],[PC]]="","",_xlfn.XLOOKUP(Ejecucion45[[#This Row],[PC]],Ejecucion[PC],Ejecucion[Grupo],"NE",0))</f>
        <v>1</v>
      </c>
      <c r="J272" s="55">
        <f>IF(Ejecucion45[[#This Row],[PC]]="","",COUNTIF(Ejecucion4[Codigo],Ejecucion45[[#This Row],[PC]]))</f>
        <v>1</v>
      </c>
      <c r="K272" s="55" t="s">
        <v>949</v>
      </c>
    </row>
    <row r="273" spans="1:11" ht="43.2" customHeight="1">
      <c r="A273" s="30">
        <f>ROW() - ROW(Ejecucion45[[#Headers],[Correlativo]])</f>
        <v>269</v>
      </c>
      <c r="B273" s="30" t="s">
        <v>388</v>
      </c>
      <c r="C273" s="84" t="str">
        <f>IF(B273="","",HYPERLINK("#"&amp;"Registro!B"&amp;MATCH(B273,Registro!$B$8:$B$997,0)+7,"Ubicar en registro"))</f>
        <v>Ubicar en registro</v>
      </c>
      <c r="D273" s="55" t="str">
        <f>IF(Ejecucion45[[#This Row],[No. Solicitud]]="","",_xlfn.XLOOKUP(Ejecucion45[[#This Row],[No. Solicitud]],Registro!$B$8:$B$997,Registro!$H$8:$H$997,"Sin Dato",0))</f>
        <v>Curso 94</v>
      </c>
      <c r="E273" s="160" t="s">
        <v>916</v>
      </c>
      <c r="F27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122</v>
      </c>
      <c r="G273" s="55">
        <v>1</v>
      </c>
      <c r="H273" s="55">
        <v>43476</v>
      </c>
      <c r="I273" s="55">
        <f>IF(Ejecucion45[[#This Row],[PC]]="","",_xlfn.XLOOKUP(Ejecucion45[[#This Row],[PC]],Ejecucion[PC],Ejecucion[Grupo],"NE",0))</f>
        <v>1</v>
      </c>
      <c r="J273" s="55">
        <f>IF(Ejecucion45[[#This Row],[PC]]="","",COUNTIF(Ejecucion4[Codigo],Ejecucion45[[#This Row],[PC]]))</f>
        <v>1</v>
      </c>
      <c r="K273" s="55" t="s">
        <v>949</v>
      </c>
    </row>
    <row r="274" spans="1:11" ht="43.2" customHeight="1">
      <c r="A274" s="30">
        <f>ROW() - ROW(Ejecucion45[[#Headers],[Correlativo]])</f>
        <v>270</v>
      </c>
      <c r="B274" s="30" t="s">
        <v>388</v>
      </c>
      <c r="C274" s="84" t="str">
        <f>IF(B274="","",HYPERLINK("#"&amp;"Registro!B"&amp;MATCH(B274,Registro!$B$8:$B$997,0)+7,"Ubicar en registro"))</f>
        <v>Ubicar en registro</v>
      </c>
      <c r="D274" s="55" t="str">
        <f>IF(Ejecucion45[[#This Row],[No. Solicitud]]="","",_xlfn.XLOOKUP(Ejecucion45[[#This Row],[No. Solicitud]],Registro!$B$8:$B$997,Registro!$H$8:$H$997,"Sin Dato",0))</f>
        <v>Curso 94</v>
      </c>
      <c r="E274" s="160" t="s">
        <v>917</v>
      </c>
      <c r="F27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123</v>
      </c>
      <c r="G274" s="55">
        <v>1</v>
      </c>
      <c r="H274" s="55">
        <v>43476</v>
      </c>
      <c r="I274" s="55">
        <f>IF(Ejecucion45[[#This Row],[PC]]="","",_xlfn.XLOOKUP(Ejecucion45[[#This Row],[PC]],Ejecucion[PC],Ejecucion[Grupo],"NE",0))</f>
        <v>1</v>
      </c>
      <c r="J274" s="55">
        <f>IF(Ejecucion45[[#This Row],[PC]]="","",COUNTIF(Ejecucion4[Codigo],Ejecucion45[[#This Row],[PC]]))</f>
        <v>1</v>
      </c>
      <c r="K274" s="55" t="s">
        <v>949</v>
      </c>
    </row>
    <row r="275" spans="1:11" ht="28.8" customHeight="1">
      <c r="A275" s="30">
        <f>ROW() - ROW(Ejecucion45[[#Headers],[Correlativo]])</f>
        <v>271</v>
      </c>
      <c r="B275" s="30" t="s">
        <v>390</v>
      </c>
      <c r="C275" s="84" t="str">
        <f>IF(B275="","",HYPERLINK("#"&amp;"Registro!B"&amp;MATCH(B275,Registro!$B$8:$B$997,0)+7,"Ubicar en registro"))</f>
        <v>Ubicar en registro</v>
      </c>
      <c r="D275" s="55" t="str">
        <f>IF(Ejecucion45[[#This Row],[No. Solicitud]]="","",_xlfn.XLOOKUP(Ejecucion45[[#This Row],[No. Solicitud]],Registro!$B$8:$B$997,Registro!$H$8:$H$997,"Sin Dato",0))</f>
        <v>Curso 95</v>
      </c>
      <c r="E275" s="117" t="s">
        <v>918</v>
      </c>
      <c r="F27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124</v>
      </c>
      <c r="G275" s="55">
        <v>1</v>
      </c>
      <c r="H275" s="55">
        <v>43472</v>
      </c>
      <c r="I275" s="55">
        <f>IF(Ejecucion45[[#This Row],[PC]]="","",_xlfn.XLOOKUP(Ejecucion45[[#This Row],[PC]],Ejecucion[PC],Ejecucion[Grupo],"NE",0))</f>
        <v>1</v>
      </c>
      <c r="J275" s="55">
        <f>IF(Ejecucion45[[#This Row],[PC]]="","",COUNTIF(Ejecucion4[Codigo],Ejecucion45[[#This Row],[PC]]))</f>
        <v>1</v>
      </c>
    </row>
    <row r="276" spans="1:11" ht="57.6" customHeight="1">
      <c r="A276" s="30">
        <f>ROW() - ROW(Ejecucion45[[#Headers],[Correlativo]])</f>
        <v>272</v>
      </c>
      <c r="B276" s="30" t="s">
        <v>392</v>
      </c>
      <c r="C276" s="84" t="str">
        <f>IF(B276="","",HYPERLINK("#"&amp;"Registro!B"&amp;MATCH(B276,Registro!$B$8:$B$997,0)+7,"Ubicar en registro"))</f>
        <v>Ubicar en registro</v>
      </c>
      <c r="D276" s="55" t="str">
        <f>IF(Ejecucion45[[#This Row],[No. Solicitud]]="","",_xlfn.XLOOKUP(Ejecucion45[[#This Row],[No. Solicitud]],Registro!$B$8:$B$997,Registro!$H$8:$H$997,"Sin Dato",0))</f>
        <v>Curso 96</v>
      </c>
      <c r="E276" s="160" t="s">
        <v>919</v>
      </c>
      <c r="F27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125</v>
      </c>
      <c r="H276" s="81">
        <v>43537</v>
      </c>
      <c r="I276" s="55">
        <f>IF(Ejecucion45[[#This Row],[PC]]="","",_xlfn.XLOOKUP(Ejecucion45[[#This Row],[PC]],Ejecucion[PC],Ejecucion[Grupo],"NE",0))</f>
        <v>1</v>
      </c>
      <c r="J276" s="55">
        <f>IF(Ejecucion45[[#This Row],[PC]]="","",COUNTIF(Ejecucion4[Codigo],Ejecucion45[[#This Row],[PC]]))</f>
        <v>3</v>
      </c>
    </row>
    <row r="277" spans="1:11" ht="57.6" customHeight="1">
      <c r="A277" s="30">
        <f>ROW() - ROW(Ejecucion45[[#Headers],[Correlativo]])</f>
        <v>273</v>
      </c>
      <c r="B277" s="30" t="s">
        <v>392</v>
      </c>
      <c r="C277" s="153" t="str">
        <f>IF(B277="","",HYPERLINK("#"&amp;"Registro!B"&amp;MATCH(B277,Registro!$B$8:$B$997,0)+7,"Ubicar en registro"))</f>
        <v>Ubicar en registro</v>
      </c>
      <c r="D277" s="55" t="str">
        <f>IF(Ejecucion45[[#This Row],[No. Solicitud]]="","",_xlfn.XLOOKUP(Ejecucion45[[#This Row],[No. Solicitud]],Registro!$B$8:$B$997,Registro!$H$8:$H$997,"Sin Dato",0))</f>
        <v>Curso 96</v>
      </c>
      <c r="E277" s="160" t="s">
        <v>920</v>
      </c>
      <c r="F27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126</v>
      </c>
      <c r="H277" s="81">
        <v>43539</v>
      </c>
      <c r="I277" s="55">
        <f>IF(Ejecucion45[[#This Row],[PC]]="","",_xlfn.XLOOKUP(Ejecucion45[[#This Row],[PC]],Ejecucion[PC],Ejecucion[Grupo],"NE",0))</f>
        <v>2</v>
      </c>
      <c r="J277" s="55">
        <f>IF(Ejecucion45[[#This Row],[PC]]="","",COUNTIF(Ejecucion4[Codigo],Ejecucion45[[#This Row],[PC]]))</f>
        <v>3</v>
      </c>
    </row>
    <row r="278" spans="1:11" ht="57.6" customHeight="1">
      <c r="A278" s="30">
        <f>ROW() - ROW(Ejecucion45[[#Headers],[Correlativo]])</f>
        <v>274</v>
      </c>
      <c r="B278" s="30" t="s">
        <v>392</v>
      </c>
      <c r="C278" s="153" t="str">
        <f>IF(B278="","",HYPERLINK("#"&amp;"Registro!B"&amp;MATCH(B278,Registro!$B$8:$B$997,0)+7,"Ubicar en registro"))</f>
        <v>Ubicar en registro</v>
      </c>
      <c r="D278" s="55" t="str">
        <f>IF(Ejecucion45[[#This Row],[No. Solicitud]]="","",_xlfn.XLOOKUP(Ejecucion45[[#This Row],[No. Solicitud]],Registro!$B$8:$B$997,Registro!$H$8:$H$997,"Sin Dato",0))</f>
        <v>Curso 96</v>
      </c>
      <c r="E278" s="160" t="s">
        <v>921</v>
      </c>
      <c r="F27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127</v>
      </c>
      <c r="H278" s="81">
        <v>43543</v>
      </c>
      <c r="I278" s="55">
        <f>IF(Ejecucion45[[#This Row],[PC]]="","",_xlfn.XLOOKUP(Ejecucion45[[#This Row],[PC]],Ejecucion[PC],Ejecucion[Grupo],"NE",0))</f>
        <v>3</v>
      </c>
      <c r="J278" s="55">
        <f>IF(Ejecucion45[[#This Row],[PC]]="","",COUNTIF(Ejecucion4[Codigo],Ejecucion45[[#This Row],[PC]]))</f>
        <v>3</v>
      </c>
    </row>
    <row r="279" spans="1:11" ht="57.6" customHeight="1">
      <c r="A279" s="30">
        <f>ROW() - ROW(Ejecucion45[[#Headers],[Correlativo]])</f>
        <v>275</v>
      </c>
      <c r="B279" s="30" t="s">
        <v>392</v>
      </c>
      <c r="C279" s="153" t="str">
        <f>IF(B279="","",HYPERLINK("#"&amp;"Registro!B"&amp;MATCH(B279,Registro!$B$8:$B$997,0)+7,"Ubicar en registro"))</f>
        <v>Ubicar en registro</v>
      </c>
      <c r="D279" s="55" t="str">
        <f>IF(Ejecucion45[[#This Row],[No. Solicitud]]="","",_xlfn.XLOOKUP(Ejecucion45[[#This Row],[No. Solicitud]],Registro!$B$8:$B$997,Registro!$H$8:$H$997,"Sin Dato",0))</f>
        <v>Curso 96</v>
      </c>
      <c r="E279" s="160" t="s">
        <v>922</v>
      </c>
      <c r="F27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128</v>
      </c>
      <c r="H279" s="81">
        <v>43544</v>
      </c>
      <c r="I279" s="55">
        <f>IF(Ejecucion45[[#This Row],[PC]]="","",_xlfn.XLOOKUP(Ejecucion45[[#This Row],[PC]],Ejecucion[PC],Ejecucion[Grupo],"NE",0))</f>
        <v>4</v>
      </c>
      <c r="J279" s="55">
        <f>IF(Ejecucion45[[#This Row],[PC]]="","",COUNTIF(Ejecucion4[Codigo],Ejecucion45[[#This Row],[PC]]))</f>
        <v>3</v>
      </c>
    </row>
    <row r="280" spans="1:11" ht="28.8" customHeight="1">
      <c r="A280" s="30">
        <f>ROW() - ROW(Ejecucion45[[#Headers],[Correlativo]])</f>
        <v>276</v>
      </c>
      <c r="B280" s="30" t="s">
        <v>398</v>
      </c>
      <c r="C280" s="84" t="str">
        <f>IF(B280="","",HYPERLINK("#"&amp;"Registro!B"&amp;MATCH(B280,Registro!$B$8:$B$997,0)+7,"Ubicar en registro"))</f>
        <v>Ubicar en registro</v>
      </c>
      <c r="D280" s="55" t="str">
        <f>IF(Ejecucion45[[#This Row],[No. Solicitud]]="","",_xlfn.XLOOKUP(Ejecucion45[[#This Row],[No. Solicitud]],Registro!$B$8:$B$997,Registro!$H$8:$H$997,"Sin Dato",0))</f>
        <v>Curso 98</v>
      </c>
      <c r="E280" s="160" t="s">
        <v>923</v>
      </c>
      <c r="F28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129</v>
      </c>
      <c r="G280" s="55">
        <v>8</v>
      </c>
      <c r="H280" s="81">
        <v>43527</v>
      </c>
      <c r="I280" s="55">
        <f>IF(Ejecucion45[[#This Row],[PC]]="","",_xlfn.XLOOKUP(Ejecucion45[[#This Row],[PC]],Ejecucion[PC],Ejecucion[Grupo],"NE",0))</f>
        <v>1</v>
      </c>
      <c r="J280" s="55">
        <f>IF(Ejecucion45[[#This Row],[PC]]="","",COUNTIF(Ejecucion4[Codigo],Ejecucion45[[#This Row],[PC]]))</f>
        <v>1</v>
      </c>
    </row>
    <row r="281" spans="1:11" ht="28.8" customHeight="1">
      <c r="A281" s="30">
        <f>ROW() - ROW(Ejecucion45[[#Headers],[Correlativo]])</f>
        <v>277</v>
      </c>
      <c r="B281" s="30" t="s">
        <v>398</v>
      </c>
      <c r="C281" s="84" t="str">
        <f>IF(B281="","",HYPERLINK("#"&amp;"Registro!B"&amp;MATCH(B281,Registro!$B$8:$B$997,0)+7,"Ubicar en registro"))</f>
        <v>Ubicar en registro</v>
      </c>
      <c r="D281" s="55" t="str">
        <f>IF(Ejecucion45[[#This Row],[No. Solicitud]]="","",_xlfn.XLOOKUP(Ejecucion45[[#This Row],[No. Solicitud]],Registro!$B$8:$B$997,Registro!$H$8:$H$997,"Sin Dato",0))</f>
        <v>Curso 98</v>
      </c>
      <c r="E281" s="160" t="s">
        <v>924</v>
      </c>
      <c r="F28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130</v>
      </c>
      <c r="G281" s="55">
        <v>8</v>
      </c>
      <c r="H281" s="81">
        <v>43528</v>
      </c>
      <c r="I281" s="55">
        <f>IF(Ejecucion45[[#This Row],[PC]]="","",_xlfn.XLOOKUP(Ejecucion45[[#This Row],[PC]],Ejecucion[PC],Ejecucion[Grupo],"NE",0))</f>
        <v>2</v>
      </c>
      <c r="J281" s="55">
        <f>IF(Ejecucion45[[#This Row],[PC]]="","",COUNTIF(Ejecucion4[Codigo],Ejecucion45[[#This Row],[PC]]))</f>
        <v>1</v>
      </c>
    </row>
    <row r="282" spans="1:11" ht="28.8" customHeight="1">
      <c r="A282" s="30">
        <f>ROW() - ROW(Ejecucion45[[#Headers],[Correlativo]])</f>
        <v>278</v>
      </c>
      <c r="B282" s="30" t="s">
        <v>402</v>
      </c>
      <c r="C282" s="84" t="str">
        <f>IF(B282="","",HYPERLINK("#"&amp;"Registro!B"&amp;MATCH(B282,Registro!$B$8:$B$997,0)+7,"Ubicar en registro"))</f>
        <v>Ubicar en registro</v>
      </c>
      <c r="D282" s="55" t="str">
        <f>IF(Ejecucion45[[#This Row],[No. Solicitud]]="","",_xlfn.XLOOKUP(Ejecucion45[[#This Row],[No. Solicitud]],Registro!$B$8:$B$997,Registro!$H$8:$H$997,"Sin Dato",0))</f>
        <v>Curso 99</v>
      </c>
      <c r="E282" s="160" t="s">
        <v>925</v>
      </c>
      <c r="F28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131</v>
      </c>
      <c r="G282" s="55">
        <v>1.5</v>
      </c>
      <c r="H282" s="55">
        <v>43471</v>
      </c>
      <c r="I282" s="55">
        <f>IF(Ejecucion45[[#This Row],[PC]]="","",_xlfn.XLOOKUP(Ejecucion45[[#This Row],[PC]],Ejecucion[PC],Ejecucion[Grupo],"NE",0))</f>
        <v>1</v>
      </c>
      <c r="J282" s="55">
        <f>IF(Ejecucion45[[#This Row],[PC]]="","",COUNTIF(Ejecucion4[Codigo],Ejecucion45[[#This Row],[PC]]))</f>
        <v>1</v>
      </c>
    </row>
    <row r="283" spans="1:11" ht="28.8" customHeight="1">
      <c r="A283" s="30">
        <f>ROW() - ROW(Ejecucion45[[#Headers],[Correlativo]])</f>
        <v>279</v>
      </c>
      <c r="B283" s="30" t="s">
        <v>404</v>
      </c>
      <c r="C283" s="84" t="str">
        <f>IF(B283="","",HYPERLINK("#"&amp;"Registro!B"&amp;MATCH(B283,Registro!$B$8:$B$997,0)+7,"Ubicar en registro"))</f>
        <v>Ubicar en registro</v>
      </c>
      <c r="D283" s="55" t="str">
        <f>IF(Ejecucion45[[#This Row],[No. Solicitud]]="","",_xlfn.XLOOKUP(Ejecucion45[[#This Row],[No. Solicitud]],Registro!$B$8:$B$997,Registro!$H$8:$H$997,"Sin Dato",0))</f>
        <v>Curso 100</v>
      </c>
      <c r="E283" s="117" t="s">
        <v>926</v>
      </c>
      <c r="F28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132</v>
      </c>
      <c r="G283" s="55">
        <v>1</v>
      </c>
      <c r="H283" s="81">
        <v>43469</v>
      </c>
      <c r="I283" s="55">
        <f>IF(Ejecucion45[[#This Row],[PC]]="","",_xlfn.XLOOKUP(Ejecucion45[[#This Row],[PC]],Ejecucion[PC],Ejecucion[Grupo],"NE",0))</f>
        <v>1</v>
      </c>
      <c r="J283" s="55">
        <f>IF(Ejecucion45[[#This Row],[PC]]="","",COUNTIF(Ejecucion4[Codigo],Ejecucion45[[#This Row],[PC]]))</f>
        <v>1</v>
      </c>
    </row>
    <row r="284" spans="1:11" ht="28.8" customHeight="1">
      <c r="A284" s="30">
        <f>ROW() - ROW(Ejecucion45[[#Headers],[Correlativo]])</f>
        <v>280</v>
      </c>
      <c r="B284" s="30" t="s">
        <v>406</v>
      </c>
      <c r="C284" s="84" t="str">
        <f>IF(B284="","",HYPERLINK("#"&amp;"Registro!B"&amp;MATCH(B284,Registro!$B$8:$B$997,0)+7,"Ubicar en registro"))</f>
        <v>Ubicar en registro</v>
      </c>
      <c r="D284" s="55" t="str">
        <f>IF(Ejecucion45[[#This Row],[No. Solicitud]]="","",_xlfn.XLOOKUP(Ejecucion45[[#This Row],[No. Solicitud]],Registro!$B$8:$B$997,Registro!$H$8:$H$997,"Sin Dato",0))</f>
        <v>Curso 101</v>
      </c>
      <c r="E284" s="160" t="s">
        <v>927</v>
      </c>
      <c r="F28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133</v>
      </c>
      <c r="G284" s="55">
        <v>1</v>
      </c>
      <c r="H284" s="81">
        <v>43470</v>
      </c>
      <c r="I284" s="55">
        <f>IF(Ejecucion45[[#This Row],[PC]]="","",_xlfn.XLOOKUP(Ejecucion45[[#This Row],[PC]],Ejecucion[PC],Ejecucion[Grupo],"NE",0))</f>
        <v>1</v>
      </c>
      <c r="J284" s="55">
        <f>IF(Ejecucion45[[#This Row],[PC]]="","",COUNTIF(Ejecucion4[Codigo],Ejecucion45[[#This Row],[PC]]))</f>
        <v>1</v>
      </c>
    </row>
    <row r="285" spans="1:11" ht="28.8" customHeight="1">
      <c r="A285" s="30">
        <f>ROW() - ROW(Ejecucion45[[#Headers],[Correlativo]])</f>
        <v>281</v>
      </c>
      <c r="B285" s="30" t="s">
        <v>410</v>
      </c>
      <c r="C285" s="84" t="str">
        <f>IF(B285="","",HYPERLINK("#"&amp;"Registro!B"&amp;MATCH(B285,Registro!$B$8:$B$997,0)+7,"Ubicar en registro"))</f>
        <v>Ubicar en registro</v>
      </c>
      <c r="D285" s="55" t="str">
        <f>IF(Ejecucion45[[#This Row],[No. Solicitud]]="","",_xlfn.XLOOKUP(Ejecucion45[[#This Row],[No. Solicitud]],Registro!$B$8:$B$997,Registro!$H$8:$H$997,"Sin Dato",0))</f>
        <v>Curso 102</v>
      </c>
      <c r="E285" s="160" t="s">
        <v>928</v>
      </c>
      <c r="F28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134</v>
      </c>
      <c r="G285" s="55">
        <v>1.25</v>
      </c>
      <c r="H285" s="55">
        <v>43468</v>
      </c>
      <c r="I285" s="55">
        <f>IF(Ejecucion45[[#This Row],[PC]]="","",_xlfn.XLOOKUP(Ejecucion45[[#This Row],[PC]],Ejecucion[PC],Ejecucion[Grupo],"NE",0))</f>
        <v>1</v>
      </c>
      <c r="J285" s="55">
        <f>IF(Ejecucion45[[#This Row],[PC]]="","",COUNTIF(Ejecucion4[Codigo],Ejecucion45[[#This Row],[PC]]))</f>
        <v>1</v>
      </c>
    </row>
    <row r="286" spans="1:11" ht="28.8" customHeight="1">
      <c r="A286" s="30">
        <f>ROW() - ROW(Ejecucion45[[#Headers],[Correlativo]])</f>
        <v>282</v>
      </c>
      <c r="B286" s="30" t="s">
        <v>413</v>
      </c>
      <c r="C286" s="84" t="str">
        <f>IF(B286="","",HYPERLINK("#"&amp;"Registro!B"&amp;MATCH(B286,Registro!$B$8:$B$997,0)+7,"Ubicar en registro"))</f>
        <v>Ubicar en registro</v>
      </c>
      <c r="D286" s="55" t="str">
        <f>IF(Ejecucion45[[#This Row],[No. Solicitud]]="","",_xlfn.XLOOKUP(Ejecucion45[[#This Row],[No. Solicitud]],Registro!$B$8:$B$997,Registro!$H$8:$H$997,"Sin Dato",0))</f>
        <v>Curso 103</v>
      </c>
      <c r="E286" s="160" t="s">
        <v>929</v>
      </c>
      <c r="F28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135</v>
      </c>
      <c r="G286" s="55">
        <v>8</v>
      </c>
      <c r="H286" s="81">
        <v>43516</v>
      </c>
      <c r="I286" s="55">
        <f>IF(Ejecucion45[[#This Row],[PC]]="","",_xlfn.XLOOKUP(Ejecucion45[[#This Row],[PC]],Ejecucion[PC],Ejecucion[Grupo],"NE",0))</f>
        <v>1</v>
      </c>
      <c r="J286" s="55">
        <f>IF(Ejecucion45[[#This Row],[PC]]="","",COUNTIF(Ejecucion4[Codigo],Ejecucion45[[#This Row],[PC]]))</f>
        <v>4</v>
      </c>
    </row>
    <row r="287" spans="1:11" ht="28.8" customHeight="1">
      <c r="A287" s="30">
        <f>ROW() - ROW(Ejecucion45[[#Headers],[Correlativo]])</f>
        <v>283</v>
      </c>
      <c r="B287" s="30" t="s">
        <v>413</v>
      </c>
      <c r="C287" s="84" t="str">
        <f>IF(B287="","",HYPERLINK("#"&amp;"Registro!B"&amp;MATCH(B287,Registro!$B$8:$B$997,0)+7,"Ubicar en registro"))</f>
        <v>Ubicar en registro</v>
      </c>
      <c r="D287" s="55" t="str">
        <f>IF(Ejecucion45[[#This Row],[No. Solicitud]]="","",_xlfn.XLOOKUP(Ejecucion45[[#This Row],[No. Solicitud]],Registro!$B$8:$B$997,Registro!$H$8:$H$997,"Sin Dato",0))</f>
        <v>Curso 103</v>
      </c>
      <c r="E287" s="160" t="s">
        <v>930</v>
      </c>
      <c r="F28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136</v>
      </c>
      <c r="G287" s="55">
        <v>8</v>
      </c>
      <c r="H287" s="81">
        <v>43532</v>
      </c>
      <c r="I287" s="55">
        <f>IF(Ejecucion45[[#This Row],[PC]]="","",_xlfn.XLOOKUP(Ejecucion45[[#This Row],[PC]],Ejecucion[PC],Ejecucion[Grupo],"NE",0))</f>
        <v>2</v>
      </c>
      <c r="J287" s="55">
        <f>IF(Ejecucion45[[#This Row],[PC]]="","",COUNTIF(Ejecucion4[Codigo],Ejecucion45[[#This Row],[PC]]))</f>
        <v>4</v>
      </c>
    </row>
    <row r="288" spans="1:11" ht="28.8" customHeight="1">
      <c r="A288" s="30">
        <f>ROW() - ROW(Ejecucion45[[#Headers],[Correlativo]])</f>
        <v>284</v>
      </c>
      <c r="B288" s="30" t="s">
        <v>417</v>
      </c>
      <c r="C288" s="84" t="str">
        <f>IF(B288="","",HYPERLINK("#"&amp;"Registro!B"&amp;MATCH(B288,Registro!$B$8:$B$997,0)+7,"Ubicar en registro"))</f>
        <v>Ubicar en registro</v>
      </c>
      <c r="D288" s="55" t="str">
        <f>IF(Ejecucion45[[#This Row],[No. Solicitud]]="","",_xlfn.XLOOKUP(Ejecucion45[[#This Row],[No. Solicitud]],Registro!$B$8:$B$997,Registro!$H$8:$H$997,"Sin Dato",0))</f>
        <v>Curso 104</v>
      </c>
      <c r="E288" s="160" t="s">
        <v>931</v>
      </c>
      <c r="F28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137</v>
      </c>
      <c r="G288" s="55">
        <v>1.25</v>
      </c>
      <c r="H288" s="55">
        <v>43445</v>
      </c>
      <c r="I288" s="55">
        <f>IF(Ejecucion45[[#This Row],[PC]]="","",_xlfn.XLOOKUP(Ejecucion45[[#This Row],[PC]],Ejecucion[PC],Ejecucion[Grupo],"NE",0))</f>
        <v>1</v>
      </c>
      <c r="J288" s="55">
        <f>IF(Ejecucion45[[#This Row],[PC]]="","",COUNTIF(Ejecucion4[Codigo],Ejecucion45[[#This Row],[PC]]))</f>
        <v>1</v>
      </c>
    </row>
    <row r="289" spans="1:10" ht="28.8" customHeight="1">
      <c r="A289" s="30">
        <f>ROW() - ROW(Ejecucion45[[#Headers],[Correlativo]])</f>
        <v>285</v>
      </c>
      <c r="B289" s="30" t="s">
        <v>421</v>
      </c>
      <c r="C289" s="84" t="str">
        <f>IF(B289="","",HYPERLINK("#"&amp;"Registro!B"&amp;MATCH(B289,Registro!$B$8:$B$997,0)+7,"Ubicar en registro"))</f>
        <v>Ubicar en registro</v>
      </c>
      <c r="D289" s="55" t="str">
        <f>IF(Ejecucion45[[#This Row],[No. Solicitud]]="","",_xlfn.XLOOKUP(Ejecucion45[[#This Row],[No. Solicitud]],Registro!$B$8:$B$997,Registro!$H$8:$H$997,"Sin Dato",0))</f>
        <v>Curso 105</v>
      </c>
      <c r="E289" s="160" t="s">
        <v>932</v>
      </c>
      <c r="F28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138</v>
      </c>
      <c r="G289" s="55">
        <v>8</v>
      </c>
      <c r="H289" s="81">
        <v>43387</v>
      </c>
      <c r="I289" s="55">
        <f>IF(Ejecucion45[[#This Row],[PC]]="","",_xlfn.XLOOKUP(Ejecucion45[[#This Row],[PC]],Ejecucion[PC],Ejecucion[Grupo],"NE",0))</f>
        <v>1</v>
      </c>
      <c r="J289" s="55">
        <f>IF(Ejecucion45[[#This Row],[PC]]="","",COUNTIF(Ejecucion4[Codigo],Ejecucion45[[#This Row],[PC]]))</f>
        <v>1</v>
      </c>
    </row>
    <row r="290" spans="1:10" ht="28.8" customHeight="1">
      <c r="A290" s="30">
        <f>ROW() - ROW(Ejecucion45[[#Headers],[Correlativo]])</f>
        <v>286</v>
      </c>
      <c r="B290" s="30" t="s">
        <v>421</v>
      </c>
      <c r="C290" s="84" t="str">
        <f>IF(B290="","",HYPERLINK("#"&amp;"Registro!B"&amp;MATCH(B290,Registro!$B$8:$B$997,0)+7,"Ubicar en registro"))</f>
        <v>Ubicar en registro</v>
      </c>
      <c r="D290" s="55" t="str">
        <f>IF(Ejecucion45[[#This Row],[No. Solicitud]]="","",_xlfn.XLOOKUP(Ejecucion45[[#This Row],[No. Solicitud]],Registro!$B$8:$B$997,Registro!$H$8:$H$997,"Sin Dato",0))</f>
        <v>Curso 105</v>
      </c>
      <c r="E290" s="160" t="s">
        <v>933</v>
      </c>
      <c r="F29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139</v>
      </c>
      <c r="G290" s="55">
        <v>8</v>
      </c>
      <c r="H290" s="81">
        <v>43388</v>
      </c>
      <c r="I290" s="55">
        <f>IF(Ejecucion45[[#This Row],[PC]]="","",_xlfn.XLOOKUP(Ejecucion45[[#This Row],[PC]],Ejecucion[PC],Ejecucion[Grupo],"NE",0))</f>
        <v>2</v>
      </c>
      <c r="J290" s="55">
        <f>IF(Ejecucion45[[#This Row],[PC]]="","",COUNTIF(Ejecucion4[Codigo],Ejecucion45[[#This Row],[PC]]))</f>
        <v>1</v>
      </c>
    </row>
    <row r="291" spans="1:10" ht="28.8" customHeight="1">
      <c r="A291" s="30">
        <f>ROW() - ROW(Ejecucion45[[#Headers],[Correlativo]])</f>
        <v>287</v>
      </c>
      <c r="B291" s="30" t="s">
        <v>125</v>
      </c>
      <c r="C291" s="84" t="str">
        <f>IF(B291="","",HYPERLINK("#"&amp;"Registro!B"&amp;MATCH(B291,Registro!$B$8:$B$997,0)+7,"Ubicar en registro"))</f>
        <v>Ubicar en registro</v>
      </c>
      <c r="D291" s="55" t="str">
        <f>IF(Ejecucion45[[#This Row],[No. Solicitud]]="","",_xlfn.XLOOKUP(Ejecucion45[[#This Row],[No. Solicitud]],Registro!$B$8:$B$997,Registro!$H$8:$H$997,"Sin Dato",0))</f>
        <v>Curso 6</v>
      </c>
      <c r="E291" s="160" t="s">
        <v>934</v>
      </c>
      <c r="F29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140</v>
      </c>
      <c r="G291" s="55">
        <v>12</v>
      </c>
      <c r="H291" s="55">
        <v>43968</v>
      </c>
      <c r="I291" s="55">
        <f>IF(Ejecucion45[[#This Row],[PC]]="","",_xlfn.XLOOKUP(Ejecucion45[[#This Row],[PC]],Ejecucion[PC],Ejecucion[Grupo],"NE",0))</f>
        <v>1</v>
      </c>
      <c r="J291" s="55">
        <f>IF(Ejecucion45[[#This Row],[PC]]="","",COUNTIF(Ejecucion4[Codigo],Ejecucion45[[#This Row],[PC]]))</f>
        <v>3</v>
      </c>
    </row>
    <row r="292" spans="1:10" ht="28.8" customHeight="1">
      <c r="A292" s="30">
        <f>ROW() - ROW(Ejecucion45[[#Headers],[Correlativo]])</f>
        <v>288</v>
      </c>
      <c r="B292" s="30" t="s">
        <v>125</v>
      </c>
      <c r="C292" s="84" t="str">
        <f>IF(B292="","",HYPERLINK("#"&amp;"Registro!B"&amp;MATCH(B292,Registro!$B$8:$B$997,0)+7,"Ubicar en registro"))</f>
        <v>Ubicar en registro</v>
      </c>
      <c r="D292" s="55" t="str">
        <f>IF(Ejecucion45[[#This Row],[No. Solicitud]]="","",_xlfn.XLOOKUP(Ejecucion45[[#This Row],[No. Solicitud]],Registro!$B$8:$B$997,Registro!$H$8:$H$997,"Sin Dato",0))</f>
        <v>Curso 6</v>
      </c>
      <c r="E292" s="160" t="s">
        <v>935</v>
      </c>
      <c r="F29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141</v>
      </c>
      <c r="G292" s="55">
        <v>12</v>
      </c>
      <c r="I292" s="55" t="str">
        <f>IF(Ejecucion45[[#This Row],[PC]]="","",_xlfn.XLOOKUP(Ejecucion45[[#This Row],[PC]],Ejecucion[PC],Ejecucion[Grupo],"NE",0))</f>
        <v/>
      </c>
      <c r="J292" s="55" t="str">
        <f>IF(Ejecucion45[[#This Row],[PC]]="","",COUNTIF(Ejecucion4[Codigo],Ejecucion45[[#This Row],[PC]]))</f>
        <v/>
      </c>
    </row>
    <row r="293" spans="1:10" ht="28.8" customHeight="1">
      <c r="A293" s="30">
        <f>ROW() - ROW(Ejecucion45[[#Headers],[Correlativo]])</f>
        <v>289</v>
      </c>
      <c r="B293" s="30" t="s">
        <v>327</v>
      </c>
      <c r="C293" s="84" t="str">
        <f>IF(B293="","",HYPERLINK("#"&amp;"Registro!B"&amp;MATCH(B293,Registro!$B$8:$B$997,0)+7,"Ubicar en registro"))</f>
        <v>Ubicar en registro</v>
      </c>
      <c r="D293" s="55" t="str">
        <f>IF(Ejecucion45[[#This Row],[No. Solicitud]]="","",_xlfn.XLOOKUP(Ejecucion45[[#This Row],[No. Solicitud]],Registro!$B$8:$B$997,Registro!$H$8:$H$997,"Sin Dato",0))</f>
        <v>Curso 75</v>
      </c>
      <c r="E293" s="160" t="s">
        <v>936</v>
      </c>
      <c r="F29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142</v>
      </c>
      <c r="I293" s="55" t="str">
        <f>IF(Ejecucion45[[#This Row],[PC]]="","",_xlfn.XLOOKUP(Ejecucion45[[#This Row],[PC]],Ejecucion[PC],Ejecucion[Grupo],"NE",0))</f>
        <v/>
      </c>
      <c r="J293" s="55" t="str">
        <f>IF(Ejecucion45[[#This Row],[PC]]="","",COUNTIF(Ejecucion4[Codigo],Ejecucion45[[#This Row],[PC]]))</f>
        <v/>
      </c>
    </row>
    <row r="294" spans="1:10" ht="28.8" customHeight="1">
      <c r="A294" s="30">
        <f>ROW() - ROW(Ejecucion45[[#Headers],[Correlativo]])</f>
        <v>290</v>
      </c>
      <c r="B294" s="30" t="s">
        <v>327</v>
      </c>
      <c r="C294" s="84" t="str">
        <f>IF(B294="","",HYPERLINK("#"&amp;"Registro!B"&amp;MATCH(B294,Registro!$B$8:$B$997,0)+7,"Ubicar en registro"))</f>
        <v>Ubicar en registro</v>
      </c>
      <c r="D294" s="55" t="str">
        <f>IF(Ejecucion45[[#This Row],[No. Solicitud]]="","",_xlfn.XLOOKUP(Ejecucion45[[#This Row],[No. Solicitud]],Registro!$B$8:$B$997,Registro!$H$8:$H$997,"Sin Dato",0))</f>
        <v>Curso 75</v>
      </c>
      <c r="E294" s="160" t="s">
        <v>937</v>
      </c>
      <c r="F29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143</v>
      </c>
      <c r="I294" s="55" t="str">
        <f>IF(Ejecucion45[[#This Row],[PC]]="","",_xlfn.XLOOKUP(Ejecucion45[[#This Row],[PC]],Ejecucion[PC],Ejecucion[Grupo],"NE",0))</f>
        <v/>
      </c>
      <c r="J294" s="55" t="str">
        <f>IF(Ejecucion45[[#This Row],[PC]]="","",COUNTIF(Ejecucion4[Codigo],Ejecucion45[[#This Row],[PC]]))</f>
        <v/>
      </c>
    </row>
    <row r="295" spans="1:10" ht="43.2" customHeight="1">
      <c r="A295" s="30">
        <f>ROW() - ROW(Ejecucion45[[#Headers],[Correlativo]])</f>
        <v>291</v>
      </c>
      <c r="B295" s="30" t="s">
        <v>340</v>
      </c>
      <c r="C295" s="84" t="str">
        <f>IF(B295="","",HYPERLINK("#"&amp;"Registro!B"&amp;MATCH(B295,Registro!$B$8:$B$997,0)+7,"Ubicar en registro"))</f>
        <v>Ubicar en registro</v>
      </c>
      <c r="D295" s="55" t="str">
        <f>IF(Ejecucion45[[#This Row],[No. Solicitud]]="","",_xlfn.XLOOKUP(Ejecucion45[[#This Row],[No. Solicitud]],Registro!$B$8:$B$997,Registro!$H$8:$H$997,"Sin Dato",0))</f>
        <v>Curso 78</v>
      </c>
      <c r="E295" s="160" t="s">
        <v>938</v>
      </c>
      <c r="F29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144</v>
      </c>
      <c r="G295" s="55">
        <v>20</v>
      </c>
      <c r="H295" s="81">
        <v>44106</v>
      </c>
      <c r="I295" s="55">
        <f>IF(Ejecucion45[[#This Row],[PC]]="","",_xlfn.XLOOKUP(Ejecucion45[[#This Row],[PC]],Ejecucion[PC],Ejecucion[Grupo],"NE",0))</f>
        <v>1</v>
      </c>
      <c r="J295" s="55">
        <f>IF(Ejecucion45[[#This Row],[PC]]="","",COUNTIF(Ejecucion4[Codigo],Ejecucion45[[#This Row],[PC]]))</f>
        <v>3</v>
      </c>
    </row>
    <row r="296" spans="1:10" ht="43.2" customHeight="1">
      <c r="A296" s="30">
        <f>ROW() - ROW(Ejecucion45[[#Headers],[Correlativo]])</f>
        <v>292</v>
      </c>
      <c r="B296" s="30" t="s">
        <v>340</v>
      </c>
      <c r="C296" s="84" t="str">
        <f>IF(B296="","",HYPERLINK("#"&amp;"Registro!B"&amp;MATCH(B296,Registro!$B$8:$B$997,0)+7,"Ubicar en registro"))</f>
        <v>Ubicar en registro</v>
      </c>
      <c r="D296" s="55" t="str">
        <f>IF(Ejecucion45[[#This Row],[No. Solicitud]]="","",_xlfn.XLOOKUP(Ejecucion45[[#This Row],[No. Solicitud]],Registro!$B$8:$B$997,Registro!$H$8:$H$997,"Sin Dato",0))</f>
        <v>Curso 78</v>
      </c>
      <c r="E296" s="160" t="s">
        <v>939</v>
      </c>
      <c r="F29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145</v>
      </c>
      <c r="G296" s="55">
        <v>20</v>
      </c>
      <c r="H296" s="55">
        <v>44012</v>
      </c>
      <c r="I296" s="55">
        <f>IF(Ejecucion45[[#This Row],[PC]]="","",_xlfn.XLOOKUP(Ejecucion45[[#This Row],[PC]],Ejecucion[PC],Ejecucion[Grupo],"NE",0))</f>
        <v>2</v>
      </c>
      <c r="J296" s="55">
        <f>IF(Ejecucion45[[#This Row],[PC]]="","",COUNTIF(Ejecucion4[Codigo],Ejecucion45[[#This Row],[PC]]))</f>
        <v>4</v>
      </c>
    </row>
    <row r="297" spans="1:10" ht="43.2" customHeight="1">
      <c r="A297" s="30">
        <f>ROW() - ROW(Ejecucion45[[#Headers],[Correlativo]])</f>
        <v>293</v>
      </c>
      <c r="B297" s="30" t="s">
        <v>340</v>
      </c>
      <c r="C297" s="84" t="str">
        <f>IF(B297="","",HYPERLINK("#"&amp;"Registro!B"&amp;MATCH(B297,Registro!$B$8:$B$997,0)+7,"Ubicar en registro"))</f>
        <v>Ubicar en registro</v>
      </c>
      <c r="D297" s="55" t="str">
        <f>IF(Ejecucion45[[#This Row],[No. Solicitud]]="","",_xlfn.XLOOKUP(Ejecucion45[[#This Row],[No. Solicitud]],Registro!$B$8:$B$997,Registro!$H$8:$H$997,"Sin Dato",0))</f>
        <v>Curso 78</v>
      </c>
      <c r="E297" s="160" t="s">
        <v>940</v>
      </c>
      <c r="F29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146</v>
      </c>
      <c r="G297" s="55">
        <v>20</v>
      </c>
      <c r="I297" s="55" t="str">
        <f>IF(Ejecucion45[[#This Row],[PC]]="","",_xlfn.XLOOKUP(Ejecucion45[[#This Row],[PC]],Ejecucion[PC],Ejecucion[Grupo],"NE",0))</f>
        <v/>
      </c>
      <c r="J297" s="55" t="str">
        <f>IF(Ejecucion45[[#This Row],[PC]]="","",COUNTIF(Ejecucion4[Codigo],Ejecucion45[[#This Row],[PC]]))</f>
        <v/>
      </c>
    </row>
    <row r="298" spans="1:10" ht="28.8" customHeight="1">
      <c r="A298" s="30">
        <f>ROW() - ROW(Ejecucion45[[#Headers],[Correlativo]])</f>
        <v>294</v>
      </c>
      <c r="B298" s="30" t="s">
        <v>159</v>
      </c>
      <c r="C298" s="84" t="str">
        <f>IF(B298="","",HYPERLINK("#"&amp;"Registro!B"&amp;MATCH(B298,Registro!$B$8:$B$997,0)+7,"Ubicar en registro"))</f>
        <v>Ubicar en registro</v>
      </c>
      <c r="D298" s="55" t="str">
        <f>IF(Ejecucion45[[#This Row],[No. Solicitud]]="","",_xlfn.XLOOKUP(Ejecucion45[[#This Row],[No. Solicitud]],Registro!$B$8:$B$997,Registro!$H$8:$H$997,"Sin Dato",0))</f>
        <v>Curso 16</v>
      </c>
      <c r="E298" s="160" t="s">
        <v>941</v>
      </c>
      <c r="F29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147</v>
      </c>
      <c r="G298" s="55">
        <v>8</v>
      </c>
      <c r="H298" s="55">
        <v>43824</v>
      </c>
      <c r="I298" s="55">
        <f>IF(Ejecucion45[[#This Row],[PC]]="","",_xlfn.XLOOKUP(Ejecucion45[[#This Row],[PC]],Ejecucion[PC],Ejecucion[Grupo],"NE",0))</f>
        <v>1</v>
      </c>
      <c r="J298" s="55">
        <f>IF(Ejecucion45[[#This Row],[PC]]="","",COUNTIF(Ejecucion4[Codigo],Ejecucion45[[#This Row],[PC]]))</f>
        <v>2</v>
      </c>
    </row>
    <row r="299" spans="1:10" ht="28.8" customHeight="1">
      <c r="A299" s="30">
        <f>ROW() - ROW(Ejecucion45[[#Headers],[Correlativo]])</f>
        <v>295</v>
      </c>
      <c r="B299" s="30" t="s">
        <v>159</v>
      </c>
      <c r="C299" s="84" t="str">
        <f>IF(B299="","",HYPERLINK("#"&amp;"Registro!B"&amp;MATCH(B299,Registro!$B$8:$B$997,0)+7,"Ubicar en registro"))</f>
        <v>Ubicar en registro</v>
      </c>
      <c r="D299" s="55" t="str">
        <f>IF(Ejecucion45[[#This Row],[No. Solicitud]]="","",_xlfn.XLOOKUP(Ejecucion45[[#This Row],[No. Solicitud]],Registro!$B$8:$B$997,Registro!$H$8:$H$997,"Sin Dato",0))</f>
        <v>Curso 16</v>
      </c>
      <c r="E299" s="160" t="s">
        <v>942</v>
      </c>
      <c r="F29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148</v>
      </c>
      <c r="G299" s="55">
        <v>8</v>
      </c>
      <c r="I299" s="55" t="str">
        <f>IF(Ejecucion45[[#This Row],[PC]]="","",_xlfn.XLOOKUP(Ejecucion45[[#This Row],[PC]],Ejecucion[PC],Ejecucion[Grupo],"NE",0))</f>
        <v/>
      </c>
      <c r="J299" s="55" t="str">
        <f>IF(Ejecucion45[[#This Row],[PC]]="","",COUNTIF(Ejecucion4[Codigo],Ejecucion45[[#This Row],[PC]]))</f>
        <v/>
      </c>
    </row>
    <row r="300" spans="1:10" ht="28.8" customHeight="1">
      <c r="A300" s="30">
        <f>ROW() - ROW(Ejecucion45[[#Headers],[Correlativo]])</f>
        <v>296</v>
      </c>
      <c r="B300" s="127" t="s">
        <v>159</v>
      </c>
      <c r="C300" s="84" t="str">
        <f>IF(B300="","",HYPERLINK("#"&amp;"Registro!B"&amp;MATCH(B300,Registro!$B$8:$B$997,0)+7,"Ubicar en registro"))</f>
        <v>Ubicar en registro</v>
      </c>
      <c r="D300" s="55" t="str">
        <f>IF(Ejecucion45[[#This Row],[No. Solicitud]]="","",_xlfn.XLOOKUP(Ejecucion45[[#This Row],[No. Solicitud]],Registro!$B$8:$B$997,Registro!$H$8:$H$997,"Sin Dato",0))</f>
        <v>Curso 16</v>
      </c>
      <c r="E300" s="160" t="s">
        <v>943</v>
      </c>
      <c r="F30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NE</v>
      </c>
      <c r="G300" s="55">
        <v>8</v>
      </c>
      <c r="H300" s="55">
        <v>43828</v>
      </c>
      <c r="I300" s="55">
        <f>IF(Ejecucion45[[#This Row],[PC]]="","",_xlfn.XLOOKUP(Ejecucion45[[#This Row],[PC]],Ejecucion[PC],Ejecucion[Grupo],"NE",0))</f>
        <v>3</v>
      </c>
      <c r="J300" s="55">
        <f>IF(Ejecucion45[[#This Row],[PC]]="","",COUNTIF(Ejecucion4[Codigo],Ejecucion45[[#This Row],[PC]]))</f>
        <v>2</v>
      </c>
    </row>
    <row r="301" spans="1:10" ht="28.8" customHeight="1">
      <c r="A301" s="30">
        <f>ROW() - ROW(Ejecucion45[[#Headers],[Correlativo]])</f>
        <v>297</v>
      </c>
      <c r="B301" s="30" t="s">
        <v>228</v>
      </c>
      <c r="C301" s="84" t="str">
        <f>IF(B301="","",HYPERLINK("#"&amp;"Registro!B"&amp;MATCH(B301,Registro!$B$8:$B$997,0)+7,"Ubicar en registro"))</f>
        <v>Ubicar en registro</v>
      </c>
      <c r="D301" s="55" t="str">
        <f>IF(Ejecucion45[[#This Row],[No. Solicitud]]="","",_xlfn.XLOOKUP(Ejecucion45[[#This Row],[No. Solicitud]],Registro!$B$8:$B$997,Registro!$H$8:$H$997,"Sin Dato",0))</f>
        <v>Curso 39</v>
      </c>
      <c r="E301" s="160" t="s">
        <v>944</v>
      </c>
      <c r="F30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NE</v>
      </c>
      <c r="G301" s="55">
        <v>8</v>
      </c>
      <c r="I301" s="55" t="str">
        <f>IF(Ejecucion45[[#This Row],[PC]]="","",_xlfn.XLOOKUP(Ejecucion45[[#This Row],[PC]],Ejecucion[PC],Ejecucion[Grupo],"NE",0))</f>
        <v/>
      </c>
      <c r="J301" s="55" t="str">
        <f>IF(Ejecucion45[[#This Row],[PC]]="","",COUNTIF(Ejecucion4[Codigo],Ejecucion45[[#This Row],[PC]]))</f>
        <v/>
      </c>
    </row>
    <row r="302" spans="1:10" ht="28.8" customHeight="1">
      <c r="A302" s="30">
        <f>ROW() - ROW(Ejecucion45[[#Headers],[Correlativo]])</f>
        <v>298</v>
      </c>
      <c r="B302" s="30" t="s">
        <v>228</v>
      </c>
      <c r="C302" s="84" t="str">
        <f>IF(B302="","",HYPERLINK("#"&amp;"Registro!B"&amp;MATCH(B302,Registro!$B$8:$B$997,0)+7,"Ubicar en registro"))</f>
        <v>Ubicar en registro</v>
      </c>
      <c r="D302" s="55" t="str">
        <f>IF(Ejecucion45[[#This Row],[No. Solicitud]]="","",_xlfn.XLOOKUP(Ejecucion45[[#This Row],[No. Solicitud]],Registro!$B$8:$B$997,Registro!$H$8:$H$997,"Sin Dato",0))</f>
        <v>Curso 39</v>
      </c>
      <c r="E302" s="160" t="s">
        <v>945</v>
      </c>
      <c r="F30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</v>
      </c>
      <c r="G302" s="55">
        <v>8</v>
      </c>
      <c r="I302" s="55" t="str">
        <f>IF(Ejecucion45[[#This Row],[PC]]="","",_xlfn.XLOOKUP(Ejecucion45[[#This Row],[PC]],Ejecucion[PC],Ejecucion[Grupo],"NE",0))</f>
        <v/>
      </c>
      <c r="J302" s="55" t="str">
        <f>IF(Ejecucion45[[#This Row],[PC]]="","",COUNTIF(Ejecucion4[Codigo],Ejecucion45[[#This Row],[PC]]))</f>
        <v/>
      </c>
    </row>
    <row r="303" spans="1:10" ht="28.8" customHeight="1">
      <c r="A303" s="30">
        <f>ROW() - ROW(Ejecucion45[[#Headers],[Correlativo]])</f>
        <v>299</v>
      </c>
      <c r="B303" s="30" t="s">
        <v>228</v>
      </c>
      <c r="C303" s="84" t="str">
        <f>IF(B303="","",HYPERLINK("#"&amp;"Registro!B"&amp;MATCH(B303,Registro!$B$8:$B$997,0)+7,"Ubicar en registro"))</f>
        <v>Ubicar en registro</v>
      </c>
      <c r="D303" s="55" t="str">
        <f>IF(Ejecucion45[[#This Row],[No. Solicitud]]="","",_xlfn.XLOOKUP(Ejecucion45[[#This Row],[No. Solicitud]],Registro!$B$8:$B$997,Registro!$H$8:$H$997,"Sin Dato",0))</f>
        <v>Curso 39</v>
      </c>
      <c r="E303" s="160" t="s">
        <v>946</v>
      </c>
      <c r="F30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</v>
      </c>
      <c r="G303" s="55">
        <v>8</v>
      </c>
      <c r="H303" s="81">
        <v>44153</v>
      </c>
      <c r="I303" s="55">
        <f>IF(Ejecucion45[[#This Row],[PC]]="","",_xlfn.XLOOKUP(Ejecucion45[[#This Row],[PC]],Ejecucion[PC],Ejecucion[Grupo],"NE",0))</f>
        <v>3</v>
      </c>
      <c r="J303" s="55">
        <f>IF(Ejecucion45[[#This Row],[PC]]="","",COUNTIF(Ejecucion4[Codigo],Ejecucion45[[#This Row],[PC]]))</f>
        <v>1</v>
      </c>
    </row>
    <row r="304" spans="1:10" ht="28.8" customHeight="1">
      <c r="A304" s="30">
        <f>ROW() - ROW(Ejecucion45[[#Headers],[Correlativo]])</f>
        <v>300</v>
      </c>
      <c r="B304" s="30" t="s">
        <v>228</v>
      </c>
      <c r="C304" s="84" t="str">
        <f>IF(B304="","",HYPERLINK("#"&amp;"Registro!B"&amp;MATCH(B304,Registro!$B$8:$B$997,0)+7,"Ubicar en registro"))</f>
        <v>Ubicar en registro</v>
      </c>
      <c r="D304" s="55" t="str">
        <f>IF(Ejecucion45[[#This Row],[No. Solicitud]]="","",_xlfn.XLOOKUP(Ejecucion45[[#This Row],[No. Solicitud]],Registro!$B$8:$B$997,Registro!$H$8:$H$997,"Sin Dato",0))</f>
        <v>Curso 39</v>
      </c>
      <c r="E304" s="160" t="s">
        <v>947</v>
      </c>
      <c r="F30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</v>
      </c>
      <c r="G304" s="55">
        <v>8</v>
      </c>
      <c r="H304" s="81">
        <v>44143</v>
      </c>
      <c r="I304" s="55">
        <f>IF(Ejecucion45[[#This Row],[PC]]="","",_xlfn.XLOOKUP(Ejecucion45[[#This Row],[PC]],Ejecucion[PC],Ejecucion[Grupo],"NE",0))</f>
        <v>4</v>
      </c>
      <c r="J304" s="55">
        <f>IF(Ejecucion45[[#This Row],[PC]]="","",COUNTIF(Ejecucion4[Codigo],Ejecucion45[[#This Row],[PC]]))</f>
        <v>1</v>
      </c>
    </row>
    <row r="305" spans="1:10" ht="28.8" customHeight="1">
      <c r="A305" s="30">
        <f>ROW() - ROW(Ejecucion45[[#Headers],[Correlativo]])</f>
        <v>301</v>
      </c>
      <c r="B305" s="30" t="s">
        <v>228</v>
      </c>
      <c r="C305" s="84" t="str">
        <f>IF(B305="","",HYPERLINK("#"&amp;"Registro!B"&amp;MATCH(B305,Registro!$B$8:$B$997,0)+7,"Ubicar en registro"))</f>
        <v>Ubicar en registro</v>
      </c>
      <c r="D305" s="55" t="str">
        <f>IF(Ejecucion45[[#This Row],[No. Solicitud]]="","",_xlfn.XLOOKUP(Ejecucion45[[#This Row],[No. Solicitud]],Registro!$B$8:$B$997,Registro!$H$8:$H$997,"Sin Dato",0))</f>
        <v>Curso 39</v>
      </c>
      <c r="E305" s="160" t="s">
        <v>798</v>
      </c>
      <c r="F30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</v>
      </c>
      <c r="G305" s="55">
        <v>8</v>
      </c>
      <c r="H305" s="81">
        <v>44144</v>
      </c>
      <c r="I305" s="55">
        <f>IF(Ejecucion45[[#This Row],[PC]]="","",_xlfn.XLOOKUP(Ejecucion45[[#This Row],[PC]],Ejecucion[PC],Ejecucion[Grupo],"NE",0))</f>
        <v>5</v>
      </c>
      <c r="J305" s="55">
        <f>IF(Ejecucion45[[#This Row],[PC]]="","",COUNTIF(Ejecucion4[Codigo],Ejecucion45[[#This Row],[PC]]))</f>
        <v>1</v>
      </c>
    </row>
    <row r="306" spans="1:10" ht="28.8" customHeight="1">
      <c r="A306" s="30">
        <f>ROW() - ROW(Ejecucion45[[#Headers],[Correlativo]])</f>
        <v>302</v>
      </c>
      <c r="B306" s="30" t="s">
        <v>228</v>
      </c>
      <c r="C306" s="84" t="str">
        <f>IF(B306="","",HYPERLINK("#"&amp;"Registro!B"&amp;MATCH(B306,Registro!$B$8:$B$997,0)+7,"Ubicar en registro"))</f>
        <v>Ubicar en registro</v>
      </c>
      <c r="D306" s="55" t="str">
        <f>IF(Ejecucion45[[#This Row],[No. Solicitud]]="","",_xlfn.XLOOKUP(Ejecucion45[[#This Row],[No. Solicitud]],Registro!$B$8:$B$997,Registro!$H$8:$H$997,"Sin Dato",0))</f>
        <v>Curso 39</v>
      </c>
      <c r="E306" s="160" t="s">
        <v>799</v>
      </c>
      <c r="F30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5</v>
      </c>
      <c r="G306" s="55">
        <v>8</v>
      </c>
      <c r="I306" s="55" t="str">
        <f>IF(Ejecucion45[[#This Row],[PC]]="","",_xlfn.XLOOKUP(Ejecucion45[[#This Row],[PC]],Ejecucion[PC],Ejecucion[Grupo],"NE",0))</f>
        <v/>
      </c>
      <c r="J306" s="55" t="str">
        <f>IF(Ejecucion45[[#This Row],[PC]]="","",COUNTIF(Ejecucion4[Codigo],Ejecucion45[[#This Row],[PC]]))</f>
        <v/>
      </c>
    </row>
    <row r="307" spans="1:10" ht="28.8" customHeight="1">
      <c r="A307" s="30">
        <f>ROW() - ROW(Ejecucion45[[#Headers],[Correlativo]])</f>
        <v>303</v>
      </c>
      <c r="B307" s="30" t="s">
        <v>228</v>
      </c>
      <c r="C307" s="84" t="str">
        <f>IF(B307="","",HYPERLINK("#"&amp;"Registro!B"&amp;MATCH(B307,Registro!$B$8:$B$997,0)+7,"Ubicar en registro"))</f>
        <v>Ubicar en registro</v>
      </c>
      <c r="D307" s="55" t="str">
        <f>IF(Ejecucion45[[#This Row],[No. Solicitud]]="","",_xlfn.XLOOKUP(Ejecucion45[[#This Row],[No. Solicitud]],Registro!$B$8:$B$997,Registro!$H$8:$H$997,"Sin Dato",0))</f>
        <v>Curso 39</v>
      </c>
      <c r="E307" s="160" t="s">
        <v>800</v>
      </c>
      <c r="F30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6</v>
      </c>
      <c r="G307" s="55">
        <v>8</v>
      </c>
      <c r="I307" s="55" t="str">
        <f>IF(Ejecucion45[[#This Row],[PC]]="","",_xlfn.XLOOKUP(Ejecucion45[[#This Row],[PC]],Ejecucion[PC],Ejecucion[Grupo],"NE",0))</f>
        <v/>
      </c>
      <c r="J307" s="55" t="str">
        <f>IF(Ejecucion45[[#This Row],[PC]]="","",COUNTIF(Ejecucion4[Codigo],Ejecucion45[[#This Row],[PC]]))</f>
        <v/>
      </c>
    </row>
    <row r="308" spans="1:10" ht="28.8" customHeight="1">
      <c r="A308" s="30">
        <f>ROW() - ROW(Ejecucion45[[#Headers],[Correlativo]])</f>
        <v>304</v>
      </c>
      <c r="B308" s="30" t="s">
        <v>228</v>
      </c>
      <c r="C308" s="84" t="str">
        <f>IF(B308="","",HYPERLINK("#"&amp;"Registro!B"&amp;MATCH(B308,Registro!$B$8:$B$997,0)+7,"Ubicar en registro"))</f>
        <v>Ubicar en registro</v>
      </c>
      <c r="D308" s="55" t="str">
        <f>IF(Ejecucion45[[#This Row],[No. Solicitud]]="","",_xlfn.XLOOKUP(Ejecucion45[[#This Row],[No. Solicitud]],Registro!$B$8:$B$997,Registro!$H$8:$H$997,"Sin Dato",0))</f>
        <v>Curso 39</v>
      </c>
      <c r="E308" s="160" t="s">
        <v>801</v>
      </c>
      <c r="F30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7</v>
      </c>
      <c r="G308" s="55">
        <v>8</v>
      </c>
      <c r="I308" s="55" t="str">
        <f>IF(Ejecucion45[[#This Row],[PC]]="","",_xlfn.XLOOKUP(Ejecucion45[[#This Row],[PC]],Ejecucion[PC],Ejecucion[Grupo],"NE",0))</f>
        <v/>
      </c>
      <c r="J308" s="55" t="str">
        <f>IF(Ejecucion45[[#This Row],[PC]]="","",COUNTIF(Ejecucion4[Codigo],Ejecucion45[[#This Row],[PC]]))</f>
        <v/>
      </c>
    </row>
    <row r="309" spans="1:10" ht="28.8" customHeight="1">
      <c r="A309" s="30">
        <f>ROW() - ROW(Ejecucion45[[#Headers],[Correlativo]])</f>
        <v>305</v>
      </c>
      <c r="B309" s="30" t="s">
        <v>228</v>
      </c>
      <c r="C309" s="84" t="str">
        <f>IF(B309="","",HYPERLINK("#"&amp;"Registro!B"&amp;MATCH(B309,Registro!$B$8:$B$997,0)+7,"Ubicar en registro"))</f>
        <v>Ubicar en registro</v>
      </c>
      <c r="D309" s="55" t="str">
        <f>IF(Ejecucion45[[#This Row],[No. Solicitud]]="","",_xlfn.XLOOKUP(Ejecucion45[[#This Row],[No. Solicitud]],Registro!$B$8:$B$997,Registro!$H$8:$H$997,"Sin Dato",0))</f>
        <v>Curso 39</v>
      </c>
      <c r="E309" s="160" t="s">
        <v>802</v>
      </c>
      <c r="F30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8</v>
      </c>
      <c r="G309" s="55">
        <v>8</v>
      </c>
      <c r="I309" s="55" t="str">
        <f>IF(Ejecucion45[[#This Row],[PC]]="","",_xlfn.XLOOKUP(Ejecucion45[[#This Row],[PC]],Ejecucion[PC],Ejecucion[Grupo],"NE",0))</f>
        <v/>
      </c>
      <c r="J309" s="55" t="str">
        <f>IF(Ejecucion45[[#This Row],[PC]]="","",COUNTIF(Ejecucion4[Codigo],Ejecucion45[[#This Row],[PC]]))</f>
        <v/>
      </c>
    </row>
    <row r="310" spans="1:10" ht="28.8" customHeight="1">
      <c r="A310" s="30">
        <f>ROW() - ROW(Ejecucion45[[#Headers],[Correlativo]])</f>
        <v>306</v>
      </c>
      <c r="B310" s="30" t="s">
        <v>228</v>
      </c>
      <c r="C310" s="84" t="str">
        <f>IF(B310="","",HYPERLINK("#"&amp;"Registro!B"&amp;MATCH(B310,Registro!$B$8:$B$997,0)+7,"Ubicar en registro"))</f>
        <v>Ubicar en registro</v>
      </c>
      <c r="D310" s="55" t="str">
        <f>IF(Ejecucion45[[#This Row],[No. Solicitud]]="","",_xlfn.XLOOKUP(Ejecucion45[[#This Row],[No. Solicitud]],Registro!$B$8:$B$997,Registro!$H$8:$H$997,"Sin Dato",0))</f>
        <v>Curso 39</v>
      </c>
      <c r="E310" s="160" t="s">
        <v>803</v>
      </c>
      <c r="F31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9</v>
      </c>
      <c r="G310" s="55">
        <v>8</v>
      </c>
      <c r="I310" s="55" t="str">
        <f>IF(Ejecucion45[[#This Row],[PC]]="","",_xlfn.XLOOKUP(Ejecucion45[[#This Row],[PC]],Ejecucion[PC],Ejecucion[Grupo],"NE",0))</f>
        <v/>
      </c>
      <c r="J310" s="55" t="str">
        <f>IF(Ejecucion45[[#This Row],[PC]]="","",COUNTIF(Ejecucion4[Codigo],Ejecucion45[[#This Row],[PC]]))</f>
        <v/>
      </c>
    </row>
    <row r="311" spans="1:10" ht="28.8" customHeight="1">
      <c r="A311" s="30">
        <f>ROW() - ROW(Ejecucion45[[#Headers],[Correlativo]])</f>
        <v>307</v>
      </c>
      <c r="B311" s="30" t="s">
        <v>202</v>
      </c>
      <c r="C311" s="84" t="str">
        <f>IF(B311="","",HYPERLINK("#"&amp;"Registro!B"&amp;MATCH(B311,Registro!$B$8:$B$997,0)+7,"Ubicar en registro"))</f>
        <v>Ubicar en registro</v>
      </c>
      <c r="D311" s="55" t="str">
        <f>IF(Ejecucion45[[#This Row],[No. Solicitud]]="","",_xlfn.XLOOKUP(Ejecucion45[[#This Row],[No. Solicitud]],Registro!$B$8:$B$997,Registro!$H$8:$H$997,"Sin Dato",0))</f>
        <v>Curso 30</v>
      </c>
      <c r="E311" s="160" t="s">
        <v>804</v>
      </c>
      <c r="F31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10</v>
      </c>
      <c r="I311" s="55" t="str">
        <f>IF(Ejecucion45[[#This Row],[PC]]="","",_xlfn.XLOOKUP(Ejecucion45[[#This Row],[PC]],Ejecucion[PC],Ejecucion[Grupo],"NE",0))</f>
        <v/>
      </c>
      <c r="J311" s="55" t="str">
        <f>IF(Ejecucion45[[#This Row],[PC]]="","",COUNTIF(Ejecucion4[Codigo],Ejecucion45[[#This Row],[PC]]))</f>
        <v/>
      </c>
    </row>
    <row r="312" spans="1:10" ht="72" customHeight="1">
      <c r="A312" s="30">
        <f>ROW() - ROW(Ejecucion45[[#Headers],[Correlativo]])</f>
        <v>308</v>
      </c>
      <c r="B312" s="30" t="s">
        <v>445</v>
      </c>
      <c r="C312" s="84" t="str">
        <f>IF(B312="","",HYPERLINK("#"&amp;"Registro!B"&amp;MATCH(B312,Registro!$B$8:$B$997,0)+7,"Ubicar en registro"))</f>
        <v>Ubicar en registro</v>
      </c>
      <c r="D312" s="55" t="str">
        <f>IF(Ejecucion45[[#This Row],[No. Solicitud]]="","",_xlfn.XLOOKUP(Ejecucion45[[#This Row],[No. Solicitud]],Registro!$B$8:$B$997,Registro!$H$8:$H$997,"Sin Dato",0))</f>
        <v>Curso 112</v>
      </c>
      <c r="E312" s="160" t="s">
        <v>805</v>
      </c>
      <c r="F31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11</v>
      </c>
      <c r="I312" s="55" t="str">
        <f>IF(Ejecucion45[[#This Row],[PC]]="","",_xlfn.XLOOKUP(Ejecucion45[[#This Row],[PC]],Ejecucion[PC],Ejecucion[Grupo],"NE",0))</f>
        <v/>
      </c>
      <c r="J312" s="55" t="str">
        <f>IF(Ejecucion45[[#This Row],[PC]]="","",COUNTIF(Ejecucion4[Codigo],Ejecucion45[[#This Row],[PC]]))</f>
        <v/>
      </c>
    </row>
    <row r="313" spans="1:10" ht="72" customHeight="1">
      <c r="A313" s="30">
        <f>ROW() - ROW(Ejecucion45[[#Headers],[Correlativo]])</f>
        <v>309</v>
      </c>
      <c r="B313" s="30" t="s">
        <v>445</v>
      </c>
      <c r="C313" s="84" t="str">
        <f>IF(B313="","",HYPERLINK("#"&amp;"Registro!B"&amp;MATCH(B313,Registro!$B$8:$B$997,0)+7,"Ubicar en registro"))</f>
        <v>Ubicar en registro</v>
      </c>
      <c r="D313" s="55" t="str">
        <f>IF(Ejecucion45[[#This Row],[No. Solicitud]]="","",_xlfn.XLOOKUP(Ejecucion45[[#This Row],[No. Solicitud]],Registro!$B$8:$B$997,Registro!$H$8:$H$997,"Sin Dato",0))</f>
        <v>Curso 112</v>
      </c>
      <c r="E313" s="160" t="s">
        <v>806</v>
      </c>
      <c r="F31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12</v>
      </c>
      <c r="I313" s="55" t="str">
        <f>IF(Ejecucion45[[#This Row],[PC]]="","",_xlfn.XLOOKUP(Ejecucion45[[#This Row],[PC]],Ejecucion[PC],Ejecucion[Grupo],"NE",0))</f>
        <v/>
      </c>
      <c r="J313" s="55" t="str">
        <f>IF(Ejecucion45[[#This Row],[PC]]="","",COUNTIF(Ejecucion4[Codigo],Ejecucion45[[#This Row],[PC]]))</f>
        <v/>
      </c>
    </row>
    <row r="314" spans="1:10" ht="43.2" customHeight="1">
      <c r="A314" s="30">
        <f>ROW() - ROW(Ejecucion45[[#Headers],[Correlativo]])</f>
        <v>310</v>
      </c>
      <c r="B314" s="30" t="s">
        <v>173</v>
      </c>
      <c r="C314" s="211" t="str">
        <f>IF(B314="","",HYPERLINK("#"&amp;"Registro!B"&amp;MATCH(B314,Registro!$B$8:$B$997,0)+7,"Ubicar en registro"))</f>
        <v>Ubicar en registro</v>
      </c>
      <c r="D314" s="55" t="str">
        <f>IF(Ejecucion45[[#This Row],[No. Solicitud]]="","",_xlfn.XLOOKUP(Ejecucion45[[#This Row],[No. Solicitud]],Registro!$B$8:$B$997,Registro!$H$8:$H$997,"Sin Dato",0))</f>
        <v>Curso 21</v>
      </c>
      <c r="E314" s="160" t="s">
        <v>807</v>
      </c>
      <c r="F31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13</v>
      </c>
      <c r="G314" s="55">
        <v>4</v>
      </c>
      <c r="H314" s="55">
        <v>43807</v>
      </c>
      <c r="I314" s="55">
        <f>IF(Ejecucion45[[#This Row],[PC]]="","",_xlfn.XLOOKUP(Ejecucion45[[#This Row],[PC]],Ejecucion[PC],Ejecucion[Grupo],"NE",0))</f>
        <v>1</v>
      </c>
      <c r="J314" s="55">
        <f>IF(Ejecucion45[[#This Row],[PC]]="","",COUNTIF(Ejecucion4[Codigo],Ejecucion45[[#This Row],[PC]]))</f>
        <v>1</v>
      </c>
    </row>
    <row r="315" spans="1:10" ht="43.2" customHeight="1">
      <c r="A315" s="30">
        <f>ROW() - ROW(Ejecucion45[[#Headers],[Correlativo]])</f>
        <v>311</v>
      </c>
      <c r="B315" s="30" t="s">
        <v>173</v>
      </c>
      <c r="C315" s="211" t="str">
        <f>IF(B315="","",HYPERLINK("#"&amp;"Registro!B"&amp;MATCH(B315,Registro!$B$8:$B$997,0)+7,"Ubicar en registro"))</f>
        <v>Ubicar en registro</v>
      </c>
      <c r="D315" s="55" t="str">
        <f>IF(Ejecucion45[[#This Row],[No. Solicitud]]="","",_xlfn.XLOOKUP(Ejecucion45[[#This Row],[No. Solicitud]],Registro!$B$8:$B$997,Registro!$H$8:$H$997,"Sin Dato",0))</f>
        <v>Curso 21</v>
      </c>
      <c r="E315" s="160" t="s">
        <v>808</v>
      </c>
      <c r="F31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14</v>
      </c>
      <c r="G315" s="55">
        <v>4</v>
      </c>
      <c r="H315" s="55">
        <v>43807</v>
      </c>
      <c r="I315" s="55">
        <f>IF(Ejecucion45[[#This Row],[PC]]="","",_xlfn.XLOOKUP(Ejecucion45[[#This Row],[PC]],Ejecucion[PC],Ejecucion[Grupo],"NE",0))</f>
        <v>1</v>
      </c>
      <c r="J315" s="55">
        <f>IF(Ejecucion45[[#This Row],[PC]]="","",COUNTIF(Ejecucion4[Codigo],Ejecucion45[[#This Row],[PC]]))</f>
        <v>1</v>
      </c>
    </row>
    <row r="316" spans="1:10" ht="43.2" customHeight="1">
      <c r="A316" s="30">
        <f>ROW() - ROW(Ejecucion45[[#Headers],[Correlativo]])</f>
        <v>312</v>
      </c>
      <c r="B316" s="30" t="s">
        <v>173</v>
      </c>
      <c r="C316" s="211" t="str">
        <f>IF(B316="","",HYPERLINK("#"&amp;"Registro!B"&amp;MATCH(B316,Registro!$B$8:$B$997,0)+7,"Ubicar en registro"))</f>
        <v>Ubicar en registro</v>
      </c>
      <c r="D316" s="55" t="str">
        <f>IF(Ejecucion45[[#This Row],[No. Solicitud]]="","",_xlfn.XLOOKUP(Ejecucion45[[#This Row],[No. Solicitud]],Registro!$B$8:$B$997,Registro!$H$8:$H$997,"Sin Dato",0))</f>
        <v>Curso 21</v>
      </c>
      <c r="E316" s="160" t="s">
        <v>809</v>
      </c>
      <c r="F31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15</v>
      </c>
      <c r="G316" s="55">
        <v>4</v>
      </c>
      <c r="H316" s="55">
        <v>43807</v>
      </c>
      <c r="I316" s="55">
        <f>IF(Ejecucion45[[#This Row],[PC]]="","",_xlfn.XLOOKUP(Ejecucion45[[#This Row],[PC]],Ejecucion[PC],Ejecucion[Grupo],"NE",0))</f>
        <v>1</v>
      </c>
      <c r="J316" s="55">
        <f>IF(Ejecucion45[[#This Row],[PC]]="","",COUNTIF(Ejecucion4[Codigo],Ejecucion45[[#This Row],[PC]]))</f>
        <v>1</v>
      </c>
    </row>
    <row r="317" spans="1:10" ht="43.2" customHeight="1">
      <c r="A317" s="30">
        <f>ROW() - ROW(Ejecucion45[[#Headers],[Correlativo]])</f>
        <v>313</v>
      </c>
      <c r="B317" s="30" t="s">
        <v>173</v>
      </c>
      <c r="C317" s="211" t="str">
        <f>IF(B317="","",HYPERLINK("#"&amp;"Registro!B"&amp;MATCH(B317,Registro!$B$8:$B$997,0)+7,"Ubicar en registro"))</f>
        <v>Ubicar en registro</v>
      </c>
      <c r="D317" s="55" t="str">
        <f>IF(Ejecucion45[[#This Row],[No. Solicitud]]="","",_xlfn.XLOOKUP(Ejecucion45[[#This Row],[No. Solicitud]],Registro!$B$8:$B$997,Registro!$H$8:$H$997,"Sin Dato",0))</f>
        <v>Curso 21</v>
      </c>
      <c r="E317" s="160" t="s">
        <v>810</v>
      </c>
      <c r="F31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16</v>
      </c>
      <c r="G317" s="55">
        <v>4</v>
      </c>
      <c r="H317" s="55">
        <v>43807</v>
      </c>
      <c r="I317" s="55">
        <f>IF(Ejecucion45[[#This Row],[PC]]="","",_xlfn.XLOOKUP(Ejecucion45[[#This Row],[PC]],Ejecucion[PC],Ejecucion[Grupo],"NE",0))</f>
        <v>1</v>
      </c>
      <c r="J317" s="55">
        <f>IF(Ejecucion45[[#This Row],[PC]]="","",COUNTIF(Ejecucion4[Codigo],Ejecucion45[[#This Row],[PC]]))</f>
        <v>1</v>
      </c>
    </row>
    <row r="318" spans="1:10" ht="28.8" customHeight="1">
      <c r="A318" s="30">
        <f>ROW() - ROW(Ejecucion45[[#Headers],[Correlativo]])</f>
        <v>314</v>
      </c>
      <c r="B318" s="30" t="s">
        <v>348</v>
      </c>
      <c r="C318" s="211" t="str">
        <f>IF(B318="","",HYPERLINK("#"&amp;"Registro!B"&amp;MATCH(B318,Registro!$B$8:$B$997,0)+7,"Ubicar en registro"))</f>
        <v>Ubicar en registro</v>
      </c>
      <c r="D318" s="55" t="str">
        <f>IF(Ejecucion45[[#This Row],[No. Solicitud]]="","",_xlfn.XLOOKUP(Ejecucion45[[#This Row],[No. Solicitud]],Registro!$B$8:$B$997,Registro!$H$8:$H$997,"Sin Dato",0))</f>
        <v>Curso 80</v>
      </c>
      <c r="E318" s="160" t="s">
        <v>811</v>
      </c>
      <c r="F31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17</v>
      </c>
      <c r="G318" s="55">
        <v>20</v>
      </c>
      <c r="H318" s="55">
        <v>44076</v>
      </c>
      <c r="I318" s="55">
        <f>IF(Ejecucion45[[#This Row],[PC]]="","",_xlfn.XLOOKUP(Ejecucion45[[#This Row],[PC]],Ejecucion[PC],Ejecucion[Grupo],"NE",0))</f>
        <v>1</v>
      </c>
      <c r="J318" s="55">
        <f>IF(Ejecucion45[[#This Row],[PC]]="","",COUNTIF(Ejecucion4[Codigo],Ejecucion45[[#This Row],[PC]]))</f>
        <v>5</v>
      </c>
    </row>
    <row r="319" spans="1:10" ht="28.8" customHeight="1">
      <c r="A319" s="30">
        <f>ROW() - ROW(Ejecucion45[[#Headers],[Correlativo]])</f>
        <v>315</v>
      </c>
      <c r="B319" s="30" t="s">
        <v>165</v>
      </c>
      <c r="C319" s="211" t="str">
        <f>IF(B319="","",HYPERLINK("#"&amp;"Registro!B"&amp;MATCH(B319,Registro!$B$8:$B$997,0)+7,"Ubicar en registro"))</f>
        <v>Ubicar en registro</v>
      </c>
      <c r="D319" s="55" t="str">
        <f>IF(Ejecucion45[[#This Row],[No. Solicitud]]="","",_xlfn.XLOOKUP(Ejecucion45[[#This Row],[No. Solicitud]],Registro!$B$8:$B$997,Registro!$H$8:$H$997,"Sin Dato",0))</f>
        <v>Curso 18</v>
      </c>
      <c r="E319" s="160" t="s">
        <v>812</v>
      </c>
      <c r="F31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18</v>
      </c>
      <c r="G319" s="55">
        <v>16</v>
      </c>
      <c r="H319" s="55">
        <v>44012</v>
      </c>
      <c r="I319" s="55">
        <f>IF(Ejecucion45[[#This Row],[PC]]="","",_xlfn.XLOOKUP(Ejecucion45[[#This Row],[PC]],Ejecucion[PC],Ejecucion[Grupo],"NE",0))</f>
        <v>2</v>
      </c>
      <c r="J319" s="55">
        <f>IF(Ejecucion45[[#This Row],[PC]]="","",COUNTIF(Ejecucion4[Codigo],Ejecucion45[[#This Row],[PC]]))</f>
        <v>4</v>
      </c>
    </row>
    <row r="320" spans="1:10" ht="28.8" customHeight="1">
      <c r="A320" s="30">
        <f>ROW() - ROW(Ejecucion45[[#Headers],[Correlativo]])</f>
        <v>316</v>
      </c>
      <c r="B320" s="30" t="s">
        <v>447</v>
      </c>
      <c r="C320" s="211" t="str">
        <f>IF(B320="","",HYPERLINK("#"&amp;"Registro!B"&amp;MATCH(B320,Registro!$B$8:$B$997,0)+7,"Ubicar en registro"))</f>
        <v>Ubicar en registro</v>
      </c>
      <c r="D320" s="55" t="str">
        <f>IF(Ejecucion45[[#This Row],[No. Solicitud]]="","",_xlfn.XLOOKUP(Ejecucion45[[#This Row],[No. Solicitud]],Registro!$B$8:$B$997,Registro!$H$8:$H$997,"Sin Dato",0))</f>
        <v>Curso 113</v>
      </c>
      <c r="E320" s="160" t="s">
        <v>813</v>
      </c>
      <c r="F32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19</v>
      </c>
      <c r="I320" s="55" t="str">
        <f>IF(Ejecucion45[[#This Row],[PC]]="","",_xlfn.XLOOKUP(Ejecucion45[[#This Row],[PC]],Ejecucion[PC],Ejecucion[Grupo],"NE",0))</f>
        <v/>
      </c>
      <c r="J320" s="55" t="str">
        <f>IF(Ejecucion45[[#This Row],[PC]]="","",COUNTIF(Ejecucion4[Codigo],Ejecucion45[[#This Row],[PC]]))</f>
        <v/>
      </c>
    </row>
    <row r="321" spans="1:10" ht="28.8" customHeight="1">
      <c r="A321" s="30">
        <f>ROW() - ROW(Ejecucion45[[#Headers],[Correlativo]])</f>
        <v>317</v>
      </c>
      <c r="B321" s="30" t="s">
        <v>447</v>
      </c>
      <c r="C321" s="211" t="str">
        <f>IF(B321="","",HYPERLINK("#"&amp;"Registro!B"&amp;MATCH(B321,Registro!$B$8:$B$997,0)+7,"Ubicar en registro"))</f>
        <v>Ubicar en registro</v>
      </c>
      <c r="D321" s="55" t="str">
        <f>IF(Ejecucion45[[#This Row],[No. Solicitud]]="","",_xlfn.XLOOKUP(Ejecucion45[[#This Row],[No. Solicitud]],Registro!$B$8:$B$997,Registro!$H$8:$H$997,"Sin Dato",0))</f>
        <v>Curso 113</v>
      </c>
      <c r="E321" s="160" t="s">
        <v>814</v>
      </c>
      <c r="F32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20</v>
      </c>
      <c r="I321" s="55" t="str">
        <f>IF(Ejecucion45[[#This Row],[PC]]="","",_xlfn.XLOOKUP(Ejecucion45[[#This Row],[PC]],Ejecucion[PC],Ejecucion[Grupo],"NE",0))</f>
        <v/>
      </c>
      <c r="J321" s="55" t="str">
        <f>IF(Ejecucion45[[#This Row],[PC]]="","",COUNTIF(Ejecucion4[Codigo],Ejecucion45[[#This Row],[PC]]))</f>
        <v/>
      </c>
    </row>
    <row r="322" spans="1:10" ht="28.8" customHeight="1">
      <c r="A322" s="30">
        <f>ROW() - ROW(Ejecucion45[[#Headers],[Correlativo]])</f>
        <v>318</v>
      </c>
      <c r="B322" s="30" t="s">
        <v>277</v>
      </c>
      <c r="C322" s="211" t="str">
        <f>IF(B322="","",HYPERLINK("#"&amp;"Registro!B"&amp;MATCH(B322,Registro!$B$8:$B$997,0)+7,"Ubicar en registro"))</f>
        <v>Ubicar en registro</v>
      </c>
      <c r="D322" s="55" t="str">
        <f>IF(Ejecucion45[[#This Row],[No. Solicitud]]="","",_xlfn.XLOOKUP(Ejecucion45[[#This Row],[No. Solicitud]],Registro!$B$8:$B$997,Registro!$H$8:$H$997,"Sin Dato",0))</f>
        <v>Curso 56</v>
      </c>
      <c r="E322" s="160" t="s">
        <v>815</v>
      </c>
      <c r="F32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21</v>
      </c>
      <c r="G322" s="55">
        <v>8</v>
      </c>
      <c r="H322" s="55">
        <v>44094</v>
      </c>
      <c r="I322" s="55">
        <f>IF(Ejecucion45[[#This Row],[PC]]="","",_xlfn.XLOOKUP(Ejecucion45[[#This Row],[PC]],Ejecucion[PC],Ejecucion[Grupo],"NE",0))</f>
        <v>2</v>
      </c>
      <c r="J322" s="55">
        <f>IF(Ejecucion45[[#This Row],[PC]]="","",COUNTIF(Ejecucion4[Codigo],Ejecucion45[[#This Row],[PC]]))</f>
        <v>2</v>
      </c>
    </row>
    <row r="323" spans="1:10" ht="28.8" customHeight="1">
      <c r="A323" s="30">
        <f>ROW() - ROW(Ejecucion45[[#Headers],[Correlativo]])</f>
        <v>319</v>
      </c>
      <c r="B323" s="30" t="s">
        <v>277</v>
      </c>
      <c r="C323" s="211" t="str">
        <f>IF(B323="","",HYPERLINK("#"&amp;"Registro!B"&amp;MATCH(B323,Registro!$B$8:$B$997,0)+7,"Ubicar en registro"))</f>
        <v>Ubicar en registro</v>
      </c>
      <c r="D323" s="55" t="str">
        <f>IF(Ejecucion45[[#This Row],[No. Solicitud]]="","",_xlfn.XLOOKUP(Ejecucion45[[#This Row],[No. Solicitud]],Registro!$B$8:$B$997,Registro!$H$8:$H$997,"Sin Dato",0))</f>
        <v>Curso 56</v>
      </c>
      <c r="E323" s="160" t="s">
        <v>816</v>
      </c>
      <c r="F32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22</v>
      </c>
      <c r="G323" s="55">
        <v>8</v>
      </c>
      <c r="I323" s="55" t="str">
        <f>IF(Ejecucion45[[#This Row],[PC]]="","",_xlfn.XLOOKUP(Ejecucion45[[#This Row],[PC]],Ejecucion[PC],Ejecucion[Grupo],"NE",0))</f>
        <v/>
      </c>
      <c r="J323" s="55" t="str">
        <f>IF(Ejecucion45[[#This Row],[PC]]="","",COUNTIF(Ejecucion4[Codigo],Ejecucion45[[#This Row],[PC]]))</f>
        <v/>
      </c>
    </row>
    <row r="324" spans="1:10" ht="28.8" customHeight="1">
      <c r="A324" s="30">
        <f>ROW() - ROW(Ejecucion45[[#Headers],[Correlativo]])</f>
        <v>320</v>
      </c>
      <c r="B324" s="30" t="s">
        <v>277</v>
      </c>
      <c r="C324" s="211" t="str">
        <f>IF(B324="","",HYPERLINK("#"&amp;"Registro!B"&amp;MATCH(B324,Registro!$B$8:$B$997,0)+7,"Ubicar en registro"))</f>
        <v>Ubicar en registro</v>
      </c>
      <c r="D324" s="55" t="str">
        <f>IF(Ejecucion45[[#This Row],[No. Solicitud]]="","",_xlfn.XLOOKUP(Ejecucion45[[#This Row],[No. Solicitud]],Registro!$B$8:$B$997,Registro!$H$8:$H$997,"Sin Dato",0))</f>
        <v>Curso 56</v>
      </c>
      <c r="E324" s="160" t="s">
        <v>817</v>
      </c>
      <c r="F32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23</v>
      </c>
      <c r="G324" s="55">
        <v>8</v>
      </c>
      <c r="I324" s="55" t="str">
        <f>IF(Ejecucion45[[#This Row],[PC]]="","",_xlfn.XLOOKUP(Ejecucion45[[#This Row],[PC]],Ejecucion[PC],Ejecucion[Grupo],"NE",0))</f>
        <v/>
      </c>
      <c r="J324" s="55" t="str">
        <f>IF(Ejecucion45[[#This Row],[PC]]="","",COUNTIF(Ejecucion4[Codigo],Ejecucion45[[#This Row],[PC]]))</f>
        <v/>
      </c>
    </row>
    <row r="325" spans="1:10" ht="28.8" customHeight="1">
      <c r="A325" s="30">
        <f>ROW() - ROW(Ejecucion45[[#Headers],[Correlativo]])</f>
        <v>321</v>
      </c>
      <c r="B325" s="30" t="s">
        <v>277</v>
      </c>
      <c r="C325" s="211" t="str">
        <f>IF(B325="","",HYPERLINK("#"&amp;"Registro!B"&amp;MATCH(B325,Registro!$B$8:$B$997,0)+7,"Ubicar en registro"))</f>
        <v>Ubicar en registro</v>
      </c>
      <c r="D325" s="55" t="str">
        <f>IF(Ejecucion45[[#This Row],[No. Solicitud]]="","",_xlfn.XLOOKUP(Ejecucion45[[#This Row],[No. Solicitud]],Registro!$B$8:$B$997,Registro!$H$8:$H$997,"Sin Dato",0))</f>
        <v>Curso 56</v>
      </c>
      <c r="E325" s="160" t="s">
        <v>818</v>
      </c>
      <c r="F32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24</v>
      </c>
      <c r="G325" s="55">
        <v>8</v>
      </c>
      <c r="I325" s="55" t="str">
        <f>IF(Ejecucion45[[#This Row],[PC]]="","",_xlfn.XLOOKUP(Ejecucion45[[#This Row],[PC]],Ejecucion[PC],Ejecucion[Grupo],"NE",0))</f>
        <v/>
      </c>
      <c r="J325" s="55" t="str">
        <f>IF(Ejecucion45[[#This Row],[PC]]="","",COUNTIF(Ejecucion4[Codigo],Ejecucion45[[#This Row],[PC]]))</f>
        <v/>
      </c>
    </row>
    <row r="326" spans="1:10" ht="28.8" customHeight="1">
      <c r="A326" s="30">
        <f>ROW() - ROW(Ejecucion45[[#Headers],[Correlativo]])</f>
        <v>322</v>
      </c>
      <c r="B326" s="30" t="s">
        <v>277</v>
      </c>
      <c r="C326" s="211" t="str">
        <f>IF(B326="","",HYPERLINK("#"&amp;"Registro!B"&amp;MATCH(B326,Registro!$B$8:$B$997,0)+7,"Ubicar en registro"))</f>
        <v>Ubicar en registro</v>
      </c>
      <c r="D326" s="55" t="str">
        <f>IF(Ejecucion45[[#This Row],[No. Solicitud]]="","",_xlfn.XLOOKUP(Ejecucion45[[#This Row],[No. Solicitud]],Registro!$B$8:$B$997,Registro!$H$8:$H$997,"Sin Dato",0))</f>
        <v>Curso 56</v>
      </c>
      <c r="E326" s="160" t="s">
        <v>819</v>
      </c>
      <c r="F32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25</v>
      </c>
      <c r="G326" s="55">
        <v>8</v>
      </c>
      <c r="I326" s="55" t="str">
        <f>IF(Ejecucion45[[#This Row],[PC]]="","",_xlfn.XLOOKUP(Ejecucion45[[#This Row],[PC]],Ejecucion[PC],Ejecucion[Grupo],"NE",0))</f>
        <v/>
      </c>
      <c r="J326" s="55" t="str">
        <f>IF(Ejecucion45[[#This Row],[PC]]="","",COUNTIF(Ejecucion4[Codigo],Ejecucion45[[#This Row],[PC]]))</f>
        <v/>
      </c>
    </row>
    <row r="327" spans="1:10" ht="28.8" customHeight="1">
      <c r="A327" s="30">
        <f>ROW() - ROW(Ejecucion45[[#Headers],[Correlativo]])</f>
        <v>323</v>
      </c>
      <c r="B327" s="30" t="s">
        <v>277</v>
      </c>
      <c r="C327" s="211" t="str">
        <f>IF(B327="","",HYPERLINK("#"&amp;"Registro!B"&amp;MATCH(B327,Registro!$B$8:$B$997,0)+7,"Ubicar en registro"))</f>
        <v>Ubicar en registro</v>
      </c>
      <c r="D327" s="55" t="str">
        <f>IF(Ejecucion45[[#This Row],[No. Solicitud]]="","",_xlfn.XLOOKUP(Ejecucion45[[#This Row],[No. Solicitud]],Registro!$B$8:$B$997,Registro!$H$8:$H$997,"Sin Dato",0))</f>
        <v>Curso 56</v>
      </c>
      <c r="E327" s="160" t="s">
        <v>820</v>
      </c>
      <c r="F32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26</v>
      </c>
      <c r="G327" s="55">
        <v>8</v>
      </c>
      <c r="I327" s="55" t="str">
        <f>IF(Ejecucion45[[#This Row],[PC]]="","",_xlfn.XLOOKUP(Ejecucion45[[#This Row],[PC]],Ejecucion[PC],Ejecucion[Grupo],"NE",0))</f>
        <v/>
      </c>
      <c r="J327" s="55" t="str">
        <f>IF(Ejecucion45[[#This Row],[PC]]="","",COUNTIF(Ejecucion4[Codigo],Ejecucion45[[#This Row],[PC]]))</f>
        <v/>
      </c>
    </row>
    <row r="328" spans="1:10" ht="28.8" customHeight="1">
      <c r="A328" s="30">
        <f>ROW() - ROW(Ejecucion45[[#Headers],[Correlativo]])</f>
        <v>324</v>
      </c>
      <c r="B328" s="30" t="s">
        <v>277</v>
      </c>
      <c r="C328" s="211" t="str">
        <f>IF(B328="","",HYPERLINK("#"&amp;"Registro!B"&amp;MATCH(B328,Registro!$B$8:$B$997,0)+7,"Ubicar en registro"))</f>
        <v>Ubicar en registro</v>
      </c>
      <c r="D328" s="55" t="str">
        <f>IF(Ejecucion45[[#This Row],[No. Solicitud]]="","",_xlfn.XLOOKUP(Ejecucion45[[#This Row],[No. Solicitud]],Registro!$B$8:$B$997,Registro!$H$8:$H$997,"Sin Dato",0))</f>
        <v>Curso 56</v>
      </c>
      <c r="E328" s="160" t="s">
        <v>821</v>
      </c>
      <c r="F32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27</v>
      </c>
      <c r="G328" s="55">
        <v>8</v>
      </c>
      <c r="I328" s="55" t="str">
        <f>IF(Ejecucion45[[#This Row],[PC]]="","",_xlfn.XLOOKUP(Ejecucion45[[#This Row],[PC]],Ejecucion[PC],Ejecucion[Grupo],"NE",0))</f>
        <v/>
      </c>
      <c r="J328" s="55" t="str">
        <f>IF(Ejecucion45[[#This Row],[PC]]="","",COUNTIF(Ejecucion4[Codigo],Ejecucion45[[#This Row],[PC]]))</f>
        <v/>
      </c>
    </row>
    <row r="329" spans="1:10" ht="28.8" customHeight="1">
      <c r="A329" s="30">
        <f>ROW() - ROW(Ejecucion45[[#Headers],[Correlativo]])</f>
        <v>325</v>
      </c>
      <c r="B329" s="30" t="s">
        <v>277</v>
      </c>
      <c r="C329" s="211" t="str">
        <f>IF(B329="","",HYPERLINK("#"&amp;"Registro!B"&amp;MATCH(B329,Registro!$B$8:$B$997,0)+7,"Ubicar en registro"))</f>
        <v>Ubicar en registro</v>
      </c>
      <c r="D329" s="55" t="str">
        <f>IF(Ejecucion45[[#This Row],[No. Solicitud]]="","",_xlfn.XLOOKUP(Ejecucion45[[#This Row],[No. Solicitud]],Registro!$B$8:$B$997,Registro!$H$8:$H$997,"Sin Dato",0))</f>
        <v>Curso 56</v>
      </c>
      <c r="E329" s="160" t="s">
        <v>822</v>
      </c>
      <c r="F32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28</v>
      </c>
      <c r="G329" s="55">
        <v>8</v>
      </c>
      <c r="I329" s="55" t="str">
        <f>IF(Ejecucion45[[#This Row],[PC]]="","",_xlfn.XLOOKUP(Ejecucion45[[#This Row],[PC]],Ejecucion[PC],Ejecucion[Grupo],"NE",0))</f>
        <v/>
      </c>
      <c r="J329" s="55" t="str">
        <f>IF(Ejecucion45[[#This Row],[PC]]="","",COUNTIF(Ejecucion4[Codigo],Ejecucion45[[#This Row],[PC]]))</f>
        <v/>
      </c>
    </row>
    <row r="330" spans="1:10" ht="28.8" customHeight="1">
      <c r="A330" s="30">
        <f>ROW() - ROW(Ejecucion45[[#Headers],[Correlativo]])</f>
        <v>326</v>
      </c>
      <c r="B330" s="30" t="s">
        <v>277</v>
      </c>
      <c r="C330" s="211" t="str">
        <f>IF(B330="","",HYPERLINK("#"&amp;"Registro!B"&amp;MATCH(B330,Registro!$B$8:$B$997,0)+7,"Ubicar en registro"))</f>
        <v>Ubicar en registro</v>
      </c>
      <c r="D330" s="55" t="str">
        <f>IF(Ejecucion45[[#This Row],[No. Solicitud]]="","",_xlfn.XLOOKUP(Ejecucion45[[#This Row],[No. Solicitud]],Registro!$B$8:$B$997,Registro!$H$8:$H$997,"Sin Dato",0))</f>
        <v>Curso 56</v>
      </c>
      <c r="E330" s="160" t="s">
        <v>823</v>
      </c>
      <c r="F33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29</v>
      </c>
      <c r="G330" s="55">
        <v>8</v>
      </c>
      <c r="I330" s="55" t="str">
        <f>IF(Ejecucion45[[#This Row],[PC]]="","",_xlfn.XLOOKUP(Ejecucion45[[#This Row],[PC]],Ejecucion[PC],Ejecucion[Grupo],"NE",0))</f>
        <v/>
      </c>
      <c r="J330" s="55" t="str">
        <f>IF(Ejecucion45[[#This Row],[PC]]="","",COUNTIF(Ejecucion4[Codigo],Ejecucion45[[#This Row],[PC]]))</f>
        <v/>
      </c>
    </row>
    <row r="331" spans="1:10" ht="28.8" customHeight="1">
      <c r="A331" s="30">
        <f>ROW() - ROW(Ejecucion45[[#Headers],[Correlativo]])</f>
        <v>327</v>
      </c>
      <c r="B331" s="30" t="s">
        <v>434</v>
      </c>
      <c r="C331" s="211" t="str">
        <f>IF(B331="","",HYPERLINK("#"&amp;"Registro!B"&amp;MATCH(B331,Registro!$B$8:$B$997,0)+7,"Ubicar en registro"))</f>
        <v>Ubicar en registro</v>
      </c>
      <c r="D331" s="55" t="str">
        <f>IF(Ejecucion45[[#This Row],[No. Solicitud]]="","",_xlfn.XLOOKUP(Ejecucion45[[#This Row],[No. Solicitud]],Registro!$B$8:$B$997,Registro!$H$8:$H$997,"Sin Dato",0))</f>
        <v>Curso 109</v>
      </c>
      <c r="E331" s="160" t="s">
        <v>824</v>
      </c>
      <c r="F33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30</v>
      </c>
      <c r="G331" s="55">
        <v>1.5</v>
      </c>
      <c r="H331" s="55">
        <v>44159</v>
      </c>
      <c r="I331" s="55">
        <f>IF(Ejecucion45[[#This Row],[PC]]="","",_xlfn.XLOOKUP(Ejecucion45[[#This Row],[PC]],Ejecucion[PC],Ejecucion[Grupo],"NE",0))</f>
        <v>1</v>
      </c>
      <c r="J331" s="55">
        <f>IF(Ejecucion45[[#This Row],[PC]]="","",COUNTIF(Ejecucion4[Codigo],Ejecucion45[[#This Row],[PC]]))</f>
        <v>1</v>
      </c>
    </row>
    <row r="332" spans="1:10" ht="28.8" customHeight="1">
      <c r="A332" s="30">
        <f>ROW() - ROW(Ejecucion45[[#Headers],[Correlativo]])</f>
        <v>328</v>
      </c>
      <c r="B332" s="30" t="s">
        <v>434</v>
      </c>
      <c r="C332" s="211" t="str">
        <f>IF(B332="","",HYPERLINK("#"&amp;"Registro!B"&amp;MATCH(B332,Registro!$B$8:$B$997,0)+7,"Ubicar en registro"))</f>
        <v>Ubicar en registro</v>
      </c>
      <c r="D332" s="55" t="str">
        <f>IF(Ejecucion45[[#This Row],[No. Solicitud]]="","",_xlfn.XLOOKUP(Ejecucion45[[#This Row],[No. Solicitud]],Registro!$B$8:$B$997,Registro!$H$8:$H$997,"Sin Dato",0))</f>
        <v>Curso 109</v>
      </c>
      <c r="E332" s="160" t="s">
        <v>825</v>
      </c>
      <c r="F33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31</v>
      </c>
      <c r="G332" s="55">
        <v>1.5</v>
      </c>
      <c r="H332" s="55">
        <v>44159</v>
      </c>
      <c r="I332" s="55">
        <f>IF(Ejecucion45[[#This Row],[PC]]="","",_xlfn.XLOOKUP(Ejecucion45[[#This Row],[PC]],Ejecucion[PC],Ejecucion[Grupo],"NE",0))</f>
        <v>1</v>
      </c>
      <c r="J332" s="55">
        <f>IF(Ejecucion45[[#This Row],[PC]]="","",COUNTIF(Ejecucion4[Codigo],Ejecucion45[[#This Row],[PC]]))</f>
        <v>1</v>
      </c>
    </row>
    <row r="333" spans="1:10" ht="43.2" customHeight="1">
      <c r="A333" s="30">
        <f>ROW() - ROW(Ejecucion45[[#Headers],[Correlativo]])</f>
        <v>329</v>
      </c>
      <c r="B333" s="30" t="s">
        <v>173</v>
      </c>
      <c r="C333" s="211" t="str">
        <f>IF(B333="","",HYPERLINK("#"&amp;"Registro!B"&amp;MATCH(B333,Registro!$B$8:$B$997,0)+7,"Ubicar en registro"))</f>
        <v>Ubicar en registro</v>
      </c>
      <c r="D333" s="55" t="str">
        <f>IF(Ejecucion45[[#This Row],[No. Solicitud]]="","",_xlfn.XLOOKUP(Ejecucion45[[#This Row],[No. Solicitud]],Registro!$B$8:$B$997,Registro!$H$8:$H$997,"Sin Dato",0))</f>
        <v>Curso 21</v>
      </c>
      <c r="E333" s="160" t="s">
        <v>826</v>
      </c>
      <c r="F33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32</v>
      </c>
      <c r="G333" s="55">
        <v>3</v>
      </c>
      <c r="H333" s="55">
        <v>43807</v>
      </c>
      <c r="I333" s="55">
        <f>IF(Ejecucion45[[#This Row],[PC]]="","",_xlfn.XLOOKUP(Ejecucion45[[#This Row],[PC]],Ejecucion[PC],Ejecucion[Grupo],"NE",0))</f>
        <v>1</v>
      </c>
      <c r="J333" s="55">
        <f>IF(Ejecucion45[[#This Row],[PC]]="","",COUNTIF(Ejecucion4[Codigo],Ejecucion45[[#This Row],[PC]]))</f>
        <v>1</v>
      </c>
    </row>
    <row r="334" spans="1:10" ht="43.2" customHeight="1">
      <c r="A334" s="30">
        <f>ROW() - ROW(Ejecucion45[[#Headers],[Correlativo]])</f>
        <v>330</v>
      </c>
      <c r="B334" s="30" t="s">
        <v>173</v>
      </c>
      <c r="C334" s="211" t="str">
        <f>IF(B334="","",HYPERLINK("#"&amp;"Registro!B"&amp;MATCH(B334,Registro!$B$8:$B$997,0)+7,"Ubicar en registro"))</f>
        <v>Ubicar en registro</v>
      </c>
      <c r="D334" s="55" t="str">
        <f>IF(Ejecucion45[[#This Row],[No. Solicitud]]="","",_xlfn.XLOOKUP(Ejecucion45[[#This Row],[No. Solicitud]],Registro!$B$8:$B$997,Registro!$H$8:$H$997,"Sin Dato",0))</f>
        <v>Curso 21</v>
      </c>
      <c r="E334" s="160" t="s">
        <v>827</v>
      </c>
      <c r="F33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33</v>
      </c>
      <c r="G334" s="55">
        <v>4</v>
      </c>
      <c r="H334" s="55">
        <v>43808</v>
      </c>
      <c r="I334" s="55">
        <f>IF(Ejecucion45[[#This Row],[PC]]="","",_xlfn.XLOOKUP(Ejecucion45[[#This Row],[PC]],Ejecucion[PC],Ejecucion[Grupo],"NE",0))</f>
        <v>2</v>
      </c>
      <c r="J334" s="55">
        <f>IF(Ejecucion45[[#This Row],[PC]]="","",COUNTIF(Ejecucion4[Codigo],Ejecucion45[[#This Row],[PC]]))</f>
        <v>1</v>
      </c>
    </row>
    <row r="335" spans="1:10" ht="43.2" customHeight="1">
      <c r="A335" s="30">
        <f>ROW() - ROW(Ejecucion45[[#Headers],[Correlativo]])</f>
        <v>331</v>
      </c>
      <c r="B335" s="30" t="s">
        <v>173</v>
      </c>
      <c r="C335" s="211" t="str">
        <f>IF(B335="","",HYPERLINK("#"&amp;"Registro!B"&amp;MATCH(B335,Registro!$B$8:$B$997,0)+7,"Ubicar en registro"))</f>
        <v>Ubicar en registro</v>
      </c>
      <c r="D335" s="55" t="str">
        <f>IF(Ejecucion45[[#This Row],[No. Solicitud]]="","",_xlfn.XLOOKUP(Ejecucion45[[#This Row],[No. Solicitud]],Registro!$B$8:$B$997,Registro!$H$8:$H$997,"Sin Dato",0))</f>
        <v>Curso 21</v>
      </c>
      <c r="E335" s="160" t="s">
        <v>828</v>
      </c>
      <c r="F33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34</v>
      </c>
      <c r="G335" s="55">
        <v>4</v>
      </c>
      <c r="H335" s="55">
        <v>43808</v>
      </c>
      <c r="I335" s="55">
        <f>IF(Ejecucion45[[#This Row],[PC]]="","",_xlfn.XLOOKUP(Ejecucion45[[#This Row],[PC]],Ejecucion[PC],Ejecucion[Grupo],"NE",0))</f>
        <v>2</v>
      </c>
      <c r="J335" s="55">
        <f>IF(Ejecucion45[[#This Row],[PC]]="","",COUNTIF(Ejecucion4[Codigo],Ejecucion45[[#This Row],[PC]]))</f>
        <v>1</v>
      </c>
    </row>
    <row r="336" spans="1:10" ht="43.2" customHeight="1">
      <c r="A336" s="30">
        <f>ROW() - ROW(Ejecucion45[[#Headers],[Correlativo]])</f>
        <v>332</v>
      </c>
      <c r="B336" s="30" t="s">
        <v>173</v>
      </c>
      <c r="C336" s="211" t="str">
        <f>IF(B336="","",HYPERLINK("#"&amp;"Registro!B"&amp;MATCH(B336,Registro!$B$8:$B$997,0)+7,"Ubicar en registro"))</f>
        <v>Ubicar en registro</v>
      </c>
      <c r="D336" s="55" t="str">
        <f>IF(Ejecucion45[[#This Row],[No. Solicitud]]="","",_xlfn.XLOOKUP(Ejecucion45[[#This Row],[No. Solicitud]],Registro!$B$8:$B$997,Registro!$H$8:$H$997,"Sin Dato",0))</f>
        <v>Curso 21</v>
      </c>
      <c r="E336" s="160" t="s">
        <v>829</v>
      </c>
      <c r="F33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35</v>
      </c>
      <c r="G336" s="55">
        <v>4</v>
      </c>
      <c r="H336" s="55">
        <v>43808</v>
      </c>
      <c r="I336" s="55">
        <f>IF(Ejecucion45[[#This Row],[PC]]="","",_xlfn.XLOOKUP(Ejecucion45[[#This Row],[PC]],Ejecucion[PC],Ejecucion[Grupo],"NE",0))</f>
        <v>2</v>
      </c>
      <c r="J336" s="55">
        <f>IF(Ejecucion45[[#This Row],[PC]]="","",COUNTIF(Ejecucion4[Codigo],Ejecucion45[[#This Row],[PC]]))</f>
        <v>1</v>
      </c>
    </row>
    <row r="337" spans="1:10" ht="43.2" customHeight="1">
      <c r="A337" s="30">
        <f>ROW() - ROW(Ejecucion45[[#Headers],[Correlativo]])</f>
        <v>333</v>
      </c>
      <c r="B337" s="30" t="s">
        <v>173</v>
      </c>
      <c r="C337" s="211" t="str">
        <f>IF(B337="","",HYPERLINK("#"&amp;"Registro!B"&amp;MATCH(B337,Registro!$B$8:$B$997,0)+7,"Ubicar en registro"))</f>
        <v>Ubicar en registro</v>
      </c>
      <c r="D337" s="55" t="str">
        <f>IF(Ejecucion45[[#This Row],[No. Solicitud]]="","",_xlfn.XLOOKUP(Ejecucion45[[#This Row],[No. Solicitud]],Registro!$B$8:$B$997,Registro!$H$8:$H$997,"Sin Dato",0))</f>
        <v>Curso 21</v>
      </c>
      <c r="E337" s="160" t="s">
        <v>830</v>
      </c>
      <c r="F337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36</v>
      </c>
      <c r="G337" s="55">
        <v>4</v>
      </c>
      <c r="H337" s="55">
        <v>43808</v>
      </c>
      <c r="I337" s="55">
        <f>IF(Ejecucion45[[#This Row],[PC]]="","",_xlfn.XLOOKUP(Ejecucion45[[#This Row],[PC]],Ejecucion[PC],Ejecucion[Grupo],"NE",0))</f>
        <v>2</v>
      </c>
      <c r="J337" s="55">
        <f>IF(Ejecucion45[[#This Row],[PC]]="","",COUNTIF(Ejecucion4[Codigo],Ejecucion45[[#This Row],[PC]]))</f>
        <v>1</v>
      </c>
    </row>
    <row r="338" spans="1:10" ht="43.2" customHeight="1">
      <c r="A338" s="30">
        <f>ROW() - ROW(Ejecucion45[[#Headers],[Correlativo]])</f>
        <v>334</v>
      </c>
      <c r="B338" s="30" t="s">
        <v>173</v>
      </c>
      <c r="C338" s="211" t="str">
        <f>IF(B338="","",HYPERLINK("#"&amp;"Registro!B"&amp;MATCH(B338,Registro!$B$8:$B$997,0)+7,"Ubicar en registro"))</f>
        <v>Ubicar en registro</v>
      </c>
      <c r="D338" s="55" t="str">
        <f>IF(Ejecucion45[[#This Row],[No. Solicitud]]="","",_xlfn.XLOOKUP(Ejecucion45[[#This Row],[No. Solicitud]],Registro!$B$8:$B$997,Registro!$H$8:$H$997,"Sin Dato",0))</f>
        <v>Curso 21</v>
      </c>
      <c r="E338" s="160" t="s">
        <v>831</v>
      </c>
      <c r="F338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37</v>
      </c>
      <c r="G338" s="55">
        <v>3</v>
      </c>
      <c r="H338" s="55">
        <v>43808</v>
      </c>
      <c r="I338" s="55">
        <f>IF(Ejecucion45[[#This Row],[PC]]="","",_xlfn.XLOOKUP(Ejecucion45[[#This Row],[PC]],Ejecucion[PC],Ejecucion[Grupo],"NE",0))</f>
        <v>2</v>
      </c>
      <c r="J338" s="55">
        <f>IF(Ejecucion45[[#This Row],[PC]]="","",COUNTIF(Ejecucion4[Codigo],Ejecucion45[[#This Row],[PC]]))</f>
        <v>1</v>
      </c>
    </row>
    <row r="339" spans="1:10" ht="28.8" customHeight="1">
      <c r="A339" s="30">
        <f>ROW() - ROW(Ejecucion45[[#Headers],[Correlativo]])</f>
        <v>335</v>
      </c>
      <c r="B339" s="30" t="s">
        <v>152</v>
      </c>
      <c r="C339" s="211" t="str">
        <f>IF(B339="","",HYPERLINK("#"&amp;"Registro!B"&amp;MATCH(B339,Registro!$B$8:$B$997,0)+7,"Ubicar en registro"))</f>
        <v>Ubicar en registro</v>
      </c>
      <c r="D339" s="55" t="str">
        <f>IF(Ejecucion45[[#This Row],[No. Solicitud]]="","",_xlfn.XLOOKUP(Ejecucion45[[#This Row],[No. Solicitud]],Registro!$B$8:$B$997,Registro!$H$8:$H$997,"Sin Dato",0))</f>
        <v>Curso 13</v>
      </c>
      <c r="E339" s="160" t="s">
        <v>832</v>
      </c>
      <c r="F339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38</v>
      </c>
      <c r="G339" s="55">
        <v>8</v>
      </c>
      <c r="H339" s="55">
        <v>43784</v>
      </c>
      <c r="I339" s="55">
        <f>IF(Ejecucion45[[#This Row],[PC]]="","",_xlfn.XLOOKUP(Ejecucion45[[#This Row],[PC]],Ejecucion[PC],Ejecucion[Grupo],"NE",0))</f>
        <v>2</v>
      </c>
      <c r="J339" s="55">
        <f>IF(Ejecucion45[[#This Row],[PC]]="","",COUNTIF(Ejecucion4[Codigo],Ejecucion45[[#This Row],[PC]]))</f>
        <v>1</v>
      </c>
    </row>
    <row r="340" spans="1:10" ht="28.8" customHeight="1">
      <c r="A340" s="30">
        <f>ROW() - ROW(Ejecucion45[[#Headers],[Correlativo]])</f>
        <v>336</v>
      </c>
      <c r="B340" s="30" t="s">
        <v>152</v>
      </c>
      <c r="C340" s="211" t="str">
        <f>IF(B340="","",HYPERLINK("#"&amp;"Registro!B"&amp;MATCH(B340,Registro!$B$8:$B$997,0)+7,"Ubicar en registro"))</f>
        <v>Ubicar en registro</v>
      </c>
      <c r="D340" s="55" t="str">
        <f>IF(Ejecucion45[[#This Row],[No. Solicitud]]="","",_xlfn.XLOOKUP(Ejecucion45[[#This Row],[No. Solicitud]],Registro!$B$8:$B$997,Registro!$H$8:$H$997,"Sin Dato",0))</f>
        <v>Curso 13</v>
      </c>
      <c r="E340" s="160" t="s">
        <v>833</v>
      </c>
      <c r="F340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39</v>
      </c>
      <c r="G340" s="55">
        <v>8</v>
      </c>
      <c r="H340" s="55">
        <v>43784</v>
      </c>
      <c r="I340" s="55">
        <f>IF(Ejecucion45[[#This Row],[PC]]="","",_xlfn.XLOOKUP(Ejecucion45[[#This Row],[PC]],Ejecucion[PC],Ejecucion[Grupo],"NE",0))</f>
        <v>2</v>
      </c>
      <c r="J340" s="55">
        <f>IF(Ejecucion45[[#This Row],[PC]]="","",COUNTIF(Ejecucion4[Codigo],Ejecucion45[[#This Row],[PC]]))</f>
        <v>1</v>
      </c>
    </row>
    <row r="341" spans="1:10" ht="28.8" customHeight="1">
      <c r="A341" s="30">
        <f>ROW() - ROW(Ejecucion45[[#Headers],[Correlativo]])</f>
        <v>337</v>
      </c>
      <c r="B341" s="127" t="s">
        <v>152</v>
      </c>
      <c r="C341" s="211" t="str">
        <f>IF(B341="","",HYPERLINK("#"&amp;"Registro!B"&amp;MATCH(B341,Registro!$B$8:$B$997,0)+7,"Ubicar en registro"))</f>
        <v>Ubicar en registro</v>
      </c>
      <c r="D341" s="55" t="str">
        <f>IF(Ejecucion45[[#This Row],[No. Solicitud]]="","",_xlfn.XLOOKUP(Ejecucion45[[#This Row],[No. Solicitud]],Registro!$B$8:$B$997,Registro!$H$8:$H$997,"Sin Dato",0))</f>
        <v>Curso 13</v>
      </c>
      <c r="E341" s="160" t="s">
        <v>834</v>
      </c>
      <c r="F341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40</v>
      </c>
      <c r="G341" s="55">
        <v>8</v>
      </c>
      <c r="H341" s="55">
        <v>43784</v>
      </c>
      <c r="I341" s="55">
        <f>IF(Ejecucion45[[#This Row],[PC]]="","",_xlfn.XLOOKUP(Ejecucion45[[#This Row],[PC]],Ejecucion[PC],Ejecucion[Grupo],"NE",0))</f>
        <v>2</v>
      </c>
      <c r="J341" s="55">
        <f>IF(Ejecucion45[[#This Row],[PC]]="","",COUNTIF(Ejecucion4[Codigo],Ejecucion45[[#This Row],[PC]]))</f>
        <v>1</v>
      </c>
    </row>
    <row r="342" spans="1:10" ht="28.8" customHeight="1">
      <c r="A342" s="30">
        <f>ROW() - ROW(Ejecucion45[[#Headers],[Correlativo]])</f>
        <v>338</v>
      </c>
      <c r="B342" s="30" t="s">
        <v>156</v>
      </c>
      <c r="C342" s="211" t="str">
        <f>IF(B342="","",HYPERLINK("#"&amp;"Registro!B"&amp;MATCH(B342,Registro!$B$8:$B$997,0)+7,"Ubicar en registro"))</f>
        <v>Ubicar en registro</v>
      </c>
      <c r="D342" s="55" t="str">
        <f>IF(Ejecucion45[[#This Row],[No. Solicitud]]="","",_xlfn.XLOOKUP(Ejecucion45[[#This Row],[No. Solicitud]],Registro!$B$8:$B$997,Registro!$H$8:$H$997,"Sin Dato",0))</f>
        <v>Curso 15</v>
      </c>
      <c r="E342" s="160" t="s">
        <v>835</v>
      </c>
      <c r="F342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41</v>
      </c>
      <c r="G342" s="55">
        <v>8</v>
      </c>
      <c r="H342" s="55">
        <v>43794</v>
      </c>
      <c r="I342" s="55">
        <f>IF(Ejecucion45[[#This Row],[PC]]="","",_xlfn.XLOOKUP(Ejecucion45[[#This Row],[PC]],Ejecucion[PC],Ejecucion[Grupo],"NE",0))</f>
        <v>1</v>
      </c>
      <c r="J342" s="55">
        <f>IF(Ejecucion45[[#This Row],[PC]]="","",COUNTIF(Ejecucion4[Codigo],Ejecucion45[[#This Row],[PC]]))</f>
        <v>1</v>
      </c>
    </row>
    <row r="343" spans="1:10" ht="28.8" customHeight="1">
      <c r="A343" s="30">
        <f>ROW() - ROW(Ejecucion45[[#Headers],[Correlativo]])</f>
        <v>339</v>
      </c>
      <c r="B343" s="30" t="s">
        <v>156</v>
      </c>
      <c r="C343" s="211" t="str">
        <f>IF(B343="","",HYPERLINK("#"&amp;"Registro!B"&amp;MATCH(B343,Registro!$B$8:$B$997,0)+7,"Ubicar en registro"))</f>
        <v>Ubicar en registro</v>
      </c>
      <c r="D343" s="55" t="str">
        <f>IF(Ejecucion45[[#This Row],[No. Solicitud]]="","",_xlfn.XLOOKUP(Ejecucion45[[#This Row],[No. Solicitud]],Registro!$B$8:$B$997,Registro!$H$8:$H$997,"Sin Dato",0))</f>
        <v>Curso 15</v>
      </c>
      <c r="E343" s="160" t="s">
        <v>836</v>
      </c>
      <c r="F343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42</v>
      </c>
      <c r="G343" s="55">
        <v>8</v>
      </c>
      <c r="H343" s="55">
        <v>43796</v>
      </c>
      <c r="I343" s="55">
        <f>IF(Ejecucion45[[#This Row],[PC]]="","",_xlfn.XLOOKUP(Ejecucion45[[#This Row],[PC]],Ejecucion[PC],Ejecucion[Grupo],"NE",0))</f>
        <v>2</v>
      </c>
      <c r="J343" s="55">
        <f>IF(Ejecucion45[[#This Row],[PC]]="","",COUNTIF(Ejecucion4[Codigo],Ejecucion45[[#This Row],[PC]]))</f>
        <v>1</v>
      </c>
    </row>
    <row r="344" spans="1:10" ht="28.8" customHeight="1">
      <c r="A344" s="30">
        <f>ROW() - ROW(Ejecucion45[[#Headers],[Correlativo]])</f>
        <v>340</v>
      </c>
      <c r="B344" s="30" t="s">
        <v>171</v>
      </c>
      <c r="C344" s="211" t="str">
        <f>IF(B344="","",HYPERLINK("#"&amp;"Registro!B"&amp;MATCH(B344,Registro!$B$8:$B$997,0)+7,"Ubicar en registro"))</f>
        <v>Ubicar en registro</v>
      </c>
      <c r="D344" s="55" t="str">
        <f>IF(Ejecucion45[[#This Row],[No. Solicitud]]="","",_xlfn.XLOOKUP(Ejecucion45[[#This Row],[No. Solicitud]],Registro!$B$8:$B$997,Registro!$H$8:$H$997,"Sin Dato",0))</f>
        <v>Curso 20</v>
      </c>
      <c r="E344" s="160" t="s">
        <v>837</v>
      </c>
      <c r="F344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43</v>
      </c>
      <c r="G344" s="55">
        <v>8</v>
      </c>
      <c r="H344" s="55">
        <v>43821</v>
      </c>
      <c r="I344" s="55">
        <f>IF(Ejecucion45[[#This Row],[PC]]="","",_xlfn.XLOOKUP(Ejecucion45[[#This Row],[PC]],Ejecucion[PC],Ejecucion[Grupo],"NE",0))</f>
        <v>2</v>
      </c>
      <c r="J344" s="55">
        <f>IF(Ejecucion45[[#This Row],[PC]]="","",COUNTIF(Ejecucion4[Codigo],Ejecucion45[[#This Row],[PC]]))</f>
        <v>1</v>
      </c>
    </row>
    <row r="345" spans="1:10" ht="28.8" customHeight="1">
      <c r="A345" s="30">
        <f>ROW() - ROW(Ejecucion45[[#Headers],[Correlativo]])</f>
        <v>341</v>
      </c>
      <c r="B345" s="30" t="s">
        <v>171</v>
      </c>
      <c r="C345" s="211" t="str">
        <f>IF(B345="","",HYPERLINK("#"&amp;"Registro!B"&amp;MATCH(B345,Registro!$B$8:$B$997,0)+7,"Ubicar en registro"))</f>
        <v>Ubicar en registro</v>
      </c>
      <c r="D345" s="55" t="str">
        <f>IF(Ejecucion45[[#This Row],[No. Solicitud]]="","",_xlfn.XLOOKUP(Ejecucion45[[#This Row],[No. Solicitud]],Registro!$B$8:$B$997,Registro!$H$8:$H$997,"Sin Dato",0))</f>
        <v>Curso 20</v>
      </c>
      <c r="E345" s="160" t="s">
        <v>838</v>
      </c>
      <c r="F345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44</v>
      </c>
      <c r="G345" s="55">
        <v>8</v>
      </c>
      <c r="H345" s="55">
        <v>43821</v>
      </c>
      <c r="I345" s="55">
        <f>IF(Ejecucion45[[#This Row],[PC]]="","",_xlfn.XLOOKUP(Ejecucion45[[#This Row],[PC]],Ejecucion[PC],Ejecucion[Grupo],"NE",0))</f>
        <v>2</v>
      </c>
      <c r="J345" s="55">
        <f>IF(Ejecucion45[[#This Row],[PC]]="","",COUNTIF(Ejecucion4[Codigo],Ejecucion45[[#This Row],[PC]]))</f>
        <v>1</v>
      </c>
    </row>
    <row r="346" spans="1:10" ht="28.8" customHeight="1">
      <c r="A346" s="30">
        <f>ROW() - ROW(Ejecucion45[[#Headers],[Correlativo]])</f>
        <v>342</v>
      </c>
      <c r="B346" s="30" t="s">
        <v>140</v>
      </c>
      <c r="C346" s="211" t="str">
        <f>IF(B346="","",HYPERLINK("#"&amp;"Registro!B"&amp;MATCH(B346,Registro!$B$8:$B$997,0)+7,"Ubicar en registro"))</f>
        <v>Ubicar en registro</v>
      </c>
      <c r="D346" s="55" t="str">
        <f>IF(Ejecucion45[[#This Row],[No. Solicitud]]="","",_xlfn.XLOOKUP(Ejecucion45[[#This Row],[No. Solicitud]],Registro!$B$8:$B$997,Registro!$H$8:$H$997,"Sin Dato",0))</f>
        <v>Curso 10</v>
      </c>
      <c r="E346" s="160" t="s">
        <v>839</v>
      </c>
      <c r="F346" s="55" t="str">
        <f>IF(Ejecucion45[[#This Row],[NIT/DPI/Pasaporte]]="","",_xlfn.XLOOKUP(Ejecucion45[[#This Row],[NIT/DPI/Pasaporte]],DBDocentes[NIT docente],DBDocentes[Nombre docente],_xlfn.XLOOKUP(Ejecucion45[[#This Row],[NIT/DPI/Pasaporte]],DBDocentes[DPI/pasaporte],DBDocentes[Nombre docente],"NE",0)))</f>
        <v>Docente Especialista 45</v>
      </c>
      <c r="G346" s="55">
        <v>8</v>
      </c>
      <c r="H346" s="81">
        <v>43778</v>
      </c>
      <c r="I346" s="55">
        <f>IF(Ejecucion45[[#This Row],[PC]]="","",_xlfn.XLOOKUP(Ejecucion45[[#This Row],[PC]],Ejecucion[PC],Ejecucion[Grupo],"NE",0))</f>
        <v>2</v>
      </c>
      <c r="J346" s="55">
        <f>IF(Ejecucion45[[#This Row],[PC]]="","",COUNTIF(Ejecucion4[Codigo],Ejecucion45[[#This Row],[PC]]))</f>
        <v>1</v>
      </c>
    </row>
  </sheetData>
  <mergeCells count="1">
    <mergeCell ref="A1:N1"/>
  </mergeCells>
  <conditionalFormatting sqref="B110:B114">
    <cfRule type="duplicateValues" dxfId="27" priority="26"/>
  </conditionalFormatting>
  <conditionalFormatting sqref="B115:B134">
    <cfRule type="duplicateValues" dxfId="26" priority="67"/>
  </conditionalFormatting>
  <conditionalFormatting sqref="B136">
    <cfRule type="duplicateValues" dxfId="25" priority="23"/>
  </conditionalFormatting>
  <conditionalFormatting sqref="B137">
    <cfRule type="duplicateValues" dxfId="24" priority="22"/>
  </conditionalFormatting>
  <conditionalFormatting sqref="B138">
    <cfRule type="duplicateValues" dxfId="23" priority="21"/>
  </conditionalFormatting>
  <conditionalFormatting sqref="B139:B155">
    <cfRule type="duplicateValues" dxfId="22" priority="20"/>
  </conditionalFormatting>
  <conditionalFormatting sqref="B157">
    <cfRule type="duplicateValues" dxfId="21" priority="19"/>
  </conditionalFormatting>
  <conditionalFormatting sqref="B158:B159">
    <cfRule type="duplicateValues" dxfId="20" priority="18"/>
  </conditionalFormatting>
  <conditionalFormatting sqref="B160">
    <cfRule type="duplicateValues" dxfId="19" priority="17"/>
  </conditionalFormatting>
  <conditionalFormatting sqref="B161:B166">
    <cfRule type="duplicateValues" dxfId="18" priority="15"/>
  </conditionalFormatting>
  <conditionalFormatting sqref="B167:B176">
    <cfRule type="duplicateValues" dxfId="17" priority="14"/>
  </conditionalFormatting>
  <conditionalFormatting sqref="B177">
    <cfRule type="duplicateValues" dxfId="16" priority="13"/>
  </conditionalFormatting>
  <conditionalFormatting sqref="B178">
    <cfRule type="duplicateValues" dxfId="15" priority="12"/>
  </conditionalFormatting>
  <conditionalFormatting sqref="B179">
    <cfRule type="duplicateValues" dxfId="14" priority="11"/>
  </conditionalFormatting>
  <conditionalFormatting sqref="B180">
    <cfRule type="duplicateValues" dxfId="13" priority="10"/>
  </conditionalFormatting>
  <conditionalFormatting sqref="B181">
    <cfRule type="duplicateValues" dxfId="12" priority="9"/>
  </conditionalFormatting>
  <conditionalFormatting sqref="B182">
    <cfRule type="duplicateValues" dxfId="11" priority="8"/>
  </conditionalFormatting>
  <conditionalFormatting sqref="B183">
    <cfRule type="duplicateValues" dxfId="10" priority="7"/>
  </conditionalFormatting>
  <conditionalFormatting sqref="B184">
    <cfRule type="duplicateValues" dxfId="9" priority="6"/>
  </conditionalFormatting>
  <conditionalFormatting sqref="B185">
    <cfRule type="duplicateValues" dxfId="8" priority="5"/>
  </conditionalFormatting>
  <conditionalFormatting sqref="B186">
    <cfRule type="duplicateValues" dxfId="7" priority="4"/>
  </conditionalFormatting>
  <conditionalFormatting sqref="B187:B188">
    <cfRule type="duplicateValues" dxfId="6" priority="3"/>
  </conditionalFormatting>
  <conditionalFormatting sqref="B189:B204">
    <cfRule type="duplicateValues" dxfId="5" priority="2"/>
  </conditionalFormatting>
  <conditionalFormatting sqref="B207:B242">
    <cfRule type="duplicateValues" dxfId="4" priority="1"/>
  </conditionalFormatting>
  <dataValidations disablePrompts="1" count="1">
    <dataValidation allowBlank="1" showInputMessage="1" showErrorMessage="1" promptTitle="IMPORTANTE" prompt="Debe ingresar el NIT sin guión." sqref="E25" xr:uid="{00000000-0002-0000-0800-000000000000}"/>
  </dataValidations>
  <hyperlinks>
    <hyperlink ref="B36" r:id="rId1" xr:uid="{00000000-0004-0000-0800-000000000000}"/>
    <hyperlink ref="B40" r:id="rId2" xr:uid="{00000000-0004-0000-0800-000001000000}"/>
  </hyperlinks>
  <pageMargins left="0.7" right="0.7" top="0.75" bottom="0.75" header="0.3" footer="0.3"/>
  <pageSetup orientation="portrait" horizontalDpi="360" verticalDpi="360"/>
  <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442"/>
  <sheetViews>
    <sheetView showGridLines="0" zoomScaleNormal="100" workbookViewId="0">
      <pane ySplit="1" topLeftCell="A1419" activePane="bottomLeft" state="frozen"/>
      <selection pane="bottomLeft" activeCell="B1442" sqref="B1442"/>
    </sheetView>
  </sheetViews>
  <sheetFormatPr baseColWidth="10" defaultColWidth="9.109375" defaultRowHeight="14.4"/>
  <cols>
    <col min="1" max="1" width="19.88671875" style="116" customWidth="1"/>
    <col min="2" max="2" width="12.88671875" style="117" customWidth="1"/>
    <col min="3" max="3" width="54.44140625" style="117" customWidth="1"/>
    <col min="4" max="4" width="20.109375" style="117" customWidth="1"/>
    <col min="5" max="5" width="43.33203125" style="117" customWidth="1"/>
    <col min="6" max="6" width="35.5546875" style="117" customWidth="1"/>
    <col min="7" max="7" width="9.109375" style="112" customWidth="1"/>
    <col min="8" max="16384" width="9.109375" style="112"/>
  </cols>
  <sheetData>
    <row r="1" spans="1:6" s="108" customFormat="1">
      <c r="A1" s="106" t="s">
        <v>950</v>
      </c>
      <c r="B1" s="107" t="s">
        <v>951</v>
      </c>
      <c r="C1" s="107" t="s">
        <v>952</v>
      </c>
      <c r="D1" s="107" t="s">
        <v>953</v>
      </c>
      <c r="E1" s="107" t="s">
        <v>954</v>
      </c>
      <c r="F1" s="107" t="s">
        <v>955</v>
      </c>
    </row>
    <row r="2" spans="1:6">
      <c r="A2" s="109" t="s">
        <v>956</v>
      </c>
      <c r="B2" s="110" t="s">
        <v>945</v>
      </c>
      <c r="C2" s="110" t="s">
        <v>957</v>
      </c>
      <c r="D2" s="110" t="s">
        <v>81</v>
      </c>
      <c r="E2" s="110" t="s">
        <v>958</v>
      </c>
      <c r="F2" s="111" t="s">
        <v>959</v>
      </c>
    </row>
    <row r="3" spans="1:6">
      <c r="A3" s="109" t="s">
        <v>960</v>
      </c>
      <c r="B3" s="110" t="s">
        <v>946</v>
      </c>
      <c r="C3" s="110" t="s">
        <v>961</v>
      </c>
      <c r="D3" s="110" t="s">
        <v>81</v>
      </c>
      <c r="E3" s="110" t="s">
        <v>962</v>
      </c>
      <c r="F3" s="111" t="s">
        <v>963</v>
      </c>
    </row>
    <row r="4" spans="1:6">
      <c r="A4" s="109" t="s">
        <v>964</v>
      </c>
      <c r="B4" s="110" t="s">
        <v>947</v>
      </c>
      <c r="C4" s="110" t="s">
        <v>965</v>
      </c>
      <c r="D4" s="110" t="s">
        <v>81</v>
      </c>
      <c r="E4" s="110" t="s">
        <v>966</v>
      </c>
      <c r="F4" s="111" t="s">
        <v>967</v>
      </c>
    </row>
    <row r="5" spans="1:6">
      <c r="A5" s="109" t="s">
        <v>968</v>
      </c>
      <c r="B5" s="110" t="s">
        <v>798</v>
      </c>
      <c r="C5" s="110" t="s">
        <v>969</v>
      </c>
      <c r="D5" s="110" t="s">
        <v>81</v>
      </c>
      <c r="E5" s="110" t="s">
        <v>970</v>
      </c>
      <c r="F5" s="111" t="s">
        <v>971</v>
      </c>
    </row>
    <row r="6" spans="1:6">
      <c r="A6" s="109" t="s">
        <v>972</v>
      </c>
      <c r="B6" s="110" t="s">
        <v>799</v>
      </c>
      <c r="C6" s="110" t="s">
        <v>973</v>
      </c>
      <c r="D6" s="110" t="s">
        <v>81</v>
      </c>
      <c r="E6" s="110" t="s">
        <v>974</v>
      </c>
      <c r="F6" s="111" t="s">
        <v>975</v>
      </c>
    </row>
    <row r="7" spans="1:6">
      <c r="A7" s="109" t="s">
        <v>976</v>
      </c>
      <c r="B7" s="110" t="s">
        <v>800</v>
      </c>
      <c r="C7" s="110" t="s">
        <v>977</v>
      </c>
      <c r="D7" s="110" t="s">
        <v>81</v>
      </c>
      <c r="E7" s="110" t="s">
        <v>978</v>
      </c>
      <c r="F7" s="111" t="s">
        <v>979</v>
      </c>
    </row>
    <row r="8" spans="1:6">
      <c r="A8" s="109" t="s">
        <v>980</v>
      </c>
      <c r="B8" s="110" t="s">
        <v>801</v>
      </c>
      <c r="C8" s="110" t="s">
        <v>981</v>
      </c>
      <c r="D8" s="110" t="s">
        <v>81</v>
      </c>
      <c r="E8" s="110" t="s">
        <v>982</v>
      </c>
      <c r="F8" s="111" t="s">
        <v>983</v>
      </c>
    </row>
    <row r="9" spans="1:6">
      <c r="A9" s="109" t="s">
        <v>984</v>
      </c>
      <c r="B9" s="110" t="s">
        <v>802</v>
      </c>
      <c r="C9" s="110" t="s">
        <v>985</v>
      </c>
      <c r="D9" s="110" t="s">
        <v>81</v>
      </c>
      <c r="E9" s="110" t="s">
        <v>986</v>
      </c>
      <c r="F9" s="111" t="s">
        <v>987</v>
      </c>
    </row>
    <row r="10" spans="1:6">
      <c r="A10" s="109" t="s">
        <v>988</v>
      </c>
      <c r="B10" s="110" t="s">
        <v>803</v>
      </c>
      <c r="C10" s="110" t="s">
        <v>989</v>
      </c>
      <c r="D10" s="110" t="s">
        <v>81</v>
      </c>
      <c r="E10" s="110" t="s">
        <v>990</v>
      </c>
      <c r="F10" s="111" t="s">
        <v>991</v>
      </c>
    </row>
    <row r="11" spans="1:6">
      <c r="A11" s="109" t="s">
        <v>992</v>
      </c>
      <c r="B11" s="110" t="s">
        <v>804</v>
      </c>
      <c r="C11" s="110" t="s">
        <v>993</v>
      </c>
      <c r="D11" s="110" t="s">
        <v>81</v>
      </c>
      <c r="E11" s="110" t="s">
        <v>994</v>
      </c>
      <c r="F11" s="111" t="s">
        <v>995</v>
      </c>
    </row>
    <row r="12" spans="1:6">
      <c r="A12" s="109" t="s">
        <v>996</v>
      </c>
      <c r="B12" s="110" t="s">
        <v>805</v>
      </c>
      <c r="C12" s="110" t="s">
        <v>997</v>
      </c>
      <c r="D12" s="110" t="s">
        <v>81</v>
      </c>
      <c r="E12" s="110" t="s">
        <v>998</v>
      </c>
      <c r="F12" s="111" t="s">
        <v>999</v>
      </c>
    </row>
    <row r="13" spans="1:6">
      <c r="A13" s="109" t="s">
        <v>1000</v>
      </c>
      <c r="B13" s="110" t="s">
        <v>806</v>
      </c>
      <c r="C13" s="110" t="s">
        <v>1001</v>
      </c>
      <c r="D13" s="110" t="s">
        <v>81</v>
      </c>
      <c r="E13" s="110" t="s">
        <v>1002</v>
      </c>
      <c r="F13" s="111" t="s">
        <v>1003</v>
      </c>
    </row>
    <row r="14" spans="1:6">
      <c r="A14" s="109" t="s">
        <v>1004</v>
      </c>
      <c r="B14" s="110" t="s">
        <v>807</v>
      </c>
      <c r="C14" s="110" t="s">
        <v>1005</v>
      </c>
      <c r="D14" s="110" t="s">
        <v>81</v>
      </c>
      <c r="E14" s="110" t="s">
        <v>1006</v>
      </c>
      <c r="F14" s="111" t="s">
        <v>1007</v>
      </c>
    </row>
    <row r="15" spans="1:6">
      <c r="A15" s="109" t="s">
        <v>1008</v>
      </c>
      <c r="B15" s="110" t="s">
        <v>808</v>
      </c>
      <c r="C15" s="110" t="s">
        <v>1009</v>
      </c>
      <c r="D15" s="110" t="s">
        <v>81</v>
      </c>
      <c r="E15" s="110" t="s">
        <v>1010</v>
      </c>
      <c r="F15" s="111" t="s">
        <v>1011</v>
      </c>
    </row>
    <row r="16" spans="1:6">
      <c r="A16" s="109" t="s">
        <v>1012</v>
      </c>
      <c r="B16" s="110" t="s">
        <v>809</v>
      </c>
      <c r="C16" s="110" t="s">
        <v>1013</v>
      </c>
      <c r="D16" s="110" t="s">
        <v>81</v>
      </c>
      <c r="E16" s="110" t="s">
        <v>1014</v>
      </c>
      <c r="F16" s="111" t="s">
        <v>1015</v>
      </c>
    </row>
    <row r="17" spans="1:6">
      <c r="A17" s="109" t="s">
        <v>1016</v>
      </c>
      <c r="B17" s="110" t="s">
        <v>810</v>
      </c>
      <c r="C17" s="110" t="s">
        <v>1017</v>
      </c>
      <c r="D17" s="110" t="s">
        <v>81</v>
      </c>
      <c r="E17" s="110" t="s">
        <v>1018</v>
      </c>
      <c r="F17" s="111" t="s">
        <v>1019</v>
      </c>
    </row>
    <row r="18" spans="1:6">
      <c r="A18" s="109" t="s">
        <v>1020</v>
      </c>
      <c r="B18" s="110" t="s">
        <v>811</v>
      </c>
      <c r="C18" s="110" t="s">
        <v>1021</v>
      </c>
      <c r="D18" s="110" t="s">
        <v>81</v>
      </c>
      <c r="E18" s="110" t="s">
        <v>1022</v>
      </c>
      <c r="F18" s="111" t="s">
        <v>1023</v>
      </c>
    </row>
    <row r="19" spans="1:6">
      <c r="A19" s="109" t="s">
        <v>1024</v>
      </c>
      <c r="B19" s="110" t="s">
        <v>812</v>
      </c>
      <c r="C19" s="110" t="s">
        <v>1025</v>
      </c>
      <c r="D19" s="110" t="s">
        <v>81</v>
      </c>
      <c r="E19" s="110" t="s">
        <v>1026</v>
      </c>
      <c r="F19" s="111" t="s">
        <v>1027</v>
      </c>
    </row>
    <row r="20" spans="1:6">
      <c r="A20" s="109" t="s">
        <v>1028</v>
      </c>
      <c r="B20" s="110" t="s">
        <v>813</v>
      </c>
      <c r="C20" s="110" t="s">
        <v>1029</v>
      </c>
      <c r="D20" s="110" t="s">
        <v>81</v>
      </c>
      <c r="E20" s="110" t="s">
        <v>1030</v>
      </c>
      <c r="F20" s="111" t="s">
        <v>1031</v>
      </c>
    </row>
    <row r="21" spans="1:6">
      <c r="A21" s="109" t="s">
        <v>1032</v>
      </c>
      <c r="B21" s="110" t="s">
        <v>814</v>
      </c>
      <c r="C21" s="110" t="s">
        <v>1033</v>
      </c>
      <c r="D21" s="110" t="s">
        <v>81</v>
      </c>
      <c r="E21" s="110" t="s">
        <v>1034</v>
      </c>
      <c r="F21" s="111" t="s">
        <v>1035</v>
      </c>
    </row>
    <row r="22" spans="1:6">
      <c r="A22" s="109" t="s">
        <v>1036</v>
      </c>
      <c r="B22" s="110" t="s">
        <v>815</v>
      </c>
      <c r="C22" s="110" t="s">
        <v>1037</v>
      </c>
      <c r="D22" s="110" t="s">
        <v>81</v>
      </c>
      <c r="E22" s="110" t="s">
        <v>1038</v>
      </c>
      <c r="F22" s="111" t="s">
        <v>1039</v>
      </c>
    </row>
    <row r="23" spans="1:6">
      <c r="A23" s="109" t="s">
        <v>1040</v>
      </c>
      <c r="B23" s="110" t="s">
        <v>816</v>
      </c>
      <c r="C23" s="110" t="s">
        <v>1041</v>
      </c>
      <c r="D23" s="110" t="s">
        <v>81</v>
      </c>
      <c r="E23" s="110" t="s">
        <v>1042</v>
      </c>
      <c r="F23" s="111" t="s">
        <v>1043</v>
      </c>
    </row>
    <row r="24" spans="1:6">
      <c r="A24" s="109" t="s">
        <v>1044</v>
      </c>
      <c r="B24" s="110" t="s">
        <v>817</v>
      </c>
      <c r="C24" s="110" t="s">
        <v>1045</v>
      </c>
      <c r="D24" s="110" t="s">
        <v>81</v>
      </c>
      <c r="E24" s="110" t="s">
        <v>1046</v>
      </c>
      <c r="F24" s="111" t="s">
        <v>1047</v>
      </c>
    </row>
    <row r="25" spans="1:6">
      <c r="A25" s="109" t="s">
        <v>1048</v>
      </c>
      <c r="B25" s="110" t="s">
        <v>818</v>
      </c>
      <c r="C25" s="110" t="s">
        <v>1049</v>
      </c>
      <c r="D25" s="110" t="s">
        <v>81</v>
      </c>
      <c r="E25" s="110" t="s">
        <v>1050</v>
      </c>
      <c r="F25" s="111" t="s">
        <v>1051</v>
      </c>
    </row>
    <row r="26" spans="1:6">
      <c r="A26" s="109" t="s">
        <v>1052</v>
      </c>
      <c r="B26" s="110" t="s">
        <v>819</v>
      </c>
      <c r="C26" s="110" t="s">
        <v>1053</v>
      </c>
      <c r="D26" s="110" t="s">
        <v>81</v>
      </c>
      <c r="E26" s="110" t="s">
        <v>1054</v>
      </c>
      <c r="F26" s="111" t="s">
        <v>1055</v>
      </c>
    </row>
    <row r="27" spans="1:6">
      <c r="A27" s="109" t="s">
        <v>1056</v>
      </c>
      <c r="B27" s="110" t="s">
        <v>820</v>
      </c>
      <c r="C27" s="110" t="s">
        <v>1057</v>
      </c>
      <c r="D27" s="110" t="s">
        <v>81</v>
      </c>
      <c r="E27" s="110" t="s">
        <v>1058</v>
      </c>
      <c r="F27" s="111" t="s">
        <v>1059</v>
      </c>
    </row>
    <row r="28" spans="1:6">
      <c r="A28" s="109" t="s">
        <v>1060</v>
      </c>
      <c r="B28" s="110" t="s">
        <v>821</v>
      </c>
      <c r="C28" s="110" t="s">
        <v>1061</v>
      </c>
      <c r="D28" s="110" t="s">
        <v>81</v>
      </c>
      <c r="E28" s="110" t="s">
        <v>1062</v>
      </c>
      <c r="F28" s="111" t="s">
        <v>1063</v>
      </c>
    </row>
    <row r="29" spans="1:6">
      <c r="A29" s="109" t="s">
        <v>1064</v>
      </c>
      <c r="B29" s="110" t="s">
        <v>822</v>
      </c>
      <c r="C29" s="110" t="s">
        <v>1065</v>
      </c>
      <c r="D29" s="110" t="s">
        <v>81</v>
      </c>
      <c r="E29" s="110" t="s">
        <v>1066</v>
      </c>
      <c r="F29" s="111" t="s">
        <v>1067</v>
      </c>
    </row>
    <row r="30" spans="1:6">
      <c r="A30" s="109" t="s">
        <v>1068</v>
      </c>
      <c r="B30" s="110" t="s">
        <v>823</v>
      </c>
      <c r="C30" s="110" t="s">
        <v>1069</v>
      </c>
      <c r="D30" s="110" t="s">
        <v>81</v>
      </c>
      <c r="E30" s="110" t="s">
        <v>1070</v>
      </c>
      <c r="F30" s="111" t="s">
        <v>1071</v>
      </c>
    </row>
    <row r="31" spans="1:6">
      <c r="A31" s="109" t="s">
        <v>1072</v>
      </c>
      <c r="B31" s="110" t="s">
        <v>824</v>
      </c>
      <c r="C31" s="110" t="s">
        <v>1073</v>
      </c>
      <c r="D31" s="110" t="s">
        <v>81</v>
      </c>
      <c r="E31" s="110" t="s">
        <v>1074</v>
      </c>
      <c r="F31" s="111" t="s">
        <v>1075</v>
      </c>
    </row>
    <row r="32" spans="1:6">
      <c r="A32" s="109" t="s">
        <v>1076</v>
      </c>
      <c r="B32" s="110" t="s">
        <v>825</v>
      </c>
      <c r="C32" s="110" t="s">
        <v>1077</v>
      </c>
      <c r="D32" s="110" t="s">
        <v>81</v>
      </c>
      <c r="E32" s="110" t="s">
        <v>1078</v>
      </c>
      <c r="F32" s="111" t="s">
        <v>1079</v>
      </c>
    </row>
    <row r="33" spans="1:6">
      <c r="A33" s="109" t="s">
        <v>1080</v>
      </c>
      <c r="B33" s="110" t="s">
        <v>826</v>
      </c>
      <c r="C33" s="110" t="s">
        <v>1081</v>
      </c>
      <c r="D33" s="110" t="s">
        <v>81</v>
      </c>
      <c r="E33" s="110" t="s">
        <v>1082</v>
      </c>
      <c r="F33" s="111" t="s">
        <v>1083</v>
      </c>
    </row>
    <row r="34" spans="1:6">
      <c r="A34" s="109" t="s">
        <v>1084</v>
      </c>
      <c r="B34" s="110" t="s">
        <v>827</v>
      </c>
      <c r="C34" s="110" t="s">
        <v>1085</v>
      </c>
      <c r="D34" s="110" t="s">
        <v>81</v>
      </c>
      <c r="E34" s="110" t="s">
        <v>1086</v>
      </c>
      <c r="F34" s="111" t="s">
        <v>1087</v>
      </c>
    </row>
    <row r="35" spans="1:6">
      <c r="A35" s="109" t="s">
        <v>1088</v>
      </c>
      <c r="B35" s="110" t="s">
        <v>828</v>
      </c>
      <c r="C35" s="110" t="s">
        <v>1089</v>
      </c>
      <c r="D35" s="110" t="s">
        <v>81</v>
      </c>
      <c r="E35" s="110" t="s">
        <v>1090</v>
      </c>
      <c r="F35" s="111" t="s">
        <v>1091</v>
      </c>
    </row>
    <row r="36" spans="1:6">
      <c r="A36" s="109" t="s">
        <v>1092</v>
      </c>
      <c r="B36" s="110" t="s">
        <v>829</v>
      </c>
      <c r="C36" s="110" t="s">
        <v>1093</v>
      </c>
      <c r="D36" s="110" t="s">
        <v>81</v>
      </c>
      <c r="E36" s="110" t="s">
        <v>1094</v>
      </c>
      <c r="F36" s="111" t="s">
        <v>1095</v>
      </c>
    </row>
    <row r="37" spans="1:6">
      <c r="A37" s="109" t="s">
        <v>1096</v>
      </c>
      <c r="B37" s="110" t="s">
        <v>830</v>
      </c>
      <c r="C37" s="110" t="s">
        <v>1097</v>
      </c>
      <c r="D37" s="110" t="s">
        <v>81</v>
      </c>
      <c r="E37" s="110" t="s">
        <v>1098</v>
      </c>
      <c r="F37" s="111" t="s">
        <v>1099</v>
      </c>
    </row>
    <row r="38" spans="1:6">
      <c r="A38" s="109" t="s">
        <v>1100</v>
      </c>
      <c r="B38" s="110" t="s">
        <v>831</v>
      </c>
      <c r="C38" s="110" t="s">
        <v>1101</v>
      </c>
      <c r="D38" s="110" t="s">
        <v>81</v>
      </c>
      <c r="E38" s="110" t="s">
        <v>1102</v>
      </c>
      <c r="F38" s="111" t="s">
        <v>1103</v>
      </c>
    </row>
    <row r="39" spans="1:6">
      <c r="A39" s="109" t="s">
        <v>1104</v>
      </c>
      <c r="B39" s="110" t="s">
        <v>832</v>
      </c>
      <c r="C39" s="110" t="s">
        <v>1105</v>
      </c>
      <c r="D39" s="110" t="s">
        <v>81</v>
      </c>
      <c r="E39" s="110" t="s">
        <v>1106</v>
      </c>
      <c r="F39" s="111" t="s">
        <v>1107</v>
      </c>
    </row>
    <row r="40" spans="1:6">
      <c r="A40" s="109" t="s">
        <v>1108</v>
      </c>
      <c r="B40" s="110" t="s">
        <v>833</v>
      </c>
      <c r="C40" s="110" t="s">
        <v>1109</v>
      </c>
      <c r="D40" s="110" t="s">
        <v>81</v>
      </c>
      <c r="E40" s="110" t="s">
        <v>1110</v>
      </c>
      <c r="F40" s="111" t="s">
        <v>1111</v>
      </c>
    </row>
    <row r="41" spans="1:6">
      <c r="A41" s="109" t="s">
        <v>1112</v>
      </c>
      <c r="B41" s="110" t="s">
        <v>834</v>
      </c>
      <c r="C41" s="110" t="s">
        <v>1113</v>
      </c>
      <c r="D41" s="110" t="s">
        <v>81</v>
      </c>
      <c r="E41" s="110" t="s">
        <v>1114</v>
      </c>
      <c r="F41" s="111" t="s">
        <v>1115</v>
      </c>
    </row>
    <row r="42" spans="1:6">
      <c r="A42" s="109" t="s">
        <v>1116</v>
      </c>
      <c r="B42" s="110" t="s">
        <v>835</v>
      </c>
      <c r="C42" s="110" t="s">
        <v>1117</v>
      </c>
      <c r="D42" s="110" t="s">
        <v>81</v>
      </c>
      <c r="E42" s="110" t="s">
        <v>1118</v>
      </c>
      <c r="F42" s="111" t="s">
        <v>1119</v>
      </c>
    </row>
    <row r="43" spans="1:6">
      <c r="A43" s="109" t="s">
        <v>1120</v>
      </c>
      <c r="B43" s="110" t="s">
        <v>836</v>
      </c>
      <c r="C43" s="110" t="s">
        <v>1121</v>
      </c>
      <c r="D43" s="110" t="s">
        <v>81</v>
      </c>
      <c r="E43" s="110" t="s">
        <v>1122</v>
      </c>
      <c r="F43" s="111" t="s">
        <v>1123</v>
      </c>
    </row>
    <row r="44" spans="1:6">
      <c r="A44" s="109" t="s">
        <v>1124</v>
      </c>
      <c r="B44" s="110" t="s">
        <v>837</v>
      </c>
      <c r="C44" s="110" t="s">
        <v>1125</v>
      </c>
      <c r="D44" s="110" t="s">
        <v>81</v>
      </c>
      <c r="E44" s="110" t="s">
        <v>1126</v>
      </c>
      <c r="F44" s="111" t="s">
        <v>1127</v>
      </c>
    </row>
    <row r="45" spans="1:6">
      <c r="A45" s="109" t="s">
        <v>1128</v>
      </c>
      <c r="B45" s="110" t="s">
        <v>838</v>
      </c>
      <c r="C45" s="110" t="s">
        <v>1129</v>
      </c>
      <c r="D45" s="110" t="s">
        <v>81</v>
      </c>
      <c r="E45" s="110" t="s">
        <v>1130</v>
      </c>
      <c r="F45" s="111" t="s">
        <v>1131</v>
      </c>
    </row>
    <row r="46" spans="1:6">
      <c r="A46" s="109" t="s">
        <v>1132</v>
      </c>
      <c r="B46" s="110" t="s">
        <v>839</v>
      </c>
      <c r="C46" s="110" t="s">
        <v>1133</v>
      </c>
      <c r="D46" s="110" t="s">
        <v>81</v>
      </c>
      <c r="E46" s="110" t="s">
        <v>1134</v>
      </c>
      <c r="F46" s="111" t="s">
        <v>1135</v>
      </c>
    </row>
    <row r="47" spans="1:6">
      <c r="A47" s="109" t="s">
        <v>1136</v>
      </c>
      <c r="B47" s="110" t="s">
        <v>840</v>
      </c>
      <c r="C47" s="110" t="s">
        <v>1137</v>
      </c>
      <c r="D47" s="110" t="s">
        <v>81</v>
      </c>
      <c r="E47" s="110" t="s">
        <v>1138</v>
      </c>
      <c r="F47" s="111" t="s">
        <v>1139</v>
      </c>
    </row>
    <row r="48" spans="1:6">
      <c r="A48" s="109" t="s">
        <v>1140</v>
      </c>
      <c r="B48" s="110" t="s">
        <v>841</v>
      </c>
      <c r="C48" s="110" t="s">
        <v>1141</v>
      </c>
      <c r="D48" s="110" t="s">
        <v>81</v>
      </c>
      <c r="E48" s="110" t="s">
        <v>1142</v>
      </c>
      <c r="F48" s="111" t="s">
        <v>1143</v>
      </c>
    </row>
    <row r="49" spans="1:6">
      <c r="A49" s="109" t="s">
        <v>1144</v>
      </c>
      <c r="B49" s="110" t="s">
        <v>842</v>
      </c>
      <c r="C49" s="110" t="s">
        <v>1145</v>
      </c>
      <c r="D49" s="110" t="s">
        <v>82</v>
      </c>
      <c r="E49" s="110" t="s">
        <v>1146</v>
      </c>
      <c r="F49" s="111" t="s">
        <v>1147</v>
      </c>
    </row>
    <row r="50" spans="1:6">
      <c r="A50" s="109" t="s">
        <v>1148</v>
      </c>
      <c r="B50" s="110" t="s">
        <v>843</v>
      </c>
      <c r="C50" s="110" t="s">
        <v>1149</v>
      </c>
      <c r="D50" s="110" t="s">
        <v>81</v>
      </c>
      <c r="E50" s="110" t="s">
        <v>1150</v>
      </c>
      <c r="F50" s="111" t="s">
        <v>1151</v>
      </c>
    </row>
    <row r="51" spans="1:6">
      <c r="A51" s="109" t="s">
        <v>1152</v>
      </c>
      <c r="B51" s="110" t="s">
        <v>844</v>
      </c>
      <c r="C51" s="110" t="s">
        <v>1153</v>
      </c>
      <c r="D51" s="110" t="s">
        <v>81</v>
      </c>
      <c r="E51" s="110" t="s">
        <v>1154</v>
      </c>
      <c r="F51" s="111" t="s">
        <v>1155</v>
      </c>
    </row>
    <row r="52" spans="1:6">
      <c r="A52" s="109" t="s">
        <v>1156</v>
      </c>
      <c r="B52" s="110" t="s">
        <v>845</v>
      </c>
      <c r="C52" s="110" t="s">
        <v>1157</v>
      </c>
      <c r="D52" s="110" t="s">
        <v>81</v>
      </c>
      <c r="E52" s="110" t="s">
        <v>1158</v>
      </c>
      <c r="F52" s="111" t="s">
        <v>1159</v>
      </c>
    </row>
    <row r="53" spans="1:6">
      <c r="A53" s="109" t="s">
        <v>1160</v>
      </c>
      <c r="B53" s="110" t="s">
        <v>846</v>
      </c>
      <c r="C53" s="110" t="s">
        <v>1161</v>
      </c>
      <c r="D53" s="110" t="s">
        <v>81</v>
      </c>
      <c r="E53" s="110" t="s">
        <v>1162</v>
      </c>
      <c r="F53" s="111" t="s">
        <v>1163</v>
      </c>
    </row>
    <row r="54" spans="1:6">
      <c r="A54" s="109" t="s">
        <v>1164</v>
      </c>
      <c r="B54" s="110" t="s">
        <v>847</v>
      </c>
      <c r="C54" s="110" t="s">
        <v>1165</v>
      </c>
      <c r="D54" s="110" t="s">
        <v>81</v>
      </c>
      <c r="E54" s="110" t="s">
        <v>1166</v>
      </c>
      <c r="F54" s="111" t="s">
        <v>1167</v>
      </c>
    </row>
    <row r="55" spans="1:6">
      <c r="A55" s="109" t="s">
        <v>1168</v>
      </c>
      <c r="B55" s="110" t="s">
        <v>848</v>
      </c>
      <c r="C55" s="110" t="s">
        <v>1169</v>
      </c>
      <c r="D55" s="110" t="s">
        <v>81</v>
      </c>
      <c r="E55" s="110" t="s">
        <v>1170</v>
      </c>
      <c r="F55" s="111" t="s">
        <v>1171</v>
      </c>
    </row>
    <row r="56" spans="1:6">
      <c r="A56" s="109" t="s">
        <v>1172</v>
      </c>
      <c r="B56" s="110" t="s">
        <v>849</v>
      </c>
      <c r="C56" s="110" t="s">
        <v>1173</v>
      </c>
      <c r="D56" s="110" t="s">
        <v>81</v>
      </c>
      <c r="E56" s="110" t="s">
        <v>1174</v>
      </c>
      <c r="F56" s="111" t="s">
        <v>1175</v>
      </c>
    </row>
    <row r="57" spans="1:6">
      <c r="A57" s="109" t="s">
        <v>1176</v>
      </c>
      <c r="B57" s="110" t="s">
        <v>850</v>
      </c>
      <c r="C57" s="110" t="s">
        <v>1177</v>
      </c>
      <c r="D57" s="110" t="s">
        <v>81</v>
      </c>
      <c r="E57" s="110" t="s">
        <v>1178</v>
      </c>
      <c r="F57" s="111" t="s">
        <v>1179</v>
      </c>
    </row>
    <row r="58" spans="1:6">
      <c r="A58" s="109" t="s">
        <v>1180</v>
      </c>
      <c r="B58" s="110" t="s">
        <v>851</v>
      </c>
      <c r="C58" s="110" t="s">
        <v>1181</v>
      </c>
      <c r="D58" s="110" t="s">
        <v>81</v>
      </c>
      <c r="E58" s="110" t="s">
        <v>1182</v>
      </c>
      <c r="F58" s="111" t="s">
        <v>1183</v>
      </c>
    </row>
    <row r="59" spans="1:6">
      <c r="A59" s="109" t="s">
        <v>1184</v>
      </c>
      <c r="B59" s="110" t="s">
        <v>852</v>
      </c>
      <c r="C59" s="110" t="s">
        <v>1185</v>
      </c>
      <c r="D59" s="110" t="s">
        <v>81</v>
      </c>
      <c r="E59" s="110" t="s">
        <v>1186</v>
      </c>
      <c r="F59" s="111" t="s">
        <v>1187</v>
      </c>
    </row>
    <row r="60" spans="1:6">
      <c r="A60" s="109" t="s">
        <v>1188</v>
      </c>
      <c r="B60" s="110" t="s">
        <v>853</v>
      </c>
      <c r="C60" s="110" t="s">
        <v>1189</v>
      </c>
      <c r="D60" s="110" t="s">
        <v>81</v>
      </c>
      <c r="E60" s="110" t="s">
        <v>1190</v>
      </c>
      <c r="F60" s="111" t="s">
        <v>1191</v>
      </c>
    </row>
    <row r="61" spans="1:6">
      <c r="A61" s="109" t="s">
        <v>1192</v>
      </c>
      <c r="B61" s="110" t="s">
        <v>854</v>
      </c>
      <c r="C61" s="110" t="s">
        <v>1193</v>
      </c>
      <c r="D61" s="110" t="s">
        <v>81</v>
      </c>
      <c r="E61" s="110" t="s">
        <v>1194</v>
      </c>
      <c r="F61" s="111" t="s">
        <v>1195</v>
      </c>
    </row>
    <row r="62" spans="1:6">
      <c r="A62" s="109" t="s">
        <v>1196</v>
      </c>
      <c r="B62" s="110" t="s">
        <v>855</v>
      </c>
      <c r="C62" s="110" t="s">
        <v>1197</v>
      </c>
      <c r="D62" s="110" t="s">
        <v>81</v>
      </c>
      <c r="E62" s="110" t="s">
        <v>1198</v>
      </c>
      <c r="F62" s="111" t="s">
        <v>1199</v>
      </c>
    </row>
    <row r="63" spans="1:6">
      <c r="A63" s="109" t="s">
        <v>1200</v>
      </c>
      <c r="B63" s="110" t="s">
        <v>856</v>
      </c>
      <c r="C63" s="110" t="s">
        <v>1201</v>
      </c>
      <c r="D63" s="110" t="s">
        <v>81</v>
      </c>
      <c r="E63" s="110" t="s">
        <v>1202</v>
      </c>
      <c r="F63" s="111" t="s">
        <v>1203</v>
      </c>
    </row>
    <row r="64" spans="1:6">
      <c r="A64" s="109" t="s">
        <v>1204</v>
      </c>
      <c r="B64" s="110" t="s">
        <v>857</v>
      </c>
      <c r="C64" s="110" t="s">
        <v>1205</v>
      </c>
      <c r="D64" s="110" t="s">
        <v>81</v>
      </c>
      <c r="E64" s="110" t="s">
        <v>1206</v>
      </c>
      <c r="F64" s="111" t="s">
        <v>1207</v>
      </c>
    </row>
    <row r="65" spans="1:6">
      <c r="A65" s="109" t="s">
        <v>1208</v>
      </c>
      <c r="B65" s="110" t="s">
        <v>858</v>
      </c>
      <c r="C65" s="110" t="s">
        <v>1209</v>
      </c>
      <c r="D65" s="110" t="s">
        <v>81</v>
      </c>
      <c r="E65" s="110" t="s">
        <v>1210</v>
      </c>
      <c r="F65" s="111" t="s">
        <v>1211</v>
      </c>
    </row>
    <row r="66" spans="1:6">
      <c r="A66" s="109" t="s">
        <v>1212</v>
      </c>
      <c r="B66" s="110" t="s">
        <v>859</v>
      </c>
      <c r="C66" s="110" t="s">
        <v>1213</v>
      </c>
      <c r="D66" s="110" t="s">
        <v>81</v>
      </c>
      <c r="E66" s="110" t="s">
        <v>1214</v>
      </c>
      <c r="F66" s="111" t="s">
        <v>1215</v>
      </c>
    </row>
    <row r="67" spans="1:6">
      <c r="A67" s="109" t="s">
        <v>1216</v>
      </c>
      <c r="B67" s="110" t="s">
        <v>860</v>
      </c>
      <c r="C67" s="110" t="s">
        <v>1217</v>
      </c>
      <c r="D67" s="110" t="s">
        <v>81</v>
      </c>
      <c r="E67" s="110" t="s">
        <v>1218</v>
      </c>
      <c r="F67" s="111" t="s">
        <v>1219</v>
      </c>
    </row>
    <row r="68" spans="1:6">
      <c r="A68" s="109" t="s">
        <v>1220</v>
      </c>
      <c r="B68" s="110" t="s">
        <v>861</v>
      </c>
      <c r="C68" s="110" t="s">
        <v>1221</v>
      </c>
      <c r="D68" s="110" t="s">
        <v>81</v>
      </c>
      <c r="E68" s="110" t="s">
        <v>1222</v>
      </c>
      <c r="F68" s="111" t="s">
        <v>1223</v>
      </c>
    </row>
    <row r="69" spans="1:6">
      <c r="A69" s="109" t="s">
        <v>1224</v>
      </c>
      <c r="B69" s="110" t="s">
        <v>862</v>
      </c>
      <c r="C69" s="110" t="s">
        <v>1225</v>
      </c>
      <c r="D69" s="110" t="s">
        <v>81</v>
      </c>
      <c r="E69" s="110" t="s">
        <v>1226</v>
      </c>
      <c r="F69" s="111" t="s">
        <v>1227</v>
      </c>
    </row>
    <row r="70" spans="1:6">
      <c r="A70" s="109" t="s">
        <v>1228</v>
      </c>
      <c r="B70" s="110" t="s">
        <v>863</v>
      </c>
      <c r="C70" s="110" t="s">
        <v>1229</v>
      </c>
      <c r="D70" s="110" t="s">
        <v>81</v>
      </c>
      <c r="E70" s="110" t="s">
        <v>1230</v>
      </c>
      <c r="F70" s="111" t="s">
        <v>1231</v>
      </c>
    </row>
    <row r="71" spans="1:6">
      <c r="A71" s="109" t="s">
        <v>1232</v>
      </c>
      <c r="B71" s="110" t="s">
        <v>864</v>
      </c>
      <c r="C71" s="110" t="s">
        <v>1233</v>
      </c>
      <c r="D71" s="110" t="s">
        <v>81</v>
      </c>
      <c r="E71" s="110" t="s">
        <v>1234</v>
      </c>
      <c r="F71" s="111" t="s">
        <v>1235</v>
      </c>
    </row>
    <row r="72" spans="1:6">
      <c r="A72" s="109" t="s">
        <v>1236</v>
      </c>
      <c r="B72" s="110" t="s">
        <v>865</v>
      </c>
      <c r="C72" s="110" t="s">
        <v>1237</v>
      </c>
      <c r="D72" s="110" t="s">
        <v>81</v>
      </c>
      <c r="E72" s="110" t="s">
        <v>1238</v>
      </c>
      <c r="F72" s="110" t="s">
        <v>1239</v>
      </c>
    </row>
    <row r="73" spans="1:6">
      <c r="A73" s="109" t="s">
        <v>1240</v>
      </c>
      <c r="B73" s="110" t="s">
        <v>866</v>
      </c>
      <c r="C73" s="110" t="s">
        <v>1241</v>
      </c>
      <c r="D73" s="110" t="s">
        <v>81</v>
      </c>
      <c r="E73" s="110" t="s">
        <v>1242</v>
      </c>
      <c r="F73" s="111" t="s">
        <v>1243</v>
      </c>
    </row>
    <row r="74" spans="1:6">
      <c r="A74" s="109" t="s">
        <v>1244</v>
      </c>
      <c r="B74" s="110" t="s">
        <v>867</v>
      </c>
      <c r="C74" s="110" t="s">
        <v>1245</v>
      </c>
      <c r="D74" s="110" t="s">
        <v>81</v>
      </c>
      <c r="E74" s="110" t="s">
        <v>1246</v>
      </c>
      <c r="F74" s="111" t="s">
        <v>1247</v>
      </c>
    </row>
    <row r="75" spans="1:6">
      <c r="A75" s="109" t="s">
        <v>1248</v>
      </c>
      <c r="B75" s="110" t="s">
        <v>868</v>
      </c>
      <c r="C75" s="110" t="s">
        <v>1249</v>
      </c>
      <c r="D75" s="110" t="s">
        <v>81</v>
      </c>
      <c r="E75" s="110" t="s">
        <v>1250</v>
      </c>
      <c r="F75" s="111" t="s">
        <v>1251</v>
      </c>
    </row>
    <row r="76" spans="1:6">
      <c r="A76" s="109" t="s">
        <v>1252</v>
      </c>
      <c r="B76" s="110" t="s">
        <v>869</v>
      </c>
      <c r="C76" s="110" t="s">
        <v>1253</v>
      </c>
      <c r="D76" s="110" t="s">
        <v>81</v>
      </c>
      <c r="E76" s="110" t="s">
        <v>1254</v>
      </c>
      <c r="F76" s="111" t="s">
        <v>1255</v>
      </c>
    </row>
    <row r="77" spans="1:6">
      <c r="A77" s="109" t="s">
        <v>1256</v>
      </c>
      <c r="B77" s="110" t="s">
        <v>870</v>
      </c>
      <c r="C77" s="110" t="s">
        <v>1257</v>
      </c>
      <c r="D77" s="110" t="s">
        <v>81</v>
      </c>
      <c r="E77" s="110" t="s">
        <v>1258</v>
      </c>
      <c r="F77" s="111" t="s">
        <v>1259</v>
      </c>
    </row>
    <row r="78" spans="1:6">
      <c r="A78" s="109" t="s">
        <v>1260</v>
      </c>
      <c r="B78" s="110" t="s">
        <v>871</v>
      </c>
      <c r="C78" s="110" t="s">
        <v>1261</v>
      </c>
      <c r="D78" s="110" t="s">
        <v>81</v>
      </c>
      <c r="E78" s="110" t="s">
        <v>1262</v>
      </c>
      <c r="F78" s="111" t="s">
        <v>1263</v>
      </c>
    </row>
    <row r="79" spans="1:6">
      <c r="A79" s="109" t="s">
        <v>1264</v>
      </c>
      <c r="B79" s="110" t="s">
        <v>872</v>
      </c>
      <c r="C79" s="110" t="s">
        <v>1265</v>
      </c>
      <c r="D79" s="110" t="s">
        <v>81</v>
      </c>
      <c r="E79" s="110" t="s">
        <v>1266</v>
      </c>
      <c r="F79" s="111" t="s">
        <v>1267</v>
      </c>
    </row>
    <row r="80" spans="1:6">
      <c r="A80" s="109" t="s">
        <v>1268</v>
      </c>
      <c r="B80" s="110" t="s">
        <v>873</v>
      </c>
      <c r="C80" s="110" t="s">
        <v>1269</v>
      </c>
      <c r="D80" s="110" t="s">
        <v>81</v>
      </c>
      <c r="E80" s="110" t="s">
        <v>1270</v>
      </c>
      <c r="F80" s="111" t="s">
        <v>1271</v>
      </c>
    </row>
    <row r="81" spans="1:6">
      <c r="A81" s="109" t="s">
        <v>1272</v>
      </c>
      <c r="B81" s="110" t="s">
        <v>874</v>
      </c>
      <c r="C81" s="110" t="s">
        <v>1273</v>
      </c>
      <c r="D81" s="110" t="s">
        <v>81</v>
      </c>
      <c r="E81" s="110" t="s">
        <v>1274</v>
      </c>
      <c r="F81" s="111" t="s">
        <v>1275</v>
      </c>
    </row>
    <row r="82" spans="1:6">
      <c r="A82" s="109" t="s">
        <v>1276</v>
      </c>
      <c r="B82" s="110" t="s">
        <v>875</v>
      </c>
      <c r="C82" s="110" t="s">
        <v>1277</v>
      </c>
      <c r="D82" s="110" t="s">
        <v>81</v>
      </c>
      <c r="E82" s="110" t="s">
        <v>1278</v>
      </c>
      <c r="F82" s="111" t="s">
        <v>1279</v>
      </c>
    </row>
    <row r="83" spans="1:6">
      <c r="A83" s="109" t="s">
        <v>1280</v>
      </c>
      <c r="B83" s="110" t="s">
        <v>876</v>
      </c>
      <c r="C83" s="110" t="s">
        <v>1281</v>
      </c>
      <c r="D83" s="110" t="s">
        <v>81</v>
      </c>
      <c r="E83" s="110" t="s">
        <v>1282</v>
      </c>
      <c r="F83" s="111" t="s">
        <v>1283</v>
      </c>
    </row>
    <row r="84" spans="1:6">
      <c r="A84" s="109" t="s">
        <v>1284</v>
      </c>
      <c r="B84" s="110" t="s">
        <v>877</v>
      </c>
      <c r="C84" s="110" t="s">
        <v>1285</v>
      </c>
      <c r="D84" s="110" t="s">
        <v>81</v>
      </c>
      <c r="E84" s="110" t="s">
        <v>1286</v>
      </c>
      <c r="F84" s="111" t="s">
        <v>1287</v>
      </c>
    </row>
    <row r="85" spans="1:6">
      <c r="A85" s="109" t="s">
        <v>1288</v>
      </c>
      <c r="B85" s="110" t="s">
        <v>878</v>
      </c>
      <c r="C85" s="110" t="s">
        <v>1289</v>
      </c>
      <c r="D85" s="110" t="s">
        <v>81</v>
      </c>
      <c r="E85" s="110" t="s">
        <v>1290</v>
      </c>
      <c r="F85" s="111" t="s">
        <v>1291</v>
      </c>
    </row>
    <row r="86" spans="1:6">
      <c r="A86" s="109" t="s">
        <v>1292</v>
      </c>
      <c r="B86" s="110" t="s">
        <v>879</v>
      </c>
      <c r="C86" s="110" t="s">
        <v>1293</v>
      </c>
      <c r="D86" s="110" t="s">
        <v>81</v>
      </c>
      <c r="E86" s="110" t="s">
        <v>1294</v>
      </c>
      <c r="F86" s="111" t="s">
        <v>1295</v>
      </c>
    </row>
    <row r="87" spans="1:6">
      <c r="A87" s="109" t="s">
        <v>1296</v>
      </c>
      <c r="B87" s="110" t="s">
        <v>880</v>
      </c>
      <c r="C87" s="110" t="s">
        <v>1297</v>
      </c>
      <c r="D87" s="110" t="s">
        <v>81</v>
      </c>
      <c r="E87" s="110" t="s">
        <v>1298</v>
      </c>
      <c r="F87" s="111" t="s">
        <v>1299</v>
      </c>
    </row>
    <row r="88" spans="1:6">
      <c r="A88" s="109" t="s">
        <v>1300</v>
      </c>
      <c r="B88" s="110" t="s">
        <v>881</v>
      </c>
      <c r="C88" s="110" t="s">
        <v>1301</v>
      </c>
      <c r="D88" s="110" t="s">
        <v>81</v>
      </c>
      <c r="E88" s="110" t="s">
        <v>1302</v>
      </c>
      <c r="F88" s="111" t="s">
        <v>1303</v>
      </c>
    </row>
    <row r="89" spans="1:6">
      <c r="A89" s="109" t="s">
        <v>1304</v>
      </c>
      <c r="B89" s="110" t="s">
        <v>882</v>
      </c>
      <c r="C89" s="110" t="s">
        <v>1305</v>
      </c>
      <c r="D89" s="110" t="s">
        <v>81</v>
      </c>
      <c r="E89" s="110" t="s">
        <v>1306</v>
      </c>
      <c r="F89" s="111" t="s">
        <v>1307</v>
      </c>
    </row>
    <row r="90" spans="1:6">
      <c r="A90" s="109" t="s">
        <v>1308</v>
      </c>
      <c r="B90" s="110" t="s">
        <v>883</v>
      </c>
      <c r="C90" s="110" t="s">
        <v>1309</v>
      </c>
      <c r="D90" s="110" t="s">
        <v>81</v>
      </c>
      <c r="E90" s="110" t="s">
        <v>1310</v>
      </c>
      <c r="F90" s="111" t="s">
        <v>1311</v>
      </c>
    </row>
    <row r="91" spans="1:6">
      <c r="A91" s="109" t="s">
        <v>1312</v>
      </c>
      <c r="B91" s="110" t="s">
        <v>884</v>
      </c>
      <c r="C91" s="110" t="s">
        <v>1313</v>
      </c>
      <c r="D91" s="110" t="s">
        <v>81</v>
      </c>
      <c r="E91" s="110" t="s">
        <v>1314</v>
      </c>
      <c r="F91" s="111" t="s">
        <v>1315</v>
      </c>
    </row>
    <row r="92" spans="1:6">
      <c r="A92" s="109" t="s">
        <v>1316</v>
      </c>
      <c r="B92" s="110" t="s">
        <v>885</v>
      </c>
      <c r="C92" s="110" t="s">
        <v>1317</v>
      </c>
      <c r="D92" s="110" t="s">
        <v>81</v>
      </c>
      <c r="E92" s="110" t="s">
        <v>1318</v>
      </c>
      <c r="F92" s="111" t="s">
        <v>1319</v>
      </c>
    </row>
    <row r="93" spans="1:6">
      <c r="A93" s="109" t="s">
        <v>1320</v>
      </c>
      <c r="B93" s="110" t="s">
        <v>886</v>
      </c>
      <c r="C93" s="110" t="s">
        <v>1321</v>
      </c>
      <c r="D93" s="110" t="s">
        <v>81</v>
      </c>
      <c r="E93" s="110" t="s">
        <v>1322</v>
      </c>
      <c r="F93" s="111" t="s">
        <v>1323</v>
      </c>
    </row>
    <row r="94" spans="1:6">
      <c r="A94" s="109" t="s">
        <v>1324</v>
      </c>
      <c r="B94" s="110" t="s">
        <v>887</v>
      </c>
      <c r="C94" s="110" t="s">
        <v>1325</v>
      </c>
      <c r="D94" s="110" t="s">
        <v>81</v>
      </c>
      <c r="E94" s="110" t="s">
        <v>1326</v>
      </c>
      <c r="F94" s="111" t="s">
        <v>1327</v>
      </c>
    </row>
    <row r="95" spans="1:6">
      <c r="A95" s="109" t="s">
        <v>1328</v>
      </c>
      <c r="B95" s="110" t="s">
        <v>888</v>
      </c>
      <c r="C95" s="110" t="s">
        <v>1329</v>
      </c>
      <c r="D95" s="110" t="s">
        <v>81</v>
      </c>
      <c r="E95" s="110" t="s">
        <v>1330</v>
      </c>
      <c r="F95" s="111" t="s">
        <v>1331</v>
      </c>
    </row>
    <row r="96" spans="1:6">
      <c r="A96" s="109" t="s">
        <v>1332</v>
      </c>
      <c r="B96" s="110" t="s">
        <v>889</v>
      </c>
      <c r="C96" s="110" t="s">
        <v>1333</v>
      </c>
      <c r="D96" s="110" t="s">
        <v>81</v>
      </c>
      <c r="E96" s="110" t="s">
        <v>1334</v>
      </c>
      <c r="F96" s="111" t="s">
        <v>1335</v>
      </c>
    </row>
    <row r="97" spans="1:6">
      <c r="A97" s="109" t="s">
        <v>1336</v>
      </c>
      <c r="B97" s="110" t="s">
        <v>890</v>
      </c>
      <c r="C97" s="110" t="s">
        <v>1337</v>
      </c>
      <c r="D97" s="110" t="s">
        <v>81</v>
      </c>
      <c r="E97" s="110" t="s">
        <v>1338</v>
      </c>
      <c r="F97" s="111" t="s">
        <v>1339</v>
      </c>
    </row>
    <row r="98" spans="1:6">
      <c r="A98" s="109" t="s">
        <v>1340</v>
      </c>
      <c r="B98" s="110" t="s">
        <v>891</v>
      </c>
      <c r="C98" s="110" t="s">
        <v>1341</v>
      </c>
      <c r="D98" s="110" t="s">
        <v>81</v>
      </c>
      <c r="E98" s="110" t="s">
        <v>1342</v>
      </c>
      <c r="F98" s="111" t="s">
        <v>1343</v>
      </c>
    </row>
    <row r="99" spans="1:6">
      <c r="A99" s="109" t="s">
        <v>1344</v>
      </c>
      <c r="B99" s="110" t="s">
        <v>892</v>
      </c>
      <c r="C99" s="110" t="s">
        <v>1345</v>
      </c>
      <c r="D99" s="110" t="s">
        <v>81</v>
      </c>
      <c r="E99" s="110" t="s">
        <v>1346</v>
      </c>
      <c r="F99" s="111" t="s">
        <v>1347</v>
      </c>
    </row>
    <row r="100" spans="1:6">
      <c r="A100" s="109" t="s">
        <v>1348</v>
      </c>
      <c r="B100" s="110" t="s">
        <v>893</v>
      </c>
      <c r="C100" s="110" t="s">
        <v>1349</v>
      </c>
      <c r="D100" s="110" t="s">
        <v>81</v>
      </c>
      <c r="E100" s="110" t="s">
        <v>1350</v>
      </c>
      <c r="F100" s="111" t="s">
        <v>1351</v>
      </c>
    </row>
    <row r="101" spans="1:6">
      <c r="A101" s="109" t="s">
        <v>1352</v>
      </c>
      <c r="B101" s="110" t="s">
        <v>894</v>
      </c>
      <c r="C101" s="110" t="s">
        <v>1353</v>
      </c>
      <c r="D101" s="110" t="s">
        <v>81</v>
      </c>
      <c r="E101" s="110" t="s">
        <v>1354</v>
      </c>
      <c r="F101" s="111" t="s">
        <v>1355</v>
      </c>
    </row>
    <row r="102" spans="1:6">
      <c r="A102" s="109" t="s">
        <v>1356</v>
      </c>
      <c r="B102" s="110" t="s">
        <v>895</v>
      </c>
      <c r="C102" s="110" t="s">
        <v>1357</v>
      </c>
      <c r="D102" s="110" t="s">
        <v>81</v>
      </c>
      <c r="E102" s="110" t="s">
        <v>1358</v>
      </c>
      <c r="F102" s="111" t="s">
        <v>1359</v>
      </c>
    </row>
    <row r="103" spans="1:6">
      <c r="A103" s="109" t="s">
        <v>1360</v>
      </c>
      <c r="B103" s="110" t="s">
        <v>896</v>
      </c>
      <c r="C103" s="110" t="s">
        <v>1361</v>
      </c>
      <c r="D103" s="110" t="s">
        <v>81</v>
      </c>
      <c r="E103" s="110" t="s">
        <v>1362</v>
      </c>
      <c r="F103" s="111" t="s">
        <v>1363</v>
      </c>
    </row>
    <row r="104" spans="1:6">
      <c r="A104" s="109" t="s">
        <v>1364</v>
      </c>
      <c r="B104" s="110" t="s">
        <v>897</v>
      </c>
      <c r="C104" s="110" t="s">
        <v>1365</v>
      </c>
      <c r="D104" s="110" t="s">
        <v>81</v>
      </c>
      <c r="E104" s="110" t="s">
        <v>1366</v>
      </c>
      <c r="F104" s="111" t="s">
        <v>1367</v>
      </c>
    </row>
    <row r="105" spans="1:6">
      <c r="A105" s="109" t="s">
        <v>1368</v>
      </c>
      <c r="B105" s="110" t="s">
        <v>898</v>
      </c>
      <c r="C105" s="110" t="s">
        <v>1369</v>
      </c>
      <c r="D105" s="110" t="s">
        <v>81</v>
      </c>
      <c r="E105" s="110" t="s">
        <v>1370</v>
      </c>
      <c r="F105" s="111" t="s">
        <v>1371</v>
      </c>
    </row>
    <row r="106" spans="1:6">
      <c r="A106" s="109" t="s">
        <v>1372</v>
      </c>
      <c r="B106" s="110" t="s">
        <v>899</v>
      </c>
      <c r="C106" s="110" t="s">
        <v>1373</v>
      </c>
      <c r="D106" s="110" t="s">
        <v>81</v>
      </c>
      <c r="E106" s="110" t="s">
        <v>1374</v>
      </c>
      <c r="F106" s="111" t="s">
        <v>1375</v>
      </c>
    </row>
    <row r="107" spans="1:6">
      <c r="A107" s="109" t="s">
        <v>1376</v>
      </c>
      <c r="B107" s="110" t="s">
        <v>900</v>
      </c>
      <c r="C107" s="110" t="s">
        <v>1377</v>
      </c>
      <c r="D107" s="110" t="s">
        <v>81</v>
      </c>
      <c r="E107" s="110" t="s">
        <v>1378</v>
      </c>
      <c r="F107" s="111" t="s">
        <v>1379</v>
      </c>
    </row>
    <row r="108" spans="1:6">
      <c r="A108" s="109" t="s">
        <v>1380</v>
      </c>
      <c r="B108" s="110" t="s">
        <v>901</v>
      </c>
      <c r="C108" s="110" t="s">
        <v>1381</v>
      </c>
      <c r="D108" s="110" t="s">
        <v>81</v>
      </c>
      <c r="E108" s="110" t="s">
        <v>1382</v>
      </c>
      <c r="F108" s="111" t="s">
        <v>1383</v>
      </c>
    </row>
    <row r="109" spans="1:6">
      <c r="A109" s="109" t="s">
        <v>1384</v>
      </c>
      <c r="B109" s="110" t="s">
        <v>902</v>
      </c>
      <c r="C109" s="110" t="s">
        <v>1385</v>
      </c>
      <c r="D109" s="110" t="s">
        <v>81</v>
      </c>
      <c r="E109" s="110" t="s">
        <v>1386</v>
      </c>
      <c r="F109" s="111" t="s">
        <v>1387</v>
      </c>
    </row>
    <row r="110" spans="1:6">
      <c r="A110" s="109" t="s">
        <v>1388</v>
      </c>
      <c r="B110" s="110" t="s">
        <v>903</v>
      </c>
      <c r="C110" s="110" t="s">
        <v>1389</v>
      </c>
      <c r="D110" s="110" t="s">
        <v>81</v>
      </c>
      <c r="E110" s="110" t="s">
        <v>1390</v>
      </c>
      <c r="F110" s="111" t="s">
        <v>1391</v>
      </c>
    </row>
    <row r="111" spans="1:6">
      <c r="A111" s="109" t="s">
        <v>1392</v>
      </c>
      <c r="B111" s="110" t="s">
        <v>904</v>
      </c>
      <c r="C111" s="110" t="s">
        <v>1393</v>
      </c>
      <c r="D111" s="110" t="s">
        <v>81</v>
      </c>
      <c r="E111" s="110" t="s">
        <v>1394</v>
      </c>
      <c r="F111" s="111" t="s">
        <v>1395</v>
      </c>
    </row>
    <row r="112" spans="1:6">
      <c r="A112" s="109" t="s">
        <v>1396</v>
      </c>
      <c r="B112" s="110" t="s">
        <v>905</v>
      </c>
      <c r="C112" s="110" t="s">
        <v>1397</v>
      </c>
      <c r="D112" s="110" t="s">
        <v>81</v>
      </c>
      <c r="E112" s="110" t="s">
        <v>1398</v>
      </c>
      <c r="F112" s="111" t="s">
        <v>1399</v>
      </c>
    </row>
    <row r="113" spans="1:6">
      <c r="A113" s="109" t="s">
        <v>1400</v>
      </c>
      <c r="B113" s="110" t="s">
        <v>906</v>
      </c>
      <c r="C113" s="110" t="s">
        <v>1401</v>
      </c>
      <c r="D113" s="110" t="s">
        <v>81</v>
      </c>
      <c r="E113" s="110" t="s">
        <v>1402</v>
      </c>
      <c r="F113" s="111" t="s">
        <v>1403</v>
      </c>
    </row>
    <row r="114" spans="1:6">
      <c r="A114" s="109" t="s">
        <v>1404</v>
      </c>
      <c r="B114" s="110" t="s">
        <v>907</v>
      </c>
      <c r="C114" s="110" t="s">
        <v>1405</v>
      </c>
      <c r="D114" s="110" t="s">
        <v>81</v>
      </c>
      <c r="E114" s="110" t="s">
        <v>1406</v>
      </c>
      <c r="F114" s="111" t="s">
        <v>1407</v>
      </c>
    </row>
    <row r="115" spans="1:6">
      <c r="A115" s="109" t="s">
        <v>1408</v>
      </c>
      <c r="B115" s="110" t="s">
        <v>908</v>
      </c>
      <c r="C115" s="110" t="s">
        <v>1409</v>
      </c>
      <c r="D115" s="110" t="s">
        <v>81</v>
      </c>
      <c r="E115" s="110" t="s">
        <v>1410</v>
      </c>
      <c r="F115" s="111" t="s">
        <v>1411</v>
      </c>
    </row>
    <row r="116" spans="1:6">
      <c r="A116" s="109" t="s">
        <v>1412</v>
      </c>
      <c r="B116" s="110" t="s">
        <v>909</v>
      </c>
      <c r="C116" s="110" t="s">
        <v>1413</v>
      </c>
      <c r="D116" s="110" t="s">
        <v>81</v>
      </c>
      <c r="E116" s="110" t="s">
        <v>1414</v>
      </c>
      <c r="F116" s="111" t="s">
        <v>1415</v>
      </c>
    </row>
    <row r="117" spans="1:6">
      <c r="A117" s="109" t="s">
        <v>1416</v>
      </c>
      <c r="B117" s="110" t="s">
        <v>910</v>
      </c>
      <c r="C117" s="110" t="s">
        <v>1417</v>
      </c>
      <c r="D117" s="110" t="s">
        <v>81</v>
      </c>
      <c r="E117" s="110" t="s">
        <v>1418</v>
      </c>
      <c r="F117" s="111" t="s">
        <v>1419</v>
      </c>
    </row>
    <row r="118" spans="1:6">
      <c r="A118" s="109" t="s">
        <v>1420</v>
      </c>
      <c r="B118" s="110" t="s">
        <v>911</v>
      </c>
      <c r="C118" s="110" t="s">
        <v>1421</v>
      </c>
      <c r="D118" s="110" t="s">
        <v>81</v>
      </c>
      <c r="E118" s="110" t="s">
        <v>1422</v>
      </c>
      <c r="F118" s="111" t="s">
        <v>1423</v>
      </c>
    </row>
    <row r="119" spans="1:6">
      <c r="A119" s="109" t="s">
        <v>1424</v>
      </c>
      <c r="B119" s="110" t="s">
        <v>912</v>
      </c>
      <c r="C119" s="110" t="s">
        <v>1425</v>
      </c>
      <c r="D119" s="110" t="s">
        <v>81</v>
      </c>
      <c r="E119" s="110" t="s">
        <v>1426</v>
      </c>
      <c r="F119" s="111" t="s">
        <v>1427</v>
      </c>
    </row>
    <row r="120" spans="1:6">
      <c r="A120" s="109" t="s">
        <v>1428</v>
      </c>
      <c r="B120" s="110" t="s">
        <v>913</v>
      </c>
      <c r="C120" s="110" t="s">
        <v>1429</v>
      </c>
      <c r="D120" s="110" t="s">
        <v>81</v>
      </c>
      <c r="E120" s="110" t="s">
        <v>1430</v>
      </c>
      <c r="F120" s="111" t="s">
        <v>1431</v>
      </c>
    </row>
    <row r="121" spans="1:6">
      <c r="A121" s="109" t="s">
        <v>1432</v>
      </c>
      <c r="B121" s="110" t="s">
        <v>914</v>
      </c>
      <c r="C121" s="110" t="s">
        <v>1433</v>
      </c>
      <c r="D121" s="110" t="s">
        <v>81</v>
      </c>
      <c r="E121" s="110" t="s">
        <v>1434</v>
      </c>
      <c r="F121" s="111" t="s">
        <v>1435</v>
      </c>
    </row>
    <row r="122" spans="1:6">
      <c r="A122" s="109" t="s">
        <v>1436</v>
      </c>
      <c r="B122" s="110" t="s">
        <v>915</v>
      </c>
      <c r="C122" s="110" t="s">
        <v>1437</v>
      </c>
      <c r="D122" s="110" t="s">
        <v>81</v>
      </c>
      <c r="E122" s="110" t="s">
        <v>1438</v>
      </c>
      <c r="F122" s="111" t="s">
        <v>1439</v>
      </c>
    </row>
    <row r="123" spans="1:6">
      <c r="A123" s="109" t="s">
        <v>1440</v>
      </c>
      <c r="B123" s="110" t="s">
        <v>916</v>
      </c>
      <c r="C123" s="110" t="s">
        <v>1441</v>
      </c>
      <c r="D123" s="110" t="s">
        <v>81</v>
      </c>
      <c r="E123" s="110" t="s">
        <v>1442</v>
      </c>
      <c r="F123" s="111" t="s">
        <v>1443</v>
      </c>
    </row>
    <row r="124" spans="1:6">
      <c r="A124" s="109" t="s">
        <v>1444</v>
      </c>
      <c r="B124" s="110" t="s">
        <v>917</v>
      </c>
      <c r="C124" s="110" t="s">
        <v>1445</v>
      </c>
      <c r="D124" s="110" t="s">
        <v>81</v>
      </c>
      <c r="E124" s="110" t="s">
        <v>1446</v>
      </c>
      <c r="F124" s="111" t="s">
        <v>1447</v>
      </c>
    </row>
    <row r="125" spans="1:6">
      <c r="A125" s="109" t="s">
        <v>1448</v>
      </c>
      <c r="B125" s="110" t="s">
        <v>918</v>
      </c>
      <c r="C125" s="110" t="s">
        <v>1449</v>
      </c>
      <c r="D125" s="110" t="s">
        <v>81</v>
      </c>
      <c r="E125" s="110" t="s">
        <v>1450</v>
      </c>
      <c r="F125" s="111" t="s">
        <v>1451</v>
      </c>
    </row>
    <row r="126" spans="1:6">
      <c r="A126" s="109" t="s">
        <v>1452</v>
      </c>
      <c r="B126" s="110" t="s">
        <v>919</v>
      </c>
      <c r="C126" s="110" t="s">
        <v>1453</v>
      </c>
      <c r="D126" s="110" t="s">
        <v>81</v>
      </c>
      <c r="E126" s="110" t="s">
        <v>1454</v>
      </c>
      <c r="F126" s="111" t="s">
        <v>1455</v>
      </c>
    </row>
    <row r="127" spans="1:6">
      <c r="A127" s="109" t="s">
        <v>1456</v>
      </c>
      <c r="B127" s="110" t="s">
        <v>920</v>
      </c>
      <c r="C127" s="110" t="s">
        <v>1457</v>
      </c>
      <c r="D127" s="110" t="s">
        <v>81</v>
      </c>
      <c r="E127" s="110" t="s">
        <v>1458</v>
      </c>
      <c r="F127" s="111" t="s">
        <v>1459</v>
      </c>
    </row>
    <row r="128" spans="1:6">
      <c r="A128" s="109" t="s">
        <v>1460</v>
      </c>
      <c r="B128" s="110" t="s">
        <v>921</v>
      </c>
      <c r="C128" s="110" t="s">
        <v>1461</v>
      </c>
      <c r="D128" s="110" t="s">
        <v>81</v>
      </c>
      <c r="E128" s="110" t="s">
        <v>1462</v>
      </c>
      <c r="F128" s="111" t="s">
        <v>1463</v>
      </c>
    </row>
    <row r="129" spans="1:6">
      <c r="A129" s="109" t="s">
        <v>1464</v>
      </c>
      <c r="B129" s="110" t="s">
        <v>922</v>
      </c>
      <c r="C129" s="110" t="s">
        <v>1465</v>
      </c>
      <c r="D129" s="110" t="s">
        <v>81</v>
      </c>
      <c r="E129" s="110" t="s">
        <v>1466</v>
      </c>
      <c r="F129" s="111" t="s">
        <v>1467</v>
      </c>
    </row>
    <row r="130" spans="1:6">
      <c r="A130" s="109" t="s">
        <v>1468</v>
      </c>
      <c r="B130" s="110" t="s">
        <v>923</v>
      </c>
      <c r="C130" s="110" t="s">
        <v>1469</v>
      </c>
      <c r="D130" s="110" t="s">
        <v>81</v>
      </c>
      <c r="E130" s="110" t="s">
        <v>1470</v>
      </c>
      <c r="F130" s="111" t="s">
        <v>1471</v>
      </c>
    </row>
    <row r="131" spans="1:6">
      <c r="A131" s="109" t="s">
        <v>1472</v>
      </c>
      <c r="B131" s="110" t="s">
        <v>924</v>
      </c>
      <c r="C131" s="110" t="s">
        <v>1473</v>
      </c>
      <c r="D131" s="110" t="s">
        <v>81</v>
      </c>
      <c r="E131" s="110" t="s">
        <v>1474</v>
      </c>
      <c r="F131" s="111" t="s">
        <v>1475</v>
      </c>
    </row>
    <row r="132" spans="1:6">
      <c r="A132" s="109" t="s">
        <v>1476</v>
      </c>
      <c r="B132" s="110" t="s">
        <v>925</v>
      </c>
      <c r="C132" s="110" t="s">
        <v>1477</v>
      </c>
      <c r="D132" s="110" t="s">
        <v>81</v>
      </c>
      <c r="E132" s="110" t="s">
        <v>1478</v>
      </c>
      <c r="F132" s="111" t="s">
        <v>1479</v>
      </c>
    </row>
    <row r="133" spans="1:6">
      <c r="A133" s="109" t="s">
        <v>1480</v>
      </c>
      <c r="B133" s="110" t="s">
        <v>926</v>
      </c>
      <c r="C133" s="110" t="s">
        <v>1481</v>
      </c>
      <c r="D133" s="110" t="s">
        <v>81</v>
      </c>
      <c r="E133" s="110" t="s">
        <v>1482</v>
      </c>
      <c r="F133" s="111" t="s">
        <v>1483</v>
      </c>
    </row>
    <row r="134" spans="1:6">
      <c r="A134" s="109" t="s">
        <v>1484</v>
      </c>
      <c r="B134" s="110" t="s">
        <v>927</v>
      </c>
      <c r="C134" s="110" t="s">
        <v>1485</v>
      </c>
      <c r="D134" s="110" t="s">
        <v>81</v>
      </c>
      <c r="E134" s="110" t="s">
        <v>1486</v>
      </c>
      <c r="F134" s="111" t="s">
        <v>1487</v>
      </c>
    </row>
    <row r="135" spans="1:6">
      <c r="A135" s="109" t="s">
        <v>1488</v>
      </c>
      <c r="B135" s="110" t="s">
        <v>928</v>
      </c>
      <c r="C135" s="110" t="s">
        <v>1489</v>
      </c>
      <c r="D135" s="110" t="s">
        <v>81</v>
      </c>
      <c r="E135" s="110" t="s">
        <v>1490</v>
      </c>
      <c r="F135" s="111" t="s">
        <v>1491</v>
      </c>
    </row>
    <row r="136" spans="1:6">
      <c r="A136" s="109" t="s">
        <v>1492</v>
      </c>
      <c r="B136" s="110" t="s">
        <v>929</v>
      </c>
      <c r="C136" s="110" t="s">
        <v>1493</v>
      </c>
      <c r="D136" s="110" t="s">
        <v>81</v>
      </c>
      <c r="E136" s="110" t="s">
        <v>1494</v>
      </c>
      <c r="F136" s="111" t="s">
        <v>1495</v>
      </c>
    </row>
    <row r="137" spans="1:6">
      <c r="A137" s="109" t="s">
        <v>1496</v>
      </c>
      <c r="B137" s="110" t="s">
        <v>930</v>
      </c>
      <c r="C137" s="110" t="s">
        <v>1497</v>
      </c>
      <c r="D137" s="110" t="s">
        <v>81</v>
      </c>
      <c r="E137" s="110" t="s">
        <v>1498</v>
      </c>
      <c r="F137" s="111" t="s">
        <v>1499</v>
      </c>
    </row>
    <row r="138" spans="1:6">
      <c r="A138" s="109" t="s">
        <v>1500</v>
      </c>
      <c r="B138" s="110" t="s">
        <v>931</v>
      </c>
      <c r="C138" s="110" t="s">
        <v>1501</v>
      </c>
      <c r="D138" s="110" t="s">
        <v>81</v>
      </c>
      <c r="E138" s="110" t="s">
        <v>1502</v>
      </c>
      <c r="F138" s="111" t="s">
        <v>1503</v>
      </c>
    </row>
    <row r="139" spans="1:6">
      <c r="A139" s="109" t="s">
        <v>1504</v>
      </c>
      <c r="B139" s="110" t="s">
        <v>932</v>
      </c>
      <c r="C139" s="110" t="s">
        <v>1505</v>
      </c>
      <c r="D139" s="110" t="s">
        <v>81</v>
      </c>
      <c r="E139" s="110" t="s">
        <v>1506</v>
      </c>
      <c r="F139" s="111" t="s">
        <v>1507</v>
      </c>
    </row>
    <row r="140" spans="1:6">
      <c r="A140" s="109" t="s">
        <v>1508</v>
      </c>
      <c r="B140" s="110" t="s">
        <v>933</v>
      </c>
      <c r="C140" s="110" t="s">
        <v>1509</v>
      </c>
      <c r="D140" s="110" t="s">
        <v>81</v>
      </c>
      <c r="E140" s="110" t="s">
        <v>1510</v>
      </c>
      <c r="F140" s="111" t="s">
        <v>1511</v>
      </c>
    </row>
    <row r="141" spans="1:6">
      <c r="A141" s="109" t="s">
        <v>1512</v>
      </c>
      <c r="B141" s="110" t="s">
        <v>934</v>
      </c>
      <c r="C141" s="110" t="s">
        <v>1513</v>
      </c>
      <c r="D141" s="110" t="s">
        <v>81</v>
      </c>
      <c r="E141" s="110" t="s">
        <v>1514</v>
      </c>
      <c r="F141" s="111" t="s">
        <v>1515</v>
      </c>
    </row>
    <row r="142" spans="1:6">
      <c r="A142" s="109" t="s">
        <v>1516</v>
      </c>
      <c r="B142" s="110" t="s">
        <v>935</v>
      </c>
      <c r="C142" s="110" t="s">
        <v>1517</v>
      </c>
      <c r="D142" s="110" t="s">
        <v>81</v>
      </c>
      <c r="E142" s="110" t="s">
        <v>1518</v>
      </c>
      <c r="F142" s="111" t="s">
        <v>1519</v>
      </c>
    </row>
    <row r="143" spans="1:6">
      <c r="A143" s="109" t="s">
        <v>1520</v>
      </c>
      <c r="B143" s="110" t="s">
        <v>936</v>
      </c>
      <c r="C143" s="110" t="s">
        <v>1521</v>
      </c>
      <c r="D143" s="110" t="s">
        <v>81</v>
      </c>
      <c r="E143" s="110" t="s">
        <v>1522</v>
      </c>
      <c r="F143" s="111" t="s">
        <v>1523</v>
      </c>
    </row>
    <row r="144" spans="1:6">
      <c r="A144" s="109" t="s">
        <v>1524</v>
      </c>
      <c r="B144" s="110" t="s">
        <v>937</v>
      </c>
      <c r="C144" s="110" t="s">
        <v>1525</v>
      </c>
      <c r="D144" s="110" t="s">
        <v>81</v>
      </c>
      <c r="E144" s="110" t="s">
        <v>1526</v>
      </c>
      <c r="F144" s="111" t="s">
        <v>1527</v>
      </c>
    </row>
    <row r="145" spans="1:6">
      <c r="A145" s="109" t="s">
        <v>1528</v>
      </c>
      <c r="B145" s="110" t="s">
        <v>938</v>
      </c>
      <c r="C145" s="110" t="s">
        <v>1529</v>
      </c>
      <c r="D145" s="110" t="s">
        <v>81</v>
      </c>
      <c r="E145" s="110" t="s">
        <v>1530</v>
      </c>
      <c r="F145" s="111" t="s">
        <v>1531</v>
      </c>
    </row>
    <row r="146" spans="1:6">
      <c r="A146" s="109" t="s">
        <v>1532</v>
      </c>
      <c r="B146" s="110" t="s">
        <v>939</v>
      </c>
      <c r="C146" s="110" t="s">
        <v>1533</v>
      </c>
      <c r="D146" s="110" t="s">
        <v>81</v>
      </c>
      <c r="E146" s="110" t="s">
        <v>1534</v>
      </c>
      <c r="F146" s="111" t="s">
        <v>1535</v>
      </c>
    </row>
    <row r="147" spans="1:6">
      <c r="A147" s="109" t="s">
        <v>1536</v>
      </c>
      <c r="B147" s="110" t="s">
        <v>940</v>
      </c>
      <c r="C147" s="110" t="s">
        <v>1537</v>
      </c>
      <c r="D147" s="110" t="s">
        <v>81</v>
      </c>
      <c r="E147" s="110" t="s">
        <v>1538</v>
      </c>
      <c r="F147" s="111" t="s">
        <v>1539</v>
      </c>
    </row>
    <row r="148" spans="1:6">
      <c r="A148" s="109" t="s">
        <v>1540</v>
      </c>
      <c r="B148" s="110" t="s">
        <v>941</v>
      </c>
      <c r="C148" s="110" t="s">
        <v>1541</v>
      </c>
      <c r="D148" s="110" t="s">
        <v>81</v>
      </c>
      <c r="E148" s="110" t="s">
        <v>1542</v>
      </c>
      <c r="F148" s="111" t="s">
        <v>1543</v>
      </c>
    </row>
    <row r="149" spans="1:6">
      <c r="A149" s="109" t="s">
        <v>1544</v>
      </c>
      <c r="B149" s="110" t="s">
        <v>942</v>
      </c>
      <c r="C149" s="110" t="s">
        <v>1545</v>
      </c>
      <c r="D149" s="110" t="s">
        <v>81</v>
      </c>
      <c r="E149" s="110" t="s">
        <v>1546</v>
      </c>
      <c r="F149" s="111" t="s">
        <v>1547</v>
      </c>
    </row>
    <row r="150" spans="1:6">
      <c r="A150" s="109" t="s">
        <v>1548</v>
      </c>
      <c r="B150" s="110" t="s">
        <v>1549</v>
      </c>
      <c r="C150" s="110" t="s">
        <v>1550</v>
      </c>
      <c r="D150" s="110" t="s">
        <v>81</v>
      </c>
      <c r="E150" s="110" t="s">
        <v>1551</v>
      </c>
      <c r="F150" s="111" t="s">
        <v>1552</v>
      </c>
    </row>
    <row r="151" spans="1:6">
      <c r="A151" s="109" t="s">
        <v>1553</v>
      </c>
      <c r="B151" s="110" t="s">
        <v>1554</v>
      </c>
      <c r="C151" s="110" t="s">
        <v>1555</v>
      </c>
      <c r="D151" s="110" t="s">
        <v>81</v>
      </c>
      <c r="E151" s="110" t="s">
        <v>1556</v>
      </c>
      <c r="F151" s="111" t="s">
        <v>1557</v>
      </c>
    </row>
    <row r="152" spans="1:6">
      <c r="A152" s="109" t="s">
        <v>1558</v>
      </c>
      <c r="B152" s="110" t="s">
        <v>1559</v>
      </c>
      <c r="C152" s="110" t="s">
        <v>1560</v>
      </c>
      <c r="D152" s="110" t="s">
        <v>81</v>
      </c>
      <c r="E152" s="110" t="s">
        <v>1561</v>
      </c>
      <c r="F152" s="111" t="s">
        <v>1562</v>
      </c>
    </row>
    <row r="153" spans="1:6">
      <c r="A153" s="109" t="s">
        <v>1563</v>
      </c>
      <c r="B153" s="110" t="s">
        <v>1564</v>
      </c>
      <c r="C153" s="110" t="s">
        <v>1565</v>
      </c>
      <c r="D153" s="110" t="s">
        <v>81</v>
      </c>
      <c r="E153" s="110" t="s">
        <v>1566</v>
      </c>
      <c r="F153" s="111" t="s">
        <v>1567</v>
      </c>
    </row>
    <row r="154" spans="1:6">
      <c r="A154" s="109" t="s">
        <v>1568</v>
      </c>
      <c r="B154" s="110" t="s">
        <v>1569</v>
      </c>
      <c r="C154" s="110" t="s">
        <v>1570</v>
      </c>
      <c r="D154" s="110" t="s">
        <v>81</v>
      </c>
      <c r="E154" s="110" t="s">
        <v>1571</v>
      </c>
      <c r="F154" s="111" t="s">
        <v>1572</v>
      </c>
    </row>
    <row r="155" spans="1:6">
      <c r="A155" s="109" t="s">
        <v>1573</v>
      </c>
      <c r="B155" s="110" t="s">
        <v>1574</v>
      </c>
      <c r="C155" s="110" t="s">
        <v>1575</v>
      </c>
      <c r="D155" s="110" t="s">
        <v>81</v>
      </c>
      <c r="E155" s="110" t="s">
        <v>1576</v>
      </c>
      <c r="F155" s="111" t="s">
        <v>1577</v>
      </c>
    </row>
    <row r="156" spans="1:6">
      <c r="A156" s="109" t="s">
        <v>1578</v>
      </c>
      <c r="B156" s="110" t="s">
        <v>1579</v>
      </c>
      <c r="C156" s="110" t="s">
        <v>1580</v>
      </c>
      <c r="D156" s="110" t="s">
        <v>81</v>
      </c>
      <c r="E156" s="110" t="s">
        <v>1581</v>
      </c>
      <c r="F156" s="111" t="s">
        <v>1582</v>
      </c>
    </row>
    <row r="157" spans="1:6">
      <c r="A157" s="109" t="s">
        <v>1583</v>
      </c>
      <c r="B157" s="110" t="s">
        <v>1584</v>
      </c>
      <c r="C157" s="110" t="s">
        <v>1585</v>
      </c>
      <c r="D157" s="110" t="s">
        <v>81</v>
      </c>
      <c r="E157" s="110" t="s">
        <v>1586</v>
      </c>
      <c r="F157" s="111" t="s">
        <v>1587</v>
      </c>
    </row>
    <row r="158" spans="1:6">
      <c r="A158" s="109" t="s">
        <v>1588</v>
      </c>
      <c r="B158" s="110" t="s">
        <v>1589</v>
      </c>
      <c r="C158" s="110" t="s">
        <v>1590</v>
      </c>
      <c r="D158" s="110" t="s">
        <v>81</v>
      </c>
      <c r="E158" s="110" t="s">
        <v>1591</v>
      </c>
      <c r="F158" s="111" t="s">
        <v>1592</v>
      </c>
    </row>
    <row r="159" spans="1:6">
      <c r="A159" s="109" t="s">
        <v>1593</v>
      </c>
      <c r="B159" s="110" t="s">
        <v>1594</v>
      </c>
      <c r="C159" s="110" t="s">
        <v>1595</v>
      </c>
      <c r="D159" s="110" t="s">
        <v>82</v>
      </c>
      <c r="E159" s="110" t="s">
        <v>1596</v>
      </c>
      <c r="F159" s="111" t="s">
        <v>1597</v>
      </c>
    </row>
    <row r="160" spans="1:6">
      <c r="A160" s="109" t="s">
        <v>1598</v>
      </c>
      <c r="B160" s="110" t="s">
        <v>1599</v>
      </c>
      <c r="C160" s="110" t="s">
        <v>1600</v>
      </c>
      <c r="D160" s="110" t="s">
        <v>81</v>
      </c>
      <c r="E160" s="110" t="s">
        <v>1601</v>
      </c>
      <c r="F160" s="111" t="s">
        <v>1602</v>
      </c>
    </row>
    <row r="161" spans="1:6">
      <c r="A161" s="109" t="s">
        <v>1603</v>
      </c>
      <c r="B161" s="110" t="s">
        <v>1604</v>
      </c>
      <c r="C161" s="110" t="s">
        <v>1605</v>
      </c>
      <c r="D161" s="110" t="s">
        <v>81</v>
      </c>
      <c r="E161" s="110" t="s">
        <v>1606</v>
      </c>
      <c r="F161" s="111" t="s">
        <v>1607</v>
      </c>
    </row>
    <row r="162" spans="1:6">
      <c r="A162" s="109" t="s">
        <v>1608</v>
      </c>
      <c r="B162" s="110" t="s">
        <v>1609</v>
      </c>
      <c r="C162" s="110" t="s">
        <v>1610</v>
      </c>
      <c r="D162" s="110" t="s">
        <v>81</v>
      </c>
      <c r="E162" s="110" t="s">
        <v>1611</v>
      </c>
      <c r="F162" s="111" t="s">
        <v>1612</v>
      </c>
    </row>
    <row r="163" spans="1:6">
      <c r="A163" s="109" t="s">
        <v>1613</v>
      </c>
      <c r="B163" s="110" t="s">
        <v>1614</v>
      </c>
      <c r="C163" s="110" t="s">
        <v>1615</v>
      </c>
      <c r="D163" s="110" t="s">
        <v>81</v>
      </c>
      <c r="E163" s="110" t="s">
        <v>1616</v>
      </c>
      <c r="F163" s="111" t="s">
        <v>1617</v>
      </c>
    </row>
    <row r="164" spans="1:6">
      <c r="A164" s="109" t="s">
        <v>1618</v>
      </c>
      <c r="B164" s="110" t="s">
        <v>1619</v>
      </c>
      <c r="C164" s="110" t="s">
        <v>1620</v>
      </c>
      <c r="D164" s="110" t="s">
        <v>81</v>
      </c>
      <c r="E164" s="110" t="s">
        <v>1621</v>
      </c>
      <c r="F164" s="111" t="s">
        <v>1622</v>
      </c>
    </row>
    <row r="165" spans="1:6">
      <c r="A165" s="109" t="s">
        <v>1623</v>
      </c>
      <c r="B165" s="110" t="s">
        <v>1624</v>
      </c>
      <c r="C165" s="110" t="s">
        <v>1625</v>
      </c>
      <c r="D165" s="110" t="s">
        <v>81</v>
      </c>
      <c r="E165" s="110" t="s">
        <v>1626</v>
      </c>
      <c r="F165" s="111" t="s">
        <v>1627</v>
      </c>
    </row>
    <row r="166" spans="1:6">
      <c r="A166" s="109" t="s">
        <v>1628</v>
      </c>
      <c r="B166" s="110" t="s">
        <v>1629</v>
      </c>
      <c r="C166" s="110" t="s">
        <v>1630</v>
      </c>
      <c r="D166" s="110" t="s">
        <v>81</v>
      </c>
      <c r="E166" s="110" t="s">
        <v>1631</v>
      </c>
      <c r="F166" s="111" t="s">
        <v>1632</v>
      </c>
    </row>
    <row r="167" spans="1:6">
      <c r="A167" s="109" t="s">
        <v>1633</v>
      </c>
      <c r="B167" s="110" t="s">
        <v>1634</v>
      </c>
      <c r="C167" s="110" t="s">
        <v>1635</v>
      </c>
      <c r="D167" s="110" t="s">
        <v>81</v>
      </c>
      <c r="E167" s="110" t="s">
        <v>1636</v>
      </c>
      <c r="F167" s="111" t="s">
        <v>1637</v>
      </c>
    </row>
    <row r="168" spans="1:6">
      <c r="A168" s="109" t="s">
        <v>1638</v>
      </c>
      <c r="B168" s="110" t="s">
        <v>1639</v>
      </c>
      <c r="C168" s="110" t="s">
        <v>1640</v>
      </c>
      <c r="D168" s="110" t="s">
        <v>81</v>
      </c>
      <c r="E168" s="110" t="s">
        <v>1641</v>
      </c>
      <c r="F168" s="111" t="s">
        <v>1642</v>
      </c>
    </row>
    <row r="169" spans="1:6">
      <c r="A169" s="109" t="s">
        <v>1643</v>
      </c>
      <c r="B169" s="110" t="s">
        <v>1644</v>
      </c>
      <c r="C169" s="110" t="s">
        <v>1645</v>
      </c>
      <c r="D169" s="110" t="s">
        <v>81</v>
      </c>
      <c r="E169" s="110" t="s">
        <v>1646</v>
      </c>
      <c r="F169" s="111" t="s">
        <v>1647</v>
      </c>
    </row>
    <row r="170" spans="1:6">
      <c r="A170" s="109" t="s">
        <v>1648</v>
      </c>
      <c r="B170" s="110" t="s">
        <v>1649</v>
      </c>
      <c r="C170" s="110" t="s">
        <v>1650</v>
      </c>
      <c r="D170" s="110" t="s">
        <v>81</v>
      </c>
      <c r="E170" s="110" t="s">
        <v>1651</v>
      </c>
      <c r="F170" s="111" t="s">
        <v>1652</v>
      </c>
    </row>
    <row r="171" spans="1:6">
      <c r="A171" s="109" t="s">
        <v>1653</v>
      </c>
      <c r="B171" s="110" t="s">
        <v>1654</v>
      </c>
      <c r="C171" s="110" t="s">
        <v>1655</v>
      </c>
      <c r="D171" s="110" t="s">
        <v>81</v>
      </c>
      <c r="E171" s="110" t="s">
        <v>1656</v>
      </c>
      <c r="F171" s="111" t="s">
        <v>1657</v>
      </c>
    </row>
    <row r="172" spans="1:6">
      <c r="A172" s="109" t="s">
        <v>1658</v>
      </c>
      <c r="B172" s="110" t="s">
        <v>1659</v>
      </c>
      <c r="C172" s="110" t="s">
        <v>1660</v>
      </c>
      <c r="D172" s="110" t="s">
        <v>81</v>
      </c>
      <c r="E172" s="110" t="s">
        <v>1661</v>
      </c>
      <c r="F172" s="111" t="s">
        <v>1662</v>
      </c>
    </row>
    <row r="173" spans="1:6">
      <c r="A173" s="109" t="s">
        <v>1663</v>
      </c>
      <c r="B173" s="110" t="s">
        <v>1664</v>
      </c>
      <c r="C173" s="110" t="s">
        <v>1665</v>
      </c>
      <c r="D173" s="110" t="s">
        <v>81</v>
      </c>
      <c r="E173" s="110" t="s">
        <v>1666</v>
      </c>
      <c r="F173" s="111" t="s">
        <v>1667</v>
      </c>
    </row>
    <row r="174" spans="1:6">
      <c r="A174" s="109" t="s">
        <v>1668</v>
      </c>
      <c r="B174" s="110" t="s">
        <v>1669</v>
      </c>
      <c r="C174" s="110" t="s">
        <v>1670</v>
      </c>
      <c r="D174" s="110" t="s">
        <v>81</v>
      </c>
      <c r="E174" s="110" t="s">
        <v>1671</v>
      </c>
      <c r="F174" s="111" t="s">
        <v>1672</v>
      </c>
    </row>
    <row r="175" spans="1:6">
      <c r="A175" s="109" t="s">
        <v>1673</v>
      </c>
      <c r="B175" s="110" t="s">
        <v>1674</v>
      </c>
      <c r="C175" s="110" t="s">
        <v>1675</v>
      </c>
      <c r="D175" s="110" t="s">
        <v>81</v>
      </c>
      <c r="E175" s="110" t="s">
        <v>1676</v>
      </c>
      <c r="F175" s="111" t="s">
        <v>1677</v>
      </c>
    </row>
    <row r="176" spans="1:6">
      <c r="A176" s="109" t="s">
        <v>1678</v>
      </c>
      <c r="B176" s="110" t="s">
        <v>1679</v>
      </c>
      <c r="C176" s="110" t="s">
        <v>1680</v>
      </c>
      <c r="D176" s="110" t="s">
        <v>81</v>
      </c>
      <c r="E176" s="110" t="s">
        <v>1681</v>
      </c>
      <c r="F176" s="111" t="s">
        <v>1682</v>
      </c>
    </row>
    <row r="177" spans="1:6">
      <c r="A177" s="109" t="s">
        <v>1683</v>
      </c>
      <c r="B177" s="110" t="s">
        <v>1684</v>
      </c>
      <c r="C177" s="110" t="s">
        <v>1685</v>
      </c>
      <c r="D177" s="110" t="s">
        <v>81</v>
      </c>
      <c r="E177" s="110" t="s">
        <v>1686</v>
      </c>
      <c r="F177" s="111" t="s">
        <v>1687</v>
      </c>
    </row>
    <row r="178" spans="1:6">
      <c r="A178" s="109" t="s">
        <v>1688</v>
      </c>
      <c r="B178" s="110" t="s">
        <v>1689</v>
      </c>
      <c r="C178" s="110" t="s">
        <v>1690</v>
      </c>
      <c r="D178" s="110" t="s">
        <v>81</v>
      </c>
      <c r="E178" s="110" t="s">
        <v>1691</v>
      </c>
      <c r="F178" s="111" t="s">
        <v>1692</v>
      </c>
    </row>
    <row r="179" spans="1:6">
      <c r="A179" s="109" t="s">
        <v>1693</v>
      </c>
      <c r="B179" s="110" t="s">
        <v>1694</v>
      </c>
      <c r="C179" s="110" t="s">
        <v>1695</v>
      </c>
      <c r="D179" s="110" t="s">
        <v>81</v>
      </c>
      <c r="E179" s="110" t="s">
        <v>1696</v>
      </c>
      <c r="F179" s="111" t="s">
        <v>1697</v>
      </c>
    </row>
    <row r="180" spans="1:6">
      <c r="A180" s="109" t="s">
        <v>1698</v>
      </c>
      <c r="B180" s="110" t="s">
        <v>1699</v>
      </c>
      <c r="C180" s="110" t="s">
        <v>1700</v>
      </c>
      <c r="D180" s="110" t="s">
        <v>81</v>
      </c>
      <c r="E180" s="110" t="s">
        <v>1701</v>
      </c>
      <c r="F180" s="111" t="s">
        <v>1702</v>
      </c>
    </row>
    <row r="181" spans="1:6">
      <c r="A181" s="109" t="s">
        <v>1703</v>
      </c>
      <c r="B181" s="110" t="s">
        <v>1704</v>
      </c>
      <c r="C181" s="110" t="s">
        <v>1705</v>
      </c>
      <c r="D181" s="110" t="s">
        <v>81</v>
      </c>
      <c r="E181" s="110" t="s">
        <v>1706</v>
      </c>
      <c r="F181" s="111" t="s">
        <v>1707</v>
      </c>
    </row>
    <row r="182" spans="1:6">
      <c r="A182" s="109" t="s">
        <v>1708</v>
      </c>
      <c r="B182" s="110" t="s">
        <v>1709</v>
      </c>
      <c r="C182" s="110" t="s">
        <v>1710</v>
      </c>
      <c r="D182" s="110" t="s">
        <v>81</v>
      </c>
      <c r="E182" s="110" t="s">
        <v>1711</v>
      </c>
      <c r="F182" s="111" t="s">
        <v>1712</v>
      </c>
    </row>
    <row r="183" spans="1:6">
      <c r="A183" s="109" t="s">
        <v>1713</v>
      </c>
      <c r="B183" s="110" t="s">
        <v>1714</v>
      </c>
      <c r="C183" s="110" t="s">
        <v>1715</v>
      </c>
      <c r="D183" s="110" t="s">
        <v>81</v>
      </c>
      <c r="E183" s="110" t="s">
        <v>1716</v>
      </c>
      <c r="F183" s="111" t="s">
        <v>1717</v>
      </c>
    </row>
    <row r="184" spans="1:6">
      <c r="A184" s="109" t="s">
        <v>1718</v>
      </c>
      <c r="B184" s="110" t="s">
        <v>1719</v>
      </c>
      <c r="C184" s="110" t="s">
        <v>1720</v>
      </c>
      <c r="D184" s="110" t="s">
        <v>81</v>
      </c>
      <c r="E184" s="110" t="s">
        <v>1721</v>
      </c>
      <c r="F184" s="111" t="s">
        <v>1722</v>
      </c>
    </row>
    <row r="185" spans="1:6">
      <c r="A185" s="109" t="s">
        <v>1723</v>
      </c>
      <c r="B185" s="110" t="s">
        <v>1724</v>
      </c>
      <c r="C185" s="110" t="s">
        <v>1725</v>
      </c>
      <c r="D185" s="110" t="s">
        <v>81</v>
      </c>
      <c r="E185" s="110" t="s">
        <v>1726</v>
      </c>
      <c r="F185" s="111" t="s">
        <v>1727</v>
      </c>
    </row>
    <row r="186" spans="1:6">
      <c r="A186" s="109" t="s">
        <v>1728</v>
      </c>
      <c r="B186" s="110" t="s">
        <v>1729</v>
      </c>
      <c r="C186" s="110" t="s">
        <v>1730</v>
      </c>
      <c r="D186" s="110" t="s">
        <v>81</v>
      </c>
      <c r="E186" s="110" t="s">
        <v>1731</v>
      </c>
      <c r="F186" s="111" t="s">
        <v>1732</v>
      </c>
    </row>
    <row r="187" spans="1:6">
      <c r="A187" s="109" t="s">
        <v>1733</v>
      </c>
      <c r="B187" s="110" t="s">
        <v>1734</v>
      </c>
      <c r="C187" s="110" t="s">
        <v>1735</v>
      </c>
      <c r="D187" s="110" t="s">
        <v>81</v>
      </c>
      <c r="E187" s="110" t="s">
        <v>1736</v>
      </c>
      <c r="F187" s="111" t="s">
        <v>1737</v>
      </c>
    </row>
    <row r="188" spans="1:6">
      <c r="A188" s="109" t="s">
        <v>1738</v>
      </c>
      <c r="B188" s="110" t="s">
        <v>1739</v>
      </c>
      <c r="C188" s="110" t="s">
        <v>1740</v>
      </c>
      <c r="D188" s="110" t="s">
        <v>81</v>
      </c>
      <c r="E188" s="110" t="s">
        <v>1741</v>
      </c>
      <c r="F188" s="111" t="s">
        <v>1742</v>
      </c>
    </row>
    <row r="189" spans="1:6">
      <c r="A189" s="109" t="s">
        <v>1743</v>
      </c>
      <c r="B189" s="110" t="s">
        <v>1744</v>
      </c>
      <c r="C189" s="110" t="s">
        <v>1745</v>
      </c>
      <c r="D189" s="110" t="s">
        <v>81</v>
      </c>
      <c r="E189" s="110" t="s">
        <v>1746</v>
      </c>
      <c r="F189" s="111" t="s">
        <v>1747</v>
      </c>
    </row>
    <row r="190" spans="1:6">
      <c r="A190" s="109" t="s">
        <v>1748</v>
      </c>
      <c r="B190" s="110" t="s">
        <v>1749</v>
      </c>
      <c r="C190" s="110" t="s">
        <v>1750</v>
      </c>
      <c r="D190" s="110" t="s">
        <v>81</v>
      </c>
      <c r="E190" s="110" t="s">
        <v>1751</v>
      </c>
      <c r="F190" s="111" t="s">
        <v>1752</v>
      </c>
    </row>
    <row r="191" spans="1:6">
      <c r="A191" s="109" t="s">
        <v>1753</v>
      </c>
      <c r="B191" s="110" t="s">
        <v>1754</v>
      </c>
      <c r="C191" s="110" t="s">
        <v>1755</v>
      </c>
      <c r="D191" s="110" t="s">
        <v>81</v>
      </c>
      <c r="E191" s="110" t="s">
        <v>1756</v>
      </c>
      <c r="F191" s="111" t="s">
        <v>1757</v>
      </c>
    </row>
    <row r="192" spans="1:6">
      <c r="A192" s="109" t="s">
        <v>1758</v>
      </c>
      <c r="B192" s="110" t="s">
        <v>1759</v>
      </c>
      <c r="C192" s="110" t="s">
        <v>1760</v>
      </c>
      <c r="D192" s="110" t="s">
        <v>81</v>
      </c>
      <c r="E192" s="110" t="s">
        <v>1761</v>
      </c>
      <c r="F192" s="111" t="s">
        <v>1762</v>
      </c>
    </row>
    <row r="193" spans="1:6">
      <c r="A193" s="109" t="s">
        <v>1763</v>
      </c>
      <c r="B193" s="110" t="s">
        <v>1764</v>
      </c>
      <c r="C193" s="110" t="s">
        <v>1765</v>
      </c>
      <c r="D193" s="110" t="s">
        <v>81</v>
      </c>
      <c r="E193" s="110" t="s">
        <v>1766</v>
      </c>
      <c r="F193" s="111" t="s">
        <v>1767</v>
      </c>
    </row>
    <row r="194" spans="1:6">
      <c r="A194" s="109" t="s">
        <v>1768</v>
      </c>
      <c r="B194" s="110" t="s">
        <v>1769</v>
      </c>
      <c r="C194" s="110" t="s">
        <v>1770</v>
      </c>
      <c r="D194" s="110" t="s">
        <v>81</v>
      </c>
      <c r="E194" s="110" t="s">
        <v>1771</v>
      </c>
      <c r="F194" s="111" t="s">
        <v>1772</v>
      </c>
    </row>
    <row r="195" spans="1:6">
      <c r="A195" s="109" t="s">
        <v>1773</v>
      </c>
      <c r="B195" s="110" t="s">
        <v>1774</v>
      </c>
      <c r="C195" s="110" t="s">
        <v>1775</v>
      </c>
      <c r="D195" s="110" t="s">
        <v>81</v>
      </c>
      <c r="E195" s="110" t="s">
        <v>1776</v>
      </c>
      <c r="F195" s="111" t="s">
        <v>1777</v>
      </c>
    </row>
    <row r="196" spans="1:6">
      <c r="A196" s="109" t="s">
        <v>1778</v>
      </c>
      <c r="B196" s="110" t="s">
        <v>1779</v>
      </c>
      <c r="C196" s="110" t="s">
        <v>1780</v>
      </c>
      <c r="D196" s="110" t="s">
        <v>81</v>
      </c>
      <c r="E196" s="110" t="s">
        <v>1781</v>
      </c>
      <c r="F196" s="111" t="s">
        <v>1782</v>
      </c>
    </row>
    <row r="197" spans="1:6">
      <c r="A197" s="109" t="s">
        <v>1783</v>
      </c>
      <c r="B197" s="110" t="s">
        <v>1784</v>
      </c>
      <c r="C197" s="110" t="s">
        <v>1785</v>
      </c>
      <c r="D197" s="110" t="s">
        <v>81</v>
      </c>
      <c r="E197" s="110" t="s">
        <v>1786</v>
      </c>
      <c r="F197" s="111" t="s">
        <v>1787</v>
      </c>
    </row>
    <row r="198" spans="1:6">
      <c r="A198" s="109" t="s">
        <v>1788</v>
      </c>
      <c r="B198" s="110" t="s">
        <v>1789</v>
      </c>
      <c r="C198" s="110" t="s">
        <v>1790</v>
      </c>
      <c r="D198" s="110" t="s">
        <v>81</v>
      </c>
      <c r="E198" s="110" t="s">
        <v>1791</v>
      </c>
      <c r="F198" s="111" t="s">
        <v>1792</v>
      </c>
    </row>
    <row r="199" spans="1:6">
      <c r="A199" s="109" t="s">
        <v>1793</v>
      </c>
      <c r="B199" s="110" t="s">
        <v>1794</v>
      </c>
      <c r="C199" s="110" t="s">
        <v>1795</v>
      </c>
      <c r="D199" s="110" t="s">
        <v>81</v>
      </c>
      <c r="E199" s="110" t="s">
        <v>1796</v>
      </c>
      <c r="F199" s="111" t="s">
        <v>1797</v>
      </c>
    </row>
    <row r="200" spans="1:6">
      <c r="A200" s="109" t="s">
        <v>1798</v>
      </c>
      <c r="B200" s="110" t="s">
        <v>1799</v>
      </c>
      <c r="C200" s="110" t="s">
        <v>1800</v>
      </c>
      <c r="D200" s="110" t="s">
        <v>81</v>
      </c>
      <c r="E200" s="110" t="s">
        <v>1801</v>
      </c>
      <c r="F200" s="111" t="s">
        <v>1802</v>
      </c>
    </row>
    <row r="201" spans="1:6">
      <c r="A201" s="109" t="s">
        <v>1803</v>
      </c>
      <c r="B201" s="110" t="s">
        <v>1804</v>
      </c>
      <c r="C201" s="110" t="s">
        <v>1805</v>
      </c>
      <c r="D201" s="110" t="s">
        <v>81</v>
      </c>
      <c r="E201" s="110" t="s">
        <v>1806</v>
      </c>
      <c r="F201" s="111" t="s">
        <v>1807</v>
      </c>
    </row>
    <row r="202" spans="1:6">
      <c r="A202" s="109" t="s">
        <v>1808</v>
      </c>
      <c r="B202" s="110" t="s">
        <v>1809</v>
      </c>
      <c r="C202" s="110" t="s">
        <v>1810</v>
      </c>
      <c r="D202" s="110" t="s">
        <v>81</v>
      </c>
      <c r="E202" s="110" t="s">
        <v>1811</v>
      </c>
      <c r="F202" s="111" t="s">
        <v>1812</v>
      </c>
    </row>
    <row r="203" spans="1:6">
      <c r="A203" s="109" t="s">
        <v>1813</v>
      </c>
      <c r="B203" s="110" t="s">
        <v>1814</v>
      </c>
      <c r="C203" s="110" t="s">
        <v>1815</v>
      </c>
      <c r="D203" s="110" t="s">
        <v>81</v>
      </c>
      <c r="E203" s="110" t="s">
        <v>1816</v>
      </c>
      <c r="F203" s="111" t="s">
        <v>1817</v>
      </c>
    </row>
    <row r="204" spans="1:6">
      <c r="A204" s="109" t="s">
        <v>1818</v>
      </c>
      <c r="B204" s="110" t="s">
        <v>1819</v>
      </c>
      <c r="C204" s="110" t="s">
        <v>1820</v>
      </c>
      <c r="D204" s="110" t="s">
        <v>81</v>
      </c>
      <c r="E204" s="110" t="s">
        <v>1821</v>
      </c>
      <c r="F204" s="111" t="s">
        <v>1822</v>
      </c>
    </row>
    <row r="205" spans="1:6">
      <c r="A205" s="109" t="s">
        <v>1823</v>
      </c>
      <c r="B205" s="110" t="s">
        <v>1824</v>
      </c>
      <c r="C205" s="110" t="s">
        <v>1825</v>
      </c>
      <c r="D205" s="110" t="s">
        <v>81</v>
      </c>
      <c r="E205" s="110" t="s">
        <v>1826</v>
      </c>
      <c r="F205" s="111" t="s">
        <v>1827</v>
      </c>
    </row>
    <row r="206" spans="1:6">
      <c r="A206" s="109" t="s">
        <v>1828</v>
      </c>
      <c r="B206" s="110" t="s">
        <v>1829</v>
      </c>
      <c r="C206" s="110" t="s">
        <v>1830</v>
      </c>
      <c r="D206" s="110" t="s">
        <v>81</v>
      </c>
      <c r="E206" s="110" t="s">
        <v>1831</v>
      </c>
      <c r="F206" s="111" t="s">
        <v>1832</v>
      </c>
    </row>
    <row r="207" spans="1:6">
      <c r="A207" s="109" t="s">
        <v>1833</v>
      </c>
      <c r="B207" s="110" t="s">
        <v>1834</v>
      </c>
      <c r="C207" s="110" t="s">
        <v>1835</v>
      </c>
      <c r="D207" s="110" t="s">
        <v>81</v>
      </c>
      <c r="E207" s="110" t="s">
        <v>1836</v>
      </c>
      <c r="F207" s="111" t="s">
        <v>1837</v>
      </c>
    </row>
    <row r="208" spans="1:6">
      <c r="A208" s="109" t="s">
        <v>1838</v>
      </c>
      <c r="B208" s="110" t="s">
        <v>1839</v>
      </c>
      <c r="C208" s="110" t="s">
        <v>1840</v>
      </c>
      <c r="D208" s="110" t="s">
        <v>81</v>
      </c>
      <c r="E208" s="110" t="s">
        <v>1841</v>
      </c>
      <c r="F208" s="111" t="s">
        <v>1842</v>
      </c>
    </row>
    <row r="209" spans="1:6">
      <c r="A209" s="109" t="s">
        <v>1843</v>
      </c>
      <c r="B209" s="110" t="s">
        <v>1844</v>
      </c>
      <c r="C209" s="110" t="s">
        <v>1845</v>
      </c>
      <c r="D209" s="110" t="s">
        <v>81</v>
      </c>
      <c r="E209" s="110" t="s">
        <v>1846</v>
      </c>
      <c r="F209" s="111" t="s">
        <v>1847</v>
      </c>
    </row>
    <row r="210" spans="1:6">
      <c r="A210" s="109" t="s">
        <v>1848</v>
      </c>
      <c r="B210" s="110" t="s">
        <v>1849</v>
      </c>
      <c r="C210" s="110" t="s">
        <v>1850</v>
      </c>
      <c r="D210" s="110" t="s">
        <v>81</v>
      </c>
      <c r="E210" s="110" t="s">
        <v>1851</v>
      </c>
      <c r="F210" s="111" t="s">
        <v>1852</v>
      </c>
    </row>
    <row r="211" spans="1:6">
      <c r="A211" s="109" t="s">
        <v>1853</v>
      </c>
      <c r="B211" s="110" t="s">
        <v>1854</v>
      </c>
      <c r="C211" s="110" t="s">
        <v>1855</v>
      </c>
      <c r="D211" s="110" t="s">
        <v>81</v>
      </c>
      <c r="E211" s="110" t="s">
        <v>1856</v>
      </c>
      <c r="F211" s="111" t="s">
        <v>1857</v>
      </c>
    </row>
    <row r="212" spans="1:6">
      <c r="A212" s="109" t="s">
        <v>1858</v>
      </c>
      <c r="B212" s="110" t="s">
        <v>1859</v>
      </c>
      <c r="C212" s="110" t="s">
        <v>1860</v>
      </c>
      <c r="D212" s="110" t="s">
        <v>81</v>
      </c>
      <c r="E212" s="110" t="s">
        <v>1861</v>
      </c>
      <c r="F212" s="111" t="s">
        <v>1862</v>
      </c>
    </row>
    <row r="213" spans="1:6">
      <c r="A213" s="109" t="s">
        <v>1863</v>
      </c>
      <c r="B213" s="110" t="s">
        <v>1864</v>
      </c>
      <c r="C213" s="110" t="s">
        <v>1865</v>
      </c>
      <c r="D213" s="110" t="s">
        <v>81</v>
      </c>
      <c r="E213" s="110" t="s">
        <v>1866</v>
      </c>
      <c r="F213" s="111" t="s">
        <v>1867</v>
      </c>
    </row>
    <row r="214" spans="1:6">
      <c r="A214" s="109" t="s">
        <v>1868</v>
      </c>
      <c r="B214" s="110" t="s">
        <v>1869</v>
      </c>
      <c r="C214" s="110" t="s">
        <v>1870</v>
      </c>
      <c r="D214" s="110" t="s">
        <v>81</v>
      </c>
      <c r="E214" s="110" t="s">
        <v>1871</v>
      </c>
      <c r="F214" s="111" t="s">
        <v>1872</v>
      </c>
    </row>
    <row r="215" spans="1:6">
      <c r="A215" s="109" t="s">
        <v>1873</v>
      </c>
      <c r="B215" s="110" t="s">
        <v>1874</v>
      </c>
      <c r="C215" s="110" t="s">
        <v>1875</v>
      </c>
      <c r="D215" s="110" t="s">
        <v>81</v>
      </c>
      <c r="E215" s="110" t="s">
        <v>1876</v>
      </c>
      <c r="F215" s="111" t="s">
        <v>1877</v>
      </c>
    </row>
    <row r="216" spans="1:6">
      <c r="A216" s="109" t="s">
        <v>1878</v>
      </c>
      <c r="B216" s="110" t="s">
        <v>1879</v>
      </c>
      <c r="C216" s="110" t="s">
        <v>1880</v>
      </c>
      <c r="D216" s="110" t="s">
        <v>81</v>
      </c>
      <c r="E216" s="110" t="s">
        <v>1881</v>
      </c>
      <c r="F216" s="111" t="s">
        <v>1882</v>
      </c>
    </row>
    <row r="217" spans="1:6">
      <c r="A217" s="109" t="s">
        <v>1883</v>
      </c>
      <c r="B217" s="110" t="s">
        <v>1884</v>
      </c>
      <c r="C217" s="110" t="s">
        <v>1885</v>
      </c>
      <c r="D217" s="110" t="s">
        <v>81</v>
      </c>
      <c r="E217" s="110" t="s">
        <v>1886</v>
      </c>
      <c r="F217" s="111" t="s">
        <v>1887</v>
      </c>
    </row>
    <row r="218" spans="1:6">
      <c r="A218" s="109" t="s">
        <v>1888</v>
      </c>
      <c r="B218" s="110" t="s">
        <v>1889</v>
      </c>
      <c r="C218" s="110" t="s">
        <v>1890</v>
      </c>
      <c r="D218" s="110" t="s">
        <v>81</v>
      </c>
      <c r="E218" s="110" t="s">
        <v>1891</v>
      </c>
      <c r="F218" s="111" t="s">
        <v>1892</v>
      </c>
    </row>
    <row r="219" spans="1:6">
      <c r="A219" s="109" t="s">
        <v>1893</v>
      </c>
      <c r="B219" s="110" t="s">
        <v>1894</v>
      </c>
      <c r="C219" s="110" t="s">
        <v>1895</v>
      </c>
      <c r="D219" s="110" t="s">
        <v>81</v>
      </c>
      <c r="E219" s="110" t="s">
        <v>1896</v>
      </c>
      <c r="F219" s="111" t="s">
        <v>1897</v>
      </c>
    </row>
    <row r="220" spans="1:6">
      <c r="A220" s="109" t="s">
        <v>1898</v>
      </c>
      <c r="B220" s="110" t="s">
        <v>1899</v>
      </c>
      <c r="C220" s="110" t="s">
        <v>1900</v>
      </c>
      <c r="D220" s="110" t="s">
        <v>81</v>
      </c>
      <c r="E220" s="110" t="s">
        <v>1901</v>
      </c>
      <c r="F220" s="111" t="s">
        <v>1902</v>
      </c>
    </row>
    <row r="221" spans="1:6">
      <c r="A221" s="109" t="s">
        <v>1903</v>
      </c>
      <c r="B221" s="110" t="s">
        <v>1904</v>
      </c>
      <c r="C221" s="110" t="s">
        <v>1905</v>
      </c>
      <c r="D221" s="110" t="s">
        <v>81</v>
      </c>
      <c r="E221" s="110" t="s">
        <v>1906</v>
      </c>
      <c r="F221" s="111" t="s">
        <v>1907</v>
      </c>
    </row>
    <row r="222" spans="1:6">
      <c r="A222" s="109" t="s">
        <v>1908</v>
      </c>
      <c r="B222" s="110" t="s">
        <v>1909</v>
      </c>
      <c r="C222" s="110" t="s">
        <v>1910</v>
      </c>
      <c r="D222" s="110" t="s">
        <v>81</v>
      </c>
      <c r="E222" s="110" t="s">
        <v>1911</v>
      </c>
      <c r="F222" s="111" t="s">
        <v>1912</v>
      </c>
    </row>
    <row r="223" spans="1:6">
      <c r="A223" s="109" t="s">
        <v>1913</v>
      </c>
      <c r="B223" s="110" t="s">
        <v>1914</v>
      </c>
      <c r="C223" s="110" t="s">
        <v>1915</v>
      </c>
      <c r="D223" s="110" t="s">
        <v>81</v>
      </c>
      <c r="E223" s="110" t="s">
        <v>1916</v>
      </c>
      <c r="F223" s="111" t="s">
        <v>1917</v>
      </c>
    </row>
    <row r="224" spans="1:6">
      <c r="A224" s="109" t="s">
        <v>1918</v>
      </c>
      <c r="B224" s="110" t="s">
        <v>1919</v>
      </c>
      <c r="C224" s="110" t="s">
        <v>1920</v>
      </c>
      <c r="D224" s="110" t="s">
        <v>81</v>
      </c>
      <c r="E224" s="110" t="s">
        <v>1921</v>
      </c>
      <c r="F224" s="111" t="s">
        <v>1922</v>
      </c>
    </row>
    <row r="225" spans="1:6">
      <c r="A225" s="109" t="s">
        <v>1923</v>
      </c>
      <c r="B225" s="110" t="s">
        <v>1924</v>
      </c>
      <c r="C225" s="110" t="s">
        <v>1925</v>
      </c>
      <c r="D225" s="110" t="s">
        <v>81</v>
      </c>
      <c r="E225" s="110" t="s">
        <v>1926</v>
      </c>
      <c r="F225" s="111" t="s">
        <v>1927</v>
      </c>
    </row>
    <row r="226" spans="1:6">
      <c r="A226" s="109" t="s">
        <v>1928</v>
      </c>
      <c r="B226" s="110" t="s">
        <v>1929</v>
      </c>
      <c r="C226" s="110" t="s">
        <v>1930</v>
      </c>
      <c r="D226" s="110" t="s">
        <v>81</v>
      </c>
      <c r="E226" s="110" t="s">
        <v>1931</v>
      </c>
      <c r="F226" s="111" t="s">
        <v>1932</v>
      </c>
    </row>
    <row r="227" spans="1:6">
      <c r="A227" s="109" t="s">
        <v>1933</v>
      </c>
      <c r="B227" s="110" t="s">
        <v>1934</v>
      </c>
      <c r="C227" s="110" t="s">
        <v>1935</v>
      </c>
      <c r="D227" s="110" t="s">
        <v>81</v>
      </c>
      <c r="E227" s="110" t="s">
        <v>1936</v>
      </c>
      <c r="F227" s="111" t="s">
        <v>1937</v>
      </c>
    </row>
    <row r="228" spans="1:6">
      <c r="A228" s="109" t="s">
        <v>1938</v>
      </c>
      <c r="B228" s="110" t="s">
        <v>1939</v>
      </c>
      <c r="C228" s="110" t="s">
        <v>1940</v>
      </c>
      <c r="D228" s="110" t="s">
        <v>81</v>
      </c>
      <c r="E228" s="110" t="s">
        <v>1941</v>
      </c>
      <c r="F228" s="111" t="s">
        <v>1942</v>
      </c>
    </row>
    <row r="229" spans="1:6">
      <c r="A229" s="109" t="s">
        <v>1943</v>
      </c>
      <c r="B229" s="110" t="s">
        <v>1944</v>
      </c>
      <c r="C229" s="110" t="s">
        <v>1945</v>
      </c>
      <c r="D229" s="110" t="s">
        <v>81</v>
      </c>
      <c r="E229" s="110" t="s">
        <v>1946</v>
      </c>
      <c r="F229" s="111" t="s">
        <v>1947</v>
      </c>
    </row>
    <row r="230" spans="1:6">
      <c r="A230" s="109" t="s">
        <v>1948</v>
      </c>
      <c r="B230" s="110" t="s">
        <v>1949</v>
      </c>
      <c r="C230" s="110" t="s">
        <v>1950</v>
      </c>
      <c r="D230" s="110" t="s">
        <v>81</v>
      </c>
      <c r="E230" s="110" t="s">
        <v>1951</v>
      </c>
      <c r="F230" s="111" t="s">
        <v>1952</v>
      </c>
    </row>
    <row r="231" spans="1:6">
      <c r="A231" s="109" t="s">
        <v>1953</v>
      </c>
      <c r="B231" s="110" t="s">
        <v>1954</v>
      </c>
      <c r="C231" s="110" t="s">
        <v>1955</v>
      </c>
      <c r="D231" s="110" t="s">
        <v>81</v>
      </c>
      <c r="E231" s="110" t="s">
        <v>1956</v>
      </c>
      <c r="F231" s="111" t="s">
        <v>1957</v>
      </c>
    </row>
    <row r="232" spans="1:6">
      <c r="A232" s="109" t="s">
        <v>1958</v>
      </c>
      <c r="B232" s="110" t="s">
        <v>1959</v>
      </c>
      <c r="C232" s="110" t="s">
        <v>1960</v>
      </c>
      <c r="D232" s="110" t="s">
        <v>81</v>
      </c>
      <c r="E232" s="110" t="s">
        <v>1961</v>
      </c>
      <c r="F232" s="111" t="s">
        <v>1962</v>
      </c>
    </row>
    <row r="233" spans="1:6">
      <c r="A233" s="109" t="s">
        <v>1963</v>
      </c>
      <c r="B233" s="110" t="s">
        <v>1964</v>
      </c>
      <c r="C233" s="110" t="s">
        <v>1965</v>
      </c>
      <c r="D233" s="110" t="s">
        <v>81</v>
      </c>
      <c r="E233" s="110" t="s">
        <v>1966</v>
      </c>
      <c r="F233" s="111" t="s">
        <v>1967</v>
      </c>
    </row>
    <row r="234" spans="1:6">
      <c r="A234" s="109" t="s">
        <v>1968</v>
      </c>
      <c r="B234" s="110" t="s">
        <v>1969</v>
      </c>
      <c r="C234" s="110" t="s">
        <v>1970</v>
      </c>
      <c r="D234" s="110" t="s">
        <v>81</v>
      </c>
      <c r="E234" s="110" t="s">
        <v>1971</v>
      </c>
      <c r="F234" s="111" t="s">
        <v>1972</v>
      </c>
    </row>
    <row r="235" spans="1:6">
      <c r="A235" s="109" t="s">
        <v>1973</v>
      </c>
      <c r="B235" s="110" t="s">
        <v>1974</v>
      </c>
      <c r="C235" s="110" t="s">
        <v>1975</v>
      </c>
      <c r="D235" s="110" t="s">
        <v>81</v>
      </c>
      <c r="E235" s="110" t="s">
        <v>1976</v>
      </c>
      <c r="F235" s="111" t="s">
        <v>1977</v>
      </c>
    </row>
    <row r="236" spans="1:6">
      <c r="A236" s="109" t="s">
        <v>1978</v>
      </c>
      <c r="B236" s="110" t="s">
        <v>1979</v>
      </c>
      <c r="C236" s="110" t="s">
        <v>1980</v>
      </c>
      <c r="D236" s="110" t="s">
        <v>81</v>
      </c>
      <c r="E236" s="110" t="s">
        <v>1981</v>
      </c>
      <c r="F236" s="111" t="s">
        <v>1982</v>
      </c>
    </row>
    <row r="237" spans="1:6">
      <c r="A237" s="109" t="s">
        <v>1983</v>
      </c>
      <c r="B237" s="110" t="s">
        <v>1984</v>
      </c>
      <c r="C237" s="110" t="s">
        <v>1985</v>
      </c>
      <c r="D237" s="110" t="s">
        <v>81</v>
      </c>
      <c r="E237" s="110" t="s">
        <v>1986</v>
      </c>
      <c r="F237" s="111" t="s">
        <v>1987</v>
      </c>
    </row>
    <row r="238" spans="1:6">
      <c r="A238" s="109" t="s">
        <v>1988</v>
      </c>
      <c r="B238" s="110" t="s">
        <v>1989</v>
      </c>
      <c r="C238" s="110" t="s">
        <v>1990</v>
      </c>
      <c r="D238" s="110" t="s">
        <v>81</v>
      </c>
      <c r="E238" s="110" t="s">
        <v>1991</v>
      </c>
      <c r="F238" s="111" t="s">
        <v>1992</v>
      </c>
    </row>
    <row r="239" spans="1:6">
      <c r="A239" s="109" t="s">
        <v>1993</v>
      </c>
      <c r="B239" s="110" t="s">
        <v>1994</v>
      </c>
      <c r="C239" s="110" t="s">
        <v>1995</v>
      </c>
      <c r="D239" s="110" t="s">
        <v>81</v>
      </c>
      <c r="E239" s="110" t="s">
        <v>1996</v>
      </c>
      <c r="F239" s="111" t="s">
        <v>1997</v>
      </c>
    </row>
    <row r="240" spans="1:6">
      <c r="A240" s="109" t="s">
        <v>1998</v>
      </c>
      <c r="B240" s="110" t="s">
        <v>1999</v>
      </c>
      <c r="C240" s="110" t="s">
        <v>2000</v>
      </c>
      <c r="D240" s="110" t="s">
        <v>81</v>
      </c>
      <c r="E240" s="110" t="s">
        <v>2001</v>
      </c>
      <c r="F240" s="111" t="s">
        <v>2002</v>
      </c>
    </row>
    <row r="241" spans="1:6">
      <c r="A241" s="109" t="s">
        <v>2003</v>
      </c>
      <c r="B241" s="110" t="s">
        <v>2004</v>
      </c>
      <c r="C241" s="110" t="s">
        <v>2005</v>
      </c>
      <c r="D241" s="110" t="s">
        <v>81</v>
      </c>
      <c r="E241" s="110" t="s">
        <v>2006</v>
      </c>
      <c r="F241" s="111" t="s">
        <v>2007</v>
      </c>
    </row>
    <row r="242" spans="1:6">
      <c r="A242" s="109" t="s">
        <v>2008</v>
      </c>
      <c r="B242" s="110" t="s">
        <v>2009</v>
      </c>
      <c r="C242" s="110" t="s">
        <v>2010</v>
      </c>
      <c r="D242" s="110" t="s">
        <v>81</v>
      </c>
      <c r="E242" s="110" t="s">
        <v>2011</v>
      </c>
      <c r="F242" s="111" t="s">
        <v>2012</v>
      </c>
    </row>
    <row r="243" spans="1:6">
      <c r="A243" s="109" t="s">
        <v>2013</v>
      </c>
      <c r="B243" s="110" t="s">
        <v>2014</v>
      </c>
      <c r="C243" s="110" t="s">
        <v>2015</v>
      </c>
      <c r="D243" s="110" t="s">
        <v>81</v>
      </c>
      <c r="E243" s="110" t="s">
        <v>2016</v>
      </c>
      <c r="F243" s="111" t="s">
        <v>2017</v>
      </c>
    </row>
    <row r="244" spans="1:6">
      <c r="A244" s="109" t="s">
        <v>2018</v>
      </c>
      <c r="B244" s="110" t="s">
        <v>2019</v>
      </c>
      <c r="C244" s="110" t="s">
        <v>2020</v>
      </c>
      <c r="D244" s="110" t="s">
        <v>81</v>
      </c>
      <c r="E244" s="110" t="s">
        <v>2021</v>
      </c>
      <c r="F244" s="111" t="s">
        <v>2022</v>
      </c>
    </row>
    <row r="245" spans="1:6">
      <c r="A245" s="109" t="s">
        <v>2023</v>
      </c>
      <c r="B245" s="110" t="s">
        <v>2024</v>
      </c>
      <c r="C245" s="110" t="s">
        <v>2025</v>
      </c>
      <c r="D245" s="110" t="s">
        <v>81</v>
      </c>
      <c r="E245" s="110" t="s">
        <v>2026</v>
      </c>
      <c r="F245" s="111" t="s">
        <v>2027</v>
      </c>
    </row>
    <row r="246" spans="1:6">
      <c r="A246" s="109" t="s">
        <v>2028</v>
      </c>
      <c r="B246" s="110" t="s">
        <v>2029</v>
      </c>
      <c r="C246" s="110" t="s">
        <v>2030</v>
      </c>
      <c r="D246" s="110" t="s">
        <v>81</v>
      </c>
      <c r="E246" s="110" t="s">
        <v>2031</v>
      </c>
      <c r="F246" s="111" t="s">
        <v>2032</v>
      </c>
    </row>
    <row r="247" spans="1:6">
      <c r="A247" s="109" t="s">
        <v>2033</v>
      </c>
      <c r="B247" s="110" t="s">
        <v>2034</v>
      </c>
      <c r="C247" s="110" t="s">
        <v>2035</v>
      </c>
      <c r="D247" s="110" t="s">
        <v>81</v>
      </c>
      <c r="E247" s="110" t="s">
        <v>2036</v>
      </c>
      <c r="F247" s="111" t="s">
        <v>2037</v>
      </c>
    </row>
    <row r="248" spans="1:6">
      <c r="A248" s="109" t="s">
        <v>2038</v>
      </c>
      <c r="B248" s="110" t="s">
        <v>2039</v>
      </c>
      <c r="C248" s="110" t="s">
        <v>2040</v>
      </c>
      <c r="D248" s="110" t="s">
        <v>81</v>
      </c>
      <c r="E248" s="110" t="s">
        <v>2041</v>
      </c>
      <c r="F248" s="111" t="s">
        <v>2042</v>
      </c>
    </row>
    <row r="249" spans="1:6">
      <c r="A249" s="109" t="s">
        <v>2043</v>
      </c>
      <c r="B249" s="110" t="s">
        <v>2044</v>
      </c>
      <c r="C249" s="110" t="s">
        <v>2045</v>
      </c>
      <c r="D249" s="110" t="s">
        <v>81</v>
      </c>
      <c r="E249" s="110" t="s">
        <v>2046</v>
      </c>
      <c r="F249" s="111" t="s">
        <v>2047</v>
      </c>
    </row>
    <row r="250" spans="1:6">
      <c r="A250" s="109" t="s">
        <v>2048</v>
      </c>
      <c r="B250" s="110" t="s">
        <v>2049</v>
      </c>
      <c r="C250" s="110" t="s">
        <v>2050</v>
      </c>
      <c r="D250" s="110" t="s">
        <v>81</v>
      </c>
      <c r="E250" s="110" t="s">
        <v>2051</v>
      </c>
      <c r="F250" s="111" t="s">
        <v>2052</v>
      </c>
    </row>
    <row r="251" spans="1:6">
      <c r="A251" s="109" t="s">
        <v>2053</v>
      </c>
      <c r="B251" s="110" t="s">
        <v>2054</v>
      </c>
      <c r="C251" s="110" t="s">
        <v>2055</v>
      </c>
      <c r="D251" s="110" t="s">
        <v>81</v>
      </c>
      <c r="E251" s="110" t="s">
        <v>2056</v>
      </c>
      <c r="F251" s="111" t="s">
        <v>2057</v>
      </c>
    </row>
    <row r="252" spans="1:6">
      <c r="A252" s="109" t="s">
        <v>2058</v>
      </c>
      <c r="B252" s="110" t="s">
        <v>2059</v>
      </c>
      <c r="C252" s="110" t="s">
        <v>2060</v>
      </c>
      <c r="D252" s="110" t="s">
        <v>81</v>
      </c>
      <c r="E252" s="110" t="s">
        <v>2061</v>
      </c>
      <c r="F252" s="111" t="s">
        <v>2062</v>
      </c>
    </row>
    <row r="253" spans="1:6">
      <c r="A253" s="109" t="s">
        <v>2063</v>
      </c>
      <c r="B253" s="110" t="s">
        <v>2064</v>
      </c>
      <c r="C253" s="110" t="s">
        <v>2065</v>
      </c>
      <c r="D253" s="110" t="s">
        <v>81</v>
      </c>
      <c r="E253" s="110" t="s">
        <v>2066</v>
      </c>
      <c r="F253" s="111" t="s">
        <v>2067</v>
      </c>
    </row>
    <row r="254" spans="1:6">
      <c r="A254" s="109" t="s">
        <v>2068</v>
      </c>
      <c r="B254" s="110" t="s">
        <v>2069</v>
      </c>
      <c r="C254" s="110" t="s">
        <v>2070</v>
      </c>
      <c r="D254" s="110" t="s">
        <v>81</v>
      </c>
      <c r="E254" s="110" t="s">
        <v>2071</v>
      </c>
      <c r="F254" s="111" t="s">
        <v>2072</v>
      </c>
    </row>
    <row r="255" spans="1:6">
      <c r="A255" s="109" t="s">
        <v>2073</v>
      </c>
      <c r="B255" s="110" t="s">
        <v>2074</v>
      </c>
      <c r="C255" s="110" t="s">
        <v>2075</v>
      </c>
      <c r="D255" s="110" t="s">
        <v>81</v>
      </c>
      <c r="E255" s="110" t="s">
        <v>2076</v>
      </c>
      <c r="F255" s="111" t="s">
        <v>2077</v>
      </c>
    </row>
    <row r="256" spans="1:6">
      <c r="A256" s="109" t="s">
        <v>2078</v>
      </c>
      <c r="B256" s="110" t="s">
        <v>2079</v>
      </c>
      <c r="C256" s="110" t="s">
        <v>2080</v>
      </c>
      <c r="D256" s="110" t="s">
        <v>81</v>
      </c>
      <c r="E256" s="110" t="s">
        <v>2081</v>
      </c>
      <c r="F256" s="111" t="s">
        <v>2082</v>
      </c>
    </row>
    <row r="257" spans="1:6">
      <c r="A257" s="109" t="s">
        <v>2083</v>
      </c>
      <c r="B257" s="110" t="s">
        <v>2084</v>
      </c>
      <c r="C257" s="110" t="s">
        <v>2085</v>
      </c>
      <c r="D257" s="110" t="s">
        <v>81</v>
      </c>
      <c r="E257" s="110" t="s">
        <v>2086</v>
      </c>
      <c r="F257" s="111" t="s">
        <v>2087</v>
      </c>
    </row>
    <row r="258" spans="1:6">
      <c r="A258" s="109" t="s">
        <v>2088</v>
      </c>
      <c r="B258" s="110" t="s">
        <v>2089</v>
      </c>
      <c r="C258" s="110" t="s">
        <v>2090</v>
      </c>
      <c r="D258" s="110" t="s">
        <v>81</v>
      </c>
      <c r="E258" s="110" t="s">
        <v>2091</v>
      </c>
      <c r="F258" s="111" t="s">
        <v>2092</v>
      </c>
    </row>
    <row r="259" spans="1:6">
      <c r="A259" s="109" t="s">
        <v>2093</v>
      </c>
      <c r="B259" s="110" t="s">
        <v>2094</v>
      </c>
      <c r="C259" s="110" t="s">
        <v>2095</v>
      </c>
      <c r="D259" s="110" t="s">
        <v>81</v>
      </c>
      <c r="E259" s="110" t="s">
        <v>2096</v>
      </c>
      <c r="F259" s="111" t="s">
        <v>2097</v>
      </c>
    </row>
    <row r="260" spans="1:6">
      <c r="A260" s="109" t="s">
        <v>2098</v>
      </c>
      <c r="B260" s="110" t="s">
        <v>2099</v>
      </c>
      <c r="C260" s="110" t="s">
        <v>2100</v>
      </c>
      <c r="D260" s="110" t="s">
        <v>81</v>
      </c>
      <c r="E260" s="110" t="s">
        <v>2101</v>
      </c>
      <c r="F260" s="111" t="s">
        <v>2102</v>
      </c>
    </row>
    <row r="261" spans="1:6">
      <c r="A261" s="109" t="s">
        <v>2103</v>
      </c>
      <c r="B261" s="110" t="s">
        <v>2104</v>
      </c>
      <c r="C261" s="110" t="s">
        <v>2105</v>
      </c>
      <c r="D261" s="110" t="s">
        <v>81</v>
      </c>
      <c r="E261" s="110" t="s">
        <v>2106</v>
      </c>
      <c r="F261" s="111" t="s">
        <v>2107</v>
      </c>
    </row>
    <row r="262" spans="1:6">
      <c r="A262" s="109" t="s">
        <v>2108</v>
      </c>
      <c r="B262" s="110" t="s">
        <v>2109</v>
      </c>
      <c r="C262" s="110" t="s">
        <v>2110</v>
      </c>
      <c r="D262" s="110" t="s">
        <v>81</v>
      </c>
      <c r="E262" s="110" t="s">
        <v>2111</v>
      </c>
      <c r="F262" s="111" t="s">
        <v>2112</v>
      </c>
    </row>
    <row r="263" spans="1:6">
      <c r="A263" s="109" t="s">
        <v>2113</v>
      </c>
      <c r="B263" s="110" t="s">
        <v>2114</v>
      </c>
      <c r="C263" s="110" t="s">
        <v>2115</v>
      </c>
      <c r="D263" s="110" t="s">
        <v>81</v>
      </c>
      <c r="E263" s="110" t="s">
        <v>2116</v>
      </c>
      <c r="F263" s="111" t="s">
        <v>2117</v>
      </c>
    </row>
    <row r="264" spans="1:6">
      <c r="A264" s="109" t="s">
        <v>2118</v>
      </c>
      <c r="B264" s="110" t="s">
        <v>2119</v>
      </c>
      <c r="C264" s="110" t="s">
        <v>2120</v>
      </c>
      <c r="D264" s="110" t="s">
        <v>81</v>
      </c>
      <c r="E264" s="110" t="s">
        <v>2121</v>
      </c>
      <c r="F264" s="111" t="s">
        <v>2122</v>
      </c>
    </row>
    <row r="265" spans="1:6">
      <c r="A265" s="109" t="s">
        <v>2123</v>
      </c>
      <c r="B265" s="110" t="s">
        <v>2124</v>
      </c>
      <c r="C265" s="110" t="s">
        <v>2125</v>
      </c>
      <c r="D265" s="110" t="s">
        <v>81</v>
      </c>
      <c r="E265" s="110" t="s">
        <v>2126</v>
      </c>
      <c r="F265" s="111" t="s">
        <v>2127</v>
      </c>
    </row>
    <row r="266" spans="1:6">
      <c r="A266" s="109" t="s">
        <v>2128</v>
      </c>
      <c r="B266" s="110" t="s">
        <v>2129</v>
      </c>
      <c r="C266" s="110" t="s">
        <v>2130</v>
      </c>
      <c r="D266" s="110" t="s">
        <v>81</v>
      </c>
      <c r="E266" s="110" t="s">
        <v>2131</v>
      </c>
      <c r="F266" s="111" t="s">
        <v>2132</v>
      </c>
    </row>
    <row r="267" spans="1:6">
      <c r="A267" s="109" t="s">
        <v>2133</v>
      </c>
      <c r="B267" s="110" t="s">
        <v>2134</v>
      </c>
      <c r="C267" s="110" t="s">
        <v>2135</v>
      </c>
      <c r="D267" s="110" t="s">
        <v>81</v>
      </c>
      <c r="E267" s="110" t="s">
        <v>2136</v>
      </c>
      <c r="F267" s="111" t="s">
        <v>2137</v>
      </c>
    </row>
    <row r="268" spans="1:6">
      <c r="A268" s="109" t="s">
        <v>2138</v>
      </c>
      <c r="B268" s="110" t="s">
        <v>2139</v>
      </c>
      <c r="C268" s="110" t="s">
        <v>2140</v>
      </c>
      <c r="D268" s="110" t="s">
        <v>81</v>
      </c>
      <c r="E268" s="110" t="s">
        <v>2141</v>
      </c>
      <c r="F268" s="111" t="s">
        <v>2142</v>
      </c>
    </row>
    <row r="269" spans="1:6">
      <c r="A269" s="109" t="s">
        <v>2143</v>
      </c>
      <c r="B269" s="110" t="s">
        <v>2144</v>
      </c>
      <c r="C269" s="110" t="s">
        <v>2145</v>
      </c>
      <c r="D269" s="110" t="s">
        <v>81</v>
      </c>
      <c r="E269" s="110" t="s">
        <v>2146</v>
      </c>
      <c r="F269" s="111" t="s">
        <v>2147</v>
      </c>
    </row>
    <row r="270" spans="1:6">
      <c r="A270" s="109" t="s">
        <v>2148</v>
      </c>
      <c r="B270" s="110" t="s">
        <v>2149</v>
      </c>
      <c r="C270" s="110" t="s">
        <v>2150</v>
      </c>
      <c r="D270" s="110" t="s">
        <v>81</v>
      </c>
      <c r="E270" s="110" t="s">
        <v>2151</v>
      </c>
      <c r="F270" s="111" t="s">
        <v>2152</v>
      </c>
    </row>
    <row r="271" spans="1:6">
      <c r="A271" s="109" t="s">
        <v>2153</v>
      </c>
      <c r="B271" s="110" t="s">
        <v>2154</v>
      </c>
      <c r="C271" s="110" t="s">
        <v>2155</v>
      </c>
      <c r="D271" s="110" t="s">
        <v>81</v>
      </c>
      <c r="E271" s="110" t="s">
        <v>2156</v>
      </c>
      <c r="F271" s="111" t="s">
        <v>2157</v>
      </c>
    </row>
    <row r="272" spans="1:6">
      <c r="A272" s="109" t="s">
        <v>2158</v>
      </c>
      <c r="B272" s="110" t="s">
        <v>2159</v>
      </c>
      <c r="C272" s="110" t="s">
        <v>2160</v>
      </c>
      <c r="D272" s="110" t="s">
        <v>81</v>
      </c>
      <c r="E272" s="110" t="s">
        <v>2161</v>
      </c>
      <c r="F272" s="111" t="s">
        <v>2162</v>
      </c>
    </row>
    <row r="273" spans="1:6">
      <c r="A273" s="109" t="s">
        <v>2163</v>
      </c>
      <c r="B273" s="113" t="s">
        <v>2164</v>
      </c>
      <c r="C273" s="113" t="s">
        <v>2165</v>
      </c>
      <c r="D273" s="110" t="s">
        <v>81</v>
      </c>
      <c r="E273" s="110" t="s">
        <v>2166</v>
      </c>
      <c r="F273" s="111" t="s">
        <v>2167</v>
      </c>
    </row>
    <row r="274" spans="1:6">
      <c r="A274" s="109" t="s">
        <v>2168</v>
      </c>
      <c r="B274" s="110" t="s">
        <v>2169</v>
      </c>
      <c r="C274" s="110" t="s">
        <v>2170</v>
      </c>
      <c r="D274" s="110" t="s">
        <v>81</v>
      </c>
      <c r="E274" s="110" t="s">
        <v>2171</v>
      </c>
      <c r="F274" s="111" t="s">
        <v>2172</v>
      </c>
    </row>
    <row r="275" spans="1:6">
      <c r="A275" s="109" t="s">
        <v>2173</v>
      </c>
      <c r="B275" s="110" t="s">
        <v>2174</v>
      </c>
      <c r="C275" s="110" t="s">
        <v>2175</v>
      </c>
      <c r="D275" s="110" t="s">
        <v>81</v>
      </c>
      <c r="E275" s="110" t="s">
        <v>2176</v>
      </c>
      <c r="F275" s="111" t="s">
        <v>2177</v>
      </c>
    </row>
    <row r="276" spans="1:6">
      <c r="A276" s="109" t="s">
        <v>2178</v>
      </c>
      <c r="B276" s="110" t="s">
        <v>2179</v>
      </c>
      <c r="C276" s="110" t="s">
        <v>2180</v>
      </c>
      <c r="D276" s="110" t="s">
        <v>82</v>
      </c>
      <c r="E276" s="110" t="s">
        <v>2181</v>
      </c>
      <c r="F276" s="111" t="s">
        <v>2182</v>
      </c>
    </row>
    <row r="277" spans="1:6">
      <c r="A277" s="109" t="s">
        <v>2183</v>
      </c>
      <c r="B277" s="110" t="s">
        <v>2184</v>
      </c>
      <c r="C277" s="110" t="s">
        <v>2185</v>
      </c>
      <c r="D277" s="110" t="s">
        <v>81</v>
      </c>
      <c r="E277" s="110" t="s">
        <v>2186</v>
      </c>
      <c r="F277" s="111" t="s">
        <v>2187</v>
      </c>
    </row>
    <row r="278" spans="1:6">
      <c r="A278" s="109" t="s">
        <v>2188</v>
      </c>
      <c r="B278" s="110" t="s">
        <v>2189</v>
      </c>
      <c r="C278" s="110" t="s">
        <v>2190</v>
      </c>
      <c r="D278" s="110" t="s">
        <v>81</v>
      </c>
      <c r="E278" s="110" t="s">
        <v>2191</v>
      </c>
      <c r="F278" s="111" t="s">
        <v>2192</v>
      </c>
    </row>
    <row r="279" spans="1:6">
      <c r="A279" s="109" t="s">
        <v>2193</v>
      </c>
      <c r="B279" s="110" t="s">
        <v>2194</v>
      </c>
      <c r="C279" s="110" t="s">
        <v>2195</v>
      </c>
      <c r="D279" s="110" t="s">
        <v>81</v>
      </c>
      <c r="E279" s="110" t="s">
        <v>2196</v>
      </c>
      <c r="F279" s="111" t="s">
        <v>2197</v>
      </c>
    </row>
    <row r="280" spans="1:6">
      <c r="A280" s="109" t="s">
        <v>2198</v>
      </c>
      <c r="B280" s="110" t="s">
        <v>2199</v>
      </c>
      <c r="C280" s="110" t="s">
        <v>2200</v>
      </c>
      <c r="D280" s="110" t="s">
        <v>81</v>
      </c>
      <c r="E280" s="110" t="s">
        <v>2201</v>
      </c>
      <c r="F280" s="111" t="s">
        <v>2202</v>
      </c>
    </row>
    <row r="281" spans="1:6">
      <c r="A281" s="109" t="s">
        <v>2203</v>
      </c>
      <c r="B281" s="110" t="s">
        <v>2204</v>
      </c>
      <c r="C281" s="110" t="s">
        <v>2205</v>
      </c>
      <c r="D281" s="110" t="s">
        <v>81</v>
      </c>
      <c r="E281" s="110" t="s">
        <v>2206</v>
      </c>
      <c r="F281" s="111" t="s">
        <v>2207</v>
      </c>
    </row>
    <row r="282" spans="1:6">
      <c r="A282" s="109" t="s">
        <v>2208</v>
      </c>
      <c r="B282" s="110" t="s">
        <v>2209</v>
      </c>
      <c r="C282" s="110" t="s">
        <v>2210</v>
      </c>
      <c r="D282" s="110" t="s">
        <v>81</v>
      </c>
      <c r="E282" s="110" t="s">
        <v>2211</v>
      </c>
      <c r="F282" s="111" t="s">
        <v>2212</v>
      </c>
    </row>
    <row r="283" spans="1:6">
      <c r="A283" s="109" t="s">
        <v>2213</v>
      </c>
      <c r="B283" s="110" t="s">
        <v>2214</v>
      </c>
      <c r="C283" s="110" t="s">
        <v>2215</v>
      </c>
      <c r="D283" s="110" t="s">
        <v>81</v>
      </c>
      <c r="E283" s="110" t="s">
        <v>2216</v>
      </c>
      <c r="F283" s="111" t="s">
        <v>2217</v>
      </c>
    </row>
    <row r="284" spans="1:6">
      <c r="A284" s="109" t="s">
        <v>2218</v>
      </c>
      <c r="B284" s="110" t="s">
        <v>2219</v>
      </c>
      <c r="C284" s="110" t="s">
        <v>2220</v>
      </c>
      <c r="D284" s="110" t="s">
        <v>81</v>
      </c>
      <c r="E284" s="110" t="s">
        <v>2221</v>
      </c>
      <c r="F284" s="111" t="s">
        <v>2222</v>
      </c>
    </row>
    <row r="285" spans="1:6">
      <c r="A285" s="109" t="s">
        <v>2223</v>
      </c>
      <c r="B285" s="110" t="s">
        <v>2224</v>
      </c>
      <c r="C285" s="110" t="s">
        <v>2225</v>
      </c>
      <c r="D285" s="110" t="s">
        <v>81</v>
      </c>
      <c r="E285" s="110" t="s">
        <v>2226</v>
      </c>
      <c r="F285" s="111" t="s">
        <v>2227</v>
      </c>
    </row>
    <row r="286" spans="1:6">
      <c r="A286" s="109" t="s">
        <v>2228</v>
      </c>
      <c r="B286" s="110" t="s">
        <v>2229</v>
      </c>
      <c r="C286" s="110" t="s">
        <v>2230</v>
      </c>
      <c r="D286" s="110" t="s">
        <v>81</v>
      </c>
      <c r="E286" s="110" t="s">
        <v>2231</v>
      </c>
      <c r="F286" s="111" t="s">
        <v>2232</v>
      </c>
    </row>
    <row r="287" spans="1:6">
      <c r="A287" s="109" t="s">
        <v>2233</v>
      </c>
      <c r="B287" s="110" t="s">
        <v>2234</v>
      </c>
      <c r="C287" s="110" t="s">
        <v>2235</v>
      </c>
      <c r="D287" s="110" t="s">
        <v>81</v>
      </c>
      <c r="E287" s="110" t="s">
        <v>2236</v>
      </c>
      <c r="F287" s="111" t="s">
        <v>2237</v>
      </c>
    </row>
    <row r="288" spans="1:6">
      <c r="A288" s="109" t="s">
        <v>2238</v>
      </c>
      <c r="B288" s="110" t="s">
        <v>2239</v>
      </c>
      <c r="C288" s="110" t="s">
        <v>2240</v>
      </c>
      <c r="D288" s="110" t="s">
        <v>81</v>
      </c>
      <c r="E288" s="110" t="s">
        <v>2241</v>
      </c>
      <c r="F288" s="111" t="s">
        <v>2242</v>
      </c>
    </row>
    <row r="289" spans="1:6">
      <c r="A289" s="109" t="s">
        <v>2243</v>
      </c>
      <c r="B289" s="110" t="s">
        <v>2244</v>
      </c>
      <c r="C289" s="110" t="s">
        <v>2245</v>
      </c>
      <c r="D289" s="110" t="s">
        <v>81</v>
      </c>
      <c r="E289" s="110" t="s">
        <v>2246</v>
      </c>
      <c r="F289" s="111" t="s">
        <v>2247</v>
      </c>
    </row>
    <row r="290" spans="1:6">
      <c r="A290" s="109" t="s">
        <v>2248</v>
      </c>
      <c r="B290" s="110" t="s">
        <v>2249</v>
      </c>
      <c r="C290" s="110" t="s">
        <v>2250</v>
      </c>
      <c r="D290" s="110" t="s">
        <v>81</v>
      </c>
      <c r="E290" s="110" t="s">
        <v>2251</v>
      </c>
      <c r="F290" s="111" t="s">
        <v>2252</v>
      </c>
    </row>
    <row r="291" spans="1:6">
      <c r="A291" s="109" t="s">
        <v>2253</v>
      </c>
      <c r="B291" s="110" t="s">
        <v>2254</v>
      </c>
      <c r="C291" s="110" t="s">
        <v>2255</v>
      </c>
      <c r="D291" s="110" t="s">
        <v>81</v>
      </c>
      <c r="E291" s="110" t="s">
        <v>2256</v>
      </c>
      <c r="F291" s="111" t="s">
        <v>2257</v>
      </c>
    </row>
    <row r="292" spans="1:6">
      <c r="A292" s="109" t="s">
        <v>2258</v>
      </c>
      <c r="B292" s="110" t="s">
        <v>2259</v>
      </c>
      <c r="C292" s="110" t="s">
        <v>2260</v>
      </c>
      <c r="D292" s="110" t="s">
        <v>81</v>
      </c>
      <c r="E292" s="110" t="s">
        <v>2261</v>
      </c>
      <c r="F292" s="111" t="s">
        <v>2262</v>
      </c>
    </row>
    <row r="293" spans="1:6">
      <c r="A293" s="109" t="s">
        <v>2263</v>
      </c>
      <c r="B293" s="110" t="s">
        <v>2264</v>
      </c>
      <c r="C293" s="110" t="s">
        <v>2265</v>
      </c>
      <c r="D293" s="110" t="s">
        <v>81</v>
      </c>
      <c r="E293" s="110" t="s">
        <v>2266</v>
      </c>
      <c r="F293" s="111" t="s">
        <v>2267</v>
      </c>
    </row>
    <row r="294" spans="1:6">
      <c r="A294" s="109" t="s">
        <v>2268</v>
      </c>
      <c r="B294" s="110" t="s">
        <v>2269</v>
      </c>
      <c r="C294" s="110" t="s">
        <v>2270</v>
      </c>
      <c r="D294" s="110" t="s">
        <v>81</v>
      </c>
      <c r="E294" s="110" t="s">
        <v>2271</v>
      </c>
      <c r="F294" s="111" t="s">
        <v>2272</v>
      </c>
    </row>
    <row r="295" spans="1:6">
      <c r="A295" s="109" t="s">
        <v>2273</v>
      </c>
      <c r="B295" s="110" t="s">
        <v>2274</v>
      </c>
      <c r="C295" s="110" t="s">
        <v>2275</v>
      </c>
      <c r="D295" s="110" t="s">
        <v>81</v>
      </c>
      <c r="E295" s="110" t="s">
        <v>2276</v>
      </c>
      <c r="F295" s="111" t="s">
        <v>2277</v>
      </c>
    </row>
    <row r="296" spans="1:6">
      <c r="A296" s="109" t="s">
        <v>2278</v>
      </c>
      <c r="B296" s="110" t="s">
        <v>2279</v>
      </c>
      <c r="C296" s="110" t="s">
        <v>2280</v>
      </c>
      <c r="D296" s="110" t="s">
        <v>81</v>
      </c>
      <c r="E296" s="110" t="s">
        <v>2281</v>
      </c>
      <c r="F296" s="111" t="s">
        <v>2282</v>
      </c>
    </row>
    <row r="297" spans="1:6">
      <c r="A297" s="109" t="s">
        <v>2283</v>
      </c>
      <c r="B297" s="110" t="s">
        <v>2284</v>
      </c>
      <c r="C297" s="110" t="s">
        <v>2285</v>
      </c>
      <c r="D297" s="110" t="s">
        <v>81</v>
      </c>
      <c r="E297" s="110" t="s">
        <v>2286</v>
      </c>
      <c r="F297" s="111" t="s">
        <v>2287</v>
      </c>
    </row>
    <row r="298" spans="1:6">
      <c r="A298" s="109" t="s">
        <v>2288</v>
      </c>
      <c r="B298" s="110" t="s">
        <v>2289</v>
      </c>
      <c r="C298" s="110" t="s">
        <v>2290</v>
      </c>
      <c r="D298" s="110" t="s">
        <v>81</v>
      </c>
      <c r="E298" s="110" t="s">
        <v>2291</v>
      </c>
      <c r="F298" s="111" t="s">
        <v>2292</v>
      </c>
    </row>
    <row r="299" spans="1:6">
      <c r="A299" s="109" t="s">
        <v>2293</v>
      </c>
      <c r="B299" s="110" t="s">
        <v>2294</v>
      </c>
      <c r="C299" s="110" t="s">
        <v>2295</v>
      </c>
      <c r="D299" s="110" t="s">
        <v>81</v>
      </c>
      <c r="E299" s="110" t="s">
        <v>2296</v>
      </c>
      <c r="F299" s="111" t="s">
        <v>2297</v>
      </c>
    </row>
    <row r="300" spans="1:6">
      <c r="A300" s="109" t="s">
        <v>2298</v>
      </c>
      <c r="B300" s="110" t="s">
        <v>2299</v>
      </c>
      <c r="C300" s="110" t="s">
        <v>2300</v>
      </c>
      <c r="D300" s="110" t="s">
        <v>81</v>
      </c>
      <c r="E300" s="110" t="s">
        <v>2301</v>
      </c>
      <c r="F300" s="111" t="s">
        <v>2302</v>
      </c>
    </row>
    <row r="301" spans="1:6">
      <c r="A301" s="109" t="s">
        <v>2303</v>
      </c>
      <c r="B301" s="110" t="s">
        <v>2304</v>
      </c>
      <c r="C301" s="110" t="s">
        <v>2305</v>
      </c>
      <c r="D301" s="110" t="s">
        <v>81</v>
      </c>
      <c r="E301" s="110" t="s">
        <v>2306</v>
      </c>
      <c r="F301" s="111" t="s">
        <v>2307</v>
      </c>
    </row>
    <row r="302" spans="1:6">
      <c r="A302" s="109" t="s">
        <v>2308</v>
      </c>
      <c r="B302" s="110" t="s">
        <v>2309</v>
      </c>
      <c r="C302" s="110" t="s">
        <v>2310</v>
      </c>
      <c r="D302" s="110" t="s">
        <v>81</v>
      </c>
      <c r="E302" s="110" t="s">
        <v>2311</v>
      </c>
      <c r="F302" s="111" t="s">
        <v>2312</v>
      </c>
    </row>
    <row r="303" spans="1:6">
      <c r="A303" s="109" t="s">
        <v>2313</v>
      </c>
      <c r="B303" s="110" t="s">
        <v>2314</v>
      </c>
      <c r="C303" s="110" t="s">
        <v>2315</v>
      </c>
      <c r="D303" s="110" t="s">
        <v>81</v>
      </c>
      <c r="E303" s="110" t="s">
        <v>2316</v>
      </c>
      <c r="F303" s="111" t="s">
        <v>2317</v>
      </c>
    </row>
    <row r="304" spans="1:6">
      <c r="A304" s="109" t="s">
        <v>2318</v>
      </c>
      <c r="B304" s="110" t="s">
        <v>2319</v>
      </c>
      <c r="C304" s="110" t="s">
        <v>2320</v>
      </c>
      <c r="D304" s="110" t="s">
        <v>81</v>
      </c>
      <c r="E304" s="110" t="s">
        <v>2321</v>
      </c>
      <c r="F304" s="111" t="s">
        <v>2322</v>
      </c>
    </row>
    <row r="305" spans="1:6">
      <c r="A305" s="109" t="s">
        <v>2323</v>
      </c>
      <c r="B305" s="110" t="s">
        <v>2324</v>
      </c>
      <c r="C305" s="110" t="s">
        <v>2325</v>
      </c>
      <c r="D305" s="110" t="s">
        <v>81</v>
      </c>
      <c r="E305" s="110" t="s">
        <v>2326</v>
      </c>
      <c r="F305" s="111" t="s">
        <v>2327</v>
      </c>
    </row>
    <row r="306" spans="1:6">
      <c r="A306" s="109" t="s">
        <v>2328</v>
      </c>
      <c r="B306" s="110" t="s">
        <v>2329</v>
      </c>
      <c r="C306" s="110" t="s">
        <v>2330</v>
      </c>
      <c r="D306" s="110" t="s">
        <v>81</v>
      </c>
      <c r="E306" s="110" t="s">
        <v>2331</v>
      </c>
      <c r="F306" s="111" t="s">
        <v>2332</v>
      </c>
    </row>
    <row r="307" spans="1:6">
      <c r="A307" s="109" t="s">
        <v>2333</v>
      </c>
      <c r="B307" s="110" t="s">
        <v>2334</v>
      </c>
      <c r="C307" s="110" t="s">
        <v>2335</v>
      </c>
      <c r="D307" s="110" t="s">
        <v>81</v>
      </c>
      <c r="E307" s="110" t="s">
        <v>2336</v>
      </c>
      <c r="F307" s="111" t="s">
        <v>2337</v>
      </c>
    </row>
    <row r="308" spans="1:6">
      <c r="A308" s="109" t="s">
        <v>2338</v>
      </c>
      <c r="B308" s="110" t="s">
        <v>2339</v>
      </c>
      <c r="C308" s="110" t="s">
        <v>2340</v>
      </c>
      <c r="D308" s="110" t="s">
        <v>81</v>
      </c>
      <c r="E308" s="110" t="s">
        <v>2341</v>
      </c>
      <c r="F308" s="111" t="s">
        <v>2342</v>
      </c>
    </row>
    <row r="309" spans="1:6">
      <c r="A309" s="109" t="s">
        <v>2343</v>
      </c>
      <c r="B309" s="110" t="s">
        <v>2344</v>
      </c>
      <c r="C309" s="110" t="s">
        <v>2345</v>
      </c>
      <c r="D309" s="110" t="s">
        <v>81</v>
      </c>
      <c r="E309" s="110" t="s">
        <v>2346</v>
      </c>
      <c r="F309" s="111" t="s">
        <v>2347</v>
      </c>
    </row>
    <row r="310" spans="1:6">
      <c r="A310" s="109" t="s">
        <v>2348</v>
      </c>
      <c r="B310" s="110" t="s">
        <v>2349</v>
      </c>
      <c r="C310" s="110" t="s">
        <v>2350</v>
      </c>
      <c r="D310" s="110" t="s">
        <v>81</v>
      </c>
      <c r="E310" s="110" t="s">
        <v>2351</v>
      </c>
      <c r="F310" s="111" t="s">
        <v>2352</v>
      </c>
    </row>
    <row r="311" spans="1:6">
      <c r="A311" s="109" t="s">
        <v>2353</v>
      </c>
      <c r="B311" s="110" t="s">
        <v>2354</v>
      </c>
      <c r="C311" s="110" t="s">
        <v>2355</v>
      </c>
      <c r="D311" s="110" t="s">
        <v>81</v>
      </c>
      <c r="E311" s="110" t="s">
        <v>2356</v>
      </c>
      <c r="F311" s="111" t="s">
        <v>2357</v>
      </c>
    </row>
    <row r="312" spans="1:6">
      <c r="A312" s="109" t="s">
        <v>2358</v>
      </c>
      <c r="B312" s="110" t="s">
        <v>2359</v>
      </c>
      <c r="C312" s="110" t="s">
        <v>2360</v>
      </c>
      <c r="D312" s="110" t="s">
        <v>81</v>
      </c>
      <c r="E312" s="110" t="s">
        <v>2361</v>
      </c>
      <c r="F312" s="111" t="s">
        <v>2362</v>
      </c>
    </row>
    <row r="313" spans="1:6">
      <c r="A313" s="109" t="s">
        <v>2363</v>
      </c>
      <c r="B313" s="110" t="s">
        <v>2364</v>
      </c>
      <c r="C313" s="110" t="s">
        <v>2365</v>
      </c>
      <c r="D313" s="110" t="s">
        <v>81</v>
      </c>
      <c r="E313" s="110" t="s">
        <v>2366</v>
      </c>
      <c r="F313" s="111" t="s">
        <v>2367</v>
      </c>
    </row>
    <row r="314" spans="1:6">
      <c r="A314" s="109" t="s">
        <v>2368</v>
      </c>
      <c r="B314" s="110" t="s">
        <v>2369</v>
      </c>
      <c r="C314" s="110" t="s">
        <v>2370</v>
      </c>
      <c r="D314" s="110" t="s">
        <v>81</v>
      </c>
      <c r="E314" s="110" t="s">
        <v>2371</v>
      </c>
      <c r="F314" s="111" t="s">
        <v>2372</v>
      </c>
    </row>
    <row r="315" spans="1:6">
      <c r="A315" s="109" t="s">
        <v>2373</v>
      </c>
      <c r="B315" s="110" t="s">
        <v>2374</v>
      </c>
      <c r="C315" s="110" t="s">
        <v>2375</v>
      </c>
      <c r="D315" s="110" t="s">
        <v>81</v>
      </c>
      <c r="E315" s="110" t="s">
        <v>2376</v>
      </c>
      <c r="F315" s="111" t="s">
        <v>2377</v>
      </c>
    </row>
    <row r="316" spans="1:6">
      <c r="A316" s="109" t="s">
        <v>2378</v>
      </c>
      <c r="B316" s="110" t="s">
        <v>2379</v>
      </c>
      <c r="C316" s="110" t="s">
        <v>2380</v>
      </c>
      <c r="D316" s="110" t="s">
        <v>81</v>
      </c>
      <c r="E316" s="110" t="s">
        <v>2381</v>
      </c>
      <c r="F316" s="111" t="s">
        <v>2382</v>
      </c>
    </row>
    <row r="317" spans="1:6">
      <c r="A317" s="109" t="s">
        <v>2383</v>
      </c>
      <c r="B317" s="110" t="s">
        <v>2384</v>
      </c>
      <c r="C317" s="110" t="s">
        <v>2385</v>
      </c>
      <c r="D317" s="110" t="s">
        <v>81</v>
      </c>
      <c r="E317" s="110" t="s">
        <v>2386</v>
      </c>
      <c r="F317" s="111" t="s">
        <v>2387</v>
      </c>
    </row>
    <row r="318" spans="1:6">
      <c r="A318" s="109" t="s">
        <v>2388</v>
      </c>
      <c r="B318" s="110" t="s">
        <v>2389</v>
      </c>
      <c r="C318" s="110" t="s">
        <v>2390</v>
      </c>
      <c r="D318" s="110" t="s">
        <v>81</v>
      </c>
      <c r="E318" s="110" t="s">
        <v>2391</v>
      </c>
      <c r="F318" s="111" t="s">
        <v>2392</v>
      </c>
    </row>
    <row r="319" spans="1:6">
      <c r="A319" s="109" t="s">
        <v>2393</v>
      </c>
      <c r="B319" s="110" t="s">
        <v>2394</v>
      </c>
      <c r="C319" s="110" t="s">
        <v>2395</v>
      </c>
      <c r="D319" s="110" t="s">
        <v>81</v>
      </c>
      <c r="E319" s="110" t="s">
        <v>2396</v>
      </c>
      <c r="F319" s="111" t="s">
        <v>2397</v>
      </c>
    </row>
    <row r="320" spans="1:6">
      <c r="A320" s="109" t="s">
        <v>2398</v>
      </c>
      <c r="B320" s="110" t="s">
        <v>2399</v>
      </c>
      <c r="C320" s="110" t="s">
        <v>2400</v>
      </c>
      <c r="D320" s="110" t="s">
        <v>81</v>
      </c>
      <c r="E320" s="110" t="s">
        <v>2401</v>
      </c>
      <c r="F320" s="111" t="s">
        <v>2402</v>
      </c>
    </row>
    <row r="321" spans="1:6">
      <c r="A321" s="109" t="s">
        <v>2403</v>
      </c>
      <c r="B321" s="110" t="s">
        <v>2404</v>
      </c>
      <c r="C321" s="110" t="s">
        <v>2405</v>
      </c>
      <c r="D321" s="110" t="s">
        <v>81</v>
      </c>
      <c r="E321" s="110" t="s">
        <v>2406</v>
      </c>
      <c r="F321" s="111" t="s">
        <v>2407</v>
      </c>
    </row>
    <row r="322" spans="1:6">
      <c r="A322" s="109" t="s">
        <v>2408</v>
      </c>
      <c r="B322" s="110" t="s">
        <v>2409</v>
      </c>
      <c r="C322" s="110" t="s">
        <v>2410</v>
      </c>
      <c r="D322" s="110" t="s">
        <v>81</v>
      </c>
      <c r="E322" s="110" t="s">
        <v>2411</v>
      </c>
      <c r="F322" s="111" t="s">
        <v>2412</v>
      </c>
    </row>
    <row r="323" spans="1:6">
      <c r="A323" s="109" t="s">
        <v>2413</v>
      </c>
      <c r="B323" s="110" t="s">
        <v>2414</v>
      </c>
      <c r="C323" s="110" t="s">
        <v>2415</v>
      </c>
      <c r="D323" s="110" t="s">
        <v>81</v>
      </c>
      <c r="E323" s="110" t="s">
        <v>2416</v>
      </c>
      <c r="F323" s="111" t="s">
        <v>2417</v>
      </c>
    </row>
    <row r="324" spans="1:6">
      <c r="A324" s="109" t="s">
        <v>2418</v>
      </c>
      <c r="B324" s="110" t="s">
        <v>2419</v>
      </c>
      <c r="C324" s="110" t="s">
        <v>2420</v>
      </c>
      <c r="D324" s="110" t="s">
        <v>81</v>
      </c>
      <c r="E324" s="110" t="s">
        <v>2421</v>
      </c>
      <c r="F324" s="111" t="s">
        <v>2422</v>
      </c>
    </row>
    <row r="325" spans="1:6">
      <c r="A325" s="109" t="s">
        <v>2423</v>
      </c>
      <c r="B325" s="110" t="s">
        <v>2424</v>
      </c>
      <c r="C325" s="110" t="s">
        <v>2425</v>
      </c>
      <c r="D325" s="110" t="s">
        <v>81</v>
      </c>
      <c r="E325" s="110" t="s">
        <v>2426</v>
      </c>
      <c r="F325" s="111" t="s">
        <v>2427</v>
      </c>
    </row>
    <row r="326" spans="1:6">
      <c r="A326" s="109" t="s">
        <v>2428</v>
      </c>
      <c r="B326" s="110" t="s">
        <v>2429</v>
      </c>
      <c r="C326" s="110" t="s">
        <v>2430</v>
      </c>
      <c r="D326" s="110" t="s">
        <v>81</v>
      </c>
      <c r="E326" s="110" t="s">
        <v>2431</v>
      </c>
      <c r="F326" s="111" t="s">
        <v>2432</v>
      </c>
    </row>
    <row r="327" spans="1:6">
      <c r="A327" s="109" t="s">
        <v>2433</v>
      </c>
      <c r="B327" s="110" t="s">
        <v>2434</v>
      </c>
      <c r="C327" s="110" t="s">
        <v>2435</v>
      </c>
      <c r="D327" s="110" t="s">
        <v>81</v>
      </c>
      <c r="E327" s="110" t="s">
        <v>2436</v>
      </c>
      <c r="F327" s="111" t="s">
        <v>2437</v>
      </c>
    </row>
    <row r="328" spans="1:6">
      <c r="A328" s="109" t="s">
        <v>2438</v>
      </c>
      <c r="B328" s="110" t="s">
        <v>2439</v>
      </c>
      <c r="C328" s="110" t="s">
        <v>2440</v>
      </c>
      <c r="D328" s="110" t="s">
        <v>81</v>
      </c>
      <c r="E328" s="110" t="s">
        <v>2441</v>
      </c>
      <c r="F328" s="111" t="s">
        <v>2442</v>
      </c>
    </row>
    <row r="329" spans="1:6">
      <c r="A329" s="109" t="s">
        <v>2443</v>
      </c>
      <c r="B329" s="110" t="s">
        <v>2444</v>
      </c>
      <c r="C329" s="110" t="s">
        <v>2445</v>
      </c>
      <c r="D329" s="110" t="s">
        <v>81</v>
      </c>
      <c r="E329" s="110" t="s">
        <v>2446</v>
      </c>
      <c r="F329" s="111" t="s">
        <v>2447</v>
      </c>
    </row>
    <row r="330" spans="1:6">
      <c r="A330" s="109" t="s">
        <v>2448</v>
      </c>
      <c r="B330" s="110" t="s">
        <v>2449</v>
      </c>
      <c r="C330" s="110" t="s">
        <v>2450</v>
      </c>
      <c r="D330" s="110" t="s">
        <v>81</v>
      </c>
      <c r="E330" s="110" t="s">
        <v>2451</v>
      </c>
      <c r="F330" s="111" t="s">
        <v>2452</v>
      </c>
    </row>
    <row r="331" spans="1:6">
      <c r="A331" s="109" t="s">
        <v>2453</v>
      </c>
      <c r="B331" s="110" t="s">
        <v>2454</v>
      </c>
      <c r="C331" s="110" t="s">
        <v>2455</v>
      </c>
      <c r="D331" s="110" t="s">
        <v>81</v>
      </c>
      <c r="E331" s="110" t="s">
        <v>2456</v>
      </c>
      <c r="F331" s="111" t="s">
        <v>2457</v>
      </c>
    </row>
    <row r="332" spans="1:6">
      <c r="A332" s="109" t="s">
        <v>2458</v>
      </c>
      <c r="B332" s="110" t="s">
        <v>2459</v>
      </c>
      <c r="C332" s="110" t="s">
        <v>2460</v>
      </c>
      <c r="D332" s="110" t="s">
        <v>81</v>
      </c>
      <c r="E332" s="110" t="s">
        <v>2461</v>
      </c>
      <c r="F332" s="111" t="s">
        <v>2462</v>
      </c>
    </row>
    <row r="333" spans="1:6">
      <c r="A333" s="109" t="s">
        <v>2463</v>
      </c>
      <c r="B333" s="110" t="s">
        <v>2464</v>
      </c>
      <c r="C333" s="110" t="s">
        <v>2465</v>
      </c>
      <c r="D333" s="110" t="s">
        <v>82</v>
      </c>
      <c r="E333" s="110" t="s">
        <v>2466</v>
      </c>
      <c r="F333" s="111" t="s">
        <v>2467</v>
      </c>
    </row>
    <row r="334" spans="1:6">
      <c r="A334" s="109" t="s">
        <v>2468</v>
      </c>
      <c r="B334" s="110" t="s">
        <v>2469</v>
      </c>
      <c r="C334" s="114" t="s">
        <v>2470</v>
      </c>
      <c r="D334" s="110" t="s">
        <v>82</v>
      </c>
      <c r="E334" s="110" t="s">
        <v>2471</v>
      </c>
      <c r="F334" s="111" t="s">
        <v>2472</v>
      </c>
    </row>
    <row r="335" spans="1:6">
      <c r="A335" s="109" t="s">
        <v>2473</v>
      </c>
      <c r="B335" s="110" t="s">
        <v>2474</v>
      </c>
      <c r="C335" s="110" t="s">
        <v>2475</v>
      </c>
      <c r="D335" s="110" t="s">
        <v>82</v>
      </c>
      <c r="E335" s="110" t="s">
        <v>2476</v>
      </c>
      <c r="F335" s="111" t="s">
        <v>2477</v>
      </c>
    </row>
    <row r="336" spans="1:6">
      <c r="A336" s="109" t="s">
        <v>2478</v>
      </c>
      <c r="B336" s="110" t="s">
        <v>2479</v>
      </c>
      <c r="C336" s="110" t="s">
        <v>2480</v>
      </c>
      <c r="D336" s="110" t="s">
        <v>81</v>
      </c>
      <c r="E336" s="110" t="s">
        <v>2481</v>
      </c>
      <c r="F336" s="111" t="s">
        <v>2482</v>
      </c>
    </row>
    <row r="337" spans="1:6">
      <c r="A337" s="109" t="s">
        <v>2483</v>
      </c>
      <c r="B337" s="110" t="s">
        <v>2484</v>
      </c>
      <c r="C337" s="110" t="s">
        <v>2485</v>
      </c>
      <c r="D337" s="110" t="s">
        <v>81</v>
      </c>
      <c r="E337" s="110" t="s">
        <v>2486</v>
      </c>
      <c r="F337" s="111" t="s">
        <v>2487</v>
      </c>
    </row>
    <row r="338" spans="1:6">
      <c r="A338" s="109" t="s">
        <v>2488</v>
      </c>
      <c r="B338" s="110" t="s">
        <v>2489</v>
      </c>
      <c r="C338" s="110" t="s">
        <v>2490</v>
      </c>
      <c r="D338" s="110" t="s">
        <v>82</v>
      </c>
      <c r="E338" s="110" t="s">
        <v>2491</v>
      </c>
      <c r="F338" s="111" t="s">
        <v>2492</v>
      </c>
    </row>
    <row r="339" spans="1:6">
      <c r="A339" s="109" t="s">
        <v>2493</v>
      </c>
      <c r="B339" s="110" t="s">
        <v>2494</v>
      </c>
      <c r="C339" s="110" t="s">
        <v>2495</v>
      </c>
      <c r="D339" s="110" t="s">
        <v>82</v>
      </c>
      <c r="E339" s="110" t="s">
        <v>2496</v>
      </c>
      <c r="F339" s="111" t="s">
        <v>2497</v>
      </c>
    </row>
    <row r="340" spans="1:6">
      <c r="A340" s="109" t="s">
        <v>2498</v>
      </c>
      <c r="B340" s="110" t="s">
        <v>2499</v>
      </c>
      <c r="C340" s="110" t="s">
        <v>2500</v>
      </c>
      <c r="D340" s="110" t="s">
        <v>81</v>
      </c>
      <c r="E340" s="110" t="s">
        <v>2501</v>
      </c>
      <c r="F340" s="111" t="s">
        <v>2502</v>
      </c>
    </row>
    <row r="341" spans="1:6">
      <c r="A341" s="109" t="s">
        <v>2503</v>
      </c>
      <c r="B341" s="110" t="s">
        <v>2504</v>
      </c>
      <c r="C341" s="110" t="s">
        <v>2505</v>
      </c>
      <c r="D341" s="110" t="s">
        <v>81</v>
      </c>
      <c r="E341" s="110" t="s">
        <v>2506</v>
      </c>
      <c r="F341" s="111" t="s">
        <v>2507</v>
      </c>
    </row>
    <row r="342" spans="1:6">
      <c r="A342" s="109" t="s">
        <v>2508</v>
      </c>
      <c r="B342" s="110" t="s">
        <v>2509</v>
      </c>
      <c r="C342" s="110" t="s">
        <v>2510</v>
      </c>
      <c r="D342" s="110" t="s">
        <v>82</v>
      </c>
      <c r="E342" s="110" t="s">
        <v>2511</v>
      </c>
      <c r="F342" s="111" t="s">
        <v>2512</v>
      </c>
    </row>
    <row r="343" spans="1:6">
      <c r="A343" s="109" t="s">
        <v>2513</v>
      </c>
      <c r="B343" s="110" t="s">
        <v>2514</v>
      </c>
      <c r="C343" s="110" t="s">
        <v>2515</v>
      </c>
      <c r="D343" s="110" t="s">
        <v>81</v>
      </c>
      <c r="E343" s="110" t="s">
        <v>2516</v>
      </c>
      <c r="F343" s="111" t="s">
        <v>2517</v>
      </c>
    </row>
    <row r="344" spans="1:6">
      <c r="A344" s="109" t="s">
        <v>2518</v>
      </c>
      <c r="B344" s="110" t="s">
        <v>2519</v>
      </c>
      <c r="C344" s="110" t="s">
        <v>2520</v>
      </c>
      <c r="D344" s="110" t="s">
        <v>82</v>
      </c>
      <c r="E344" s="110" t="s">
        <v>2521</v>
      </c>
      <c r="F344" s="111" t="s">
        <v>2522</v>
      </c>
    </row>
    <row r="345" spans="1:6">
      <c r="A345" s="109" t="s">
        <v>2523</v>
      </c>
      <c r="B345" s="110" t="s">
        <v>2524</v>
      </c>
      <c r="C345" s="110" t="s">
        <v>2525</v>
      </c>
      <c r="D345" s="110" t="s">
        <v>82</v>
      </c>
      <c r="E345" s="110" t="s">
        <v>2526</v>
      </c>
      <c r="F345" s="111" t="s">
        <v>2527</v>
      </c>
    </row>
    <row r="346" spans="1:6">
      <c r="A346" s="109" t="s">
        <v>2528</v>
      </c>
      <c r="B346" s="110" t="s">
        <v>2529</v>
      </c>
      <c r="C346" s="110" t="s">
        <v>2530</v>
      </c>
      <c r="D346" s="110" t="s">
        <v>81</v>
      </c>
      <c r="E346" s="110" t="s">
        <v>2531</v>
      </c>
      <c r="F346" s="111" t="s">
        <v>2532</v>
      </c>
    </row>
    <row r="347" spans="1:6">
      <c r="A347" s="109" t="s">
        <v>2533</v>
      </c>
      <c r="B347" s="110" t="s">
        <v>2534</v>
      </c>
      <c r="C347" s="110" t="s">
        <v>2535</v>
      </c>
      <c r="D347" s="110" t="s">
        <v>81</v>
      </c>
      <c r="E347" s="110" t="s">
        <v>2536</v>
      </c>
      <c r="F347" s="111" t="s">
        <v>2537</v>
      </c>
    </row>
    <row r="348" spans="1:6">
      <c r="A348" s="109" t="s">
        <v>2538</v>
      </c>
      <c r="B348" s="110" t="s">
        <v>2539</v>
      </c>
      <c r="C348" s="110" t="s">
        <v>2540</v>
      </c>
      <c r="D348" s="110" t="s">
        <v>81</v>
      </c>
      <c r="E348" s="110" t="s">
        <v>2541</v>
      </c>
      <c r="F348" s="111" t="s">
        <v>2542</v>
      </c>
    </row>
    <row r="349" spans="1:6">
      <c r="A349" s="109" t="s">
        <v>2543</v>
      </c>
      <c r="B349" s="110" t="s">
        <v>2544</v>
      </c>
      <c r="C349" s="110" t="s">
        <v>2545</v>
      </c>
      <c r="D349" s="110" t="s">
        <v>81</v>
      </c>
      <c r="E349" s="110" t="s">
        <v>2546</v>
      </c>
      <c r="F349" s="111" t="s">
        <v>2547</v>
      </c>
    </row>
    <row r="350" spans="1:6">
      <c r="A350" s="109" t="s">
        <v>2548</v>
      </c>
      <c r="B350" s="110" t="s">
        <v>2549</v>
      </c>
      <c r="C350" s="110" t="s">
        <v>2550</v>
      </c>
      <c r="D350" s="110" t="s">
        <v>82</v>
      </c>
      <c r="E350" s="110" t="s">
        <v>2551</v>
      </c>
      <c r="F350" s="111" t="s">
        <v>2552</v>
      </c>
    </row>
    <row r="351" spans="1:6">
      <c r="A351" s="109" t="s">
        <v>2553</v>
      </c>
      <c r="B351" s="110" t="s">
        <v>2554</v>
      </c>
      <c r="C351" s="110" t="s">
        <v>2555</v>
      </c>
      <c r="D351" s="110" t="s">
        <v>82</v>
      </c>
      <c r="E351" s="110" t="s">
        <v>2556</v>
      </c>
      <c r="F351" s="111" t="s">
        <v>2557</v>
      </c>
    </row>
    <row r="352" spans="1:6">
      <c r="A352" s="109" t="s">
        <v>2558</v>
      </c>
      <c r="B352" s="110" t="s">
        <v>2559</v>
      </c>
      <c r="C352" s="110" t="s">
        <v>2560</v>
      </c>
      <c r="D352" s="110" t="s">
        <v>82</v>
      </c>
      <c r="E352" s="110" t="s">
        <v>2561</v>
      </c>
      <c r="F352" s="111" t="s">
        <v>2562</v>
      </c>
    </row>
    <row r="353" spans="1:6">
      <c r="A353" s="109" t="s">
        <v>2563</v>
      </c>
      <c r="B353" s="110" t="s">
        <v>2564</v>
      </c>
      <c r="C353" s="110" t="s">
        <v>2565</v>
      </c>
      <c r="D353" s="110" t="s">
        <v>81</v>
      </c>
      <c r="E353" s="110" t="s">
        <v>2566</v>
      </c>
      <c r="F353" s="111" t="s">
        <v>2567</v>
      </c>
    </row>
    <row r="354" spans="1:6">
      <c r="A354" s="109" t="s">
        <v>2568</v>
      </c>
      <c r="B354" s="110" t="s">
        <v>2569</v>
      </c>
      <c r="C354" s="110" t="s">
        <v>2570</v>
      </c>
      <c r="D354" s="110" t="s">
        <v>81</v>
      </c>
      <c r="E354" s="110" t="s">
        <v>2571</v>
      </c>
      <c r="F354" s="111" t="s">
        <v>2572</v>
      </c>
    </row>
    <row r="355" spans="1:6">
      <c r="A355" s="109" t="s">
        <v>2573</v>
      </c>
      <c r="B355" s="110" t="s">
        <v>2574</v>
      </c>
      <c r="C355" s="110" t="s">
        <v>2575</v>
      </c>
      <c r="D355" s="110" t="s">
        <v>82</v>
      </c>
      <c r="E355" s="110" t="s">
        <v>2576</v>
      </c>
      <c r="F355" s="111" t="s">
        <v>2577</v>
      </c>
    </row>
    <row r="356" spans="1:6">
      <c r="A356" s="109" t="s">
        <v>2578</v>
      </c>
      <c r="B356" s="110" t="s">
        <v>2579</v>
      </c>
      <c r="C356" s="110" t="s">
        <v>2580</v>
      </c>
      <c r="D356" s="110" t="s">
        <v>81</v>
      </c>
      <c r="E356" s="110" t="s">
        <v>2581</v>
      </c>
      <c r="F356" s="111" t="s">
        <v>2582</v>
      </c>
    </row>
    <row r="357" spans="1:6">
      <c r="A357" s="109" t="s">
        <v>2583</v>
      </c>
      <c r="B357" s="110" t="s">
        <v>2584</v>
      </c>
      <c r="C357" s="110" t="s">
        <v>2585</v>
      </c>
      <c r="D357" s="110" t="s">
        <v>82</v>
      </c>
      <c r="E357" s="110" t="s">
        <v>2586</v>
      </c>
      <c r="F357" s="111" t="s">
        <v>2587</v>
      </c>
    </row>
    <row r="358" spans="1:6">
      <c r="A358" s="109" t="s">
        <v>2588</v>
      </c>
      <c r="B358" s="110" t="s">
        <v>2589</v>
      </c>
      <c r="C358" s="110" t="s">
        <v>2590</v>
      </c>
      <c r="D358" s="110" t="s">
        <v>81</v>
      </c>
      <c r="E358" s="110" t="s">
        <v>2591</v>
      </c>
      <c r="F358" s="111" t="s">
        <v>2592</v>
      </c>
    </row>
    <row r="359" spans="1:6">
      <c r="A359" s="109" t="s">
        <v>2593</v>
      </c>
      <c r="B359" s="110" t="s">
        <v>2594</v>
      </c>
      <c r="C359" s="110" t="s">
        <v>2595</v>
      </c>
      <c r="D359" s="110" t="s">
        <v>81</v>
      </c>
      <c r="E359" s="110" t="s">
        <v>2596</v>
      </c>
      <c r="F359" s="111" t="s">
        <v>2597</v>
      </c>
    </row>
    <row r="360" spans="1:6">
      <c r="A360" s="109" t="s">
        <v>2598</v>
      </c>
      <c r="B360" s="110" t="s">
        <v>2599</v>
      </c>
      <c r="C360" s="110" t="s">
        <v>2600</v>
      </c>
      <c r="D360" s="110" t="s">
        <v>81</v>
      </c>
      <c r="E360" s="110" t="s">
        <v>2601</v>
      </c>
      <c r="F360" s="111" t="s">
        <v>2602</v>
      </c>
    </row>
    <row r="361" spans="1:6">
      <c r="A361" s="109" t="s">
        <v>2603</v>
      </c>
      <c r="B361" s="110" t="s">
        <v>2604</v>
      </c>
      <c r="C361" s="110" t="s">
        <v>2605</v>
      </c>
      <c r="D361" s="110" t="s">
        <v>81</v>
      </c>
      <c r="E361" s="110" t="s">
        <v>2606</v>
      </c>
      <c r="F361" s="111" t="s">
        <v>2607</v>
      </c>
    </row>
    <row r="362" spans="1:6">
      <c r="A362" s="109" t="s">
        <v>2608</v>
      </c>
      <c r="B362" s="110" t="s">
        <v>2609</v>
      </c>
      <c r="C362" s="110" t="s">
        <v>2610</v>
      </c>
      <c r="D362" s="110" t="s">
        <v>81</v>
      </c>
      <c r="E362" s="110" t="s">
        <v>2611</v>
      </c>
      <c r="F362" s="110" t="s">
        <v>2612</v>
      </c>
    </row>
    <row r="363" spans="1:6">
      <c r="A363" s="109" t="s">
        <v>2613</v>
      </c>
      <c r="B363" s="110" t="s">
        <v>2614</v>
      </c>
      <c r="C363" s="110" t="s">
        <v>2615</v>
      </c>
      <c r="D363" s="110" t="s">
        <v>81</v>
      </c>
      <c r="E363" s="110" t="s">
        <v>2616</v>
      </c>
      <c r="F363" s="111" t="s">
        <v>2617</v>
      </c>
    </row>
    <row r="364" spans="1:6">
      <c r="A364" s="109" t="s">
        <v>2618</v>
      </c>
      <c r="B364" s="110" t="s">
        <v>2619</v>
      </c>
      <c r="C364" s="110" t="s">
        <v>2620</v>
      </c>
      <c r="D364" s="110" t="s">
        <v>81</v>
      </c>
      <c r="E364" s="110" t="s">
        <v>2621</v>
      </c>
      <c r="F364" s="111" t="s">
        <v>2622</v>
      </c>
    </row>
    <row r="365" spans="1:6">
      <c r="A365" s="109" t="s">
        <v>2623</v>
      </c>
      <c r="B365" s="110" t="s">
        <v>2624</v>
      </c>
      <c r="C365" s="110" t="s">
        <v>2625</v>
      </c>
      <c r="D365" s="110" t="s">
        <v>82</v>
      </c>
      <c r="E365" s="110" t="s">
        <v>2626</v>
      </c>
      <c r="F365" s="111" t="s">
        <v>2627</v>
      </c>
    </row>
    <row r="366" spans="1:6">
      <c r="A366" s="109" t="s">
        <v>2628</v>
      </c>
      <c r="B366" s="110" t="s">
        <v>2629</v>
      </c>
      <c r="C366" s="110" t="s">
        <v>2630</v>
      </c>
      <c r="D366" s="110" t="s">
        <v>82</v>
      </c>
      <c r="E366" s="110" t="s">
        <v>2631</v>
      </c>
      <c r="F366" s="111" t="s">
        <v>2632</v>
      </c>
    </row>
    <row r="367" spans="1:6">
      <c r="A367" s="109" t="s">
        <v>2633</v>
      </c>
      <c r="B367" s="110" t="s">
        <v>2634</v>
      </c>
      <c r="C367" s="110" t="s">
        <v>2635</v>
      </c>
      <c r="D367" s="110" t="s">
        <v>82</v>
      </c>
      <c r="E367" s="110" t="s">
        <v>2636</v>
      </c>
      <c r="F367" s="111" t="s">
        <v>2637</v>
      </c>
    </row>
    <row r="368" spans="1:6">
      <c r="A368" s="109" t="s">
        <v>2638</v>
      </c>
      <c r="B368" s="110" t="s">
        <v>2639</v>
      </c>
      <c r="C368" s="110" t="s">
        <v>2640</v>
      </c>
      <c r="D368" s="110" t="s">
        <v>81</v>
      </c>
      <c r="E368" s="110" t="s">
        <v>2641</v>
      </c>
      <c r="F368" s="111" t="s">
        <v>2642</v>
      </c>
    </row>
    <row r="369" spans="1:6">
      <c r="A369" s="109" t="s">
        <v>2643</v>
      </c>
      <c r="B369" s="110" t="s">
        <v>2644</v>
      </c>
      <c r="C369" s="110" t="s">
        <v>2645</v>
      </c>
      <c r="D369" s="110" t="s">
        <v>82</v>
      </c>
      <c r="E369" s="110" t="s">
        <v>2646</v>
      </c>
      <c r="F369" s="111" t="s">
        <v>2647</v>
      </c>
    </row>
    <row r="370" spans="1:6">
      <c r="A370" s="109" t="s">
        <v>2648</v>
      </c>
      <c r="B370" s="110" t="s">
        <v>2649</v>
      </c>
      <c r="C370" s="110" t="s">
        <v>2650</v>
      </c>
      <c r="D370" s="110" t="s">
        <v>81</v>
      </c>
      <c r="E370" s="110" t="s">
        <v>2651</v>
      </c>
      <c r="F370" s="111" t="s">
        <v>2652</v>
      </c>
    </row>
    <row r="371" spans="1:6">
      <c r="A371" s="109" t="s">
        <v>2653</v>
      </c>
      <c r="B371" s="110" t="s">
        <v>2654</v>
      </c>
      <c r="C371" s="110" t="s">
        <v>2655</v>
      </c>
      <c r="D371" s="110" t="s">
        <v>81</v>
      </c>
      <c r="E371" s="110" t="s">
        <v>2656</v>
      </c>
      <c r="F371" s="111" t="s">
        <v>2657</v>
      </c>
    </row>
    <row r="372" spans="1:6">
      <c r="A372" s="109" t="s">
        <v>2658</v>
      </c>
      <c r="B372" s="110" t="s">
        <v>2659</v>
      </c>
      <c r="C372" s="110" t="s">
        <v>2660</v>
      </c>
      <c r="D372" s="110" t="s">
        <v>81</v>
      </c>
      <c r="E372" s="110" t="s">
        <v>2661</v>
      </c>
      <c r="F372" s="111" t="s">
        <v>2662</v>
      </c>
    </row>
    <row r="373" spans="1:6">
      <c r="A373" s="109" t="s">
        <v>2663</v>
      </c>
      <c r="B373" s="110" t="s">
        <v>2664</v>
      </c>
      <c r="C373" s="110" t="s">
        <v>2665</v>
      </c>
      <c r="D373" s="110" t="s">
        <v>81</v>
      </c>
      <c r="E373" s="110" t="s">
        <v>2666</v>
      </c>
      <c r="F373" s="111" t="s">
        <v>2667</v>
      </c>
    </row>
    <row r="374" spans="1:6">
      <c r="A374" s="109" t="s">
        <v>2668</v>
      </c>
      <c r="B374" s="110" t="s">
        <v>2669</v>
      </c>
      <c r="C374" s="110" t="s">
        <v>2670</v>
      </c>
      <c r="D374" s="110" t="s">
        <v>81</v>
      </c>
      <c r="E374" s="110" t="s">
        <v>2671</v>
      </c>
      <c r="F374" s="111" t="s">
        <v>2672</v>
      </c>
    </row>
    <row r="375" spans="1:6">
      <c r="A375" s="109" t="s">
        <v>2673</v>
      </c>
      <c r="B375" s="110" t="s">
        <v>2674</v>
      </c>
      <c r="C375" s="110" t="s">
        <v>2675</v>
      </c>
      <c r="D375" s="110" t="s">
        <v>81</v>
      </c>
      <c r="E375" s="110" t="s">
        <v>2676</v>
      </c>
      <c r="F375" s="111" t="s">
        <v>2677</v>
      </c>
    </row>
    <row r="376" spans="1:6">
      <c r="A376" s="109" t="s">
        <v>2678</v>
      </c>
      <c r="B376" s="110" t="s">
        <v>2679</v>
      </c>
      <c r="C376" s="110" t="s">
        <v>2680</v>
      </c>
      <c r="D376" s="110" t="s">
        <v>81</v>
      </c>
      <c r="E376" s="110" t="s">
        <v>2681</v>
      </c>
      <c r="F376" s="110" t="s">
        <v>2682</v>
      </c>
    </row>
    <row r="377" spans="1:6">
      <c r="A377" s="109" t="s">
        <v>2683</v>
      </c>
      <c r="B377" s="110" t="s">
        <v>2684</v>
      </c>
      <c r="C377" s="110" t="s">
        <v>2685</v>
      </c>
      <c r="D377" s="110" t="s">
        <v>81</v>
      </c>
      <c r="E377" s="110" t="s">
        <v>2686</v>
      </c>
      <c r="F377" s="111" t="s">
        <v>2687</v>
      </c>
    </row>
    <row r="378" spans="1:6">
      <c r="A378" s="109" t="s">
        <v>2688</v>
      </c>
      <c r="B378" s="110" t="s">
        <v>2689</v>
      </c>
      <c r="C378" s="110" t="s">
        <v>2690</v>
      </c>
      <c r="D378" s="110" t="s">
        <v>81</v>
      </c>
      <c r="E378" s="110" t="s">
        <v>2691</v>
      </c>
      <c r="F378" s="111" t="s">
        <v>2692</v>
      </c>
    </row>
    <row r="379" spans="1:6">
      <c r="A379" s="109" t="s">
        <v>2693</v>
      </c>
      <c r="B379" s="110" t="s">
        <v>2694</v>
      </c>
      <c r="C379" s="110" t="s">
        <v>2695</v>
      </c>
      <c r="D379" s="110" t="s">
        <v>81</v>
      </c>
      <c r="E379" s="110" t="s">
        <v>2696</v>
      </c>
      <c r="F379" s="111" t="s">
        <v>2697</v>
      </c>
    </row>
    <row r="380" spans="1:6">
      <c r="A380" s="109" t="s">
        <v>2698</v>
      </c>
      <c r="B380" s="110" t="s">
        <v>2699</v>
      </c>
      <c r="C380" s="110" t="s">
        <v>2700</v>
      </c>
      <c r="D380" s="110" t="s">
        <v>82</v>
      </c>
      <c r="E380" s="110" t="s">
        <v>2701</v>
      </c>
      <c r="F380" s="111" t="s">
        <v>2702</v>
      </c>
    </row>
    <row r="381" spans="1:6">
      <c r="A381" s="109" t="s">
        <v>2703</v>
      </c>
      <c r="B381" s="110" t="s">
        <v>2704</v>
      </c>
      <c r="C381" s="110" t="s">
        <v>2705</v>
      </c>
      <c r="D381" s="110" t="s">
        <v>82</v>
      </c>
      <c r="E381" s="110" t="s">
        <v>2706</v>
      </c>
      <c r="F381" s="111" t="s">
        <v>2707</v>
      </c>
    </row>
    <row r="382" spans="1:6">
      <c r="A382" s="109" t="s">
        <v>2708</v>
      </c>
      <c r="B382" s="110" t="s">
        <v>2709</v>
      </c>
      <c r="C382" s="110" t="s">
        <v>2710</v>
      </c>
      <c r="D382" s="110" t="s">
        <v>82</v>
      </c>
      <c r="E382" s="110" t="s">
        <v>2711</v>
      </c>
      <c r="F382" s="111" t="s">
        <v>2712</v>
      </c>
    </row>
    <row r="383" spans="1:6">
      <c r="A383" s="109" t="s">
        <v>2713</v>
      </c>
      <c r="B383" s="110" t="s">
        <v>2714</v>
      </c>
      <c r="C383" s="110" t="s">
        <v>2715</v>
      </c>
      <c r="D383" s="110" t="s">
        <v>81</v>
      </c>
      <c r="E383" s="110" t="s">
        <v>2716</v>
      </c>
      <c r="F383" s="111" t="s">
        <v>2717</v>
      </c>
    </row>
    <row r="384" spans="1:6">
      <c r="A384" s="109" t="s">
        <v>2718</v>
      </c>
      <c r="B384" s="110" t="s">
        <v>2719</v>
      </c>
      <c r="C384" s="110" t="s">
        <v>2720</v>
      </c>
      <c r="D384" s="110" t="s">
        <v>81</v>
      </c>
      <c r="E384" s="110" t="s">
        <v>2721</v>
      </c>
      <c r="F384" s="111" t="s">
        <v>2722</v>
      </c>
    </row>
    <row r="385" spans="1:6">
      <c r="A385" s="109" t="s">
        <v>2723</v>
      </c>
      <c r="B385" s="110" t="s">
        <v>2724</v>
      </c>
      <c r="C385" s="110" t="s">
        <v>2725</v>
      </c>
      <c r="D385" s="110" t="s">
        <v>82</v>
      </c>
      <c r="E385" s="110" t="s">
        <v>2726</v>
      </c>
      <c r="F385" s="111" t="s">
        <v>2727</v>
      </c>
    </row>
    <row r="386" spans="1:6">
      <c r="A386" s="109" t="s">
        <v>2728</v>
      </c>
      <c r="B386" s="110" t="s">
        <v>2729</v>
      </c>
      <c r="C386" s="110" t="s">
        <v>2730</v>
      </c>
      <c r="D386" s="110" t="s">
        <v>82</v>
      </c>
      <c r="E386" s="110" t="s">
        <v>2731</v>
      </c>
      <c r="F386" s="111" t="s">
        <v>2732</v>
      </c>
    </row>
    <row r="387" spans="1:6">
      <c r="A387" s="109" t="s">
        <v>2733</v>
      </c>
      <c r="B387" s="110" t="s">
        <v>2734</v>
      </c>
      <c r="C387" s="110" t="s">
        <v>2735</v>
      </c>
      <c r="D387" s="110" t="s">
        <v>82</v>
      </c>
      <c r="E387" s="110" t="s">
        <v>2736</v>
      </c>
      <c r="F387" s="111" t="s">
        <v>2737</v>
      </c>
    </row>
    <row r="388" spans="1:6">
      <c r="A388" s="109" t="s">
        <v>2738</v>
      </c>
      <c r="B388" s="110" t="s">
        <v>2739</v>
      </c>
      <c r="C388" s="110" t="s">
        <v>2740</v>
      </c>
      <c r="D388" s="110" t="s">
        <v>82</v>
      </c>
      <c r="E388" s="110" t="s">
        <v>2741</v>
      </c>
      <c r="F388" s="111" t="s">
        <v>2742</v>
      </c>
    </row>
    <row r="389" spans="1:6">
      <c r="A389" s="109" t="s">
        <v>2743</v>
      </c>
      <c r="B389" s="110" t="s">
        <v>2744</v>
      </c>
      <c r="C389" s="110" t="s">
        <v>2745</v>
      </c>
      <c r="D389" s="110" t="s">
        <v>81</v>
      </c>
      <c r="E389" s="110" t="s">
        <v>2746</v>
      </c>
      <c r="F389" s="111" t="s">
        <v>2747</v>
      </c>
    </row>
    <row r="390" spans="1:6">
      <c r="A390" s="109" t="s">
        <v>2748</v>
      </c>
      <c r="B390" s="110" t="s">
        <v>2749</v>
      </c>
      <c r="C390" s="110" t="s">
        <v>2750</v>
      </c>
      <c r="D390" s="110" t="s">
        <v>82</v>
      </c>
      <c r="E390" s="110" t="s">
        <v>2751</v>
      </c>
      <c r="F390" s="111" t="s">
        <v>2752</v>
      </c>
    </row>
    <row r="391" spans="1:6">
      <c r="A391" s="109" t="s">
        <v>2753</v>
      </c>
      <c r="B391" s="110" t="s">
        <v>2754</v>
      </c>
      <c r="C391" s="110" t="s">
        <v>2755</v>
      </c>
      <c r="D391" s="110" t="s">
        <v>82</v>
      </c>
      <c r="E391" s="110" t="s">
        <v>2756</v>
      </c>
      <c r="F391" s="111" t="s">
        <v>2757</v>
      </c>
    </row>
    <row r="392" spans="1:6">
      <c r="A392" s="109" t="s">
        <v>2758</v>
      </c>
      <c r="B392" s="110" t="s">
        <v>2759</v>
      </c>
      <c r="C392" s="110" t="s">
        <v>2760</v>
      </c>
      <c r="D392" s="110" t="s">
        <v>82</v>
      </c>
      <c r="E392" s="110" t="s">
        <v>2761</v>
      </c>
      <c r="F392" s="111" t="s">
        <v>2762</v>
      </c>
    </row>
    <row r="393" spans="1:6">
      <c r="A393" s="109" t="s">
        <v>2763</v>
      </c>
      <c r="B393" s="110" t="s">
        <v>2764</v>
      </c>
      <c r="C393" s="110" t="s">
        <v>2765</v>
      </c>
      <c r="D393" s="110" t="s">
        <v>82</v>
      </c>
      <c r="E393" s="110" t="s">
        <v>2766</v>
      </c>
      <c r="F393" s="111" t="s">
        <v>2767</v>
      </c>
    </row>
    <row r="394" spans="1:6">
      <c r="A394" s="109" t="s">
        <v>2768</v>
      </c>
      <c r="B394" s="110" t="s">
        <v>2769</v>
      </c>
      <c r="C394" s="110" t="s">
        <v>2770</v>
      </c>
      <c r="D394" s="110" t="s">
        <v>81</v>
      </c>
      <c r="E394" s="110" t="s">
        <v>2771</v>
      </c>
      <c r="F394" s="111" t="s">
        <v>2772</v>
      </c>
    </row>
    <row r="395" spans="1:6">
      <c r="A395" s="109" t="s">
        <v>2773</v>
      </c>
      <c r="B395" s="110" t="s">
        <v>2774</v>
      </c>
      <c r="C395" s="110" t="s">
        <v>2775</v>
      </c>
      <c r="D395" s="110" t="s">
        <v>82</v>
      </c>
      <c r="E395" s="110" t="s">
        <v>2776</v>
      </c>
      <c r="F395" s="111" t="s">
        <v>2777</v>
      </c>
    </row>
    <row r="396" spans="1:6">
      <c r="A396" s="109" t="s">
        <v>2778</v>
      </c>
      <c r="B396" s="110" t="s">
        <v>2779</v>
      </c>
      <c r="C396" s="110" t="s">
        <v>2780</v>
      </c>
      <c r="D396" s="110" t="s">
        <v>81</v>
      </c>
      <c r="E396" s="110" t="s">
        <v>2781</v>
      </c>
      <c r="F396" s="111" t="s">
        <v>2782</v>
      </c>
    </row>
    <row r="397" spans="1:6">
      <c r="A397" s="109" t="s">
        <v>2783</v>
      </c>
      <c r="B397" s="110" t="s">
        <v>2784</v>
      </c>
      <c r="C397" s="110" t="s">
        <v>2785</v>
      </c>
      <c r="D397" s="110" t="s">
        <v>81</v>
      </c>
      <c r="E397" s="110" t="s">
        <v>2786</v>
      </c>
      <c r="F397" s="111" t="s">
        <v>2787</v>
      </c>
    </row>
    <row r="398" spans="1:6">
      <c r="A398" s="109" t="s">
        <v>2788</v>
      </c>
      <c r="B398" s="110" t="s">
        <v>2789</v>
      </c>
      <c r="C398" s="110" t="s">
        <v>2790</v>
      </c>
      <c r="D398" s="110" t="s">
        <v>81</v>
      </c>
      <c r="E398" s="110" t="s">
        <v>2791</v>
      </c>
      <c r="F398" s="111" t="s">
        <v>2792</v>
      </c>
    </row>
    <row r="399" spans="1:6">
      <c r="A399" s="109" t="s">
        <v>2793</v>
      </c>
      <c r="B399" s="110" t="s">
        <v>2794</v>
      </c>
      <c r="C399" s="110" t="s">
        <v>2795</v>
      </c>
      <c r="D399" s="110" t="s">
        <v>81</v>
      </c>
      <c r="E399" s="110" t="s">
        <v>2796</v>
      </c>
      <c r="F399" s="111" t="s">
        <v>2797</v>
      </c>
    </row>
    <row r="400" spans="1:6">
      <c r="A400" s="109" t="s">
        <v>2798</v>
      </c>
      <c r="B400" s="110" t="s">
        <v>2799</v>
      </c>
      <c r="C400" s="110" t="s">
        <v>2800</v>
      </c>
      <c r="D400" s="110" t="s">
        <v>82</v>
      </c>
      <c r="E400" s="110" t="s">
        <v>2801</v>
      </c>
      <c r="F400" s="111" t="s">
        <v>2802</v>
      </c>
    </row>
    <row r="401" spans="1:6">
      <c r="A401" s="109" t="s">
        <v>2803</v>
      </c>
      <c r="B401" s="110" t="s">
        <v>2804</v>
      </c>
      <c r="C401" s="110" t="s">
        <v>2805</v>
      </c>
      <c r="D401" s="110" t="s">
        <v>81</v>
      </c>
      <c r="E401" s="110" t="s">
        <v>2806</v>
      </c>
      <c r="F401" s="111" t="s">
        <v>2807</v>
      </c>
    </row>
    <row r="402" spans="1:6">
      <c r="A402" s="109" t="s">
        <v>2808</v>
      </c>
      <c r="B402" s="110" t="s">
        <v>2809</v>
      </c>
      <c r="C402" s="110" t="s">
        <v>2810</v>
      </c>
      <c r="D402" s="110" t="s">
        <v>81</v>
      </c>
      <c r="E402" s="110" t="s">
        <v>2811</v>
      </c>
      <c r="F402" s="111" t="s">
        <v>2812</v>
      </c>
    </row>
    <row r="403" spans="1:6">
      <c r="A403" s="109" t="s">
        <v>2813</v>
      </c>
      <c r="B403" s="110" t="s">
        <v>2814</v>
      </c>
      <c r="C403" s="110" t="s">
        <v>2815</v>
      </c>
      <c r="D403" s="110" t="s">
        <v>81</v>
      </c>
      <c r="E403" s="110" t="s">
        <v>2816</v>
      </c>
      <c r="F403" s="111" t="s">
        <v>2817</v>
      </c>
    </row>
    <row r="404" spans="1:6">
      <c r="A404" s="109" t="s">
        <v>2818</v>
      </c>
      <c r="B404" s="110" t="s">
        <v>2819</v>
      </c>
      <c r="C404" s="110" t="s">
        <v>2820</v>
      </c>
      <c r="D404" s="110" t="s">
        <v>82</v>
      </c>
      <c r="E404" s="110" t="s">
        <v>2821</v>
      </c>
      <c r="F404" s="111" t="s">
        <v>2822</v>
      </c>
    </row>
    <row r="405" spans="1:6">
      <c r="A405" s="109" t="s">
        <v>2823</v>
      </c>
      <c r="B405" s="110" t="s">
        <v>2824</v>
      </c>
      <c r="C405" s="110" t="s">
        <v>2825</v>
      </c>
      <c r="D405" s="110" t="s">
        <v>82</v>
      </c>
      <c r="E405" s="110" t="s">
        <v>2826</v>
      </c>
      <c r="F405" s="111" t="s">
        <v>2827</v>
      </c>
    </row>
    <row r="406" spans="1:6">
      <c r="A406" s="109" t="s">
        <v>2828</v>
      </c>
      <c r="B406" s="110" t="s">
        <v>2829</v>
      </c>
      <c r="C406" s="110" t="s">
        <v>2830</v>
      </c>
      <c r="D406" s="110" t="s">
        <v>82</v>
      </c>
      <c r="E406" s="110" t="s">
        <v>2831</v>
      </c>
      <c r="F406" s="111" t="s">
        <v>2832</v>
      </c>
    </row>
    <row r="407" spans="1:6">
      <c r="A407" s="109" t="s">
        <v>2833</v>
      </c>
      <c r="B407" s="110" t="s">
        <v>2834</v>
      </c>
      <c r="C407" s="110" t="s">
        <v>2835</v>
      </c>
      <c r="D407" s="110" t="s">
        <v>82</v>
      </c>
      <c r="E407" s="110" t="s">
        <v>2836</v>
      </c>
      <c r="F407" s="111" t="s">
        <v>2837</v>
      </c>
    </row>
    <row r="408" spans="1:6">
      <c r="A408" s="109" t="s">
        <v>2838</v>
      </c>
      <c r="B408" s="110" t="s">
        <v>2839</v>
      </c>
      <c r="C408" s="110" t="s">
        <v>2840</v>
      </c>
      <c r="D408" s="110" t="s">
        <v>82</v>
      </c>
      <c r="E408" s="110" t="s">
        <v>2841</v>
      </c>
      <c r="F408" s="111" t="s">
        <v>2842</v>
      </c>
    </row>
    <row r="409" spans="1:6">
      <c r="A409" s="109" t="s">
        <v>2843</v>
      </c>
      <c r="B409" s="110" t="s">
        <v>2844</v>
      </c>
      <c r="C409" s="110" t="s">
        <v>2845</v>
      </c>
      <c r="D409" s="110" t="s">
        <v>82</v>
      </c>
      <c r="E409" s="110" t="s">
        <v>2846</v>
      </c>
      <c r="F409" s="111" t="s">
        <v>2847</v>
      </c>
    </row>
    <row r="410" spans="1:6">
      <c r="A410" s="109" t="s">
        <v>2848</v>
      </c>
      <c r="B410" s="110" t="s">
        <v>2849</v>
      </c>
      <c r="C410" s="110" t="s">
        <v>2850</v>
      </c>
      <c r="D410" s="110" t="s">
        <v>82</v>
      </c>
      <c r="E410" s="110" t="s">
        <v>2851</v>
      </c>
      <c r="F410" s="111" t="s">
        <v>2852</v>
      </c>
    </row>
    <row r="411" spans="1:6">
      <c r="A411" s="109" t="s">
        <v>2853</v>
      </c>
      <c r="B411" s="110" t="s">
        <v>2854</v>
      </c>
      <c r="C411" s="110" t="s">
        <v>2855</v>
      </c>
      <c r="D411" s="110" t="s">
        <v>81</v>
      </c>
      <c r="E411" s="110" t="s">
        <v>2856</v>
      </c>
      <c r="F411" s="111" t="s">
        <v>2857</v>
      </c>
    </row>
    <row r="412" spans="1:6">
      <c r="A412" s="109" t="s">
        <v>2858</v>
      </c>
      <c r="B412" s="110" t="s">
        <v>2859</v>
      </c>
      <c r="C412" s="110" t="s">
        <v>2860</v>
      </c>
      <c r="D412" s="110" t="s">
        <v>82</v>
      </c>
      <c r="E412" s="110" t="s">
        <v>2861</v>
      </c>
      <c r="F412" s="111" t="s">
        <v>2862</v>
      </c>
    </row>
    <row r="413" spans="1:6">
      <c r="A413" s="109" t="s">
        <v>2863</v>
      </c>
      <c r="B413" s="110" t="s">
        <v>2864</v>
      </c>
      <c r="C413" s="110" t="s">
        <v>2865</v>
      </c>
      <c r="D413" s="110" t="s">
        <v>82</v>
      </c>
      <c r="E413" s="110" t="s">
        <v>2866</v>
      </c>
      <c r="F413" s="111" t="s">
        <v>2867</v>
      </c>
    </row>
    <row r="414" spans="1:6">
      <c r="A414" s="109" t="s">
        <v>2868</v>
      </c>
      <c r="B414" s="110" t="s">
        <v>2869</v>
      </c>
      <c r="C414" s="110" t="s">
        <v>2870</v>
      </c>
      <c r="D414" s="110" t="s">
        <v>81</v>
      </c>
      <c r="E414" s="110" t="s">
        <v>2871</v>
      </c>
      <c r="F414" s="111" t="s">
        <v>2872</v>
      </c>
    </row>
    <row r="415" spans="1:6">
      <c r="A415" s="109" t="s">
        <v>2873</v>
      </c>
      <c r="B415" s="110" t="s">
        <v>2874</v>
      </c>
      <c r="C415" s="110" t="s">
        <v>2875</v>
      </c>
      <c r="D415" s="110" t="s">
        <v>82</v>
      </c>
      <c r="E415" s="110" t="s">
        <v>2876</v>
      </c>
      <c r="F415" s="111" t="s">
        <v>2877</v>
      </c>
    </row>
    <row r="416" spans="1:6">
      <c r="A416" s="109" t="s">
        <v>2878</v>
      </c>
      <c r="B416" s="110" t="s">
        <v>2879</v>
      </c>
      <c r="C416" s="110" t="s">
        <v>2880</v>
      </c>
      <c r="D416" s="110" t="s">
        <v>81</v>
      </c>
      <c r="E416" s="110" t="s">
        <v>2881</v>
      </c>
      <c r="F416" s="111" t="s">
        <v>2882</v>
      </c>
    </row>
    <row r="417" spans="1:6">
      <c r="A417" s="109" t="s">
        <v>2883</v>
      </c>
      <c r="B417" s="110" t="s">
        <v>2884</v>
      </c>
      <c r="C417" s="110" t="s">
        <v>2885</v>
      </c>
      <c r="D417" s="110" t="s">
        <v>82</v>
      </c>
      <c r="E417" s="110" t="s">
        <v>2886</v>
      </c>
      <c r="F417" s="111" t="s">
        <v>2887</v>
      </c>
    </row>
    <row r="418" spans="1:6">
      <c r="A418" s="109" t="s">
        <v>2888</v>
      </c>
      <c r="B418" s="110" t="s">
        <v>2889</v>
      </c>
      <c r="C418" s="110" t="s">
        <v>2890</v>
      </c>
      <c r="D418" s="110" t="s">
        <v>81</v>
      </c>
      <c r="E418" s="110" t="s">
        <v>2891</v>
      </c>
      <c r="F418" s="111" t="s">
        <v>2892</v>
      </c>
    </row>
    <row r="419" spans="1:6">
      <c r="A419" s="109" t="s">
        <v>2893</v>
      </c>
      <c r="B419" s="110" t="s">
        <v>2894</v>
      </c>
      <c r="C419" s="110" t="s">
        <v>2895</v>
      </c>
      <c r="D419" s="110" t="s">
        <v>81</v>
      </c>
      <c r="E419" s="110" t="s">
        <v>2896</v>
      </c>
      <c r="F419" s="111" t="s">
        <v>2897</v>
      </c>
    </row>
    <row r="420" spans="1:6">
      <c r="A420" s="109" t="s">
        <v>2898</v>
      </c>
      <c r="B420" s="110" t="s">
        <v>2899</v>
      </c>
      <c r="C420" s="110" t="s">
        <v>2900</v>
      </c>
      <c r="D420" s="110" t="s">
        <v>82</v>
      </c>
      <c r="E420" s="110" t="s">
        <v>2901</v>
      </c>
      <c r="F420" s="111" t="s">
        <v>2902</v>
      </c>
    </row>
    <row r="421" spans="1:6">
      <c r="A421" s="109" t="s">
        <v>2903</v>
      </c>
      <c r="B421" s="110" t="s">
        <v>2904</v>
      </c>
      <c r="C421" s="110" t="s">
        <v>2905</v>
      </c>
      <c r="D421" s="110" t="s">
        <v>81</v>
      </c>
      <c r="E421" s="110" t="s">
        <v>2906</v>
      </c>
      <c r="F421" s="111" t="s">
        <v>2907</v>
      </c>
    </row>
    <row r="422" spans="1:6">
      <c r="A422" s="109" t="s">
        <v>2908</v>
      </c>
      <c r="B422" s="110" t="s">
        <v>2909</v>
      </c>
      <c r="C422" s="110" t="s">
        <v>2910</v>
      </c>
      <c r="D422" s="110" t="s">
        <v>82</v>
      </c>
      <c r="E422" s="110" t="s">
        <v>2911</v>
      </c>
      <c r="F422" s="111" t="s">
        <v>2912</v>
      </c>
    </row>
    <row r="423" spans="1:6">
      <c r="A423" s="109" t="s">
        <v>2913</v>
      </c>
      <c r="B423" s="110" t="s">
        <v>2914</v>
      </c>
      <c r="C423" s="110" t="s">
        <v>2915</v>
      </c>
      <c r="D423" s="110" t="s">
        <v>82</v>
      </c>
      <c r="E423" s="110" t="s">
        <v>2916</v>
      </c>
      <c r="F423" s="111" t="s">
        <v>2917</v>
      </c>
    </row>
    <row r="424" spans="1:6">
      <c r="A424" s="109" t="s">
        <v>2918</v>
      </c>
      <c r="B424" s="110" t="s">
        <v>2919</v>
      </c>
      <c r="C424" s="110" t="s">
        <v>2920</v>
      </c>
      <c r="D424" s="110" t="s">
        <v>82</v>
      </c>
      <c r="E424" s="110" t="s">
        <v>2921</v>
      </c>
      <c r="F424" s="111" t="s">
        <v>2922</v>
      </c>
    </row>
    <row r="425" spans="1:6">
      <c r="A425" s="109" t="s">
        <v>2923</v>
      </c>
      <c r="B425" s="110" t="s">
        <v>2924</v>
      </c>
      <c r="C425" s="110" t="s">
        <v>2925</v>
      </c>
      <c r="D425" s="110" t="s">
        <v>82</v>
      </c>
      <c r="E425" s="110" t="s">
        <v>2926</v>
      </c>
      <c r="F425" s="111" t="s">
        <v>2927</v>
      </c>
    </row>
    <row r="426" spans="1:6">
      <c r="A426" s="109" t="s">
        <v>2928</v>
      </c>
      <c r="B426" s="110" t="s">
        <v>2929</v>
      </c>
      <c r="C426" s="110" t="s">
        <v>2930</v>
      </c>
      <c r="D426" s="110" t="s">
        <v>82</v>
      </c>
      <c r="E426" s="110" t="s">
        <v>2931</v>
      </c>
      <c r="F426" s="111" t="s">
        <v>2932</v>
      </c>
    </row>
    <row r="427" spans="1:6">
      <c r="A427" s="109" t="s">
        <v>2933</v>
      </c>
      <c r="B427" s="110" t="s">
        <v>2934</v>
      </c>
      <c r="C427" s="110" t="s">
        <v>2935</v>
      </c>
      <c r="D427" s="110" t="s">
        <v>81</v>
      </c>
      <c r="E427" s="110" t="s">
        <v>2936</v>
      </c>
      <c r="F427" s="111" t="s">
        <v>2937</v>
      </c>
    </row>
    <row r="428" spans="1:6">
      <c r="A428" s="109" t="s">
        <v>2938</v>
      </c>
      <c r="B428" s="110" t="s">
        <v>2939</v>
      </c>
      <c r="C428" s="110" t="s">
        <v>2940</v>
      </c>
      <c r="D428" s="110" t="s">
        <v>82</v>
      </c>
      <c r="E428" s="110" t="s">
        <v>2941</v>
      </c>
      <c r="F428" s="110" t="s">
        <v>2942</v>
      </c>
    </row>
    <row r="429" spans="1:6">
      <c r="A429" s="109" t="s">
        <v>2943</v>
      </c>
      <c r="B429" s="110" t="s">
        <v>2944</v>
      </c>
      <c r="C429" s="110" t="s">
        <v>2945</v>
      </c>
      <c r="D429" s="110" t="s">
        <v>81</v>
      </c>
      <c r="E429" s="110" t="s">
        <v>2946</v>
      </c>
      <c r="F429" s="111" t="s">
        <v>2947</v>
      </c>
    </row>
    <row r="430" spans="1:6">
      <c r="A430" s="109" t="s">
        <v>2948</v>
      </c>
      <c r="B430" s="110" t="s">
        <v>2949</v>
      </c>
      <c r="C430" s="110" t="s">
        <v>2950</v>
      </c>
      <c r="D430" s="110" t="s">
        <v>81</v>
      </c>
      <c r="E430" s="110" t="s">
        <v>2951</v>
      </c>
      <c r="F430" s="111" t="s">
        <v>2952</v>
      </c>
    </row>
    <row r="431" spans="1:6">
      <c r="A431" s="109" t="s">
        <v>2953</v>
      </c>
      <c r="B431" s="110" t="s">
        <v>2954</v>
      </c>
      <c r="C431" s="110" t="s">
        <v>2955</v>
      </c>
      <c r="D431" s="110" t="s">
        <v>82</v>
      </c>
      <c r="E431" s="110" t="s">
        <v>2956</v>
      </c>
      <c r="F431" s="111" t="s">
        <v>2957</v>
      </c>
    </row>
    <row r="432" spans="1:6">
      <c r="A432" s="109" t="s">
        <v>2958</v>
      </c>
      <c r="B432" s="110" t="s">
        <v>2959</v>
      </c>
      <c r="C432" s="110" t="s">
        <v>2960</v>
      </c>
      <c r="D432" s="110" t="s">
        <v>82</v>
      </c>
      <c r="E432" s="110" t="s">
        <v>2961</v>
      </c>
      <c r="F432" s="111" t="s">
        <v>2962</v>
      </c>
    </row>
    <row r="433" spans="1:6">
      <c r="A433" s="109" t="s">
        <v>2963</v>
      </c>
      <c r="B433" s="110" t="s">
        <v>2964</v>
      </c>
      <c r="C433" s="110" t="s">
        <v>2965</v>
      </c>
      <c r="D433" s="110" t="s">
        <v>82</v>
      </c>
      <c r="E433" s="110" t="s">
        <v>2966</v>
      </c>
      <c r="F433" s="111" t="s">
        <v>2967</v>
      </c>
    </row>
    <row r="434" spans="1:6">
      <c r="A434" s="109" t="s">
        <v>2968</v>
      </c>
      <c r="B434" s="110" t="s">
        <v>2969</v>
      </c>
      <c r="C434" s="110" t="s">
        <v>2970</v>
      </c>
      <c r="D434" s="110" t="s">
        <v>81</v>
      </c>
      <c r="E434" s="110" t="s">
        <v>2971</v>
      </c>
      <c r="F434" s="111" t="s">
        <v>2972</v>
      </c>
    </row>
    <row r="435" spans="1:6">
      <c r="A435" s="109" t="s">
        <v>2973</v>
      </c>
      <c r="B435" s="110" t="s">
        <v>2974</v>
      </c>
      <c r="C435" s="110" t="s">
        <v>2975</v>
      </c>
      <c r="D435" s="110" t="s">
        <v>81</v>
      </c>
      <c r="E435" s="110" t="s">
        <v>2976</v>
      </c>
      <c r="F435" s="111" t="s">
        <v>2977</v>
      </c>
    </row>
    <row r="436" spans="1:6">
      <c r="A436" s="109" t="s">
        <v>2978</v>
      </c>
      <c r="B436" s="110" t="s">
        <v>2979</v>
      </c>
      <c r="C436" s="110" t="s">
        <v>2980</v>
      </c>
      <c r="D436" s="110" t="s">
        <v>81</v>
      </c>
      <c r="E436" s="110" t="s">
        <v>2981</v>
      </c>
      <c r="F436" s="111" t="s">
        <v>2982</v>
      </c>
    </row>
    <row r="437" spans="1:6">
      <c r="A437" s="109" t="s">
        <v>2983</v>
      </c>
      <c r="B437" s="110" t="s">
        <v>2984</v>
      </c>
      <c r="C437" s="110" t="s">
        <v>2985</v>
      </c>
      <c r="D437" s="110" t="s">
        <v>81</v>
      </c>
      <c r="E437" s="110" t="s">
        <v>2986</v>
      </c>
      <c r="F437" s="111" t="s">
        <v>2987</v>
      </c>
    </row>
    <row r="438" spans="1:6">
      <c r="A438" s="109" t="s">
        <v>2988</v>
      </c>
      <c r="B438" s="110" t="s">
        <v>2989</v>
      </c>
      <c r="C438" s="110" t="s">
        <v>2990</v>
      </c>
      <c r="D438" s="110" t="s">
        <v>81</v>
      </c>
      <c r="E438" s="110" t="s">
        <v>2991</v>
      </c>
      <c r="F438" s="111" t="s">
        <v>2992</v>
      </c>
    </row>
    <row r="439" spans="1:6">
      <c r="A439" s="109" t="s">
        <v>2993</v>
      </c>
      <c r="B439" s="110" t="s">
        <v>2994</v>
      </c>
      <c r="C439" s="110" t="s">
        <v>2995</v>
      </c>
      <c r="D439" s="110" t="s">
        <v>81</v>
      </c>
      <c r="E439" s="110" t="s">
        <v>2996</v>
      </c>
      <c r="F439" s="111" t="s">
        <v>2997</v>
      </c>
    </row>
    <row r="440" spans="1:6">
      <c r="A440" s="109" t="s">
        <v>2998</v>
      </c>
      <c r="B440" s="110" t="s">
        <v>2999</v>
      </c>
      <c r="C440" s="110" t="s">
        <v>3000</v>
      </c>
      <c r="D440" s="110" t="s">
        <v>81</v>
      </c>
      <c r="E440" s="110" t="s">
        <v>3001</v>
      </c>
      <c r="F440" s="111" t="s">
        <v>3002</v>
      </c>
    </row>
    <row r="441" spans="1:6">
      <c r="A441" s="109" t="s">
        <v>3003</v>
      </c>
      <c r="B441" s="110" t="s">
        <v>3004</v>
      </c>
      <c r="C441" s="110" t="s">
        <v>3005</v>
      </c>
      <c r="D441" s="110" t="s">
        <v>82</v>
      </c>
      <c r="E441" s="110" t="s">
        <v>3006</v>
      </c>
      <c r="F441" s="111" t="s">
        <v>3007</v>
      </c>
    </row>
    <row r="442" spans="1:6">
      <c r="A442" s="109" t="s">
        <v>3008</v>
      </c>
      <c r="B442" s="110" t="s">
        <v>3009</v>
      </c>
      <c r="C442" s="110" t="s">
        <v>3010</v>
      </c>
      <c r="D442" s="110" t="s">
        <v>81</v>
      </c>
      <c r="E442" s="110" t="s">
        <v>3011</v>
      </c>
      <c r="F442" s="111" t="s">
        <v>3012</v>
      </c>
    </row>
    <row r="443" spans="1:6">
      <c r="A443" s="109" t="s">
        <v>3013</v>
      </c>
      <c r="B443" s="110" t="s">
        <v>3014</v>
      </c>
      <c r="C443" s="110" t="s">
        <v>3015</v>
      </c>
      <c r="D443" s="110" t="s">
        <v>82</v>
      </c>
      <c r="E443" s="110" t="s">
        <v>3016</v>
      </c>
      <c r="F443" s="111" t="s">
        <v>3017</v>
      </c>
    </row>
    <row r="444" spans="1:6">
      <c r="A444" s="109" t="s">
        <v>3018</v>
      </c>
      <c r="B444" s="110" t="s">
        <v>3019</v>
      </c>
      <c r="C444" s="110" t="s">
        <v>3020</v>
      </c>
      <c r="D444" s="110" t="s">
        <v>82</v>
      </c>
      <c r="E444" s="110" t="s">
        <v>3021</v>
      </c>
      <c r="F444" s="111" t="s">
        <v>3022</v>
      </c>
    </row>
    <row r="445" spans="1:6">
      <c r="A445" s="109" t="s">
        <v>3023</v>
      </c>
      <c r="B445" s="110" t="s">
        <v>3024</v>
      </c>
      <c r="C445" s="110" t="s">
        <v>3025</v>
      </c>
      <c r="D445" s="110" t="s">
        <v>81</v>
      </c>
      <c r="E445" s="110" t="s">
        <v>3026</v>
      </c>
      <c r="F445" s="111" t="s">
        <v>3027</v>
      </c>
    </row>
    <row r="446" spans="1:6">
      <c r="A446" s="109" t="s">
        <v>3028</v>
      </c>
      <c r="B446" s="110" t="s">
        <v>3029</v>
      </c>
      <c r="C446" s="110" t="s">
        <v>3030</v>
      </c>
      <c r="D446" s="110" t="s">
        <v>82</v>
      </c>
      <c r="E446" s="110" t="s">
        <v>3031</v>
      </c>
      <c r="F446" s="111" t="s">
        <v>3032</v>
      </c>
    </row>
    <row r="447" spans="1:6">
      <c r="A447" s="109" t="s">
        <v>3033</v>
      </c>
      <c r="B447" s="110" t="s">
        <v>3034</v>
      </c>
      <c r="C447" s="110" t="s">
        <v>3035</v>
      </c>
      <c r="D447" s="110" t="s">
        <v>82</v>
      </c>
      <c r="E447" s="110" t="s">
        <v>3036</v>
      </c>
      <c r="F447" s="111" t="s">
        <v>3037</v>
      </c>
    </row>
    <row r="448" spans="1:6">
      <c r="A448" s="109" t="s">
        <v>3038</v>
      </c>
      <c r="B448" s="110" t="s">
        <v>3039</v>
      </c>
      <c r="C448" s="110" t="s">
        <v>3040</v>
      </c>
      <c r="D448" s="110" t="s">
        <v>81</v>
      </c>
      <c r="E448" s="110" t="s">
        <v>3041</v>
      </c>
      <c r="F448" s="111" t="s">
        <v>3042</v>
      </c>
    </row>
    <row r="449" spans="1:6">
      <c r="A449" s="109" t="s">
        <v>3043</v>
      </c>
      <c r="B449" s="110" t="s">
        <v>3044</v>
      </c>
      <c r="C449" s="110" t="s">
        <v>3045</v>
      </c>
      <c r="D449" s="110" t="s">
        <v>82</v>
      </c>
      <c r="E449" s="110" t="s">
        <v>3046</v>
      </c>
      <c r="F449" s="111" t="s">
        <v>3047</v>
      </c>
    </row>
    <row r="450" spans="1:6">
      <c r="A450" s="109" t="s">
        <v>3048</v>
      </c>
      <c r="B450" s="110" t="s">
        <v>3049</v>
      </c>
      <c r="C450" s="110" t="s">
        <v>3050</v>
      </c>
      <c r="D450" s="110" t="s">
        <v>82</v>
      </c>
      <c r="E450" s="110" t="s">
        <v>3051</v>
      </c>
      <c r="F450" s="111" t="s">
        <v>3052</v>
      </c>
    </row>
    <row r="451" spans="1:6">
      <c r="A451" s="109" t="s">
        <v>3053</v>
      </c>
      <c r="B451" s="110" t="s">
        <v>3054</v>
      </c>
      <c r="C451" s="110" t="s">
        <v>3055</v>
      </c>
      <c r="D451" s="110" t="s">
        <v>82</v>
      </c>
      <c r="E451" s="110" t="s">
        <v>3056</v>
      </c>
      <c r="F451" s="111" t="s">
        <v>3057</v>
      </c>
    </row>
    <row r="452" spans="1:6">
      <c r="A452" s="109" t="s">
        <v>3058</v>
      </c>
      <c r="B452" s="110" t="s">
        <v>3059</v>
      </c>
      <c r="C452" s="110" t="s">
        <v>3060</v>
      </c>
      <c r="D452" s="110" t="s">
        <v>81</v>
      </c>
      <c r="E452" s="110" t="s">
        <v>3061</v>
      </c>
      <c r="F452" s="111" t="s">
        <v>3062</v>
      </c>
    </row>
    <row r="453" spans="1:6">
      <c r="A453" s="109" t="s">
        <v>3063</v>
      </c>
      <c r="B453" s="110" t="s">
        <v>3064</v>
      </c>
      <c r="C453" s="110" t="s">
        <v>3065</v>
      </c>
      <c r="D453" s="110" t="s">
        <v>82</v>
      </c>
      <c r="E453" s="110" t="s">
        <v>3066</v>
      </c>
      <c r="F453" s="111" t="s">
        <v>3067</v>
      </c>
    </row>
    <row r="454" spans="1:6">
      <c r="A454" s="109" t="s">
        <v>3068</v>
      </c>
      <c r="B454" s="110" t="s">
        <v>3069</v>
      </c>
      <c r="C454" s="110" t="s">
        <v>3070</v>
      </c>
      <c r="D454" s="110" t="s">
        <v>82</v>
      </c>
      <c r="E454" s="110" t="s">
        <v>3071</v>
      </c>
      <c r="F454" s="111" t="s">
        <v>3072</v>
      </c>
    </row>
    <row r="455" spans="1:6">
      <c r="A455" s="109" t="s">
        <v>3073</v>
      </c>
      <c r="B455" s="110" t="s">
        <v>3074</v>
      </c>
      <c r="C455" s="110" t="s">
        <v>3075</v>
      </c>
      <c r="D455" s="110" t="s">
        <v>81</v>
      </c>
      <c r="E455" s="110" t="s">
        <v>3076</v>
      </c>
      <c r="F455" s="111" t="s">
        <v>3077</v>
      </c>
    </row>
    <row r="456" spans="1:6">
      <c r="A456" s="109" t="s">
        <v>3078</v>
      </c>
      <c r="B456" s="110" t="s">
        <v>3079</v>
      </c>
      <c r="C456" s="110" t="s">
        <v>3080</v>
      </c>
      <c r="D456" s="110" t="s">
        <v>82</v>
      </c>
      <c r="E456" s="110" t="s">
        <v>3081</v>
      </c>
      <c r="F456" s="111" t="s">
        <v>3082</v>
      </c>
    </row>
    <row r="457" spans="1:6">
      <c r="A457" s="109" t="s">
        <v>3083</v>
      </c>
      <c r="B457" s="110" t="s">
        <v>3084</v>
      </c>
      <c r="C457" s="110" t="s">
        <v>3085</v>
      </c>
      <c r="D457" s="110" t="s">
        <v>81</v>
      </c>
      <c r="E457" s="110" t="s">
        <v>3086</v>
      </c>
      <c r="F457" s="111" t="s">
        <v>3087</v>
      </c>
    </row>
    <row r="458" spans="1:6">
      <c r="A458" s="109" t="s">
        <v>3088</v>
      </c>
      <c r="B458" s="110" t="s">
        <v>3089</v>
      </c>
      <c r="C458" s="110" t="s">
        <v>3090</v>
      </c>
      <c r="D458" s="110" t="s">
        <v>81</v>
      </c>
      <c r="E458" s="110" t="s">
        <v>3091</v>
      </c>
      <c r="F458" s="111" t="s">
        <v>3092</v>
      </c>
    </row>
    <row r="459" spans="1:6">
      <c r="A459" s="109" t="s">
        <v>3093</v>
      </c>
      <c r="B459" s="110" t="s">
        <v>3094</v>
      </c>
      <c r="C459" s="110" t="s">
        <v>3095</v>
      </c>
      <c r="D459" s="110" t="s">
        <v>82</v>
      </c>
      <c r="E459" s="110" t="s">
        <v>3096</v>
      </c>
      <c r="F459" s="111" t="s">
        <v>3097</v>
      </c>
    </row>
    <row r="460" spans="1:6">
      <c r="A460" s="109" t="s">
        <v>3098</v>
      </c>
      <c r="B460" s="110" t="s">
        <v>3099</v>
      </c>
      <c r="C460" s="110" t="s">
        <v>3100</v>
      </c>
      <c r="D460" s="110" t="s">
        <v>82</v>
      </c>
      <c r="E460" s="110" t="s">
        <v>3101</v>
      </c>
      <c r="F460" s="111" t="s">
        <v>3102</v>
      </c>
    </row>
    <row r="461" spans="1:6">
      <c r="A461" s="109" t="s">
        <v>3103</v>
      </c>
      <c r="B461" s="110" t="s">
        <v>3104</v>
      </c>
      <c r="C461" s="110" t="s">
        <v>3105</v>
      </c>
      <c r="D461" s="110" t="s">
        <v>81</v>
      </c>
      <c r="E461" s="110" t="s">
        <v>3106</v>
      </c>
      <c r="F461" s="111" t="s">
        <v>3107</v>
      </c>
    </row>
    <row r="462" spans="1:6">
      <c r="A462" s="109" t="s">
        <v>3108</v>
      </c>
      <c r="B462" s="110" t="s">
        <v>3109</v>
      </c>
      <c r="C462" s="110" t="s">
        <v>3110</v>
      </c>
      <c r="D462" s="110" t="s">
        <v>81</v>
      </c>
      <c r="E462" s="110" t="s">
        <v>3111</v>
      </c>
      <c r="F462" s="111" t="s">
        <v>3112</v>
      </c>
    </row>
    <row r="463" spans="1:6">
      <c r="A463" s="109" t="s">
        <v>3113</v>
      </c>
      <c r="B463" s="110" t="s">
        <v>3114</v>
      </c>
      <c r="C463" s="110" t="s">
        <v>3115</v>
      </c>
      <c r="D463" s="110" t="s">
        <v>81</v>
      </c>
      <c r="E463" s="110" t="s">
        <v>3116</v>
      </c>
      <c r="F463" s="111" t="s">
        <v>3117</v>
      </c>
    </row>
    <row r="464" spans="1:6">
      <c r="A464" s="109" t="s">
        <v>3118</v>
      </c>
      <c r="B464" s="110" t="s">
        <v>3119</v>
      </c>
      <c r="C464" s="110" t="s">
        <v>3120</v>
      </c>
      <c r="D464" s="110" t="s">
        <v>82</v>
      </c>
      <c r="E464" s="110" t="s">
        <v>3121</v>
      </c>
      <c r="F464" s="111" t="s">
        <v>3122</v>
      </c>
    </row>
    <row r="465" spans="1:6">
      <c r="A465" s="109" t="s">
        <v>3123</v>
      </c>
      <c r="B465" s="110" t="s">
        <v>3124</v>
      </c>
      <c r="C465" s="110" t="s">
        <v>3125</v>
      </c>
      <c r="D465" s="110" t="s">
        <v>82</v>
      </c>
      <c r="E465" s="110" t="s">
        <v>3126</v>
      </c>
      <c r="F465" s="111" t="s">
        <v>3127</v>
      </c>
    </row>
    <row r="466" spans="1:6">
      <c r="A466" s="109" t="s">
        <v>3128</v>
      </c>
      <c r="B466" s="110" t="s">
        <v>3129</v>
      </c>
      <c r="C466" s="110" t="s">
        <v>3130</v>
      </c>
      <c r="D466" s="110" t="s">
        <v>82</v>
      </c>
      <c r="E466" s="110" t="s">
        <v>3131</v>
      </c>
      <c r="F466" s="111" t="s">
        <v>3132</v>
      </c>
    </row>
    <row r="467" spans="1:6">
      <c r="A467" s="109" t="s">
        <v>3133</v>
      </c>
      <c r="B467" s="110" t="s">
        <v>3134</v>
      </c>
      <c r="C467" s="110" t="s">
        <v>3135</v>
      </c>
      <c r="D467" s="110" t="s">
        <v>82</v>
      </c>
      <c r="E467" s="110" t="s">
        <v>3136</v>
      </c>
      <c r="F467" s="111" t="s">
        <v>3137</v>
      </c>
    </row>
    <row r="468" spans="1:6">
      <c r="A468" s="109" t="s">
        <v>3138</v>
      </c>
      <c r="B468" s="110" t="s">
        <v>3139</v>
      </c>
      <c r="C468" s="110" t="s">
        <v>3140</v>
      </c>
      <c r="D468" s="110" t="s">
        <v>82</v>
      </c>
      <c r="E468" s="110" t="s">
        <v>3141</v>
      </c>
      <c r="F468" s="111" t="s">
        <v>3142</v>
      </c>
    </row>
    <row r="469" spans="1:6">
      <c r="A469" s="109" t="s">
        <v>3143</v>
      </c>
      <c r="B469" s="110" t="s">
        <v>3144</v>
      </c>
      <c r="C469" s="110" t="s">
        <v>3145</v>
      </c>
      <c r="D469" s="110" t="s">
        <v>81</v>
      </c>
      <c r="E469" s="110" t="s">
        <v>3146</v>
      </c>
      <c r="F469" s="111" t="s">
        <v>3147</v>
      </c>
    </row>
    <row r="470" spans="1:6">
      <c r="A470" s="109" t="s">
        <v>3148</v>
      </c>
      <c r="B470" s="110" t="s">
        <v>3149</v>
      </c>
      <c r="C470" s="110" t="s">
        <v>3150</v>
      </c>
      <c r="D470" s="110" t="s">
        <v>82</v>
      </c>
      <c r="E470" s="110" t="s">
        <v>3151</v>
      </c>
      <c r="F470" s="111" t="s">
        <v>3152</v>
      </c>
    </row>
    <row r="471" spans="1:6">
      <c r="A471" s="109" t="s">
        <v>3153</v>
      </c>
      <c r="B471" s="110" t="s">
        <v>3154</v>
      </c>
      <c r="C471" s="110" t="s">
        <v>3155</v>
      </c>
      <c r="D471" s="110" t="s">
        <v>81</v>
      </c>
      <c r="E471" s="110" t="s">
        <v>3156</v>
      </c>
      <c r="F471" s="111" t="s">
        <v>3157</v>
      </c>
    </row>
    <row r="472" spans="1:6">
      <c r="A472" s="109" t="s">
        <v>3158</v>
      </c>
      <c r="B472" s="110" t="s">
        <v>3159</v>
      </c>
      <c r="C472" s="110" t="s">
        <v>3160</v>
      </c>
      <c r="D472" s="110" t="s">
        <v>81</v>
      </c>
      <c r="E472" s="110" t="s">
        <v>3161</v>
      </c>
      <c r="F472" s="111" t="s">
        <v>3162</v>
      </c>
    </row>
    <row r="473" spans="1:6">
      <c r="A473" s="109" t="s">
        <v>3163</v>
      </c>
      <c r="B473" s="110" t="s">
        <v>3164</v>
      </c>
      <c r="C473" s="110" t="s">
        <v>3165</v>
      </c>
      <c r="D473" s="110" t="s">
        <v>81</v>
      </c>
      <c r="E473" s="110" t="s">
        <v>3166</v>
      </c>
      <c r="F473" s="111" t="s">
        <v>3167</v>
      </c>
    </row>
    <row r="474" spans="1:6">
      <c r="A474" s="109" t="s">
        <v>3168</v>
      </c>
      <c r="B474" s="110" t="s">
        <v>3169</v>
      </c>
      <c r="C474" s="110" t="s">
        <v>3170</v>
      </c>
      <c r="D474" s="110" t="s">
        <v>81</v>
      </c>
      <c r="E474" s="110" t="s">
        <v>3171</v>
      </c>
      <c r="F474" s="111" t="s">
        <v>3172</v>
      </c>
    </row>
    <row r="475" spans="1:6">
      <c r="A475" s="109" t="s">
        <v>3173</v>
      </c>
      <c r="B475" s="110" t="s">
        <v>3174</v>
      </c>
      <c r="C475" s="110" t="s">
        <v>3175</v>
      </c>
      <c r="D475" s="110" t="s">
        <v>82</v>
      </c>
      <c r="E475" s="110" t="s">
        <v>3176</v>
      </c>
      <c r="F475" s="111" t="s">
        <v>3177</v>
      </c>
    </row>
    <row r="476" spans="1:6">
      <c r="A476" s="109" t="s">
        <v>3178</v>
      </c>
      <c r="B476" s="110" t="s">
        <v>3179</v>
      </c>
      <c r="C476" s="110" t="s">
        <v>3180</v>
      </c>
      <c r="D476" s="110" t="s">
        <v>81</v>
      </c>
      <c r="E476" s="110" t="s">
        <v>3181</v>
      </c>
      <c r="F476" s="111" t="s">
        <v>3182</v>
      </c>
    </row>
    <row r="477" spans="1:6">
      <c r="A477" s="109" t="s">
        <v>3183</v>
      </c>
      <c r="B477" s="110" t="s">
        <v>3184</v>
      </c>
      <c r="C477" s="110" t="s">
        <v>3185</v>
      </c>
      <c r="D477" s="110" t="s">
        <v>81</v>
      </c>
      <c r="E477" s="110" t="s">
        <v>3186</v>
      </c>
      <c r="F477" s="111" t="s">
        <v>3187</v>
      </c>
    </row>
    <row r="478" spans="1:6">
      <c r="A478" s="109" t="s">
        <v>3188</v>
      </c>
      <c r="B478" s="110" t="s">
        <v>3189</v>
      </c>
      <c r="C478" s="110" t="s">
        <v>3190</v>
      </c>
      <c r="D478" s="110" t="s">
        <v>82</v>
      </c>
      <c r="E478" s="110" t="s">
        <v>3191</v>
      </c>
      <c r="F478" s="111" t="s">
        <v>3192</v>
      </c>
    </row>
    <row r="479" spans="1:6">
      <c r="A479" s="109" t="s">
        <v>3193</v>
      </c>
      <c r="B479" s="110" t="s">
        <v>3194</v>
      </c>
      <c r="C479" s="110" t="s">
        <v>3195</v>
      </c>
      <c r="D479" s="110" t="s">
        <v>81</v>
      </c>
      <c r="E479" s="110" t="s">
        <v>3196</v>
      </c>
      <c r="F479" s="111" t="s">
        <v>3197</v>
      </c>
    </row>
    <row r="480" spans="1:6">
      <c r="A480" s="109" t="s">
        <v>3198</v>
      </c>
      <c r="B480" s="110" t="s">
        <v>3199</v>
      </c>
      <c r="C480" s="110" t="s">
        <v>3200</v>
      </c>
      <c r="D480" s="110" t="s">
        <v>82</v>
      </c>
      <c r="E480" s="110" t="s">
        <v>3201</v>
      </c>
      <c r="F480" s="111" t="s">
        <v>3202</v>
      </c>
    </row>
    <row r="481" spans="1:6">
      <c r="A481" s="109" t="s">
        <v>3203</v>
      </c>
      <c r="B481" s="110" t="s">
        <v>3204</v>
      </c>
      <c r="C481" s="110" t="s">
        <v>3205</v>
      </c>
      <c r="D481" s="110" t="s">
        <v>82</v>
      </c>
      <c r="E481" s="110" t="s">
        <v>3206</v>
      </c>
      <c r="F481" s="111" t="s">
        <v>3207</v>
      </c>
    </row>
    <row r="482" spans="1:6">
      <c r="A482" s="109" t="s">
        <v>3208</v>
      </c>
      <c r="B482" s="110" t="s">
        <v>3209</v>
      </c>
      <c r="C482" s="110" t="s">
        <v>3210</v>
      </c>
      <c r="D482" s="110" t="s">
        <v>81</v>
      </c>
      <c r="E482" s="110" t="s">
        <v>3211</v>
      </c>
      <c r="F482" s="111" t="s">
        <v>3212</v>
      </c>
    </row>
    <row r="483" spans="1:6">
      <c r="A483" s="109" t="s">
        <v>3213</v>
      </c>
      <c r="B483" s="110" t="s">
        <v>3214</v>
      </c>
      <c r="C483" s="110" t="s">
        <v>3215</v>
      </c>
      <c r="D483" s="110" t="s">
        <v>82</v>
      </c>
      <c r="E483" s="110" t="s">
        <v>3216</v>
      </c>
      <c r="F483" s="111" t="s">
        <v>3217</v>
      </c>
    </row>
    <row r="484" spans="1:6">
      <c r="A484" s="109" t="s">
        <v>3218</v>
      </c>
      <c r="B484" s="110" t="s">
        <v>3219</v>
      </c>
      <c r="C484" s="110" t="s">
        <v>3220</v>
      </c>
      <c r="D484" s="110" t="s">
        <v>82</v>
      </c>
      <c r="E484" s="110" t="s">
        <v>3221</v>
      </c>
      <c r="F484" s="111" t="s">
        <v>3222</v>
      </c>
    </row>
    <row r="485" spans="1:6">
      <c r="A485" s="109" t="s">
        <v>3223</v>
      </c>
      <c r="B485" s="110" t="s">
        <v>3224</v>
      </c>
      <c r="C485" s="110" t="s">
        <v>3225</v>
      </c>
      <c r="D485" s="110" t="s">
        <v>82</v>
      </c>
      <c r="E485" s="110" t="s">
        <v>3226</v>
      </c>
      <c r="F485" s="111" t="s">
        <v>3227</v>
      </c>
    </row>
    <row r="486" spans="1:6">
      <c r="A486" s="109" t="s">
        <v>3228</v>
      </c>
      <c r="B486" s="110" t="s">
        <v>3229</v>
      </c>
      <c r="C486" s="110" t="s">
        <v>3230</v>
      </c>
      <c r="D486" s="110" t="s">
        <v>81</v>
      </c>
      <c r="E486" s="110" t="s">
        <v>3231</v>
      </c>
      <c r="F486" s="111" t="s">
        <v>3232</v>
      </c>
    </row>
    <row r="487" spans="1:6">
      <c r="A487" s="109" t="s">
        <v>3233</v>
      </c>
      <c r="B487" s="110" t="s">
        <v>3234</v>
      </c>
      <c r="C487" s="110" t="s">
        <v>3235</v>
      </c>
      <c r="D487" s="110" t="s">
        <v>82</v>
      </c>
      <c r="E487" s="110" t="s">
        <v>3236</v>
      </c>
      <c r="F487" s="111" t="s">
        <v>3237</v>
      </c>
    </row>
    <row r="488" spans="1:6">
      <c r="A488" s="109" t="s">
        <v>3238</v>
      </c>
      <c r="B488" s="110" t="s">
        <v>3239</v>
      </c>
      <c r="C488" s="110" t="s">
        <v>3240</v>
      </c>
      <c r="D488" s="110" t="s">
        <v>81</v>
      </c>
      <c r="E488" s="110" t="s">
        <v>3241</v>
      </c>
      <c r="F488" s="111" t="s">
        <v>3242</v>
      </c>
    </row>
    <row r="489" spans="1:6">
      <c r="A489" s="109" t="s">
        <v>3243</v>
      </c>
      <c r="B489" s="110" t="s">
        <v>3244</v>
      </c>
      <c r="C489" s="110" t="s">
        <v>3245</v>
      </c>
      <c r="D489" s="110" t="s">
        <v>82</v>
      </c>
      <c r="E489" s="110" t="s">
        <v>3246</v>
      </c>
      <c r="F489" s="111" t="s">
        <v>3247</v>
      </c>
    </row>
    <row r="490" spans="1:6">
      <c r="A490" s="109" t="s">
        <v>3248</v>
      </c>
      <c r="B490" s="110" t="s">
        <v>3249</v>
      </c>
      <c r="C490" s="110" t="s">
        <v>3250</v>
      </c>
      <c r="D490" s="110" t="s">
        <v>81</v>
      </c>
      <c r="E490" s="110" t="s">
        <v>3251</v>
      </c>
      <c r="F490" s="111" t="s">
        <v>3252</v>
      </c>
    </row>
    <row r="491" spans="1:6">
      <c r="A491" s="109" t="s">
        <v>3253</v>
      </c>
      <c r="B491" s="110" t="s">
        <v>3254</v>
      </c>
      <c r="C491" s="110" t="s">
        <v>3255</v>
      </c>
      <c r="D491" s="110" t="s">
        <v>81</v>
      </c>
      <c r="E491" s="110" t="s">
        <v>3256</v>
      </c>
      <c r="F491" s="111" t="s">
        <v>3257</v>
      </c>
    </row>
    <row r="492" spans="1:6">
      <c r="A492" s="109" t="s">
        <v>3258</v>
      </c>
      <c r="B492" s="110" t="s">
        <v>3259</v>
      </c>
      <c r="C492" s="110" t="s">
        <v>3260</v>
      </c>
      <c r="D492" s="110" t="s">
        <v>82</v>
      </c>
      <c r="E492" s="110" t="s">
        <v>3261</v>
      </c>
      <c r="F492" s="111" t="s">
        <v>3262</v>
      </c>
    </row>
    <row r="493" spans="1:6">
      <c r="A493" s="109" t="s">
        <v>3263</v>
      </c>
      <c r="B493" s="110" t="s">
        <v>3264</v>
      </c>
      <c r="C493" s="110" t="s">
        <v>3265</v>
      </c>
      <c r="D493" s="110" t="s">
        <v>82</v>
      </c>
      <c r="E493" s="110" t="s">
        <v>3266</v>
      </c>
      <c r="F493" s="111" t="s">
        <v>3267</v>
      </c>
    </row>
    <row r="494" spans="1:6">
      <c r="A494" s="109" t="s">
        <v>3268</v>
      </c>
      <c r="B494" s="110" t="s">
        <v>3269</v>
      </c>
      <c r="C494" s="110" t="s">
        <v>3270</v>
      </c>
      <c r="D494" s="110" t="s">
        <v>81</v>
      </c>
      <c r="E494" s="110" t="s">
        <v>3271</v>
      </c>
      <c r="F494" s="111" t="s">
        <v>3272</v>
      </c>
    </row>
    <row r="495" spans="1:6">
      <c r="A495" s="109" t="s">
        <v>3273</v>
      </c>
      <c r="B495" s="110" t="s">
        <v>3274</v>
      </c>
      <c r="C495" s="110" t="s">
        <v>3275</v>
      </c>
      <c r="D495" s="110" t="s">
        <v>81</v>
      </c>
      <c r="E495" s="110" t="s">
        <v>3276</v>
      </c>
      <c r="F495" s="111" t="s">
        <v>3277</v>
      </c>
    </row>
    <row r="496" spans="1:6">
      <c r="A496" s="109" t="s">
        <v>3278</v>
      </c>
      <c r="B496" s="110" t="s">
        <v>3279</v>
      </c>
      <c r="C496" s="110" t="s">
        <v>3280</v>
      </c>
      <c r="D496" s="110" t="s">
        <v>81</v>
      </c>
      <c r="E496" s="110" t="s">
        <v>3281</v>
      </c>
      <c r="F496" s="111" t="s">
        <v>3282</v>
      </c>
    </row>
    <row r="497" spans="1:6">
      <c r="A497" s="109" t="s">
        <v>3283</v>
      </c>
      <c r="B497" s="110" t="s">
        <v>3284</v>
      </c>
      <c r="C497" s="110" t="s">
        <v>3285</v>
      </c>
      <c r="D497" s="110" t="s">
        <v>82</v>
      </c>
      <c r="E497" s="110" t="s">
        <v>3286</v>
      </c>
      <c r="F497" s="111" t="s">
        <v>3287</v>
      </c>
    </row>
    <row r="498" spans="1:6">
      <c r="A498" s="109" t="s">
        <v>3288</v>
      </c>
      <c r="B498" s="110" t="s">
        <v>3289</v>
      </c>
      <c r="C498" s="110" t="s">
        <v>3290</v>
      </c>
      <c r="D498" s="110" t="s">
        <v>82</v>
      </c>
      <c r="E498" s="110" t="s">
        <v>3291</v>
      </c>
      <c r="F498" s="111" t="s">
        <v>3292</v>
      </c>
    </row>
    <row r="499" spans="1:6">
      <c r="A499" s="109" t="s">
        <v>3293</v>
      </c>
      <c r="B499" s="110" t="s">
        <v>3294</v>
      </c>
      <c r="C499" s="110" t="s">
        <v>3295</v>
      </c>
      <c r="D499" s="110" t="s">
        <v>82</v>
      </c>
      <c r="E499" s="110" t="s">
        <v>3296</v>
      </c>
      <c r="F499" s="111" t="s">
        <v>3297</v>
      </c>
    </row>
    <row r="500" spans="1:6">
      <c r="A500" s="109" t="s">
        <v>3298</v>
      </c>
      <c r="B500" s="110" t="s">
        <v>3299</v>
      </c>
      <c r="C500" s="110" t="s">
        <v>3300</v>
      </c>
      <c r="D500" s="110" t="s">
        <v>82</v>
      </c>
      <c r="E500" s="110" t="s">
        <v>3301</v>
      </c>
      <c r="F500" s="111" t="s">
        <v>3302</v>
      </c>
    </row>
    <row r="501" spans="1:6">
      <c r="A501" s="109" t="s">
        <v>3303</v>
      </c>
      <c r="B501" s="110" t="s">
        <v>3304</v>
      </c>
      <c r="C501" s="110" t="s">
        <v>3305</v>
      </c>
      <c r="D501" s="110" t="s">
        <v>81</v>
      </c>
      <c r="E501" s="110" t="s">
        <v>3306</v>
      </c>
      <c r="F501" s="111" t="s">
        <v>3307</v>
      </c>
    </row>
    <row r="502" spans="1:6">
      <c r="A502" s="109" t="s">
        <v>3308</v>
      </c>
      <c r="B502" s="110" t="s">
        <v>3309</v>
      </c>
      <c r="C502" s="110" t="s">
        <v>3310</v>
      </c>
      <c r="D502" s="110" t="s">
        <v>81</v>
      </c>
      <c r="E502" s="110" t="s">
        <v>3311</v>
      </c>
      <c r="F502" s="111" t="s">
        <v>3312</v>
      </c>
    </row>
    <row r="503" spans="1:6">
      <c r="A503" s="109" t="s">
        <v>3313</v>
      </c>
      <c r="B503" s="110" t="s">
        <v>3314</v>
      </c>
      <c r="C503" s="110" t="s">
        <v>3315</v>
      </c>
      <c r="D503" s="110" t="s">
        <v>82</v>
      </c>
      <c r="E503" s="110" t="s">
        <v>3316</v>
      </c>
      <c r="F503" s="111" t="s">
        <v>3317</v>
      </c>
    </row>
    <row r="504" spans="1:6">
      <c r="A504" s="109" t="s">
        <v>3318</v>
      </c>
      <c r="B504" s="110" t="s">
        <v>3319</v>
      </c>
      <c r="C504" s="110" t="s">
        <v>3320</v>
      </c>
      <c r="D504" s="110" t="s">
        <v>81</v>
      </c>
      <c r="E504" s="110" t="s">
        <v>3321</v>
      </c>
      <c r="F504" s="111" t="s">
        <v>3322</v>
      </c>
    </row>
    <row r="505" spans="1:6" ht="28.8" customHeight="1">
      <c r="A505" s="109" t="s">
        <v>3323</v>
      </c>
      <c r="B505" s="110" t="s">
        <v>3324</v>
      </c>
      <c r="C505" s="110" t="s">
        <v>3325</v>
      </c>
      <c r="D505" s="110" t="s">
        <v>81</v>
      </c>
      <c r="E505" s="110" t="s">
        <v>3326</v>
      </c>
      <c r="F505" s="111" t="s">
        <v>3327</v>
      </c>
    </row>
    <row r="506" spans="1:6">
      <c r="A506" s="109" t="s">
        <v>3328</v>
      </c>
      <c r="B506" s="110" t="s">
        <v>3329</v>
      </c>
      <c r="C506" s="110" t="s">
        <v>3330</v>
      </c>
      <c r="D506" s="110" t="s">
        <v>81</v>
      </c>
      <c r="E506" s="110" t="s">
        <v>3331</v>
      </c>
      <c r="F506" s="111" t="s">
        <v>3332</v>
      </c>
    </row>
    <row r="507" spans="1:6">
      <c r="A507" s="109" t="s">
        <v>3333</v>
      </c>
      <c r="B507" s="110" t="s">
        <v>3334</v>
      </c>
      <c r="C507" s="110" t="s">
        <v>3335</v>
      </c>
      <c r="D507" s="110" t="s">
        <v>81</v>
      </c>
      <c r="E507" s="110" t="s">
        <v>3336</v>
      </c>
      <c r="F507" s="111" t="s">
        <v>3337</v>
      </c>
    </row>
    <row r="508" spans="1:6">
      <c r="A508" s="109" t="s">
        <v>3338</v>
      </c>
      <c r="B508" s="110" t="s">
        <v>3339</v>
      </c>
      <c r="C508" s="110" t="s">
        <v>3340</v>
      </c>
      <c r="D508" s="110" t="s">
        <v>81</v>
      </c>
      <c r="E508" s="110" t="s">
        <v>3341</v>
      </c>
      <c r="F508" s="111" t="s">
        <v>3342</v>
      </c>
    </row>
    <row r="509" spans="1:6">
      <c r="A509" s="109" t="s">
        <v>3343</v>
      </c>
      <c r="B509" s="110" t="s">
        <v>3344</v>
      </c>
      <c r="C509" s="110" t="s">
        <v>3345</v>
      </c>
      <c r="D509" s="110" t="s">
        <v>81</v>
      </c>
      <c r="E509" s="110" t="s">
        <v>3346</v>
      </c>
      <c r="F509" s="111" t="s">
        <v>3347</v>
      </c>
    </row>
    <row r="510" spans="1:6">
      <c r="A510" s="109" t="s">
        <v>3348</v>
      </c>
      <c r="B510" s="110" t="s">
        <v>3349</v>
      </c>
      <c r="C510" s="110" t="s">
        <v>3350</v>
      </c>
      <c r="D510" s="110" t="s">
        <v>81</v>
      </c>
      <c r="E510" s="110" t="s">
        <v>3351</v>
      </c>
      <c r="F510" s="111" t="s">
        <v>3352</v>
      </c>
    </row>
    <row r="511" spans="1:6">
      <c r="A511" s="109" t="s">
        <v>3353</v>
      </c>
      <c r="B511" s="110" t="s">
        <v>3354</v>
      </c>
      <c r="C511" s="110" t="s">
        <v>3355</v>
      </c>
      <c r="D511" s="110" t="s">
        <v>81</v>
      </c>
      <c r="E511" s="110" t="s">
        <v>3356</v>
      </c>
      <c r="F511" s="110" t="s">
        <v>3357</v>
      </c>
    </row>
    <row r="512" spans="1:6">
      <c r="A512" s="109" t="s">
        <v>3358</v>
      </c>
      <c r="B512" s="110" t="s">
        <v>3359</v>
      </c>
      <c r="C512" s="110" t="s">
        <v>3360</v>
      </c>
      <c r="D512" s="110" t="s">
        <v>81</v>
      </c>
      <c r="E512" s="110" t="s">
        <v>3361</v>
      </c>
      <c r="F512" s="111" t="s">
        <v>3362</v>
      </c>
    </row>
    <row r="513" spans="1:6">
      <c r="A513" s="109" t="s">
        <v>3363</v>
      </c>
      <c r="B513" s="110" t="s">
        <v>3364</v>
      </c>
      <c r="C513" s="110" t="s">
        <v>3365</v>
      </c>
      <c r="D513" s="110" t="s">
        <v>81</v>
      </c>
      <c r="E513" s="110" t="s">
        <v>3366</v>
      </c>
      <c r="F513" s="111" t="s">
        <v>3367</v>
      </c>
    </row>
    <row r="514" spans="1:6">
      <c r="A514" s="109" t="s">
        <v>3368</v>
      </c>
      <c r="B514" s="110" t="s">
        <v>3369</v>
      </c>
      <c r="C514" s="110" t="s">
        <v>3370</v>
      </c>
      <c r="D514" s="110" t="s">
        <v>81</v>
      </c>
      <c r="E514" s="110" t="s">
        <v>3371</v>
      </c>
      <c r="F514" s="111" t="s">
        <v>3372</v>
      </c>
    </row>
    <row r="515" spans="1:6">
      <c r="A515" s="109" t="s">
        <v>3373</v>
      </c>
      <c r="B515" s="110" t="s">
        <v>3374</v>
      </c>
      <c r="C515" s="110" t="s">
        <v>3375</v>
      </c>
      <c r="D515" s="110" t="s">
        <v>82</v>
      </c>
      <c r="E515" s="110" t="s">
        <v>3376</v>
      </c>
      <c r="F515" s="111" t="s">
        <v>3377</v>
      </c>
    </row>
    <row r="516" spans="1:6">
      <c r="A516" s="109" t="s">
        <v>3378</v>
      </c>
      <c r="B516" s="110" t="s">
        <v>3379</v>
      </c>
      <c r="C516" s="110" t="s">
        <v>3380</v>
      </c>
      <c r="D516" s="110" t="s">
        <v>81</v>
      </c>
      <c r="E516" s="110" t="s">
        <v>3381</v>
      </c>
      <c r="F516" s="111" t="s">
        <v>3382</v>
      </c>
    </row>
    <row r="517" spans="1:6">
      <c r="A517" s="109" t="s">
        <v>3383</v>
      </c>
      <c r="B517" s="110" t="s">
        <v>3384</v>
      </c>
      <c r="C517" s="110" t="s">
        <v>3385</v>
      </c>
      <c r="D517" s="110" t="s">
        <v>82</v>
      </c>
      <c r="E517" s="110" t="s">
        <v>3386</v>
      </c>
      <c r="F517" s="111" t="s">
        <v>3387</v>
      </c>
    </row>
    <row r="518" spans="1:6">
      <c r="A518" s="109" t="s">
        <v>3388</v>
      </c>
      <c r="B518" s="110" t="s">
        <v>3389</v>
      </c>
      <c r="C518" s="110" t="s">
        <v>3390</v>
      </c>
      <c r="D518" s="110" t="s">
        <v>82</v>
      </c>
      <c r="E518" s="110" t="s">
        <v>3391</v>
      </c>
      <c r="F518" s="111" t="s">
        <v>3392</v>
      </c>
    </row>
    <row r="519" spans="1:6">
      <c r="A519" s="109" t="s">
        <v>3393</v>
      </c>
      <c r="B519" s="110" t="s">
        <v>3394</v>
      </c>
      <c r="C519" s="110" t="s">
        <v>3395</v>
      </c>
      <c r="D519" s="110" t="s">
        <v>82</v>
      </c>
      <c r="E519" s="110" t="s">
        <v>3396</v>
      </c>
      <c r="F519" s="111" t="s">
        <v>3397</v>
      </c>
    </row>
    <row r="520" spans="1:6">
      <c r="A520" s="109" t="s">
        <v>3398</v>
      </c>
      <c r="B520" s="110" t="s">
        <v>3399</v>
      </c>
      <c r="C520" s="110" t="s">
        <v>3400</v>
      </c>
      <c r="D520" s="110" t="s">
        <v>82</v>
      </c>
      <c r="E520" s="110" t="s">
        <v>3401</v>
      </c>
      <c r="F520" s="111" t="s">
        <v>3402</v>
      </c>
    </row>
    <row r="521" spans="1:6">
      <c r="A521" s="109" t="s">
        <v>3403</v>
      </c>
      <c r="B521" s="110" t="s">
        <v>3404</v>
      </c>
      <c r="C521" s="110" t="s">
        <v>3405</v>
      </c>
      <c r="D521" s="110" t="s">
        <v>82</v>
      </c>
      <c r="E521" s="110" t="s">
        <v>3406</v>
      </c>
      <c r="F521" s="111" t="s">
        <v>3407</v>
      </c>
    </row>
    <row r="522" spans="1:6">
      <c r="A522" s="109" t="s">
        <v>3408</v>
      </c>
      <c r="B522" s="110" t="s">
        <v>3409</v>
      </c>
      <c r="C522" s="110" t="s">
        <v>3410</v>
      </c>
      <c r="D522" s="110" t="s">
        <v>81</v>
      </c>
      <c r="E522" s="110" t="s">
        <v>3411</v>
      </c>
      <c r="F522" s="111" t="s">
        <v>3412</v>
      </c>
    </row>
    <row r="523" spans="1:6">
      <c r="A523" s="109" t="s">
        <v>3413</v>
      </c>
      <c r="B523" s="110" t="s">
        <v>3414</v>
      </c>
      <c r="C523" s="110" t="s">
        <v>3415</v>
      </c>
      <c r="D523" s="110" t="s">
        <v>81</v>
      </c>
      <c r="E523" s="110" t="s">
        <v>3416</v>
      </c>
      <c r="F523" s="111" t="s">
        <v>3417</v>
      </c>
    </row>
    <row r="524" spans="1:6">
      <c r="A524" s="109" t="s">
        <v>3418</v>
      </c>
      <c r="B524" s="110" t="s">
        <v>3419</v>
      </c>
      <c r="C524" s="110" t="s">
        <v>3420</v>
      </c>
      <c r="D524" s="110" t="s">
        <v>81</v>
      </c>
      <c r="E524" s="110" t="s">
        <v>3421</v>
      </c>
      <c r="F524" s="111" t="s">
        <v>3422</v>
      </c>
    </row>
    <row r="525" spans="1:6">
      <c r="A525" s="109" t="s">
        <v>3423</v>
      </c>
      <c r="B525" s="110" t="s">
        <v>3424</v>
      </c>
      <c r="C525" s="110" t="s">
        <v>3425</v>
      </c>
      <c r="D525" s="110" t="s">
        <v>82</v>
      </c>
      <c r="E525" s="110" t="s">
        <v>3426</v>
      </c>
      <c r="F525" s="111" t="s">
        <v>3427</v>
      </c>
    </row>
    <row r="526" spans="1:6">
      <c r="A526" s="109" t="s">
        <v>3428</v>
      </c>
      <c r="B526" s="110" t="s">
        <v>3429</v>
      </c>
      <c r="C526" s="110" t="s">
        <v>3430</v>
      </c>
      <c r="D526" s="110" t="s">
        <v>82</v>
      </c>
      <c r="E526" s="110" t="s">
        <v>3431</v>
      </c>
      <c r="F526" s="110" t="s">
        <v>3432</v>
      </c>
    </row>
    <row r="527" spans="1:6">
      <c r="A527" s="109" t="s">
        <v>3433</v>
      </c>
      <c r="B527" s="110" t="s">
        <v>3434</v>
      </c>
      <c r="C527" s="110" t="s">
        <v>3435</v>
      </c>
      <c r="D527" s="110" t="s">
        <v>82</v>
      </c>
      <c r="E527" s="110" t="s">
        <v>3436</v>
      </c>
      <c r="F527" s="111" t="s">
        <v>3437</v>
      </c>
    </row>
    <row r="528" spans="1:6">
      <c r="A528" s="109" t="s">
        <v>3438</v>
      </c>
      <c r="B528" s="110" t="s">
        <v>3439</v>
      </c>
      <c r="C528" s="110" t="s">
        <v>3440</v>
      </c>
      <c r="D528" s="110" t="s">
        <v>82</v>
      </c>
      <c r="E528" s="110" t="s">
        <v>3441</v>
      </c>
      <c r="F528" s="110" t="s">
        <v>3442</v>
      </c>
    </row>
    <row r="529" spans="1:6">
      <c r="A529" s="109" t="s">
        <v>3443</v>
      </c>
      <c r="B529" s="110" t="s">
        <v>3444</v>
      </c>
      <c r="C529" s="110" t="s">
        <v>3445</v>
      </c>
      <c r="D529" s="110" t="s">
        <v>81</v>
      </c>
      <c r="E529" s="110" t="s">
        <v>3446</v>
      </c>
      <c r="F529" s="111" t="s">
        <v>3447</v>
      </c>
    </row>
    <row r="530" spans="1:6">
      <c r="A530" s="109" t="s">
        <v>3448</v>
      </c>
      <c r="B530" s="110" t="s">
        <v>3449</v>
      </c>
      <c r="C530" s="110" t="s">
        <v>3450</v>
      </c>
      <c r="D530" s="110" t="s">
        <v>82</v>
      </c>
      <c r="E530" s="110" t="s">
        <v>3451</v>
      </c>
      <c r="F530" s="111" t="s">
        <v>3452</v>
      </c>
    </row>
    <row r="531" spans="1:6">
      <c r="A531" s="109" t="s">
        <v>3453</v>
      </c>
      <c r="B531" s="110" t="s">
        <v>3454</v>
      </c>
      <c r="C531" s="110" t="s">
        <v>3455</v>
      </c>
      <c r="D531" s="110" t="s">
        <v>81</v>
      </c>
      <c r="E531" s="110" t="s">
        <v>3456</v>
      </c>
      <c r="F531" s="111" t="s">
        <v>3457</v>
      </c>
    </row>
    <row r="532" spans="1:6">
      <c r="A532" s="109" t="s">
        <v>3458</v>
      </c>
      <c r="B532" s="110" t="s">
        <v>3459</v>
      </c>
      <c r="C532" s="110" t="s">
        <v>3460</v>
      </c>
      <c r="D532" s="110" t="s">
        <v>81</v>
      </c>
      <c r="E532" s="110" t="s">
        <v>3461</v>
      </c>
      <c r="F532" s="110" t="s">
        <v>3462</v>
      </c>
    </row>
    <row r="533" spans="1:6">
      <c r="A533" s="109" t="s">
        <v>3463</v>
      </c>
      <c r="B533" s="110" t="s">
        <v>3464</v>
      </c>
      <c r="C533" s="110" t="s">
        <v>3465</v>
      </c>
      <c r="D533" s="110" t="s">
        <v>81</v>
      </c>
      <c r="E533" s="110" t="s">
        <v>3466</v>
      </c>
      <c r="F533" s="111" t="s">
        <v>3467</v>
      </c>
    </row>
    <row r="534" spans="1:6">
      <c r="A534" s="109" t="s">
        <v>3468</v>
      </c>
      <c r="B534" s="110" t="s">
        <v>3469</v>
      </c>
      <c r="C534" s="110" t="s">
        <v>3470</v>
      </c>
      <c r="D534" s="110" t="s">
        <v>81</v>
      </c>
      <c r="E534" s="110" t="s">
        <v>3471</v>
      </c>
      <c r="F534" s="111" t="s">
        <v>3472</v>
      </c>
    </row>
    <row r="535" spans="1:6">
      <c r="A535" s="109" t="s">
        <v>3473</v>
      </c>
      <c r="B535" s="110" t="s">
        <v>3474</v>
      </c>
      <c r="C535" s="110" t="s">
        <v>3475</v>
      </c>
      <c r="D535" s="110" t="s">
        <v>81</v>
      </c>
      <c r="E535" s="110" t="s">
        <v>3476</v>
      </c>
      <c r="F535" s="111" t="s">
        <v>3477</v>
      </c>
    </row>
    <row r="536" spans="1:6">
      <c r="A536" s="109" t="s">
        <v>3478</v>
      </c>
      <c r="B536" s="110" t="s">
        <v>3479</v>
      </c>
      <c r="C536" s="110" t="s">
        <v>3480</v>
      </c>
      <c r="D536" s="110" t="s">
        <v>81</v>
      </c>
      <c r="E536" s="110" t="s">
        <v>3481</v>
      </c>
      <c r="F536" s="111" t="s">
        <v>3482</v>
      </c>
    </row>
    <row r="537" spans="1:6">
      <c r="A537" s="109" t="s">
        <v>3483</v>
      </c>
      <c r="B537" s="110" t="s">
        <v>3484</v>
      </c>
      <c r="C537" s="110" t="s">
        <v>3485</v>
      </c>
      <c r="D537" s="110" t="s">
        <v>81</v>
      </c>
      <c r="E537" s="110" t="s">
        <v>3486</v>
      </c>
      <c r="F537" s="111" t="s">
        <v>3487</v>
      </c>
    </row>
    <row r="538" spans="1:6">
      <c r="A538" s="109" t="s">
        <v>3488</v>
      </c>
      <c r="B538" s="110" t="s">
        <v>3489</v>
      </c>
      <c r="C538" s="110" t="s">
        <v>3490</v>
      </c>
      <c r="D538" s="110" t="s">
        <v>82</v>
      </c>
      <c r="E538" s="110" t="s">
        <v>3491</v>
      </c>
      <c r="F538" s="110" t="s">
        <v>3492</v>
      </c>
    </row>
    <row r="539" spans="1:6">
      <c r="A539" s="109" t="s">
        <v>3493</v>
      </c>
      <c r="B539" s="110" t="s">
        <v>3494</v>
      </c>
      <c r="C539" s="110" t="s">
        <v>3495</v>
      </c>
      <c r="D539" s="110" t="s">
        <v>81</v>
      </c>
      <c r="E539" s="110" t="s">
        <v>3496</v>
      </c>
      <c r="F539" s="111" t="s">
        <v>3497</v>
      </c>
    </row>
    <row r="540" spans="1:6">
      <c r="A540" s="109" t="s">
        <v>3498</v>
      </c>
      <c r="B540" s="110" t="s">
        <v>3499</v>
      </c>
      <c r="C540" s="110" t="s">
        <v>3500</v>
      </c>
      <c r="D540" s="110" t="s">
        <v>81</v>
      </c>
      <c r="E540" s="110" t="s">
        <v>3501</v>
      </c>
      <c r="F540" s="111" t="s">
        <v>3502</v>
      </c>
    </row>
    <row r="541" spans="1:6">
      <c r="A541" s="109" t="s">
        <v>3503</v>
      </c>
      <c r="B541" s="110" t="s">
        <v>3504</v>
      </c>
      <c r="C541" s="110" t="s">
        <v>3505</v>
      </c>
      <c r="D541" s="110" t="s">
        <v>81</v>
      </c>
      <c r="E541" s="110" t="s">
        <v>3506</v>
      </c>
      <c r="F541" s="111" t="s">
        <v>3507</v>
      </c>
    </row>
    <row r="542" spans="1:6">
      <c r="A542" s="109" t="s">
        <v>3508</v>
      </c>
      <c r="B542" s="110" t="s">
        <v>3509</v>
      </c>
      <c r="C542" s="110" t="s">
        <v>3510</v>
      </c>
      <c r="D542" s="110" t="s">
        <v>81</v>
      </c>
      <c r="E542" s="110" t="s">
        <v>3511</v>
      </c>
      <c r="F542" s="111" t="s">
        <v>3512</v>
      </c>
    </row>
    <row r="543" spans="1:6">
      <c r="A543" s="109" t="s">
        <v>3513</v>
      </c>
      <c r="B543" s="110" t="s">
        <v>3514</v>
      </c>
      <c r="C543" s="110" t="s">
        <v>3515</v>
      </c>
      <c r="D543" s="110" t="s">
        <v>81</v>
      </c>
      <c r="E543" s="110" t="s">
        <v>3516</v>
      </c>
      <c r="F543" s="111" t="s">
        <v>3517</v>
      </c>
    </row>
    <row r="544" spans="1:6">
      <c r="A544" s="109" t="s">
        <v>3518</v>
      </c>
      <c r="B544" s="110" t="s">
        <v>3519</v>
      </c>
      <c r="C544" s="110" t="s">
        <v>3520</v>
      </c>
      <c r="D544" s="110" t="s">
        <v>82</v>
      </c>
      <c r="E544" s="110" t="s">
        <v>3521</v>
      </c>
      <c r="F544" s="110" t="s">
        <v>3522</v>
      </c>
    </row>
    <row r="545" spans="1:6">
      <c r="A545" s="109" t="s">
        <v>3523</v>
      </c>
      <c r="B545" s="110" t="s">
        <v>3524</v>
      </c>
      <c r="C545" s="110" t="s">
        <v>3525</v>
      </c>
      <c r="D545" s="110" t="s">
        <v>81</v>
      </c>
      <c r="E545" s="110" t="s">
        <v>3526</v>
      </c>
      <c r="F545" s="111" t="s">
        <v>3527</v>
      </c>
    </row>
    <row r="546" spans="1:6">
      <c r="A546" s="109" t="s">
        <v>3528</v>
      </c>
      <c r="B546" s="110" t="s">
        <v>3529</v>
      </c>
      <c r="C546" s="110" t="s">
        <v>3530</v>
      </c>
      <c r="D546" s="110" t="s">
        <v>81</v>
      </c>
      <c r="E546" s="110" t="s">
        <v>3531</v>
      </c>
      <c r="F546" s="111" t="s">
        <v>3532</v>
      </c>
    </row>
    <row r="547" spans="1:6">
      <c r="A547" s="109" t="s">
        <v>3533</v>
      </c>
      <c r="B547" s="110" t="s">
        <v>3534</v>
      </c>
      <c r="C547" s="110" t="s">
        <v>3535</v>
      </c>
      <c r="D547" s="110" t="s">
        <v>82</v>
      </c>
      <c r="E547" s="110" t="s">
        <v>3536</v>
      </c>
      <c r="F547" s="111" t="s">
        <v>3537</v>
      </c>
    </row>
    <row r="548" spans="1:6">
      <c r="A548" s="109" t="s">
        <v>3538</v>
      </c>
      <c r="B548" s="110" t="s">
        <v>3539</v>
      </c>
      <c r="C548" s="110" t="s">
        <v>3540</v>
      </c>
      <c r="D548" s="110" t="s">
        <v>81</v>
      </c>
      <c r="E548" s="110" t="s">
        <v>3541</v>
      </c>
      <c r="F548" s="111" t="s">
        <v>3542</v>
      </c>
    </row>
    <row r="549" spans="1:6">
      <c r="A549" s="109" t="s">
        <v>3543</v>
      </c>
      <c r="B549" s="110" t="s">
        <v>3544</v>
      </c>
      <c r="C549" s="110" t="s">
        <v>3545</v>
      </c>
      <c r="D549" s="110" t="s">
        <v>81</v>
      </c>
      <c r="E549" s="110" t="s">
        <v>3546</v>
      </c>
      <c r="F549" s="111" t="s">
        <v>3547</v>
      </c>
    </row>
    <row r="550" spans="1:6">
      <c r="A550" s="109" t="s">
        <v>3548</v>
      </c>
      <c r="B550" s="110" t="s">
        <v>3549</v>
      </c>
      <c r="C550" s="110" t="s">
        <v>3550</v>
      </c>
      <c r="D550" s="110" t="s">
        <v>82</v>
      </c>
      <c r="E550" s="110" t="s">
        <v>3551</v>
      </c>
      <c r="F550" s="111" t="s">
        <v>3552</v>
      </c>
    </row>
    <row r="551" spans="1:6">
      <c r="A551" s="109" t="s">
        <v>3553</v>
      </c>
      <c r="B551" s="110" t="s">
        <v>3554</v>
      </c>
      <c r="C551" s="110" t="s">
        <v>3555</v>
      </c>
      <c r="D551" s="110" t="s">
        <v>82</v>
      </c>
      <c r="E551" s="110" t="s">
        <v>3556</v>
      </c>
      <c r="F551" s="111" t="s">
        <v>3557</v>
      </c>
    </row>
    <row r="552" spans="1:6">
      <c r="A552" s="109" t="s">
        <v>3558</v>
      </c>
      <c r="B552" s="110" t="s">
        <v>3559</v>
      </c>
      <c r="C552" s="110" t="s">
        <v>3560</v>
      </c>
      <c r="D552" s="110" t="s">
        <v>81</v>
      </c>
      <c r="E552" s="110" t="s">
        <v>3561</v>
      </c>
      <c r="F552" s="111" t="s">
        <v>3562</v>
      </c>
    </row>
    <row r="553" spans="1:6">
      <c r="A553" s="109" t="s">
        <v>3563</v>
      </c>
      <c r="B553" s="110" t="s">
        <v>3564</v>
      </c>
      <c r="C553" s="110" t="s">
        <v>3565</v>
      </c>
      <c r="D553" s="110" t="s">
        <v>81</v>
      </c>
      <c r="E553" s="110" t="s">
        <v>3566</v>
      </c>
      <c r="F553" s="111" t="s">
        <v>3567</v>
      </c>
    </row>
    <row r="554" spans="1:6">
      <c r="A554" s="109" t="s">
        <v>3568</v>
      </c>
      <c r="B554" s="110" t="s">
        <v>3569</v>
      </c>
      <c r="C554" s="110" t="s">
        <v>3570</v>
      </c>
      <c r="D554" s="110" t="s">
        <v>82</v>
      </c>
      <c r="E554" s="110" t="s">
        <v>3571</v>
      </c>
      <c r="F554" s="111" t="s">
        <v>3572</v>
      </c>
    </row>
    <row r="555" spans="1:6">
      <c r="A555" s="109" t="s">
        <v>3573</v>
      </c>
      <c r="B555" s="110" t="s">
        <v>3574</v>
      </c>
      <c r="C555" s="110" t="s">
        <v>3575</v>
      </c>
      <c r="D555" s="110" t="s">
        <v>82</v>
      </c>
      <c r="E555" s="110" t="s">
        <v>3576</v>
      </c>
      <c r="F555" s="111" t="s">
        <v>3577</v>
      </c>
    </row>
    <row r="556" spans="1:6">
      <c r="A556" s="109" t="s">
        <v>3578</v>
      </c>
      <c r="B556" s="110" t="s">
        <v>3579</v>
      </c>
      <c r="C556" s="110" t="s">
        <v>3580</v>
      </c>
      <c r="D556" s="110" t="s">
        <v>82</v>
      </c>
      <c r="E556" s="110" t="s">
        <v>3581</v>
      </c>
      <c r="F556" s="111" t="s">
        <v>3582</v>
      </c>
    </row>
    <row r="557" spans="1:6">
      <c r="A557" s="109" t="s">
        <v>3583</v>
      </c>
      <c r="B557" s="110" t="s">
        <v>3584</v>
      </c>
      <c r="C557" s="110" t="s">
        <v>3585</v>
      </c>
      <c r="D557" s="110" t="s">
        <v>82</v>
      </c>
      <c r="E557" s="110" t="s">
        <v>3586</v>
      </c>
      <c r="F557" s="111" t="s">
        <v>3587</v>
      </c>
    </row>
    <row r="558" spans="1:6">
      <c r="A558" s="109" t="s">
        <v>3588</v>
      </c>
      <c r="B558" s="110" t="s">
        <v>3589</v>
      </c>
      <c r="C558" s="110" t="s">
        <v>3590</v>
      </c>
      <c r="D558" s="110" t="s">
        <v>82</v>
      </c>
      <c r="E558" s="110" t="s">
        <v>3591</v>
      </c>
      <c r="F558" s="111" t="s">
        <v>3592</v>
      </c>
    </row>
    <row r="559" spans="1:6">
      <c r="A559" s="109" t="s">
        <v>3593</v>
      </c>
      <c r="B559" s="110" t="s">
        <v>3594</v>
      </c>
      <c r="C559" s="110" t="s">
        <v>3595</v>
      </c>
      <c r="D559" s="110" t="s">
        <v>81</v>
      </c>
      <c r="E559" s="110" t="s">
        <v>3596</v>
      </c>
      <c r="F559" s="111" t="s">
        <v>3597</v>
      </c>
    </row>
    <row r="560" spans="1:6">
      <c r="A560" s="109" t="s">
        <v>3598</v>
      </c>
      <c r="B560" s="110" t="s">
        <v>3599</v>
      </c>
      <c r="C560" s="110" t="s">
        <v>3600</v>
      </c>
      <c r="D560" s="110" t="s">
        <v>82</v>
      </c>
      <c r="E560" s="110" t="s">
        <v>3601</v>
      </c>
      <c r="F560" s="111" t="s">
        <v>3602</v>
      </c>
    </row>
    <row r="561" spans="1:6">
      <c r="A561" s="109" t="s">
        <v>3603</v>
      </c>
      <c r="B561" s="110" t="s">
        <v>3604</v>
      </c>
      <c r="C561" s="110" t="s">
        <v>3605</v>
      </c>
      <c r="D561" s="110" t="s">
        <v>82</v>
      </c>
      <c r="E561" s="110" t="s">
        <v>3606</v>
      </c>
      <c r="F561" s="111" t="s">
        <v>3607</v>
      </c>
    </row>
    <row r="562" spans="1:6">
      <c r="A562" s="109" t="s">
        <v>3608</v>
      </c>
      <c r="B562" s="110" t="s">
        <v>3609</v>
      </c>
      <c r="C562" s="110" t="s">
        <v>3610</v>
      </c>
      <c r="D562" s="110" t="s">
        <v>81</v>
      </c>
      <c r="E562" s="110" t="s">
        <v>3611</v>
      </c>
      <c r="F562" s="111" t="s">
        <v>3612</v>
      </c>
    </row>
    <row r="563" spans="1:6">
      <c r="A563" s="109" t="s">
        <v>3613</v>
      </c>
      <c r="B563" s="110" t="s">
        <v>3614</v>
      </c>
      <c r="C563" s="110" t="s">
        <v>3615</v>
      </c>
      <c r="D563" s="110" t="s">
        <v>82</v>
      </c>
      <c r="E563" s="110" t="s">
        <v>3616</v>
      </c>
      <c r="F563" s="111" t="s">
        <v>3617</v>
      </c>
    </row>
    <row r="564" spans="1:6">
      <c r="A564" s="109" t="s">
        <v>3618</v>
      </c>
      <c r="B564" s="110" t="s">
        <v>3619</v>
      </c>
      <c r="C564" s="110" t="s">
        <v>3620</v>
      </c>
      <c r="D564" s="110" t="s">
        <v>81</v>
      </c>
      <c r="E564" s="110" t="s">
        <v>3621</v>
      </c>
      <c r="F564" s="111" t="s">
        <v>3622</v>
      </c>
    </row>
    <row r="565" spans="1:6">
      <c r="A565" s="109" t="s">
        <v>3623</v>
      </c>
      <c r="B565" s="110" t="s">
        <v>3624</v>
      </c>
      <c r="C565" s="110" t="s">
        <v>3625</v>
      </c>
      <c r="D565" s="110" t="s">
        <v>82</v>
      </c>
      <c r="E565" s="110" t="s">
        <v>3626</v>
      </c>
      <c r="F565" s="111" t="s">
        <v>3627</v>
      </c>
    </row>
    <row r="566" spans="1:6">
      <c r="A566" s="109" t="s">
        <v>3628</v>
      </c>
      <c r="B566" s="110" t="s">
        <v>3629</v>
      </c>
      <c r="C566" s="110" t="s">
        <v>3630</v>
      </c>
      <c r="D566" s="110" t="s">
        <v>81</v>
      </c>
      <c r="E566" s="110" t="s">
        <v>3631</v>
      </c>
      <c r="F566" s="111" t="s">
        <v>3632</v>
      </c>
    </row>
    <row r="567" spans="1:6">
      <c r="A567" s="109" t="s">
        <v>3633</v>
      </c>
      <c r="B567" s="110" t="s">
        <v>3634</v>
      </c>
      <c r="C567" s="110" t="s">
        <v>3635</v>
      </c>
      <c r="D567" s="110" t="s">
        <v>82</v>
      </c>
      <c r="E567" s="110" t="s">
        <v>3636</v>
      </c>
      <c r="F567" s="111" t="s">
        <v>3637</v>
      </c>
    </row>
    <row r="568" spans="1:6">
      <c r="A568" s="109" t="s">
        <v>3638</v>
      </c>
      <c r="B568" s="110" t="s">
        <v>3639</v>
      </c>
      <c r="C568" s="110" t="s">
        <v>3640</v>
      </c>
      <c r="D568" s="110" t="s">
        <v>81</v>
      </c>
      <c r="E568" s="110" t="s">
        <v>3641</v>
      </c>
      <c r="F568" s="111" t="s">
        <v>3642</v>
      </c>
    </row>
    <row r="569" spans="1:6">
      <c r="A569" s="109" t="s">
        <v>3643</v>
      </c>
      <c r="B569" s="110" t="s">
        <v>3644</v>
      </c>
      <c r="C569" s="110" t="s">
        <v>3645</v>
      </c>
      <c r="D569" s="110" t="s">
        <v>81</v>
      </c>
      <c r="E569" s="110" t="s">
        <v>3646</v>
      </c>
      <c r="F569" s="111" t="s">
        <v>3647</v>
      </c>
    </row>
    <row r="570" spans="1:6">
      <c r="A570" s="109" t="s">
        <v>3648</v>
      </c>
      <c r="B570" s="110" t="s">
        <v>3649</v>
      </c>
      <c r="C570" s="110" t="s">
        <v>3650</v>
      </c>
      <c r="D570" s="110" t="s">
        <v>82</v>
      </c>
      <c r="E570" s="110" t="s">
        <v>3651</v>
      </c>
      <c r="F570" s="111" t="s">
        <v>3652</v>
      </c>
    </row>
    <row r="571" spans="1:6">
      <c r="A571" s="109" t="s">
        <v>3653</v>
      </c>
      <c r="B571" s="110" t="s">
        <v>3654</v>
      </c>
      <c r="C571" s="110" t="s">
        <v>3655</v>
      </c>
      <c r="D571" s="110" t="s">
        <v>81</v>
      </c>
      <c r="E571" s="110" t="s">
        <v>3656</v>
      </c>
      <c r="F571" s="111" t="s">
        <v>3657</v>
      </c>
    </row>
    <row r="572" spans="1:6">
      <c r="A572" s="109" t="s">
        <v>3658</v>
      </c>
      <c r="B572" s="110" t="s">
        <v>3659</v>
      </c>
      <c r="C572" s="110" t="s">
        <v>3660</v>
      </c>
      <c r="D572" s="110" t="s">
        <v>82</v>
      </c>
      <c r="E572" s="110" t="s">
        <v>3661</v>
      </c>
      <c r="F572" s="111" t="s">
        <v>3662</v>
      </c>
    </row>
    <row r="573" spans="1:6">
      <c r="A573" s="109" t="s">
        <v>3663</v>
      </c>
      <c r="B573" s="110" t="s">
        <v>3664</v>
      </c>
      <c r="C573" s="110" t="s">
        <v>3665</v>
      </c>
      <c r="D573" s="110" t="s">
        <v>81</v>
      </c>
      <c r="E573" s="110" t="s">
        <v>3666</v>
      </c>
      <c r="F573" s="111" t="s">
        <v>3667</v>
      </c>
    </row>
    <row r="574" spans="1:6">
      <c r="A574" s="109" t="s">
        <v>3668</v>
      </c>
      <c r="B574" s="110" t="s">
        <v>3669</v>
      </c>
      <c r="C574" s="110" t="s">
        <v>3670</v>
      </c>
      <c r="D574" s="110" t="s">
        <v>81</v>
      </c>
      <c r="E574" s="110" t="s">
        <v>3671</v>
      </c>
      <c r="F574" s="111" t="s">
        <v>3672</v>
      </c>
    </row>
    <row r="575" spans="1:6">
      <c r="A575" s="109" t="s">
        <v>3673</v>
      </c>
      <c r="B575" s="110" t="s">
        <v>3674</v>
      </c>
      <c r="C575" s="110" t="s">
        <v>3675</v>
      </c>
      <c r="D575" s="110" t="s">
        <v>81</v>
      </c>
      <c r="E575" s="110" t="s">
        <v>3676</v>
      </c>
      <c r="F575" s="111" t="s">
        <v>3677</v>
      </c>
    </row>
    <row r="576" spans="1:6">
      <c r="A576" s="109" t="s">
        <v>3678</v>
      </c>
      <c r="B576" s="110" t="s">
        <v>3679</v>
      </c>
      <c r="C576" s="110" t="s">
        <v>3680</v>
      </c>
      <c r="D576" s="110" t="s">
        <v>81</v>
      </c>
      <c r="E576" s="110" t="s">
        <v>3681</v>
      </c>
      <c r="F576" s="111" t="s">
        <v>3682</v>
      </c>
    </row>
    <row r="577" spans="1:6">
      <c r="A577" s="109" t="s">
        <v>3683</v>
      </c>
      <c r="B577" s="110" t="s">
        <v>3684</v>
      </c>
      <c r="C577" s="110" t="s">
        <v>3685</v>
      </c>
      <c r="D577" s="110" t="s">
        <v>81</v>
      </c>
      <c r="E577" s="110" t="s">
        <v>3686</v>
      </c>
      <c r="F577" s="111" t="s">
        <v>3687</v>
      </c>
    </row>
    <row r="578" spans="1:6">
      <c r="A578" s="109" t="s">
        <v>3688</v>
      </c>
      <c r="B578" s="110" t="s">
        <v>3689</v>
      </c>
      <c r="C578" s="110" t="s">
        <v>3690</v>
      </c>
      <c r="D578" s="110" t="s">
        <v>81</v>
      </c>
      <c r="E578" s="110" t="s">
        <v>3691</v>
      </c>
      <c r="F578" s="111" t="s">
        <v>3692</v>
      </c>
    </row>
    <row r="579" spans="1:6">
      <c r="A579" s="109" t="s">
        <v>3693</v>
      </c>
      <c r="B579" s="110" t="s">
        <v>3694</v>
      </c>
      <c r="C579" s="110" t="s">
        <v>3695</v>
      </c>
      <c r="D579" s="110" t="s">
        <v>82</v>
      </c>
      <c r="E579" s="110" t="s">
        <v>3696</v>
      </c>
      <c r="F579" s="111" t="s">
        <v>3697</v>
      </c>
    </row>
    <row r="580" spans="1:6">
      <c r="A580" s="109" t="s">
        <v>3698</v>
      </c>
      <c r="B580" s="110" t="s">
        <v>3699</v>
      </c>
      <c r="C580" s="110" t="s">
        <v>3700</v>
      </c>
      <c r="D580" s="110" t="s">
        <v>81</v>
      </c>
      <c r="E580" s="110" t="s">
        <v>3701</v>
      </c>
      <c r="F580" s="111" t="s">
        <v>3702</v>
      </c>
    </row>
    <row r="581" spans="1:6">
      <c r="A581" s="109" t="s">
        <v>3703</v>
      </c>
      <c r="B581" s="110" t="s">
        <v>3704</v>
      </c>
      <c r="C581" s="110" t="s">
        <v>3705</v>
      </c>
      <c r="D581" s="110" t="s">
        <v>81</v>
      </c>
      <c r="E581" s="110" t="s">
        <v>3706</v>
      </c>
      <c r="F581" s="111" t="s">
        <v>3707</v>
      </c>
    </row>
    <row r="582" spans="1:6">
      <c r="A582" s="109" t="s">
        <v>3708</v>
      </c>
      <c r="B582" s="110" t="s">
        <v>3709</v>
      </c>
      <c r="C582" s="110" t="s">
        <v>3710</v>
      </c>
      <c r="D582" s="110" t="s">
        <v>82</v>
      </c>
      <c r="E582" s="110" t="s">
        <v>3711</v>
      </c>
      <c r="F582" s="111" t="s">
        <v>3712</v>
      </c>
    </row>
    <row r="583" spans="1:6">
      <c r="A583" s="109" t="s">
        <v>3713</v>
      </c>
      <c r="B583" s="110" t="s">
        <v>3714</v>
      </c>
      <c r="C583" s="110" t="s">
        <v>3715</v>
      </c>
      <c r="D583" s="110" t="s">
        <v>82</v>
      </c>
      <c r="E583" s="110" t="s">
        <v>3716</v>
      </c>
      <c r="F583" s="111" t="s">
        <v>3717</v>
      </c>
    </row>
    <row r="584" spans="1:6">
      <c r="A584" s="109" t="s">
        <v>3718</v>
      </c>
      <c r="B584" s="110" t="s">
        <v>3719</v>
      </c>
      <c r="C584" s="110" t="s">
        <v>3720</v>
      </c>
      <c r="D584" s="110" t="s">
        <v>82</v>
      </c>
      <c r="E584" s="110" t="s">
        <v>3721</v>
      </c>
      <c r="F584" s="111" t="s">
        <v>3722</v>
      </c>
    </row>
    <row r="585" spans="1:6">
      <c r="A585" s="109" t="s">
        <v>3723</v>
      </c>
      <c r="B585" s="110" t="s">
        <v>3724</v>
      </c>
      <c r="C585" s="110" t="s">
        <v>3725</v>
      </c>
      <c r="D585" s="110" t="s">
        <v>81</v>
      </c>
      <c r="E585" s="110" t="s">
        <v>3726</v>
      </c>
      <c r="F585" s="111" t="s">
        <v>3727</v>
      </c>
    </row>
    <row r="586" spans="1:6">
      <c r="A586" s="109" t="s">
        <v>3728</v>
      </c>
      <c r="B586" s="110" t="s">
        <v>3729</v>
      </c>
      <c r="C586" s="110" t="s">
        <v>3730</v>
      </c>
      <c r="D586" s="110" t="s">
        <v>81</v>
      </c>
      <c r="E586" s="110" t="s">
        <v>3731</v>
      </c>
      <c r="F586" s="111" t="s">
        <v>3732</v>
      </c>
    </row>
    <row r="587" spans="1:6">
      <c r="A587" s="109" t="s">
        <v>3733</v>
      </c>
      <c r="B587" s="110" t="s">
        <v>3734</v>
      </c>
      <c r="C587" s="110" t="s">
        <v>3735</v>
      </c>
      <c r="D587" s="110" t="s">
        <v>82</v>
      </c>
      <c r="E587" s="110" t="s">
        <v>3736</v>
      </c>
      <c r="F587" s="111" t="s">
        <v>3737</v>
      </c>
    </row>
    <row r="588" spans="1:6">
      <c r="A588" s="109" t="s">
        <v>3738</v>
      </c>
      <c r="B588" s="110" t="s">
        <v>3739</v>
      </c>
      <c r="C588" s="110" t="s">
        <v>3740</v>
      </c>
      <c r="D588" s="110" t="s">
        <v>82</v>
      </c>
      <c r="E588" s="110" t="s">
        <v>3741</v>
      </c>
      <c r="F588" s="111" t="s">
        <v>3742</v>
      </c>
    </row>
    <row r="589" spans="1:6">
      <c r="A589" s="109" t="s">
        <v>3743</v>
      </c>
      <c r="B589" s="110" t="s">
        <v>3744</v>
      </c>
      <c r="C589" s="110" t="s">
        <v>3745</v>
      </c>
      <c r="D589" s="110" t="s">
        <v>82</v>
      </c>
      <c r="E589" s="110" t="s">
        <v>3746</v>
      </c>
      <c r="F589" s="111" t="s">
        <v>3747</v>
      </c>
    </row>
    <row r="590" spans="1:6">
      <c r="A590" s="109" t="s">
        <v>3748</v>
      </c>
      <c r="B590" s="110" t="s">
        <v>3749</v>
      </c>
      <c r="C590" s="110" t="s">
        <v>3750</v>
      </c>
      <c r="D590" s="110" t="s">
        <v>82</v>
      </c>
      <c r="E590" s="110" t="s">
        <v>3751</v>
      </c>
      <c r="F590" s="111" t="s">
        <v>3752</v>
      </c>
    </row>
    <row r="591" spans="1:6">
      <c r="A591" s="109" t="s">
        <v>3753</v>
      </c>
      <c r="B591" s="110" t="s">
        <v>3754</v>
      </c>
      <c r="C591" s="110" t="s">
        <v>3755</v>
      </c>
      <c r="D591" s="110" t="s">
        <v>81</v>
      </c>
      <c r="E591" s="110" t="s">
        <v>3756</v>
      </c>
      <c r="F591" s="111" t="s">
        <v>3757</v>
      </c>
    </row>
    <row r="592" spans="1:6">
      <c r="A592" s="109" t="s">
        <v>3758</v>
      </c>
      <c r="B592" s="110" t="s">
        <v>3759</v>
      </c>
      <c r="C592" s="110" t="s">
        <v>3760</v>
      </c>
      <c r="D592" s="110" t="s">
        <v>81</v>
      </c>
      <c r="E592" s="110" t="s">
        <v>3761</v>
      </c>
      <c r="F592" s="111" t="s">
        <v>3762</v>
      </c>
    </row>
    <row r="593" spans="1:6">
      <c r="A593" s="109" t="s">
        <v>3763</v>
      </c>
      <c r="B593" s="110" t="s">
        <v>3764</v>
      </c>
      <c r="C593" s="110" t="s">
        <v>3765</v>
      </c>
      <c r="D593" s="110" t="s">
        <v>81</v>
      </c>
      <c r="E593" s="110" t="s">
        <v>3766</v>
      </c>
      <c r="F593" s="111" t="s">
        <v>3767</v>
      </c>
    </row>
    <row r="594" spans="1:6">
      <c r="A594" s="109" t="s">
        <v>3768</v>
      </c>
      <c r="B594" s="110" t="s">
        <v>3769</v>
      </c>
      <c r="C594" s="110" t="s">
        <v>3770</v>
      </c>
      <c r="D594" s="110" t="s">
        <v>81</v>
      </c>
      <c r="E594" s="110" t="s">
        <v>3771</v>
      </c>
      <c r="F594" s="111" t="s">
        <v>3772</v>
      </c>
    </row>
    <row r="595" spans="1:6">
      <c r="A595" s="109" t="s">
        <v>3773</v>
      </c>
      <c r="B595" s="110" t="s">
        <v>3774</v>
      </c>
      <c r="C595" s="110" t="s">
        <v>3775</v>
      </c>
      <c r="D595" s="110" t="s">
        <v>82</v>
      </c>
      <c r="E595" s="110" t="s">
        <v>3776</v>
      </c>
      <c r="F595" s="111" t="s">
        <v>3777</v>
      </c>
    </row>
    <row r="596" spans="1:6">
      <c r="A596" s="109" t="s">
        <v>3778</v>
      </c>
      <c r="B596" s="110" t="s">
        <v>3779</v>
      </c>
      <c r="C596" s="110" t="s">
        <v>3780</v>
      </c>
      <c r="D596" s="110" t="s">
        <v>81</v>
      </c>
      <c r="E596" s="110" t="s">
        <v>3781</v>
      </c>
      <c r="F596" s="111" t="s">
        <v>3782</v>
      </c>
    </row>
    <row r="597" spans="1:6">
      <c r="A597" s="109" t="s">
        <v>3783</v>
      </c>
      <c r="B597" s="110" t="s">
        <v>3784</v>
      </c>
      <c r="C597" s="110" t="s">
        <v>3785</v>
      </c>
      <c r="D597" s="110" t="s">
        <v>81</v>
      </c>
      <c r="E597" s="110" t="s">
        <v>3786</v>
      </c>
      <c r="F597" s="111" t="s">
        <v>3787</v>
      </c>
    </row>
    <row r="598" spans="1:6">
      <c r="A598" s="109" t="s">
        <v>3788</v>
      </c>
      <c r="B598" s="110" t="s">
        <v>3789</v>
      </c>
      <c r="C598" s="110" t="s">
        <v>3790</v>
      </c>
      <c r="D598" s="110" t="s">
        <v>81</v>
      </c>
      <c r="E598" s="110" t="s">
        <v>3791</v>
      </c>
      <c r="F598" s="111" t="s">
        <v>3792</v>
      </c>
    </row>
    <row r="599" spans="1:6">
      <c r="A599" s="109" t="s">
        <v>3793</v>
      </c>
      <c r="B599" s="110" t="s">
        <v>3794</v>
      </c>
      <c r="C599" s="110" t="s">
        <v>3795</v>
      </c>
      <c r="D599" s="110" t="s">
        <v>81</v>
      </c>
      <c r="E599" s="110" t="s">
        <v>3796</v>
      </c>
      <c r="F599" s="111" t="s">
        <v>3797</v>
      </c>
    </row>
    <row r="600" spans="1:6">
      <c r="A600" s="109" t="s">
        <v>3798</v>
      </c>
      <c r="B600" s="110" t="s">
        <v>3799</v>
      </c>
      <c r="C600" s="110" t="s">
        <v>3800</v>
      </c>
      <c r="D600" s="110" t="s">
        <v>82</v>
      </c>
      <c r="E600" s="110" t="s">
        <v>3801</v>
      </c>
      <c r="F600" s="111" t="s">
        <v>3802</v>
      </c>
    </row>
    <row r="601" spans="1:6">
      <c r="A601" s="109" t="s">
        <v>3803</v>
      </c>
      <c r="B601" s="110" t="s">
        <v>3804</v>
      </c>
      <c r="C601" s="110" t="s">
        <v>3805</v>
      </c>
      <c r="D601" s="110" t="s">
        <v>81</v>
      </c>
      <c r="E601" s="110" t="s">
        <v>3806</v>
      </c>
      <c r="F601" s="111" t="s">
        <v>3807</v>
      </c>
    </row>
    <row r="602" spans="1:6">
      <c r="A602" s="109" t="s">
        <v>3808</v>
      </c>
      <c r="B602" s="110" t="s">
        <v>3809</v>
      </c>
      <c r="C602" s="110" t="s">
        <v>3810</v>
      </c>
      <c r="D602" s="110" t="s">
        <v>81</v>
      </c>
      <c r="E602" s="110" t="s">
        <v>3811</v>
      </c>
      <c r="F602" s="111" t="s">
        <v>3812</v>
      </c>
    </row>
    <row r="603" spans="1:6">
      <c r="A603" s="109" t="s">
        <v>3813</v>
      </c>
      <c r="B603" s="110" t="s">
        <v>3814</v>
      </c>
      <c r="C603" s="110" t="s">
        <v>3815</v>
      </c>
      <c r="D603" s="110" t="s">
        <v>82</v>
      </c>
      <c r="E603" s="110" t="s">
        <v>3816</v>
      </c>
      <c r="F603" s="111" t="s">
        <v>3817</v>
      </c>
    </row>
    <row r="604" spans="1:6">
      <c r="A604" s="109" t="s">
        <v>3818</v>
      </c>
      <c r="B604" s="110" t="s">
        <v>3819</v>
      </c>
      <c r="C604" s="110" t="s">
        <v>3820</v>
      </c>
      <c r="D604" s="110" t="s">
        <v>81</v>
      </c>
      <c r="E604" s="110" t="s">
        <v>3821</v>
      </c>
      <c r="F604" s="111" t="s">
        <v>3822</v>
      </c>
    </row>
    <row r="605" spans="1:6">
      <c r="A605" s="109" t="s">
        <v>3823</v>
      </c>
      <c r="B605" s="110" t="s">
        <v>3824</v>
      </c>
      <c r="C605" s="110" t="s">
        <v>3825</v>
      </c>
      <c r="D605" s="110" t="s">
        <v>81</v>
      </c>
      <c r="E605" s="110" t="s">
        <v>3826</v>
      </c>
      <c r="F605" s="111" t="s">
        <v>3827</v>
      </c>
    </row>
    <row r="606" spans="1:6">
      <c r="A606" s="109" t="s">
        <v>3828</v>
      </c>
      <c r="B606" s="110" t="s">
        <v>3829</v>
      </c>
      <c r="C606" s="110" t="s">
        <v>3830</v>
      </c>
      <c r="D606" s="110" t="s">
        <v>82</v>
      </c>
      <c r="E606" s="110" t="s">
        <v>3831</v>
      </c>
      <c r="F606" s="111" t="s">
        <v>3832</v>
      </c>
    </row>
    <row r="607" spans="1:6">
      <c r="A607" s="109" t="s">
        <v>3833</v>
      </c>
      <c r="B607" s="110" t="s">
        <v>3834</v>
      </c>
      <c r="C607" s="110" t="s">
        <v>3835</v>
      </c>
      <c r="D607" s="110" t="s">
        <v>81</v>
      </c>
      <c r="E607" s="110" t="s">
        <v>3836</v>
      </c>
      <c r="F607" s="111" t="s">
        <v>3837</v>
      </c>
    </row>
    <row r="608" spans="1:6">
      <c r="A608" s="109" t="s">
        <v>3838</v>
      </c>
      <c r="B608" s="110" t="s">
        <v>3839</v>
      </c>
      <c r="C608" s="110" t="s">
        <v>3840</v>
      </c>
      <c r="D608" s="110" t="s">
        <v>81</v>
      </c>
      <c r="E608" s="110" t="s">
        <v>3841</v>
      </c>
      <c r="F608" s="111" t="s">
        <v>3842</v>
      </c>
    </row>
    <row r="609" spans="1:6">
      <c r="A609" s="109" t="s">
        <v>3843</v>
      </c>
      <c r="B609" s="110" t="s">
        <v>3844</v>
      </c>
      <c r="C609" s="110" t="s">
        <v>3845</v>
      </c>
      <c r="D609" s="110" t="s">
        <v>81</v>
      </c>
      <c r="E609" s="110" t="s">
        <v>3846</v>
      </c>
      <c r="F609" s="111" t="s">
        <v>3847</v>
      </c>
    </row>
    <row r="610" spans="1:6">
      <c r="A610" s="109" t="s">
        <v>3848</v>
      </c>
      <c r="B610" s="110" t="s">
        <v>3849</v>
      </c>
      <c r="C610" s="110" t="s">
        <v>3850</v>
      </c>
      <c r="D610" s="110" t="s">
        <v>81</v>
      </c>
      <c r="E610" s="110" t="s">
        <v>3851</v>
      </c>
      <c r="F610" s="111" t="s">
        <v>3852</v>
      </c>
    </row>
    <row r="611" spans="1:6">
      <c r="A611" s="109" t="s">
        <v>3853</v>
      </c>
      <c r="B611" s="110" t="s">
        <v>3854</v>
      </c>
      <c r="C611" s="110" t="s">
        <v>3855</v>
      </c>
      <c r="D611" s="110" t="s">
        <v>82</v>
      </c>
      <c r="E611" s="110" t="s">
        <v>3856</v>
      </c>
      <c r="F611" s="111" t="s">
        <v>3857</v>
      </c>
    </row>
    <row r="612" spans="1:6">
      <c r="A612" s="109" t="s">
        <v>3858</v>
      </c>
      <c r="B612" s="110" t="s">
        <v>3859</v>
      </c>
      <c r="C612" s="110" t="s">
        <v>3860</v>
      </c>
      <c r="D612" s="110" t="s">
        <v>81</v>
      </c>
      <c r="E612" s="110" t="s">
        <v>3861</v>
      </c>
      <c r="F612" s="111" t="s">
        <v>3862</v>
      </c>
    </row>
    <row r="613" spans="1:6">
      <c r="A613" s="109" t="s">
        <v>3863</v>
      </c>
      <c r="B613" s="110" t="s">
        <v>3864</v>
      </c>
      <c r="C613" s="110" t="s">
        <v>3865</v>
      </c>
      <c r="D613" s="110" t="s">
        <v>81</v>
      </c>
      <c r="E613" s="110" t="s">
        <v>3866</v>
      </c>
      <c r="F613" s="111" t="s">
        <v>3867</v>
      </c>
    </row>
    <row r="614" spans="1:6">
      <c r="A614" s="109" t="s">
        <v>3868</v>
      </c>
      <c r="B614" s="110" t="s">
        <v>3869</v>
      </c>
      <c r="C614" s="110" t="s">
        <v>3870</v>
      </c>
      <c r="D614" s="110" t="s">
        <v>82</v>
      </c>
      <c r="E614" s="110" t="s">
        <v>3871</v>
      </c>
      <c r="F614" s="111" t="s">
        <v>3872</v>
      </c>
    </row>
    <row r="615" spans="1:6">
      <c r="A615" s="109" t="s">
        <v>3873</v>
      </c>
      <c r="B615" s="110" t="s">
        <v>3874</v>
      </c>
      <c r="C615" s="110" t="s">
        <v>3875</v>
      </c>
      <c r="D615" s="110" t="s">
        <v>81</v>
      </c>
      <c r="E615" s="110" t="s">
        <v>3876</v>
      </c>
      <c r="F615" s="111" t="s">
        <v>3877</v>
      </c>
    </row>
    <row r="616" spans="1:6">
      <c r="A616" s="109" t="s">
        <v>3878</v>
      </c>
      <c r="B616" s="110" t="s">
        <v>3879</v>
      </c>
      <c r="C616" s="110" t="s">
        <v>3880</v>
      </c>
      <c r="D616" s="110" t="s">
        <v>82</v>
      </c>
      <c r="E616" s="110" t="s">
        <v>3881</v>
      </c>
      <c r="F616" s="111" t="s">
        <v>3882</v>
      </c>
    </row>
    <row r="617" spans="1:6">
      <c r="A617" s="109" t="s">
        <v>3883</v>
      </c>
      <c r="B617" s="110" t="s">
        <v>3884</v>
      </c>
      <c r="C617" s="110" t="s">
        <v>3885</v>
      </c>
      <c r="D617" s="110" t="s">
        <v>81</v>
      </c>
      <c r="E617" s="110" t="s">
        <v>3886</v>
      </c>
      <c r="F617" s="111" t="s">
        <v>3887</v>
      </c>
    </row>
    <row r="618" spans="1:6">
      <c r="A618" s="109" t="s">
        <v>3888</v>
      </c>
      <c r="B618" s="110" t="s">
        <v>3889</v>
      </c>
      <c r="C618" s="110" t="s">
        <v>3890</v>
      </c>
      <c r="D618" s="110" t="s">
        <v>81</v>
      </c>
      <c r="E618" s="110" t="s">
        <v>3891</v>
      </c>
      <c r="F618" s="111" t="s">
        <v>3892</v>
      </c>
    </row>
    <row r="619" spans="1:6">
      <c r="A619" s="109" t="s">
        <v>3893</v>
      </c>
      <c r="B619" s="110" t="s">
        <v>3894</v>
      </c>
      <c r="C619" s="110" t="s">
        <v>3895</v>
      </c>
      <c r="D619" s="110" t="s">
        <v>82</v>
      </c>
      <c r="E619" s="110" t="s">
        <v>3896</v>
      </c>
      <c r="F619" s="111" t="s">
        <v>3897</v>
      </c>
    </row>
    <row r="620" spans="1:6">
      <c r="A620" s="109" t="s">
        <v>3898</v>
      </c>
      <c r="B620" s="110" t="s">
        <v>3899</v>
      </c>
      <c r="C620" s="110" t="s">
        <v>3900</v>
      </c>
      <c r="D620" s="110" t="s">
        <v>82</v>
      </c>
      <c r="E620" s="110" t="s">
        <v>3901</v>
      </c>
      <c r="F620" s="111" t="s">
        <v>3902</v>
      </c>
    </row>
    <row r="621" spans="1:6">
      <c r="A621" s="109" t="s">
        <v>3903</v>
      </c>
      <c r="B621" s="110" t="s">
        <v>3904</v>
      </c>
      <c r="C621" s="110" t="s">
        <v>3905</v>
      </c>
      <c r="D621" s="110" t="s">
        <v>81</v>
      </c>
      <c r="E621" s="110" t="s">
        <v>3906</v>
      </c>
      <c r="F621" s="111" t="s">
        <v>3907</v>
      </c>
    </row>
    <row r="622" spans="1:6">
      <c r="A622" s="109" t="s">
        <v>3908</v>
      </c>
      <c r="B622" s="110" t="s">
        <v>3909</v>
      </c>
      <c r="C622" s="110" t="s">
        <v>3910</v>
      </c>
      <c r="D622" s="110" t="s">
        <v>82</v>
      </c>
      <c r="E622" s="110" t="s">
        <v>3911</v>
      </c>
      <c r="F622" s="111" t="s">
        <v>3912</v>
      </c>
    </row>
    <row r="623" spans="1:6">
      <c r="A623" s="109" t="s">
        <v>3913</v>
      </c>
      <c r="B623" s="110" t="s">
        <v>3914</v>
      </c>
      <c r="C623" s="110" t="s">
        <v>3915</v>
      </c>
      <c r="D623" s="110" t="s">
        <v>81</v>
      </c>
      <c r="E623" s="110" t="s">
        <v>3916</v>
      </c>
      <c r="F623" s="111" t="s">
        <v>3917</v>
      </c>
    </row>
    <row r="624" spans="1:6">
      <c r="A624" s="109" t="s">
        <v>3918</v>
      </c>
      <c r="B624" s="110" t="s">
        <v>3919</v>
      </c>
      <c r="C624" s="110" t="s">
        <v>3920</v>
      </c>
      <c r="D624" s="110" t="s">
        <v>81</v>
      </c>
      <c r="E624" s="110" t="s">
        <v>3921</v>
      </c>
      <c r="F624" s="110" t="s">
        <v>3922</v>
      </c>
    </row>
    <row r="625" spans="1:6">
      <c r="A625" s="109" t="s">
        <v>3923</v>
      </c>
      <c r="B625" s="110" t="s">
        <v>3924</v>
      </c>
      <c r="C625" s="110" t="s">
        <v>3925</v>
      </c>
      <c r="D625" s="110" t="s">
        <v>81</v>
      </c>
      <c r="E625" s="110" t="s">
        <v>3926</v>
      </c>
      <c r="F625" s="111" t="s">
        <v>3927</v>
      </c>
    </row>
    <row r="626" spans="1:6">
      <c r="A626" s="109" t="s">
        <v>3928</v>
      </c>
      <c r="B626" s="110" t="s">
        <v>3929</v>
      </c>
      <c r="C626" s="110" t="s">
        <v>3930</v>
      </c>
      <c r="D626" s="110" t="s">
        <v>82</v>
      </c>
      <c r="E626" s="110" t="s">
        <v>3931</v>
      </c>
      <c r="F626" s="111" t="s">
        <v>3932</v>
      </c>
    </row>
    <row r="627" spans="1:6">
      <c r="A627" s="109" t="s">
        <v>3933</v>
      </c>
      <c r="B627" s="110" t="s">
        <v>3934</v>
      </c>
      <c r="C627" s="110" t="s">
        <v>3935</v>
      </c>
      <c r="D627" s="110" t="s">
        <v>82</v>
      </c>
      <c r="E627" s="110" t="s">
        <v>3936</v>
      </c>
      <c r="F627" s="111" t="s">
        <v>3937</v>
      </c>
    </row>
    <row r="628" spans="1:6">
      <c r="A628" s="109" t="s">
        <v>3938</v>
      </c>
      <c r="B628" s="110" t="s">
        <v>3939</v>
      </c>
      <c r="C628" s="110" t="s">
        <v>3940</v>
      </c>
      <c r="D628" s="110" t="s">
        <v>81</v>
      </c>
      <c r="E628" s="110" t="s">
        <v>3941</v>
      </c>
      <c r="F628" s="110" t="s">
        <v>3942</v>
      </c>
    </row>
    <row r="629" spans="1:6">
      <c r="A629" s="109" t="s">
        <v>3943</v>
      </c>
      <c r="B629" s="110" t="s">
        <v>3944</v>
      </c>
      <c r="C629" s="110" t="s">
        <v>3945</v>
      </c>
      <c r="D629" s="110" t="s">
        <v>82</v>
      </c>
      <c r="E629" s="110" t="s">
        <v>3946</v>
      </c>
      <c r="F629" s="111" t="s">
        <v>3947</v>
      </c>
    </row>
    <row r="630" spans="1:6">
      <c r="A630" s="109" t="s">
        <v>3948</v>
      </c>
      <c r="B630" s="110" t="s">
        <v>3949</v>
      </c>
      <c r="C630" s="110" t="s">
        <v>3950</v>
      </c>
      <c r="D630" s="110" t="s">
        <v>82</v>
      </c>
      <c r="E630" s="110" t="s">
        <v>3951</v>
      </c>
      <c r="F630" s="111" t="s">
        <v>3952</v>
      </c>
    </row>
    <row r="631" spans="1:6">
      <c r="A631" s="109" t="s">
        <v>3953</v>
      </c>
      <c r="B631" s="110" t="s">
        <v>3954</v>
      </c>
      <c r="C631" s="110" t="s">
        <v>3955</v>
      </c>
      <c r="D631" s="110" t="s">
        <v>82</v>
      </c>
      <c r="E631" s="110" t="s">
        <v>3956</v>
      </c>
      <c r="F631" s="111" t="s">
        <v>3957</v>
      </c>
    </row>
    <row r="632" spans="1:6">
      <c r="A632" s="109" t="s">
        <v>3958</v>
      </c>
      <c r="B632" s="110" t="s">
        <v>3959</v>
      </c>
      <c r="C632" s="110" t="s">
        <v>3960</v>
      </c>
      <c r="D632" s="110" t="s">
        <v>81</v>
      </c>
      <c r="E632" s="110" t="s">
        <v>3961</v>
      </c>
      <c r="F632" s="111" t="s">
        <v>3962</v>
      </c>
    </row>
    <row r="633" spans="1:6">
      <c r="A633" s="109" t="s">
        <v>3963</v>
      </c>
      <c r="B633" s="110" t="s">
        <v>3964</v>
      </c>
      <c r="C633" s="110" t="s">
        <v>3965</v>
      </c>
      <c r="D633" s="110" t="s">
        <v>82</v>
      </c>
      <c r="E633" s="110" t="s">
        <v>3966</v>
      </c>
      <c r="F633" s="111" t="s">
        <v>3967</v>
      </c>
    </row>
    <row r="634" spans="1:6">
      <c r="A634" s="109" t="s">
        <v>3968</v>
      </c>
      <c r="B634" s="110" t="s">
        <v>3969</v>
      </c>
      <c r="C634" s="110" t="s">
        <v>3970</v>
      </c>
      <c r="D634" s="110" t="s">
        <v>81</v>
      </c>
      <c r="E634" s="110" t="s">
        <v>3971</v>
      </c>
      <c r="F634" s="111" t="s">
        <v>3972</v>
      </c>
    </row>
    <row r="635" spans="1:6">
      <c r="A635" s="109" t="s">
        <v>3973</v>
      </c>
      <c r="B635" s="110" t="s">
        <v>3974</v>
      </c>
      <c r="C635" s="110" t="s">
        <v>3975</v>
      </c>
      <c r="D635" s="110" t="s">
        <v>81</v>
      </c>
      <c r="E635" s="110" t="s">
        <v>3976</v>
      </c>
      <c r="F635" s="111" t="s">
        <v>3977</v>
      </c>
    </row>
    <row r="636" spans="1:6">
      <c r="A636" s="109" t="s">
        <v>3978</v>
      </c>
      <c r="B636" s="110" t="s">
        <v>3979</v>
      </c>
      <c r="C636" s="110" t="s">
        <v>3980</v>
      </c>
      <c r="D636" s="110" t="s">
        <v>81</v>
      </c>
      <c r="E636" s="110" t="s">
        <v>3981</v>
      </c>
      <c r="F636" s="111" t="s">
        <v>3982</v>
      </c>
    </row>
    <row r="637" spans="1:6">
      <c r="A637" s="109" t="s">
        <v>3983</v>
      </c>
      <c r="B637" s="110" t="s">
        <v>3984</v>
      </c>
      <c r="C637" s="110" t="s">
        <v>3985</v>
      </c>
      <c r="D637" s="110" t="s">
        <v>81</v>
      </c>
      <c r="E637" s="110" t="s">
        <v>3986</v>
      </c>
      <c r="F637" s="111" t="s">
        <v>3987</v>
      </c>
    </row>
    <row r="638" spans="1:6">
      <c r="A638" s="109" t="s">
        <v>3988</v>
      </c>
      <c r="B638" s="110" t="s">
        <v>3989</v>
      </c>
      <c r="C638" s="110" t="s">
        <v>3990</v>
      </c>
      <c r="D638" s="110" t="s">
        <v>81</v>
      </c>
      <c r="E638" s="110" t="s">
        <v>3991</v>
      </c>
      <c r="F638" s="111" t="s">
        <v>3992</v>
      </c>
    </row>
    <row r="639" spans="1:6">
      <c r="A639" s="109" t="s">
        <v>3993</v>
      </c>
      <c r="B639" s="110" t="s">
        <v>3994</v>
      </c>
      <c r="C639" s="110" t="s">
        <v>3995</v>
      </c>
      <c r="D639" s="110" t="s">
        <v>82</v>
      </c>
      <c r="E639" s="110" t="s">
        <v>3996</v>
      </c>
      <c r="F639" s="111" t="s">
        <v>3997</v>
      </c>
    </row>
    <row r="640" spans="1:6">
      <c r="A640" s="109" t="s">
        <v>3998</v>
      </c>
      <c r="B640" s="110" t="s">
        <v>3999</v>
      </c>
      <c r="C640" s="110" t="s">
        <v>4000</v>
      </c>
      <c r="D640" s="110" t="s">
        <v>82</v>
      </c>
      <c r="E640" s="110" t="s">
        <v>4001</v>
      </c>
      <c r="F640" s="111" t="s">
        <v>4002</v>
      </c>
    </row>
    <row r="641" spans="1:6">
      <c r="A641" s="109" t="s">
        <v>4003</v>
      </c>
      <c r="B641" s="110" t="s">
        <v>4004</v>
      </c>
      <c r="C641" s="110" t="s">
        <v>4005</v>
      </c>
      <c r="D641" s="110" t="s">
        <v>82</v>
      </c>
      <c r="E641" s="110" t="s">
        <v>4006</v>
      </c>
      <c r="F641" s="111" t="s">
        <v>4007</v>
      </c>
    </row>
    <row r="642" spans="1:6">
      <c r="A642" s="109" t="s">
        <v>4008</v>
      </c>
      <c r="B642" s="110" t="s">
        <v>4009</v>
      </c>
      <c r="C642" s="110" t="s">
        <v>4010</v>
      </c>
      <c r="D642" s="110" t="s">
        <v>81</v>
      </c>
      <c r="E642" s="110" t="s">
        <v>4011</v>
      </c>
      <c r="F642" s="111" t="s">
        <v>4012</v>
      </c>
    </row>
    <row r="643" spans="1:6">
      <c r="A643" s="109" t="s">
        <v>4013</v>
      </c>
      <c r="B643" s="110" t="s">
        <v>4014</v>
      </c>
      <c r="C643" s="110" t="s">
        <v>4015</v>
      </c>
      <c r="D643" s="110" t="s">
        <v>81</v>
      </c>
      <c r="E643" s="110" t="s">
        <v>4016</v>
      </c>
      <c r="F643" s="111" t="s">
        <v>4017</v>
      </c>
    </row>
    <row r="644" spans="1:6">
      <c r="A644" s="109" t="s">
        <v>4018</v>
      </c>
      <c r="B644" s="110" t="s">
        <v>4019</v>
      </c>
      <c r="C644" s="110" t="s">
        <v>4020</v>
      </c>
      <c r="D644" s="110" t="s">
        <v>82</v>
      </c>
      <c r="E644" s="110" t="s">
        <v>4021</v>
      </c>
      <c r="F644" s="111" t="s">
        <v>4022</v>
      </c>
    </row>
    <row r="645" spans="1:6">
      <c r="A645" s="109" t="s">
        <v>4023</v>
      </c>
      <c r="B645" s="110" t="s">
        <v>4024</v>
      </c>
      <c r="C645" s="110" t="s">
        <v>4025</v>
      </c>
      <c r="D645" s="110" t="s">
        <v>81</v>
      </c>
      <c r="E645" s="110" t="s">
        <v>4026</v>
      </c>
      <c r="F645" s="111" t="s">
        <v>4027</v>
      </c>
    </row>
    <row r="646" spans="1:6">
      <c r="A646" s="109" t="s">
        <v>4028</v>
      </c>
      <c r="B646" s="110" t="s">
        <v>4029</v>
      </c>
      <c r="C646" s="110" t="s">
        <v>4030</v>
      </c>
      <c r="D646" s="110" t="s">
        <v>81</v>
      </c>
      <c r="E646" s="110" t="s">
        <v>4031</v>
      </c>
      <c r="F646" s="111" t="s">
        <v>4032</v>
      </c>
    </row>
    <row r="647" spans="1:6">
      <c r="A647" s="109" t="s">
        <v>4033</v>
      </c>
      <c r="B647" s="110" t="s">
        <v>4034</v>
      </c>
      <c r="C647" s="110" t="s">
        <v>4035</v>
      </c>
      <c r="D647" s="110" t="s">
        <v>82</v>
      </c>
      <c r="E647" s="110" t="s">
        <v>4036</v>
      </c>
      <c r="F647" s="111" t="s">
        <v>4037</v>
      </c>
    </row>
    <row r="648" spans="1:6">
      <c r="A648" s="109" t="s">
        <v>4038</v>
      </c>
      <c r="B648" s="110" t="s">
        <v>4039</v>
      </c>
      <c r="C648" s="110" t="s">
        <v>4040</v>
      </c>
      <c r="D648" s="110" t="s">
        <v>82</v>
      </c>
      <c r="E648" s="110" t="s">
        <v>4041</v>
      </c>
      <c r="F648" s="111" t="s">
        <v>4042</v>
      </c>
    </row>
    <row r="649" spans="1:6">
      <c r="A649" s="109" t="s">
        <v>4043</v>
      </c>
      <c r="B649" s="110" t="s">
        <v>4044</v>
      </c>
      <c r="C649" s="110" t="s">
        <v>4045</v>
      </c>
      <c r="D649" s="110" t="s">
        <v>82</v>
      </c>
      <c r="E649" s="110" t="s">
        <v>4046</v>
      </c>
      <c r="F649" s="111" t="s">
        <v>4047</v>
      </c>
    </row>
    <row r="650" spans="1:6">
      <c r="A650" s="109" t="s">
        <v>4048</v>
      </c>
      <c r="B650" s="110" t="s">
        <v>4049</v>
      </c>
      <c r="C650" s="110" t="s">
        <v>4050</v>
      </c>
      <c r="D650" s="110" t="s">
        <v>82</v>
      </c>
      <c r="E650" s="110" t="s">
        <v>4051</v>
      </c>
      <c r="F650" s="111" t="s">
        <v>4052</v>
      </c>
    </row>
    <row r="651" spans="1:6">
      <c r="A651" s="109" t="s">
        <v>4053</v>
      </c>
      <c r="B651" s="110" t="s">
        <v>4054</v>
      </c>
      <c r="C651" s="110" t="s">
        <v>4055</v>
      </c>
      <c r="D651" s="110" t="s">
        <v>81</v>
      </c>
      <c r="E651" s="110" t="s">
        <v>4056</v>
      </c>
      <c r="F651" s="111" t="s">
        <v>4057</v>
      </c>
    </row>
    <row r="652" spans="1:6">
      <c r="A652" s="109" t="s">
        <v>4058</v>
      </c>
      <c r="B652" s="110" t="s">
        <v>4059</v>
      </c>
      <c r="C652" s="110" t="s">
        <v>4060</v>
      </c>
      <c r="D652" s="110" t="s">
        <v>81</v>
      </c>
      <c r="E652" s="110" t="s">
        <v>4061</v>
      </c>
      <c r="F652" s="111" t="s">
        <v>4062</v>
      </c>
    </row>
    <row r="653" spans="1:6">
      <c r="A653" s="109" t="s">
        <v>4063</v>
      </c>
      <c r="B653" s="110" t="s">
        <v>4064</v>
      </c>
      <c r="C653" s="110" t="s">
        <v>4065</v>
      </c>
      <c r="D653" s="110" t="s">
        <v>81</v>
      </c>
      <c r="E653" s="110" t="s">
        <v>4066</v>
      </c>
      <c r="F653" s="111" t="s">
        <v>4067</v>
      </c>
    </row>
    <row r="654" spans="1:6">
      <c r="A654" s="109" t="s">
        <v>4068</v>
      </c>
      <c r="B654" s="110" t="s">
        <v>4069</v>
      </c>
      <c r="C654" s="110" t="s">
        <v>4070</v>
      </c>
      <c r="D654" s="110" t="s">
        <v>81</v>
      </c>
      <c r="E654" s="110" t="s">
        <v>4071</v>
      </c>
      <c r="F654" s="111" t="s">
        <v>4072</v>
      </c>
    </row>
    <row r="655" spans="1:6">
      <c r="A655" s="109" t="s">
        <v>4073</v>
      </c>
      <c r="B655" s="110" t="s">
        <v>4074</v>
      </c>
      <c r="C655" s="110" t="s">
        <v>4075</v>
      </c>
      <c r="D655" s="110" t="s">
        <v>82</v>
      </c>
      <c r="E655" s="110" t="s">
        <v>4076</v>
      </c>
      <c r="F655" s="111" t="s">
        <v>4077</v>
      </c>
    </row>
    <row r="656" spans="1:6">
      <c r="A656" s="109" t="s">
        <v>4078</v>
      </c>
      <c r="B656" s="110" t="s">
        <v>4079</v>
      </c>
      <c r="C656" s="110" t="s">
        <v>4080</v>
      </c>
      <c r="D656" s="110" t="s">
        <v>81</v>
      </c>
      <c r="E656" s="110" t="s">
        <v>4081</v>
      </c>
      <c r="F656" s="111" t="s">
        <v>4082</v>
      </c>
    </row>
    <row r="657" spans="1:6">
      <c r="A657" s="109" t="s">
        <v>4083</v>
      </c>
      <c r="B657" s="110" t="s">
        <v>4084</v>
      </c>
      <c r="C657" s="110" t="s">
        <v>4085</v>
      </c>
      <c r="D657" s="110" t="s">
        <v>82</v>
      </c>
      <c r="E657" s="110" t="s">
        <v>4086</v>
      </c>
      <c r="F657" s="111" t="s">
        <v>4087</v>
      </c>
    </row>
    <row r="658" spans="1:6">
      <c r="A658" s="109" t="s">
        <v>4088</v>
      </c>
      <c r="B658" s="110" t="s">
        <v>4089</v>
      </c>
      <c r="C658" s="110" t="s">
        <v>4090</v>
      </c>
      <c r="D658" s="110" t="s">
        <v>82</v>
      </c>
      <c r="E658" s="110" t="s">
        <v>4091</v>
      </c>
      <c r="F658" s="111" t="s">
        <v>4092</v>
      </c>
    </row>
    <row r="659" spans="1:6">
      <c r="A659" s="109" t="s">
        <v>4093</v>
      </c>
      <c r="B659" s="110" t="s">
        <v>4094</v>
      </c>
      <c r="C659" s="110" t="s">
        <v>4095</v>
      </c>
      <c r="D659" s="110" t="s">
        <v>81</v>
      </c>
      <c r="E659" s="110" t="s">
        <v>4096</v>
      </c>
      <c r="F659" s="111" t="s">
        <v>4097</v>
      </c>
    </row>
    <row r="660" spans="1:6">
      <c r="A660" s="109" t="s">
        <v>4098</v>
      </c>
      <c r="B660" s="110" t="s">
        <v>4099</v>
      </c>
      <c r="C660" s="110" t="s">
        <v>4100</v>
      </c>
      <c r="D660" s="110" t="s">
        <v>82</v>
      </c>
      <c r="E660" s="110" t="s">
        <v>4101</v>
      </c>
      <c r="F660" s="111" t="s">
        <v>4102</v>
      </c>
    </row>
    <row r="661" spans="1:6">
      <c r="A661" s="109" t="s">
        <v>4103</v>
      </c>
      <c r="B661" s="110" t="s">
        <v>4104</v>
      </c>
      <c r="C661" s="110" t="s">
        <v>4105</v>
      </c>
      <c r="D661" s="110" t="s">
        <v>81</v>
      </c>
      <c r="E661" s="110" t="s">
        <v>4106</v>
      </c>
      <c r="F661" s="111" t="s">
        <v>4107</v>
      </c>
    </row>
    <row r="662" spans="1:6">
      <c r="A662" s="109" t="s">
        <v>4108</v>
      </c>
      <c r="B662" s="110" t="s">
        <v>4109</v>
      </c>
      <c r="C662" s="110" t="s">
        <v>4110</v>
      </c>
      <c r="D662" s="110" t="s">
        <v>81</v>
      </c>
      <c r="E662" s="110" t="s">
        <v>4111</v>
      </c>
      <c r="F662" s="111" t="s">
        <v>4112</v>
      </c>
    </row>
    <row r="663" spans="1:6">
      <c r="A663" s="109" t="s">
        <v>4113</v>
      </c>
      <c r="B663" s="110" t="s">
        <v>4114</v>
      </c>
      <c r="C663" s="110" t="s">
        <v>4115</v>
      </c>
      <c r="D663" s="110" t="s">
        <v>81</v>
      </c>
      <c r="E663" s="110" t="s">
        <v>4116</v>
      </c>
      <c r="F663" s="111" t="s">
        <v>4117</v>
      </c>
    </row>
    <row r="664" spans="1:6">
      <c r="A664" s="109" t="s">
        <v>4118</v>
      </c>
      <c r="B664" s="110" t="s">
        <v>4119</v>
      </c>
      <c r="C664" s="110" t="s">
        <v>4120</v>
      </c>
      <c r="D664" s="110" t="s">
        <v>82</v>
      </c>
      <c r="E664" s="110" t="s">
        <v>4121</v>
      </c>
      <c r="F664" s="111" t="s">
        <v>4122</v>
      </c>
    </row>
    <row r="665" spans="1:6">
      <c r="A665" s="109" t="s">
        <v>4123</v>
      </c>
      <c r="B665" s="110" t="s">
        <v>4124</v>
      </c>
      <c r="C665" s="110" t="s">
        <v>4125</v>
      </c>
      <c r="D665" s="110" t="s">
        <v>81</v>
      </c>
      <c r="E665" s="110" t="s">
        <v>4126</v>
      </c>
      <c r="F665" s="111" t="s">
        <v>4127</v>
      </c>
    </row>
    <row r="666" spans="1:6">
      <c r="A666" s="109" t="s">
        <v>4128</v>
      </c>
      <c r="B666" s="110" t="s">
        <v>4129</v>
      </c>
      <c r="C666" s="110" t="s">
        <v>4130</v>
      </c>
      <c r="D666" s="110" t="s">
        <v>81</v>
      </c>
      <c r="E666" s="110" t="s">
        <v>4131</v>
      </c>
      <c r="F666" s="111" t="s">
        <v>4132</v>
      </c>
    </row>
    <row r="667" spans="1:6">
      <c r="A667" s="109" t="s">
        <v>4133</v>
      </c>
      <c r="B667" s="110" t="s">
        <v>4134</v>
      </c>
      <c r="C667" s="110" t="s">
        <v>4135</v>
      </c>
      <c r="D667" s="110" t="s">
        <v>82</v>
      </c>
      <c r="E667" s="110" t="s">
        <v>4136</v>
      </c>
      <c r="F667" s="111" t="s">
        <v>4137</v>
      </c>
    </row>
    <row r="668" spans="1:6">
      <c r="A668" s="109" t="s">
        <v>4138</v>
      </c>
      <c r="B668" s="110" t="s">
        <v>4139</v>
      </c>
      <c r="C668" s="110" t="s">
        <v>4140</v>
      </c>
      <c r="D668" s="110" t="s">
        <v>82</v>
      </c>
      <c r="E668" s="110" t="s">
        <v>4141</v>
      </c>
      <c r="F668" s="111" t="s">
        <v>4142</v>
      </c>
    </row>
    <row r="669" spans="1:6">
      <c r="A669" s="109" t="s">
        <v>4143</v>
      </c>
      <c r="B669" s="110" t="s">
        <v>4144</v>
      </c>
      <c r="C669" s="110" t="s">
        <v>4145</v>
      </c>
      <c r="D669" s="110" t="s">
        <v>81</v>
      </c>
      <c r="E669" s="110" t="s">
        <v>4146</v>
      </c>
      <c r="F669" s="111" t="s">
        <v>4147</v>
      </c>
    </row>
    <row r="670" spans="1:6">
      <c r="A670" s="109" t="s">
        <v>4148</v>
      </c>
      <c r="B670" s="110" t="s">
        <v>4149</v>
      </c>
      <c r="C670" s="110" t="s">
        <v>4150</v>
      </c>
      <c r="D670" s="110" t="s">
        <v>82</v>
      </c>
      <c r="E670" s="110" t="s">
        <v>4151</v>
      </c>
      <c r="F670" s="111" t="s">
        <v>4152</v>
      </c>
    </row>
    <row r="671" spans="1:6">
      <c r="A671" s="109" t="s">
        <v>4153</v>
      </c>
      <c r="B671" s="110" t="s">
        <v>4154</v>
      </c>
      <c r="C671" s="110" t="s">
        <v>4155</v>
      </c>
      <c r="D671" s="110" t="s">
        <v>82</v>
      </c>
      <c r="E671" s="110" t="s">
        <v>4156</v>
      </c>
      <c r="F671" s="111" t="s">
        <v>4157</v>
      </c>
    </row>
    <row r="672" spans="1:6">
      <c r="A672" s="109" t="s">
        <v>4158</v>
      </c>
      <c r="B672" s="110" t="s">
        <v>4159</v>
      </c>
      <c r="C672" s="110" t="s">
        <v>4160</v>
      </c>
      <c r="D672" s="110" t="s">
        <v>81</v>
      </c>
      <c r="E672" s="110" t="s">
        <v>4161</v>
      </c>
      <c r="F672" s="111" t="s">
        <v>4162</v>
      </c>
    </row>
    <row r="673" spans="1:6">
      <c r="A673" s="109" t="s">
        <v>4163</v>
      </c>
      <c r="B673" s="110" t="s">
        <v>4164</v>
      </c>
      <c r="C673" s="110" t="s">
        <v>4165</v>
      </c>
      <c r="D673" s="110" t="s">
        <v>81</v>
      </c>
      <c r="E673" s="110" t="s">
        <v>4166</v>
      </c>
      <c r="F673" s="111" t="s">
        <v>4167</v>
      </c>
    </row>
    <row r="674" spans="1:6">
      <c r="A674" s="109" t="s">
        <v>4168</v>
      </c>
      <c r="B674" s="110" t="s">
        <v>4169</v>
      </c>
      <c r="C674" s="110" t="s">
        <v>4170</v>
      </c>
      <c r="D674" s="110" t="s">
        <v>82</v>
      </c>
      <c r="E674" s="110" t="s">
        <v>4171</v>
      </c>
      <c r="F674" s="111" t="s">
        <v>4172</v>
      </c>
    </row>
    <row r="675" spans="1:6">
      <c r="A675" s="109" t="s">
        <v>4173</v>
      </c>
      <c r="B675" s="110" t="s">
        <v>4174</v>
      </c>
      <c r="C675" s="110" t="s">
        <v>4175</v>
      </c>
      <c r="D675" s="110" t="s">
        <v>81</v>
      </c>
      <c r="E675" s="110" t="s">
        <v>4176</v>
      </c>
      <c r="F675" s="111" t="s">
        <v>4177</v>
      </c>
    </row>
    <row r="676" spans="1:6">
      <c r="A676" s="109" t="s">
        <v>4178</v>
      </c>
      <c r="B676" s="110" t="s">
        <v>4179</v>
      </c>
      <c r="C676" s="110" t="s">
        <v>4180</v>
      </c>
      <c r="D676" s="110" t="s">
        <v>82</v>
      </c>
      <c r="E676" s="110" t="s">
        <v>4181</v>
      </c>
      <c r="F676" s="111" t="s">
        <v>4182</v>
      </c>
    </row>
    <row r="677" spans="1:6">
      <c r="A677" s="109" t="s">
        <v>4183</v>
      </c>
      <c r="B677" s="110" t="s">
        <v>4184</v>
      </c>
      <c r="C677" s="110" t="s">
        <v>4185</v>
      </c>
      <c r="D677" s="110" t="s">
        <v>81</v>
      </c>
      <c r="E677" s="110" t="s">
        <v>4186</v>
      </c>
      <c r="F677" s="111" t="s">
        <v>4187</v>
      </c>
    </row>
    <row r="678" spans="1:6">
      <c r="A678" s="109" t="s">
        <v>4188</v>
      </c>
      <c r="B678" s="110" t="s">
        <v>4189</v>
      </c>
      <c r="C678" s="110" t="s">
        <v>4190</v>
      </c>
      <c r="D678" s="110" t="s">
        <v>81</v>
      </c>
      <c r="E678" s="110" t="s">
        <v>4191</v>
      </c>
      <c r="F678" s="111" t="s">
        <v>4192</v>
      </c>
    </row>
    <row r="679" spans="1:6">
      <c r="A679" s="109" t="s">
        <v>4193</v>
      </c>
      <c r="B679" s="110" t="s">
        <v>4194</v>
      </c>
      <c r="C679" s="110" t="s">
        <v>4195</v>
      </c>
      <c r="D679" s="110" t="s">
        <v>82</v>
      </c>
      <c r="E679" s="110" t="s">
        <v>4196</v>
      </c>
      <c r="F679" s="111" t="s">
        <v>4197</v>
      </c>
    </row>
    <row r="680" spans="1:6">
      <c r="A680" s="109" t="s">
        <v>4198</v>
      </c>
      <c r="B680" s="110" t="s">
        <v>4199</v>
      </c>
      <c r="C680" s="110" t="s">
        <v>4200</v>
      </c>
      <c r="D680" s="110" t="s">
        <v>82</v>
      </c>
      <c r="E680" s="110" t="s">
        <v>4201</v>
      </c>
      <c r="F680" s="111" t="s">
        <v>4202</v>
      </c>
    </row>
    <row r="681" spans="1:6">
      <c r="A681" s="109" t="s">
        <v>4203</v>
      </c>
      <c r="B681" s="110" t="s">
        <v>4204</v>
      </c>
      <c r="C681" s="110" t="s">
        <v>4205</v>
      </c>
      <c r="D681" s="110" t="s">
        <v>81</v>
      </c>
      <c r="E681" s="110" t="s">
        <v>4206</v>
      </c>
      <c r="F681" s="111" t="s">
        <v>4207</v>
      </c>
    </row>
    <row r="682" spans="1:6">
      <c r="A682" s="109" t="s">
        <v>4208</v>
      </c>
      <c r="B682" s="110" t="s">
        <v>4209</v>
      </c>
      <c r="C682" s="110" t="s">
        <v>4210</v>
      </c>
      <c r="D682" s="110" t="s">
        <v>82</v>
      </c>
      <c r="E682" s="110" t="s">
        <v>4211</v>
      </c>
      <c r="F682" s="111" t="s">
        <v>4212</v>
      </c>
    </row>
    <row r="683" spans="1:6">
      <c r="A683" s="109" t="s">
        <v>4213</v>
      </c>
      <c r="B683" s="110" t="s">
        <v>4214</v>
      </c>
      <c r="C683" s="110" t="s">
        <v>4215</v>
      </c>
      <c r="D683" s="110" t="s">
        <v>81</v>
      </c>
      <c r="E683" s="110" t="s">
        <v>4216</v>
      </c>
      <c r="F683" s="111" t="s">
        <v>4217</v>
      </c>
    </row>
    <row r="684" spans="1:6">
      <c r="A684" s="109" t="s">
        <v>4218</v>
      </c>
      <c r="B684" s="110" t="s">
        <v>4219</v>
      </c>
      <c r="C684" s="110" t="s">
        <v>4220</v>
      </c>
      <c r="D684" s="110" t="s">
        <v>81</v>
      </c>
      <c r="E684" s="110" t="s">
        <v>4221</v>
      </c>
      <c r="F684" s="111" t="s">
        <v>4222</v>
      </c>
    </row>
    <row r="685" spans="1:6">
      <c r="A685" s="109" t="s">
        <v>4223</v>
      </c>
      <c r="B685" s="110" t="s">
        <v>4224</v>
      </c>
      <c r="C685" s="110" t="s">
        <v>4225</v>
      </c>
      <c r="D685" s="110" t="s">
        <v>81</v>
      </c>
      <c r="E685" s="110" t="s">
        <v>4226</v>
      </c>
      <c r="F685" s="111" t="s">
        <v>4227</v>
      </c>
    </row>
    <row r="686" spans="1:6">
      <c r="A686" s="109" t="s">
        <v>4228</v>
      </c>
      <c r="B686" s="110" t="s">
        <v>4229</v>
      </c>
      <c r="C686" s="110" t="s">
        <v>4230</v>
      </c>
      <c r="D686" s="110" t="s">
        <v>81</v>
      </c>
      <c r="E686" s="110" t="s">
        <v>4231</v>
      </c>
      <c r="F686" s="111" t="s">
        <v>4232</v>
      </c>
    </row>
    <row r="687" spans="1:6">
      <c r="A687" s="109" t="s">
        <v>4233</v>
      </c>
      <c r="B687" s="110" t="s">
        <v>4234</v>
      </c>
      <c r="C687" s="110" t="s">
        <v>4235</v>
      </c>
      <c r="D687" s="110" t="s">
        <v>81</v>
      </c>
      <c r="E687" s="110" t="s">
        <v>4236</v>
      </c>
      <c r="F687" s="111" t="s">
        <v>4237</v>
      </c>
    </row>
    <row r="688" spans="1:6">
      <c r="A688" s="109" t="s">
        <v>4238</v>
      </c>
      <c r="B688" s="110" t="s">
        <v>4239</v>
      </c>
      <c r="C688" s="110" t="s">
        <v>4240</v>
      </c>
      <c r="D688" s="110" t="s">
        <v>82</v>
      </c>
      <c r="E688" s="110" t="s">
        <v>4241</v>
      </c>
      <c r="F688" s="111" t="s">
        <v>4242</v>
      </c>
    </row>
    <row r="689" spans="1:6">
      <c r="A689" s="109" t="s">
        <v>4243</v>
      </c>
      <c r="B689" s="110" t="s">
        <v>4244</v>
      </c>
      <c r="C689" s="110" t="s">
        <v>4245</v>
      </c>
      <c r="D689" s="110" t="s">
        <v>82</v>
      </c>
      <c r="E689" s="110" t="s">
        <v>4246</v>
      </c>
      <c r="F689" s="111" t="s">
        <v>4247</v>
      </c>
    </row>
    <row r="690" spans="1:6">
      <c r="A690" s="109" t="s">
        <v>4248</v>
      </c>
      <c r="B690" s="110" t="s">
        <v>4249</v>
      </c>
      <c r="C690" s="110" t="s">
        <v>4250</v>
      </c>
      <c r="D690" s="110" t="s">
        <v>82</v>
      </c>
      <c r="E690" s="110" t="s">
        <v>4251</v>
      </c>
      <c r="F690" s="111" t="s">
        <v>4252</v>
      </c>
    </row>
    <row r="691" spans="1:6">
      <c r="A691" s="109" t="s">
        <v>4253</v>
      </c>
      <c r="B691" s="110" t="s">
        <v>4254</v>
      </c>
      <c r="C691" s="110" t="s">
        <v>4255</v>
      </c>
      <c r="D691" s="110" t="s">
        <v>82</v>
      </c>
      <c r="E691" s="110" t="s">
        <v>4256</v>
      </c>
      <c r="F691" s="111" t="s">
        <v>4257</v>
      </c>
    </row>
    <row r="692" spans="1:6">
      <c r="A692" s="109" t="s">
        <v>4258</v>
      </c>
      <c r="B692" s="110" t="s">
        <v>4259</v>
      </c>
      <c r="C692" s="110" t="s">
        <v>4260</v>
      </c>
      <c r="D692" s="110" t="s">
        <v>81</v>
      </c>
      <c r="E692" s="110" t="s">
        <v>4261</v>
      </c>
      <c r="F692" s="111" t="s">
        <v>4262</v>
      </c>
    </row>
    <row r="693" spans="1:6">
      <c r="A693" s="109" t="s">
        <v>4263</v>
      </c>
      <c r="B693" s="110" t="s">
        <v>4264</v>
      </c>
      <c r="C693" s="110" t="s">
        <v>4265</v>
      </c>
      <c r="D693" s="110" t="s">
        <v>81</v>
      </c>
      <c r="E693" s="110" t="s">
        <v>4266</v>
      </c>
      <c r="F693" s="111" t="s">
        <v>4267</v>
      </c>
    </row>
    <row r="694" spans="1:6">
      <c r="A694" s="109" t="s">
        <v>4268</v>
      </c>
      <c r="B694" s="110" t="s">
        <v>4269</v>
      </c>
      <c r="C694" s="110" t="s">
        <v>4270</v>
      </c>
      <c r="D694" s="110" t="s">
        <v>81</v>
      </c>
      <c r="E694" s="110" t="s">
        <v>4271</v>
      </c>
      <c r="F694" s="111" t="s">
        <v>4272</v>
      </c>
    </row>
    <row r="695" spans="1:6">
      <c r="A695" s="109" t="s">
        <v>4273</v>
      </c>
      <c r="B695" s="110" t="s">
        <v>4274</v>
      </c>
      <c r="C695" s="110" t="s">
        <v>4275</v>
      </c>
      <c r="D695" s="110" t="s">
        <v>81</v>
      </c>
      <c r="E695" s="110" t="s">
        <v>4276</v>
      </c>
      <c r="F695" s="111" t="s">
        <v>4277</v>
      </c>
    </row>
    <row r="696" spans="1:6">
      <c r="A696" s="109" t="s">
        <v>4278</v>
      </c>
      <c r="B696" s="110" t="s">
        <v>4279</v>
      </c>
      <c r="C696" s="110" t="s">
        <v>4280</v>
      </c>
      <c r="D696" s="110" t="s">
        <v>81</v>
      </c>
      <c r="E696" s="110" t="s">
        <v>4281</v>
      </c>
      <c r="F696" s="111" t="s">
        <v>4282</v>
      </c>
    </row>
    <row r="697" spans="1:6">
      <c r="A697" s="109" t="s">
        <v>4283</v>
      </c>
      <c r="B697" s="110" t="s">
        <v>4284</v>
      </c>
      <c r="C697" s="110" t="s">
        <v>4285</v>
      </c>
      <c r="D697" s="110" t="s">
        <v>81</v>
      </c>
      <c r="E697" s="110" t="s">
        <v>4286</v>
      </c>
      <c r="F697" s="111" t="s">
        <v>4287</v>
      </c>
    </row>
    <row r="698" spans="1:6">
      <c r="A698" s="109" t="s">
        <v>4288</v>
      </c>
      <c r="B698" s="110" t="s">
        <v>4289</v>
      </c>
      <c r="C698" s="110" t="s">
        <v>4290</v>
      </c>
      <c r="D698" s="110" t="s">
        <v>81</v>
      </c>
      <c r="E698" s="110" t="s">
        <v>4291</v>
      </c>
      <c r="F698" s="111" t="s">
        <v>4292</v>
      </c>
    </row>
    <row r="699" spans="1:6">
      <c r="A699" s="109" t="s">
        <v>4293</v>
      </c>
      <c r="B699" s="110" t="s">
        <v>4294</v>
      </c>
      <c r="C699" s="110" t="s">
        <v>4295</v>
      </c>
      <c r="D699" s="110" t="s">
        <v>82</v>
      </c>
      <c r="E699" s="110" t="s">
        <v>4296</v>
      </c>
      <c r="F699" s="111" t="s">
        <v>4297</v>
      </c>
    </row>
    <row r="700" spans="1:6">
      <c r="A700" s="109" t="s">
        <v>4298</v>
      </c>
      <c r="B700" s="110" t="s">
        <v>4299</v>
      </c>
      <c r="C700" s="110" t="s">
        <v>4300</v>
      </c>
      <c r="D700" s="110" t="s">
        <v>82</v>
      </c>
      <c r="E700" s="110" t="s">
        <v>4301</v>
      </c>
      <c r="F700" s="111" t="s">
        <v>4302</v>
      </c>
    </row>
    <row r="701" spans="1:6">
      <c r="A701" s="109" t="s">
        <v>4303</v>
      </c>
      <c r="B701" s="110" t="s">
        <v>4304</v>
      </c>
      <c r="C701" s="110" t="s">
        <v>4305</v>
      </c>
      <c r="D701" s="110" t="s">
        <v>82</v>
      </c>
      <c r="E701" s="110" t="s">
        <v>4306</v>
      </c>
      <c r="F701" s="111" t="s">
        <v>4307</v>
      </c>
    </row>
    <row r="702" spans="1:6">
      <c r="A702" s="109" t="s">
        <v>4308</v>
      </c>
      <c r="B702" s="110" t="s">
        <v>4309</v>
      </c>
      <c r="C702" s="110" t="s">
        <v>4310</v>
      </c>
      <c r="D702" s="110" t="s">
        <v>81</v>
      </c>
      <c r="E702" s="110" t="s">
        <v>4311</v>
      </c>
      <c r="F702" s="111" t="s">
        <v>4312</v>
      </c>
    </row>
    <row r="703" spans="1:6">
      <c r="A703" s="109" t="s">
        <v>4313</v>
      </c>
      <c r="B703" s="110" t="s">
        <v>4314</v>
      </c>
      <c r="C703" s="110" t="s">
        <v>4315</v>
      </c>
      <c r="D703" s="110" t="s">
        <v>81</v>
      </c>
      <c r="E703" s="110" t="s">
        <v>4316</v>
      </c>
      <c r="F703" s="111" t="s">
        <v>4317</v>
      </c>
    </row>
    <row r="704" spans="1:6">
      <c r="A704" s="109" t="s">
        <v>4318</v>
      </c>
      <c r="B704" s="110" t="s">
        <v>4319</v>
      </c>
      <c r="C704" s="110" t="s">
        <v>4320</v>
      </c>
      <c r="D704" s="110" t="s">
        <v>81</v>
      </c>
      <c r="E704" s="110" t="s">
        <v>4321</v>
      </c>
      <c r="F704" s="111" t="s">
        <v>4322</v>
      </c>
    </row>
    <row r="705" spans="1:6">
      <c r="A705" s="109" t="s">
        <v>4323</v>
      </c>
      <c r="B705" s="110" t="s">
        <v>4324</v>
      </c>
      <c r="C705" s="110" t="s">
        <v>4325</v>
      </c>
      <c r="D705" s="110" t="s">
        <v>81</v>
      </c>
      <c r="E705" s="110" t="s">
        <v>4326</v>
      </c>
      <c r="F705" s="111" t="s">
        <v>4327</v>
      </c>
    </row>
    <row r="706" spans="1:6">
      <c r="A706" s="109" t="s">
        <v>4328</v>
      </c>
      <c r="B706" s="110" t="s">
        <v>4329</v>
      </c>
      <c r="C706" s="110" t="s">
        <v>4330</v>
      </c>
      <c r="D706" s="110" t="s">
        <v>81</v>
      </c>
      <c r="E706" s="110" t="s">
        <v>4331</v>
      </c>
      <c r="F706" s="111" t="s">
        <v>4332</v>
      </c>
    </row>
    <row r="707" spans="1:6">
      <c r="A707" s="109" t="s">
        <v>4333</v>
      </c>
      <c r="B707" s="110" t="s">
        <v>4334</v>
      </c>
      <c r="C707" s="110" t="s">
        <v>4335</v>
      </c>
      <c r="D707" s="110" t="s">
        <v>82</v>
      </c>
      <c r="E707" s="110" t="s">
        <v>4336</v>
      </c>
      <c r="F707" s="111" t="s">
        <v>4337</v>
      </c>
    </row>
    <row r="708" spans="1:6">
      <c r="A708" s="109" t="s">
        <v>4338</v>
      </c>
      <c r="B708" s="110" t="s">
        <v>4339</v>
      </c>
      <c r="C708" s="110" t="s">
        <v>4340</v>
      </c>
      <c r="D708" s="110" t="s">
        <v>81</v>
      </c>
      <c r="E708" s="110" t="s">
        <v>4341</v>
      </c>
      <c r="F708" s="111" t="s">
        <v>4342</v>
      </c>
    </row>
    <row r="709" spans="1:6">
      <c r="A709" s="109" t="s">
        <v>4343</v>
      </c>
      <c r="B709" s="110" t="s">
        <v>4344</v>
      </c>
      <c r="C709" s="110" t="s">
        <v>4345</v>
      </c>
      <c r="D709" s="110" t="s">
        <v>81</v>
      </c>
      <c r="E709" s="110" t="s">
        <v>4346</v>
      </c>
      <c r="F709" s="111" t="s">
        <v>4347</v>
      </c>
    </row>
    <row r="710" spans="1:6">
      <c r="A710" s="109" t="s">
        <v>4348</v>
      </c>
      <c r="B710" s="110" t="s">
        <v>4349</v>
      </c>
      <c r="C710" s="110" t="s">
        <v>4350</v>
      </c>
      <c r="D710" s="110" t="s">
        <v>82</v>
      </c>
      <c r="E710" s="110" t="s">
        <v>4351</v>
      </c>
      <c r="F710" s="111" t="s">
        <v>4352</v>
      </c>
    </row>
    <row r="711" spans="1:6">
      <c r="A711" s="109" t="s">
        <v>4353</v>
      </c>
      <c r="B711" s="110" t="s">
        <v>4354</v>
      </c>
      <c r="C711" s="110" t="s">
        <v>4355</v>
      </c>
      <c r="D711" s="110" t="s">
        <v>81</v>
      </c>
      <c r="E711" s="110" t="s">
        <v>4356</v>
      </c>
      <c r="F711" s="111" t="s">
        <v>4357</v>
      </c>
    </row>
    <row r="712" spans="1:6">
      <c r="A712" s="109" t="s">
        <v>4358</v>
      </c>
      <c r="B712" s="110" t="s">
        <v>4359</v>
      </c>
      <c r="C712" s="110" t="s">
        <v>4360</v>
      </c>
      <c r="D712" s="110" t="s">
        <v>82</v>
      </c>
      <c r="E712" s="110" t="s">
        <v>4361</v>
      </c>
      <c r="F712" s="111" t="s">
        <v>4362</v>
      </c>
    </row>
    <row r="713" spans="1:6">
      <c r="A713" s="109" t="s">
        <v>4363</v>
      </c>
      <c r="B713" s="110" t="s">
        <v>4364</v>
      </c>
      <c r="C713" s="110" t="s">
        <v>4365</v>
      </c>
      <c r="D713" s="110" t="s">
        <v>81</v>
      </c>
      <c r="E713" s="110" t="s">
        <v>4366</v>
      </c>
      <c r="F713" s="110" t="s">
        <v>4367</v>
      </c>
    </row>
    <row r="714" spans="1:6">
      <c r="A714" s="109" t="s">
        <v>4368</v>
      </c>
      <c r="B714" s="110" t="s">
        <v>4369</v>
      </c>
      <c r="C714" s="110" t="s">
        <v>4370</v>
      </c>
      <c r="D714" s="110" t="s">
        <v>82</v>
      </c>
      <c r="E714" s="110" t="s">
        <v>4371</v>
      </c>
      <c r="F714" s="111" t="s">
        <v>4372</v>
      </c>
    </row>
    <row r="715" spans="1:6">
      <c r="A715" s="109" t="s">
        <v>4373</v>
      </c>
      <c r="B715" s="110" t="s">
        <v>4374</v>
      </c>
      <c r="C715" s="110" t="s">
        <v>4375</v>
      </c>
      <c r="D715" s="110" t="s">
        <v>81</v>
      </c>
      <c r="E715" s="110" t="s">
        <v>4376</v>
      </c>
      <c r="F715" s="111" t="s">
        <v>4377</v>
      </c>
    </row>
    <row r="716" spans="1:6">
      <c r="A716" s="109" t="s">
        <v>4378</v>
      </c>
      <c r="B716" s="110" t="s">
        <v>4379</v>
      </c>
      <c r="C716" s="110" t="s">
        <v>4380</v>
      </c>
      <c r="D716" s="110" t="s">
        <v>81</v>
      </c>
      <c r="E716" s="110" t="s">
        <v>4381</v>
      </c>
      <c r="F716" s="111" t="s">
        <v>4382</v>
      </c>
    </row>
    <row r="717" spans="1:6">
      <c r="A717" s="109" t="s">
        <v>4383</v>
      </c>
      <c r="B717" s="110" t="s">
        <v>4384</v>
      </c>
      <c r="C717" s="110" t="s">
        <v>4385</v>
      </c>
      <c r="D717" s="110" t="s">
        <v>81</v>
      </c>
      <c r="E717" s="110" t="s">
        <v>4386</v>
      </c>
      <c r="F717" s="111" t="s">
        <v>4387</v>
      </c>
    </row>
    <row r="718" spans="1:6">
      <c r="A718" s="109" t="s">
        <v>4388</v>
      </c>
      <c r="B718" s="110" t="s">
        <v>4389</v>
      </c>
      <c r="C718" s="110" t="s">
        <v>4390</v>
      </c>
      <c r="D718" s="110" t="s">
        <v>81</v>
      </c>
      <c r="E718" s="110" t="s">
        <v>4391</v>
      </c>
      <c r="F718" s="111" t="s">
        <v>4392</v>
      </c>
    </row>
    <row r="719" spans="1:6">
      <c r="A719" s="109" t="s">
        <v>4393</v>
      </c>
      <c r="B719" s="110" t="s">
        <v>4394</v>
      </c>
      <c r="C719" s="110" t="s">
        <v>4395</v>
      </c>
      <c r="D719" s="110" t="s">
        <v>82</v>
      </c>
      <c r="E719" s="110" t="s">
        <v>4396</v>
      </c>
      <c r="F719" s="111" t="s">
        <v>4397</v>
      </c>
    </row>
    <row r="720" spans="1:6">
      <c r="A720" s="109" t="s">
        <v>4398</v>
      </c>
      <c r="B720" s="110" t="s">
        <v>4399</v>
      </c>
      <c r="C720" s="110" t="s">
        <v>4400</v>
      </c>
      <c r="D720" s="110" t="s">
        <v>82</v>
      </c>
      <c r="E720" s="110" t="s">
        <v>4401</v>
      </c>
      <c r="F720" s="111" t="s">
        <v>4402</v>
      </c>
    </row>
    <row r="721" spans="1:6">
      <c r="A721" s="109" t="s">
        <v>4403</v>
      </c>
      <c r="B721" s="110" t="s">
        <v>4404</v>
      </c>
      <c r="C721" s="110" t="s">
        <v>4405</v>
      </c>
      <c r="D721" s="110" t="s">
        <v>82</v>
      </c>
      <c r="E721" s="110" t="s">
        <v>4406</v>
      </c>
      <c r="F721" s="111" t="s">
        <v>4407</v>
      </c>
    </row>
    <row r="722" spans="1:6">
      <c r="A722" s="109" t="s">
        <v>4408</v>
      </c>
      <c r="B722" s="110" t="s">
        <v>4409</v>
      </c>
      <c r="C722" s="110" t="s">
        <v>4410</v>
      </c>
      <c r="D722" s="110" t="s">
        <v>81</v>
      </c>
      <c r="E722" s="110" t="s">
        <v>4411</v>
      </c>
      <c r="F722" s="111" t="s">
        <v>4412</v>
      </c>
    </row>
    <row r="723" spans="1:6">
      <c r="A723" s="109" t="s">
        <v>4413</v>
      </c>
      <c r="B723" s="110" t="s">
        <v>4414</v>
      </c>
      <c r="C723" s="110" t="s">
        <v>4415</v>
      </c>
      <c r="D723" s="110" t="s">
        <v>82</v>
      </c>
      <c r="E723" s="110" t="s">
        <v>4416</v>
      </c>
      <c r="F723" s="111" t="s">
        <v>4417</v>
      </c>
    </row>
    <row r="724" spans="1:6">
      <c r="A724" s="109" t="s">
        <v>4418</v>
      </c>
      <c r="B724" s="110" t="s">
        <v>4419</v>
      </c>
      <c r="C724" s="110" t="s">
        <v>4420</v>
      </c>
      <c r="D724" s="110" t="s">
        <v>81</v>
      </c>
      <c r="E724" s="110" t="s">
        <v>4421</v>
      </c>
      <c r="F724" s="111" t="s">
        <v>4422</v>
      </c>
    </row>
    <row r="725" spans="1:6">
      <c r="A725" s="109" t="s">
        <v>4423</v>
      </c>
      <c r="B725" s="110" t="s">
        <v>4424</v>
      </c>
      <c r="C725" s="110" t="s">
        <v>4425</v>
      </c>
      <c r="D725" s="110" t="s">
        <v>81</v>
      </c>
      <c r="E725" s="110" t="s">
        <v>4426</v>
      </c>
      <c r="F725" s="111" t="s">
        <v>4427</v>
      </c>
    </row>
    <row r="726" spans="1:6">
      <c r="A726" s="109" t="s">
        <v>4428</v>
      </c>
      <c r="B726" s="110" t="s">
        <v>4429</v>
      </c>
      <c r="C726" s="110" t="s">
        <v>4430</v>
      </c>
      <c r="D726" s="110" t="s">
        <v>82</v>
      </c>
      <c r="E726" s="110" t="s">
        <v>4431</v>
      </c>
      <c r="F726" s="111" t="s">
        <v>4432</v>
      </c>
    </row>
    <row r="727" spans="1:6">
      <c r="A727" s="109" t="s">
        <v>4433</v>
      </c>
      <c r="B727" s="110" t="s">
        <v>4434</v>
      </c>
      <c r="C727" s="110" t="s">
        <v>4435</v>
      </c>
      <c r="D727" s="110" t="s">
        <v>81</v>
      </c>
      <c r="E727" s="110" t="s">
        <v>4436</v>
      </c>
      <c r="F727" s="111" t="s">
        <v>4437</v>
      </c>
    </row>
    <row r="728" spans="1:6">
      <c r="A728" s="109" t="s">
        <v>4438</v>
      </c>
      <c r="B728" s="110" t="s">
        <v>4439</v>
      </c>
      <c r="C728" s="110" t="s">
        <v>4440</v>
      </c>
      <c r="D728" s="110" t="s">
        <v>81</v>
      </c>
      <c r="E728" s="110" t="s">
        <v>4441</v>
      </c>
      <c r="F728" s="111" t="s">
        <v>4442</v>
      </c>
    </row>
    <row r="729" spans="1:6">
      <c r="A729" s="109" t="s">
        <v>4443</v>
      </c>
      <c r="B729" s="110" t="s">
        <v>4444</v>
      </c>
      <c r="C729" s="110" t="s">
        <v>4445</v>
      </c>
      <c r="D729" s="110" t="s">
        <v>81</v>
      </c>
      <c r="E729" s="110" t="s">
        <v>4446</v>
      </c>
      <c r="F729" s="111" t="s">
        <v>4447</v>
      </c>
    </row>
    <row r="730" spans="1:6">
      <c r="A730" s="109" t="s">
        <v>4448</v>
      </c>
      <c r="B730" s="110" t="s">
        <v>4449</v>
      </c>
      <c r="C730" s="110" t="s">
        <v>4450</v>
      </c>
      <c r="D730" s="110" t="s">
        <v>81</v>
      </c>
      <c r="E730" s="110" t="s">
        <v>4451</v>
      </c>
      <c r="F730" s="111" t="s">
        <v>4452</v>
      </c>
    </row>
    <row r="731" spans="1:6">
      <c r="A731" s="109" t="s">
        <v>4453</v>
      </c>
      <c r="B731" s="110" t="s">
        <v>4454</v>
      </c>
      <c r="C731" s="110" t="s">
        <v>4455</v>
      </c>
      <c r="D731" s="110" t="s">
        <v>81</v>
      </c>
      <c r="E731" s="110" t="s">
        <v>4456</v>
      </c>
      <c r="F731" s="111" t="s">
        <v>4457</v>
      </c>
    </row>
    <row r="732" spans="1:6">
      <c r="A732" s="109" t="s">
        <v>4458</v>
      </c>
      <c r="B732" s="110" t="s">
        <v>4459</v>
      </c>
      <c r="C732" s="110" t="s">
        <v>4460</v>
      </c>
      <c r="D732" s="110" t="s">
        <v>82</v>
      </c>
      <c r="E732" s="110" t="s">
        <v>4461</v>
      </c>
      <c r="F732" s="110" t="s">
        <v>4462</v>
      </c>
    </row>
    <row r="733" spans="1:6">
      <c r="A733" s="109" t="s">
        <v>4463</v>
      </c>
      <c r="B733" s="110" t="s">
        <v>4464</v>
      </c>
      <c r="C733" s="110" t="s">
        <v>4465</v>
      </c>
      <c r="D733" s="110" t="s">
        <v>81</v>
      </c>
      <c r="E733" s="110" t="s">
        <v>4466</v>
      </c>
      <c r="F733" s="111" t="s">
        <v>4467</v>
      </c>
    </row>
    <row r="734" spans="1:6">
      <c r="A734" s="109" t="s">
        <v>4468</v>
      </c>
      <c r="B734" s="110" t="s">
        <v>4469</v>
      </c>
      <c r="C734" s="110" t="s">
        <v>4470</v>
      </c>
      <c r="D734" s="110" t="s">
        <v>81</v>
      </c>
      <c r="E734" s="110" t="s">
        <v>4471</v>
      </c>
      <c r="F734" s="111" t="s">
        <v>4472</v>
      </c>
    </row>
    <row r="735" spans="1:6">
      <c r="A735" s="109" t="s">
        <v>4473</v>
      </c>
      <c r="B735" s="110" t="s">
        <v>4474</v>
      </c>
      <c r="C735" s="110" t="s">
        <v>4475</v>
      </c>
      <c r="D735" s="110" t="s">
        <v>82</v>
      </c>
      <c r="E735" s="110" t="s">
        <v>4476</v>
      </c>
      <c r="F735" s="111" t="s">
        <v>4477</v>
      </c>
    </row>
    <row r="736" spans="1:6">
      <c r="A736" s="109" t="s">
        <v>4478</v>
      </c>
      <c r="B736" s="110" t="s">
        <v>4479</v>
      </c>
      <c r="C736" s="110" t="s">
        <v>4480</v>
      </c>
      <c r="D736" s="110" t="s">
        <v>81</v>
      </c>
      <c r="E736" s="110" t="s">
        <v>4481</v>
      </c>
      <c r="F736" s="111" t="s">
        <v>4482</v>
      </c>
    </row>
    <row r="737" spans="1:6">
      <c r="A737" s="109" t="s">
        <v>4483</v>
      </c>
      <c r="B737" s="110" t="s">
        <v>4484</v>
      </c>
      <c r="C737" s="110" t="s">
        <v>4485</v>
      </c>
      <c r="D737" s="110" t="s">
        <v>81</v>
      </c>
      <c r="E737" s="110" t="s">
        <v>4486</v>
      </c>
      <c r="F737" s="111" t="s">
        <v>4487</v>
      </c>
    </row>
    <row r="738" spans="1:6">
      <c r="A738" s="109" t="s">
        <v>4488</v>
      </c>
      <c r="B738" s="110" t="s">
        <v>4489</v>
      </c>
      <c r="C738" s="110" t="s">
        <v>4490</v>
      </c>
      <c r="D738" s="110" t="s">
        <v>82</v>
      </c>
      <c r="E738" s="110" t="s">
        <v>4491</v>
      </c>
      <c r="F738" s="111" t="s">
        <v>4492</v>
      </c>
    </row>
    <row r="739" spans="1:6">
      <c r="A739" s="109" t="s">
        <v>4493</v>
      </c>
      <c r="B739" s="110" t="s">
        <v>4494</v>
      </c>
      <c r="C739" s="110" t="s">
        <v>4495</v>
      </c>
      <c r="D739" s="110" t="s">
        <v>81</v>
      </c>
      <c r="E739" s="110" t="s">
        <v>4496</v>
      </c>
      <c r="F739" s="111" t="s">
        <v>4497</v>
      </c>
    </row>
    <row r="740" spans="1:6">
      <c r="A740" s="109" t="s">
        <v>4498</v>
      </c>
      <c r="B740" s="110" t="s">
        <v>4499</v>
      </c>
      <c r="C740" s="110" t="s">
        <v>4500</v>
      </c>
      <c r="D740" s="110" t="s">
        <v>81</v>
      </c>
      <c r="E740" s="110" t="s">
        <v>4501</v>
      </c>
      <c r="F740" s="111" t="s">
        <v>4502</v>
      </c>
    </row>
    <row r="741" spans="1:6">
      <c r="A741" s="109" t="s">
        <v>4503</v>
      </c>
      <c r="B741" s="110" t="s">
        <v>4504</v>
      </c>
      <c r="C741" s="110" t="s">
        <v>4505</v>
      </c>
      <c r="D741" s="110" t="s">
        <v>82</v>
      </c>
      <c r="E741" s="110" t="s">
        <v>4506</v>
      </c>
      <c r="F741" s="110" t="s">
        <v>4507</v>
      </c>
    </row>
    <row r="742" spans="1:6">
      <c r="A742" s="109" t="s">
        <v>4508</v>
      </c>
      <c r="B742" s="110" t="s">
        <v>4509</v>
      </c>
      <c r="C742" s="110" t="s">
        <v>4510</v>
      </c>
      <c r="D742" s="110" t="s">
        <v>82</v>
      </c>
      <c r="E742" s="110" t="s">
        <v>4511</v>
      </c>
      <c r="F742" s="111" t="s">
        <v>4512</v>
      </c>
    </row>
    <row r="743" spans="1:6">
      <c r="A743" s="109" t="s">
        <v>4513</v>
      </c>
      <c r="B743" s="110" t="s">
        <v>4514</v>
      </c>
      <c r="C743" s="110" t="s">
        <v>4515</v>
      </c>
      <c r="D743" s="110" t="s">
        <v>82</v>
      </c>
      <c r="E743" s="110" t="s">
        <v>4516</v>
      </c>
      <c r="F743" s="111" t="s">
        <v>4517</v>
      </c>
    </row>
    <row r="744" spans="1:6">
      <c r="A744" s="109" t="s">
        <v>4518</v>
      </c>
      <c r="B744" s="110" t="s">
        <v>4519</v>
      </c>
      <c r="C744" s="110" t="s">
        <v>4520</v>
      </c>
      <c r="D744" s="110" t="s">
        <v>82</v>
      </c>
      <c r="E744" s="110" t="s">
        <v>4521</v>
      </c>
      <c r="F744" s="111" t="s">
        <v>4522</v>
      </c>
    </row>
    <row r="745" spans="1:6">
      <c r="A745" s="109" t="s">
        <v>4523</v>
      </c>
      <c r="B745" s="110" t="s">
        <v>4524</v>
      </c>
      <c r="C745" s="110" t="s">
        <v>4525</v>
      </c>
      <c r="D745" s="110" t="s">
        <v>82</v>
      </c>
      <c r="E745" s="110" t="s">
        <v>4526</v>
      </c>
      <c r="F745" s="111" t="s">
        <v>4527</v>
      </c>
    </row>
    <row r="746" spans="1:6">
      <c r="A746" s="109" t="s">
        <v>4528</v>
      </c>
      <c r="B746" s="110" t="s">
        <v>4529</v>
      </c>
      <c r="C746" s="110" t="s">
        <v>4530</v>
      </c>
      <c r="D746" s="110" t="s">
        <v>81</v>
      </c>
      <c r="E746" s="110" t="s">
        <v>4531</v>
      </c>
      <c r="F746" s="111" t="s">
        <v>4532</v>
      </c>
    </row>
    <row r="747" spans="1:6">
      <c r="A747" s="109" t="s">
        <v>4533</v>
      </c>
      <c r="B747" s="110" t="s">
        <v>4534</v>
      </c>
      <c r="C747" s="110" t="s">
        <v>4535</v>
      </c>
      <c r="D747" s="110" t="s">
        <v>82</v>
      </c>
      <c r="E747" s="110" t="s">
        <v>4536</v>
      </c>
      <c r="F747" s="111" t="s">
        <v>4537</v>
      </c>
    </row>
    <row r="748" spans="1:6">
      <c r="A748" s="109" t="s">
        <v>4538</v>
      </c>
      <c r="B748" s="110" t="s">
        <v>4539</v>
      </c>
      <c r="C748" s="110" t="s">
        <v>4540</v>
      </c>
      <c r="D748" s="110" t="s">
        <v>82</v>
      </c>
      <c r="E748" s="110" t="s">
        <v>4541</v>
      </c>
      <c r="F748" s="111" t="s">
        <v>4542</v>
      </c>
    </row>
    <row r="749" spans="1:6">
      <c r="A749" s="109" t="s">
        <v>4543</v>
      </c>
      <c r="B749" s="110" t="s">
        <v>4544</v>
      </c>
      <c r="C749" s="110" t="s">
        <v>4545</v>
      </c>
      <c r="D749" s="110" t="s">
        <v>81</v>
      </c>
      <c r="E749" s="110" t="s">
        <v>4546</v>
      </c>
      <c r="F749" s="111" t="s">
        <v>4547</v>
      </c>
    </row>
    <row r="750" spans="1:6">
      <c r="A750" s="109" t="s">
        <v>4548</v>
      </c>
      <c r="B750" s="110" t="s">
        <v>4549</v>
      </c>
      <c r="C750" s="110" t="s">
        <v>4550</v>
      </c>
      <c r="D750" s="110" t="s">
        <v>81</v>
      </c>
      <c r="E750" s="110" t="s">
        <v>4551</v>
      </c>
      <c r="F750" s="111" t="s">
        <v>4552</v>
      </c>
    </row>
    <row r="751" spans="1:6">
      <c r="A751" s="109" t="s">
        <v>4553</v>
      </c>
      <c r="B751" s="110" t="s">
        <v>4554</v>
      </c>
      <c r="C751" s="110" t="s">
        <v>4555</v>
      </c>
      <c r="D751" s="110" t="s">
        <v>82</v>
      </c>
      <c r="E751" s="110" t="s">
        <v>4556</v>
      </c>
      <c r="F751" s="110" t="s">
        <v>4557</v>
      </c>
    </row>
    <row r="752" spans="1:6">
      <c r="A752" s="109" t="s">
        <v>4558</v>
      </c>
      <c r="B752" s="110" t="s">
        <v>4559</v>
      </c>
      <c r="C752" s="110" t="s">
        <v>4560</v>
      </c>
      <c r="D752" s="110" t="s">
        <v>81</v>
      </c>
      <c r="E752" s="110" t="s">
        <v>4561</v>
      </c>
      <c r="F752" s="111" t="s">
        <v>4562</v>
      </c>
    </row>
    <row r="753" spans="1:6">
      <c r="A753" s="109" t="s">
        <v>4563</v>
      </c>
      <c r="B753" s="110" t="s">
        <v>4564</v>
      </c>
      <c r="C753" s="110" t="s">
        <v>4565</v>
      </c>
      <c r="D753" s="110" t="s">
        <v>82</v>
      </c>
      <c r="E753" s="110" t="s">
        <v>4566</v>
      </c>
      <c r="F753" s="111" t="s">
        <v>4567</v>
      </c>
    </row>
    <row r="754" spans="1:6">
      <c r="A754" s="109" t="s">
        <v>4568</v>
      </c>
      <c r="B754" s="110" t="s">
        <v>4569</v>
      </c>
      <c r="C754" s="110" t="s">
        <v>4570</v>
      </c>
      <c r="D754" s="110" t="s">
        <v>82</v>
      </c>
      <c r="E754" s="110" t="s">
        <v>4571</v>
      </c>
      <c r="F754" s="110" t="s">
        <v>4572</v>
      </c>
    </row>
    <row r="755" spans="1:6">
      <c r="A755" s="109" t="s">
        <v>4573</v>
      </c>
      <c r="B755" s="110" t="s">
        <v>4574</v>
      </c>
      <c r="C755" s="110" t="s">
        <v>4575</v>
      </c>
      <c r="D755" s="110" t="s">
        <v>81</v>
      </c>
      <c r="E755" s="110" t="s">
        <v>4576</v>
      </c>
      <c r="F755" s="111" t="s">
        <v>4577</v>
      </c>
    </row>
    <row r="756" spans="1:6">
      <c r="A756" s="109" t="s">
        <v>4578</v>
      </c>
      <c r="B756" s="110" t="s">
        <v>4579</v>
      </c>
      <c r="C756" s="110" t="s">
        <v>4580</v>
      </c>
      <c r="D756" s="110" t="s">
        <v>82</v>
      </c>
      <c r="E756" s="110" t="s">
        <v>4581</v>
      </c>
      <c r="F756" s="111" t="s">
        <v>4582</v>
      </c>
    </row>
    <row r="757" spans="1:6">
      <c r="A757" s="109" t="s">
        <v>4583</v>
      </c>
      <c r="B757" s="110" t="s">
        <v>4584</v>
      </c>
      <c r="C757" s="110" t="s">
        <v>4585</v>
      </c>
      <c r="D757" s="110" t="s">
        <v>82</v>
      </c>
      <c r="E757" s="110" t="s">
        <v>4586</v>
      </c>
      <c r="F757" s="111" t="s">
        <v>4587</v>
      </c>
    </row>
    <row r="758" spans="1:6">
      <c r="A758" s="109" t="s">
        <v>4588</v>
      </c>
      <c r="B758" s="110" t="s">
        <v>4589</v>
      </c>
      <c r="C758" s="110" t="s">
        <v>4590</v>
      </c>
      <c r="D758" s="110" t="s">
        <v>82</v>
      </c>
      <c r="E758" s="110" t="s">
        <v>4591</v>
      </c>
      <c r="F758" s="111" t="s">
        <v>4592</v>
      </c>
    </row>
    <row r="759" spans="1:6">
      <c r="A759" s="109" t="s">
        <v>4593</v>
      </c>
      <c r="B759" s="110" t="s">
        <v>4594</v>
      </c>
      <c r="C759" s="110" t="s">
        <v>4595</v>
      </c>
      <c r="D759" s="110" t="s">
        <v>81</v>
      </c>
      <c r="E759" s="110" t="s">
        <v>4596</v>
      </c>
      <c r="F759" s="111" t="s">
        <v>4597</v>
      </c>
    </row>
    <row r="760" spans="1:6">
      <c r="A760" s="109" t="s">
        <v>4598</v>
      </c>
      <c r="B760" s="110" t="s">
        <v>4599</v>
      </c>
      <c r="C760" s="110" t="s">
        <v>4600</v>
      </c>
      <c r="D760" s="110" t="s">
        <v>82</v>
      </c>
      <c r="E760" s="110" t="s">
        <v>4601</v>
      </c>
      <c r="F760" s="111" t="s">
        <v>4602</v>
      </c>
    </row>
    <row r="761" spans="1:6">
      <c r="A761" s="109" t="s">
        <v>4603</v>
      </c>
      <c r="B761" s="110" t="s">
        <v>4604</v>
      </c>
      <c r="C761" s="110" t="s">
        <v>4605</v>
      </c>
      <c r="D761" s="110" t="s">
        <v>81</v>
      </c>
      <c r="E761" s="110" t="s">
        <v>4606</v>
      </c>
      <c r="F761" s="111" t="s">
        <v>4607</v>
      </c>
    </row>
    <row r="762" spans="1:6">
      <c r="A762" s="109" t="s">
        <v>4608</v>
      </c>
      <c r="B762" s="110" t="s">
        <v>4609</v>
      </c>
      <c r="C762" s="110" t="s">
        <v>4610</v>
      </c>
      <c r="D762" s="110" t="s">
        <v>81</v>
      </c>
      <c r="E762" s="110" t="s">
        <v>4611</v>
      </c>
      <c r="F762" s="111" t="s">
        <v>4612</v>
      </c>
    </row>
    <row r="763" spans="1:6">
      <c r="A763" s="109" t="s">
        <v>4613</v>
      </c>
      <c r="B763" s="110" t="s">
        <v>4614</v>
      </c>
      <c r="C763" s="110" t="s">
        <v>4615</v>
      </c>
      <c r="D763" s="110" t="s">
        <v>81</v>
      </c>
      <c r="E763" s="110" t="s">
        <v>4616</v>
      </c>
      <c r="F763" s="111" t="s">
        <v>4617</v>
      </c>
    </row>
    <row r="764" spans="1:6">
      <c r="A764" s="109" t="s">
        <v>4618</v>
      </c>
      <c r="B764" s="110" t="s">
        <v>4619</v>
      </c>
      <c r="C764" s="110" t="s">
        <v>4620</v>
      </c>
      <c r="D764" s="110" t="s">
        <v>81</v>
      </c>
      <c r="E764" s="110" t="s">
        <v>4621</v>
      </c>
      <c r="F764" s="111" t="s">
        <v>4622</v>
      </c>
    </row>
    <row r="765" spans="1:6">
      <c r="A765" s="109" t="s">
        <v>4623</v>
      </c>
      <c r="B765" s="110" t="s">
        <v>4624</v>
      </c>
      <c r="C765" s="110" t="s">
        <v>4625</v>
      </c>
      <c r="D765" s="110" t="s">
        <v>82</v>
      </c>
      <c r="E765" s="110" t="s">
        <v>4626</v>
      </c>
      <c r="F765" s="111" t="s">
        <v>4627</v>
      </c>
    </row>
    <row r="766" spans="1:6">
      <c r="A766" s="109" t="s">
        <v>4628</v>
      </c>
      <c r="B766" s="110" t="s">
        <v>4629</v>
      </c>
      <c r="C766" s="110" t="s">
        <v>4630</v>
      </c>
      <c r="D766" s="110" t="s">
        <v>81</v>
      </c>
      <c r="E766" s="110" t="s">
        <v>4631</v>
      </c>
      <c r="F766" s="111" t="s">
        <v>4632</v>
      </c>
    </row>
    <row r="767" spans="1:6">
      <c r="A767" s="109" t="s">
        <v>4633</v>
      </c>
      <c r="B767" s="110" t="s">
        <v>4634</v>
      </c>
      <c r="C767" s="110" t="s">
        <v>4635</v>
      </c>
      <c r="D767" s="110" t="s">
        <v>82</v>
      </c>
      <c r="E767" s="110" t="s">
        <v>4636</v>
      </c>
      <c r="F767" s="111" t="s">
        <v>4637</v>
      </c>
    </row>
    <row r="768" spans="1:6">
      <c r="A768" s="109" t="s">
        <v>4638</v>
      </c>
      <c r="B768" s="110" t="s">
        <v>4639</v>
      </c>
      <c r="C768" s="110" t="s">
        <v>4640</v>
      </c>
      <c r="D768" s="110" t="s">
        <v>82</v>
      </c>
      <c r="E768" s="110" t="s">
        <v>4641</v>
      </c>
      <c r="F768" s="111" t="s">
        <v>4642</v>
      </c>
    </row>
    <row r="769" spans="1:6">
      <c r="A769" s="109" t="s">
        <v>4643</v>
      </c>
      <c r="B769" s="110" t="s">
        <v>4644</v>
      </c>
      <c r="C769" s="110" t="s">
        <v>4645</v>
      </c>
      <c r="D769" s="110" t="s">
        <v>82</v>
      </c>
      <c r="E769" s="110" t="s">
        <v>4646</v>
      </c>
      <c r="F769" s="111" t="s">
        <v>4647</v>
      </c>
    </row>
    <row r="770" spans="1:6">
      <c r="A770" s="109" t="s">
        <v>4648</v>
      </c>
      <c r="B770" s="110" t="s">
        <v>4649</v>
      </c>
      <c r="C770" s="110" t="s">
        <v>4650</v>
      </c>
      <c r="D770" s="110" t="s">
        <v>81</v>
      </c>
      <c r="E770" s="110" t="s">
        <v>4651</v>
      </c>
      <c r="F770" s="111" t="s">
        <v>4652</v>
      </c>
    </row>
    <row r="771" spans="1:6">
      <c r="A771" s="109" t="s">
        <v>4653</v>
      </c>
      <c r="B771" s="110" t="s">
        <v>4654</v>
      </c>
      <c r="C771" s="110" t="s">
        <v>4655</v>
      </c>
      <c r="D771" s="110" t="s">
        <v>81</v>
      </c>
      <c r="E771" s="110" t="s">
        <v>4656</v>
      </c>
      <c r="F771" s="111" t="s">
        <v>4657</v>
      </c>
    </row>
    <row r="772" spans="1:6">
      <c r="A772" s="109" t="s">
        <v>4658</v>
      </c>
      <c r="B772" s="110" t="s">
        <v>4659</v>
      </c>
      <c r="C772" s="110" t="s">
        <v>4660</v>
      </c>
      <c r="D772" s="110" t="s">
        <v>82</v>
      </c>
      <c r="E772" s="110" t="s">
        <v>4661</v>
      </c>
      <c r="F772" s="111" t="s">
        <v>4662</v>
      </c>
    </row>
    <row r="773" spans="1:6">
      <c r="A773" s="109" t="s">
        <v>4663</v>
      </c>
      <c r="B773" s="110" t="s">
        <v>4664</v>
      </c>
      <c r="C773" s="110" t="s">
        <v>4665</v>
      </c>
      <c r="D773" s="110" t="s">
        <v>81</v>
      </c>
      <c r="E773" s="110" t="s">
        <v>4666</v>
      </c>
      <c r="F773" s="111" t="s">
        <v>4667</v>
      </c>
    </row>
    <row r="774" spans="1:6">
      <c r="A774" s="109" t="s">
        <v>4668</v>
      </c>
      <c r="B774" s="110" t="s">
        <v>4669</v>
      </c>
      <c r="C774" s="110" t="s">
        <v>4670</v>
      </c>
      <c r="D774" s="110" t="s">
        <v>81</v>
      </c>
      <c r="E774" s="110" t="s">
        <v>4671</v>
      </c>
      <c r="F774" s="111" t="s">
        <v>4672</v>
      </c>
    </row>
    <row r="775" spans="1:6">
      <c r="A775" s="109" t="s">
        <v>4673</v>
      </c>
      <c r="B775" s="110" t="s">
        <v>4674</v>
      </c>
      <c r="C775" s="110" t="s">
        <v>4675</v>
      </c>
      <c r="D775" s="110" t="s">
        <v>81</v>
      </c>
      <c r="E775" s="110" t="s">
        <v>4676</v>
      </c>
      <c r="F775" s="111" t="s">
        <v>4677</v>
      </c>
    </row>
    <row r="776" spans="1:6">
      <c r="A776" s="109" t="s">
        <v>4678</v>
      </c>
      <c r="B776" s="110" t="s">
        <v>4679</v>
      </c>
      <c r="C776" s="110" t="s">
        <v>4680</v>
      </c>
      <c r="D776" s="110" t="s">
        <v>81</v>
      </c>
      <c r="E776" s="110" t="s">
        <v>4681</v>
      </c>
      <c r="F776" s="111" t="s">
        <v>4682</v>
      </c>
    </row>
    <row r="777" spans="1:6">
      <c r="A777" s="109" t="s">
        <v>4683</v>
      </c>
      <c r="B777" s="110" t="s">
        <v>4684</v>
      </c>
      <c r="C777" s="110" t="s">
        <v>4685</v>
      </c>
      <c r="D777" s="110" t="s">
        <v>82</v>
      </c>
      <c r="E777" s="110" t="s">
        <v>4686</v>
      </c>
      <c r="F777" s="111" t="s">
        <v>4687</v>
      </c>
    </row>
    <row r="778" spans="1:6">
      <c r="A778" s="109" t="s">
        <v>4688</v>
      </c>
      <c r="B778" s="110" t="s">
        <v>4689</v>
      </c>
      <c r="C778" s="110" t="s">
        <v>4690</v>
      </c>
      <c r="D778" s="110" t="s">
        <v>81</v>
      </c>
      <c r="E778" s="110" t="s">
        <v>4691</v>
      </c>
      <c r="F778" s="111" t="s">
        <v>4692</v>
      </c>
    </row>
    <row r="779" spans="1:6">
      <c r="A779" s="109" t="s">
        <v>4693</v>
      </c>
      <c r="B779" s="110" t="s">
        <v>4694</v>
      </c>
      <c r="C779" s="110" t="s">
        <v>4695</v>
      </c>
      <c r="D779" s="110" t="s">
        <v>81</v>
      </c>
      <c r="E779" s="110" t="s">
        <v>4696</v>
      </c>
      <c r="F779" s="111" t="s">
        <v>4697</v>
      </c>
    </row>
    <row r="780" spans="1:6">
      <c r="A780" s="109" t="s">
        <v>4698</v>
      </c>
      <c r="B780" s="110" t="s">
        <v>4699</v>
      </c>
      <c r="C780" s="110" t="s">
        <v>4700</v>
      </c>
      <c r="D780" s="110" t="s">
        <v>81</v>
      </c>
      <c r="E780" s="110" t="s">
        <v>4701</v>
      </c>
      <c r="F780" s="111" t="s">
        <v>4702</v>
      </c>
    </row>
    <row r="781" spans="1:6">
      <c r="A781" s="109" t="s">
        <v>4703</v>
      </c>
      <c r="B781" s="110" t="s">
        <v>4704</v>
      </c>
      <c r="C781" s="110" t="s">
        <v>4705</v>
      </c>
      <c r="D781" s="110" t="s">
        <v>81</v>
      </c>
      <c r="E781" s="110" t="s">
        <v>4706</v>
      </c>
      <c r="F781" s="111" t="s">
        <v>4707</v>
      </c>
    </row>
    <row r="782" spans="1:6">
      <c r="A782" s="109" t="s">
        <v>4708</v>
      </c>
      <c r="B782" s="110" t="s">
        <v>4709</v>
      </c>
      <c r="C782" s="110" t="s">
        <v>4710</v>
      </c>
      <c r="D782" s="110" t="s">
        <v>81</v>
      </c>
      <c r="E782" s="110" t="s">
        <v>4711</v>
      </c>
      <c r="F782" s="111" t="s">
        <v>4712</v>
      </c>
    </row>
    <row r="783" spans="1:6">
      <c r="A783" s="109" t="s">
        <v>4713</v>
      </c>
      <c r="B783" s="110" t="s">
        <v>4714</v>
      </c>
      <c r="C783" s="110" t="s">
        <v>4715</v>
      </c>
      <c r="D783" s="110" t="s">
        <v>82</v>
      </c>
      <c r="E783" s="110" t="s">
        <v>4716</v>
      </c>
      <c r="F783" s="111" t="s">
        <v>4717</v>
      </c>
    </row>
    <row r="784" spans="1:6">
      <c r="A784" s="109" t="s">
        <v>4718</v>
      </c>
      <c r="B784" s="110" t="s">
        <v>4719</v>
      </c>
      <c r="C784" s="110" t="s">
        <v>4720</v>
      </c>
      <c r="D784" s="110" t="s">
        <v>82</v>
      </c>
      <c r="E784" s="110" t="s">
        <v>4721</v>
      </c>
      <c r="F784" s="111" t="s">
        <v>4722</v>
      </c>
    </row>
    <row r="785" spans="1:6">
      <c r="A785" s="109" t="s">
        <v>4723</v>
      </c>
      <c r="B785" s="110" t="s">
        <v>4724</v>
      </c>
      <c r="C785" s="110" t="s">
        <v>4725</v>
      </c>
      <c r="D785" s="110" t="s">
        <v>81</v>
      </c>
      <c r="E785" s="110" t="s">
        <v>4726</v>
      </c>
      <c r="F785" s="111" t="s">
        <v>4727</v>
      </c>
    </row>
    <row r="786" spans="1:6">
      <c r="A786" s="109" t="s">
        <v>4728</v>
      </c>
      <c r="B786" s="110" t="s">
        <v>4729</v>
      </c>
      <c r="C786" s="110" t="s">
        <v>4730</v>
      </c>
      <c r="D786" s="110" t="s">
        <v>81</v>
      </c>
      <c r="E786" s="110" t="s">
        <v>4731</v>
      </c>
      <c r="F786" s="111" t="s">
        <v>4732</v>
      </c>
    </row>
    <row r="787" spans="1:6">
      <c r="A787" s="109" t="s">
        <v>4733</v>
      </c>
      <c r="B787" s="110" t="s">
        <v>4734</v>
      </c>
      <c r="C787" s="110" t="s">
        <v>4735</v>
      </c>
      <c r="D787" s="110" t="s">
        <v>82</v>
      </c>
      <c r="E787" s="110" t="s">
        <v>4736</v>
      </c>
      <c r="F787" s="111" t="s">
        <v>4737</v>
      </c>
    </row>
    <row r="788" spans="1:6">
      <c r="A788" s="109" t="s">
        <v>4738</v>
      </c>
      <c r="B788" s="110" t="s">
        <v>4739</v>
      </c>
      <c r="C788" s="110" t="s">
        <v>4740</v>
      </c>
      <c r="D788" s="110" t="s">
        <v>82</v>
      </c>
      <c r="E788" s="110" t="s">
        <v>4741</v>
      </c>
      <c r="F788" s="111" t="s">
        <v>4742</v>
      </c>
    </row>
    <row r="789" spans="1:6">
      <c r="A789" s="109" t="s">
        <v>4743</v>
      </c>
      <c r="B789" s="110" t="s">
        <v>4744</v>
      </c>
      <c r="C789" s="110" t="s">
        <v>4745</v>
      </c>
      <c r="D789" s="110" t="s">
        <v>81</v>
      </c>
      <c r="E789" s="110" t="s">
        <v>4746</v>
      </c>
      <c r="F789" s="111" t="s">
        <v>4747</v>
      </c>
    </row>
    <row r="790" spans="1:6">
      <c r="A790" s="109" t="s">
        <v>4748</v>
      </c>
      <c r="B790" s="110" t="s">
        <v>4749</v>
      </c>
      <c r="C790" s="110" t="s">
        <v>4750</v>
      </c>
      <c r="D790" s="110" t="s">
        <v>81</v>
      </c>
      <c r="E790" s="110" t="s">
        <v>4751</v>
      </c>
      <c r="F790" s="111" t="s">
        <v>4752</v>
      </c>
    </row>
    <row r="791" spans="1:6">
      <c r="A791" s="109" t="s">
        <v>4753</v>
      </c>
      <c r="B791" s="110" t="s">
        <v>4754</v>
      </c>
      <c r="C791" s="110" t="s">
        <v>4755</v>
      </c>
      <c r="D791" s="110" t="s">
        <v>82</v>
      </c>
      <c r="E791" s="110" t="s">
        <v>4756</v>
      </c>
      <c r="F791" s="111" t="s">
        <v>4757</v>
      </c>
    </row>
    <row r="792" spans="1:6">
      <c r="A792" s="109" t="s">
        <v>4758</v>
      </c>
      <c r="B792" s="110" t="s">
        <v>4759</v>
      </c>
      <c r="C792" s="110" t="s">
        <v>4760</v>
      </c>
      <c r="D792" s="110" t="s">
        <v>81</v>
      </c>
      <c r="E792" s="110" t="s">
        <v>4761</v>
      </c>
      <c r="F792" s="111" t="s">
        <v>4762</v>
      </c>
    </row>
    <row r="793" spans="1:6">
      <c r="A793" s="109" t="s">
        <v>4763</v>
      </c>
      <c r="B793" s="110" t="s">
        <v>4764</v>
      </c>
      <c r="C793" s="110" t="s">
        <v>4765</v>
      </c>
      <c r="D793" s="110" t="s">
        <v>81</v>
      </c>
      <c r="E793" s="110" t="s">
        <v>4766</v>
      </c>
      <c r="F793" s="111" t="s">
        <v>4767</v>
      </c>
    </row>
    <row r="794" spans="1:6">
      <c r="A794" s="109" t="s">
        <v>4768</v>
      </c>
      <c r="B794" s="110" t="s">
        <v>4769</v>
      </c>
      <c r="C794" s="110" t="s">
        <v>4770</v>
      </c>
      <c r="D794" s="110" t="s">
        <v>81</v>
      </c>
      <c r="E794" s="110" t="s">
        <v>4771</v>
      </c>
      <c r="F794" s="111" t="s">
        <v>4772</v>
      </c>
    </row>
    <row r="795" spans="1:6">
      <c r="A795" s="109" t="s">
        <v>4773</v>
      </c>
      <c r="B795" s="110" t="s">
        <v>4774</v>
      </c>
      <c r="C795" s="110" t="s">
        <v>4775</v>
      </c>
      <c r="D795" s="110" t="s">
        <v>81</v>
      </c>
      <c r="E795" s="110" t="s">
        <v>4776</v>
      </c>
      <c r="F795" s="111" t="s">
        <v>4777</v>
      </c>
    </row>
    <row r="796" spans="1:6">
      <c r="A796" s="109" t="s">
        <v>4778</v>
      </c>
      <c r="B796" s="110" t="s">
        <v>4779</v>
      </c>
      <c r="C796" s="110" t="s">
        <v>4780</v>
      </c>
      <c r="D796" s="110" t="s">
        <v>82</v>
      </c>
      <c r="E796" s="110" t="s">
        <v>4781</v>
      </c>
      <c r="F796" s="111" t="s">
        <v>4782</v>
      </c>
    </row>
    <row r="797" spans="1:6">
      <c r="A797" s="109" t="s">
        <v>4783</v>
      </c>
      <c r="B797" s="110" t="s">
        <v>4784</v>
      </c>
      <c r="C797" s="110" t="s">
        <v>4785</v>
      </c>
      <c r="D797" s="110" t="s">
        <v>81</v>
      </c>
      <c r="E797" s="110" t="s">
        <v>4786</v>
      </c>
      <c r="F797" s="111" t="s">
        <v>4787</v>
      </c>
    </row>
    <row r="798" spans="1:6">
      <c r="A798" s="109" t="s">
        <v>4788</v>
      </c>
      <c r="B798" s="110" t="s">
        <v>4789</v>
      </c>
      <c r="C798" s="110" t="s">
        <v>4790</v>
      </c>
      <c r="D798" s="110" t="s">
        <v>82</v>
      </c>
      <c r="E798" s="110" t="s">
        <v>4791</v>
      </c>
      <c r="F798" s="111" t="s">
        <v>4792</v>
      </c>
    </row>
    <row r="799" spans="1:6">
      <c r="A799" s="109" t="s">
        <v>4793</v>
      </c>
      <c r="B799" s="110" t="s">
        <v>4794</v>
      </c>
      <c r="C799" s="110" t="s">
        <v>4795</v>
      </c>
      <c r="D799" s="110" t="s">
        <v>81</v>
      </c>
      <c r="E799" s="110" t="s">
        <v>4796</v>
      </c>
      <c r="F799" s="111" t="s">
        <v>4797</v>
      </c>
    </row>
    <row r="800" spans="1:6">
      <c r="A800" s="109" t="s">
        <v>4798</v>
      </c>
      <c r="B800" s="110" t="s">
        <v>4799</v>
      </c>
      <c r="C800" s="110" t="s">
        <v>4800</v>
      </c>
      <c r="D800" s="110" t="s">
        <v>81</v>
      </c>
      <c r="E800" s="110" t="s">
        <v>4801</v>
      </c>
      <c r="F800" s="111" t="s">
        <v>4802</v>
      </c>
    </row>
    <row r="801" spans="1:6">
      <c r="A801" s="109" t="s">
        <v>4803</v>
      </c>
      <c r="B801" s="110" t="s">
        <v>4804</v>
      </c>
      <c r="C801" s="110" t="s">
        <v>4805</v>
      </c>
      <c r="D801" s="110" t="s">
        <v>82</v>
      </c>
      <c r="E801" s="110" t="s">
        <v>4806</v>
      </c>
      <c r="F801" s="111" t="s">
        <v>4807</v>
      </c>
    </row>
    <row r="802" spans="1:6">
      <c r="A802" s="109" t="s">
        <v>4808</v>
      </c>
      <c r="B802" s="110" t="s">
        <v>4809</v>
      </c>
      <c r="C802" s="110" t="s">
        <v>4810</v>
      </c>
      <c r="D802" s="110" t="s">
        <v>82</v>
      </c>
      <c r="E802" s="110" t="s">
        <v>4811</v>
      </c>
      <c r="F802" s="111" t="s">
        <v>4812</v>
      </c>
    </row>
    <row r="803" spans="1:6">
      <c r="A803" s="109" t="s">
        <v>4813</v>
      </c>
      <c r="B803" s="110" t="s">
        <v>4814</v>
      </c>
      <c r="C803" s="110" t="s">
        <v>4815</v>
      </c>
      <c r="D803" s="110" t="s">
        <v>82</v>
      </c>
      <c r="E803" s="110" t="s">
        <v>4816</v>
      </c>
      <c r="F803" s="111" t="s">
        <v>4817</v>
      </c>
    </row>
    <row r="804" spans="1:6">
      <c r="A804" s="109" t="s">
        <v>4818</v>
      </c>
      <c r="B804" s="110" t="s">
        <v>4819</v>
      </c>
      <c r="C804" s="110" t="s">
        <v>4820</v>
      </c>
      <c r="D804" s="110" t="s">
        <v>81</v>
      </c>
      <c r="E804" s="110" t="s">
        <v>4821</v>
      </c>
      <c r="F804" s="111" t="s">
        <v>4822</v>
      </c>
    </row>
    <row r="805" spans="1:6">
      <c r="A805" s="109" t="s">
        <v>4823</v>
      </c>
      <c r="B805" s="110" t="s">
        <v>4824</v>
      </c>
      <c r="C805" s="110" t="s">
        <v>4825</v>
      </c>
      <c r="D805" s="110" t="s">
        <v>81</v>
      </c>
      <c r="E805" s="110" t="s">
        <v>4826</v>
      </c>
      <c r="F805" s="111" t="s">
        <v>4827</v>
      </c>
    </row>
    <row r="806" spans="1:6">
      <c r="A806" s="109" t="s">
        <v>4828</v>
      </c>
      <c r="B806" s="110" t="s">
        <v>4829</v>
      </c>
      <c r="C806" s="110" t="s">
        <v>4830</v>
      </c>
      <c r="D806" s="110" t="s">
        <v>82</v>
      </c>
      <c r="E806" s="110" t="s">
        <v>4831</v>
      </c>
      <c r="F806" s="111" t="s">
        <v>4832</v>
      </c>
    </row>
    <row r="807" spans="1:6">
      <c r="A807" s="109" t="s">
        <v>4833</v>
      </c>
      <c r="B807" s="110" t="s">
        <v>4834</v>
      </c>
      <c r="C807" s="110" t="s">
        <v>4835</v>
      </c>
      <c r="D807" s="110" t="s">
        <v>82</v>
      </c>
      <c r="E807" s="110" t="s">
        <v>4836</v>
      </c>
      <c r="F807" s="111" t="s">
        <v>4837</v>
      </c>
    </row>
    <row r="808" spans="1:6">
      <c r="A808" s="109" t="s">
        <v>4838</v>
      </c>
      <c r="B808" s="110" t="s">
        <v>4839</v>
      </c>
      <c r="C808" s="110" t="s">
        <v>4840</v>
      </c>
      <c r="D808" s="110" t="s">
        <v>82</v>
      </c>
      <c r="E808" s="110" t="s">
        <v>4841</v>
      </c>
      <c r="F808" s="111" t="s">
        <v>4842</v>
      </c>
    </row>
    <row r="809" spans="1:6">
      <c r="A809" s="109" t="s">
        <v>4843</v>
      </c>
      <c r="B809" s="110" t="s">
        <v>4844</v>
      </c>
      <c r="C809" s="110" t="s">
        <v>4845</v>
      </c>
      <c r="D809" s="110" t="s">
        <v>81</v>
      </c>
      <c r="E809" s="110" t="s">
        <v>4846</v>
      </c>
      <c r="F809" s="111" t="s">
        <v>4847</v>
      </c>
    </row>
    <row r="810" spans="1:6">
      <c r="A810" s="109" t="s">
        <v>4848</v>
      </c>
      <c r="B810" s="110" t="s">
        <v>4849</v>
      </c>
      <c r="C810" s="110" t="s">
        <v>4850</v>
      </c>
      <c r="D810" s="110" t="s">
        <v>82</v>
      </c>
      <c r="E810" s="110" t="s">
        <v>4851</v>
      </c>
      <c r="F810" s="111" t="s">
        <v>4852</v>
      </c>
    </row>
    <row r="811" spans="1:6">
      <c r="A811" s="109" t="s">
        <v>4853</v>
      </c>
      <c r="B811" s="110" t="s">
        <v>4854</v>
      </c>
      <c r="C811" s="110" t="s">
        <v>4855</v>
      </c>
      <c r="D811" s="110" t="s">
        <v>82</v>
      </c>
      <c r="E811" s="110" t="s">
        <v>4856</v>
      </c>
      <c r="F811" s="111" t="s">
        <v>4857</v>
      </c>
    </row>
    <row r="812" spans="1:6">
      <c r="A812" s="109" t="s">
        <v>4858</v>
      </c>
      <c r="B812" s="110" t="s">
        <v>4859</v>
      </c>
      <c r="C812" s="110" t="s">
        <v>4860</v>
      </c>
      <c r="D812" s="110" t="s">
        <v>81</v>
      </c>
      <c r="E812" s="110" t="s">
        <v>4861</v>
      </c>
      <c r="F812" s="111" t="s">
        <v>4862</v>
      </c>
    </row>
    <row r="813" spans="1:6">
      <c r="A813" s="109" t="s">
        <v>4863</v>
      </c>
      <c r="B813" s="110" t="s">
        <v>4864</v>
      </c>
      <c r="C813" s="110" t="s">
        <v>4865</v>
      </c>
      <c r="D813" s="110" t="s">
        <v>82</v>
      </c>
      <c r="E813" s="110" t="s">
        <v>4866</v>
      </c>
      <c r="F813" s="111" t="s">
        <v>4867</v>
      </c>
    </row>
    <row r="814" spans="1:6">
      <c r="A814" s="109" t="s">
        <v>4868</v>
      </c>
      <c r="B814" s="110" t="s">
        <v>4869</v>
      </c>
      <c r="C814" s="110" t="s">
        <v>4870</v>
      </c>
      <c r="D814" s="110" t="s">
        <v>81</v>
      </c>
      <c r="E814" s="110" t="s">
        <v>4871</v>
      </c>
      <c r="F814" s="111" t="s">
        <v>4872</v>
      </c>
    </row>
    <row r="815" spans="1:6">
      <c r="A815" s="109" t="s">
        <v>4873</v>
      </c>
      <c r="B815" s="110" t="s">
        <v>4874</v>
      </c>
      <c r="C815" s="110" t="s">
        <v>4875</v>
      </c>
      <c r="D815" s="110" t="s">
        <v>81</v>
      </c>
      <c r="E815" s="110" t="s">
        <v>4876</v>
      </c>
      <c r="F815" s="111" t="s">
        <v>4877</v>
      </c>
    </row>
    <row r="816" spans="1:6">
      <c r="A816" s="109" t="s">
        <v>4878</v>
      </c>
      <c r="B816" s="110" t="s">
        <v>4879</v>
      </c>
      <c r="C816" s="110" t="s">
        <v>4880</v>
      </c>
      <c r="D816" s="110" t="s">
        <v>81</v>
      </c>
      <c r="E816" s="110" t="s">
        <v>4881</v>
      </c>
      <c r="F816" s="111" t="s">
        <v>4882</v>
      </c>
    </row>
    <row r="817" spans="1:6">
      <c r="A817" s="109" t="s">
        <v>4883</v>
      </c>
      <c r="B817" s="110" t="s">
        <v>4884</v>
      </c>
      <c r="C817" s="110" t="s">
        <v>4885</v>
      </c>
      <c r="D817" s="110" t="s">
        <v>82</v>
      </c>
      <c r="E817" s="110" t="s">
        <v>4886</v>
      </c>
      <c r="F817" s="111" t="s">
        <v>4887</v>
      </c>
    </row>
    <row r="818" spans="1:6">
      <c r="A818" s="109" t="s">
        <v>4888</v>
      </c>
      <c r="B818" s="110" t="s">
        <v>4889</v>
      </c>
      <c r="C818" s="110" t="s">
        <v>4890</v>
      </c>
      <c r="D818" s="110" t="s">
        <v>82</v>
      </c>
      <c r="E818" s="110" t="s">
        <v>4891</v>
      </c>
      <c r="F818" s="111" t="s">
        <v>4892</v>
      </c>
    </row>
    <row r="819" spans="1:6">
      <c r="A819" s="109" t="s">
        <v>4893</v>
      </c>
      <c r="B819" s="110" t="s">
        <v>4894</v>
      </c>
      <c r="C819" s="110" t="s">
        <v>4895</v>
      </c>
      <c r="D819" s="110" t="s">
        <v>82</v>
      </c>
      <c r="E819" s="110" t="s">
        <v>4896</v>
      </c>
      <c r="F819" s="111" t="s">
        <v>4897</v>
      </c>
    </row>
    <row r="820" spans="1:6">
      <c r="A820" s="109" t="s">
        <v>4898</v>
      </c>
      <c r="B820" s="110" t="s">
        <v>4899</v>
      </c>
      <c r="C820" s="110" t="s">
        <v>4900</v>
      </c>
      <c r="D820" s="110" t="s">
        <v>82</v>
      </c>
      <c r="E820" s="110" t="s">
        <v>4901</v>
      </c>
      <c r="F820" s="111" t="s">
        <v>4902</v>
      </c>
    </row>
    <row r="821" spans="1:6">
      <c r="A821" s="109" t="s">
        <v>4903</v>
      </c>
      <c r="B821" s="110" t="s">
        <v>4904</v>
      </c>
      <c r="C821" s="110" t="s">
        <v>4905</v>
      </c>
      <c r="D821" s="110" t="s">
        <v>82</v>
      </c>
      <c r="E821" s="110" t="s">
        <v>4906</v>
      </c>
      <c r="F821" s="111" t="s">
        <v>4907</v>
      </c>
    </row>
    <row r="822" spans="1:6">
      <c r="A822" s="109" t="s">
        <v>4908</v>
      </c>
      <c r="B822" s="110" t="s">
        <v>4909</v>
      </c>
      <c r="C822" s="110" t="s">
        <v>4910</v>
      </c>
      <c r="D822" s="110" t="s">
        <v>82</v>
      </c>
      <c r="E822" s="110" t="s">
        <v>4911</v>
      </c>
      <c r="F822" s="111" t="s">
        <v>4912</v>
      </c>
    </row>
    <row r="823" spans="1:6">
      <c r="A823" s="109" t="s">
        <v>4913</v>
      </c>
      <c r="B823" s="110" t="s">
        <v>4914</v>
      </c>
      <c r="C823" s="110" t="s">
        <v>4915</v>
      </c>
      <c r="D823" s="110" t="s">
        <v>81</v>
      </c>
      <c r="E823" s="110" t="s">
        <v>4916</v>
      </c>
      <c r="F823" s="111" t="s">
        <v>4917</v>
      </c>
    </row>
    <row r="824" spans="1:6">
      <c r="A824" s="109" t="s">
        <v>4918</v>
      </c>
      <c r="B824" s="110" t="s">
        <v>4919</v>
      </c>
      <c r="C824" s="110" t="s">
        <v>4920</v>
      </c>
      <c r="D824" s="110" t="s">
        <v>82</v>
      </c>
      <c r="E824" s="110" t="s">
        <v>4921</v>
      </c>
      <c r="F824" s="111" t="s">
        <v>4922</v>
      </c>
    </row>
    <row r="825" spans="1:6">
      <c r="A825" s="109" t="s">
        <v>4923</v>
      </c>
      <c r="B825" s="110" t="s">
        <v>4924</v>
      </c>
      <c r="C825" s="110" t="s">
        <v>4925</v>
      </c>
      <c r="D825" s="110" t="s">
        <v>82</v>
      </c>
      <c r="E825" s="110" t="s">
        <v>4926</v>
      </c>
      <c r="F825" s="111" t="s">
        <v>4927</v>
      </c>
    </row>
    <row r="826" spans="1:6">
      <c r="A826" s="109" t="s">
        <v>4928</v>
      </c>
      <c r="B826" s="110" t="s">
        <v>4929</v>
      </c>
      <c r="C826" s="110" t="s">
        <v>4930</v>
      </c>
      <c r="D826" s="110" t="s">
        <v>81</v>
      </c>
      <c r="E826" s="110" t="s">
        <v>4931</v>
      </c>
      <c r="F826" s="111" t="s">
        <v>4932</v>
      </c>
    </row>
    <row r="827" spans="1:6">
      <c r="A827" s="109" t="s">
        <v>4933</v>
      </c>
      <c r="B827" s="110" t="s">
        <v>4934</v>
      </c>
      <c r="C827" s="110" t="s">
        <v>4935</v>
      </c>
      <c r="D827" s="110" t="s">
        <v>82</v>
      </c>
      <c r="E827" s="110" t="s">
        <v>4936</v>
      </c>
      <c r="F827" s="111" t="s">
        <v>4937</v>
      </c>
    </row>
    <row r="828" spans="1:6">
      <c r="A828" s="109" t="s">
        <v>4938</v>
      </c>
      <c r="B828" s="110" t="s">
        <v>4939</v>
      </c>
      <c r="C828" s="110" t="s">
        <v>4940</v>
      </c>
      <c r="D828" s="110" t="s">
        <v>81</v>
      </c>
      <c r="E828" s="110" t="s">
        <v>4941</v>
      </c>
      <c r="F828" s="111" t="s">
        <v>4942</v>
      </c>
    </row>
    <row r="829" spans="1:6">
      <c r="A829" s="109" t="s">
        <v>4943</v>
      </c>
      <c r="B829" s="110" t="s">
        <v>4944</v>
      </c>
      <c r="C829" s="110" t="s">
        <v>4945</v>
      </c>
      <c r="D829" s="110" t="s">
        <v>82</v>
      </c>
      <c r="E829" s="110" t="s">
        <v>4946</v>
      </c>
      <c r="F829" s="111" t="s">
        <v>4947</v>
      </c>
    </row>
    <row r="830" spans="1:6">
      <c r="A830" s="109" t="s">
        <v>4948</v>
      </c>
      <c r="B830" s="110" t="s">
        <v>4949</v>
      </c>
      <c r="C830" s="110" t="s">
        <v>4950</v>
      </c>
      <c r="D830" s="110" t="s">
        <v>82</v>
      </c>
      <c r="E830" s="110" t="s">
        <v>4951</v>
      </c>
      <c r="F830" s="111" t="s">
        <v>4952</v>
      </c>
    </row>
    <row r="831" spans="1:6">
      <c r="A831" s="109" t="s">
        <v>4953</v>
      </c>
      <c r="B831" s="110" t="s">
        <v>4954</v>
      </c>
      <c r="C831" s="110" t="s">
        <v>4955</v>
      </c>
      <c r="D831" s="110" t="s">
        <v>82</v>
      </c>
      <c r="E831" s="110" t="s">
        <v>4956</v>
      </c>
      <c r="F831" s="111" t="s">
        <v>4957</v>
      </c>
    </row>
    <row r="832" spans="1:6">
      <c r="A832" s="109" t="s">
        <v>4958</v>
      </c>
      <c r="B832" s="110" t="s">
        <v>4959</v>
      </c>
      <c r="C832" s="110" t="s">
        <v>4960</v>
      </c>
      <c r="D832" s="110" t="s">
        <v>82</v>
      </c>
      <c r="E832" s="110" t="s">
        <v>4961</v>
      </c>
      <c r="F832" s="111" t="s">
        <v>4962</v>
      </c>
    </row>
    <row r="833" spans="1:6">
      <c r="A833" s="109" t="s">
        <v>4963</v>
      </c>
      <c r="B833" s="110" t="s">
        <v>4964</v>
      </c>
      <c r="C833" s="110" t="s">
        <v>4965</v>
      </c>
      <c r="D833" s="110" t="s">
        <v>82</v>
      </c>
      <c r="E833" s="110" t="s">
        <v>4966</v>
      </c>
      <c r="F833" s="111" t="s">
        <v>4967</v>
      </c>
    </row>
    <row r="834" spans="1:6">
      <c r="A834" s="109" t="s">
        <v>4968</v>
      </c>
      <c r="B834" s="110" t="s">
        <v>4969</v>
      </c>
      <c r="C834" s="110" t="s">
        <v>4970</v>
      </c>
      <c r="D834" s="110" t="s">
        <v>81</v>
      </c>
      <c r="E834" s="110" t="s">
        <v>4971</v>
      </c>
      <c r="F834" s="111" t="s">
        <v>4972</v>
      </c>
    </row>
    <row r="835" spans="1:6">
      <c r="A835" s="109" t="s">
        <v>4973</v>
      </c>
      <c r="B835" s="110" t="s">
        <v>4974</v>
      </c>
      <c r="C835" s="110" t="s">
        <v>4975</v>
      </c>
      <c r="D835" s="110" t="s">
        <v>81</v>
      </c>
      <c r="E835" s="110" t="s">
        <v>4976</v>
      </c>
      <c r="F835" s="111" t="s">
        <v>4977</v>
      </c>
    </row>
    <row r="836" spans="1:6">
      <c r="A836" s="109" t="s">
        <v>4978</v>
      </c>
      <c r="B836" s="110" t="s">
        <v>4979</v>
      </c>
      <c r="C836" s="110" t="s">
        <v>4980</v>
      </c>
      <c r="D836" s="110" t="s">
        <v>81</v>
      </c>
      <c r="E836" s="110" t="s">
        <v>4981</v>
      </c>
      <c r="F836" s="111" t="s">
        <v>4982</v>
      </c>
    </row>
    <row r="837" spans="1:6">
      <c r="A837" s="109" t="s">
        <v>4983</v>
      </c>
      <c r="B837" s="110" t="s">
        <v>4984</v>
      </c>
      <c r="C837" s="110" t="s">
        <v>4985</v>
      </c>
      <c r="D837" s="110" t="s">
        <v>82</v>
      </c>
      <c r="E837" s="110" t="s">
        <v>4986</v>
      </c>
      <c r="F837" s="111" t="s">
        <v>4987</v>
      </c>
    </row>
    <row r="838" spans="1:6">
      <c r="A838" s="109" t="s">
        <v>4988</v>
      </c>
      <c r="B838" s="110" t="s">
        <v>4989</v>
      </c>
      <c r="C838" s="110" t="s">
        <v>4990</v>
      </c>
      <c r="D838" s="110" t="s">
        <v>82</v>
      </c>
      <c r="E838" s="110" t="s">
        <v>4991</v>
      </c>
      <c r="F838" s="111" t="s">
        <v>4992</v>
      </c>
    </row>
    <row r="839" spans="1:6">
      <c r="A839" s="109" t="s">
        <v>4993</v>
      </c>
      <c r="B839" s="110" t="s">
        <v>4994</v>
      </c>
      <c r="C839" s="110" t="s">
        <v>4995</v>
      </c>
      <c r="D839" s="110" t="s">
        <v>82</v>
      </c>
      <c r="E839" s="110" t="s">
        <v>4996</v>
      </c>
      <c r="F839" s="111" t="s">
        <v>4997</v>
      </c>
    </row>
    <row r="840" spans="1:6">
      <c r="A840" s="109" t="s">
        <v>4998</v>
      </c>
      <c r="B840" s="110" t="s">
        <v>4999</v>
      </c>
      <c r="C840" s="110" t="s">
        <v>5000</v>
      </c>
      <c r="D840" s="110" t="s">
        <v>81</v>
      </c>
      <c r="E840" s="110" t="s">
        <v>5001</v>
      </c>
      <c r="F840" s="111" t="s">
        <v>5002</v>
      </c>
    </row>
    <row r="841" spans="1:6">
      <c r="A841" s="109" t="s">
        <v>5003</v>
      </c>
      <c r="B841" s="110" t="s">
        <v>5004</v>
      </c>
      <c r="C841" s="110" t="s">
        <v>5005</v>
      </c>
      <c r="D841" s="110" t="s">
        <v>82</v>
      </c>
      <c r="E841" s="110" t="s">
        <v>5006</v>
      </c>
      <c r="F841" s="111" t="s">
        <v>5007</v>
      </c>
    </row>
    <row r="842" spans="1:6">
      <c r="A842" s="109" t="s">
        <v>5008</v>
      </c>
      <c r="B842" s="110" t="s">
        <v>5009</v>
      </c>
      <c r="C842" s="110" t="s">
        <v>5010</v>
      </c>
      <c r="D842" s="110" t="s">
        <v>81</v>
      </c>
      <c r="E842" s="110" t="s">
        <v>5011</v>
      </c>
      <c r="F842" s="111" t="s">
        <v>5012</v>
      </c>
    </row>
    <row r="843" spans="1:6">
      <c r="A843" s="109" t="s">
        <v>5013</v>
      </c>
      <c r="B843" s="110" t="s">
        <v>5014</v>
      </c>
      <c r="C843" s="110" t="s">
        <v>5015</v>
      </c>
      <c r="D843" s="110" t="s">
        <v>81</v>
      </c>
      <c r="E843" s="110" t="s">
        <v>5016</v>
      </c>
      <c r="F843" s="111" t="s">
        <v>5017</v>
      </c>
    </row>
    <row r="844" spans="1:6">
      <c r="A844" s="109" t="s">
        <v>5018</v>
      </c>
      <c r="B844" s="110" t="s">
        <v>5019</v>
      </c>
      <c r="C844" s="110" t="s">
        <v>5020</v>
      </c>
      <c r="D844" s="110" t="s">
        <v>81</v>
      </c>
      <c r="E844" s="110" t="s">
        <v>5021</v>
      </c>
      <c r="F844" s="111" t="s">
        <v>5022</v>
      </c>
    </row>
    <row r="845" spans="1:6">
      <c r="A845" s="109" t="s">
        <v>5023</v>
      </c>
      <c r="B845" s="110" t="s">
        <v>5024</v>
      </c>
      <c r="C845" s="110" t="s">
        <v>5025</v>
      </c>
      <c r="D845" s="110" t="s">
        <v>82</v>
      </c>
      <c r="E845" s="110" t="s">
        <v>5026</v>
      </c>
      <c r="F845" s="111" t="s">
        <v>5027</v>
      </c>
    </row>
    <row r="846" spans="1:6">
      <c r="A846" s="109" t="s">
        <v>5028</v>
      </c>
      <c r="B846" s="110" t="s">
        <v>5029</v>
      </c>
      <c r="C846" s="110" t="s">
        <v>5030</v>
      </c>
      <c r="D846" s="110" t="s">
        <v>82</v>
      </c>
      <c r="E846" s="110" t="s">
        <v>5031</v>
      </c>
      <c r="F846" s="111" t="s">
        <v>5032</v>
      </c>
    </row>
    <row r="847" spans="1:6">
      <c r="A847" s="109" t="s">
        <v>5033</v>
      </c>
      <c r="B847" s="110" t="s">
        <v>5034</v>
      </c>
      <c r="C847" s="110" t="s">
        <v>5035</v>
      </c>
      <c r="D847" s="110" t="s">
        <v>82</v>
      </c>
      <c r="E847" s="110" t="s">
        <v>5036</v>
      </c>
      <c r="F847" s="111" t="s">
        <v>5037</v>
      </c>
    </row>
    <row r="848" spans="1:6">
      <c r="A848" s="109" t="s">
        <v>5038</v>
      </c>
      <c r="B848" s="110" t="s">
        <v>5039</v>
      </c>
      <c r="C848" s="110" t="s">
        <v>5040</v>
      </c>
      <c r="D848" s="110" t="s">
        <v>82</v>
      </c>
      <c r="E848" s="110" t="s">
        <v>5041</v>
      </c>
      <c r="F848" s="111" t="s">
        <v>5042</v>
      </c>
    </row>
    <row r="849" spans="1:6">
      <c r="A849" s="109" t="s">
        <v>5043</v>
      </c>
      <c r="B849" s="110" t="s">
        <v>5044</v>
      </c>
      <c r="C849" s="110" t="s">
        <v>5045</v>
      </c>
      <c r="D849" s="110" t="s">
        <v>82</v>
      </c>
      <c r="E849" s="110" t="s">
        <v>5046</v>
      </c>
      <c r="F849" s="111" t="s">
        <v>5047</v>
      </c>
    </row>
    <row r="850" spans="1:6">
      <c r="A850" s="109" t="s">
        <v>5048</v>
      </c>
      <c r="B850" s="110" t="s">
        <v>5049</v>
      </c>
      <c r="C850" s="110" t="s">
        <v>5050</v>
      </c>
      <c r="D850" s="110" t="s">
        <v>82</v>
      </c>
      <c r="E850" s="110" t="s">
        <v>5051</v>
      </c>
      <c r="F850" s="111" t="s">
        <v>5052</v>
      </c>
    </row>
    <row r="851" spans="1:6">
      <c r="A851" s="109" t="s">
        <v>5053</v>
      </c>
      <c r="B851" s="110" t="s">
        <v>5054</v>
      </c>
      <c r="C851" s="110" t="s">
        <v>5055</v>
      </c>
      <c r="D851" s="110" t="s">
        <v>81</v>
      </c>
      <c r="E851" s="110" t="s">
        <v>5056</v>
      </c>
      <c r="F851" s="111" t="s">
        <v>5057</v>
      </c>
    </row>
    <row r="852" spans="1:6">
      <c r="A852" s="109" t="s">
        <v>5058</v>
      </c>
      <c r="B852" s="110" t="s">
        <v>5059</v>
      </c>
      <c r="C852" s="110" t="s">
        <v>5060</v>
      </c>
      <c r="D852" s="110" t="s">
        <v>81</v>
      </c>
      <c r="E852" s="110" t="s">
        <v>5061</v>
      </c>
      <c r="F852" s="111" t="s">
        <v>5062</v>
      </c>
    </row>
    <row r="853" spans="1:6">
      <c r="A853" s="109" t="s">
        <v>5063</v>
      </c>
      <c r="B853" s="110" t="s">
        <v>5064</v>
      </c>
      <c r="C853" s="110" t="s">
        <v>5065</v>
      </c>
      <c r="D853" s="110" t="s">
        <v>81</v>
      </c>
      <c r="E853" s="110" t="s">
        <v>5066</v>
      </c>
      <c r="F853" s="111" t="s">
        <v>5067</v>
      </c>
    </row>
    <row r="854" spans="1:6">
      <c r="A854" s="109" t="s">
        <v>5068</v>
      </c>
      <c r="B854" s="110" t="s">
        <v>5069</v>
      </c>
      <c r="C854" s="110" t="s">
        <v>5070</v>
      </c>
      <c r="D854" s="110" t="s">
        <v>82</v>
      </c>
      <c r="E854" s="110" t="s">
        <v>5071</v>
      </c>
      <c r="F854" s="111" t="s">
        <v>5072</v>
      </c>
    </row>
    <row r="855" spans="1:6">
      <c r="A855" s="109" t="s">
        <v>5073</v>
      </c>
      <c r="B855" s="110" t="s">
        <v>5074</v>
      </c>
      <c r="C855" s="110" t="s">
        <v>5075</v>
      </c>
      <c r="D855" s="110" t="s">
        <v>82</v>
      </c>
      <c r="E855" s="110" t="s">
        <v>5076</v>
      </c>
      <c r="F855" s="111" t="s">
        <v>5077</v>
      </c>
    </row>
    <row r="856" spans="1:6">
      <c r="A856" s="109" t="s">
        <v>5078</v>
      </c>
      <c r="B856" s="110" t="s">
        <v>5079</v>
      </c>
      <c r="C856" s="110" t="s">
        <v>5080</v>
      </c>
      <c r="D856" s="110" t="s">
        <v>82</v>
      </c>
      <c r="E856" s="110" t="s">
        <v>5081</v>
      </c>
      <c r="F856" s="111" t="s">
        <v>5082</v>
      </c>
    </row>
    <row r="857" spans="1:6">
      <c r="A857" s="109" t="s">
        <v>5083</v>
      </c>
      <c r="B857" s="110" t="s">
        <v>5084</v>
      </c>
      <c r="C857" s="110" t="s">
        <v>5085</v>
      </c>
      <c r="D857" s="110" t="s">
        <v>82</v>
      </c>
      <c r="E857" s="110" t="s">
        <v>5086</v>
      </c>
      <c r="F857" s="111" t="s">
        <v>5087</v>
      </c>
    </row>
    <row r="858" spans="1:6">
      <c r="A858" s="109" t="s">
        <v>5088</v>
      </c>
      <c r="B858" s="110" t="s">
        <v>5089</v>
      </c>
      <c r="C858" s="110" t="s">
        <v>5090</v>
      </c>
      <c r="D858" s="110" t="s">
        <v>81</v>
      </c>
      <c r="E858" s="110" t="s">
        <v>5091</v>
      </c>
      <c r="F858" s="111" t="s">
        <v>5092</v>
      </c>
    </row>
    <row r="859" spans="1:6">
      <c r="A859" s="109" t="s">
        <v>5093</v>
      </c>
      <c r="B859" s="110" t="s">
        <v>5094</v>
      </c>
      <c r="C859" s="110" t="s">
        <v>5095</v>
      </c>
      <c r="D859" s="110" t="s">
        <v>82</v>
      </c>
      <c r="E859" s="110" t="s">
        <v>5096</v>
      </c>
      <c r="F859" s="111" t="s">
        <v>5097</v>
      </c>
    </row>
    <row r="860" spans="1:6">
      <c r="A860" s="109" t="s">
        <v>5098</v>
      </c>
      <c r="B860" s="110" t="s">
        <v>5099</v>
      </c>
      <c r="C860" s="110" t="s">
        <v>5100</v>
      </c>
      <c r="D860" s="110" t="s">
        <v>81</v>
      </c>
      <c r="E860" s="110" t="s">
        <v>5101</v>
      </c>
      <c r="F860" s="111" t="s">
        <v>5102</v>
      </c>
    </row>
    <row r="861" spans="1:6">
      <c r="A861" s="109" t="s">
        <v>5103</v>
      </c>
      <c r="B861" s="110" t="s">
        <v>5104</v>
      </c>
      <c r="C861" s="110" t="s">
        <v>5105</v>
      </c>
      <c r="D861" s="110" t="s">
        <v>82</v>
      </c>
      <c r="E861" s="110" t="s">
        <v>5106</v>
      </c>
      <c r="F861" s="111" t="s">
        <v>5107</v>
      </c>
    </row>
    <row r="862" spans="1:6">
      <c r="A862" s="109" t="s">
        <v>5108</v>
      </c>
      <c r="B862" s="110" t="s">
        <v>5109</v>
      </c>
      <c r="C862" s="110" t="s">
        <v>5110</v>
      </c>
      <c r="D862" s="110" t="s">
        <v>82</v>
      </c>
      <c r="E862" s="110" t="s">
        <v>5111</v>
      </c>
      <c r="F862" s="111" t="s">
        <v>5112</v>
      </c>
    </row>
    <row r="863" spans="1:6">
      <c r="A863" s="109" t="s">
        <v>5113</v>
      </c>
      <c r="B863" s="110" t="s">
        <v>5114</v>
      </c>
      <c r="C863" s="110" t="s">
        <v>5115</v>
      </c>
      <c r="D863" s="110" t="s">
        <v>82</v>
      </c>
      <c r="E863" s="110" t="s">
        <v>5116</v>
      </c>
      <c r="F863" s="111" t="s">
        <v>5117</v>
      </c>
    </row>
    <row r="864" spans="1:6">
      <c r="A864" s="109" t="s">
        <v>5118</v>
      </c>
      <c r="B864" s="110" t="s">
        <v>5119</v>
      </c>
      <c r="C864" s="110" t="s">
        <v>5120</v>
      </c>
      <c r="D864" s="110" t="s">
        <v>81</v>
      </c>
      <c r="E864" s="110" t="s">
        <v>5121</v>
      </c>
      <c r="F864" s="111" t="s">
        <v>5122</v>
      </c>
    </row>
    <row r="865" spans="1:6">
      <c r="A865" s="109" t="s">
        <v>5123</v>
      </c>
      <c r="B865" s="110" t="s">
        <v>5124</v>
      </c>
      <c r="C865" s="110" t="s">
        <v>5125</v>
      </c>
      <c r="D865" s="110" t="s">
        <v>81</v>
      </c>
      <c r="E865" s="110" t="s">
        <v>5126</v>
      </c>
      <c r="F865" s="111" t="s">
        <v>5127</v>
      </c>
    </row>
    <row r="866" spans="1:6">
      <c r="A866" s="109" t="s">
        <v>5128</v>
      </c>
      <c r="B866" s="110" t="s">
        <v>5129</v>
      </c>
      <c r="C866" s="110" t="s">
        <v>5130</v>
      </c>
      <c r="D866" s="110" t="s">
        <v>82</v>
      </c>
      <c r="E866" s="110" t="s">
        <v>5131</v>
      </c>
      <c r="F866" s="111" t="s">
        <v>5132</v>
      </c>
    </row>
    <row r="867" spans="1:6">
      <c r="A867" s="109" t="s">
        <v>5133</v>
      </c>
      <c r="B867" s="110" t="s">
        <v>5134</v>
      </c>
      <c r="C867" s="110" t="s">
        <v>5135</v>
      </c>
      <c r="D867" s="110" t="s">
        <v>81</v>
      </c>
      <c r="E867" s="110" t="s">
        <v>5136</v>
      </c>
      <c r="F867" s="111" t="s">
        <v>5137</v>
      </c>
    </row>
    <row r="868" spans="1:6">
      <c r="A868" s="109" t="s">
        <v>5138</v>
      </c>
      <c r="B868" s="110" t="s">
        <v>5139</v>
      </c>
      <c r="C868" s="110" t="s">
        <v>5140</v>
      </c>
      <c r="D868" s="110" t="s">
        <v>82</v>
      </c>
      <c r="E868" s="110" t="s">
        <v>5141</v>
      </c>
      <c r="F868" s="111" t="s">
        <v>5142</v>
      </c>
    </row>
    <row r="869" spans="1:6">
      <c r="A869" s="109" t="s">
        <v>5143</v>
      </c>
      <c r="B869" s="110" t="s">
        <v>5144</v>
      </c>
      <c r="C869" s="110" t="s">
        <v>5145</v>
      </c>
      <c r="D869" s="110" t="s">
        <v>82</v>
      </c>
      <c r="E869" s="110" t="s">
        <v>5146</v>
      </c>
      <c r="F869" s="111" t="s">
        <v>5147</v>
      </c>
    </row>
    <row r="870" spans="1:6">
      <c r="A870" s="109" t="s">
        <v>5148</v>
      </c>
      <c r="B870" s="110" t="s">
        <v>5149</v>
      </c>
      <c r="C870" s="110" t="s">
        <v>5150</v>
      </c>
      <c r="D870" s="110" t="s">
        <v>82</v>
      </c>
      <c r="E870" s="110" t="s">
        <v>5151</v>
      </c>
      <c r="F870" s="111" t="s">
        <v>5152</v>
      </c>
    </row>
    <row r="871" spans="1:6">
      <c r="A871" s="109" t="s">
        <v>5153</v>
      </c>
      <c r="B871" s="110" t="s">
        <v>5154</v>
      </c>
      <c r="C871" s="110" t="s">
        <v>5155</v>
      </c>
      <c r="D871" s="110" t="s">
        <v>82</v>
      </c>
      <c r="E871" s="110" t="s">
        <v>5156</v>
      </c>
      <c r="F871" s="111" t="s">
        <v>5157</v>
      </c>
    </row>
    <row r="872" spans="1:6">
      <c r="A872" s="109" t="s">
        <v>5158</v>
      </c>
      <c r="B872" s="110" t="s">
        <v>5159</v>
      </c>
      <c r="C872" s="110" t="s">
        <v>5160</v>
      </c>
      <c r="D872" s="110" t="s">
        <v>82</v>
      </c>
      <c r="E872" s="110" t="s">
        <v>5161</v>
      </c>
      <c r="F872" s="111" t="s">
        <v>5162</v>
      </c>
    </row>
    <row r="873" spans="1:6">
      <c r="A873" s="109" t="s">
        <v>5163</v>
      </c>
      <c r="B873" s="110" t="s">
        <v>5164</v>
      </c>
      <c r="C873" s="110" t="s">
        <v>5165</v>
      </c>
      <c r="D873" s="110" t="s">
        <v>82</v>
      </c>
      <c r="E873" s="110" t="s">
        <v>5166</v>
      </c>
      <c r="F873" s="111" t="s">
        <v>5167</v>
      </c>
    </row>
    <row r="874" spans="1:6">
      <c r="A874" s="109" t="s">
        <v>5168</v>
      </c>
      <c r="B874" s="110" t="s">
        <v>5169</v>
      </c>
      <c r="C874" s="110" t="s">
        <v>5170</v>
      </c>
      <c r="D874" s="110" t="s">
        <v>82</v>
      </c>
      <c r="E874" s="110" t="s">
        <v>5171</v>
      </c>
      <c r="F874" s="111" t="s">
        <v>5172</v>
      </c>
    </row>
    <row r="875" spans="1:6">
      <c r="A875" s="109" t="s">
        <v>5173</v>
      </c>
      <c r="B875" s="110" t="s">
        <v>5174</v>
      </c>
      <c r="C875" s="110" t="s">
        <v>5175</v>
      </c>
      <c r="D875" s="110" t="s">
        <v>82</v>
      </c>
      <c r="E875" s="110" t="s">
        <v>5176</v>
      </c>
      <c r="F875" s="111" t="s">
        <v>5177</v>
      </c>
    </row>
    <row r="876" spans="1:6">
      <c r="A876" s="109" t="s">
        <v>5178</v>
      </c>
      <c r="B876" s="110" t="s">
        <v>5179</v>
      </c>
      <c r="C876" s="110" t="s">
        <v>5180</v>
      </c>
      <c r="D876" s="110" t="s">
        <v>82</v>
      </c>
      <c r="E876" s="110" t="s">
        <v>5181</v>
      </c>
      <c r="F876" s="111" t="s">
        <v>5182</v>
      </c>
    </row>
    <row r="877" spans="1:6">
      <c r="A877" s="109" t="s">
        <v>5183</v>
      </c>
      <c r="B877" s="110" t="s">
        <v>5184</v>
      </c>
      <c r="C877" s="110" t="s">
        <v>5185</v>
      </c>
      <c r="D877" s="110" t="s">
        <v>82</v>
      </c>
      <c r="E877" s="110" t="s">
        <v>5186</v>
      </c>
      <c r="F877" s="111" t="s">
        <v>5187</v>
      </c>
    </row>
    <row r="878" spans="1:6">
      <c r="A878" s="109" t="s">
        <v>5188</v>
      </c>
      <c r="B878" s="110" t="s">
        <v>5189</v>
      </c>
      <c r="C878" s="110" t="s">
        <v>5190</v>
      </c>
      <c r="D878" s="110" t="s">
        <v>82</v>
      </c>
      <c r="E878" s="110" t="s">
        <v>5191</v>
      </c>
      <c r="F878" s="111" t="s">
        <v>5192</v>
      </c>
    </row>
    <row r="879" spans="1:6">
      <c r="A879" s="109" t="s">
        <v>5193</v>
      </c>
      <c r="B879" s="110" t="s">
        <v>5194</v>
      </c>
      <c r="C879" s="110" t="s">
        <v>5195</v>
      </c>
      <c r="D879" s="110" t="s">
        <v>81</v>
      </c>
      <c r="E879" s="110" t="s">
        <v>5196</v>
      </c>
      <c r="F879" s="111" t="s">
        <v>5197</v>
      </c>
    </row>
    <row r="880" spans="1:6">
      <c r="A880" s="109" t="s">
        <v>5198</v>
      </c>
      <c r="B880" s="110" t="s">
        <v>5199</v>
      </c>
      <c r="C880" s="110" t="s">
        <v>5200</v>
      </c>
      <c r="D880" s="110" t="s">
        <v>82</v>
      </c>
      <c r="E880" s="110" t="s">
        <v>5201</v>
      </c>
      <c r="F880" s="111" t="s">
        <v>5202</v>
      </c>
    </row>
    <row r="881" spans="1:6">
      <c r="A881" s="109" t="s">
        <v>5203</v>
      </c>
      <c r="B881" s="110" t="s">
        <v>5204</v>
      </c>
      <c r="C881" s="110" t="s">
        <v>5205</v>
      </c>
      <c r="D881" s="110" t="s">
        <v>82</v>
      </c>
      <c r="E881" s="110" t="s">
        <v>5206</v>
      </c>
      <c r="F881" s="111" t="s">
        <v>5207</v>
      </c>
    </row>
    <row r="882" spans="1:6">
      <c r="A882" s="109" t="s">
        <v>5208</v>
      </c>
      <c r="B882" s="110" t="s">
        <v>5209</v>
      </c>
      <c r="C882" s="110" t="s">
        <v>5210</v>
      </c>
      <c r="D882" s="110" t="s">
        <v>81</v>
      </c>
      <c r="E882" s="110" t="s">
        <v>5211</v>
      </c>
      <c r="F882" s="111" t="s">
        <v>5212</v>
      </c>
    </row>
    <row r="883" spans="1:6">
      <c r="A883" s="109" t="s">
        <v>5213</v>
      </c>
      <c r="B883" s="110" t="s">
        <v>5214</v>
      </c>
      <c r="C883" s="110" t="s">
        <v>5215</v>
      </c>
      <c r="D883" s="110" t="s">
        <v>81</v>
      </c>
      <c r="E883" s="110" t="s">
        <v>5216</v>
      </c>
      <c r="F883" s="111" t="s">
        <v>5217</v>
      </c>
    </row>
    <row r="884" spans="1:6">
      <c r="A884" s="109" t="s">
        <v>5218</v>
      </c>
      <c r="B884" s="110" t="s">
        <v>5219</v>
      </c>
      <c r="C884" s="110" t="s">
        <v>5220</v>
      </c>
      <c r="D884" s="110" t="s">
        <v>81</v>
      </c>
      <c r="E884" s="110" t="s">
        <v>5221</v>
      </c>
      <c r="F884" s="111" t="s">
        <v>5222</v>
      </c>
    </row>
    <row r="885" spans="1:6">
      <c r="A885" s="109" t="s">
        <v>5223</v>
      </c>
      <c r="B885" s="110" t="s">
        <v>5224</v>
      </c>
      <c r="C885" s="110" t="s">
        <v>5225</v>
      </c>
      <c r="D885" s="110" t="s">
        <v>82</v>
      </c>
      <c r="E885" s="110" t="s">
        <v>5226</v>
      </c>
      <c r="F885" s="111" t="s">
        <v>5227</v>
      </c>
    </row>
    <row r="886" spans="1:6">
      <c r="A886" s="109" t="s">
        <v>5228</v>
      </c>
      <c r="B886" s="110" t="s">
        <v>5229</v>
      </c>
      <c r="C886" s="110" t="s">
        <v>5230</v>
      </c>
      <c r="D886" s="110" t="s">
        <v>82</v>
      </c>
      <c r="E886" s="110" t="s">
        <v>5231</v>
      </c>
      <c r="F886" s="111" t="s">
        <v>5232</v>
      </c>
    </row>
    <row r="887" spans="1:6">
      <c r="A887" s="109" t="s">
        <v>5233</v>
      </c>
      <c r="B887" s="110" t="s">
        <v>5234</v>
      </c>
      <c r="C887" s="110" t="s">
        <v>5235</v>
      </c>
      <c r="D887" s="110" t="s">
        <v>82</v>
      </c>
      <c r="E887" s="110" t="s">
        <v>5236</v>
      </c>
      <c r="F887" s="111" t="s">
        <v>5237</v>
      </c>
    </row>
    <row r="888" spans="1:6">
      <c r="A888" s="109" t="s">
        <v>5238</v>
      </c>
      <c r="B888" s="110" t="s">
        <v>5239</v>
      </c>
      <c r="C888" s="110" t="s">
        <v>5240</v>
      </c>
      <c r="D888" s="110" t="s">
        <v>81</v>
      </c>
      <c r="E888" s="110" t="s">
        <v>5241</v>
      </c>
      <c r="F888" s="111" t="s">
        <v>5242</v>
      </c>
    </row>
    <row r="889" spans="1:6">
      <c r="A889" s="109" t="s">
        <v>5243</v>
      </c>
      <c r="B889" s="110" t="s">
        <v>5244</v>
      </c>
      <c r="C889" s="110" t="s">
        <v>5245</v>
      </c>
      <c r="D889" s="110" t="s">
        <v>81</v>
      </c>
      <c r="E889" s="110" t="s">
        <v>5246</v>
      </c>
      <c r="F889" s="111" t="s">
        <v>5247</v>
      </c>
    </row>
    <row r="890" spans="1:6">
      <c r="A890" s="109" t="s">
        <v>5248</v>
      </c>
      <c r="B890" s="110" t="s">
        <v>5249</v>
      </c>
      <c r="C890" s="110" t="s">
        <v>5250</v>
      </c>
      <c r="D890" s="110" t="s">
        <v>81</v>
      </c>
      <c r="E890" s="110" t="s">
        <v>5251</v>
      </c>
      <c r="F890" s="111" t="s">
        <v>5252</v>
      </c>
    </row>
    <row r="891" spans="1:6">
      <c r="A891" s="109" t="s">
        <v>5253</v>
      </c>
      <c r="B891" s="110" t="s">
        <v>5254</v>
      </c>
      <c r="C891" s="110" t="s">
        <v>5255</v>
      </c>
      <c r="D891" s="110" t="s">
        <v>82</v>
      </c>
      <c r="E891" s="110" t="s">
        <v>5256</v>
      </c>
      <c r="F891" s="111" t="s">
        <v>5257</v>
      </c>
    </row>
    <row r="892" spans="1:6">
      <c r="A892" s="109" t="s">
        <v>5258</v>
      </c>
      <c r="B892" s="110" t="s">
        <v>5259</v>
      </c>
      <c r="C892" s="110" t="s">
        <v>5260</v>
      </c>
      <c r="D892" s="110" t="s">
        <v>82</v>
      </c>
      <c r="E892" s="110" t="s">
        <v>5261</v>
      </c>
      <c r="F892" s="111" t="s">
        <v>5262</v>
      </c>
    </row>
    <row r="893" spans="1:6">
      <c r="A893" s="109" t="s">
        <v>5263</v>
      </c>
      <c r="B893" s="110" t="s">
        <v>5264</v>
      </c>
      <c r="C893" s="110" t="s">
        <v>5265</v>
      </c>
      <c r="D893" s="110" t="s">
        <v>81</v>
      </c>
      <c r="E893" s="110" t="s">
        <v>5266</v>
      </c>
      <c r="F893" s="111" t="s">
        <v>5267</v>
      </c>
    </row>
    <row r="894" spans="1:6">
      <c r="A894" s="109" t="s">
        <v>5268</v>
      </c>
      <c r="B894" s="110" t="s">
        <v>5269</v>
      </c>
      <c r="C894" s="110" t="s">
        <v>5270</v>
      </c>
      <c r="D894" s="110" t="s">
        <v>82</v>
      </c>
      <c r="E894" s="110" t="s">
        <v>5271</v>
      </c>
      <c r="F894" s="111" t="s">
        <v>5272</v>
      </c>
    </row>
    <row r="895" spans="1:6">
      <c r="A895" s="109" t="s">
        <v>5273</v>
      </c>
      <c r="B895" s="110" t="s">
        <v>5274</v>
      </c>
      <c r="C895" s="110" t="s">
        <v>5275</v>
      </c>
      <c r="D895" s="110" t="s">
        <v>81</v>
      </c>
      <c r="E895" s="110" t="s">
        <v>5276</v>
      </c>
      <c r="F895" s="111" t="s">
        <v>5277</v>
      </c>
    </row>
    <row r="896" spans="1:6">
      <c r="A896" s="109" t="s">
        <v>5278</v>
      </c>
      <c r="B896" s="110" t="s">
        <v>5279</v>
      </c>
      <c r="C896" s="110" t="s">
        <v>5280</v>
      </c>
      <c r="D896" s="110" t="s">
        <v>82</v>
      </c>
      <c r="E896" s="110" t="s">
        <v>5281</v>
      </c>
      <c r="F896" s="111" t="s">
        <v>5282</v>
      </c>
    </row>
    <row r="897" spans="1:6">
      <c r="A897" s="109" t="s">
        <v>5283</v>
      </c>
      <c r="B897" s="110" t="s">
        <v>5284</v>
      </c>
      <c r="C897" s="110" t="s">
        <v>5285</v>
      </c>
      <c r="D897" s="110" t="s">
        <v>81</v>
      </c>
      <c r="E897" s="110" t="s">
        <v>5286</v>
      </c>
      <c r="F897" s="111" t="s">
        <v>5287</v>
      </c>
    </row>
    <row r="898" spans="1:6">
      <c r="A898" s="109" t="s">
        <v>5288</v>
      </c>
      <c r="B898" s="110" t="s">
        <v>5289</v>
      </c>
      <c r="C898" s="110" t="s">
        <v>5290</v>
      </c>
      <c r="D898" s="110" t="s">
        <v>82</v>
      </c>
      <c r="E898" s="110" t="s">
        <v>5291</v>
      </c>
      <c r="F898" s="111" t="s">
        <v>5292</v>
      </c>
    </row>
    <row r="899" spans="1:6">
      <c r="A899" s="109" t="s">
        <v>5293</v>
      </c>
      <c r="B899" s="110" t="s">
        <v>5294</v>
      </c>
      <c r="C899" s="110" t="s">
        <v>5295</v>
      </c>
      <c r="D899" s="110" t="s">
        <v>82</v>
      </c>
      <c r="E899" s="110" t="s">
        <v>5296</v>
      </c>
      <c r="F899" s="111" t="s">
        <v>5297</v>
      </c>
    </row>
    <row r="900" spans="1:6">
      <c r="A900" s="109" t="s">
        <v>5298</v>
      </c>
      <c r="B900" s="110" t="s">
        <v>5299</v>
      </c>
      <c r="C900" s="110" t="s">
        <v>5300</v>
      </c>
      <c r="D900" s="110" t="s">
        <v>81</v>
      </c>
      <c r="E900" s="110" t="s">
        <v>5301</v>
      </c>
      <c r="F900" s="111" t="s">
        <v>5302</v>
      </c>
    </row>
    <row r="901" spans="1:6">
      <c r="A901" s="109" t="s">
        <v>5303</v>
      </c>
      <c r="B901" s="110" t="s">
        <v>5304</v>
      </c>
      <c r="C901" s="110" t="s">
        <v>5305</v>
      </c>
      <c r="D901" s="110" t="s">
        <v>82</v>
      </c>
      <c r="E901" s="110" t="s">
        <v>5306</v>
      </c>
      <c r="F901" s="111" t="s">
        <v>5307</v>
      </c>
    </row>
    <row r="902" spans="1:6">
      <c r="A902" s="109" t="s">
        <v>5308</v>
      </c>
      <c r="B902" s="110" t="s">
        <v>5309</v>
      </c>
      <c r="C902" s="110" t="s">
        <v>5310</v>
      </c>
      <c r="D902" s="110" t="s">
        <v>81</v>
      </c>
      <c r="E902" s="110" t="s">
        <v>5311</v>
      </c>
      <c r="F902" s="111" t="s">
        <v>5312</v>
      </c>
    </row>
    <row r="903" spans="1:6">
      <c r="A903" s="109" t="s">
        <v>5313</v>
      </c>
      <c r="B903" s="110" t="s">
        <v>5314</v>
      </c>
      <c r="C903" s="110" t="s">
        <v>5315</v>
      </c>
      <c r="D903" s="110" t="s">
        <v>82</v>
      </c>
      <c r="E903" s="110" t="s">
        <v>5316</v>
      </c>
      <c r="F903" s="111" t="s">
        <v>5317</v>
      </c>
    </row>
    <row r="904" spans="1:6">
      <c r="A904" s="109" t="s">
        <v>5318</v>
      </c>
      <c r="B904" s="110" t="s">
        <v>5319</v>
      </c>
      <c r="C904" s="110" t="s">
        <v>5320</v>
      </c>
      <c r="D904" s="110" t="s">
        <v>82</v>
      </c>
      <c r="E904" s="110" t="s">
        <v>5321</v>
      </c>
      <c r="F904" s="111" t="s">
        <v>5322</v>
      </c>
    </row>
    <row r="905" spans="1:6">
      <c r="A905" s="109" t="s">
        <v>5323</v>
      </c>
      <c r="B905" s="110" t="s">
        <v>5324</v>
      </c>
      <c r="C905" s="110" t="s">
        <v>5325</v>
      </c>
      <c r="D905" s="110" t="s">
        <v>81</v>
      </c>
      <c r="E905" s="110" t="s">
        <v>5326</v>
      </c>
      <c r="F905" s="111" t="s">
        <v>5327</v>
      </c>
    </row>
    <row r="906" spans="1:6">
      <c r="A906" s="109" t="s">
        <v>5328</v>
      </c>
      <c r="B906" s="110" t="s">
        <v>5329</v>
      </c>
      <c r="C906" s="110" t="s">
        <v>5330</v>
      </c>
      <c r="D906" s="110" t="s">
        <v>82</v>
      </c>
      <c r="E906" s="110" t="s">
        <v>5331</v>
      </c>
      <c r="F906" s="111" t="s">
        <v>5332</v>
      </c>
    </row>
    <row r="907" spans="1:6">
      <c r="A907" s="109" t="s">
        <v>5333</v>
      </c>
      <c r="B907" s="110" t="s">
        <v>5334</v>
      </c>
      <c r="C907" s="110" t="s">
        <v>5335</v>
      </c>
      <c r="D907" s="110" t="s">
        <v>82</v>
      </c>
      <c r="E907" s="110" t="s">
        <v>5336</v>
      </c>
      <c r="F907" s="111" t="s">
        <v>5337</v>
      </c>
    </row>
    <row r="908" spans="1:6">
      <c r="A908" s="109" t="s">
        <v>5338</v>
      </c>
      <c r="B908" s="110" t="s">
        <v>5339</v>
      </c>
      <c r="C908" s="110" t="s">
        <v>5340</v>
      </c>
      <c r="D908" s="110" t="s">
        <v>81</v>
      </c>
      <c r="E908" s="110" t="s">
        <v>5341</v>
      </c>
      <c r="F908" s="111" t="s">
        <v>5342</v>
      </c>
    </row>
    <row r="909" spans="1:6">
      <c r="A909" s="109" t="s">
        <v>5343</v>
      </c>
      <c r="B909" s="110" t="s">
        <v>5344</v>
      </c>
      <c r="C909" s="110" t="s">
        <v>5345</v>
      </c>
      <c r="D909" s="110" t="s">
        <v>82</v>
      </c>
      <c r="E909" s="110" t="s">
        <v>5346</v>
      </c>
      <c r="F909" s="111" t="s">
        <v>5347</v>
      </c>
    </row>
    <row r="910" spans="1:6">
      <c r="A910" s="109" t="s">
        <v>5348</v>
      </c>
      <c r="B910" s="110" t="s">
        <v>5349</v>
      </c>
      <c r="C910" s="110" t="s">
        <v>5350</v>
      </c>
      <c r="D910" s="110" t="s">
        <v>81</v>
      </c>
      <c r="E910" s="110" t="s">
        <v>5351</v>
      </c>
      <c r="F910" s="111" t="s">
        <v>5352</v>
      </c>
    </row>
    <row r="911" spans="1:6">
      <c r="A911" s="109" t="s">
        <v>5353</v>
      </c>
      <c r="B911" s="110" t="s">
        <v>5354</v>
      </c>
      <c r="C911" s="110" t="s">
        <v>5355</v>
      </c>
      <c r="D911" s="110" t="s">
        <v>82</v>
      </c>
      <c r="E911" s="110" t="s">
        <v>5356</v>
      </c>
      <c r="F911" s="111" t="s">
        <v>5357</v>
      </c>
    </row>
    <row r="912" spans="1:6">
      <c r="A912" s="109" t="s">
        <v>5358</v>
      </c>
      <c r="B912" s="110" t="s">
        <v>5359</v>
      </c>
      <c r="C912" s="110" t="s">
        <v>5360</v>
      </c>
      <c r="D912" s="110" t="s">
        <v>81</v>
      </c>
      <c r="E912" s="110" t="s">
        <v>5361</v>
      </c>
      <c r="F912" s="111" t="s">
        <v>5362</v>
      </c>
    </row>
    <row r="913" spans="1:6">
      <c r="A913" s="109" t="s">
        <v>5363</v>
      </c>
      <c r="B913" s="110" t="s">
        <v>5364</v>
      </c>
      <c r="C913" s="110" t="s">
        <v>5365</v>
      </c>
      <c r="D913" s="110" t="s">
        <v>82</v>
      </c>
      <c r="E913" s="110" t="s">
        <v>5366</v>
      </c>
      <c r="F913" s="111" t="s">
        <v>5367</v>
      </c>
    </row>
    <row r="914" spans="1:6">
      <c r="A914" s="109" t="s">
        <v>5368</v>
      </c>
      <c r="B914" s="110" t="s">
        <v>5369</v>
      </c>
      <c r="C914" s="110" t="s">
        <v>5370</v>
      </c>
      <c r="D914" s="110" t="s">
        <v>82</v>
      </c>
      <c r="E914" s="110" t="s">
        <v>5371</v>
      </c>
      <c r="F914" s="111" t="s">
        <v>5372</v>
      </c>
    </row>
    <row r="915" spans="1:6">
      <c r="A915" s="109" t="s">
        <v>5373</v>
      </c>
      <c r="B915" s="110" t="s">
        <v>5374</v>
      </c>
      <c r="C915" s="110" t="s">
        <v>5375</v>
      </c>
      <c r="D915" s="110" t="s">
        <v>81</v>
      </c>
      <c r="E915" s="110" t="s">
        <v>5376</v>
      </c>
      <c r="F915" s="111" t="s">
        <v>5377</v>
      </c>
    </row>
    <row r="916" spans="1:6">
      <c r="A916" s="109" t="s">
        <v>5378</v>
      </c>
      <c r="B916" s="110" t="s">
        <v>5379</v>
      </c>
      <c r="C916" s="110" t="s">
        <v>5380</v>
      </c>
      <c r="D916" s="110" t="s">
        <v>82</v>
      </c>
      <c r="E916" s="110" t="s">
        <v>5381</v>
      </c>
      <c r="F916" s="111" t="s">
        <v>5382</v>
      </c>
    </row>
    <row r="917" spans="1:6">
      <c r="A917" s="109" t="s">
        <v>5383</v>
      </c>
      <c r="B917" s="110" t="s">
        <v>5384</v>
      </c>
      <c r="C917" s="110" t="s">
        <v>5385</v>
      </c>
      <c r="D917" s="110" t="s">
        <v>81</v>
      </c>
      <c r="E917" s="110" t="s">
        <v>5386</v>
      </c>
      <c r="F917" s="111" t="s">
        <v>5387</v>
      </c>
    </row>
    <row r="918" spans="1:6">
      <c r="A918" s="109" t="s">
        <v>5388</v>
      </c>
      <c r="B918" s="110" t="s">
        <v>5389</v>
      </c>
      <c r="C918" s="110" t="s">
        <v>5390</v>
      </c>
      <c r="D918" s="110" t="s">
        <v>82</v>
      </c>
      <c r="E918" s="110" t="s">
        <v>5391</v>
      </c>
      <c r="F918" s="111" t="s">
        <v>5392</v>
      </c>
    </row>
    <row r="919" spans="1:6">
      <c r="A919" s="109" t="s">
        <v>5393</v>
      </c>
      <c r="B919" s="110" t="s">
        <v>5394</v>
      </c>
      <c r="C919" s="110" t="s">
        <v>5395</v>
      </c>
      <c r="D919" s="110" t="s">
        <v>82</v>
      </c>
      <c r="E919" s="110" t="s">
        <v>5396</v>
      </c>
      <c r="F919" s="111" t="s">
        <v>5397</v>
      </c>
    </row>
    <row r="920" spans="1:6">
      <c r="A920" s="109" t="s">
        <v>5398</v>
      </c>
      <c r="B920" s="110" t="s">
        <v>5399</v>
      </c>
      <c r="C920" s="110" t="s">
        <v>5400</v>
      </c>
      <c r="D920" s="110" t="s">
        <v>82</v>
      </c>
      <c r="E920" s="110" t="s">
        <v>5401</v>
      </c>
      <c r="F920" s="111" t="s">
        <v>5402</v>
      </c>
    </row>
    <row r="921" spans="1:6">
      <c r="A921" s="109" t="s">
        <v>5403</v>
      </c>
      <c r="B921" s="110" t="s">
        <v>5404</v>
      </c>
      <c r="C921" s="110" t="s">
        <v>5405</v>
      </c>
      <c r="D921" s="110" t="s">
        <v>81</v>
      </c>
      <c r="E921" s="110" t="s">
        <v>5406</v>
      </c>
      <c r="F921" s="111" t="s">
        <v>5407</v>
      </c>
    </row>
    <row r="922" spans="1:6">
      <c r="A922" s="109" t="s">
        <v>5408</v>
      </c>
      <c r="B922" s="110" t="s">
        <v>5409</v>
      </c>
      <c r="C922" s="110" t="s">
        <v>5410</v>
      </c>
      <c r="D922" s="110" t="s">
        <v>82</v>
      </c>
      <c r="E922" s="110" t="s">
        <v>5411</v>
      </c>
      <c r="F922" s="111" t="s">
        <v>5412</v>
      </c>
    </row>
    <row r="923" spans="1:6">
      <c r="A923" s="109" t="s">
        <v>5413</v>
      </c>
      <c r="B923" s="110" t="s">
        <v>5414</v>
      </c>
      <c r="C923" s="110" t="s">
        <v>5415</v>
      </c>
      <c r="D923" s="110" t="s">
        <v>82</v>
      </c>
      <c r="E923" s="110" t="s">
        <v>5416</v>
      </c>
      <c r="F923" s="111" t="s">
        <v>5417</v>
      </c>
    </row>
    <row r="924" spans="1:6">
      <c r="A924" s="109" t="s">
        <v>5418</v>
      </c>
      <c r="B924" s="110" t="s">
        <v>5419</v>
      </c>
      <c r="C924" s="110" t="s">
        <v>5420</v>
      </c>
      <c r="D924" s="110" t="s">
        <v>82</v>
      </c>
      <c r="E924" s="110" t="s">
        <v>5421</v>
      </c>
      <c r="F924" s="111" t="s">
        <v>5422</v>
      </c>
    </row>
    <row r="925" spans="1:6">
      <c r="A925" s="109" t="s">
        <v>5423</v>
      </c>
      <c r="B925" s="110" t="s">
        <v>5424</v>
      </c>
      <c r="C925" s="110" t="s">
        <v>5425</v>
      </c>
      <c r="D925" s="110" t="s">
        <v>82</v>
      </c>
      <c r="E925" s="110" t="s">
        <v>5426</v>
      </c>
      <c r="F925" s="111" t="s">
        <v>5427</v>
      </c>
    </row>
    <row r="926" spans="1:6">
      <c r="A926" s="109" t="s">
        <v>5428</v>
      </c>
      <c r="B926" s="110" t="s">
        <v>5429</v>
      </c>
      <c r="C926" s="110" t="s">
        <v>5430</v>
      </c>
      <c r="D926" s="110" t="s">
        <v>82</v>
      </c>
      <c r="E926" s="110" t="s">
        <v>5431</v>
      </c>
      <c r="F926" s="111" t="s">
        <v>5432</v>
      </c>
    </row>
    <row r="927" spans="1:6">
      <c r="A927" s="109" t="s">
        <v>5433</v>
      </c>
      <c r="B927" s="110" t="s">
        <v>5434</v>
      </c>
      <c r="C927" s="110" t="s">
        <v>5435</v>
      </c>
      <c r="D927" s="110" t="s">
        <v>81</v>
      </c>
      <c r="E927" s="110" t="s">
        <v>5436</v>
      </c>
      <c r="F927" s="111" t="s">
        <v>5437</v>
      </c>
    </row>
    <row r="928" spans="1:6">
      <c r="A928" s="109" t="s">
        <v>5438</v>
      </c>
      <c r="B928" s="110" t="s">
        <v>5439</v>
      </c>
      <c r="C928" s="110" t="s">
        <v>5440</v>
      </c>
      <c r="D928" s="110" t="s">
        <v>81</v>
      </c>
      <c r="E928" s="110" t="s">
        <v>5441</v>
      </c>
      <c r="F928" s="111" t="s">
        <v>5442</v>
      </c>
    </row>
    <row r="929" spans="1:6">
      <c r="A929" s="109" t="s">
        <v>5443</v>
      </c>
      <c r="B929" s="110" t="s">
        <v>5444</v>
      </c>
      <c r="C929" s="110" t="s">
        <v>5445</v>
      </c>
      <c r="D929" s="110" t="s">
        <v>82</v>
      </c>
      <c r="E929" s="110" t="s">
        <v>5446</v>
      </c>
      <c r="F929" s="111" t="s">
        <v>5447</v>
      </c>
    </row>
    <row r="930" spans="1:6">
      <c r="A930" s="109" t="s">
        <v>5448</v>
      </c>
      <c r="B930" s="110" t="s">
        <v>5449</v>
      </c>
      <c r="C930" s="110" t="s">
        <v>5450</v>
      </c>
      <c r="D930" s="110" t="s">
        <v>81</v>
      </c>
      <c r="E930" s="110" t="s">
        <v>5451</v>
      </c>
      <c r="F930" s="111" t="s">
        <v>5452</v>
      </c>
    </row>
    <row r="931" spans="1:6">
      <c r="A931" s="109" t="s">
        <v>5453</v>
      </c>
      <c r="B931" s="110" t="s">
        <v>5454</v>
      </c>
      <c r="C931" s="110" t="s">
        <v>5455</v>
      </c>
      <c r="D931" s="110" t="s">
        <v>81</v>
      </c>
      <c r="E931" s="110" t="s">
        <v>5456</v>
      </c>
      <c r="F931" s="111" t="s">
        <v>5457</v>
      </c>
    </row>
    <row r="932" spans="1:6">
      <c r="A932" s="109" t="s">
        <v>5458</v>
      </c>
      <c r="B932" s="110" t="s">
        <v>5459</v>
      </c>
      <c r="C932" s="110" t="s">
        <v>5460</v>
      </c>
      <c r="D932" s="110" t="s">
        <v>82</v>
      </c>
      <c r="E932" s="110" t="s">
        <v>5461</v>
      </c>
      <c r="F932" s="111" t="s">
        <v>5462</v>
      </c>
    </row>
    <row r="933" spans="1:6">
      <c r="A933" s="109" t="s">
        <v>5463</v>
      </c>
      <c r="B933" s="110" t="s">
        <v>5464</v>
      </c>
      <c r="C933" s="110" t="s">
        <v>5465</v>
      </c>
      <c r="D933" s="110" t="s">
        <v>81</v>
      </c>
      <c r="E933" s="110" t="s">
        <v>5466</v>
      </c>
      <c r="F933" s="111" t="s">
        <v>5467</v>
      </c>
    </row>
    <row r="934" spans="1:6">
      <c r="A934" s="109" t="s">
        <v>5468</v>
      </c>
      <c r="B934" s="110" t="s">
        <v>5469</v>
      </c>
      <c r="C934" s="110" t="s">
        <v>5470</v>
      </c>
      <c r="D934" s="110" t="s">
        <v>82</v>
      </c>
      <c r="E934" s="110" t="s">
        <v>5471</v>
      </c>
      <c r="F934" s="111" t="s">
        <v>5472</v>
      </c>
    </row>
    <row r="935" spans="1:6">
      <c r="A935" s="109" t="s">
        <v>5473</v>
      </c>
      <c r="B935" s="110" t="s">
        <v>5474</v>
      </c>
      <c r="C935" s="110" t="s">
        <v>5475</v>
      </c>
      <c r="D935" s="110" t="s">
        <v>82</v>
      </c>
      <c r="E935" s="110" t="s">
        <v>5476</v>
      </c>
      <c r="F935" s="111" t="s">
        <v>5477</v>
      </c>
    </row>
    <row r="936" spans="1:6">
      <c r="A936" s="109" t="s">
        <v>5478</v>
      </c>
      <c r="B936" s="110" t="s">
        <v>5479</v>
      </c>
      <c r="C936" s="110" t="s">
        <v>5480</v>
      </c>
      <c r="D936" s="110" t="s">
        <v>81</v>
      </c>
      <c r="E936" s="110" t="s">
        <v>5481</v>
      </c>
      <c r="F936" s="111" t="s">
        <v>5482</v>
      </c>
    </row>
    <row r="937" spans="1:6">
      <c r="A937" s="109" t="s">
        <v>5483</v>
      </c>
      <c r="B937" s="110" t="s">
        <v>5484</v>
      </c>
      <c r="C937" s="110" t="s">
        <v>5485</v>
      </c>
      <c r="D937" s="110" t="s">
        <v>81</v>
      </c>
      <c r="E937" s="110" t="s">
        <v>5486</v>
      </c>
      <c r="F937" s="111" t="s">
        <v>5487</v>
      </c>
    </row>
    <row r="938" spans="1:6">
      <c r="A938" s="109" t="s">
        <v>5488</v>
      </c>
      <c r="B938" s="110" t="s">
        <v>5489</v>
      </c>
      <c r="C938" s="110" t="s">
        <v>5490</v>
      </c>
      <c r="D938" s="110" t="s">
        <v>81</v>
      </c>
      <c r="E938" s="110" t="s">
        <v>5491</v>
      </c>
      <c r="F938" s="111" t="s">
        <v>5492</v>
      </c>
    </row>
    <row r="939" spans="1:6">
      <c r="A939" s="109" t="s">
        <v>5493</v>
      </c>
      <c r="B939" s="110" t="s">
        <v>5494</v>
      </c>
      <c r="C939" s="110" t="s">
        <v>5495</v>
      </c>
      <c r="D939" s="110" t="s">
        <v>82</v>
      </c>
      <c r="E939" s="110" t="s">
        <v>5496</v>
      </c>
      <c r="F939" s="111" t="s">
        <v>5497</v>
      </c>
    </row>
    <row r="940" spans="1:6">
      <c r="A940" s="109" t="s">
        <v>5498</v>
      </c>
      <c r="B940" s="110" t="s">
        <v>5499</v>
      </c>
      <c r="C940" s="110" t="s">
        <v>5500</v>
      </c>
      <c r="D940" s="110" t="s">
        <v>82</v>
      </c>
      <c r="E940" s="110" t="s">
        <v>5501</v>
      </c>
      <c r="F940" s="111" t="s">
        <v>5502</v>
      </c>
    </row>
    <row r="941" spans="1:6">
      <c r="A941" s="109" t="s">
        <v>5503</v>
      </c>
      <c r="B941" s="110" t="s">
        <v>5504</v>
      </c>
      <c r="C941" s="110" t="s">
        <v>5505</v>
      </c>
      <c r="D941" s="110" t="s">
        <v>82</v>
      </c>
      <c r="E941" s="110" t="s">
        <v>5506</v>
      </c>
      <c r="F941" s="111" t="s">
        <v>5507</v>
      </c>
    </row>
    <row r="942" spans="1:6">
      <c r="A942" s="109" t="s">
        <v>5508</v>
      </c>
      <c r="B942" s="110" t="s">
        <v>5509</v>
      </c>
      <c r="C942" s="110" t="s">
        <v>5510</v>
      </c>
      <c r="D942" s="110" t="s">
        <v>82</v>
      </c>
      <c r="E942" s="110" t="s">
        <v>5511</v>
      </c>
      <c r="F942" s="111" t="s">
        <v>5512</v>
      </c>
    </row>
    <row r="943" spans="1:6">
      <c r="A943" s="109" t="s">
        <v>5513</v>
      </c>
      <c r="B943" s="110" t="s">
        <v>5514</v>
      </c>
      <c r="C943" s="110" t="s">
        <v>5515</v>
      </c>
      <c r="D943" s="110" t="s">
        <v>82</v>
      </c>
      <c r="E943" s="110" t="s">
        <v>5516</v>
      </c>
      <c r="F943" s="111" t="s">
        <v>5517</v>
      </c>
    </row>
    <row r="944" spans="1:6">
      <c r="A944" s="109" t="s">
        <v>5518</v>
      </c>
      <c r="B944" s="110" t="s">
        <v>5519</v>
      </c>
      <c r="C944" s="110" t="s">
        <v>5520</v>
      </c>
      <c r="D944" s="110" t="s">
        <v>81</v>
      </c>
      <c r="E944" s="110" t="s">
        <v>5521</v>
      </c>
      <c r="F944" s="111" t="s">
        <v>5522</v>
      </c>
    </row>
    <row r="945" spans="1:6">
      <c r="A945" s="109" t="s">
        <v>5523</v>
      </c>
      <c r="B945" s="110" t="s">
        <v>5524</v>
      </c>
      <c r="C945" s="110" t="s">
        <v>5525</v>
      </c>
      <c r="D945" s="110" t="s">
        <v>81</v>
      </c>
      <c r="E945" s="110" t="s">
        <v>5526</v>
      </c>
      <c r="F945" s="111" t="s">
        <v>5527</v>
      </c>
    </row>
    <row r="946" spans="1:6">
      <c r="A946" s="109" t="s">
        <v>5528</v>
      </c>
      <c r="B946" s="110" t="s">
        <v>5529</v>
      </c>
      <c r="C946" s="110" t="s">
        <v>5530</v>
      </c>
      <c r="D946" s="110" t="s">
        <v>81</v>
      </c>
      <c r="E946" s="110" t="s">
        <v>5531</v>
      </c>
      <c r="F946" s="111" t="s">
        <v>5532</v>
      </c>
    </row>
    <row r="947" spans="1:6">
      <c r="A947" s="109" t="s">
        <v>5533</v>
      </c>
      <c r="B947" s="110" t="s">
        <v>5534</v>
      </c>
      <c r="C947" s="110" t="s">
        <v>5535</v>
      </c>
      <c r="D947" s="110" t="s">
        <v>81</v>
      </c>
      <c r="E947" s="110" t="s">
        <v>5536</v>
      </c>
      <c r="F947" s="111" t="s">
        <v>5537</v>
      </c>
    </row>
    <row r="948" spans="1:6">
      <c r="A948" s="109" t="s">
        <v>5538</v>
      </c>
      <c r="B948" s="110" t="s">
        <v>5539</v>
      </c>
      <c r="C948" s="110" t="s">
        <v>5540</v>
      </c>
      <c r="D948" s="110" t="s">
        <v>82</v>
      </c>
      <c r="E948" s="110" t="s">
        <v>5541</v>
      </c>
      <c r="F948" s="111" t="s">
        <v>5542</v>
      </c>
    </row>
    <row r="949" spans="1:6">
      <c r="A949" s="109" t="s">
        <v>5543</v>
      </c>
      <c r="B949" s="110" t="s">
        <v>5544</v>
      </c>
      <c r="C949" s="110" t="s">
        <v>5545</v>
      </c>
      <c r="D949" s="110" t="s">
        <v>82</v>
      </c>
      <c r="E949" s="110" t="s">
        <v>5546</v>
      </c>
      <c r="F949" s="111" t="s">
        <v>5547</v>
      </c>
    </row>
    <row r="950" spans="1:6">
      <c r="A950" s="109" t="s">
        <v>5548</v>
      </c>
      <c r="B950" s="110" t="s">
        <v>5549</v>
      </c>
      <c r="C950" s="110" t="s">
        <v>5550</v>
      </c>
      <c r="D950" s="110" t="s">
        <v>82</v>
      </c>
      <c r="E950" s="110" t="s">
        <v>5551</v>
      </c>
      <c r="F950" s="111" t="s">
        <v>5552</v>
      </c>
    </row>
    <row r="951" spans="1:6">
      <c r="A951" s="109" t="s">
        <v>5553</v>
      </c>
      <c r="B951" s="110" t="s">
        <v>5554</v>
      </c>
      <c r="C951" s="110" t="s">
        <v>5555</v>
      </c>
      <c r="D951" s="110" t="s">
        <v>82</v>
      </c>
      <c r="E951" s="110" t="s">
        <v>5556</v>
      </c>
      <c r="F951" s="111" t="s">
        <v>5557</v>
      </c>
    </row>
    <row r="952" spans="1:6">
      <c r="A952" s="109" t="s">
        <v>5558</v>
      </c>
      <c r="B952" s="110" t="s">
        <v>5559</v>
      </c>
      <c r="C952" s="110" t="s">
        <v>5560</v>
      </c>
      <c r="D952" s="110" t="s">
        <v>82</v>
      </c>
      <c r="E952" s="110" t="s">
        <v>5561</v>
      </c>
      <c r="F952" s="111" t="s">
        <v>5562</v>
      </c>
    </row>
    <row r="953" spans="1:6">
      <c r="A953" s="109" t="s">
        <v>5563</v>
      </c>
      <c r="B953" s="110" t="s">
        <v>5564</v>
      </c>
      <c r="C953" s="110" t="s">
        <v>5565</v>
      </c>
      <c r="D953" s="110" t="s">
        <v>81</v>
      </c>
      <c r="E953" s="110" t="s">
        <v>5566</v>
      </c>
      <c r="F953" s="111" t="s">
        <v>5567</v>
      </c>
    </row>
    <row r="954" spans="1:6">
      <c r="A954" s="109" t="s">
        <v>5568</v>
      </c>
      <c r="B954" s="110" t="s">
        <v>5569</v>
      </c>
      <c r="C954" s="110" t="s">
        <v>5570</v>
      </c>
      <c r="D954" s="110" t="s">
        <v>81</v>
      </c>
      <c r="E954" s="110" t="s">
        <v>5571</v>
      </c>
      <c r="F954" s="111" t="s">
        <v>5572</v>
      </c>
    </row>
    <row r="955" spans="1:6">
      <c r="A955" s="109" t="s">
        <v>5573</v>
      </c>
      <c r="B955" s="110" t="s">
        <v>5574</v>
      </c>
      <c r="C955" s="110" t="s">
        <v>5575</v>
      </c>
      <c r="D955" s="110" t="s">
        <v>82</v>
      </c>
      <c r="E955" s="110" t="s">
        <v>5576</v>
      </c>
      <c r="F955" s="111" t="s">
        <v>5577</v>
      </c>
    </row>
    <row r="956" spans="1:6">
      <c r="A956" s="109" t="s">
        <v>5578</v>
      </c>
      <c r="B956" s="110" t="s">
        <v>5579</v>
      </c>
      <c r="C956" s="110" t="s">
        <v>5580</v>
      </c>
      <c r="D956" s="110" t="s">
        <v>81</v>
      </c>
      <c r="E956" s="110" t="s">
        <v>5581</v>
      </c>
      <c r="F956" s="111" t="s">
        <v>5582</v>
      </c>
    </row>
    <row r="957" spans="1:6">
      <c r="A957" s="109" t="s">
        <v>5583</v>
      </c>
      <c r="B957" s="110" t="s">
        <v>5584</v>
      </c>
      <c r="C957" s="110" t="s">
        <v>5585</v>
      </c>
      <c r="D957" s="110" t="s">
        <v>81</v>
      </c>
      <c r="E957" s="110" t="s">
        <v>5586</v>
      </c>
      <c r="F957" s="111" t="s">
        <v>5587</v>
      </c>
    </row>
    <row r="958" spans="1:6">
      <c r="A958" s="109" t="s">
        <v>5588</v>
      </c>
      <c r="B958" s="110" t="s">
        <v>5589</v>
      </c>
      <c r="C958" s="110" t="s">
        <v>5590</v>
      </c>
      <c r="D958" s="110" t="s">
        <v>81</v>
      </c>
      <c r="E958" s="110" t="s">
        <v>5591</v>
      </c>
      <c r="F958" s="111" t="s">
        <v>5592</v>
      </c>
    </row>
    <row r="959" spans="1:6">
      <c r="A959" s="109" t="s">
        <v>5593</v>
      </c>
      <c r="B959" s="110" t="s">
        <v>5594</v>
      </c>
      <c r="C959" s="110" t="s">
        <v>5595</v>
      </c>
      <c r="D959" s="110" t="s">
        <v>81</v>
      </c>
      <c r="E959" s="110" t="s">
        <v>5596</v>
      </c>
      <c r="F959" s="111" t="s">
        <v>5597</v>
      </c>
    </row>
    <row r="960" spans="1:6">
      <c r="A960" s="109" t="s">
        <v>5598</v>
      </c>
      <c r="B960" s="110" t="s">
        <v>5599</v>
      </c>
      <c r="C960" s="110" t="s">
        <v>5600</v>
      </c>
      <c r="D960" s="110" t="s">
        <v>81</v>
      </c>
      <c r="E960" s="110" t="s">
        <v>5601</v>
      </c>
      <c r="F960" s="111" t="s">
        <v>5602</v>
      </c>
    </row>
    <row r="961" spans="1:6">
      <c r="A961" s="109" t="s">
        <v>5603</v>
      </c>
      <c r="B961" s="110" t="s">
        <v>5604</v>
      </c>
      <c r="C961" s="110" t="s">
        <v>5605</v>
      </c>
      <c r="D961" s="110" t="s">
        <v>82</v>
      </c>
      <c r="E961" s="110" t="s">
        <v>5606</v>
      </c>
      <c r="F961" s="111" t="s">
        <v>5607</v>
      </c>
    </row>
    <row r="962" spans="1:6">
      <c r="A962" s="109" t="s">
        <v>5608</v>
      </c>
      <c r="B962" s="110" t="s">
        <v>5609</v>
      </c>
      <c r="C962" s="110" t="s">
        <v>5610</v>
      </c>
      <c r="D962" s="110" t="s">
        <v>81</v>
      </c>
      <c r="E962" s="110" t="s">
        <v>5611</v>
      </c>
      <c r="F962" s="111" t="s">
        <v>5612</v>
      </c>
    </row>
    <row r="963" spans="1:6">
      <c r="A963" s="109" t="s">
        <v>5613</v>
      </c>
      <c r="B963" s="110" t="s">
        <v>5614</v>
      </c>
      <c r="C963" s="110" t="s">
        <v>5615</v>
      </c>
      <c r="D963" s="110" t="s">
        <v>81</v>
      </c>
      <c r="E963" s="110" t="s">
        <v>5616</v>
      </c>
      <c r="F963" s="111" t="s">
        <v>5617</v>
      </c>
    </row>
    <row r="964" spans="1:6">
      <c r="A964" s="109" t="s">
        <v>5618</v>
      </c>
      <c r="B964" s="110" t="s">
        <v>5619</v>
      </c>
      <c r="C964" s="110" t="s">
        <v>5620</v>
      </c>
      <c r="D964" s="110" t="s">
        <v>82</v>
      </c>
      <c r="E964" s="110" t="s">
        <v>5621</v>
      </c>
      <c r="F964" s="111" t="s">
        <v>5622</v>
      </c>
    </row>
    <row r="965" spans="1:6">
      <c r="A965" s="109" t="s">
        <v>5623</v>
      </c>
      <c r="B965" s="110" t="s">
        <v>5624</v>
      </c>
      <c r="C965" s="110" t="s">
        <v>5625</v>
      </c>
      <c r="D965" s="110" t="s">
        <v>81</v>
      </c>
      <c r="E965" s="110" t="s">
        <v>5626</v>
      </c>
      <c r="F965" s="111" t="s">
        <v>5627</v>
      </c>
    </row>
    <row r="966" spans="1:6">
      <c r="A966" s="109" t="s">
        <v>5628</v>
      </c>
      <c r="B966" s="110" t="s">
        <v>5629</v>
      </c>
      <c r="C966" s="110" t="s">
        <v>5630</v>
      </c>
      <c r="D966" s="110" t="s">
        <v>82</v>
      </c>
      <c r="E966" s="110" t="s">
        <v>5631</v>
      </c>
      <c r="F966" s="111" t="s">
        <v>5632</v>
      </c>
    </row>
    <row r="967" spans="1:6">
      <c r="A967" s="109" t="s">
        <v>5633</v>
      </c>
      <c r="B967" s="110" t="s">
        <v>5634</v>
      </c>
      <c r="C967" s="110" t="s">
        <v>5635</v>
      </c>
      <c r="D967" s="110" t="s">
        <v>81</v>
      </c>
      <c r="E967" s="110" t="s">
        <v>5636</v>
      </c>
      <c r="F967" s="111" t="s">
        <v>5637</v>
      </c>
    </row>
    <row r="968" spans="1:6">
      <c r="A968" s="109" t="s">
        <v>5638</v>
      </c>
      <c r="B968" s="110" t="s">
        <v>5639</v>
      </c>
      <c r="C968" s="110" t="s">
        <v>5640</v>
      </c>
      <c r="D968" s="110" t="s">
        <v>81</v>
      </c>
      <c r="E968" s="110" t="s">
        <v>5641</v>
      </c>
      <c r="F968" s="111" t="s">
        <v>5642</v>
      </c>
    </row>
    <row r="969" spans="1:6">
      <c r="A969" s="109" t="s">
        <v>5643</v>
      </c>
      <c r="B969" s="110" t="s">
        <v>5644</v>
      </c>
      <c r="C969" s="110" t="s">
        <v>5645</v>
      </c>
      <c r="D969" s="110" t="s">
        <v>82</v>
      </c>
      <c r="E969" s="110" t="s">
        <v>5646</v>
      </c>
      <c r="F969" s="111" t="s">
        <v>5647</v>
      </c>
    </row>
    <row r="970" spans="1:6">
      <c r="A970" s="109" t="s">
        <v>5648</v>
      </c>
      <c r="B970" s="110" t="s">
        <v>5649</v>
      </c>
      <c r="C970" s="110" t="s">
        <v>5650</v>
      </c>
      <c r="D970" s="110" t="s">
        <v>82</v>
      </c>
      <c r="E970" s="110" t="s">
        <v>5651</v>
      </c>
      <c r="F970" s="111" t="s">
        <v>5652</v>
      </c>
    </row>
    <row r="971" spans="1:6">
      <c r="A971" s="109" t="s">
        <v>5653</v>
      </c>
      <c r="B971" s="110" t="s">
        <v>5654</v>
      </c>
      <c r="C971" s="110" t="s">
        <v>5655</v>
      </c>
      <c r="D971" s="110" t="s">
        <v>81</v>
      </c>
      <c r="E971" s="110" t="s">
        <v>5656</v>
      </c>
      <c r="F971" s="111" t="s">
        <v>5657</v>
      </c>
    </row>
    <row r="972" spans="1:6">
      <c r="A972" s="109" t="s">
        <v>5658</v>
      </c>
      <c r="B972" s="110" t="s">
        <v>5659</v>
      </c>
      <c r="C972" s="110" t="s">
        <v>5660</v>
      </c>
      <c r="D972" s="110" t="s">
        <v>82</v>
      </c>
      <c r="E972" s="110" t="s">
        <v>5661</v>
      </c>
      <c r="F972" s="111" t="s">
        <v>5662</v>
      </c>
    </row>
    <row r="973" spans="1:6">
      <c r="A973" s="109" t="s">
        <v>5663</v>
      </c>
      <c r="B973" s="110" t="s">
        <v>5664</v>
      </c>
      <c r="C973" s="110" t="s">
        <v>5665</v>
      </c>
      <c r="D973" s="110" t="s">
        <v>81</v>
      </c>
      <c r="E973" s="110" t="s">
        <v>5666</v>
      </c>
      <c r="F973" s="111" t="s">
        <v>5667</v>
      </c>
    </row>
    <row r="974" spans="1:6">
      <c r="A974" s="109" t="s">
        <v>5668</v>
      </c>
      <c r="B974" s="110" t="s">
        <v>5669</v>
      </c>
      <c r="C974" s="110" t="s">
        <v>5670</v>
      </c>
      <c r="D974" s="110" t="s">
        <v>81</v>
      </c>
      <c r="E974" s="110" t="s">
        <v>5671</v>
      </c>
      <c r="F974" s="111" t="s">
        <v>5672</v>
      </c>
    </row>
    <row r="975" spans="1:6">
      <c r="A975" s="109" t="s">
        <v>5673</v>
      </c>
      <c r="B975" s="110" t="s">
        <v>5674</v>
      </c>
      <c r="C975" s="110" t="s">
        <v>5675</v>
      </c>
      <c r="D975" s="110" t="s">
        <v>81</v>
      </c>
      <c r="E975" s="110" t="s">
        <v>5676</v>
      </c>
      <c r="F975" s="111" t="s">
        <v>5677</v>
      </c>
    </row>
    <row r="976" spans="1:6">
      <c r="A976" s="109" t="s">
        <v>5678</v>
      </c>
      <c r="B976" s="110" t="s">
        <v>5679</v>
      </c>
      <c r="C976" s="110" t="s">
        <v>5680</v>
      </c>
      <c r="D976" s="110" t="s">
        <v>82</v>
      </c>
      <c r="E976" s="110" t="s">
        <v>5681</v>
      </c>
      <c r="F976" s="111" t="s">
        <v>5682</v>
      </c>
    </row>
    <row r="977" spans="1:6">
      <c r="A977" s="109" t="s">
        <v>5683</v>
      </c>
      <c r="B977" s="110" t="s">
        <v>5684</v>
      </c>
      <c r="C977" s="110" t="s">
        <v>5685</v>
      </c>
      <c r="D977" s="110" t="s">
        <v>81</v>
      </c>
      <c r="E977" s="110" t="s">
        <v>5686</v>
      </c>
      <c r="F977" s="111" t="s">
        <v>5687</v>
      </c>
    </row>
    <row r="978" spans="1:6">
      <c r="A978" s="109" t="s">
        <v>5688</v>
      </c>
      <c r="B978" s="110" t="s">
        <v>5689</v>
      </c>
      <c r="C978" s="110" t="s">
        <v>5690</v>
      </c>
      <c r="D978" s="110" t="s">
        <v>81</v>
      </c>
      <c r="E978" s="110" t="s">
        <v>5691</v>
      </c>
      <c r="F978" s="111" t="s">
        <v>5692</v>
      </c>
    </row>
    <row r="979" spans="1:6">
      <c r="A979" s="109" t="s">
        <v>5693</v>
      </c>
      <c r="B979" s="110" t="s">
        <v>5694</v>
      </c>
      <c r="C979" s="110" t="s">
        <v>5695</v>
      </c>
      <c r="D979" s="110" t="s">
        <v>82</v>
      </c>
      <c r="E979" s="110" t="s">
        <v>5696</v>
      </c>
      <c r="F979" s="111" t="s">
        <v>5697</v>
      </c>
    </row>
    <row r="980" spans="1:6">
      <c r="A980" s="109" t="s">
        <v>5698</v>
      </c>
      <c r="B980" s="110" t="s">
        <v>5699</v>
      </c>
      <c r="C980" s="110" t="s">
        <v>5700</v>
      </c>
      <c r="D980" s="110" t="s">
        <v>81</v>
      </c>
      <c r="E980" s="110" t="s">
        <v>5701</v>
      </c>
      <c r="F980" s="111" t="s">
        <v>5702</v>
      </c>
    </row>
    <row r="981" spans="1:6">
      <c r="A981" s="109" t="s">
        <v>5703</v>
      </c>
      <c r="B981" s="110" t="s">
        <v>5704</v>
      </c>
      <c r="C981" s="110" t="s">
        <v>5705</v>
      </c>
      <c r="D981" s="110" t="s">
        <v>81</v>
      </c>
      <c r="E981" s="110" t="s">
        <v>5706</v>
      </c>
      <c r="F981" s="111" t="s">
        <v>5707</v>
      </c>
    </row>
    <row r="982" spans="1:6">
      <c r="A982" s="109" t="s">
        <v>5708</v>
      </c>
      <c r="B982" s="110" t="s">
        <v>5709</v>
      </c>
      <c r="C982" s="110" t="s">
        <v>5710</v>
      </c>
      <c r="D982" s="110" t="s">
        <v>82</v>
      </c>
      <c r="E982" s="110" t="s">
        <v>5711</v>
      </c>
      <c r="F982" s="111" t="s">
        <v>5712</v>
      </c>
    </row>
    <row r="983" spans="1:6">
      <c r="A983" s="109" t="s">
        <v>5713</v>
      </c>
      <c r="B983" s="110" t="s">
        <v>5714</v>
      </c>
      <c r="C983" s="110" t="s">
        <v>5715</v>
      </c>
      <c r="D983" s="110" t="s">
        <v>82</v>
      </c>
      <c r="E983" s="110" t="s">
        <v>5716</v>
      </c>
      <c r="F983" s="111" t="s">
        <v>5717</v>
      </c>
    </row>
    <row r="984" spans="1:6" ht="28.8" customHeight="1">
      <c r="A984" s="109" t="s">
        <v>5718</v>
      </c>
      <c r="B984" s="110" t="s">
        <v>5719</v>
      </c>
      <c r="C984" s="110" t="s">
        <v>5720</v>
      </c>
      <c r="D984" s="110" t="s">
        <v>82</v>
      </c>
      <c r="E984" s="110" t="s">
        <v>5721</v>
      </c>
      <c r="F984" s="111" t="s">
        <v>5722</v>
      </c>
    </row>
    <row r="985" spans="1:6">
      <c r="A985" s="109" t="s">
        <v>5723</v>
      </c>
      <c r="B985" s="110" t="s">
        <v>5724</v>
      </c>
      <c r="C985" s="110" t="s">
        <v>5725</v>
      </c>
      <c r="D985" s="110" t="s">
        <v>82</v>
      </c>
      <c r="E985" s="110" t="s">
        <v>5726</v>
      </c>
      <c r="F985" s="111" t="s">
        <v>5727</v>
      </c>
    </row>
    <row r="986" spans="1:6">
      <c r="A986" s="109" t="s">
        <v>5728</v>
      </c>
      <c r="B986" s="110" t="s">
        <v>5729</v>
      </c>
      <c r="C986" s="110" t="s">
        <v>5730</v>
      </c>
      <c r="D986" s="110" t="s">
        <v>81</v>
      </c>
      <c r="E986" s="110" t="s">
        <v>5731</v>
      </c>
      <c r="F986" s="111" t="s">
        <v>5732</v>
      </c>
    </row>
    <row r="987" spans="1:6">
      <c r="A987" s="109" t="s">
        <v>5733</v>
      </c>
      <c r="B987" s="110" t="s">
        <v>5734</v>
      </c>
      <c r="C987" s="110" t="s">
        <v>5735</v>
      </c>
      <c r="D987" s="110" t="s">
        <v>82</v>
      </c>
      <c r="E987" s="110" t="s">
        <v>5736</v>
      </c>
      <c r="F987" s="111" t="s">
        <v>5737</v>
      </c>
    </row>
    <row r="988" spans="1:6">
      <c r="A988" s="109" t="s">
        <v>5738</v>
      </c>
      <c r="B988" s="110" t="s">
        <v>5739</v>
      </c>
      <c r="C988" s="110" t="s">
        <v>5740</v>
      </c>
      <c r="D988" s="110" t="s">
        <v>81</v>
      </c>
      <c r="E988" s="110" t="s">
        <v>5741</v>
      </c>
      <c r="F988" s="111" t="s">
        <v>5742</v>
      </c>
    </row>
    <row r="989" spans="1:6">
      <c r="A989" s="109" t="s">
        <v>5743</v>
      </c>
      <c r="B989" s="110" t="s">
        <v>5744</v>
      </c>
      <c r="C989" s="110" t="s">
        <v>5745</v>
      </c>
      <c r="D989" s="110" t="s">
        <v>82</v>
      </c>
      <c r="E989" s="110" t="s">
        <v>5746</v>
      </c>
      <c r="F989" s="111" t="s">
        <v>5747</v>
      </c>
    </row>
    <row r="990" spans="1:6">
      <c r="A990" s="109" t="s">
        <v>5748</v>
      </c>
      <c r="B990" s="110" t="s">
        <v>5749</v>
      </c>
      <c r="C990" s="110" t="s">
        <v>5750</v>
      </c>
      <c r="D990" s="110" t="s">
        <v>82</v>
      </c>
      <c r="E990" s="110" t="s">
        <v>5751</v>
      </c>
      <c r="F990" s="111" t="s">
        <v>5752</v>
      </c>
    </row>
    <row r="991" spans="1:6">
      <c r="A991" s="109" t="s">
        <v>5753</v>
      </c>
      <c r="B991" s="110" t="s">
        <v>5754</v>
      </c>
      <c r="C991" s="110" t="s">
        <v>5755</v>
      </c>
      <c r="D991" s="110" t="s">
        <v>81</v>
      </c>
      <c r="E991" s="110" t="s">
        <v>5756</v>
      </c>
      <c r="F991" s="111" t="s">
        <v>5757</v>
      </c>
    </row>
    <row r="992" spans="1:6">
      <c r="A992" s="109" t="s">
        <v>5758</v>
      </c>
      <c r="B992" s="110" t="s">
        <v>5759</v>
      </c>
      <c r="C992" s="110" t="s">
        <v>5760</v>
      </c>
      <c r="D992" s="110" t="s">
        <v>81</v>
      </c>
      <c r="E992" s="110" t="s">
        <v>5761</v>
      </c>
      <c r="F992" s="111" t="s">
        <v>5762</v>
      </c>
    </row>
    <row r="993" spans="1:6">
      <c r="A993" s="109" t="s">
        <v>5763</v>
      </c>
      <c r="B993" s="110" t="s">
        <v>5764</v>
      </c>
      <c r="C993" s="110" t="s">
        <v>5765</v>
      </c>
      <c r="D993" s="110" t="s">
        <v>81</v>
      </c>
      <c r="E993" s="110" t="s">
        <v>5766</v>
      </c>
      <c r="F993" s="111" t="s">
        <v>5767</v>
      </c>
    </row>
    <row r="994" spans="1:6">
      <c r="A994" s="109" t="s">
        <v>5768</v>
      </c>
      <c r="B994" s="110" t="s">
        <v>5769</v>
      </c>
      <c r="C994" s="110" t="s">
        <v>5770</v>
      </c>
      <c r="D994" s="110" t="s">
        <v>81</v>
      </c>
      <c r="E994" s="110" t="s">
        <v>5771</v>
      </c>
      <c r="F994" s="111" t="s">
        <v>5772</v>
      </c>
    </row>
    <row r="995" spans="1:6">
      <c r="A995" s="109" t="s">
        <v>5773</v>
      </c>
      <c r="B995" s="110" t="s">
        <v>5774</v>
      </c>
      <c r="C995" s="110" t="s">
        <v>5775</v>
      </c>
      <c r="D995" s="110" t="s">
        <v>82</v>
      </c>
      <c r="E995" s="110" t="s">
        <v>5776</v>
      </c>
      <c r="F995" s="111" t="s">
        <v>5777</v>
      </c>
    </row>
    <row r="996" spans="1:6">
      <c r="A996" s="109" t="s">
        <v>5778</v>
      </c>
      <c r="B996" s="110" t="s">
        <v>5779</v>
      </c>
      <c r="C996" s="110" t="s">
        <v>5780</v>
      </c>
      <c r="D996" s="110" t="s">
        <v>82</v>
      </c>
      <c r="E996" s="110" t="s">
        <v>5781</v>
      </c>
      <c r="F996" s="111" t="s">
        <v>5782</v>
      </c>
    </row>
    <row r="997" spans="1:6">
      <c r="A997" s="109" t="s">
        <v>5783</v>
      </c>
      <c r="B997" s="110" t="s">
        <v>5784</v>
      </c>
      <c r="C997" s="110" t="s">
        <v>5785</v>
      </c>
      <c r="D997" s="110" t="s">
        <v>81</v>
      </c>
      <c r="E997" s="110" t="s">
        <v>5786</v>
      </c>
      <c r="F997" s="111" t="s">
        <v>5787</v>
      </c>
    </row>
    <row r="998" spans="1:6">
      <c r="A998" s="109" t="s">
        <v>5788</v>
      </c>
      <c r="B998" s="110" t="s">
        <v>5789</v>
      </c>
      <c r="C998" s="110" t="s">
        <v>5790</v>
      </c>
      <c r="D998" s="110" t="s">
        <v>82</v>
      </c>
      <c r="E998" s="110" t="s">
        <v>5791</v>
      </c>
      <c r="F998" s="111" t="s">
        <v>5792</v>
      </c>
    </row>
    <row r="999" spans="1:6">
      <c r="A999" s="109" t="s">
        <v>5793</v>
      </c>
      <c r="B999" s="110" t="s">
        <v>5794</v>
      </c>
      <c r="C999" s="110" t="s">
        <v>5795</v>
      </c>
      <c r="D999" s="110" t="s">
        <v>81</v>
      </c>
      <c r="E999" s="110" t="s">
        <v>5796</v>
      </c>
      <c r="F999" s="111" t="s">
        <v>5797</v>
      </c>
    </row>
    <row r="1000" spans="1:6">
      <c r="A1000" s="109" t="s">
        <v>5798</v>
      </c>
      <c r="B1000" s="110" t="s">
        <v>5799</v>
      </c>
      <c r="C1000" s="110" t="s">
        <v>5800</v>
      </c>
      <c r="D1000" s="110" t="s">
        <v>82</v>
      </c>
      <c r="E1000" s="110" t="s">
        <v>5801</v>
      </c>
      <c r="F1000" s="111" t="s">
        <v>5802</v>
      </c>
    </row>
    <row r="1001" spans="1:6">
      <c r="A1001" s="109" t="s">
        <v>5803</v>
      </c>
      <c r="B1001" s="110" t="s">
        <v>5804</v>
      </c>
      <c r="C1001" s="110" t="s">
        <v>5805</v>
      </c>
      <c r="D1001" s="110" t="s">
        <v>81</v>
      </c>
      <c r="E1001" s="110" t="s">
        <v>5806</v>
      </c>
      <c r="F1001" s="111" t="s">
        <v>5807</v>
      </c>
    </row>
    <row r="1002" spans="1:6">
      <c r="A1002" s="109" t="s">
        <v>5808</v>
      </c>
      <c r="B1002" s="110" t="s">
        <v>5809</v>
      </c>
      <c r="C1002" s="110" t="s">
        <v>5810</v>
      </c>
      <c r="D1002" s="110" t="s">
        <v>81</v>
      </c>
      <c r="E1002" s="110" t="s">
        <v>5811</v>
      </c>
      <c r="F1002" s="111" t="s">
        <v>5812</v>
      </c>
    </row>
    <row r="1003" spans="1:6">
      <c r="A1003" s="109" t="s">
        <v>5813</v>
      </c>
      <c r="B1003" s="110" t="s">
        <v>5814</v>
      </c>
      <c r="C1003" s="110" t="s">
        <v>5815</v>
      </c>
      <c r="D1003" s="110" t="s">
        <v>81</v>
      </c>
      <c r="E1003" s="110" t="s">
        <v>5816</v>
      </c>
      <c r="F1003" s="111" t="s">
        <v>5817</v>
      </c>
    </row>
    <row r="1004" spans="1:6">
      <c r="A1004" s="109" t="s">
        <v>5818</v>
      </c>
      <c r="B1004" s="110" t="s">
        <v>5819</v>
      </c>
      <c r="C1004" s="110" t="s">
        <v>5820</v>
      </c>
      <c r="D1004" s="110" t="s">
        <v>82</v>
      </c>
      <c r="E1004" s="110" t="s">
        <v>5821</v>
      </c>
      <c r="F1004" s="111" t="s">
        <v>5822</v>
      </c>
    </row>
    <row r="1005" spans="1:6">
      <c r="A1005" s="109" t="s">
        <v>5823</v>
      </c>
      <c r="B1005" s="110" t="s">
        <v>5824</v>
      </c>
      <c r="C1005" s="110" t="s">
        <v>5825</v>
      </c>
      <c r="D1005" s="110" t="s">
        <v>82</v>
      </c>
      <c r="E1005" s="110" t="s">
        <v>5826</v>
      </c>
      <c r="F1005" s="111" t="s">
        <v>5827</v>
      </c>
    </row>
    <row r="1006" spans="1:6">
      <c r="A1006" s="109" t="s">
        <v>5828</v>
      </c>
      <c r="B1006" s="110" t="s">
        <v>5829</v>
      </c>
      <c r="C1006" s="110" t="s">
        <v>5830</v>
      </c>
      <c r="D1006" s="110" t="s">
        <v>82</v>
      </c>
      <c r="E1006" s="110" t="s">
        <v>5831</v>
      </c>
      <c r="F1006" s="111" t="s">
        <v>5832</v>
      </c>
    </row>
    <row r="1007" spans="1:6">
      <c r="A1007" s="109" t="s">
        <v>5833</v>
      </c>
      <c r="B1007" s="110" t="s">
        <v>5834</v>
      </c>
      <c r="C1007" s="110" t="s">
        <v>5835</v>
      </c>
      <c r="D1007" s="110" t="s">
        <v>81</v>
      </c>
      <c r="E1007" s="110" t="s">
        <v>5836</v>
      </c>
      <c r="F1007" s="111" t="s">
        <v>5837</v>
      </c>
    </row>
    <row r="1008" spans="1:6">
      <c r="A1008" s="109" t="s">
        <v>5838</v>
      </c>
      <c r="B1008" s="110" t="s">
        <v>5839</v>
      </c>
      <c r="C1008" s="110" t="s">
        <v>5840</v>
      </c>
      <c r="D1008" s="110" t="s">
        <v>81</v>
      </c>
      <c r="E1008" s="110" t="s">
        <v>5841</v>
      </c>
      <c r="F1008" s="111" t="s">
        <v>5842</v>
      </c>
    </row>
    <row r="1009" spans="1:6">
      <c r="A1009" s="109" t="s">
        <v>5843</v>
      </c>
      <c r="B1009" s="110" t="s">
        <v>5844</v>
      </c>
      <c r="C1009" s="110" t="s">
        <v>5845</v>
      </c>
      <c r="D1009" s="110" t="s">
        <v>81</v>
      </c>
      <c r="E1009" s="110" t="s">
        <v>5846</v>
      </c>
      <c r="F1009" s="111" t="s">
        <v>5847</v>
      </c>
    </row>
    <row r="1010" spans="1:6">
      <c r="A1010" s="109" t="s">
        <v>5848</v>
      </c>
      <c r="B1010" s="110" t="s">
        <v>5849</v>
      </c>
      <c r="C1010" s="110" t="s">
        <v>5850</v>
      </c>
      <c r="D1010" s="110" t="s">
        <v>82</v>
      </c>
      <c r="E1010" s="110" t="s">
        <v>5851</v>
      </c>
      <c r="F1010" s="111" t="s">
        <v>5852</v>
      </c>
    </row>
    <row r="1011" spans="1:6">
      <c r="A1011" s="109" t="s">
        <v>5853</v>
      </c>
      <c r="B1011" s="110" t="s">
        <v>5854</v>
      </c>
      <c r="C1011" s="110" t="s">
        <v>5855</v>
      </c>
      <c r="D1011" s="110" t="s">
        <v>81</v>
      </c>
      <c r="E1011" s="110" t="s">
        <v>5856</v>
      </c>
      <c r="F1011" s="111" t="s">
        <v>5857</v>
      </c>
    </row>
    <row r="1012" spans="1:6">
      <c r="A1012" s="109" t="s">
        <v>5858</v>
      </c>
      <c r="B1012" s="110" t="s">
        <v>5859</v>
      </c>
      <c r="C1012" s="110" t="s">
        <v>5860</v>
      </c>
      <c r="D1012" s="110" t="s">
        <v>81</v>
      </c>
      <c r="E1012" s="110" t="s">
        <v>5861</v>
      </c>
      <c r="F1012" s="111" t="s">
        <v>5862</v>
      </c>
    </row>
    <row r="1013" spans="1:6">
      <c r="A1013" s="109" t="s">
        <v>5863</v>
      </c>
      <c r="B1013" s="110" t="s">
        <v>5864</v>
      </c>
      <c r="C1013" s="110" t="s">
        <v>5865</v>
      </c>
      <c r="D1013" s="110" t="s">
        <v>81</v>
      </c>
      <c r="E1013" s="110" t="s">
        <v>5866</v>
      </c>
      <c r="F1013" s="111" t="s">
        <v>5867</v>
      </c>
    </row>
    <row r="1014" spans="1:6">
      <c r="A1014" s="109" t="s">
        <v>5868</v>
      </c>
      <c r="B1014" s="110" t="s">
        <v>5869</v>
      </c>
      <c r="C1014" s="110" t="s">
        <v>5870</v>
      </c>
      <c r="D1014" s="110" t="s">
        <v>82</v>
      </c>
      <c r="E1014" s="110" t="s">
        <v>5871</v>
      </c>
      <c r="F1014" s="111" t="s">
        <v>5872</v>
      </c>
    </row>
    <row r="1015" spans="1:6">
      <c r="A1015" s="109" t="s">
        <v>5873</v>
      </c>
      <c r="B1015" s="110" t="s">
        <v>5874</v>
      </c>
      <c r="C1015" s="110" t="s">
        <v>5875</v>
      </c>
      <c r="D1015" s="110" t="s">
        <v>82</v>
      </c>
      <c r="E1015" s="110" t="s">
        <v>5876</v>
      </c>
      <c r="F1015" s="111" t="s">
        <v>5877</v>
      </c>
    </row>
    <row r="1016" spans="1:6">
      <c r="A1016" s="109" t="s">
        <v>5878</v>
      </c>
      <c r="B1016" s="110" t="s">
        <v>5879</v>
      </c>
      <c r="C1016" s="110" t="s">
        <v>5880</v>
      </c>
      <c r="D1016" s="110" t="s">
        <v>81</v>
      </c>
      <c r="E1016" s="110" t="s">
        <v>5881</v>
      </c>
      <c r="F1016" s="111" t="s">
        <v>5882</v>
      </c>
    </row>
    <row r="1017" spans="1:6">
      <c r="A1017" s="109" t="s">
        <v>5883</v>
      </c>
      <c r="B1017" s="110" t="s">
        <v>5884</v>
      </c>
      <c r="C1017" s="110" t="s">
        <v>5885</v>
      </c>
      <c r="D1017" s="110" t="s">
        <v>81</v>
      </c>
      <c r="E1017" s="110" t="s">
        <v>5886</v>
      </c>
      <c r="F1017" s="111" t="s">
        <v>5887</v>
      </c>
    </row>
    <row r="1018" spans="1:6">
      <c r="A1018" s="109" t="s">
        <v>5888</v>
      </c>
      <c r="B1018" s="110" t="s">
        <v>5889</v>
      </c>
      <c r="C1018" s="110" t="s">
        <v>5890</v>
      </c>
      <c r="D1018" s="110" t="s">
        <v>81</v>
      </c>
      <c r="E1018" s="110" t="s">
        <v>5891</v>
      </c>
      <c r="F1018" s="111" t="s">
        <v>5892</v>
      </c>
    </row>
    <row r="1019" spans="1:6">
      <c r="A1019" s="109" t="s">
        <v>5893</v>
      </c>
      <c r="B1019" s="110" t="s">
        <v>5894</v>
      </c>
      <c r="C1019" s="110" t="s">
        <v>5895</v>
      </c>
      <c r="D1019" s="110" t="s">
        <v>81</v>
      </c>
      <c r="E1019" s="110" t="s">
        <v>5896</v>
      </c>
      <c r="F1019" s="111" t="s">
        <v>5897</v>
      </c>
    </row>
    <row r="1020" spans="1:6">
      <c r="A1020" s="109" t="s">
        <v>5898</v>
      </c>
      <c r="B1020" s="110" t="s">
        <v>5899</v>
      </c>
      <c r="C1020" s="110" t="s">
        <v>5900</v>
      </c>
      <c r="D1020" s="110" t="s">
        <v>82</v>
      </c>
      <c r="E1020" s="110" t="s">
        <v>5901</v>
      </c>
      <c r="F1020" s="111" t="s">
        <v>5902</v>
      </c>
    </row>
    <row r="1021" spans="1:6">
      <c r="A1021" s="109" t="s">
        <v>5903</v>
      </c>
      <c r="B1021" s="110" t="s">
        <v>5904</v>
      </c>
      <c r="C1021" s="110" t="s">
        <v>5905</v>
      </c>
      <c r="D1021" s="110" t="s">
        <v>81</v>
      </c>
      <c r="E1021" s="110" t="s">
        <v>5906</v>
      </c>
      <c r="F1021" s="111" t="s">
        <v>5907</v>
      </c>
    </row>
    <row r="1022" spans="1:6">
      <c r="A1022" s="109" t="s">
        <v>5908</v>
      </c>
      <c r="B1022" s="110" t="s">
        <v>5909</v>
      </c>
      <c r="C1022" s="110" t="s">
        <v>5910</v>
      </c>
      <c r="D1022" s="110" t="s">
        <v>82</v>
      </c>
      <c r="E1022" s="110" t="s">
        <v>5911</v>
      </c>
      <c r="F1022" s="111" t="s">
        <v>5912</v>
      </c>
    </row>
    <row r="1023" spans="1:6">
      <c r="A1023" s="109" t="s">
        <v>5913</v>
      </c>
      <c r="B1023" s="110" t="s">
        <v>5914</v>
      </c>
      <c r="C1023" s="110" t="s">
        <v>5915</v>
      </c>
      <c r="D1023" s="110" t="s">
        <v>82</v>
      </c>
      <c r="E1023" s="110" t="s">
        <v>5916</v>
      </c>
      <c r="F1023" s="111" t="s">
        <v>5917</v>
      </c>
    </row>
    <row r="1024" spans="1:6">
      <c r="A1024" s="109" t="s">
        <v>5918</v>
      </c>
      <c r="B1024" s="110" t="s">
        <v>5919</v>
      </c>
      <c r="C1024" s="110" t="s">
        <v>5920</v>
      </c>
      <c r="D1024" s="110" t="s">
        <v>82</v>
      </c>
      <c r="E1024" s="110" t="s">
        <v>5921</v>
      </c>
      <c r="F1024" s="111" t="s">
        <v>5922</v>
      </c>
    </row>
    <row r="1025" spans="1:6">
      <c r="A1025" s="109" t="s">
        <v>5923</v>
      </c>
      <c r="B1025" s="110" t="s">
        <v>5924</v>
      </c>
      <c r="C1025" s="110" t="s">
        <v>5925</v>
      </c>
      <c r="D1025" s="110" t="s">
        <v>82</v>
      </c>
      <c r="E1025" s="110" t="s">
        <v>5926</v>
      </c>
      <c r="F1025" s="111" t="s">
        <v>5927</v>
      </c>
    </row>
    <row r="1026" spans="1:6">
      <c r="A1026" s="109" t="s">
        <v>5928</v>
      </c>
      <c r="B1026" s="110" t="s">
        <v>5929</v>
      </c>
      <c r="C1026" s="110" t="s">
        <v>5930</v>
      </c>
      <c r="D1026" s="110" t="s">
        <v>82</v>
      </c>
      <c r="E1026" s="110" t="s">
        <v>5931</v>
      </c>
      <c r="F1026" s="111" t="s">
        <v>5932</v>
      </c>
    </row>
    <row r="1027" spans="1:6">
      <c r="A1027" s="109" t="s">
        <v>5933</v>
      </c>
      <c r="B1027" s="110" t="s">
        <v>5934</v>
      </c>
      <c r="C1027" s="110" t="s">
        <v>5935</v>
      </c>
      <c r="D1027" s="110" t="s">
        <v>82</v>
      </c>
      <c r="E1027" s="110" t="s">
        <v>5936</v>
      </c>
      <c r="F1027" s="111" t="s">
        <v>5937</v>
      </c>
    </row>
    <row r="1028" spans="1:6">
      <c r="A1028" s="109" t="s">
        <v>5938</v>
      </c>
      <c r="B1028" s="110" t="s">
        <v>5939</v>
      </c>
      <c r="C1028" s="110" t="s">
        <v>5940</v>
      </c>
      <c r="D1028" s="110" t="s">
        <v>82</v>
      </c>
      <c r="E1028" s="110" t="s">
        <v>5941</v>
      </c>
      <c r="F1028" s="111" t="s">
        <v>5942</v>
      </c>
    </row>
    <row r="1029" spans="1:6">
      <c r="A1029" s="109" t="s">
        <v>5943</v>
      </c>
      <c r="B1029" s="110" t="s">
        <v>5944</v>
      </c>
      <c r="C1029" s="110" t="s">
        <v>5945</v>
      </c>
      <c r="D1029" s="110" t="s">
        <v>82</v>
      </c>
      <c r="E1029" s="110" t="s">
        <v>5946</v>
      </c>
      <c r="F1029" s="111" t="s">
        <v>5947</v>
      </c>
    </row>
    <row r="1030" spans="1:6">
      <c r="A1030" s="109" t="s">
        <v>5948</v>
      </c>
      <c r="B1030" s="110" t="s">
        <v>5949</v>
      </c>
      <c r="C1030" s="110" t="s">
        <v>5950</v>
      </c>
      <c r="D1030" s="110" t="s">
        <v>81</v>
      </c>
      <c r="E1030" s="110" t="s">
        <v>5951</v>
      </c>
      <c r="F1030" s="111" t="s">
        <v>5952</v>
      </c>
    </row>
    <row r="1031" spans="1:6">
      <c r="A1031" s="109" t="s">
        <v>5953</v>
      </c>
      <c r="B1031" s="110" t="s">
        <v>5954</v>
      </c>
      <c r="C1031" s="110" t="s">
        <v>5955</v>
      </c>
      <c r="D1031" s="110" t="s">
        <v>81</v>
      </c>
      <c r="E1031" s="110" t="s">
        <v>5956</v>
      </c>
      <c r="F1031" s="111" t="s">
        <v>5957</v>
      </c>
    </row>
    <row r="1032" spans="1:6">
      <c r="A1032" s="109" t="s">
        <v>5958</v>
      </c>
      <c r="B1032" s="110" t="s">
        <v>5959</v>
      </c>
      <c r="C1032" s="110" t="s">
        <v>5960</v>
      </c>
      <c r="D1032" s="110" t="s">
        <v>81</v>
      </c>
      <c r="E1032" s="110" t="s">
        <v>5961</v>
      </c>
      <c r="F1032" s="111" t="s">
        <v>5962</v>
      </c>
    </row>
    <row r="1033" spans="1:6">
      <c r="A1033" s="109" t="s">
        <v>5963</v>
      </c>
      <c r="B1033" s="110" t="s">
        <v>5964</v>
      </c>
      <c r="C1033" s="110" t="s">
        <v>5965</v>
      </c>
      <c r="D1033" s="110" t="s">
        <v>82</v>
      </c>
      <c r="E1033" s="110" t="s">
        <v>5966</v>
      </c>
      <c r="F1033" s="111" t="s">
        <v>5967</v>
      </c>
    </row>
    <row r="1034" spans="1:6">
      <c r="A1034" s="109" t="s">
        <v>5968</v>
      </c>
      <c r="B1034" s="110" t="s">
        <v>5969</v>
      </c>
      <c r="C1034" s="110" t="s">
        <v>5970</v>
      </c>
      <c r="D1034" s="110" t="s">
        <v>82</v>
      </c>
      <c r="E1034" s="110" t="s">
        <v>5971</v>
      </c>
      <c r="F1034" s="110" t="s">
        <v>5972</v>
      </c>
    </row>
    <row r="1035" spans="1:6">
      <c r="A1035" s="109" t="s">
        <v>5973</v>
      </c>
      <c r="B1035" s="110" t="s">
        <v>5974</v>
      </c>
      <c r="C1035" s="110" t="s">
        <v>5975</v>
      </c>
      <c r="D1035" s="110" t="s">
        <v>81</v>
      </c>
      <c r="E1035" s="110" t="s">
        <v>5976</v>
      </c>
      <c r="F1035" s="111" t="s">
        <v>5977</v>
      </c>
    </row>
    <row r="1036" spans="1:6">
      <c r="A1036" s="109" t="s">
        <v>5978</v>
      </c>
      <c r="B1036" s="110" t="s">
        <v>5979</v>
      </c>
      <c r="C1036" s="110" t="s">
        <v>5980</v>
      </c>
      <c r="D1036" s="110" t="s">
        <v>81</v>
      </c>
      <c r="E1036" s="110" t="s">
        <v>5981</v>
      </c>
      <c r="F1036" s="111" t="s">
        <v>5982</v>
      </c>
    </row>
    <row r="1037" spans="1:6">
      <c r="A1037" s="109" t="s">
        <v>5983</v>
      </c>
      <c r="B1037" s="110" t="s">
        <v>5984</v>
      </c>
      <c r="C1037" s="110" t="s">
        <v>5985</v>
      </c>
      <c r="D1037" s="110" t="s">
        <v>82</v>
      </c>
      <c r="E1037" s="110" t="s">
        <v>5986</v>
      </c>
      <c r="F1037" s="111" t="s">
        <v>5987</v>
      </c>
    </row>
    <row r="1038" spans="1:6">
      <c r="A1038" s="109" t="s">
        <v>5988</v>
      </c>
      <c r="B1038" s="110" t="s">
        <v>5989</v>
      </c>
      <c r="C1038" s="110" t="s">
        <v>5990</v>
      </c>
      <c r="D1038" s="110" t="s">
        <v>81</v>
      </c>
      <c r="E1038" s="110" t="s">
        <v>5991</v>
      </c>
      <c r="F1038" s="111" t="s">
        <v>5992</v>
      </c>
    </row>
    <row r="1039" spans="1:6">
      <c r="A1039" s="109" t="s">
        <v>5993</v>
      </c>
      <c r="B1039" s="110" t="s">
        <v>5994</v>
      </c>
      <c r="C1039" s="110" t="s">
        <v>5995</v>
      </c>
      <c r="D1039" s="110" t="s">
        <v>81</v>
      </c>
      <c r="E1039" s="110" t="s">
        <v>5996</v>
      </c>
      <c r="F1039" s="111" t="s">
        <v>5997</v>
      </c>
    </row>
    <row r="1040" spans="1:6">
      <c r="A1040" s="109" t="s">
        <v>5998</v>
      </c>
      <c r="B1040" s="110" t="s">
        <v>5999</v>
      </c>
      <c r="C1040" s="110" t="s">
        <v>6000</v>
      </c>
      <c r="D1040" s="110" t="s">
        <v>81</v>
      </c>
      <c r="E1040" s="110" t="s">
        <v>6001</v>
      </c>
      <c r="F1040" s="111" t="s">
        <v>6002</v>
      </c>
    </row>
    <row r="1041" spans="1:6">
      <c r="A1041" s="109" t="s">
        <v>6003</v>
      </c>
      <c r="B1041" s="110" t="s">
        <v>6004</v>
      </c>
      <c r="C1041" s="110" t="s">
        <v>6005</v>
      </c>
      <c r="D1041" s="110" t="s">
        <v>81</v>
      </c>
      <c r="E1041" s="110" t="s">
        <v>6006</v>
      </c>
      <c r="F1041" s="111" t="s">
        <v>6007</v>
      </c>
    </row>
    <row r="1042" spans="1:6">
      <c r="A1042" s="109" t="s">
        <v>6008</v>
      </c>
      <c r="B1042" s="110" t="s">
        <v>6009</v>
      </c>
      <c r="C1042" s="110" t="s">
        <v>6010</v>
      </c>
      <c r="D1042" s="110" t="s">
        <v>81</v>
      </c>
      <c r="E1042" s="110" t="s">
        <v>6011</v>
      </c>
      <c r="F1042" s="111" t="s">
        <v>6012</v>
      </c>
    </row>
    <row r="1043" spans="1:6">
      <c r="A1043" s="109" t="s">
        <v>6013</v>
      </c>
      <c r="B1043" s="110" t="s">
        <v>6014</v>
      </c>
      <c r="C1043" s="110" t="s">
        <v>6015</v>
      </c>
      <c r="D1043" s="110" t="s">
        <v>81</v>
      </c>
      <c r="E1043" s="110" t="s">
        <v>6016</v>
      </c>
      <c r="F1043" s="111" t="s">
        <v>6017</v>
      </c>
    </row>
    <row r="1044" spans="1:6">
      <c r="A1044" s="109" t="s">
        <v>6018</v>
      </c>
      <c r="B1044" s="110" t="s">
        <v>6019</v>
      </c>
      <c r="C1044" s="110" t="s">
        <v>6020</v>
      </c>
      <c r="D1044" s="110" t="s">
        <v>82</v>
      </c>
      <c r="E1044" s="110" t="s">
        <v>6021</v>
      </c>
      <c r="F1044" s="111" t="s">
        <v>6022</v>
      </c>
    </row>
    <row r="1045" spans="1:6">
      <c r="A1045" s="109" t="s">
        <v>6023</v>
      </c>
      <c r="B1045" s="110" t="s">
        <v>6024</v>
      </c>
      <c r="C1045" s="110" t="s">
        <v>6025</v>
      </c>
      <c r="D1045" s="110" t="s">
        <v>81</v>
      </c>
      <c r="E1045" s="110" t="s">
        <v>6026</v>
      </c>
      <c r="F1045" s="111" t="s">
        <v>6027</v>
      </c>
    </row>
    <row r="1046" spans="1:6">
      <c r="A1046" s="109" t="s">
        <v>6028</v>
      </c>
      <c r="B1046" s="110" t="s">
        <v>6029</v>
      </c>
      <c r="C1046" s="110" t="s">
        <v>6030</v>
      </c>
      <c r="D1046" s="110" t="s">
        <v>81</v>
      </c>
      <c r="E1046" s="110" t="s">
        <v>6031</v>
      </c>
      <c r="F1046" s="111" t="s">
        <v>6032</v>
      </c>
    </row>
    <row r="1047" spans="1:6">
      <c r="A1047" s="109" t="s">
        <v>6033</v>
      </c>
      <c r="B1047" s="110" t="s">
        <v>6034</v>
      </c>
      <c r="C1047" s="110" t="s">
        <v>6035</v>
      </c>
      <c r="D1047" s="110" t="s">
        <v>81</v>
      </c>
      <c r="E1047" s="110" t="s">
        <v>6036</v>
      </c>
      <c r="F1047" s="111" t="s">
        <v>6037</v>
      </c>
    </row>
    <row r="1048" spans="1:6">
      <c r="A1048" s="109" t="s">
        <v>6038</v>
      </c>
      <c r="B1048" s="110" t="s">
        <v>6039</v>
      </c>
      <c r="C1048" s="110" t="s">
        <v>6040</v>
      </c>
      <c r="D1048" s="110" t="s">
        <v>82</v>
      </c>
      <c r="E1048" s="110" t="s">
        <v>6041</v>
      </c>
      <c r="F1048" s="111" t="s">
        <v>6042</v>
      </c>
    </row>
    <row r="1049" spans="1:6">
      <c r="A1049" s="109" t="s">
        <v>6043</v>
      </c>
      <c r="B1049" s="110" t="s">
        <v>6044</v>
      </c>
      <c r="C1049" s="110" t="s">
        <v>6045</v>
      </c>
      <c r="D1049" s="110" t="s">
        <v>81</v>
      </c>
      <c r="E1049" s="110" t="s">
        <v>6046</v>
      </c>
      <c r="F1049" s="111" t="s">
        <v>6047</v>
      </c>
    </row>
    <row r="1050" spans="1:6">
      <c r="A1050" s="109" t="s">
        <v>6048</v>
      </c>
      <c r="B1050" s="110" t="s">
        <v>6049</v>
      </c>
      <c r="C1050" s="110" t="s">
        <v>6050</v>
      </c>
      <c r="D1050" s="110" t="s">
        <v>81</v>
      </c>
      <c r="E1050" s="110" t="s">
        <v>6051</v>
      </c>
      <c r="F1050" s="111" t="s">
        <v>6052</v>
      </c>
    </row>
    <row r="1051" spans="1:6">
      <c r="A1051" s="109" t="s">
        <v>6053</v>
      </c>
      <c r="B1051" s="110" t="s">
        <v>6054</v>
      </c>
      <c r="C1051" s="110" t="s">
        <v>6055</v>
      </c>
      <c r="D1051" s="110" t="s">
        <v>81</v>
      </c>
      <c r="E1051" s="110" t="s">
        <v>6056</v>
      </c>
      <c r="F1051" s="111" t="s">
        <v>6057</v>
      </c>
    </row>
    <row r="1052" spans="1:6">
      <c r="A1052" s="109" t="s">
        <v>6058</v>
      </c>
      <c r="B1052" s="110" t="s">
        <v>6059</v>
      </c>
      <c r="C1052" s="110" t="s">
        <v>6060</v>
      </c>
      <c r="D1052" s="110" t="s">
        <v>81</v>
      </c>
      <c r="E1052" s="110" t="s">
        <v>6061</v>
      </c>
      <c r="F1052" s="111" t="s">
        <v>6062</v>
      </c>
    </row>
    <row r="1053" spans="1:6">
      <c r="A1053" s="109" t="s">
        <v>6063</v>
      </c>
      <c r="B1053" s="110" t="s">
        <v>6064</v>
      </c>
      <c r="C1053" s="110" t="s">
        <v>6065</v>
      </c>
      <c r="D1053" s="110" t="s">
        <v>82</v>
      </c>
      <c r="E1053" s="110" t="s">
        <v>6066</v>
      </c>
      <c r="F1053" s="111" t="s">
        <v>6067</v>
      </c>
    </row>
    <row r="1054" spans="1:6">
      <c r="A1054" s="109" t="s">
        <v>6068</v>
      </c>
      <c r="B1054" s="110" t="s">
        <v>6069</v>
      </c>
      <c r="C1054" s="110" t="s">
        <v>6070</v>
      </c>
      <c r="D1054" s="110" t="s">
        <v>81</v>
      </c>
      <c r="E1054" s="110" t="s">
        <v>6071</v>
      </c>
      <c r="F1054" s="111" t="s">
        <v>6072</v>
      </c>
    </row>
    <row r="1055" spans="1:6">
      <c r="A1055" s="109" t="s">
        <v>6073</v>
      </c>
      <c r="B1055" s="110" t="s">
        <v>6074</v>
      </c>
      <c r="C1055" s="110" t="s">
        <v>6075</v>
      </c>
      <c r="D1055" s="110" t="s">
        <v>82</v>
      </c>
      <c r="E1055" s="110" t="s">
        <v>6076</v>
      </c>
      <c r="F1055" s="111" t="s">
        <v>6077</v>
      </c>
    </row>
    <row r="1056" spans="1:6">
      <c r="A1056" s="109" t="s">
        <v>6078</v>
      </c>
      <c r="B1056" s="110" t="s">
        <v>6079</v>
      </c>
      <c r="C1056" s="110" t="s">
        <v>6080</v>
      </c>
      <c r="D1056" s="110" t="s">
        <v>82</v>
      </c>
      <c r="E1056" s="110" t="s">
        <v>6081</v>
      </c>
      <c r="F1056" s="111" t="s">
        <v>6082</v>
      </c>
    </row>
    <row r="1057" spans="1:6">
      <c r="A1057" s="109" t="s">
        <v>6083</v>
      </c>
      <c r="B1057" s="110" t="s">
        <v>6084</v>
      </c>
      <c r="C1057" s="110" t="s">
        <v>6085</v>
      </c>
      <c r="D1057" s="110" t="s">
        <v>81</v>
      </c>
      <c r="E1057" s="110" t="s">
        <v>6086</v>
      </c>
      <c r="F1057" s="111" t="s">
        <v>6087</v>
      </c>
    </row>
    <row r="1058" spans="1:6">
      <c r="A1058" s="109" t="s">
        <v>6088</v>
      </c>
      <c r="B1058" s="110" t="s">
        <v>6089</v>
      </c>
      <c r="C1058" s="110" t="s">
        <v>6090</v>
      </c>
      <c r="D1058" s="110" t="s">
        <v>81</v>
      </c>
      <c r="E1058" s="110" t="s">
        <v>6091</v>
      </c>
      <c r="F1058" s="111" t="s">
        <v>6092</v>
      </c>
    </row>
    <row r="1059" spans="1:6">
      <c r="A1059" s="109" t="s">
        <v>6093</v>
      </c>
      <c r="B1059" s="110" t="s">
        <v>6094</v>
      </c>
      <c r="C1059" s="110" t="s">
        <v>6095</v>
      </c>
      <c r="D1059" s="110" t="s">
        <v>81</v>
      </c>
      <c r="E1059" s="110" t="s">
        <v>6096</v>
      </c>
      <c r="F1059" s="111" t="s">
        <v>6097</v>
      </c>
    </row>
    <row r="1060" spans="1:6">
      <c r="A1060" s="109" t="s">
        <v>6098</v>
      </c>
      <c r="B1060" s="110" t="s">
        <v>6099</v>
      </c>
      <c r="C1060" s="110" t="s">
        <v>6100</v>
      </c>
      <c r="D1060" s="110" t="s">
        <v>82</v>
      </c>
      <c r="E1060" s="110" t="s">
        <v>6101</v>
      </c>
      <c r="F1060" s="111" t="s">
        <v>6102</v>
      </c>
    </row>
    <row r="1061" spans="1:6">
      <c r="A1061" s="109" t="s">
        <v>6103</v>
      </c>
      <c r="B1061" s="110" t="s">
        <v>6104</v>
      </c>
      <c r="C1061" s="110" t="s">
        <v>6105</v>
      </c>
      <c r="D1061" s="110" t="s">
        <v>81</v>
      </c>
      <c r="E1061" s="110" t="s">
        <v>6106</v>
      </c>
      <c r="F1061" s="111" t="s">
        <v>6107</v>
      </c>
    </row>
    <row r="1062" spans="1:6">
      <c r="A1062" s="109" t="s">
        <v>6108</v>
      </c>
      <c r="B1062" s="110" t="s">
        <v>6109</v>
      </c>
      <c r="C1062" s="110" t="s">
        <v>6110</v>
      </c>
      <c r="D1062" s="110" t="s">
        <v>82</v>
      </c>
      <c r="E1062" s="110" t="s">
        <v>6111</v>
      </c>
      <c r="F1062" s="111" t="s">
        <v>6112</v>
      </c>
    </row>
    <row r="1063" spans="1:6">
      <c r="A1063" s="109" t="s">
        <v>6113</v>
      </c>
      <c r="B1063" s="110" t="s">
        <v>6114</v>
      </c>
      <c r="C1063" s="110" t="s">
        <v>6115</v>
      </c>
      <c r="D1063" s="110" t="s">
        <v>81</v>
      </c>
      <c r="E1063" s="110" t="s">
        <v>6116</v>
      </c>
      <c r="F1063" s="111" t="s">
        <v>6117</v>
      </c>
    </row>
    <row r="1064" spans="1:6">
      <c r="A1064" s="109" t="s">
        <v>6118</v>
      </c>
      <c r="B1064" s="110" t="s">
        <v>6119</v>
      </c>
      <c r="C1064" s="110" t="s">
        <v>6120</v>
      </c>
      <c r="D1064" s="110" t="s">
        <v>81</v>
      </c>
      <c r="E1064" s="110" t="s">
        <v>6121</v>
      </c>
      <c r="F1064" s="111" t="s">
        <v>6122</v>
      </c>
    </row>
    <row r="1065" spans="1:6">
      <c r="A1065" s="109" t="s">
        <v>6123</v>
      </c>
      <c r="B1065" s="110" t="s">
        <v>6124</v>
      </c>
      <c r="C1065" s="110" t="s">
        <v>6125</v>
      </c>
      <c r="D1065" s="110" t="s">
        <v>82</v>
      </c>
      <c r="E1065" s="110" t="s">
        <v>6126</v>
      </c>
      <c r="F1065" s="111" t="s">
        <v>6127</v>
      </c>
    </row>
    <row r="1066" spans="1:6">
      <c r="A1066" s="109" t="s">
        <v>6128</v>
      </c>
      <c r="B1066" s="110" t="s">
        <v>6129</v>
      </c>
      <c r="C1066" s="110" t="s">
        <v>6130</v>
      </c>
      <c r="D1066" s="110" t="s">
        <v>82</v>
      </c>
      <c r="E1066" s="110" t="s">
        <v>6131</v>
      </c>
      <c r="F1066" s="111" t="s">
        <v>6132</v>
      </c>
    </row>
    <row r="1067" spans="1:6">
      <c r="A1067" s="109" t="s">
        <v>6133</v>
      </c>
      <c r="B1067" s="110" t="s">
        <v>6134</v>
      </c>
      <c r="C1067" s="110" t="s">
        <v>6135</v>
      </c>
      <c r="D1067" s="110" t="s">
        <v>81</v>
      </c>
      <c r="E1067" s="110" t="s">
        <v>6136</v>
      </c>
      <c r="F1067" s="111" t="s">
        <v>6137</v>
      </c>
    </row>
    <row r="1068" spans="1:6">
      <c r="A1068" s="109" t="s">
        <v>6138</v>
      </c>
      <c r="B1068" s="110" t="s">
        <v>6139</v>
      </c>
      <c r="C1068" s="110" t="s">
        <v>6140</v>
      </c>
      <c r="D1068" s="110" t="s">
        <v>82</v>
      </c>
      <c r="E1068" s="110" t="s">
        <v>6141</v>
      </c>
      <c r="F1068" s="111" t="s">
        <v>6142</v>
      </c>
    </row>
    <row r="1069" spans="1:6">
      <c r="A1069" s="109" t="s">
        <v>6143</v>
      </c>
      <c r="B1069" s="110" t="s">
        <v>6144</v>
      </c>
      <c r="C1069" s="110" t="s">
        <v>6145</v>
      </c>
      <c r="D1069" s="110" t="s">
        <v>82</v>
      </c>
      <c r="E1069" s="110" t="s">
        <v>6146</v>
      </c>
      <c r="F1069" s="111" t="s">
        <v>6147</v>
      </c>
    </row>
    <row r="1070" spans="1:6">
      <c r="A1070" s="109" t="s">
        <v>6148</v>
      </c>
      <c r="B1070" s="110" t="s">
        <v>6149</v>
      </c>
      <c r="C1070" s="110" t="s">
        <v>6150</v>
      </c>
      <c r="D1070" s="110" t="s">
        <v>81</v>
      </c>
      <c r="E1070" s="110" t="s">
        <v>6151</v>
      </c>
      <c r="F1070" s="111" t="s">
        <v>6152</v>
      </c>
    </row>
    <row r="1071" spans="1:6">
      <c r="A1071" s="109" t="s">
        <v>6153</v>
      </c>
      <c r="B1071" s="110" t="s">
        <v>6154</v>
      </c>
      <c r="C1071" s="110" t="s">
        <v>6155</v>
      </c>
      <c r="D1071" s="110" t="s">
        <v>81</v>
      </c>
      <c r="E1071" s="110" t="s">
        <v>6156</v>
      </c>
      <c r="F1071" s="111" t="s">
        <v>6157</v>
      </c>
    </row>
    <row r="1072" spans="1:6">
      <c r="A1072" s="109" t="s">
        <v>6158</v>
      </c>
      <c r="B1072" s="110" t="s">
        <v>6159</v>
      </c>
      <c r="C1072" s="110" t="s">
        <v>6160</v>
      </c>
      <c r="D1072" s="110" t="s">
        <v>81</v>
      </c>
      <c r="E1072" s="110" t="s">
        <v>6161</v>
      </c>
      <c r="F1072" s="111" t="s">
        <v>6162</v>
      </c>
    </row>
    <row r="1073" spans="1:6">
      <c r="A1073" s="109" t="s">
        <v>6163</v>
      </c>
      <c r="B1073" s="110" t="s">
        <v>6164</v>
      </c>
      <c r="C1073" s="110" t="s">
        <v>6165</v>
      </c>
      <c r="D1073" s="110" t="s">
        <v>81</v>
      </c>
      <c r="E1073" s="110" t="s">
        <v>6166</v>
      </c>
      <c r="F1073" s="111" t="s">
        <v>6167</v>
      </c>
    </row>
    <row r="1074" spans="1:6">
      <c r="A1074" s="109" t="s">
        <v>6168</v>
      </c>
      <c r="B1074" s="110" t="s">
        <v>6169</v>
      </c>
      <c r="C1074" s="110" t="s">
        <v>6170</v>
      </c>
      <c r="D1074" s="110" t="s">
        <v>81</v>
      </c>
      <c r="E1074" s="110" t="s">
        <v>6171</v>
      </c>
      <c r="F1074" s="111" t="s">
        <v>6172</v>
      </c>
    </row>
    <row r="1075" spans="1:6">
      <c r="A1075" s="109" t="s">
        <v>6173</v>
      </c>
      <c r="B1075" s="110" t="s">
        <v>6174</v>
      </c>
      <c r="C1075" s="110" t="s">
        <v>6175</v>
      </c>
      <c r="D1075" s="110" t="s">
        <v>81</v>
      </c>
      <c r="E1075" s="110" t="s">
        <v>6176</v>
      </c>
      <c r="F1075" s="111" t="s">
        <v>6177</v>
      </c>
    </row>
    <row r="1076" spans="1:6">
      <c r="A1076" s="109" t="s">
        <v>6178</v>
      </c>
      <c r="B1076" s="110" t="s">
        <v>6179</v>
      </c>
      <c r="C1076" s="110" t="s">
        <v>6180</v>
      </c>
      <c r="D1076" s="110" t="s">
        <v>81</v>
      </c>
      <c r="E1076" s="110" t="s">
        <v>6181</v>
      </c>
      <c r="F1076" s="111" t="s">
        <v>6182</v>
      </c>
    </row>
    <row r="1077" spans="1:6">
      <c r="A1077" s="109" t="s">
        <v>6183</v>
      </c>
      <c r="B1077" s="110" t="s">
        <v>6184</v>
      </c>
      <c r="C1077" s="110" t="s">
        <v>6185</v>
      </c>
      <c r="D1077" s="110" t="s">
        <v>81</v>
      </c>
      <c r="E1077" s="110" t="s">
        <v>6186</v>
      </c>
      <c r="F1077" s="111" t="s">
        <v>6187</v>
      </c>
    </row>
    <row r="1078" spans="1:6">
      <c r="A1078" s="109" t="s">
        <v>6188</v>
      </c>
      <c r="B1078" s="110" t="s">
        <v>6189</v>
      </c>
      <c r="C1078" s="110" t="s">
        <v>6190</v>
      </c>
      <c r="D1078" s="110" t="s">
        <v>81</v>
      </c>
      <c r="E1078" s="110" t="s">
        <v>6191</v>
      </c>
      <c r="F1078" s="111" t="s">
        <v>6192</v>
      </c>
    </row>
    <row r="1079" spans="1:6">
      <c r="A1079" s="109" t="s">
        <v>6193</v>
      </c>
      <c r="B1079" s="110" t="s">
        <v>6194</v>
      </c>
      <c r="C1079" s="110" t="s">
        <v>6195</v>
      </c>
      <c r="D1079" s="110" t="s">
        <v>81</v>
      </c>
      <c r="E1079" s="110" t="s">
        <v>6196</v>
      </c>
      <c r="F1079" s="111" t="s">
        <v>6197</v>
      </c>
    </row>
    <row r="1080" spans="1:6">
      <c r="A1080" s="109" t="s">
        <v>6198</v>
      </c>
      <c r="B1080" s="110" t="s">
        <v>6199</v>
      </c>
      <c r="C1080" s="110" t="s">
        <v>6200</v>
      </c>
      <c r="D1080" s="110" t="s">
        <v>81</v>
      </c>
      <c r="E1080" s="110" t="s">
        <v>6201</v>
      </c>
      <c r="F1080" s="111" t="s">
        <v>6202</v>
      </c>
    </row>
    <row r="1081" spans="1:6">
      <c r="A1081" s="109" t="s">
        <v>6203</v>
      </c>
      <c r="B1081" s="110" t="s">
        <v>6204</v>
      </c>
      <c r="C1081" s="110" t="s">
        <v>6205</v>
      </c>
      <c r="D1081" s="110" t="s">
        <v>81</v>
      </c>
      <c r="E1081" s="110" t="s">
        <v>6206</v>
      </c>
      <c r="F1081" s="111" t="s">
        <v>6207</v>
      </c>
    </row>
    <row r="1082" spans="1:6">
      <c r="A1082" s="109" t="s">
        <v>6208</v>
      </c>
      <c r="B1082" s="110" t="s">
        <v>6209</v>
      </c>
      <c r="C1082" s="110" t="s">
        <v>6210</v>
      </c>
      <c r="D1082" s="110" t="s">
        <v>81</v>
      </c>
      <c r="E1082" s="110" t="s">
        <v>6211</v>
      </c>
      <c r="F1082" s="111" t="s">
        <v>6212</v>
      </c>
    </row>
    <row r="1083" spans="1:6">
      <c r="A1083" s="109" t="s">
        <v>6213</v>
      </c>
      <c r="B1083" s="110" t="s">
        <v>6214</v>
      </c>
      <c r="C1083" s="110" t="s">
        <v>6215</v>
      </c>
      <c r="D1083" s="110" t="s">
        <v>81</v>
      </c>
      <c r="E1083" s="110" t="s">
        <v>6216</v>
      </c>
      <c r="F1083" s="111" t="s">
        <v>6217</v>
      </c>
    </row>
    <row r="1084" spans="1:6">
      <c r="A1084" s="109" t="s">
        <v>6218</v>
      </c>
      <c r="B1084" s="110" t="s">
        <v>6219</v>
      </c>
      <c r="C1084" s="110" t="s">
        <v>6220</v>
      </c>
      <c r="D1084" s="110" t="s">
        <v>81</v>
      </c>
      <c r="E1084" s="110" t="s">
        <v>6221</v>
      </c>
      <c r="F1084" s="111" t="s">
        <v>6222</v>
      </c>
    </row>
    <row r="1085" spans="1:6">
      <c r="A1085" s="109" t="s">
        <v>6223</v>
      </c>
      <c r="B1085" s="110" t="s">
        <v>6224</v>
      </c>
      <c r="C1085" s="110" t="s">
        <v>6225</v>
      </c>
      <c r="D1085" s="110" t="s">
        <v>81</v>
      </c>
      <c r="E1085" s="110" t="s">
        <v>6226</v>
      </c>
      <c r="F1085" s="111" t="s">
        <v>6227</v>
      </c>
    </row>
    <row r="1086" spans="1:6">
      <c r="A1086" s="109" t="s">
        <v>6228</v>
      </c>
      <c r="B1086" s="110" t="s">
        <v>6229</v>
      </c>
      <c r="C1086" s="110" t="s">
        <v>6230</v>
      </c>
      <c r="D1086" s="110" t="s">
        <v>82</v>
      </c>
      <c r="E1086" s="110" t="s">
        <v>6231</v>
      </c>
      <c r="F1086" s="111" t="s">
        <v>6232</v>
      </c>
    </row>
    <row r="1087" spans="1:6">
      <c r="A1087" s="109" t="s">
        <v>6233</v>
      </c>
      <c r="B1087" s="110" t="s">
        <v>6234</v>
      </c>
      <c r="C1087" s="110" t="s">
        <v>6235</v>
      </c>
      <c r="D1087" s="110" t="s">
        <v>82</v>
      </c>
      <c r="E1087" s="110" t="s">
        <v>6236</v>
      </c>
      <c r="F1087" s="111" t="s">
        <v>6237</v>
      </c>
    </row>
    <row r="1088" spans="1:6">
      <c r="A1088" s="109" t="s">
        <v>6238</v>
      </c>
      <c r="B1088" s="110" t="s">
        <v>6239</v>
      </c>
      <c r="C1088" s="110" t="s">
        <v>6240</v>
      </c>
      <c r="D1088" s="110" t="s">
        <v>81</v>
      </c>
      <c r="E1088" s="110" t="s">
        <v>6241</v>
      </c>
      <c r="F1088" s="111" t="s">
        <v>6242</v>
      </c>
    </row>
    <row r="1089" spans="1:6">
      <c r="A1089" s="109" t="s">
        <v>6243</v>
      </c>
      <c r="B1089" s="110" t="s">
        <v>6244</v>
      </c>
      <c r="C1089" s="110" t="s">
        <v>6245</v>
      </c>
      <c r="D1089" s="110" t="s">
        <v>81</v>
      </c>
      <c r="E1089" s="110" t="s">
        <v>6246</v>
      </c>
      <c r="F1089" s="111" t="s">
        <v>6247</v>
      </c>
    </row>
    <row r="1090" spans="1:6">
      <c r="A1090" s="109" t="s">
        <v>6248</v>
      </c>
      <c r="B1090" s="110" t="s">
        <v>6249</v>
      </c>
      <c r="C1090" s="110" t="s">
        <v>6250</v>
      </c>
      <c r="D1090" s="110" t="s">
        <v>82</v>
      </c>
      <c r="E1090" s="110" t="s">
        <v>6251</v>
      </c>
      <c r="F1090" s="111" t="s">
        <v>6252</v>
      </c>
    </row>
    <row r="1091" spans="1:6">
      <c r="A1091" s="109" t="s">
        <v>6253</v>
      </c>
      <c r="B1091" s="110" t="s">
        <v>6254</v>
      </c>
      <c r="C1091" s="110" t="s">
        <v>6255</v>
      </c>
      <c r="D1091" s="110" t="s">
        <v>81</v>
      </c>
      <c r="E1091" s="110" t="s">
        <v>6256</v>
      </c>
      <c r="F1091" s="111" t="s">
        <v>6257</v>
      </c>
    </row>
    <row r="1092" spans="1:6">
      <c r="A1092" s="109" t="s">
        <v>6258</v>
      </c>
      <c r="B1092" s="110" t="s">
        <v>6259</v>
      </c>
      <c r="C1092" s="110" t="s">
        <v>6260</v>
      </c>
      <c r="D1092" s="110" t="s">
        <v>81</v>
      </c>
      <c r="E1092" s="110" t="s">
        <v>6261</v>
      </c>
      <c r="F1092" s="111" t="s">
        <v>6262</v>
      </c>
    </row>
    <row r="1093" spans="1:6">
      <c r="A1093" s="109" t="s">
        <v>6263</v>
      </c>
      <c r="B1093" s="110" t="s">
        <v>6264</v>
      </c>
      <c r="C1093" s="110" t="s">
        <v>6265</v>
      </c>
      <c r="D1093" s="110" t="s">
        <v>81</v>
      </c>
      <c r="E1093" s="110" t="s">
        <v>6266</v>
      </c>
      <c r="F1093" s="111" t="s">
        <v>6267</v>
      </c>
    </row>
    <row r="1094" spans="1:6">
      <c r="A1094" s="109" t="s">
        <v>6268</v>
      </c>
      <c r="B1094" s="110" t="s">
        <v>6269</v>
      </c>
      <c r="C1094" s="110" t="s">
        <v>6270</v>
      </c>
      <c r="D1094" s="110" t="s">
        <v>81</v>
      </c>
      <c r="E1094" s="110" t="s">
        <v>6271</v>
      </c>
      <c r="F1094" s="111" t="s">
        <v>6272</v>
      </c>
    </row>
    <row r="1095" spans="1:6">
      <c r="A1095" s="109" t="s">
        <v>6273</v>
      </c>
      <c r="B1095" s="110" t="s">
        <v>6274</v>
      </c>
      <c r="C1095" s="110" t="s">
        <v>6275</v>
      </c>
      <c r="D1095" s="110" t="s">
        <v>81</v>
      </c>
      <c r="E1095" s="110" t="s">
        <v>6276</v>
      </c>
      <c r="F1095" s="111" t="s">
        <v>6277</v>
      </c>
    </row>
    <row r="1096" spans="1:6">
      <c r="A1096" s="109" t="s">
        <v>6278</v>
      </c>
      <c r="B1096" s="110" t="s">
        <v>6279</v>
      </c>
      <c r="C1096" s="110" t="s">
        <v>6280</v>
      </c>
      <c r="D1096" s="110" t="s">
        <v>81</v>
      </c>
      <c r="E1096" s="110" t="s">
        <v>6281</v>
      </c>
      <c r="F1096" s="111" t="s">
        <v>6282</v>
      </c>
    </row>
    <row r="1097" spans="1:6">
      <c r="A1097" s="109" t="s">
        <v>6283</v>
      </c>
      <c r="B1097" s="110" t="s">
        <v>6284</v>
      </c>
      <c r="C1097" s="110" t="s">
        <v>6285</v>
      </c>
      <c r="D1097" s="110" t="s">
        <v>81</v>
      </c>
      <c r="E1097" s="110" t="s">
        <v>6286</v>
      </c>
      <c r="F1097" s="111" t="s">
        <v>6287</v>
      </c>
    </row>
    <row r="1098" spans="1:6">
      <c r="A1098" s="109" t="s">
        <v>6288</v>
      </c>
      <c r="B1098" s="110" t="s">
        <v>6289</v>
      </c>
      <c r="C1098" s="110" t="s">
        <v>6290</v>
      </c>
      <c r="D1098" s="110" t="s">
        <v>81</v>
      </c>
      <c r="E1098" s="110" t="s">
        <v>6291</v>
      </c>
      <c r="F1098" s="111" t="s">
        <v>6292</v>
      </c>
    </row>
    <row r="1099" spans="1:6">
      <c r="A1099" s="109" t="s">
        <v>6293</v>
      </c>
      <c r="B1099" s="110" t="s">
        <v>6294</v>
      </c>
      <c r="C1099" s="110" t="s">
        <v>6295</v>
      </c>
      <c r="D1099" s="110" t="s">
        <v>81</v>
      </c>
      <c r="E1099" s="110" t="s">
        <v>6296</v>
      </c>
      <c r="F1099" s="111" t="s">
        <v>6297</v>
      </c>
    </row>
    <row r="1100" spans="1:6">
      <c r="A1100" s="109" t="s">
        <v>6298</v>
      </c>
      <c r="B1100" s="110" t="s">
        <v>6299</v>
      </c>
      <c r="C1100" s="110" t="s">
        <v>6300</v>
      </c>
      <c r="D1100" s="110" t="s">
        <v>81</v>
      </c>
      <c r="E1100" s="110" t="s">
        <v>6301</v>
      </c>
      <c r="F1100" s="111" t="s">
        <v>6302</v>
      </c>
    </row>
    <row r="1101" spans="1:6">
      <c r="A1101" s="109" t="s">
        <v>6303</v>
      </c>
      <c r="B1101" s="110" t="s">
        <v>6304</v>
      </c>
      <c r="C1101" s="110" t="s">
        <v>6305</v>
      </c>
      <c r="D1101" s="110" t="s">
        <v>81</v>
      </c>
      <c r="E1101" s="110" t="s">
        <v>6306</v>
      </c>
      <c r="F1101" s="111" t="s">
        <v>6307</v>
      </c>
    </row>
    <row r="1102" spans="1:6">
      <c r="A1102" s="109" t="s">
        <v>6308</v>
      </c>
      <c r="B1102" s="110" t="s">
        <v>6309</v>
      </c>
      <c r="C1102" s="110" t="s">
        <v>6310</v>
      </c>
      <c r="D1102" s="110" t="s">
        <v>81</v>
      </c>
      <c r="E1102" s="110" t="s">
        <v>6311</v>
      </c>
      <c r="F1102" s="111" t="s">
        <v>6312</v>
      </c>
    </row>
    <row r="1103" spans="1:6">
      <c r="A1103" s="109" t="s">
        <v>6313</v>
      </c>
      <c r="B1103" s="110" t="s">
        <v>6314</v>
      </c>
      <c r="C1103" s="110" t="s">
        <v>6315</v>
      </c>
      <c r="D1103" s="110" t="s">
        <v>81</v>
      </c>
      <c r="E1103" s="110" t="s">
        <v>6316</v>
      </c>
      <c r="F1103" s="111" t="s">
        <v>6317</v>
      </c>
    </row>
    <row r="1104" spans="1:6">
      <c r="A1104" s="109" t="s">
        <v>6318</v>
      </c>
      <c r="B1104" s="110" t="s">
        <v>6319</v>
      </c>
      <c r="C1104" s="110" t="s">
        <v>6320</v>
      </c>
      <c r="D1104" s="110" t="s">
        <v>81</v>
      </c>
      <c r="E1104" s="110" t="s">
        <v>6321</v>
      </c>
      <c r="F1104" s="111" t="s">
        <v>6322</v>
      </c>
    </row>
    <row r="1105" spans="1:6">
      <c r="A1105" s="109" t="s">
        <v>6323</v>
      </c>
      <c r="B1105" s="110" t="s">
        <v>6324</v>
      </c>
      <c r="C1105" s="110" t="s">
        <v>6325</v>
      </c>
      <c r="D1105" s="110" t="s">
        <v>82</v>
      </c>
      <c r="E1105" s="110" t="s">
        <v>6326</v>
      </c>
      <c r="F1105" s="111" t="s">
        <v>6327</v>
      </c>
    </row>
    <row r="1106" spans="1:6">
      <c r="A1106" s="109" t="s">
        <v>6328</v>
      </c>
      <c r="B1106" s="110" t="s">
        <v>6329</v>
      </c>
      <c r="C1106" s="110" t="s">
        <v>6330</v>
      </c>
      <c r="D1106" s="110" t="s">
        <v>82</v>
      </c>
      <c r="E1106" s="110" t="s">
        <v>6331</v>
      </c>
      <c r="F1106" s="111" t="s">
        <v>6332</v>
      </c>
    </row>
    <row r="1107" spans="1:6">
      <c r="A1107" s="109" t="s">
        <v>6333</v>
      </c>
      <c r="B1107" s="110" t="s">
        <v>6334</v>
      </c>
      <c r="C1107" s="110" t="s">
        <v>6335</v>
      </c>
      <c r="D1107" s="110" t="s">
        <v>81</v>
      </c>
      <c r="E1107" s="110" t="s">
        <v>6336</v>
      </c>
      <c r="F1107" s="111" t="s">
        <v>6337</v>
      </c>
    </row>
    <row r="1108" spans="1:6">
      <c r="A1108" s="109" t="s">
        <v>6338</v>
      </c>
      <c r="B1108" s="110" t="s">
        <v>6339</v>
      </c>
      <c r="C1108" s="110" t="s">
        <v>6340</v>
      </c>
      <c r="D1108" s="110" t="s">
        <v>81</v>
      </c>
      <c r="E1108" s="110" t="s">
        <v>6341</v>
      </c>
      <c r="F1108" s="111" t="s">
        <v>6342</v>
      </c>
    </row>
    <row r="1109" spans="1:6">
      <c r="A1109" s="109" t="s">
        <v>6343</v>
      </c>
      <c r="B1109" s="110" t="s">
        <v>6344</v>
      </c>
      <c r="C1109" s="110" t="s">
        <v>6345</v>
      </c>
      <c r="D1109" s="110" t="s">
        <v>82</v>
      </c>
      <c r="E1109" s="110" t="s">
        <v>6346</v>
      </c>
      <c r="F1109" s="111" t="s">
        <v>6347</v>
      </c>
    </row>
    <row r="1110" spans="1:6">
      <c r="A1110" s="109" t="s">
        <v>6348</v>
      </c>
      <c r="B1110" s="110" t="s">
        <v>6349</v>
      </c>
      <c r="C1110" s="110" t="s">
        <v>6350</v>
      </c>
      <c r="D1110" s="110" t="s">
        <v>82</v>
      </c>
      <c r="E1110" s="110" t="s">
        <v>6351</v>
      </c>
      <c r="F1110" s="111" t="s">
        <v>6352</v>
      </c>
    </row>
    <row r="1111" spans="1:6">
      <c r="A1111" s="109" t="s">
        <v>6353</v>
      </c>
      <c r="B1111" s="110" t="s">
        <v>6354</v>
      </c>
      <c r="C1111" s="110" t="s">
        <v>6355</v>
      </c>
      <c r="D1111" s="110" t="s">
        <v>82</v>
      </c>
      <c r="E1111" s="110" t="s">
        <v>6356</v>
      </c>
      <c r="F1111" s="111" t="s">
        <v>6357</v>
      </c>
    </row>
    <row r="1112" spans="1:6">
      <c r="A1112" s="109" t="s">
        <v>6358</v>
      </c>
      <c r="B1112" s="110" t="s">
        <v>6359</v>
      </c>
      <c r="C1112" s="110" t="s">
        <v>6360</v>
      </c>
      <c r="D1112" s="110" t="s">
        <v>82</v>
      </c>
      <c r="E1112" s="110" t="s">
        <v>6361</v>
      </c>
      <c r="F1112" s="111" t="s">
        <v>6362</v>
      </c>
    </row>
    <row r="1113" spans="1:6">
      <c r="A1113" s="109" t="s">
        <v>6363</v>
      </c>
      <c r="B1113" s="110" t="s">
        <v>6364</v>
      </c>
      <c r="C1113" s="110" t="s">
        <v>6365</v>
      </c>
      <c r="D1113" s="110" t="s">
        <v>82</v>
      </c>
      <c r="E1113" s="110" t="s">
        <v>6366</v>
      </c>
      <c r="F1113" s="111" t="s">
        <v>6367</v>
      </c>
    </row>
    <row r="1114" spans="1:6">
      <c r="A1114" s="109" t="s">
        <v>6368</v>
      </c>
      <c r="B1114" s="110" t="s">
        <v>6369</v>
      </c>
      <c r="C1114" s="110" t="s">
        <v>6370</v>
      </c>
      <c r="D1114" s="110" t="s">
        <v>81</v>
      </c>
      <c r="E1114" s="110" t="s">
        <v>6371</v>
      </c>
      <c r="F1114" s="111" t="s">
        <v>6372</v>
      </c>
    </row>
    <row r="1115" spans="1:6">
      <c r="A1115" s="109" t="s">
        <v>6373</v>
      </c>
      <c r="B1115" s="110" t="s">
        <v>6374</v>
      </c>
      <c r="C1115" s="110" t="s">
        <v>6375</v>
      </c>
      <c r="D1115" s="110" t="s">
        <v>81</v>
      </c>
      <c r="E1115" s="110" t="s">
        <v>6376</v>
      </c>
      <c r="F1115" s="111" t="s">
        <v>6377</v>
      </c>
    </row>
    <row r="1116" spans="1:6">
      <c r="A1116" s="109" t="s">
        <v>6378</v>
      </c>
      <c r="B1116" s="110" t="s">
        <v>6379</v>
      </c>
      <c r="C1116" s="110" t="s">
        <v>6380</v>
      </c>
      <c r="D1116" s="110" t="s">
        <v>81</v>
      </c>
      <c r="E1116" s="110" t="s">
        <v>6381</v>
      </c>
      <c r="F1116" s="110" t="s">
        <v>6382</v>
      </c>
    </row>
    <row r="1117" spans="1:6">
      <c r="A1117" s="109" t="s">
        <v>6383</v>
      </c>
      <c r="B1117" s="110" t="s">
        <v>6384</v>
      </c>
      <c r="C1117" s="110" t="s">
        <v>6385</v>
      </c>
      <c r="D1117" s="110" t="s">
        <v>81</v>
      </c>
      <c r="E1117" s="110" t="s">
        <v>6386</v>
      </c>
      <c r="F1117" s="111" t="s">
        <v>6387</v>
      </c>
    </row>
    <row r="1118" spans="1:6">
      <c r="A1118" s="109" t="s">
        <v>6388</v>
      </c>
      <c r="B1118" s="110" t="s">
        <v>6389</v>
      </c>
      <c r="C1118" s="110" t="s">
        <v>6390</v>
      </c>
      <c r="D1118" s="110" t="s">
        <v>82</v>
      </c>
      <c r="E1118" s="110" t="s">
        <v>6391</v>
      </c>
      <c r="F1118" s="111" t="s">
        <v>6392</v>
      </c>
    </row>
    <row r="1119" spans="1:6">
      <c r="A1119" s="109" t="s">
        <v>6393</v>
      </c>
      <c r="B1119" s="110" t="s">
        <v>6394</v>
      </c>
      <c r="C1119" s="110" t="s">
        <v>6395</v>
      </c>
      <c r="D1119" s="110" t="s">
        <v>81</v>
      </c>
      <c r="E1119" s="110" t="s">
        <v>6396</v>
      </c>
      <c r="F1119" s="111" t="s">
        <v>6397</v>
      </c>
    </row>
    <row r="1120" spans="1:6">
      <c r="A1120" s="109" t="s">
        <v>6398</v>
      </c>
      <c r="B1120" s="110" t="s">
        <v>6399</v>
      </c>
      <c r="C1120" s="110" t="s">
        <v>6400</v>
      </c>
      <c r="D1120" s="110" t="s">
        <v>81</v>
      </c>
      <c r="E1120" s="110" t="s">
        <v>6401</v>
      </c>
      <c r="F1120" s="111" t="s">
        <v>6402</v>
      </c>
    </row>
    <row r="1121" spans="1:6">
      <c r="A1121" s="109" t="s">
        <v>6403</v>
      </c>
      <c r="B1121" s="110" t="s">
        <v>6404</v>
      </c>
      <c r="C1121" s="110" t="s">
        <v>6405</v>
      </c>
      <c r="D1121" s="110" t="s">
        <v>81</v>
      </c>
      <c r="E1121" s="110" t="s">
        <v>6406</v>
      </c>
      <c r="F1121" s="111" t="s">
        <v>6407</v>
      </c>
    </row>
    <row r="1122" spans="1:6">
      <c r="A1122" s="109" t="s">
        <v>6408</v>
      </c>
      <c r="B1122" s="110" t="s">
        <v>6409</v>
      </c>
      <c r="C1122" s="110" t="s">
        <v>6410</v>
      </c>
      <c r="D1122" s="110" t="s">
        <v>81</v>
      </c>
      <c r="E1122" s="110" t="s">
        <v>6411</v>
      </c>
      <c r="F1122" s="111" t="s">
        <v>6412</v>
      </c>
    </row>
    <row r="1123" spans="1:6">
      <c r="A1123" s="109" t="s">
        <v>6413</v>
      </c>
      <c r="B1123" s="110" t="s">
        <v>6414</v>
      </c>
      <c r="C1123" s="110" t="s">
        <v>6415</v>
      </c>
      <c r="D1123" s="110" t="s">
        <v>82</v>
      </c>
      <c r="E1123" s="110" t="s">
        <v>6416</v>
      </c>
      <c r="F1123" s="111" t="s">
        <v>6417</v>
      </c>
    </row>
    <row r="1124" spans="1:6">
      <c r="A1124" s="109" t="s">
        <v>6418</v>
      </c>
      <c r="B1124" s="110" t="s">
        <v>6419</v>
      </c>
      <c r="C1124" s="110" t="s">
        <v>6420</v>
      </c>
      <c r="D1124" s="110" t="s">
        <v>81</v>
      </c>
      <c r="E1124" s="110" t="s">
        <v>6421</v>
      </c>
      <c r="F1124" s="111" t="s">
        <v>6422</v>
      </c>
    </row>
    <row r="1125" spans="1:6">
      <c r="A1125" s="109" t="s">
        <v>6423</v>
      </c>
      <c r="B1125" s="110" t="s">
        <v>6424</v>
      </c>
      <c r="C1125" s="110" t="s">
        <v>6425</v>
      </c>
      <c r="D1125" s="110" t="s">
        <v>81</v>
      </c>
      <c r="E1125" s="110" t="s">
        <v>6426</v>
      </c>
      <c r="F1125" s="111" t="s">
        <v>6427</v>
      </c>
    </row>
    <row r="1126" spans="1:6">
      <c r="A1126" s="109" t="s">
        <v>6428</v>
      </c>
      <c r="B1126" s="110" t="s">
        <v>6429</v>
      </c>
      <c r="C1126" s="110" t="s">
        <v>6430</v>
      </c>
      <c r="D1126" s="110" t="s">
        <v>81</v>
      </c>
      <c r="E1126" s="110" t="s">
        <v>6431</v>
      </c>
      <c r="F1126" s="111" t="s">
        <v>6432</v>
      </c>
    </row>
    <row r="1127" spans="1:6">
      <c r="A1127" s="109" t="s">
        <v>6433</v>
      </c>
      <c r="B1127" s="110" t="s">
        <v>6434</v>
      </c>
      <c r="C1127" s="110" t="s">
        <v>6435</v>
      </c>
      <c r="D1127" s="110" t="s">
        <v>81</v>
      </c>
      <c r="E1127" s="110" t="s">
        <v>6436</v>
      </c>
      <c r="F1127" s="111" t="s">
        <v>6437</v>
      </c>
    </row>
    <row r="1128" spans="1:6">
      <c r="A1128" s="109" t="s">
        <v>6438</v>
      </c>
      <c r="B1128" s="110" t="s">
        <v>6439</v>
      </c>
      <c r="C1128" s="110" t="s">
        <v>6440</v>
      </c>
      <c r="D1128" s="110" t="s">
        <v>82</v>
      </c>
      <c r="E1128" s="110" t="s">
        <v>6441</v>
      </c>
      <c r="F1128" s="111" t="s">
        <v>6442</v>
      </c>
    </row>
    <row r="1129" spans="1:6">
      <c r="A1129" s="109" t="s">
        <v>6443</v>
      </c>
      <c r="B1129" s="110" t="s">
        <v>6444</v>
      </c>
      <c r="C1129" s="110" t="s">
        <v>6445</v>
      </c>
      <c r="D1129" s="110" t="s">
        <v>82</v>
      </c>
      <c r="E1129" s="110" t="s">
        <v>6446</v>
      </c>
      <c r="F1129" s="111" t="s">
        <v>6447</v>
      </c>
    </row>
    <row r="1130" spans="1:6">
      <c r="A1130" s="109" t="s">
        <v>6448</v>
      </c>
      <c r="B1130" s="110" t="s">
        <v>6449</v>
      </c>
      <c r="C1130" s="110" t="s">
        <v>6450</v>
      </c>
      <c r="D1130" s="110" t="s">
        <v>81</v>
      </c>
      <c r="E1130" s="110" t="s">
        <v>6451</v>
      </c>
      <c r="F1130" s="111" t="s">
        <v>6452</v>
      </c>
    </row>
    <row r="1131" spans="1:6">
      <c r="A1131" s="109" t="s">
        <v>6453</v>
      </c>
      <c r="B1131" s="110" t="s">
        <v>6454</v>
      </c>
      <c r="C1131" s="110" t="s">
        <v>6455</v>
      </c>
      <c r="D1131" s="110" t="s">
        <v>82</v>
      </c>
      <c r="E1131" s="110" t="s">
        <v>6456</v>
      </c>
      <c r="F1131" s="111" t="s">
        <v>6457</v>
      </c>
    </row>
    <row r="1132" spans="1:6">
      <c r="A1132" s="109" t="s">
        <v>6458</v>
      </c>
      <c r="B1132" s="110" t="s">
        <v>6459</v>
      </c>
      <c r="C1132" s="110" t="s">
        <v>6460</v>
      </c>
      <c r="D1132" s="110" t="s">
        <v>82</v>
      </c>
      <c r="E1132" s="110" t="s">
        <v>6461</v>
      </c>
      <c r="F1132" s="111" t="s">
        <v>6462</v>
      </c>
    </row>
    <row r="1133" spans="1:6">
      <c r="A1133" s="109" t="s">
        <v>6463</v>
      </c>
      <c r="B1133" s="110" t="s">
        <v>6464</v>
      </c>
      <c r="C1133" s="110" t="s">
        <v>6465</v>
      </c>
      <c r="D1133" s="110" t="s">
        <v>81</v>
      </c>
      <c r="E1133" s="110" t="s">
        <v>6466</v>
      </c>
      <c r="F1133" s="111" t="s">
        <v>6467</v>
      </c>
    </row>
    <row r="1134" spans="1:6">
      <c r="A1134" s="109" t="s">
        <v>6468</v>
      </c>
      <c r="B1134" s="110" t="s">
        <v>6469</v>
      </c>
      <c r="C1134" s="110" t="s">
        <v>6470</v>
      </c>
      <c r="D1134" s="110" t="s">
        <v>81</v>
      </c>
      <c r="E1134" s="110" t="s">
        <v>6471</v>
      </c>
      <c r="F1134" s="111" t="s">
        <v>6472</v>
      </c>
    </row>
    <row r="1135" spans="1:6">
      <c r="A1135" s="109" t="s">
        <v>6473</v>
      </c>
      <c r="B1135" s="110" t="s">
        <v>6474</v>
      </c>
      <c r="C1135" s="110" t="s">
        <v>6475</v>
      </c>
      <c r="D1135" s="110" t="s">
        <v>81</v>
      </c>
      <c r="E1135" s="110" t="s">
        <v>6476</v>
      </c>
      <c r="F1135" s="111" t="s">
        <v>6477</v>
      </c>
    </row>
    <row r="1136" spans="1:6">
      <c r="A1136" s="109" t="s">
        <v>6478</v>
      </c>
      <c r="B1136" s="110" t="s">
        <v>6479</v>
      </c>
      <c r="C1136" s="110" t="s">
        <v>6480</v>
      </c>
      <c r="D1136" s="110" t="s">
        <v>82</v>
      </c>
      <c r="E1136" s="110" t="s">
        <v>6481</v>
      </c>
      <c r="F1136" s="111" t="s">
        <v>6482</v>
      </c>
    </row>
    <row r="1137" spans="1:6">
      <c r="A1137" s="109" t="s">
        <v>6483</v>
      </c>
      <c r="B1137" s="110" t="s">
        <v>6484</v>
      </c>
      <c r="C1137" s="110" t="s">
        <v>6485</v>
      </c>
      <c r="D1137" s="110" t="s">
        <v>81</v>
      </c>
      <c r="E1137" s="110" t="s">
        <v>6486</v>
      </c>
      <c r="F1137" s="111" t="s">
        <v>6487</v>
      </c>
    </row>
    <row r="1138" spans="1:6">
      <c r="A1138" s="109" t="s">
        <v>6488</v>
      </c>
      <c r="B1138" s="110" t="s">
        <v>6489</v>
      </c>
      <c r="C1138" s="110" t="s">
        <v>6490</v>
      </c>
      <c r="D1138" s="110" t="s">
        <v>81</v>
      </c>
      <c r="E1138" s="110" t="s">
        <v>6491</v>
      </c>
      <c r="F1138" s="111" t="s">
        <v>6492</v>
      </c>
    </row>
    <row r="1139" spans="1:6">
      <c r="A1139" s="109" t="s">
        <v>6493</v>
      </c>
      <c r="B1139" s="110" t="s">
        <v>6494</v>
      </c>
      <c r="C1139" s="110" t="s">
        <v>6495</v>
      </c>
      <c r="D1139" s="110" t="s">
        <v>81</v>
      </c>
      <c r="E1139" s="110" t="s">
        <v>6496</v>
      </c>
      <c r="F1139" s="111" t="s">
        <v>6497</v>
      </c>
    </row>
    <row r="1140" spans="1:6">
      <c r="A1140" s="109" t="s">
        <v>6498</v>
      </c>
      <c r="B1140" s="110" t="s">
        <v>6499</v>
      </c>
      <c r="C1140" s="110" t="s">
        <v>6500</v>
      </c>
      <c r="D1140" s="110" t="s">
        <v>81</v>
      </c>
      <c r="E1140" s="110" t="s">
        <v>6501</v>
      </c>
      <c r="F1140" s="111" t="s">
        <v>6502</v>
      </c>
    </row>
    <row r="1141" spans="1:6">
      <c r="A1141" s="109" t="s">
        <v>6503</v>
      </c>
      <c r="B1141" s="110" t="s">
        <v>6504</v>
      </c>
      <c r="C1141" s="110" t="s">
        <v>6505</v>
      </c>
      <c r="D1141" s="110" t="s">
        <v>82</v>
      </c>
      <c r="E1141" s="110" t="s">
        <v>6506</v>
      </c>
      <c r="F1141" s="111" t="s">
        <v>6507</v>
      </c>
    </row>
    <row r="1142" spans="1:6">
      <c r="A1142" s="109" t="s">
        <v>6508</v>
      </c>
      <c r="B1142" s="110" t="s">
        <v>6509</v>
      </c>
      <c r="C1142" s="110" t="s">
        <v>6510</v>
      </c>
      <c r="D1142" s="110" t="s">
        <v>81</v>
      </c>
      <c r="E1142" s="110" t="s">
        <v>6511</v>
      </c>
      <c r="F1142" s="111" t="s">
        <v>6512</v>
      </c>
    </row>
    <row r="1143" spans="1:6">
      <c r="A1143" s="109" t="s">
        <v>6513</v>
      </c>
      <c r="B1143" s="110" t="s">
        <v>6514</v>
      </c>
      <c r="C1143" s="110" t="s">
        <v>6515</v>
      </c>
      <c r="D1143" s="110" t="s">
        <v>81</v>
      </c>
      <c r="E1143" s="110" t="s">
        <v>6516</v>
      </c>
      <c r="F1143" s="111" t="s">
        <v>6517</v>
      </c>
    </row>
    <row r="1144" spans="1:6">
      <c r="A1144" s="109" t="s">
        <v>6518</v>
      </c>
      <c r="B1144" s="110" t="s">
        <v>6519</v>
      </c>
      <c r="C1144" s="110" t="s">
        <v>6520</v>
      </c>
      <c r="D1144" s="110" t="s">
        <v>81</v>
      </c>
      <c r="E1144" s="110" t="s">
        <v>6521</v>
      </c>
      <c r="F1144" s="111" t="s">
        <v>6522</v>
      </c>
    </row>
    <row r="1145" spans="1:6">
      <c r="A1145" s="109" t="s">
        <v>6523</v>
      </c>
      <c r="B1145" s="110" t="s">
        <v>6524</v>
      </c>
      <c r="C1145" s="110" t="s">
        <v>6525</v>
      </c>
      <c r="D1145" s="110" t="s">
        <v>82</v>
      </c>
      <c r="E1145" s="110" t="s">
        <v>6526</v>
      </c>
      <c r="F1145" s="111" t="s">
        <v>6527</v>
      </c>
    </row>
    <row r="1146" spans="1:6">
      <c r="A1146" s="109" t="s">
        <v>6528</v>
      </c>
      <c r="B1146" s="110" t="s">
        <v>6529</v>
      </c>
      <c r="C1146" s="110" t="s">
        <v>6530</v>
      </c>
      <c r="D1146" s="110" t="s">
        <v>81</v>
      </c>
      <c r="E1146" s="110" t="s">
        <v>6531</v>
      </c>
      <c r="F1146" s="111" t="s">
        <v>6532</v>
      </c>
    </row>
    <row r="1147" spans="1:6">
      <c r="A1147" s="109" t="s">
        <v>6533</v>
      </c>
      <c r="B1147" s="110" t="s">
        <v>6534</v>
      </c>
      <c r="C1147" s="110" t="s">
        <v>6535</v>
      </c>
      <c r="D1147" s="110" t="s">
        <v>81</v>
      </c>
      <c r="E1147" s="110" t="s">
        <v>6536</v>
      </c>
      <c r="F1147" s="111" t="s">
        <v>6537</v>
      </c>
    </row>
    <row r="1148" spans="1:6">
      <c r="A1148" s="109" t="s">
        <v>6538</v>
      </c>
      <c r="B1148" s="110" t="s">
        <v>6539</v>
      </c>
      <c r="C1148" s="110" t="s">
        <v>6540</v>
      </c>
      <c r="D1148" s="110" t="s">
        <v>81</v>
      </c>
      <c r="E1148" s="110" t="s">
        <v>6541</v>
      </c>
      <c r="F1148" s="111" t="s">
        <v>6542</v>
      </c>
    </row>
    <row r="1149" spans="1:6">
      <c r="A1149" s="109" t="s">
        <v>6543</v>
      </c>
      <c r="B1149" s="110" t="s">
        <v>6544</v>
      </c>
      <c r="C1149" s="110" t="s">
        <v>6545</v>
      </c>
      <c r="D1149" s="110" t="s">
        <v>81</v>
      </c>
      <c r="E1149" s="110" t="s">
        <v>6546</v>
      </c>
      <c r="F1149" s="111" t="s">
        <v>6547</v>
      </c>
    </row>
    <row r="1150" spans="1:6">
      <c r="A1150" s="109" t="s">
        <v>6548</v>
      </c>
      <c r="B1150" s="110" t="s">
        <v>6549</v>
      </c>
      <c r="C1150" s="110" t="s">
        <v>6550</v>
      </c>
      <c r="D1150" s="110" t="s">
        <v>82</v>
      </c>
      <c r="E1150" s="110" t="s">
        <v>6551</v>
      </c>
      <c r="F1150" s="110" t="s">
        <v>6552</v>
      </c>
    </row>
    <row r="1151" spans="1:6">
      <c r="A1151" s="109" t="s">
        <v>6553</v>
      </c>
      <c r="B1151" s="110" t="s">
        <v>6554</v>
      </c>
      <c r="C1151" s="110" t="s">
        <v>6555</v>
      </c>
      <c r="D1151" s="110" t="s">
        <v>81</v>
      </c>
      <c r="E1151" s="110" t="s">
        <v>6556</v>
      </c>
      <c r="F1151" s="111" t="s">
        <v>6557</v>
      </c>
    </row>
    <row r="1152" spans="1:6">
      <c r="A1152" s="109" t="s">
        <v>6558</v>
      </c>
      <c r="B1152" s="110" t="s">
        <v>6559</v>
      </c>
      <c r="C1152" s="110" t="s">
        <v>6560</v>
      </c>
      <c r="D1152" s="110" t="s">
        <v>81</v>
      </c>
      <c r="E1152" s="110" t="s">
        <v>6561</v>
      </c>
      <c r="F1152" s="111" t="s">
        <v>6562</v>
      </c>
    </row>
    <row r="1153" spans="1:6">
      <c r="A1153" s="109" t="s">
        <v>6563</v>
      </c>
      <c r="B1153" s="110" t="s">
        <v>6564</v>
      </c>
      <c r="C1153" s="110" t="s">
        <v>6565</v>
      </c>
      <c r="D1153" s="110" t="s">
        <v>81</v>
      </c>
      <c r="E1153" s="110" t="s">
        <v>6566</v>
      </c>
      <c r="F1153" s="111" t="s">
        <v>6567</v>
      </c>
    </row>
    <row r="1154" spans="1:6">
      <c r="A1154" s="109" t="s">
        <v>6568</v>
      </c>
      <c r="B1154" s="110" t="s">
        <v>6569</v>
      </c>
      <c r="C1154" s="110" t="s">
        <v>6570</v>
      </c>
      <c r="D1154" s="110" t="s">
        <v>81</v>
      </c>
      <c r="E1154" s="110" t="s">
        <v>6571</v>
      </c>
      <c r="F1154" s="111" t="s">
        <v>6572</v>
      </c>
    </row>
    <row r="1155" spans="1:6">
      <c r="A1155" s="109" t="s">
        <v>6573</v>
      </c>
      <c r="B1155" s="110" t="s">
        <v>6574</v>
      </c>
      <c r="C1155" s="110" t="s">
        <v>6575</v>
      </c>
      <c r="D1155" s="110" t="s">
        <v>81</v>
      </c>
      <c r="E1155" s="110" t="s">
        <v>6576</v>
      </c>
      <c r="F1155" s="111" t="s">
        <v>6577</v>
      </c>
    </row>
    <row r="1156" spans="1:6">
      <c r="A1156" s="109" t="s">
        <v>6578</v>
      </c>
      <c r="B1156" s="110" t="s">
        <v>6579</v>
      </c>
      <c r="C1156" s="110" t="s">
        <v>6580</v>
      </c>
      <c r="D1156" s="110" t="s">
        <v>82</v>
      </c>
      <c r="E1156" s="110" t="s">
        <v>6581</v>
      </c>
      <c r="F1156" s="111" t="s">
        <v>6582</v>
      </c>
    </row>
    <row r="1157" spans="1:6">
      <c r="A1157" s="109" t="s">
        <v>6583</v>
      </c>
      <c r="B1157" s="110" t="s">
        <v>6584</v>
      </c>
      <c r="C1157" s="110" t="s">
        <v>6585</v>
      </c>
      <c r="D1157" s="110" t="s">
        <v>82</v>
      </c>
      <c r="E1157" s="110" t="s">
        <v>6586</v>
      </c>
      <c r="F1157" s="110" t="s">
        <v>6587</v>
      </c>
    </row>
    <row r="1158" spans="1:6">
      <c r="A1158" s="109" t="s">
        <v>6588</v>
      </c>
      <c r="B1158" s="110" t="s">
        <v>6589</v>
      </c>
      <c r="C1158" s="110" t="s">
        <v>6590</v>
      </c>
      <c r="D1158" s="110" t="s">
        <v>81</v>
      </c>
      <c r="E1158" s="110" t="s">
        <v>6591</v>
      </c>
      <c r="F1158" s="111" t="s">
        <v>6592</v>
      </c>
    </row>
    <row r="1159" spans="1:6">
      <c r="A1159" s="109" t="s">
        <v>6593</v>
      </c>
      <c r="B1159" s="110" t="s">
        <v>6594</v>
      </c>
      <c r="C1159" s="110" t="s">
        <v>6595</v>
      </c>
      <c r="D1159" s="110" t="s">
        <v>82</v>
      </c>
      <c r="E1159" s="110" t="s">
        <v>6596</v>
      </c>
      <c r="F1159" s="111" t="s">
        <v>6597</v>
      </c>
    </row>
    <row r="1160" spans="1:6">
      <c r="A1160" s="109" t="s">
        <v>6598</v>
      </c>
      <c r="B1160" s="110" t="s">
        <v>6599</v>
      </c>
      <c r="C1160" s="110" t="s">
        <v>6600</v>
      </c>
      <c r="D1160" s="110" t="s">
        <v>81</v>
      </c>
      <c r="E1160" s="110" t="s">
        <v>6601</v>
      </c>
      <c r="F1160" s="111" t="s">
        <v>6602</v>
      </c>
    </row>
    <row r="1161" spans="1:6">
      <c r="A1161" s="109" t="s">
        <v>6603</v>
      </c>
      <c r="B1161" s="110" t="s">
        <v>6604</v>
      </c>
      <c r="C1161" s="110" t="s">
        <v>6605</v>
      </c>
      <c r="D1161" s="110" t="s">
        <v>81</v>
      </c>
      <c r="E1161" s="110" t="s">
        <v>6606</v>
      </c>
      <c r="F1161" s="111" t="s">
        <v>6607</v>
      </c>
    </row>
    <row r="1162" spans="1:6">
      <c r="A1162" s="109" t="s">
        <v>6608</v>
      </c>
      <c r="B1162" s="110" t="s">
        <v>6609</v>
      </c>
      <c r="C1162" s="110" t="s">
        <v>6610</v>
      </c>
      <c r="D1162" s="110" t="s">
        <v>81</v>
      </c>
      <c r="E1162" s="110" t="s">
        <v>6611</v>
      </c>
      <c r="F1162" s="111" t="s">
        <v>6612</v>
      </c>
    </row>
    <row r="1163" spans="1:6">
      <c r="A1163" s="109" t="s">
        <v>6613</v>
      </c>
      <c r="B1163" s="110" t="s">
        <v>6614</v>
      </c>
      <c r="C1163" s="110" t="s">
        <v>6615</v>
      </c>
      <c r="D1163" s="110" t="s">
        <v>81</v>
      </c>
      <c r="E1163" s="110" t="s">
        <v>6616</v>
      </c>
      <c r="F1163" s="111" t="s">
        <v>6617</v>
      </c>
    </row>
    <row r="1164" spans="1:6">
      <c r="A1164" s="109" t="s">
        <v>6618</v>
      </c>
      <c r="B1164" s="110" t="s">
        <v>6619</v>
      </c>
      <c r="C1164" s="110" t="s">
        <v>6620</v>
      </c>
      <c r="D1164" s="110" t="s">
        <v>81</v>
      </c>
      <c r="E1164" s="110" t="s">
        <v>6621</v>
      </c>
      <c r="F1164" s="111" t="s">
        <v>6622</v>
      </c>
    </row>
    <row r="1165" spans="1:6">
      <c r="A1165" s="109" t="s">
        <v>6623</v>
      </c>
      <c r="B1165" s="110" t="s">
        <v>6624</v>
      </c>
      <c r="C1165" s="110" t="s">
        <v>6625</v>
      </c>
      <c r="D1165" s="110" t="s">
        <v>81</v>
      </c>
      <c r="E1165" s="110" t="s">
        <v>6626</v>
      </c>
      <c r="F1165" s="111" t="s">
        <v>6627</v>
      </c>
    </row>
    <row r="1166" spans="1:6">
      <c r="A1166" s="109" t="s">
        <v>6628</v>
      </c>
      <c r="B1166" s="110" t="s">
        <v>6629</v>
      </c>
      <c r="C1166" s="110" t="s">
        <v>6630</v>
      </c>
      <c r="D1166" s="110" t="s">
        <v>81</v>
      </c>
      <c r="E1166" s="110" t="s">
        <v>6631</v>
      </c>
      <c r="F1166" s="111" t="s">
        <v>6632</v>
      </c>
    </row>
    <row r="1167" spans="1:6">
      <c r="A1167" s="109" t="s">
        <v>6633</v>
      </c>
      <c r="B1167" s="110" t="s">
        <v>6634</v>
      </c>
      <c r="C1167" s="110" t="s">
        <v>6635</v>
      </c>
      <c r="D1167" s="110" t="s">
        <v>82</v>
      </c>
      <c r="E1167" s="110" t="s">
        <v>6636</v>
      </c>
      <c r="F1167" s="111" t="s">
        <v>6637</v>
      </c>
    </row>
    <row r="1168" spans="1:6">
      <c r="A1168" s="109" t="s">
        <v>6638</v>
      </c>
      <c r="B1168" s="110" t="s">
        <v>6639</v>
      </c>
      <c r="C1168" s="110" t="s">
        <v>6640</v>
      </c>
      <c r="D1168" s="110" t="s">
        <v>81</v>
      </c>
      <c r="E1168" s="110" t="s">
        <v>6641</v>
      </c>
      <c r="F1168" s="111" t="s">
        <v>6642</v>
      </c>
    </row>
    <row r="1169" spans="1:6">
      <c r="A1169" s="109" t="s">
        <v>6643</v>
      </c>
      <c r="B1169" s="110" t="s">
        <v>6644</v>
      </c>
      <c r="C1169" s="110" t="s">
        <v>6645</v>
      </c>
      <c r="D1169" s="110" t="s">
        <v>81</v>
      </c>
      <c r="E1169" s="110" t="s">
        <v>6646</v>
      </c>
      <c r="F1169" s="111" t="s">
        <v>6647</v>
      </c>
    </row>
    <row r="1170" spans="1:6">
      <c r="A1170" s="109" t="s">
        <v>6648</v>
      </c>
      <c r="B1170" s="110" t="s">
        <v>6649</v>
      </c>
      <c r="C1170" s="110" t="s">
        <v>6650</v>
      </c>
      <c r="D1170" s="110" t="s">
        <v>81</v>
      </c>
      <c r="E1170" s="110" t="s">
        <v>6651</v>
      </c>
      <c r="F1170" s="111" t="s">
        <v>6652</v>
      </c>
    </row>
    <row r="1171" spans="1:6">
      <c r="A1171" s="109" t="s">
        <v>6653</v>
      </c>
      <c r="B1171" s="110" t="s">
        <v>6654</v>
      </c>
      <c r="C1171" s="110" t="s">
        <v>6655</v>
      </c>
      <c r="D1171" s="110" t="s">
        <v>81</v>
      </c>
      <c r="E1171" s="110" t="s">
        <v>6656</v>
      </c>
      <c r="F1171" s="111" t="s">
        <v>6657</v>
      </c>
    </row>
    <row r="1172" spans="1:6">
      <c r="A1172" s="109" t="s">
        <v>6658</v>
      </c>
      <c r="B1172" s="110" t="s">
        <v>6659</v>
      </c>
      <c r="C1172" s="110" t="s">
        <v>6660</v>
      </c>
      <c r="D1172" s="110" t="s">
        <v>81</v>
      </c>
      <c r="E1172" s="110" t="s">
        <v>6661</v>
      </c>
      <c r="F1172" s="111" t="s">
        <v>6662</v>
      </c>
    </row>
    <row r="1173" spans="1:6">
      <c r="A1173" s="109" t="s">
        <v>6663</v>
      </c>
      <c r="B1173" s="110" t="s">
        <v>6664</v>
      </c>
      <c r="C1173" s="110" t="s">
        <v>6665</v>
      </c>
      <c r="D1173" s="110" t="s">
        <v>81</v>
      </c>
      <c r="E1173" s="110" t="s">
        <v>6666</v>
      </c>
      <c r="F1173" s="111" t="s">
        <v>6667</v>
      </c>
    </row>
    <row r="1174" spans="1:6">
      <c r="A1174" s="109" t="s">
        <v>6668</v>
      </c>
      <c r="B1174" s="110" t="s">
        <v>6669</v>
      </c>
      <c r="C1174" s="110" t="s">
        <v>6670</v>
      </c>
      <c r="D1174" s="110" t="s">
        <v>81</v>
      </c>
      <c r="E1174" s="110" t="s">
        <v>6671</v>
      </c>
      <c r="F1174" s="111" t="s">
        <v>6672</v>
      </c>
    </row>
    <row r="1175" spans="1:6">
      <c r="A1175" s="109" t="s">
        <v>6673</v>
      </c>
      <c r="B1175" s="110" t="s">
        <v>6674</v>
      </c>
      <c r="C1175" s="110" t="s">
        <v>6675</v>
      </c>
      <c r="D1175" s="110" t="s">
        <v>82</v>
      </c>
      <c r="E1175" s="110" t="s">
        <v>6676</v>
      </c>
      <c r="F1175" s="111" t="s">
        <v>6677</v>
      </c>
    </row>
    <row r="1176" spans="1:6">
      <c r="A1176" s="109" t="s">
        <v>6678</v>
      </c>
      <c r="B1176" s="110" t="s">
        <v>6679</v>
      </c>
      <c r="C1176" s="110" t="s">
        <v>6680</v>
      </c>
      <c r="D1176" s="110" t="s">
        <v>81</v>
      </c>
      <c r="E1176" s="110" t="s">
        <v>6681</v>
      </c>
      <c r="F1176" s="111" t="s">
        <v>6682</v>
      </c>
    </row>
    <row r="1177" spans="1:6">
      <c r="A1177" s="109" t="s">
        <v>6683</v>
      </c>
      <c r="B1177" s="110" t="s">
        <v>6684</v>
      </c>
      <c r="C1177" s="110" t="s">
        <v>6685</v>
      </c>
      <c r="D1177" s="110" t="s">
        <v>81</v>
      </c>
      <c r="E1177" s="110" t="s">
        <v>6686</v>
      </c>
      <c r="F1177" s="111" t="s">
        <v>6687</v>
      </c>
    </row>
    <row r="1178" spans="1:6">
      <c r="A1178" s="109" t="s">
        <v>6688</v>
      </c>
      <c r="B1178" s="110" t="s">
        <v>6689</v>
      </c>
      <c r="C1178" s="110" t="s">
        <v>6690</v>
      </c>
      <c r="D1178" s="110" t="s">
        <v>81</v>
      </c>
      <c r="E1178" s="110" t="s">
        <v>6691</v>
      </c>
      <c r="F1178" s="111" t="s">
        <v>6692</v>
      </c>
    </row>
    <row r="1179" spans="1:6">
      <c r="A1179" s="109" t="s">
        <v>6693</v>
      </c>
      <c r="B1179" s="110" t="s">
        <v>6694</v>
      </c>
      <c r="C1179" s="110" t="s">
        <v>6695</v>
      </c>
      <c r="D1179" s="110" t="s">
        <v>81</v>
      </c>
      <c r="E1179" s="110" t="s">
        <v>6696</v>
      </c>
      <c r="F1179" s="111" t="s">
        <v>6697</v>
      </c>
    </row>
    <row r="1180" spans="1:6">
      <c r="A1180" s="109" t="s">
        <v>6698</v>
      </c>
      <c r="B1180" s="110" t="s">
        <v>6699</v>
      </c>
      <c r="C1180" s="110" t="s">
        <v>6700</v>
      </c>
      <c r="D1180" s="110" t="s">
        <v>81</v>
      </c>
      <c r="E1180" s="110" t="s">
        <v>6701</v>
      </c>
      <c r="F1180" s="111" t="s">
        <v>6702</v>
      </c>
    </row>
    <row r="1181" spans="1:6">
      <c r="A1181" s="109" t="s">
        <v>6703</v>
      </c>
      <c r="B1181" s="110" t="s">
        <v>6704</v>
      </c>
      <c r="C1181" s="110" t="s">
        <v>6705</v>
      </c>
      <c r="D1181" s="110" t="s">
        <v>81</v>
      </c>
      <c r="E1181" s="110" t="s">
        <v>6706</v>
      </c>
      <c r="F1181" s="111" t="s">
        <v>6707</v>
      </c>
    </row>
    <row r="1182" spans="1:6">
      <c r="A1182" s="109" t="s">
        <v>6708</v>
      </c>
      <c r="B1182" s="110" t="s">
        <v>6709</v>
      </c>
      <c r="C1182" s="110" t="s">
        <v>6710</v>
      </c>
      <c r="D1182" s="110" t="s">
        <v>82</v>
      </c>
      <c r="E1182" s="110" t="s">
        <v>6711</v>
      </c>
      <c r="F1182" s="111" t="s">
        <v>6712</v>
      </c>
    </row>
    <row r="1183" spans="1:6">
      <c r="A1183" s="109" t="s">
        <v>6713</v>
      </c>
      <c r="B1183" s="110" t="s">
        <v>6714</v>
      </c>
      <c r="C1183" s="110" t="s">
        <v>6715</v>
      </c>
      <c r="D1183" s="110" t="s">
        <v>81</v>
      </c>
      <c r="E1183" s="110" t="s">
        <v>6716</v>
      </c>
      <c r="F1183" s="111" t="s">
        <v>6717</v>
      </c>
    </row>
    <row r="1184" spans="1:6">
      <c r="A1184" s="109" t="s">
        <v>6718</v>
      </c>
      <c r="B1184" s="110" t="s">
        <v>6719</v>
      </c>
      <c r="C1184" s="110" t="s">
        <v>6720</v>
      </c>
      <c r="D1184" s="110" t="s">
        <v>81</v>
      </c>
      <c r="E1184" s="110" t="s">
        <v>6721</v>
      </c>
      <c r="F1184" s="111" t="s">
        <v>6722</v>
      </c>
    </row>
    <row r="1185" spans="1:6">
      <c r="A1185" s="109" t="s">
        <v>6723</v>
      </c>
      <c r="B1185" s="110" t="s">
        <v>6724</v>
      </c>
      <c r="C1185" s="110" t="s">
        <v>6725</v>
      </c>
      <c r="D1185" s="110" t="s">
        <v>81</v>
      </c>
      <c r="E1185" s="110" t="s">
        <v>6726</v>
      </c>
      <c r="F1185" s="111" t="s">
        <v>6727</v>
      </c>
    </row>
    <row r="1186" spans="1:6">
      <c r="A1186" s="109" t="s">
        <v>6728</v>
      </c>
      <c r="B1186" s="110" t="s">
        <v>6729</v>
      </c>
      <c r="C1186" s="110" t="s">
        <v>6730</v>
      </c>
      <c r="D1186" s="110" t="s">
        <v>81</v>
      </c>
      <c r="E1186" s="110" t="s">
        <v>6731</v>
      </c>
      <c r="F1186" s="111" t="s">
        <v>6732</v>
      </c>
    </row>
    <row r="1187" spans="1:6">
      <c r="A1187" s="109" t="s">
        <v>6733</v>
      </c>
      <c r="B1187" s="110" t="s">
        <v>6734</v>
      </c>
      <c r="C1187" s="110" t="s">
        <v>6735</v>
      </c>
      <c r="D1187" s="110" t="s">
        <v>81</v>
      </c>
      <c r="E1187" s="110" t="s">
        <v>6736</v>
      </c>
      <c r="F1187" s="111" t="s">
        <v>6737</v>
      </c>
    </row>
    <row r="1188" spans="1:6">
      <c r="A1188" s="109" t="s">
        <v>6738</v>
      </c>
      <c r="B1188" s="110" t="s">
        <v>6739</v>
      </c>
      <c r="C1188" s="110" t="s">
        <v>6740</v>
      </c>
      <c r="D1188" s="110" t="s">
        <v>81</v>
      </c>
      <c r="E1188" s="110" t="s">
        <v>6741</v>
      </c>
      <c r="F1188" s="111" t="s">
        <v>6742</v>
      </c>
    </row>
    <row r="1189" spans="1:6">
      <c r="A1189" s="109" t="s">
        <v>6743</v>
      </c>
      <c r="B1189" s="110" t="s">
        <v>6744</v>
      </c>
      <c r="C1189" s="110" t="s">
        <v>6745</v>
      </c>
      <c r="D1189" s="110" t="s">
        <v>82</v>
      </c>
      <c r="E1189" s="110" t="s">
        <v>6746</v>
      </c>
      <c r="F1189" s="111" t="s">
        <v>6747</v>
      </c>
    </row>
    <row r="1190" spans="1:6">
      <c r="A1190" s="109" t="s">
        <v>6748</v>
      </c>
      <c r="B1190" s="110" t="s">
        <v>6749</v>
      </c>
      <c r="C1190" s="110" t="s">
        <v>6750</v>
      </c>
      <c r="D1190" s="110" t="s">
        <v>82</v>
      </c>
      <c r="E1190" s="110" t="s">
        <v>6751</v>
      </c>
      <c r="F1190" s="111" t="s">
        <v>6752</v>
      </c>
    </row>
    <row r="1191" spans="1:6">
      <c r="A1191" s="109" t="s">
        <v>6753</v>
      </c>
      <c r="B1191" s="110" t="s">
        <v>6754</v>
      </c>
      <c r="C1191" s="110" t="s">
        <v>6755</v>
      </c>
      <c r="D1191" s="110" t="s">
        <v>81</v>
      </c>
      <c r="E1191" s="110" t="s">
        <v>6756</v>
      </c>
      <c r="F1191" s="111" t="s">
        <v>6757</v>
      </c>
    </row>
    <row r="1192" spans="1:6">
      <c r="A1192" s="109" t="s">
        <v>6758</v>
      </c>
      <c r="B1192" s="110" t="s">
        <v>6759</v>
      </c>
      <c r="C1192" s="110" t="s">
        <v>6760</v>
      </c>
      <c r="D1192" s="110" t="s">
        <v>81</v>
      </c>
      <c r="E1192" s="110" t="s">
        <v>6761</v>
      </c>
      <c r="F1192" s="111" t="s">
        <v>6762</v>
      </c>
    </row>
    <row r="1193" spans="1:6">
      <c r="A1193" s="109" t="s">
        <v>6763</v>
      </c>
      <c r="B1193" s="110" t="s">
        <v>6764</v>
      </c>
      <c r="C1193" s="110" t="s">
        <v>6765</v>
      </c>
      <c r="D1193" s="110" t="s">
        <v>81</v>
      </c>
      <c r="E1193" s="110" t="s">
        <v>6766</v>
      </c>
      <c r="F1193" s="111" t="s">
        <v>6767</v>
      </c>
    </row>
    <row r="1194" spans="1:6">
      <c r="A1194" s="109" t="s">
        <v>6768</v>
      </c>
      <c r="B1194" s="110" t="s">
        <v>6769</v>
      </c>
      <c r="C1194" s="110" t="s">
        <v>6770</v>
      </c>
      <c r="D1194" s="110" t="s">
        <v>81</v>
      </c>
      <c r="E1194" s="110" t="s">
        <v>6771</v>
      </c>
      <c r="F1194" s="111" t="s">
        <v>6772</v>
      </c>
    </row>
    <row r="1195" spans="1:6" ht="28.8" customHeight="1">
      <c r="A1195" s="109" t="s">
        <v>6773</v>
      </c>
      <c r="B1195" s="110" t="s">
        <v>6774</v>
      </c>
      <c r="C1195" s="110" t="s">
        <v>6775</v>
      </c>
      <c r="D1195" s="110" t="s">
        <v>82</v>
      </c>
      <c r="E1195" s="110" t="s">
        <v>6776</v>
      </c>
      <c r="F1195" s="111" t="s">
        <v>6777</v>
      </c>
    </row>
    <row r="1196" spans="1:6">
      <c r="A1196" s="109" t="s">
        <v>6778</v>
      </c>
      <c r="B1196" s="110" t="s">
        <v>6779</v>
      </c>
      <c r="C1196" s="110" t="s">
        <v>6780</v>
      </c>
      <c r="D1196" s="110" t="s">
        <v>81</v>
      </c>
      <c r="E1196" s="110" t="s">
        <v>6781</v>
      </c>
      <c r="F1196" s="111" t="s">
        <v>6782</v>
      </c>
    </row>
    <row r="1197" spans="1:6">
      <c r="A1197" s="109" t="s">
        <v>6783</v>
      </c>
      <c r="B1197" s="110" t="s">
        <v>6784</v>
      </c>
      <c r="C1197" s="110" t="s">
        <v>6785</v>
      </c>
      <c r="D1197" s="110" t="s">
        <v>81</v>
      </c>
      <c r="E1197" s="110" t="s">
        <v>6786</v>
      </c>
      <c r="F1197" s="111" t="s">
        <v>6787</v>
      </c>
    </row>
    <row r="1198" spans="1:6">
      <c r="A1198" s="109" t="s">
        <v>6788</v>
      </c>
      <c r="B1198" s="110" t="s">
        <v>6789</v>
      </c>
      <c r="C1198" s="110" t="s">
        <v>6790</v>
      </c>
      <c r="D1198" s="110" t="s">
        <v>81</v>
      </c>
      <c r="E1198" s="110" t="s">
        <v>6791</v>
      </c>
      <c r="F1198" s="111" t="s">
        <v>6792</v>
      </c>
    </row>
    <row r="1199" spans="1:6">
      <c r="A1199" s="109" t="s">
        <v>6793</v>
      </c>
      <c r="B1199" s="110" t="s">
        <v>6794</v>
      </c>
      <c r="C1199" s="110" t="s">
        <v>6795</v>
      </c>
      <c r="D1199" s="110" t="s">
        <v>81</v>
      </c>
      <c r="E1199" s="110" t="s">
        <v>6796</v>
      </c>
      <c r="F1199" s="111" t="s">
        <v>6797</v>
      </c>
    </row>
    <row r="1200" spans="1:6">
      <c r="A1200" s="109" t="s">
        <v>6798</v>
      </c>
      <c r="B1200" s="110" t="s">
        <v>6799</v>
      </c>
      <c r="C1200" s="110" t="s">
        <v>6800</v>
      </c>
      <c r="D1200" s="110" t="s">
        <v>82</v>
      </c>
      <c r="E1200" s="110" t="s">
        <v>6801</v>
      </c>
      <c r="F1200" s="111" t="s">
        <v>6802</v>
      </c>
    </row>
    <row r="1201" spans="1:6">
      <c r="A1201" s="109" t="s">
        <v>6803</v>
      </c>
      <c r="B1201" s="110" t="s">
        <v>6804</v>
      </c>
      <c r="C1201" s="110" t="s">
        <v>6805</v>
      </c>
      <c r="D1201" s="110" t="s">
        <v>81</v>
      </c>
      <c r="E1201" s="110" t="s">
        <v>6806</v>
      </c>
      <c r="F1201" s="110" t="s">
        <v>6807</v>
      </c>
    </row>
    <row r="1202" spans="1:6">
      <c r="A1202" s="109" t="s">
        <v>6808</v>
      </c>
      <c r="B1202" s="110" t="s">
        <v>6809</v>
      </c>
      <c r="C1202" s="110" t="s">
        <v>6810</v>
      </c>
      <c r="D1202" s="110" t="s">
        <v>82</v>
      </c>
      <c r="E1202" s="110" t="s">
        <v>6811</v>
      </c>
      <c r="F1202" s="111" t="s">
        <v>6812</v>
      </c>
    </row>
    <row r="1203" spans="1:6">
      <c r="A1203" s="109" t="s">
        <v>6813</v>
      </c>
      <c r="B1203" s="110" t="s">
        <v>6814</v>
      </c>
      <c r="C1203" s="110" t="s">
        <v>6815</v>
      </c>
      <c r="D1203" s="110" t="s">
        <v>81</v>
      </c>
      <c r="E1203" s="110" t="s">
        <v>6816</v>
      </c>
      <c r="F1203" s="111" t="s">
        <v>6817</v>
      </c>
    </row>
    <row r="1204" spans="1:6">
      <c r="A1204" s="109" t="s">
        <v>6818</v>
      </c>
      <c r="B1204" s="110" t="s">
        <v>6819</v>
      </c>
      <c r="C1204" s="110" t="s">
        <v>6820</v>
      </c>
      <c r="D1204" s="110" t="s">
        <v>82</v>
      </c>
      <c r="E1204" s="110" t="s">
        <v>6821</v>
      </c>
      <c r="F1204" s="111" t="s">
        <v>6822</v>
      </c>
    </row>
    <row r="1205" spans="1:6">
      <c r="A1205" s="109" t="s">
        <v>6823</v>
      </c>
      <c r="B1205" s="110" t="s">
        <v>6824</v>
      </c>
      <c r="C1205" s="119" t="s">
        <v>6825</v>
      </c>
      <c r="D1205" s="110" t="s">
        <v>81</v>
      </c>
      <c r="E1205" s="110" t="s">
        <v>6826</v>
      </c>
      <c r="F1205" s="120" t="s">
        <v>6827</v>
      </c>
    </row>
    <row r="1206" spans="1:6">
      <c r="A1206" s="109" t="s">
        <v>6828</v>
      </c>
      <c r="B1206" s="110" t="s">
        <v>6829</v>
      </c>
      <c r="C1206" s="110" t="s">
        <v>6830</v>
      </c>
      <c r="D1206" s="110" t="s">
        <v>81</v>
      </c>
      <c r="E1206" s="110" t="s">
        <v>6831</v>
      </c>
      <c r="F1206" s="111" t="s">
        <v>6832</v>
      </c>
    </row>
    <row r="1207" spans="1:6">
      <c r="A1207" s="109" t="s">
        <v>6833</v>
      </c>
      <c r="B1207" s="110" t="s">
        <v>6834</v>
      </c>
      <c r="C1207" s="110" t="s">
        <v>6835</v>
      </c>
      <c r="D1207" s="110" t="s">
        <v>81</v>
      </c>
      <c r="E1207" s="110" t="s">
        <v>6836</v>
      </c>
      <c r="F1207" s="111" t="s">
        <v>6837</v>
      </c>
    </row>
    <row r="1208" spans="1:6">
      <c r="A1208" s="109" t="s">
        <v>6838</v>
      </c>
      <c r="B1208" s="110" t="s">
        <v>6839</v>
      </c>
      <c r="C1208" s="110" t="s">
        <v>6840</v>
      </c>
      <c r="D1208" s="110" t="s">
        <v>81</v>
      </c>
      <c r="E1208" s="110" t="s">
        <v>6841</v>
      </c>
      <c r="F1208" s="111" t="s">
        <v>6842</v>
      </c>
    </row>
    <row r="1209" spans="1:6">
      <c r="A1209" s="109" t="s">
        <v>6843</v>
      </c>
      <c r="B1209" s="110" t="s">
        <v>6844</v>
      </c>
      <c r="C1209" s="110" t="s">
        <v>6845</v>
      </c>
      <c r="D1209" s="110" t="s">
        <v>81</v>
      </c>
      <c r="E1209" s="110" t="s">
        <v>6846</v>
      </c>
      <c r="F1209" s="111" t="s">
        <v>6847</v>
      </c>
    </row>
    <row r="1210" spans="1:6">
      <c r="A1210" s="109" t="s">
        <v>6848</v>
      </c>
      <c r="B1210" s="110" t="s">
        <v>6849</v>
      </c>
      <c r="C1210" s="110" t="s">
        <v>6850</v>
      </c>
      <c r="D1210" s="110" t="s">
        <v>81</v>
      </c>
      <c r="E1210" s="110" t="s">
        <v>6851</v>
      </c>
      <c r="F1210" s="111" t="s">
        <v>6852</v>
      </c>
    </row>
    <row r="1211" spans="1:6">
      <c r="A1211" s="109" t="s">
        <v>6853</v>
      </c>
      <c r="B1211" s="110" t="s">
        <v>6854</v>
      </c>
      <c r="C1211" s="110" t="s">
        <v>6855</v>
      </c>
      <c r="D1211" s="110" t="s">
        <v>81</v>
      </c>
      <c r="E1211" s="110" t="s">
        <v>6856</v>
      </c>
      <c r="F1211" s="111" t="s">
        <v>6857</v>
      </c>
    </row>
    <row r="1212" spans="1:6">
      <c r="A1212" s="109" t="s">
        <v>6858</v>
      </c>
      <c r="B1212" s="113" t="s">
        <v>6859</v>
      </c>
      <c r="C1212" s="110" t="s">
        <v>6860</v>
      </c>
      <c r="D1212" s="110" t="s">
        <v>82</v>
      </c>
      <c r="E1212" s="110" t="s">
        <v>6861</v>
      </c>
      <c r="F1212" s="111" t="s">
        <v>6862</v>
      </c>
    </row>
    <row r="1213" spans="1:6">
      <c r="A1213" s="109" t="s">
        <v>6863</v>
      </c>
      <c r="B1213" s="110" t="s">
        <v>6864</v>
      </c>
      <c r="C1213" s="110" t="s">
        <v>6865</v>
      </c>
      <c r="D1213" s="110" t="s">
        <v>81</v>
      </c>
      <c r="E1213" s="110" t="s">
        <v>6866</v>
      </c>
      <c r="F1213" s="111" t="s">
        <v>6867</v>
      </c>
    </row>
    <row r="1214" spans="1:6">
      <c r="A1214" s="109" t="s">
        <v>6868</v>
      </c>
      <c r="B1214" s="110" t="s">
        <v>6869</v>
      </c>
      <c r="C1214" s="110" t="s">
        <v>6870</v>
      </c>
      <c r="D1214" s="110" t="s">
        <v>81</v>
      </c>
      <c r="E1214" s="110" t="s">
        <v>6871</v>
      </c>
      <c r="F1214" s="111" t="s">
        <v>6872</v>
      </c>
    </row>
    <row r="1215" spans="1:6">
      <c r="A1215" s="109" t="s">
        <v>6873</v>
      </c>
      <c r="B1215" s="110" t="s">
        <v>6874</v>
      </c>
      <c r="C1215" s="110" t="s">
        <v>6875</v>
      </c>
      <c r="D1215" s="110" t="s">
        <v>82</v>
      </c>
      <c r="E1215" s="110" t="s">
        <v>6876</v>
      </c>
      <c r="F1215" s="111" t="s">
        <v>6877</v>
      </c>
    </row>
    <row r="1216" spans="1:6">
      <c r="A1216" s="109" t="s">
        <v>6878</v>
      </c>
      <c r="B1216" s="110" t="s">
        <v>6879</v>
      </c>
      <c r="C1216" s="110" t="s">
        <v>6880</v>
      </c>
      <c r="D1216" s="110" t="s">
        <v>82</v>
      </c>
      <c r="E1216" s="110" t="s">
        <v>6881</v>
      </c>
      <c r="F1216" s="111" t="s">
        <v>6882</v>
      </c>
    </row>
    <row r="1217" spans="1:6">
      <c r="A1217" s="109" t="s">
        <v>6883</v>
      </c>
      <c r="B1217" s="110" t="s">
        <v>6884</v>
      </c>
      <c r="C1217" s="110" t="s">
        <v>6885</v>
      </c>
      <c r="D1217" s="110" t="s">
        <v>81</v>
      </c>
      <c r="E1217" s="110" t="s">
        <v>6886</v>
      </c>
      <c r="F1217" s="111" t="s">
        <v>6887</v>
      </c>
    </row>
    <row r="1218" spans="1:6">
      <c r="A1218" s="109" t="s">
        <v>6888</v>
      </c>
      <c r="B1218" s="110" t="s">
        <v>6889</v>
      </c>
      <c r="C1218" s="110" t="s">
        <v>6890</v>
      </c>
      <c r="D1218" s="110" t="s">
        <v>82</v>
      </c>
      <c r="E1218" s="110" t="s">
        <v>6891</v>
      </c>
      <c r="F1218" s="111" t="s">
        <v>6892</v>
      </c>
    </row>
    <row r="1219" spans="1:6">
      <c r="A1219" s="109" t="s">
        <v>6893</v>
      </c>
      <c r="B1219" s="110" t="s">
        <v>6894</v>
      </c>
      <c r="C1219" s="110" t="s">
        <v>6895</v>
      </c>
      <c r="D1219" s="110" t="s">
        <v>81</v>
      </c>
      <c r="E1219" s="110" t="s">
        <v>6896</v>
      </c>
      <c r="F1219" s="111" t="s">
        <v>6897</v>
      </c>
    </row>
    <row r="1220" spans="1:6" ht="28.8" customHeight="1">
      <c r="A1220" s="109" t="s">
        <v>6898</v>
      </c>
      <c r="B1220" s="110" t="s">
        <v>6899</v>
      </c>
      <c r="C1220" s="110" t="s">
        <v>6900</v>
      </c>
      <c r="D1220" s="110" t="s">
        <v>81</v>
      </c>
      <c r="E1220" s="110" t="s">
        <v>6901</v>
      </c>
      <c r="F1220" s="111" t="s">
        <v>6902</v>
      </c>
    </row>
    <row r="1221" spans="1:6">
      <c r="A1221" s="109" t="s">
        <v>6903</v>
      </c>
      <c r="B1221" s="110" t="s">
        <v>6904</v>
      </c>
      <c r="C1221" s="110" t="s">
        <v>6905</v>
      </c>
      <c r="D1221" s="110" t="s">
        <v>82</v>
      </c>
      <c r="E1221" s="110" t="s">
        <v>6906</v>
      </c>
      <c r="F1221" s="111" t="s">
        <v>6907</v>
      </c>
    </row>
    <row r="1222" spans="1:6">
      <c r="A1222" s="109" t="s">
        <v>6908</v>
      </c>
      <c r="B1222" s="110" t="s">
        <v>6909</v>
      </c>
      <c r="C1222" s="110" t="s">
        <v>6910</v>
      </c>
      <c r="D1222" s="110" t="s">
        <v>81</v>
      </c>
      <c r="E1222" s="110" t="s">
        <v>6911</v>
      </c>
      <c r="F1222" s="111" t="s">
        <v>6912</v>
      </c>
    </row>
    <row r="1223" spans="1:6">
      <c r="A1223" s="109" t="s">
        <v>6913</v>
      </c>
      <c r="B1223" s="110" t="s">
        <v>6914</v>
      </c>
      <c r="C1223" s="110" t="s">
        <v>6915</v>
      </c>
      <c r="D1223" s="110" t="s">
        <v>82</v>
      </c>
      <c r="E1223" s="110" t="s">
        <v>6916</v>
      </c>
      <c r="F1223" s="111" t="s">
        <v>6917</v>
      </c>
    </row>
    <row r="1224" spans="1:6">
      <c r="A1224" s="109" t="s">
        <v>6918</v>
      </c>
      <c r="B1224" s="110" t="s">
        <v>6919</v>
      </c>
      <c r="C1224" s="110" t="s">
        <v>6920</v>
      </c>
      <c r="D1224" s="110" t="s">
        <v>82</v>
      </c>
      <c r="E1224" s="110" t="s">
        <v>6921</v>
      </c>
      <c r="F1224" s="111" t="s">
        <v>6922</v>
      </c>
    </row>
    <row r="1225" spans="1:6">
      <c r="A1225" s="109" t="s">
        <v>6923</v>
      </c>
      <c r="B1225" s="110" t="s">
        <v>6924</v>
      </c>
      <c r="C1225" s="110" t="s">
        <v>6925</v>
      </c>
      <c r="D1225" s="110" t="s">
        <v>81</v>
      </c>
      <c r="E1225" s="110" t="s">
        <v>6926</v>
      </c>
      <c r="F1225" s="111" t="s">
        <v>6927</v>
      </c>
    </row>
    <row r="1226" spans="1:6">
      <c r="A1226" s="109" t="s">
        <v>6928</v>
      </c>
      <c r="B1226" s="110" t="s">
        <v>6929</v>
      </c>
      <c r="C1226" s="110" t="s">
        <v>6930</v>
      </c>
      <c r="D1226" s="110" t="s">
        <v>81</v>
      </c>
      <c r="E1226" s="110" t="s">
        <v>6931</v>
      </c>
      <c r="F1226" s="111" t="s">
        <v>6932</v>
      </c>
    </row>
    <row r="1227" spans="1:6">
      <c r="A1227" s="109" t="s">
        <v>6933</v>
      </c>
      <c r="B1227" s="110" t="s">
        <v>6934</v>
      </c>
      <c r="C1227" s="110" t="s">
        <v>6935</v>
      </c>
      <c r="D1227" s="110" t="s">
        <v>82</v>
      </c>
      <c r="E1227" s="110" t="s">
        <v>6936</v>
      </c>
      <c r="F1227" s="111" t="s">
        <v>6937</v>
      </c>
    </row>
    <row r="1228" spans="1:6">
      <c r="A1228" s="109" t="s">
        <v>6938</v>
      </c>
      <c r="B1228" s="110" t="s">
        <v>6939</v>
      </c>
      <c r="C1228" s="110" t="s">
        <v>6940</v>
      </c>
      <c r="D1228" s="110" t="s">
        <v>82</v>
      </c>
      <c r="E1228" s="110" t="s">
        <v>6941</v>
      </c>
      <c r="F1228" s="111" t="s">
        <v>6942</v>
      </c>
    </row>
    <row r="1229" spans="1:6">
      <c r="A1229" s="109" t="s">
        <v>6943</v>
      </c>
      <c r="B1229" s="110" t="s">
        <v>6944</v>
      </c>
      <c r="C1229" s="110" t="s">
        <v>6945</v>
      </c>
      <c r="D1229" s="110" t="s">
        <v>81</v>
      </c>
      <c r="E1229" s="110" t="s">
        <v>6946</v>
      </c>
      <c r="F1229" s="111" t="s">
        <v>6947</v>
      </c>
    </row>
    <row r="1230" spans="1:6">
      <c r="A1230" s="109" t="s">
        <v>6948</v>
      </c>
      <c r="B1230" s="110" t="s">
        <v>6949</v>
      </c>
      <c r="C1230" s="110" t="s">
        <v>6950</v>
      </c>
      <c r="D1230" s="110" t="s">
        <v>81</v>
      </c>
      <c r="E1230" s="110" t="s">
        <v>6951</v>
      </c>
      <c r="F1230" s="111" t="s">
        <v>6952</v>
      </c>
    </row>
    <row r="1231" spans="1:6">
      <c r="A1231" s="109" t="s">
        <v>6953</v>
      </c>
      <c r="B1231" s="110" t="s">
        <v>6954</v>
      </c>
      <c r="C1231" s="110" t="s">
        <v>6955</v>
      </c>
      <c r="D1231" s="110" t="s">
        <v>82</v>
      </c>
      <c r="E1231" s="110" t="s">
        <v>6956</v>
      </c>
      <c r="F1231" s="111" t="s">
        <v>6957</v>
      </c>
    </row>
    <row r="1232" spans="1:6">
      <c r="A1232" s="109" t="s">
        <v>6958</v>
      </c>
      <c r="B1232" s="110" t="s">
        <v>6959</v>
      </c>
      <c r="C1232" s="110" t="s">
        <v>6960</v>
      </c>
      <c r="D1232" s="110" t="s">
        <v>81</v>
      </c>
      <c r="E1232" s="110" t="s">
        <v>6961</v>
      </c>
      <c r="F1232" s="111" t="s">
        <v>6962</v>
      </c>
    </row>
    <row r="1233" spans="1:6">
      <c r="A1233" s="109" t="s">
        <v>6963</v>
      </c>
      <c r="B1233" s="110" t="s">
        <v>6964</v>
      </c>
      <c r="C1233" s="110" t="s">
        <v>6965</v>
      </c>
      <c r="D1233" s="110" t="s">
        <v>81</v>
      </c>
      <c r="E1233" s="110" t="s">
        <v>6966</v>
      </c>
      <c r="F1233" s="110" t="s">
        <v>6967</v>
      </c>
    </row>
    <row r="1234" spans="1:6">
      <c r="A1234" s="109" t="s">
        <v>6968</v>
      </c>
      <c r="B1234" s="110" t="s">
        <v>6969</v>
      </c>
      <c r="C1234" s="110" t="s">
        <v>6970</v>
      </c>
      <c r="D1234" s="110" t="s">
        <v>81</v>
      </c>
      <c r="E1234" s="110" t="s">
        <v>6971</v>
      </c>
      <c r="F1234" s="111" t="s">
        <v>6972</v>
      </c>
    </row>
    <row r="1235" spans="1:6">
      <c r="A1235" s="109" t="s">
        <v>6973</v>
      </c>
      <c r="B1235" s="110" t="s">
        <v>6974</v>
      </c>
      <c r="C1235" s="110" t="s">
        <v>6975</v>
      </c>
      <c r="D1235" s="110" t="s">
        <v>81</v>
      </c>
      <c r="E1235" s="110" t="s">
        <v>6976</v>
      </c>
      <c r="F1235" s="111" t="s">
        <v>6977</v>
      </c>
    </row>
    <row r="1236" spans="1:6">
      <c r="A1236" s="109" t="s">
        <v>6978</v>
      </c>
      <c r="B1236" s="110" t="s">
        <v>6979</v>
      </c>
      <c r="C1236" s="110" t="s">
        <v>6980</v>
      </c>
      <c r="D1236" s="110" t="s">
        <v>82</v>
      </c>
      <c r="E1236" s="110" t="s">
        <v>6981</v>
      </c>
      <c r="F1236" s="111" t="s">
        <v>6982</v>
      </c>
    </row>
    <row r="1237" spans="1:6">
      <c r="A1237" s="109" t="s">
        <v>6983</v>
      </c>
      <c r="B1237" s="110" t="s">
        <v>6984</v>
      </c>
      <c r="C1237" s="110" t="s">
        <v>6985</v>
      </c>
      <c r="D1237" s="110" t="s">
        <v>83</v>
      </c>
      <c r="E1237" s="110" t="s">
        <v>6986</v>
      </c>
      <c r="F1237" s="111" t="s">
        <v>6987</v>
      </c>
    </row>
    <row r="1238" spans="1:6">
      <c r="A1238" s="109" t="s">
        <v>6988</v>
      </c>
      <c r="B1238" s="110" t="s">
        <v>6989</v>
      </c>
      <c r="C1238" s="110" t="s">
        <v>6990</v>
      </c>
      <c r="D1238" s="110" t="s">
        <v>81</v>
      </c>
      <c r="E1238" s="110" t="s">
        <v>6991</v>
      </c>
      <c r="F1238" s="111" t="s">
        <v>6992</v>
      </c>
    </row>
    <row r="1239" spans="1:6">
      <c r="A1239" s="109" t="s">
        <v>6993</v>
      </c>
      <c r="B1239" s="110" t="s">
        <v>6994</v>
      </c>
      <c r="C1239" s="110" t="s">
        <v>6995</v>
      </c>
      <c r="D1239" s="110" t="s">
        <v>81</v>
      </c>
      <c r="E1239" s="110" t="s">
        <v>6996</v>
      </c>
      <c r="F1239" s="111" t="s">
        <v>6997</v>
      </c>
    </row>
    <row r="1240" spans="1:6">
      <c r="A1240" s="109" t="s">
        <v>6998</v>
      </c>
      <c r="B1240" s="110" t="s">
        <v>6999</v>
      </c>
      <c r="C1240" s="110" t="s">
        <v>7000</v>
      </c>
      <c r="D1240" s="110" t="s">
        <v>81</v>
      </c>
      <c r="E1240" s="110" t="s">
        <v>7001</v>
      </c>
      <c r="F1240" s="111" t="s">
        <v>7002</v>
      </c>
    </row>
    <row r="1241" spans="1:6">
      <c r="A1241" s="109" t="s">
        <v>7003</v>
      </c>
      <c r="B1241" s="110" t="s">
        <v>7004</v>
      </c>
      <c r="C1241" s="110" t="s">
        <v>7005</v>
      </c>
      <c r="D1241" s="110" t="s">
        <v>81</v>
      </c>
      <c r="E1241" s="110" t="s">
        <v>7006</v>
      </c>
      <c r="F1241" s="111" t="s">
        <v>7007</v>
      </c>
    </row>
    <row r="1242" spans="1:6">
      <c r="A1242" s="109" t="s">
        <v>7008</v>
      </c>
      <c r="B1242" s="110" t="s">
        <v>7009</v>
      </c>
      <c r="C1242" s="110" t="s">
        <v>7010</v>
      </c>
      <c r="D1242" s="110" t="s">
        <v>83</v>
      </c>
      <c r="E1242" s="110" t="s">
        <v>7011</v>
      </c>
      <c r="F1242" s="111" t="s">
        <v>7012</v>
      </c>
    </row>
    <row r="1243" spans="1:6">
      <c r="A1243" s="118" t="s">
        <v>7013</v>
      </c>
      <c r="B1243" s="113" t="s">
        <v>7014</v>
      </c>
      <c r="C1243" s="113" t="s">
        <v>7015</v>
      </c>
      <c r="D1243" s="113" t="s">
        <v>81</v>
      </c>
      <c r="E1243" s="113" t="s">
        <v>7016</v>
      </c>
      <c r="F1243" s="113" t="s">
        <v>7017</v>
      </c>
    </row>
    <row r="1244" spans="1:6">
      <c r="A1244" s="109" t="s">
        <v>7018</v>
      </c>
      <c r="B1244" s="110" t="s">
        <v>7019</v>
      </c>
      <c r="C1244" s="110" t="s">
        <v>7020</v>
      </c>
      <c r="D1244" s="110" t="s">
        <v>82</v>
      </c>
      <c r="E1244" s="110" t="s">
        <v>7021</v>
      </c>
      <c r="F1244" s="111" t="s">
        <v>7022</v>
      </c>
    </row>
    <row r="1245" spans="1:6">
      <c r="A1245" s="109" t="s">
        <v>7023</v>
      </c>
      <c r="B1245" s="110" t="s">
        <v>7024</v>
      </c>
      <c r="C1245" s="110" t="s">
        <v>7025</v>
      </c>
      <c r="D1245" s="110" t="s">
        <v>81</v>
      </c>
      <c r="E1245" s="110" t="s">
        <v>7026</v>
      </c>
      <c r="F1245" s="111" t="s">
        <v>7027</v>
      </c>
    </row>
    <row r="1246" spans="1:6">
      <c r="A1246" s="109" t="s">
        <v>7028</v>
      </c>
      <c r="B1246" s="110" t="s">
        <v>7029</v>
      </c>
      <c r="C1246" s="110" t="s">
        <v>7030</v>
      </c>
      <c r="D1246" s="110" t="s">
        <v>81</v>
      </c>
      <c r="E1246" s="110" t="s">
        <v>7031</v>
      </c>
      <c r="F1246" s="111" t="s">
        <v>7032</v>
      </c>
    </row>
    <row r="1247" spans="1:6">
      <c r="A1247" s="109" t="s">
        <v>7033</v>
      </c>
      <c r="B1247" s="110" t="s">
        <v>7034</v>
      </c>
      <c r="C1247" s="110" t="s">
        <v>7035</v>
      </c>
      <c r="D1247" s="110" t="s">
        <v>81</v>
      </c>
      <c r="E1247" s="110" t="s">
        <v>7036</v>
      </c>
      <c r="F1247" s="111" t="s">
        <v>7037</v>
      </c>
    </row>
    <row r="1248" spans="1:6">
      <c r="A1248" s="109" t="s">
        <v>7038</v>
      </c>
      <c r="B1248" s="110" t="s">
        <v>7039</v>
      </c>
      <c r="C1248" s="110" t="s">
        <v>7040</v>
      </c>
      <c r="D1248" s="110" t="s">
        <v>82</v>
      </c>
      <c r="E1248" s="110" t="s">
        <v>7041</v>
      </c>
      <c r="F1248" s="111" t="s">
        <v>7042</v>
      </c>
    </row>
    <row r="1249" spans="1:6">
      <c r="A1249" s="109" t="s">
        <v>7043</v>
      </c>
      <c r="B1249" s="110" t="s">
        <v>7044</v>
      </c>
      <c r="C1249" s="110" t="s">
        <v>7045</v>
      </c>
      <c r="D1249" s="110" t="s">
        <v>82</v>
      </c>
      <c r="E1249" s="110" t="s">
        <v>7046</v>
      </c>
      <c r="F1249" s="111" t="s">
        <v>7047</v>
      </c>
    </row>
    <row r="1250" spans="1:6" ht="28.8" customHeight="1">
      <c r="A1250" s="109" t="s">
        <v>7048</v>
      </c>
      <c r="B1250" s="110" t="s">
        <v>7049</v>
      </c>
      <c r="C1250" s="110" t="s">
        <v>7050</v>
      </c>
      <c r="D1250" s="110" t="s">
        <v>82</v>
      </c>
      <c r="E1250" s="110" t="s">
        <v>7051</v>
      </c>
      <c r="F1250" s="111" t="s">
        <v>7052</v>
      </c>
    </row>
    <row r="1251" spans="1:6">
      <c r="A1251" s="109" t="s">
        <v>7053</v>
      </c>
      <c r="B1251" s="110" t="s">
        <v>7054</v>
      </c>
      <c r="C1251" s="110" t="s">
        <v>7055</v>
      </c>
      <c r="D1251" s="110" t="s">
        <v>81</v>
      </c>
      <c r="E1251" s="110" t="s">
        <v>7056</v>
      </c>
      <c r="F1251" s="111" t="s">
        <v>7057</v>
      </c>
    </row>
    <row r="1252" spans="1:6">
      <c r="A1252" s="109" t="s">
        <v>7058</v>
      </c>
      <c r="B1252" s="110" t="s">
        <v>7059</v>
      </c>
      <c r="C1252" s="110" t="s">
        <v>7060</v>
      </c>
      <c r="D1252" s="110" t="s">
        <v>83</v>
      </c>
      <c r="E1252" s="110" t="s">
        <v>7061</v>
      </c>
      <c r="F1252" s="111" t="s">
        <v>7062</v>
      </c>
    </row>
    <row r="1253" spans="1:6">
      <c r="A1253" s="109" t="s">
        <v>7063</v>
      </c>
      <c r="B1253" s="110" t="s">
        <v>7064</v>
      </c>
      <c r="C1253" s="110" t="s">
        <v>7065</v>
      </c>
      <c r="D1253" s="110" t="s">
        <v>81</v>
      </c>
      <c r="E1253" s="110" t="s">
        <v>7066</v>
      </c>
      <c r="F1253" s="111" t="s">
        <v>7067</v>
      </c>
    </row>
    <row r="1254" spans="1:6">
      <c r="A1254" s="109" t="s">
        <v>7068</v>
      </c>
      <c r="B1254" s="110" t="s">
        <v>7069</v>
      </c>
      <c r="C1254" s="110" t="s">
        <v>7070</v>
      </c>
      <c r="D1254" s="110" t="s">
        <v>81</v>
      </c>
      <c r="E1254" s="110" t="s">
        <v>7071</v>
      </c>
      <c r="F1254" s="111" t="s">
        <v>7072</v>
      </c>
    </row>
    <row r="1255" spans="1:6">
      <c r="A1255" s="109" t="s">
        <v>7073</v>
      </c>
      <c r="B1255" s="110" t="s">
        <v>7074</v>
      </c>
      <c r="C1255" s="110" t="s">
        <v>7075</v>
      </c>
      <c r="D1255" s="110" t="s">
        <v>81</v>
      </c>
      <c r="E1255" s="110" t="s">
        <v>7076</v>
      </c>
      <c r="F1255" s="111" t="s">
        <v>7077</v>
      </c>
    </row>
    <row r="1256" spans="1:6">
      <c r="A1256" s="109" t="s">
        <v>7078</v>
      </c>
      <c r="B1256" s="110" t="s">
        <v>7079</v>
      </c>
      <c r="C1256" s="110" t="s">
        <v>7080</v>
      </c>
      <c r="D1256" s="110" t="s">
        <v>82</v>
      </c>
      <c r="E1256" s="110" t="s">
        <v>7081</v>
      </c>
      <c r="F1256" s="111" t="s">
        <v>7082</v>
      </c>
    </row>
    <row r="1257" spans="1:6">
      <c r="A1257" s="109" t="s">
        <v>7083</v>
      </c>
      <c r="B1257" s="110" t="s">
        <v>7084</v>
      </c>
      <c r="C1257" s="110" t="s">
        <v>7085</v>
      </c>
      <c r="D1257" s="110" t="s">
        <v>81</v>
      </c>
      <c r="E1257" s="110" t="s">
        <v>7086</v>
      </c>
      <c r="F1257" s="111" t="s">
        <v>7087</v>
      </c>
    </row>
    <row r="1258" spans="1:6">
      <c r="A1258" s="109" t="s">
        <v>7088</v>
      </c>
      <c r="B1258" s="110" t="s">
        <v>7089</v>
      </c>
      <c r="C1258" s="110" t="s">
        <v>7090</v>
      </c>
      <c r="D1258" s="110" t="s">
        <v>82</v>
      </c>
      <c r="E1258" s="110" t="s">
        <v>7091</v>
      </c>
      <c r="F1258" s="111" t="s">
        <v>7092</v>
      </c>
    </row>
    <row r="1259" spans="1:6">
      <c r="A1259" s="109" t="s">
        <v>7093</v>
      </c>
      <c r="B1259" s="110" t="s">
        <v>7094</v>
      </c>
      <c r="C1259" s="110" t="s">
        <v>7095</v>
      </c>
      <c r="D1259" s="110" t="s">
        <v>82</v>
      </c>
      <c r="E1259" s="110" t="s">
        <v>7096</v>
      </c>
      <c r="F1259" s="111" t="s">
        <v>7097</v>
      </c>
    </row>
    <row r="1260" spans="1:6">
      <c r="A1260" s="109" t="s">
        <v>7098</v>
      </c>
      <c r="B1260" s="110" t="s">
        <v>7099</v>
      </c>
      <c r="C1260" s="110" t="s">
        <v>7100</v>
      </c>
      <c r="D1260" s="110" t="s">
        <v>81</v>
      </c>
      <c r="E1260" s="110" t="s">
        <v>7101</v>
      </c>
      <c r="F1260" s="110" t="s">
        <v>7102</v>
      </c>
    </row>
    <row r="1261" spans="1:6">
      <c r="A1261" s="109" t="s">
        <v>7103</v>
      </c>
      <c r="B1261" s="110" t="s">
        <v>7104</v>
      </c>
      <c r="C1261" s="110" t="s">
        <v>7105</v>
      </c>
      <c r="D1261" s="110" t="s">
        <v>81</v>
      </c>
      <c r="E1261" s="110" t="s">
        <v>7106</v>
      </c>
      <c r="F1261" s="110" t="s">
        <v>7107</v>
      </c>
    </row>
    <row r="1262" spans="1:6">
      <c r="A1262" s="109" t="s">
        <v>7108</v>
      </c>
      <c r="B1262" s="110" t="s">
        <v>7109</v>
      </c>
      <c r="C1262" s="110" t="s">
        <v>7110</v>
      </c>
      <c r="D1262" s="110" t="s">
        <v>82</v>
      </c>
      <c r="E1262" s="110" t="s">
        <v>7111</v>
      </c>
      <c r="F1262" s="111" t="s">
        <v>7112</v>
      </c>
    </row>
    <row r="1263" spans="1:6">
      <c r="A1263" s="109" t="s">
        <v>7113</v>
      </c>
      <c r="B1263" s="110" t="s">
        <v>7114</v>
      </c>
      <c r="C1263" s="110" t="s">
        <v>7115</v>
      </c>
      <c r="D1263" s="110" t="s">
        <v>81</v>
      </c>
      <c r="E1263" s="110" t="s">
        <v>7116</v>
      </c>
      <c r="F1263" s="111" t="s">
        <v>7117</v>
      </c>
    </row>
    <row r="1264" spans="1:6">
      <c r="A1264" s="109" t="s">
        <v>7118</v>
      </c>
      <c r="B1264" s="110" t="s">
        <v>7119</v>
      </c>
      <c r="C1264" s="110" t="s">
        <v>7120</v>
      </c>
      <c r="D1264" s="110" t="s">
        <v>82</v>
      </c>
      <c r="E1264" s="110" t="s">
        <v>7121</v>
      </c>
      <c r="F1264" s="111" t="s">
        <v>7122</v>
      </c>
    </row>
    <row r="1265" spans="1:6">
      <c r="A1265" s="109" t="s">
        <v>7123</v>
      </c>
      <c r="B1265" s="110" t="s">
        <v>7124</v>
      </c>
      <c r="C1265" s="110" t="s">
        <v>7125</v>
      </c>
      <c r="D1265" s="110" t="s">
        <v>81</v>
      </c>
      <c r="E1265" s="110" t="s">
        <v>7126</v>
      </c>
      <c r="F1265" s="111" t="s">
        <v>7127</v>
      </c>
    </row>
    <row r="1266" spans="1:6">
      <c r="A1266" s="109" t="s">
        <v>7128</v>
      </c>
      <c r="B1266" s="110" t="s">
        <v>7129</v>
      </c>
      <c r="C1266" s="110" t="s">
        <v>7130</v>
      </c>
      <c r="D1266" s="110" t="s">
        <v>82</v>
      </c>
      <c r="E1266" s="110" t="s">
        <v>7131</v>
      </c>
      <c r="F1266" s="111" t="s">
        <v>7132</v>
      </c>
    </row>
    <row r="1267" spans="1:6">
      <c r="A1267" s="109" t="s">
        <v>7133</v>
      </c>
      <c r="B1267" s="110" t="s">
        <v>7134</v>
      </c>
      <c r="C1267" s="110" t="s">
        <v>7135</v>
      </c>
      <c r="D1267" s="110" t="s">
        <v>82</v>
      </c>
      <c r="E1267" s="110" t="s">
        <v>7136</v>
      </c>
      <c r="F1267" s="111" t="s">
        <v>7137</v>
      </c>
    </row>
    <row r="1268" spans="1:6">
      <c r="A1268" s="109" t="s">
        <v>7138</v>
      </c>
      <c r="B1268" s="110" t="s">
        <v>7139</v>
      </c>
      <c r="C1268" s="110" t="s">
        <v>7140</v>
      </c>
      <c r="D1268" s="110" t="s">
        <v>81</v>
      </c>
      <c r="E1268" s="110" t="s">
        <v>7141</v>
      </c>
      <c r="F1268" s="111" t="s">
        <v>7142</v>
      </c>
    </row>
    <row r="1269" spans="1:6">
      <c r="A1269" s="109" t="s">
        <v>7143</v>
      </c>
      <c r="B1269" s="110" t="s">
        <v>7144</v>
      </c>
      <c r="C1269" s="110" t="s">
        <v>7145</v>
      </c>
      <c r="D1269" s="110" t="s">
        <v>82</v>
      </c>
      <c r="E1269" s="110" t="s">
        <v>7146</v>
      </c>
      <c r="F1269" s="111" t="s">
        <v>7147</v>
      </c>
    </row>
    <row r="1270" spans="1:6">
      <c r="A1270" s="109" t="s">
        <v>7148</v>
      </c>
      <c r="B1270" s="110" t="s">
        <v>7149</v>
      </c>
      <c r="C1270" s="110" t="s">
        <v>7150</v>
      </c>
      <c r="D1270" s="110" t="s">
        <v>82</v>
      </c>
      <c r="E1270" s="110" t="s">
        <v>7151</v>
      </c>
      <c r="F1270" s="111" t="s">
        <v>7152</v>
      </c>
    </row>
    <row r="1271" spans="1:6">
      <c r="A1271" s="109" t="s">
        <v>7153</v>
      </c>
      <c r="B1271" s="110" t="s">
        <v>7154</v>
      </c>
      <c r="C1271" s="110" t="s">
        <v>7155</v>
      </c>
      <c r="D1271" s="110" t="s">
        <v>83</v>
      </c>
      <c r="E1271" s="111" t="s">
        <v>7156</v>
      </c>
      <c r="F1271" s="110" t="s">
        <v>7157</v>
      </c>
    </row>
    <row r="1272" spans="1:6">
      <c r="A1272" s="109" t="s">
        <v>7158</v>
      </c>
      <c r="B1272" s="110" t="s">
        <v>7159</v>
      </c>
      <c r="C1272" s="110" t="s">
        <v>7160</v>
      </c>
      <c r="D1272" s="110" t="s">
        <v>81</v>
      </c>
      <c r="E1272" s="110" t="s">
        <v>7161</v>
      </c>
      <c r="F1272" s="110" t="s">
        <v>7162</v>
      </c>
    </row>
    <row r="1273" spans="1:6">
      <c r="A1273" s="109" t="s">
        <v>7163</v>
      </c>
      <c r="B1273" s="110" t="s">
        <v>7164</v>
      </c>
      <c r="C1273" s="110" t="s">
        <v>7165</v>
      </c>
      <c r="D1273" s="110" t="s">
        <v>81</v>
      </c>
      <c r="E1273" s="110" t="s">
        <v>7166</v>
      </c>
      <c r="F1273" s="110" t="s">
        <v>7167</v>
      </c>
    </row>
    <row r="1274" spans="1:6">
      <c r="A1274" s="109" t="s">
        <v>7168</v>
      </c>
      <c r="B1274" s="110" t="s">
        <v>7169</v>
      </c>
      <c r="C1274" s="110" t="s">
        <v>7170</v>
      </c>
      <c r="D1274" s="110" t="s">
        <v>81</v>
      </c>
      <c r="E1274" s="110" t="s">
        <v>7171</v>
      </c>
      <c r="F1274" s="110" t="s">
        <v>7172</v>
      </c>
    </row>
    <row r="1275" spans="1:6">
      <c r="A1275" s="109" t="s">
        <v>7173</v>
      </c>
      <c r="B1275" s="110" t="s">
        <v>7174</v>
      </c>
      <c r="C1275" s="110" t="s">
        <v>7175</v>
      </c>
      <c r="D1275" s="110" t="s">
        <v>81</v>
      </c>
      <c r="E1275" s="110" t="s">
        <v>7176</v>
      </c>
      <c r="F1275" s="110" t="s">
        <v>7177</v>
      </c>
    </row>
    <row r="1276" spans="1:6">
      <c r="A1276" s="109" t="s">
        <v>7178</v>
      </c>
      <c r="B1276" s="110" t="s">
        <v>7179</v>
      </c>
      <c r="C1276" s="110" t="s">
        <v>7180</v>
      </c>
      <c r="D1276" s="110" t="s">
        <v>82</v>
      </c>
      <c r="E1276" s="111" t="s">
        <v>7181</v>
      </c>
      <c r="F1276" s="110" t="s">
        <v>7182</v>
      </c>
    </row>
    <row r="1277" spans="1:6">
      <c r="A1277" s="109" t="s">
        <v>7183</v>
      </c>
      <c r="B1277" s="110" t="s">
        <v>7184</v>
      </c>
      <c r="C1277" s="110" t="s">
        <v>7185</v>
      </c>
      <c r="D1277" s="110" t="s">
        <v>82</v>
      </c>
      <c r="E1277" s="111" t="s">
        <v>7186</v>
      </c>
      <c r="F1277" s="110" t="s">
        <v>7187</v>
      </c>
    </row>
    <row r="1278" spans="1:6">
      <c r="A1278" s="109" t="s">
        <v>7188</v>
      </c>
      <c r="B1278" s="110" t="s">
        <v>7189</v>
      </c>
      <c r="C1278" s="110" t="s">
        <v>7190</v>
      </c>
      <c r="D1278" s="110" t="s">
        <v>81</v>
      </c>
      <c r="E1278" s="110" t="s">
        <v>7191</v>
      </c>
      <c r="F1278" s="110" t="s">
        <v>7192</v>
      </c>
    </row>
    <row r="1279" spans="1:6">
      <c r="A1279" s="109" t="s">
        <v>7193</v>
      </c>
      <c r="B1279" s="110" t="s">
        <v>7194</v>
      </c>
      <c r="C1279" s="110" t="s">
        <v>7195</v>
      </c>
      <c r="D1279" s="110" t="s">
        <v>81</v>
      </c>
      <c r="E1279" s="110" t="s">
        <v>7196</v>
      </c>
      <c r="F1279" s="110" t="s">
        <v>7197</v>
      </c>
    </row>
    <row r="1280" spans="1:6">
      <c r="A1280" s="109" t="s">
        <v>7198</v>
      </c>
      <c r="B1280" s="110" t="s">
        <v>7199</v>
      </c>
      <c r="C1280" s="110" t="s">
        <v>7200</v>
      </c>
      <c r="D1280" s="110" t="s">
        <v>81</v>
      </c>
      <c r="E1280" s="110" t="s">
        <v>7201</v>
      </c>
      <c r="F1280" s="110" t="s">
        <v>7202</v>
      </c>
    </row>
    <row r="1281" spans="1:6">
      <c r="A1281" s="109" t="s">
        <v>7203</v>
      </c>
      <c r="B1281" s="110" t="s">
        <v>7204</v>
      </c>
      <c r="C1281" s="110" t="s">
        <v>7205</v>
      </c>
      <c r="D1281" s="110" t="s">
        <v>81</v>
      </c>
      <c r="E1281" s="110" t="s">
        <v>7206</v>
      </c>
      <c r="F1281" s="110" t="s">
        <v>7207</v>
      </c>
    </row>
    <row r="1282" spans="1:6">
      <c r="A1282" s="109" t="s">
        <v>7208</v>
      </c>
      <c r="B1282" s="110" t="s">
        <v>7209</v>
      </c>
      <c r="C1282" s="110" t="s">
        <v>7210</v>
      </c>
      <c r="D1282" s="110" t="s">
        <v>81</v>
      </c>
      <c r="E1282" s="110" t="s">
        <v>7211</v>
      </c>
      <c r="F1282" s="110" t="s">
        <v>7212</v>
      </c>
    </row>
    <row r="1283" spans="1:6">
      <c r="A1283" s="109" t="s">
        <v>7213</v>
      </c>
      <c r="B1283" s="110" t="s">
        <v>7214</v>
      </c>
      <c r="C1283" s="110" t="s">
        <v>7215</v>
      </c>
      <c r="D1283" s="111" t="s">
        <v>82</v>
      </c>
      <c r="E1283" s="110" t="s">
        <v>7216</v>
      </c>
      <c r="F1283" s="110" t="s">
        <v>7217</v>
      </c>
    </row>
    <row r="1284" spans="1:6">
      <c r="A1284" s="109" t="s">
        <v>7218</v>
      </c>
      <c r="B1284" s="110" t="s">
        <v>7219</v>
      </c>
      <c r="C1284" s="110" t="s">
        <v>7220</v>
      </c>
      <c r="D1284" s="110" t="s">
        <v>81</v>
      </c>
      <c r="E1284" s="110" t="s">
        <v>7221</v>
      </c>
      <c r="F1284" s="110" t="s">
        <v>7222</v>
      </c>
    </row>
    <row r="1285" spans="1:6">
      <c r="A1285" s="109" t="s">
        <v>7223</v>
      </c>
      <c r="B1285" s="110" t="s">
        <v>7224</v>
      </c>
      <c r="C1285" s="110" t="s">
        <v>7225</v>
      </c>
      <c r="D1285" s="110" t="s">
        <v>82</v>
      </c>
      <c r="E1285" s="110" t="s">
        <v>7226</v>
      </c>
      <c r="F1285" s="110" t="s">
        <v>7227</v>
      </c>
    </row>
    <row r="1286" spans="1:6">
      <c r="A1286" s="109" t="s">
        <v>7228</v>
      </c>
      <c r="B1286" s="110" t="s">
        <v>7229</v>
      </c>
      <c r="C1286" s="110" t="s">
        <v>7230</v>
      </c>
      <c r="D1286" s="110" t="s">
        <v>82</v>
      </c>
      <c r="E1286" s="110" t="s">
        <v>7231</v>
      </c>
      <c r="F1286" s="110" t="s">
        <v>7232</v>
      </c>
    </row>
    <row r="1287" spans="1:6">
      <c r="A1287" s="109" t="s">
        <v>7233</v>
      </c>
      <c r="B1287" s="110" t="s">
        <v>7234</v>
      </c>
      <c r="C1287" s="110" t="s">
        <v>7235</v>
      </c>
      <c r="D1287" s="110" t="s">
        <v>82</v>
      </c>
      <c r="E1287" s="110" t="s">
        <v>7236</v>
      </c>
      <c r="F1287" s="110" t="s">
        <v>7237</v>
      </c>
    </row>
    <row r="1288" spans="1:6">
      <c r="A1288" s="109" t="s">
        <v>7238</v>
      </c>
      <c r="B1288" s="110" t="s">
        <v>7239</v>
      </c>
      <c r="C1288" s="110" t="s">
        <v>7240</v>
      </c>
      <c r="D1288" s="110" t="s">
        <v>82</v>
      </c>
      <c r="E1288" s="110" t="s">
        <v>7241</v>
      </c>
      <c r="F1288" s="110" t="s">
        <v>7242</v>
      </c>
    </row>
    <row r="1289" spans="1:6">
      <c r="A1289" s="109" t="s">
        <v>7243</v>
      </c>
      <c r="B1289" s="110" t="s">
        <v>7244</v>
      </c>
      <c r="C1289" s="110" t="s">
        <v>7245</v>
      </c>
      <c r="D1289" s="110" t="s">
        <v>82</v>
      </c>
      <c r="E1289" s="110" t="s">
        <v>7246</v>
      </c>
      <c r="F1289" s="110" t="s">
        <v>7247</v>
      </c>
    </row>
    <row r="1290" spans="1:6">
      <c r="A1290" s="109" t="s">
        <v>7248</v>
      </c>
      <c r="B1290" s="110" t="s">
        <v>7249</v>
      </c>
      <c r="C1290" s="110" t="s">
        <v>7250</v>
      </c>
      <c r="D1290" s="110" t="s">
        <v>82</v>
      </c>
      <c r="E1290" s="110" t="s">
        <v>7251</v>
      </c>
      <c r="F1290" s="110" t="s">
        <v>7252</v>
      </c>
    </row>
    <row r="1291" spans="1:6">
      <c r="A1291" s="109" t="s">
        <v>7253</v>
      </c>
      <c r="B1291" s="110" t="s">
        <v>7254</v>
      </c>
      <c r="C1291" s="110" t="s">
        <v>7255</v>
      </c>
      <c r="D1291" s="110" t="s">
        <v>82</v>
      </c>
      <c r="E1291" s="110" t="s">
        <v>7256</v>
      </c>
      <c r="F1291" s="110" t="s">
        <v>7257</v>
      </c>
    </row>
    <row r="1292" spans="1:6">
      <c r="A1292" s="109" t="s">
        <v>7258</v>
      </c>
      <c r="B1292" s="110" t="s">
        <v>7259</v>
      </c>
      <c r="C1292" s="110" t="s">
        <v>7260</v>
      </c>
      <c r="D1292" s="110" t="s">
        <v>82</v>
      </c>
      <c r="E1292" s="110" t="s">
        <v>7261</v>
      </c>
      <c r="F1292" s="110" t="s">
        <v>7262</v>
      </c>
    </row>
    <row r="1293" spans="1:6">
      <c r="A1293" s="109" t="s">
        <v>7263</v>
      </c>
      <c r="B1293" s="110" t="s">
        <v>7264</v>
      </c>
      <c r="C1293" s="110" t="s">
        <v>7265</v>
      </c>
      <c r="D1293" s="110" t="s">
        <v>82</v>
      </c>
      <c r="E1293" s="110" t="s">
        <v>7266</v>
      </c>
      <c r="F1293" s="110" t="s">
        <v>7267</v>
      </c>
    </row>
    <row r="1294" spans="1:6">
      <c r="A1294" s="109" t="s">
        <v>7268</v>
      </c>
      <c r="B1294" s="110" t="s">
        <v>7269</v>
      </c>
      <c r="C1294" s="110" t="s">
        <v>7270</v>
      </c>
      <c r="D1294" s="110" t="s">
        <v>82</v>
      </c>
      <c r="E1294" s="110" t="s">
        <v>7271</v>
      </c>
      <c r="F1294" s="110" t="s">
        <v>7272</v>
      </c>
    </row>
    <row r="1295" spans="1:6">
      <c r="A1295" s="109" t="s">
        <v>7273</v>
      </c>
      <c r="B1295" s="110" t="s">
        <v>7274</v>
      </c>
      <c r="C1295" s="110" t="s">
        <v>7275</v>
      </c>
      <c r="D1295" s="110" t="s">
        <v>81</v>
      </c>
      <c r="E1295" s="110" t="s">
        <v>7276</v>
      </c>
      <c r="F1295" s="110" t="s">
        <v>7277</v>
      </c>
    </row>
    <row r="1296" spans="1:6">
      <c r="A1296" s="109" t="s">
        <v>7278</v>
      </c>
      <c r="B1296" s="110" t="s">
        <v>7279</v>
      </c>
      <c r="C1296" s="110" t="s">
        <v>7280</v>
      </c>
      <c r="D1296" s="110" t="s">
        <v>81</v>
      </c>
      <c r="E1296" s="110" t="s">
        <v>7281</v>
      </c>
      <c r="F1296" s="110" t="s">
        <v>7282</v>
      </c>
    </row>
    <row r="1297" spans="1:6">
      <c r="A1297" s="109" t="s">
        <v>7283</v>
      </c>
      <c r="B1297" s="110" t="s">
        <v>7284</v>
      </c>
      <c r="C1297" s="110" t="s">
        <v>7285</v>
      </c>
      <c r="D1297" s="110" t="s">
        <v>83</v>
      </c>
      <c r="E1297" s="110" t="s">
        <v>7286</v>
      </c>
      <c r="F1297" s="110" t="s">
        <v>7287</v>
      </c>
    </row>
    <row r="1298" spans="1:6">
      <c r="A1298" s="109" t="s">
        <v>7288</v>
      </c>
      <c r="B1298" s="110" t="s">
        <v>7289</v>
      </c>
      <c r="C1298" s="110" t="s">
        <v>7290</v>
      </c>
      <c r="D1298" s="110" t="s">
        <v>82</v>
      </c>
      <c r="E1298" s="110" t="s">
        <v>7291</v>
      </c>
      <c r="F1298" s="111" t="s">
        <v>7292</v>
      </c>
    </row>
    <row r="1299" spans="1:6" ht="15.6" customHeight="1">
      <c r="A1299" s="109" t="s">
        <v>7293</v>
      </c>
      <c r="B1299" s="110" t="s">
        <v>7294</v>
      </c>
      <c r="C1299" s="150" t="s">
        <v>7295</v>
      </c>
      <c r="D1299" s="110" t="s">
        <v>81</v>
      </c>
      <c r="E1299" s="110" t="s">
        <v>7296</v>
      </c>
      <c r="F1299" s="111" t="s">
        <v>7297</v>
      </c>
    </row>
    <row r="1300" spans="1:6">
      <c r="A1300" s="109" t="s">
        <v>7298</v>
      </c>
      <c r="B1300" s="124" t="s">
        <v>7299</v>
      </c>
      <c r="C1300" s="125" t="s">
        <v>7300</v>
      </c>
      <c r="D1300" s="110" t="s">
        <v>81</v>
      </c>
      <c r="E1300" s="110" t="s">
        <v>7301</v>
      </c>
      <c r="F1300" s="111" t="s">
        <v>7302</v>
      </c>
    </row>
    <row r="1301" spans="1:6">
      <c r="A1301" s="109" t="s">
        <v>7303</v>
      </c>
      <c r="B1301" s="110" t="s">
        <v>7304</v>
      </c>
      <c r="C1301" s="125" t="s">
        <v>7305</v>
      </c>
      <c r="D1301" s="110" t="s">
        <v>81</v>
      </c>
      <c r="E1301" s="110" t="s">
        <v>7306</v>
      </c>
      <c r="F1301" s="111" t="s">
        <v>7307</v>
      </c>
    </row>
    <row r="1302" spans="1:6">
      <c r="A1302" s="109" t="s">
        <v>7308</v>
      </c>
      <c r="B1302" s="110" t="s">
        <v>7309</v>
      </c>
      <c r="C1302" s="125" t="s">
        <v>7310</v>
      </c>
      <c r="D1302" s="110" t="s">
        <v>81</v>
      </c>
      <c r="E1302" s="110" t="s">
        <v>7311</v>
      </c>
      <c r="F1302" s="111" t="s">
        <v>7312</v>
      </c>
    </row>
    <row r="1303" spans="1:6">
      <c r="A1303" s="109" t="s">
        <v>7313</v>
      </c>
      <c r="B1303" s="110" t="s">
        <v>7314</v>
      </c>
      <c r="C1303" s="125" t="s">
        <v>7315</v>
      </c>
      <c r="D1303" s="110" t="s">
        <v>81</v>
      </c>
      <c r="E1303" s="110" t="s">
        <v>7316</v>
      </c>
      <c r="F1303" s="111" t="s">
        <v>7317</v>
      </c>
    </row>
    <row r="1304" spans="1:6">
      <c r="A1304" s="109" t="s">
        <v>7318</v>
      </c>
      <c r="B1304" s="110" t="s">
        <v>7319</v>
      </c>
      <c r="C1304" s="125" t="s">
        <v>7320</v>
      </c>
      <c r="D1304" s="110" t="s">
        <v>81</v>
      </c>
      <c r="E1304" s="110" t="s">
        <v>7321</v>
      </c>
      <c r="F1304" s="111" t="s">
        <v>7322</v>
      </c>
    </row>
    <row r="1305" spans="1:6">
      <c r="A1305" s="109" t="s">
        <v>7323</v>
      </c>
      <c r="B1305" s="110" t="s">
        <v>7324</v>
      </c>
      <c r="C1305" s="110" t="s">
        <v>7325</v>
      </c>
      <c r="D1305" s="110" t="s">
        <v>82</v>
      </c>
      <c r="E1305" s="110" t="s">
        <v>7326</v>
      </c>
      <c r="F1305" s="111" t="s">
        <v>7327</v>
      </c>
    </row>
    <row r="1306" spans="1:6">
      <c r="A1306" s="109" t="s">
        <v>7328</v>
      </c>
      <c r="B1306" s="110" t="s">
        <v>7329</v>
      </c>
      <c r="C1306" s="110" t="s">
        <v>7330</v>
      </c>
      <c r="D1306" s="110" t="s">
        <v>82</v>
      </c>
      <c r="E1306" s="110" t="s">
        <v>7331</v>
      </c>
      <c r="F1306" s="111" t="s">
        <v>7332</v>
      </c>
    </row>
    <row r="1307" spans="1:6">
      <c r="A1307" s="109" t="s">
        <v>7333</v>
      </c>
      <c r="B1307" s="110" t="s">
        <v>7334</v>
      </c>
      <c r="C1307" s="110" t="s">
        <v>7335</v>
      </c>
      <c r="D1307" s="110" t="s">
        <v>81</v>
      </c>
      <c r="E1307" s="110" t="s">
        <v>7336</v>
      </c>
      <c r="F1307" s="111" t="s">
        <v>7337</v>
      </c>
    </row>
    <row r="1308" spans="1:6">
      <c r="A1308" s="109" t="s">
        <v>7338</v>
      </c>
      <c r="B1308" s="110" t="s">
        <v>7339</v>
      </c>
      <c r="C1308" s="110" t="s">
        <v>7340</v>
      </c>
      <c r="D1308" s="110" t="s">
        <v>81</v>
      </c>
      <c r="E1308" s="110" t="s">
        <v>7341</v>
      </c>
      <c r="F1308" s="111" t="s">
        <v>7342</v>
      </c>
    </row>
    <row r="1309" spans="1:6">
      <c r="A1309" s="109" t="s">
        <v>7343</v>
      </c>
      <c r="B1309" s="110" t="s">
        <v>7344</v>
      </c>
      <c r="C1309" s="110" t="s">
        <v>7345</v>
      </c>
      <c r="D1309" s="110" t="s">
        <v>81</v>
      </c>
      <c r="E1309" s="110" t="s">
        <v>7346</v>
      </c>
      <c r="F1309" s="111" t="s">
        <v>7347</v>
      </c>
    </row>
    <row r="1310" spans="1:6">
      <c r="A1310" s="109" t="s">
        <v>7348</v>
      </c>
      <c r="B1310" s="110" t="s">
        <v>7349</v>
      </c>
      <c r="C1310" s="110" t="s">
        <v>7350</v>
      </c>
      <c r="D1310" s="110" t="s">
        <v>81</v>
      </c>
      <c r="E1310" s="110" t="s">
        <v>7351</v>
      </c>
      <c r="F1310" s="111" t="s">
        <v>7352</v>
      </c>
    </row>
    <row r="1311" spans="1:6">
      <c r="A1311" s="109" t="s">
        <v>7353</v>
      </c>
      <c r="B1311" s="110" t="s">
        <v>7354</v>
      </c>
      <c r="C1311" s="110" t="s">
        <v>7355</v>
      </c>
      <c r="D1311" s="110" t="s">
        <v>81</v>
      </c>
      <c r="E1311" s="110" t="s">
        <v>7356</v>
      </c>
      <c r="F1311" s="111" t="s">
        <v>7357</v>
      </c>
    </row>
    <row r="1312" spans="1:6">
      <c r="A1312" s="109" t="s">
        <v>7358</v>
      </c>
      <c r="B1312" s="110" t="s">
        <v>7359</v>
      </c>
      <c r="C1312" s="110" t="s">
        <v>7360</v>
      </c>
      <c r="D1312" s="110" t="s">
        <v>82</v>
      </c>
      <c r="E1312" s="110" t="s">
        <v>7361</v>
      </c>
      <c r="F1312" s="111" t="s">
        <v>7362</v>
      </c>
    </row>
    <row r="1313" spans="1:6">
      <c r="A1313" s="109" t="s">
        <v>7363</v>
      </c>
      <c r="B1313" s="110" t="s">
        <v>7364</v>
      </c>
      <c r="C1313" s="110" t="s">
        <v>7365</v>
      </c>
      <c r="D1313" s="110" t="s">
        <v>82</v>
      </c>
      <c r="E1313" s="110" t="s">
        <v>7366</v>
      </c>
      <c r="F1313" s="111" t="s">
        <v>7367</v>
      </c>
    </row>
    <row r="1314" spans="1:6">
      <c r="A1314" s="109" t="s">
        <v>7368</v>
      </c>
      <c r="B1314" s="110" t="s">
        <v>7369</v>
      </c>
      <c r="C1314" s="110" t="s">
        <v>7370</v>
      </c>
      <c r="D1314" s="110" t="s">
        <v>82</v>
      </c>
      <c r="E1314" s="110" t="s">
        <v>7371</v>
      </c>
      <c r="F1314" s="111" t="s">
        <v>7372</v>
      </c>
    </row>
    <row r="1315" spans="1:6">
      <c r="A1315" s="109" t="s">
        <v>7373</v>
      </c>
      <c r="B1315" s="110" t="s">
        <v>7374</v>
      </c>
      <c r="C1315" s="110" t="s">
        <v>7375</v>
      </c>
      <c r="D1315" s="110" t="s">
        <v>81</v>
      </c>
      <c r="E1315" s="110" t="s">
        <v>7376</v>
      </c>
      <c r="F1315" s="111" t="s">
        <v>7377</v>
      </c>
    </row>
    <row r="1316" spans="1:6">
      <c r="A1316" s="109" t="s">
        <v>7378</v>
      </c>
      <c r="B1316" s="110" t="s">
        <v>7379</v>
      </c>
      <c r="C1316" s="110" t="s">
        <v>7380</v>
      </c>
      <c r="D1316" s="110" t="s">
        <v>81</v>
      </c>
      <c r="E1316" s="110" t="s">
        <v>7381</v>
      </c>
      <c r="F1316" s="111" t="s">
        <v>7382</v>
      </c>
    </row>
    <row r="1317" spans="1:6">
      <c r="A1317" s="109" t="s">
        <v>7383</v>
      </c>
      <c r="B1317" s="110" t="s">
        <v>7384</v>
      </c>
      <c r="C1317" s="110" t="s">
        <v>7385</v>
      </c>
      <c r="D1317" s="110" t="s">
        <v>81</v>
      </c>
      <c r="E1317" s="110" t="s">
        <v>7386</v>
      </c>
      <c r="F1317" s="111" t="s">
        <v>7387</v>
      </c>
    </row>
    <row r="1318" spans="1:6">
      <c r="A1318" s="109" t="s">
        <v>7388</v>
      </c>
      <c r="B1318" s="110" t="s">
        <v>7389</v>
      </c>
      <c r="C1318" s="110" t="s">
        <v>7390</v>
      </c>
      <c r="D1318" s="110" t="s">
        <v>81</v>
      </c>
      <c r="E1318" s="110" t="s">
        <v>7391</v>
      </c>
      <c r="F1318" s="111" t="s">
        <v>7392</v>
      </c>
    </row>
    <row r="1319" spans="1:6">
      <c r="A1319" s="109" t="s">
        <v>7393</v>
      </c>
      <c r="B1319" s="110" t="s">
        <v>7394</v>
      </c>
      <c r="C1319" s="110" t="s">
        <v>7395</v>
      </c>
      <c r="D1319" s="110" t="s">
        <v>82</v>
      </c>
      <c r="E1319" s="110" t="s">
        <v>7396</v>
      </c>
      <c r="F1319" s="111" t="s">
        <v>7397</v>
      </c>
    </row>
    <row r="1320" spans="1:6">
      <c r="A1320" s="109" t="s">
        <v>7398</v>
      </c>
      <c r="B1320" s="110" t="s">
        <v>7399</v>
      </c>
      <c r="C1320" s="110" t="s">
        <v>7400</v>
      </c>
      <c r="D1320" s="110" t="s">
        <v>82</v>
      </c>
      <c r="E1320" s="110" t="s">
        <v>7401</v>
      </c>
      <c r="F1320" s="111" t="s">
        <v>7402</v>
      </c>
    </row>
    <row r="1321" spans="1:6">
      <c r="A1321" s="109" t="s">
        <v>7403</v>
      </c>
      <c r="B1321" s="110" t="s">
        <v>7404</v>
      </c>
      <c r="C1321" s="110" t="s">
        <v>7405</v>
      </c>
      <c r="D1321" s="110" t="s">
        <v>82</v>
      </c>
      <c r="E1321" s="110" t="s">
        <v>7406</v>
      </c>
      <c r="F1321" s="111" t="s">
        <v>7407</v>
      </c>
    </row>
    <row r="1322" spans="1:6">
      <c r="A1322" s="109" t="s">
        <v>7408</v>
      </c>
      <c r="B1322" s="110" t="s">
        <v>7409</v>
      </c>
      <c r="C1322" s="110" t="s">
        <v>7410</v>
      </c>
      <c r="D1322" s="110" t="s">
        <v>82</v>
      </c>
      <c r="E1322" s="110" t="s">
        <v>7411</v>
      </c>
      <c r="F1322" s="111" t="s">
        <v>7412</v>
      </c>
    </row>
    <row r="1323" spans="1:6">
      <c r="A1323" s="109" t="s">
        <v>7413</v>
      </c>
      <c r="B1323" s="110" t="s">
        <v>7414</v>
      </c>
      <c r="C1323" s="110" t="s">
        <v>7415</v>
      </c>
      <c r="D1323" s="110" t="s">
        <v>82</v>
      </c>
      <c r="E1323" s="110" t="s">
        <v>7416</v>
      </c>
      <c r="F1323" s="111" t="s">
        <v>7417</v>
      </c>
    </row>
    <row r="1324" spans="1:6">
      <c r="A1324" s="109" t="s">
        <v>7418</v>
      </c>
      <c r="B1324" s="110" t="s">
        <v>7419</v>
      </c>
      <c r="C1324" s="110" t="s">
        <v>7420</v>
      </c>
      <c r="D1324" s="110" t="s">
        <v>82</v>
      </c>
      <c r="E1324" s="110" t="s">
        <v>7421</v>
      </c>
      <c r="F1324" s="111" t="s">
        <v>7422</v>
      </c>
    </row>
    <row r="1325" spans="1:6">
      <c r="A1325" s="109" t="s">
        <v>7423</v>
      </c>
      <c r="B1325" s="110" t="s">
        <v>7424</v>
      </c>
      <c r="C1325" s="110" t="s">
        <v>7425</v>
      </c>
      <c r="D1325" s="110" t="s">
        <v>82</v>
      </c>
      <c r="E1325" s="110" t="s">
        <v>7426</v>
      </c>
      <c r="F1325" s="111" t="s">
        <v>7427</v>
      </c>
    </row>
    <row r="1326" spans="1:6">
      <c r="A1326" s="109" t="s">
        <v>7428</v>
      </c>
      <c r="B1326" s="110" t="s">
        <v>7429</v>
      </c>
      <c r="C1326" s="110" t="s">
        <v>7430</v>
      </c>
      <c r="D1326" s="110" t="s">
        <v>82</v>
      </c>
      <c r="E1326" s="110" t="s">
        <v>7431</v>
      </c>
      <c r="F1326" s="111" t="s">
        <v>7432</v>
      </c>
    </row>
    <row r="1327" spans="1:6" ht="43.2" customHeight="1">
      <c r="A1327" s="109" t="s">
        <v>7433</v>
      </c>
      <c r="B1327" s="110" t="s">
        <v>7434</v>
      </c>
      <c r="C1327" s="110" t="s">
        <v>7435</v>
      </c>
      <c r="D1327" s="110" t="s">
        <v>81</v>
      </c>
      <c r="E1327" s="110" t="s">
        <v>7436</v>
      </c>
      <c r="F1327" s="110" t="s">
        <v>7437</v>
      </c>
    </row>
    <row r="1328" spans="1:6">
      <c r="A1328" s="109" t="s">
        <v>7438</v>
      </c>
      <c r="B1328" s="110" t="s">
        <v>7439</v>
      </c>
      <c r="C1328" s="110" t="s">
        <v>7440</v>
      </c>
      <c r="D1328" s="110" t="s">
        <v>81</v>
      </c>
      <c r="E1328" s="110" t="s">
        <v>7441</v>
      </c>
      <c r="F1328" s="111" t="s">
        <v>7442</v>
      </c>
    </row>
    <row r="1329" spans="1:6">
      <c r="A1329" s="109" t="s">
        <v>7443</v>
      </c>
      <c r="B1329" s="110" t="s">
        <v>7444</v>
      </c>
      <c r="C1329" s="110" t="s">
        <v>7445</v>
      </c>
      <c r="D1329" s="110" t="s">
        <v>81</v>
      </c>
      <c r="E1329" s="110" t="s">
        <v>7446</v>
      </c>
      <c r="F1329" s="111" t="s">
        <v>7447</v>
      </c>
    </row>
    <row r="1330" spans="1:6">
      <c r="A1330" s="109" t="s">
        <v>7448</v>
      </c>
      <c r="B1330" s="110" t="s">
        <v>7449</v>
      </c>
      <c r="C1330" s="110" t="s">
        <v>7450</v>
      </c>
      <c r="D1330" s="110" t="s">
        <v>81</v>
      </c>
      <c r="E1330" s="110" t="s">
        <v>7451</v>
      </c>
      <c r="F1330" s="111" t="s">
        <v>7452</v>
      </c>
    </row>
    <row r="1331" spans="1:6">
      <c r="A1331" s="109" t="s">
        <v>7453</v>
      </c>
      <c r="B1331" s="110" t="s">
        <v>7454</v>
      </c>
      <c r="C1331" s="110" t="s">
        <v>7455</v>
      </c>
      <c r="D1331" s="110" t="s">
        <v>81</v>
      </c>
      <c r="E1331" s="110" t="s">
        <v>7456</v>
      </c>
      <c r="F1331" s="111" t="s">
        <v>7457</v>
      </c>
    </row>
    <row r="1332" spans="1:6">
      <c r="A1332" s="109" t="s">
        <v>7458</v>
      </c>
      <c r="B1332" s="110" t="s">
        <v>7459</v>
      </c>
      <c r="C1332" s="110" t="s">
        <v>7460</v>
      </c>
      <c r="D1332" s="110" t="s">
        <v>82</v>
      </c>
      <c r="E1332" s="110" t="s">
        <v>7461</v>
      </c>
      <c r="F1332" s="111" t="s">
        <v>7462</v>
      </c>
    </row>
    <row r="1333" spans="1:6">
      <c r="A1333" s="109" t="s">
        <v>7463</v>
      </c>
      <c r="B1333" s="110" t="s">
        <v>7464</v>
      </c>
      <c r="C1333" s="110" t="s">
        <v>7465</v>
      </c>
      <c r="D1333" s="110" t="s">
        <v>82</v>
      </c>
      <c r="E1333" s="110" t="s">
        <v>7466</v>
      </c>
      <c r="F1333" s="111" t="s">
        <v>7467</v>
      </c>
    </row>
    <row r="1334" spans="1:6">
      <c r="A1334" s="109" t="s">
        <v>7468</v>
      </c>
      <c r="B1334" s="110" t="s">
        <v>7469</v>
      </c>
      <c r="C1334" s="110" t="s">
        <v>7470</v>
      </c>
      <c r="D1334" s="110" t="s">
        <v>81</v>
      </c>
      <c r="E1334" s="110" t="s">
        <v>7471</v>
      </c>
      <c r="F1334" s="111" t="s">
        <v>7472</v>
      </c>
    </row>
    <row r="1335" spans="1:6">
      <c r="A1335" s="109" t="s">
        <v>7473</v>
      </c>
      <c r="B1335" s="110" t="s">
        <v>7474</v>
      </c>
      <c r="C1335" s="110" t="s">
        <v>7475</v>
      </c>
      <c r="D1335" s="110" t="s">
        <v>81</v>
      </c>
      <c r="E1335" s="110" t="s">
        <v>7476</v>
      </c>
      <c r="F1335" s="111" t="s">
        <v>7477</v>
      </c>
    </row>
    <row r="1336" spans="1:6">
      <c r="A1336" s="109" t="s">
        <v>7478</v>
      </c>
      <c r="B1336" s="110" t="s">
        <v>7479</v>
      </c>
      <c r="C1336" s="110" t="s">
        <v>7480</v>
      </c>
      <c r="D1336" s="110" t="s">
        <v>81</v>
      </c>
      <c r="E1336" s="110" t="s">
        <v>7481</v>
      </c>
      <c r="F1336" s="111" t="s">
        <v>7482</v>
      </c>
    </row>
    <row r="1337" spans="1:6">
      <c r="A1337" s="109" t="s">
        <v>7483</v>
      </c>
      <c r="B1337" s="110" t="s">
        <v>7484</v>
      </c>
      <c r="C1337" s="110" t="s">
        <v>7485</v>
      </c>
      <c r="D1337" s="110" t="s">
        <v>81</v>
      </c>
      <c r="E1337" s="110" t="s">
        <v>7486</v>
      </c>
      <c r="F1337" s="111" t="s">
        <v>7487</v>
      </c>
    </row>
    <row r="1338" spans="1:6">
      <c r="A1338" s="109" t="s">
        <v>7488</v>
      </c>
      <c r="B1338" s="110" t="s">
        <v>7489</v>
      </c>
      <c r="C1338" s="110" t="s">
        <v>7490</v>
      </c>
      <c r="D1338" s="110" t="s">
        <v>81</v>
      </c>
      <c r="E1338" s="110" t="s">
        <v>7491</v>
      </c>
      <c r="F1338" s="111" t="s">
        <v>7492</v>
      </c>
    </row>
    <row r="1339" spans="1:6">
      <c r="A1339" s="109" t="s">
        <v>7493</v>
      </c>
      <c r="B1339" s="110" t="s">
        <v>7494</v>
      </c>
      <c r="C1339" s="110" t="s">
        <v>7495</v>
      </c>
      <c r="D1339" s="110" t="s">
        <v>81</v>
      </c>
      <c r="E1339" s="110" t="s">
        <v>7496</v>
      </c>
      <c r="F1339" s="111" t="s">
        <v>7497</v>
      </c>
    </row>
    <row r="1340" spans="1:6">
      <c r="A1340" s="109" t="s">
        <v>7498</v>
      </c>
      <c r="B1340" s="110" t="s">
        <v>7499</v>
      </c>
      <c r="C1340" s="110" t="s">
        <v>7500</v>
      </c>
      <c r="D1340" s="110" t="s">
        <v>81</v>
      </c>
      <c r="E1340" s="110" t="s">
        <v>7501</v>
      </c>
      <c r="F1340" s="111" t="s">
        <v>7502</v>
      </c>
    </row>
    <row r="1341" spans="1:6">
      <c r="A1341" s="109" t="s">
        <v>7503</v>
      </c>
      <c r="B1341" s="110" t="s">
        <v>7504</v>
      </c>
      <c r="C1341" s="110" t="s">
        <v>7505</v>
      </c>
      <c r="D1341" s="110" t="s">
        <v>81</v>
      </c>
      <c r="E1341" s="110" t="s">
        <v>7506</v>
      </c>
      <c r="F1341" s="111" t="s">
        <v>7507</v>
      </c>
    </row>
    <row r="1342" spans="1:6">
      <c r="A1342" s="109" t="s">
        <v>7508</v>
      </c>
      <c r="B1342" s="110" t="s">
        <v>7509</v>
      </c>
      <c r="C1342" s="110" t="s">
        <v>7510</v>
      </c>
      <c r="D1342" s="110" t="s">
        <v>81</v>
      </c>
      <c r="E1342" s="110" t="s">
        <v>7511</v>
      </c>
      <c r="F1342" s="111" t="s">
        <v>7512</v>
      </c>
    </row>
    <row r="1343" spans="1:6">
      <c r="A1343" s="109" t="s">
        <v>7513</v>
      </c>
      <c r="B1343" s="110" t="s">
        <v>7514</v>
      </c>
      <c r="C1343" s="110" t="s">
        <v>7515</v>
      </c>
      <c r="D1343" s="110" t="s">
        <v>81</v>
      </c>
      <c r="E1343" s="110" t="s">
        <v>7516</v>
      </c>
      <c r="F1343" s="111" t="s">
        <v>7517</v>
      </c>
    </row>
    <row r="1344" spans="1:6">
      <c r="A1344" s="109" t="s">
        <v>7518</v>
      </c>
      <c r="B1344" s="110" t="s">
        <v>7519</v>
      </c>
      <c r="C1344" s="110" t="s">
        <v>7520</v>
      </c>
      <c r="D1344" s="110" t="s">
        <v>81</v>
      </c>
      <c r="E1344" s="110" t="s">
        <v>7521</v>
      </c>
      <c r="F1344" s="111" t="s">
        <v>7522</v>
      </c>
    </row>
    <row r="1345" spans="1:6">
      <c r="A1345" s="109" t="s">
        <v>7523</v>
      </c>
      <c r="B1345" s="110" t="s">
        <v>7524</v>
      </c>
      <c r="C1345" s="110" t="s">
        <v>7525</v>
      </c>
      <c r="D1345" s="110" t="s">
        <v>81</v>
      </c>
      <c r="E1345" s="110" t="s">
        <v>7526</v>
      </c>
      <c r="F1345" s="111" t="s">
        <v>7527</v>
      </c>
    </row>
    <row r="1346" spans="1:6">
      <c r="A1346" s="109" t="s">
        <v>7528</v>
      </c>
      <c r="B1346" s="110" t="s">
        <v>7529</v>
      </c>
      <c r="C1346" s="110" t="s">
        <v>7530</v>
      </c>
      <c r="D1346" s="110" t="s">
        <v>81</v>
      </c>
      <c r="E1346" s="110" t="s">
        <v>7531</v>
      </c>
      <c r="F1346" s="111" t="s">
        <v>7532</v>
      </c>
    </row>
    <row r="1347" spans="1:6">
      <c r="A1347" s="109" t="s">
        <v>7533</v>
      </c>
      <c r="B1347" s="110" t="s">
        <v>7534</v>
      </c>
      <c r="C1347" s="110" t="s">
        <v>7535</v>
      </c>
      <c r="D1347" s="110" t="s">
        <v>81</v>
      </c>
      <c r="E1347" s="110" t="s">
        <v>7536</v>
      </c>
      <c r="F1347" s="111" t="s">
        <v>7537</v>
      </c>
    </row>
    <row r="1348" spans="1:6">
      <c r="A1348" s="109" t="s">
        <v>7538</v>
      </c>
      <c r="B1348" s="110" t="s">
        <v>7539</v>
      </c>
      <c r="C1348" s="110" t="s">
        <v>7540</v>
      </c>
      <c r="D1348" s="110" t="s">
        <v>82</v>
      </c>
      <c r="E1348" s="110" t="s">
        <v>7541</v>
      </c>
      <c r="F1348" s="111" t="s">
        <v>7542</v>
      </c>
    </row>
    <row r="1349" spans="1:6">
      <c r="A1349" s="109" t="s">
        <v>7543</v>
      </c>
      <c r="B1349" s="110" t="s">
        <v>7544</v>
      </c>
      <c r="C1349" s="110" t="s">
        <v>7545</v>
      </c>
      <c r="D1349" s="110" t="s">
        <v>82</v>
      </c>
      <c r="E1349" s="110" t="s">
        <v>7546</v>
      </c>
      <c r="F1349" s="111" t="s">
        <v>7547</v>
      </c>
    </row>
    <row r="1350" spans="1:6">
      <c r="A1350" s="109" t="s">
        <v>7548</v>
      </c>
      <c r="B1350" s="110" t="s">
        <v>7549</v>
      </c>
      <c r="C1350" s="110" t="s">
        <v>7550</v>
      </c>
      <c r="D1350" s="110" t="s">
        <v>82</v>
      </c>
      <c r="E1350" s="110" t="s">
        <v>7551</v>
      </c>
      <c r="F1350" s="111" t="s">
        <v>7552</v>
      </c>
    </row>
    <row r="1351" spans="1:6">
      <c r="A1351" s="109" t="s">
        <v>7553</v>
      </c>
      <c r="B1351" s="110" t="s">
        <v>7554</v>
      </c>
      <c r="C1351" s="110" t="s">
        <v>7555</v>
      </c>
      <c r="D1351" s="110" t="s">
        <v>82</v>
      </c>
      <c r="E1351" s="110" t="s">
        <v>7556</v>
      </c>
      <c r="F1351" s="111" t="s">
        <v>7557</v>
      </c>
    </row>
    <row r="1352" spans="1:6">
      <c r="A1352" s="109" t="s">
        <v>7558</v>
      </c>
      <c r="B1352" s="110" t="s">
        <v>7559</v>
      </c>
      <c r="C1352" s="110" t="s">
        <v>7560</v>
      </c>
      <c r="D1352" s="110" t="s">
        <v>81</v>
      </c>
      <c r="E1352" s="110" t="s">
        <v>7561</v>
      </c>
      <c r="F1352" s="111" t="s">
        <v>7562</v>
      </c>
    </row>
    <row r="1353" spans="1:6">
      <c r="A1353" s="109" t="s">
        <v>7563</v>
      </c>
      <c r="B1353" s="115" t="s">
        <v>7564</v>
      </c>
      <c r="C1353" s="110" t="s">
        <v>7565</v>
      </c>
      <c r="D1353" s="110" t="s">
        <v>81</v>
      </c>
      <c r="E1353" s="110" t="s">
        <v>7566</v>
      </c>
      <c r="F1353" s="111" t="s">
        <v>7567</v>
      </c>
    </row>
    <row r="1354" spans="1:6">
      <c r="A1354" s="109" t="s">
        <v>7568</v>
      </c>
      <c r="B1354" s="110" t="s">
        <v>7569</v>
      </c>
      <c r="C1354" s="110" t="s">
        <v>7570</v>
      </c>
      <c r="D1354" s="110" t="s">
        <v>81</v>
      </c>
      <c r="E1354" s="110" t="s">
        <v>7571</v>
      </c>
      <c r="F1354" s="111" t="s">
        <v>7572</v>
      </c>
    </row>
    <row r="1355" spans="1:6">
      <c r="A1355" s="121" t="s">
        <v>7573</v>
      </c>
      <c r="B1355" s="122" t="s">
        <v>7574</v>
      </c>
      <c r="C1355" s="122" t="s">
        <v>7575</v>
      </c>
      <c r="D1355" s="110" t="s">
        <v>83</v>
      </c>
      <c r="E1355" s="122" t="s">
        <v>7576</v>
      </c>
      <c r="F1355" s="123" t="s">
        <v>7577</v>
      </c>
    </row>
    <row r="1356" spans="1:6">
      <c r="A1356" s="121" t="s">
        <v>7578</v>
      </c>
      <c r="B1356" s="122" t="s">
        <v>7579</v>
      </c>
      <c r="C1356" s="122" t="s">
        <v>7580</v>
      </c>
      <c r="D1356" s="122" t="s">
        <v>81</v>
      </c>
      <c r="E1356" s="126" t="s">
        <v>7581</v>
      </c>
      <c r="F1356" s="123" t="s">
        <v>7582</v>
      </c>
    </row>
    <row r="1357" spans="1:6">
      <c r="A1357" s="121" t="s">
        <v>7583</v>
      </c>
      <c r="B1357" s="122" t="s">
        <v>7584</v>
      </c>
      <c r="C1357" s="122" t="s">
        <v>7585</v>
      </c>
      <c r="D1357" s="122" t="s">
        <v>81</v>
      </c>
      <c r="E1357" s="126" t="s">
        <v>7586</v>
      </c>
      <c r="F1357" s="123" t="s">
        <v>7587</v>
      </c>
    </row>
    <row r="1358" spans="1:6">
      <c r="A1358" s="121" t="s">
        <v>7588</v>
      </c>
      <c r="B1358" s="122" t="s">
        <v>7589</v>
      </c>
      <c r="C1358" s="122" t="s">
        <v>7590</v>
      </c>
      <c r="D1358" s="122" t="s">
        <v>81</v>
      </c>
      <c r="E1358" s="126" t="s">
        <v>7591</v>
      </c>
      <c r="F1358" s="123" t="s">
        <v>7592</v>
      </c>
    </row>
    <row r="1359" spans="1:6">
      <c r="A1359" s="121" t="s">
        <v>7593</v>
      </c>
      <c r="B1359" s="122" t="s">
        <v>7594</v>
      </c>
      <c r="C1359" s="122" t="s">
        <v>7595</v>
      </c>
      <c r="D1359" s="122" t="s">
        <v>81</v>
      </c>
      <c r="E1359" s="126" t="s">
        <v>7596</v>
      </c>
      <c r="F1359" s="123" t="s">
        <v>7597</v>
      </c>
    </row>
    <row r="1360" spans="1:6">
      <c r="A1360" s="121" t="s">
        <v>7598</v>
      </c>
      <c r="B1360" s="122" t="s">
        <v>7599</v>
      </c>
      <c r="C1360" s="122" t="s">
        <v>7600</v>
      </c>
      <c r="D1360" s="122" t="s">
        <v>82</v>
      </c>
      <c r="E1360" s="126" t="s">
        <v>7601</v>
      </c>
      <c r="F1360" s="123" t="s">
        <v>7602</v>
      </c>
    </row>
    <row r="1361" spans="1:6">
      <c r="A1361" s="121" t="s">
        <v>7603</v>
      </c>
      <c r="B1361" s="122" t="s">
        <v>7604</v>
      </c>
      <c r="C1361" s="122" t="s">
        <v>7605</v>
      </c>
      <c r="D1361" s="122" t="s">
        <v>82</v>
      </c>
      <c r="E1361" s="126" t="s">
        <v>7606</v>
      </c>
      <c r="F1361" s="123" t="s">
        <v>7607</v>
      </c>
    </row>
    <row r="1362" spans="1:6">
      <c r="A1362" s="121" t="s">
        <v>7608</v>
      </c>
      <c r="B1362" s="122" t="s">
        <v>7609</v>
      </c>
      <c r="C1362" s="122" t="s">
        <v>7610</v>
      </c>
      <c r="D1362" s="122" t="s">
        <v>83</v>
      </c>
      <c r="E1362" s="126" t="s">
        <v>7611</v>
      </c>
      <c r="F1362" s="123" t="s">
        <v>7612</v>
      </c>
    </row>
    <row r="1363" spans="1:6">
      <c r="A1363" s="121" t="s">
        <v>7613</v>
      </c>
      <c r="B1363" s="122" t="s">
        <v>7614</v>
      </c>
      <c r="C1363" s="122" t="s">
        <v>7615</v>
      </c>
      <c r="D1363" s="122" t="s">
        <v>83</v>
      </c>
      <c r="E1363" s="122" t="s">
        <v>7616</v>
      </c>
      <c r="F1363" s="123" t="s">
        <v>7617</v>
      </c>
    </row>
    <row r="1364" spans="1:6">
      <c r="A1364" s="121" t="s">
        <v>7618</v>
      </c>
      <c r="B1364" s="122" t="s">
        <v>7619</v>
      </c>
      <c r="C1364" s="135" t="s">
        <v>7620</v>
      </c>
      <c r="D1364" s="122" t="s">
        <v>81</v>
      </c>
      <c r="E1364" s="126" t="s">
        <v>7621</v>
      </c>
      <c r="F1364" s="123" t="s">
        <v>7622</v>
      </c>
    </row>
    <row r="1365" spans="1:6">
      <c r="A1365" s="121" t="s">
        <v>7623</v>
      </c>
      <c r="B1365" s="122" t="s">
        <v>7624</v>
      </c>
      <c r="C1365" s="122" t="s">
        <v>7625</v>
      </c>
      <c r="D1365" s="122" t="s">
        <v>82</v>
      </c>
      <c r="E1365" s="126" t="s">
        <v>7626</v>
      </c>
      <c r="F1365" s="123" t="s">
        <v>7627</v>
      </c>
    </row>
    <row r="1366" spans="1:6">
      <c r="A1366" s="121" t="s">
        <v>7628</v>
      </c>
      <c r="B1366" s="122" t="s">
        <v>7629</v>
      </c>
      <c r="C1366" s="122" t="s">
        <v>7630</v>
      </c>
      <c r="D1366" s="122" t="s">
        <v>81</v>
      </c>
      <c r="E1366" s="126" t="s">
        <v>7631</v>
      </c>
      <c r="F1366" s="123" t="s">
        <v>7632</v>
      </c>
    </row>
    <row r="1367" spans="1:6">
      <c r="A1367" s="121" t="s">
        <v>7633</v>
      </c>
      <c r="B1367" s="122" t="s">
        <v>7634</v>
      </c>
      <c r="C1367" s="122" t="s">
        <v>7635</v>
      </c>
      <c r="D1367" s="122" t="s">
        <v>81</v>
      </c>
      <c r="E1367" s="126" t="s">
        <v>7636</v>
      </c>
      <c r="F1367" s="123" t="s">
        <v>7637</v>
      </c>
    </row>
    <row r="1368" spans="1:6">
      <c r="A1368" s="121" t="s">
        <v>7638</v>
      </c>
      <c r="B1368" s="122" t="s">
        <v>7639</v>
      </c>
      <c r="C1368" s="122" t="s">
        <v>7640</v>
      </c>
      <c r="D1368" s="122" t="s">
        <v>81</v>
      </c>
      <c r="E1368" s="126" t="s">
        <v>7641</v>
      </c>
      <c r="F1368" s="123" t="s">
        <v>7642</v>
      </c>
    </row>
    <row r="1369" spans="1:6">
      <c r="A1369" s="121" t="s">
        <v>7643</v>
      </c>
      <c r="B1369" s="122" t="s">
        <v>7644</v>
      </c>
      <c r="C1369" s="122" t="s">
        <v>7645</v>
      </c>
      <c r="D1369" s="122" t="s">
        <v>83</v>
      </c>
      <c r="E1369" s="122" t="s">
        <v>7646</v>
      </c>
      <c r="F1369" s="123" t="s">
        <v>7647</v>
      </c>
    </row>
    <row r="1370" spans="1:6">
      <c r="A1370" s="121" t="s">
        <v>7648</v>
      </c>
      <c r="B1370" s="160" t="s">
        <v>7649</v>
      </c>
      <c r="C1370" s="122" t="s">
        <v>7650</v>
      </c>
      <c r="D1370" s="122" t="s">
        <v>7651</v>
      </c>
      <c r="E1370" s="126" t="s">
        <v>7652</v>
      </c>
      <c r="F1370" s="123" t="s">
        <v>7653</v>
      </c>
    </row>
    <row r="1371" spans="1:6" ht="28.8" customHeight="1">
      <c r="A1371" s="165" t="s">
        <v>7654</v>
      </c>
      <c r="B1371" s="166" t="s">
        <v>7655</v>
      </c>
      <c r="C1371" s="166" t="s">
        <v>7656</v>
      </c>
      <c r="D1371" s="166" t="s">
        <v>81</v>
      </c>
      <c r="E1371" s="126" t="s">
        <v>7657</v>
      </c>
      <c r="F1371" s="167" t="s">
        <v>7658</v>
      </c>
    </row>
    <row r="1372" spans="1:6">
      <c r="A1372" s="165" t="s">
        <v>7659</v>
      </c>
      <c r="B1372" s="166" t="s">
        <v>7660</v>
      </c>
      <c r="C1372" s="166" t="s">
        <v>7661</v>
      </c>
      <c r="D1372" s="166" t="s">
        <v>81</v>
      </c>
      <c r="E1372" s="126" t="s">
        <v>7662</v>
      </c>
      <c r="F1372" s="167" t="s">
        <v>7663</v>
      </c>
    </row>
    <row r="1373" spans="1:6" ht="43.2" customHeight="1">
      <c r="A1373" s="165" t="s">
        <v>7664</v>
      </c>
      <c r="B1373" s="166" t="s">
        <v>7665</v>
      </c>
      <c r="C1373" s="166" t="s">
        <v>7666</v>
      </c>
      <c r="D1373" s="166" t="s">
        <v>7651</v>
      </c>
      <c r="E1373" s="126" t="s">
        <v>7667</v>
      </c>
      <c r="F1373" s="166" t="s">
        <v>7668</v>
      </c>
    </row>
    <row r="1374" spans="1:6" ht="43.2" customHeight="1">
      <c r="A1374" s="165" t="s">
        <v>7669</v>
      </c>
      <c r="B1374" s="166" t="s">
        <v>7670</v>
      </c>
      <c r="C1374" s="166" t="s">
        <v>7671</v>
      </c>
      <c r="D1374" s="166" t="s">
        <v>7672</v>
      </c>
      <c r="E1374" s="166" t="s">
        <v>7673</v>
      </c>
      <c r="F1374" s="167" t="s">
        <v>7674</v>
      </c>
    </row>
    <row r="1375" spans="1:6">
      <c r="A1375" s="165" t="s">
        <v>7675</v>
      </c>
      <c r="B1375" s="166" t="s">
        <v>7676</v>
      </c>
      <c r="C1375" s="166" t="s">
        <v>7677</v>
      </c>
      <c r="D1375" s="166" t="s">
        <v>7678</v>
      </c>
      <c r="E1375" s="126" t="s">
        <v>7679</v>
      </c>
      <c r="F1375" s="167" t="s">
        <v>7680</v>
      </c>
    </row>
    <row r="1376" spans="1:6">
      <c r="A1376" s="165" t="s">
        <v>7681</v>
      </c>
      <c r="B1376" s="166" t="s">
        <v>7682</v>
      </c>
      <c r="C1376" s="166" t="s">
        <v>7683</v>
      </c>
      <c r="D1376" s="166" t="s">
        <v>81</v>
      </c>
      <c r="E1376" s="126" t="s">
        <v>7684</v>
      </c>
      <c r="F1376" s="167" t="s">
        <v>7685</v>
      </c>
    </row>
    <row r="1377" spans="1:6">
      <c r="A1377" s="165" t="s">
        <v>7686</v>
      </c>
      <c r="B1377" s="166" t="s">
        <v>7687</v>
      </c>
      <c r="C1377" s="166" t="s">
        <v>7688</v>
      </c>
      <c r="D1377" s="166" t="s">
        <v>7678</v>
      </c>
      <c r="E1377" s="126" t="s">
        <v>7689</v>
      </c>
      <c r="F1377" s="167" t="s">
        <v>7690</v>
      </c>
    </row>
    <row r="1378" spans="1:6">
      <c r="A1378" s="165" t="s">
        <v>7691</v>
      </c>
      <c r="B1378" s="166" t="s">
        <v>7692</v>
      </c>
      <c r="C1378" s="166" t="s">
        <v>7693</v>
      </c>
      <c r="D1378" s="166" t="s">
        <v>7678</v>
      </c>
      <c r="E1378" s="126" t="s">
        <v>7694</v>
      </c>
      <c r="F1378" s="167" t="s">
        <v>7695</v>
      </c>
    </row>
    <row r="1379" spans="1:6">
      <c r="A1379" s="165" t="s">
        <v>7696</v>
      </c>
      <c r="B1379" s="166" t="s">
        <v>7697</v>
      </c>
      <c r="C1379" s="166" t="s">
        <v>7698</v>
      </c>
      <c r="D1379" s="166" t="s">
        <v>7678</v>
      </c>
      <c r="E1379" s="126" t="s">
        <v>7699</v>
      </c>
      <c r="F1379" s="167" t="s">
        <v>7700</v>
      </c>
    </row>
    <row r="1380" spans="1:6" ht="28.8" customHeight="1">
      <c r="A1380" s="165" t="s">
        <v>7701</v>
      </c>
      <c r="B1380" s="166" t="s">
        <v>7702</v>
      </c>
      <c r="C1380" s="166" t="s">
        <v>7703</v>
      </c>
      <c r="D1380" s="166" t="s">
        <v>7678</v>
      </c>
      <c r="E1380" s="126" t="s">
        <v>7704</v>
      </c>
      <c r="F1380" s="167" t="s">
        <v>7705</v>
      </c>
    </row>
    <row r="1381" spans="1:6">
      <c r="A1381" s="165" t="s">
        <v>7706</v>
      </c>
      <c r="B1381" s="166" t="s">
        <v>7707</v>
      </c>
      <c r="C1381" s="166" t="s">
        <v>7708</v>
      </c>
      <c r="D1381" s="166" t="s">
        <v>7678</v>
      </c>
      <c r="E1381" s="126" t="s">
        <v>7709</v>
      </c>
      <c r="F1381" s="167" t="s">
        <v>7710</v>
      </c>
    </row>
    <row r="1382" spans="1:6" ht="28.8" customHeight="1">
      <c r="A1382" s="165" t="s">
        <v>7711</v>
      </c>
      <c r="B1382" s="166" t="s">
        <v>7712</v>
      </c>
      <c r="C1382" s="166" t="s">
        <v>7713</v>
      </c>
      <c r="D1382" s="166" t="s">
        <v>7678</v>
      </c>
      <c r="E1382" s="166" t="s">
        <v>7714</v>
      </c>
      <c r="F1382" s="167" t="s">
        <v>7715</v>
      </c>
    </row>
    <row r="1383" spans="1:6" ht="28.8" customHeight="1">
      <c r="A1383" s="165" t="s">
        <v>7716</v>
      </c>
      <c r="B1383" s="166" t="s">
        <v>7717</v>
      </c>
      <c r="C1383" s="166" t="s">
        <v>7718</v>
      </c>
      <c r="D1383" s="166" t="s">
        <v>7678</v>
      </c>
      <c r="E1383" s="166" t="s">
        <v>7719</v>
      </c>
      <c r="F1383" s="167" t="s">
        <v>7720</v>
      </c>
    </row>
    <row r="1384" spans="1:6">
      <c r="A1384" s="165" t="s">
        <v>7721</v>
      </c>
      <c r="B1384" s="166" t="s">
        <v>7722</v>
      </c>
      <c r="C1384" s="166" t="s">
        <v>7723</v>
      </c>
      <c r="D1384" s="166" t="s">
        <v>7678</v>
      </c>
      <c r="E1384" s="126" t="s">
        <v>7724</v>
      </c>
      <c r="F1384" s="167" t="s">
        <v>7725</v>
      </c>
    </row>
    <row r="1385" spans="1:6">
      <c r="A1385" s="165" t="s">
        <v>7726</v>
      </c>
      <c r="B1385" s="166" t="s">
        <v>7727</v>
      </c>
      <c r="C1385" s="166" t="s">
        <v>7728</v>
      </c>
      <c r="D1385" s="166" t="s">
        <v>7678</v>
      </c>
      <c r="E1385" s="126" t="s">
        <v>7729</v>
      </c>
      <c r="F1385" s="167" t="s">
        <v>7730</v>
      </c>
    </row>
    <row r="1386" spans="1:6">
      <c r="A1386" s="165" t="s">
        <v>7731</v>
      </c>
      <c r="B1386" s="166" t="s">
        <v>7732</v>
      </c>
      <c r="C1386" s="166" t="s">
        <v>7733</v>
      </c>
      <c r="D1386" s="166" t="s">
        <v>7678</v>
      </c>
      <c r="E1386" s="126" t="s">
        <v>7734</v>
      </c>
      <c r="F1386" s="167" t="s">
        <v>7735</v>
      </c>
    </row>
    <row r="1387" spans="1:6">
      <c r="A1387" s="165" t="s">
        <v>7736</v>
      </c>
      <c r="B1387" s="166" t="s">
        <v>7737</v>
      </c>
      <c r="C1387" s="166" t="s">
        <v>7738</v>
      </c>
      <c r="D1387" s="166" t="s">
        <v>7651</v>
      </c>
      <c r="E1387" s="126" t="s">
        <v>7739</v>
      </c>
      <c r="F1387" s="167" t="s">
        <v>7740</v>
      </c>
    </row>
    <row r="1388" spans="1:6" ht="28.8" customHeight="1">
      <c r="A1388" s="165" t="s">
        <v>7741</v>
      </c>
      <c r="B1388" s="173" t="s">
        <v>7742</v>
      </c>
      <c r="C1388" s="166" t="s">
        <v>7743</v>
      </c>
      <c r="D1388" s="166" t="s">
        <v>7678</v>
      </c>
      <c r="E1388" s="201" t="s">
        <v>7744</v>
      </c>
      <c r="F1388" s="167" t="s">
        <v>7745</v>
      </c>
    </row>
    <row r="1389" spans="1:6">
      <c r="A1389" s="165" t="s">
        <v>7746</v>
      </c>
      <c r="B1389" s="166" t="s">
        <v>7747</v>
      </c>
      <c r="C1389" s="166" t="s">
        <v>7748</v>
      </c>
      <c r="D1389" s="166" t="s">
        <v>7678</v>
      </c>
      <c r="E1389" s="126" t="s">
        <v>7749</v>
      </c>
      <c r="F1389" s="167" t="s">
        <v>7750</v>
      </c>
    </row>
    <row r="1390" spans="1:6" ht="28.2" customHeight="1">
      <c r="A1390" s="168" t="s">
        <v>7751</v>
      </c>
      <c r="B1390" s="166" t="s">
        <v>7752</v>
      </c>
      <c r="C1390" s="166" t="s">
        <v>7753</v>
      </c>
      <c r="D1390" s="166" t="s">
        <v>7678</v>
      </c>
      <c r="E1390" s="126" t="s">
        <v>7754</v>
      </c>
      <c r="F1390" s="167" t="s">
        <v>7755</v>
      </c>
    </row>
    <row r="1391" spans="1:6">
      <c r="A1391" s="165" t="s">
        <v>7756</v>
      </c>
      <c r="B1391" s="166" t="s">
        <v>7757</v>
      </c>
      <c r="C1391" s="166" t="s">
        <v>7758</v>
      </c>
      <c r="D1391" s="166" t="s">
        <v>7678</v>
      </c>
      <c r="E1391" s="126" t="s">
        <v>7759</v>
      </c>
      <c r="F1391" s="167" t="s">
        <v>7760</v>
      </c>
    </row>
    <row r="1392" spans="1:6">
      <c r="A1392" s="165" t="s">
        <v>7761</v>
      </c>
      <c r="B1392" s="166" t="s">
        <v>7762</v>
      </c>
      <c r="C1392" s="166" t="s">
        <v>7763</v>
      </c>
      <c r="D1392" s="166" t="s">
        <v>82</v>
      </c>
      <c r="E1392" s="126" t="s">
        <v>7764</v>
      </c>
      <c r="F1392" s="167" t="s">
        <v>7765</v>
      </c>
    </row>
    <row r="1393" spans="1:6">
      <c r="A1393" s="165" t="s">
        <v>7766</v>
      </c>
      <c r="B1393" s="166" t="s">
        <v>7767</v>
      </c>
      <c r="C1393" s="166" t="s">
        <v>7768</v>
      </c>
      <c r="D1393" s="166" t="s">
        <v>82</v>
      </c>
      <c r="E1393" s="126" t="s">
        <v>7769</v>
      </c>
      <c r="F1393" s="167" t="s">
        <v>7770</v>
      </c>
    </row>
    <row r="1394" spans="1:6">
      <c r="A1394" s="165" t="s">
        <v>7771</v>
      </c>
      <c r="B1394" s="166" t="s">
        <v>7772</v>
      </c>
      <c r="C1394" s="166" t="s">
        <v>7773</v>
      </c>
      <c r="D1394" s="166" t="s">
        <v>7678</v>
      </c>
      <c r="E1394" s="126" t="s">
        <v>7774</v>
      </c>
      <c r="F1394" s="167" t="s">
        <v>7775</v>
      </c>
    </row>
    <row r="1395" spans="1:6">
      <c r="A1395" s="165" t="s">
        <v>7776</v>
      </c>
      <c r="B1395" s="166" t="s">
        <v>7777</v>
      </c>
      <c r="C1395" s="166" t="s">
        <v>7778</v>
      </c>
      <c r="D1395" s="166" t="s">
        <v>7678</v>
      </c>
      <c r="E1395" s="126" t="s">
        <v>7779</v>
      </c>
      <c r="F1395" s="167" t="s">
        <v>7780</v>
      </c>
    </row>
    <row r="1396" spans="1:6" ht="28.8" customHeight="1">
      <c r="A1396" s="165" t="s">
        <v>7781</v>
      </c>
      <c r="B1396" s="166" t="s">
        <v>7782</v>
      </c>
      <c r="C1396" s="166" t="s">
        <v>7783</v>
      </c>
      <c r="D1396" s="166" t="s">
        <v>7678</v>
      </c>
      <c r="E1396" s="126" t="s">
        <v>7784</v>
      </c>
      <c r="F1396" s="167" t="s">
        <v>7785</v>
      </c>
    </row>
    <row r="1397" spans="1:6">
      <c r="A1397" s="165" t="s">
        <v>7786</v>
      </c>
      <c r="B1397" s="166" t="s">
        <v>7787</v>
      </c>
      <c r="C1397" s="166" t="s">
        <v>7788</v>
      </c>
      <c r="D1397" s="166" t="s">
        <v>7678</v>
      </c>
      <c r="E1397" s="126" t="s">
        <v>7789</v>
      </c>
      <c r="F1397" s="167" t="s">
        <v>7790</v>
      </c>
    </row>
    <row r="1398" spans="1:6" ht="28.8" customHeight="1">
      <c r="A1398" s="165" t="s">
        <v>7791</v>
      </c>
      <c r="B1398" s="166" t="s">
        <v>7792</v>
      </c>
      <c r="C1398" s="166" t="s">
        <v>7793</v>
      </c>
      <c r="D1398" s="166" t="s">
        <v>7678</v>
      </c>
      <c r="E1398" s="126" t="s">
        <v>7794</v>
      </c>
      <c r="F1398" s="167" t="s">
        <v>7795</v>
      </c>
    </row>
    <row r="1399" spans="1:6">
      <c r="A1399" s="165" t="s">
        <v>7796</v>
      </c>
      <c r="B1399" s="166" t="s">
        <v>7797</v>
      </c>
      <c r="C1399" s="166" t="s">
        <v>7798</v>
      </c>
      <c r="D1399" s="166" t="s">
        <v>7678</v>
      </c>
      <c r="E1399" s="126" t="s">
        <v>7799</v>
      </c>
      <c r="F1399" s="167" t="s">
        <v>7800</v>
      </c>
    </row>
    <row r="1400" spans="1:6" ht="28.8" customHeight="1">
      <c r="A1400" s="165" t="s">
        <v>7801</v>
      </c>
      <c r="B1400" s="166" t="s">
        <v>7802</v>
      </c>
      <c r="C1400" s="166" t="s">
        <v>7803</v>
      </c>
      <c r="D1400" s="166" t="s">
        <v>7678</v>
      </c>
      <c r="E1400" s="166" t="s">
        <v>7804</v>
      </c>
      <c r="F1400" s="167" t="s">
        <v>7805</v>
      </c>
    </row>
    <row r="1401" spans="1:6">
      <c r="A1401" s="165" t="s">
        <v>7806</v>
      </c>
      <c r="B1401" s="166" t="s">
        <v>7807</v>
      </c>
      <c r="C1401" s="166" t="s">
        <v>7808</v>
      </c>
      <c r="D1401" s="166" t="s">
        <v>7678</v>
      </c>
      <c r="E1401" s="126" t="s">
        <v>7809</v>
      </c>
      <c r="F1401" s="167" t="s">
        <v>7810</v>
      </c>
    </row>
    <row r="1402" spans="1:6">
      <c r="A1402" s="165" t="s">
        <v>7811</v>
      </c>
      <c r="B1402" s="166" t="s">
        <v>7812</v>
      </c>
      <c r="C1402" s="166" t="s">
        <v>7813</v>
      </c>
      <c r="D1402" s="166" t="s">
        <v>7678</v>
      </c>
      <c r="E1402" s="126" t="s">
        <v>7814</v>
      </c>
      <c r="F1402" s="167" t="s">
        <v>7815</v>
      </c>
    </row>
    <row r="1403" spans="1:6" ht="28.8" customHeight="1">
      <c r="A1403" s="165" t="s">
        <v>7816</v>
      </c>
      <c r="B1403" s="166" t="s">
        <v>7817</v>
      </c>
      <c r="C1403" s="166" t="s">
        <v>7818</v>
      </c>
      <c r="D1403" s="166" t="s">
        <v>7678</v>
      </c>
      <c r="E1403" s="126" t="s">
        <v>7819</v>
      </c>
      <c r="F1403" s="167" t="s">
        <v>7820</v>
      </c>
    </row>
    <row r="1404" spans="1:6">
      <c r="A1404" s="165" t="s">
        <v>7821</v>
      </c>
      <c r="B1404" s="166" t="s">
        <v>7822</v>
      </c>
      <c r="C1404" s="166" t="s">
        <v>7823</v>
      </c>
      <c r="D1404" s="166" t="s">
        <v>7678</v>
      </c>
      <c r="E1404" s="126" t="s">
        <v>7824</v>
      </c>
      <c r="F1404" s="167" t="s">
        <v>7825</v>
      </c>
    </row>
    <row r="1405" spans="1:6">
      <c r="A1405" s="165" t="s">
        <v>7826</v>
      </c>
      <c r="B1405" s="166" t="s">
        <v>7827</v>
      </c>
      <c r="C1405" s="166" t="s">
        <v>7828</v>
      </c>
      <c r="D1405" s="166" t="s">
        <v>7678</v>
      </c>
      <c r="E1405" s="201" t="s">
        <v>7829</v>
      </c>
      <c r="F1405" s="167" t="s">
        <v>7830</v>
      </c>
    </row>
    <row r="1406" spans="1:6">
      <c r="A1406" s="165" t="s">
        <v>7831</v>
      </c>
      <c r="B1406" s="166" t="s">
        <v>7832</v>
      </c>
      <c r="C1406" s="166" t="s">
        <v>7833</v>
      </c>
      <c r="D1406" s="166" t="s">
        <v>7678</v>
      </c>
      <c r="E1406" s="201" t="s">
        <v>7834</v>
      </c>
      <c r="F1406" s="167" t="s">
        <v>7835</v>
      </c>
    </row>
    <row r="1407" spans="1:6" ht="28.8" customHeight="1">
      <c r="A1407" s="165" t="s">
        <v>7836</v>
      </c>
      <c r="B1407" s="182" t="s">
        <v>7837</v>
      </c>
      <c r="C1407" s="166" t="s">
        <v>7838</v>
      </c>
      <c r="D1407" s="166" t="s">
        <v>7678</v>
      </c>
      <c r="E1407" s="126" t="s">
        <v>7839</v>
      </c>
      <c r="F1407" s="167" t="s">
        <v>7840</v>
      </c>
    </row>
    <row r="1408" spans="1:6">
      <c r="A1408" s="181" t="s">
        <v>7841</v>
      </c>
      <c r="B1408" s="182" t="s">
        <v>7842</v>
      </c>
      <c r="C1408" s="182" t="s">
        <v>7843</v>
      </c>
      <c r="D1408" s="166" t="s">
        <v>7678</v>
      </c>
      <c r="E1408" s="186" t="s">
        <v>7844</v>
      </c>
      <c r="F1408" s="183" t="s">
        <v>7845</v>
      </c>
    </row>
    <row r="1409" spans="1:6">
      <c r="A1409" s="165" t="s">
        <v>7846</v>
      </c>
      <c r="B1409" s="166" t="s">
        <v>7847</v>
      </c>
      <c r="C1409" s="166" t="s">
        <v>7848</v>
      </c>
      <c r="D1409" s="166" t="s">
        <v>81</v>
      </c>
      <c r="E1409" s="126" t="s">
        <v>7849</v>
      </c>
      <c r="F1409" s="167" t="s">
        <v>7850</v>
      </c>
    </row>
    <row r="1410" spans="1:6" ht="28.8" customHeight="1">
      <c r="A1410" s="165" t="s">
        <v>7851</v>
      </c>
      <c r="B1410" s="166" t="s">
        <v>7852</v>
      </c>
      <c r="C1410" s="166" t="s">
        <v>7853</v>
      </c>
      <c r="D1410" s="166" t="s">
        <v>7678</v>
      </c>
      <c r="E1410" s="126" t="s">
        <v>7854</v>
      </c>
      <c r="F1410" s="167" t="s">
        <v>7855</v>
      </c>
    </row>
    <row r="1411" spans="1:6">
      <c r="A1411" s="165" t="s">
        <v>7856</v>
      </c>
      <c r="B1411" s="166" t="s">
        <v>7857</v>
      </c>
      <c r="C1411" s="166" t="s">
        <v>7858</v>
      </c>
      <c r="D1411" s="166" t="s">
        <v>82</v>
      </c>
      <c r="E1411" s="126" t="s">
        <v>7859</v>
      </c>
      <c r="F1411" s="167" t="s">
        <v>7860</v>
      </c>
    </row>
    <row r="1412" spans="1:6" ht="28.8" customHeight="1">
      <c r="A1412" s="165" t="s">
        <v>7861</v>
      </c>
      <c r="B1412" s="166" t="s">
        <v>7862</v>
      </c>
      <c r="C1412" s="166" t="s">
        <v>7863</v>
      </c>
      <c r="D1412" s="166" t="s">
        <v>7678</v>
      </c>
      <c r="E1412" s="126" t="s">
        <v>7864</v>
      </c>
      <c r="F1412" s="167" t="s">
        <v>7865</v>
      </c>
    </row>
    <row r="1413" spans="1:6" ht="28.8" customHeight="1">
      <c r="A1413" s="168" t="s">
        <v>7866</v>
      </c>
      <c r="B1413" s="173" t="s">
        <v>7867</v>
      </c>
      <c r="C1413" s="166" t="s">
        <v>7868</v>
      </c>
      <c r="D1413" s="166" t="s">
        <v>81</v>
      </c>
      <c r="E1413" s="187" t="s">
        <v>7869</v>
      </c>
      <c r="F1413" s="167" t="s">
        <v>7870</v>
      </c>
    </row>
    <row r="1414" spans="1:6">
      <c r="A1414" s="165" t="s">
        <v>7871</v>
      </c>
      <c r="B1414" s="166" t="s">
        <v>7872</v>
      </c>
      <c r="C1414" s="166" t="s">
        <v>7873</v>
      </c>
      <c r="D1414" s="166" t="s">
        <v>81</v>
      </c>
      <c r="E1414" s="126" t="s">
        <v>7874</v>
      </c>
      <c r="F1414" s="167" t="s">
        <v>7875</v>
      </c>
    </row>
    <row r="1415" spans="1:6">
      <c r="A1415" s="165" t="s">
        <v>7876</v>
      </c>
      <c r="B1415" s="166" t="s">
        <v>7877</v>
      </c>
      <c r="C1415" s="166" t="s">
        <v>7878</v>
      </c>
      <c r="D1415" s="166" t="s">
        <v>82</v>
      </c>
      <c r="E1415" s="126" t="s">
        <v>7879</v>
      </c>
      <c r="F1415" s="167" t="s">
        <v>7880</v>
      </c>
    </row>
    <row r="1416" spans="1:6">
      <c r="A1416" s="165" t="s">
        <v>7881</v>
      </c>
      <c r="B1416" s="166" t="s">
        <v>7882</v>
      </c>
      <c r="C1416" s="166" t="s">
        <v>7883</v>
      </c>
      <c r="D1416" s="166" t="s">
        <v>82</v>
      </c>
      <c r="E1416" s="126" t="s">
        <v>7884</v>
      </c>
      <c r="F1416" s="167" t="s">
        <v>7885</v>
      </c>
    </row>
    <row r="1417" spans="1:6">
      <c r="A1417" s="165" t="s">
        <v>7886</v>
      </c>
      <c r="B1417" s="166" t="s">
        <v>7887</v>
      </c>
      <c r="C1417" s="166" t="s">
        <v>7888</v>
      </c>
      <c r="D1417" s="166" t="s">
        <v>82</v>
      </c>
      <c r="E1417" s="126" t="s">
        <v>7889</v>
      </c>
      <c r="F1417" s="167" t="s">
        <v>7890</v>
      </c>
    </row>
    <row r="1418" spans="1:6">
      <c r="A1418" s="121" t="s">
        <v>7891</v>
      </c>
      <c r="B1418" s="122" t="s">
        <v>7892</v>
      </c>
      <c r="C1418" s="122" t="s">
        <v>7893</v>
      </c>
      <c r="D1418" s="122" t="s">
        <v>81</v>
      </c>
      <c r="E1418" s="126" t="s">
        <v>7894</v>
      </c>
      <c r="F1418" s="123" t="s">
        <v>7895</v>
      </c>
    </row>
    <row r="1419" spans="1:6">
      <c r="A1419" s="121" t="s">
        <v>7896</v>
      </c>
      <c r="B1419" s="122" t="s">
        <v>7897</v>
      </c>
      <c r="C1419" s="122" t="s">
        <v>7898</v>
      </c>
      <c r="D1419" s="122" t="s">
        <v>81</v>
      </c>
      <c r="E1419" s="126" t="s">
        <v>7899</v>
      </c>
      <c r="F1419" s="123" t="s">
        <v>7900</v>
      </c>
    </row>
    <row r="1420" spans="1:6">
      <c r="A1420" s="121" t="s">
        <v>7901</v>
      </c>
      <c r="B1420" s="122" t="s">
        <v>7902</v>
      </c>
      <c r="C1420" s="122" t="s">
        <v>7903</v>
      </c>
      <c r="D1420" s="122" t="s">
        <v>81</v>
      </c>
      <c r="E1420" s="126" t="s">
        <v>7904</v>
      </c>
      <c r="F1420" s="123" t="s">
        <v>7905</v>
      </c>
    </row>
    <row r="1421" spans="1:6">
      <c r="A1421" s="121" t="s">
        <v>7906</v>
      </c>
      <c r="B1421" s="122" t="s">
        <v>7907</v>
      </c>
      <c r="C1421" s="122" t="s">
        <v>7908</v>
      </c>
      <c r="D1421" s="122" t="s">
        <v>83</v>
      </c>
      <c r="E1421" s="126" t="s">
        <v>7909</v>
      </c>
      <c r="F1421" s="123" t="s">
        <v>7910</v>
      </c>
    </row>
    <row r="1422" spans="1:6">
      <c r="A1422" s="121" t="s">
        <v>7911</v>
      </c>
      <c r="B1422" s="122" t="s">
        <v>7912</v>
      </c>
      <c r="C1422" s="122" t="s">
        <v>7913</v>
      </c>
      <c r="D1422" s="122" t="s">
        <v>82</v>
      </c>
      <c r="E1422" s="126" t="s">
        <v>7914</v>
      </c>
      <c r="F1422" s="123" t="s">
        <v>7915</v>
      </c>
    </row>
    <row r="1423" spans="1:6">
      <c r="A1423" s="121" t="s">
        <v>7916</v>
      </c>
      <c r="B1423" s="122" t="s">
        <v>7917</v>
      </c>
      <c r="C1423" s="122" t="s">
        <v>7918</v>
      </c>
      <c r="D1423" s="122" t="s">
        <v>83</v>
      </c>
      <c r="E1423" s="126" t="s">
        <v>7919</v>
      </c>
      <c r="F1423" s="123" t="s">
        <v>7920</v>
      </c>
    </row>
    <row r="1424" spans="1:6">
      <c r="A1424" s="121" t="s">
        <v>7921</v>
      </c>
      <c r="B1424" s="122" t="s">
        <v>7922</v>
      </c>
      <c r="C1424" s="122" t="s">
        <v>7923</v>
      </c>
      <c r="D1424" s="122" t="s">
        <v>83</v>
      </c>
      <c r="E1424" s="126" t="s">
        <v>7924</v>
      </c>
      <c r="F1424" s="123" t="s">
        <v>7925</v>
      </c>
    </row>
    <row r="1425" spans="1:6">
      <c r="A1425" s="121" t="s">
        <v>7926</v>
      </c>
      <c r="B1425" s="122" t="s">
        <v>7927</v>
      </c>
      <c r="C1425" s="122" t="s">
        <v>7928</v>
      </c>
      <c r="D1425" s="122" t="s">
        <v>82</v>
      </c>
      <c r="E1425" s="126" t="s">
        <v>7929</v>
      </c>
      <c r="F1425" s="123" t="s">
        <v>7930</v>
      </c>
    </row>
    <row r="1426" spans="1:6" ht="28.8" customHeight="1">
      <c r="A1426" s="121" t="s">
        <v>7931</v>
      </c>
      <c r="B1426" s="122" t="s">
        <v>7932</v>
      </c>
      <c r="C1426" s="122" t="s">
        <v>7933</v>
      </c>
      <c r="D1426" s="122" t="s">
        <v>82</v>
      </c>
      <c r="E1426" s="122" t="s">
        <v>7934</v>
      </c>
      <c r="F1426" s="123" t="s">
        <v>7935</v>
      </c>
    </row>
    <row r="1427" spans="1:6">
      <c r="A1427" s="165" t="s">
        <v>7936</v>
      </c>
      <c r="B1427" s="166" t="s">
        <v>7937</v>
      </c>
      <c r="C1427" s="166" t="s">
        <v>7938</v>
      </c>
      <c r="D1427" s="166" t="s">
        <v>81</v>
      </c>
      <c r="E1427" s="126" t="s">
        <v>7939</v>
      </c>
      <c r="F1427" s="167" t="s">
        <v>7940</v>
      </c>
    </row>
    <row r="1428" spans="1:6">
      <c r="A1428" s="165" t="s">
        <v>7941</v>
      </c>
      <c r="B1428" s="166" t="s">
        <v>7942</v>
      </c>
      <c r="C1428" s="166" t="s">
        <v>7943</v>
      </c>
      <c r="D1428" s="166" t="s">
        <v>82</v>
      </c>
      <c r="E1428" s="126" t="s">
        <v>7944</v>
      </c>
      <c r="F1428" s="167" t="s">
        <v>7945</v>
      </c>
    </row>
    <row r="1429" spans="1:6" ht="28.8" customHeight="1">
      <c r="A1429" s="165" t="s">
        <v>7946</v>
      </c>
      <c r="B1429" s="166" t="s">
        <v>7947</v>
      </c>
      <c r="C1429" s="166" t="s">
        <v>7948</v>
      </c>
      <c r="D1429" s="166" t="s">
        <v>82</v>
      </c>
      <c r="E1429" s="126" t="s">
        <v>7949</v>
      </c>
      <c r="F1429" s="167" t="s">
        <v>7950</v>
      </c>
    </row>
    <row r="1430" spans="1:6">
      <c r="A1430" s="165" t="s">
        <v>7951</v>
      </c>
      <c r="B1430" s="166" t="s">
        <v>7952</v>
      </c>
      <c r="C1430" s="166" t="s">
        <v>7953</v>
      </c>
      <c r="D1430" s="166" t="s">
        <v>82</v>
      </c>
      <c r="E1430" s="126" t="s">
        <v>7954</v>
      </c>
      <c r="F1430" s="167" t="s">
        <v>7955</v>
      </c>
    </row>
    <row r="1431" spans="1:6">
      <c r="A1431" s="165" t="s">
        <v>7956</v>
      </c>
      <c r="B1431" s="166" t="s">
        <v>7957</v>
      </c>
      <c r="C1431" s="166" t="s">
        <v>7958</v>
      </c>
      <c r="D1431" s="166" t="s">
        <v>7678</v>
      </c>
      <c r="E1431" s="126" t="s">
        <v>7959</v>
      </c>
      <c r="F1431" s="167" t="s">
        <v>7960</v>
      </c>
    </row>
    <row r="1432" spans="1:6">
      <c r="A1432" s="165" t="s">
        <v>7961</v>
      </c>
      <c r="B1432" s="160" t="s">
        <v>7962</v>
      </c>
      <c r="C1432" s="166" t="s">
        <v>7963</v>
      </c>
      <c r="D1432" s="166" t="s">
        <v>83</v>
      </c>
      <c r="E1432" s="213" t="s">
        <v>7964</v>
      </c>
      <c r="F1432" s="167" t="s">
        <v>7965</v>
      </c>
    </row>
    <row r="1433" spans="1:6">
      <c r="A1433" s="165" t="s">
        <v>7966</v>
      </c>
      <c r="B1433" s="160" t="s">
        <v>7967</v>
      </c>
      <c r="C1433" s="182" t="s">
        <v>7968</v>
      </c>
      <c r="D1433" s="166" t="s">
        <v>83</v>
      </c>
      <c r="E1433" s="212" t="s">
        <v>7969</v>
      </c>
      <c r="F1433" s="183" t="s">
        <v>7970</v>
      </c>
    </row>
    <row r="1434" spans="1:6">
      <c r="A1434" s="181" t="s">
        <v>7971</v>
      </c>
      <c r="B1434" s="160" t="s">
        <v>7972</v>
      </c>
      <c r="C1434" s="182" t="s">
        <v>7973</v>
      </c>
      <c r="D1434" s="166" t="s">
        <v>83</v>
      </c>
      <c r="E1434" s="212" t="s">
        <v>7974</v>
      </c>
      <c r="F1434" s="183" t="s">
        <v>7975</v>
      </c>
    </row>
    <row r="1435" spans="1:6">
      <c r="A1435" s="181" t="s">
        <v>7976</v>
      </c>
      <c r="B1435" s="160" t="s">
        <v>7977</v>
      </c>
      <c r="C1435" s="182" t="s">
        <v>7978</v>
      </c>
      <c r="D1435" s="166" t="s">
        <v>83</v>
      </c>
      <c r="E1435" s="212" t="s">
        <v>7979</v>
      </c>
      <c r="F1435" s="183" t="s">
        <v>7980</v>
      </c>
    </row>
    <row r="1436" spans="1:6">
      <c r="A1436" s="165" t="s">
        <v>7981</v>
      </c>
      <c r="B1436" s="166" t="s">
        <v>7982</v>
      </c>
      <c r="C1436" s="166" t="s">
        <v>7983</v>
      </c>
      <c r="D1436" s="166" t="s">
        <v>82</v>
      </c>
      <c r="E1436" s="213" t="s">
        <v>7984</v>
      </c>
      <c r="F1436" s="166" t="s">
        <v>7985</v>
      </c>
    </row>
    <row r="1437" spans="1:6">
      <c r="A1437" s="165" t="s">
        <v>7986</v>
      </c>
      <c r="B1437" s="166" t="s">
        <v>7987</v>
      </c>
      <c r="C1437" s="166" t="s">
        <v>7988</v>
      </c>
      <c r="D1437" s="166" t="s">
        <v>81</v>
      </c>
      <c r="E1437" s="213" t="s">
        <v>7989</v>
      </c>
      <c r="F1437" s="167" t="s">
        <v>7990</v>
      </c>
    </row>
    <row r="1438" spans="1:6">
      <c r="A1438" s="165" t="s">
        <v>7991</v>
      </c>
      <c r="B1438" s="166" t="s">
        <v>7992</v>
      </c>
      <c r="C1438" s="166" t="s">
        <v>7993</v>
      </c>
      <c r="D1438" s="166" t="s">
        <v>82</v>
      </c>
      <c r="E1438" s="213" t="s">
        <v>7994</v>
      </c>
      <c r="F1438" s="167" t="s">
        <v>7995</v>
      </c>
    </row>
    <row r="1439" spans="1:6">
      <c r="A1439" s="165" t="s">
        <v>7996</v>
      </c>
      <c r="B1439" s="166" t="s">
        <v>7997</v>
      </c>
      <c r="C1439" s="166" t="s">
        <v>7998</v>
      </c>
      <c r="D1439" s="166" t="s">
        <v>82</v>
      </c>
      <c r="E1439" s="213" t="s">
        <v>7999</v>
      </c>
      <c r="F1439" s="167" t="s">
        <v>8000</v>
      </c>
    </row>
    <row r="1440" spans="1:6">
      <c r="A1440" s="165" t="s">
        <v>8001</v>
      </c>
      <c r="B1440" s="166" t="s">
        <v>8002</v>
      </c>
      <c r="C1440" s="166" t="s">
        <v>8003</v>
      </c>
      <c r="D1440" s="166" t="s">
        <v>82</v>
      </c>
      <c r="E1440" s="213" t="s">
        <v>8004</v>
      </c>
      <c r="F1440" s="167" t="s">
        <v>8005</v>
      </c>
    </row>
    <row r="1441" spans="1:6">
      <c r="A1441" s="165" t="s">
        <v>8006</v>
      </c>
      <c r="B1441" s="166" t="s">
        <v>8007</v>
      </c>
      <c r="C1441" s="166" t="s">
        <v>8008</v>
      </c>
      <c r="D1441" s="166" t="s">
        <v>81</v>
      </c>
      <c r="E1441" s="213" t="s">
        <v>8009</v>
      </c>
      <c r="F1441" s="167" t="s">
        <v>8010</v>
      </c>
    </row>
    <row r="1442" spans="1:6">
      <c r="A1442" s="165" t="s">
        <v>8011</v>
      </c>
      <c r="B1442" s="166" t="s">
        <v>8012</v>
      </c>
      <c r="C1442" s="166" t="s">
        <v>8013</v>
      </c>
      <c r="D1442" s="166" t="s">
        <v>81</v>
      </c>
      <c r="E1442" s="213" t="s">
        <v>8014</v>
      </c>
      <c r="F1442" s="167" t="s">
        <v>8015</v>
      </c>
    </row>
  </sheetData>
  <hyperlinks>
    <hyperlink ref="E1356" r:id="rId1" xr:uid="{00000000-0004-0000-0900-000000000000}"/>
    <hyperlink ref="E1357" r:id="rId2" xr:uid="{00000000-0004-0000-0900-000001000000}"/>
    <hyperlink ref="E1358" r:id="rId3" xr:uid="{00000000-0004-0000-0900-000002000000}"/>
    <hyperlink ref="E1359" r:id="rId4" xr:uid="{00000000-0004-0000-0900-000003000000}"/>
    <hyperlink ref="E1360" r:id="rId5" xr:uid="{00000000-0004-0000-0900-000004000000}"/>
    <hyperlink ref="E1361" r:id="rId6" xr:uid="{00000000-0004-0000-0900-000005000000}"/>
    <hyperlink ref="E1362" r:id="rId7" xr:uid="{00000000-0004-0000-0900-000006000000}"/>
    <hyperlink ref="E1364" r:id="rId8" xr:uid="{00000000-0004-0000-0900-000007000000}"/>
    <hyperlink ref="E1365" r:id="rId9" xr:uid="{00000000-0004-0000-0900-000008000000}"/>
    <hyperlink ref="E1366" r:id="rId10" xr:uid="{00000000-0004-0000-0900-000009000000}"/>
    <hyperlink ref="E1367" r:id="rId11" xr:uid="{00000000-0004-0000-0900-00000A000000}"/>
    <hyperlink ref="E1368" r:id="rId12" xr:uid="{00000000-0004-0000-0900-00000B000000}"/>
    <hyperlink ref="E1370" r:id="rId13" xr:uid="{00000000-0004-0000-0900-00000C000000}"/>
    <hyperlink ref="E1371" r:id="rId14" xr:uid="{00000000-0004-0000-0900-00000D000000}"/>
    <hyperlink ref="E1372" r:id="rId15" xr:uid="{00000000-0004-0000-0900-00000E000000}"/>
    <hyperlink ref="E1373" r:id="rId16" xr:uid="{00000000-0004-0000-0900-00000F000000}"/>
    <hyperlink ref="E1375" r:id="rId17" xr:uid="{00000000-0004-0000-0900-000010000000}"/>
    <hyperlink ref="E1376" r:id="rId18" xr:uid="{00000000-0004-0000-0900-000011000000}"/>
    <hyperlink ref="E1377" r:id="rId19" xr:uid="{00000000-0004-0000-0900-000012000000}"/>
    <hyperlink ref="E1378" r:id="rId20" xr:uid="{00000000-0004-0000-0900-000013000000}"/>
    <hyperlink ref="E1379" r:id="rId21" xr:uid="{00000000-0004-0000-0900-000014000000}"/>
    <hyperlink ref="E1380" r:id="rId22" xr:uid="{00000000-0004-0000-0900-000015000000}"/>
    <hyperlink ref="E1381" r:id="rId23" xr:uid="{00000000-0004-0000-0900-000016000000}"/>
    <hyperlink ref="E1384" r:id="rId24" xr:uid="{00000000-0004-0000-0900-000017000000}"/>
    <hyperlink ref="E1385" r:id="rId25" xr:uid="{00000000-0004-0000-0900-000018000000}"/>
    <hyperlink ref="E1386" r:id="rId26" xr:uid="{00000000-0004-0000-0900-000019000000}"/>
    <hyperlink ref="E1387" r:id="rId27" xr:uid="{00000000-0004-0000-0900-00001A000000}"/>
    <hyperlink ref="E1388" r:id="rId28" xr:uid="{00000000-0004-0000-0900-00001B000000}"/>
    <hyperlink ref="E1389" r:id="rId29" xr:uid="{00000000-0004-0000-0900-00001C000000}"/>
    <hyperlink ref="E1390" r:id="rId30" xr:uid="{00000000-0004-0000-0900-00001D000000}"/>
    <hyperlink ref="E1391" r:id="rId31" xr:uid="{00000000-0004-0000-0900-00001E000000}"/>
    <hyperlink ref="E1392" r:id="rId32" xr:uid="{00000000-0004-0000-0900-00001F000000}"/>
    <hyperlink ref="E1393" r:id="rId33" xr:uid="{00000000-0004-0000-0900-000020000000}"/>
    <hyperlink ref="E1394" r:id="rId34" xr:uid="{00000000-0004-0000-0900-000021000000}"/>
    <hyperlink ref="E1395" r:id="rId35" xr:uid="{00000000-0004-0000-0900-000022000000}"/>
    <hyperlink ref="E1396" r:id="rId36" xr:uid="{00000000-0004-0000-0900-000023000000}"/>
    <hyperlink ref="E1397" r:id="rId37" xr:uid="{00000000-0004-0000-0900-000024000000}"/>
    <hyperlink ref="E1398" r:id="rId38" xr:uid="{00000000-0004-0000-0900-000025000000}"/>
    <hyperlink ref="E1399" r:id="rId39" xr:uid="{00000000-0004-0000-0900-000026000000}"/>
    <hyperlink ref="E1401" r:id="rId40" xr:uid="{00000000-0004-0000-0900-000027000000}"/>
    <hyperlink ref="E1402" r:id="rId41" xr:uid="{00000000-0004-0000-0900-000028000000}"/>
    <hyperlink ref="E1403" r:id="rId42" xr:uid="{00000000-0004-0000-0900-000029000000}"/>
    <hyperlink ref="E1404" r:id="rId43" xr:uid="{00000000-0004-0000-0900-00002A000000}"/>
    <hyperlink ref="E1405" r:id="rId44" xr:uid="{00000000-0004-0000-0900-00002B000000}"/>
    <hyperlink ref="E1406" r:id="rId45" xr:uid="{00000000-0004-0000-0900-00002C000000}"/>
    <hyperlink ref="E1407" r:id="rId46" xr:uid="{00000000-0004-0000-0900-00002D000000}"/>
    <hyperlink ref="E1408" r:id="rId47" xr:uid="{00000000-0004-0000-0900-00002E000000}"/>
    <hyperlink ref="E1409" r:id="rId48" xr:uid="{00000000-0004-0000-0900-00002F000000}"/>
    <hyperlink ref="E1410" r:id="rId49" xr:uid="{00000000-0004-0000-0900-000030000000}"/>
    <hyperlink ref="E1411" r:id="rId50" xr:uid="{00000000-0004-0000-0900-000031000000}"/>
    <hyperlink ref="E1412" r:id="rId51" xr:uid="{00000000-0004-0000-0900-000032000000}"/>
    <hyperlink ref="E1413" r:id="rId52" xr:uid="{00000000-0004-0000-0900-000033000000}"/>
    <hyperlink ref="E1414" r:id="rId53" xr:uid="{00000000-0004-0000-0900-000034000000}"/>
    <hyperlink ref="E1415" r:id="rId54" xr:uid="{00000000-0004-0000-0900-000035000000}"/>
    <hyperlink ref="E1416" r:id="rId55" xr:uid="{00000000-0004-0000-0900-000036000000}"/>
    <hyperlink ref="E1417" r:id="rId56" xr:uid="{00000000-0004-0000-0900-000037000000}"/>
    <hyperlink ref="E1418" r:id="rId57" xr:uid="{00000000-0004-0000-0900-000038000000}"/>
    <hyperlink ref="E1419" r:id="rId58" xr:uid="{00000000-0004-0000-0900-000039000000}"/>
    <hyperlink ref="E1420" r:id="rId59" xr:uid="{00000000-0004-0000-0900-00003A000000}"/>
    <hyperlink ref="E1421" r:id="rId60" xr:uid="{00000000-0004-0000-0900-00003B000000}"/>
    <hyperlink ref="E1422" r:id="rId61" xr:uid="{00000000-0004-0000-0900-00003C000000}"/>
    <hyperlink ref="E1423" r:id="rId62" xr:uid="{00000000-0004-0000-0900-00003D000000}"/>
    <hyperlink ref="E1424" r:id="rId63" xr:uid="{00000000-0004-0000-0900-00003E000000}"/>
    <hyperlink ref="E1425" r:id="rId64" xr:uid="{00000000-0004-0000-0900-00003F000000}"/>
    <hyperlink ref="E1427" r:id="rId65" xr:uid="{00000000-0004-0000-0900-000040000000}"/>
    <hyperlink ref="E1428" r:id="rId66" xr:uid="{00000000-0004-0000-0900-000041000000}"/>
    <hyperlink ref="E1429" r:id="rId67" xr:uid="{00000000-0004-0000-0900-000042000000}"/>
    <hyperlink ref="E1430" r:id="rId68" xr:uid="{00000000-0004-0000-0900-000043000000}"/>
    <hyperlink ref="E1431" r:id="rId69" xr:uid="{00000000-0004-0000-0900-000044000000}"/>
    <hyperlink ref="E1432" r:id="rId70" xr:uid="{00000000-0004-0000-0900-000045000000}"/>
    <hyperlink ref="E1433" r:id="rId71" xr:uid="{00000000-0004-0000-0900-000046000000}"/>
    <hyperlink ref="E1434" r:id="rId72" xr:uid="{00000000-0004-0000-0900-000047000000}"/>
    <hyperlink ref="E1435" r:id="rId73" xr:uid="{00000000-0004-0000-0900-000048000000}"/>
    <hyperlink ref="E1436" r:id="rId74" xr:uid="{00000000-0004-0000-0900-000049000000}"/>
    <hyperlink ref="E1437" r:id="rId75" xr:uid="{00000000-0004-0000-0900-00004A000000}"/>
    <hyperlink ref="E1438" r:id="rId76" xr:uid="{00000000-0004-0000-0900-00004B000000}"/>
    <hyperlink ref="E1439" r:id="rId77" xr:uid="{00000000-0004-0000-0900-00004C000000}"/>
    <hyperlink ref="E1440" r:id="rId78" xr:uid="{00000000-0004-0000-0900-00004D000000}"/>
    <hyperlink ref="E1441" r:id="rId79" xr:uid="{00000000-0004-0000-0900-00004E000000}"/>
    <hyperlink ref="E1442" r:id="rId80" xr:uid="{00000000-0004-0000-0900-00004F000000}"/>
  </hyperlinks>
  <pageMargins left="0.75" right="0.75" top="1" bottom="1" header="0.5" footer="0.5"/>
  <pageSetup scale="47" fitToHeight="0" orientation="portrait"/>
  <tableParts count="1">
    <tablePart r:id="rId8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/>
  <dimension ref="B1:N199"/>
  <sheetViews>
    <sheetView showGridLines="0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G12" sqref="G12"/>
    </sheetView>
  </sheetViews>
  <sheetFormatPr baseColWidth="10" defaultColWidth="11" defaultRowHeight="14.4"/>
  <cols>
    <col min="1" max="1" width="1" customWidth="1"/>
    <col min="2" max="2" width="4" customWidth="1"/>
    <col min="3" max="3" width="18" bestFit="1" customWidth="1"/>
    <col min="4" max="4" width="13" bestFit="1" customWidth="1"/>
    <col min="5" max="5" width="17" bestFit="1" customWidth="1"/>
    <col min="6" max="7" width="48" customWidth="1"/>
    <col min="8" max="8" width="14" customWidth="1"/>
    <col min="9" max="9" width="2" customWidth="1"/>
    <col min="10" max="10" width="14" customWidth="1"/>
    <col min="11" max="11" width="12" customWidth="1"/>
    <col min="14" max="14" width="15" customWidth="1"/>
    <col min="15" max="15" width="12" customWidth="1"/>
  </cols>
  <sheetData>
    <row r="1" spans="2:14" ht="57.15" customHeight="1">
      <c r="B1" s="215" t="s">
        <v>0</v>
      </c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</row>
    <row r="2" spans="2:14" ht="7.5" customHeight="1"/>
    <row r="3" spans="2:14" ht="21" customHeight="1">
      <c r="B3" s="19"/>
    </row>
    <row r="4" spans="2:14" ht="18" customHeight="1"/>
    <row r="5" spans="2:14" ht="18" customHeight="1"/>
    <row r="6" spans="2:14" ht="18" customHeight="1"/>
    <row r="7" spans="2:14" ht="18" customHeight="1"/>
    <row r="8" spans="2:14" ht="51" customHeight="1">
      <c r="C8" s="52" t="s">
        <v>1</v>
      </c>
      <c r="D8" s="52" t="s">
        <v>2</v>
      </c>
      <c r="E8" s="52" t="s">
        <v>3</v>
      </c>
      <c r="F8" s="52" t="s">
        <v>4</v>
      </c>
      <c r="G8" s="53" t="s">
        <v>5</v>
      </c>
      <c r="H8" s="53" t="s">
        <v>6</v>
      </c>
      <c r="I8" s="53" t="s">
        <v>7</v>
      </c>
      <c r="J8" s="53" t="s">
        <v>8</v>
      </c>
      <c r="K8" s="53" t="s">
        <v>9</v>
      </c>
      <c r="L8" s="53" t="s">
        <v>10</v>
      </c>
      <c r="M8" s="53" t="s">
        <v>11</v>
      </c>
      <c r="N8" s="53" t="s">
        <v>12</v>
      </c>
    </row>
    <row r="9" spans="2:14" ht="28.5" customHeight="1">
      <c r="C9" s="21" t="str">
        <f ca="1">IF(D9="","",HYPERLINK("#"&amp;"Registro!B"&amp;MATCH(D9,Registro!$B$8:$B$997,0)+7,"Ubicar en registro"))</f>
        <v>Ubicar en registro</v>
      </c>
      <c r="D9" s="1" t="str">
        <f ca="1">IF(Programación!Q9="","",Programación!Q9)</f>
        <v>6405-PFIN-26</v>
      </c>
      <c r="E9" s="1" t="str">
        <f ca="1">_xlfn.XLOOKUP(EFAbiertos[[#This Row],[Ticket '#]],Registro!$B$8:$B$997,Registro!$M$8:$M$997,"",0)</f>
        <v>Gestor 3</v>
      </c>
      <c r="F9" s="86" t="str">
        <f ca="1">_xlfn.XLOOKUP(EFAbiertos[[#This Row],[Ticket '#]],Registro!$B$8:$B$997,Registro!$H$8:$H$997,"",0)</f>
        <v>Curso 109</v>
      </c>
      <c r="G9" s="26" t="str">
        <f ca="1">_xlfn.XLOOKUP(EFAbiertos[[#This Row],[Ticket '#]],Registro!$B$8:$B$997,Registro!$M$8:$M$997,"",0)</f>
        <v>Gestor 3</v>
      </c>
      <c r="H9" s="67">
        <f ca="1">_xlfn.XLOOKUP(EFAbiertos[[#This Row],[Ticket '#]],Registro!$B$8:$B$997,Registro!$S$8:$S$997,"",0)</f>
        <v>46307</v>
      </c>
      <c r="I9" s="58">
        <f t="shared" ref="I9:I40" ca="1" si="0">IF(J9="","",IF(J9=K9,1,0))</f>
        <v>0</v>
      </c>
      <c r="J9" s="30">
        <f ca="1">_xlfn.XLOOKUP(EFAbiertos[[#This Row],[Ticket '#]],Registro!$B$8:$B$997,Registro!$U$8:$U$997,"",0)</f>
        <v>1</v>
      </c>
      <c r="K9" s="30">
        <f ca="1">_xlfn.XLOOKUP(EFAbiertos[[#This Row],[Ticket '#]],Registro!$B$8:$B$997,Registro!$W$8:$W$997,"",0)</f>
        <v>0</v>
      </c>
      <c r="L9" s="30">
        <f ca="1">_xlfn.XLOOKUP(EFAbiertos[[#This Row],[Ticket '#]],Registro!$B$8:$B$997,Registro!$X$8:$X$997,"",0)</f>
        <v>0</v>
      </c>
      <c r="M9" s="30">
        <f ca="1">_xlfn.XLOOKUP(EFAbiertos[[#This Row],[Ticket '#]],Registro!$B$8:$B$997,Registro!$Y$8:$Y$997,"",0)</f>
        <v>1</v>
      </c>
      <c r="N9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10" spans="2:14" ht="28.5" customHeight="1">
      <c r="C10" s="21" t="str">
        <f ca="1">IF(D10="","",HYPERLINK("#"&amp;"Registro!B"&amp;MATCH(D10,Registro!$B$8:$B$997,0)+7,"Ubicar en registro"))</f>
        <v>Ubicar en registro</v>
      </c>
      <c r="D10" s="1" t="str">
        <f ca="1">IF(Programación!Q10="","",Programación!Q10)</f>
        <v>6411-PFIN-26</v>
      </c>
      <c r="E10" s="1" t="str">
        <f ca="1">_xlfn.XLOOKUP(EFAbiertos[[#This Row],[Ticket '#]],Registro!$B$8:$B$997,Registro!$M$8:$M$997,"",0)</f>
        <v>Gestor 4</v>
      </c>
      <c r="F10" s="86" t="str">
        <f ca="1">_xlfn.XLOOKUP(EFAbiertos[[#This Row],[Ticket '#]],Registro!$B$8:$B$997,Registro!$H$8:$H$997,"",0)</f>
        <v>Curso 112</v>
      </c>
      <c r="G10" s="26" t="str">
        <f ca="1">_xlfn.XLOOKUP(EFAbiertos[[#This Row],[Ticket '#]],Registro!$B$8:$B$997,Registro!$M$8:$M$997,"",0)</f>
        <v>Gestor 4</v>
      </c>
      <c r="H10" s="67">
        <f ca="1">_xlfn.XLOOKUP(EFAbiertos[[#This Row],[Ticket '#]],Registro!$B$8:$B$997,Registro!$S$8:$S$997,"",0)</f>
        <v>46342</v>
      </c>
      <c r="I10" s="58">
        <f t="shared" ca="1" si="0"/>
        <v>0</v>
      </c>
      <c r="J10" s="30">
        <f ca="1">_xlfn.XLOOKUP(EFAbiertos[[#This Row],[Ticket '#]],Registro!$B$8:$B$997,Registro!$U$8:$U$997,"",0)</f>
        <v>3</v>
      </c>
      <c r="K10" s="30">
        <f ca="1">_xlfn.XLOOKUP(EFAbiertos[[#This Row],[Ticket '#]],Registro!$B$8:$B$997,Registro!$W$8:$W$997,"",0)</f>
        <v>0</v>
      </c>
      <c r="L10" s="30">
        <f ca="1">_xlfn.XLOOKUP(EFAbiertos[[#This Row],[Ticket '#]],Registro!$B$8:$B$997,Registro!$X$8:$X$997,"",0)</f>
        <v>0</v>
      </c>
      <c r="M10" s="30">
        <f ca="1">_xlfn.XLOOKUP(EFAbiertos[[#This Row],[Ticket '#]],Registro!$B$8:$B$997,Registro!$Y$8:$Y$997,"",0)</f>
        <v>1</v>
      </c>
      <c r="N10" s="30">
        <f ca="1">IF(EFAbiertos[[#This Row],[Link Registro]]="","",EFAbiertos[[#This Row],[Grupos Programados]]-(EFAbiertos[[#This Row],[Grupos ejecutados]]+EFAbiertos[[#This Row],[Grupos en proceso]]+EFAbiertos[[#This Row],[Grupos no Iniciados]]))</f>
        <v>2</v>
      </c>
    </row>
    <row r="11" spans="2:14" ht="28.5" customHeight="1">
      <c r="C11" s="2" t="str">
        <f ca="1">IF(D11="","",HYPERLINK("#"&amp;"Registro!B"&amp;MATCH(D11,Registro!$B$8:$B$997,0)+7,"Ubicar en registro"))</f>
        <v>Ubicar en registro</v>
      </c>
      <c r="D11" s="1" t="str">
        <f ca="1">IF(Programación!Q11="","",Programación!Q11)</f>
        <v>6404-PFIN-26</v>
      </c>
      <c r="E11" s="1" t="str">
        <f ca="1">_xlfn.XLOOKUP(EFAbiertos[[#This Row],[Ticket '#]],Registro!$B$8:$B$997,Registro!$M$8:$M$997,"",0)</f>
        <v>Gestor 3</v>
      </c>
      <c r="F11" s="86" t="str">
        <f ca="1">_xlfn.XLOOKUP(EFAbiertos[[#This Row],[Ticket '#]],Registro!$B$8:$B$997,Registro!$H$8:$H$997,"",0)</f>
        <v>Curso 111</v>
      </c>
      <c r="G11" s="26" t="str">
        <f ca="1">_xlfn.XLOOKUP(EFAbiertos[[#This Row],[Ticket '#]],Registro!$B$8:$B$997,Registro!$M$8:$M$997,"",0)</f>
        <v>Gestor 3</v>
      </c>
      <c r="H11" s="67">
        <f ca="1">_xlfn.XLOOKUP(EFAbiertos[[#This Row],[Ticket '#]],Registro!$B$8:$B$997,Registro!$S$8:$S$997,"",0)</f>
        <v>0</v>
      </c>
      <c r="I11" s="58">
        <f t="shared" ca="1" si="0"/>
        <v>1</v>
      </c>
      <c r="J11" s="30">
        <f ca="1">_xlfn.XLOOKUP(EFAbiertos[[#This Row],[Ticket '#]],Registro!$B$8:$B$997,Registro!$U$8:$U$997,"",0)</f>
        <v>0</v>
      </c>
      <c r="K11" s="30">
        <f ca="1">_xlfn.XLOOKUP(EFAbiertos[[#This Row],[Ticket '#]],Registro!$B$8:$B$997,Registro!$W$8:$W$997,"",0)</f>
        <v>0</v>
      </c>
      <c r="L11" s="30">
        <f ca="1">_xlfn.XLOOKUP(EFAbiertos[[#This Row],[Ticket '#]],Registro!$B$8:$B$997,Registro!$X$8:$X$997,"",0)</f>
        <v>0</v>
      </c>
      <c r="M11" s="30">
        <f ca="1">_xlfn.XLOOKUP(EFAbiertos[[#This Row],[Ticket '#]],Registro!$B$8:$B$997,Registro!$Y$8:$Y$997,"",0)</f>
        <v>0</v>
      </c>
      <c r="N11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12" spans="2:14" ht="28.5" customHeight="1">
      <c r="C12" s="2" t="str">
        <f ca="1">IF(D12="","",HYPERLINK("#"&amp;"Registro!B"&amp;MATCH(D12,Registro!$B$8:$B$997,0)+7,"Ubicar en registro"))</f>
        <v>Ubicar en registro</v>
      </c>
      <c r="D12" s="1" t="str">
        <f ca="1">IF(Programación!Q12="","",Programación!Q12)</f>
        <v>6371-PFIN-26</v>
      </c>
      <c r="E12" s="1" t="str">
        <f ca="1">_xlfn.XLOOKUP(EFAbiertos[[#This Row],[Ticket '#]],Registro!$B$8:$B$997,Registro!$M$8:$M$997,"",0)</f>
        <v>Gestor 5</v>
      </c>
      <c r="F12" s="86" t="str">
        <f ca="1">_xlfn.XLOOKUP(EFAbiertos[[#This Row],[Ticket '#]],Registro!$B$8:$B$997,Registro!$H$8:$H$997,"",0)</f>
        <v>Curso 76</v>
      </c>
      <c r="G12" s="26" t="str">
        <f ca="1">_xlfn.XLOOKUP(EFAbiertos[[#This Row],[Ticket '#]],Registro!$B$8:$B$997,Registro!$M$8:$M$997,"",0)</f>
        <v>Gestor 5</v>
      </c>
      <c r="H12" s="67">
        <f ca="1">_xlfn.XLOOKUP(EFAbiertos[[#This Row],[Ticket '#]],Registro!$B$8:$B$997,Registro!$S$8:$S$997,"",0)</f>
        <v>46352</v>
      </c>
      <c r="I12" s="58">
        <f t="shared" ca="1" si="0"/>
        <v>0</v>
      </c>
      <c r="J12" s="30">
        <f ca="1">_xlfn.XLOOKUP(EFAbiertos[[#This Row],[Ticket '#]],Registro!$B$8:$B$997,Registro!$U$8:$U$997,"",0)</f>
        <v>6</v>
      </c>
      <c r="K12" s="30">
        <f ca="1">_xlfn.XLOOKUP(EFAbiertos[[#This Row],[Ticket '#]],Registro!$B$8:$B$997,Registro!$W$8:$W$997,"",0)</f>
        <v>0</v>
      </c>
      <c r="L12" s="30">
        <f ca="1">_xlfn.XLOOKUP(EFAbiertos[[#This Row],[Ticket '#]],Registro!$B$8:$B$997,Registro!$X$8:$X$997,"",0)</f>
        <v>0</v>
      </c>
      <c r="M12" s="30">
        <f ca="1">_xlfn.XLOOKUP(EFAbiertos[[#This Row],[Ticket '#]],Registro!$B$8:$B$997,Registro!$Y$8:$Y$997,"",0)</f>
        <v>6</v>
      </c>
      <c r="N12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13" spans="2:14" ht="28.5" customHeight="1">
      <c r="C13" s="2" t="str">
        <f ca="1">IF(D13="","",HYPERLINK("#"&amp;"Registro!B"&amp;MATCH(D13,Registro!$B$8:$B$997,0)+7,"Ubicar en registro"))</f>
        <v>Ubicar en registro</v>
      </c>
      <c r="D13" s="1" t="str">
        <f ca="1">IF(Programación!Q13="","",Programación!Q13)</f>
        <v>6375-PFIN-26</v>
      </c>
      <c r="E13" s="1" t="str">
        <f ca="1">_xlfn.XLOOKUP(EFAbiertos[[#This Row],[Ticket '#]],Registro!$B$8:$B$997,Registro!$M$8:$M$997,"",0)</f>
        <v>Gestor 1</v>
      </c>
      <c r="F13" s="86" t="str">
        <f ca="1">_xlfn.XLOOKUP(EFAbiertos[[#This Row],[Ticket '#]],Registro!$B$8:$B$997,Registro!$H$8:$H$997,"",0)</f>
        <v>Curso 78</v>
      </c>
      <c r="G13" s="26" t="str">
        <f ca="1">_xlfn.XLOOKUP(EFAbiertos[[#This Row],[Ticket '#]],Registro!$B$8:$B$997,Registro!$M$8:$M$997,"",0)</f>
        <v>Gestor 1</v>
      </c>
      <c r="H13" s="67">
        <f ca="1">_xlfn.XLOOKUP(EFAbiertos[[#This Row],[Ticket '#]],Registro!$B$8:$B$997,Registro!$S$8:$S$997,"",0)</f>
        <v>46332</v>
      </c>
      <c r="I13" s="58">
        <f t="shared" ca="1" si="0"/>
        <v>0</v>
      </c>
      <c r="J13" s="30">
        <f ca="1">_xlfn.XLOOKUP(EFAbiertos[[#This Row],[Ticket '#]],Registro!$B$8:$B$997,Registro!$U$8:$U$997,"",0)</f>
        <v>3</v>
      </c>
      <c r="K13" s="30">
        <f ca="1">_xlfn.XLOOKUP(EFAbiertos[[#This Row],[Ticket '#]],Registro!$B$8:$B$997,Registro!$W$8:$W$997,"",0)</f>
        <v>0</v>
      </c>
      <c r="L13" s="30">
        <f ca="1">_xlfn.XLOOKUP(EFAbiertos[[#This Row],[Ticket '#]],Registro!$B$8:$B$997,Registro!$X$8:$X$997,"",0)</f>
        <v>0</v>
      </c>
      <c r="M13" s="30">
        <f ca="1">_xlfn.XLOOKUP(EFAbiertos[[#This Row],[Ticket '#]],Registro!$B$8:$B$997,Registro!$Y$8:$Y$997,"",0)</f>
        <v>3</v>
      </c>
      <c r="N13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14" spans="2:14" ht="28.5" customHeight="1">
      <c r="C14" s="2" t="str">
        <f ca="1">IF(D14="","",HYPERLINK("#"&amp;"Registro!B"&amp;MATCH(D14,Registro!$B$8:$B$997,0)+7,"Ubicar en registro"))</f>
        <v>Ubicar en registro</v>
      </c>
      <c r="D14" s="1" t="str">
        <f ca="1">IF(Programación!Q14="","",Programación!Q14)</f>
        <v>6377-PFIN-26</v>
      </c>
      <c r="E14" s="1" t="str">
        <f ca="1">_xlfn.XLOOKUP(EFAbiertos[[#This Row],[Ticket '#]],Registro!$B$8:$B$997,Registro!$M$8:$M$997,"",0)</f>
        <v>Gestor 3</v>
      </c>
      <c r="F14" s="86" t="str">
        <f ca="1">_xlfn.XLOOKUP(EFAbiertos[[#This Row],[Ticket '#]],Registro!$B$8:$B$997,Registro!$H$8:$H$997,"",0)</f>
        <v>Curso 80</v>
      </c>
      <c r="G14" s="26" t="str">
        <f ca="1">_xlfn.XLOOKUP(EFAbiertos[[#This Row],[Ticket '#]],Registro!$B$8:$B$997,Registro!$M$8:$M$997,"",0)</f>
        <v>Gestor 3</v>
      </c>
      <c r="H14" s="67">
        <f ca="1">_xlfn.XLOOKUP(EFAbiertos[[#This Row],[Ticket '#]],Registro!$B$8:$B$997,Registro!$S$8:$S$997,"",0)</f>
        <v>46307</v>
      </c>
      <c r="I14" s="58">
        <f t="shared" ca="1" si="0"/>
        <v>0</v>
      </c>
      <c r="J14" s="30">
        <f ca="1">_xlfn.XLOOKUP(EFAbiertos[[#This Row],[Ticket '#]],Registro!$B$8:$B$997,Registro!$U$8:$U$997,"",0)</f>
        <v>1</v>
      </c>
      <c r="K14" s="30">
        <f ca="1">_xlfn.XLOOKUP(EFAbiertos[[#This Row],[Ticket '#]],Registro!$B$8:$B$997,Registro!$W$8:$W$997,"",0)</f>
        <v>0</v>
      </c>
      <c r="L14" s="30">
        <f ca="1">_xlfn.XLOOKUP(EFAbiertos[[#This Row],[Ticket '#]],Registro!$B$8:$B$997,Registro!$X$8:$X$997,"",0)</f>
        <v>0</v>
      </c>
      <c r="M14" s="30">
        <f ca="1">_xlfn.XLOOKUP(EFAbiertos[[#This Row],[Ticket '#]],Registro!$B$8:$B$997,Registro!$Y$8:$Y$997,"",0)</f>
        <v>0</v>
      </c>
      <c r="N14" s="30">
        <f ca="1">IF(EFAbiertos[[#This Row],[Link Registro]]="","",EFAbiertos[[#This Row],[Grupos Programados]]-(EFAbiertos[[#This Row],[Grupos ejecutados]]+EFAbiertos[[#This Row],[Grupos en proceso]]+EFAbiertos[[#This Row],[Grupos no Iniciados]]))</f>
        <v>1</v>
      </c>
    </row>
    <row r="15" spans="2:14" ht="28.5" customHeight="1">
      <c r="C15" s="2" t="str">
        <f ca="1">IF(D15="","",HYPERLINK("#"&amp;"Registro!B"&amp;MATCH(D15,Registro!$B$8:$B$997,0)+7,"Ubicar en registro"))</f>
        <v>Ubicar en registro</v>
      </c>
      <c r="D15" s="1" t="str">
        <f ca="1">IF(Programación!Q15="","",Programación!Q15)</f>
        <v>6373-PFIN-26</v>
      </c>
      <c r="E15" s="1" t="str">
        <f ca="1">_xlfn.XLOOKUP(EFAbiertos[[#This Row],[Ticket '#]],Registro!$B$8:$B$997,Registro!$M$8:$M$997,"",0)</f>
        <v>Gestor 5</v>
      </c>
      <c r="F15" s="86" t="str">
        <f ca="1">_xlfn.XLOOKUP(EFAbiertos[[#This Row],[Ticket '#]],Registro!$B$8:$B$997,Registro!$H$8:$H$997,"",0)</f>
        <v>Curso 75</v>
      </c>
      <c r="G15" s="26" t="str">
        <f ca="1">_xlfn.XLOOKUP(EFAbiertos[[#This Row],[Ticket '#]],Registro!$B$8:$B$997,Registro!$M$8:$M$997,"",0)</f>
        <v>Gestor 5</v>
      </c>
      <c r="H15" s="67">
        <f ca="1">_xlfn.XLOOKUP(EFAbiertos[[#This Row],[Ticket '#]],Registro!$B$8:$B$997,Registro!$S$8:$S$997,"",0)</f>
        <v>46309</v>
      </c>
      <c r="I15" s="58">
        <f t="shared" ca="1" si="0"/>
        <v>0</v>
      </c>
      <c r="J15" s="30">
        <f ca="1">_xlfn.XLOOKUP(EFAbiertos[[#This Row],[Ticket '#]],Registro!$B$8:$B$997,Registro!$U$8:$U$997,"",0)</f>
        <v>2</v>
      </c>
      <c r="K15" s="30">
        <f ca="1">_xlfn.XLOOKUP(EFAbiertos[[#This Row],[Ticket '#]],Registro!$B$8:$B$997,Registro!$W$8:$W$997,"",0)</f>
        <v>0</v>
      </c>
      <c r="L15" s="30">
        <f ca="1">_xlfn.XLOOKUP(EFAbiertos[[#This Row],[Ticket '#]],Registro!$B$8:$B$997,Registro!$X$8:$X$997,"",0)</f>
        <v>0</v>
      </c>
      <c r="M15" s="30">
        <f ca="1">_xlfn.XLOOKUP(EFAbiertos[[#This Row],[Ticket '#]],Registro!$B$8:$B$997,Registro!$Y$8:$Y$997,"",0)</f>
        <v>0</v>
      </c>
      <c r="N15" s="30">
        <f ca="1">IF(EFAbiertos[[#This Row],[Link Registro]]="","",EFAbiertos[[#This Row],[Grupos Programados]]-(EFAbiertos[[#This Row],[Grupos ejecutados]]+EFAbiertos[[#This Row],[Grupos en proceso]]+EFAbiertos[[#This Row],[Grupos no Iniciados]]))</f>
        <v>2</v>
      </c>
    </row>
    <row r="16" spans="2:14" ht="28.5" customHeight="1">
      <c r="C16" s="2" t="str">
        <f ca="1">IF(D16="","",HYPERLINK("#"&amp;"Registro!B"&amp;MATCH(D16,Registro!$B$8:$B$997,0)+7,"Ubicar en registro"))</f>
        <v>Ubicar en registro</v>
      </c>
      <c r="D16" s="1" t="str">
        <f ca="1">IF(Programación!Q16="","",Programación!Q16)</f>
        <v>6412-PFIN-26</v>
      </c>
      <c r="E16" s="1" t="str">
        <f ca="1">_xlfn.XLOOKUP(EFAbiertos[[#This Row],[Ticket '#]],Registro!$B$8:$B$997,Registro!$M$8:$M$997,"",0)</f>
        <v>Gestor 3</v>
      </c>
      <c r="F16" s="86" t="str">
        <f ca="1">_xlfn.XLOOKUP(EFAbiertos[[#This Row],[Ticket '#]],Registro!$B$8:$B$997,Registro!$H$8:$H$997,"",0)</f>
        <v>Curso 110</v>
      </c>
      <c r="G16" s="26" t="str">
        <f ca="1">_xlfn.XLOOKUP(EFAbiertos[[#This Row],[Ticket '#]],Registro!$B$8:$B$997,Registro!$M$8:$M$997,"",0)</f>
        <v>Gestor 3</v>
      </c>
      <c r="H16" s="67">
        <f ca="1">_xlfn.XLOOKUP(EFAbiertos[[#This Row],[Ticket '#]],Registro!$B$8:$B$997,Registro!$S$8:$S$997,"",0)</f>
        <v>46314</v>
      </c>
      <c r="I16" s="58">
        <f t="shared" ca="1" si="0"/>
        <v>0</v>
      </c>
      <c r="J16" s="30">
        <f ca="1">_xlfn.XLOOKUP(EFAbiertos[[#This Row],[Ticket '#]],Registro!$B$8:$B$997,Registro!$U$8:$U$997,"",0)</f>
        <v>1</v>
      </c>
      <c r="K16" s="30">
        <f ca="1">_xlfn.XLOOKUP(EFAbiertos[[#This Row],[Ticket '#]],Registro!$B$8:$B$997,Registro!$W$8:$W$997,"",0)</f>
        <v>0</v>
      </c>
      <c r="L16" s="30">
        <f ca="1">_xlfn.XLOOKUP(EFAbiertos[[#This Row],[Ticket '#]],Registro!$B$8:$B$997,Registro!$X$8:$X$997,"",0)</f>
        <v>0</v>
      </c>
      <c r="M16" s="30">
        <f ca="1">_xlfn.XLOOKUP(EFAbiertos[[#This Row],[Ticket '#]],Registro!$B$8:$B$997,Registro!$Y$8:$Y$997,"",0)</f>
        <v>1</v>
      </c>
      <c r="N16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17" spans="3:14" ht="28.5" customHeight="1">
      <c r="C17" s="2" t="str">
        <f ca="1">IF(D17="","",HYPERLINK("#"&amp;"Registro!B"&amp;MATCH(D17,Registro!$B$8:$B$997,0)+7,"Ubicar en registro"))</f>
        <v>Ubicar en registro</v>
      </c>
      <c r="D17" s="1" t="str">
        <f ca="1">IF(Programación!Q17="","",Programación!Q17)</f>
        <v>6378-PFIN-26</v>
      </c>
      <c r="E17" s="1" t="str">
        <f ca="1">_xlfn.XLOOKUP(EFAbiertos[[#This Row],[Ticket '#]],Registro!$B$8:$B$997,Registro!$M$8:$M$997,"",0)</f>
        <v>Gestor 2</v>
      </c>
      <c r="F17" s="86" t="str">
        <f ca="1">_xlfn.XLOOKUP(EFAbiertos[[#This Row],[Ticket '#]],Registro!$B$8:$B$997,Registro!$H$8:$H$997,"",0)</f>
        <v>Curso 81</v>
      </c>
      <c r="G17" s="26" t="str">
        <f ca="1">_xlfn.XLOOKUP(EFAbiertos[[#This Row],[Ticket '#]],Registro!$B$8:$B$997,Registro!$M$8:$M$997,"",0)</f>
        <v>Gestor 2</v>
      </c>
      <c r="H17" s="67">
        <f ca="1">_xlfn.XLOOKUP(EFAbiertos[[#This Row],[Ticket '#]],Registro!$B$8:$B$997,Registro!$S$8:$S$997,"",0)</f>
        <v>46316</v>
      </c>
      <c r="I17" s="58">
        <f t="shared" ca="1" si="0"/>
        <v>0</v>
      </c>
      <c r="J17" s="30">
        <f ca="1">_xlfn.XLOOKUP(EFAbiertos[[#This Row],[Ticket '#]],Registro!$B$8:$B$997,Registro!$U$8:$U$997,"",0)</f>
        <v>1</v>
      </c>
      <c r="K17" s="30">
        <f ca="1">_xlfn.XLOOKUP(EFAbiertos[[#This Row],[Ticket '#]],Registro!$B$8:$B$997,Registro!$W$8:$W$997,"",0)</f>
        <v>0</v>
      </c>
      <c r="L17" s="30">
        <f ca="1">_xlfn.XLOOKUP(EFAbiertos[[#This Row],[Ticket '#]],Registro!$B$8:$B$997,Registro!$X$8:$X$997,"",0)</f>
        <v>0</v>
      </c>
      <c r="M17" s="30">
        <f ca="1">_xlfn.XLOOKUP(EFAbiertos[[#This Row],[Ticket '#]],Registro!$B$8:$B$997,Registro!$Y$8:$Y$997,"",0)</f>
        <v>1</v>
      </c>
      <c r="N17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18" spans="3:14" ht="28.5" customHeight="1">
      <c r="C18" s="2" t="str">
        <f ca="1">IF(D18="","",HYPERLINK("#"&amp;"Registro!B"&amp;MATCH(D18,Registro!$B$8:$B$997,0)+7,"Ubicar en registro"))</f>
        <v>Ubicar en registro</v>
      </c>
      <c r="D18" s="1" t="str">
        <f ca="1">IF(Programación!Q18="","",Programación!Q18)</f>
        <v>6418-PFIN-26</v>
      </c>
      <c r="E18" s="1" t="str">
        <f ca="1">_xlfn.XLOOKUP(EFAbiertos[[#This Row],[Ticket '#]],Registro!$B$8:$B$997,Registro!$M$8:$M$997,"",0)</f>
        <v>Gestor 1</v>
      </c>
      <c r="F18" s="86" t="str">
        <f ca="1">_xlfn.XLOOKUP(EFAbiertos[[#This Row],[Ticket '#]],Registro!$B$8:$B$997,Registro!$H$8:$H$997,"",0)</f>
        <v>Curso 113</v>
      </c>
      <c r="G18" s="26" t="str">
        <f ca="1">_xlfn.XLOOKUP(EFAbiertos[[#This Row],[Ticket '#]],Registro!$B$8:$B$997,Registro!$M$8:$M$997,"",0)</f>
        <v>Gestor 1</v>
      </c>
      <c r="H18" s="67">
        <f ca="1">_xlfn.XLOOKUP(EFAbiertos[[#This Row],[Ticket '#]],Registro!$B$8:$B$997,Registro!$S$8:$S$997,"",0)</f>
        <v>46318</v>
      </c>
      <c r="I18" s="58">
        <f t="shared" ca="1" si="0"/>
        <v>0</v>
      </c>
      <c r="J18" s="30">
        <f ca="1">_xlfn.XLOOKUP(EFAbiertos[[#This Row],[Ticket '#]],Registro!$B$8:$B$997,Registro!$U$8:$U$997,"",0)</f>
        <v>1</v>
      </c>
      <c r="K18" s="30">
        <f ca="1">_xlfn.XLOOKUP(EFAbiertos[[#This Row],[Ticket '#]],Registro!$B$8:$B$997,Registro!$W$8:$W$997,"",0)</f>
        <v>0</v>
      </c>
      <c r="L18" s="30">
        <f ca="1">_xlfn.XLOOKUP(EFAbiertos[[#This Row],[Ticket '#]],Registro!$B$8:$B$997,Registro!$X$8:$X$997,"",0)</f>
        <v>0</v>
      </c>
      <c r="M18" s="30">
        <f ca="1">_xlfn.XLOOKUP(EFAbiertos[[#This Row],[Ticket '#]],Registro!$B$8:$B$997,Registro!$Y$8:$Y$997,"",0)</f>
        <v>1</v>
      </c>
      <c r="N18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19" spans="3:14" ht="28.5" customHeight="1">
      <c r="C19" s="2" t="str">
        <f ca="1">IF(D19="","",HYPERLINK("#"&amp;"Registro!B"&amp;MATCH(D19,Registro!$B$8:$B$997,0)+7,"Ubicar en registro"))</f>
        <v>Ubicar en registro</v>
      </c>
      <c r="D19" s="1" t="str">
        <f ca="1">IF(Programación!Q19="","",Programación!Q19)</f>
        <v>6304-PFIN-26</v>
      </c>
      <c r="E19" s="1" t="str">
        <f ca="1">_xlfn.XLOOKUP(EFAbiertos[[#This Row],[Ticket '#]],Registro!$B$8:$B$997,Registro!$M$8:$M$997,"",0)</f>
        <v>Gestor 4</v>
      </c>
      <c r="F19" s="86" t="str">
        <f ca="1">_xlfn.XLOOKUP(EFAbiertos[[#This Row],[Ticket '#]],Registro!$B$8:$B$997,Registro!$H$8:$H$997,"",0)</f>
        <v>Curso 22</v>
      </c>
      <c r="G19" s="26" t="str">
        <f ca="1">_xlfn.XLOOKUP(EFAbiertos[[#This Row],[Ticket '#]],Registro!$B$8:$B$997,Registro!$M$8:$M$997,"",0)</f>
        <v>Gestor 4</v>
      </c>
      <c r="H19" s="67">
        <f ca="1">_xlfn.XLOOKUP(EFAbiertos[[#This Row],[Ticket '#]],Registro!$B$8:$B$997,Registro!$S$8:$S$997,"",0)</f>
        <v>46266</v>
      </c>
      <c r="I19" s="58">
        <f t="shared" ca="1" si="0"/>
        <v>0</v>
      </c>
      <c r="J19" s="30">
        <f ca="1">_xlfn.XLOOKUP(EFAbiertos[[#This Row],[Ticket '#]],Registro!$B$8:$B$997,Registro!$U$8:$U$997,"",0)</f>
        <v>1</v>
      </c>
      <c r="K19" s="30">
        <f ca="1">_xlfn.XLOOKUP(EFAbiertos[[#This Row],[Ticket '#]],Registro!$B$8:$B$997,Registro!$W$8:$W$997,"",0)</f>
        <v>0</v>
      </c>
      <c r="L19" s="30">
        <f ca="1">_xlfn.XLOOKUP(EFAbiertos[[#This Row],[Ticket '#]],Registro!$B$8:$B$997,Registro!$X$8:$X$997,"",0)</f>
        <v>0</v>
      </c>
      <c r="M19" s="30">
        <f ca="1">_xlfn.XLOOKUP(EFAbiertos[[#This Row],[Ticket '#]],Registro!$B$8:$B$997,Registro!$Y$8:$Y$997,"",0)</f>
        <v>0</v>
      </c>
      <c r="N19" s="30">
        <f ca="1">IF(EFAbiertos[[#This Row],[Link Registro]]="","",EFAbiertos[[#This Row],[Grupos Programados]]-(EFAbiertos[[#This Row],[Grupos ejecutados]]+EFAbiertos[[#This Row],[Grupos en proceso]]+EFAbiertos[[#This Row],[Grupos no Iniciados]]))</f>
        <v>1</v>
      </c>
    </row>
    <row r="20" spans="3:14" ht="28.5" customHeight="1">
      <c r="C20" s="2" t="str">
        <f ca="1">IF(D20="","",HYPERLINK("#"&amp;"Registro!B"&amp;MATCH(D20,Registro!$B$8:$B$997,0)+7,"Ubicar en registro"))</f>
        <v>Ubicar en registro</v>
      </c>
      <c r="D20" s="1" t="str">
        <f ca="1">IF(Programación!Q20="","",Programación!Q20)</f>
        <v>6305-PFIN-26</v>
      </c>
      <c r="E20" s="1" t="str">
        <f ca="1">_xlfn.XLOOKUP(EFAbiertos[[#This Row],[Ticket '#]],Registro!$B$8:$B$997,Registro!$M$8:$M$997,"",0)</f>
        <v>Gestor 4</v>
      </c>
      <c r="F20" s="86" t="str">
        <f ca="1">_xlfn.XLOOKUP(EFAbiertos[[#This Row],[Ticket '#]],Registro!$B$8:$B$997,Registro!$H$8:$H$997,"",0)</f>
        <v>Curso 23</v>
      </c>
      <c r="G20" s="26" t="str">
        <f ca="1">_xlfn.XLOOKUP(EFAbiertos[[#This Row],[Ticket '#]],Registro!$B$8:$B$997,Registro!$M$8:$M$997,"",0)</f>
        <v>Gestor 4</v>
      </c>
      <c r="H20" s="67">
        <f ca="1">_xlfn.XLOOKUP(EFAbiertos[[#This Row],[Ticket '#]],Registro!$B$8:$B$997,Registro!$S$8:$S$997,"",0)</f>
        <v>46266</v>
      </c>
      <c r="I20" s="58">
        <f t="shared" ca="1" si="0"/>
        <v>0</v>
      </c>
      <c r="J20" s="30">
        <f ca="1">_xlfn.XLOOKUP(EFAbiertos[[#This Row],[Ticket '#]],Registro!$B$8:$B$997,Registro!$U$8:$U$997,"",0)</f>
        <v>1</v>
      </c>
      <c r="K20" s="30">
        <f ca="1">_xlfn.XLOOKUP(EFAbiertos[[#This Row],[Ticket '#]],Registro!$B$8:$B$997,Registro!$W$8:$W$997,"",0)</f>
        <v>0</v>
      </c>
      <c r="L20" s="30">
        <f ca="1">_xlfn.XLOOKUP(EFAbiertos[[#This Row],[Ticket '#]],Registro!$B$8:$B$997,Registro!$X$8:$X$997,"",0)</f>
        <v>0</v>
      </c>
      <c r="M20" s="30">
        <f ca="1">_xlfn.XLOOKUP(EFAbiertos[[#This Row],[Ticket '#]],Registro!$B$8:$B$997,Registro!$Y$8:$Y$997,"",0)</f>
        <v>0</v>
      </c>
      <c r="N20" s="30">
        <f ca="1">IF(EFAbiertos[[#This Row],[Link Registro]]="","",EFAbiertos[[#This Row],[Grupos Programados]]-(EFAbiertos[[#This Row],[Grupos ejecutados]]+EFAbiertos[[#This Row],[Grupos en proceso]]+EFAbiertos[[#This Row],[Grupos no Iniciados]]))</f>
        <v>1</v>
      </c>
    </row>
    <row r="21" spans="3:14" ht="28.5" customHeight="1">
      <c r="C21" s="2" t="str">
        <f ca="1">IF(D21="","",HYPERLINK("#"&amp;"Registro!B"&amp;MATCH(D21,Registro!$B$8:$B$997,0)+7,"Ubicar en registro"))</f>
        <v>Ubicar en registro</v>
      </c>
      <c r="D21" s="1" t="str">
        <f ca="1">IF(Programación!Q21="","",Programación!Q21)</f>
        <v>6306-PFIN-26</v>
      </c>
      <c r="E21" s="1" t="str">
        <f ca="1">_xlfn.XLOOKUP(EFAbiertos[[#This Row],[Ticket '#]],Registro!$B$8:$B$997,Registro!$M$8:$M$997,"",0)</f>
        <v>Gestor 4</v>
      </c>
      <c r="F21" s="86" t="str">
        <f ca="1">_xlfn.XLOOKUP(EFAbiertos[[#This Row],[Ticket '#]],Registro!$B$8:$B$997,Registro!$H$8:$H$997,"",0)</f>
        <v>Curso 24</v>
      </c>
      <c r="G21" s="26" t="str">
        <f ca="1">_xlfn.XLOOKUP(EFAbiertos[[#This Row],[Ticket '#]],Registro!$B$8:$B$997,Registro!$M$8:$M$997,"",0)</f>
        <v>Gestor 4</v>
      </c>
      <c r="H21" s="67">
        <f ca="1">_xlfn.XLOOKUP(EFAbiertos[[#This Row],[Ticket '#]],Registro!$B$8:$B$997,Registro!$S$8:$S$997,"",0)</f>
        <v>46266</v>
      </c>
      <c r="I21" s="58">
        <f t="shared" ca="1" si="0"/>
        <v>0</v>
      </c>
      <c r="J21" s="30">
        <f ca="1">_xlfn.XLOOKUP(EFAbiertos[[#This Row],[Ticket '#]],Registro!$B$8:$B$997,Registro!$U$8:$U$997,"",0)</f>
        <v>1</v>
      </c>
      <c r="K21" s="30">
        <f ca="1">_xlfn.XLOOKUP(EFAbiertos[[#This Row],[Ticket '#]],Registro!$B$8:$B$997,Registro!$W$8:$W$997,"",0)</f>
        <v>0</v>
      </c>
      <c r="L21" s="30">
        <f ca="1">_xlfn.XLOOKUP(EFAbiertos[[#This Row],[Ticket '#]],Registro!$B$8:$B$997,Registro!$X$8:$X$997,"",0)</f>
        <v>0</v>
      </c>
      <c r="M21" s="30">
        <f ca="1">_xlfn.XLOOKUP(EFAbiertos[[#This Row],[Ticket '#]],Registro!$B$8:$B$997,Registro!$Y$8:$Y$997,"",0)</f>
        <v>0</v>
      </c>
      <c r="N21" s="30">
        <f ca="1">IF(EFAbiertos[[#This Row],[Link Registro]]="","",EFAbiertos[[#This Row],[Grupos Programados]]-(EFAbiertos[[#This Row],[Grupos ejecutados]]+EFAbiertos[[#This Row],[Grupos en proceso]]+EFAbiertos[[#This Row],[Grupos no Iniciados]]))</f>
        <v>1</v>
      </c>
    </row>
    <row r="22" spans="3:14" ht="28.5" customHeight="1">
      <c r="C22" s="2" t="str">
        <f ca="1">IF(D22="","",HYPERLINK("#"&amp;"Registro!B"&amp;MATCH(D22,Registro!$B$8:$B$997,0)+7,"Ubicar en registro"))</f>
        <v>Ubicar en registro</v>
      </c>
      <c r="D22" s="1" t="str">
        <f ca="1">IF(Programación!Q22="","",Programación!Q22)</f>
        <v>6348-PFIN-26</v>
      </c>
      <c r="E22" s="1" t="str">
        <f ca="1">_xlfn.XLOOKUP(EFAbiertos[[#This Row],[Ticket '#]],Registro!$B$8:$B$997,Registro!$M$8:$M$997,"",0)</f>
        <v>Gestor 5</v>
      </c>
      <c r="F22" s="86" t="str">
        <f ca="1">_xlfn.XLOOKUP(EFAbiertos[[#This Row],[Ticket '#]],Registro!$B$8:$B$997,Registro!$H$8:$H$997,"",0)</f>
        <v>Curso 39</v>
      </c>
      <c r="G22" s="26" t="str">
        <f ca="1">_xlfn.XLOOKUP(EFAbiertos[[#This Row],[Ticket '#]],Registro!$B$8:$B$997,Registro!$M$8:$M$997,"",0)</f>
        <v>Gestor 5</v>
      </c>
      <c r="H22" s="67">
        <f ca="1">_xlfn.XLOOKUP(EFAbiertos[[#This Row],[Ticket '#]],Registro!$B$8:$B$997,Registro!$S$8:$S$997,"",0)</f>
        <v>46338</v>
      </c>
      <c r="I22" s="58">
        <f t="shared" ca="1" si="0"/>
        <v>0</v>
      </c>
      <c r="J22" s="30">
        <f ca="1">_xlfn.XLOOKUP(EFAbiertos[[#This Row],[Ticket '#]],Registro!$B$8:$B$997,Registro!$U$8:$U$997,"",0)</f>
        <v>10</v>
      </c>
      <c r="K22" s="30">
        <f ca="1">_xlfn.XLOOKUP(EFAbiertos[[#This Row],[Ticket '#]],Registro!$B$8:$B$997,Registro!$W$8:$W$997,"",0)</f>
        <v>0</v>
      </c>
      <c r="L22" s="30">
        <f ca="1">_xlfn.XLOOKUP(EFAbiertos[[#This Row],[Ticket '#]],Registro!$B$8:$B$997,Registro!$X$8:$X$997,"",0)</f>
        <v>0</v>
      </c>
      <c r="M22" s="30">
        <f ca="1">_xlfn.XLOOKUP(EFAbiertos[[#This Row],[Ticket '#]],Registro!$B$8:$B$997,Registro!$Y$8:$Y$997,"",0)</f>
        <v>10</v>
      </c>
      <c r="N22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23" spans="3:14" ht="28.5" customHeight="1">
      <c r="C23" s="2" t="str">
        <f ca="1">IF(D23="","",HYPERLINK("#"&amp;"Registro!B"&amp;MATCH(D23,Registro!$B$8:$B$997,0)+7,"Ubicar en registro"))</f>
        <v>Ubicar en registro</v>
      </c>
      <c r="D23" s="1" t="str">
        <f ca="1">IF(Programación!Q23="","",Programación!Q23)</f>
        <v>6295-PFIN-26</v>
      </c>
      <c r="E23" s="1" t="str">
        <f ca="1">_xlfn.XLOOKUP(EFAbiertos[[#This Row],[Ticket '#]],Registro!$B$8:$B$997,Registro!$M$8:$M$997,"",0)</f>
        <v>Gestor 5</v>
      </c>
      <c r="F23" s="86" t="str">
        <f ca="1">_xlfn.XLOOKUP(EFAbiertos[[#This Row],[Ticket '#]],Registro!$B$8:$B$997,Registro!$H$8:$H$997,"",0)</f>
        <v>Curso 19</v>
      </c>
      <c r="G23" s="26" t="str">
        <f ca="1">_xlfn.XLOOKUP(EFAbiertos[[#This Row],[Ticket '#]],Registro!$B$8:$B$997,Registro!$M$8:$M$997,"",0)</f>
        <v>Gestor 5</v>
      </c>
      <c r="H23" s="67">
        <f ca="1">_xlfn.XLOOKUP(EFAbiertos[[#This Row],[Ticket '#]],Registro!$B$8:$B$997,Registro!$S$8:$S$997,"",0)</f>
        <v>46321</v>
      </c>
      <c r="I23" s="58">
        <f t="shared" ca="1" si="0"/>
        <v>0</v>
      </c>
      <c r="J23" s="30">
        <f ca="1">_xlfn.XLOOKUP(EFAbiertos[[#This Row],[Ticket '#]],Registro!$B$8:$B$997,Registro!$U$8:$U$997,"",0)</f>
        <v>2</v>
      </c>
      <c r="K23" s="30">
        <f ca="1">_xlfn.XLOOKUP(EFAbiertos[[#This Row],[Ticket '#]],Registro!$B$8:$B$997,Registro!$W$8:$W$997,"",0)</f>
        <v>0</v>
      </c>
      <c r="L23" s="30">
        <f ca="1">_xlfn.XLOOKUP(EFAbiertos[[#This Row],[Ticket '#]],Registro!$B$8:$B$997,Registro!$X$8:$X$997,"",0)</f>
        <v>0</v>
      </c>
      <c r="M23" s="30">
        <f ca="1">_xlfn.XLOOKUP(EFAbiertos[[#This Row],[Ticket '#]],Registro!$B$8:$B$997,Registro!$Y$8:$Y$997,"",0)</f>
        <v>2</v>
      </c>
      <c r="N23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24" spans="3:14" ht="28.5" customHeight="1">
      <c r="C24" s="2" t="str">
        <f ca="1">IF(D24="","",HYPERLINK("#"&amp;"Registro!B"&amp;MATCH(D24,Registro!$B$8:$B$997,0)+7,"Ubicar en registro"))</f>
        <v>Ubicar en registro</v>
      </c>
      <c r="D24" s="1" t="str">
        <f ca="1">IF(Programación!Q24="","",Programación!Q24)</f>
        <v>6374-PFIN-26</v>
      </c>
      <c r="E24" s="1" t="str">
        <f ca="1">_xlfn.XLOOKUP(EFAbiertos[[#This Row],[Ticket '#]],Registro!$B$8:$B$997,Registro!$M$8:$M$997,"",0)</f>
        <v>Gestor 4</v>
      </c>
      <c r="F24" s="86" t="str">
        <f ca="1">_xlfn.XLOOKUP(EFAbiertos[[#This Row],[Ticket '#]],Registro!$B$8:$B$997,Registro!$H$8:$H$997,"",0)</f>
        <v>Curso 77</v>
      </c>
      <c r="G24" s="26" t="str">
        <f ca="1">_xlfn.XLOOKUP(EFAbiertos[[#This Row],[Ticket '#]],Registro!$B$8:$B$997,Registro!$M$8:$M$997,"",0)</f>
        <v>Gestor 4</v>
      </c>
      <c r="H24" s="67">
        <f ca="1">_xlfn.XLOOKUP(EFAbiertos[[#This Row],[Ticket '#]],Registro!$B$8:$B$997,Registro!$S$8:$S$997,"",0)</f>
        <v>46317</v>
      </c>
      <c r="I24" s="58">
        <f t="shared" ca="1" si="0"/>
        <v>0</v>
      </c>
      <c r="J24" s="30">
        <f ca="1">_xlfn.XLOOKUP(EFAbiertos[[#This Row],[Ticket '#]],Registro!$B$8:$B$997,Registro!$U$8:$U$997,"",0)</f>
        <v>2</v>
      </c>
      <c r="K24" s="30">
        <f ca="1">_xlfn.XLOOKUP(EFAbiertos[[#This Row],[Ticket '#]],Registro!$B$8:$B$997,Registro!$W$8:$W$997,"",0)</f>
        <v>0</v>
      </c>
      <c r="L24" s="30">
        <f ca="1">_xlfn.XLOOKUP(EFAbiertos[[#This Row],[Ticket '#]],Registro!$B$8:$B$997,Registro!$X$8:$X$997,"",0)</f>
        <v>0</v>
      </c>
      <c r="M24" s="30">
        <f ca="1">_xlfn.XLOOKUP(EFAbiertos[[#This Row],[Ticket '#]],Registro!$B$8:$B$997,Registro!$Y$8:$Y$997,"",0)</f>
        <v>2</v>
      </c>
      <c r="N24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25" spans="3:14" ht="28.5" customHeight="1">
      <c r="C25" s="2" t="str">
        <f ca="1">IF(D25="","",HYPERLINK("#"&amp;"Registro!B"&amp;MATCH(D25,Registro!$B$8:$B$997,0)+7,"Ubicar en registro"))</f>
        <v>Ubicar en registro</v>
      </c>
      <c r="D25" s="1" t="str">
        <f ca="1">IF(Programación!Q25="","",Programación!Q25)</f>
        <v>6387-PFIN-26</v>
      </c>
      <c r="E25" s="1" t="str">
        <f ca="1">_xlfn.XLOOKUP(EFAbiertos[[#This Row],[Ticket '#]],Registro!$B$8:$B$997,Registro!$M$8:$M$997,"",0)</f>
        <v>Gestor 3</v>
      </c>
      <c r="F25" s="86" t="str">
        <f ca="1">_xlfn.XLOOKUP(EFAbiertos[[#This Row],[Ticket '#]],Registro!$B$8:$B$997,Registro!$H$8:$H$997,"",0)</f>
        <v>Curso 106</v>
      </c>
      <c r="G25" s="26" t="str">
        <f ca="1">_xlfn.XLOOKUP(EFAbiertos[[#This Row],[Ticket '#]],Registro!$B$8:$B$997,Registro!$M$8:$M$997,"",0)</f>
        <v>Gestor 3</v>
      </c>
      <c r="H25" s="67">
        <f ca="1">_xlfn.XLOOKUP(EFAbiertos[[#This Row],[Ticket '#]],Registro!$B$8:$B$997,Registro!$S$8:$S$997,"",0)</f>
        <v>46325</v>
      </c>
      <c r="I25" s="58">
        <f t="shared" ca="1" si="0"/>
        <v>0</v>
      </c>
      <c r="J25" s="30">
        <f ca="1">_xlfn.XLOOKUP(EFAbiertos[[#This Row],[Ticket '#]],Registro!$B$8:$B$997,Registro!$U$8:$U$997,"",0)</f>
        <v>4</v>
      </c>
      <c r="K25" s="30">
        <f ca="1">_xlfn.XLOOKUP(EFAbiertos[[#This Row],[Ticket '#]],Registro!$B$8:$B$997,Registro!$W$8:$W$997,"",0)</f>
        <v>0</v>
      </c>
      <c r="L25" s="30">
        <f ca="1">_xlfn.XLOOKUP(EFAbiertos[[#This Row],[Ticket '#]],Registro!$B$8:$B$997,Registro!$X$8:$X$997,"",0)</f>
        <v>0</v>
      </c>
      <c r="M25" s="30">
        <f ca="1">_xlfn.XLOOKUP(EFAbiertos[[#This Row],[Ticket '#]],Registro!$B$8:$B$997,Registro!$Y$8:$Y$997,"",0)</f>
        <v>4</v>
      </c>
      <c r="N25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26" spans="3:14" ht="28.5" customHeight="1">
      <c r="C26" s="2" t="str">
        <f ca="1">IF(D26="","",HYPERLINK("#"&amp;"Registro!B"&amp;MATCH(D26,Registro!$B$8:$B$997,0)+7,"Ubicar en registro"))</f>
        <v>Ubicar en registro</v>
      </c>
      <c r="D26" s="1" t="str">
        <f ca="1">IF(Programación!Q26="","",Programación!Q26)</f>
        <v>6376-PFIN-26</v>
      </c>
      <c r="E26" s="1" t="str">
        <f ca="1">_xlfn.XLOOKUP(EFAbiertos[[#This Row],[Ticket '#]],Registro!$B$8:$B$997,Registro!$M$8:$M$997,"",0)</f>
        <v>Gestor 3</v>
      </c>
      <c r="F26" s="86" t="str">
        <f ca="1">_xlfn.XLOOKUP(EFAbiertos[[#This Row],[Ticket '#]],Registro!$B$8:$B$997,Registro!$H$8:$H$997,"",0)</f>
        <v>Curso 79</v>
      </c>
      <c r="G26" s="26" t="str">
        <f ca="1">_xlfn.XLOOKUP(EFAbiertos[[#This Row],[Ticket '#]],Registro!$B$8:$B$997,Registro!$M$8:$M$997,"",0)</f>
        <v>Gestor 3</v>
      </c>
      <c r="H26" s="67">
        <f ca="1">_xlfn.XLOOKUP(EFAbiertos[[#This Row],[Ticket '#]],Registro!$B$8:$B$997,Registro!$S$8:$S$997,"",0)</f>
        <v>46321</v>
      </c>
      <c r="I26" s="58">
        <f t="shared" ca="1" si="0"/>
        <v>0</v>
      </c>
      <c r="J26" s="30">
        <f ca="1">_xlfn.XLOOKUP(EFAbiertos[[#This Row],[Ticket '#]],Registro!$B$8:$B$997,Registro!$U$8:$U$997,"",0)</f>
        <v>2</v>
      </c>
      <c r="K26" s="30">
        <f ca="1">_xlfn.XLOOKUP(EFAbiertos[[#This Row],[Ticket '#]],Registro!$B$8:$B$997,Registro!$W$8:$W$997,"",0)</f>
        <v>0</v>
      </c>
      <c r="L26" s="30">
        <f ca="1">_xlfn.XLOOKUP(EFAbiertos[[#This Row],[Ticket '#]],Registro!$B$8:$B$997,Registro!$X$8:$X$997,"",0)</f>
        <v>0</v>
      </c>
      <c r="M26" s="30">
        <f ca="1">_xlfn.XLOOKUP(EFAbiertos[[#This Row],[Ticket '#]],Registro!$B$8:$B$997,Registro!$Y$8:$Y$997,"",0)</f>
        <v>2</v>
      </c>
      <c r="N26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27" spans="3:14" ht="28.5" customHeight="1">
      <c r="C27" s="2" t="str">
        <f ca="1">IF(D27="","",HYPERLINK("#"&amp;"Registro!B"&amp;MATCH(D27,Registro!$B$8:$B$997,0)+7,"Ubicar en registro"))</f>
        <v>Ubicar en registro</v>
      </c>
      <c r="D27" s="1" t="str">
        <f ca="1">IF(Programación!Q27="","",Programación!Q27)</f>
        <v>5795-PFAN-26</v>
      </c>
      <c r="E27" s="1" t="str">
        <f ca="1">_xlfn.XLOOKUP(EFAbiertos[[#This Row],[Ticket '#]],Registro!$B$8:$B$997,Registro!$M$8:$M$997,"",0)</f>
        <v>Gestor 1</v>
      </c>
      <c r="F27" s="86" t="str">
        <f ca="1">_xlfn.XLOOKUP(EFAbiertos[[#This Row],[Ticket '#]],Registro!$B$8:$B$997,Registro!$H$8:$H$997,"",0)</f>
        <v>Curso 45</v>
      </c>
      <c r="G27" s="26" t="str">
        <f ca="1">_xlfn.XLOOKUP(EFAbiertos[[#This Row],[Ticket '#]],Registro!$B$8:$B$997,Registro!$M$8:$M$997,"",0)</f>
        <v>Gestor 1</v>
      </c>
      <c r="H27" s="67">
        <f ca="1">_xlfn.XLOOKUP(EFAbiertos[[#This Row],[Ticket '#]],Registro!$B$8:$B$997,Registro!$S$8:$S$997,"",0)</f>
        <v>0</v>
      </c>
      <c r="I27" s="58">
        <f t="shared" ca="1" si="0"/>
        <v>1</v>
      </c>
      <c r="J27" s="30">
        <f ca="1">_xlfn.XLOOKUP(EFAbiertos[[#This Row],[Ticket '#]],Registro!$B$8:$B$997,Registro!$U$8:$U$997,"",0)</f>
        <v>0</v>
      </c>
      <c r="K27" s="30">
        <f ca="1">_xlfn.XLOOKUP(EFAbiertos[[#This Row],[Ticket '#]],Registro!$B$8:$B$997,Registro!$W$8:$W$997,"",0)</f>
        <v>0</v>
      </c>
      <c r="L27" s="30">
        <f ca="1">_xlfn.XLOOKUP(EFAbiertos[[#This Row],[Ticket '#]],Registro!$B$8:$B$997,Registro!$X$8:$X$997,"",0)</f>
        <v>0</v>
      </c>
      <c r="M27" s="30">
        <f ca="1">_xlfn.XLOOKUP(EFAbiertos[[#This Row],[Ticket '#]],Registro!$B$8:$B$997,Registro!$Y$8:$Y$997,"",0)</f>
        <v>0</v>
      </c>
      <c r="N27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28" spans="3:14" ht="28.5" customHeight="1">
      <c r="C28" s="2" t="str">
        <f ca="1">IF(D28="","",HYPERLINK("#"&amp;"Registro!B"&amp;MATCH(D28,Registro!$B$8:$B$997,0)+7,"Ubicar en registro"))</f>
        <v>Ubicar en registro</v>
      </c>
      <c r="D28" s="1" t="str">
        <f ca="1">IF(Programación!Q28="","",Programación!Q28)</f>
        <v>5796-PFAN-26</v>
      </c>
      <c r="E28" s="1" t="str">
        <f ca="1">_xlfn.XLOOKUP(EFAbiertos[[#This Row],[Ticket '#]],Registro!$B$8:$B$997,Registro!$M$8:$M$997,"",0)</f>
        <v>Gestor 1</v>
      </c>
      <c r="F28" s="86" t="str">
        <f ca="1">_xlfn.XLOOKUP(EFAbiertos[[#This Row],[Ticket '#]],Registro!$B$8:$B$997,Registro!$H$8:$H$997,"",0)</f>
        <v>Curso 46</v>
      </c>
      <c r="G28" s="26" t="str">
        <f ca="1">_xlfn.XLOOKUP(EFAbiertos[[#This Row],[Ticket '#]],Registro!$B$8:$B$997,Registro!$M$8:$M$997,"",0)</f>
        <v>Gestor 1</v>
      </c>
      <c r="H28" s="67">
        <f ca="1">_xlfn.XLOOKUP(EFAbiertos[[#This Row],[Ticket '#]],Registro!$B$8:$B$997,Registro!$S$8:$S$997,"",0)</f>
        <v>0</v>
      </c>
      <c r="I28" s="58">
        <f t="shared" ca="1" si="0"/>
        <v>1</v>
      </c>
      <c r="J28" s="30">
        <f ca="1">_xlfn.XLOOKUP(EFAbiertos[[#This Row],[Ticket '#]],Registro!$B$8:$B$997,Registro!$U$8:$U$997,"",0)</f>
        <v>0</v>
      </c>
      <c r="K28" s="30">
        <f ca="1">_xlfn.XLOOKUP(EFAbiertos[[#This Row],[Ticket '#]],Registro!$B$8:$B$997,Registro!$W$8:$W$997,"",0)</f>
        <v>0</v>
      </c>
      <c r="L28" s="30">
        <f ca="1">_xlfn.XLOOKUP(EFAbiertos[[#This Row],[Ticket '#]],Registro!$B$8:$B$997,Registro!$X$8:$X$997,"",0)</f>
        <v>0</v>
      </c>
      <c r="M28" s="30">
        <f ca="1">_xlfn.XLOOKUP(EFAbiertos[[#This Row],[Ticket '#]],Registro!$B$8:$B$997,Registro!$Y$8:$Y$997,"",0)</f>
        <v>0</v>
      </c>
      <c r="N28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29" spans="3:14" ht="28.5" customHeight="1">
      <c r="C29" s="2" t="str">
        <f ca="1">IF(D29="","",HYPERLINK("#"&amp;"Registro!B"&amp;MATCH(D29,Registro!$B$8:$B$997,0)+7,"Ubicar en registro"))</f>
        <v>Ubicar en registro</v>
      </c>
      <c r="D29" s="1" t="str">
        <f ca="1">IF(Programación!Q29="","",Programación!Q29)</f>
        <v>5797-PFAN-26</v>
      </c>
      <c r="E29" s="1" t="str">
        <f ca="1">_xlfn.XLOOKUP(EFAbiertos[[#This Row],[Ticket '#]],Registro!$B$8:$B$997,Registro!$M$8:$M$997,"",0)</f>
        <v>Gestor 1</v>
      </c>
      <c r="F29" s="86" t="str">
        <f ca="1">_xlfn.XLOOKUP(EFAbiertos[[#This Row],[Ticket '#]],Registro!$B$8:$B$997,Registro!$H$8:$H$997,"",0)</f>
        <v>Curso 47</v>
      </c>
      <c r="G29" s="26" t="str">
        <f ca="1">_xlfn.XLOOKUP(EFAbiertos[[#This Row],[Ticket '#]],Registro!$B$8:$B$997,Registro!$M$8:$M$997,"",0)</f>
        <v>Gestor 1</v>
      </c>
      <c r="H29" s="67">
        <f ca="1">_xlfn.XLOOKUP(EFAbiertos[[#This Row],[Ticket '#]],Registro!$B$8:$B$997,Registro!$S$8:$S$997,"",0)</f>
        <v>0</v>
      </c>
      <c r="I29" s="58">
        <f t="shared" ca="1" si="0"/>
        <v>1</v>
      </c>
      <c r="J29" s="30">
        <f ca="1">_xlfn.XLOOKUP(EFAbiertos[[#This Row],[Ticket '#]],Registro!$B$8:$B$997,Registro!$U$8:$U$997,"",0)</f>
        <v>0</v>
      </c>
      <c r="K29" s="30">
        <f ca="1">_xlfn.XLOOKUP(EFAbiertos[[#This Row],[Ticket '#]],Registro!$B$8:$B$997,Registro!$W$8:$W$997,"",0)</f>
        <v>0</v>
      </c>
      <c r="L29" s="30">
        <f ca="1">_xlfn.XLOOKUP(EFAbiertos[[#This Row],[Ticket '#]],Registro!$B$8:$B$997,Registro!$X$8:$X$997,"",0)</f>
        <v>0</v>
      </c>
      <c r="M29" s="30">
        <f ca="1">_xlfn.XLOOKUP(EFAbiertos[[#This Row],[Ticket '#]],Registro!$B$8:$B$997,Registro!$Y$8:$Y$997,"",0)</f>
        <v>0</v>
      </c>
      <c r="N29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30" spans="3:14" ht="28.5" customHeight="1">
      <c r="C30" s="2" t="str">
        <f ca="1">IF(D30="","",HYPERLINK("#"&amp;"Registro!B"&amp;MATCH(D30,Registro!$B$8:$B$997,0)+7,"Ubicar en registro"))</f>
        <v>Ubicar en registro</v>
      </c>
      <c r="D30" s="1" t="str">
        <f ca="1">IF(Programación!Q30="","",Programación!Q30)</f>
        <v>6384-PFIN-26</v>
      </c>
      <c r="E30" s="1" t="str">
        <f ca="1">_xlfn.XLOOKUP(EFAbiertos[[#This Row],[Ticket '#]],Registro!$B$8:$B$997,Registro!$M$8:$M$997,"",0)</f>
        <v>Gestor 3</v>
      </c>
      <c r="F30" s="86" t="str">
        <f ca="1">_xlfn.XLOOKUP(EFAbiertos[[#This Row],[Ticket '#]],Registro!$B$8:$B$997,Registro!$H$8:$H$997,"",0)</f>
        <v>Curso 91</v>
      </c>
      <c r="G30" s="26" t="str">
        <f ca="1">_xlfn.XLOOKUP(EFAbiertos[[#This Row],[Ticket '#]],Registro!$B$8:$B$997,Registro!$M$8:$M$997,"",0)</f>
        <v>Gestor 3</v>
      </c>
      <c r="H30" s="67">
        <f ca="1">_xlfn.XLOOKUP(EFAbiertos[[#This Row],[Ticket '#]],Registro!$B$8:$B$997,Registro!$S$8:$S$997,"",0)</f>
        <v>0</v>
      </c>
      <c r="I30" s="58">
        <f t="shared" ca="1" si="0"/>
        <v>1</v>
      </c>
      <c r="J30" s="30">
        <f ca="1">_xlfn.XLOOKUP(EFAbiertos[[#This Row],[Ticket '#]],Registro!$B$8:$B$997,Registro!$U$8:$U$997,"",0)</f>
        <v>0</v>
      </c>
      <c r="K30" s="30">
        <f ca="1">_xlfn.XLOOKUP(EFAbiertos[[#This Row],[Ticket '#]],Registro!$B$8:$B$997,Registro!$W$8:$W$997,"",0)</f>
        <v>0</v>
      </c>
      <c r="L30" s="30">
        <f ca="1">_xlfn.XLOOKUP(EFAbiertos[[#This Row],[Ticket '#]],Registro!$B$8:$B$997,Registro!$X$8:$X$997,"",0)</f>
        <v>0</v>
      </c>
      <c r="M30" s="30">
        <f ca="1">_xlfn.XLOOKUP(EFAbiertos[[#This Row],[Ticket '#]],Registro!$B$8:$B$997,Registro!$Y$8:$Y$997,"",0)</f>
        <v>1</v>
      </c>
      <c r="N30" s="30">
        <f ca="1">IF(EFAbiertos[[#This Row],[Link Registro]]="","",EFAbiertos[[#This Row],[Grupos Programados]]-(EFAbiertos[[#This Row],[Grupos ejecutados]]+EFAbiertos[[#This Row],[Grupos en proceso]]+EFAbiertos[[#This Row],[Grupos no Iniciados]]))</f>
        <v>-1</v>
      </c>
    </row>
    <row r="31" spans="3:14" ht="28.5" customHeight="1">
      <c r="C31" s="2" t="str">
        <f ca="1">IF(D31="","",HYPERLINK("#"&amp;"Registro!B"&amp;MATCH(D31,Registro!$B$8:$B$997,0)+7,"Ubicar en registro"))</f>
        <v>Ubicar en registro</v>
      </c>
      <c r="D31" s="1" t="str">
        <f ca="1">IF(Programación!Q31="","",Programación!Q31)</f>
        <v>6285-PFIN-26</v>
      </c>
      <c r="E31" s="1" t="str">
        <f ca="1">_xlfn.XLOOKUP(EFAbiertos[[#This Row],[Ticket '#]],Registro!$B$8:$B$997,Registro!$M$8:$M$997,"",0)</f>
        <v>Gestor 5</v>
      </c>
      <c r="F31" s="86" t="str">
        <f ca="1">_xlfn.XLOOKUP(EFAbiertos[[#This Row],[Ticket '#]],Registro!$B$8:$B$997,Registro!$H$8:$H$997,"",0)</f>
        <v>Curso 40</v>
      </c>
      <c r="G31" s="26" t="str">
        <f ca="1">_xlfn.XLOOKUP(EFAbiertos[[#This Row],[Ticket '#]],Registro!$B$8:$B$997,Registro!$M$8:$M$997,"",0)</f>
        <v>Gestor 5</v>
      </c>
      <c r="H31" s="67">
        <f ca="1">_xlfn.XLOOKUP(EFAbiertos[[#This Row],[Ticket '#]],Registro!$B$8:$B$997,Registro!$S$8:$S$997,"",0)</f>
        <v>46288</v>
      </c>
      <c r="I31" s="58">
        <f t="shared" ca="1" si="0"/>
        <v>0</v>
      </c>
      <c r="J31" s="30">
        <f ca="1">_xlfn.XLOOKUP(EFAbiertos[[#This Row],[Ticket '#]],Registro!$B$8:$B$997,Registro!$U$8:$U$997,"",0)</f>
        <v>1</v>
      </c>
      <c r="K31" s="30">
        <f ca="1">_xlfn.XLOOKUP(EFAbiertos[[#This Row],[Ticket '#]],Registro!$B$8:$B$997,Registro!$W$8:$W$997,"",0)</f>
        <v>0</v>
      </c>
      <c r="L31" s="30">
        <f ca="1">_xlfn.XLOOKUP(EFAbiertos[[#This Row],[Ticket '#]],Registro!$B$8:$B$997,Registro!$X$8:$X$997,"",0)</f>
        <v>0</v>
      </c>
      <c r="M31" s="30">
        <f ca="1">_xlfn.XLOOKUP(EFAbiertos[[#This Row],[Ticket '#]],Registro!$B$8:$B$997,Registro!$Y$8:$Y$997,"",0)</f>
        <v>1</v>
      </c>
      <c r="N31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32" spans="3:14" ht="28.5" customHeight="1">
      <c r="C32" s="2" t="str">
        <f ca="1">IF(D32="","",HYPERLINK("#"&amp;"Registro!B"&amp;MATCH(D32,Registro!$B$8:$B$997,0)+7,"Ubicar en registro"))</f>
        <v>Ubicar en registro</v>
      </c>
      <c r="D32" s="1" t="str">
        <f ca="1">IF(Programación!Q32="","",Programación!Q32)</f>
        <v>6297-PFIN-26</v>
      </c>
      <c r="E32" s="1" t="str">
        <f ca="1">_xlfn.XLOOKUP(EFAbiertos[[#This Row],[Ticket '#]],Registro!$B$8:$B$997,Registro!$M$8:$M$997,"",0)</f>
        <v>Gestor 1</v>
      </c>
      <c r="F32" s="86" t="str">
        <f ca="1">_xlfn.XLOOKUP(EFAbiertos[[#This Row],[Ticket '#]],Registro!$B$8:$B$997,Registro!$H$8:$H$997,"",0)</f>
        <v>Curso 18</v>
      </c>
      <c r="G32" s="26" t="str">
        <f ca="1">_xlfn.XLOOKUP(EFAbiertos[[#This Row],[Ticket '#]],Registro!$B$8:$B$997,Registro!$M$8:$M$997,"",0)</f>
        <v>Gestor 1</v>
      </c>
      <c r="H32" s="67">
        <f ca="1">_xlfn.XLOOKUP(EFAbiertos[[#This Row],[Ticket '#]],Registro!$B$8:$B$997,Registro!$S$8:$S$997,"",0)</f>
        <v>46308</v>
      </c>
      <c r="I32" s="58">
        <f t="shared" ca="1" si="0"/>
        <v>0</v>
      </c>
      <c r="J32" s="30">
        <f ca="1">_xlfn.XLOOKUP(EFAbiertos[[#This Row],[Ticket '#]],Registro!$B$8:$B$997,Registro!$U$8:$U$997,"",0)</f>
        <v>2</v>
      </c>
      <c r="K32" s="30">
        <f ca="1">_xlfn.XLOOKUP(EFAbiertos[[#This Row],[Ticket '#]],Registro!$B$8:$B$997,Registro!$W$8:$W$997,"",0)</f>
        <v>0</v>
      </c>
      <c r="L32" s="30">
        <f ca="1">_xlfn.XLOOKUP(EFAbiertos[[#This Row],[Ticket '#]],Registro!$B$8:$B$997,Registro!$X$8:$X$997,"",0)</f>
        <v>0</v>
      </c>
      <c r="M32" s="30">
        <f ca="1">_xlfn.XLOOKUP(EFAbiertos[[#This Row],[Ticket '#]],Registro!$B$8:$B$997,Registro!$Y$8:$Y$997,"",0)</f>
        <v>2</v>
      </c>
      <c r="N32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33" spans="3:14" ht="28.5" customHeight="1">
      <c r="C33" s="2" t="str">
        <f ca="1">IF(D33="","",HYPERLINK("#"&amp;"Registro!B"&amp;MATCH(D33,Registro!$B$8:$B$997,0)+7,"Ubicar en registro"))</f>
        <v>Ubicar en registro</v>
      </c>
      <c r="D33" s="1" t="str">
        <f ca="1">IF(Programación!Q33="","",Programación!Q33)</f>
        <v>6316-PFIN-26</v>
      </c>
      <c r="E33" s="1" t="str">
        <f ca="1">_xlfn.XLOOKUP(EFAbiertos[[#This Row],[Ticket '#]],Registro!$B$8:$B$997,Registro!$M$8:$M$997,"",0)</f>
        <v>Gestor 2</v>
      </c>
      <c r="F33" s="86" t="str">
        <f ca="1">_xlfn.XLOOKUP(EFAbiertos[[#This Row],[Ticket '#]],Registro!$B$8:$B$997,Registro!$H$8:$H$997,"",0)</f>
        <v>Curso 28</v>
      </c>
      <c r="G33" s="26" t="str">
        <f ca="1">_xlfn.XLOOKUP(EFAbiertos[[#This Row],[Ticket '#]],Registro!$B$8:$B$997,Registro!$M$8:$M$997,"",0)</f>
        <v>Gestor 2</v>
      </c>
      <c r="H33" s="67">
        <f ca="1">_xlfn.XLOOKUP(EFAbiertos[[#This Row],[Ticket '#]],Registro!$B$8:$B$997,Registro!$S$8:$S$997,"",0)</f>
        <v>46309</v>
      </c>
      <c r="I33" s="58">
        <f t="shared" ca="1" si="0"/>
        <v>0</v>
      </c>
      <c r="J33" s="30">
        <f ca="1">_xlfn.XLOOKUP(EFAbiertos[[#This Row],[Ticket '#]],Registro!$B$8:$B$997,Registro!$U$8:$U$997,"",0)</f>
        <v>2</v>
      </c>
      <c r="K33" s="30">
        <f ca="1">_xlfn.XLOOKUP(EFAbiertos[[#This Row],[Ticket '#]],Registro!$B$8:$B$997,Registro!$W$8:$W$997,"",0)</f>
        <v>0</v>
      </c>
      <c r="L33" s="30">
        <f ca="1">_xlfn.XLOOKUP(EFAbiertos[[#This Row],[Ticket '#]],Registro!$B$8:$B$997,Registro!$X$8:$X$997,"",0)</f>
        <v>0</v>
      </c>
      <c r="M33" s="30">
        <f ca="1">_xlfn.XLOOKUP(EFAbiertos[[#This Row],[Ticket '#]],Registro!$B$8:$B$997,Registro!$Y$8:$Y$997,"",0)</f>
        <v>2</v>
      </c>
      <c r="N33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34" spans="3:14" ht="28.5" customHeight="1">
      <c r="C34" s="2" t="str">
        <f ca="1">IF(D34="","",HYPERLINK("#"&amp;"Registro!B"&amp;MATCH(D34,Registro!$B$8:$B$997,0)+7,"Ubicar en registro"))</f>
        <v>Ubicar en registro</v>
      </c>
      <c r="D34" s="1" t="str">
        <f ca="1">IF(Programación!Q34="","",Programación!Q34)</f>
        <v>6283-PFIN-26</v>
      </c>
      <c r="E34" s="1" t="str">
        <f ca="1">_xlfn.XLOOKUP(EFAbiertos[[#This Row],[Ticket '#]],Registro!$B$8:$B$997,Registro!$M$8:$M$997,"",0)</f>
        <v>Gestor 4</v>
      </c>
      <c r="F34" s="86" t="str">
        <f ca="1">_xlfn.XLOOKUP(EFAbiertos[[#This Row],[Ticket '#]],Registro!$B$8:$B$997,Registro!$H$8:$H$997,"",0)</f>
        <v>Curso 7</v>
      </c>
      <c r="G34" s="26" t="str">
        <f ca="1">_xlfn.XLOOKUP(EFAbiertos[[#This Row],[Ticket '#]],Registro!$B$8:$B$997,Registro!$M$8:$M$997,"",0)</f>
        <v>Gestor 4</v>
      </c>
      <c r="H34" s="67">
        <f ca="1">_xlfn.XLOOKUP(EFAbiertos[[#This Row],[Ticket '#]],Registro!$B$8:$B$997,Registro!$S$8:$S$997,"",0)</f>
        <v>46311</v>
      </c>
      <c r="I34" s="58">
        <f t="shared" ca="1" si="0"/>
        <v>0</v>
      </c>
      <c r="J34" s="30">
        <f ca="1">_xlfn.XLOOKUP(EFAbiertos[[#This Row],[Ticket '#]],Registro!$B$8:$B$997,Registro!$U$8:$U$997,"",0)</f>
        <v>1</v>
      </c>
      <c r="K34" s="30">
        <f ca="1">_xlfn.XLOOKUP(EFAbiertos[[#This Row],[Ticket '#]],Registro!$B$8:$B$997,Registro!$W$8:$W$997,"",0)</f>
        <v>0</v>
      </c>
      <c r="L34" s="30">
        <f ca="1">_xlfn.XLOOKUP(EFAbiertos[[#This Row],[Ticket '#]],Registro!$B$8:$B$997,Registro!$X$8:$X$997,"",0)</f>
        <v>0</v>
      </c>
      <c r="M34" s="30">
        <f ca="1">_xlfn.XLOOKUP(EFAbiertos[[#This Row],[Ticket '#]],Registro!$B$8:$B$997,Registro!$Y$8:$Y$997,"",0)</f>
        <v>1</v>
      </c>
      <c r="N34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35" spans="3:14" ht="28.5" customHeight="1">
      <c r="C35" s="2" t="str">
        <f ca="1">IF(D35="","",HYPERLINK("#"&amp;"Registro!B"&amp;MATCH(D35,Registro!$B$8:$B$997,0)+7,"Ubicar en registro"))</f>
        <v>Ubicar en registro</v>
      </c>
      <c r="D35" s="1" t="str">
        <f ca="1">IF(Programación!Q35="","",Programación!Q35)</f>
        <v>6281-PFIN-26</v>
      </c>
      <c r="E35" s="1" t="str">
        <f ca="1">_xlfn.XLOOKUP(EFAbiertos[[#This Row],[Ticket '#]],Registro!$B$8:$B$997,Registro!$M$8:$M$997,"",0)</f>
        <v>Gestor 3</v>
      </c>
      <c r="F35" s="86" t="str">
        <f ca="1">_xlfn.XLOOKUP(EFAbiertos[[#This Row],[Ticket '#]],Registro!$B$8:$B$997,Registro!$H$8:$H$997,"",0)</f>
        <v>Curso 6</v>
      </c>
      <c r="G35" s="26" t="str">
        <f ca="1">_xlfn.XLOOKUP(EFAbiertos[[#This Row],[Ticket '#]],Registro!$B$8:$B$997,Registro!$M$8:$M$997,"",0)</f>
        <v>Gestor 3</v>
      </c>
      <c r="H35" s="67">
        <f ca="1">_xlfn.XLOOKUP(EFAbiertos[[#This Row],[Ticket '#]],Registro!$B$8:$B$997,Registro!$S$8:$S$997,"",0)</f>
        <v>46325</v>
      </c>
      <c r="I35" s="58">
        <f t="shared" ca="1" si="0"/>
        <v>0</v>
      </c>
      <c r="J35" s="30">
        <f ca="1">_xlfn.XLOOKUP(EFAbiertos[[#This Row],[Ticket '#]],Registro!$B$8:$B$997,Registro!$U$8:$U$997,"",0)</f>
        <v>2</v>
      </c>
      <c r="K35" s="30">
        <f ca="1">_xlfn.XLOOKUP(EFAbiertos[[#This Row],[Ticket '#]],Registro!$B$8:$B$997,Registro!$W$8:$W$997,"",0)</f>
        <v>0</v>
      </c>
      <c r="L35" s="30">
        <f ca="1">_xlfn.XLOOKUP(EFAbiertos[[#This Row],[Ticket '#]],Registro!$B$8:$B$997,Registro!$X$8:$X$997,"",0)</f>
        <v>0</v>
      </c>
      <c r="M35" s="30">
        <f ca="1">_xlfn.XLOOKUP(EFAbiertos[[#This Row],[Ticket '#]],Registro!$B$8:$B$997,Registro!$Y$8:$Y$997,"",0)</f>
        <v>2</v>
      </c>
      <c r="N35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36" spans="3:14" ht="28.5" customHeight="1">
      <c r="C36" s="2" t="str">
        <f ca="1">IF(D36="","",HYPERLINK("#"&amp;"Registro!B"&amp;MATCH(D36,Registro!$B$8:$B$997,0)+7,"Ubicar en registro"))</f>
        <v>Ubicar en registro</v>
      </c>
      <c r="D36" s="1" t="str">
        <f ca="1">IF(Programación!Q36="","",Programación!Q36)</f>
        <v>6294-PFIN-26</v>
      </c>
      <c r="E36" s="1" t="str">
        <f ca="1">_xlfn.XLOOKUP(EFAbiertos[[#This Row],[Ticket '#]],Registro!$B$8:$B$997,Registro!$M$8:$M$997,"",0)</f>
        <v>Gestor 3</v>
      </c>
      <c r="F36" s="86" t="str">
        <f ca="1">_xlfn.XLOOKUP(EFAbiertos[[#This Row],[Ticket '#]],Registro!$B$8:$B$997,Registro!$H$8:$H$997,"",0)</f>
        <v>Curso 16</v>
      </c>
      <c r="G36" s="26" t="str">
        <f ca="1">_xlfn.XLOOKUP(EFAbiertos[[#This Row],[Ticket '#]],Registro!$B$8:$B$997,Registro!$M$8:$M$997,"",0)</f>
        <v>Gestor 3</v>
      </c>
      <c r="H36" s="67">
        <f ca="1">_xlfn.XLOOKUP(EFAbiertos[[#This Row],[Ticket '#]],Registro!$B$8:$B$997,Registro!$S$8:$S$997,"",0)</f>
        <v>46324</v>
      </c>
      <c r="I36" s="58">
        <f t="shared" ca="1" si="0"/>
        <v>0</v>
      </c>
      <c r="J36" s="30">
        <f ca="1">_xlfn.XLOOKUP(EFAbiertos[[#This Row],[Ticket '#]],Registro!$B$8:$B$997,Registro!$U$8:$U$997,"",0)</f>
        <v>3</v>
      </c>
      <c r="K36" s="30">
        <f ca="1">_xlfn.XLOOKUP(EFAbiertos[[#This Row],[Ticket '#]],Registro!$B$8:$B$997,Registro!$W$8:$W$997,"",0)</f>
        <v>0</v>
      </c>
      <c r="L36" s="30">
        <f ca="1">_xlfn.XLOOKUP(EFAbiertos[[#This Row],[Ticket '#]],Registro!$B$8:$B$997,Registro!$X$8:$X$997,"",0)</f>
        <v>0</v>
      </c>
      <c r="M36" s="30">
        <f ca="1">_xlfn.XLOOKUP(EFAbiertos[[#This Row],[Ticket '#]],Registro!$B$8:$B$997,Registro!$Y$8:$Y$997,"",0)</f>
        <v>3</v>
      </c>
      <c r="N36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37" spans="3:14" ht="28.5" customHeight="1">
      <c r="C37" s="2" t="str">
        <f ca="1">IF(D37="","",HYPERLINK("#"&amp;"Registro!B"&amp;MATCH(D37,Registro!$B$8:$B$997,0)+7,"Ubicar en registro"))</f>
        <v>Ubicar en registro</v>
      </c>
      <c r="D37" s="1" t="str">
        <f ca="1">IF(Programación!Q37="","",Programación!Q37)</f>
        <v>6340-PFIN-26</v>
      </c>
      <c r="E37" s="1" t="str">
        <f ca="1">_xlfn.XLOOKUP(EFAbiertos[[#This Row],[Ticket '#]],Registro!$B$8:$B$997,Registro!$M$8:$M$997,"",0)</f>
        <v>Gestor 3</v>
      </c>
      <c r="F37" s="86" t="str">
        <f ca="1">_xlfn.XLOOKUP(EFAbiertos[[#This Row],[Ticket '#]],Registro!$B$8:$B$997,Registro!$H$8:$H$997,"",0)</f>
        <v>Curso 34</v>
      </c>
      <c r="G37" s="26" t="str">
        <f ca="1">_xlfn.XLOOKUP(EFAbiertos[[#This Row],[Ticket '#]],Registro!$B$8:$B$997,Registro!$M$8:$M$997,"",0)</f>
        <v>Gestor 3</v>
      </c>
      <c r="H37" s="67">
        <f ca="1">_xlfn.XLOOKUP(EFAbiertos[[#This Row],[Ticket '#]],Registro!$B$8:$B$997,Registro!$S$8:$S$997,"",0)</f>
        <v>46308</v>
      </c>
      <c r="I37" s="58">
        <f t="shared" ca="1" si="0"/>
        <v>0</v>
      </c>
      <c r="J37" s="30">
        <f ca="1">_xlfn.XLOOKUP(EFAbiertos[[#This Row],[Ticket '#]],Registro!$B$8:$B$997,Registro!$U$8:$U$997,"",0)</f>
        <v>1</v>
      </c>
      <c r="K37" s="30">
        <f ca="1">_xlfn.XLOOKUP(EFAbiertos[[#This Row],[Ticket '#]],Registro!$B$8:$B$997,Registro!$W$8:$W$997,"",0)</f>
        <v>0</v>
      </c>
      <c r="L37" s="30">
        <f ca="1">_xlfn.XLOOKUP(EFAbiertos[[#This Row],[Ticket '#]],Registro!$B$8:$B$997,Registro!$X$8:$X$997,"",0)</f>
        <v>0</v>
      </c>
      <c r="M37" s="30">
        <f ca="1">_xlfn.XLOOKUP(EFAbiertos[[#This Row],[Ticket '#]],Registro!$B$8:$B$997,Registro!$Y$8:$Y$997,"",0)</f>
        <v>1</v>
      </c>
      <c r="N37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38" spans="3:14" ht="28.5" customHeight="1">
      <c r="C38" s="2" t="str">
        <f ca="1">IF(D38="","",HYPERLINK("#"&amp;"Registro!B"&amp;MATCH(D38,Registro!$B$8:$B$997,0)+7,"Ubicar en registro"))</f>
        <v>Ubicar en registro</v>
      </c>
      <c r="D38" s="1" t="str">
        <f ca="1">IF(Programación!Q38="","",Programación!Q38)</f>
        <v>6299-PFIN-26</v>
      </c>
      <c r="E38" s="1" t="str">
        <f ca="1">_xlfn.XLOOKUP(EFAbiertos[[#This Row],[Ticket '#]],Registro!$B$8:$B$997,Registro!$M$8:$M$997,"",0)</f>
        <v>Gestor 2</v>
      </c>
      <c r="F38" s="86" t="str">
        <f ca="1">_xlfn.XLOOKUP(EFAbiertos[[#This Row],[Ticket '#]],Registro!$B$8:$B$997,Registro!$H$8:$H$997,"",0)</f>
        <v>Curso 21</v>
      </c>
      <c r="G38" s="26" t="str">
        <f ca="1">_xlfn.XLOOKUP(EFAbiertos[[#This Row],[Ticket '#]],Registro!$B$8:$B$997,Registro!$M$8:$M$997,"",0)</f>
        <v>Gestor 2</v>
      </c>
      <c r="H38" s="67">
        <f ca="1">_xlfn.XLOOKUP(EFAbiertos[[#This Row],[Ticket '#]],Registro!$B$8:$B$997,Registro!$S$8:$S$997,"",0)</f>
        <v>46311</v>
      </c>
      <c r="I38" s="58">
        <f t="shared" ca="1" si="0"/>
        <v>0</v>
      </c>
      <c r="J38" s="30">
        <f ca="1">_xlfn.XLOOKUP(EFAbiertos[[#This Row],[Ticket '#]],Registro!$B$8:$B$997,Registro!$U$8:$U$997,"",0)</f>
        <v>2</v>
      </c>
      <c r="K38" s="30">
        <f ca="1">_xlfn.XLOOKUP(EFAbiertos[[#This Row],[Ticket '#]],Registro!$B$8:$B$997,Registro!$W$8:$W$997,"",0)</f>
        <v>0</v>
      </c>
      <c r="L38" s="30">
        <f ca="1">_xlfn.XLOOKUP(EFAbiertos[[#This Row],[Ticket '#]],Registro!$B$8:$B$997,Registro!$X$8:$X$997,"",0)</f>
        <v>0</v>
      </c>
      <c r="M38" s="30">
        <f ca="1">_xlfn.XLOOKUP(EFAbiertos[[#This Row],[Ticket '#]],Registro!$B$8:$B$997,Registro!$Y$8:$Y$997,"",0)</f>
        <v>2</v>
      </c>
      <c r="N38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39" spans="3:14" ht="28.5" customHeight="1">
      <c r="C39" s="2" t="str">
        <f ca="1">IF(D39="","",HYPERLINK("#"&amp;"Registro!B"&amp;MATCH(D39,Registro!$B$8:$B$997,0)+7,"Ubicar en registro"))</f>
        <v>Ubicar en registro</v>
      </c>
      <c r="D39" s="1" t="str">
        <f ca="1">IF(Programación!Q39="","",Programación!Q39)</f>
        <v>6360-PFIN-26</v>
      </c>
      <c r="E39" s="1" t="str">
        <f ca="1">_xlfn.XLOOKUP(EFAbiertos[[#This Row],[Ticket '#]],Registro!$B$8:$B$997,Registro!$M$8:$M$997,"",0)</f>
        <v>Gestor 2</v>
      </c>
      <c r="F39" s="86" t="str">
        <f ca="1">_xlfn.XLOOKUP(EFAbiertos[[#This Row],[Ticket '#]],Registro!$B$8:$B$997,Registro!$H$8:$H$997,"",0)</f>
        <v>Curso 56</v>
      </c>
      <c r="G39" s="26" t="str">
        <f ca="1">_xlfn.XLOOKUP(EFAbiertos[[#This Row],[Ticket '#]],Registro!$B$8:$B$997,Registro!$M$8:$M$997,"",0)</f>
        <v>Gestor 2</v>
      </c>
      <c r="H39" s="67">
        <f ca="1">_xlfn.XLOOKUP(EFAbiertos[[#This Row],[Ticket '#]],Registro!$B$8:$B$997,Registro!$S$8:$S$997,"",0)</f>
        <v>46357</v>
      </c>
      <c r="I39" s="58">
        <f t="shared" ca="1" si="0"/>
        <v>0</v>
      </c>
      <c r="J39" s="30">
        <f ca="1">_xlfn.XLOOKUP(EFAbiertos[[#This Row],[Ticket '#]],Registro!$B$8:$B$997,Registro!$U$8:$U$997,"",0)</f>
        <v>8</v>
      </c>
      <c r="K39" s="30">
        <f ca="1">_xlfn.XLOOKUP(EFAbiertos[[#This Row],[Ticket '#]],Registro!$B$8:$B$997,Registro!$W$8:$W$997,"",0)</f>
        <v>0</v>
      </c>
      <c r="L39" s="30">
        <f ca="1">_xlfn.XLOOKUP(EFAbiertos[[#This Row],[Ticket '#]],Registro!$B$8:$B$997,Registro!$X$8:$X$997,"",0)</f>
        <v>8</v>
      </c>
      <c r="M39" s="30">
        <f ca="1">_xlfn.XLOOKUP(EFAbiertos[[#This Row],[Ticket '#]],Registro!$B$8:$B$997,Registro!$Y$8:$Y$997,"",0)</f>
        <v>0</v>
      </c>
      <c r="N39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40" spans="3:14" ht="28.5" customHeight="1">
      <c r="C40" s="2" t="str">
        <f ca="1">IF(D40="","",HYPERLINK("#"&amp;"Registro!B"&amp;MATCH(D40,Registro!$B$8:$B$997,0)+7,"Ubicar en registro"))</f>
        <v>Ubicar en registro</v>
      </c>
      <c r="D40" s="1" t="str">
        <f ca="1">IF(Programación!Q40="","",Programación!Q40)</f>
        <v>6313-PFIN-26</v>
      </c>
      <c r="E40" s="1" t="str">
        <f ca="1">_xlfn.XLOOKUP(EFAbiertos[[#This Row],[Ticket '#]],Registro!$B$8:$B$997,Registro!$M$8:$M$997,"",0)</f>
        <v>Gestor 5</v>
      </c>
      <c r="F40" s="86" t="str">
        <f ca="1">_xlfn.XLOOKUP(EFAbiertos[[#This Row],[Ticket '#]],Registro!$B$8:$B$997,Registro!$H$8:$H$997,"",0)</f>
        <v>Curso 26</v>
      </c>
      <c r="G40" s="26" t="str">
        <f ca="1">_xlfn.XLOOKUP(EFAbiertos[[#This Row],[Ticket '#]],Registro!$B$8:$B$997,Registro!$M$8:$M$997,"",0)</f>
        <v>Gestor 5</v>
      </c>
      <c r="H40" s="67">
        <f ca="1">_xlfn.XLOOKUP(EFAbiertos[[#This Row],[Ticket '#]],Registro!$B$8:$B$997,Registro!$S$8:$S$997,"",0)</f>
        <v>46323</v>
      </c>
      <c r="I40" s="58">
        <f t="shared" ca="1" si="0"/>
        <v>0</v>
      </c>
      <c r="J40" s="30">
        <f ca="1">_xlfn.XLOOKUP(EFAbiertos[[#This Row],[Ticket '#]],Registro!$B$8:$B$997,Registro!$U$8:$U$997,"",0)</f>
        <v>1</v>
      </c>
      <c r="K40" s="30">
        <f ca="1">_xlfn.XLOOKUP(EFAbiertos[[#This Row],[Ticket '#]],Registro!$B$8:$B$997,Registro!$W$8:$W$997,"",0)</f>
        <v>0</v>
      </c>
      <c r="L40" s="30">
        <f ca="1">_xlfn.XLOOKUP(EFAbiertos[[#This Row],[Ticket '#]],Registro!$B$8:$B$997,Registro!$X$8:$X$997,"",0)</f>
        <v>0</v>
      </c>
      <c r="M40" s="30">
        <f ca="1">_xlfn.XLOOKUP(EFAbiertos[[#This Row],[Ticket '#]],Registro!$B$8:$B$997,Registro!$Y$8:$Y$997,"",0)</f>
        <v>1</v>
      </c>
      <c r="N40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41" spans="3:14" ht="28.5" customHeight="1">
      <c r="C41" s="2" t="str">
        <f ca="1">IF(D41="","",HYPERLINK("#"&amp;"Registro!B"&amp;MATCH(D41,Registro!$B$8:$B$997,0)+7,"Ubicar en registro"))</f>
        <v>Ubicar en registro</v>
      </c>
      <c r="D41" s="1" t="str">
        <f ca="1">IF(Programación!Q41="","",Programación!Q41)</f>
        <v>6341-PFIN-26</v>
      </c>
      <c r="E41" s="1" t="str">
        <f ca="1">_xlfn.XLOOKUP(EFAbiertos[[#This Row],[Ticket '#]],Registro!$B$8:$B$997,Registro!$M$8:$M$997,"",0)</f>
        <v>Gestor 2</v>
      </c>
      <c r="F41" s="86" t="str">
        <f ca="1">_xlfn.XLOOKUP(EFAbiertos[[#This Row],[Ticket '#]],Registro!$B$8:$B$997,Registro!$H$8:$H$997,"",0)</f>
        <v>Curso 35</v>
      </c>
      <c r="G41" s="26" t="str">
        <f ca="1">_xlfn.XLOOKUP(EFAbiertos[[#This Row],[Ticket '#]],Registro!$B$8:$B$997,Registro!$M$8:$M$997,"",0)</f>
        <v>Gestor 2</v>
      </c>
      <c r="H41" s="67">
        <f ca="1">_xlfn.XLOOKUP(EFAbiertos[[#This Row],[Ticket '#]],Registro!$B$8:$B$997,Registro!$S$8:$S$997,"",0)</f>
        <v>46318</v>
      </c>
      <c r="I41" s="58">
        <f t="shared" ref="I41:I72" ca="1" si="1">IF(J41="","",IF(J41=K41,1,0))</f>
        <v>0</v>
      </c>
      <c r="J41" s="30">
        <f ca="1">_xlfn.XLOOKUP(EFAbiertos[[#This Row],[Ticket '#]],Registro!$B$8:$B$997,Registro!$U$8:$U$997,"",0)</f>
        <v>3</v>
      </c>
      <c r="K41" s="30">
        <f ca="1">_xlfn.XLOOKUP(EFAbiertos[[#This Row],[Ticket '#]],Registro!$B$8:$B$997,Registro!$W$8:$W$997,"",0)</f>
        <v>0</v>
      </c>
      <c r="L41" s="30">
        <f ca="1">_xlfn.XLOOKUP(EFAbiertos[[#This Row],[Ticket '#]],Registro!$B$8:$B$997,Registro!$X$8:$X$997,"",0)</f>
        <v>0</v>
      </c>
      <c r="M41" s="30">
        <f ca="1">_xlfn.XLOOKUP(EFAbiertos[[#This Row],[Ticket '#]],Registro!$B$8:$B$997,Registro!$Y$8:$Y$997,"",0)</f>
        <v>2</v>
      </c>
      <c r="N41" s="30">
        <f ca="1">IF(EFAbiertos[[#This Row],[Link Registro]]="","",EFAbiertos[[#This Row],[Grupos Programados]]-(EFAbiertos[[#This Row],[Grupos ejecutados]]+EFAbiertos[[#This Row],[Grupos en proceso]]+EFAbiertos[[#This Row],[Grupos no Iniciados]]))</f>
        <v>1</v>
      </c>
    </row>
    <row r="42" spans="3:14" ht="28.5" customHeight="1">
      <c r="C42" s="2" t="str">
        <f ca="1">IF(D42="","",HYPERLINK("#"&amp;"Registro!B"&amp;MATCH(D42,Registro!$B$8:$B$997,0)+7,"Ubicar en registro"))</f>
        <v>Ubicar en registro</v>
      </c>
      <c r="D42" s="1" t="str">
        <f ca="1">IF(Programación!Q42="","",Programación!Q42)</f>
        <v>6319-PFIN-26</v>
      </c>
      <c r="E42" s="1" t="str">
        <f ca="1">_xlfn.XLOOKUP(EFAbiertos[[#This Row],[Ticket '#]],Registro!$B$8:$B$997,Registro!$M$8:$M$997,"",0)</f>
        <v>Gestor 4</v>
      </c>
      <c r="F42" s="86" t="str">
        <f ca="1">_xlfn.XLOOKUP(EFAbiertos[[#This Row],[Ticket '#]],Registro!$B$8:$B$997,Registro!$H$8:$H$997,"",0)</f>
        <v>Curso 29</v>
      </c>
      <c r="G42" s="26" t="str">
        <f ca="1">_xlfn.XLOOKUP(EFAbiertos[[#This Row],[Ticket '#]],Registro!$B$8:$B$997,Registro!$M$8:$M$997,"",0)</f>
        <v>Gestor 4</v>
      </c>
      <c r="H42" s="67">
        <f ca="1">_xlfn.XLOOKUP(EFAbiertos[[#This Row],[Ticket '#]],Registro!$B$8:$B$997,Registro!$S$8:$S$997,"",0)</f>
        <v>46324</v>
      </c>
      <c r="I42" s="58">
        <f t="shared" ca="1" si="1"/>
        <v>0</v>
      </c>
      <c r="J42" s="30">
        <f ca="1">_xlfn.XLOOKUP(EFAbiertos[[#This Row],[Ticket '#]],Registro!$B$8:$B$997,Registro!$U$8:$U$997,"",0)</f>
        <v>2</v>
      </c>
      <c r="K42" s="30">
        <f ca="1">_xlfn.XLOOKUP(EFAbiertos[[#This Row],[Ticket '#]],Registro!$B$8:$B$997,Registro!$W$8:$W$997,"",0)</f>
        <v>0</v>
      </c>
      <c r="L42" s="30">
        <f ca="1">_xlfn.XLOOKUP(EFAbiertos[[#This Row],[Ticket '#]],Registro!$B$8:$B$997,Registro!$X$8:$X$997,"",0)</f>
        <v>0</v>
      </c>
      <c r="M42" s="30">
        <f ca="1">_xlfn.XLOOKUP(EFAbiertos[[#This Row],[Ticket '#]],Registro!$B$8:$B$997,Registro!$Y$8:$Y$997,"",0)</f>
        <v>2</v>
      </c>
      <c r="N42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43" spans="3:14" ht="28.5" customHeight="1">
      <c r="C43" s="2" t="str">
        <f ca="1">IF(D43="","",HYPERLINK("#"&amp;"Registro!B"&amp;MATCH(D43,Registro!$B$8:$B$997,0)+7,"Ubicar en registro"))</f>
        <v>Ubicar en registro</v>
      </c>
      <c r="D43" s="1" t="str">
        <f ca="1">IF(Programación!Q43="","",Programación!Q43)</f>
        <v>6284-PFIN-26</v>
      </c>
      <c r="E43" s="1" t="str">
        <f ca="1">_xlfn.XLOOKUP(EFAbiertos[[#This Row],[Ticket '#]],Registro!$B$8:$B$997,Registro!$M$8:$M$997,"",0)</f>
        <v>Gestor 1</v>
      </c>
      <c r="F43" s="86" t="str">
        <f ca="1">_xlfn.XLOOKUP(EFAbiertos[[#This Row],[Ticket '#]],Registro!$B$8:$B$997,Registro!$H$8:$H$997,"",0)</f>
        <v>Curso 8</v>
      </c>
      <c r="G43" s="26" t="str">
        <f ca="1">_xlfn.XLOOKUP(EFAbiertos[[#This Row],[Ticket '#]],Registro!$B$8:$B$997,Registro!$M$8:$M$997,"",0)</f>
        <v>Gestor 1</v>
      </c>
      <c r="H43" s="67">
        <f ca="1">_xlfn.XLOOKUP(EFAbiertos[[#This Row],[Ticket '#]],Registro!$B$8:$B$997,Registro!$S$8:$S$997,"",0)</f>
        <v>46332</v>
      </c>
      <c r="I43" s="58">
        <f t="shared" ca="1" si="1"/>
        <v>0</v>
      </c>
      <c r="J43" s="30">
        <f ca="1">_xlfn.XLOOKUP(EFAbiertos[[#This Row],[Ticket '#]],Registro!$B$8:$B$997,Registro!$U$8:$U$997,"",0)</f>
        <v>2</v>
      </c>
      <c r="K43" s="30">
        <f ca="1">_xlfn.XLOOKUP(EFAbiertos[[#This Row],[Ticket '#]],Registro!$B$8:$B$997,Registro!$W$8:$W$997,"",0)</f>
        <v>0</v>
      </c>
      <c r="L43" s="30">
        <f ca="1">_xlfn.XLOOKUP(EFAbiertos[[#This Row],[Ticket '#]],Registro!$B$8:$B$997,Registro!$X$8:$X$997,"",0)</f>
        <v>0</v>
      </c>
      <c r="M43" s="30">
        <f ca="1">_xlfn.XLOOKUP(EFAbiertos[[#This Row],[Ticket '#]],Registro!$B$8:$B$997,Registro!$Y$8:$Y$997,"",0)</f>
        <v>2</v>
      </c>
      <c r="N43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44" spans="3:14" ht="28.5" customHeight="1">
      <c r="C44" s="2" t="str">
        <f ca="1">IF(D44="","",HYPERLINK("#"&amp;"Registro!B"&amp;MATCH(D44,Registro!$B$8:$B$997,0)+7,"Ubicar en registro"))</f>
        <v>Ubicar en registro</v>
      </c>
      <c r="D44" s="1" t="str">
        <f ca="1">IF(Programación!Q44="","",Programación!Q44)</f>
        <v>6320-PFIN-26</v>
      </c>
      <c r="E44" s="1" t="str">
        <f ca="1">_xlfn.XLOOKUP(EFAbiertos[[#This Row],[Ticket '#]],Registro!$B$8:$B$997,Registro!$M$8:$M$997,"",0)</f>
        <v>Gestor 1</v>
      </c>
      <c r="F44" s="86" t="str">
        <f ca="1">_xlfn.XLOOKUP(EFAbiertos[[#This Row],[Ticket '#]],Registro!$B$8:$B$997,Registro!$H$8:$H$997,"",0)</f>
        <v>Curso 30</v>
      </c>
      <c r="G44" s="26" t="str">
        <f ca="1">_xlfn.XLOOKUP(EFAbiertos[[#This Row],[Ticket '#]],Registro!$B$8:$B$997,Registro!$M$8:$M$997,"",0)</f>
        <v>Gestor 1</v>
      </c>
      <c r="H44" s="67">
        <f ca="1">_xlfn.XLOOKUP(EFAbiertos[[#This Row],[Ticket '#]],Registro!$B$8:$B$997,Registro!$S$8:$S$997,"",0)</f>
        <v>46342</v>
      </c>
      <c r="I44" s="58">
        <f t="shared" ca="1" si="1"/>
        <v>0</v>
      </c>
      <c r="J44" s="30">
        <f ca="1">_xlfn.XLOOKUP(EFAbiertos[[#This Row],[Ticket '#]],Registro!$B$8:$B$997,Registro!$U$8:$U$997,"",0)</f>
        <v>2</v>
      </c>
      <c r="K44" s="30">
        <f ca="1">_xlfn.XLOOKUP(EFAbiertos[[#This Row],[Ticket '#]],Registro!$B$8:$B$997,Registro!$W$8:$W$997,"",0)</f>
        <v>0</v>
      </c>
      <c r="L44" s="30">
        <f ca="1">_xlfn.XLOOKUP(EFAbiertos[[#This Row],[Ticket '#]],Registro!$B$8:$B$997,Registro!$X$8:$X$997,"",0)</f>
        <v>0</v>
      </c>
      <c r="M44" s="30">
        <f ca="1">_xlfn.XLOOKUP(EFAbiertos[[#This Row],[Ticket '#]],Registro!$B$8:$B$997,Registro!$Y$8:$Y$997,"",0)</f>
        <v>2</v>
      </c>
      <c r="N44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45" spans="3:14" ht="28.5" customHeight="1">
      <c r="C45" s="2" t="str">
        <f ca="1">IF(D45="","",HYPERLINK("#"&amp;"Registro!B"&amp;MATCH(D45,Registro!$B$8:$B$997,0)+7,"Ubicar en registro"))</f>
        <v>Ubicar en registro</v>
      </c>
      <c r="D45" s="1" t="str">
        <f ca="1">IF(Programación!Q45="","",Programación!Q45)</f>
        <v>6359-PFIN-26</v>
      </c>
      <c r="E45" s="1" t="str">
        <f ca="1">_xlfn.XLOOKUP(EFAbiertos[[#This Row],[Ticket '#]],Registro!$B$8:$B$997,Registro!$M$8:$M$997,"",0)</f>
        <v>Gestor 2</v>
      </c>
      <c r="F45" s="86" t="str">
        <f ca="1">_xlfn.XLOOKUP(EFAbiertos[[#This Row],[Ticket '#]],Registro!$B$8:$B$997,Registro!$H$8:$H$997,"",0)</f>
        <v>Curso 58</v>
      </c>
      <c r="G45" s="26" t="str">
        <f ca="1">_xlfn.XLOOKUP(EFAbiertos[[#This Row],[Ticket '#]],Registro!$B$8:$B$997,Registro!$M$8:$M$997,"",0)</f>
        <v>Gestor 2</v>
      </c>
      <c r="H45" s="67">
        <f ca="1">_xlfn.XLOOKUP(EFAbiertos[[#This Row],[Ticket '#]],Registro!$B$8:$B$997,Registro!$S$8:$S$997,"",0)</f>
        <v>46365</v>
      </c>
      <c r="I45" s="58">
        <f t="shared" ca="1" si="1"/>
        <v>0</v>
      </c>
      <c r="J45" s="30">
        <f ca="1">_xlfn.XLOOKUP(EFAbiertos[[#This Row],[Ticket '#]],Registro!$B$8:$B$997,Registro!$U$8:$U$997,"",0)</f>
        <v>7</v>
      </c>
      <c r="K45" s="30">
        <f ca="1">_xlfn.XLOOKUP(EFAbiertos[[#This Row],[Ticket '#]],Registro!$B$8:$B$997,Registro!$W$8:$W$997,"",0)</f>
        <v>0</v>
      </c>
      <c r="L45" s="30">
        <f ca="1">_xlfn.XLOOKUP(EFAbiertos[[#This Row],[Ticket '#]],Registro!$B$8:$B$997,Registro!$X$8:$X$997,"",0)</f>
        <v>7</v>
      </c>
      <c r="M45" s="30">
        <f ca="1">_xlfn.XLOOKUP(EFAbiertos[[#This Row],[Ticket '#]],Registro!$B$8:$B$997,Registro!$Y$8:$Y$997,"",0)</f>
        <v>0</v>
      </c>
      <c r="N45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46" spans="3:14" ht="28.5" customHeight="1">
      <c r="C46" s="2" t="str">
        <f ca="1">IF(D46="","",HYPERLINK("#"&amp;"Registro!B"&amp;MATCH(D46,Registro!$B$8:$B$997,0)+7,"Ubicar en registro"))</f>
        <v>Ubicar en registro</v>
      </c>
      <c r="D46" s="1" t="str">
        <f ca="1">IF(Programación!Q46="","",Programación!Q46)</f>
        <v>6342-PFIN-26</v>
      </c>
      <c r="E46" s="1" t="str">
        <f ca="1">_xlfn.XLOOKUP(EFAbiertos[[#This Row],[Ticket '#]],Registro!$B$8:$B$997,Registro!$M$8:$M$997,"",0)</f>
        <v>Gestor 4</v>
      </c>
      <c r="F46" s="86" t="str">
        <f ca="1">_xlfn.XLOOKUP(EFAbiertos[[#This Row],[Ticket '#]],Registro!$B$8:$B$997,Registro!$H$8:$H$997,"",0)</f>
        <v>Curso 36</v>
      </c>
      <c r="G46" s="26" t="str">
        <f ca="1">_xlfn.XLOOKUP(EFAbiertos[[#This Row],[Ticket '#]],Registro!$B$8:$B$997,Registro!$M$8:$M$997,"",0)</f>
        <v>Gestor 4</v>
      </c>
      <c r="H46" s="67">
        <f ca="1">_xlfn.XLOOKUP(EFAbiertos[[#This Row],[Ticket '#]],Registro!$B$8:$B$997,Registro!$S$8:$S$997,"",0)</f>
        <v>46349</v>
      </c>
      <c r="I46" s="58">
        <f t="shared" ca="1" si="1"/>
        <v>0</v>
      </c>
      <c r="J46" s="30">
        <f ca="1">_xlfn.XLOOKUP(EFAbiertos[[#This Row],[Ticket '#]],Registro!$B$8:$B$997,Registro!$U$8:$U$997,"",0)</f>
        <v>1</v>
      </c>
      <c r="K46" s="30">
        <f ca="1">_xlfn.XLOOKUP(EFAbiertos[[#This Row],[Ticket '#]],Registro!$B$8:$B$997,Registro!$W$8:$W$997,"",0)</f>
        <v>0</v>
      </c>
      <c r="L46" s="30">
        <f ca="1">_xlfn.XLOOKUP(EFAbiertos[[#This Row],[Ticket '#]],Registro!$B$8:$B$997,Registro!$X$8:$X$997,"",0)</f>
        <v>0</v>
      </c>
      <c r="M46" s="30">
        <f ca="1">_xlfn.XLOOKUP(EFAbiertos[[#This Row],[Ticket '#]],Registro!$B$8:$B$997,Registro!$Y$8:$Y$997,"",0)</f>
        <v>1</v>
      </c>
      <c r="N46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47" spans="3:14" ht="28.5" customHeight="1">
      <c r="C47" s="2" t="str">
        <f ca="1">IF(D47="","",HYPERLINK("#"&amp;"Registro!B"&amp;MATCH(D47,Registro!$B$8:$B$997,0)+7,"Ubicar en registro"))</f>
        <v>Ubicar en registro</v>
      </c>
      <c r="D47" s="1" t="str">
        <f ca="1">IF(Programación!Q47="","",Programación!Q47)</f>
        <v>6400-PFIN-26</v>
      </c>
      <c r="E47" s="1" t="str">
        <f ca="1">_xlfn.XLOOKUP(EFAbiertos[[#This Row],[Ticket '#]],Registro!$B$8:$B$997,Registro!$M$8:$M$997,"",0)</f>
        <v>Gestor 2</v>
      </c>
      <c r="F47" s="86" t="str">
        <f ca="1">_xlfn.XLOOKUP(EFAbiertos[[#This Row],[Ticket '#]],Registro!$B$8:$B$997,Registro!$H$8:$H$997,"",0)</f>
        <v>Curso 108</v>
      </c>
      <c r="G47" s="26" t="str">
        <f ca="1">_xlfn.XLOOKUP(EFAbiertos[[#This Row],[Ticket '#]],Registro!$B$8:$B$997,Registro!$M$8:$M$997,"",0)</f>
        <v>Gestor 2</v>
      </c>
      <c r="H47" s="67">
        <f ca="1">_xlfn.XLOOKUP(EFAbiertos[[#This Row],[Ticket '#]],Registro!$B$8:$B$997,Registro!$S$8:$S$997,"",0)</f>
        <v>46349</v>
      </c>
      <c r="I47" s="58">
        <f t="shared" ca="1" si="1"/>
        <v>0</v>
      </c>
      <c r="J47" s="30">
        <f ca="1">_xlfn.XLOOKUP(EFAbiertos[[#This Row],[Ticket '#]],Registro!$B$8:$B$997,Registro!$U$8:$U$997,"",0)</f>
        <v>2</v>
      </c>
      <c r="K47" s="30">
        <f ca="1">_xlfn.XLOOKUP(EFAbiertos[[#This Row],[Ticket '#]],Registro!$B$8:$B$997,Registro!$W$8:$W$997,"",0)</f>
        <v>0</v>
      </c>
      <c r="L47" s="30">
        <f ca="1">_xlfn.XLOOKUP(EFAbiertos[[#This Row],[Ticket '#]],Registro!$B$8:$B$997,Registro!$X$8:$X$997,"",0)</f>
        <v>0</v>
      </c>
      <c r="M47" s="30">
        <f ca="1">_xlfn.XLOOKUP(EFAbiertos[[#This Row],[Ticket '#]],Registro!$B$8:$B$997,Registro!$Y$8:$Y$997,"",0)</f>
        <v>2</v>
      </c>
      <c r="N47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48" spans="3:14" ht="28.5" customHeight="1">
      <c r="C48" s="2" t="str">
        <f ca="1">IF(D48="","",HYPERLINK("#"&amp;"Registro!B"&amp;MATCH(D48,Registro!$B$8:$B$997,0)+7,"Ubicar en registro"))</f>
        <v>Ubicar en registro</v>
      </c>
      <c r="D48" s="1" t="str">
        <f ca="1">IF(Programación!Q48="","",Programación!Q48)</f>
        <v>6389-PFIN-26</v>
      </c>
      <c r="E48" s="1" t="str">
        <f ca="1">_xlfn.XLOOKUP(EFAbiertos[[#This Row],[Ticket '#]],Registro!$B$8:$B$997,Registro!$M$8:$M$997,"",0)</f>
        <v>Gestor 1</v>
      </c>
      <c r="F48" s="86" t="str">
        <f ca="1">_xlfn.XLOOKUP(EFAbiertos[[#This Row],[Ticket '#]],Registro!$B$8:$B$997,Registro!$H$8:$H$997,"",0)</f>
        <v>Curso 107</v>
      </c>
      <c r="G48" s="26" t="str">
        <f ca="1">_xlfn.XLOOKUP(EFAbiertos[[#This Row],[Ticket '#]],Registro!$B$8:$B$997,Registro!$M$8:$M$997,"",0)</f>
        <v>Gestor 1</v>
      </c>
      <c r="H48" s="67">
        <f ca="1">_xlfn.XLOOKUP(EFAbiertos[[#This Row],[Ticket '#]],Registro!$B$8:$B$997,Registro!$S$8:$S$997,"",0)</f>
        <v>46349</v>
      </c>
      <c r="I48" s="58">
        <f t="shared" ca="1" si="1"/>
        <v>0</v>
      </c>
      <c r="J48" s="30">
        <f ca="1">_xlfn.XLOOKUP(EFAbiertos[[#This Row],[Ticket '#]],Registro!$B$8:$B$997,Registro!$U$8:$U$997,"",0)</f>
        <v>2</v>
      </c>
      <c r="K48" s="30">
        <f ca="1">_xlfn.XLOOKUP(EFAbiertos[[#This Row],[Ticket '#]],Registro!$B$8:$B$997,Registro!$W$8:$W$997,"",0)</f>
        <v>0</v>
      </c>
      <c r="L48" s="30">
        <f ca="1">_xlfn.XLOOKUP(EFAbiertos[[#This Row],[Ticket '#]],Registro!$B$8:$B$997,Registro!$X$8:$X$997,"",0)</f>
        <v>0</v>
      </c>
      <c r="M48" s="30">
        <f ca="1">_xlfn.XLOOKUP(EFAbiertos[[#This Row],[Ticket '#]],Registro!$B$8:$B$997,Registro!$Y$8:$Y$997,"",0)</f>
        <v>2</v>
      </c>
      <c r="N48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49" spans="3:14" ht="28.5" customHeight="1">
      <c r="C49" s="2" t="str">
        <f ca="1">IF(D49="","",HYPERLINK("#"&amp;"Registro!B"&amp;MATCH(D49,Registro!$B$8:$B$997,0)+7,"Ubicar en registro"))</f>
        <v>Ubicar en registro</v>
      </c>
      <c r="D49" s="1" t="str">
        <f ca="1">IF(Programación!Q49="","",Programación!Q49)</f>
        <v>6321-PFIN-26</v>
      </c>
      <c r="E49" s="1" t="str">
        <f ca="1">_xlfn.XLOOKUP(EFAbiertos[[#This Row],[Ticket '#]],Registro!$B$8:$B$997,Registro!$M$8:$M$997,"",0)</f>
        <v>Gestor 1</v>
      </c>
      <c r="F49" s="86" t="str">
        <f ca="1">_xlfn.XLOOKUP(EFAbiertos[[#This Row],[Ticket '#]],Registro!$B$8:$B$997,Registro!$H$8:$H$997,"",0)</f>
        <v>Curso 31</v>
      </c>
      <c r="G49" s="26" t="str">
        <f ca="1">_xlfn.XLOOKUP(EFAbiertos[[#This Row],[Ticket '#]],Registro!$B$8:$B$997,Registro!$M$8:$M$997,"",0)</f>
        <v>Gestor 1</v>
      </c>
      <c r="H49" s="67">
        <f ca="1">_xlfn.XLOOKUP(EFAbiertos[[#This Row],[Ticket '#]],Registro!$B$8:$B$997,Registro!$S$8:$S$997,"",0)</f>
        <v>46352</v>
      </c>
      <c r="I49" s="58">
        <f t="shared" ca="1" si="1"/>
        <v>0</v>
      </c>
      <c r="J49" s="30">
        <f ca="1">_xlfn.XLOOKUP(EFAbiertos[[#This Row],[Ticket '#]],Registro!$B$8:$B$997,Registro!$U$8:$U$997,"",0)</f>
        <v>2</v>
      </c>
      <c r="K49" s="30">
        <f ca="1">_xlfn.XLOOKUP(EFAbiertos[[#This Row],[Ticket '#]],Registro!$B$8:$B$997,Registro!$W$8:$W$997,"",0)</f>
        <v>0</v>
      </c>
      <c r="L49" s="30">
        <f ca="1">_xlfn.XLOOKUP(EFAbiertos[[#This Row],[Ticket '#]],Registro!$B$8:$B$997,Registro!$X$8:$X$997,"",0)</f>
        <v>0</v>
      </c>
      <c r="M49" s="30">
        <f ca="1">_xlfn.XLOOKUP(EFAbiertos[[#This Row],[Ticket '#]],Registro!$B$8:$B$997,Registro!$Y$8:$Y$997,"",0)</f>
        <v>2</v>
      </c>
      <c r="N49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50" spans="3:14" ht="28.5" customHeight="1">
      <c r="C50" s="2" t="str">
        <f ca="1">IF(D50="","",HYPERLINK("#"&amp;"Registro!B"&amp;MATCH(D50,Registro!$B$8:$B$997,0)+7,"Ubicar en registro"))</f>
        <v>Ubicar en registro</v>
      </c>
      <c r="D50" s="1" t="str">
        <f ca="1">IF(Programación!Q50="","",Programación!Q50)</f>
        <v>6234-PFIN-26</v>
      </c>
      <c r="E50" s="1" t="str">
        <f ca="1">_xlfn.XLOOKUP(EFAbiertos[[#This Row],[Ticket '#]],Registro!$B$8:$B$997,Registro!$M$8:$M$997,"",0)</f>
        <v>Gestor 5</v>
      </c>
      <c r="F50" s="86" t="str">
        <f ca="1">_xlfn.XLOOKUP(EFAbiertos[[#This Row],[Ticket '#]],Registro!$B$8:$B$997,Registro!$H$8:$H$997,"",0)</f>
        <v>Curso 88</v>
      </c>
      <c r="G50" s="26" t="str">
        <f ca="1">_xlfn.XLOOKUP(EFAbiertos[[#This Row],[Ticket '#]],Registro!$B$8:$B$997,Registro!$M$8:$M$997,"",0)</f>
        <v>Gestor 5</v>
      </c>
      <c r="H50" s="67">
        <f ca="1">_xlfn.XLOOKUP(EFAbiertos[[#This Row],[Ticket '#]],Registro!$B$8:$B$997,Registro!$S$8:$S$997,"",0)</f>
        <v>46353</v>
      </c>
      <c r="I50" s="58">
        <f t="shared" ca="1" si="1"/>
        <v>0</v>
      </c>
      <c r="J50" s="30">
        <f ca="1">_xlfn.XLOOKUP(EFAbiertos[[#This Row],[Ticket '#]],Registro!$B$8:$B$997,Registro!$U$8:$U$997,"",0)</f>
        <v>1</v>
      </c>
      <c r="K50" s="30">
        <f ca="1">_xlfn.XLOOKUP(EFAbiertos[[#This Row],[Ticket '#]],Registro!$B$8:$B$997,Registro!$W$8:$W$997,"",0)</f>
        <v>0</v>
      </c>
      <c r="L50" s="30">
        <f ca="1">_xlfn.XLOOKUP(EFAbiertos[[#This Row],[Ticket '#]],Registro!$B$8:$B$997,Registro!$X$8:$X$997,"",0)</f>
        <v>0</v>
      </c>
      <c r="M50" s="30">
        <f ca="1">_xlfn.XLOOKUP(EFAbiertos[[#This Row],[Ticket '#]],Registro!$B$8:$B$997,Registro!$Y$8:$Y$997,"",0)</f>
        <v>1</v>
      </c>
      <c r="N50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51" spans="3:14" ht="28.5" customHeight="1">
      <c r="C51" s="2" t="str">
        <f ca="1">IF(D51="","",HYPERLINK("#"&amp;"Registro!B"&amp;MATCH(D51,Registro!$B$8:$B$997,0)+7,"Ubicar en registro"))</f>
        <v>Ubicar en registro</v>
      </c>
      <c r="D51" s="1" t="str">
        <f ca="1">IF(Programación!Q51="","",Programación!Q51)</f>
        <v>6286-PFIN-26</v>
      </c>
      <c r="E51" s="1" t="str">
        <f ca="1">_xlfn.XLOOKUP(EFAbiertos[[#This Row],[Ticket '#]],Registro!$B$8:$B$997,Registro!$M$8:$M$997,"",0)</f>
        <v>Gestor 4</v>
      </c>
      <c r="F51" s="86" t="str">
        <f ca="1">_xlfn.XLOOKUP(EFAbiertos[[#This Row],[Ticket '#]],Registro!$B$8:$B$997,Registro!$H$8:$H$997,"",0)</f>
        <v>Curso 9</v>
      </c>
      <c r="G51" s="26" t="str">
        <f ca="1">_xlfn.XLOOKUP(EFAbiertos[[#This Row],[Ticket '#]],Registro!$B$8:$B$997,Registro!$M$8:$M$997,"",0)</f>
        <v>Gestor 4</v>
      </c>
      <c r="H51" s="67">
        <f ca="1">_xlfn.XLOOKUP(EFAbiertos[[#This Row],[Ticket '#]],Registro!$B$8:$B$997,Registro!$S$8:$S$997,"",0)</f>
        <v>46356</v>
      </c>
      <c r="I51" s="58">
        <f t="shared" ca="1" si="1"/>
        <v>0</v>
      </c>
      <c r="J51" s="30">
        <f ca="1">_xlfn.XLOOKUP(EFAbiertos[[#This Row],[Ticket '#]],Registro!$B$8:$B$997,Registro!$U$8:$U$997,"",0)</f>
        <v>1</v>
      </c>
      <c r="K51" s="30">
        <f ca="1">_xlfn.XLOOKUP(EFAbiertos[[#This Row],[Ticket '#]],Registro!$B$8:$B$997,Registro!$W$8:$W$997,"",0)</f>
        <v>0</v>
      </c>
      <c r="L51" s="30">
        <f ca="1">_xlfn.XLOOKUP(EFAbiertos[[#This Row],[Ticket '#]],Registro!$B$8:$B$997,Registro!$X$8:$X$997,"",0)</f>
        <v>0</v>
      </c>
      <c r="M51" s="30">
        <f ca="1">_xlfn.XLOOKUP(EFAbiertos[[#This Row],[Ticket '#]],Registro!$B$8:$B$997,Registro!$Y$8:$Y$997,"",0)</f>
        <v>1</v>
      </c>
      <c r="N51" s="30">
        <f ca="1">IF(EFAbiertos[[#This Row],[Link Registro]]="","",EFAbiertos[[#This Row],[Grupos Programados]]-(EFAbiertos[[#This Row],[Grupos ejecutados]]+EFAbiertos[[#This Row],[Grupos en proceso]]+EFAbiertos[[#This Row],[Grupos no Iniciados]]))</f>
        <v>0</v>
      </c>
    </row>
    <row r="52" spans="3:14" ht="28.5" customHeight="1">
      <c r="C52" s="2" t="str">
        <f ca="1">IF(D52="","",HYPERLINK("#"&amp;"Registro!B"&amp;MATCH(D52,Registro!$B$8:$B$997,0)+7,"Ubicar en registro"))</f>
        <v>Ubicar en registro</v>
      </c>
      <c r="D52" s="1" t="str">
        <f ca="1">IF(Programación!Q52="","",Programación!Q52)</f>
        <v>6322-PFIN-26</v>
      </c>
      <c r="E52" s="1" t="str">
        <f ca="1">_xlfn.XLOOKUP(EFAbiertos[[#This Row],[Ticket '#]],Registro!$B$8:$B$997,Registro!$M$8:$M$997,"",0)</f>
        <v>Gestor 4</v>
      </c>
      <c r="F52" s="86" t="str">
        <f ca="1">_xlfn.XLOOKUP(EFAbiertos[[#This Row],[Ticket '#]],Registro!$B$8:$B$997,Registro!$H$8:$H$997,"",0)</f>
        <v>Curso 32</v>
      </c>
      <c r="G52" s="26" t="str">
        <f ca="1">_xlfn.XLOOKUP(EFAbiertos[[#This Row],[Ticket '#]],Registro!$B$8:$B$997,Registro!$M$8:$M$997,"",0)</f>
        <v>Gestor 4</v>
      </c>
      <c r="H52" s="67">
        <f ca="1">_xlfn.XLOOKUP(EFAbiertos[[#This Row],[Ticket '#]],Registro!$B$8:$B$997,Registro!$S$8:$S$997,"",0)</f>
        <v>46356</v>
      </c>
      <c r="I52" s="58">
        <f t="shared" ca="1" si="1"/>
        <v>0</v>
      </c>
      <c r="J52" s="30">
        <f ca="1">_xlfn.XLOOKUP(EFAbiertos[[#This Row],[Ticket '#]],Registro!$B$8:$B$997,Registro!$U$8:$U$997,"",0)</f>
        <v>2</v>
      </c>
      <c r="K52" s="30">
        <f ca="1">_xlfn.XLOOKUP(EFAbiertos[[#This Row],[Ticket '#]],Registro!$B$8:$B$997,Registro!$W$8:$W$997,"",0)</f>
        <v>0</v>
      </c>
      <c r="L52" s="30">
        <f ca="1">_xlfn.XLOOKUP(EFAbiertos[[#This Row],[Ticket '#]],Registro!$B$8:$B$997,Registro!$X$8:$X$997,"",0)</f>
        <v>0</v>
      </c>
      <c r="M52" s="30">
        <f ca="1">_xlfn.XLOOKUP(EFAbiertos[[#This Row],[Ticket '#]],Registro!$B$8:$B$997,Registro!$Y$8:$Y$997,"",0)</f>
        <v>0</v>
      </c>
      <c r="N52" s="30">
        <f ca="1">IF(EFAbiertos[[#This Row],[Link Registro]]="","",EFAbiertos[[#This Row],[Grupos Programados]]-(EFAbiertos[[#This Row],[Grupos ejecutados]]+EFAbiertos[[#This Row],[Grupos en proceso]]+EFAbiertos[[#This Row],[Grupos no Iniciados]]))</f>
        <v>2</v>
      </c>
    </row>
    <row r="53" spans="3:14" ht="28.5" customHeight="1">
      <c r="C53" s="2" t="str">
        <f ca="1">IF(D53="","",HYPERLINK("#"&amp;"Registro!B"&amp;MATCH(D53,Registro!$B$8:$B$997,0)+7,"Ubicar en registro"))</f>
        <v/>
      </c>
      <c r="D53" s="1" t="str">
        <f ca="1">IF(Programación!Q53="","",Programación!Q53)</f>
        <v/>
      </c>
      <c r="E53" s="1" t="str">
        <f ca="1">_xlfn.XLOOKUP(EFAbiertos[[#This Row],[Ticket '#]],Registro!$B$8:$B$997,Registro!$M$8:$M$997,"",0)</f>
        <v/>
      </c>
      <c r="F53" s="86" t="str">
        <f ca="1">_xlfn.XLOOKUP(EFAbiertos[[#This Row],[Ticket '#]],Registro!$B$8:$B$997,Registro!$H$8:$H$997,"",0)</f>
        <v/>
      </c>
      <c r="G53" s="26" t="str">
        <f ca="1">_xlfn.XLOOKUP(EFAbiertos[[#This Row],[Ticket '#]],Registro!$B$8:$B$997,Registro!$M$8:$M$997,"",0)</f>
        <v/>
      </c>
      <c r="H53" s="67" t="str">
        <f ca="1">_xlfn.XLOOKUP(EFAbiertos[[#This Row],[Ticket '#]],Registro!$B$8:$B$997,Registro!$S$8:$S$997,"",0)</f>
        <v/>
      </c>
      <c r="I53" s="58" t="str">
        <f t="shared" ca="1" si="1"/>
        <v/>
      </c>
      <c r="J53" s="30" t="str">
        <f ca="1">_xlfn.XLOOKUP(EFAbiertos[[#This Row],[Ticket '#]],Registro!$B$8:$B$997,Registro!$U$8:$U$997,"",0)</f>
        <v/>
      </c>
      <c r="K53" s="30" t="str">
        <f ca="1">_xlfn.XLOOKUP(EFAbiertos[[#This Row],[Ticket '#]],Registro!$B$8:$B$997,Registro!$W$8:$W$997,"",0)</f>
        <v/>
      </c>
      <c r="L53" s="30" t="str">
        <f ca="1">_xlfn.XLOOKUP(EFAbiertos[[#This Row],[Ticket '#]],Registro!$B$8:$B$997,Registro!$X$8:$X$997,"",0)</f>
        <v/>
      </c>
      <c r="M53" s="30" t="str">
        <f ca="1">_xlfn.XLOOKUP(EFAbiertos[[#This Row],[Ticket '#]],Registro!$B$8:$B$997,Registro!$Y$8:$Y$997,"",0)</f>
        <v/>
      </c>
      <c r="N5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54" spans="3:14" ht="28.5" customHeight="1">
      <c r="C54" s="2" t="str">
        <f ca="1">IF(D54="","",HYPERLINK("#"&amp;"Registro!B"&amp;MATCH(D54,Registro!$B$8:$B$997,0)+7,"Ubicar en registro"))</f>
        <v/>
      </c>
      <c r="D54" s="1" t="str">
        <f ca="1">IF(Programación!Q54="","",Programación!Q54)</f>
        <v/>
      </c>
      <c r="E54" s="1" t="str">
        <f ca="1">_xlfn.XLOOKUP(EFAbiertos[[#This Row],[Ticket '#]],Registro!$B$8:$B$997,Registro!$M$8:$M$997,"",0)</f>
        <v/>
      </c>
      <c r="F54" s="86" t="str">
        <f ca="1">_xlfn.XLOOKUP(EFAbiertos[[#This Row],[Ticket '#]],Registro!$B$8:$B$997,Registro!$H$8:$H$997,"",0)</f>
        <v/>
      </c>
      <c r="G54" s="26" t="str">
        <f ca="1">_xlfn.XLOOKUP(EFAbiertos[[#This Row],[Ticket '#]],Registro!$B$8:$B$997,Registro!$M$8:$M$997,"",0)</f>
        <v/>
      </c>
      <c r="H54" s="67" t="str">
        <f ca="1">_xlfn.XLOOKUP(EFAbiertos[[#This Row],[Ticket '#]],Registro!$B$8:$B$997,Registro!$S$8:$S$997,"",0)</f>
        <v/>
      </c>
      <c r="I54" s="58" t="str">
        <f t="shared" ca="1" si="1"/>
        <v/>
      </c>
      <c r="J54" s="30" t="str">
        <f ca="1">_xlfn.XLOOKUP(EFAbiertos[[#This Row],[Ticket '#]],Registro!$B$8:$B$997,Registro!$U$8:$U$997,"",0)</f>
        <v/>
      </c>
      <c r="K54" s="30" t="str">
        <f ca="1">_xlfn.XLOOKUP(EFAbiertos[[#This Row],[Ticket '#]],Registro!$B$8:$B$997,Registro!$W$8:$W$997,"",0)</f>
        <v/>
      </c>
      <c r="L54" s="30" t="str">
        <f ca="1">_xlfn.XLOOKUP(EFAbiertos[[#This Row],[Ticket '#]],Registro!$B$8:$B$997,Registro!$X$8:$X$997,"",0)</f>
        <v/>
      </c>
      <c r="M54" s="30" t="str">
        <f ca="1">_xlfn.XLOOKUP(EFAbiertos[[#This Row],[Ticket '#]],Registro!$B$8:$B$997,Registro!$Y$8:$Y$997,"",0)</f>
        <v/>
      </c>
      <c r="N5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55" spans="3:14" ht="28.5" customHeight="1">
      <c r="C55" s="2" t="str">
        <f ca="1">IF(D55="","",HYPERLINK("#"&amp;"Registro!B"&amp;MATCH(D55,Registro!$B$8:$B$997,0)+7,"Ubicar en registro"))</f>
        <v/>
      </c>
      <c r="D55" s="1" t="str">
        <f ca="1">IF(Programación!Q55="","",Programación!Q55)</f>
        <v/>
      </c>
      <c r="E55" s="1" t="str">
        <f ca="1">_xlfn.XLOOKUP(EFAbiertos[[#This Row],[Ticket '#]],Registro!$B$8:$B$997,Registro!$M$8:$M$997,"",0)</f>
        <v/>
      </c>
      <c r="F55" s="86" t="str">
        <f ca="1">_xlfn.XLOOKUP(EFAbiertos[[#This Row],[Ticket '#]],Registro!$B$8:$B$997,Registro!$H$8:$H$997,"",0)</f>
        <v/>
      </c>
      <c r="G55" s="26" t="str">
        <f ca="1">_xlfn.XLOOKUP(EFAbiertos[[#This Row],[Ticket '#]],Registro!$B$8:$B$997,Registro!$M$8:$M$997,"",0)</f>
        <v/>
      </c>
      <c r="H55" s="67" t="str">
        <f ca="1">_xlfn.XLOOKUP(EFAbiertos[[#This Row],[Ticket '#]],Registro!$B$8:$B$997,Registro!$S$8:$S$997,"",0)</f>
        <v/>
      </c>
      <c r="I55" s="58" t="str">
        <f t="shared" ca="1" si="1"/>
        <v/>
      </c>
      <c r="J55" s="30" t="str">
        <f ca="1">_xlfn.XLOOKUP(EFAbiertos[[#This Row],[Ticket '#]],Registro!$B$8:$B$997,Registro!$U$8:$U$997,"",0)</f>
        <v/>
      </c>
      <c r="K55" s="30" t="str">
        <f ca="1">_xlfn.XLOOKUP(EFAbiertos[[#This Row],[Ticket '#]],Registro!$B$8:$B$997,Registro!$W$8:$W$997,"",0)</f>
        <v/>
      </c>
      <c r="L55" s="30" t="str">
        <f ca="1">_xlfn.XLOOKUP(EFAbiertos[[#This Row],[Ticket '#]],Registro!$B$8:$B$997,Registro!$X$8:$X$997,"",0)</f>
        <v/>
      </c>
      <c r="M55" s="30" t="str">
        <f ca="1">_xlfn.XLOOKUP(EFAbiertos[[#This Row],[Ticket '#]],Registro!$B$8:$B$997,Registro!$Y$8:$Y$997,"",0)</f>
        <v/>
      </c>
      <c r="N5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56" spans="3:14" ht="28.5" customHeight="1">
      <c r="C56" s="2" t="str">
        <f ca="1">IF(D56="","",HYPERLINK("#"&amp;"Registro!B"&amp;MATCH(D56,Registro!$B$8:$B$997,0)+7,"Ubicar en registro"))</f>
        <v/>
      </c>
      <c r="D56" s="1" t="str">
        <f ca="1">IF(Programación!Q56="","",Programación!Q56)</f>
        <v/>
      </c>
      <c r="E56" s="1" t="str">
        <f ca="1">_xlfn.XLOOKUP(EFAbiertos[[#This Row],[Ticket '#]],Registro!$B$8:$B$997,Registro!$M$8:$M$997,"",0)</f>
        <v/>
      </c>
      <c r="F56" s="86" t="str">
        <f ca="1">_xlfn.XLOOKUP(EFAbiertos[[#This Row],[Ticket '#]],Registro!$B$8:$B$997,Registro!$H$8:$H$997,"",0)</f>
        <v/>
      </c>
      <c r="G56" s="26" t="str">
        <f ca="1">_xlfn.XLOOKUP(EFAbiertos[[#This Row],[Ticket '#]],Registro!$B$8:$B$997,Registro!$M$8:$M$997,"",0)</f>
        <v/>
      </c>
      <c r="H56" s="67" t="str">
        <f ca="1">_xlfn.XLOOKUP(EFAbiertos[[#This Row],[Ticket '#]],Registro!$B$8:$B$997,Registro!$S$8:$S$997,"",0)</f>
        <v/>
      </c>
      <c r="I56" s="58" t="str">
        <f t="shared" ca="1" si="1"/>
        <v/>
      </c>
      <c r="J56" s="30" t="str">
        <f ca="1">_xlfn.XLOOKUP(EFAbiertos[[#This Row],[Ticket '#]],Registro!$B$8:$B$997,Registro!$U$8:$U$997,"",0)</f>
        <v/>
      </c>
      <c r="K56" s="30" t="str">
        <f ca="1">_xlfn.XLOOKUP(EFAbiertos[[#This Row],[Ticket '#]],Registro!$B$8:$B$997,Registro!$W$8:$W$997,"",0)</f>
        <v/>
      </c>
      <c r="L56" s="30" t="str">
        <f ca="1">_xlfn.XLOOKUP(EFAbiertos[[#This Row],[Ticket '#]],Registro!$B$8:$B$997,Registro!$X$8:$X$997,"",0)</f>
        <v/>
      </c>
      <c r="M56" s="30" t="str">
        <f ca="1">_xlfn.XLOOKUP(EFAbiertos[[#This Row],[Ticket '#]],Registro!$B$8:$B$997,Registro!$Y$8:$Y$997,"",0)</f>
        <v/>
      </c>
      <c r="N5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57" spans="3:14" ht="28.5" customHeight="1">
      <c r="C57" s="2" t="str">
        <f ca="1">IF(D57="","",HYPERLINK("#"&amp;"Registro!B"&amp;MATCH(D57,Registro!$B$8:$B$997,0)+7,"Ubicar en registro"))</f>
        <v/>
      </c>
      <c r="D57" s="1" t="str">
        <f ca="1">IF(Programación!Q57="","",Programación!Q57)</f>
        <v/>
      </c>
      <c r="E57" s="1" t="str">
        <f ca="1">_xlfn.XLOOKUP(EFAbiertos[[#This Row],[Ticket '#]],Registro!$B$8:$B$997,Registro!$M$8:$M$997,"",0)</f>
        <v/>
      </c>
      <c r="F57" s="86" t="str">
        <f ca="1">_xlfn.XLOOKUP(EFAbiertos[[#This Row],[Ticket '#]],Registro!$B$8:$B$997,Registro!$H$8:$H$997,"",0)</f>
        <v/>
      </c>
      <c r="G57" s="26" t="str">
        <f ca="1">_xlfn.XLOOKUP(EFAbiertos[[#This Row],[Ticket '#]],Registro!$B$8:$B$997,Registro!$M$8:$M$997,"",0)</f>
        <v/>
      </c>
      <c r="H57" s="67" t="str">
        <f ca="1">_xlfn.XLOOKUP(EFAbiertos[[#This Row],[Ticket '#]],Registro!$B$8:$B$997,Registro!$S$8:$S$997,"",0)</f>
        <v/>
      </c>
      <c r="I57" s="58" t="str">
        <f t="shared" ca="1" si="1"/>
        <v/>
      </c>
      <c r="J57" s="30" t="str">
        <f ca="1">_xlfn.XLOOKUP(EFAbiertos[[#This Row],[Ticket '#]],Registro!$B$8:$B$997,Registro!$U$8:$U$997,"",0)</f>
        <v/>
      </c>
      <c r="K57" s="30" t="str">
        <f ca="1">_xlfn.XLOOKUP(EFAbiertos[[#This Row],[Ticket '#]],Registro!$B$8:$B$997,Registro!$W$8:$W$997,"",0)</f>
        <v/>
      </c>
      <c r="L57" s="30" t="str">
        <f ca="1">_xlfn.XLOOKUP(EFAbiertos[[#This Row],[Ticket '#]],Registro!$B$8:$B$997,Registro!$X$8:$X$997,"",0)</f>
        <v/>
      </c>
      <c r="M57" s="30" t="str">
        <f ca="1">_xlfn.XLOOKUP(EFAbiertos[[#This Row],[Ticket '#]],Registro!$B$8:$B$997,Registro!$Y$8:$Y$997,"",0)</f>
        <v/>
      </c>
      <c r="N5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58" spans="3:14" ht="28.5" customHeight="1">
      <c r="C58" s="2" t="str">
        <f ca="1">IF(D58="","",HYPERLINK("#"&amp;"Registro!B"&amp;MATCH(D58,Registro!$B$8:$B$997,0)+7,"Ubicar en registro"))</f>
        <v/>
      </c>
      <c r="D58" s="1" t="str">
        <f ca="1">IF(Programación!Q58="","",Programación!Q58)</f>
        <v/>
      </c>
      <c r="E58" s="1" t="str">
        <f ca="1">_xlfn.XLOOKUP(EFAbiertos[[#This Row],[Ticket '#]],Registro!$B$8:$B$997,Registro!$M$8:$M$997,"",0)</f>
        <v/>
      </c>
      <c r="F58" s="86" t="str">
        <f ca="1">_xlfn.XLOOKUP(EFAbiertos[[#This Row],[Ticket '#]],Registro!$B$8:$B$997,Registro!$H$8:$H$997,"",0)</f>
        <v/>
      </c>
      <c r="G58" s="26" t="str">
        <f ca="1">_xlfn.XLOOKUP(EFAbiertos[[#This Row],[Ticket '#]],Registro!$B$8:$B$997,Registro!$M$8:$M$997,"",0)</f>
        <v/>
      </c>
      <c r="H58" s="67" t="str">
        <f ca="1">_xlfn.XLOOKUP(EFAbiertos[[#This Row],[Ticket '#]],Registro!$B$8:$B$997,Registro!$S$8:$S$997,"",0)</f>
        <v/>
      </c>
      <c r="I58" s="58" t="str">
        <f t="shared" ca="1" si="1"/>
        <v/>
      </c>
      <c r="J58" s="30" t="str">
        <f ca="1">_xlfn.XLOOKUP(EFAbiertos[[#This Row],[Ticket '#]],Registro!$B$8:$B$997,Registro!$U$8:$U$997,"",0)</f>
        <v/>
      </c>
      <c r="K58" s="30" t="str">
        <f ca="1">_xlfn.XLOOKUP(EFAbiertos[[#This Row],[Ticket '#]],Registro!$B$8:$B$997,Registro!$W$8:$W$997,"",0)</f>
        <v/>
      </c>
      <c r="L58" s="30" t="str">
        <f ca="1">_xlfn.XLOOKUP(EFAbiertos[[#This Row],[Ticket '#]],Registro!$B$8:$B$997,Registro!$X$8:$X$997,"",0)</f>
        <v/>
      </c>
      <c r="M58" s="30" t="str">
        <f ca="1">_xlfn.XLOOKUP(EFAbiertos[[#This Row],[Ticket '#]],Registro!$B$8:$B$997,Registro!$Y$8:$Y$997,"",0)</f>
        <v/>
      </c>
      <c r="N5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59" spans="3:14" ht="28.5" customHeight="1">
      <c r="C59" s="2" t="str">
        <f ca="1">IF(D59="","",HYPERLINK("#"&amp;"Registro!B"&amp;MATCH(D59,Registro!$B$8:$B$997,0)+7,"Ubicar en registro"))</f>
        <v/>
      </c>
      <c r="D59" s="1" t="str">
        <f ca="1">IF(Programación!Q59="","",Programación!Q59)</f>
        <v/>
      </c>
      <c r="E59" s="1" t="str">
        <f ca="1">_xlfn.XLOOKUP(EFAbiertos[[#This Row],[Ticket '#]],Registro!$B$8:$B$997,Registro!$M$8:$M$997,"",0)</f>
        <v/>
      </c>
      <c r="F59" s="86" t="str">
        <f ca="1">_xlfn.XLOOKUP(EFAbiertos[[#This Row],[Ticket '#]],Registro!$B$8:$B$997,Registro!$H$8:$H$997,"",0)</f>
        <v/>
      </c>
      <c r="G59" s="26" t="str">
        <f ca="1">_xlfn.XLOOKUP(EFAbiertos[[#This Row],[Ticket '#]],Registro!$B$8:$B$997,Registro!$M$8:$M$997,"",0)</f>
        <v/>
      </c>
      <c r="H59" s="67" t="str">
        <f ca="1">_xlfn.XLOOKUP(EFAbiertos[[#This Row],[Ticket '#]],Registro!$B$8:$B$997,Registro!$S$8:$S$997,"",0)</f>
        <v/>
      </c>
      <c r="I59" s="58" t="str">
        <f t="shared" ca="1" si="1"/>
        <v/>
      </c>
      <c r="J59" s="30" t="str">
        <f ca="1">_xlfn.XLOOKUP(EFAbiertos[[#This Row],[Ticket '#]],Registro!$B$8:$B$997,Registro!$U$8:$U$997,"",0)</f>
        <v/>
      </c>
      <c r="K59" s="30" t="str">
        <f ca="1">_xlfn.XLOOKUP(EFAbiertos[[#This Row],[Ticket '#]],Registro!$B$8:$B$997,Registro!$W$8:$W$997,"",0)</f>
        <v/>
      </c>
      <c r="L59" s="30" t="str">
        <f ca="1">_xlfn.XLOOKUP(EFAbiertos[[#This Row],[Ticket '#]],Registro!$B$8:$B$997,Registro!$X$8:$X$997,"",0)</f>
        <v/>
      </c>
      <c r="M59" s="30" t="str">
        <f ca="1">_xlfn.XLOOKUP(EFAbiertos[[#This Row],[Ticket '#]],Registro!$B$8:$B$997,Registro!$Y$8:$Y$997,"",0)</f>
        <v/>
      </c>
      <c r="N5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0" spans="3:14" ht="28.5" customHeight="1">
      <c r="C60" s="2" t="str">
        <f ca="1">IF(D60="","",HYPERLINK("#"&amp;"Registro!B"&amp;MATCH(D60,Registro!$B$8:$B$997,0)+7,"Ubicar en registro"))</f>
        <v/>
      </c>
      <c r="D60" s="1" t="str">
        <f ca="1">IF(Programación!Q60="","",Programación!Q60)</f>
        <v/>
      </c>
      <c r="E60" s="1" t="str">
        <f ca="1">_xlfn.XLOOKUP(EFAbiertos[[#This Row],[Ticket '#]],Registro!$B$8:$B$997,Registro!$M$8:$M$997,"",0)</f>
        <v/>
      </c>
      <c r="F60" s="86" t="str">
        <f ca="1">_xlfn.XLOOKUP(EFAbiertos[[#This Row],[Ticket '#]],Registro!$B$8:$B$997,Registro!$H$8:$H$997,"",0)</f>
        <v/>
      </c>
      <c r="G60" s="26" t="str">
        <f ca="1">_xlfn.XLOOKUP(EFAbiertos[[#This Row],[Ticket '#]],Registro!$B$8:$B$997,Registro!$M$8:$M$997,"",0)</f>
        <v/>
      </c>
      <c r="H60" s="67" t="str">
        <f ca="1">_xlfn.XLOOKUP(EFAbiertos[[#This Row],[Ticket '#]],Registro!$B$8:$B$997,Registro!$S$8:$S$997,"",0)</f>
        <v/>
      </c>
      <c r="I60" s="58" t="str">
        <f t="shared" ca="1" si="1"/>
        <v/>
      </c>
      <c r="J60" s="30" t="str">
        <f ca="1">_xlfn.XLOOKUP(EFAbiertos[[#This Row],[Ticket '#]],Registro!$B$8:$B$997,Registro!$U$8:$U$997,"",0)</f>
        <v/>
      </c>
      <c r="K60" s="30" t="str">
        <f ca="1">_xlfn.XLOOKUP(EFAbiertos[[#This Row],[Ticket '#]],Registro!$B$8:$B$997,Registro!$W$8:$W$997,"",0)</f>
        <v/>
      </c>
      <c r="L60" s="30" t="str">
        <f ca="1">_xlfn.XLOOKUP(EFAbiertos[[#This Row],[Ticket '#]],Registro!$B$8:$B$997,Registro!$X$8:$X$997,"",0)</f>
        <v/>
      </c>
      <c r="M60" s="30" t="str">
        <f ca="1">_xlfn.XLOOKUP(EFAbiertos[[#This Row],[Ticket '#]],Registro!$B$8:$B$997,Registro!$Y$8:$Y$997,"",0)</f>
        <v/>
      </c>
      <c r="N6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1" spans="3:14" ht="28.5" customHeight="1">
      <c r="C61" s="2" t="str">
        <f ca="1">IF(D61="","",HYPERLINK("#"&amp;"Registro!B"&amp;MATCH(D61,Registro!$B$8:$B$997,0)+7,"Ubicar en registro"))</f>
        <v/>
      </c>
      <c r="D61" s="1" t="str">
        <f ca="1">IF(Programación!Q61="","",Programación!Q61)</f>
        <v/>
      </c>
      <c r="E61" s="1" t="str">
        <f ca="1">_xlfn.XLOOKUP(EFAbiertos[[#This Row],[Ticket '#]],Registro!$B$8:$B$997,Registro!$M$8:$M$997,"",0)</f>
        <v/>
      </c>
      <c r="F61" s="86" t="str">
        <f ca="1">_xlfn.XLOOKUP(EFAbiertos[[#This Row],[Ticket '#]],Registro!$B$8:$B$997,Registro!$H$8:$H$997,"",0)</f>
        <v/>
      </c>
      <c r="G61" s="26" t="str">
        <f ca="1">_xlfn.XLOOKUP(EFAbiertos[[#This Row],[Ticket '#]],Registro!$B$8:$B$997,Registro!$M$8:$M$997,"",0)</f>
        <v/>
      </c>
      <c r="H61" s="67" t="str">
        <f ca="1">_xlfn.XLOOKUP(EFAbiertos[[#This Row],[Ticket '#]],Registro!$B$8:$B$997,Registro!$S$8:$S$997,"",0)</f>
        <v/>
      </c>
      <c r="I61" s="58" t="str">
        <f t="shared" ca="1" si="1"/>
        <v/>
      </c>
      <c r="J61" s="30" t="str">
        <f ca="1">_xlfn.XLOOKUP(EFAbiertos[[#This Row],[Ticket '#]],Registro!$B$8:$B$997,Registro!$U$8:$U$997,"",0)</f>
        <v/>
      </c>
      <c r="K61" s="30" t="str">
        <f ca="1">_xlfn.XLOOKUP(EFAbiertos[[#This Row],[Ticket '#]],Registro!$B$8:$B$997,Registro!$W$8:$W$997,"",0)</f>
        <v/>
      </c>
      <c r="L61" s="30" t="str">
        <f ca="1">_xlfn.XLOOKUP(EFAbiertos[[#This Row],[Ticket '#]],Registro!$B$8:$B$997,Registro!$X$8:$X$997,"",0)</f>
        <v/>
      </c>
      <c r="M61" s="30" t="str">
        <f ca="1">_xlfn.XLOOKUP(EFAbiertos[[#This Row],[Ticket '#]],Registro!$B$8:$B$997,Registro!$Y$8:$Y$997,"",0)</f>
        <v/>
      </c>
      <c r="N6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2" spans="3:14" ht="28.5" customHeight="1">
      <c r="C62" s="2" t="str">
        <f ca="1">IF(D62="","",HYPERLINK("#"&amp;"Registro!B"&amp;MATCH(D62,Registro!$B$8:$B$997,0)+7,"Ubicar en registro"))</f>
        <v/>
      </c>
      <c r="D62" s="1" t="str">
        <f ca="1">IF(Programación!Q62="","",Programación!Q62)</f>
        <v/>
      </c>
      <c r="E62" s="1" t="str">
        <f ca="1">_xlfn.XLOOKUP(EFAbiertos[[#This Row],[Ticket '#]],Registro!$B$8:$B$997,Registro!$M$8:$M$997,"",0)</f>
        <v/>
      </c>
      <c r="F62" s="86" t="str">
        <f ca="1">_xlfn.XLOOKUP(EFAbiertos[[#This Row],[Ticket '#]],Registro!$B$8:$B$997,Registro!$H$8:$H$997,"",0)</f>
        <v/>
      </c>
      <c r="G62" s="26" t="str">
        <f ca="1">_xlfn.XLOOKUP(EFAbiertos[[#This Row],[Ticket '#]],Registro!$B$8:$B$997,Registro!$M$8:$M$997,"",0)</f>
        <v/>
      </c>
      <c r="H62" s="92" t="str">
        <f ca="1">_xlfn.XLOOKUP(EFAbiertos[[#This Row],[Ticket '#]],Registro!$B$8:$B$997,Registro!$S$8:$S$997,"",0)</f>
        <v/>
      </c>
      <c r="I62" s="58" t="str">
        <f t="shared" ca="1" si="1"/>
        <v/>
      </c>
      <c r="J62" s="30" t="str">
        <f ca="1">_xlfn.XLOOKUP(EFAbiertos[[#This Row],[Ticket '#]],Registro!$B$8:$B$997,Registro!$U$8:$U$997,"",0)</f>
        <v/>
      </c>
      <c r="K62" s="30" t="str">
        <f ca="1">_xlfn.XLOOKUP(EFAbiertos[[#This Row],[Ticket '#]],Registro!$B$8:$B$997,Registro!$W$8:$W$997,"",0)</f>
        <v/>
      </c>
      <c r="L62" s="30" t="str">
        <f ca="1">_xlfn.XLOOKUP(EFAbiertos[[#This Row],[Ticket '#]],Registro!$B$8:$B$997,Registro!$X$8:$X$997,"",0)</f>
        <v/>
      </c>
      <c r="M62" s="30" t="str">
        <f ca="1">_xlfn.XLOOKUP(EFAbiertos[[#This Row],[Ticket '#]],Registro!$B$8:$B$997,Registro!$Y$8:$Y$997,"",0)</f>
        <v/>
      </c>
      <c r="N6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3" spans="3:14" ht="28.5" customHeight="1">
      <c r="C63" s="2" t="str">
        <f ca="1">IF(D63="","",HYPERLINK("#"&amp;"Registro!B"&amp;MATCH(D63,Registro!$B$8:$B$997,0)+7,"Ubicar en registro"))</f>
        <v/>
      </c>
      <c r="D63" s="1" t="str">
        <f ca="1">IF(Programación!Q63="","",Programación!Q63)</f>
        <v/>
      </c>
      <c r="E63" s="1" t="str">
        <f ca="1">_xlfn.XLOOKUP(EFAbiertos[[#This Row],[Ticket '#]],Registro!$B$8:$B$997,Registro!$M$8:$M$997,"",0)</f>
        <v/>
      </c>
      <c r="F63" s="86" t="str">
        <f ca="1">_xlfn.XLOOKUP(EFAbiertos[[#This Row],[Ticket '#]],Registro!$B$8:$B$997,Registro!$H$8:$H$997,"",0)</f>
        <v/>
      </c>
      <c r="G63" s="26" t="str">
        <f ca="1">_xlfn.XLOOKUP(EFAbiertos[[#This Row],[Ticket '#]],Registro!$B$8:$B$997,Registro!$M$8:$M$997,"",0)</f>
        <v/>
      </c>
      <c r="H63" s="92" t="str">
        <f ca="1">_xlfn.XLOOKUP(EFAbiertos[[#This Row],[Ticket '#]],Registro!$B$8:$B$997,Registro!$S$8:$S$997,"",0)</f>
        <v/>
      </c>
      <c r="I63" s="58" t="str">
        <f t="shared" ca="1" si="1"/>
        <v/>
      </c>
      <c r="J63" s="30" t="str">
        <f ca="1">_xlfn.XLOOKUP(EFAbiertos[[#This Row],[Ticket '#]],Registro!$B$8:$B$997,Registro!$U$8:$U$997,"",0)</f>
        <v/>
      </c>
      <c r="K63" s="30" t="str">
        <f ca="1">_xlfn.XLOOKUP(EFAbiertos[[#This Row],[Ticket '#]],Registro!$B$8:$B$997,Registro!$W$8:$W$997,"",0)</f>
        <v/>
      </c>
      <c r="L63" s="30" t="str">
        <f ca="1">_xlfn.XLOOKUP(EFAbiertos[[#This Row],[Ticket '#]],Registro!$B$8:$B$997,Registro!$X$8:$X$997,"",0)</f>
        <v/>
      </c>
      <c r="M63" s="30" t="str">
        <f ca="1">_xlfn.XLOOKUP(EFAbiertos[[#This Row],[Ticket '#]],Registro!$B$8:$B$997,Registro!$Y$8:$Y$997,"",0)</f>
        <v/>
      </c>
      <c r="N6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4" spans="3:14" ht="28.5" customHeight="1">
      <c r="C64" s="2" t="str">
        <f ca="1">IF(D64="","",HYPERLINK("#"&amp;"Registro!B"&amp;MATCH(D64,Registro!$B$8:$B$997,0)+7,"Ubicar en registro"))</f>
        <v/>
      </c>
      <c r="D64" s="1" t="str">
        <f ca="1">IF(Programación!Q64="","",Programación!Q64)</f>
        <v/>
      </c>
      <c r="E64" s="1" t="str">
        <f ca="1">_xlfn.XLOOKUP(EFAbiertos[[#This Row],[Ticket '#]],Registro!$B$8:$B$997,Registro!$M$8:$M$997,"",0)</f>
        <v/>
      </c>
      <c r="F64" s="86" t="str">
        <f ca="1">_xlfn.XLOOKUP(EFAbiertos[[#This Row],[Ticket '#]],Registro!$B$8:$B$997,Registro!$H$8:$H$997,"",0)</f>
        <v/>
      </c>
      <c r="G64" s="26" t="str">
        <f ca="1">_xlfn.XLOOKUP(EFAbiertos[[#This Row],[Ticket '#]],Registro!$B$8:$B$997,Registro!$M$8:$M$997,"",0)</f>
        <v/>
      </c>
      <c r="H64" s="67" t="str">
        <f ca="1">_xlfn.XLOOKUP(EFAbiertos[[#This Row],[Ticket '#]],Registro!$B$8:$B$997,Registro!$S$8:$S$997,"",0)</f>
        <v/>
      </c>
      <c r="I64" s="58" t="str">
        <f t="shared" ca="1" si="1"/>
        <v/>
      </c>
      <c r="J64" s="30" t="str">
        <f ca="1">_xlfn.XLOOKUP(EFAbiertos[[#This Row],[Ticket '#]],Registro!$B$8:$B$997,Registro!$U$8:$U$997,"",0)</f>
        <v/>
      </c>
      <c r="K64" s="30" t="str">
        <f ca="1">_xlfn.XLOOKUP(EFAbiertos[[#This Row],[Ticket '#]],Registro!$B$8:$B$997,Registro!$W$8:$W$997,"",0)</f>
        <v/>
      </c>
      <c r="L64" s="30" t="str">
        <f ca="1">_xlfn.XLOOKUP(EFAbiertos[[#This Row],[Ticket '#]],Registro!$B$8:$B$997,Registro!$X$8:$X$997,"",0)</f>
        <v/>
      </c>
      <c r="M64" s="30" t="str">
        <f ca="1">_xlfn.XLOOKUP(EFAbiertos[[#This Row],[Ticket '#]],Registro!$B$8:$B$997,Registro!$Y$8:$Y$997,"",0)</f>
        <v/>
      </c>
      <c r="N6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5" spans="3:14" ht="28.5" customHeight="1">
      <c r="C65" s="2" t="str">
        <f ca="1">IF(D65="","",HYPERLINK("#"&amp;"Registro!B"&amp;MATCH(D65,Registro!$B$8:$B$997,0)+7,"Ubicar en registro"))</f>
        <v/>
      </c>
      <c r="D65" s="1" t="str">
        <f ca="1">IF(Programación!Q65="","",Programación!Q65)</f>
        <v/>
      </c>
      <c r="E65" s="1" t="str">
        <f ca="1">_xlfn.XLOOKUP(EFAbiertos[[#This Row],[Ticket '#]],Registro!$B$8:$B$997,Registro!$M$8:$M$997,"",0)</f>
        <v/>
      </c>
      <c r="F65" s="86" t="str">
        <f ca="1">_xlfn.XLOOKUP(EFAbiertos[[#This Row],[Ticket '#]],Registro!$B$8:$B$997,Registro!$H$8:$H$997,"",0)</f>
        <v/>
      </c>
      <c r="G65" s="26" t="str">
        <f ca="1">_xlfn.XLOOKUP(EFAbiertos[[#This Row],[Ticket '#]],Registro!$B$8:$B$997,Registro!$M$8:$M$997,"",0)</f>
        <v/>
      </c>
      <c r="H65" s="67" t="str">
        <f ca="1">_xlfn.XLOOKUP(EFAbiertos[[#This Row],[Ticket '#]],Registro!$B$8:$B$997,Registro!$S$8:$S$997,"",0)</f>
        <v/>
      </c>
      <c r="I65" s="58" t="str">
        <f t="shared" ca="1" si="1"/>
        <v/>
      </c>
      <c r="J65" s="30" t="str">
        <f ca="1">_xlfn.XLOOKUP(EFAbiertos[[#This Row],[Ticket '#]],Registro!$B$8:$B$997,Registro!$U$8:$U$997,"",0)</f>
        <v/>
      </c>
      <c r="K65" s="30" t="str">
        <f ca="1">_xlfn.XLOOKUP(EFAbiertos[[#This Row],[Ticket '#]],Registro!$B$8:$B$997,Registro!$W$8:$W$997,"",0)</f>
        <v/>
      </c>
      <c r="L65" s="30" t="str">
        <f ca="1">_xlfn.XLOOKUP(EFAbiertos[[#This Row],[Ticket '#]],Registro!$B$8:$B$997,Registro!$X$8:$X$997,"",0)</f>
        <v/>
      </c>
      <c r="M65" s="30" t="str">
        <f ca="1">_xlfn.XLOOKUP(EFAbiertos[[#This Row],[Ticket '#]],Registro!$B$8:$B$997,Registro!$Y$8:$Y$997,"",0)</f>
        <v/>
      </c>
      <c r="N6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6" spans="3:14" ht="28.5" customHeight="1">
      <c r="C66" s="2" t="str">
        <f ca="1">IF(D66="","",HYPERLINK("#"&amp;"Registro!B"&amp;MATCH(D66,Registro!$B$8:$B$997,0)+7,"Ubicar en registro"))</f>
        <v/>
      </c>
      <c r="D66" s="1" t="str">
        <f ca="1">IF(Programación!Q66="","",Programación!Q66)</f>
        <v/>
      </c>
      <c r="E66" s="1" t="str">
        <f ca="1">_xlfn.XLOOKUP(EFAbiertos[[#This Row],[Ticket '#]],Registro!$B$8:$B$997,Registro!$M$8:$M$997,"",0)</f>
        <v/>
      </c>
      <c r="F66" s="86" t="str">
        <f ca="1">_xlfn.XLOOKUP(EFAbiertos[[#This Row],[Ticket '#]],Registro!$B$8:$B$997,Registro!$H$8:$H$997,"",0)</f>
        <v/>
      </c>
      <c r="G66" s="26" t="str">
        <f ca="1">_xlfn.XLOOKUP(EFAbiertos[[#This Row],[Ticket '#]],Registro!$B$8:$B$997,Registro!$M$8:$M$997,"",0)</f>
        <v/>
      </c>
      <c r="H66" s="67" t="str">
        <f ca="1">_xlfn.XLOOKUP(EFAbiertos[[#This Row],[Ticket '#]],Registro!$B$8:$B$997,Registro!$S$8:$S$997,"",0)</f>
        <v/>
      </c>
      <c r="I66" s="58" t="str">
        <f t="shared" ca="1" si="1"/>
        <v/>
      </c>
      <c r="J66" s="30" t="str">
        <f ca="1">_xlfn.XLOOKUP(EFAbiertos[[#This Row],[Ticket '#]],Registro!$B$8:$B$997,Registro!$U$8:$U$997,"",0)</f>
        <v/>
      </c>
      <c r="K66" s="30" t="str">
        <f ca="1">_xlfn.XLOOKUP(EFAbiertos[[#This Row],[Ticket '#]],Registro!$B$8:$B$997,Registro!$W$8:$W$997,"",0)</f>
        <v/>
      </c>
      <c r="L66" s="30" t="str">
        <f ca="1">_xlfn.XLOOKUP(EFAbiertos[[#This Row],[Ticket '#]],Registro!$B$8:$B$997,Registro!$X$8:$X$997,"",0)</f>
        <v/>
      </c>
      <c r="M66" s="30" t="str">
        <f ca="1">_xlfn.XLOOKUP(EFAbiertos[[#This Row],[Ticket '#]],Registro!$B$8:$B$997,Registro!$Y$8:$Y$997,"",0)</f>
        <v/>
      </c>
      <c r="N6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7" spans="3:14" ht="28.5" customHeight="1">
      <c r="C67" s="2" t="str">
        <f ca="1">IF(D67="","",HYPERLINK("#"&amp;"Registro!B"&amp;MATCH(D67,Registro!$B$8:$B$997,0)+7,"Ubicar en registro"))</f>
        <v/>
      </c>
      <c r="D67" s="1" t="str">
        <f ca="1">IF(Programación!Q67="","",Programación!Q67)</f>
        <v/>
      </c>
      <c r="E67" s="1" t="str">
        <f ca="1">_xlfn.XLOOKUP(EFAbiertos[[#This Row],[Ticket '#]],Registro!$B$8:$B$997,Registro!$M$8:$M$997,"",0)</f>
        <v/>
      </c>
      <c r="F67" s="86" t="str">
        <f ca="1">_xlfn.XLOOKUP(EFAbiertos[[#This Row],[Ticket '#]],Registro!$B$8:$B$997,Registro!$H$8:$H$997,"",0)</f>
        <v/>
      </c>
      <c r="G67" s="26" t="str">
        <f ca="1">_xlfn.XLOOKUP(EFAbiertos[[#This Row],[Ticket '#]],Registro!$B$8:$B$997,Registro!$M$8:$M$997,"",0)</f>
        <v/>
      </c>
      <c r="H67" s="67" t="str">
        <f ca="1">_xlfn.XLOOKUP(EFAbiertos[[#This Row],[Ticket '#]],Registro!$B$8:$B$997,Registro!$S$8:$S$997,"",0)</f>
        <v/>
      </c>
      <c r="I67" s="58" t="str">
        <f t="shared" ca="1" si="1"/>
        <v/>
      </c>
      <c r="J67" s="30" t="str">
        <f ca="1">_xlfn.XLOOKUP(EFAbiertos[[#This Row],[Ticket '#]],Registro!$B$8:$B$997,Registro!$U$8:$U$997,"",0)</f>
        <v/>
      </c>
      <c r="K67" s="30" t="str">
        <f ca="1">_xlfn.XLOOKUP(EFAbiertos[[#This Row],[Ticket '#]],Registro!$B$8:$B$997,Registro!$W$8:$W$997,"",0)</f>
        <v/>
      </c>
      <c r="L67" s="30" t="str">
        <f ca="1">_xlfn.XLOOKUP(EFAbiertos[[#This Row],[Ticket '#]],Registro!$B$8:$B$997,Registro!$X$8:$X$997,"",0)</f>
        <v/>
      </c>
      <c r="M67" s="30" t="str">
        <f ca="1">_xlfn.XLOOKUP(EFAbiertos[[#This Row],[Ticket '#]],Registro!$B$8:$B$997,Registro!$Y$8:$Y$997,"",0)</f>
        <v/>
      </c>
      <c r="N6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8" spans="3:14" ht="28.5" customHeight="1">
      <c r="C68" s="2" t="str">
        <f ca="1">IF(D68="","",HYPERLINK("#"&amp;"Registro!B"&amp;MATCH(D68,Registro!$B$8:$B$997,0)+7,"Ubicar en registro"))</f>
        <v/>
      </c>
      <c r="D68" s="1" t="str">
        <f ca="1">IF(Programación!Q68="","",Programación!Q68)</f>
        <v/>
      </c>
      <c r="E68" s="1" t="str">
        <f ca="1">_xlfn.XLOOKUP(EFAbiertos[[#This Row],[Ticket '#]],Registro!$B$8:$B$997,Registro!$M$8:$M$997,"",0)</f>
        <v/>
      </c>
      <c r="F68" s="86" t="str">
        <f ca="1">_xlfn.XLOOKUP(EFAbiertos[[#This Row],[Ticket '#]],Registro!$B$8:$B$997,Registro!$H$8:$H$997,"",0)</f>
        <v/>
      </c>
      <c r="G68" s="26" t="str">
        <f ca="1">_xlfn.XLOOKUP(EFAbiertos[[#This Row],[Ticket '#]],Registro!$B$8:$B$997,Registro!$M$8:$M$997,"",0)</f>
        <v/>
      </c>
      <c r="H68" s="67" t="str">
        <f ca="1">_xlfn.XLOOKUP(EFAbiertos[[#This Row],[Ticket '#]],Registro!$B$8:$B$997,Registro!$S$8:$S$997,"",0)</f>
        <v/>
      </c>
      <c r="I68" s="58" t="str">
        <f t="shared" ca="1" si="1"/>
        <v/>
      </c>
      <c r="J68" s="30" t="str">
        <f ca="1">_xlfn.XLOOKUP(EFAbiertos[[#This Row],[Ticket '#]],Registro!$B$8:$B$997,Registro!$U$8:$U$997,"",0)</f>
        <v/>
      </c>
      <c r="K68" s="30" t="str">
        <f ca="1">_xlfn.XLOOKUP(EFAbiertos[[#This Row],[Ticket '#]],Registro!$B$8:$B$997,Registro!$W$8:$W$997,"",0)</f>
        <v/>
      </c>
      <c r="L68" s="30" t="str">
        <f ca="1">_xlfn.XLOOKUP(EFAbiertos[[#This Row],[Ticket '#]],Registro!$B$8:$B$997,Registro!$X$8:$X$997,"",0)</f>
        <v/>
      </c>
      <c r="M68" s="30" t="str">
        <f ca="1">_xlfn.XLOOKUP(EFAbiertos[[#This Row],[Ticket '#]],Registro!$B$8:$B$997,Registro!$Y$8:$Y$997,"",0)</f>
        <v/>
      </c>
      <c r="N6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69" spans="3:14" ht="28.5" customHeight="1">
      <c r="C69" s="2" t="str">
        <f ca="1">IF(D69="","",HYPERLINK("#"&amp;"Registro!B"&amp;MATCH(D69,Registro!$B$8:$B$997,0)+7,"Ubicar en registro"))</f>
        <v/>
      </c>
      <c r="D69" s="1" t="str">
        <f ca="1">IF(Programación!Q69="","",Programación!Q69)</f>
        <v/>
      </c>
      <c r="E69" s="1" t="str">
        <f ca="1">_xlfn.XLOOKUP(EFAbiertos[[#This Row],[Ticket '#]],Registro!$B$8:$B$997,Registro!$M$8:$M$997,"",0)</f>
        <v/>
      </c>
      <c r="F69" s="86" t="str">
        <f ca="1">_xlfn.XLOOKUP(EFAbiertos[[#This Row],[Ticket '#]],Registro!$B$8:$B$997,Registro!$H$8:$H$997,"",0)</f>
        <v/>
      </c>
      <c r="G69" s="26" t="str">
        <f ca="1">_xlfn.XLOOKUP(EFAbiertos[[#This Row],[Ticket '#]],Registro!$B$8:$B$997,Registro!$M$8:$M$997,"",0)</f>
        <v/>
      </c>
      <c r="H69" s="67" t="str">
        <f ca="1">_xlfn.XLOOKUP(EFAbiertos[[#This Row],[Ticket '#]],Registro!$B$8:$B$997,Registro!$S$8:$S$997,"",0)</f>
        <v/>
      </c>
      <c r="I69" s="58" t="str">
        <f t="shared" ca="1" si="1"/>
        <v/>
      </c>
      <c r="J69" s="30" t="str">
        <f ca="1">_xlfn.XLOOKUP(EFAbiertos[[#This Row],[Ticket '#]],Registro!$B$8:$B$997,Registro!$U$8:$U$997,"",0)</f>
        <v/>
      </c>
      <c r="K69" s="30" t="str">
        <f ca="1">_xlfn.XLOOKUP(EFAbiertos[[#This Row],[Ticket '#]],Registro!$B$8:$B$997,Registro!$W$8:$W$997,"",0)</f>
        <v/>
      </c>
      <c r="L69" s="30" t="str">
        <f ca="1">_xlfn.XLOOKUP(EFAbiertos[[#This Row],[Ticket '#]],Registro!$B$8:$B$997,Registro!$X$8:$X$997,"",0)</f>
        <v/>
      </c>
      <c r="M69" s="30" t="str">
        <f ca="1">_xlfn.XLOOKUP(EFAbiertos[[#This Row],[Ticket '#]],Registro!$B$8:$B$997,Registro!$Y$8:$Y$997,"",0)</f>
        <v/>
      </c>
      <c r="N6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0" spans="3:14" ht="28.5" customHeight="1">
      <c r="C70" s="2" t="str">
        <f ca="1">IF(D70="","",HYPERLINK("#"&amp;"Registro!B"&amp;MATCH(D70,Registro!$B$8:$B$997,0)+7,"Ubicar en registro"))</f>
        <v/>
      </c>
      <c r="D70" s="1" t="str">
        <f ca="1">IF(Programación!Q70="","",Programación!Q70)</f>
        <v/>
      </c>
      <c r="E70" s="1" t="str">
        <f ca="1">_xlfn.XLOOKUP(EFAbiertos[[#This Row],[Ticket '#]],Registro!$B$8:$B$997,Registro!$M$8:$M$997,"",0)</f>
        <v/>
      </c>
      <c r="F70" s="86" t="str">
        <f ca="1">_xlfn.XLOOKUP(EFAbiertos[[#This Row],[Ticket '#]],Registro!$B$8:$B$997,Registro!$H$8:$H$997,"",0)</f>
        <v/>
      </c>
      <c r="G70" s="26" t="str">
        <f ca="1">_xlfn.XLOOKUP(EFAbiertos[[#This Row],[Ticket '#]],Registro!$B$8:$B$997,Registro!$M$8:$M$997,"",0)</f>
        <v/>
      </c>
      <c r="H70" s="67" t="str">
        <f ca="1">_xlfn.XLOOKUP(EFAbiertos[[#This Row],[Ticket '#]],Registro!$B$8:$B$997,Registro!$S$8:$S$997,"",0)</f>
        <v/>
      </c>
      <c r="I70" s="58" t="str">
        <f t="shared" ca="1" si="1"/>
        <v/>
      </c>
      <c r="J70" s="30" t="str">
        <f ca="1">_xlfn.XLOOKUP(EFAbiertos[[#This Row],[Ticket '#]],Registro!$B$8:$B$997,Registro!$U$8:$U$997,"",0)</f>
        <v/>
      </c>
      <c r="K70" s="30" t="str">
        <f ca="1">_xlfn.XLOOKUP(EFAbiertos[[#This Row],[Ticket '#]],Registro!$B$8:$B$997,Registro!$W$8:$W$997,"",0)</f>
        <v/>
      </c>
      <c r="L70" s="30" t="str">
        <f ca="1">_xlfn.XLOOKUP(EFAbiertos[[#This Row],[Ticket '#]],Registro!$B$8:$B$997,Registro!$X$8:$X$997,"",0)</f>
        <v/>
      </c>
      <c r="M70" s="30" t="str">
        <f ca="1">_xlfn.XLOOKUP(EFAbiertos[[#This Row],[Ticket '#]],Registro!$B$8:$B$997,Registro!$Y$8:$Y$997,"",0)</f>
        <v/>
      </c>
      <c r="N7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1" spans="3:14" ht="28.5" customHeight="1">
      <c r="C71" s="2" t="str">
        <f ca="1">IF(D71="","",HYPERLINK("#"&amp;"Registro!B"&amp;MATCH(D71,Registro!$B$8:$B$997,0)+7,"Ubicar en registro"))</f>
        <v/>
      </c>
      <c r="D71" s="1" t="str">
        <f ca="1">IF(Programación!Q71="","",Programación!Q71)</f>
        <v/>
      </c>
      <c r="E71" s="1" t="str">
        <f ca="1">_xlfn.XLOOKUP(EFAbiertos[[#This Row],[Ticket '#]],Registro!$B$8:$B$997,Registro!$M$8:$M$997,"",0)</f>
        <v/>
      </c>
      <c r="F71" s="86" t="str">
        <f ca="1">_xlfn.XLOOKUP(EFAbiertos[[#This Row],[Ticket '#]],Registro!$B$8:$B$997,Registro!$H$8:$H$997,"",0)</f>
        <v/>
      </c>
      <c r="G71" s="26" t="str">
        <f ca="1">_xlfn.XLOOKUP(EFAbiertos[[#This Row],[Ticket '#]],Registro!$B$8:$B$997,Registro!$M$8:$M$997,"",0)</f>
        <v/>
      </c>
      <c r="H71" s="67" t="str">
        <f ca="1">_xlfn.XLOOKUP(EFAbiertos[[#This Row],[Ticket '#]],Registro!$B$8:$B$997,Registro!$S$8:$S$997,"",0)</f>
        <v/>
      </c>
      <c r="I71" s="58" t="str">
        <f t="shared" ca="1" si="1"/>
        <v/>
      </c>
      <c r="J71" s="30" t="str">
        <f ca="1">_xlfn.XLOOKUP(EFAbiertos[[#This Row],[Ticket '#]],Registro!$B$8:$B$997,Registro!$U$8:$U$997,"",0)</f>
        <v/>
      </c>
      <c r="K71" s="30" t="str">
        <f ca="1">_xlfn.XLOOKUP(EFAbiertos[[#This Row],[Ticket '#]],Registro!$B$8:$B$997,Registro!$W$8:$W$997,"",0)</f>
        <v/>
      </c>
      <c r="L71" s="30" t="str">
        <f ca="1">_xlfn.XLOOKUP(EFAbiertos[[#This Row],[Ticket '#]],Registro!$B$8:$B$997,Registro!$X$8:$X$997,"",0)</f>
        <v/>
      </c>
      <c r="M71" s="30" t="str">
        <f ca="1">_xlfn.XLOOKUP(EFAbiertos[[#This Row],[Ticket '#]],Registro!$B$8:$B$997,Registro!$Y$8:$Y$997,"",0)</f>
        <v/>
      </c>
      <c r="N7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2" spans="3:14" ht="28.5" customHeight="1">
      <c r="C72" s="2" t="str">
        <f ca="1">IF(D72="","",HYPERLINK("#"&amp;"Registro!B"&amp;MATCH(D72,Registro!$B$8:$B$997,0)+7,"Ubicar en registro"))</f>
        <v/>
      </c>
      <c r="D72" s="1" t="str">
        <f ca="1">IF(Programación!Q72="","",Programación!Q72)</f>
        <v/>
      </c>
      <c r="E72" s="1" t="str">
        <f ca="1">_xlfn.XLOOKUP(EFAbiertos[[#This Row],[Ticket '#]],Registro!$B$8:$B$997,Registro!$M$8:$M$997,"",0)</f>
        <v/>
      </c>
      <c r="F72" s="86" t="str">
        <f ca="1">_xlfn.XLOOKUP(EFAbiertos[[#This Row],[Ticket '#]],Registro!$B$8:$B$997,Registro!$H$8:$H$997,"",0)</f>
        <v/>
      </c>
      <c r="G72" s="26" t="str">
        <f ca="1">_xlfn.XLOOKUP(EFAbiertos[[#This Row],[Ticket '#]],Registro!$B$8:$B$997,Registro!$M$8:$M$997,"",0)</f>
        <v/>
      </c>
      <c r="H72" s="67" t="str">
        <f ca="1">_xlfn.XLOOKUP(EFAbiertos[[#This Row],[Ticket '#]],Registro!$B$8:$B$997,Registro!$S$8:$S$997,"",0)</f>
        <v/>
      </c>
      <c r="I72" s="58" t="str">
        <f t="shared" ca="1" si="1"/>
        <v/>
      </c>
      <c r="J72" s="30" t="str">
        <f ca="1">_xlfn.XLOOKUP(EFAbiertos[[#This Row],[Ticket '#]],Registro!$B$8:$B$997,Registro!$U$8:$U$997,"",0)</f>
        <v/>
      </c>
      <c r="K72" s="30" t="str">
        <f ca="1">_xlfn.XLOOKUP(EFAbiertos[[#This Row],[Ticket '#]],Registro!$B$8:$B$997,Registro!$W$8:$W$997,"",0)</f>
        <v/>
      </c>
      <c r="L72" s="30" t="str">
        <f ca="1">_xlfn.XLOOKUP(EFAbiertos[[#This Row],[Ticket '#]],Registro!$B$8:$B$997,Registro!$X$8:$X$997,"",0)</f>
        <v/>
      </c>
      <c r="M72" s="30" t="str">
        <f ca="1">_xlfn.XLOOKUP(EFAbiertos[[#This Row],[Ticket '#]],Registro!$B$8:$B$997,Registro!$Y$8:$Y$997,"",0)</f>
        <v/>
      </c>
      <c r="N7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3" spans="3:14" ht="28.5" customHeight="1">
      <c r="C73" s="2" t="str">
        <f ca="1">IF(D73="","",HYPERLINK("#"&amp;"Registro!B"&amp;MATCH(D73,Registro!$B$8:$B$997,0)+7,"Ubicar en registro"))</f>
        <v/>
      </c>
      <c r="D73" s="1" t="str">
        <f ca="1">IF(Programación!Q73="","",Programación!Q73)</f>
        <v/>
      </c>
      <c r="E73" s="1" t="str">
        <f ca="1">_xlfn.XLOOKUP(EFAbiertos[[#This Row],[Ticket '#]],Registro!$B$8:$B$997,Registro!$M$8:$M$997,"",0)</f>
        <v/>
      </c>
      <c r="F73" s="86" t="str">
        <f ca="1">_xlfn.XLOOKUP(EFAbiertos[[#This Row],[Ticket '#]],Registro!$B$8:$B$997,Registro!$H$8:$H$997,"",0)</f>
        <v/>
      </c>
      <c r="G73" s="26" t="str">
        <f ca="1">_xlfn.XLOOKUP(EFAbiertos[[#This Row],[Ticket '#]],Registro!$B$8:$B$997,Registro!$M$8:$M$997,"",0)</f>
        <v/>
      </c>
      <c r="H73" s="67" t="str">
        <f ca="1">_xlfn.XLOOKUP(EFAbiertos[[#This Row],[Ticket '#]],Registro!$B$8:$B$997,Registro!$S$8:$S$997,"",0)</f>
        <v/>
      </c>
      <c r="I73" s="58" t="str">
        <f t="shared" ref="I73:I104" ca="1" si="2">IF(J73="","",IF(J73=K73,1,0))</f>
        <v/>
      </c>
      <c r="J73" s="30" t="str">
        <f ca="1">_xlfn.XLOOKUP(EFAbiertos[[#This Row],[Ticket '#]],Registro!$B$8:$B$997,Registro!$U$8:$U$997,"",0)</f>
        <v/>
      </c>
      <c r="K73" s="30" t="str">
        <f ca="1">_xlfn.XLOOKUP(EFAbiertos[[#This Row],[Ticket '#]],Registro!$B$8:$B$997,Registro!$W$8:$W$997,"",0)</f>
        <v/>
      </c>
      <c r="L73" s="30" t="str">
        <f ca="1">_xlfn.XLOOKUP(EFAbiertos[[#This Row],[Ticket '#]],Registro!$B$8:$B$997,Registro!$X$8:$X$997,"",0)</f>
        <v/>
      </c>
      <c r="M73" s="30" t="str">
        <f ca="1">_xlfn.XLOOKUP(EFAbiertos[[#This Row],[Ticket '#]],Registro!$B$8:$B$997,Registro!$Y$8:$Y$997,"",0)</f>
        <v/>
      </c>
      <c r="N7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4" spans="3:14" ht="28.5" customHeight="1">
      <c r="C74" s="2" t="str">
        <f ca="1">IF(D74="","",HYPERLINK("#"&amp;"Registro!B"&amp;MATCH(D74,Registro!$B$8:$B$997,0)+7,"Ubicar en registro"))</f>
        <v/>
      </c>
      <c r="D74" s="1" t="str">
        <f ca="1">IF(Programación!Q74="","",Programación!Q74)</f>
        <v/>
      </c>
      <c r="E74" s="1" t="str">
        <f ca="1">_xlfn.XLOOKUP(EFAbiertos[[#This Row],[Ticket '#]],Registro!$B$8:$B$997,Registro!$M$8:$M$997,"",0)</f>
        <v/>
      </c>
      <c r="F74" s="86" t="str">
        <f ca="1">_xlfn.XLOOKUP(EFAbiertos[[#This Row],[Ticket '#]],Registro!$B$8:$B$997,Registro!$H$8:$H$997,"",0)</f>
        <v/>
      </c>
      <c r="G74" s="26" t="str">
        <f ca="1">_xlfn.XLOOKUP(EFAbiertos[[#This Row],[Ticket '#]],Registro!$B$8:$B$997,Registro!$M$8:$M$997,"",0)</f>
        <v/>
      </c>
      <c r="H74" s="67" t="str">
        <f ca="1">_xlfn.XLOOKUP(EFAbiertos[[#This Row],[Ticket '#]],Registro!$B$8:$B$997,Registro!$S$8:$S$997,"",0)</f>
        <v/>
      </c>
      <c r="I74" s="58" t="str">
        <f t="shared" ca="1" si="2"/>
        <v/>
      </c>
      <c r="J74" s="30" t="str">
        <f ca="1">_xlfn.XLOOKUP(EFAbiertos[[#This Row],[Ticket '#]],Registro!$B$8:$B$997,Registro!$U$8:$U$997,"",0)</f>
        <v/>
      </c>
      <c r="K74" s="30" t="str">
        <f ca="1">_xlfn.XLOOKUP(EFAbiertos[[#This Row],[Ticket '#]],Registro!$B$8:$B$997,Registro!$W$8:$W$997,"",0)</f>
        <v/>
      </c>
      <c r="L74" s="30" t="str">
        <f ca="1">_xlfn.XLOOKUP(EFAbiertos[[#This Row],[Ticket '#]],Registro!$B$8:$B$997,Registro!$X$8:$X$997,"",0)</f>
        <v/>
      </c>
      <c r="M74" s="30" t="str">
        <f ca="1">_xlfn.XLOOKUP(EFAbiertos[[#This Row],[Ticket '#]],Registro!$B$8:$B$997,Registro!$Y$8:$Y$997,"",0)</f>
        <v/>
      </c>
      <c r="N7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5" spans="3:14" ht="28.5" customHeight="1">
      <c r="C75" s="2" t="str">
        <f ca="1">IF(D75="","",HYPERLINK("#"&amp;"Registro!B"&amp;MATCH(D75,Registro!$B$8:$B$997,0)+7,"Ubicar en registro"))</f>
        <v/>
      </c>
      <c r="D75" s="1" t="str">
        <f ca="1">IF(Programación!Q75="","",Programación!Q75)</f>
        <v/>
      </c>
      <c r="E75" s="1" t="str">
        <f ca="1">_xlfn.XLOOKUP(EFAbiertos[[#This Row],[Ticket '#]],Registro!$B$8:$B$997,Registro!$M$8:$M$997,"",0)</f>
        <v/>
      </c>
      <c r="F75" s="86" t="str">
        <f ca="1">_xlfn.XLOOKUP(EFAbiertos[[#This Row],[Ticket '#]],Registro!$B$8:$B$997,Registro!$H$8:$H$997,"",0)</f>
        <v/>
      </c>
      <c r="G75" s="26" t="str">
        <f ca="1">_xlfn.XLOOKUP(EFAbiertos[[#This Row],[Ticket '#]],Registro!$B$8:$B$997,Registro!$M$8:$M$997,"",0)</f>
        <v/>
      </c>
      <c r="H75" s="67" t="str">
        <f ca="1">_xlfn.XLOOKUP(EFAbiertos[[#This Row],[Ticket '#]],Registro!$B$8:$B$997,Registro!$S$8:$S$997,"",0)</f>
        <v/>
      </c>
      <c r="I75" s="58" t="str">
        <f t="shared" ca="1" si="2"/>
        <v/>
      </c>
      <c r="J75" s="30" t="str">
        <f ca="1">_xlfn.XLOOKUP(EFAbiertos[[#This Row],[Ticket '#]],Registro!$B$8:$B$997,Registro!$U$8:$U$997,"",0)</f>
        <v/>
      </c>
      <c r="K75" s="30" t="str">
        <f ca="1">_xlfn.XLOOKUP(EFAbiertos[[#This Row],[Ticket '#]],Registro!$B$8:$B$997,Registro!$W$8:$W$997,"",0)</f>
        <v/>
      </c>
      <c r="L75" s="30" t="str">
        <f ca="1">_xlfn.XLOOKUP(EFAbiertos[[#This Row],[Ticket '#]],Registro!$B$8:$B$997,Registro!$X$8:$X$997,"",0)</f>
        <v/>
      </c>
      <c r="M75" s="30" t="str">
        <f ca="1">_xlfn.XLOOKUP(EFAbiertos[[#This Row],[Ticket '#]],Registro!$B$8:$B$997,Registro!$Y$8:$Y$997,"",0)</f>
        <v/>
      </c>
      <c r="N7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6" spans="3:14" ht="28.5" customHeight="1">
      <c r="C76" s="2" t="str">
        <f ca="1">IF(D76="","",HYPERLINK("#"&amp;"Registro!B"&amp;MATCH(D76,Registro!$B$8:$B$997,0)+7,"Ubicar en registro"))</f>
        <v/>
      </c>
      <c r="D76" s="1" t="str">
        <f ca="1">IF(Programación!Q76="","",Programación!Q76)</f>
        <v/>
      </c>
      <c r="E76" s="1" t="str">
        <f ca="1">_xlfn.XLOOKUP(EFAbiertos[[#This Row],[Ticket '#]],Registro!$B$8:$B$997,Registro!$M$8:$M$997,"",0)</f>
        <v/>
      </c>
      <c r="F76" s="86" t="str">
        <f ca="1">_xlfn.XLOOKUP(EFAbiertos[[#This Row],[Ticket '#]],Registro!$B$8:$B$997,Registro!$H$8:$H$997,"",0)</f>
        <v/>
      </c>
      <c r="G76" s="26" t="str">
        <f ca="1">_xlfn.XLOOKUP(EFAbiertos[[#This Row],[Ticket '#]],Registro!$B$8:$B$997,Registro!$M$8:$M$997,"",0)</f>
        <v/>
      </c>
      <c r="H76" s="67" t="str">
        <f ca="1">_xlfn.XLOOKUP(EFAbiertos[[#This Row],[Ticket '#]],Registro!$B$8:$B$997,Registro!$S$8:$S$997,"",0)</f>
        <v/>
      </c>
      <c r="I76" s="58" t="str">
        <f t="shared" ca="1" si="2"/>
        <v/>
      </c>
      <c r="J76" s="30" t="str">
        <f ca="1">_xlfn.XLOOKUP(EFAbiertos[[#This Row],[Ticket '#]],Registro!$B$8:$B$997,Registro!$U$8:$U$997,"",0)</f>
        <v/>
      </c>
      <c r="K76" s="30" t="str">
        <f ca="1">_xlfn.XLOOKUP(EFAbiertos[[#This Row],[Ticket '#]],Registro!$B$8:$B$997,Registro!$W$8:$W$997,"",0)</f>
        <v/>
      </c>
      <c r="L76" s="30" t="str">
        <f ca="1">_xlfn.XLOOKUP(EFAbiertos[[#This Row],[Ticket '#]],Registro!$B$8:$B$997,Registro!$X$8:$X$997,"",0)</f>
        <v/>
      </c>
      <c r="M76" s="30" t="str">
        <f ca="1">_xlfn.XLOOKUP(EFAbiertos[[#This Row],[Ticket '#]],Registro!$B$8:$B$997,Registro!$Y$8:$Y$997,"",0)</f>
        <v/>
      </c>
      <c r="N7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7" spans="3:14" ht="28.5" customHeight="1">
      <c r="C77" s="2" t="str">
        <f ca="1">IF(D77="","",HYPERLINK("#"&amp;"Registro!B"&amp;MATCH(D77,Registro!$B$8:$B$997,0)+7,"Ubicar en registro"))</f>
        <v/>
      </c>
      <c r="D77" s="1" t="str">
        <f ca="1">IF(Programación!Q77="","",Programación!Q77)</f>
        <v/>
      </c>
      <c r="E77" s="1" t="str">
        <f ca="1">_xlfn.XLOOKUP(EFAbiertos[[#This Row],[Ticket '#]],Registro!$B$8:$B$997,Registro!$M$8:$M$997,"",0)</f>
        <v/>
      </c>
      <c r="F77" s="86" t="str">
        <f ca="1">_xlfn.XLOOKUP(EFAbiertos[[#This Row],[Ticket '#]],Registro!$B$8:$B$997,Registro!$H$8:$H$997,"",0)</f>
        <v/>
      </c>
      <c r="G77" s="26" t="str">
        <f ca="1">_xlfn.XLOOKUP(EFAbiertos[[#This Row],[Ticket '#]],Registro!$B$8:$B$997,Registro!$M$8:$M$997,"",0)</f>
        <v/>
      </c>
      <c r="H77" s="67" t="str">
        <f ca="1">_xlfn.XLOOKUP(EFAbiertos[[#This Row],[Ticket '#]],Registro!$B$8:$B$997,Registro!$S$8:$S$997,"",0)</f>
        <v/>
      </c>
      <c r="I77" s="58" t="str">
        <f t="shared" ca="1" si="2"/>
        <v/>
      </c>
      <c r="J77" s="30" t="str">
        <f ca="1">_xlfn.XLOOKUP(EFAbiertos[[#This Row],[Ticket '#]],Registro!$B$8:$B$997,Registro!$U$8:$U$997,"",0)</f>
        <v/>
      </c>
      <c r="K77" s="30" t="str">
        <f ca="1">_xlfn.XLOOKUP(EFAbiertos[[#This Row],[Ticket '#]],Registro!$B$8:$B$997,Registro!$W$8:$W$997,"",0)</f>
        <v/>
      </c>
      <c r="L77" s="30" t="str">
        <f ca="1">_xlfn.XLOOKUP(EFAbiertos[[#This Row],[Ticket '#]],Registro!$B$8:$B$997,Registro!$X$8:$X$997,"",0)</f>
        <v/>
      </c>
      <c r="M77" s="30" t="str">
        <f ca="1">_xlfn.XLOOKUP(EFAbiertos[[#This Row],[Ticket '#]],Registro!$B$8:$B$997,Registro!$Y$8:$Y$997,"",0)</f>
        <v/>
      </c>
      <c r="N7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8" spans="3:14" ht="28.5" customHeight="1">
      <c r="C78" s="2" t="str">
        <f ca="1">IF(D78="","",HYPERLINK("#"&amp;"Registro!B"&amp;MATCH(D78,Registro!$B$8:$B$997,0)+7,"Ubicar en registro"))</f>
        <v/>
      </c>
      <c r="D78" s="1" t="str">
        <f ca="1">IF(Programación!Q78="","",Programación!Q78)</f>
        <v/>
      </c>
      <c r="E78" s="1" t="str">
        <f ca="1">_xlfn.XLOOKUP(EFAbiertos[[#This Row],[Ticket '#]],Registro!$B$8:$B$997,Registro!$M$8:$M$997,"",0)</f>
        <v/>
      </c>
      <c r="F78" s="86" t="str">
        <f ca="1">_xlfn.XLOOKUP(EFAbiertos[[#This Row],[Ticket '#]],Registro!$B$8:$B$997,Registro!$H$8:$H$997,"",0)</f>
        <v/>
      </c>
      <c r="G78" s="26" t="str">
        <f ca="1">_xlfn.XLOOKUP(EFAbiertos[[#This Row],[Ticket '#]],Registro!$B$8:$B$997,Registro!$M$8:$M$997,"",0)</f>
        <v/>
      </c>
      <c r="H78" s="67" t="str">
        <f ca="1">_xlfn.XLOOKUP(EFAbiertos[[#This Row],[Ticket '#]],Registro!$B$8:$B$997,Registro!$S$8:$S$997,"",0)</f>
        <v/>
      </c>
      <c r="I78" s="58" t="str">
        <f t="shared" ca="1" si="2"/>
        <v/>
      </c>
      <c r="J78" s="30" t="str">
        <f ca="1">_xlfn.XLOOKUP(EFAbiertos[[#This Row],[Ticket '#]],Registro!$B$8:$B$997,Registro!$U$8:$U$997,"",0)</f>
        <v/>
      </c>
      <c r="K78" s="30" t="str">
        <f ca="1">_xlfn.XLOOKUP(EFAbiertos[[#This Row],[Ticket '#]],Registro!$B$8:$B$997,Registro!$W$8:$W$997,"",0)</f>
        <v/>
      </c>
      <c r="L78" s="30" t="str">
        <f ca="1">_xlfn.XLOOKUP(EFAbiertos[[#This Row],[Ticket '#]],Registro!$B$8:$B$997,Registro!$X$8:$X$997,"",0)</f>
        <v/>
      </c>
      <c r="M78" s="30" t="str">
        <f ca="1">_xlfn.XLOOKUP(EFAbiertos[[#This Row],[Ticket '#]],Registro!$B$8:$B$997,Registro!$Y$8:$Y$997,"",0)</f>
        <v/>
      </c>
      <c r="N7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79" spans="3:14" ht="28.5" customHeight="1">
      <c r="C79" s="2" t="str">
        <f ca="1">IF(D79="","",HYPERLINK("#"&amp;"Registro!B"&amp;MATCH(D79,Registro!$B$8:$B$997,0)+7,"Ubicar en registro"))</f>
        <v/>
      </c>
      <c r="D79" s="1" t="str">
        <f ca="1">IF(Programación!Q79="","",Programación!Q79)</f>
        <v/>
      </c>
      <c r="E79" s="1" t="str">
        <f ca="1">_xlfn.XLOOKUP(EFAbiertos[[#This Row],[Ticket '#]],Registro!$B$8:$B$997,Registro!$M$8:$M$997,"",0)</f>
        <v/>
      </c>
      <c r="F79" s="86" t="str">
        <f ca="1">_xlfn.XLOOKUP(EFAbiertos[[#This Row],[Ticket '#]],Registro!$B$8:$B$997,Registro!$H$8:$H$997,"",0)</f>
        <v/>
      </c>
      <c r="G79" s="26" t="str">
        <f ca="1">_xlfn.XLOOKUP(EFAbiertos[[#This Row],[Ticket '#]],Registro!$B$8:$B$997,Registro!$M$8:$M$997,"",0)</f>
        <v/>
      </c>
      <c r="H79" s="67" t="str">
        <f ca="1">_xlfn.XLOOKUP(EFAbiertos[[#This Row],[Ticket '#]],Registro!$B$8:$B$997,Registro!$S$8:$S$997,"",0)</f>
        <v/>
      </c>
      <c r="I79" s="58" t="str">
        <f t="shared" ca="1" si="2"/>
        <v/>
      </c>
      <c r="J79" s="30" t="str">
        <f ca="1">_xlfn.XLOOKUP(EFAbiertos[[#This Row],[Ticket '#]],Registro!$B$8:$B$997,Registro!$U$8:$U$997,"",0)</f>
        <v/>
      </c>
      <c r="K79" s="30" t="str">
        <f ca="1">_xlfn.XLOOKUP(EFAbiertos[[#This Row],[Ticket '#]],Registro!$B$8:$B$997,Registro!$W$8:$W$997,"",0)</f>
        <v/>
      </c>
      <c r="L79" s="30" t="str">
        <f ca="1">_xlfn.XLOOKUP(EFAbiertos[[#This Row],[Ticket '#]],Registro!$B$8:$B$997,Registro!$X$8:$X$997,"",0)</f>
        <v/>
      </c>
      <c r="M79" s="30" t="str">
        <f ca="1">_xlfn.XLOOKUP(EFAbiertos[[#This Row],[Ticket '#]],Registro!$B$8:$B$997,Registro!$Y$8:$Y$997,"",0)</f>
        <v/>
      </c>
      <c r="N7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0" spans="3:14" ht="28.5" customHeight="1">
      <c r="C80" s="2" t="str">
        <f ca="1">IF(D80="","",HYPERLINK("#"&amp;"Registro!B"&amp;MATCH(D80,Registro!$B$8:$B$997,0)+7,"Ubicar en registro"))</f>
        <v/>
      </c>
      <c r="D80" s="1" t="str">
        <f ca="1">IF(Programación!Q80="","",Programación!Q80)</f>
        <v/>
      </c>
      <c r="E80" s="1" t="str">
        <f ca="1">_xlfn.XLOOKUP(EFAbiertos[[#This Row],[Ticket '#]],Registro!$B$8:$B$997,Registro!$M$8:$M$997,"",0)</f>
        <v/>
      </c>
      <c r="F80" s="86" t="str">
        <f ca="1">_xlfn.XLOOKUP(EFAbiertos[[#This Row],[Ticket '#]],Registro!$B$8:$B$997,Registro!$H$8:$H$997,"",0)</f>
        <v/>
      </c>
      <c r="G80" s="26" t="str">
        <f ca="1">_xlfn.XLOOKUP(EFAbiertos[[#This Row],[Ticket '#]],Registro!$B$8:$B$997,Registro!$M$8:$M$997,"",0)</f>
        <v/>
      </c>
      <c r="H80" s="67" t="str">
        <f ca="1">_xlfn.XLOOKUP(EFAbiertos[[#This Row],[Ticket '#]],Registro!$B$8:$B$997,Registro!$S$8:$S$997,"",0)</f>
        <v/>
      </c>
      <c r="I80" s="58" t="str">
        <f t="shared" ca="1" si="2"/>
        <v/>
      </c>
      <c r="J80" s="30" t="str">
        <f ca="1">_xlfn.XLOOKUP(EFAbiertos[[#This Row],[Ticket '#]],Registro!$B$8:$B$997,Registro!$U$8:$U$997,"",0)</f>
        <v/>
      </c>
      <c r="K80" s="30" t="str">
        <f ca="1">_xlfn.XLOOKUP(EFAbiertos[[#This Row],[Ticket '#]],Registro!$B$8:$B$997,Registro!$W$8:$W$997,"",0)</f>
        <v/>
      </c>
      <c r="L80" s="30" t="str">
        <f ca="1">_xlfn.XLOOKUP(EFAbiertos[[#This Row],[Ticket '#]],Registro!$B$8:$B$997,Registro!$X$8:$X$997,"",0)</f>
        <v/>
      </c>
      <c r="M80" s="30" t="str">
        <f ca="1">_xlfn.XLOOKUP(EFAbiertos[[#This Row],[Ticket '#]],Registro!$B$8:$B$997,Registro!$Y$8:$Y$997,"",0)</f>
        <v/>
      </c>
      <c r="N8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1" spans="3:14" ht="28.5" customHeight="1">
      <c r="C81" s="2" t="str">
        <f ca="1">IF(D81="","",HYPERLINK("#"&amp;"Registro!B"&amp;MATCH(D81,Registro!$B$8:$B$997,0)+7,"Ubicar en registro"))</f>
        <v/>
      </c>
      <c r="D81" s="1" t="str">
        <f ca="1">IF(Programación!Q81="","",Programación!Q81)</f>
        <v/>
      </c>
      <c r="E81" s="1" t="str">
        <f ca="1">_xlfn.XLOOKUP(EFAbiertos[[#This Row],[Ticket '#]],Registro!$B$8:$B$997,Registro!$M$8:$M$997,"",0)</f>
        <v/>
      </c>
      <c r="F81" s="86" t="str">
        <f ca="1">_xlfn.XLOOKUP(EFAbiertos[[#This Row],[Ticket '#]],Registro!$B$8:$B$997,Registro!$H$8:$H$997,"",0)</f>
        <v/>
      </c>
      <c r="G81" s="26" t="str">
        <f ca="1">_xlfn.XLOOKUP(EFAbiertos[[#This Row],[Ticket '#]],Registro!$B$8:$B$997,Registro!$M$8:$M$997,"",0)</f>
        <v/>
      </c>
      <c r="H81" s="67" t="str">
        <f ca="1">_xlfn.XLOOKUP(EFAbiertos[[#This Row],[Ticket '#]],Registro!$B$8:$B$997,Registro!$S$8:$S$997,"",0)</f>
        <v/>
      </c>
      <c r="I81" s="58" t="str">
        <f t="shared" ca="1" si="2"/>
        <v/>
      </c>
      <c r="J81" s="30" t="str">
        <f ca="1">_xlfn.XLOOKUP(EFAbiertos[[#This Row],[Ticket '#]],Registro!$B$8:$B$997,Registro!$U$8:$U$997,"",0)</f>
        <v/>
      </c>
      <c r="K81" s="30" t="str">
        <f ca="1">_xlfn.XLOOKUP(EFAbiertos[[#This Row],[Ticket '#]],Registro!$B$8:$B$997,Registro!$W$8:$W$997,"",0)</f>
        <v/>
      </c>
      <c r="L81" s="30" t="str">
        <f ca="1">_xlfn.XLOOKUP(EFAbiertos[[#This Row],[Ticket '#]],Registro!$B$8:$B$997,Registro!$X$8:$X$997,"",0)</f>
        <v/>
      </c>
      <c r="M81" s="30" t="str">
        <f ca="1">_xlfn.XLOOKUP(EFAbiertos[[#This Row],[Ticket '#]],Registro!$B$8:$B$997,Registro!$Y$8:$Y$997,"",0)</f>
        <v/>
      </c>
      <c r="N8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2" spans="3:14" ht="28.5" customHeight="1">
      <c r="C82" s="2" t="str">
        <f ca="1">IF(D82="","",HYPERLINK("#"&amp;"Registro!B"&amp;MATCH(D82,Registro!$B$8:$B$997,0)+7,"Ubicar en registro"))</f>
        <v/>
      </c>
      <c r="D82" s="1" t="str">
        <f ca="1">IF(Programación!Q82="","",Programación!Q82)</f>
        <v/>
      </c>
      <c r="E82" s="1" t="str">
        <f ca="1">_xlfn.XLOOKUP(EFAbiertos[[#This Row],[Ticket '#]],Registro!$B$8:$B$997,Registro!$M$8:$M$997,"",0)</f>
        <v/>
      </c>
      <c r="F82" s="86" t="str">
        <f ca="1">_xlfn.XLOOKUP(EFAbiertos[[#This Row],[Ticket '#]],Registro!$B$8:$B$997,Registro!$H$8:$H$997,"",0)</f>
        <v/>
      </c>
      <c r="G82" s="26" t="str">
        <f ca="1">_xlfn.XLOOKUP(EFAbiertos[[#This Row],[Ticket '#]],Registro!$B$8:$B$997,Registro!$M$8:$M$997,"",0)</f>
        <v/>
      </c>
      <c r="H82" s="67" t="str">
        <f ca="1">_xlfn.XLOOKUP(EFAbiertos[[#This Row],[Ticket '#]],Registro!$B$8:$B$997,Registro!$S$8:$S$997,"",0)</f>
        <v/>
      </c>
      <c r="I82" s="58" t="str">
        <f t="shared" ca="1" si="2"/>
        <v/>
      </c>
      <c r="J82" s="30" t="str">
        <f ca="1">_xlfn.XLOOKUP(EFAbiertos[[#This Row],[Ticket '#]],Registro!$B$8:$B$997,Registro!$U$8:$U$997,"",0)</f>
        <v/>
      </c>
      <c r="K82" s="30" t="str">
        <f ca="1">_xlfn.XLOOKUP(EFAbiertos[[#This Row],[Ticket '#]],Registro!$B$8:$B$997,Registro!$W$8:$W$997,"",0)</f>
        <v/>
      </c>
      <c r="L82" s="30" t="str">
        <f ca="1">_xlfn.XLOOKUP(EFAbiertos[[#This Row],[Ticket '#]],Registro!$B$8:$B$997,Registro!$X$8:$X$997,"",0)</f>
        <v/>
      </c>
      <c r="M82" s="30" t="str">
        <f ca="1">_xlfn.XLOOKUP(EFAbiertos[[#This Row],[Ticket '#]],Registro!$B$8:$B$997,Registro!$Y$8:$Y$997,"",0)</f>
        <v/>
      </c>
      <c r="N8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3" spans="3:14" ht="28.5" customHeight="1">
      <c r="C83" s="2" t="str">
        <f ca="1">IF(D83="","",HYPERLINK("#"&amp;"Registro!B"&amp;MATCH(D83,Registro!$B$8:$B$997,0)+7,"Ubicar en registro"))</f>
        <v/>
      </c>
      <c r="D83" s="1" t="str">
        <f ca="1">IF(Programación!Q83="","",Programación!Q83)</f>
        <v/>
      </c>
      <c r="E83" s="1" t="str">
        <f ca="1">_xlfn.XLOOKUP(EFAbiertos[[#This Row],[Ticket '#]],Registro!$B$8:$B$997,Registro!$M$8:$M$997,"",0)</f>
        <v/>
      </c>
      <c r="F83" s="86" t="str">
        <f ca="1">_xlfn.XLOOKUP(EFAbiertos[[#This Row],[Ticket '#]],Registro!$B$8:$B$997,Registro!$H$8:$H$997,"",0)</f>
        <v/>
      </c>
      <c r="G83" s="26" t="str">
        <f ca="1">_xlfn.XLOOKUP(EFAbiertos[[#This Row],[Ticket '#]],Registro!$B$8:$B$997,Registro!$M$8:$M$997,"",0)</f>
        <v/>
      </c>
      <c r="H83" s="67" t="str">
        <f ca="1">_xlfn.XLOOKUP(EFAbiertos[[#This Row],[Ticket '#]],Registro!$B$8:$B$997,Registro!$S$8:$S$997,"",0)</f>
        <v/>
      </c>
      <c r="I83" s="58" t="str">
        <f t="shared" ca="1" si="2"/>
        <v/>
      </c>
      <c r="J83" s="30" t="str">
        <f ca="1">_xlfn.XLOOKUP(EFAbiertos[[#This Row],[Ticket '#]],Registro!$B$8:$B$997,Registro!$U$8:$U$997,"",0)</f>
        <v/>
      </c>
      <c r="K83" s="30" t="str">
        <f ca="1">_xlfn.XLOOKUP(EFAbiertos[[#This Row],[Ticket '#]],Registro!$B$8:$B$997,Registro!$W$8:$W$997,"",0)</f>
        <v/>
      </c>
      <c r="L83" s="30" t="str">
        <f ca="1">_xlfn.XLOOKUP(EFAbiertos[[#This Row],[Ticket '#]],Registro!$B$8:$B$997,Registro!$X$8:$X$997,"",0)</f>
        <v/>
      </c>
      <c r="M83" s="30" t="str">
        <f ca="1">_xlfn.XLOOKUP(EFAbiertos[[#This Row],[Ticket '#]],Registro!$B$8:$B$997,Registro!$Y$8:$Y$997,"",0)</f>
        <v/>
      </c>
      <c r="N8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4" spans="3:14" ht="28.5" customHeight="1">
      <c r="C84" s="2" t="str">
        <f ca="1">IF(D84="","",HYPERLINK("#"&amp;"Registro!B"&amp;MATCH(D84,Registro!$B$8:$B$997,0)+7,"Ubicar en registro"))</f>
        <v/>
      </c>
      <c r="D84" s="1" t="str">
        <f ca="1">IF(Programación!Q84="","",Programación!Q84)</f>
        <v/>
      </c>
      <c r="E84" s="1" t="str">
        <f ca="1">_xlfn.XLOOKUP(EFAbiertos[[#This Row],[Ticket '#]],Registro!$B$8:$B$997,Registro!$M$8:$M$997,"",0)</f>
        <v/>
      </c>
      <c r="F84" s="86" t="str">
        <f ca="1">_xlfn.XLOOKUP(EFAbiertos[[#This Row],[Ticket '#]],Registro!$B$8:$B$997,Registro!$H$8:$H$997,"",0)</f>
        <v/>
      </c>
      <c r="G84" s="26" t="str">
        <f ca="1">_xlfn.XLOOKUP(EFAbiertos[[#This Row],[Ticket '#]],Registro!$B$8:$B$997,Registro!$M$8:$M$997,"",0)</f>
        <v/>
      </c>
      <c r="H84" s="67" t="str">
        <f ca="1">_xlfn.XLOOKUP(EFAbiertos[[#This Row],[Ticket '#]],Registro!$B$8:$B$997,Registro!$S$8:$S$997,"",0)</f>
        <v/>
      </c>
      <c r="I84" s="58" t="str">
        <f t="shared" ca="1" si="2"/>
        <v/>
      </c>
      <c r="J84" s="30" t="str">
        <f ca="1">_xlfn.XLOOKUP(EFAbiertos[[#This Row],[Ticket '#]],Registro!$B$8:$B$997,Registro!$U$8:$U$997,"",0)</f>
        <v/>
      </c>
      <c r="K84" s="30" t="str">
        <f ca="1">_xlfn.XLOOKUP(EFAbiertos[[#This Row],[Ticket '#]],Registro!$B$8:$B$997,Registro!$W$8:$W$997,"",0)</f>
        <v/>
      </c>
      <c r="L84" s="30" t="str">
        <f ca="1">_xlfn.XLOOKUP(EFAbiertos[[#This Row],[Ticket '#]],Registro!$B$8:$B$997,Registro!$X$8:$X$997,"",0)</f>
        <v/>
      </c>
      <c r="M84" s="30" t="str">
        <f ca="1">_xlfn.XLOOKUP(EFAbiertos[[#This Row],[Ticket '#]],Registro!$B$8:$B$997,Registro!$Y$8:$Y$997,"",0)</f>
        <v/>
      </c>
      <c r="N8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5" spans="3:14" ht="28.5" customHeight="1">
      <c r="C85" s="2" t="str">
        <f ca="1">IF(D85="","",HYPERLINK("#"&amp;"Registro!B"&amp;MATCH(D85,Registro!$B$8:$B$997,0)+7,"Ubicar en registro"))</f>
        <v/>
      </c>
      <c r="D85" s="1" t="str">
        <f ca="1">IF(Programación!Q85="","",Programación!Q85)</f>
        <v/>
      </c>
      <c r="E85" s="1" t="str">
        <f ca="1">_xlfn.XLOOKUP(EFAbiertos[[#This Row],[Ticket '#]],Registro!$B$8:$B$997,Registro!$M$8:$M$997,"",0)</f>
        <v/>
      </c>
      <c r="F85" s="86" t="str">
        <f ca="1">_xlfn.XLOOKUP(EFAbiertos[[#This Row],[Ticket '#]],Registro!$B$8:$B$997,Registro!$H$8:$H$997,"",0)</f>
        <v/>
      </c>
      <c r="G85" s="26" t="str">
        <f ca="1">_xlfn.XLOOKUP(EFAbiertos[[#This Row],[Ticket '#]],Registro!$B$8:$B$997,Registro!$M$8:$M$997,"",0)</f>
        <v/>
      </c>
      <c r="H85" s="67" t="str">
        <f ca="1">_xlfn.XLOOKUP(EFAbiertos[[#This Row],[Ticket '#]],Registro!$B$8:$B$997,Registro!$S$8:$S$997,"",0)</f>
        <v/>
      </c>
      <c r="I85" s="58" t="str">
        <f t="shared" ca="1" si="2"/>
        <v/>
      </c>
      <c r="J85" s="30" t="str">
        <f ca="1">_xlfn.XLOOKUP(EFAbiertos[[#This Row],[Ticket '#]],Registro!$B$8:$B$997,Registro!$U$8:$U$997,"",0)</f>
        <v/>
      </c>
      <c r="K85" s="30" t="str">
        <f ca="1">_xlfn.XLOOKUP(EFAbiertos[[#This Row],[Ticket '#]],Registro!$B$8:$B$997,Registro!$W$8:$W$997,"",0)</f>
        <v/>
      </c>
      <c r="L85" s="30" t="str">
        <f ca="1">_xlfn.XLOOKUP(EFAbiertos[[#This Row],[Ticket '#]],Registro!$B$8:$B$997,Registro!$X$8:$X$997,"",0)</f>
        <v/>
      </c>
      <c r="M85" s="30" t="str">
        <f ca="1">_xlfn.XLOOKUP(EFAbiertos[[#This Row],[Ticket '#]],Registro!$B$8:$B$997,Registro!$Y$8:$Y$997,"",0)</f>
        <v/>
      </c>
      <c r="N8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6" spans="3:14" ht="28.5" customHeight="1">
      <c r="C86" s="2" t="str">
        <f ca="1">IF(D86="","",HYPERLINK("#"&amp;"Registro!B"&amp;MATCH(D86,Registro!$B$8:$B$997,0)+7,"Ubicar en registro"))</f>
        <v/>
      </c>
      <c r="D86" s="1" t="str">
        <f ca="1">IF(Programación!Q86="","",Programación!Q86)</f>
        <v/>
      </c>
      <c r="E86" s="1" t="str">
        <f ca="1">_xlfn.XLOOKUP(EFAbiertos[[#This Row],[Ticket '#]],Registro!$B$8:$B$997,Registro!$M$8:$M$997,"",0)</f>
        <v/>
      </c>
      <c r="F86" s="86" t="str">
        <f ca="1">_xlfn.XLOOKUP(EFAbiertos[[#This Row],[Ticket '#]],Registro!$B$8:$B$997,Registro!$H$8:$H$997,"",0)</f>
        <v/>
      </c>
      <c r="G86" s="26" t="str">
        <f ca="1">_xlfn.XLOOKUP(EFAbiertos[[#This Row],[Ticket '#]],Registro!$B$8:$B$997,Registro!$M$8:$M$997,"",0)</f>
        <v/>
      </c>
      <c r="H86" s="67" t="str">
        <f ca="1">_xlfn.XLOOKUP(EFAbiertos[[#This Row],[Ticket '#]],Registro!$B$8:$B$997,Registro!$S$8:$S$997,"",0)</f>
        <v/>
      </c>
      <c r="I86" s="58" t="str">
        <f t="shared" ca="1" si="2"/>
        <v/>
      </c>
      <c r="J86" s="30" t="str">
        <f ca="1">_xlfn.XLOOKUP(EFAbiertos[[#This Row],[Ticket '#]],Registro!$B$8:$B$997,Registro!$U$8:$U$997,"",0)</f>
        <v/>
      </c>
      <c r="K86" s="30" t="str">
        <f ca="1">_xlfn.XLOOKUP(EFAbiertos[[#This Row],[Ticket '#]],Registro!$B$8:$B$997,Registro!$W$8:$W$997,"",0)</f>
        <v/>
      </c>
      <c r="L86" s="30" t="str">
        <f ca="1">_xlfn.XLOOKUP(EFAbiertos[[#This Row],[Ticket '#]],Registro!$B$8:$B$997,Registro!$X$8:$X$997,"",0)</f>
        <v/>
      </c>
      <c r="M86" s="30" t="str">
        <f ca="1">_xlfn.XLOOKUP(EFAbiertos[[#This Row],[Ticket '#]],Registro!$B$8:$B$997,Registro!$Y$8:$Y$997,"",0)</f>
        <v/>
      </c>
      <c r="N8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7" spans="3:14" ht="28.5" customHeight="1">
      <c r="C87" s="2" t="str">
        <f ca="1">IF(D87="","",HYPERLINK("#"&amp;"Registro!B"&amp;MATCH(D87,Registro!$B$8:$B$997,0)+7,"Ubicar en registro"))</f>
        <v/>
      </c>
      <c r="D87" s="1" t="str">
        <f ca="1">IF(Programación!Q87="","",Programación!Q87)</f>
        <v/>
      </c>
      <c r="E87" s="1" t="str">
        <f ca="1">_xlfn.XLOOKUP(EFAbiertos[[#This Row],[Ticket '#]],Registro!$B$8:$B$997,Registro!$M$8:$M$997,"",0)</f>
        <v/>
      </c>
      <c r="F87" s="86" t="str">
        <f ca="1">_xlfn.XLOOKUP(EFAbiertos[[#This Row],[Ticket '#]],Registro!$B$8:$B$997,Registro!$H$8:$H$997,"",0)</f>
        <v/>
      </c>
      <c r="G87" s="26" t="str">
        <f ca="1">_xlfn.XLOOKUP(EFAbiertos[[#This Row],[Ticket '#]],Registro!$B$8:$B$997,Registro!$M$8:$M$997,"",0)</f>
        <v/>
      </c>
      <c r="H87" s="67" t="str">
        <f ca="1">_xlfn.XLOOKUP(EFAbiertos[[#This Row],[Ticket '#]],Registro!$B$8:$B$997,Registro!$S$8:$S$997,"",0)</f>
        <v/>
      </c>
      <c r="I87" s="58" t="str">
        <f t="shared" ca="1" si="2"/>
        <v/>
      </c>
      <c r="J87" s="30" t="str">
        <f ca="1">_xlfn.XLOOKUP(EFAbiertos[[#This Row],[Ticket '#]],Registro!$B$8:$B$997,Registro!$U$8:$U$997,"",0)</f>
        <v/>
      </c>
      <c r="K87" s="30" t="str">
        <f ca="1">_xlfn.XLOOKUP(EFAbiertos[[#This Row],[Ticket '#]],Registro!$B$8:$B$997,Registro!$W$8:$W$997,"",0)</f>
        <v/>
      </c>
      <c r="L87" s="30" t="str">
        <f ca="1">_xlfn.XLOOKUP(EFAbiertos[[#This Row],[Ticket '#]],Registro!$B$8:$B$997,Registro!$X$8:$X$997,"",0)</f>
        <v/>
      </c>
      <c r="M87" s="30" t="str">
        <f ca="1">_xlfn.XLOOKUP(EFAbiertos[[#This Row],[Ticket '#]],Registro!$B$8:$B$997,Registro!$Y$8:$Y$997,"",0)</f>
        <v/>
      </c>
      <c r="N8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8" spans="3:14" ht="28.5" customHeight="1">
      <c r="C88" s="2" t="str">
        <f ca="1">IF(D88="","",HYPERLINK("#"&amp;"Registro!B"&amp;MATCH(D88,Registro!$B$8:$B$997,0)+7,"Ubicar en registro"))</f>
        <v/>
      </c>
      <c r="D88" s="1" t="str">
        <f ca="1">IF(Programación!Q88="","",Programación!Q88)</f>
        <v/>
      </c>
      <c r="E88" s="1" t="str">
        <f ca="1">_xlfn.XLOOKUP(EFAbiertos[[#This Row],[Ticket '#]],Registro!$B$8:$B$997,Registro!$M$8:$M$997,"",0)</f>
        <v/>
      </c>
      <c r="F88" s="86" t="str">
        <f ca="1">_xlfn.XLOOKUP(EFAbiertos[[#This Row],[Ticket '#]],Registro!$B$8:$B$997,Registro!$H$8:$H$997,"",0)</f>
        <v/>
      </c>
      <c r="G88" s="26" t="str">
        <f ca="1">_xlfn.XLOOKUP(EFAbiertos[[#This Row],[Ticket '#]],Registro!$B$8:$B$997,Registro!$M$8:$M$997,"",0)</f>
        <v/>
      </c>
      <c r="H88" s="67" t="str">
        <f ca="1">_xlfn.XLOOKUP(EFAbiertos[[#This Row],[Ticket '#]],Registro!$B$8:$B$997,Registro!$S$8:$S$997,"",0)</f>
        <v/>
      </c>
      <c r="I88" s="58" t="str">
        <f t="shared" ca="1" si="2"/>
        <v/>
      </c>
      <c r="J88" s="30" t="str">
        <f ca="1">_xlfn.XLOOKUP(EFAbiertos[[#This Row],[Ticket '#]],Registro!$B$8:$B$997,Registro!$U$8:$U$997,"",0)</f>
        <v/>
      </c>
      <c r="K88" s="30" t="str">
        <f ca="1">_xlfn.XLOOKUP(EFAbiertos[[#This Row],[Ticket '#]],Registro!$B$8:$B$997,Registro!$W$8:$W$997,"",0)</f>
        <v/>
      </c>
      <c r="L88" s="30" t="str">
        <f ca="1">_xlfn.XLOOKUP(EFAbiertos[[#This Row],[Ticket '#]],Registro!$B$8:$B$997,Registro!$X$8:$X$997,"",0)</f>
        <v/>
      </c>
      <c r="M88" s="30" t="str">
        <f ca="1">_xlfn.XLOOKUP(EFAbiertos[[#This Row],[Ticket '#]],Registro!$B$8:$B$997,Registro!$Y$8:$Y$997,"",0)</f>
        <v/>
      </c>
      <c r="N8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89" spans="3:14" ht="28.5" customHeight="1">
      <c r="C89" s="2" t="str">
        <f ca="1">IF(D89="","",HYPERLINK("#"&amp;"Registro!B"&amp;MATCH(D89,Registro!$B$8:$B$997,0)+7,"Ubicar en registro"))</f>
        <v/>
      </c>
      <c r="D89" s="1" t="str">
        <f ca="1">IF(Programación!Q89="","",Programación!Q89)</f>
        <v/>
      </c>
      <c r="E89" s="1" t="str">
        <f ca="1">_xlfn.XLOOKUP(EFAbiertos[[#This Row],[Ticket '#]],Registro!$B$8:$B$997,Registro!$M$8:$M$997,"",0)</f>
        <v/>
      </c>
      <c r="F89" s="86" t="str">
        <f ca="1">_xlfn.XLOOKUP(EFAbiertos[[#This Row],[Ticket '#]],Registro!$B$8:$B$997,Registro!$H$8:$H$997,"",0)</f>
        <v/>
      </c>
      <c r="G89" s="26" t="str">
        <f ca="1">_xlfn.XLOOKUP(EFAbiertos[[#This Row],[Ticket '#]],Registro!$B$8:$B$997,Registro!$M$8:$M$997,"",0)</f>
        <v/>
      </c>
      <c r="H89" s="67" t="str">
        <f ca="1">_xlfn.XLOOKUP(EFAbiertos[[#This Row],[Ticket '#]],Registro!$B$8:$B$997,Registro!$S$8:$S$997,"",0)</f>
        <v/>
      </c>
      <c r="I89" s="58" t="str">
        <f t="shared" ca="1" si="2"/>
        <v/>
      </c>
      <c r="J89" s="30" t="str">
        <f ca="1">_xlfn.XLOOKUP(EFAbiertos[[#This Row],[Ticket '#]],Registro!$B$8:$B$997,Registro!$U$8:$U$997,"",0)</f>
        <v/>
      </c>
      <c r="K89" s="30" t="str">
        <f ca="1">_xlfn.XLOOKUP(EFAbiertos[[#This Row],[Ticket '#]],Registro!$B$8:$B$997,Registro!$W$8:$W$997,"",0)</f>
        <v/>
      </c>
      <c r="L89" s="30" t="str">
        <f ca="1">_xlfn.XLOOKUP(EFAbiertos[[#This Row],[Ticket '#]],Registro!$B$8:$B$997,Registro!$X$8:$X$997,"",0)</f>
        <v/>
      </c>
      <c r="M89" s="30" t="str">
        <f ca="1">_xlfn.XLOOKUP(EFAbiertos[[#This Row],[Ticket '#]],Registro!$B$8:$B$997,Registro!$Y$8:$Y$997,"",0)</f>
        <v/>
      </c>
      <c r="N8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0" spans="3:14" ht="28.5" customHeight="1">
      <c r="C90" s="2" t="str">
        <f ca="1">IF(D90="","",HYPERLINK("#"&amp;"Registro!B"&amp;MATCH(D90,Registro!$B$8:$B$997,0)+7,"Ubicar en registro"))</f>
        <v/>
      </c>
      <c r="D90" s="1" t="str">
        <f ca="1">IF(Programación!Q90="","",Programación!Q90)</f>
        <v/>
      </c>
      <c r="E90" s="1" t="str">
        <f ca="1">_xlfn.XLOOKUP(EFAbiertos[[#This Row],[Ticket '#]],Registro!$B$8:$B$997,Registro!$M$8:$M$997,"",0)</f>
        <v/>
      </c>
      <c r="F90" s="86" t="str">
        <f ca="1">_xlfn.XLOOKUP(EFAbiertos[[#This Row],[Ticket '#]],Registro!$B$8:$B$997,Registro!$H$8:$H$997,"",0)</f>
        <v/>
      </c>
      <c r="G90" s="26" t="str">
        <f ca="1">_xlfn.XLOOKUP(EFAbiertos[[#This Row],[Ticket '#]],Registro!$B$8:$B$997,Registro!$M$8:$M$997,"",0)</f>
        <v/>
      </c>
      <c r="H90" s="67" t="str">
        <f ca="1">_xlfn.XLOOKUP(EFAbiertos[[#This Row],[Ticket '#]],Registro!$B$8:$B$997,Registro!$S$8:$S$997,"",0)</f>
        <v/>
      </c>
      <c r="I90" s="58" t="str">
        <f t="shared" ca="1" si="2"/>
        <v/>
      </c>
      <c r="J90" s="30" t="str">
        <f ca="1">_xlfn.XLOOKUP(EFAbiertos[[#This Row],[Ticket '#]],Registro!$B$8:$B$997,Registro!$U$8:$U$997,"",0)</f>
        <v/>
      </c>
      <c r="K90" s="30" t="str">
        <f ca="1">_xlfn.XLOOKUP(EFAbiertos[[#This Row],[Ticket '#]],Registro!$B$8:$B$997,Registro!$W$8:$W$997,"",0)</f>
        <v/>
      </c>
      <c r="L90" s="30" t="str">
        <f ca="1">_xlfn.XLOOKUP(EFAbiertos[[#This Row],[Ticket '#]],Registro!$B$8:$B$997,Registro!$X$8:$X$997,"",0)</f>
        <v/>
      </c>
      <c r="M90" s="30" t="str">
        <f ca="1">_xlfn.XLOOKUP(EFAbiertos[[#This Row],[Ticket '#]],Registro!$B$8:$B$997,Registro!$Y$8:$Y$997,"",0)</f>
        <v/>
      </c>
      <c r="N9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1" spans="3:14" ht="28.5" customHeight="1">
      <c r="C91" s="2" t="str">
        <f ca="1">IF(D91="","",HYPERLINK("#"&amp;"Registro!B"&amp;MATCH(D91,Registro!$B$8:$B$997,0)+7,"Ubicar en registro"))</f>
        <v/>
      </c>
      <c r="D91" s="1" t="str">
        <f ca="1">IF(Programación!Q91="","",Programación!Q91)</f>
        <v/>
      </c>
      <c r="E91" s="1" t="str">
        <f ca="1">_xlfn.XLOOKUP(EFAbiertos[[#This Row],[Ticket '#]],Registro!$B$8:$B$997,Registro!$M$8:$M$997,"",0)</f>
        <v/>
      </c>
      <c r="F91" s="86" t="str">
        <f ca="1">_xlfn.XLOOKUP(EFAbiertos[[#This Row],[Ticket '#]],Registro!$B$8:$B$997,Registro!$H$8:$H$997,"",0)</f>
        <v/>
      </c>
      <c r="G91" s="26" t="str">
        <f ca="1">_xlfn.XLOOKUP(EFAbiertos[[#This Row],[Ticket '#]],Registro!$B$8:$B$997,Registro!$M$8:$M$997,"",0)</f>
        <v/>
      </c>
      <c r="H91" s="67" t="str">
        <f ca="1">_xlfn.XLOOKUP(EFAbiertos[[#This Row],[Ticket '#]],Registro!$B$8:$B$997,Registro!$S$8:$S$997,"",0)</f>
        <v/>
      </c>
      <c r="I91" s="58" t="str">
        <f t="shared" ca="1" si="2"/>
        <v/>
      </c>
      <c r="J91" s="30" t="str">
        <f ca="1">_xlfn.XLOOKUP(EFAbiertos[[#This Row],[Ticket '#]],Registro!$B$8:$B$997,Registro!$U$8:$U$997,"",0)</f>
        <v/>
      </c>
      <c r="K91" s="30" t="str">
        <f ca="1">_xlfn.XLOOKUP(EFAbiertos[[#This Row],[Ticket '#]],Registro!$B$8:$B$997,Registro!$W$8:$W$997,"",0)</f>
        <v/>
      </c>
      <c r="L91" s="30" t="str">
        <f ca="1">_xlfn.XLOOKUP(EFAbiertos[[#This Row],[Ticket '#]],Registro!$B$8:$B$997,Registro!$X$8:$X$997,"",0)</f>
        <v/>
      </c>
      <c r="M91" s="30" t="str">
        <f ca="1">_xlfn.XLOOKUP(EFAbiertos[[#This Row],[Ticket '#]],Registro!$B$8:$B$997,Registro!$Y$8:$Y$997,"",0)</f>
        <v/>
      </c>
      <c r="N9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2" spans="3:14" ht="28.5" customHeight="1">
      <c r="C92" s="2" t="str">
        <f ca="1">IF(D92="","",HYPERLINK("#"&amp;"Registro!B"&amp;MATCH(D92,Registro!$B$8:$B$997,0)+7,"Ubicar en registro"))</f>
        <v/>
      </c>
      <c r="D92" s="1" t="str">
        <f ca="1">IF(Programación!Q92="","",Programación!Q92)</f>
        <v/>
      </c>
      <c r="E92" s="1" t="str">
        <f ca="1">_xlfn.XLOOKUP(EFAbiertos[[#This Row],[Ticket '#]],Registro!$B$8:$B$997,Registro!$M$8:$M$997,"",0)</f>
        <v/>
      </c>
      <c r="F92" s="86" t="str">
        <f ca="1">_xlfn.XLOOKUP(EFAbiertos[[#This Row],[Ticket '#]],Registro!$B$8:$B$997,Registro!$H$8:$H$997,"",0)</f>
        <v/>
      </c>
      <c r="G92" s="26" t="str">
        <f ca="1">_xlfn.XLOOKUP(EFAbiertos[[#This Row],[Ticket '#]],Registro!$B$8:$B$997,Registro!$M$8:$M$997,"",0)</f>
        <v/>
      </c>
      <c r="H92" s="67" t="str">
        <f ca="1">_xlfn.XLOOKUP(EFAbiertos[[#This Row],[Ticket '#]],Registro!$B$8:$B$997,Registro!$S$8:$S$997,"",0)</f>
        <v/>
      </c>
      <c r="I92" s="58" t="str">
        <f t="shared" ca="1" si="2"/>
        <v/>
      </c>
      <c r="J92" s="30" t="str">
        <f ca="1">_xlfn.XLOOKUP(EFAbiertos[[#This Row],[Ticket '#]],Registro!$B$8:$B$997,Registro!$U$8:$U$997,"",0)</f>
        <v/>
      </c>
      <c r="K92" s="30" t="str">
        <f ca="1">_xlfn.XLOOKUP(EFAbiertos[[#This Row],[Ticket '#]],Registro!$B$8:$B$997,Registro!$W$8:$W$997,"",0)</f>
        <v/>
      </c>
      <c r="L92" s="30" t="str">
        <f ca="1">_xlfn.XLOOKUP(EFAbiertos[[#This Row],[Ticket '#]],Registro!$B$8:$B$997,Registro!$X$8:$X$997,"",0)</f>
        <v/>
      </c>
      <c r="M92" s="30" t="str">
        <f ca="1">_xlfn.XLOOKUP(EFAbiertos[[#This Row],[Ticket '#]],Registro!$B$8:$B$997,Registro!$Y$8:$Y$997,"",0)</f>
        <v/>
      </c>
      <c r="N9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3" spans="3:14" ht="28.5" customHeight="1">
      <c r="C93" s="2" t="str">
        <f ca="1">IF(D93="","",HYPERLINK("#"&amp;"Registro!B"&amp;MATCH(D93,Registro!$B$8:$B$997,0)+7,"Ubicar en registro"))</f>
        <v/>
      </c>
      <c r="D93" s="1" t="str">
        <f ca="1">IF(Programación!Q93="","",Programación!Q93)</f>
        <v/>
      </c>
      <c r="E93" s="1" t="str">
        <f ca="1">_xlfn.XLOOKUP(EFAbiertos[[#This Row],[Ticket '#]],Registro!$B$8:$B$997,Registro!$M$8:$M$997,"",0)</f>
        <v/>
      </c>
      <c r="F93" s="86" t="str">
        <f ca="1">_xlfn.XLOOKUP(EFAbiertos[[#This Row],[Ticket '#]],Registro!$B$8:$B$997,Registro!$H$8:$H$997,"",0)</f>
        <v/>
      </c>
      <c r="G93" s="26" t="str">
        <f ca="1">_xlfn.XLOOKUP(EFAbiertos[[#This Row],[Ticket '#]],Registro!$B$8:$B$997,Registro!$M$8:$M$997,"",0)</f>
        <v/>
      </c>
      <c r="H93" s="67" t="str">
        <f ca="1">_xlfn.XLOOKUP(EFAbiertos[[#This Row],[Ticket '#]],Registro!$B$8:$B$997,Registro!$S$8:$S$997,"",0)</f>
        <v/>
      </c>
      <c r="I93" s="58" t="str">
        <f t="shared" ca="1" si="2"/>
        <v/>
      </c>
      <c r="J93" s="30" t="str">
        <f ca="1">_xlfn.XLOOKUP(EFAbiertos[[#This Row],[Ticket '#]],Registro!$B$8:$B$997,Registro!$U$8:$U$997,"",0)</f>
        <v/>
      </c>
      <c r="K93" s="30" t="str">
        <f ca="1">_xlfn.XLOOKUP(EFAbiertos[[#This Row],[Ticket '#]],Registro!$B$8:$B$997,Registro!$W$8:$W$997,"",0)</f>
        <v/>
      </c>
      <c r="L93" s="30" t="str">
        <f ca="1">_xlfn.XLOOKUP(EFAbiertos[[#This Row],[Ticket '#]],Registro!$B$8:$B$997,Registro!$X$8:$X$997,"",0)</f>
        <v/>
      </c>
      <c r="M93" s="30" t="str">
        <f ca="1">_xlfn.XLOOKUP(EFAbiertos[[#This Row],[Ticket '#]],Registro!$B$8:$B$997,Registro!$Y$8:$Y$997,"",0)</f>
        <v/>
      </c>
      <c r="N9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4" spans="3:14" ht="28.5" customHeight="1">
      <c r="C94" s="2" t="str">
        <f ca="1">IF(D94="","",HYPERLINK("#"&amp;"Registro!B"&amp;MATCH(D94,Registro!$B$8:$B$997,0)+7,"Ubicar en registro"))</f>
        <v/>
      </c>
      <c r="D94" s="1" t="str">
        <f ca="1">IF(Programación!Q94="","",Programación!Q94)</f>
        <v/>
      </c>
      <c r="E94" s="1" t="str">
        <f ca="1">_xlfn.XLOOKUP(EFAbiertos[[#This Row],[Ticket '#]],Registro!$B$8:$B$997,Registro!$M$8:$M$997,"",0)</f>
        <v/>
      </c>
      <c r="F94" s="86" t="str">
        <f ca="1">_xlfn.XLOOKUP(EFAbiertos[[#This Row],[Ticket '#]],Registro!$B$8:$B$997,Registro!$H$8:$H$997,"",0)</f>
        <v/>
      </c>
      <c r="G94" s="26" t="str">
        <f ca="1">_xlfn.XLOOKUP(EFAbiertos[[#This Row],[Ticket '#]],Registro!$B$8:$B$997,Registro!$M$8:$M$997,"",0)</f>
        <v/>
      </c>
      <c r="H94" s="67" t="str">
        <f ca="1">_xlfn.XLOOKUP(EFAbiertos[[#This Row],[Ticket '#]],Registro!$B$8:$B$997,Registro!$S$8:$S$997,"",0)</f>
        <v/>
      </c>
      <c r="I94" s="58" t="str">
        <f t="shared" ca="1" si="2"/>
        <v/>
      </c>
      <c r="J94" s="30" t="str">
        <f ca="1">_xlfn.XLOOKUP(EFAbiertos[[#This Row],[Ticket '#]],Registro!$B$8:$B$997,Registro!$U$8:$U$997,"",0)</f>
        <v/>
      </c>
      <c r="K94" s="30" t="str">
        <f ca="1">_xlfn.XLOOKUP(EFAbiertos[[#This Row],[Ticket '#]],Registro!$B$8:$B$997,Registro!$W$8:$W$997,"",0)</f>
        <v/>
      </c>
      <c r="L94" s="30" t="str">
        <f ca="1">_xlfn.XLOOKUP(EFAbiertos[[#This Row],[Ticket '#]],Registro!$B$8:$B$997,Registro!$X$8:$X$997,"",0)</f>
        <v/>
      </c>
      <c r="M94" s="30" t="str">
        <f ca="1">_xlfn.XLOOKUP(EFAbiertos[[#This Row],[Ticket '#]],Registro!$B$8:$B$997,Registro!$Y$8:$Y$997,"",0)</f>
        <v/>
      </c>
      <c r="N9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5" spans="3:14" ht="28.5" customHeight="1">
      <c r="C95" s="2" t="str">
        <f ca="1">IF(D95="","",HYPERLINK("#"&amp;"Registro!B"&amp;MATCH(D95,Registro!$B$8:$B$997,0)+7,"Ubicar en registro"))</f>
        <v/>
      </c>
      <c r="D95" s="1" t="str">
        <f ca="1">IF(Programación!Q95="","",Programación!Q95)</f>
        <v/>
      </c>
      <c r="E95" s="1" t="str">
        <f ca="1">_xlfn.XLOOKUP(EFAbiertos[[#This Row],[Ticket '#]],Registro!$B$8:$B$997,Registro!$M$8:$M$997,"",0)</f>
        <v/>
      </c>
      <c r="F95" s="86" t="str">
        <f ca="1">_xlfn.XLOOKUP(EFAbiertos[[#This Row],[Ticket '#]],Registro!$B$8:$B$997,Registro!$H$8:$H$997,"",0)</f>
        <v/>
      </c>
      <c r="G95" s="26" t="str">
        <f ca="1">_xlfn.XLOOKUP(EFAbiertos[[#This Row],[Ticket '#]],Registro!$B$8:$B$997,Registro!$M$8:$M$997,"",0)</f>
        <v/>
      </c>
      <c r="H95" s="67" t="str">
        <f ca="1">_xlfn.XLOOKUP(EFAbiertos[[#This Row],[Ticket '#]],Registro!$B$8:$B$997,Registro!$S$8:$S$997,"",0)</f>
        <v/>
      </c>
      <c r="I95" s="58" t="str">
        <f t="shared" ca="1" si="2"/>
        <v/>
      </c>
      <c r="J95" s="30" t="str">
        <f ca="1">_xlfn.XLOOKUP(EFAbiertos[[#This Row],[Ticket '#]],Registro!$B$8:$B$997,Registro!$U$8:$U$997,"",0)</f>
        <v/>
      </c>
      <c r="K95" s="30" t="str">
        <f ca="1">_xlfn.XLOOKUP(EFAbiertos[[#This Row],[Ticket '#]],Registro!$B$8:$B$997,Registro!$W$8:$W$997,"",0)</f>
        <v/>
      </c>
      <c r="L95" s="30" t="str">
        <f ca="1">_xlfn.XLOOKUP(EFAbiertos[[#This Row],[Ticket '#]],Registro!$B$8:$B$997,Registro!$X$8:$X$997,"",0)</f>
        <v/>
      </c>
      <c r="M95" s="30" t="str">
        <f ca="1">_xlfn.XLOOKUP(EFAbiertos[[#This Row],[Ticket '#]],Registro!$B$8:$B$997,Registro!$Y$8:$Y$997,"",0)</f>
        <v/>
      </c>
      <c r="N9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6" spans="3:14" ht="28.5" customHeight="1">
      <c r="C96" s="2" t="str">
        <f ca="1">IF(D96="","",HYPERLINK("#"&amp;"Registro!B"&amp;MATCH(D96,Registro!$B$8:$B$997,0)+7,"Ubicar en registro"))</f>
        <v/>
      </c>
      <c r="D96" s="1" t="str">
        <f ca="1">IF(Programación!Q96="","",Programación!Q96)</f>
        <v/>
      </c>
      <c r="E96" s="1" t="str">
        <f ca="1">_xlfn.XLOOKUP(EFAbiertos[[#This Row],[Ticket '#]],Registro!$B$8:$B$997,Registro!$M$8:$M$997,"",0)</f>
        <v/>
      </c>
      <c r="F96" s="86" t="str">
        <f ca="1">_xlfn.XLOOKUP(EFAbiertos[[#This Row],[Ticket '#]],Registro!$B$8:$B$997,Registro!$H$8:$H$997,"",0)</f>
        <v/>
      </c>
      <c r="G96" s="26" t="str">
        <f ca="1">_xlfn.XLOOKUP(EFAbiertos[[#This Row],[Ticket '#]],Registro!$B$8:$B$997,Registro!$M$8:$M$997,"",0)</f>
        <v/>
      </c>
      <c r="H96" s="67" t="str">
        <f ca="1">_xlfn.XLOOKUP(EFAbiertos[[#This Row],[Ticket '#]],Registro!$B$8:$B$997,Registro!$S$8:$S$997,"",0)</f>
        <v/>
      </c>
      <c r="I96" s="58" t="str">
        <f t="shared" ca="1" si="2"/>
        <v/>
      </c>
      <c r="J96" s="30" t="str">
        <f ca="1">_xlfn.XLOOKUP(EFAbiertos[[#This Row],[Ticket '#]],Registro!$B$8:$B$997,Registro!$U$8:$U$997,"",0)</f>
        <v/>
      </c>
      <c r="K96" s="30" t="str">
        <f ca="1">_xlfn.XLOOKUP(EFAbiertos[[#This Row],[Ticket '#]],Registro!$B$8:$B$997,Registro!$W$8:$W$997,"",0)</f>
        <v/>
      </c>
      <c r="L96" s="30" t="str">
        <f ca="1">_xlfn.XLOOKUP(EFAbiertos[[#This Row],[Ticket '#]],Registro!$B$8:$B$997,Registro!$X$8:$X$997,"",0)</f>
        <v/>
      </c>
      <c r="M96" s="30" t="str">
        <f ca="1">_xlfn.XLOOKUP(EFAbiertos[[#This Row],[Ticket '#]],Registro!$B$8:$B$997,Registro!$Y$8:$Y$997,"",0)</f>
        <v/>
      </c>
      <c r="N9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7" spans="3:14" ht="28.5" customHeight="1">
      <c r="C97" s="2" t="str">
        <f ca="1">IF(D97="","",HYPERLINK("#"&amp;"Registro!B"&amp;MATCH(D97,Registro!$B$8:$B$997,0)+7,"Ubicar en registro"))</f>
        <v/>
      </c>
      <c r="D97" s="1" t="str">
        <f ca="1">IF(Programación!Q97="","",Programación!Q97)</f>
        <v/>
      </c>
      <c r="E97" s="1" t="str">
        <f ca="1">_xlfn.XLOOKUP(EFAbiertos[[#This Row],[Ticket '#]],Registro!$B$8:$B$997,Registro!$M$8:$M$997,"",0)</f>
        <v/>
      </c>
      <c r="F97" s="86" t="str">
        <f ca="1">_xlfn.XLOOKUP(EFAbiertos[[#This Row],[Ticket '#]],Registro!$B$8:$B$997,Registro!$H$8:$H$997,"",0)</f>
        <v/>
      </c>
      <c r="G97" s="26" t="str">
        <f ca="1">_xlfn.XLOOKUP(EFAbiertos[[#This Row],[Ticket '#]],Registro!$B$8:$B$997,Registro!$M$8:$M$997,"",0)</f>
        <v/>
      </c>
      <c r="H97" s="67" t="str">
        <f ca="1">_xlfn.XLOOKUP(EFAbiertos[[#This Row],[Ticket '#]],Registro!$B$8:$B$997,Registro!$S$8:$S$997,"",0)</f>
        <v/>
      </c>
      <c r="I97" s="58" t="str">
        <f t="shared" ca="1" si="2"/>
        <v/>
      </c>
      <c r="J97" s="30" t="str">
        <f ca="1">_xlfn.XLOOKUP(EFAbiertos[[#This Row],[Ticket '#]],Registro!$B$8:$B$997,Registro!$U$8:$U$997,"",0)</f>
        <v/>
      </c>
      <c r="K97" s="30" t="str">
        <f ca="1">_xlfn.XLOOKUP(EFAbiertos[[#This Row],[Ticket '#]],Registro!$B$8:$B$997,Registro!$W$8:$W$997,"",0)</f>
        <v/>
      </c>
      <c r="L97" s="30" t="str">
        <f ca="1">_xlfn.XLOOKUP(EFAbiertos[[#This Row],[Ticket '#]],Registro!$B$8:$B$997,Registro!$X$8:$X$997,"",0)</f>
        <v/>
      </c>
      <c r="M97" s="30" t="str">
        <f ca="1">_xlfn.XLOOKUP(EFAbiertos[[#This Row],[Ticket '#]],Registro!$B$8:$B$997,Registro!$Y$8:$Y$997,"",0)</f>
        <v/>
      </c>
      <c r="N9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8" spans="3:14" ht="28.5" customHeight="1">
      <c r="C98" s="2" t="str">
        <f ca="1">IF(D98="","",HYPERLINK("#"&amp;"Registro!B"&amp;MATCH(D98,Registro!$B$8:$B$997,0)+7,"Ubicar en registro"))</f>
        <v/>
      </c>
      <c r="D98" s="1" t="str">
        <f ca="1">IF(Programación!Q98="","",Programación!Q98)</f>
        <v/>
      </c>
      <c r="E98" s="1" t="str">
        <f ca="1">_xlfn.XLOOKUP(EFAbiertos[[#This Row],[Ticket '#]],Registro!$B$8:$B$997,Registro!$M$8:$M$997,"",0)</f>
        <v/>
      </c>
      <c r="F98" s="86" t="str">
        <f ca="1">_xlfn.XLOOKUP(EFAbiertos[[#This Row],[Ticket '#]],Registro!$B$8:$B$997,Registro!$H$8:$H$997,"",0)</f>
        <v/>
      </c>
      <c r="G98" s="26" t="str">
        <f ca="1">_xlfn.XLOOKUP(EFAbiertos[[#This Row],[Ticket '#]],Registro!$B$8:$B$997,Registro!$M$8:$M$997,"",0)</f>
        <v/>
      </c>
      <c r="H98" s="67" t="str">
        <f ca="1">_xlfn.XLOOKUP(EFAbiertos[[#This Row],[Ticket '#]],Registro!$B$8:$B$997,Registro!$S$8:$S$997,"",0)</f>
        <v/>
      </c>
      <c r="I98" s="58" t="str">
        <f t="shared" ca="1" si="2"/>
        <v/>
      </c>
      <c r="J98" s="30" t="str">
        <f ca="1">_xlfn.XLOOKUP(EFAbiertos[[#This Row],[Ticket '#]],Registro!$B$8:$B$997,Registro!$U$8:$U$997,"",0)</f>
        <v/>
      </c>
      <c r="K98" s="30" t="str">
        <f ca="1">_xlfn.XLOOKUP(EFAbiertos[[#This Row],[Ticket '#]],Registro!$B$8:$B$997,Registro!$W$8:$W$997,"",0)</f>
        <v/>
      </c>
      <c r="L98" s="30" t="str">
        <f ca="1">_xlfn.XLOOKUP(EFAbiertos[[#This Row],[Ticket '#]],Registro!$B$8:$B$997,Registro!$X$8:$X$997,"",0)</f>
        <v/>
      </c>
      <c r="M98" s="30" t="str">
        <f ca="1">_xlfn.XLOOKUP(EFAbiertos[[#This Row],[Ticket '#]],Registro!$B$8:$B$997,Registro!$Y$8:$Y$997,"",0)</f>
        <v/>
      </c>
      <c r="N9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99" spans="3:14" ht="28.5" customHeight="1">
      <c r="C99" s="2" t="str">
        <f ca="1">IF(D99="","",HYPERLINK("#"&amp;"Registro!B"&amp;MATCH(D99,Registro!$B$8:$B$997,0)+7,"Ubicar en registro"))</f>
        <v/>
      </c>
      <c r="D99" s="1" t="str">
        <f ca="1">IF(Programación!Q99="","",Programación!Q99)</f>
        <v/>
      </c>
      <c r="E99" s="1" t="str">
        <f ca="1">_xlfn.XLOOKUP(EFAbiertos[[#This Row],[Ticket '#]],Registro!$B$8:$B$997,Registro!$M$8:$M$997,"",0)</f>
        <v/>
      </c>
      <c r="F99" s="86" t="str">
        <f ca="1">_xlfn.XLOOKUP(EFAbiertos[[#This Row],[Ticket '#]],Registro!$B$8:$B$997,Registro!$H$8:$H$997,"",0)</f>
        <v/>
      </c>
      <c r="G99" s="26" t="str">
        <f ca="1">_xlfn.XLOOKUP(EFAbiertos[[#This Row],[Ticket '#]],Registro!$B$8:$B$997,Registro!$M$8:$M$997,"",0)</f>
        <v/>
      </c>
      <c r="H99" s="67" t="str">
        <f ca="1">_xlfn.XLOOKUP(EFAbiertos[[#This Row],[Ticket '#]],Registro!$B$8:$B$997,Registro!$S$8:$S$997,"",0)</f>
        <v/>
      </c>
      <c r="I99" s="58" t="str">
        <f t="shared" ca="1" si="2"/>
        <v/>
      </c>
      <c r="J99" s="30" t="str">
        <f ca="1">_xlfn.XLOOKUP(EFAbiertos[[#This Row],[Ticket '#]],Registro!$B$8:$B$997,Registro!$U$8:$U$997,"",0)</f>
        <v/>
      </c>
      <c r="K99" s="30" t="str">
        <f ca="1">_xlfn.XLOOKUP(EFAbiertos[[#This Row],[Ticket '#]],Registro!$B$8:$B$997,Registro!$W$8:$W$997,"",0)</f>
        <v/>
      </c>
      <c r="L99" s="30" t="str">
        <f ca="1">_xlfn.XLOOKUP(EFAbiertos[[#This Row],[Ticket '#]],Registro!$B$8:$B$997,Registro!$X$8:$X$997,"",0)</f>
        <v/>
      </c>
      <c r="M99" s="30" t="str">
        <f ca="1">_xlfn.XLOOKUP(EFAbiertos[[#This Row],[Ticket '#]],Registro!$B$8:$B$997,Registro!$Y$8:$Y$997,"",0)</f>
        <v/>
      </c>
      <c r="N9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0" spans="3:14" ht="28.5" customHeight="1">
      <c r="C100" s="2" t="str">
        <f ca="1">IF(D100="","",HYPERLINK("#"&amp;"Registro!B"&amp;MATCH(D100,Registro!$B$8:$B$997,0)+7,"Ubicar en registro"))</f>
        <v/>
      </c>
      <c r="D100" s="1" t="str">
        <f ca="1">IF(Programación!Q100="","",Programación!Q100)</f>
        <v/>
      </c>
      <c r="E100" s="1" t="str">
        <f ca="1">_xlfn.XLOOKUP(EFAbiertos[[#This Row],[Ticket '#]],Registro!$B$8:$B$997,Registro!$M$8:$M$997,"",0)</f>
        <v/>
      </c>
      <c r="F100" s="86" t="str">
        <f ca="1">_xlfn.XLOOKUP(EFAbiertos[[#This Row],[Ticket '#]],Registro!$B$8:$B$997,Registro!$H$8:$H$997,"",0)</f>
        <v/>
      </c>
      <c r="G100" s="26" t="str">
        <f ca="1">_xlfn.XLOOKUP(EFAbiertos[[#This Row],[Ticket '#]],Registro!$B$8:$B$997,Registro!$M$8:$M$997,"",0)</f>
        <v/>
      </c>
      <c r="H100" s="67" t="str">
        <f ca="1">_xlfn.XLOOKUP(EFAbiertos[[#This Row],[Ticket '#]],Registro!$B$8:$B$997,Registro!$S$8:$S$997,"",0)</f>
        <v/>
      </c>
      <c r="I100" s="58" t="str">
        <f t="shared" ca="1" si="2"/>
        <v/>
      </c>
      <c r="J100" s="30" t="str">
        <f ca="1">_xlfn.XLOOKUP(EFAbiertos[[#This Row],[Ticket '#]],Registro!$B$8:$B$997,Registro!$U$8:$U$997,"",0)</f>
        <v/>
      </c>
      <c r="K100" s="30" t="str">
        <f ca="1">_xlfn.XLOOKUP(EFAbiertos[[#This Row],[Ticket '#]],Registro!$B$8:$B$997,Registro!$W$8:$W$997,"",0)</f>
        <v/>
      </c>
      <c r="L100" s="30" t="str">
        <f ca="1">_xlfn.XLOOKUP(EFAbiertos[[#This Row],[Ticket '#]],Registro!$B$8:$B$997,Registro!$X$8:$X$997,"",0)</f>
        <v/>
      </c>
      <c r="M100" s="30" t="str">
        <f ca="1">_xlfn.XLOOKUP(EFAbiertos[[#This Row],[Ticket '#]],Registro!$B$8:$B$997,Registro!$Y$8:$Y$997,"",0)</f>
        <v/>
      </c>
      <c r="N10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1" spans="3:14" ht="28.5" customHeight="1">
      <c r="C101" s="2" t="str">
        <f ca="1">IF(D101="","",HYPERLINK("#"&amp;"Registro!B"&amp;MATCH(D101,Registro!$B$8:$B$997,0)+7,"Ubicar en registro"))</f>
        <v/>
      </c>
      <c r="D101" s="1" t="str">
        <f ca="1">IF(Programación!Q101="","",Programación!Q101)</f>
        <v/>
      </c>
      <c r="E101" s="1" t="str">
        <f ca="1">_xlfn.XLOOKUP(EFAbiertos[[#This Row],[Ticket '#]],Registro!$B$8:$B$997,Registro!$M$8:$M$997,"",0)</f>
        <v/>
      </c>
      <c r="F101" s="86" t="str">
        <f ca="1">_xlfn.XLOOKUP(EFAbiertos[[#This Row],[Ticket '#]],Registro!$B$8:$B$997,Registro!$H$8:$H$997,"",0)</f>
        <v/>
      </c>
      <c r="G101" s="26" t="str">
        <f ca="1">_xlfn.XLOOKUP(EFAbiertos[[#This Row],[Ticket '#]],Registro!$B$8:$B$997,Registro!$M$8:$M$997,"",0)</f>
        <v/>
      </c>
      <c r="H101" s="67" t="str">
        <f ca="1">_xlfn.XLOOKUP(EFAbiertos[[#This Row],[Ticket '#]],Registro!$B$8:$B$997,Registro!$S$8:$S$997,"",0)</f>
        <v/>
      </c>
      <c r="I101" s="58" t="str">
        <f t="shared" ca="1" si="2"/>
        <v/>
      </c>
      <c r="J101" s="30" t="str">
        <f ca="1">_xlfn.XLOOKUP(EFAbiertos[[#This Row],[Ticket '#]],Registro!$B$8:$B$997,Registro!$U$8:$U$997,"",0)</f>
        <v/>
      </c>
      <c r="K101" s="30" t="str">
        <f ca="1">_xlfn.XLOOKUP(EFAbiertos[[#This Row],[Ticket '#]],Registro!$B$8:$B$997,Registro!$W$8:$W$997,"",0)</f>
        <v/>
      </c>
      <c r="L101" s="30" t="str">
        <f ca="1">_xlfn.XLOOKUP(EFAbiertos[[#This Row],[Ticket '#]],Registro!$B$8:$B$997,Registro!$X$8:$X$997,"",0)</f>
        <v/>
      </c>
      <c r="M101" s="30" t="str">
        <f ca="1">_xlfn.XLOOKUP(EFAbiertos[[#This Row],[Ticket '#]],Registro!$B$8:$B$997,Registro!$Y$8:$Y$997,"",0)</f>
        <v/>
      </c>
      <c r="N10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2" spans="3:14" ht="28.5" customHeight="1">
      <c r="C102" s="2" t="str">
        <f ca="1">IF(D102="","",HYPERLINK("#"&amp;"Registro!B"&amp;MATCH(D102,Registro!$B$8:$B$997,0)+7,"Ubicar en registro"))</f>
        <v/>
      </c>
      <c r="D102" s="1" t="str">
        <f ca="1">IF(Programación!Q102="","",Programación!Q102)</f>
        <v/>
      </c>
      <c r="E102" s="1" t="str">
        <f ca="1">_xlfn.XLOOKUP(EFAbiertos[[#This Row],[Ticket '#]],Registro!$B$8:$B$997,Registro!$M$8:$M$997,"",0)</f>
        <v/>
      </c>
      <c r="F102" s="86" t="str">
        <f ca="1">_xlfn.XLOOKUP(EFAbiertos[[#This Row],[Ticket '#]],Registro!$B$8:$B$997,Registro!$H$8:$H$997,"",0)</f>
        <v/>
      </c>
      <c r="G102" s="26" t="str">
        <f ca="1">_xlfn.XLOOKUP(EFAbiertos[[#This Row],[Ticket '#]],Registro!$B$8:$B$997,Registro!$M$8:$M$997,"",0)</f>
        <v/>
      </c>
      <c r="H102" s="67" t="str">
        <f ca="1">_xlfn.XLOOKUP(EFAbiertos[[#This Row],[Ticket '#]],Registro!$B$8:$B$997,Registro!$S$8:$S$997,"",0)</f>
        <v/>
      </c>
      <c r="I102" s="58" t="str">
        <f t="shared" ca="1" si="2"/>
        <v/>
      </c>
      <c r="J102" s="30" t="str">
        <f ca="1">_xlfn.XLOOKUP(EFAbiertos[[#This Row],[Ticket '#]],Registro!$B$8:$B$997,Registro!$U$8:$U$997,"",0)</f>
        <v/>
      </c>
      <c r="K102" s="30" t="str">
        <f ca="1">_xlfn.XLOOKUP(EFAbiertos[[#This Row],[Ticket '#]],Registro!$B$8:$B$997,Registro!$W$8:$W$997,"",0)</f>
        <v/>
      </c>
      <c r="L102" s="30" t="str">
        <f ca="1">_xlfn.XLOOKUP(EFAbiertos[[#This Row],[Ticket '#]],Registro!$B$8:$B$997,Registro!$X$8:$X$997,"",0)</f>
        <v/>
      </c>
      <c r="M102" s="30" t="str">
        <f ca="1">_xlfn.XLOOKUP(EFAbiertos[[#This Row],[Ticket '#]],Registro!$B$8:$B$997,Registro!$Y$8:$Y$997,"",0)</f>
        <v/>
      </c>
      <c r="N10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3" spans="3:14" ht="28.5" customHeight="1">
      <c r="C103" s="2" t="str">
        <f ca="1">IF(D103="","",HYPERLINK("#"&amp;"Registro!B"&amp;MATCH(D103,Registro!$B$8:$B$997,0)+7,"Ubicar en registro"))</f>
        <v/>
      </c>
      <c r="D103" s="1" t="str">
        <f ca="1">IF(Programación!Q103="","",Programación!Q103)</f>
        <v/>
      </c>
      <c r="E103" s="1" t="str">
        <f ca="1">_xlfn.XLOOKUP(EFAbiertos[[#This Row],[Ticket '#]],Registro!$B$8:$B$997,Registro!$M$8:$M$997,"",0)</f>
        <v/>
      </c>
      <c r="F103" s="86" t="str">
        <f ca="1">_xlfn.XLOOKUP(EFAbiertos[[#This Row],[Ticket '#]],Registro!$B$8:$B$997,Registro!$H$8:$H$997,"",0)</f>
        <v/>
      </c>
      <c r="G103" s="26" t="str">
        <f ca="1">_xlfn.XLOOKUP(EFAbiertos[[#This Row],[Ticket '#]],Registro!$B$8:$B$997,Registro!$M$8:$M$997,"",0)</f>
        <v/>
      </c>
      <c r="H103" s="67" t="str">
        <f ca="1">_xlfn.XLOOKUP(EFAbiertos[[#This Row],[Ticket '#]],Registro!$B$8:$B$997,Registro!$S$8:$S$997,"",0)</f>
        <v/>
      </c>
      <c r="I103" s="58" t="str">
        <f t="shared" ca="1" si="2"/>
        <v/>
      </c>
      <c r="J103" s="30" t="str">
        <f ca="1">_xlfn.XLOOKUP(EFAbiertos[[#This Row],[Ticket '#]],Registro!$B$8:$B$997,Registro!$U$8:$U$997,"",0)</f>
        <v/>
      </c>
      <c r="K103" s="30" t="str">
        <f ca="1">_xlfn.XLOOKUP(EFAbiertos[[#This Row],[Ticket '#]],Registro!$B$8:$B$997,Registro!$W$8:$W$997,"",0)</f>
        <v/>
      </c>
      <c r="L103" s="30" t="str">
        <f ca="1">_xlfn.XLOOKUP(EFAbiertos[[#This Row],[Ticket '#]],Registro!$B$8:$B$997,Registro!$X$8:$X$997,"",0)</f>
        <v/>
      </c>
      <c r="M103" s="30" t="str">
        <f ca="1">_xlfn.XLOOKUP(EFAbiertos[[#This Row],[Ticket '#]],Registro!$B$8:$B$997,Registro!$Y$8:$Y$997,"",0)</f>
        <v/>
      </c>
      <c r="N10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4" spans="3:14" ht="28.5" customHeight="1">
      <c r="C104" s="2" t="str">
        <f ca="1">IF(D104="","",HYPERLINK("#"&amp;"Registro!B"&amp;MATCH(D104,Registro!$B$8:$B$997,0)+7,"Ubicar en registro"))</f>
        <v/>
      </c>
      <c r="D104" s="1" t="str">
        <f ca="1">IF(Programación!Q104="","",Programación!Q104)</f>
        <v/>
      </c>
      <c r="E104" s="1" t="str">
        <f ca="1">_xlfn.XLOOKUP(EFAbiertos[[#This Row],[Ticket '#]],Registro!$B$8:$B$997,Registro!$M$8:$M$997,"",0)</f>
        <v/>
      </c>
      <c r="F104" s="86" t="str">
        <f ca="1">_xlfn.XLOOKUP(EFAbiertos[[#This Row],[Ticket '#]],Registro!$B$8:$B$997,Registro!$H$8:$H$997,"",0)</f>
        <v/>
      </c>
      <c r="G104" s="26" t="str">
        <f ca="1">_xlfn.XLOOKUP(EFAbiertos[[#This Row],[Ticket '#]],Registro!$B$8:$B$997,Registro!$M$8:$M$997,"",0)</f>
        <v/>
      </c>
      <c r="H104" s="67" t="str">
        <f ca="1">_xlfn.XLOOKUP(EFAbiertos[[#This Row],[Ticket '#]],Registro!$B$8:$B$997,Registro!$S$8:$S$997,"",0)</f>
        <v/>
      </c>
      <c r="I104" s="58" t="str">
        <f t="shared" ca="1" si="2"/>
        <v/>
      </c>
      <c r="J104" s="30" t="str">
        <f ca="1">_xlfn.XLOOKUP(EFAbiertos[[#This Row],[Ticket '#]],Registro!$B$8:$B$997,Registro!$U$8:$U$997,"",0)</f>
        <v/>
      </c>
      <c r="K104" s="30" t="str">
        <f ca="1">_xlfn.XLOOKUP(EFAbiertos[[#This Row],[Ticket '#]],Registro!$B$8:$B$997,Registro!$W$8:$W$997,"",0)</f>
        <v/>
      </c>
      <c r="L104" s="30" t="str">
        <f ca="1">_xlfn.XLOOKUP(EFAbiertos[[#This Row],[Ticket '#]],Registro!$B$8:$B$997,Registro!$X$8:$X$997,"",0)</f>
        <v/>
      </c>
      <c r="M104" s="30" t="str">
        <f ca="1">_xlfn.XLOOKUP(EFAbiertos[[#This Row],[Ticket '#]],Registro!$B$8:$B$997,Registro!$Y$8:$Y$997,"",0)</f>
        <v/>
      </c>
      <c r="N10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5" spans="3:14" ht="28.5" customHeight="1">
      <c r="C105" s="2" t="str">
        <f ca="1">IF(D105="","",HYPERLINK("#"&amp;"Registro!B"&amp;MATCH(D105,Registro!$B$8:$B$997,0)+7,"Ubicar en registro"))</f>
        <v/>
      </c>
      <c r="D105" s="1" t="str">
        <f ca="1">IF(Programación!Q105="","",Programación!Q105)</f>
        <v/>
      </c>
      <c r="E105" s="1" t="str">
        <f ca="1">_xlfn.XLOOKUP(EFAbiertos[[#This Row],[Ticket '#]],Registro!$B$8:$B$997,Registro!$M$8:$M$997,"",0)</f>
        <v/>
      </c>
      <c r="F105" s="86" t="str">
        <f ca="1">_xlfn.XLOOKUP(EFAbiertos[[#This Row],[Ticket '#]],Registro!$B$8:$B$997,Registro!$H$8:$H$997,"",0)</f>
        <v/>
      </c>
      <c r="G105" s="26" t="str">
        <f ca="1">_xlfn.XLOOKUP(EFAbiertos[[#This Row],[Ticket '#]],Registro!$B$8:$B$997,Registro!$M$8:$M$997,"",0)</f>
        <v/>
      </c>
      <c r="H105" s="67" t="str">
        <f ca="1">_xlfn.XLOOKUP(EFAbiertos[[#This Row],[Ticket '#]],Registro!$B$8:$B$997,Registro!$S$8:$S$997,"",0)</f>
        <v/>
      </c>
      <c r="I105" s="58" t="str">
        <f t="shared" ref="I105:I136" ca="1" si="3">IF(J105="","",IF(J105=K105,1,0))</f>
        <v/>
      </c>
      <c r="J105" s="30" t="str">
        <f ca="1">_xlfn.XLOOKUP(EFAbiertos[[#This Row],[Ticket '#]],Registro!$B$8:$B$997,Registro!$U$8:$U$997,"",0)</f>
        <v/>
      </c>
      <c r="K105" s="30" t="str">
        <f ca="1">_xlfn.XLOOKUP(EFAbiertos[[#This Row],[Ticket '#]],Registro!$B$8:$B$997,Registro!$W$8:$W$997,"",0)</f>
        <v/>
      </c>
      <c r="L105" s="30" t="str">
        <f ca="1">_xlfn.XLOOKUP(EFAbiertos[[#This Row],[Ticket '#]],Registro!$B$8:$B$997,Registro!$X$8:$X$997,"",0)</f>
        <v/>
      </c>
      <c r="M105" s="30" t="str">
        <f ca="1">_xlfn.XLOOKUP(EFAbiertos[[#This Row],[Ticket '#]],Registro!$B$8:$B$997,Registro!$Y$8:$Y$997,"",0)</f>
        <v/>
      </c>
      <c r="N10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6" spans="3:14" ht="28.5" customHeight="1">
      <c r="C106" s="2" t="str">
        <f ca="1">IF(D106="","",HYPERLINK("#"&amp;"Registro!B"&amp;MATCH(D106,Registro!$B$8:$B$997,0)+7,"Ubicar en registro"))</f>
        <v/>
      </c>
      <c r="D106" s="1" t="str">
        <f ca="1">IF(Programación!Q106="","",Programación!Q106)</f>
        <v/>
      </c>
      <c r="E106" s="1" t="str">
        <f ca="1">_xlfn.XLOOKUP(EFAbiertos[[#This Row],[Ticket '#]],Registro!$B$8:$B$997,Registro!$M$8:$M$997,"",0)</f>
        <v/>
      </c>
      <c r="F106" s="86" t="str">
        <f ca="1">_xlfn.XLOOKUP(EFAbiertos[[#This Row],[Ticket '#]],Registro!$B$8:$B$997,Registro!$H$8:$H$997,"",0)</f>
        <v/>
      </c>
      <c r="G106" s="26" t="str">
        <f ca="1">_xlfn.XLOOKUP(EFAbiertos[[#This Row],[Ticket '#]],Registro!$B$8:$B$997,Registro!$M$8:$M$997,"",0)</f>
        <v/>
      </c>
      <c r="H106" s="67" t="str">
        <f ca="1">_xlfn.XLOOKUP(EFAbiertos[[#This Row],[Ticket '#]],Registro!$B$8:$B$997,Registro!$S$8:$S$997,"",0)</f>
        <v/>
      </c>
      <c r="I106" s="58" t="str">
        <f t="shared" ca="1" si="3"/>
        <v/>
      </c>
      <c r="J106" s="30" t="str">
        <f ca="1">_xlfn.XLOOKUP(EFAbiertos[[#This Row],[Ticket '#]],Registro!$B$8:$B$997,Registro!$U$8:$U$997,"",0)</f>
        <v/>
      </c>
      <c r="K106" s="30" t="str">
        <f ca="1">_xlfn.XLOOKUP(EFAbiertos[[#This Row],[Ticket '#]],Registro!$B$8:$B$997,Registro!$W$8:$W$997,"",0)</f>
        <v/>
      </c>
      <c r="L106" s="30" t="str">
        <f ca="1">_xlfn.XLOOKUP(EFAbiertos[[#This Row],[Ticket '#]],Registro!$B$8:$B$997,Registro!$X$8:$X$997,"",0)</f>
        <v/>
      </c>
      <c r="M106" s="30" t="str">
        <f ca="1">_xlfn.XLOOKUP(EFAbiertos[[#This Row],[Ticket '#]],Registro!$B$8:$B$997,Registro!$Y$8:$Y$997,"",0)</f>
        <v/>
      </c>
      <c r="N10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7" spans="3:14" ht="28.5" customHeight="1">
      <c r="C107" s="2" t="str">
        <f ca="1">IF(D107="","",HYPERLINK("#"&amp;"Registro!B"&amp;MATCH(D107,Registro!$B$8:$B$997,0)+7,"Ubicar en registro"))</f>
        <v/>
      </c>
      <c r="D107" s="1" t="str">
        <f ca="1">IF(Programación!Q107="","",Programación!Q107)</f>
        <v/>
      </c>
      <c r="E107" s="1" t="str">
        <f ca="1">_xlfn.XLOOKUP(EFAbiertos[[#This Row],[Ticket '#]],Registro!$B$8:$B$997,Registro!$M$8:$M$997,"",0)</f>
        <v/>
      </c>
      <c r="F107" s="86" t="str">
        <f ca="1">_xlfn.XLOOKUP(EFAbiertos[[#This Row],[Ticket '#]],Registro!$B$8:$B$997,Registro!$H$8:$H$997,"",0)</f>
        <v/>
      </c>
      <c r="G107" s="26" t="str">
        <f ca="1">_xlfn.XLOOKUP(EFAbiertos[[#This Row],[Ticket '#]],Registro!$B$8:$B$997,Registro!$M$8:$M$997,"",0)</f>
        <v/>
      </c>
      <c r="H107" s="67" t="str">
        <f ca="1">_xlfn.XLOOKUP(EFAbiertos[[#This Row],[Ticket '#]],Registro!$B$8:$B$997,Registro!$S$8:$S$997,"",0)</f>
        <v/>
      </c>
      <c r="I107" s="58" t="str">
        <f t="shared" ca="1" si="3"/>
        <v/>
      </c>
      <c r="J107" s="30" t="str">
        <f ca="1">_xlfn.XLOOKUP(EFAbiertos[[#This Row],[Ticket '#]],Registro!$B$8:$B$997,Registro!$U$8:$U$997,"",0)</f>
        <v/>
      </c>
      <c r="K107" s="30" t="str">
        <f ca="1">_xlfn.XLOOKUP(EFAbiertos[[#This Row],[Ticket '#]],Registro!$B$8:$B$997,Registro!$W$8:$W$997,"",0)</f>
        <v/>
      </c>
      <c r="L107" s="30" t="str">
        <f ca="1">_xlfn.XLOOKUP(EFAbiertos[[#This Row],[Ticket '#]],Registro!$B$8:$B$997,Registro!$X$8:$X$997,"",0)</f>
        <v/>
      </c>
      <c r="M107" s="30" t="str">
        <f ca="1">_xlfn.XLOOKUP(EFAbiertos[[#This Row],[Ticket '#]],Registro!$B$8:$B$997,Registro!$Y$8:$Y$997,"",0)</f>
        <v/>
      </c>
      <c r="N10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8" spans="3:14" ht="28.5" customHeight="1">
      <c r="C108" s="2" t="str">
        <f ca="1">IF(D108="","",HYPERLINK("#"&amp;"Registro!B"&amp;MATCH(D108,Registro!$B$8:$B$997,0)+7,"Ubicar en registro"))</f>
        <v/>
      </c>
      <c r="D108" s="1" t="str">
        <f ca="1">IF(Programación!Q108="","",Programación!Q108)</f>
        <v/>
      </c>
      <c r="E108" s="1" t="str">
        <f ca="1">_xlfn.XLOOKUP(EFAbiertos[[#This Row],[Ticket '#]],Registro!$B$8:$B$997,Registro!$M$8:$M$997,"",0)</f>
        <v/>
      </c>
      <c r="F108" s="86" t="str">
        <f ca="1">_xlfn.XLOOKUP(EFAbiertos[[#This Row],[Ticket '#]],Registro!$B$8:$B$997,Registro!$H$8:$H$997,"",0)</f>
        <v/>
      </c>
      <c r="G108" s="26" t="str">
        <f ca="1">_xlfn.XLOOKUP(EFAbiertos[[#This Row],[Ticket '#]],Registro!$B$8:$B$997,Registro!$M$8:$M$997,"",0)</f>
        <v/>
      </c>
      <c r="H108" s="67" t="str">
        <f ca="1">_xlfn.XLOOKUP(EFAbiertos[[#This Row],[Ticket '#]],Registro!$B$8:$B$997,Registro!$S$8:$S$997,"",0)</f>
        <v/>
      </c>
      <c r="I108" s="58" t="str">
        <f t="shared" ca="1" si="3"/>
        <v/>
      </c>
      <c r="J108" s="30" t="str">
        <f ca="1">_xlfn.XLOOKUP(EFAbiertos[[#This Row],[Ticket '#]],Registro!$B$8:$B$997,Registro!$U$8:$U$997,"",0)</f>
        <v/>
      </c>
      <c r="K108" s="30" t="str">
        <f ca="1">_xlfn.XLOOKUP(EFAbiertos[[#This Row],[Ticket '#]],Registro!$B$8:$B$997,Registro!$W$8:$W$997,"",0)</f>
        <v/>
      </c>
      <c r="L108" s="30" t="str">
        <f ca="1">_xlfn.XLOOKUP(EFAbiertos[[#This Row],[Ticket '#]],Registro!$B$8:$B$997,Registro!$X$8:$X$997,"",0)</f>
        <v/>
      </c>
      <c r="M108" s="30" t="str">
        <f ca="1">_xlfn.XLOOKUP(EFAbiertos[[#This Row],[Ticket '#]],Registro!$B$8:$B$997,Registro!$Y$8:$Y$997,"",0)</f>
        <v/>
      </c>
      <c r="N10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09" spans="3:14" ht="28.5" customHeight="1">
      <c r="C109" s="2" t="str">
        <f ca="1">IF(D109="","",HYPERLINK("#"&amp;"Registro!B"&amp;MATCH(D109,Registro!$B$8:$B$997,0)+7,"Ubicar en registro"))</f>
        <v/>
      </c>
      <c r="D109" s="1" t="str">
        <f ca="1">IF(Programación!Q109="","",Programación!Q109)</f>
        <v/>
      </c>
      <c r="E109" s="1" t="str">
        <f ca="1">_xlfn.XLOOKUP(EFAbiertos[[#This Row],[Ticket '#]],Registro!$B$8:$B$997,Registro!$M$8:$M$997,"",0)</f>
        <v/>
      </c>
      <c r="F109" s="86" t="str">
        <f ca="1">_xlfn.XLOOKUP(EFAbiertos[[#This Row],[Ticket '#]],Registro!$B$8:$B$997,Registro!$H$8:$H$997,"",0)</f>
        <v/>
      </c>
      <c r="G109" s="26" t="str">
        <f ca="1">_xlfn.XLOOKUP(EFAbiertos[[#This Row],[Ticket '#]],Registro!$B$8:$B$997,Registro!$M$8:$M$997,"",0)</f>
        <v/>
      </c>
      <c r="H109" s="67" t="str">
        <f ca="1">_xlfn.XLOOKUP(EFAbiertos[[#This Row],[Ticket '#]],Registro!$B$8:$B$997,Registro!$S$8:$S$997,"",0)</f>
        <v/>
      </c>
      <c r="I109" s="58" t="str">
        <f t="shared" ca="1" si="3"/>
        <v/>
      </c>
      <c r="J109" s="30" t="str">
        <f ca="1">_xlfn.XLOOKUP(EFAbiertos[[#This Row],[Ticket '#]],Registro!$B$8:$B$997,Registro!$U$8:$U$997,"",0)</f>
        <v/>
      </c>
      <c r="K109" s="30" t="str">
        <f ca="1">_xlfn.XLOOKUP(EFAbiertos[[#This Row],[Ticket '#]],Registro!$B$8:$B$997,Registro!$W$8:$W$997,"",0)</f>
        <v/>
      </c>
      <c r="L109" s="30" t="str">
        <f ca="1">_xlfn.XLOOKUP(EFAbiertos[[#This Row],[Ticket '#]],Registro!$B$8:$B$997,Registro!$X$8:$X$997,"",0)</f>
        <v/>
      </c>
      <c r="M109" s="30" t="str">
        <f ca="1">_xlfn.XLOOKUP(EFAbiertos[[#This Row],[Ticket '#]],Registro!$B$8:$B$997,Registro!$Y$8:$Y$997,"",0)</f>
        <v/>
      </c>
      <c r="N10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0" spans="3:14" ht="28.5" customHeight="1">
      <c r="C110" s="2" t="str">
        <f ca="1">IF(D110="","",HYPERLINK("#"&amp;"Registro!B"&amp;MATCH(D110,Registro!$B$8:$B$997,0)+7,"Ubicar en registro"))</f>
        <v/>
      </c>
      <c r="D110" s="1" t="str">
        <f ca="1">IF(Programación!Q110="","",Programación!Q110)</f>
        <v/>
      </c>
      <c r="E110" s="1" t="str">
        <f ca="1">_xlfn.XLOOKUP(EFAbiertos[[#This Row],[Ticket '#]],Registro!$B$8:$B$997,Registro!$M$8:$M$997,"",0)</f>
        <v/>
      </c>
      <c r="F110" s="86" t="str">
        <f ca="1">_xlfn.XLOOKUP(EFAbiertos[[#This Row],[Ticket '#]],Registro!$B$8:$B$997,Registro!$H$8:$H$997,"",0)</f>
        <v/>
      </c>
      <c r="G110" s="26" t="str">
        <f ca="1">_xlfn.XLOOKUP(EFAbiertos[[#This Row],[Ticket '#]],Registro!$B$8:$B$997,Registro!$M$8:$M$997,"",0)</f>
        <v/>
      </c>
      <c r="H110" s="67" t="str">
        <f ca="1">_xlfn.XLOOKUP(EFAbiertos[[#This Row],[Ticket '#]],Registro!$B$8:$B$997,Registro!$S$8:$S$997,"",0)</f>
        <v/>
      </c>
      <c r="I110" s="58" t="str">
        <f t="shared" ca="1" si="3"/>
        <v/>
      </c>
      <c r="J110" s="30" t="str">
        <f ca="1">_xlfn.XLOOKUP(EFAbiertos[[#This Row],[Ticket '#]],Registro!$B$8:$B$997,Registro!$U$8:$U$997,"",0)</f>
        <v/>
      </c>
      <c r="K110" s="30" t="str">
        <f ca="1">_xlfn.XLOOKUP(EFAbiertos[[#This Row],[Ticket '#]],Registro!$B$8:$B$997,Registro!$W$8:$W$997,"",0)</f>
        <v/>
      </c>
      <c r="L110" s="30" t="str">
        <f ca="1">_xlfn.XLOOKUP(EFAbiertos[[#This Row],[Ticket '#]],Registro!$B$8:$B$997,Registro!$X$8:$X$997,"",0)</f>
        <v/>
      </c>
      <c r="M110" s="30" t="str">
        <f ca="1">_xlfn.XLOOKUP(EFAbiertos[[#This Row],[Ticket '#]],Registro!$B$8:$B$997,Registro!$Y$8:$Y$997,"",0)</f>
        <v/>
      </c>
      <c r="N11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1" spans="3:14" ht="28.5" customHeight="1">
      <c r="C111" s="2" t="str">
        <f ca="1">IF(D111="","",HYPERLINK("#"&amp;"Registro!B"&amp;MATCH(D111,Registro!$B$8:$B$997,0)+7,"Ubicar en registro"))</f>
        <v/>
      </c>
      <c r="D111" s="1" t="str">
        <f ca="1">IF(Programación!Q111="","",Programación!Q111)</f>
        <v/>
      </c>
      <c r="E111" s="1" t="str">
        <f ca="1">_xlfn.XLOOKUP(EFAbiertos[[#This Row],[Ticket '#]],Registro!$B$8:$B$997,Registro!$M$8:$M$997,"",0)</f>
        <v/>
      </c>
      <c r="F111" s="86" t="str">
        <f ca="1">_xlfn.XLOOKUP(EFAbiertos[[#This Row],[Ticket '#]],Registro!$B$8:$B$997,Registro!$H$8:$H$997,"",0)</f>
        <v/>
      </c>
      <c r="G111" s="26" t="str">
        <f ca="1">_xlfn.XLOOKUP(EFAbiertos[[#This Row],[Ticket '#]],Registro!$B$8:$B$997,Registro!$M$8:$M$997,"",0)</f>
        <v/>
      </c>
      <c r="H111" s="67" t="str">
        <f ca="1">_xlfn.XLOOKUP(EFAbiertos[[#This Row],[Ticket '#]],Registro!$B$8:$B$997,Registro!$S$8:$S$997,"",0)</f>
        <v/>
      </c>
      <c r="I111" s="58" t="str">
        <f t="shared" ca="1" si="3"/>
        <v/>
      </c>
      <c r="J111" s="30" t="str">
        <f ca="1">_xlfn.XLOOKUP(EFAbiertos[[#This Row],[Ticket '#]],Registro!$B$8:$B$997,Registro!$U$8:$U$997,"",0)</f>
        <v/>
      </c>
      <c r="K111" s="30" t="str">
        <f ca="1">_xlfn.XLOOKUP(EFAbiertos[[#This Row],[Ticket '#]],Registro!$B$8:$B$997,Registro!$W$8:$W$997,"",0)</f>
        <v/>
      </c>
      <c r="L111" s="30" t="str">
        <f ca="1">_xlfn.XLOOKUP(EFAbiertos[[#This Row],[Ticket '#]],Registro!$B$8:$B$997,Registro!$X$8:$X$997,"",0)</f>
        <v/>
      </c>
      <c r="M111" s="30" t="str">
        <f ca="1">_xlfn.XLOOKUP(EFAbiertos[[#This Row],[Ticket '#]],Registro!$B$8:$B$997,Registro!$Y$8:$Y$997,"",0)</f>
        <v/>
      </c>
      <c r="N11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2" spans="3:14" ht="28.5" customHeight="1">
      <c r="C112" s="2" t="str">
        <f ca="1">IF(D112="","",HYPERLINK("#"&amp;"Registro!B"&amp;MATCH(D112,Registro!$B$8:$B$997,0)+7,"Ubicar en registro"))</f>
        <v/>
      </c>
      <c r="D112" s="1" t="str">
        <f ca="1">IF(Programación!Q112="","",Programación!Q112)</f>
        <v/>
      </c>
      <c r="E112" s="1" t="str">
        <f ca="1">_xlfn.XLOOKUP(EFAbiertos[[#This Row],[Ticket '#]],Registro!$B$8:$B$997,Registro!$M$8:$M$997,"",0)</f>
        <v/>
      </c>
      <c r="F112" s="86" t="str">
        <f ca="1">_xlfn.XLOOKUP(EFAbiertos[[#This Row],[Ticket '#]],Registro!$B$8:$B$997,Registro!$H$8:$H$997,"",0)</f>
        <v/>
      </c>
      <c r="G112" s="26" t="str">
        <f ca="1">_xlfn.XLOOKUP(EFAbiertos[[#This Row],[Ticket '#]],Registro!$B$8:$B$997,Registro!$M$8:$M$997,"",0)</f>
        <v/>
      </c>
      <c r="H112" s="67" t="str">
        <f ca="1">_xlfn.XLOOKUP(EFAbiertos[[#This Row],[Ticket '#]],Registro!$B$8:$B$997,Registro!$S$8:$S$997,"",0)</f>
        <v/>
      </c>
      <c r="I112" s="58" t="str">
        <f t="shared" ca="1" si="3"/>
        <v/>
      </c>
      <c r="J112" s="30" t="str">
        <f ca="1">_xlfn.XLOOKUP(EFAbiertos[[#This Row],[Ticket '#]],Registro!$B$8:$B$997,Registro!$U$8:$U$997,"",0)</f>
        <v/>
      </c>
      <c r="K112" s="30" t="str">
        <f ca="1">_xlfn.XLOOKUP(EFAbiertos[[#This Row],[Ticket '#]],Registro!$B$8:$B$997,Registro!$W$8:$W$997,"",0)</f>
        <v/>
      </c>
      <c r="L112" s="30" t="str">
        <f ca="1">_xlfn.XLOOKUP(EFAbiertos[[#This Row],[Ticket '#]],Registro!$B$8:$B$997,Registro!$X$8:$X$997,"",0)</f>
        <v/>
      </c>
      <c r="M112" s="30" t="str">
        <f ca="1">_xlfn.XLOOKUP(EFAbiertos[[#This Row],[Ticket '#]],Registro!$B$8:$B$997,Registro!$Y$8:$Y$997,"",0)</f>
        <v/>
      </c>
      <c r="N11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3" spans="3:14" ht="28.5" customHeight="1">
      <c r="C113" s="2" t="str">
        <f ca="1">IF(D113="","",HYPERLINK("#"&amp;"Registro!B"&amp;MATCH(D113,Registro!$B$8:$B$997,0)+7,"Ubicar en registro"))</f>
        <v/>
      </c>
      <c r="D113" s="1" t="str">
        <f ca="1">IF(Programación!Q113="","",Programación!Q113)</f>
        <v/>
      </c>
      <c r="E113" s="1" t="str">
        <f ca="1">_xlfn.XLOOKUP(EFAbiertos[[#This Row],[Ticket '#]],Registro!$B$8:$B$997,Registro!$M$8:$M$997,"",0)</f>
        <v/>
      </c>
      <c r="F113" s="86" t="str">
        <f ca="1">_xlfn.XLOOKUP(EFAbiertos[[#This Row],[Ticket '#]],Registro!$B$8:$B$997,Registro!$H$8:$H$997,"",0)</f>
        <v/>
      </c>
      <c r="G113" s="26" t="str">
        <f ca="1">_xlfn.XLOOKUP(EFAbiertos[[#This Row],[Ticket '#]],Registro!$B$8:$B$997,Registro!$M$8:$M$997,"",0)</f>
        <v/>
      </c>
      <c r="H113" s="67" t="str">
        <f ca="1">_xlfn.XLOOKUP(EFAbiertos[[#This Row],[Ticket '#]],Registro!$B$8:$B$997,Registro!$S$8:$S$997,"",0)</f>
        <v/>
      </c>
      <c r="I113" s="58" t="str">
        <f t="shared" ca="1" si="3"/>
        <v/>
      </c>
      <c r="J113" s="30" t="str">
        <f ca="1">_xlfn.XLOOKUP(EFAbiertos[[#This Row],[Ticket '#]],Registro!$B$8:$B$997,Registro!$U$8:$U$997,"",0)</f>
        <v/>
      </c>
      <c r="K113" s="30" t="str">
        <f ca="1">_xlfn.XLOOKUP(EFAbiertos[[#This Row],[Ticket '#]],Registro!$B$8:$B$997,Registro!$W$8:$W$997,"",0)</f>
        <v/>
      </c>
      <c r="L113" s="30" t="str">
        <f ca="1">_xlfn.XLOOKUP(EFAbiertos[[#This Row],[Ticket '#]],Registro!$B$8:$B$997,Registro!$X$8:$X$997,"",0)</f>
        <v/>
      </c>
      <c r="M113" s="30" t="str">
        <f ca="1">_xlfn.XLOOKUP(EFAbiertos[[#This Row],[Ticket '#]],Registro!$B$8:$B$997,Registro!$Y$8:$Y$997,"",0)</f>
        <v/>
      </c>
      <c r="N11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4" spans="3:14" ht="28.5" customHeight="1">
      <c r="C114" s="2" t="str">
        <f ca="1">IF(D114="","",HYPERLINK("#"&amp;"Registro!B"&amp;MATCH(D114,Registro!$B$8:$B$997,0)+7,"Ubicar en registro"))</f>
        <v/>
      </c>
      <c r="D114" s="1" t="str">
        <f ca="1">IF(Programación!Q114="","",Programación!Q114)</f>
        <v/>
      </c>
      <c r="E114" s="1" t="str">
        <f ca="1">_xlfn.XLOOKUP(EFAbiertos[[#This Row],[Ticket '#]],Registro!$B$8:$B$997,Registro!$M$8:$M$997,"",0)</f>
        <v/>
      </c>
      <c r="F114" s="86" t="str">
        <f ca="1">_xlfn.XLOOKUP(EFAbiertos[[#This Row],[Ticket '#]],Registro!$B$8:$B$997,Registro!$H$8:$H$997,"",0)</f>
        <v/>
      </c>
      <c r="G114" s="26" t="str">
        <f ca="1">_xlfn.XLOOKUP(EFAbiertos[[#This Row],[Ticket '#]],Registro!$B$8:$B$997,Registro!$M$8:$M$997,"",0)</f>
        <v/>
      </c>
      <c r="H114" s="67" t="str">
        <f ca="1">_xlfn.XLOOKUP(EFAbiertos[[#This Row],[Ticket '#]],Registro!$B$8:$B$997,Registro!$S$8:$S$997,"",0)</f>
        <v/>
      </c>
      <c r="I114" s="58" t="str">
        <f t="shared" ca="1" si="3"/>
        <v/>
      </c>
      <c r="J114" s="30" t="str">
        <f ca="1">_xlfn.XLOOKUP(EFAbiertos[[#This Row],[Ticket '#]],Registro!$B$8:$B$997,Registro!$U$8:$U$997,"",0)</f>
        <v/>
      </c>
      <c r="K114" s="30" t="str">
        <f ca="1">_xlfn.XLOOKUP(EFAbiertos[[#This Row],[Ticket '#]],Registro!$B$8:$B$997,Registro!$W$8:$W$997,"",0)</f>
        <v/>
      </c>
      <c r="L114" s="30" t="str">
        <f ca="1">_xlfn.XLOOKUP(EFAbiertos[[#This Row],[Ticket '#]],Registro!$B$8:$B$997,Registro!$X$8:$X$997,"",0)</f>
        <v/>
      </c>
      <c r="M114" s="30" t="str">
        <f ca="1">_xlfn.XLOOKUP(EFAbiertos[[#This Row],[Ticket '#]],Registro!$B$8:$B$997,Registro!$Y$8:$Y$997,"",0)</f>
        <v/>
      </c>
      <c r="N11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5" spans="3:14" ht="28.5" customHeight="1">
      <c r="C115" s="2" t="str">
        <f ca="1">IF(D115="","",HYPERLINK("#"&amp;"Registro!B"&amp;MATCH(D115,Registro!$B$8:$B$997,0)+7,"Ubicar en registro"))</f>
        <v/>
      </c>
      <c r="D115" s="1" t="str">
        <f ca="1">IF(Programación!Q115="","",Programación!Q115)</f>
        <v/>
      </c>
      <c r="E115" s="1" t="str">
        <f ca="1">_xlfn.XLOOKUP(EFAbiertos[[#This Row],[Ticket '#]],Registro!$B$8:$B$997,Registro!$M$8:$M$997,"",0)</f>
        <v/>
      </c>
      <c r="F115" s="86" t="str">
        <f ca="1">_xlfn.XLOOKUP(EFAbiertos[[#This Row],[Ticket '#]],Registro!$B$8:$B$997,Registro!$H$8:$H$997,"",0)</f>
        <v/>
      </c>
      <c r="G115" s="26" t="str">
        <f ca="1">_xlfn.XLOOKUP(EFAbiertos[[#This Row],[Ticket '#]],Registro!$B$8:$B$997,Registro!$M$8:$M$997,"",0)</f>
        <v/>
      </c>
      <c r="H115" s="67" t="str">
        <f ca="1">_xlfn.XLOOKUP(EFAbiertos[[#This Row],[Ticket '#]],Registro!$B$8:$B$997,Registro!$S$8:$S$997,"",0)</f>
        <v/>
      </c>
      <c r="I115" s="58" t="str">
        <f t="shared" ca="1" si="3"/>
        <v/>
      </c>
      <c r="J115" s="30" t="str">
        <f ca="1">_xlfn.XLOOKUP(EFAbiertos[[#This Row],[Ticket '#]],Registro!$B$8:$B$997,Registro!$U$8:$U$997,"",0)</f>
        <v/>
      </c>
      <c r="K115" s="30" t="str">
        <f ca="1">_xlfn.XLOOKUP(EFAbiertos[[#This Row],[Ticket '#]],Registro!$B$8:$B$997,Registro!$W$8:$W$997,"",0)</f>
        <v/>
      </c>
      <c r="L115" s="30" t="str">
        <f ca="1">_xlfn.XLOOKUP(EFAbiertos[[#This Row],[Ticket '#]],Registro!$B$8:$B$997,Registro!$X$8:$X$997,"",0)</f>
        <v/>
      </c>
      <c r="M115" s="30" t="str">
        <f ca="1">_xlfn.XLOOKUP(EFAbiertos[[#This Row],[Ticket '#]],Registro!$B$8:$B$997,Registro!$Y$8:$Y$997,"",0)</f>
        <v/>
      </c>
      <c r="N11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6" spans="3:14" ht="28.5" customHeight="1">
      <c r="C116" s="2" t="str">
        <f ca="1">IF(D116="","",HYPERLINK("#"&amp;"Registro!B"&amp;MATCH(D116,Registro!$B$8:$B$997,0)+7,"Ubicar en registro"))</f>
        <v/>
      </c>
      <c r="D116" s="1" t="str">
        <f ca="1">IF(Programación!Q116="","",Programación!Q116)</f>
        <v/>
      </c>
      <c r="E116" s="1" t="str">
        <f ca="1">_xlfn.XLOOKUP(EFAbiertos[[#This Row],[Ticket '#]],Registro!$B$8:$B$997,Registro!$M$8:$M$997,"",0)</f>
        <v/>
      </c>
      <c r="F116" s="86" t="str">
        <f ca="1">_xlfn.XLOOKUP(EFAbiertos[[#This Row],[Ticket '#]],Registro!$B$8:$B$997,Registro!$H$8:$H$997,"",0)</f>
        <v/>
      </c>
      <c r="G116" s="26" t="str">
        <f ca="1">_xlfn.XLOOKUP(EFAbiertos[[#This Row],[Ticket '#]],Registro!$B$8:$B$997,Registro!$M$8:$M$997,"",0)</f>
        <v/>
      </c>
      <c r="H116" s="67" t="str">
        <f ca="1">_xlfn.XLOOKUP(EFAbiertos[[#This Row],[Ticket '#]],Registro!$B$8:$B$997,Registro!$S$8:$S$997,"",0)</f>
        <v/>
      </c>
      <c r="I116" s="58" t="str">
        <f t="shared" ca="1" si="3"/>
        <v/>
      </c>
      <c r="J116" s="30" t="str">
        <f ca="1">_xlfn.XLOOKUP(EFAbiertos[[#This Row],[Ticket '#]],Registro!$B$8:$B$997,Registro!$U$8:$U$997,"",0)</f>
        <v/>
      </c>
      <c r="K116" s="30" t="str">
        <f ca="1">_xlfn.XLOOKUP(EFAbiertos[[#This Row],[Ticket '#]],Registro!$B$8:$B$997,Registro!$W$8:$W$997,"",0)</f>
        <v/>
      </c>
      <c r="L116" s="30" t="str">
        <f ca="1">_xlfn.XLOOKUP(EFAbiertos[[#This Row],[Ticket '#]],Registro!$B$8:$B$997,Registro!$X$8:$X$997,"",0)</f>
        <v/>
      </c>
      <c r="M116" s="30" t="str">
        <f ca="1">_xlfn.XLOOKUP(EFAbiertos[[#This Row],[Ticket '#]],Registro!$B$8:$B$997,Registro!$Y$8:$Y$997,"",0)</f>
        <v/>
      </c>
      <c r="N11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7" spans="3:14" ht="28.5" customHeight="1">
      <c r="C117" s="2" t="str">
        <f ca="1">IF(D117="","",HYPERLINK("#"&amp;"Registro!B"&amp;MATCH(D117,Registro!$B$8:$B$997,0)+7,"Ubicar en registro"))</f>
        <v/>
      </c>
      <c r="D117" s="1" t="str">
        <f ca="1">IF(Programación!Q117="","",Programación!Q117)</f>
        <v/>
      </c>
      <c r="E117" s="1" t="str">
        <f ca="1">_xlfn.XLOOKUP(EFAbiertos[[#This Row],[Ticket '#]],Registro!$B$8:$B$997,Registro!$M$8:$M$997,"",0)</f>
        <v/>
      </c>
      <c r="F117" s="86" t="str">
        <f ca="1">_xlfn.XLOOKUP(EFAbiertos[[#This Row],[Ticket '#]],Registro!$B$8:$B$997,Registro!$H$8:$H$997,"",0)</f>
        <v/>
      </c>
      <c r="G117" s="26" t="str">
        <f ca="1">_xlfn.XLOOKUP(EFAbiertos[[#This Row],[Ticket '#]],Registro!$B$8:$B$997,Registro!$M$8:$M$997,"",0)</f>
        <v/>
      </c>
      <c r="H117" s="67" t="str">
        <f ca="1">_xlfn.XLOOKUP(EFAbiertos[[#This Row],[Ticket '#]],Registro!$B$8:$B$997,Registro!$S$8:$S$997,"",0)</f>
        <v/>
      </c>
      <c r="I117" s="58" t="str">
        <f t="shared" ca="1" si="3"/>
        <v/>
      </c>
      <c r="J117" s="30" t="str">
        <f ca="1">_xlfn.XLOOKUP(EFAbiertos[[#This Row],[Ticket '#]],Registro!$B$8:$B$997,Registro!$U$8:$U$997,"",0)</f>
        <v/>
      </c>
      <c r="K117" s="30" t="str">
        <f ca="1">_xlfn.XLOOKUP(EFAbiertos[[#This Row],[Ticket '#]],Registro!$B$8:$B$997,Registro!$W$8:$W$997,"",0)</f>
        <v/>
      </c>
      <c r="L117" s="30" t="str">
        <f ca="1">_xlfn.XLOOKUP(EFAbiertos[[#This Row],[Ticket '#]],Registro!$B$8:$B$997,Registro!$X$8:$X$997,"",0)</f>
        <v/>
      </c>
      <c r="M117" s="30" t="str">
        <f ca="1">_xlfn.XLOOKUP(EFAbiertos[[#This Row],[Ticket '#]],Registro!$B$8:$B$997,Registro!$Y$8:$Y$997,"",0)</f>
        <v/>
      </c>
      <c r="N11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8" spans="3:14" ht="28.5" customHeight="1">
      <c r="C118" s="2" t="str">
        <f ca="1">IF(D118="","",HYPERLINK("#"&amp;"Registro!B"&amp;MATCH(D118,Registro!$B$8:$B$997,0)+7,"Ubicar en registro"))</f>
        <v/>
      </c>
      <c r="D118" s="1" t="str">
        <f ca="1">IF(Programación!Q118="","",Programación!Q118)</f>
        <v/>
      </c>
      <c r="E118" s="1" t="str">
        <f ca="1">_xlfn.XLOOKUP(EFAbiertos[[#This Row],[Ticket '#]],Registro!$B$8:$B$997,Registro!$M$8:$M$997,"",0)</f>
        <v/>
      </c>
      <c r="F118" s="86" t="str">
        <f ca="1">_xlfn.XLOOKUP(EFAbiertos[[#This Row],[Ticket '#]],Registro!$B$8:$B$997,Registro!$H$8:$H$997,"",0)</f>
        <v/>
      </c>
      <c r="G118" s="26" t="str">
        <f ca="1">_xlfn.XLOOKUP(EFAbiertos[[#This Row],[Ticket '#]],Registro!$B$8:$B$997,Registro!$M$8:$M$997,"",0)</f>
        <v/>
      </c>
      <c r="H118" s="67" t="str">
        <f ca="1">_xlfn.XLOOKUP(EFAbiertos[[#This Row],[Ticket '#]],Registro!$B$8:$B$997,Registro!$S$8:$S$997,"",0)</f>
        <v/>
      </c>
      <c r="I118" s="58" t="str">
        <f t="shared" ca="1" si="3"/>
        <v/>
      </c>
      <c r="J118" s="30" t="str">
        <f ca="1">_xlfn.XLOOKUP(EFAbiertos[[#This Row],[Ticket '#]],Registro!$B$8:$B$997,Registro!$U$8:$U$997,"",0)</f>
        <v/>
      </c>
      <c r="K118" s="30" t="str">
        <f ca="1">_xlfn.XLOOKUP(EFAbiertos[[#This Row],[Ticket '#]],Registro!$B$8:$B$997,Registro!$W$8:$W$997,"",0)</f>
        <v/>
      </c>
      <c r="L118" s="30" t="str">
        <f ca="1">_xlfn.XLOOKUP(EFAbiertos[[#This Row],[Ticket '#]],Registro!$B$8:$B$997,Registro!$X$8:$X$997,"",0)</f>
        <v/>
      </c>
      <c r="M118" s="30" t="str">
        <f ca="1">_xlfn.XLOOKUP(EFAbiertos[[#This Row],[Ticket '#]],Registro!$B$8:$B$997,Registro!$Y$8:$Y$997,"",0)</f>
        <v/>
      </c>
      <c r="N11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19" spans="3:14" ht="28.5" customHeight="1">
      <c r="C119" s="2" t="str">
        <f ca="1">IF(D119="","",HYPERLINK("#"&amp;"Registro!B"&amp;MATCH(D119,Registro!$B$8:$B$997,0)+7,"Ubicar en registro"))</f>
        <v/>
      </c>
      <c r="D119" s="1" t="str">
        <f ca="1">IF(Programación!Q119="","",Programación!Q119)</f>
        <v/>
      </c>
      <c r="E119" s="1" t="str">
        <f ca="1">_xlfn.XLOOKUP(EFAbiertos[[#This Row],[Ticket '#]],Registro!$B$8:$B$997,Registro!$M$8:$M$997,"",0)</f>
        <v/>
      </c>
      <c r="F119" s="86" t="str">
        <f ca="1">_xlfn.XLOOKUP(EFAbiertos[[#This Row],[Ticket '#]],Registro!$B$8:$B$997,Registro!$H$8:$H$997,"",0)</f>
        <v/>
      </c>
      <c r="G119" s="26" t="str">
        <f ca="1">_xlfn.XLOOKUP(EFAbiertos[[#This Row],[Ticket '#]],Registro!$B$8:$B$997,Registro!$M$8:$M$997,"",0)</f>
        <v/>
      </c>
      <c r="H119" s="67" t="str">
        <f ca="1">_xlfn.XLOOKUP(EFAbiertos[[#This Row],[Ticket '#]],Registro!$B$8:$B$997,Registro!$S$8:$S$997,"",0)</f>
        <v/>
      </c>
      <c r="I119" s="58" t="str">
        <f t="shared" ca="1" si="3"/>
        <v/>
      </c>
      <c r="J119" s="30" t="str">
        <f ca="1">_xlfn.XLOOKUP(EFAbiertos[[#This Row],[Ticket '#]],Registro!$B$8:$B$997,Registro!$U$8:$U$997,"",0)</f>
        <v/>
      </c>
      <c r="K119" s="30" t="str">
        <f ca="1">_xlfn.XLOOKUP(EFAbiertos[[#This Row],[Ticket '#]],Registro!$B$8:$B$997,Registro!$W$8:$W$997,"",0)</f>
        <v/>
      </c>
      <c r="L119" s="30" t="str">
        <f ca="1">_xlfn.XLOOKUP(EFAbiertos[[#This Row],[Ticket '#]],Registro!$B$8:$B$997,Registro!$X$8:$X$997,"",0)</f>
        <v/>
      </c>
      <c r="M119" s="30" t="str">
        <f ca="1">_xlfn.XLOOKUP(EFAbiertos[[#This Row],[Ticket '#]],Registro!$B$8:$B$997,Registro!$Y$8:$Y$997,"",0)</f>
        <v/>
      </c>
      <c r="N11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0" spans="3:14" ht="28.5" customHeight="1">
      <c r="C120" s="2" t="str">
        <f ca="1">IF(D120="","",HYPERLINK("#"&amp;"Registro!B"&amp;MATCH(D120,Registro!$B$8:$B$997,0)+7,"Ubicar en registro"))</f>
        <v/>
      </c>
      <c r="D120" s="1" t="str">
        <f ca="1">IF(Programación!Q120="","",Programación!Q120)</f>
        <v/>
      </c>
      <c r="E120" s="1" t="str">
        <f ca="1">_xlfn.XLOOKUP(EFAbiertos[[#This Row],[Ticket '#]],Registro!$B$8:$B$997,Registro!$M$8:$M$997,"",0)</f>
        <v/>
      </c>
      <c r="F120" s="86" t="str">
        <f ca="1">_xlfn.XLOOKUP(EFAbiertos[[#This Row],[Ticket '#]],Registro!$B$8:$B$997,Registro!$H$8:$H$997,"",0)</f>
        <v/>
      </c>
      <c r="G120" s="26" t="str">
        <f ca="1">_xlfn.XLOOKUP(EFAbiertos[[#This Row],[Ticket '#]],Registro!$B$8:$B$997,Registro!$M$8:$M$997,"",0)</f>
        <v/>
      </c>
      <c r="H120" s="67" t="str">
        <f ca="1">_xlfn.XLOOKUP(EFAbiertos[[#This Row],[Ticket '#]],Registro!$B$8:$B$997,Registro!$S$8:$S$997,"",0)</f>
        <v/>
      </c>
      <c r="I120" s="58" t="str">
        <f t="shared" ca="1" si="3"/>
        <v/>
      </c>
      <c r="J120" s="30" t="str">
        <f ca="1">_xlfn.XLOOKUP(EFAbiertos[[#This Row],[Ticket '#]],Registro!$B$8:$B$997,Registro!$U$8:$U$997,"",0)</f>
        <v/>
      </c>
      <c r="K120" s="30" t="str">
        <f ca="1">_xlfn.XLOOKUP(EFAbiertos[[#This Row],[Ticket '#]],Registro!$B$8:$B$997,Registro!$W$8:$W$997,"",0)</f>
        <v/>
      </c>
      <c r="L120" s="30" t="str">
        <f ca="1">_xlfn.XLOOKUP(EFAbiertos[[#This Row],[Ticket '#]],Registro!$B$8:$B$997,Registro!$X$8:$X$997,"",0)</f>
        <v/>
      </c>
      <c r="M120" s="30" t="str">
        <f ca="1">_xlfn.XLOOKUP(EFAbiertos[[#This Row],[Ticket '#]],Registro!$B$8:$B$997,Registro!$Y$8:$Y$997,"",0)</f>
        <v/>
      </c>
      <c r="N12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1" spans="3:14" ht="28.5" customHeight="1">
      <c r="C121" s="2" t="str">
        <f ca="1">IF(D121="","",HYPERLINK("#"&amp;"Registro!B"&amp;MATCH(D121,Registro!$B$8:$B$997,0)+7,"Ubicar en registro"))</f>
        <v/>
      </c>
      <c r="D121" s="1" t="str">
        <f ca="1">IF(Programación!Q121="","",Programación!Q121)</f>
        <v/>
      </c>
      <c r="E121" s="1" t="str">
        <f ca="1">_xlfn.XLOOKUP(EFAbiertos[[#This Row],[Ticket '#]],Registro!$B$8:$B$997,Registro!$M$8:$M$997,"",0)</f>
        <v/>
      </c>
      <c r="F121" s="86" t="str">
        <f ca="1">_xlfn.XLOOKUP(EFAbiertos[[#This Row],[Ticket '#]],Registro!$B$8:$B$997,Registro!$H$8:$H$997,"",0)</f>
        <v/>
      </c>
      <c r="G121" s="26" t="str">
        <f ca="1">_xlfn.XLOOKUP(EFAbiertos[[#This Row],[Ticket '#]],Registro!$B$8:$B$997,Registro!$M$8:$M$997,"",0)</f>
        <v/>
      </c>
      <c r="H121" s="67" t="str">
        <f ca="1">_xlfn.XLOOKUP(EFAbiertos[[#This Row],[Ticket '#]],Registro!$B$8:$B$997,Registro!$S$8:$S$997,"",0)</f>
        <v/>
      </c>
      <c r="I121" s="58" t="str">
        <f t="shared" ca="1" si="3"/>
        <v/>
      </c>
      <c r="J121" s="30" t="str">
        <f ca="1">_xlfn.XLOOKUP(EFAbiertos[[#This Row],[Ticket '#]],Registro!$B$8:$B$997,Registro!$U$8:$U$997,"",0)</f>
        <v/>
      </c>
      <c r="K121" s="30" t="str">
        <f ca="1">_xlfn.XLOOKUP(EFAbiertos[[#This Row],[Ticket '#]],Registro!$B$8:$B$997,Registro!$W$8:$W$997,"",0)</f>
        <v/>
      </c>
      <c r="L121" s="30" t="str">
        <f ca="1">_xlfn.XLOOKUP(EFAbiertos[[#This Row],[Ticket '#]],Registro!$B$8:$B$997,Registro!$X$8:$X$997,"",0)</f>
        <v/>
      </c>
      <c r="M121" s="30" t="str">
        <f ca="1">_xlfn.XLOOKUP(EFAbiertos[[#This Row],[Ticket '#]],Registro!$B$8:$B$997,Registro!$Y$8:$Y$997,"",0)</f>
        <v/>
      </c>
      <c r="N12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2" spans="3:14" ht="28.5" customHeight="1">
      <c r="C122" s="2" t="str">
        <f ca="1">IF(D122="","",HYPERLINK("#"&amp;"Registro!B"&amp;MATCH(D122,Registro!$B$8:$B$997,0)+7,"Ubicar en registro"))</f>
        <v/>
      </c>
      <c r="D122" s="1" t="str">
        <f ca="1">IF(Programación!Q122="","",Programación!Q122)</f>
        <v/>
      </c>
      <c r="E122" s="1" t="str">
        <f ca="1">_xlfn.XLOOKUP(EFAbiertos[[#This Row],[Ticket '#]],Registro!$B$8:$B$997,Registro!$M$8:$M$997,"",0)</f>
        <v/>
      </c>
      <c r="F122" s="86" t="str">
        <f ca="1">_xlfn.XLOOKUP(EFAbiertos[[#This Row],[Ticket '#]],Registro!$B$8:$B$997,Registro!$H$8:$H$997,"",0)</f>
        <v/>
      </c>
      <c r="G122" s="26" t="str">
        <f ca="1">_xlfn.XLOOKUP(EFAbiertos[[#This Row],[Ticket '#]],Registro!$B$8:$B$997,Registro!$M$8:$M$997,"",0)</f>
        <v/>
      </c>
      <c r="H122" s="67" t="str">
        <f ca="1">_xlfn.XLOOKUP(EFAbiertos[[#This Row],[Ticket '#]],Registro!$B$8:$B$997,Registro!$S$8:$S$997,"",0)</f>
        <v/>
      </c>
      <c r="I122" s="58" t="str">
        <f t="shared" ca="1" si="3"/>
        <v/>
      </c>
      <c r="J122" s="30" t="str">
        <f ca="1">_xlfn.XLOOKUP(EFAbiertos[[#This Row],[Ticket '#]],Registro!$B$8:$B$997,Registro!$U$8:$U$997,"",0)</f>
        <v/>
      </c>
      <c r="K122" s="30" t="str">
        <f ca="1">_xlfn.XLOOKUP(EFAbiertos[[#This Row],[Ticket '#]],Registro!$B$8:$B$997,Registro!$W$8:$W$997,"",0)</f>
        <v/>
      </c>
      <c r="L122" s="30" t="str">
        <f ca="1">_xlfn.XLOOKUP(EFAbiertos[[#This Row],[Ticket '#]],Registro!$B$8:$B$997,Registro!$X$8:$X$997,"",0)</f>
        <v/>
      </c>
      <c r="M122" s="30" t="str">
        <f ca="1">_xlfn.XLOOKUP(EFAbiertos[[#This Row],[Ticket '#]],Registro!$B$8:$B$997,Registro!$Y$8:$Y$997,"",0)</f>
        <v/>
      </c>
      <c r="N12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3" spans="3:14" ht="28.5" customHeight="1">
      <c r="C123" s="2" t="str">
        <f ca="1">IF(D123="","",HYPERLINK("#"&amp;"Registro!B"&amp;MATCH(D123,Registro!$B$8:$B$997,0)+7,"Ubicar en registro"))</f>
        <v/>
      </c>
      <c r="D123" s="1" t="str">
        <f ca="1">IF(Programación!Q123="","",Programación!Q123)</f>
        <v/>
      </c>
      <c r="E123" s="1" t="str">
        <f ca="1">_xlfn.XLOOKUP(EFAbiertos[[#This Row],[Ticket '#]],Registro!$B$8:$B$997,Registro!$M$8:$M$997,"",0)</f>
        <v/>
      </c>
      <c r="F123" s="86" t="str">
        <f ca="1">_xlfn.XLOOKUP(EFAbiertos[[#This Row],[Ticket '#]],Registro!$B$8:$B$997,Registro!$H$8:$H$997,"",0)</f>
        <v/>
      </c>
      <c r="G123" s="26" t="str">
        <f ca="1">_xlfn.XLOOKUP(EFAbiertos[[#This Row],[Ticket '#]],Registro!$B$8:$B$997,Registro!$M$8:$M$997,"",0)</f>
        <v/>
      </c>
      <c r="H123" s="67" t="str">
        <f ca="1">_xlfn.XLOOKUP(EFAbiertos[[#This Row],[Ticket '#]],Registro!$B$8:$B$997,Registro!$S$8:$S$997,"",0)</f>
        <v/>
      </c>
      <c r="I123" s="58" t="str">
        <f t="shared" ca="1" si="3"/>
        <v/>
      </c>
      <c r="J123" s="30" t="str">
        <f ca="1">_xlfn.XLOOKUP(EFAbiertos[[#This Row],[Ticket '#]],Registro!$B$8:$B$997,Registro!$U$8:$U$997,"",0)</f>
        <v/>
      </c>
      <c r="K123" s="30" t="str">
        <f ca="1">_xlfn.XLOOKUP(EFAbiertos[[#This Row],[Ticket '#]],Registro!$B$8:$B$997,Registro!$W$8:$W$997,"",0)</f>
        <v/>
      </c>
      <c r="L123" s="30" t="str">
        <f ca="1">_xlfn.XLOOKUP(EFAbiertos[[#This Row],[Ticket '#]],Registro!$B$8:$B$997,Registro!$X$8:$X$997,"",0)</f>
        <v/>
      </c>
      <c r="M123" s="30" t="str">
        <f ca="1">_xlfn.XLOOKUP(EFAbiertos[[#This Row],[Ticket '#]],Registro!$B$8:$B$997,Registro!$Y$8:$Y$997,"",0)</f>
        <v/>
      </c>
      <c r="N12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4" spans="3:14" ht="28.5" customHeight="1">
      <c r="C124" s="2" t="str">
        <f ca="1">IF(D124="","",HYPERLINK("#"&amp;"Registro!B"&amp;MATCH(D124,Registro!$B$8:$B$997,0)+7,"Ubicar en registro"))</f>
        <v/>
      </c>
      <c r="D124" s="1" t="str">
        <f ca="1">IF(Programación!Q124="","",Programación!Q124)</f>
        <v/>
      </c>
      <c r="E124" s="1" t="str">
        <f ca="1">_xlfn.XLOOKUP(EFAbiertos[[#This Row],[Ticket '#]],Registro!$B$8:$B$997,Registro!$M$8:$M$997,"",0)</f>
        <v/>
      </c>
      <c r="F124" s="86" t="str">
        <f ca="1">_xlfn.XLOOKUP(EFAbiertos[[#This Row],[Ticket '#]],Registro!$B$8:$B$997,Registro!$H$8:$H$997,"",0)</f>
        <v/>
      </c>
      <c r="G124" s="26" t="str">
        <f ca="1">_xlfn.XLOOKUP(EFAbiertos[[#This Row],[Ticket '#]],Registro!$B$8:$B$997,Registro!$M$8:$M$997,"",0)</f>
        <v/>
      </c>
      <c r="H124" s="67" t="str">
        <f ca="1">_xlfn.XLOOKUP(EFAbiertos[[#This Row],[Ticket '#]],Registro!$B$8:$B$997,Registro!$S$8:$S$997,"",0)</f>
        <v/>
      </c>
      <c r="I124" s="58" t="str">
        <f t="shared" ca="1" si="3"/>
        <v/>
      </c>
      <c r="J124" s="30" t="str">
        <f ca="1">_xlfn.XLOOKUP(EFAbiertos[[#This Row],[Ticket '#]],Registro!$B$8:$B$997,Registro!$U$8:$U$997,"",0)</f>
        <v/>
      </c>
      <c r="K124" s="30" t="str">
        <f ca="1">_xlfn.XLOOKUP(EFAbiertos[[#This Row],[Ticket '#]],Registro!$B$8:$B$997,Registro!$W$8:$W$997,"",0)</f>
        <v/>
      </c>
      <c r="L124" s="30" t="str">
        <f ca="1">_xlfn.XLOOKUP(EFAbiertos[[#This Row],[Ticket '#]],Registro!$B$8:$B$997,Registro!$X$8:$X$997,"",0)</f>
        <v/>
      </c>
      <c r="M124" s="30" t="str">
        <f ca="1">_xlfn.XLOOKUP(EFAbiertos[[#This Row],[Ticket '#]],Registro!$B$8:$B$997,Registro!$Y$8:$Y$997,"",0)</f>
        <v/>
      </c>
      <c r="N12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5" spans="3:14" ht="28.5" customHeight="1">
      <c r="C125" s="2" t="str">
        <f ca="1">IF(D125="","",HYPERLINK("#"&amp;"Registro!B"&amp;MATCH(D125,Registro!$B$8:$B$997,0)+7,"Ubicar en registro"))</f>
        <v/>
      </c>
      <c r="D125" s="1" t="str">
        <f ca="1">IF(Programación!Q125="","",Programación!Q125)</f>
        <v/>
      </c>
      <c r="E125" s="1" t="str">
        <f ca="1">_xlfn.XLOOKUP(EFAbiertos[[#This Row],[Ticket '#]],Registro!$B$8:$B$997,Registro!$M$8:$M$997,"",0)</f>
        <v/>
      </c>
      <c r="F125" s="86" t="str">
        <f ca="1">_xlfn.XLOOKUP(EFAbiertos[[#This Row],[Ticket '#]],Registro!$B$8:$B$997,Registro!$H$8:$H$997,"",0)</f>
        <v/>
      </c>
      <c r="G125" s="26" t="str">
        <f ca="1">_xlfn.XLOOKUP(EFAbiertos[[#This Row],[Ticket '#]],Registro!$B$8:$B$997,Registro!$M$8:$M$997,"",0)</f>
        <v/>
      </c>
      <c r="H125" s="67" t="str">
        <f ca="1">_xlfn.XLOOKUP(EFAbiertos[[#This Row],[Ticket '#]],Registro!$B$8:$B$997,Registro!$S$8:$S$997,"",0)</f>
        <v/>
      </c>
      <c r="I125" s="58" t="str">
        <f t="shared" ca="1" si="3"/>
        <v/>
      </c>
      <c r="J125" s="30" t="str">
        <f ca="1">_xlfn.XLOOKUP(EFAbiertos[[#This Row],[Ticket '#]],Registro!$B$8:$B$997,Registro!$U$8:$U$997,"",0)</f>
        <v/>
      </c>
      <c r="K125" s="30" t="str">
        <f ca="1">_xlfn.XLOOKUP(EFAbiertos[[#This Row],[Ticket '#]],Registro!$B$8:$B$997,Registro!$W$8:$W$997,"",0)</f>
        <v/>
      </c>
      <c r="L125" s="30" t="str">
        <f ca="1">_xlfn.XLOOKUP(EFAbiertos[[#This Row],[Ticket '#]],Registro!$B$8:$B$997,Registro!$X$8:$X$997,"",0)</f>
        <v/>
      </c>
      <c r="M125" s="30" t="str">
        <f ca="1">_xlfn.XLOOKUP(EFAbiertos[[#This Row],[Ticket '#]],Registro!$B$8:$B$997,Registro!$Y$8:$Y$997,"",0)</f>
        <v/>
      </c>
      <c r="N12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6" spans="3:14" ht="28.5" customHeight="1">
      <c r="C126" s="2" t="str">
        <f ca="1">IF(D126="","",HYPERLINK("#"&amp;"Registro!B"&amp;MATCH(D126,Registro!$B$8:$B$997,0)+7,"Ubicar en registro"))</f>
        <v/>
      </c>
      <c r="D126" s="1" t="str">
        <f ca="1">IF(Programación!Q126="","",Programación!Q126)</f>
        <v/>
      </c>
      <c r="E126" s="1" t="str">
        <f ca="1">_xlfn.XLOOKUP(EFAbiertos[[#This Row],[Ticket '#]],Registro!$B$8:$B$997,Registro!$M$8:$M$997,"",0)</f>
        <v/>
      </c>
      <c r="F126" s="86" t="str">
        <f ca="1">_xlfn.XLOOKUP(EFAbiertos[[#This Row],[Ticket '#]],Registro!$B$8:$B$997,Registro!$H$8:$H$997,"",0)</f>
        <v/>
      </c>
      <c r="G126" s="26" t="str">
        <f ca="1">_xlfn.XLOOKUP(EFAbiertos[[#This Row],[Ticket '#]],Registro!$B$8:$B$997,Registro!$M$8:$M$997,"",0)</f>
        <v/>
      </c>
      <c r="H126" s="67" t="str">
        <f ca="1">_xlfn.XLOOKUP(EFAbiertos[[#This Row],[Ticket '#]],Registro!$B$8:$B$997,Registro!$S$8:$S$997,"",0)</f>
        <v/>
      </c>
      <c r="I126" s="58" t="str">
        <f t="shared" ca="1" si="3"/>
        <v/>
      </c>
      <c r="J126" s="30" t="str">
        <f ca="1">_xlfn.XLOOKUP(EFAbiertos[[#This Row],[Ticket '#]],Registro!$B$8:$B$997,Registro!$U$8:$U$997,"",0)</f>
        <v/>
      </c>
      <c r="K126" s="30" t="str">
        <f ca="1">_xlfn.XLOOKUP(EFAbiertos[[#This Row],[Ticket '#]],Registro!$B$8:$B$997,Registro!$W$8:$W$997,"",0)</f>
        <v/>
      </c>
      <c r="L126" s="30" t="str">
        <f ca="1">_xlfn.XLOOKUP(EFAbiertos[[#This Row],[Ticket '#]],Registro!$B$8:$B$997,Registro!$X$8:$X$997,"",0)</f>
        <v/>
      </c>
      <c r="M126" s="30" t="str">
        <f ca="1">_xlfn.XLOOKUP(EFAbiertos[[#This Row],[Ticket '#]],Registro!$B$8:$B$997,Registro!$Y$8:$Y$997,"",0)</f>
        <v/>
      </c>
      <c r="N12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7" spans="3:14" ht="28.5" customHeight="1">
      <c r="C127" s="2" t="str">
        <f ca="1">IF(D127="","",HYPERLINK("#"&amp;"Registro!B"&amp;MATCH(D127,Registro!$B$8:$B$997,0)+7,"Ubicar en registro"))</f>
        <v/>
      </c>
      <c r="D127" s="1" t="str">
        <f ca="1">IF(Programación!Q127="","",Programación!Q127)</f>
        <v/>
      </c>
      <c r="E127" s="1" t="str">
        <f ca="1">_xlfn.XLOOKUP(EFAbiertos[[#This Row],[Ticket '#]],Registro!$B$8:$B$997,Registro!$M$8:$M$997,"",0)</f>
        <v/>
      </c>
      <c r="F127" s="86" t="str">
        <f ca="1">_xlfn.XLOOKUP(EFAbiertos[[#This Row],[Ticket '#]],Registro!$B$8:$B$997,Registro!$H$8:$H$997,"",0)</f>
        <v/>
      </c>
      <c r="G127" s="26" t="str">
        <f ca="1">_xlfn.XLOOKUP(EFAbiertos[[#This Row],[Ticket '#]],Registro!$B$8:$B$997,Registro!$M$8:$M$997,"",0)</f>
        <v/>
      </c>
      <c r="H127" s="67" t="str">
        <f ca="1">_xlfn.XLOOKUP(EFAbiertos[[#This Row],[Ticket '#]],Registro!$B$8:$B$997,Registro!$S$8:$S$997,"",0)</f>
        <v/>
      </c>
      <c r="I127" s="58" t="str">
        <f t="shared" ca="1" si="3"/>
        <v/>
      </c>
      <c r="J127" s="30" t="str">
        <f ca="1">_xlfn.XLOOKUP(EFAbiertos[[#This Row],[Ticket '#]],Registro!$B$8:$B$997,Registro!$U$8:$U$997,"",0)</f>
        <v/>
      </c>
      <c r="K127" s="30" t="str">
        <f ca="1">_xlfn.XLOOKUP(EFAbiertos[[#This Row],[Ticket '#]],Registro!$B$8:$B$997,Registro!$W$8:$W$997,"",0)</f>
        <v/>
      </c>
      <c r="L127" s="30" t="str">
        <f ca="1">_xlfn.XLOOKUP(EFAbiertos[[#This Row],[Ticket '#]],Registro!$B$8:$B$997,Registro!$X$8:$X$997,"",0)</f>
        <v/>
      </c>
      <c r="M127" s="30" t="str">
        <f ca="1">_xlfn.XLOOKUP(EFAbiertos[[#This Row],[Ticket '#]],Registro!$B$8:$B$997,Registro!$Y$8:$Y$997,"",0)</f>
        <v/>
      </c>
      <c r="N12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8" spans="3:14" ht="28.5" customHeight="1">
      <c r="C128" s="2" t="str">
        <f ca="1">IF(D128="","",HYPERLINK("#"&amp;"Registro!B"&amp;MATCH(D128,Registro!$B$8:$B$997,0)+7,"Ubicar en registro"))</f>
        <v/>
      </c>
      <c r="D128" s="1" t="str">
        <f ca="1">IF(Programación!Q128="","",Programación!Q128)</f>
        <v/>
      </c>
      <c r="E128" s="1" t="str">
        <f ca="1">_xlfn.XLOOKUP(EFAbiertos[[#This Row],[Ticket '#]],Registro!$B$8:$B$997,Registro!$M$8:$M$997,"",0)</f>
        <v/>
      </c>
      <c r="F128" s="86" t="str">
        <f ca="1">_xlfn.XLOOKUP(EFAbiertos[[#This Row],[Ticket '#]],Registro!$B$8:$B$997,Registro!$H$8:$H$997,"",0)</f>
        <v/>
      </c>
      <c r="G128" s="26" t="str">
        <f ca="1">_xlfn.XLOOKUP(EFAbiertos[[#This Row],[Ticket '#]],Registro!$B$8:$B$997,Registro!$M$8:$M$997,"",0)</f>
        <v/>
      </c>
      <c r="H128" s="67" t="str">
        <f ca="1">_xlfn.XLOOKUP(EFAbiertos[[#This Row],[Ticket '#]],Registro!$B$8:$B$997,Registro!$S$8:$S$997,"",0)</f>
        <v/>
      </c>
      <c r="I128" s="58" t="str">
        <f t="shared" ca="1" si="3"/>
        <v/>
      </c>
      <c r="J128" s="30" t="str">
        <f ca="1">_xlfn.XLOOKUP(EFAbiertos[[#This Row],[Ticket '#]],Registro!$B$8:$B$997,Registro!$U$8:$U$997,"",0)</f>
        <v/>
      </c>
      <c r="K128" s="30" t="str">
        <f ca="1">_xlfn.XLOOKUP(EFAbiertos[[#This Row],[Ticket '#]],Registro!$B$8:$B$997,Registro!$W$8:$W$997,"",0)</f>
        <v/>
      </c>
      <c r="L128" s="30" t="str">
        <f ca="1">_xlfn.XLOOKUP(EFAbiertos[[#This Row],[Ticket '#]],Registro!$B$8:$B$997,Registro!$X$8:$X$997,"",0)</f>
        <v/>
      </c>
      <c r="M128" s="30" t="str">
        <f ca="1">_xlfn.XLOOKUP(EFAbiertos[[#This Row],[Ticket '#]],Registro!$B$8:$B$997,Registro!$Y$8:$Y$997,"",0)</f>
        <v/>
      </c>
      <c r="N12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29" spans="3:14" ht="28.5" customHeight="1">
      <c r="C129" s="2" t="str">
        <f ca="1">IF(D129="","",HYPERLINK("#"&amp;"Registro!B"&amp;MATCH(D129,Registro!$B$8:$B$997,0)+7,"Ubicar en registro"))</f>
        <v/>
      </c>
      <c r="D129" s="1" t="str">
        <f ca="1">IF(Programación!Q129="","",Programación!Q129)</f>
        <v/>
      </c>
      <c r="E129" s="1" t="str">
        <f ca="1">_xlfn.XLOOKUP(EFAbiertos[[#This Row],[Ticket '#]],Registro!$B$8:$B$997,Registro!$M$8:$M$997,"",0)</f>
        <v/>
      </c>
      <c r="F129" s="86" t="str">
        <f ca="1">_xlfn.XLOOKUP(EFAbiertos[[#This Row],[Ticket '#]],Registro!$B$8:$B$997,Registro!$H$8:$H$997,"",0)</f>
        <v/>
      </c>
      <c r="G129" s="26" t="str">
        <f ca="1">_xlfn.XLOOKUP(EFAbiertos[[#This Row],[Ticket '#]],Registro!$B$8:$B$997,Registro!$M$8:$M$997,"",0)</f>
        <v/>
      </c>
      <c r="H129" s="67" t="str">
        <f ca="1">_xlfn.XLOOKUP(EFAbiertos[[#This Row],[Ticket '#]],Registro!$B$8:$B$997,Registro!$S$8:$S$997,"",0)</f>
        <v/>
      </c>
      <c r="I129" s="58" t="str">
        <f t="shared" ca="1" si="3"/>
        <v/>
      </c>
      <c r="J129" s="30" t="str">
        <f ca="1">_xlfn.XLOOKUP(EFAbiertos[[#This Row],[Ticket '#]],Registro!$B$8:$B$997,Registro!$U$8:$U$997,"",0)</f>
        <v/>
      </c>
      <c r="K129" s="30" t="str">
        <f ca="1">_xlfn.XLOOKUP(EFAbiertos[[#This Row],[Ticket '#]],Registro!$B$8:$B$997,Registro!$W$8:$W$997,"",0)</f>
        <v/>
      </c>
      <c r="L129" s="30" t="str">
        <f ca="1">_xlfn.XLOOKUP(EFAbiertos[[#This Row],[Ticket '#]],Registro!$B$8:$B$997,Registro!$X$8:$X$997,"",0)</f>
        <v/>
      </c>
      <c r="M129" s="30" t="str">
        <f ca="1">_xlfn.XLOOKUP(EFAbiertos[[#This Row],[Ticket '#]],Registro!$B$8:$B$997,Registro!$Y$8:$Y$997,"",0)</f>
        <v/>
      </c>
      <c r="N12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0" spans="3:14" ht="28.5" customHeight="1">
      <c r="C130" s="2" t="str">
        <f ca="1">IF(D130="","",HYPERLINK("#"&amp;"Registro!B"&amp;MATCH(D130,Registro!$B$8:$B$997,0)+7,"Ubicar en registro"))</f>
        <v/>
      </c>
      <c r="D130" s="1" t="str">
        <f ca="1">IF(Programación!Q130="","",Programación!Q130)</f>
        <v/>
      </c>
      <c r="E130" s="1" t="str">
        <f ca="1">_xlfn.XLOOKUP(EFAbiertos[[#This Row],[Ticket '#]],Registro!$B$8:$B$997,Registro!$M$8:$M$997,"",0)</f>
        <v/>
      </c>
      <c r="F130" s="86" t="str">
        <f ca="1">_xlfn.XLOOKUP(EFAbiertos[[#This Row],[Ticket '#]],Registro!$B$8:$B$997,Registro!$H$8:$H$997,"",0)</f>
        <v/>
      </c>
      <c r="G130" s="26" t="str">
        <f ca="1">_xlfn.XLOOKUP(EFAbiertos[[#This Row],[Ticket '#]],Registro!$B$8:$B$997,Registro!$M$8:$M$997,"",0)</f>
        <v/>
      </c>
      <c r="H130" s="67" t="str">
        <f ca="1">_xlfn.XLOOKUP(EFAbiertos[[#This Row],[Ticket '#]],Registro!$B$8:$B$997,Registro!$S$8:$S$997,"",0)</f>
        <v/>
      </c>
      <c r="I130" s="58" t="str">
        <f t="shared" ca="1" si="3"/>
        <v/>
      </c>
      <c r="J130" s="30" t="str">
        <f ca="1">_xlfn.XLOOKUP(EFAbiertos[[#This Row],[Ticket '#]],Registro!$B$8:$B$997,Registro!$U$8:$U$997,"",0)</f>
        <v/>
      </c>
      <c r="K130" s="30" t="str">
        <f ca="1">_xlfn.XLOOKUP(EFAbiertos[[#This Row],[Ticket '#]],Registro!$B$8:$B$997,Registro!$W$8:$W$997,"",0)</f>
        <v/>
      </c>
      <c r="L130" s="30" t="str">
        <f ca="1">_xlfn.XLOOKUP(EFAbiertos[[#This Row],[Ticket '#]],Registro!$B$8:$B$997,Registro!$X$8:$X$997,"",0)</f>
        <v/>
      </c>
      <c r="M130" s="30" t="str">
        <f ca="1">_xlfn.XLOOKUP(EFAbiertos[[#This Row],[Ticket '#]],Registro!$B$8:$B$997,Registro!$Y$8:$Y$997,"",0)</f>
        <v/>
      </c>
      <c r="N13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1" spans="3:14" ht="28.5" customHeight="1">
      <c r="C131" s="2" t="str">
        <f ca="1">IF(D131="","",HYPERLINK("#"&amp;"Registro!B"&amp;MATCH(D131,Registro!$B$8:$B$997,0)+7,"Ubicar en registro"))</f>
        <v/>
      </c>
      <c r="D131" s="1" t="str">
        <f ca="1">IF(Programación!Q131="","",Programación!Q131)</f>
        <v/>
      </c>
      <c r="E131" s="1" t="str">
        <f ca="1">_xlfn.XLOOKUP(EFAbiertos[[#This Row],[Ticket '#]],Registro!$B$8:$B$997,Registro!$M$8:$M$997,"",0)</f>
        <v/>
      </c>
      <c r="F131" s="86" t="str">
        <f ca="1">_xlfn.XLOOKUP(EFAbiertos[[#This Row],[Ticket '#]],Registro!$B$8:$B$997,Registro!$H$8:$H$997,"",0)</f>
        <v/>
      </c>
      <c r="G131" s="26" t="str">
        <f ca="1">_xlfn.XLOOKUP(EFAbiertos[[#This Row],[Ticket '#]],Registro!$B$8:$B$997,Registro!$M$8:$M$997,"",0)</f>
        <v/>
      </c>
      <c r="H131" s="67" t="str">
        <f ca="1">_xlfn.XLOOKUP(EFAbiertos[[#This Row],[Ticket '#]],Registro!$B$8:$B$997,Registro!$S$8:$S$997,"",0)</f>
        <v/>
      </c>
      <c r="I131" s="58" t="str">
        <f t="shared" ca="1" si="3"/>
        <v/>
      </c>
      <c r="J131" s="30" t="str">
        <f ca="1">_xlfn.XLOOKUP(EFAbiertos[[#This Row],[Ticket '#]],Registro!$B$8:$B$997,Registro!$U$8:$U$997,"",0)</f>
        <v/>
      </c>
      <c r="K131" s="30" t="str">
        <f ca="1">_xlfn.XLOOKUP(EFAbiertos[[#This Row],[Ticket '#]],Registro!$B$8:$B$997,Registro!$W$8:$W$997,"",0)</f>
        <v/>
      </c>
      <c r="L131" s="30" t="str">
        <f ca="1">_xlfn.XLOOKUP(EFAbiertos[[#This Row],[Ticket '#]],Registro!$B$8:$B$997,Registro!$X$8:$X$997,"",0)</f>
        <v/>
      </c>
      <c r="M131" s="30" t="str">
        <f ca="1">_xlfn.XLOOKUP(EFAbiertos[[#This Row],[Ticket '#]],Registro!$B$8:$B$997,Registro!$Y$8:$Y$997,"",0)</f>
        <v/>
      </c>
      <c r="N13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2" spans="3:14" ht="28.5" customHeight="1">
      <c r="C132" s="2" t="str">
        <f ca="1">IF(D132="","",HYPERLINK("#"&amp;"Registro!B"&amp;MATCH(D132,Registro!$B$8:$B$997,0)+7,"Ubicar en registro"))</f>
        <v/>
      </c>
      <c r="D132" s="1" t="str">
        <f ca="1">IF(Programación!Q132="","",Programación!Q132)</f>
        <v/>
      </c>
      <c r="E132" s="1" t="str">
        <f ca="1">_xlfn.XLOOKUP(EFAbiertos[[#This Row],[Ticket '#]],Registro!$B$8:$B$997,Registro!$M$8:$M$997,"",0)</f>
        <v/>
      </c>
      <c r="F132" s="86" t="str">
        <f ca="1">_xlfn.XLOOKUP(EFAbiertos[[#This Row],[Ticket '#]],Registro!$B$8:$B$997,Registro!$H$8:$H$997,"",0)</f>
        <v/>
      </c>
      <c r="G132" s="26" t="str">
        <f ca="1">_xlfn.XLOOKUP(EFAbiertos[[#This Row],[Ticket '#]],Registro!$B$8:$B$997,Registro!$M$8:$M$997,"",0)</f>
        <v/>
      </c>
      <c r="H132" s="67" t="str">
        <f ca="1">_xlfn.XLOOKUP(EFAbiertos[[#This Row],[Ticket '#]],Registro!$B$8:$B$997,Registro!$S$8:$S$997,"",0)</f>
        <v/>
      </c>
      <c r="I132" s="58" t="str">
        <f t="shared" ca="1" si="3"/>
        <v/>
      </c>
      <c r="J132" s="30" t="str">
        <f ca="1">_xlfn.XLOOKUP(EFAbiertos[[#This Row],[Ticket '#]],Registro!$B$8:$B$997,Registro!$U$8:$U$997,"",0)</f>
        <v/>
      </c>
      <c r="K132" s="30" t="str">
        <f ca="1">_xlfn.XLOOKUP(EFAbiertos[[#This Row],[Ticket '#]],Registro!$B$8:$B$997,Registro!$W$8:$W$997,"",0)</f>
        <v/>
      </c>
      <c r="L132" s="30" t="str">
        <f ca="1">_xlfn.XLOOKUP(EFAbiertos[[#This Row],[Ticket '#]],Registro!$B$8:$B$997,Registro!$X$8:$X$997,"",0)</f>
        <v/>
      </c>
      <c r="M132" s="30" t="str">
        <f ca="1">_xlfn.XLOOKUP(EFAbiertos[[#This Row],[Ticket '#]],Registro!$B$8:$B$997,Registro!$Y$8:$Y$997,"",0)</f>
        <v/>
      </c>
      <c r="N13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3" spans="3:14" ht="28.5" customHeight="1">
      <c r="C133" s="2" t="str">
        <f ca="1">IF(D133="","",HYPERLINK("#"&amp;"Registro!B"&amp;MATCH(D133,Registro!$B$8:$B$997,0)+7,"Ubicar en registro"))</f>
        <v/>
      </c>
      <c r="D133" s="1" t="str">
        <f ca="1">IF(Programación!Q133="","",Programación!Q133)</f>
        <v/>
      </c>
      <c r="E133" s="1" t="str">
        <f ca="1">_xlfn.XLOOKUP(EFAbiertos[[#This Row],[Ticket '#]],Registro!$B$8:$B$997,Registro!$M$8:$M$997,"",0)</f>
        <v/>
      </c>
      <c r="F133" s="86" t="str">
        <f ca="1">_xlfn.XLOOKUP(EFAbiertos[[#This Row],[Ticket '#]],Registro!$B$8:$B$997,Registro!$H$8:$H$997,"",0)</f>
        <v/>
      </c>
      <c r="G133" s="26" t="str">
        <f ca="1">_xlfn.XLOOKUP(EFAbiertos[[#This Row],[Ticket '#]],Registro!$B$8:$B$997,Registro!$M$8:$M$997,"",0)</f>
        <v/>
      </c>
      <c r="H133" s="67" t="str">
        <f ca="1">_xlfn.XLOOKUP(EFAbiertos[[#This Row],[Ticket '#]],Registro!$B$8:$B$997,Registro!$S$8:$S$997,"",0)</f>
        <v/>
      </c>
      <c r="I133" s="58" t="str">
        <f t="shared" ca="1" si="3"/>
        <v/>
      </c>
      <c r="J133" s="30" t="str">
        <f ca="1">_xlfn.XLOOKUP(EFAbiertos[[#This Row],[Ticket '#]],Registro!$B$8:$B$997,Registro!$U$8:$U$997,"",0)</f>
        <v/>
      </c>
      <c r="K133" s="30" t="str">
        <f ca="1">_xlfn.XLOOKUP(EFAbiertos[[#This Row],[Ticket '#]],Registro!$B$8:$B$997,Registro!$W$8:$W$997,"",0)</f>
        <v/>
      </c>
      <c r="L133" s="30" t="str">
        <f ca="1">_xlfn.XLOOKUP(EFAbiertos[[#This Row],[Ticket '#]],Registro!$B$8:$B$997,Registro!$X$8:$X$997,"",0)</f>
        <v/>
      </c>
      <c r="M133" s="30" t="str">
        <f ca="1">_xlfn.XLOOKUP(EFAbiertos[[#This Row],[Ticket '#]],Registro!$B$8:$B$997,Registro!$Y$8:$Y$997,"",0)</f>
        <v/>
      </c>
      <c r="N13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4" spans="3:14" ht="28.5" customHeight="1">
      <c r="C134" s="2" t="str">
        <f ca="1">IF(D134="","",HYPERLINK("#"&amp;"Registro!B"&amp;MATCH(D134,Registro!$B$8:$B$997,0)+7,"Ubicar en registro"))</f>
        <v/>
      </c>
      <c r="D134" s="1" t="str">
        <f ca="1">IF(Programación!Q134="","",Programación!Q134)</f>
        <v/>
      </c>
      <c r="E134" s="1" t="str">
        <f ca="1">_xlfn.XLOOKUP(EFAbiertos[[#This Row],[Ticket '#]],Registro!$B$8:$B$997,Registro!$M$8:$M$997,"",0)</f>
        <v/>
      </c>
      <c r="F134" s="86" t="str">
        <f ca="1">_xlfn.XLOOKUP(EFAbiertos[[#This Row],[Ticket '#]],Registro!$B$8:$B$997,Registro!$H$8:$H$997,"",0)</f>
        <v/>
      </c>
      <c r="G134" s="26" t="str">
        <f ca="1">_xlfn.XLOOKUP(EFAbiertos[[#This Row],[Ticket '#]],Registro!$B$8:$B$997,Registro!$M$8:$M$997,"",0)</f>
        <v/>
      </c>
      <c r="H134" s="67" t="str">
        <f ca="1">_xlfn.XLOOKUP(EFAbiertos[[#This Row],[Ticket '#]],Registro!$B$8:$B$997,Registro!$S$8:$S$997,"",0)</f>
        <v/>
      </c>
      <c r="I134" s="58" t="str">
        <f t="shared" ca="1" si="3"/>
        <v/>
      </c>
      <c r="J134" s="30" t="str">
        <f ca="1">_xlfn.XLOOKUP(EFAbiertos[[#This Row],[Ticket '#]],Registro!$B$8:$B$997,Registro!$U$8:$U$997,"",0)</f>
        <v/>
      </c>
      <c r="K134" s="30" t="str">
        <f ca="1">_xlfn.XLOOKUP(EFAbiertos[[#This Row],[Ticket '#]],Registro!$B$8:$B$997,Registro!$W$8:$W$997,"",0)</f>
        <v/>
      </c>
      <c r="L134" s="30" t="str">
        <f ca="1">_xlfn.XLOOKUP(EFAbiertos[[#This Row],[Ticket '#]],Registro!$B$8:$B$997,Registro!$X$8:$X$997,"",0)</f>
        <v/>
      </c>
      <c r="M134" s="30" t="str">
        <f ca="1">_xlfn.XLOOKUP(EFAbiertos[[#This Row],[Ticket '#]],Registro!$B$8:$B$997,Registro!$Y$8:$Y$997,"",0)</f>
        <v/>
      </c>
      <c r="N13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5" spans="3:14" ht="28.5" customHeight="1">
      <c r="C135" s="2" t="str">
        <f ca="1">IF(D135="","",HYPERLINK("#"&amp;"Registro!B"&amp;MATCH(D135,Registro!$B$8:$B$997,0)+7,"Ubicar en registro"))</f>
        <v/>
      </c>
      <c r="D135" s="1" t="str">
        <f ca="1">IF(Programación!Q135="","",Programación!Q135)</f>
        <v/>
      </c>
      <c r="E135" s="1" t="str">
        <f ca="1">_xlfn.XLOOKUP(EFAbiertos[[#This Row],[Ticket '#]],Registro!$B$8:$B$997,Registro!$M$8:$M$997,"",0)</f>
        <v/>
      </c>
      <c r="F135" s="86" t="str">
        <f ca="1">_xlfn.XLOOKUP(EFAbiertos[[#This Row],[Ticket '#]],Registro!$B$8:$B$997,Registro!$H$8:$H$997,"",0)</f>
        <v/>
      </c>
      <c r="G135" s="26" t="str">
        <f ca="1">_xlfn.XLOOKUP(EFAbiertos[[#This Row],[Ticket '#]],Registro!$B$8:$B$997,Registro!$M$8:$M$997,"",0)</f>
        <v/>
      </c>
      <c r="H135" s="67" t="str">
        <f ca="1">_xlfn.XLOOKUP(EFAbiertos[[#This Row],[Ticket '#]],Registro!$B$8:$B$997,Registro!$S$8:$S$997,"",0)</f>
        <v/>
      </c>
      <c r="I135" s="58" t="str">
        <f t="shared" ca="1" si="3"/>
        <v/>
      </c>
      <c r="J135" s="30" t="str">
        <f ca="1">_xlfn.XLOOKUP(EFAbiertos[[#This Row],[Ticket '#]],Registro!$B$8:$B$997,Registro!$U$8:$U$997,"",0)</f>
        <v/>
      </c>
      <c r="K135" s="30" t="str">
        <f ca="1">_xlfn.XLOOKUP(EFAbiertos[[#This Row],[Ticket '#]],Registro!$B$8:$B$997,Registro!$W$8:$W$997,"",0)</f>
        <v/>
      </c>
      <c r="L135" s="30" t="str">
        <f ca="1">_xlfn.XLOOKUP(EFAbiertos[[#This Row],[Ticket '#]],Registro!$B$8:$B$997,Registro!$X$8:$X$997,"",0)</f>
        <v/>
      </c>
      <c r="M135" s="30" t="str">
        <f ca="1">_xlfn.XLOOKUP(EFAbiertos[[#This Row],[Ticket '#]],Registro!$B$8:$B$997,Registro!$Y$8:$Y$997,"",0)</f>
        <v/>
      </c>
      <c r="N13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6" spans="3:14" ht="28.5" customHeight="1">
      <c r="C136" s="2" t="str">
        <f ca="1">IF(D136="","",HYPERLINK("#"&amp;"Registro!B"&amp;MATCH(D136,Registro!$B$8:$B$997,0)+7,"Ubicar en registro"))</f>
        <v/>
      </c>
      <c r="D136" s="1" t="str">
        <f ca="1">IF(Programación!Q136="","",Programación!Q136)</f>
        <v/>
      </c>
      <c r="E136" s="1" t="str">
        <f ca="1">_xlfn.XLOOKUP(EFAbiertos[[#This Row],[Ticket '#]],Registro!$B$8:$B$997,Registro!$M$8:$M$997,"",0)</f>
        <v/>
      </c>
      <c r="F136" s="86" t="str">
        <f ca="1">_xlfn.XLOOKUP(EFAbiertos[[#This Row],[Ticket '#]],Registro!$B$8:$B$997,Registro!$H$8:$H$997,"",0)</f>
        <v/>
      </c>
      <c r="G136" s="26" t="str">
        <f ca="1">_xlfn.XLOOKUP(EFAbiertos[[#This Row],[Ticket '#]],Registro!$B$8:$B$997,Registro!$M$8:$M$997,"",0)</f>
        <v/>
      </c>
      <c r="H136" s="67" t="str">
        <f ca="1">_xlfn.XLOOKUP(EFAbiertos[[#This Row],[Ticket '#]],Registro!$B$8:$B$997,Registro!$S$8:$S$997,"",0)</f>
        <v/>
      </c>
      <c r="I136" s="58" t="str">
        <f t="shared" ca="1" si="3"/>
        <v/>
      </c>
      <c r="J136" s="30" t="str">
        <f ca="1">_xlfn.XLOOKUP(EFAbiertos[[#This Row],[Ticket '#]],Registro!$B$8:$B$997,Registro!$U$8:$U$997,"",0)</f>
        <v/>
      </c>
      <c r="K136" s="30" t="str">
        <f ca="1">_xlfn.XLOOKUP(EFAbiertos[[#This Row],[Ticket '#]],Registro!$B$8:$B$997,Registro!$W$8:$W$997,"",0)</f>
        <v/>
      </c>
      <c r="L136" s="30" t="str">
        <f ca="1">_xlfn.XLOOKUP(EFAbiertos[[#This Row],[Ticket '#]],Registro!$B$8:$B$997,Registro!$X$8:$X$997,"",0)</f>
        <v/>
      </c>
      <c r="M136" s="30" t="str">
        <f ca="1">_xlfn.XLOOKUP(EFAbiertos[[#This Row],[Ticket '#]],Registro!$B$8:$B$997,Registro!$Y$8:$Y$997,"",0)</f>
        <v/>
      </c>
      <c r="N13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7" spans="3:14" ht="28.5" customHeight="1">
      <c r="C137" s="2" t="str">
        <f ca="1">IF(D137="","",HYPERLINK("#"&amp;"Registro!B"&amp;MATCH(D137,Registro!$B$8:$B$997,0)+7,"Ubicar en registro"))</f>
        <v/>
      </c>
      <c r="D137" s="1" t="str">
        <f ca="1">IF(Programación!Q137="","",Programación!Q137)</f>
        <v/>
      </c>
      <c r="E137" s="1" t="str">
        <f ca="1">_xlfn.XLOOKUP(EFAbiertos[[#This Row],[Ticket '#]],Registro!$B$8:$B$997,Registro!$M$8:$M$997,"",0)</f>
        <v/>
      </c>
      <c r="F137" s="86" t="str">
        <f ca="1">_xlfn.XLOOKUP(EFAbiertos[[#This Row],[Ticket '#]],Registro!$B$8:$B$997,Registro!$H$8:$H$997,"",0)</f>
        <v/>
      </c>
      <c r="G137" s="26" t="str">
        <f ca="1">_xlfn.XLOOKUP(EFAbiertos[[#This Row],[Ticket '#]],Registro!$B$8:$B$997,Registro!$M$8:$M$997,"",0)</f>
        <v/>
      </c>
      <c r="H137" s="67" t="str">
        <f ca="1">_xlfn.XLOOKUP(EFAbiertos[[#This Row],[Ticket '#]],Registro!$B$8:$B$997,Registro!$S$8:$S$997,"",0)</f>
        <v/>
      </c>
      <c r="I137" s="58" t="str">
        <f t="shared" ref="I137:I168" ca="1" si="4">IF(J137="","",IF(J137=K137,1,0))</f>
        <v/>
      </c>
      <c r="J137" s="30" t="str">
        <f ca="1">_xlfn.XLOOKUP(EFAbiertos[[#This Row],[Ticket '#]],Registro!$B$8:$B$997,Registro!$U$8:$U$997,"",0)</f>
        <v/>
      </c>
      <c r="K137" s="30" t="str">
        <f ca="1">_xlfn.XLOOKUP(EFAbiertos[[#This Row],[Ticket '#]],Registro!$B$8:$B$997,Registro!$W$8:$W$997,"",0)</f>
        <v/>
      </c>
      <c r="L137" s="30" t="str">
        <f ca="1">_xlfn.XLOOKUP(EFAbiertos[[#This Row],[Ticket '#]],Registro!$B$8:$B$997,Registro!$X$8:$X$997,"",0)</f>
        <v/>
      </c>
      <c r="M137" s="30" t="str">
        <f ca="1">_xlfn.XLOOKUP(EFAbiertos[[#This Row],[Ticket '#]],Registro!$B$8:$B$997,Registro!$Y$8:$Y$997,"",0)</f>
        <v/>
      </c>
      <c r="N13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8" spans="3:14" ht="28.5" customHeight="1">
      <c r="C138" s="2" t="str">
        <f ca="1">IF(D138="","",HYPERLINK("#"&amp;"Registro!B"&amp;MATCH(D138,Registro!$B$8:$B$997,0)+7,"Ubicar en registro"))</f>
        <v/>
      </c>
      <c r="D138" s="1" t="str">
        <f ca="1">IF(Programación!Q138="","",Programación!Q138)</f>
        <v/>
      </c>
      <c r="E138" s="1" t="str">
        <f ca="1">_xlfn.XLOOKUP(EFAbiertos[[#This Row],[Ticket '#]],Registro!$B$8:$B$997,Registro!$M$8:$M$997,"",0)</f>
        <v/>
      </c>
      <c r="F138" s="86" t="str">
        <f ca="1">_xlfn.XLOOKUP(EFAbiertos[[#This Row],[Ticket '#]],Registro!$B$8:$B$997,Registro!$H$8:$H$997,"",0)</f>
        <v/>
      </c>
      <c r="G138" s="26" t="str">
        <f ca="1">_xlfn.XLOOKUP(EFAbiertos[[#This Row],[Ticket '#]],Registro!$B$8:$B$997,Registro!$M$8:$M$997,"",0)</f>
        <v/>
      </c>
      <c r="H138" s="67" t="str">
        <f ca="1">_xlfn.XLOOKUP(EFAbiertos[[#This Row],[Ticket '#]],Registro!$B$8:$B$997,Registro!$S$8:$S$997,"",0)</f>
        <v/>
      </c>
      <c r="I138" s="58" t="str">
        <f t="shared" ca="1" si="4"/>
        <v/>
      </c>
      <c r="J138" s="30" t="str">
        <f ca="1">_xlfn.XLOOKUP(EFAbiertos[[#This Row],[Ticket '#]],Registro!$B$8:$B$997,Registro!$U$8:$U$997,"",0)</f>
        <v/>
      </c>
      <c r="K138" s="30" t="str">
        <f ca="1">_xlfn.XLOOKUP(EFAbiertos[[#This Row],[Ticket '#]],Registro!$B$8:$B$997,Registro!$W$8:$W$997,"",0)</f>
        <v/>
      </c>
      <c r="L138" s="30" t="str">
        <f ca="1">_xlfn.XLOOKUP(EFAbiertos[[#This Row],[Ticket '#]],Registro!$B$8:$B$997,Registro!$X$8:$X$997,"",0)</f>
        <v/>
      </c>
      <c r="M138" s="30" t="str">
        <f ca="1">_xlfn.XLOOKUP(EFAbiertos[[#This Row],[Ticket '#]],Registro!$B$8:$B$997,Registro!$Y$8:$Y$997,"",0)</f>
        <v/>
      </c>
      <c r="N13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39" spans="3:14" ht="28.5" customHeight="1">
      <c r="C139" s="2" t="str">
        <f ca="1">IF(D139="","",HYPERLINK("#"&amp;"Registro!B"&amp;MATCH(D139,Registro!$B$8:$B$997,0)+7,"Ubicar en registro"))</f>
        <v/>
      </c>
      <c r="D139" s="1" t="str">
        <f ca="1">IF(Programación!Q139="","",Programación!Q139)</f>
        <v/>
      </c>
      <c r="E139" s="1" t="str">
        <f ca="1">_xlfn.XLOOKUP(EFAbiertos[[#This Row],[Ticket '#]],Registro!$B$8:$B$997,Registro!$M$8:$M$997,"",0)</f>
        <v/>
      </c>
      <c r="F139" s="86" t="str">
        <f ca="1">_xlfn.XLOOKUP(EFAbiertos[[#This Row],[Ticket '#]],Registro!$B$8:$B$997,Registro!$H$8:$H$997,"",0)</f>
        <v/>
      </c>
      <c r="G139" s="26" t="str">
        <f ca="1">_xlfn.XLOOKUP(EFAbiertos[[#This Row],[Ticket '#]],Registro!$B$8:$B$997,Registro!$M$8:$M$997,"",0)</f>
        <v/>
      </c>
      <c r="H139" s="67" t="str">
        <f ca="1">_xlfn.XLOOKUP(EFAbiertos[[#This Row],[Ticket '#]],Registro!$B$8:$B$997,Registro!$S$8:$S$997,"",0)</f>
        <v/>
      </c>
      <c r="I139" s="58" t="str">
        <f t="shared" ca="1" si="4"/>
        <v/>
      </c>
      <c r="J139" s="30" t="str">
        <f ca="1">_xlfn.XLOOKUP(EFAbiertos[[#This Row],[Ticket '#]],Registro!$B$8:$B$997,Registro!$U$8:$U$997,"",0)</f>
        <v/>
      </c>
      <c r="K139" s="30" t="str">
        <f ca="1">_xlfn.XLOOKUP(EFAbiertos[[#This Row],[Ticket '#]],Registro!$B$8:$B$997,Registro!$W$8:$W$997,"",0)</f>
        <v/>
      </c>
      <c r="L139" s="30" t="str">
        <f ca="1">_xlfn.XLOOKUP(EFAbiertos[[#This Row],[Ticket '#]],Registro!$B$8:$B$997,Registro!$X$8:$X$997,"",0)</f>
        <v/>
      </c>
      <c r="M139" s="30" t="str">
        <f ca="1">_xlfn.XLOOKUP(EFAbiertos[[#This Row],[Ticket '#]],Registro!$B$8:$B$997,Registro!$Y$8:$Y$997,"",0)</f>
        <v/>
      </c>
      <c r="N13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0" spans="3:14" ht="28.5" customHeight="1">
      <c r="C140" s="2" t="str">
        <f ca="1">IF(D140="","",HYPERLINK("#"&amp;"Registro!B"&amp;MATCH(D140,Registro!$B$8:$B$997,0)+7,"Ubicar en registro"))</f>
        <v/>
      </c>
      <c r="D140" s="1" t="str">
        <f ca="1">IF(Programación!Q140="","",Programación!Q140)</f>
        <v/>
      </c>
      <c r="E140" s="1" t="str">
        <f ca="1">_xlfn.XLOOKUP(EFAbiertos[[#This Row],[Ticket '#]],Registro!$B$8:$B$997,Registro!$M$8:$M$997,"",0)</f>
        <v/>
      </c>
      <c r="F140" s="86" t="str">
        <f ca="1">_xlfn.XLOOKUP(EFAbiertos[[#This Row],[Ticket '#]],Registro!$B$8:$B$997,Registro!$H$8:$H$997,"",0)</f>
        <v/>
      </c>
      <c r="G140" s="26" t="str">
        <f ca="1">_xlfn.XLOOKUP(EFAbiertos[[#This Row],[Ticket '#]],Registro!$B$8:$B$997,Registro!$M$8:$M$997,"",0)</f>
        <v/>
      </c>
      <c r="H140" s="67" t="str">
        <f ca="1">_xlfn.XLOOKUP(EFAbiertos[[#This Row],[Ticket '#]],Registro!$B$8:$B$997,Registro!$S$8:$S$997,"",0)</f>
        <v/>
      </c>
      <c r="I140" s="58" t="str">
        <f t="shared" ca="1" si="4"/>
        <v/>
      </c>
      <c r="J140" s="30" t="str">
        <f ca="1">_xlfn.XLOOKUP(EFAbiertos[[#This Row],[Ticket '#]],Registro!$B$8:$B$997,Registro!$U$8:$U$997,"",0)</f>
        <v/>
      </c>
      <c r="K140" s="30" t="str">
        <f ca="1">_xlfn.XLOOKUP(EFAbiertos[[#This Row],[Ticket '#]],Registro!$B$8:$B$997,Registro!$W$8:$W$997,"",0)</f>
        <v/>
      </c>
      <c r="L140" s="30" t="str">
        <f ca="1">_xlfn.XLOOKUP(EFAbiertos[[#This Row],[Ticket '#]],Registro!$B$8:$B$997,Registro!$X$8:$X$997,"",0)</f>
        <v/>
      </c>
      <c r="M140" s="30" t="str">
        <f ca="1">_xlfn.XLOOKUP(EFAbiertos[[#This Row],[Ticket '#]],Registro!$B$8:$B$997,Registro!$Y$8:$Y$997,"",0)</f>
        <v/>
      </c>
      <c r="N14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1" spans="3:14" ht="28.5" customHeight="1">
      <c r="C141" s="2" t="str">
        <f ca="1">IF(D141="","",HYPERLINK("#"&amp;"Registro!B"&amp;MATCH(D141,Registro!$B$8:$B$997,0)+7,"Ubicar en registro"))</f>
        <v/>
      </c>
      <c r="D141" s="1" t="str">
        <f ca="1">IF(Programación!Q141="","",Programación!Q141)</f>
        <v/>
      </c>
      <c r="E141" s="1" t="str">
        <f ca="1">_xlfn.XLOOKUP(EFAbiertos[[#This Row],[Ticket '#]],Registro!$B$8:$B$997,Registro!$M$8:$M$997,"",0)</f>
        <v/>
      </c>
      <c r="F141" s="86" t="str">
        <f ca="1">_xlfn.XLOOKUP(EFAbiertos[[#This Row],[Ticket '#]],Registro!$B$8:$B$997,Registro!$H$8:$H$997,"",0)</f>
        <v/>
      </c>
      <c r="G141" s="26" t="str">
        <f ca="1">_xlfn.XLOOKUP(EFAbiertos[[#This Row],[Ticket '#]],Registro!$B$8:$B$997,Registro!$M$8:$M$997,"",0)</f>
        <v/>
      </c>
      <c r="H141" s="67" t="str">
        <f ca="1">_xlfn.XLOOKUP(EFAbiertos[[#This Row],[Ticket '#]],Registro!$B$8:$B$997,Registro!$S$8:$S$997,"",0)</f>
        <v/>
      </c>
      <c r="I141" s="58" t="str">
        <f t="shared" ca="1" si="4"/>
        <v/>
      </c>
      <c r="J141" s="30" t="str">
        <f ca="1">_xlfn.XLOOKUP(EFAbiertos[[#This Row],[Ticket '#]],Registro!$B$8:$B$997,Registro!$U$8:$U$997,"",0)</f>
        <v/>
      </c>
      <c r="K141" s="30" t="str">
        <f ca="1">_xlfn.XLOOKUP(EFAbiertos[[#This Row],[Ticket '#]],Registro!$B$8:$B$997,Registro!$W$8:$W$997,"",0)</f>
        <v/>
      </c>
      <c r="L141" s="30" t="str">
        <f ca="1">_xlfn.XLOOKUP(EFAbiertos[[#This Row],[Ticket '#]],Registro!$B$8:$B$997,Registro!$X$8:$X$997,"",0)</f>
        <v/>
      </c>
      <c r="M141" s="30" t="str">
        <f ca="1">_xlfn.XLOOKUP(EFAbiertos[[#This Row],[Ticket '#]],Registro!$B$8:$B$997,Registro!$Y$8:$Y$997,"",0)</f>
        <v/>
      </c>
      <c r="N14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2" spans="3:14" ht="28.5" customHeight="1">
      <c r="C142" s="2" t="str">
        <f ca="1">IF(D142="","",HYPERLINK("#"&amp;"Registro!B"&amp;MATCH(D142,Registro!$B$8:$B$997,0)+7,"Ubicar en registro"))</f>
        <v/>
      </c>
      <c r="D142" s="1" t="str">
        <f ca="1">IF(Programación!Q142="","",Programación!Q142)</f>
        <v/>
      </c>
      <c r="E142" s="1" t="str">
        <f ca="1">_xlfn.XLOOKUP(EFAbiertos[[#This Row],[Ticket '#]],Registro!$B$8:$B$997,Registro!$M$8:$M$997,"",0)</f>
        <v/>
      </c>
      <c r="F142" s="86" t="str">
        <f ca="1">_xlfn.XLOOKUP(EFAbiertos[[#This Row],[Ticket '#]],Registro!$B$8:$B$997,Registro!$H$8:$H$997,"",0)</f>
        <v/>
      </c>
      <c r="G142" s="26" t="str">
        <f ca="1">_xlfn.XLOOKUP(EFAbiertos[[#This Row],[Ticket '#]],Registro!$B$8:$B$997,Registro!$M$8:$M$997,"",0)</f>
        <v/>
      </c>
      <c r="H142" s="67" t="str">
        <f ca="1">_xlfn.XLOOKUP(EFAbiertos[[#This Row],[Ticket '#]],Registro!$B$8:$B$997,Registro!$S$8:$S$997,"",0)</f>
        <v/>
      </c>
      <c r="I142" s="58" t="str">
        <f t="shared" ca="1" si="4"/>
        <v/>
      </c>
      <c r="J142" s="30" t="str">
        <f ca="1">_xlfn.XLOOKUP(EFAbiertos[[#This Row],[Ticket '#]],Registro!$B$8:$B$997,Registro!$U$8:$U$997,"",0)</f>
        <v/>
      </c>
      <c r="K142" s="30" t="str">
        <f ca="1">_xlfn.XLOOKUP(EFAbiertos[[#This Row],[Ticket '#]],Registro!$B$8:$B$997,Registro!$W$8:$W$997,"",0)</f>
        <v/>
      </c>
      <c r="L142" s="30" t="str">
        <f ca="1">_xlfn.XLOOKUP(EFAbiertos[[#This Row],[Ticket '#]],Registro!$B$8:$B$997,Registro!$X$8:$X$997,"",0)</f>
        <v/>
      </c>
      <c r="M142" s="30" t="str">
        <f ca="1">_xlfn.XLOOKUP(EFAbiertos[[#This Row],[Ticket '#]],Registro!$B$8:$B$997,Registro!$Y$8:$Y$997,"",0)</f>
        <v/>
      </c>
      <c r="N14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3" spans="3:14" ht="28.5" customHeight="1">
      <c r="C143" s="2" t="str">
        <f ca="1">IF(D143="","",HYPERLINK("#"&amp;"Registro!B"&amp;MATCH(D143,Registro!$B$8:$B$997,0)+7,"Ubicar en registro"))</f>
        <v/>
      </c>
      <c r="D143" s="1" t="str">
        <f ca="1">IF(Programación!Q143="","",Programación!Q143)</f>
        <v/>
      </c>
      <c r="E143" s="1" t="str">
        <f ca="1">_xlfn.XLOOKUP(EFAbiertos[[#This Row],[Ticket '#]],Registro!$B$8:$B$997,Registro!$M$8:$M$997,"",0)</f>
        <v/>
      </c>
      <c r="F143" s="86" t="str">
        <f ca="1">_xlfn.XLOOKUP(EFAbiertos[[#This Row],[Ticket '#]],Registro!$B$8:$B$997,Registro!$H$8:$H$997,"",0)</f>
        <v/>
      </c>
      <c r="G143" s="26" t="str">
        <f ca="1">_xlfn.XLOOKUP(EFAbiertos[[#This Row],[Ticket '#]],Registro!$B$8:$B$997,Registro!$M$8:$M$997,"",0)</f>
        <v/>
      </c>
      <c r="H143" s="67" t="str">
        <f ca="1">_xlfn.XLOOKUP(EFAbiertos[[#This Row],[Ticket '#]],Registro!$B$8:$B$997,Registro!$S$8:$S$997,"",0)</f>
        <v/>
      </c>
      <c r="I143" s="58" t="str">
        <f t="shared" ca="1" si="4"/>
        <v/>
      </c>
      <c r="J143" s="30" t="str">
        <f ca="1">_xlfn.XLOOKUP(EFAbiertos[[#This Row],[Ticket '#]],Registro!$B$8:$B$997,Registro!$U$8:$U$997,"",0)</f>
        <v/>
      </c>
      <c r="K143" s="30" t="str">
        <f ca="1">_xlfn.XLOOKUP(EFAbiertos[[#This Row],[Ticket '#]],Registro!$B$8:$B$997,Registro!$W$8:$W$997,"",0)</f>
        <v/>
      </c>
      <c r="L143" s="30" t="str">
        <f ca="1">_xlfn.XLOOKUP(EFAbiertos[[#This Row],[Ticket '#]],Registro!$B$8:$B$997,Registro!$X$8:$X$997,"",0)</f>
        <v/>
      </c>
      <c r="M143" s="30" t="str">
        <f ca="1">_xlfn.XLOOKUP(EFAbiertos[[#This Row],[Ticket '#]],Registro!$B$8:$B$997,Registro!$Y$8:$Y$997,"",0)</f>
        <v/>
      </c>
      <c r="N14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4" spans="3:14" ht="28.5" customHeight="1">
      <c r="C144" s="2" t="str">
        <f ca="1">IF(D144="","",HYPERLINK("#"&amp;"Registro!B"&amp;MATCH(D144,Registro!$B$8:$B$997,0)+7,"Ubicar en registro"))</f>
        <v/>
      </c>
      <c r="D144" s="1" t="str">
        <f ca="1">IF(Programación!Q144="","",Programación!Q144)</f>
        <v/>
      </c>
      <c r="E144" s="1" t="str">
        <f ca="1">_xlfn.XLOOKUP(EFAbiertos[[#This Row],[Ticket '#]],Registro!$B$8:$B$997,Registro!$M$8:$M$997,"",0)</f>
        <v/>
      </c>
      <c r="F144" s="86" t="str">
        <f ca="1">_xlfn.XLOOKUP(EFAbiertos[[#This Row],[Ticket '#]],Registro!$B$8:$B$997,Registro!$H$8:$H$997,"",0)</f>
        <v/>
      </c>
      <c r="G144" s="26" t="str">
        <f ca="1">_xlfn.XLOOKUP(EFAbiertos[[#This Row],[Ticket '#]],Registro!$B$8:$B$997,Registro!$M$8:$M$997,"",0)</f>
        <v/>
      </c>
      <c r="H144" s="67" t="str">
        <f ca="1">_xlfn.XLOOKUP(EFAbiertos[[#This Row],[Ticket '#]],Registro!$B$8:$B$997,Registro!$S$8:$S$997,"",0)</f>
        <v/>
      </c>
      <c r="I144" s="58" t="str">
        <f t="shared" ca="1" si="4"/>
        <v/>
      </c>
      <c r="J144" s="30" t="str">
        <f ca="1">_xlfn.XLOOKUP(EFAbiertos[[#This Row],[Ticket '#]],Registro!$B$8:$B$997,Registro!$U$8:$U$997,"",0)</f>
        <v/>
      </c>
      <c r="K144" s="30" t="str">
        <f ca="1">_xlfn.XLOOKUP(EFAbiertos[[#This Row],[Ticket '#]],Registro!$B$8:$B$997,Registro!$W$8:$W$997,"",0)</f>
        <v/>
      </c>
      <c r="L144" s="30" t="str">
        <f ca="1">_xlfn.XLOOKUP(EFAbiertos[[#This Row],[Ticket '#]],Registro!$B$8:$B$997,Registro!$X$8:$X$997,"",0)</f>
        <v/>
      </c>
      <c r="M144" s="30" t="str">
        <f ca="1">_xlfn.XLOOKUP(EFAbiertos[[#This Row],[Ticket '#]],Registro!$B$8:$B$997,Registro!$Y$8:$Y$997,"",0)</f>
        <v/>
      </c>
      <c r="N14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5" spans="3:14" ht="28.5" customHeight="1">
      <c r="C145" s="2" t="str">
        <f ca="1">IF(D145="","",HYPERLINK("#"&amp;"Registro!B"&amp;MATCH(D145,Registro!$B$8:$B$997,0)+7,"Ubicar en registro"))</f>
        <v/>
      </c>
      <c r="D145" s="1" t="str">
        <f ca="1">IF(Programación!Q145="","",Programación!Q145)</f>
        <v/>
      </c>
      <c r="E145" s="1" t="str">
        <f ca="1">_xlfn.XLOOKUP(EFAbiertos[[#This Row],[Ticket '#]],Registro!$B$8:$B$997,Registro!$M$8:$M$997,"",0)</f>
        <v/>
      </c>
      <c r="F145" s="86" t="str">
        <f ca="1">_xlfn.XLOOKUP(EFAbiertos[[#This Row],[Ticket '#]],Registro!$B$8:$B$997,Registro!$H$8:$H$997,"",0)</f>
        <v/>
      </c>
      <c r="G145" s="26" t="str">
        <f ca="1">_xlfn.XLOOKUP(EFAbiertos[[#This Row],[Ticket '#]],Registro!$B$8:$B$997,Registro!$M$8:$M$997,"",0)</f>
        <v/>
      </c>
      <c r="H145" s="67" t="str">
        <f ca="1">_xlfn.XLOOKUP(EFAbiertos[[#This Row],[Ticket '#]],Registro!$B$8:$B$997,Registro!$S$8:$S$997,"",0)</f>
        <v/>
      </c>
      <c r="I145" s="58" t="str">
        <f t="shared" ca="1" si="4"/>
        <v/>
      </c>
      <c r="J145" s="30" t="str">
        <f ca="1">_xlfn.XLOOKUP(EFAbiertos[[#This Row],[Ticket '#]],Registro!$B$8:$B$997,Registro!$U$8:$U$997,"",0)</f>
        <v/>
      </c>
      <c r="K145" s="30" t="str">
        <f ca="1">_xlfn.XLOOKUP(EFAbiertos[[#This Row],[Ticket '#]],Registro!$B$8:$B$997,Registro!$W$8:$W$997,"",0)</f>
        <v/>
      </c>
      <c r="L145" s="30" t="str">
        <f ca="1">_xlfn.XLOOKUP(EFAbiertos[[#This Row],[Ticket '#]],Registro!$B$8:$B$997,Registro!$X$8:$X$997,"",0)</f>
        <v/>
      </c>
      <c r="M145" s="30" t="str">
        <f ca="1">_xlfn.XLOOKUP(EFAbiertos[[#This Row],[Ticket '#]],Registro!$B$8:$B$997,Registro!$Y$8:$Y$997,"",0)</f>
        <v/>
      </c>
      <c r="N14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6" spans="3:14" ht="28.5" customHeight="1">
      <c r="C146" s="2" t="str">
        <f ca="1">IF(D146="","",HYPERLINK("#"&amp;"Registro!B"&amp;MATCH(D146,Registro!$B$8:$B$997,0)+7,"Ubicar en registro"))</f>
        <v/>
      </c>
      <c r="D146" s="1" t="str">
        <f ca="1">IF(Programación!Q146="","",Programación!Q146)</f>
        <v/>
      </c>
      <c r="E146" s="1" t="str">
        <f ca="1">_xlfn.XLOOKUP(EFAbiertos[[#This Row],[Ticket '#]],Registro!$B$8:$B$997,Registro!$M$8:$M$997,"",0)</f>
        <v/>
      </c>
      <c r="F146" s="86" t="str">
        <f ca="1">_xlfn.XLOOKUP(EFAbiertos[[#This Row],[Ticket '#]],Registro!$B$8:$B$997,Registro!$H$8:$H$997,"",0)</f>
        <v/>
      </c>
      <c r="G146" s="26" t="str">
        <f ca="1">_xlfn.XLOOKUP(EFAbiertos[[#This Row],[Ticket '#]],Registro!$B$8:$B$997,Registro!$M$8:$M$997,"",0)</f>
        <v/>
      </c>
      <c r="H146" s="67" t="str">
        <f ca="1">_xlfn.XLOOKUP(EFAbiertos[[#This Row],[Ticket '#]],Registro!$B$8:$B$997,Registro!$S$8:$S$997,"",0)</f>
        <v/>
      </c>
      <c r="I146" s="58" t="str">
        <f t="shared" ca="1" si="4"/>
        <v/>
      </c>
      <c r="J146" s="30" t="str">
        <f ca="1">_xlfn.XLOOKUP(EFAbiertos[[#This Row],[Ticket '#]],Registro!$B$8:$B$997,Registro!$U$8:$U$997,"",0)</f>
        <v/>
      </c>
      <c r="K146" s="30" t="str">
        <f ca="1">_xlfn.XLOOKUP(EFAbiertos[[#This Row],[Ticket '#]],Registro!$B$8:$B$997,Registro!$W$8:$W$997,"",0)</f>
        <v/>
      </c>
      <c r="L146" s="30" t="str">
        <f ca="1">_xlfn.XLOOKUP(EFAbiertos[[#This Row],[Ticket '#]],Registro!$B$8:$B$997,Registro!$X$8:$X$997,"",0)</f>
        <v/>
      </c>
      <c r="M146" s="30" t="str">
        <f ca="1">_xlfn.XLOOKUP(EFAbiertos[[#This Row],[Ticket '#]],Registro!$B$8:$B$997,Registro!$Y$8:$Y$997,"",0)</f>
        <v/>
      </c>
      <c r="N14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7" spans="3:14" ht="28.5" customHeight="1">
      <c r="C147" s="2" t="str">
        <f ca="1">IF(D147="","",HYPERLINK("#"&amp;"Registro!B"&amp;MATCH(D147,Registro!$B$8:$B$997,0)+7,"Ubicar en registro"))</f>
        <v/>
      </c>
      <c r="D147" s="1" t="str">
        <f ca="1">IF(Programación!Q147="","",Programación!Q147)</f>
        <v/>
      </c>
      <c r="E147" s="1" t="str">
        <f ca="1">_xlfn.XLOOKUP(EFAbiertos[[#This Row],[Ticket '#]],Registro!$B$8:$B$997,Registro!$M$8:$M$997,"",0)</f>
        <v/>
      </c>
      <c r="F147" s="86" t="str">
        <f ca="1">_xlfn.XLOOKUP(EFAbiertos[[#This Row],[Ticket '#]],Registro!$B$8:$B$997,Registro!$H$8:$H$997,"",0)</f>
        <v/>
      </c>
      <c r="G147" s="26" t="str">
        <f ca="1">_xlfn.XLOOKUP(EFAbiertos[[#This Row],[Ticket '#]],Registro!$B$8:$B$997,Registro!$M$8:$M$997,"",0)</f>
        <v/>
      </c>
      <c r="H147" s="67" t="str">
        <f ca="1">_xlfn.XLOOKUP(EFAbiertos[[#This Row],[Ticket '#]],Registro!$B$8:$B$997,Registro!$S$8:$S$997,"",0)</f>
        <v/>
      </c>
      <c r="I147" s="58" t="str">
        <f t="shared" ca="1" si="4"/>
        <v/>
      </c>
      <c r="J147" s="30" t="str">
        <f ca="1">_xlfn.XLOOKUP(EFAbiertos[[#This Row],[Ticket '#]],Registro!$B$8:$B$997,Registro!$U$8:$U$997,"",0)</f>
        <v/>
      </c>
      <c r="K147" s="30" t="str">
        <f ca="1">_xlfn.XLOOKUP(EFAbiertos[[#This Row],[Ticket '#]],Registro!$B$8:$B$997,Registro!$W$8:$W$997,"",0)</f>
        <v/>
      </c>
      <c r="L147" s="30" t="str">
        <f ca="1">_xlfn.XLOOKUP(EFAbiertos[[#This Row],[Ticket '#]],Registro!$B$8:$B$997,Registro!$X$8:$X$997,"",0)</f>
        <v/>
      </c>
      <c r="M147" s="30" t="str">
        <f ca="1">_xlfn.XLOOKUP(EFAbiertos[[#This Row],[Ticket '#]],Registro!$B$8:$B$997,Registro!$Y$8:$Y$997,"",0)</f>
        <v/>
      </c>
      <c r="N14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8" spans="3:14" ht="28.5" customHeight="1">
      <c r="C148" s="2" t="str">
        <f ca="1">IF(D148="","",HYPERLINK("#"&amp;"Registro!B"&amp;MATCH(D148,Registro!$B$8:$B$997,0)+7,"Ubicar en registro"))</f>
        <v/>
      </c>
      <c r="D148" s="1" t="str">
        <f ca="1">IF(Programación!Q148="","",Programación!Q148)</f>
        <v/>
      </c>
      <c r="E148" s="1" t="str">
        <f ca="1">_xlfn.XLOOKUP(EFAbiertos[[#This Row],[Ticket '#]],Registro!$B$8:$B$997,Registro!$M$8:$M$997,"",0)</f>
        <v/>
      </c>
      <c r="F148" s="86" t="str">
        <f ca="1">_xlfn.XLOOKUP(EFAbiertos[[#This Row],[Ticket '#]],Registro!$B$8:$B$997,Registro!$H$8:$H$997,"",0)</f>
        <v/>
      </c>
      <c r="G148" s="26" t="str">
        <f ca="1">_xlfn.XLOOKUP(EFAbiertos[[#This Row],[Ticket '#]],Registro!$B$8:$B$997,Registro!$M$8:$M$997,"",0)</f>
        <v/>
      </c>
      <c r="H148" s="67" t="str">
        <f ca="1">_xlfn.XLOOKUP(EFAbiertos[[#This Row],[Ticket '#]],Registro!$B$8:$B$997,Registro!$S$8:$S$997,"",0)</f>
        <v/>
      </c>
      <c r="I148" s="58" t="str">
        <f t="shared" ca="1" si="4"/>
        <v/>
      </c>
      <c r="J148" s="30" t="str">
        <f ca="1">_xlfn.XLOOKUP(EFAbiertos[[#This Row],[Ticket '#]],Registro!$B$8:$B$997,Registro!$U$8:$U$997,"",0)</f>
        <v/>
      </c>
      <c r="K148" s="30" t="str">
        <f ca="1">_xlfn.XLOOKUP(EFAbiertos[[#This Row],[Ticket '#]],Registro!$B$8:$B$997,Registro!$W$8:$W$997,"",0)</f>
        <v/>
      </c>
      <c r="L148" s="30" t="str">
        <f ca="1">_xlfn.XLOOKUP(EFAbiertos[[#This Row],[Ticket '#]],Registro!$B$8:$B$997,Registro!$X$8:$X$997,"",0)</f>
        <v/>
      </c>
      <c r="M148" s="30" t="str">
        <f ca="1">_xlfn.XLOOKUP(EFAbiertos[[#This Row],[Ticket '#]],Registro!$B$8:$B$997,Registro!$Y$8:$Y$997,"",0)</f>
        <v/>
      </c>
      <c r="N14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49" spans="3:14" ht="28.5" customHeight="1">
      <c r="C149" s="2" t="str">
        <f ca="1">IF(D149="","",HYPERLINK("#"&amp;"Registro!B"&amp;MATCH(D149,Registro!$B$8:$B$997,0)+7,"Ubicar en registro"))</f>
        <v/>
      </c>
      <c r="D149" s="1" t="str">
        <f ca="1">IF(Programación!Q149="","",Programación!Q149)</f>
        <v/>
      </c>
      <c r="E149" s="1" t="str">
        <f ca="1">_xlfn.XLOOKUP(EFAbiertos[[#This Row],[Ticket '#]],Registro!$B$8:$B$997,Registro!$M$8:$M$997,"",0)</f>
        <v/>
      </c>
      <c r="F149" s="86" t="str">
        <f ca="1">_xlfn.XLOOKUP(EFAbiertos[[#This Row],[Ticket '#]],Registro!$B$8:$B$997,Registro!$H$8:$H$997,"",0)</f>
        <v/>
      </c>
      <c r="G149" s="26" t="str">
        <f ca="1">_xlfn.XLOOKUP(EFAbiertos[[#This Row],[Ticket '#]],Registro!$B$8:$B$997,Registro!$M$8:$M$997,"",0)</f>
        <v/>
      </c>
      <c r="H149" s="67" t="str">
        <f ca="1">_xlfn.XLOOKUP(EFAbiertos[[#This Row],[Ticket '#]],Registro!$B$8:$B$997,Registro!$S$8:$S$997,"",0)</f>
        <v/>
      </c>
      <c r="I149" s="58" t="str">
        <f t="shared" ca="1" si="4"/>
        <v/>
      </c>
      <c r="J149" s="30" t="str">
        <f ca="1">_xlfn.XLOOKUP(EFAbiertos[[#This Row],[Ticket '#]],Registro!$B$8:$B$997,Registro!$U$8:$U$997,"",0)</f>
        <v/>
      </c>
      <c r="K149" s="30" t="str">
        <f ca="1">_xlfn.XLOOKUP(EFAbiertos[[#This Row],[Ticket '#]],Registro!$B$8:$B$997,Registro!$W$8:$W$997,"",0)</f>
        <v/>
      </c>
      <c r="L149" s="30" t="str">
        <f ca="1">_xlfn.XLOOKUP(EFAbiertos[[#This Row],[Ticket '#]],Registro!$B$8:$B$997,Registro!$X$8:$X$997,"",0)</f>
        <v/>
      </c>
      <c r="M149" s="30" t="str">
        <f ca="1">_xlfn.XLOOKUP(EFAbiertos[[#This Row],[Ticket '#]],Registro!$B$8:$B$997,Registro!$Y$8:$Y$997,"",0)</f>
        <v/>
      </c>
      <c r="N14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0" spans="3:14" ht="28.5" customHeight="1">
      <c r="C150" s="2" t="str">
        <f ca="1">IF(D150="","",HYPERLINK("#"&amp;"Registro!B"&amp;MATCH(D150,Registro!$B$8:$B$997,0)+7,"Ubicar en registro"))</f>
        <v/>
      </c>
      <c r="D150" s="1" t="str">
        <f ca="1">IF(Programación!Q150="","",Programación!Q150)</f>
        <v/>
      </c>
      <c r="E150" s="1" t="str">
        <f ca="1">_xlfn.XLOOKUP(EFAbiertos[[#This Row],[Ticket '#]],Registro!$B$8:$B$997,Registro!$M$8:$M$997,"",0)</f>
        <v/>
      </c>
      <c r="F150" s="86" t="str">
        <f ca="1">_xlfn.XLOOKUP(EFAbiertos[[#This Row],[Ticket '#]],Registro!$B$8:$B$997,Registro!$H$8:$H$997,"",0)</f>
        <v/>
      </c>
      <c r="G150" s="26" t="str">
        <f ca="1">_xlfn.XLOOKUP(EFAbiertos[[#This Row],[Ticket '#]],Registro!$B$8:$B$997,Registro!$M$8:$M$997,"",0)</f>
        <v/>
      </c>
      <c r="H150" s="67" t="str">
        <f ca="1">_xlfn.XLOOKUP(EFAbiertos[[#This Row],[Ticket '#]],Registro!$B$8:$B$997,Registro!$S$8:$S$997,"",0)</f>
        <v/>
      </c>
      <c r="I150" s="58" t="str">
        <f t="shared" ca="1" si="4"/>
        <v/>
      </c>
      <c r="J150" s="30" t="str">
        <f ca="1">_xlfn.XLOOKUP(EFAbiertos[[#This Row],[Ticket '#]],Registro!$B$8:$B$997,Registro!$U$8:$U$997,"",0)</f>
        <v/>
      </c>
      <c r="K150" s="30" t="str">
        <f ca="1">_xlfn.XLOOKUP(EFAbiertos[[#This Row],[Ticket '#]],Registro!$B$8:$B$997,Registro!$W$8:$W$997,"",0)</f>
        <v/>
      </c>
      <c r="L150" s="30" t="str">
        <f ca="1">_xlfn.XLOOKUP(EFAbiertos[[#This Row],[Ticket '#]],Registro!$B$8:$B$997,Registro!$X$8:$X$997,"",0)</f>
        <v/>
      </c>
      <c r="M150" s="30" t="str">
        <f ca="1">_xlfn.XLOOKUP(EFAbiertos[[#This Row],[Ticket '#]],Registro!$B$8:$B$997,Registro!$Y$8:$Y$997,"",0)</f>
        <v/>
      </c>
      <c r="N15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1" spans="3:14" ht="28.5" customHeight="1">
      <c r="C151" s="2" t="str">
        <f ca="1">IF(D151="","",HYPERLINK("#"&amp;"Registro!B"&amp;MATCH(D151,Registro!$B$8:$B$997,0)+7,"Ubicar en registro"))</f>
        <v/>
      </c>
      <c r="D151" s="1" t="str">
        <f ca="1">IF(Programación!Q151="","",Programación!Q151)</f>
        <v/>
      </c>
      <c r="E151" s="1" t="str">
        <f ca="1">_xlfn.XLOOKUP(EFAbiertos[[#This Row],[Ticket '#]],Registro!$B$8:$B$997,Registro!$M$8:$M$997,"",0)</f>
        <v/>
      </c>
      <c r="F151" s="86" t="str">
        <f ca="1">_xlfn.XLOOKUP(EFAbiertos[[#This Row],[Ticket '#]],Registro!$B$8:$B$997,Registro!$H$8:$H$997,"",0)</f>
        <v/>
      </c>
      <c r="G151" s="26" t="str">
        <f ca="1">_xlfn.XLOOKUP(EFAbiertos[[#This Row],[Ticket '#]],Registro!$B$8:$B$997,Registro!$M$8:$M$997,"",0)</f>
        <v/>
      </c>
      <c r="H151" s="67" t="str">
        <f ca="1">_xlfn.XLOOKUP(EFAbiertos[[#This Row],[Ticket '#]],Registro!$B$8:$B$997,Registro!$S$8:$S$997,"",0)</f>
        <v/>
      </c>
      <c r="I151" s="58" t="str">
        <f t="shared" ca="1" si="4"/>
        <v/>
      </c>
      <c r="J151" s="30" t="str">
        <f ca="1">_xlfn.XLOOKUP(EFAbiertos[[#This Row],[Ticket '#]],Registro!$B$8:$B$997,Registro!$U$8:$U$997,"",0)</f>
        <v/>
      </c>
      <c r="K151" s="30" t="str">
        <f ca="1">_xlfn.XLOOKUP(EFAbiertos[[#This Row],[Ticket '#]],Registro!$B$8:$B$997,Registro!$W$8:$W$997,"",0)</f>
        <v/>
      </c>
      <c r="L151" s="30" t="str">
        <f ca="1">_xlfn.XLOOKUP(EFAbiertos[[#This Row],[Ticket '#]],Registro!$B$8:$B$997,Registro!$X$8:$X$997,"",0)</f>
        <v/>
      </c>
      <c r="M151" s="30" t="str">
        <f ca="1">_xlfn.XLOOKUP(EFAbiertos[[#This Row],[Ticket '#]],Registro!$B$8:$B$997,Registro!$Y$8:$Y$997,"",0)</f>
        <v/>
      </c>
      <c r="N15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2" spans="3:14" ht="28.5" customHeight="1">
      <c r="C152" s="2" t="str">
        <f ca="1">IF(D152="","",HYPERLINK("#"&amp;"Registro!B"&amp;MATCH(D152,Registro!$B$8:$B$997,0)+7,"Ubicar en registro"))</f>
        <v/>
      </c>
      <c r="D152" s="1" t="str">
        <f ca="1">IF(Programación!Q152="","",Programación!Q152)</f>
        <v/>
      </c>
      <c r="E152" s="1" t="str">
        <f ca="1">_xlfn.XLOOKUP(EFAbiertos[[#This Row],[Ticket '#]],Registro!$B$8:$B$997,Registro!$M$8:$M$997,"",0)</f>
        <v/>
      </c>
      <c r="F152" s="86" t="str">
        <f ca="1">_xlfn.XLOOKUP(EFAbiertos[[#This Row],[Ticket '#]],Registro!$B$8:$B$997,Registro!$H$8:$H$997,"",0)</f>
        <v/>
      </c>
      <c r="G152" s="26" t="str">
        <f ca="1">_xlfn.XLOOKUP(EFAbiertos[[#This Row],[Ticket '#]],Registro!$B$8:$B$997,Registro!$M$8:$M$997,"",0)</f>
        <v/>
      </c>
      <c r="H152" s="67" t="str">
        <f ca="1">_xlfn.XLOOKUP(EFAbiertos[[#This Row],[Ticket '#]],Registro!$B$8:$B$997,Registro!$S$8:$S$997,"",0)</f>
        <v/>
      </c>
      <c r="I152" s="58" t="str">
        <f t="shared" ca="1" si="4"/>
        <v/>
      </c>
      <c r="J152" s="30" t="str">
        <f ca="1">_xlfn.XLOOKUP(EFAbiertos[[#This Row],[Ticket '#]],Registro!$B$8:$B$997,Registro!$U$8:$U$997,"",0)</f>
        <v/>
      </c>
      <c r="K152" s="30" t="str">
        <f ca="1">_xlfn.XLOOKUP(EFAbiertos[[#This Row],[Ticket '#]],Registro!$B$8:$B$997,Registro!$W$8:$W$997,"",0)</f>
        <v/>
      </c>
      <c r="L152" s="30" t="str">
        <f ca="1">_xlfn.XLOOKUP(EFAbiertos[[#This Row],[Ticket '#]],Registro!$B$8:$B$997,Registro!$X$8:$X$997,"",0)</f>
        <v/>
      </c>
      <c r="M152" s="30" t="str">
        <f ca="1">_xlfn.XLOOKUP(EFAbiertos[[#This Row],[Ticket '#]],Registro!$B$8:$B$997,Registro!$Y$8:$Y$997,"",0)</f>
        <v/>
      </c>
      <c r="N15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3" spans="3:14" ht="28.5" customHeight="1">
      <c r="C153" s="2" t="str">
        <f ca="1">IF(D153="","",HYPERLINK("#"&amp;"Registro!B"&amp;MATCH(D153,Registro!$B$8:$B$997,0)+7,"Ubicar en registro"))</f>
        <v/>
      </c>
      <c r="D153" s="1" t="str">
        <f ca="1">IF(Programación!Q153="","",Programación!Q153)</f>
        <v/>
      </c>
      <c r="E153" s="1" t="str">
        <f ca="1">_xlfn.XLOOKUP(EFAbiertos[[#This Row],[Ticket '#]],Registro!$B$8:$B$997,Registro!$M$8:$M$997,"",0)</f>
        <v/>
      </c>
      <c r="F153" s="86" t="str">
        <f ca="1">_xlfn.XLOOKUP(EFAbiertos[[#This Row],[Ticket '#]],Registro!$B$8:$B$997,Registro!$H$8:$H$997,"",0)</f>
        <v/>
      </c>
      <c r="G153" s="26" t="str">
        <f ca="1">_xlfn.XLOOKUP(EFAbiertos[[#This Row],[Ticket '#]],Registro!$B$8:$B$997,Registro!$M$8:$M$997,"",0)</f>
        <v/>
      </c>
      <c r="H153" s="67" t="str">
        <f ca="1">_xlfn.XLOOKUP(EFAbiertos[[#This Row],[Ticket '#]],Registro!$B$8:$B$997,Registro!$S$8:$S$997,"",0)</f>
        <v/>
      </c>
      <c r="I153" s="58" t="str">
        <f t="shared" ca="1" si="4"/>
        <v/>
      </c>
      <c r="J153" s="30" t="str">
        <f ca="1">_xlfn.XLOOKUP(EFAbiertos[[#This Row],[Ticket '#]],Registro!$B$8:$B$997,Registro!$U$8:$U$997,"",0)</f>
        <v/>
      </c>
      <c r="K153" s="30" t="str">
        <f ca="1">_xlfn.XLOOKUP(EFAbiertos[[#This Row],[Ticket '#]],Registro!$B$8:$B$997,Registro!$W$8:$W$997,"",0)</f>
        <v/>
      </c>
      <c r="L153" s="30" t="str">
        <f ca="1">_xlfn.XLOOKUP(EFAbiertos[[#This Row],[Ticket '#]],Registro!$B$8:$B$997,Registro!$X$8:$X$997,"",0)</f>
        <v/>
      </c>
      <c r="M153" s="30" t="str">
        <f ca="1">_xlfn.XLOOKUP(EFAbiertos[[#This Row],[Ticket '#]],Registro!$B$8:$B$997,Registro!$Y$8:$Y$997,"",0)</f>
        <v/>
      </c>
      <c r="N15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4" spans="3:14" ht="28.5" customHeight="1">
      <c r="C154" s="2" t="str">
        <f ca="1">IF(D154="","",HYPERLINK("#"&amp;"Registro!B"&amp;MATCH(D154,Registro!$B$8:$B$997,0)+7,"Ubicar en registro"))</f>
        <v/>
      </c>
      <c r="D154" s="1" t="str">
        <f ca="1">IF(Programación!Q154="","",Programación!Q154)</f>
        <v/>
      </c>
      <c r="E154" s="1" t="str">
        <f ca="1">_xlfn.XLOOKUP(EFAbiertos[[#This Row],[Ticket '#]],Registro!$B$8:$B$997,Registro!$M$8:$M$997,"",0)</f>
        <v/>
      </c>
      <c r="F154" s="86" t="str">
        <f ca="1">_xlfn.XLOOKUP(EFAbiertos[[#This Row],[Ticket '#]],Registro!$B$8:$B$997,Registro!$H$8:$H$997,"",0)</f>
        <v/>
      </c>
      <c r="G154" s="26" t="str">
        <f ca="1">_xlfn.XLOOKUP(EFAbiertos[[#This Row],[Ticket '#]],Registro!$B$8:$B$997,Registro!$M$8:$M$997,"",0)</f>
        <v/>
      </c>
      <c r="H154" s="67" t="str">
        <f ca="1">_xlfn.XLOOKUP(EFAbiertos[[#This Row],[Ticket '#]],Registro!$B$8:$B$997,Registro!$S$8:$S$997,"",0)</f>
        <v/>
      </c>
      <c r="I154" s="58" t="str">
        <f t="shared" ca="1" si="4"/>
        <v/>
      </c>
      <c r="J154" s="30" t="str">
        <f ca="1">_xlfn.XLOOKUP(EFAbiertos[[#This Row],[Ticket '#]],Registro!$B$8:$B$997,Registro!$U$8:$U$997,"",0)</f>
        <v/>
      </c>
      <c r="K154" s="30" t="str">
        <f ca="1">_xlfn.XLOOKUP(EFAbiertos[[#This Row],[Ticket '#]],Registro!$B$8:$B$997,Registro!$W$8:$W$997,"",0)</f>
        <v/>
      </c>
      <c r="L154" s="30" t="str">
        <f ca="1">_xlfn.XLOOKUP(EFAbiertos[[#This Row],[Ticket '#]],Registro!$B$8:$B$997,Registro!$X$8:$X$997,"",0)</f>
        <v/>
      </c>
      <c r="M154" s="30" t="str">
        <f ca="1">_xlfn.XLOOKUP(EFAbiertos[[#This Row],[Ticket '#]],Registro!$B$8:$B$997,Registro!$Y$8:$Y$997,"",0)</f>
        <v/>
      </c>
      <c r="N15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5" spans="3:14" ht="28.5" customHeight="1">
      <c r="C155" s="2" t="str">
        <f ca="1">IF(D155="","",HYPERLINK("#"&amp;"Registro!B"&amp;MATCH(D155,Registro!$B$8:$B$997,0)+7,"Ubicar en registro"))</f>
        <v/>
      </c>
      <c r="D155" s="1" t="str">
        <f ca="1">IF(Programación!Q155="","",Programación!Q155)</f>
        <v/>
      </c>
      <c r="E155" s="1" t="str">
        <f ca="1">_xlfn.XLOOKUP(EFAbiertos[[#This Row],[Ticket '#]],Registro!$B$8:$B$997,Registro!$M$8:$M$997,"",0)</f>
        <v/>
      </c>
      <c r="F155" s="86" t="str">
        <f ca="1">_xlfn.XLOOKUP(EFAbiertos[[#This Row],[Ticket '#]],Registro!$B$8:$B$997,Registro!$H$8:$H$997,"",0)</f>
        <v/>
      </c>
      <c r="G155" s="26" t="str">
        <f ca="1">_xlfn.XLOOKUP(EFAbiertos[[#This Row],[Ticket '#]],Registro!$B$8:$B$997,Registro!$M$8:$M$997,"",0)</f>
        <v/>
      </c>
      <c r="H155" s="67" t="str">
        <f ca="1">_xlfn.XLOOKUP(EFAbiertos[[#This Row],[Ticket '#]],Registro!$B$8:$B$997,Registro!$S$8:$S$997,"",0)</f>
        <v/>
      </c>
      <c r="I155" s="58" t="str">
        <f t="shared" ca="1" si="4"/>
        <v/>
      </c>
      <c r="J155" s="30" t="str">
        <f ca="1">_xlfn.XLOOKUP(EFAbiertos[[#This Row],[Ticket '#]],Registro!$B$8:$B$997,Registro!$U$8:$U$997,"",0)</f>
        <v/>
      </c>
      <c r="K155" s="30" t="str">
        <f ca="1">_xlfn.XLOOKUP(EFAbiertos[[#This Row],[Ticket '#]],Registro!$B$8:$B$997,Registro!$W$8:$W$997,"",0)</f>
        <v/>
      </c>
      <c r="L155" s="30" t="str">
        <f ca="1">_xlfn.XLOOKUP(EFAbiertos[[#This Row],[Ticket '#]],Registro!$B$8:$B$997,Registro!$X$8:$X$997,"",0)</f>
        <v/>
      </c>
      <c r="M155" s="30" t="str">
        <f ca="1">_xlfn.XLOOKUP(EFAbiertos[[#This Row],[Ticket '#]],Registro!$B$8:$B$997,Registro!$Y$8:$Y$997,"",0)</f>
        <v/>
      </c>
      <c r="N15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6" spans="3:14" ht="28.5" customHeight="1">
      <c r="C156" s="2" t="str">
        <f ca="1">IF(D156="","",HYPERLINK("#"&amp;"Registro!B"&amp;MATCH(D156,Registro!$B$8:$B$997,0)+7,"Ubicar en registro"))</f>
        <v/>
      </c>
      <c r="D156" s="1" t="str">
        <f ca="1">IF(Programación!Q156="","",Programación!Q156)</f>
        <v/>
      </c>
      <c r="E156" s="1" t="str">
        <f ca="1">_xlfn.XLOOKUP(EFAbiertos[[#This Row],[Ticket '#]],Registro!$B$8:$B$997,Registro!$M$8:$M$997,"",0)</f>
        <v/>
      </c>
      <c r="F156" s="86" t="str">
        <f ca="1">_xlfn.XLOOKUP(EFAbiertos[[#This Row],[Ticket '#]],Registro!$B$8:$B$997,Registro!$H$8:$H$997,"",0)</f>
        <v/>
      </c>
      <c r="G156" s="26" t="str">
        <f ca="1">_xlfn.XLOOKUP(EFAbiertos[[#This Row],[Ticket '#]],Registro!$B$8:$B$997,Registro!$M$8:$M$997,"",0)</f>
        <v/>
      </c>
      <c r="H156" s="67" t="str">
        <f ca="1">_xlfn.XLOOKUP(EFAbiertos[[#This Row],[Ticket '#]],Registro!$B$8:$B$997,Registro!$S$8:$S$997,"",0)</f>
        <v/>
      </c>
      <c r="I156" s="58" t="str">
        <f t="shared" ca="1" si="4"/>
        <v/>
      </c>
      <c r="J156" s="30" t="str">
        <f ca="1">_xlfn.XLOOKUP(EFAbiertos[[#This Row],[Ticket '#]],Registro!$B$8:$B$997,Registro!$U$8:$U$997,"",0)</f>
        <v/>
      </c>
      <c r="K156" s="30" t="str">
        <f ca="1">_xlfn.XLOOKUP(EFAbiertos[[#This Row],[Ticket '#]],Registro!$B$8:$B$997,Registro!$W$8:$W$997,"",0)</f>
        <v/>
      </c>
      <c r="L156" s="30" t="str">
        <f ca="1">_xlfn.XLOOKUP(EFAbiertos[[#This Row],[Ticket '#]],Registro!$B$8:$B$997,Registro!$X$8:$X$997,"",0)</f>
        <v/>
      </c>
      <c r="M156" s="30" t="str">
        <f ca="1">_xlfn.XLOOKUP(EFAbiertos[[#This Row],[Ticket '#]],Registro!$B$8:$B$997,Registro!$Y$8:$Y$997,"",0)</f>
        <v/>
      </c>
      <c r="N15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7" spans="3:14" ht="28.5" customHeight="1">
      <c r="C157" s="2" t="str">
        <f ca="1">IF(D157="","",HYPERLINK("#"&amp;"Registro!B"&amp;MATCH(D157,Registro!$B$8:$B$997,0)+7,"Ubicar en registro"))</f>
        <v/>
      </c>
      <c r="D157" s="1" t="str">
        <f ca="1">IF(Programación!Q157="","",Programación!Q157)</f>
        <v/>
      </c>
      <c r="E157" s="1" t="str">
        <f ca="1">_xlfn.XLOOKUP(EFAbiertos[[#This Row],[Ticket '#]],Registro!$B$8:$B$997,Registro!$M$8:$M$997,"",0)</f>
        <v/>
      </c>
      <c r="F157" s="86" t="str">
        <f ca="1">_xlfn.XLOOKUP(EFAbiertos[[#This Row],[Ticket '#]],Registro!$B$8:$B$997,Registro!$H$8:$H$997,"",0)</f>
        <v/>
      </c>
      <c r="G157" s="26" t="str">
        <f ca="1">_xlfn.XLOOKUP(EFAbiertos[[#This Row],[Ticket '#]],Registro!$B$8:$B$997,Registro!$M$8:$M$997,"",0)</f>
        <v/>
      </c>
      <c r="H157" s="67" t="str">
        <f ca="1">_xlfn.XLOOKUP(EFAbiertos[[#This Row],[Ticket '#]],Registro!$B$8:$B$997,Registro!$S$8:$S$997,"",0)</f>
        <v/>
      </c>
      <c r="I157" s="58" t="str">
        <f t="shared" ca="1" si="4"/>
        <v/>
      </c>
      <c r="J157" s="30" t="str">
        <f ca="1">_xlfn.XLOOKUP(EFAbiertos[[#This Row],[Ticket '#]],Registro!$B$8:$B$997,Registro!$U$8:$U$997,"",0)</f>
        <v/>
      </c>
      <c r="K157" s="30" t="str">
        <f ca="1">_xlfn.XLOOKUP(EFAbiertos[[#This Row],[Ticket '#]],Registro!$B$8:$B$997,Registro!$W$8:$W$997,"",0)</f>
        <v/>
      </c>
      <c r="L157" s="30" t="str">
        <f ca="1">_xlfn.XLOOKUP(EFAbiertos[[#This Row],[Ticket '#]],Registro!$B$8:$B$997,Registro!$X$8:$X$997,"",0)</f>
        <v/>
      </c>
      <c r="M157" s="30" t="str">
        <f ca="1">_xlfn.XLOOKUP(EFAbiertos[[#This Row],[Ticket '#]],Registro!$B$8:$B$997,Registro!$Y$8:$Y$997,"",0)</f>
        <v/>
      </c>
      <c r="N15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8" spans="3:14" ht="28.5" customHeight="1">
      <c r="C158" s="2" t="str">
        <f ca="1">IF(D158="","",HYPERLINK("#"&amp;"Registro!B"&amp;MATCH(D158,Registro!$B$8:$B$997,0)+7,"Ubicar en registro"))</f>
        <v/>
      </c>
      <c r="D158" s="1" t="str">
        <f ca="1">IF(Programación!Q158="","",Programación!Q158)</f>
        <v/>
      </c>
      <c r="E158" s="1" t="str">
        <f ca="1">_xlfn.XLOOKUP(EFAbiertos[[#This Row],[Ticket '#]],Registro!$B$8:$B$997,Registro!$M$8:$M$997,"",0)</f>
        <v/>
      </c>
      <c r="F158" s="86" t="str">
        <f ca="1">_xlfn.XLOOKUP(EFAbiertos[[#This Row],[Ticket '#]],Registro!$B$8:$B$997,Registro!$H$8:$H$997,"",0)</f>
        <v/>
      </c>
      <c r="G158" s="26" t="str">
        <f ca="1">_xlfn.XLOOKUP(EFAbiertos[[#This Row],[Ticket '#]],Registro!$B$8:$B$997,Registro!$M$8:$M$997,"",0)</f>
        <v/>
      </c>
      <c r="H158" s="67" t="str">
        <f ca="1">_xlfn.XLOOKUP(EFAbiertos[[#This Row],[Ticket '#]],Registro!$B$8:$B$997,Registro!$S$8:$S$997,"",0)</f>
        <v/>
      </c>
      <c r="I158" s="58" t="str">
        <f t="shared" ca="1" si="4"/>
        <v/>
      </c>
      <c r="J158" s="30" t="str">
        <f ca="1">_xlfn.XLOOKUP(EFAbiertos[[#This Row],[Ticket '#]],Registro!$B$8:$B$997,Registro!$U$8:$U$997,"",0)</f>
        <v/>
      </c>
      <c r="K158" s="30" t="str">
        <f ca="1">_xlfn.XLOOKUP(EFAbiertos[[#This Row],[Ticket '#]],Registro!$B$8:$B$997,Registro!$W$8:$W$997,"",0)</f>
        <v/>
      </c>
      <c r="L158" s="30" t="str">
        <f ca="1">_xlfn.XLOOKUP(EFAbiertos[[#This Row],[Ticket '#]],Registro!$B$8:$B$997,Registro!$X$8:$X$997,"",0)</f>
        <v/>
      </c>
      <c r="M158" s="30" t="str">
        <f ca="1">_xlfn.XLOOKUP(EFAbiertos[[#This Row],[Ticket '#]],Registro!$B$8:$B$997,Registro!$Y$8:$Y$997,"",0)</f>
        <v/>
      </c>
      <c r="N15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59" spans="3:14" ht="28.5" customHeight="1">
      <c r="C159" s="2" t="str">
        <f ca="1">IF(D159="","",HYPERLINK("#"&amp;"Registro!B"&amp;MATCH(D159,Registro!$B$8:$B$997,0)+7,"Ubicar en registro"))</f>
        <v/>
      </c>
      <c r="D159" s="1" t="str">
        <f ca="1">IF(Programación!Q159="","",Programación!Q159)</f>
        <v/>
      </c>
      <c r="E159" s="1" t="str">
        <f ca="1">_xlfn.XLOOKUP(EFAbiertos[[#This Row],[Ticket '#]],Registro!$B$8:$B$997,Registro!$M$8:$M$997,"",0)</f>
        <v/>
      </c>
      <c r="F159" s="86" t="str">
        <f ca="1">_xlfn.XLOOKUP(EFAbiertos[[#This Row],[Ticket '#]],Registro!$B$8:$B$997,Registro!$H$8:$H$997,"",0)</f>
        <v/>
      </c>
      <c r="G159" s="26" t="str">
        <f ca="1">_xlfn.XLOOKUP(EFAbiertos[[#This Row],[Ticket '#]],Registro!$B$8:$B$997,Registro!$M$8:$M$997,"",0)</f>
        <v/>
      </c>
      <c r="H159" s="67" t="str">
        <f ca="1">_xlfn.XLOOKUP(EFAbiertos[[#This Row],[Ticket '#]],Registro!$B$8:$B$997,Registro!$S$8:$S$997,"",0)</f>
        <v/>
      </c>
      <c r="I159" s="58" t="str">
        <f t="shared" ca="1" si="4"/>
        <v/>
      </c>
      <c r="J159" s="30" t="str">
        <f ca="1">_xlfn.XLOOKUP(EFAbiertos[[#This Row],[Ticket '#]],Registro!$B$8:$B$997,Registro!$U$8:$U$997,"",0)</f>
        <v/>
      </c>
      <c r="K159" s="30" t="str">
        <f ca="1">_xlfn.XLOOKUP(EFAbiertos[[#This Row],[Ticket '#]],Registro!$B$8:$B$997,Registro!$W$8:$W$997,"",0)</f>
        <v/>
      </c>
      <c r="L159" s="30" t="str">
        <f ca="1">_xlfn.XLOOKUP(EFAbiertos[[#This Row],[Ticket '#]],Registro!$B$8:$B$997,Registro!$X$8:$X$997,"",0)</f>
        <v/>
      </c>
      <c r="M159" s="30" t="str">
        <f ca="1">_xlfn.XLOOKUP(EFAbiertos[[#This Row],[Ticket '#]],Registro!$B$8:$B$997,Registro!$Y$8:$Y$997,"",0)</f>
        <v/>
      </c>
      <c r="N15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0" spans="3:14" ht="28.5" customHeight="1">
      <c r="C160" s="2" t="str">
        <f ca="1">IF(D160="","",HYPERLINK("#"&amp;"Registro!B"&amp;MATCH(D160,Registro!$B$8:$B$997,0)+7,"Ubicar en registro"))</f>
        <v/>
      </c>
      <c r="D160" s="1" t="str">
        <f ca="1">IF(Programación!Q160="","",Programación!Q160)</f>
        <v/>
      </c>
      <c r="E160" s="1" t="str">
        <f ca="1">_xlfn.XLOOKUP(EFAbiertos[[#This Row],[Ticket '#]],Registro!$B$8:$B$997,Registro!$M$8:$M$997,"",0)</f>
        <v/>
      </c>
      <c r="F160" s="86" t="str">
        <f ca="1">_xlfn.XLOOKUP(EFAbiertos[[#This Row],[Ticket '#]],Registro!$B$8:$B$997,Registro!$H$8:$H$997,"",0)</f>
        <v/>
      </c>
      <c r="G160" s="26" t="str">
        <f ca="1">_xlfn.XLOOKUP(EFAbiertos[[#This Row],[Ticket '#]],Registro!$B$8:$B$997,Registro!$M$8:$M$997,"",0)</f>
        <v/>
      </c>
      <c r="H160" s="67" t="str">
        <f ca="1">_xlfn.XLOOKUP(EFAbiertos[[#This Row],[Ticket '#]],Registro!$B$8:$B$997,Registro!$S$8:$S$997,"",0)</f>
        <v/>
      </c>
      <c r="I160" s="58" t="str">
        <f t="shared" ca="1" si="4"/>
        <v/>
      </c>
      <c r="J160" s="30" t="str">
        <f ca="1">_xlfn.XLOOKUP(EFAbiertos[[#This Row],[Ticket '#]],Registro!$B$8:$B$997,Registro!$U$8:$U$997,"",0)</f>
        <v/>
      </c>
      <c r="K160" s="30" t="str">
        <f ca="1">_xlfn.XLOOKUP(EFAbiertos[[#This Row],[Ticket '#]],Registro!$B$8:$B$997,Registro!$W$8:$W$997,"",0)</f>
        <v/>
      </c>
      <c r="L160" s="30" t="str">
        <f ca="1">_xlfn.XLOOKUP(EFAbiertos[[#This Row],[Ticket '#]],Registro!$B$8:$B$997,Registro!$X$8:$X$997,"",0)</f>
        <v/>
      </c>
      <c r="M160" s="30" t="str">
        <f ca="1">_xlfn.XLOOKUP(EFAbiertos[[#This Row],[Ticket '#]],Registro!$B$8:$B$997,Registro!$Y$8:$Y$997,"",0)</f>
        <v/>
      </c>
      <c r="N16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1" spans="3:14" ht="28.5" customHeight="1">
      <c r="C161" s="2" t="str">
        <f ca="1">IF(D161="","",HYPERLINK("#"&amp;"Registro!B"&amp;MATCH(D161,Registro!$B$8:$B$997,0)+7,"Ubicar en registro"))</f>
        <v/>
      </c>
      <c r="D161" s="1" t="str">
        <f ca="1">IF(Programación!Q161="","",Programación!Q161)</f>
        <v/>
      </c>
      <c r="E161" s="1" t="str">
        <f ca="1">_xlfn.XLOOKUP(EFAbiertos[[#This Row],[Ticket '#]],Registro!$B$8:$B$997,Registro!$M$8:$M$997,"",0)</f>
        <v/>
      </c>
      <c r="F161" s="86" t="str">
        <f ca="1">_xlfn.XLOOKUP(EFAbiertos[[#This Row],[Ticket '#]],Registro!$B$8:$B$997,Registro!$H$8:$H$997,"",0)</f>
        <v/>
      </c>
      <c r="G161" s="26" t="str">
        <f ca="1">_xlfn.XLOOKUP(EFAbiertos[[#This Row],[Ticket '#]],Registro!$B$8:$B$997,Registro!$M$8:$M$997,"",0)</f>
        <v/>
      </c>
      <c r="H161" s="67" t="str">
        <f ca="1">_xlfn.XLOOKUP(EFAbiertos[[#This Row],[Ticket '#]],Registro!$B$8:$B$997,Registro!$S$8:$S$997,"",0)</f>
        <v/>
      </c>
      <c r="I161" s="58" t="str">
        <f t="shared" ca="1" si="4"/>
        <v/>
      </c>
      <c r="J161" s="30" t="str">
        <f ca="1">_xlfn.XLOOKUP(EFAbiertos[[#This Row],[Ticket '#]],Registro!$B$8:$B$997,Registro!$U$8:$U$997,"",0)</f>
        <v/>
      </c>
      <c r="K161" s="30" t="str">
        <f ca="1">_xlfn.XLOOKUP(EFAbiertos[[#This Row],[Ticket '#]],Registro!$B$8:$B$997,Registro!$W$8:$W$997,"",0)</f>
        <v/>
      </c>
      <c r="L161" s="30" t="str">
        <f ca="1">_xlfn.XLOOKUP(EFAbiertos[[#This Row],[Ticket '#]],Registro!$B$8:$B$997,Registro!$X$8:$X$997,"",0)</f>
        <v/>
      </c>
      <c r="M161" s="30" t="str">
        <f ca="1">_xlfn.XLOOKUP(EFAbiertos[[#This Row],[Ticket '#]],Registro!$B$8:$B$997,Registro!$Y$8:$Y$997,"",0)</f>
        <v/>
      </c>
      <c r="N16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2" spans="3:14" ht="28.5" customHeight="1">
      <c r="C162" s="2" t="str">
        <f ca="1">IF(D162="","",HYPERLINK("#"&amp;"Registro!B"&amp;MATCH(D162,Registro!$B$8:$B$997,0)+7,"Ubicar en registro"))</f>
        <v/>
      </c>
      <c r="D162" s="1" t="str">
        <f ca="1">IF(Programación!Q162="","",Programación!Q162)</f>
        <v/>
      </c>
      <c r="E162" s="1" t="str">
        <f ca="1">_xlfn.XLOOKUP(EFAbiertos[[#This Row],[Ticket '#]],Registro!$B$8:$B$997,Registro!$M$8:$M$997,"",0)</f>
        <v/>
      </c>
      <c r="F162" s="86" t="str">
        <f ca="1">_xlfn.XLOOKUP(EFAbiertos[[#This Row],[Ticket '#]],Registro!$B$8:$B$997,Registro!$H$8:$H$997,"",0)</f>
        <v/>
      </c>
      <c r="G162" s="26" t="str">
        <f ca="1">_xlfn.XLOOKUP(EFAbiertos[[#This Row],[Ticket '#]],Registro!$B$8:$B$997,Registro!$M$8:$M$997,"",0)</f>
        <v/>
      </c>
      <c r="H162" s="67" t="str">
        <f ca="1">_xlfn.XLOOKUP(EFAbiertos[[#This Row],[Ticket '#]],Registro!$B$8:$B$997,Registro!$S$8:$S$997,"",0)</f>
        <v/>
      </c>
      <c r="I162" s="58" t="str">
        <f t="shared" ca="1" si="4"/>
        <v/>
      </c>
      <c r="J162" s="30" t="str">
        <f ca="1">_xlfn.XLOOKUP(EFAbiertos[[#This Row],[Ticket '#]],Registro!$B$8:$B$997,Registro!$U$8:$U$997,"",0)</f>
        <v/>
      </c>
      <c r="K162" s="30" t="str">
        <f ca="1">_xlfn.XLOOKUP(EFAbiertos[[#This Row],[Ticket '#]],Registro!$B$8:$B$997,Registro!$W$8:$W$997,"",0)</f>
        <v/>
      </c>
      <c r="L162" s="30" t="str">
        <f ca="1">_xlfn.XLOOKUP(EFAbiertos[[#This Row],[Ticket '#]],Registro!$B$8:$B$997,Registro!$X$8:$X$997,"",0)</f>
        <v/>
      </c>
      <c r="M162" s="30" t="str">
        <f ca="1">_xlfn.XLOOKUP(EFAbiertos[[#This Row],[Ticket '#]],Registro!$B$8:$B$997,Registro!$Y$8:$Y$997,"",0)</f>
        <v/>
      </c>
      <c r="N16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3" spans="3:14" ht="28.5" customHeight="1">
      <c r="C163" s="2" t="str">
        <f ca="1">IF(D163="","",HYPERLINK("#"&amp;"Registro!B"&amp;MATCH(D163,Registro!$B$8:$B$997,0)+7,"Ubicar en registro"))</f>
        <v/>
      </c>
      <c r="D163" s="1" t="str">
        <f ca="1">IF(Programación!Q163="","",Programación!Q163)</f>
        <v/>
      </c>
      <c r="E163" s="1" t="str">
        <f ca="1">_xlfn.XLOOKUP(EFAbiertos[[#This Row],[Ticket '#]],Registro!$B$8:$B$997,Registro!$M$8:$M$997,"",0)</f>
        <v/>
      </c>
      <c r="F163" s="86" t="str">
        <f ca="1">_xlfn.XLOOKUP(EFAbiertos[[#This Row],[Ticket '#]],Registro!$B$8:$B$997,Registro!$H$8:$H$997,"",0)</f>
        <v/>
      </c>
      <c r="G163" s="26" t="str">
        <f ca="1">_xlfn.XLOOKUP(EFAbiertos[[#This Row],[Ticket '#]],Registro!$B$8:$B$997,Registro!$M$8:$M$997,"",0)</f>
        <v/>
      </c>
      <c r="H163" s="67" t="str">
        <f ca="1">_xlfn.XLOOKUP(EFAbiertos[[#This Row],[Ticket '#]],Registro!$B$8:$B$997,Registro!$S$8:$S$997,"",0)</f>
        <v/>
      </c>
      <c r="I163" s="58" t="str">
        <f t="shared" ca="1" si="4"/>
        <v/>
      </c>
      <c r="J163" s="30" t="str">
        <f ca="1">_xlfn.XLOOKUP(EFAbiertos[[#This Row],[Ticket '#]],Registro!$B$8:$B$997,Registro!$U$8:$U$997,"",0)</f>
        <v/>
      </c>
      <c r="K163" s="30" t="str">
        <f ca="1">_xlfn.XLOOKUP(EFAbiertos[[#This Row],[Ticket '#]],Registro!$B$8:$B$997,Registro!$W$8:$W$997,"",0)</f>
        <v/>
      </c>
      <c r="L163" s="30" t="str">
        <f ca="1">_xlfn.XLOOKUP(EFAbiertos[[#This Row],[Ticket '#]],Registro!$B$8:$B$997,Registro!$X$8:$X$997,"",0)</f>
        <v/>
      </c>
      <c r="M163" s="30" t="str">
        <f ca="1">_xlfn.XLOOKUP(EFAbiertos[[#This Row],[Ticket '#]],Registro!$B$8:$B$997,Registro!$Y$8:$Y$997,"",0)</f>
        <v/>
      </c>
      <c r="N16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4" spans="3:14" ht="28.5" customHeight="1">
      <c r="C164" s="2" t="str">
        <f ca="1">IF(D164="","",HYPERLINK("#"&amp;"Registro!B"&amp;MATCH(D164,Registro!$B$8:$B$997,0)+7,"Ubicar en registro"))</f>
        <v/>
      </c>
      <c r="D164" s="1" t="str">
        <f ca="1">IF(Programación!Q164="","",Programación!Q164)</f>
        <v/>
      </c>
      <c r="E164" s="1" t="str">
        <f ca="1">_xlfn.XLOOKUP(EFAbiertos[[#This Row],[Ticket '#]],Registro!$B$8:$B$997,Registro!$M$8:$M$997,"",0)</f>
        <v/>
      </c>
      <c r="F164" s="86" t="str">
        <f ca="1">_xlfn.XLOOKUP(EFAbiertos[[#This Row],[Ticket '#]],Registro!$B$8:$B$997,Registro!$H$8:$H$997,"",0)</f>
        <v/>
      </c>
      <c r="G164" s="26" t="str">
        <f ca="1">_xlfn.XLOOKUP(EFAbiertos[[#This Row],[Ticket '#]],Registro!$B$8:$B$997,Registro!$M$8:$M$997,"",0)</f>
        <v/>
      </c>
      <c r="H164" s="67" t="str">
        <f ca="1">_xlfn.XLOOKUP(EFAbiertos[[#This Row],[Ticket '#]],Registro!$B$8:$B$997,Registro!$S$8:$S$997,"",0)</f>
        <v/>
      </c>
      <c r="I164" s="58" t="str">
        <f t="shared" ca="1" si="4"/>
        <v/>
      </c>
      <c r="J164" s="30" t="str">
        <f ca="1">_xlfn.XLOOKUP(EFAbiertos[[#This Row],[Ticket '#]],Registro!$B$8:$B$997,Registro!$U$8:$U$997,"",0)</f>
        <v/>
      </c>
      <c r="K164" s="30" t="str">
        <f ca="1">_xlfn.XLOOKUP(EFAbiertos[[#This Row],[Ticket '#]],Registro!$B$8:$B$997,Registro!$W$8:$W$997,"",0)</f>
        <v/>
      </c>
      <c r="L164" s="30" t="str">
        <f ca="1">_xlfn.XLOOKUP(EFAbiertos[[#This Row],[Ticket '#]],Registro!$B$8:$B$997,Registro!$X$8:$X$997,"",0)</f>
        <v/>
      </c>
      <c r="M164" s="30" t="str">
        <f ca="1">_xlfn.XLOOKUP(EFAbiertos[[#This Row],[Ticket '#]],Registro!$B$8:$B$997,Registro!$Y$8:$Y$997,"",0)</f>
        <v/>
      </c>
      <c r="N16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5" spans="3:14" ht="28.5" customHeight="1">
      <c r="C165" s="2" t="str">
        <f ca="1">IF(D165="","",HYPERLINK("#"&amp;"Registro!B"&amp;MATCH(D165,Registro!$B$8:$B$997,0)+7,"Ubicar en registro"))</f>
        <v/>
      </c>
      <c r="D165" s="1" t="str">
        <f ca="1">IF(Programación!Q165="","",Programación!Q165)</f>
        <v/>
      </c>
      <c r="E165" s="1" t="str">
        <f ca="1">_xlfn.XLOOKUP(EFAbiertos[[#This Row],[Ticket '#]],Registro!$B$8:$B$997,Registro!$M$8:$M$997,"",0)</f>
        <v/>
      </c>
      <c r="F165" s="86" t="str">
        <f ca="1">_xlfn.XLOOKUP(EFAbiertos[[#This Row],[Ticket '#]],Registro!$B$8:$B$997,Registro!$H$8:$H$997,"",0)</f>
        <v/>
      </c>
      <c r="G165" s="26" t="str">
        <f ca="1">_xlfn.XLOOKUP(EFAbiertos[[#This Row],[Ticket '#]],Registro!$B$8:$B$997,Registro!$M$8:$M$997,"",0)</f>
        <v/>
      </c>
      <c r="H165" s="67" t="str">
        <f ca="1">_xlfn.XLOOKUP(EFAbiertos[[#This Row],[Ticket '#]],Registro!$B$8:$B$997,Registro!$S$8:$S$997,"",0)</f>
        <v/>
      </c>
      <c r="I165" s="58" t="str">
        <f t="shared" ca="1" si="4"/>
        <v/>
      </c>
      <c r="J165" s="30" t="str">
        <f ca="1">_xlfn.XLOOKUP(EFAbiertos[[#This Row],[Ticket '#]],Registro!$B$8:$B$997,Registro!$U$8:$U$997,"",0)</f>
        <v/>
      </c>
      <c r="K165" s="30" t="str">
        <f ca="1">_xlfn.XLOOKUP(EFAbiertos[[#This Row],[Ticket '#]],Registro!$B$8:$B$997,Registro!$W$8:$W$997,"",0)</f>
        <v/>
      </c>
      <c r="L165" s="30" t="str">
        <f ca="1">_xlfn.XLOOKUP(EFAbiertos[[#This Row],[Ticket '#]],Registro!$B$8:$B$997,Registro!$X$8:$X$997,"",0)</f>
        <v/>
      </c>
      <c r="M165" s="30" t="str">
        <f ca="1">_xlfn.XLOOKUP(EFAbiertos[[#This Row],[Ticket '#]],Registro!$B$8:$B$997,Registro!$Y$8:$Y$997,"",0)</f>
        <v/>
      </c>
      <c r="N16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6" spans="3:14" ht="28.5" customHeight="1">
      <c r="C166" s="2" t="str">
        <f ca="1">IF(D166="","",HYPERLINK("#"&amp;"Registro!B"&amp;MATCH(D166,Registro!$B$8:$B$997,0)+7,"Ubicar en registro"))</f>
        <v/>
      </c>
      <c r="D166" s="1" t="str">
        <f ca="1">IF(Programación!Q166="","",Programación!Q166)</f>
        <v/>
      </c>
      <c r="E166" s="1" t="str">
        <f ca="1">_xlfn.XLOOKUP(EFAbiertos[[#This Row],[Ticket '#]],Registro!$B$8:$B$997,Registro!$M$8:$M$997,"",0)</f>
        <v/>
      </c>
      <c r="F166" s="86" t="str">
        <f ca="1">_xlfn.XLOOKUP(EFAbiertos[[#This Row],[Ticket '#]],Registro!$B$8:$B$997,Registro!$H$8:$H$997,"",0)</f>
        <v/>
      </c>
      <c r="G166" s="26" t="str">
        <f ca="1">_xlfn.XLOOKUP(EFAbiertos[[#This Row],[Ticket '#]],Registro!$B$8:$B$997,Registro!$M$8:$M$997,"",0)</f>
        <v/>
      </c>
      <c r="H166" s="67" t="str">
        <f ca="1">_xlfn.XLOOKUP(EFAbiertos[[#This Row],[Ticket '#]],Registro!$B$8:$B$997,Registro!$S$8:$S$997,"",0)</f>
        <v/>
      </c>
      <c r="I166" s="58" t="str">
        <f t="shared" ca="1" si="4"/>
        <v/>
      </c>
      <c r="J166" s="30" t="str">
        <f ca="1">_xlfn.XLOOKUP(EFAbiertos[[#This Row],[Ticket '#]],Registro!$B$8:$B$997,Registro!$U$8:$U$997,"",0)</f>
        <v/>
      </c>
      <c r="K166" s="30" t="str">
        <f ca="1">_xlfn.XLOOKUP(EFAbiertos[[#This Row],[Ticket '#]],Registro!$B$8:$B$997,Registro!$W$8:$W$997,"",0)</f>
        <v/>
      </c>
      <c r="L166" s="30" t="str">
        <f ca="1">_xlfn.XLOOKUP(EFAbiertos[[#This Row],[Ticket '#]],Registro!$B$8:$B$997,Registro!$X$8:$X$997,"",0)</f>
        <v/>
      </c>
      <c r="M166" s="30" t="str">
        <f ca="1">_xlfn.XLOOKUP(EFAbiertos[[#This Row],[Ticket '#]],Registro!$B$8:$B$997,Registro!$Y$8:$Y$997,"",0)</f>
        <v/>
      </c>
      <c r="N16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7" spans="3:14" ht="28.5" customHeight="1">
      <c r="C167" s="2" t="str">
        <f ca="1">IF(D167="","",HYPERLINK("#"&amp;"Registro!B"&amp;MATCH(D167,Registro!$B$8:$B$997,0)+7,"Ubicar en registro"))</f>
        <v/>
      </c>
      <c r="D167" s="1" t="str">
        <f ca="1">IF(Programación!Q167="","",Programación!Q167)</f>
        <v/>
      </c>
      <c r="E167" s="1" t="str">
        <f ca="1">_xlfn.XLOOKUP(EFAbiertos[[#This Row],[Ticket '#]],Registro!$B$8:$B$997,Registro!$M$8:$M$997,"",0)</f>
        <v/>
      </c>
      <c r="F167" s="86" t="str">
        <f ca="1">_xlfn.XLOOKUP(EFAbiertos[[#This Row],[Ticket '#]],Registro!$B$8:$B$997,Registro!$H$8:$H$997,"",0)</f>
        <v/>
      </c>
      <c r="G167" s="26" t="str">
        <f ca="1">_xlfn.XLOOKUP(EFAbiertos[[#This Row],[Ticket '#]],Registro!$B$8:$B$997,Registro!$M$8:$M$997,"",0)</f>
        <v/>
      </c>
      <c r="H167" s="67" t="str">
        <f ca="1">_xlfn.XLOOKUP(EFAbiertos[[#This Row],[Ticket '#]],Registro!$B$8:$B$997,Registro!$S$8:$S$997,"",0)</f>
        <v/>
      </c>
      <c r="I167" s="58" t="str">
        <f t="shared" ca="1" si="4"/>
        <v/>
      </c>
      <c r="J167" s="30" t="str">
        <f ca="1">_xlfn.XLOOKUP(EFAbiertos[[#This Row],[Ticket '#]],Registro!$B$8:$B$997,Registro!$U$8:$U$997,"",0)</f>
        <v/>
      </c>
      <c r="K167" s="30" t="str">
        <f ca="1">_xlfn.XLOOKUP(EFAbiertos[[#This Row],[Ticket '#]],Registro!$B$8:$B$997,Registro!$W$8:$W$997,"",0)</f>
        <v/>
      </c>
      <c r="L167" s="30" t="str">
        <f ca="1">_xlfn.XLOOKUP(EFAbiertos[[#This Row],[Ticket '#]],Registro!$B$8:$B$997,Registro!$X$8:$X$997,"",0)</f>
        <v/>
      </c>
      <c r="M167" s="30" t="str">
        <f ca="1">_xlfn.XLOOKUP(EFAbiertos[[#This Row],[Ticket '#]],Registro!$B$8:$B$997,Registro!$Y$8:$Y$997,"",0)</f>
        <v/>
      </c>
      <c r="N16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8" spans="3:14" ht="28.5" customHeight="1">
      <c r="C168" s="2" t="str">
        <f ca="1">IF(D168="","",HYPERLINK("#"&amp;"Registro!B"&amp;MATCH(D168,Registro!$B$8:$B$997,0)+7,"Ubicar en registro"))</f>
        <v/>
      </c>
      <c r="D168" s="1" t="str">
        <f ca="1">IF(Programación!Q168="","",Programación!Q168)</f>
        <v/>
      </c>
      <c r="E168" s="1" t="str">
        <f ca="1">_xlfn.XLOOKUP(EFAbiertos[[#This Row],[Ticket '#]],Registro!$B$8:$B$997,Registro!$M$8:$M$997,"",0)</f>
        <v/>
      </c>
      <c r="F168" s="86" t="str">
        <f ca="1">_xlfn.XLOOKUP(EFAbiertos[[#This Row],[Ticket '#]],Registro!$B$8:$B$997,Registro!$H$8:$H$997,"",0)</f>
        <v/>
      </c>
      <c r="G168" s="26" t="str">
        <f ca="1">_xlfn.XLOOKUP(EFAbiertos[[#This Row],[Ticket '#]],Registro!$B$8:$B$997,Registro!$M$8:$M$997,"",0)</f>
        <v/>
      </c>
      <c r="H168" s="67" t="str">
        <f ca="1">_xlfn.XLOOKUP(EFAbiertos[[#This Row],[Ticket '#]],Registro!$B$8:$B$997,Registro!$S$8:$S$997,"",0)</f>
        <v/>
      </c>
      <c r="I168" s="58" t="str">
        <f t="shared" ca="1" si="4"/>
        <v/>
      </c>
      <c r="J168" s="30" t="str">
        <f ca="1">_xlfn.XLOOKUP(EFAbiertos[[#This Row],[Ticket '#]],Registro!$B$8:$B$997,Registro!$U$8:$U$997,"",0)</f>
        <v/>
      </c>
      <c r="K168" s="30" t="str">
        <f ca="1">_xlfn.XLOOKUP(EFAbiertos[[#This Row],[Ticket '#]],Registro!$B$8:$B$997,Registro!$W$8:$W$997,"",0)</f>
        <v/>
      </c>
      <c r="L168" s="30" t="str">
        <f ca="1">_xlfn.XLOOKUP(EFAbiertos[[#This Row],[Ticket '#]],Registro!$B$8:$B$997,Registro!$X$8:$X$997,"",0)</f>
        <v/>
      </c>
      <c r="M168" s="30" t="str">
        <f ca="1">_xlfn.XLOOKUP(EFAbiertos[[#This Row],[Ticket '#]],Registro!$B$8:$B$997,Registro!$Y$8:$Y$997,"",0)</f>
        <v/>
      </c>
      <c r="N16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69" spans="3:14" ht="28.5" customHeight="1">
      <c r="C169" s="2" t="str">
        <f ca="1">IF(D169="","",HYPERLINK("#"&amp;"Registro!B"&amp;MATCH(D169,Registro!$B$8:$B$997,0)+7,"Ubicar en registro"))</f>
        <v/>
      </c>
      <c r="D169" s="1" t="str">
        <f ca="1">IF(Programación!Q169="","",Programación!Q169)</f>
        <v/>
      </c>
      <c r="E169" s="1" t="str">
        <f ca="1">_xlfn.XLOOKUP(EFAbiertos[[#This Row],[Ticket '#]],Registro!$B$8:$B$997,Registro!$M$8:$M$997,"",0)</f>
        <v/>
      </c>
      <c r="F169" s="86" t="str">
        <f ca="1">_xlfn.XLOOKUP(EFAbiertos[[#This Row],[Ticket '#]],Registro!$B$8:$B$997,Registro!$H$8:$H$997,"",0)</f>
        <v/>
      </c>
      <c r="G169" s="26" t="str">
        <f ca="1">_xlfn.XLOOKUP(EFAbiertos[[#This Row],[Ticket '#]],Registro!$B$8:$B$997,Registro!$M$8:$M$997,"",0)</f>
        <v/>
      </c>
      <c r="H169" s="67" t="str">
        <f ca="1">_xlfn.XLOOKUP(EFAbiertos[[#This Row],[Ticket '#]],Registro!$B$8:$B$997,Registro!$S$8:$S$997,"",0)</f>
        <v/>
      </c>
      <c r="I169" s="58" t="str">
        <f t="shared" ref="I169:I200" ca="1" si="5">IF(J169="","",IF(J169=K169,1,0))</f>
        <v/>
      </c>
      <c r="J169" s="30" t="str">
        <f ca="1">_xlfn.XLOOKUP(EFAbiertos[[#This Row],[Ticket '#]],Registro!$B$8:$B$997,Registro!$U$8:$U$997,"",0)</f>
        <v/>
      </c>
      <c r="K169" s="30" t="str">
        <f ca="1">_xlfn.XLOOKUP(EFAbiertos[[#This Row],[Ticket '#]],Registro!$B$8:$B$997,Registro!$W$8:$W$997,"",0)</f>
        <v/>
      </c>
      <c r="L169" s="30" t="str">
        <f ca="1">_xlfn.XLOOKUP(EFAbiertos[[#This Row],[Ticket '#]],Registro!$B$8:$B$997,Registro!$X$8:$X$997,"",0)</f>
        <v/>
      </c>
      <c r="M169" s="30" t="str">
        <f ca="1">_xlfn.XLOOKUP(EFAbiertos[[#This Row],[Ticket '#]],Registro!$B$8:$B$997,Registro!$Y$8:$Y$997,"",0)</f>
        <v/>
      </c>
      <c r="N16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0" spans="3:14" ht="28.5" customHeight="1">
      <c r="C170" s="2" t="str">
        <f ca="1">IF(D170="","",HYPERLINK("#"&amp;"Registro!B"&amp;MATCH(D170,Registro!$B$8:$B$997,0)+7,"Ubicar en registro"))</f>
        <v/>
      </c>
      <c r="D170" s="1" t="str">
        <f ca="1">IF(Programación!Q170="","",Programación!Q170)</f>
        <v/>
      </c>
      <c r="E170" s="1" t="str">
        <f ca="1">_xlfn.XLOOKUP(EFAbiertos[[#This Row],[Ticket '#]],Registro!$B$8:$B$997,Registro!$M$8:$M$997,"",0)</f>
        <v/>
      </c>
      <c r="F170" s="86" t="str">
        <f ca="1">_xlfn.XLOOKUP(EFAbiertos[[#This Row],[Ticket '#]],Registro!$B$8:$B$997,Registro!$H$8:$H$997,"",0)</f>
        <v/>
      </c>
      <c r="G170" s="26" t="str">
        <f ca="1">_xlfn.XLOOKUP(EFAbiertos[[#This Row],[Ticket '#]],Registro!$B$8:$B$997,Registro!$M$8:$M$997,"",0)</f>
        <v/>
      </c>
      <c r="H170" s="67" t="str">
        <f ca="1">_xlfn.XLOOKUP(EFAbiertos[[#This Row],[Ticket '#]],Registro!$B$8:$B$997,Registro!$S$8:$S$997,"",0)</f>
        <v/>
      </c>
      <c r="I170" s="58" t="str">
        <f t="shared" ca="1" si="5"/>
        <v/>
      </c>
      <c r="J170" s="30" t="str">
        <f ca="1">_xlfn.XLOOKUP(EFAbiertos[[#This Row],[Ticket '#]],Registro!$B$8:$B$997,Registro!$U$8:$U$997,"",0)</f>
        <v/>
      </c>
      <c r="K170" s="30" t="str">
        <f ca="1">_xlfn.XLOOKUP(EFAbiertos[[#This Row],[Ticket '#]],Registro!$B$8:$B$997,Registro!$W$8:$W$997,"",0)</f>
        <v/>
      </c>
      <c r="L170" s="30" t="str">
        <f ca="1">_xlfn.XLOOKUP(EFAbiertos[[#This Row],[Ticket '#]],Registro!$B$8:$B$997,Registro!$X$8:$X$997,"",0)</f>
        <v/>
      </c>
      <c r="M170" s="30" t="str">
        <f ca="1">_xlfn.XLOOKUP(EFAbiertos[[#This Row],[Ticket '#]],Registro!$B$8:$B$997,Registro!$Y$8:$Y$997,"",0)</f>
        <v/>
      </c>
      <c r="N17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1" spans="3:14" ht="28.5" customHeight="1">
      <c r="C171" s="2" t="str">
        <f ca="1">IF(D171="","",HYPERLINK("#"&amp;"Registro!B"&amp;MATCH(D171,Registro!$B$8:$B$997,0)+7,"Ubicar en registro"))</f>
        <v/>
      </c>
      <c r="D171" s="1" t="str">
        <f ca="1">IF(Programación!Q171="","",Programación!Q171)</f>
        <v/>
      </c>
      <c r="E171" s="1" t="str">
        <f ca="1">_xlfn.XLOOKUP(EFAbiertos[[#This Row],[Ticket '#]],Registro!$B$8:$B$997,Registro!$M$8:$M$997,"",0)</f>
        <v/>
      </c>
      <c r="F171" s="86" t="str">
        <f ca="1">_xlfn.XLOOKUP(EFAbiertos[[#This Row],[Ticket '#]],Registro!$B$8:$B$997,Registro!$H$8:$H$997,"",0)</f>
        <v/>
      </c>
      <c r="G171" s="26" t="str">
        <f ca="1">_xlfn.XLOOKUP(EFAbiertos[[#This Row],[Ticket '#]],Registro!$B$8:$B$997,Registro!$M$8:$M$997,"",0)</f>
        <v/>
      </c>
      <c r="H171" s="67" t="str">
        <f ca="1">_xlfn.XLOOKUP(EFAbiertos[[#This Row],[Ticket '#]],Registro!$B$8:$B$997,Registro!$S$8:$S$997,"",0)</f>
        <v/>
      </c>
      <c r="I171" s="58" t="str">
        <f t="shared" ca="1" si="5"/>
        <v/>
      </c>
      <c r="J171" s="30" t="str">
        <f ca="1">_xlfn.XLOOKUP(EFAbiertos[[#This Row],[Ticket '#]],Registro!$B$8:$B$997,Registro!$U$8:$U$997,"",0)</f>
        <v/>
      </c>
      <c r="K171" s="30" t="str">
        <f ca="1">_xlfn.XLOOKUP(EFAbiertos[[#This Row],[Ticket '#]],Registro!$B$8:$B$997,Registro!$W$8:$W$997,"",0)</f>
        <v/>
      </c>
      <c r="L171" s="30" t="str">
        <f ca="1">_xlfn.XLOOKUP(EFAbiertos[[#This Row],[Ticket '#]],Registro!$B$8:$B$997,Registro!$X$8:$X$997,"",0)</f>
        <v/>
      </c>
      <c r="M171" s="30" t="str">
        <f ca="1">_xlfn.XLOOKUP(EFAbiertos[[#This Row],[Ticket '#]],Registro!$B$8:$B$997,Registro!$Y$8:$Y$997,"",0)</f>
        <v/>
      </c>
      <c r="N17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2" spans="3:14" ht="28.5" customHeight="1">
      <c r="C172" s="2" t="str">
        <f ca="1">IF(D172="","",HYPERLINK("#"&amp;"Registro!B"&amp;MATCH(D172,Registro!$B$8:$B$997,0)+7,"Ubicar en registro"))</f>
        <v/>
      </c>
      <c r="D172" s="1" t="str">
        <f ca="1">IF(Programación!Q172="","",Programación!Q172)</f>
        <v/>
      </c>
      <c r="E172" s="1" t="str">
        <f ca="1">_xlfn.XLOOKUP(EFAbiertos[[#This Row],[Ticket '#]],Registro!$B$8:$B$997,Registro!$M$8:$M$997,"",0)</f>
        <v/>
      </c>
      <c r="F172" s="86" t="str">
        <f ca="1">_xlfn.XLOOKUP(EFAbiertos[[#This Row],[Ticket '#]],Registro!$B$8:$B$997,Registro!$H$8:$H$997,"",0)</f>
        <v/>
      </c>
      <c r="G172" s="26" t="str">
        <f ca="1">_xlfn.XLOOKUP(EFAbiertos[[#This Row],[Ticket '#]],Registro!$B$8:$B$997,Registro!$M$8:$M$997,"",0)</f>
        <v/>
      </c>
      <c r="H172" s="67" t="str">
        <f ca="1">_xlfn.XLOOKUP(EFAbiertos[[#This Row],[Ticket '#]],Registro!$B$8:$B$997,Registro!$S$8:$S$997,"",0)</f>
        <v/>
      </c>
      <c r="I172" s="58" t="str">
        <f t="shared" ca="1" si="5"/>
        <v/>
      </c>
      <c r="J172" s="30" t="str">
        <f ca="1">_xlfn.XLOOKUP(EFAbiertos[[#This Row],[Ticket '#]],Registro!$B$8:$B$997,Registro!$U$8:$U$997,"",0)</f>
        <v/>
      </c>
      <c r="K172" s="30" t="str">
        <f ca="1">_xlfn.XLOOKUP(EFAbiertos[[#This Row],[Ticket '#]],Registro!$B$8:$B$997,Registro!$W$8:$W$997,"",0)</f>
        <v/>
      </c>
      <c r="L172" s="30" t="str">
        <f ca="1">_xlfn.XLOOKUP(EFAbiertos[[#This Row],[Ticket '#]],Registro!$B$8:$B$997,Registro!$X$8:$X$997,"",0)</f>
        <v/>
      </c>
      <c r="M172" s="30" t="str">
        <f ca="1">_xlfn.XLOOKUP(EFAbiertos[[#This Row],[Ticket '#]],Registro!$B$8:$B$997,Registro!$Y$8:$Y$997,"",0)</f>
        <v/>
      </c>
      <c r="N17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3" spans="3:14" ht="28.5" customHeight="1">
      <c r="C173" s="2" t="str">
        <f ca="1">IF(D173="","",HYPERLINK("#"&amp;"Registro!B"&amp;MATCH(D173,Registro!$B$8:$B$997,0)+7,"Ubicar en registro"))</f>
        <v/>
      </c>
      <c r="D173" s="1" t="str">
        <f ca="1">IF(Programación!Q173="","",Programación!Q173)</f>
        <v/>
      </c>
      <c r="E173" s="1" t="str">
        <f ca="1">_xlfn.XLOOKUP(EFAbiertos[[#This Row],[Ticket '#]],Registro!$B$8:$B$997,Registro!$M$8:$M$997,"",0)</f>
        <v/>
      </c>
      <c r="F173" s="86" t="str">
        <f ca="1">_xlfn.XLOOKUP(EFAbiertos[[#This Row],[Ticket '#]],Registro!$B$8:$B$997,Registro!$H$8:$H$997,"",0)</f>
        <v/>
      </c>
      <c r="G173" s="26" t="str">
        <f ca="1">_xlfn.XLOOKUP(EFAbiertos[[#This Row],[Ticket '#]],Registro!$B$8:$B$997,Registro!$M$8:$M$997,"",0)</f>
        <v/>
      </c>
      <c r="H173" s="67" t="str">
        <f ca="1">_xlfn.XLOOKUP(EFAbiertos[[#This Row],[Ticket '#]],Registro!$B$8:$B$997,Registro!$S$8:$S$997,"",0)</f>
        <v/>
      </c>
      <c r="I173" s="58" t="str">
        <f t="shared" ca="1" si="5"/>
        <v/>
      </c>
      <c r="J173" s="30" t="str">
        <f ca="1">_xlfn.XLOOKUP(EFAbiertos[[#This Row],[Ticket '#]],Registro!$B$8:$B$997,Registro!$U$8:$U$997,"",0)</f>
        <v/>
      </c>
      <c r="K173" s="30" t="str">
        <f ca="1">_xlfn.XLOOKUP(EFAbiertos[[#This Row],[Ticket '#]],Registro!$B$8:$B$997,Registro!$W$8:$W$997,"",0)</f>
        <v/>
      </c>
      <c r="L173" s="30" t="str">
        <f ca="1">_xlfn.XLOOKUP(EFAbiertos[[#This Row],[Ticket '#]],Registro!$B$8:$B$997,Registro!$X$8:$X$997,"",0)</f>
        <v/>
      </c>
      <c r="M173" s="30" t="str">
        <f ca="1">_xlfn.XLOOKUP(EFAbiertos[[#This Row],[Ticket '#]],Registro!$B$8:$B$997,Registro!$Y$8:$Y$997,"",0)</f>
        <v/>
      </c>
      <c r="N17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4" spans="3:14" ht="28.5" customHeight="1">
      <c r="C174" s="2" t="str">
        <f ca="1">IF(D174="","",HYPERLINK("#"&amp;"Registro!B"&amp;MATCH(D174,Registro!$B$8:$B$997,0)+7,"Ubicar en registro"))</f>
        <v/>
      </c>
      <c r="D174" s="1" t="str">
        <f ca="1">IF(Programación!Q174="","",Programación!Q174)</f>
        <v/>
      </c>
      <c r="E174" s="1" t="str">
        <f ca="1">_xlfn.XLOOKUP(EFAbiertos[[#This Row],[Ticket '#]],Registro!$B$8:$B$997,Registro!$M$8:$M$997,"",0)</f>
        <v/>
      </c>
      <c r="F174" s="86" t="str">
        <f ca="1">_xlfn.XLOOKUP(EFAbiertos[[#This Row],[Ticket '#]],Registro!$B$8:$B$997,Registro!$H$8:$H$997,"",0)</f>
        <v/>
      </c>
      <c r="G174" s="26" t="str">
        <f ca="1">_xlfn.XLOOKUP(EFAbiertos[[#This Row],[Ticket '#]],Registro!$B$8:$B$997,Registro!$M$8:$M$997,"",0)</f>
        <v/>
      </c>
      <c r="H174" s="67" t="str">
        <f ca="1">_xlfn.XLOOKUP(EFAbiertos[[#This Row],[Ticket '#]],Registro!$B$8:$B$997,Registro!$S$8:$S$997,"",0)</f>
        <v/>
      </c>
      <c r="I174" s="58" t="str">
        <f t="shared" ca="1" si="5"/>
        <v/>
      </c>
      <c r="J174" s="30" t="str">
        <f ca="1">_xlfn.XLOOKUP(EFAbiertos[[#This Row],[Ticket '#]],Registro!$B$8:$B$997,Registro!$U$8:$U$997,"",0)</f>
        <v/>
      </c>
      <c r="K174" s="30" t="str">
        <f ca="1">_xlfn.XLOOKUP(EFAbiertos[[#This Row],[Ticket '#]],Registro!$B$8:$B$997,Registro!$W$8:$W$997,"",0)</f>
        <v/>
      </c>
      <c r="L174" s="30" t="str">
        <f ca="1">_xlfn.XLOOKUP(EFAbiertos[[#This Row],[Ticket '#]],Registro!$B$8:$B$997,Registro!$X$8:$X$997,"",0)</f>
        <v/>
      </c>
      <c r="M174" s="30" t="str">
        <f ca="1">_xlfn.XLOOKUP(EFAbiertos[[#This Row],[Ticket '#]],Registro!$B$8:$B$997,Registro!$Y$8:$Y$997,"",0)</f>
        <v/>
      </c>
      <c r="N17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5" spans="3:14" ht="28.5" customHeight="1">
      <c r="C175" s="2" t="str">
        <f ca="1">IF(D175="","",HYPERLINK("#"&amp;"Registro!B"&amp;MATCH(D175,Registro!$B$8:$B$997,0)+7,"Ubicar en registro"))</f>
        <v/>
      </c>
      <c r="D175" s="1" t="str">
        <f ca="1">IF(Programación!Q175="","",Programación!Q175)</f>
        <v/>
      </c>
      <c r="E175" s="1" t="str">
        <f ca="1">_xlfn.XLOOKUP(EFAbiertos[[#This Row],[Ticket '#]],Registro!$B$8:$B$997,Registro!$M$8:$M$997,"",0)</f>
        <v/>
      </c>
      <c r="F175" s="86" t="str">
        <f ca="1">_xlfn.XLOOKUP(EFAbiertos[[#This Row],[Ticket '#]],Registro!$B$8:$B$997,Registro!$H$8:$H$997,"",0)</f>
        <v/>
      </c>
      <c r="G175" s="26" t="str">
        <f ca="1">_xlfn.XLOOKUP(EFAbiertos[[#This Row],[Ticket '#]],Registro!$B$8:$B$997,Registro!$M$8:$M$997,"",0)</f>
        <v/>
      </c>
      <c r="H175" s="67" t="str">
        <f ca="1">_xlfn.XLOOKUP(EFAbiertos[[#This Row],[Ticket '#]],Registro!$B$8:$B$997,Registro!$S$8:$S$997,"",0)</f>
        <v/>
      </c>
      <c r="I175" s="58" t="str">
        <f t="shared" ca="1" si="5"/>
        <v/>
      </c>
      <c r="J175" s="30" t="str">
        <f ca="1">_xlfn.XLOOKUP(EFAbiertos[[#This Row],[Ticket '#]],Registro!$B$8:$B$997,Registro!$U$8:$U$997,"",0)</f>
        <v/>
      </c>
      <c r="K175" s="30" t="str">
        <f ca="1">_xlfn.XLOOKUP(EFAbiertos[[#This Row],[Ticket '#]],Registro!$B$8:$B$997,Registro!$W$8:$W$997,"",0)</f>
        <v/>
      </c>
      <c r="L175" s="30" t="str">
        <f ca="1">_xlfn.XLOOKUP(EFAbiertos[[#This Row],[Ticket '#]],Registro!$B$8:$B$997,Registro!$X$8:$X$997,"",0)</f>
        <v/>
      </c>
      <c r="M175" s="30" t="str">
        <f ca="1">_xlfn.XLOOKUP(EFAbiertos[[#This Row],[Ticket '#]],Registro!$B$8:$B$997,Registro!$Y$8:$Y$997,"",0)</f>
        <v/>
      </c>
      <c r="N17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6" spans="3:14" ht="28.5" customHeight="1">
      <c r="C176" s="2" t="str">
        <f ca="1">IF(D176="","",HYPERLINK("#"&amp;"Registro!B"&amp;MATCH(D176,Registro!$B$8:$B$997,0)+7,"Ubicar en registro"))</f>
        <v/>
      </c>
      <c r="D176" s="1" t="str">
        <f ca="1">IF(Programación!Q176="","",Programación!Q176)</f>
        <v/>
      </c>
      <c r="E176" s="1" t="str">
        <f ca="1">_xlfn.XLOOKUP(EFAbiertos[[#This Row],[Ticket '#]],Registro!$B$8:$B$997,Registro!$M$8:$M$997,"",0)</f>
        <v/>
      </c>
      <c r="F176" s="86" t="str">
        <f ca="1">_xlfn.XLOOKUP(EFAbiertos[[#This Row],[Ticket '#]],Registro!$B$8:$B$997,Registro!$H$8:$H$997,"",0)</f>
        <v/>
      </c>
      <c r="G176" s="26" t="str">
        <f ca="1">_xlfn.XLOOKUP(EFAbiertos[[#This Row],[Ticket '#]],Registro!$B$8:$B$997,Registro!$M$8:$M$997,"",0)</f>
        <v/>
      </c>
      <c r="H176" s="67" t="str">
        <f ca="1">_xlfn.XLOOKUP(EFAbiertos[[#This Row],[Ticket '#]],Registro!$B$8:$B$997,Registro!$S$8:$S$997,"",0)</f>
        <v/>
      </c>
      <c r="I176" s="58" t="str">
        <f t="shared" ca="1" si="5"/>
        <v/>
      </c>
      <c r="J176" s="30" t="str">
        <f ca="1">_xlfn.XLOOKUP(EFAbiertos[[#This Row],[Ticket '#]],Registro!$B$8:$B$997,Registro!$U$8:$U$997,"",0)</f>
        <v/>
      </c>
      <c r="K176" s="30" t="str">
        <f ca="1">_xlfn.XLOOKUP(EFAbiertos[[#This Row],[Ticket '#]],Registro!$B$8:$B$997,Registro!$W$8:$W$997,"",0)</f>
        <v/>
      </c>
      <c r="L176" s="30" t="str">
        <f ca="1">_xlfn.XLOOKUP(EFAbiertos[[#This Row],[Ticket '#]],Registro!$B$8:$B$997,Registro!$X$8:$X$997,"",0)</f>
        <v/>
      </c>
      <c r="M176" s="30" t="str">
        <f ca="1">_xlfn.XLOOKUP(EFAbiertos[[#This Row],[Ticket '#]],Registro!$B$8:$B$997,Registro!$Y$8:$Y$997,"",0)</f>
        <v/>
      </c>
      <c r="N17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7" spans="3:14" ht="28.5" customHeight="1">
      <c r="C177" s="2" t="str">
        <f ca="1">IF(D177="","",HYPERLINK("#"&amp;"Registro!B"&amp;MATCH(D177,Registro!$B$8:$B$997,0)+7,"Ubicar en registro"))</f>
        <v/>
      </c>
      <c r="D177" s="1" t="str">
        <f ca="1">IF(Programación!Q177="","",Programación!Q177)</f>
        <v/>
      </c>
      <c r="E177" s="1" t="str">
        <f ca="1">_xlfn.XLOOKUP(EFAbiertos[[#This Row],[Ticket '#]],Registro!$B$8:$B$997,Registro!$M$8:$M$997,"",0)</f>
        <v/>
      </c>
      <c r="F177" s="86" t="str">
        <f ca="1">_xlfn.XLOOKUP(EFAbiertos[[#This Row],[Ticket '#]],Registro!$B$8:$B$997,Registro!$H$8:$H$997,"",0)</f>
        <v/>
      </c>
      <c r="G177" s="26" t="str">
        <f ca="1">_xlfn.XLOOKUP(EFAbiertos[[#This Row],[Ticket '#]],Registro!$B$8:$B$997,Registro!$M$8:$M$997,"",0)</f>
        <v/>
      </c>
      <c r="H177" s="67" t="str">
        <f ca="1">_xlfn.XLOOKUP(EFAbiertos[[#This Row],[Ticket '#]],Registro!$B$8:$B$997,Registro!$S$8:$S$997,"",0)</f>
        <v/>
      </c>
      <c r="I177" s="58" t="str">
        <f t="shared" ca="1" si="5"/>
        <v/>
      </c>
      <c r="J177" s="30" t="str">
        <f ca="1">_xlfn.XLOOKUP(EFAbiertos[[#This Row],[Ticket '#]],Registro!$B$8:$B$997,Registro!$U$8:$U$997,"",0)</f>
        <v/>
      </c>
      <c r="K177" s="30" t="str">
        <f ca="1">_xlfn.XLOOKUP(EFAbiertos[[#This Row],[Ticket '#]],Registro!$B$8:$B$997,Registro!$W$8:$W$997,"",0)</f>
        <v/>
      </c>
      <c r="L177" s="30" t="str">
        <f ca="1">_xlfn.XLOOKUP(EFAbiertos[[#This Row],[Ticket '#]],Registro!$B$8:$B$997,Registro!$X$8:$X$997,"",0)</f>
        <v/>
      </c>
      <c r="M177" s="30" t="str">
        <f ca="1">_xlfn.XLOOKUP(EFAbiertos[[#This Row],[Ticket '#]],Registro!$B$8:$B$997,Registro!$Y$8:$Y$997,"",0)</f>
        <v/>
      </c>
      <c r="N17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8" spans="3:14" ht="28.5" customHeight="1">
      <c r="C178" s="2" t="str">
        <f ca="1">IF(D178="","",HYPERLINK("#"&amp;"Registro!B"&amp;MATCH(D178,Registro!$B$8:$B$997,0)+7,"Ubicar en registro"))</f>
        <v/>
      </c>
      <c r="D178" s="1" t="str">
        <f ca="1">IF(Programación!Q178="","",Programación!Q178)</f>
        <v/>
      </c>
      <c r="E178" s="1" t="str">
        <f ca="1">_xlfn.XLOOKUP(EFAbiertos[[#This Row],[Ticket '#]],Registro!$B$8:$B$997,Registro!$M$8:$M$997,"",0)</f>
        <v/>
      </c>
      <c r="F178" s="86" t="str">
        <f ca="1">_xlfn.XLOOKUP(EFAbiertos[[#This Row],[Ticket '#]],Registro!$B$8:$B$997,Registro!$H$8:$H$997,"",0)</f>
        <v/>
      </c>
      <c r="G178" s="26" t="str">
        <f ca="1">_xlfn.XLOOKUP(EFAbiertos[[#This Row],[Ticket '#]],Registro!$B$8:$B$997,Registro!$M$8:$M$997,"",0)</f>
        <v/>
      </c>
      <c r="H178" s="67" t="str">
        <f ca="1">_xlfn.XLOOKUP(EFAbiertos[[#This Row],[Ticket '#]],Registro!$B$8:$B$997,Registro!$S$8:$S$997,"",0)</f>
        <v/>
      </c>
      <c r="I178" s="58" t="str">
        <f t="shared" ca="1" si="5"/>
        <v/>
      </c>
      <c r="J178" s="30" t="str">
        <f ca="1">_xlfn.XLOOKUP(EFAbiertos[[#This Row],[Ticket '#]],Registro!$B$8:$B$997,Registro!$U$8:$U$997,"",0)</f>
        <v/>
      </c>
      <c r="K178" s="30" t="str">
        <f ca="1">_xlfn.XLOOKUP(EFAbiertos[[#This Row],[Ticket '#]],Registro!$B$8:$B$997,Registro!$W$8:$W$997,"",0)</f>
        <v/>
      </c>
      <c r="L178" s="30" t="str">
        <f ca="1">_xlfn.XLOOKUP(EFAbiertos[[#This Row],[Ticket '#]],Registro!$B$8:$B$997,Registro!$X$8:$X$997,"",0)</f>
        <v/>
      </c>
      <c r="M178" s="30" t="str">
        <f ca="1">_xlfn.XLOOKUP(EFAbiertos[[#This Row],[Ticket '#]],Registro!$B$8:$B$997,Registro!$Y$8:$Y$997,"",0)</f>
        <v/>
      </c>
      <c r="N17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79" spans="3:14" ht="28.5" customHeight="1">
      <c r="C179" s="2" t="str">
        <f ca="1">IF(D179="","",HYPERLINK("#"&amp;"Registro!B"&amp;MATCH(D179,Registro!$B$8:$B$997,0)+7,"Ubicar en registro"))</f>
        <v/>
      </c>
      <c r="D179" s="1" t="str">
        <f ca="1">IF(Programación!Q179="","",Programación!Q179)</f>
        <v/>
      </c>
      <c r="E179" s="1" t="str">
        <f ca="1">_xlfn.XLOOKUP(EFAbiertos[[#This Row],[Ticket '#]],Registro!$B$8:$B$997,Registro!$M$8:$M$997,"",0)</f>
        <v/>
      </c>
      <c r="F179" s="86" t="str">
        <f ca="1">_xlfn.XLOOKUP(EFAbiertos[[#This Row],[Ticket '#]],Registro!$B$8:$B$997,Registro!$H$8:$H$997,"",0)</f>
        <v/>
      </c>
      <c r="G179" s="26" t="str">
        <f ca="1">_xlfn.XLOOKUP(EFAbiertos[[#This Row],[Ticket '#]],Registro!$B$8:$B$997,Registro!$M$8:$M$997,"",0)</f>
        <v/>
      </c>
      <c r="H179" s="67" t="str">
        <f ca="1">_xlfn.XLOOKUP(EFAbiertos[[#This Row],[Ticket '#]],Registro!$B$8:$B$997,Registro!$S$8:$S$997,"",0)</f>
        <v/>
      </c>
      <c r="I179" s="58" t="str">
        <f t="shared" ca="1" si="5"/>
        <v/>
      </c>
      <c r="J179" s="30" t="str">
        <f ca="1">_xlfn.XLOOKUP(EFAbiertos[[#This Row],[Ticket '#]],Registro!$B$8:$B$997,Registro!$U$8:$U$997,"",0)</f>
        <v/>
      </c>
      <c r="K179" s="30" t="str">
        <f ca="1">_xlfn.XLOOKUP(EFAbiertos[[#This Row],[Ticket '#]],Registro!$B$8:$B$997,Registro!$W$8:$W$997,"",0)</f>
        <v/>
      </c>
      <c r="L179" s="30" t="str">
        <f ca="1">_xlfn.XLOOKUP(EFAbiertos[[#This Row],[Ticket '#]],Registro!$B$8:$B$997,Registro!$X$8:$X$997,"",0)</f>
        <v/>
      </c>
      <c r="M179" s="30" t="str">
        <f ca="1">_xlfn.XLOOKUP(EFAbiertos[[#This Row],[Ticket '#]],Registro!$B$8:$B$997,Registro!$Y$8:$Y$997,"",0)</f>
        <v/>
      </c>
      <c r="N17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0" spans="3:14" ht="28.5" customHeight="1">
      <c r="C180" s="2" t="str">
        <f ca="1">IF(D180="","",HYPERLINK("#"&amp;"Registro!B"&amp;MATCH(D180,Registro!$B$8:$B$997,0)+7,"Ubicar en registro"))</f>
        <v/>
      </c>
      <c r="D180" s="1" t="str">
        <f ca="1">IF(Programación!Q180="","",Programación!Q180)</f>
        <v/>
      </c>
      <c r="E180" s="1" t="str">
        <f ca="1">_xlfn.XLOOKUP(EFAbiertos[[#This Row],[Ticket '#]],Registro!$B$8:$B$997,Registro!$M$8:$M$997,"",0)</f>
        <v/>
      </c>
      <c r="F180" s="86" t="str">
        <f ca="1">_xlfn.XLOOKUP(EFAbiertos[[#This Row],[Ticket '#]],Registro!$B$8:$B$997,Registro!$H$8:$H$997,"",0)</f>
        <v/>
      </c>
      <c r="G180" s="26" t="str">
        <f ca="1">_xlfn.XLOOKUP(EFAbiertos[[#This Row],[Ticket '#]],Registro!$B$8:$B$997,Registro!$M$8:$M$997,"",0)</f>
        <v/>
      </c>
      <c r="H180" s="67" t="str">
        <f ca="1">_xlfn.XLOOKUP(EFAbiertos[[#This Row],[Ticket '#]],Registro!$B$8:$B$997,Registro!$S$8:$S$997,"",0)</f>
        <v/>
      </c>
      <c r="I180" s="58" t="str">
        <f t="shared" ca="1" si="5"/>
        <v/>
      </c>
      <c r="J180" s="30" t="str">
        <f ca="1">_xlfn.XLOOKUP(EFAbiertos[[#This Row],[Ticket '#]],Registro!$B$8:$B$997,Registro!$U$8:$U$997,"",0)</f>
        <v/>
      </c>
      <c r="K180" s="30" t="str">
        <f ca="1">_xlfn.XLOOKUP(EFAbiertos[[#This Row],[Ticket '#]],Registro!$B$8:$B$997,Registro!$W$8:$W$997,"",0)</f>
        <v/>
      </c>
      <c r="L180" s="30" t="str">
        <f ca="1">_xlfn.XLOOKUP(EFAbiertos[[#This Row],[Ticket '#]],Registro!$B$8:$B$997,Registro!$X$8:$X$997,"",0)</f>
        <v/>
      </c>
      <c r="M180" s="30" t="str">
        <f ca="1">_xlfn.XLOOKUP(EFAbiertos[[#This Row],[Ticket '#]],Registro!$B$8:$B$997,Registro!$Y$8:$Y$997,"",0)</f>
        <v/>
      </c>
      <c r="N18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1" spans="3:14" ht="28.5" customHeight="1">
      <c r="C181" s="2" t="str">
        <f ca="1">IF(D181="","",HYPERLINK("#"&amp;"Registro!B"&amp;MATCH(D181,Registro!$B$8:$B$997,0)+7,"Ubicar en registro"))</f>
        <v/>
      </c>
      <c r="D181" s="1" t="str">
        <f ca="1">IF(Programación!Q181="","",Programación!Q181)</f>
        <v/>
      </c>
      <c r="E181" s="1" t="str">
        <f ca="1">_xlfn.XLOOKUP(EFAbiertos[[#This Row],[Ticket '#]],Registro!$B$8:$B$997,Registro!$M$8:$M$997,"",0)</f>
        <v/>
      </c>
      <c r="F181" s="86" t="str">
        <f ca="1">_xlfn.XLOOKUP(EFAbiertos[[#This Row],[Ticket '#]],Registro!$B$8:$B$997,Registro!$H$8:$H$997,"",0)</f>
        <v/>
      </c>
      <c r="G181" s="26" t="str">
        <f ca="1">_xlfn.XLOOKUP(EFAbiertos[[#This Row],[Ticket '#]],Registro!$B$8:$B$997,Registro!$M$8:$M$997,"",0)</f>
        <v/>
      </c>
      <c r="H181" s="67" t="str">
        <f ca="1">_xlfn.XLOOKUP(EFAbiertos[[#This Row],[Ticket '#]],Registro!$B$8:$B$997,Registro!$S$8:$S$997,"",0)</f>
        <v/>
      </c>
      <c r="I181" s="58" t="str">
        <f t="shared" ca="1" si="5"/>
        <v/>
      </c>
      <c r="J181" s="30" t="str">
        <f ca="1">_xlfn.XLOOKUP(EFAbiertos[[#This Row],[Ticket '#]],Registro!$B$8:$B$997,Registro!$U$8:$U$997,"",0)</f>
        <v/>
      </c>
      <c r="K181" s="30" t="str">
        <f ca="1">_xlfn.XLOOKUP(EFAbiertos[[#This Row],[Ticket '#]],Registro!$B$8:$B$997,Registro!$W$8:$W$997,"",0)</f>
        <v/>
      </c>
      <c r="L181" s="30" t="str">
        <f ca="1">_xlfn.XLOOKUP(EFAbiertos[[#This Row],[Ticket '#]],Registro!$B$8:$B$997,Registro!$X$8:$X$997,"",0)</f>
        <v/>
      </c>
      <c r="M181" s="30" t="str">
        <f ca="1">_xlfn.XLOOKUP(EFAbiertos[[#This Row],[Ticket '#]],Registro!$B$8:$B$997,Registro!$Y$8:$Y$997,"",0)</f>
        <v/>
      </c>
      <c r="N18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2" spans="3:14" ht="28.5" customHeight="1">
      <c r="C182" s="2" t="str">
        <f ca="1">IF(D182="","",HYPERLINK("#"&amp;"Registro!B"&amp;MATCH(D182,Registro!$B$8:$B$997,0)+7,"Ubicar en registro"))</f>
        <v/>
      </c>
      <c r="D182" s="1" t="str">
        <f ca="1">IF(Programación!Q182="","",Programación!Q182)</f>
        <v/>
      </c>
      <c r="E182" s="1" t="str">
        <f ca="1">_xlfn.XLOOKUP(EFAbiertos[[#This Row],[Ticket '#]],Registro!$B$8:$B$997,Registro!$M$8:$M$997,"",0)</f>
        <v/>
      </c>
      <c r="F182" s="86" t="str">
        <f ca="1">_xlfn.XLOOKUP(EFAbiertos[[#This Row],[Ticket '#]],Registro!$B$8:$B$997,Registro!$H$8:$H$997,"",0)</f>
        <v/>
      </c>
      <c r="G182" s="26" t="str">
        <f ca="1">_xlfn.XLOOKUP(EFAbiertos[[#This Row],[Ticket '#]],Registro!$B$8:$B$997,Registro!$M$8:$M$997,"",0)</f>
        <v/>
      </c>
      <c r="H182" s="67" t="str">
        <f ca="1">_xlfn.XLOOKUP(EFAbiertos[[#This Row],[Ticket '#]],Registro!$B$8:$B$997,Registro!$S$8:$S$997,"",0)</f>
        <v/>
      </c>
      <c r="I182" s="58" t="str">
        <f t="shared" ca="1" si="5"/>
        <v/>
      </c>
      <c r="J182" s="30" t="str">
        <f ca="1">_xlfn.XLOOKUP(EFAbiertos[[#This Row],[Ticket '#]],Registro!$B$8:$B$997,Registro!$U$8:$U$997,"",0)</f>
        <v/>
      </c>
      <c r="K182" s="30" t="str">
        <f ca="1">_xlfn.XLOOKUP(EFAbiertos[[#This Row],[Ticket '#]],Registro!$B$8:$B$997,Registro!$W$8:$W$997,"",0)</f>
        <v/>
      </c>
      <c r="L182" s="30" t="str">
        <f ca="1">_xlfn.XLOOKUP(EFAbiertos[[#This Row],[Ticket '#]],Registro!$B$8:$B$997,Registro!$X$8:$X$997,"",0)</f>
        <v/>
      </c>
      <c r="M182" s="30" t="str">
        <f ca="1">_xlfn.XLOOKUP(EFAbiertos[[#This Row],[Ticket '#]],Registro!$B$8:$B$997,Registro!$Y$8:$Y$997,"",0)</f>
        <v/>
      </c>
      <c r="N18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3" spans="3:14" ht="28.5" customHeight="1">
      <c r="C183" s="2" t="str">
        <f ca="1">IF(D183="","",HYPERLINK("#"&amp;"Registro!B"&amp;MATCH(D183,Registro!$B$8:$B$997,0)+7,"Ubicar en registro"))</f>
        <v/>
      </c>
      <c r="D183" s="1" t="str">
        <f ca="1">IF(Programación!Q183="","",Programación!Q183)</f>
        <v/>
      </c>
      <c r="E183" s="1" t="str">
        <f ca="1">_xlfn.XLOOKUP(EFAbiertos[[#This Row],[Ticket '#]],Registro!$B$8:$B$997,Registro!$M$8:$M$997,"",0)</f>
        <v/>
      </c>
      <c r="F183" s="86" t="str">
        <f ca="1">_xlfn.XLOOKUP(EFAbiertos[[#This Row],[Ticket '#]],Registro!$B$8:$B$997,Registro!$H$8:$H$997,"",0)</f>
        <v/>
      </c>
      <c r="G183" s="26" t="str">
        <f ca="1">_xlfn.XLOOKUP(EFAbiertos[[#This Row],[Ticket '#]],Registro!$B$8:$B$997,Registro!$M$8:$M$997,"",0)</f>
        <v/>
      </c>
      <c r="H183" s="67" t="str">
        <f ca="1">_xlfn.XLOOKUP(EFAbiertos[[#This Row],[Ticket '#]],Registro!$B$8:$B$997,Registro!$S$8:$S$997,"",0)</f>
        <v/>
      </c>
      <c r="I183" s="58" t="str">
        <f t="shared" ca="1" si="5"/>
        <v/>
      </c>
      <c r="J183" s="30" t="str">
        <f ca="1">_xlfn.XLOOKUP(EFAbiertos[[#This Row],[Ticket '#]],Registro!$B$8:$B$997,Registro!$U$8:$U$997,"",0)</f>
        <v/>
      </c>
      <c r="K183" s="30" t="str">
        <f ca="1">_xlfn.XLOOKUP(EFAbiertos[[#This Row],[Ticket '#]],Registro!$B$8:$B$997,Registro!$W$8:$W$997,"",0)</f>
        <v/>
      </c>
      <c r="L183" s="30" t="str">
        <f ca="1">_xlfn.XLOOKUP(EFAbiertos[[#This Row],[Ticket '#]],Registro!$B$8:$B$997,Registro!$X$8:$X$997,"",0)</f>
        <v/>
      </c>
      <c r="M183" s="30" t="str">
        <f ca="1">_xlfn.XLOOKUP(EFAbiertos[[#This Row],[Ticket '#]],Registro!$B$8:$B$997,Registro!$Y$8:$Y$997,"",0)</f>
        <v/>
      </c>
      <c r="N18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4" spans="3:14" ht="28.5" customHeight="1">
      <c r="C184" s="2" t="str">
        <f ca="1">IF(D184="","",HYPERLINK("#"&amp;"Registro!B"&amp;MATCH(D184,Registro!$B$8:$B$997,0)+7,"Ubicar en registro"))</f>
        <v/>
      </c>
      <c r="D184" s="1" t="str">
        <f ca="1">IF(Programación!Q184="","",Programación!Q184)</f>
        <v/>
      </c>
      <c r="E184" s="1" t="str">
        <f ca="1">_xlfn.XLOOKUP(EFAbiertos[[#This Row],[Ticket '#]],Registro!$B$8:$B$997,Registro!$M$8:$M$997,"",0)</f>
        <v/>
      </c>
      <c r="F184" s="86" t="str">
        <f ca="1">_xlfn.XLOOKUP(EFAbiertos[[#This Row],[Ticket '#]],Registro!$B$8:$B$997,Registro!$H$8:$H$997,"",0)</f>
        <v/>
      </c>
      <c r="G184" s="26" t="str">
        <f ca="1">_xlfn.XLOOKUP(EFAbiertos[[#This Row],[Ticket '#]],Registro!$B$8:$B$997,Registro!$M$8:$M$997,"",0)</f>
        <v/>
      </c>
      <c r="H184" s="67" t="str">
        <f ca="1">_xlfn.XLOOKUP(EFAbiertos[[#This Row],[Ticket '#]],Registro!$B$8:$B$997,Registro!$S$8:$S$997,"",0)</f>
        <v/>
      </c>
      <c r="I184" s="58" t="str">
        <f t="shared" ca="1" si="5"/>
        <v/>
      </c>
      <c r="J184" s="30" t="str">
        <f ca="1">_xlfn.XLOOKUP(EFAbiertos[[#This Row],[Ticket '#]],Registro!$B$8:$B$997,Registro!$U$8:$U$997,"",0)</f>
        <v/>
      </c>
      <c r="K184" s="30" t="str">
        <f ca="1">_xlfn.XLOOKUP(EFAbiertos[[#This Row],[Ticket '#]],Registro!$B$8:$B$997,Registro!$W$8:$W$997,"",0)</f>
        <v/>
      </c>
      <c r="L184" s="30" t="str">
        <f ca="1">_xlfn.XLOOKUP(EFAbiertos[[#This Row],[Ticket '#]],Registro!$B$8:$B$997,Registro!$X$8:$X$997,"",0)</f>
        <v/>
      </c>
      <c r="M184" s="30" t="str">
        <f ca="1">_xlfn.XLOOKUP(EFAbiertos[[#This Row],[Ticket '#]],Registro!$B$8:$B$997,Registro!$Y$8:$Y$997,"",0)</f>
        <v/>
      </c>
      <c r="N18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5" spans="3:14" ht="28.5" customHeight="1">
      <c r="C185" s="2" t="str">
        <f ca="1">IF(D185="","",HYPERLINK("#"&amp;"Registro!B"&amp;MATCH(D185,Registro!$B$8:$B$997,0)+7,"Ubicar en registro"))</f>
        <v/>
      </c>
      <c r="D185" s="1" t="str">
        <f ca="1">IF(Programación!Q185="","",Programación!Q185)</f>
        <v/>
      </c>
      <c r="E185" s="1" t="str">
        <f ca="1">_xlfn.XLOOKUP(EFAbiertos[[#This Row],[Ticket '#]],Registro!$B$8:$B$997,Registro!$M$8:$M$997,"",0)</f>
        <v/>
      </c>
      <c r="F185" s="86" t="str">
        <f ca="1">_xlfn.XLOOKUP(EFAbiertos[[#This Row],[Ticket '#]],Registro!$B$8:$B$997,Registro!$H$8:$H$997,"",0)</f>
        <v/>
      </c>
      <c r="G185" s="26" t="str">
        <f ca="1">_xlfn.XLOOKUP(EFAbiertos[[#This Row],[Ticket '#]],Registro!$B$8:$B$997,Registro!$M$8:$M$997,"",0)</f>
        <v/>
      </c>
      <c r="H185" s="67" t="str">
        <f ca="1">_xlfn.XLOOKUP(EFAbiertos[[#This Row],[Ticket '#]],Registro!$B$8:$B$997,Registro!$S$8:$S$997,"",0)</f>
        <v/>
      </c>
      <c r="I185" s="58" t="str">
        <f t="shared" ca="1" si="5"/>
        <v/>
      </c>
      <c r="J185" s="30" t="str">
        <f ca="1">_xlfn.XLOOKUP(EFAbiertos[[#This Row],[Ticket '#]],Registro!$B$8:$B$997,Registro!$U$8:$U$997,"",0)</f>
        <v/>
      </c>
      <c r="K185" s="30" t="str">
        <f ca="1">_xlfn.XLOOKUP(EFAbiertos[[#This Row],[Ticket '#]],Registro!$B$8:$B$997,Registro!$W$8:$W$997,"",0)</f>
        <v/>
      </c>
      <c r="L185" s="30" t="str">
        <f ca="1">_xlfn.XLOOKUP(EFAbiertos[[#This Row],[Ticket '#]],Registro!$B$8:$B$997,Registro!$X$8:$X$997,"",0)</f>
        <v/>
      </c>
      <c r="M185" s="30" t="str">
        <f ca="1">_xlfn.XLOOKUP(EFAbiertos[[#This Row],[Ticket '#]],Registro!$B$8:$B$997,Registro!$Y$8:$Y$997,"",0)</f>
        <v/>
      </c>
      <c r="N18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6" spans="3:14" ht="28.5" customHeight="1">
      <c r="C186" s="2" t="str">
        <f ca="1">IF(D186="","",HYPERLINK("#"&amp;"Registro!B"&amp;MATCH(D186,Registro!$B$8:$B$997,0)+7,"Ubicar en registro"))</f>
        <v/>
      </c>
      <c r="D186" s="1" t="str">
        <f ca="1">IF(Programación!Q186="","",Programación!Q186)</f>
        <v/>
      </c>
      <c r="E186" s="1" t="str">
        <f ca="1">_xlfn.XLOOKUP(EFAbiertos[[#This Row],[Ticket '#]],Registro!$B$8:$B$997,Registro!$M$8:$M$997,"",0)</f>
        <v/>
      </c>
      <c r="F186" s="86" t="str">
        <f ca="1">_xlfn.XLOOKUP(EFAbiertos[[#This Row],[Ticket '#]],Registro!$B$8:$B$997,Registro!$H$8:$H$997,"",0)</f>
        <v/>
      </c>
      <c r="G186" s="26" t="str">
        <f ca="1">_xlfn.XLOOKUP(EFAbiertos[[#This Row],[Ticket '#]],Registro!$B$8:$B$997,Registro!$M$8:$M$997,"",0)</f>
        <v/>
      </c>
      <c r="H186" s="67" t="str">
        <f ca="1">_xlfn.XLOOKUP(EFAbiertos[[#This Row],[Ticket '#]],Registro!$B$8:$B$997,Registro!$S$8:$S$997,"",0)</f>
        <v/>
      </c>
      <c r="I186" s="58" t="str">
        <f t="shared" ca="1" si="5"/>
        <v/>
      </c>
      <c r="J186" s="30" t="str">
        <f ca="1">_xlfn.XLOOKUP(EFAbiertos[[#This Row],[Ticket '#]],Registro!$B$8:$B$997,Registro!$U$8:$U$997,"",0)</f>
        <v/>
      </c>
      <c r="K186" s="30" t="str">
        <f ca="1">_xlfn.XLOOKUP(EFAbiertos[[#This Row],[Ticket '#]],Registro!$B$8:$B$997,Registro!$W$8:$W$997,"",0)</f>
        <v/>
      </c>
      <c r="L186" s="30" t="str">
        <f ca="1">_xlfn.XLOOKUP(EFAbiertos[[#This Row],[Ticket '#]],Registro!$B$8:$B$997,Registro!$X$8:$X$997,"",0)</f>
        <v/>
      </c>
      <c r="M186" s="30" t="str">
        <f ca="1">_xlfn.XLOOKUP(EFAbiertos[[#This Row],[Ticket '#]],Registro!$B$8:$B$997,Registro!$Y$8:$Y$997,"",0)</f>
        <v/>
      </c>
      <c r="N18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7" spans="3:14" ht="28.5" customHeight="1">
      <c r="C187" s="2" t="str">
        <f ca="1">IF(D187="","",HYPERLINK("#"&amp;"Registro!B"&amp;MATCH(D187,Registro!$B$8:$B$997,0)+7,"Ubicar en registro"))</f>
        <v/>
      </c>
      <c r="D187" s="1" t="str">
        <f ca="1">IF(Programación!Q187="","",Programación!Q187)</f>
        <v/>
      </c>
      <c r="E187" s="1" t="str">
        <f ca="1">_xlfn.XLOOKUP(EFAbiertos[[#This Row],[Ticket '#]],Registro!$B$8:$B$997,Registro!$M$8:$M$997,"",0)</f>
        <v/>
      </c>
      <c r="F187" s="86" t="str">
        <f ca="1">_xlfn.XLOOKUP(EFAbiertos[[#This Row],[Ticket '#]],Registro!$B$8:$B$997,Registro!$H$8:$H$997,"",0)</f>
        <v/>
      </c>
      <c r="G187" s="26" t="str">
        <f ca="1">_xlfn.XLOOKUP(EFAbiertos[[#This Row],[Ticket '#]],Registro!$B$8:$B$997,Registro!$M$8:$M$997,"",0)</f>
        <v/>
      </c>
      <c r="H187" s="67" t="str">
        <f ca="1">_xlfn.XLOOKUP(EFAbiertos[[#This Row],[Ticket '#]],Registro!$B$8:$B$997,Registro!$S$8:$S$997,"",0)</f>
        <v/>
      </c>
      <c r="I187" s="58" t="str">
        <f t="shared" ca="1" si="5"/>
        <v/>
      </c>
      <c r="J187" s="30" t="str">
        <f ca="1">_xlfn.XLOOKUP(EFAbiertos[[#This Row],[Ticket '#]],Registro!$B$8:$B$997,Registro!$U$8:$U$997,"",0)</f>
        <v/>
      </c>
      <c r="K187" s="30" t="str">
        <f ca="1">_xlfn.XLOOKUP(EFAbiertos[[#This Row],[Ticket '#]],Registro!$B$8:$B$997,Registro!$W$8:$W$997,"",0)</f>
        <v/>
      </c>
      <c r="L187" s="30" t="str">
        <f ca="1">_xlfn.XLOOKUP(EFAbiertos[[#This Row],[Ticket '#]],Registro!$B$8:$B$997,Registro!$X$8:$X$997,"",0)</f>
        <v/>
      </c>
      <c r="M187" s="30" t="str">
        <f ca="1">_xlfn.XLOOKUP(EFAbiertos[[#This Row],[Ticket '#]],Registro!$B$8:$B$997,Registro!$Y$8:$Y$997,"",0)</f>
        <v/>
      </c>
      <c r="N18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8" spans="3:14" ht="28.5" customHeight="1">
      <c r="C188" s="2" t="str">
        <f ca="1">IF(D188="","",HYPERLINK("#"&amp;"Registro!B"&amp;MATCH(D188,Registro!$B$8:$B$997,0)+7,"Ubicar en registro"))</f>
        <v/>
      </c>
      <c r="D188" s="1" t="str">
        <f ca="1">IF(Programación!Q188="","",Programación!Q188)</f>
        <v/>
      </c>
      <c r="E188" s="1" t="str">
        <f ca="1">_xlfn.XLOOKUP(EFAbiertos[[#This Row],[Ticket '#]],Registro!$B$8:$B$997,Registro!$M$8:$M$997,"",0)</f>
        <v/>
      </c>
      <c r="F188" s="86" t="str">
        <f ca="1">_xlfn.XLOOKUP(EFAbiertos[[#This Row],[Ticket '#]],Registro!$B$8:$B$997,Registro!$H$8:$H$997,"",0)</f>
        <v/>
      </c>
      <c r="G188" s="26" t="str">
        <f ca="1">_xlfn.XLOOKUP(EFAbiertos[[#This Row],[Ticket '#]],Registro!$B$8:$B$997,Registro!$M$8:$M$997,"",0)</f>
        <v/>
      </c>
      <c r="H188" s="67" t="str">
        <f ca="1">_xlfn.XLOOKUP(EFAbiertos[[#This Row],[Ticket '#]],Registro!$B$8:$B$997,Registro!$S$8:$S$997,"",0)</f>
        <v/>
      </c>
      <c r="I188" s="58" t="str">
        <f t="shared" ca="1" si="5"/>
        <v/>
      </c>
      <c r="J188" s="30" t="str">
        <f ca="1">_xlfn.XLOOKUP(EFAbiertos[[#This Row],[Ticket '#]],Registro!$B$8:$B$997,Registro!$U$8:$U$997,"",0)</f>
        <v/>
      </c>
      <c r="K188" s="30" t="str">
        <f ca="1">_xlfn.XLOOKUP(EFAbiertos[[#This Row],[Ticket '#]],Registro!$B$8:$B$997,Registro!$W$8:$W$997,"",0)</f>
        <v/>
      </c>
      <c r="L188" s="30" t="str">
        <f ca="1">_xlfn.XLOOKUP(EFAbiertos[[#This Row],[Ticket '#]],Registro!$B$8:$B$997,Registro!$X$8:$X$997,"",0)</f>
        <v/>
      </c>
      <c r="M188" s="30" t="str">
        <f ca="1">_xlfn.XLOOKUP(EFAbiertos[[#This Row],[Ticket '#]],Registro!$B$8:$B$997,Registro!$Y$8:$Y$997,"",0)</f>
        <v/>
      </c>
      <c r="N18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89" spans="3:14" ht="28.5" customHeight="1">
      <c r="C189" s="2" t="str">
        <f ca="1">IF(D189="","",HYPERLINK("#"&amp;"Registro!B"&amp;MATCH(D189,Registro!$B$8:$B$997,0)+7,"Ubicar en registro"))</f>
        <v/>
      </c>
      <c r="D189" s="1" t="str">
        <f ca="1">IF(Programación!Q189="","",Programación!Q189)</f>
        <v/>
      </c>
      <c r="E189" s="1" t="str">
        <f ca="1">_xlfn.XLOOKUP(EFAbiertos[[#This Row],[Ticket '#]],Registro!$B$8:$B$997,Registro!$M$8:$M$997,"",0)</f>
        <v/>
      </c>
      <c r="F189" s="86" t="str">
        <f ca="1">_xlfn.XLOOKUP(EFAbiertos[[#This Row],[Ticket '#]],Registro!$B$8:$B$997,Registro!$H$8:$H$997,"",0)</f>
        <v/>
      </c>
      <c r="G189" s="26" t="str">
        <f ca="1">_xlfn.XLOOKUP(EFAbiertos[[#This Row],[Ticket '#]],Registro!$B$8:$B$997,Registro!$M$8:$M$997,"",0)</f>
        <v/>
      </c>
      <c r="H189" s="67" t="str">
        <f ca="1">_xlfn.XLOOKUP(EFAbiertos[[#This Row],[Ticket '#]],Registro!$B$8:$B$997,Registro!$S$8:$S$997,"",0)</f>
        <v/>
      </c>
      <c r="I189" s="58" t="str">
        <f t="shared" ca="1" si="5"/>
        <v/>
      </c>
      <c r="J189" s="30" t="str">
        <f ca="1">_xlfn.XLOOKUP(EFAbiertos[[#This Row],[Ticket '#]],Registro!$B$8:$B$997,Registro!$U$8:$U$997,"",0)</f>
        <v/>
      </c>
      <c r="K189" s="30" t="str">
        <f ca="1">_xlfn.XLOOKUP(EFAbiertos[[#This Row],[Ticket '#]],Registro!$B$8:$B$997,Registro!$W$8:$W$997,"",0)</f>
        <v/>
      </c>
      <c r="L189" s="30" t="str">
        <f ca="1">_xlfn.XLOOKUP(EFAbiertos[[#This Row],[Ticket '#]],Registro!$B$8:$B$997,Registro!$X$8:$X$997,"",0)</f>
        <v/>
      </c>
      <c r="M189" s="30" t="str">
        <f ca="1">_xlfn.XLOOKUP(EFAbiertos[[#This Row],[Ticket '#]],Registro!$B$8:$B$997,Registro!$Y$8:$Y$997,"",0)</f>
        <v/>
      </c>
      <c r="N18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0" spans="3:14" ht="28.5" customHeight="1">
      <c r="C190" s="2" t="str">
        <f ca="1">IF(D190="","",HYPERLINK("#"&amp;"Registro!B"&amp;MATCH(D190,Registro!$B$8:$B$997,0)+7,"Ubicar en registro"))</f>
        <v/>
      </c>
      <c r="D190" s="1" t="str">
        <f ca="1">IF(Programación!Q190="","",Programación!Q190)</f>
        <v/>
      </c>
      <c r="E190" s="1" t="str">
        <f ca="1">_xlfn.XLOOKUP(EFAbiertos[[#This Row],[Ticket '#]],Registro!$B$8:$B$997,Registro!$M$8:$M$997,"",0)</f>
        <v/>
      </c>
      <c r="F190" s="86" t="str">
        <f ca="1">_xlfn.XLOOKUP(EFAbiertos[[#This Row],[Ticket '#]],Registro!$B$8:$B$997,Registro!$H$8:$H$997,"",0)</f>
        <v/>
      </c>
      <c r="G190" s="26" t="str">
        <f ca="1">_xlfn.XLOOKUP(EFAbiertos[[#This Row],[Ticket '#]],Registro!$B$8:$B$997,Registro!$M$8:$M$997,"",0)</f>
        <v/>
      </c>
      <c r="H190" s="67" t="str">
        <f ca="1">_xlfn.XLOOKUP(EFAbiertos[[#This Row],[Ticket '#]],Registro!$B$8:$B$997,Registro!$S$8:$S$997,"",0)</f>
        <v/>
      </c>
      <c r="I190" s="58" t="str">
        <f t="shared" ca="1" si="5"/>
        <v/>
      </c>
      <c r="J190" s="30" t="str">
        <f ca="1">_xlfn.XLOOKUP(EFAbiertos[[#This Row],[Ticket '#]],Registro!$B$8:$B$997,Registro!$U$8:$U$997,"",0)</f>
        <v/>
      </c>
      <c r="K190" s="30" t="str">
        <f ca="1">_xlfn.XLOOKUP(EFAbiertos[[#This Row],[Ticket '#]],Registro!$B$8:$B$997,Registro!$W$8:$W$997,"",0)</f>
        <v/>
      </c>
      <c r="L190" s="30" t="str">
        <f ca="1">_xlfn.XLOOKUP(EFAbiertos[[#This Row],[Ticket '#]],Registro!$B$8:$B$997,Registro!$X$8:$X$997,"",0)</f>
        <v/>
      </c>
      <c r="M190" s="30" t="str">
        <f ca="1">_xlfn.XLOOKUP(EFAbiertos[[#This Row],[Ticket '#]],Registro!$B$8:$B$997,Registro!$Y$8:$Y$997,"",0)</f>
        <v/>
      </c>
      <c r="N190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1" spans="3:14" ht="28.5" customHeight="1">
      <c r="C191" s="2" t="str">
        <f ca="1">IF(D191="","",HYPERLINK("#"&amp;"Registro!B"&amp;MATCH(D191,Registro!$B$8:$B$997,0)+7,"Ubicar en registro"))</f>
        <v/>
      </c>
      <c r="D191" s="1" t="str">
        <f ca="1">IF(Programación!Q191="","",Programación!Q191)</f>
        <v/>
      </c>
      <c r="E191" s="1" t="str">
        <f ca="1">_xlfn.XLOOKUP(EFAbiertos[[#This Row],[Ticket '#]],Registro!$B$8:$B$997,Registro!$M$8:$M$997,"",0)</f>
        <v/>
      </c>
      <c r="F191" s="86" t="str">
        <f ca="1">_xlfn.XLOOKUP(EFAbiertos[[#This Row],[Ticket '#]],Registro!$B$8:$B$997,Registro!$H$8:$H$997,"",0)</f>
        <v/>
      </c>
      <c r="G191" s="26" t="str">
        <f ca="1">_xlfn.XLOOKUP(EFAbiertos[[#This Row],[Ticket '#]],Registro!$B$8:$B$997,Registro!$M$8:$M$997,"",0)</f>
        <v/>
      </c>
      <c r="H191" s="67" t="str">
        <f ca="1">_xlfn.XLOOKUP(EFAbiertos[[#This Row],[Ticket '#]],Registro!$B$8:$B$997,Registro!$S$8:$S$997,"",0)</f>
        <v/>
      </c>
      <c r="I191" s="58" t="str">
        <f t="shared" ca="1" si="5"/>
        <v/>
      </c>
      <c r="J191" s="30" t="str">
        <f ca="1">_xlfn.XLOOKUP(EFAbiertos[[#This Row],[Ticket '#]],Registro!$B$8:$B$997,Registro!$U$8:$U$997,"",0)</f>
        <v/>
      </c>
      <c r="K191" s="30" t="str">
        <f ca="1">_xlfn.XLOOKUP(EFAbiertos[[#This Row],[Ticket '#]],Registro!$B$8:$B$997,Registro!$W$8:$W$997,"",0)</f>
        <v/>
      </c>
      <c r="L191" s="30" t="str">
        <f ca="1">_xlfn.XLOOKUP(EFAbiertos[[#This Row],[Ticket '#]],Registro!$B$8:$B$997,Registro!$X$8:$X$997,"",0)</f>
        <v/>
      </c>
      <c r="M191" s="30" t="str">
        <f ca="1">_xlfn.XLOOKUP(EFAbiertos[[#This Row],[Ticket '#]],Registro!$B$8:$B$997,Registro!$Y$8:$Y$997,"",0)</f>
        <v/>
      </c>
      <c r="N191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2" spans="3:14" ht="28.5" customHeight="1">
      <c r="C192" s="2" t="str">
        <f ca="1">IF(D192="","",HYPERLINK("#"&amp;"Registro!B"&amp;MATCH(D192,Registro!$B$8:$B$997,0)+7,"Ubicar en registro"))</f>
        <v/>
      </c>
      <c r="D192" s="1" t="str">
        <f ca="1">IF(Programación!Q192="","",Programación!Q192)</f>
        <v/>
      </c>
      <c r="E192" s="1" t="str">
        <f ca="1">_xlfn.XLOOKUP(EFAbiertos[[#This Row],[Ticket '#]],Registro!$B$8:$B$997,Registro!$M$8:$M$997,"",0)</f>
        <v/>
      </c>
      <c r="F192" s="86" t="str">
        <f ca="1">_xlfn.XLOOKUP(EFAbiertos[[#This Row],[Ticket '#]],Registro!$B$8:$B$997,Registro!$H$8:$H$997,"",0)</f>
        <v/>
      </c>
      <c r="G192" s="26" t="str">
        <f ca="1">_xlfn.XLOOKUP(EFAbiertos[[#This Row],[Ticket '#]],Registro!$B$8:$B$997,Registro!$M$8:$M$997,"",0)</f>
        <v/>
      </c>
      <c r="H192" s="67" t="str">
        <f ca="1">_xlfn.XLOOKUP(EFAbiertos[[#This Row],[Ticket '#]],Registro!$B$8:$B$997,Registro!$S$8:$S$997,"",0)</f>
        <v/>
      </c>
      <c r="I192" s="58" t="str">
        <f t="shared" ca="1" si="5"/>
        <v/>
      </c>
      <c r="J192" s="30" t="str">
        <f ca="1">_xlfn.XLOOKUP(EFAbiertos[[#This Row],[Ticket '#]],Registro!$B$8:$B$997,Registro!$U$8:$U$997,"",0)</f>
        <v/>
      </c>
      <c r="K192" s="30" t="str">
        <f ca="1">_xlfn.XLOOKUP(EFAbiertos[[#This Row],[Ticket '#]],Registro!$B$8:$B$997,Registro!$W$8:$W$997,"",0)</f>
        <v/>
      </c>
      <c r="L192" s="30" t="str">
        <f ca="1">_xlfn.XLOOKUP(EFAbiertos[[#This Row],[Ticket '#]],Registro!$B$8:$B$997,Registro!$X$8:$X$997,"",0)</f>
        <v/>
      </c>
      <c r="M192" s="30" t="str">
        <f ca="1">_xlfn.XLOOKUP(EFAbiertos[[#This Row],[Ticket '#]],Registro!$B$8:$B$997,Registro!$Y$8:$Y$997,"",0)</f>
        <v/>
      </c>
      <c r="N192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3" spans="3:14" ht="28.5" customHeight="1">
      <c r="C193" s="2" t="str">
        <f ca="1">IF(D193="","",HYPERLINK("#"&amp;"Registro!B"&amp;MATCH(D193,Registro!$B$8:$B$997,0)+7,"Ubicar en registro"))</f>
        <v/>
      </c>
      <c r="D193" s="1" t="str">
        <f ca="1">IF(Programación!Q193="","",Programación!Q193)</f>
        <v/>
      </c>
      <c r="E193" s="1" t="str">
        <f ca="1">_xlfn.XLOOKUP(EFAbiertos[[#This Row],[Ticket '#]],Registro!$B$8:$B$997,Registro!$M$8:$M$997,"",0)</f>
        <v/>
      </c>
      <c r="F193" s="86" t="str">
        <f ca="1">_xlfn.XLOOKUP(EFAbiertos[[#This Row],[Ticket '#]],Registro!$B$8:$B$997,Registro!$H$8:$H$997,"",0)</f>
        <v/>
      </c>
      <c r="G193" s="26" t="str">
        <f ca="1">_xlfn.XLOOKUP(EFAbiertos[[#This Row],[Ticket '#]],Registro!$B$8:$B$997,Registro!$M$8:$M$997,"",0)</f>
        <v/>
      </c>
      <c r="H193" s="67" t="str">
        <f ca="1">_xlfn.XLOOKUP(EFAbiertos[[#This Row],[Ticket '#]],Registro!$B$8:$B$997,Registro!$S$8:$S$997,"",0)</f>
        <v/>
      </c>
      <c r="I193" s="58" t="str">
        <f t="shared" ca="1" si="5"/>
        <v/>
      </c>
      <c r="J193" s="30" t="str">
        <f ca="1">_xlfn.XLOOKUP(EFAbiertos[[#This Row],[Ticket '#]],Registro!$B$8:$B$997,Registro!$U$8:$U$997,"",0)</f>
        <v/>
      </c>
      <c r="K193" s="30" t="str">
        <f ca="1">_xlfn.XLOOKUP(EFAbiertos[[#This Row],[Ticket '#]],Registro!$B$8:$B$997,Registro!$W$8:$W$997,"",0)</f>
        <v/>
      </c>
      <c r="L193" s="30" t="str">
        <f ca="1">_xlfn.XLOOKUP(EFAbiertos[[#This Row],[Ticket '#]],Registro!$B$8:$B$997,Registro!$X$8:$X$997,"",0)</f>
        <v/>
      </c>
      <c r="M193" s="30" t="str">
        <f ca="1">_xlfn.XLOOKUP(EFAbiertos[[#This Row],[Ticket '#]],Registro!$B$8:$B$997,Registro!$Y$8:$Y$997,"",0)</f>
        <v/>
      </c>
      <c r="N193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4" spans="3:14" ht="28.5" customHeight="1">
      <c r="C194" s="2" t="str">
        <f ca="1">IF(D194="","",HYPERLINK("#"&amp;"Registro!B"&amp;MATCH(D194,Registro!$B$8:$B$997,0)+7,"Ubicar en registro"))</f>
        <v/>
      </c>
      <c r="D194" s="1" t="str">
        <f ca="1">IF(Programación!Q194="","",Programación!Q194)</f>
        <v/>
      </c>
      <c r="E194" s="1" t="str">
        <f ca="1">_xlfn.XLOOKUP(EFAbiertos[[#This Row],[Ticket '#]],Registro!$B$8:$B$997,Registro!$M$8:$M$997,"",0)</f>
        <v/>
      </c>
      <c r="F194" s="86" t="str">
        <f ca="1">_xlfn.XLOOKUP(EFAbiertos[[#This Row],[Ticket '#]],Registro!$B$8:$B$997,Registro!$H$8:$H$997,"",0)</f>
        <v/>
      </c>
      <c r="G194" s="26" t="str">
        <f ca="1">_xlfn.XLOOKUP(EFAbiertos[[#This Row],[Ticket '#]],Registro!$B$8:$B$997,Registro!$M$8:$M$997,"",0)</f>
        <v/>
      </c>
      <c r="H194" s="67" t="str">
        <f ca="1">_xlfn.XLOOKUP(EFAbiertos[[#This Row],[Ticket '#]],Registro!$B$8:$B$997,Registro!$S$8:$S$997,"",0)</f>
        <v/>
      </c>
      <c r="I194" s="58" t="str">
        <f t="shared" ca="1" si="5"/>
        <v/>
      </c>
      <c r="J194" s="30" t="str">
        <f ca="1">_xlfn.XLOOKUP(EFAbiertos[[#This Row],[Ticket '#]],Registro!$B$8:$B$997,Registro!$U$8:$U$997,"",0)</f>
        <v/>
      </c>
      <c r="K194" s="30" t="str">
        <f ca="1">_xlfn.XLOOKUP(EFAbiertos[[#This Row],[Ticket '#]],Registro!$B$8:$B$997,Registro!$W$8:$W$997,"",0)</f>
        <v/>
      </c>
      <c r="L194" s="30" t="str">
        <f ca="1">_xlfn.XLOOKUP(EFAbiertos[[#This Row],[Ticket '#]],Registro!$B$8:$B$997,Registro!$X$8:$X$997,"",0)</f>
        <v/>
      </c>
      <c r="M194" s="30" t="str">
        <f ca="1">_xlfn.XLOOKUP(EFAbiertos[[#This Row],[Ticket '#]],Registro!$B$8:$B$997,Registro!$Y$8:$Y$997,"",0)</f>
        <v/>
      </c>
      <c r="N194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5" spans="3:14" ht="28.5" customHeight="1">
      <c r="C195" s="2" t="str">
        <f ca="1">IF(D195="","",HYPERLINK("#"&amp;"Registro!B"&amp;MATCH(D195,Registro!$B$8:$B$997,0)+7,"Ubicar en registro"))</f>
        <v/>
      </c>
      <c r="D195" s="1" t="str">
        <f ca="1">IF(Programación!Q195="","",Programación!Q195)</f>
        <v/>
      </c>
      <c r="E195" s="1" t="str">
        <f ca="1">_xlfn.XLOOKUP(EFAbiertos[[#This Row],[Ticket '#]],Registro!$B$8:$B$997,Registro!$M$8:$M$997,"",0)</f>
        <v/>
      </c>
      <c r="F195" s="86" t="str">
        <f ca="1">_xlfn.XLOOKUP(EFAbiertos[[#This Row],[Ticket '#]],Registro!$B$8:$B$997,Registro!$H$8:$H$997,"",0)</f>
        <v/>
      </c>
      <c r="G195" s="26" t="str">
        <f ca="1">_xlfn.XLOOKUP(EFAbiertos[[#This Row],[Ticket '#]],Registro!$B$8:$B$997,Registro!$M$8:$M$997,"",0)</f>
        <v/>
      </c>
      <c r="H195" s="67" t="str">
        <f ca="1">_xlfn.XLOOKUP(EFAbiertos[[#This Row],[Ticket '#]],Registro!$B$8:$B$997,Registro!$S$8:$S$997,"",0)</f>
        <v/>
      </c>
      <c r="I195" s="58" t="str">
        <f t="shared" ca="1" si="5"/>
        <v/>
      </c>
      <c r="J195" s="30" t="str">
        <f ca="1">_xlfn.XLOOKUP(EFAbiertos[[#This Row],[Ticket '#]],Registro!$B$8:$B$997,Registro!$U$8:$U$997,"",0)</f>
        <v/>
      </c>
      <c r="K195" s="30" t="str">
        <f ca="1">_xlfn.XLOOKUP(EFAbiertos[[#This Row],[Ticket '#]],Registro!$B$8:$B$997,Registro!$W$8:$W$997,"",0)</f>
        <v/>
      </c>
      <c r="L195" s="30" t="str">
        <f ca="1">_xlfn.XLOOKUP(EFAbiertos[[#This Row],[Ticket '#]],Registro!$B$8:$B$997,Registro!$X$8:$X$997,"",0)</f>
        <v/>
      </c>
      <c r="M195" s="30" t="str">
        <f ca="1">_xlfn.XLOOKUP(EFAbiertos[[#This Row],[Ticket '#]],Registro!$B$8:$B$997,Registro!$Y$8:$Y$997,"",0)</f>
        <v/>
      </c>
      <c r="N195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6" spans="3:14" ht="28.5" customHeight="1">
      <c r="C196" s="2" t="str">
        <f ca="1">IF(D196="","",HYPERLINK("#"&amp;"Registro!B"&amp;MATCH(D196,Registro!$B$8:$B$997,0)+7,"Ubicar en registro"))</f>
        <v/>
      </c>
      <c r="D196" s="1" t="str">
        <f ca="1">IF(Programación!Q196="","",Programación!Q196)</f>
        <v/>
      </c>
      <c r="E196" s="1" t="str">
        <f ca="1">_xlfn.XLOOKUP(EFAbiertos[[#This Row],[Ticket '#]],Registro!$B$8:$B$997,Registro!$M$8:$M$997,"",0)</f>
        <v/>
      </c>
      <c r="F196" s="86" t="str">
        <f ca="1">_xlfn.XLOOKUP(EFAbiertos[[#This Row],[Ticket '#]],Registro!$B$8:$B$997,Registro!$H$8:$H$997,"",0)</f>
        <v/>
      </c>
      <c r="G196" s="26" t="str">
        <f ca="1">_xlfn.XLOOKUP(EFAbiertos[[#This Row],[Ticket '#]],Registro!$B$8:$B$997,Registro!$M$8:$M$997,"",0)</f>
        <v/>
      </c>
      <c r="H196" s="67" t="str">
        <f ca="1">_xlfn.XLOOKUP(EFAbiertos[[#This Row],[Ticket '#]],Registro!$B$8:$B$997,Registro!$S$8:$S$997,"",0)</f>
        <v/>
      </c>
      <c r="I196" s="58" t="str">
        <f t="shared" ca="1" si="5"/>
        <v/>
      </c>
      <c r="J196" s="30" t="str">
        <f ca="1">_xlfn.XLOOKUP(EFAbiertos[[#This Row],[Ticket '#]],Registro!$B$8:$B$997,Registro!$U$8:$U$997,"",0)</f>
        <v/>
      </c>
      <c r="K196" s="30" t="str">
        <f ca="1">_xlfn.XLOOKUP(EFAbiertos[[#This Row],[Ticket '#]],Registro!$B$8:$B$997,Registro!$W$8:$W$997,"",0)</f>
        <v/>
      </c>
      <c r="L196" s="30" t="str">
        <f ca="1">_xlfn.XLOOKUP(EFAbiertos[[#This Row],[Ticket '#]],Registro!$B$8:$B$997,Registro!$X$8:$X$997,"",0)</f>
        <v/>
      </c>
      <c r="M196" s="30" t="str">
        <f ca="1">_xlfn.XLOOKUP(EFAbiertos[[#This Row],[Ticket '#]],Registro!$B$8:$B$997,Registro!$Y$8:$Y$997,"",0)</f>
        <v/>
      </c>
      <c r="N196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7" spans="3:14" ht="28.5" customHeight="1">
      <c r="C197" s="2" t="str">
        <f ca="1">IF(D197="","",HYPERLINK("#"&amp;"Registro!B"&amp;MATCH(D197,Registro!$B$8:$B$997,0)+7,"Ubicar en registro"))</f>
        <v/>
      </c>
      <c r="D197" s="1" t="str">
        <f ca="1">IF(Programación!Q197="","",Programación!Q197)</f>
        <v/>
      </c>
      <c r="E197" s="1" t="str">
        <f ca="1">_xlfn.XLOOKUP(EFAbiertos[[#This Row],[Ticket '#]],Registro!$B$8:$B$997,Registro!$M$8:$M$997,"",0)</f>
        <v/>
      </c>
      <c r="F197" s="86" t="str">
        <f ca="1">_xlfn.XLOOKUP(EFAbiertos[[#This Row],[Ticket '#]],Registro!$B$8:$B$997,Registro!$H$8:$H$997,"",0)</f>
        <v/>
      </c>
      <c r="G197" s="26" t="str">
        <f ca="1">_xlfn.XLOOKUP(EFAbiertos[[#This Row],[Ticket '#]],Registro!$B$8:$B$997,Registro!$M$8:$M$997,"",0)</f>
        <v/>
      </c>
      <c r="H197" s="67" t="str">
        <f ca="1">_xlfn.XLOOKUP(EFAbiertos[[#This Row],[Ticket '#]],Registro!$B$8:$B$997,Registro!$S$8:$S$997,"",0)</f>
        <v/>
      </c>
      <c r="I197" s="58" t="str">
        <f t="shared" ca="1" si="5"/>
        <v/>
      </c>
      <c r="J197" s="30" t="str">
        <f ca="1">_xlfn.XLOOKUP(EFAbiertos[[#This Row],[Ticket '#]],Registro!$B$8:$B$997,Registro!$U$8:$U$997,"",0)</f>
        <v/>
      </c>
      <c r="K197" s="30" t="str">
        <f ca="1">_xlfn.XLOOKUP(EFAbiertos[[#This Row],[Ticket '#]],Registro!$B$8:$B$997,Registro!$W$8:$W$997,"",0)</f>
        <v/>
      </c>
      <c r="L197" s="30" t="str">
        <f ca="1">_xlfn.XLOOKUP(EFAbiertos[[#This Row],[Ticket '#]],Registro!$B$8:$B$997,Registro!$X$8:$X$997,"",0)</f>
        <v/>
      </c>
      <c r="M197" s="30" t="str">
        <f ca="1">_xlfn.XLOOKUP(EFAbiertos[[#This Row],[Ticket '#]],Registro!$B$8:$B$997,Registro!$Y$8:$Y$997,"",0)</f>
        <v/>
      </c>
      <c r="N197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8" spans="3:14" ht="28.5" customHeight="1">
      <c r="C198" s="2" t="str">
        <f ca="1">IF(D198="","",HYPERLINK("#"&amp;"Registro!B"&amp;MATCH(D198,Registro!$B$8:$B$997,0)+7,"Ubicar en registro"))</f>
        <v/>
      </c>
      <c r="D198" s="1" t="str">
        <f ca="1">IF(Programación!Q198="","",Programación!Q198)</f>
        <v/>
      </c>
      <c r="E198" s="1" t="str">
        <f ca="1">_xlfn.XLOOKUP(EFAbiertos[[#This Row],[Ticket '#]],Registro!$B$8:$B$997,Registro!$M$8:$M$997,"",0)</f>
        <v/>
      </c>
      <c r="F198" s="86" t="str">
        <f ca="1">_xlfn.XLOOKUP(EFAbiertos[[#This Row],[Ticket '#]],Registro!$B$8:$B$997,Registro!$H$8:$H$997,"",0)</f>
        <v/>
      </c>
      <c r="G198" s="26" t="str">
        <f ca="1">_xlfn.XLOOKUP(EFAbiertos[[#This Row],[Ticket '#]],Registro!$B$8:$B$997,Registro!$M$8:$M$997,"",0)</f>
        <v/>
      </c>
      <c r="H198" s="67" t="str">
        <f ca="1">_xlfn.XLOOKUP(EFAbiertos[[#This Row],[Ticket '#]],Registro!$B$8:$B$997,Registro!$S$8:$S$997,"",0)</f>
        <v/>
      </c>
      <c r="I198" s="58" t="str">
        <f t="shared" ca="1" si="5"/>
        <v/>
      </c>
      <c r="J198" s="30" t="str">
        <f ca="1">_xlfn.XLOOKUP(EFAbiertos[[#This Row],[Ticket '#]],Registro!$B$8:$B$997,Registro!$U$8:$U$997,"",0)</f>
        <v/>
      </c>
      <c r="K198" s="30" t="str">
        <f ca="1">_xlfn.XLOOKUP(EFAbiertos[[#This Row],[Ticket '#]],Registro!$B$8:$B$997,Registro!$W$8:$W$997,"",0)</f>
        <v/>
      </c>
      <c r="L198" s="30" t="str">
        <f ca="1">_xlfn.XLOOKUP(EFAbiertos[[#This Row],[Ticket '#]],Registro!$B$8:$B$997,Registro!$X$8:$X$997,"",0)</f>
        <v/>
      </c>
      <c r="M198" s="30" t="str">
        <f ca="1">_xlfn.XLOOKUP(EFAbiertos[[#This Row],[Ticket '#]],Registro!$B$8:$B$997,Registro!$Y$8:$Y$997,"",0)</f>
        <v/>
      </c>
      <c r="N198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  <row r="199" spans="3:14" ht="28.5" customHeight="1">
      <c r="C199" s="23" t="str">
        <f ca="1">IF(D199="","",HYPERLINK("#"&amp;"Registro!B"&amp;MATCH(D199,Registro!$B$8:$B$997,0)+7,"Ubicar en registro"))</f>
        <v/>
      </c>
      <c r="D199" s="24" t="str">
        <f ca="1">IF(Programación!Q199="","",Programación!Q199)</f>
        <v/>
      </c>
      <c r="E199" s="24" t="str">
        <f ca="1">_xlfn.XLOOKUP(EFAbiertos[[#This Row],[Ticket '#]],Registro!$B$8:$B$997,Registro!$M$8:$M$997,"",0)</f>
        <v/>
      </c>
      <c r="F199" s="87" t="str">
        <f ca="1">_xlfn.XLOOKUP(EFAbiertos[[#This Row],[Ticket '#]],Registro!$B$8:$B$997,Registro!$H$8:$H$997,"",0)</f>
        <v/>
      </c>
      <c r="G199" s="27" t="str">
        <f ca="1">_xlfn.XLOOKUP(EFAbiertos[[#This Row],[Ticket '#]],Registro!$B$8:$B$997,Registro!$M$8:$M$997,"",0)</f>
        <v/>
      </c>
      <c r="H199" s="67" t="str">
        <f ca="1">_xlfn.XLOOKUP(EFAbiertos[[#This Row],[Ticket '#]],Registro!$B$8:$B$997,Registro!$S$8:$S$997,"",0)</f>
        <v/>
      </c>
      <c r="I199" s="58" t="str">
        <f t="shared" ca="1" si="5"/>
        <v/>
      </c>
      <c r="J199" s="30" t="str">
        <f ca="1">_xlfn.XLOOKUP(EFAbiertos[[#This Row],[Ticket '#]],Registro!$B$8:$B$997,Registro!$U$8:$U$997,"",0)</f>
        <v/>
      </c>
      <c r="K199" s="30" t="str">
        <f ca="1">_xlfn.XLOOKUP(EFAbiertos[[#This Row],[Ticket '#]],Registro!$B$8:$B$997,Registro!$W$8:$W$997,"",0)</f>
        <v/>
      </c>
      <c r="L199" s="30" t="str">
        <f ca="1">_xlfn.XLOOKUP(EFAbiertos[[#This Row],[Ticket '#]],Registro!$B$8:$B$997,Registro!$X$8:$X$997,"",0)</f>
        <v/>
      </c>
      <c r="M199" s="30" t="str">
        <f ca="1">_xlfn.XLOOKUP(EFAbiertos[[#This Row],[Ticket '#]],Registro!$B$8:$B$997,Registro!$Y$8:$Y$997,"",0)</f>
        <v/>
      </c>
      <c r="N199" s="30" t="str">
        <f ca="1">IF(EFAbiertos[[#This Row],[Link Registro]]="","",EFAbiertos[[#This Row],[Grupos Programados]]-(EFAbiertos[[#This Row],[Grupos ejecutados]]+EFAbiertos[[#This Row],[Grupos en proceso]]+EFAbiertos[[#This Row],[Grupos no Iniciados]]))</f>
        <v/>
      </c>
    </row>
  </sheetData>
  <mergeCells count="1">
    <mergeCell ref="B1:N1"/>
  </mergeCells>
  <conditionalFormatting sqref="H9:H199">
    <cfRule type="cellIs" dxfId="3" priority="1" stopIfTrue="1" operator="lessThan">
      <formula>TODAY()</formula>
    </cfRule>
  </conditionalFormatting>
  <conditionalFormatting sqref="I9:I199">
    <cfRule type="cellIs" dxfId="2" priority="2" operator="equal">
      <formula>1</formula>
    </cfRule>
  </conditionalFormatting>
  <pageMargins left="0.7" right="0.7" top="0.75" bottom="0.75" header="0.3" footer="0.3"/>
  <pageSetup orientation="portrait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6"/>
  <sheetViews>
    <sheetView showGridLines="0" zoomScaleNormal="100" workbookViewId="0">
      <selection activeCell="H18" sqref="H18"/>
    </sheetView>
  </sheetViews>
  <sheetFormatPr baseColWidth="10" defaultColWidth="11" defaultRowHeight="14.4"/>
  <cols>
    <col min="1" max="2" width="3" style="68" customWidth="1"/>
    <col min="3" max="3" width="11" style="68" customWidth="1"/>
    <col min="4" max="4" width="5" style="68" hidden="1" customWidth="1"/>
    <col min="5" max="5" width="18" style="68" customWidth="1"/>
    <col min="6" max="6" width="44.33203125" style="68" customWidth="1"/>
    <col min="7" max="7" width="14" style="68" customWidth="1"/>
    <col min="8" max="8" width="12.109375" style="68" customWidth="1"/>
    <col min="9" max="9" width="14" style="68" bestFit="1" customWidth="1"/>
    <col min="10" max="10" width="14" style="68" customWidth="1"/>
    <col min="11" max="12" width="11" style="68" customWidth="1"/>
    <col min="13" max="13" width="12" style="68" customWidth="1"/>
    <col min="14" max="14" width="27" style="68" customWidth="1"/>
    <col min="15" max="15" width="12" style="68" customWidth="1"/>
    <col min="16" max="16" width="11" style="68" customWidth="1"/>
    <col min="17" max="17" width="12" style="68" customWidth="1"/>
    <col min="18" max="19" width="11" style="68" customWidth="1"/>
    <col min="20" max="21" width="14" style="68" customWidth="1"/>
    <col min="22" max="22" width="11" style="68" customWidth="1"/>
    <col min="23" max="16384" width="11" style="68"/>
  </cols>
  <sheetData>
    <row r="1" spans="1:13" ht="12.75" customHeight="1">
      <c r="A1" s="226" t="s">
        <v>8016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</row>
    <row r="2" spans="1:13" ht="12.75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</row>
    <row r="3" spans="1:13" ht="12.75" customHeight="1">
      <c r="A3" s="227"/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</row>
    <row r="4" spans="1:13" ht="3.75" customHeight="1">
      <c r="C4" s="69">
        <f>IF(E5="","0",COUNTIF(Ejecucion[No. Solicitud],Busqueda!E5))</f>
        <v>1</v>
      </c>
      <c r="D4" s="69"/>
    </row>
    <row r="5" spans="1:13" ht="15" customHeight="1">
      <c r="D5" s="96" t="s">
        <v>8017</v>
      </c>
      <c r="E5" s="77" t="s">
        <v>231</v>
      </c>
      <c r="F5" s="228" t="str">
        <f>IF(E5="","Sin datos para busacar",_xlfn.XLOOKUP(E5,Registro!$B$8:$B$997,Registro!$H$8:$H$997,"Evento formativo no encontrado",0))</f>
        <v>Curso 40</v>
      </c>
      <c r="G5" s="227"/>
      <c r="H5" s="227"/>
      <c r="I5" s="89"/>
      <c r="J5" s="68" t="s">
        <v>3</v>
      </c>
      <c r="K5" s="89" t="str">
        <f>IF(E5="","Sin datos para buscar",_xlfn.XLOOKUP(E5,Registro!B8:B997,Registro!M8:M997,"Ticket no encontrado",0))</f>
        <v>Gestor 5</v>
      </c>
    </row>
    <row r="6" spans="1:13" ht="3.75" customHeight="1"/>
    <row r="7" spans="1:13" ht="6.75" customHeight="1">
      <c r="B7" s="70"/>
      <c r="C7" s="71"/>
      <c r="D7" s="71"/>
      <c r="E7" s="71"/>
      <c r="F7" s="71"/>
      <c r="G7" s="71"/>
      <c r="H7" s="71"/>
      <c r="I7" s="71"/>
      <c r="J7" s="71"/>
      <c r="K7" s="71"/>
      <c r="L7" s="71"/>
      <c r="M7" s="72"/>
    </row>
    <row r="8" spans="1:13">
      <c r="B8" s="73"/>
      <c r="C8" s="29" t="s">
        <v>484</v>
      </c>
      <c r="D8" s="29" t="s">
        <v>8018</v>
      </c>
      <c r="E8" s="29" t="s">
        <v>8019</v>
      </c>
      <c r="F8" s="29" t="s">
        <v>8020</v>
      </c>
      <c r="G8" s="29" t="s">
        <v>8021</v>
      </c>
      <c r="H8" s="29" t="s">
        <v>489</v>
      </c>
      <c r="I8" s="29" t="s">
        <v>8022</v>
      </c>
      <c r="J8" s="29" t="s">
        <v>74</v>
      </c>
      <c r="K8" s="29" t="s">
        <v>490</v>
      </c>
      <c r="L8" s="29" t="s">
        <v>491</v>
      </c>
      <c r="M8" s="74"/>
    </row>
    <row r="9" spans="1:13" ht="28.8" customHeight="1">
      <c r="B9" s="73"/>
      <c r="C9" s="29">
        <f>IF(E5="","",IF(C4&gt;0,1,""))</f>
        <v>1</v>
      </c>
      <c r="D9" s="29">
        <f t="array" ref="D9">IF(C9="","",INDEX(Ejecucion[Correlativo],SMALL(IF(($E$5=Ejecucion[No. Solicitud]),MATCH(ROW(Ejecucion[No. Solicitud]),ROW(Ejecucion[No. Solicitud])),""),ROWS($C$1:C1))))</f>
        <v>218</v>
      </c>
      <c r="E9" s="91" t="str">
        <f>IF(D9="Sin CUE","Sin Dato",IF(D9="","",HYPERLINK("#"&amp;"EjecucionEventos!c"&amp;MATCH(D9,Ejecucion[Correlativo],0)+4,"Ir a registro")))</f>
        <v>Ir a registro</v>
      </c>
      <c r="F9" s="78" t="str">
        <f t="array" ref="F9">IF(C9="","",INDEX(Ejecucion[Evento Formativo según PFA / Extraordinario],SMALL(IF(($E$5=Ejecucion[No. Solicitud]),MATCH(ROW(Ejecucion[No. Solicitud]),ROW(Ejecucion[No. Solicitud])),""),ROWS($C$1:C1))))</f>
        <v>Curso 40</v>
      </c>
      <c r="G9" s="29" t="str">
        <f t="array" ref="G9">IF(C9="","",INDEX(Ejecucion[Nombramiento],SMALL(IF(($E$5=Ejecucion[No. Solicitud]),MATCH(ROW(Ejecucion[No. Solicitud]),ROW(Ejecucion[No. Solicitud])),""),ROWS($C$1:C1))))</f>
        <v>10681-2026</v>
      </c>
      <c r="H9" s="29">
        <f t="array" ref="H9">IF(C9="","",INDEX(Ejecucion[PC],SMALL(IF(($E$5=Ejecucion[No. Solicitud]),MATCH(ROW(Ejecucion[No. Solicitud]),ROW(Ejecucion[No. Solicitud])),""),ROWS($C$1:C1))))</f>
        <v>43827</v>
      </c>
      <c r="I9" s="29">
        <f t="array" ref="I9">IF(C9="","",INDEX(Ejecucion[Grupo],SMALL(IF(($E$5=Ejecucion[No. Solicitud]),MATCH(ROW(Ejecucion[No. Solicitud]),ROW(Ejecucion[No. Solicitud])),""),ROWS($C$1:C1))))</f>
        <v>1</v>
      </c>
      <c r="J9" s="29" t="str">
        <f t="array" ref="J9">IF(C9="","",INDEX(Ejecucion[Estado],SMALL(IF(($E$5=Ejecucion[No. Solicitud]),MATCH(ROW(Ejecucion[No. Solicitud]),ROW(Ejecucion[No. Solicitud])),""),ROWS($C$1:C1))))</f>
        <v>En Proceso</v>
      </c>
      <c r="K9" s="80">
        <f t="array" ref="K9">IF(C9="","",INDEX(Ejecucion[Fecha Inicio],SMALL(IF(($E$5=Ejecucion[No. Solicitud]),MATCH(ROW(Ejecucion[No. Solicitud]),ROW(Ejecucion[No. Solicitud])),""),ROWS($C$1:C1))))</f>
        <v>46286</v>
      </c>
      <c r="L9" s="80">
        <f t="array" ref="L9">IF(C9="","",INDEX(Ejecucion[Fecha Fin],SMALL(IF(($E$5=Ejecucion[No. Solicitud]),MATCH(ROW(Ejecucion[No. Solicitud]),ROW(Ejecucion[No. Solicitud])),""),ROWS($C$1:C1))))</f>
        <v>46288</v>
      </c>
      <c r="M9" s="74"/>
    </row>
    <row r="10" spans="1:13">
      <c r="B10" s="73"/>
      <c r="C10" s="29" t="str">
        <f t="shared" ref="C10:C16" si="0">IF(C9="","",IF(C9+1&gt;$C$4,"",C9+1))</f>
        <v/>
      </c>
      <c r="D10" s="29" t="str">
        <f t="array" ref="D10">IF(C10="","",INDEX(Ejecucion[Correlativo],SMALL(IF(($E$5=Ejecucion[No. Solicitud]),MATCH(ROW(Ejecucion[No. Solicitud]),ROW(Ejecucion[No. Solicitud])),""),ROWS($C$1:C2))))</f>
        <v/>
      </c>
      <c r="E10" s="79" t="str">
        <f>IF(D10="Sin CUE","Sin Dato",IF(D10="","",HYPERLINK("#"&amp;"EjecucionEventos!c"&amp;MATCH(D10,Ejecucion[Correlativo],0)+4,"Ir a registro")))</f>
        <v/>
      </c>
      <c r="F10" s="78" t="str">
        <f t="array" ref="F10">IF(C10="","",INDEX(Ejecucion[Evento Formativo según PFA / Extraordinario],SMALL(IF(($E$5=Ejecucion[No. Solicitud]),MATCH(ROW(Ejecucion[No. Solicitud]),ROW(Ejecucion[No. Solicitud])),""),ROWS($C$1:C2))))</f>
        <v/>
      </c>
      <c r="G10" s="29" t="str">
        <f t="array" ref="G10">IF(C10="","",INDEX(Ejecucion[Nombramiento],SMALL(IF(($E$5=Ejecucion[No. Solicitud]),MATCH(ROW(Ejecucion[No. Solicitud]),ROW(Ejecucion[No. Solicitud])),""),ROWS($C$1:C2))))</f>
        <v/>
      </c>
      <c r="H10" s="29" t="str">
        <f t="array" ref="H10">IF(C10="","",INDEX(Ejecucion[PC],SMALL(IF(($E$5=Ejecucion[No. Solicitud]),MATCH(ROW(Ejecucion[No. Solicitud]),ROW(Ejecucion[No. Solicitud])),""),ROWS($C$1:C2))))</f>
        <v/>
      </c>
      <c r="I10" s="29" t="str">
        <f t="array" ref="I10">IF(C10="","",INDEX(Ejecucion[Grupo],SMALL(IF(($E$5=Ejecucion[No. Solicitud]),MATCH(ROW(Ejecucion[No. Solicitud]),ROW(Ejecucion[No. Solicitud])),""),ROWS($C$1:C2))))</f>
        <v/>
      </c>
      <c r="J10" s="29" t="str">
        <f t="array" ref="J10">IF(C10="","",INDEX(Ejecucion[Estado],SMALL(IF(($E$5=Ejecucion[No. Solicitud]),MATCH(ROW(Ejecucion[No. Solicitud]),ROW(Ejecucion[No. Solicitud])),""),ROWS($C$1:C2))))</f>
        <v/>
      </c>
      <c r="K10" s="80" t="str">
        <f t="array" ref="K10">IF(C10="","",INDEX(Ejecucion[Fecha Inicio],SMALL(IF(($E$5=Ejecucion[No. Solicitud]),MATCH(ROW(Ejecucion[No. Solicitud]),ROW(Ejecucion[No. Solicitud])),""),ROWS($C$1:C2))))</f>
        <v/>
      </c>
      <c r="L10" s="80" t="str">
        <f t="array" ref="L10">IF(C10="","",INDEX(Ejecucion[Fecha Fin],SMALL(IF(($E$5=Ejecucion[No. Solicitud]),MATCH(ROW(Ejecucion[No. Solicitud]),ROW(Ejecucion[No. Solicitud])),""),ROWS($C$1:C2))))</f>
        <v/>
      </c>
      <c r="M10" s="74"/>
    </row>
    <row r="11" spans="1:13">
      <c r="B11" s="73"/>
      <c r="C11" s="29" t="str">
        <f t="shared" si="0"/>
        <v/>
      </c>
      <c r="D11" s="29" t="str">
        <f t="array" ref="D11">IF(C11="","",INDEX(Ejecucion[Correlativo],SMALL(IF(($E$5=Ejecucion[No. Solicitud]),MATCH(ROW(Ejecucion[No. Solicitud]),ROW(Ejecucion[No. Solicitud])),""),ROWS($C$1:C3))))</f>
        <v/>
      </c>
      <c r="E11" s="79" t="str">
        <f>IF(D11="Sin CUE","Sin Dato",IF(D11="","",HYPERLINK("#"&amp;"EjecucionEventos!c"&amp;MATCH(D11,Ejecucion[Correlativo],0)+4,"Ir a registro")))</f>
        <v/>
      </c>
      <c r="F11" s="78" t="str">
        <f t="array" ref="F11">IF(C11="","",INDEX(Ejecucion[Evento Formativo según PFA / Extraordinario],SMALL(IF(($E$5=Ejecucion[No. Solicitud]),MATCH(ROW(Ejecucion[No. Solicitud]),ROW(Ejecucion[No. Solicitud])),""),ROWS($C$1:C3))))</f>
        <v/>
      </c>
      <c r="G11" s="29" t="str">
        <f t="array" ref="G11">IF(C11="","",INDEX(Ejecucion[Nombramiento],SMALL(IF(($E$5=Ejecucion[No. Solicitud]),MATCH(ROW(Ejecucion[No. Solicitud]),ROW(Ejecucion[No. Solicitud])),""),ROWS($C$1:C3))))</f>
        <v/>
      </c>
      <c r="H11" s="29" t="str">
        <f t="array" ref="H11">IF(C11="","",INDEX(Ejecucion[PC],SMALL(IF(($E$5=Ejecucion[No. Solicitud]),MATCH(ROW(Ejecucion[No. Solicitud]),ROW(Ejecucion[No. Solicitud])),""),ROWS($C$1:C3))))</f>
        <v/>
      </c>
      <c r="I11" s="29" t="str">
        <f t="array" ref="I11">IF(C11="","",INDEX(Ejecucion[Grupo],SMALL(IF(($E$5=Ejecucion[No. Solicitud]),MATCH(ROW(Ejecucion[No. Solicitud]),ROW(Ejecucion[No. Solicitud])),""),ROWS($C$1:C3))))</f>
        <v/>
      </c>
      <c r="J11" s="29" t="str">
        <f t="array" ref="J11">IF(C11="","",INDEX(Ejecucion[Estado],SMALL(IF(($E$5=Ejecucion[No. Solicitud]),MATCH(ROW(Ejecucion[No. Solicitud]),ROW(Ejecucion[No. Solicitud])),""),ROWS($C$1:C3))))</f>
        <v/>
      </c>
      <c r="K11" s="80" t="str">
        <f t="array" ref="K11">IF(C11="","",INDEX(Ejecucion[Fecha Inicio],SMALL(IF(($E$5=Ejecucion[No. Solicitud]),MATCH(ROW(Ejecucion[No. Solicitud]),ROW(Ejecucion[No. Solicitud])),""),ROWS($C$1:C3))))</f>
        <v/>
      </c>
      <c r="L11" s="80" t="str">
        <f t="array" ref="L11">IF(C11="","",INDEX(Ejecucion[Fecha Fin],SMALL(IF(($E$5=Ejecucion[No. Solicitud]),MATCH(ROW(Ejecucion[No. Solicitud]),ROW(Ejecucion[No. Solicitud])),""),ROWS($C$1:C3))))</f>
        <v/>
      </c>
      <c r="M11" s="74"/>
    </row>
    <row r="12" spans="1:13">
      <c r="B12" s="73"/>
      <c r="C12" s="29" t="str">
        <f t="shared" si="0"/>
        <v/>
      </c>
      <c r="D12" s="29" t="str">
        <f t="array" ref="D12">IF(C12="","",INDEX(Ejecucion[Correlativo],SMALL(IF(($E$5=Ejecucion[No. Solicitud]),MATCH(ROW(Ejecucion[No. Solicitud]),ROW(Ejecucion[No. Solicitud])),""),ROWS($C$1:C4))))</f>
        <v/>
      </c>
      <c r="E12" s="79" t="str">
        <f>IF(D12="Sin CUE","Sin Dato",IF(D12="","",HYPERLINK("#"&amp;"EjecucionEventos!c"&amp;MATCH(D12,Ejecucion[Correlativo],0)+4,"Ir a registro")))</f>
        <v/>
      </c>
      <c r="F12" s="78" t="str">
        <f t="array" ref="F12">IF(C12="","",INDEX(Ejecucion[Evento Formativo según PFA / Extraordinario],SMALL(IF(($E$5=Ejecucion[No. Solicitud]),MATCH(ROW(Ejecucion[No. Solicitud]),ROW(Ejecucion[No. Solicitud])),""),ROWS($C$1:C4))))</f>
        <v/>
      </c>
      <c r="G12" s="29" t="str">
        <f t="array" ref="G12">IF(C12="","",INDEX(Ejecucion[Nombramiento],SMALL(IF(($E$5=Ejecucion[No. Solicitud]),MATCH(ROW(Ejecucion[No. Solicitud]),ROW(Ejecucion[No. Solicitud])),""),ROWS($C$1:C4))))</f>
        <v/>
      </c>
      <c r="H12" s="29" t="str">
        <f t="array" ref="H12">IF(C12="","",INDEX(Ejecucion[PC],SMALL(IF(($E$5=Ejecucion[No. Solicitud]),MATCH(ROW(Ejecucion[No. Solicitud]),ROW(Ejecucion[No. Solicitud])),""),ROWS($C$1:C4))))</f>
        <v/>
      </c>
      <c r="I12" s="29" t="str">
        <f t="array" ref="I12">IF(C12="","",INDEX(Ejecucion[Grupo],SMALL(IF(($E$5=Ejecucion[No. Solicitud]),MATCH(ROW(Ejecucion[No. Solicitud]),ROW(Ejecucion[No. Solicitud])),""),ROWS($C$1:C4))))</f>
        <v/>
      </c>
      <c r="J12" s="29" t="str">
        <f t="array" ref="J12">IF(C12="","",INDEX(Ejecucion[Estado],SMALL(IF(($E$5=Ejecucion[No. Solicitud]),MATCH(ROW(Ejecucion[No. Solicitud]),ROW(Ejecucion[No. Solicitud])),""),ROWS($C$1:C4))))</f>
        <v/>
      </c>
      <c r="K12" s="80" t="str">
        <f t="array" ref="K12">IF(C12="","",INDEX(Ejecucion[Fecha Inicio],SMALL(IF(($E$5=Ejecucion[No. Solicitud]),MATCH(ROW(Ejecucion[No. Solicitud]),ROW(Ejecucion[No. Solicitud])),""),ROWS($C$1:C4))))</f>
        <v/>
      </c>
      <c r="L12" s="80" t="str">
        <f t="array" ref="L12">IF(C12="","",INDEX(Ejecucion[Fecha Fin],SMALL(IF(($E$5=Ejecucion[No. Solicitud]),MATCH(ROW(Ejecucion[No. Solicitud]),ROW(Ejecucion[No. Solicitud])),""),ROWS($C$1:C4))))</f>
        <v/>
      </c>
      <c r="M12" s="74"/>
    </row>
    <row r="13" spans="1:13">
      <c r="B13" s="73"/>
      <c r="C13" s="29" t="str">
        <f t="shared" si="0"/>
        <v/>
      </c>
      <c r="D13" s="29" t="str">
        <f t="array" ref="D13">IF(C13="","",INDEX(Ejecucion[Correlativo],SMALL(IF(($E$5=Ejecucion[No. Solicitud]),MATCH(ROW(Ejecucion[No. Solicitud]),ROW(Ejecucion[No. Solicitud])),""),ROWS($C$1:C5))))</f>
        <v/>
      </c>
      <c r="E13" s="79" t="str">
        <f>IF(D13="Sin CUE","Sin Dato",IF(D13="","",HYPERLINK("#"&amp;"EjecucionEventos!c"&amp;MATCH(D13,Ejecucion[Correlativo],0)+4,"Ir a registro")))</f>
        <v/>
      </c>
      <c r="F13" s="78" t="str">
        <f t="array" ref="F13">IF(C13="","",INDEX(Ejecucion[Evento Formativo según PFA / Extraordinario],SMALL(IF(($E$5=Ejecucion[No. Solicitud]),MATCH(ROW(Ejecucion[No. Solicitud]),ROW(Ejecucion[No. Solicitud])),""),ROWS($C$1:C5))))</f>
        <v/>
      </c>
      <c r="G13" s="29" t="str">
        <f t="array" ref="G13">IF(C13="","",INDEX(Ejecucion[Nombramiento],SMALL(IF(($E$5=Ejecucion[No. Solicitud]),MATCH(ROW(Ejecucion[No. Solicitud]),ROW(Ejecucion[No. Solicitud])),""),ROWS($C$1:C5))))</f>
        <v/>
      </c>
      <c r="H13" s="29" t="str">
        <f t="array" ref="H13">IF(C13="","",INDEX(Ejecucion[PC],SMALL(IF(($E$5=Ejecucion[No. Solicitud]),MATCH(ROW(Ejecucion[No. Solicitud]),ROW(Ejecucion[No. Solicitud])),""),ROWS($C$1:C5))))</f>
        <v/>
      </c>
      <c r="I13" s="29" t="str">
        <f t="array" ref="I13">IF(C13="","",INDEX(Ejecucion[Grupo],SMALL(IF(($E$5=Ejecucion[No. Solicitud]),MATCH(ROW(Ejecucion[No. Solicitud]),ROW(Ejecucion[No. Solicitud])),""),ROWS($C$1:C5))))</f>
        <v/>
      </c>
      <c r="J13" s="29" t="str">
        <f t="array" ref="J13">IF(C13="","",INDEX(Ejecucion[Estado],SMALL(IF(($E$5=Ejecucion[No. Solicitud]),MATCH(ROW(Ejecucion[No. Solicitud]),ROW(Ejecucion[No. Solicitud])),""),ROWS($C$1:C5))))</f>
        <v/>
      </c>
      <c r="K13" s="80" t="str">
        <f t="array" ref="K13">IF(C13="","",INDEX(Ejecucion[Fecha Inicio],SMALL(IF(($E$5=Ejecucion[No. Solicitud]),MATCH(ROW(Ejecucion[No. Solicitud]),ROW(Ejecucion[No. Solicitud])),""),ROWS($C$1:C5))))</f>
        <v/>
      </c>
      <c r="L13" s="80" t="str">
        <f t="array" ref="L13">IF(C13="","",INDEX(Ejecucion[Fecha Fin],SMALL(IF(($E$5=Ejecucion[No. Solicitud]),MATCH(ROW(Ejecucion[No. Solicitud]),ROW(Ejecucion[No. Solicitud])),""),ROWS($C$1:C5))))</f>
        <v/>
      </c>
      <c r="M13" s="74"/>
    </row>
    <row r="14" spans="1:13">
      <c r="B14" s="73"/>
      <c r="C14" s="29" t="str">
        <f t="shared" si="0"/>
        <v/>
      </c>
      <c r="D14" s="29" t="str">
        <f t="array" ref="D14">IF(C14="","",INDEX(Ejecucion[Correlativo],SMALL(IF(($E$5=Ejecucion[No. Solicitud]),MATCH(ROW(Ejecucion[No. Solicitud]),ROW(Ejecucion[No. Solicitud])),""),ROWS($C$1:C6))))</f>
        <v/>
      </c>
      <c r="E14" s="79" t="str">
        <f>IF(D14="Sin CUE","Sin Dato",IF(D14="","",HYPERLINK("#"&amp;"EjecucionEventos!c"&amp;MATCH(D14,Ejecucion[Correlativo],0)+4,"Ir a registro")))</f>
        <v/>
      </c>
      <c r="F14" s="78" t="str">
        <f t="array" ref="F14">IF(C14="","",INDEX(Ejecucion[Evento Formativo según PFA / Extraordinario],SMALL(IF(($E$5=Ejecucion[No. Solicitud]),MATCH(ROW(Ejecucion[No. Solicitud]),ROW(Ejecucion[No. Solicitud])),""),ROWS($C$1:C6))))</f>
        <v/>
      </c>
      <c r="G14" s="29" t="str">
        <f t="array" ref="G14">IF(C14="","",INDEX(Ejecucion[Nombramiento],SMALL(IF(($E$5=Ejecucion[No. Solicitud]),MATCH(ROW(Ejecucion[No. Solicitud]),ROW(Ejecucion[No. Solicitud])),""),ROWS($C$1:C6))))</f>
        <v/>
      </c>
      <c r="H14" s="29" t="str">
        <f t="array" ref="H14">IF(C14="","",INDEX(Ejecucion[PC],SMALL(IF(($E$5=Ejecucion[No. Solicitud]),MATCH(ROW(Ejecucion[No. Solicitud]),ROW(Ejecucion[No. Solicitud])),""),ROWS($C$1:C6))))</f>
        <v/>
      </c>
      <c r="I14" s="29" t="str">
        <f t="array" ref="I14">IF(C14="","",INDEX(Ejecucion[Grupo],SMALL(IF(($E$5=Ejecucion[No. Solicitud]),MATCH(ROW(Ejecucion[No. Solicitud]),ROW(Ejecucion[No. Solicitud])),""),ROWS($C$1:C6))))</f>
        <v/>
      </c>
      <c r="J14" s="29" t="str">
        <f t="array" ref="J14">IF(C14="","",INDEX(Ejecucion[Estado],SMALL(IF(($E$5=Ejecucion[No. Solicitud]),MATCH(ROW(Ejecucion[No. Solicitud]),ROW(Ejecucion[No. Solicitud])),""),ROWS($C$1:C6))))</f>
        <v/>
      </c>
      <c r="K14" s="80" t="str">
        <f t="array" ref="K14">IF(C14="","",INDEX(Ejecucion[Fecha Inicio],SMALL(IF(($E$5=Ejecucion[No. Solicitud]),MATCH(ROW(Ejecucion[No. Solicitud]),ROW(Ejecucion[No. Solicitud])),""),ROWS($C$1:C6))))</f>
        <v/>
      </c>
      <c r="L14" s="80" t="str">
        <f t="array" ref="L14">IF(C14="","",INDEX(Ejecucion[Fecha Fin],SMALL(IF(($E$5=Ejecucion[No. Solicitud]),MATCH(ROW(Ejecucion[No. Solicitud]),ROW(Ejecucion[No. Solicitud])),""),ROWS($C$1:C6))))</f>
        <v/>
      </c>
      <c r="M14" s="74"/>
    </row>
    <row r="15" spans="1:13">
      <c r="B15" s="73"/>
      <c r="C15" s="29" t="str">
        <f t="shared" si="0"/>
        <v/>
      </c>
      <c r="D15" s="29" t="str">
        <f t="array" ref="D15">IF(C15="","",INDEX(Ejecucion[Correlativo],SMALL(IF(($E$5=Ejecucion[No. Solicitud]),MATCH(ROW(Ejecucion[No. Solicitud]),ROW(Ejecucion[No. Solicitud])),""),ROWS($C$1:C7))))</f>
        <v/>
      </c>
      <c r="E15" s="79" t="str">
        <f>IF(D15="Sin CUE","Sin Dato",IF(D15="","",HYPERLINK("#"&amp;"EjecucionEventos!c"&amp;MATCH(D15,Ejecucion[Correlativo],0)+4,"Ir a registro")))</f>
        <v/>
      </c>
      <c r="F15" s="78" t="str">
        <f t="array" ref="F15">IF(C15="","",INDEX(Ejecucion[Evento Formativo según PFA / Extraordinario],SMALL(IF(($E$5=Ejecucion[No. Solicitud]),MATCH(ROW(Ejecucion[No. Solicitud]),ROW(Ejecucion[No. Solicitud])),""),ROWS($C$1:C7))))</f>
        <v/>
      </c>
      <c r="G15" s="29" t="str">
        <f t="array" ref="G15">IF(C15="","",INDEX(Ejecucion[Nombramiento],SMALL(IF(($E$5=Ejecucion[No. Solicitud]),MATCH(ROW(Ejecucion[No. Solicitud]),ROW(Ejecucion[No. Solicitud])),""),ROWS($C$1:C7))))</f>
        <v/>
      </c>
      <c r="H15" s="29" t="str">
        <f t="array" ref="H15">IF(C15="","",INDEX(Ejecucion[PC],SMALL(IF(($E$5=Ejecucion[No. Solicitud]),MATCH(ROW(Ejecucion[No. Solicitud]),ROW(Ejecucion[No. Solicitud])),""),ROWS($C$1:C7))))</f>
        <v/>
      </c>
      <c r="I15" s="29" t="str">
        <f t="array" ref="I15">IF(C15="","",INDEX(Ejecucion[Grupo],SMALL(IF(($E$5=Ejecucion[No. Solicitud]),MATCH(ROW(Ejecucion[No. Solicitud]),ROW(Ejecucion[No. Solicitud])),""),ROWS($C$1:C7))))</f>
        <v/>
      </c>
      <c r="J15" s="29" t="str">
        <f t="array" ref="J15">IF(C15="","",INDEX(Ejecucion[Estado],SMALL(IF(($E$5=Ejecucion[No. Solicitud]),MATCH(ROW(Ejecucion[No. Solicitud]),ROW(Ejecucion[No. Solicitud])),""),ROWS($C$1:C7))))</f>
        <v/>
      </c>
      <c r="K15" s="80" t="str">
        <f t="array" ref="K15">IF(C15="","",INDEX(Ejecucion[Fecha Inicio],SMALL(IF(($E$5=Ejecucion[No. Solicitud]),MATCH(ROW(Ejecucion[No. Solicitud]),ROW(Ejecucion[No. Solicitud])),""),ROWS($C$1:C7))))</f>
        <v/>
      </c>
      <c r="L15" s="80" t="str">
        <f t="array" ref="L15">IF(C15="","",INDEX(Ejecucion[Fecha Fin],SMALL(IF(($E$5=Ejecucion[No. Solicitud]),MATCH(ROW(Ejecucion[No. Solicitud]),ROW(Ejecucion[No. Solicitud])),""),ROWS($C$1:C7))))</f>
        <v/>
      </c>
      <c r="M15" s="74"/>
    </row>
    <row r="16" spans="1:13">
      <c r="B16" s="75"/>
      <c r="C16" s="131" t="str">
        <f t="shared" si="0"/>
        <v/>
      </c>
      <c r="D16" s="131" t="str">
        <f t="array" ref="D16">IF(C16="","",INDEX(Ejecucion[Correlativo],SMALL(IF(($E$5=Ejecucion[No. Solicitud]),MATCH(ROW(Ejecucion[No. Solicitud]),ROW(Ejecucion[No. Solicitud])),""),ROWS($C$1:C8))))</f>
        <v/>
      </c>
      <c r="E16" s="132" t="str">
        <f>IF(D16="Sin CUE","Sin Dato",IF(D16="","",HYPERLINK("#"&amp;"EjecucionEventos!c"&amp;MATCH(D16,Ejecucion[Correlativo],0)+4,"Ir a registro")))</f>
        <v/>
      </c>
      <c r="F16" s="133" t="str">
        <f t="array" ref="F16">IF(C16="","",INDEX(Ejecucion[Evento Formativo según PFA / Extraordinario],SMALL(IF(($E$5=Ejecucion[No. Solicitud]),MATCH(ROW(Ejecucion[No. Solicitud]),ROW(Ejecucion[No. Solicitud])),""),ROWS($C$1:C8))))</f>
        <v/>
      </c>
      <c r="G16" s="131" t="str">
        <f t="array" ref="G16">IF(C16="","",INDEX(Ejecucion[Nombramiento],SMALL(IF(($E$5=Ejecucion[No. Solicitud]),MATCH(ROW(Ejecucion[No. Solicitud]),ROW(Ejecucion[No. Solicitud])),""),ROWS($C$1:C8))))</f>
        <v/>
      </c>
      <c r="H16" s="131" t="str">
        <f t="array" ref="H16">IF(C16="","",INDEX(Ejecucion[PC],SMALL(IF(($E$5=Ejecucion[No. Solicitud]),MATCH(ROW(Ejecucion[No. Solicitud]),ROW(Ejecucion[No. Solicitud])),""),ROWS($C$1:C8))))</f>
        <v/>
      </c>
      <c r="I16" s="131" t="str">
        <f t="array" ref="I16">IF(C16="","",INDEX(Ejecucion[Grupo],SMALL(IF(($E$5=Ejecucion[No. Solicitud]),MATCH(ROW(Ejecucion[No. Solicitud]),ROW(Ejecucion[No. Solicitud])),""),ROWS($C$1:C8))))</f>
        <v/>
      </c>
      <c r="J16" s="131" t="str">
        <f t="array" ref="J16">IF(C16="","",INDEX(Ejecucion[Estado],SMALL(IF(($E$5=Ejecucion[No. Solicitud]),MATCH(ROW(Ejecucion[No. Solicitud]),ROW(Ejecucion[No. Solicitud])),""),ROWS($C$1:C8))))</f>
        <v/>
      </c>
      <c r="K16" s="134" t="str">
        <f t="array" ref="K16">IF(C16="","",INDEX(Ejecucion[Fecha Inicio],SMALL(IF(($E$5=Ejecucion[No. Solicitud]),MATCH(ROW(Ejecucion[No. Solicitud]),ROW(Ejecucion[No. Solicitud])),""),ROWS($C$1:C8))))</f>
        <v/>
      </c>
      <c r="L16" s="134" t="str">
        <f t="array" ref="L16">IF(C16="","",INDEX(Ejecucion[Fecha Fin],SMALL(IF(($E$5=Ejecucion[No. Solicitud]),MATCH(ROW(Ejecucion[No. Solicitud]),ROW(Ejecucion[No. Solicitud])),""),ROWS($C$1:C8))))</f>
        <v/>
      </c>
      <c r="M16" s="76"/>
    </row>
  </sheetData>
  <mergeCells count="2">
    <mergeCell ref="A1:M3"/>
    <mergeCell ref="F5:H5"/>
  </mergeCells>
  <pageMargins left="0.7" right="0.7" top="0.75" bottom="0.75" header="0.3" footer="0.3"/>
  <pageSetup orientation="portrait" horizontalDpi="429496729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BB116"/>
  <sheetViews>
    <sheetView showGridLines="0" zoomScale="70" zoomScaleNormal="70" zoomScaleSheetLayoutView="80" workbookViewId="0">
      <selection activeCell="G63" sqref="G63"/>
    </sheetView>
  </sheetViews>
  <sheetFormatPr baseColWidth="10" defaultColWidth="11" defaultRowHeight="14.4"/>
  <cols>
    <col min="1" max="1" width="12" style="3" customWidth="1"/>
    <col min="2" max="2" width="26" style="3" customWidth="1"/>
    <col min="3" max="3" width="27" style="3" customWidth="1"/>
    <col min="4" max="6" width="21" style="3" customWidth="1"/>
    <col min="7" max="16" width="11" style="3" customWidth="1"/>
    <col min="17" max="17" width="11" style="11" customWidth="1"/>
    <col min="18" max="32" width="11" style="12" customWidth="1"/>
    <col min="33" max="33" width="11" style="3" customWidth="1"/>
    <col min="34" max="34" width="11" style="4" customWidth="1"/>
    <col min="35" max="36" width="11" style="5" customWidth="1"/>
    <col min="37" max="39" width="11" style="3" customWidth="1"/>
    <col min="40" max="42" width="4" style="3" customWidth="1"/>
    <col min="43" max="50" width="11" style="3" customWidth="1"/>
    <col min="51" max="51" width="2" style="3" customWidth="1"/>
    <col min="52" max="54" width="11" style="3" customWidth="1"/>
    <col min="55" max="55" width="14" style="3" customWidth="1"/>
    <col min="56" max="56" width="11" style="3" customWidth="1"/>
    <col min="57" max="16384" width="11" style="3"/>
  </cols>
  <sheetData>
    <row r="1" spans="2:54" ht="39.15" customHeight="1">
      <c r="B1" s="32"/>
      <c r="C1" s="19" t="s">
        <v>8023</v>
      </c>
      <c r="D1" s="20">
        <f ca="1">TODAY()</f>
        <v>46310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AG1" s="32"/>
      <c r="AH1" s="39"/>
      <c r="AI1" s="40"/>
      <c r="AJ1" s="40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</row>
    <row r="2" spans="2:54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AG2" s="32"/>
      <c r="AH2" s="39"/>
      <c r="AI2" s="40"/>
      <c r="AJ2" s="40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>
        <f>IF(AQ13="","",SUMIF(Registro!$M$8:$M$997,Reportes!AQ13,Registro!$U$8:$U$997))</f>
        <v>52</v>
      </c>
      <c r="AV2" s="32"/>
      <c r="AW2" s="32"/>
      <c r="AX2" s="32"/>
      <c r="AY2" s="32"/>
      <c r="AZ2" s="32"/>
      <c r="BA2" s="32"/>
      <c r="BB2" s="32"/>
    </row>
    <row r="3" spans="2:54" ht="18" hidden="1" customHeight="1">
      <c r="B3" s="229" t="s">
        <v>8024</v>
      </c>
      <c r="C3" s="230"/>
      <c r="D3" s="230"/>
      <c r="E3" s="230"/>
      <c r="F3" s="230"/>
      <c r="G3" s="32"/>
      <c r="H3" s="32"/>
      <c r="I3" s="32"/>
      <c r="J3" s="32"/>
      <c r="K3" s="32"/>
      <c r="L3" s="32"/>
      <c r="M3" s="32"/>
      <c r="N3" s="32"/>
      <c r="O3" s="32"/>
      <c r="P3" s="32"/>
      <c r="AG3" s="32"/>
      <c r="AH3" s="39"/>
      <c r="AI3" s="40"/>
      <c r="AJ3" s="40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</row>
    <row r="4" spans="2:54" ht="15.6" hidden="1" customHeight="1">
      <c r="B4" s="6" t="s">
        <v>27</v>
      </c>
      <c r="C4" s="6" t="s">
        <v>16</v>
      </c>
      <c r="D4" s="6" t="s">
        <v>17</v>
      </c>
      <c r="E4" s="6" t="s">
        <v>18</v>
      </c>
      <c r="F4" s="6" t="s">
        <v>19</v>
      </c>
      <c r="G4" s="32"/>
      <c r="H4" s="32"/>
      <c r="I4" s="32"/>
      <c r="J4" s="32"/>
      <c r="K4" s="32"/>
      <c r="L4" s="32"/>
      <c r="M4" s="32"/>
      <c r="N4" s="32"/>
      <c r="O4" s="32"/>
      <c r="P4" s="32"/>
      <c r="AG4" s="32"/>
      <c r="AH4" s="39"/>
      <c r="AI4" s="40"/>
      <c r="AJ4" s="40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</row>
    <row r="5" spans="2:54" hidden="1">
      <c r="B5" s="41" t="s">
        <v>8025</v>
      </c>
      <c r="C5" s="41">
        <f>COUNTIFS(Registro!D8:D997,"Abierto",Registro!E8:E997,"Urgente")</f>
        <v>2</v>
      </c>
      <c r="D5" s="41">
        <f>COUNTIFS(Registro!D8:D997,"Abierto",Registro!E8:E997,"Alta")</f>
        <v>8</v>
      </c>
      <c r="E5" s="41">
        <f>COUNTIFS(Registro!D8:D997,"Abierto",Registro!E8:E997,"Media")</f>
        <v>8</v>
      </c>
      <c r="F5" s="41">
        <f>COUNTIFS(Registro!D8:D997,"Abierto",Registro!E8:E997,"Baja")</f>
        <v>26</v>
      </c>
      <c r="G5" s="32"/>
      <c r="H5" s="32"/>
      <c r="I5" s="32"/>
      <c r="J5" s="32"/>
      <c r="K5" s="32"/>
      <c r="L5" s="32"/>
      <c r="M5" s="32"/>
      <c r="N5" s="32"/>
      <c r="O5" s="32"/>
      <c r="P5" s="32"/>
      <c r="AG5" s="32"/>
      <c r="AH5" s="39"/>
      <c r="AI5" s="40"/>
      <c r="AJ5" s="40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</row>
    <row r="6" spans="2:54" hidden="1">
      <c r="B6" s="41" t="s">
        <v>8026</v>
      </c>
      <c r="C6" s="41">
        <f>COUNTIFS(Registro!D8:D997,"Resuelto",Registro!E8:E997,"Urgente")</f>
        <v>10</v>
      </c>
      <c r="D6" s="41">
        <f>COUNTIFS(Registro!D8:D997,"Resuelto",Registro!E8:E997,"Alta")</f>
        <v>2</v>
      </c>
      <c r="E6" s="41">
        <f>COUNTIFS(Registro!D8:D997,"Resuelto",Registro!E8:E997,"Media")</f>
        <v>15</v>
      </c>
      <c r="F6" s="41">
        <f>COUNTIFS(Registro!D8:D997,"Resuelto",Registro!E8:E997,"Baja")</f>
        <v>40</v>
      </c>
      <c r="G6" s="32"/>
      <c r="H6" s="32"/>
      <c r="I6" s="32"/>
      <c r="J6" s="32"/>
      <c r="K6" s="32"/>
      <c r="L6" s="32"/>
      <c r="M6" s="32"/>
      <c r="N6" s="32"/>
      <c r="O6" s="32"/>
      <c r="P6" s="32"/>
      <c r="AG6" s="32"/>
      <c r="AH6" s="39"/>
      <c r="AI6" s="40"/>
      <c r="AJ6" s="40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</row>
    <row r="7" spans="2:54" hidden="1">
      <c r="B7" s="1" t="s">
        <v>77</v>
      </c>
      <c r="C7" s="41">
        <f>COUNTIFS(Registro!D8:D997,"Cancelado",Registro!E8:E997,"Urgente")</f>
        <v>0</v>
      </c>
      <c r="D7" s="41">
        <f>COUNTIFS(Registro!D8:D997,"Cancelado",Registro!E8:E997,"Alta")</f>
        <v>0</v>
      </c>
      <c r="E7" s="41">
        <f>COUNTIFS(Registro!D8:D997,"Cancelado",Registro!E8:E997,"Media")</f>
        <v>0</v>
      </c>
      <c r="F7" s="41">
        <f>COUNTIFS(Registro!D8:D997,"Cancelado",Registro!E8:E997,"Baja")</f>
        <v>2</v>
      </c>
      <c r="G7" s="32"/>
      <c r="H7" s="32"/>
      <c r="I7" s="32"/>
      <c r="J7" s="32"/>
      <c r="K7" s="32"/>
      <c r="L7" s="32"/>
      <c r="M7" s="32"/>
      <c r="N7" s="32"/>
      <c r="O7" s="32"/>
      <c r="P7" s="32"/>
      <c r="AG7" s="32"/>
      <c r="AH7" s="39"/>
      <c r="AI7" s="40"/>
      <c r="AJ7" s="40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</row>
    <row r="8" spans="2:54" hidden="1">
      <c r="B8" s="41" t="s">
        <v>8027</v>
      </c>
      <c r="C8" s="42">
        <f>IF(C5+C6=0,"",C6/SUM(C5:C6))</f>
        <v>0.83333333333333337</v>
      </c>
      <c r="D8" s="42">
        <f>IF(D5+D6=0,"",D6/SUM(D5:D6))</f>
        <v>0.2</v>
      </c>
      <c r="E8" s="42">
        <f>IF(E5+E6=0,"",E6/SUM(E5:E6))</f>
        <v>0.65217391304347827</v>
      </c>
      <c r="F8" s="42">
        <f>IF(F5+F6=0,"",F6/SUM(F5:F6))</f>
        <v>0.60606060606060608</v>
      </c>
      <c r="G8" s="32"/>
      <c r="H8" s="32"/>
      <c r="I8" s="32"/>
      <c r="J8" s="32"/>
      <c r="K8" s="32"/>
      <c r="L8" s="32"/>
      <c r="M8" s="32"/>
      <c r="N8" s="32"/>
      <c r="O8" s="32"/>
      <c r="P8" s="32"/>
      <c r="AG8" s="32"/>
      <c r="AH8" s="39"/>
      <c r="AI8" s="40"/>
      <c r="AJ8" s="40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</row>
    <row r="9" spans="2:54">
      <c r="B9" s="32"/>
      <c r="C9" s="40"/>
      <c r="D9" s="40"/>
      <c r="E9" s="40"/>
      <c r="F9" s="40"/>
      <c r="G9" s="32"/>
      <c r="H9" s="32"/>
      <c r="I9" s="32"/>
      <c r="J9" s="32"/>
      <c r="K9" s="32"/>
      <c r="L9" s="32"/>
      <c r="M9" s="32"/>
      <c r="N9" s="32"/>
      <c r="O9" s="32"/>
      <c r="P9" s="32"/>
      <c r="AG9" s="32"/>
      <c r="AH9" s="39"/>
      <c r="AI9" s="40"/>
      <c r="AJ9" s="40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</row>
    <row r="10" spans="2:54" ht="15" customHeight="1">
      <c r="B10" s="7"/>
      <c r="C10" s="40"/>
      <c r="D10" s="40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AG10" s="32"/>
      <c r="AH10" s="39"/>
      <c r="AI10" s="40"/>
      <c r="AJ10" s="40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</row>
    <row r="11" spans="2:54">
      <c r="B11" s="32"/>
      <c r="C11" s="32"/>
      <c r="D11" s="40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AG11" s="32"/>
      <c r="AH11" s="39"/>
      <c r="AI11" s="40"/>
      <c r="AJ11" s="40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</row>
    <row r="12" spans="2:54">
      <c r="B12" s="32"/>
      <c r="C12" s="32"/>
      <c r="D12" s="40"/>
      <c r="E12" s="40"/>
      <c r="F12" s="40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41" t="s">
        <v>8026</v>
      </c>
      <c r="AM12" s="42">
        <f>IF(SUM(C5:F6)=0,0,SUM(C6:F6)/SUM(C5:F6))</f>
        <v>0.60360360360360366</v>
      </c>
      <c r="AN12" s="32"/>
      <c r="AO12" s="32"/>
      <c r="AP12" s="32"/>
      <c r="AQ12" s="13" t="s">
        <v>30</v>
      </c>
      <c r="AR12" s="14" t="s">
        <v>8025</v>
      </c>
      <c r="AS12" s="14" t="s">
        <v>8026</v>
      </c>
      <c r="AT12" s="12" t="s">
        <v>8028</v>
      </c>
      <c r="AU12" s="12" t="s">
        <v>8029</v>
      </c>
      <c r="AV12" s="12" t="s">
        <v>8030</v>
      </c>
      <c r="AW12" s="12" t="s">
        <v>8031</v>
      </c>
      <c r="AX12" s="12" t="s">
        <v>8032</v>
      </c>
      <c r="AY12" s="8"/>
      <c r="AZ12" s="43" t="s">
        <v>30</v>
      </c>
      <c r="BA12" s="41" t="s">
        <v>8025</v>
      </c>
      <c r="BB12" s="41" t="s">
        <v>8026</v>
      </c>
    </row>
    <row r="13" spans="2:54">
      <c r="B13" s="32"/>
      <c r="C13" s="40"/>
      <c r="D13" s="40"/>
      <c r="E13" s="40"/>
      <c r="F13" s="40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41" t="s">
        <v>8025</v>
      </c>
      <c r="AM13" s="42">
        <f>IF(SUM(C5:F6)=0,0,SUM(C5:F5)/SUM(C5:F6))</f>
        <v>0.3963963963963964</v>
      </c>
      <c r="AN13" s="32"/>
      <c r="AO13" s="32"/>
      <c r="AP13" s="32"/>
      <c r="AQ13" s="11" t="str">
        <f>Programación!Y9</f>
        <v>Gestor 1</v>
      </c>
      <c r="AR13" s="12">
        <f>IF(AQ13="","",COUNTIFS(Registro!$M$8:$M$997,Reportes!AQ13,Registro!$D$8:$D$997,"Abierto"))</f>
        <v>10</v>
      </c>
      <c r="AS13" s="12">
        <f>IF(AQ13="","",COUNTIFS(Registro!$M$8:$M$997,Reportes!AQ13,Registro!$D$8:$D$997,"Resuelto"))</f>
        <v>17</v>
      </c>
      <c r="AT13" s="12">
        <f t="shared" ref="AT13:AT39" si="0">IF(AQ13="","",AU13-AV13-AW13-AX13)</f>
        <v>-4</v>
      </c>
      <c r="AU13" s="12">
        <f>IF(AQ13="","",SUMIF(Registro!$M$8:$M$997,Reportes!AQ13,Registro!$U$8:$U$997))</f>
        <v>52</v>
      </c>
      <c r="AV13" s="12">
        <f>IF(AQ13="","",SUMIF(Registro!$M$8:$M$997,Reportes!AQ13,Registro!$W$8:$W$997))</f>
        <v>38</v>
      </c>
      <c r="AW13" s="12">
        <f>IF(AQ13="","",SUMIF(Registro!$M$8:$M$997,Reportes!AQ13,Registro!$X$8:$X$997))</f>
        <v>1</v>
      </c>
      <c r="AX13" s="12">
        <f>IF(AQ13="","",SUMIF(Registro!$M$8:$M$997,Reportes!AQ13,Registro!$Y$8:$Y$997))</f>
        <v>17</v>
      </c>
      <c r="AY13" s="8"/>
      <c r="AZ13" s="9" t="str">
        <f>Programación!Y9</f>
        <v>Gestor 1</v>
      </c>
      <c r="BA13" s="10">
        <f>IF(AZ13="","",IF(COUNTIFS(Registro!$M$8:$M$997,Reportes!AZ13,Registro!$D$8:$D$997,"Abierto")=0,NA(),COUNTIFS(Registro!$M$8:$M$997,Reportes!AZ13,Registro!$D$8:$D$997,"Abierto")))</f>
        <v>10</v>
      </c>
      <c r="BB13" s="10">
        <f>IF(AZ13="","",IF(COUNTIFS(Registro!$M$8:$M$997,Reportes!AZ13,Registro!$D$8:$D$997,"Resuelto")=0,NA(),COUNTIFS(Registro!$M$8:$M$997,Reportes!AZ13,Registro!$D$8:$D$997,"Resuelto")))</f>
        <v>17</v>
      </c>
    </row>
    <row r="14" spans="2:54">
      <c r="B14" s="32"/>
      <c r="C14" s="40"/>
      <c r="D14" s="40"/>
      <c r="E14" s="40"/>
      <c r="F14" s="40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11" t="str">
        <f>Programación!Y10</f>
        <v>Gestor 4</v>
      </c>
      <c r="AR14" s="12">
        <f>IF(AQ14="","",COUNTIFS(Registro!$M$8:$M$997,Reportes!AQ14,Registro!$D$8:$D$997,"Abierto"))</f>
        <v>10</v>
      </c>
      <c r="AS14" s="12">
        <f>IF(AQ14="","",COUNTIFS(Registro!$M$8:$M$997,Reportes!AQ14,Registro!$D$8:$D$997,"Resuelto"))</f>
        <v>5</v>
      </c>
      <c r="AT14" s="12">
        <f t="shared" si="0"/>
        <v>8</v>
      </c>
      <c r="AU14" s="12">
        <f>IF(AQ14="","",SUMIF(Registro!$M$8:$M$997,Reportes!AQ14,Registro!$U$8:$U$997))</f>
        <v>25</v>
      </c>
      <c r="AV14" s="12">
        <f>IF(AQ14="","",SUMIF(Registro!$M$8:$M$997,Reportes!AQ14,Registro!$W$8:$W$997))</f>
        <v>9</v>
      </c>
      <c r="AW14" s="12">
        <f>IF(AQ14="","",SUMIF(Registro!$M$8:$M$997,Reportes!AQ14,Registro!$X$8:$X$997))</f>
        <v>0</v>
      </c>
      <c r="AX14" s="12">
        <f>IF(AQ14="","",SUMIF(Registro!$M$8:$M$997,Reportes!AQ14,Registro!$Y$8:$Y$997))</f>
        <v>8</v>
      </c>
      <c r="AY14" s="8"/>
      <c r="AZ14" s="9" t="str">
        <f>Programación!Y10</f>
        <v>Gestor 4</v>
      </c>
      <c r="BA14" s="10">
        <f>IF(AZ14="","",IF(COUNTIFS(Registro!$M$8:$M$997,Reportes!AZ14,Registro!$D$8:$D$997,"Abierto")=0,NA(),COUNTIFS(Registro!$M$8:$M$997,Reportes!AZ14,Registro!$D$8:$D$997,"Abierto")))</f>
        <v>10</v>
      </c>
      <c r="BB14" s="10">
        <f>IF(AZ14="","",IF(COUNTIFS(Registro!$M$8:$M$997,Reportes!AZ14,Registro!$D$8:$D$997,"Resuelto")=0,NA(),COUNTIFS(Registro!$M$8:$M$997,Reportes!AZ14,Registro!$D$8:$D$997,"Resuelto")))</f>
        <v>5</v>
      </c>
    </row>
    <row r="15" spans="2:54">
      <c r="B15" s="32"/>
      <c r="C15" s="40"/>
      <c r="D15" s="40"/>
      <c r="E15" s="40"/>
      <c r="F15" s="40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11" t="str">
        <f>Programación!Y11</f>
        <v>Gestor 5</v>
      </c>
      <c r="AR15" s="12">
        <f>IF(AQ15="","",COUNTIFS(Registro!$M$8:$M$997,Reportes!AQ15,Registro!$D$8:$D$997,"Abierto"))</f>
        <v>7</v>
      </c>
      <c r="AS15" s="12">
        <f>IF(AQ15="","",COUNTIFS(Registro!$M$8:$M$997,Reportes!AQ15,Registro!$D$8:$D$997,"Resuelto"))</f>
        <v>11</v>
      </c>
      <c r="AT15" s="12">
        <f t="shared" si="0"/>
        <v>5</v>
      </c>
      <c r="AU15" s="12">
        <f>IF(AQ15="","",SUMIF(Registro!$M$8:$M$997,Reportes!AQ15,Registro!$U$8:$U$997))</f>
        <v>47</v>
      </c>
      <c r="AV15" s="12">
        <f>IF(AQ15="","",SUMIF(Registro!$M$8:$M$997,Reportes!AQ15,Registro!$W$8:$W$997))</f>
        <v>18</v>
      </c>
      <c r="AW15" s="12">
        <f>IF(AQ15="","",SUMIF(Registro!$M$8:$M$997,Reportes!AQ15,Registro!$X$8:$X$997))</f>
        <v>1</v>
      </c>
      <c r="AX15" s="12">
        <f>IF(AQ15="","",SUMIF(Registro!$M$8:$M$997,Reportes!AQ15,Registro!$Y$8:$Y$997))</f>
        <v>23</v>
      </c>
      <c r="AY15" s="8"/>
      <c r="AZ15" s="9" t="str">
        <f>Programación!Y11</f>
        <v>Gestor 5</v>
      </c>
      <c r="BA15" s="10">
        <f>IF(AZ15="","",IF(COUNTIFS(Registro!$M$8:$M$997,Reportes!AZ15,Registro!$D$8:$D$997,"Abierto")=0,NA(),COUNTIFS(Registro!$M$8:$M$997,Reportes!AZ15,Registro!$D$8:$D$997,"Abierto")))</f>
        <v>7</v>
      </c>
      <c r="BB15" s="10">
        <f>IF(AZ15="","",IF(COUNTIFS(Registro!$M$8:$M$997,Reportes!AZ15,Registro!$D$8:$D$997,"Resuelto")=0,NA(),COUNTIFS(Registro!$M$8:$M$997,Reportes!AZ15,Registro!$D$8:$D$997,"Resuelto")))</f>
        <v>11</v>
      </c>
    </row>
    <row r="16" spans="2:54">
      <c r="B16" s="32"/>
      <c r="C16" s="40"/>
      <c r="D16" s="40"/>
      <c r="E16" s="40"/>
      <c r="F16" s="40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41" t="s">
        <v>16</v>
      </c>
      <c r="AM16" s="41" t="e">
        <f>IF(COUNTIFS(Registro!D8:D997,"Resuelto",Registro!E8:E997,"Urgente")=0,0,SUMIF(Registro!E8:E997,"Urgente",Registro!#REF!)/COUNTIFS(Registro!D8:D997,"Resuelto",Registro!E8:E997,"Urgente"))</f>
        <v>#REF!</v>
      </c>
      <c r="AN16" s="32"/>
      <c r="AO16" s="32"/>
      <c r="AP16" s="32"/>
      <c r="AQ16" s="11" t="str">
        <f>Programación!Y12</f>
        <v>Gestor 3</v>
      </c>
      <c r="AR16" s="12">
        <f>IF(AQ16="","",COUNTIFS(Registro!$M$8:$M$997,Reportes!AQ16,Registro!$D$8:$D$997,"Abierto"))</f>
        <v>10</v>
      </c>
      <c r="AS16" s="12">
        <f>IF(AQ16="","",COUNTIFS(Registro!$M$8:$M$997,Reportes!AQ16,Registro!$D$8:$D$997,"Resuelto"))</f>
        <v>15</v>
      </c>
      <c r="AT16" s="12">
        <f t="shared" si="0"/>
        <v>0</v>
      </c>
      <c r="AU16" s="12">
        <f>IF(AQ16="","",SUMIF(Registro!$M$8:$M$997,Reportes!AQ16,Registro!$U$8:$U$997))</f>
        <v>42</v>
      </c>
      <c r="AV16" s="12">
        <f>IF(AQ16="","",SUMIF(Registro!$M$8:$M$997,Reportes!AQ16,Registro!$W$8:$W$997))</f>
        <v>26</v>
      </c>
      <c r="AW16" s="12">
        <f>IF(AQ16="","",SUMIF(Registro!$M$8:$M$997,Reportes!AQ16,Registro!$X$8:$X$997))</f>
        <v>0</v>
      </c>
      <c r="AX16" s="12">
        <f>IF(AQ16="","",SUMIF(Registro!$M$8:$M$997,Reportes!AQ16,Registro!$Y$8:$Y$997))</f>
        <v>16</v>
      </c>
      <c r="AY16" s="8"/>
      <c r="AZ16" s="9" t="str">
        <f>Programación!Y12</f>
        <v>Gestor 3</v>
      </c>
      <c r="BA16" s="10">
        <f>IF(AZ16="","",IF(COUNTIFS(Registro!$M$8:$M$997,Reportes!AZ16,Registro!$D$8:$D$997,"Abierto")=0,NA(),COUNTIFS(Registro!$M$8:$M$997,Reportes!AZ16,Registro!$D$8:$D$997,"Abierto")))</f>
        <v>10</v>
      </c>
      <c r="BB16" s="10">
        <f>IF(AZ16="","",IF(COUNTIFS(Registro!$M$8:$M$997,Reportes!AZ16,Registro!$D$8:$D$997,"Resuelto")=0,NA(),COUNTIFS(Registro!$M$8:$M$997,Reportes!AZ16,Registro!$D$8:$D$997,"Resuelto")))</f>
        <v>15</v>
      </c>
    </row>
    <row r="17" spans="2:54">
      <c r="B17" s="32"/>
      <c r="C17" s="40"/>
      <c r="D17" s="40"/>
      <c r="E17" s="40"/>
      <c r="F17" s="40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41" t="s">
        <v>17</v>
      </c>
      <c r="AM17" s="41" t="e">
        <f>IF(COUNTIFS(Registro!D8:D997,"Resuelto",Registro!E8:E997,"Alta")=0,0,SUMIF(Registro!E8:E997,"Alta",Registro!#REF!)/COUNTIFS(Registro!D8:D997,"Resuelto",Registro!E8:E997,"Alta"))</f>
        <v>#REF!</v>
      </c>
      <c r="AN17" s="32"/>
      <c r="AO17" s="32"/>
      <c r="AP17" s="32"/>
      <c r="AQ17" s="11" t="str">
        <f>Programación!Y13</f>
        <v>Gestor 2</v>
      </c>
      <c r="AR17" s="12">
        <f>IF(AQ17="","",COUNTIFS(Registro!$M$8:$M$997,Reportes!AQ17,Registro!$D$8:$D$997,"Abierto"))</f>
        <v>7</v>
      </c>
      <c r="AS17" s="12">
        <f>IF(AQ17="","",COUNTIFS(Registro!$M$8:$M$997,Reportes!AQ17,Registro!$D$8:$D$997,"Resuelto"))</f>
        <v>19</v>
      </c>
      <c r="AT17" s="12">
        <f t="shared" si="0"/>
        <v>1</v>
      </c>
      <c r="AU17" s="12">
        <f>IF(AQ17="","",SUMIF(Registro!$M$8:$M$997,Reportes!AQ17,Registro!$U$8:$U$997))</f>
        <v>165</v>
      </c>
      <c r="AV17" s="12">
        <f>IF(AQ17="","",SUMIF(Registro!$M$8:$M$997,Reportes!AQ17,Registro!$W$8:$W$997))</f>
        <v>140</v>
      </c>
      <c r="AW17" s="12">
        <f>IF(AQ17="","",SUMIF(Registro!$M$8:$M$997,Reportes!AQ17,Registro!$X$8:$X$997))</f>
        <v>15</v>
      </c>
      <c r="AX17" s="12">
        <f>IF(AQ17="","",SUMIF(Registro!$M$8:$M$997,Reportes!AQ17,Registro!$Y$8:$Y$997))</f>
        <v>9</v>
      </c>
      <c r="AY17" s="8"/>
      <c r="AZ17" s="9" t="str">
        <f>Programación!Y13</f>
        <v>Gestor 2</v>
      </c>
      <c r="BA17" s="10">
        <f>IF(AZ17="","",IF(COUNTIFS(Registro!$M$8:$M$997,Reportes!AZ17,Registro!$D$8:$D$997,"Abierto")=0,NA(),COUNTIFS(Registro!$M$8:$M$997,Reportes!AZ17,Registro!$D$8:$D$997,"Abierto")))</f>
        <v>7</v>
      </c>
      <c r="BB17" s="10">
        <f>IF(AZ17="","",IF(COUNTIFS(Registro!$M$8:$M$997,Reportes!AZ17,Registro!$D$8:$D$997,"Resuelto")=0,NA(),COUNTIFS(Registro!$M$8:$M$997,Reportes!AZ17,Registro!$D$8:$D$997,"Resuelto")))</f>
        <v>19</v>
      </c>
    </row>
    <row r="18" spans="2:54">
      <c r="B18" s="32"/>
      <c r="C18" s="40"/>
      <c r="D18" s="40"/>
      <c r="E18" s="40"/>
      <c r="F18" s="40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41" t="s">
        <v>18</v>
      </c>
      <c r="AM18" s="41" t="e">
        <f>IF(COUNTIFS(Registro!D8:D997,"Resuelto",Registro!E8:E997,"Media")=0,0,SUMIF(Registro!E8:E997,"Media",Registro!#REF!)/COUNTIFS(Registro!D8:D997,"Resuelto",Registro!E8:E997,"Media"))</f>
        <v>#REF!</v>
      </c>
      <c r="AN18" s="32"/>
      <c r="AO18" s="32"/>
      <c r="AP18" s="32"/>
      <c r="AQ18" s="11" t="str">
        <f>Programación!Y14</f>
        <v/>
      </c>
      <c r="AR18" s="12" t="str">
        <f>IF(AQ18="","",COUNTIFS(Registro!$M$8:$M$997,Reportes!AQ18,Registro!$D$8:$D$997,"Abierto"))</f>
        <v/>
      </c>
      <c r="AS18" s="12" t="str">
        <f>IF(AQ18="","",COUNTIFS(Registro!$M$8:$M$997,Reportes!AQ18,Registro!$D$8:$D$997,"Resuelto"))</f>
        <v/>
      </c>
      <c r="AT18" s="12" t="str">
        <f t="shared" si="0"/>
        <v/>
      </c>
      <c r="AU18" s="12" t="str">
        <f>IF(AQ18="","",SUMIF(Registro!$M$8:$M$997,Reportes!AQ18,Registro!$U$8:$U$997))</f>
        <v/>
      </c>
      <c r="AV18" s="12" t="str">
        <f>IF(AQ18="","",SUMIF(Registro!$M$8:$M$997,Reportes!AQ18,Registro!$W$8:$W$997))</f>
        <v/>
      </c>
      <c r="AW18" s="12" t="str">
        <f>IF(AQ18="","",SUMIF(Registro!$M$8:$M$997,Reportes!AQ18,Registro!$X$8:$X$997))</f>
        <v/>
      </c>
      <c r="AX18" s="12" t="str">
        <f>IF(AQ18="","",SUMIF(Registro!$M$8:$M$997,Reportes!AQ18,Registro!$Y$8:$Y$997))</f>
        <v/>
      </c>
      <c r="AY18" s="32"/>
      <c r="AZ18" s="9" t="str">
        <f>Programación!Y14</f>
        <v/>
      </c>
      <c r="BA18" s="10" t="str">
        <f>IF(AZ18="","",IF(COUNTIFS(Registro!$M$8:$M$997,Reportes!AZ18,Registro!$D$8:$D$997,"Abierto")=0,NA(),COUNTIFS(Registro!$M$8:$M$997,Reportes!AZ18,Registro!$D$8:$D$997,"Abierto")))</f>
        <v/>
      </c>
      <c r="BB18" s="10" t="str">
        <f>IF(AZ18="","",IF(COUNTIFS(Registro!$M$8:$M$997,Reportes!AZ18,Registro!$D$8:$D$997,"Resuelto")=0,NA(),COUNTIFS(Registro!$M$8:$M$997,Reportes!AZ18,Registro!$D$8:$D$997,"Resuelto")))</f>
        <v/>
      </c>
    </row>
    <row r="19" spans="2:54">
      <c r="B19" s="32"/>
      <c r="C19" s="40"/>
      <c r="D19" s="40"/>
      <c r="E19" s="40"/>
      <c r="F19" s="40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41" t="s">
        <v>19</v>
      </c>
      <c r="AM19" s="41" t="e">
        <f>IF(COUNTIFS(Registro!D8:D997,"Resuelto",Registro!E8:E997,"Baja")=0,0,SUMIF(Registro!E8:E997,"Baja",Registro!#REF!)/COUNTIFS(Registro!D8:D997,"Resuelto",Registro!E8:E997,"Baja"))</f>
        <v>#REF!</v>
      </c>
      <c r="AN19" s="32"/>
      <c r="AO19" s="32"/>
      <c r="AP19" s="32"/>
      <c r="AQ19" s="11" t="str">
        <f>Programación!Y15</f>
        <v/>
      </c>
      <c r="AR19" s="12" t="str">
        <f>IF(AQ19="","",COUNTIFS(Registro!$M$8:$M$997,Reportes!AQ19,Registro!$D$8:$D$997,"Abierto"))</f>
        <v/>
      </c>
      <c r="AS19" s="12" t="str">
        <f>IF(AQ19="","",COUNTIFS(Registro!$M$8:$M$997,Reportes!AQ19,Registro!$D$8:$D$997,"Resuelto"))</f>
        <v/>
      </c>
      <c r="AT19" s="12" t="str">
        <f t="shared" si="0"/>
        <v/>
      </c>
      <c r="AU19" s="12" t="str">
        <f>IF(AQ19="","",SUMIF(Registro!$M$8:$M$997,Reportes!AQ19,Registro!$U$8:$U$997))</f>
        <v/>
      </c>
      <c r="AV19" s="12" t="str">
        <f>IF(AQ19="","",SUMIF(Registro!$M$8:$M$997,Reportes!AQ19,Registro!$W$8:$W$997))</f>
        <v/>
      </c>
      <c r="AW19" s="12" t="str">
        <f>IF(AQ19="","",SUMIF(Registro!$M$8:$M$997,Reportes!AQ19,Registro!$X$8:$X$997))</f>
        <v/>
      </c>
      <c r="AX19" s="12" t="str">
        <f>IF(AQ19="","",SUMIF(Registro!$M$8:$M$997,Reportes!AQ19,Registro!$Y$8:$Y$997))</f>
        <v/>
      </c>
      <c r="AY19" s="32"/>
      <c r="AZ19" s="9" t="str">
        <f>Programación!Y15</f>
        <v/>
      </c>
      <c r="BA19" s="10" t="str">
        <f>IF(AZ19="","",IF(COUNTIFS(Registro!$M$8:$M$997,Reportes!AZ19,Registro!$D$8:$D$997,"Abierto")=0,NA(),COUNTIFS(Registro!$M$8:$M$997,Reportes!AZ19,Registro!$D$8:$D$997,"Abierto")))</f>
        <v/>
      </c>
      <c r="BB19" s="10" t="str">
        <f>IF(AZ19="","",IF(COUNTIFS(Registro!$M$8:$M$997,Reportes!AZ19,Registro!$D$8:$D$997,"Resuelto")=0,NA(),COUNTIFS(Registro!$M$8:$M$997,Reportes!AZ19,Registro!$D$8:$D$997,"Resuelto")))</f>
        <v/>
      </c>
    </row>
    <row r="20" spans="2:54">
      <c r="B20" s="32"/>
      <c r="C20" s="40"/>
      <c r="D20" s="40"/>
      <c r="E20" s="40"/>
      <c r="F20" s="40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11" t="str">
        <f>Programación!Y16</f>
        <v/>
      </c>
      <c r="AR20" s="12" t="str">
        <f>IF(AQ20="","",COUNTIFS(Registro!$M$8:$M$997,Reportes!AQ20,Registro!$D$8:$D$997,"Abierto"))</f>
        <v/>
      </c>
      <c r="AS20" s="12" t="str">
        <f>IF(AQ20="","",COUNTIFS(Registro!$M$8:$M$997,Reportes!AQ20,Registro!$D$8:$D$997,"Resuelto"))</f>
        <v/>
      </c>
      <c r="AT20" s="12" t="str">
        <f t="shared" si="0"/>
        <v/>
      </c>
      <c r="AU20" s="12" t="str">
        <f>IF(AQ20="","",SUMIF(Registro!$M$8:$M$997,Reportes!AQ20,Registro!$U$8:$U$997))</f>
        <v/>
      </c>
      <c r="AV20" s="12" t="str">
        <f>IF(AQ20="","",SUMIF(Registro!$M$8:$M$997,Reportes!AQ20,Registro!$W$8:$W$997))</f>
        <v/>
      </c>
      <c r="AW20" s="12" t="str">
        <f>IF(AQ20="","",SUMIF(Registro!$M$8:$M$997,Reportes!AQ20,Registro!$X$8:$X$997))</f>
        <v/>
      </c>
      <c r="AX20" s="12" t="str">
        <f>IF(AQ20="","",SUMIF(Registro!$M$8:$M$997,Reportes!AQ20,Registro!$Y$8:$Y$997))</f>
        <v/>
      </c>
      <c r="AY20" s="32"/>
      <c r="AZ20" s="9" t="str">
        <f>Programación!Y16</f>
        <v/>
      </c>
      <c r="BA20" s="10" t="str">
        <f>IF(AZ20="","",IF(COUNTIFS(Registro!$M$8:$M$997,Reportes!AZ20,Registro!$D$8:$D$997,"Abierto")=0,NA(),COUNTIFS(Registro!$M$8:$M$997,Reportes!AZ20,Registro!$D$8:$D$997,"Abierto")))</f>
        <v/>
      </c>
      <c r="BB20" s="10" t="str">
        <f>IF(AZ20="","",IF(COUNTIFS(Registro!$M$8:$M$997,Reportes!AZ20,Registro!$D$8:$D$997,"Resuelto")=0,NA(),COUNTIFS(Registro!$M$8:$M$997,Reportes!AZ20,Registro!$D$8:$D$997,"Resuelto")))</f>
        <v/>
      </c>
    </row>
    <row r="21" spans="2:54">
      <c r="B21" s="32"/>
      <c r="C21" s="40"/>
      <c r="D21" s="40"/>
      <c r="E21" s="40"/>
      <c r="F21" s="40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11" t="str">
        <f>Programación!Y17</f>
        <v/>
      </c>
      <c r="AR21" s="12" t="str">
        <f>IF(AQ21="","",COUNTIFS(Registro!$M$8:$M$997,Reportes!AQ21,Registro!$D$8:$D$997,"Abierto"))</f>
        <v/>
      </c>
      <c r="AS21" s="12" t="str">
        <f>IF(AQ21="","",COUNTIFS(Registro!$M$8:$M$997,Reportes!AQ21,Registro!$D$8:$D$997,"Resuelto"))</f>
        <v/>
      </c>
      <c r="AT21" s="12" t="str">
        <f t="shared" si="0"/>
        <v/>
      </c>
      <c r="AU21" s="12" t="str">
        <f>IF(AQ21="","",SUMIF(Registro!$M$8:$M$997,Reportes!AQ21,Registro!$U$8:$U$997))</f>
        <v/>
      </c>
      <c r="AV21" s="12" t="str">
        <f>IF(AQ21="","",SUMIF(Registro!$M$8:$M$997,Reportes!AQ21,Registro!$W$8:$W$997))</f>
        <v/>
      </c>
      <c r="AW21" s="12" t="str">
        <f>IF(AQ21="","",SUMIF(Registro!$M$8:$M$997,Reportes!AQ21,Registro!$X$8:$X$997))</f>
        <v/>
      </c>
      <c r="AX21" s="12" t="str">
        <f>IF(AQ21="","",SUMIF(Registro!$M$8:$M$997,Reportes!AQ21,Registro!$Y$8:$Y$997))</f>
        <v/>
      </c>
      <c r="AY21" s="32"/>
      <c r="AZ21" s="9" t="str">
        <f>Programación!Y17</f>
        <v/>
      </c>
      <c r="BA21" s="10" t="str">
        <f>IF(AZ21="","",IF(COUNTIFS(Registro!$M$8:$M$997,Reportes!AZ21,Registro!$D$8:$D$997,"Abierto")=0,NA(),COUNTIFS(Registro!$M$8:$M$997,Reportes!AZ21,Registro!$D$8:$D$997,"Abierto")))</f>
        <v/>
      </c>
      <c r="BB21" s="10" t="str">
        <f>IF(AZ21="","",IF(COUNTIFS(Registro!$M$8:$M$997,Reportes!AZ21,Registro!$D$8:$D$997,"Resuelto")=0,NA(),COUNTIFS(Registro!$M$8:$M$997,Reportes!AZ21,Registro!$D$8:$D$997,"Resuelto")))</f>
        <v/>
      </c>
    </row>
    <row r="22" spans="2:54">
      <c r="B22" s="32"/>
      <c r="C22" s="40"/>
      <c r="D22" s="40"/>
      <c r="E22" s="40"/>
      <c r="F22" s="40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11" t="str">
        <f>Programación!Y18</f>
        <v/>
      </c>
      <c r="AR22" s="12" t="str">
        <f>IF(AQ22="","",COUNTIFS(Registro!$M$8:$M$997,Reportes!AQ22,Registro!$D$8:$D$997,"Abierto"))</f>
        <v/>
      </c>
      <c r="AS22" s="12" t="str">
        <f>IF(AQ22="","",COUNTIFS(Registro!$M$8:$M$997,Reportes!AQ22,Registro!$D$8:$D$997,"Resuelto"))</f>
        <v/>
      </c>
      <c r="AT22" s="12" t="str">
        <f t="shared" si="0"/>
        <v/>
      </c>
      <c r="AU22" s="12" t="str">
        <f>IF(AQ22="","",SUMIF(Registro!$M$8:$M$997,Reportes!AQ22,Registro!$U$8:$U$997))</f>
        <v/>
      </c>
      <c r="AV22" s="12" t="str">
        <f>IF(AQ22="","",SUMIF(Registro!$M$8:$M$997,Reportes!AQ22,Registro!$W$8:$W$997))</f>
        <v/>
      </c>
      <c r="AW22" s="12" t="str">
        <f>IF(AQ22="","",SUMIF(Registro!$M$8:$M$997,Reportes!AQ22,Registro!$X$8:$X$997))</f>
        <v/>
      </c>
      <c r="AX22" s="12" t="str">
        <f>IF(AQ22="","",SUMIF(Registro!$M$8:$M$997,Reportes!AQ22,Registro!$Y$8:$Y$997))</f>
        <v/>
      </c>
      <c r="AY22" s="32"/>
      <c r="AZ22" s="9" t="str">
        <f>Programación!Y18</f>
        <v/>
      </c>
      <c r="BA22" s="10" t="str">
        <f>IF(AZ22="","",IF(COUNTIFS(Registro!$M$8:$M$997,Reportes!AZ22,Registro!$D$8:$D$997,"Abierto")=0,NA(),COUNTIFS(Registro!$M$8:$M$997,Reportes!AZ22,Registro!$D$8:$D$997,"Abierto")))</f>
        <v/>
      </c>
      <c r="BB22" s="10" t="str">
        <f>IF(AZ22="","",IF(COUNTIFS(Registro!$M$8:$M$997,Reportes!AZ22,Registro!$D$8:$D$997,"Resuelto")=0,NA(),COUNTIFS(Registro!$M$8:$M$997,Reportes!AZ22,Registro!$D$8:$D$997,"Resuelto")))</f>
        <v/>
      </c>
    </row>
    <row r="23" spans="2:54">
      <c r="B23" s="32"/>
      <c r="C23" s="40"/>
      <c r="D23" s="40"/>
      <c r="E23" s="40"/>
      <c r="F23" s="40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11" t="str">
        <f>Programación!Y19</f>
        <v/>
      </c>
      <c r="AR23" s="12" t="str">
        <f>IF(AQ23="","",COUNTIFS(Registro!$M$8:$M$997,Reportes!AQ23,Registro!$D$8:$D$997,"Abierto"))</f>
        <v/>
      </c>
      <c r="AS23" s="12" t="str">
        <f>IF(AQ23="","",COUNTIFS(Registro!$M$8:$M$997,Reportes!AQ23,Registro!$D$8:$D$997,"Resuelto"))</f>
        <v/>
      </c>
      <c r="AT23" s="12" t="str">
        <f t="shared" si="0"/>
        <v/>
      </c>
      <c r="AU23" s="12" t="str">
        <f>IF(AQ23="","",SUMIF(Registro!$M$8:$M$997,Reportes!AQ23,Registro!$U$8:$U$997))</f>
        <v/>
      </c>
      <c r="AV23" s="12" t="str">
        <f>IF(AQ23="","",SUMIF(Registro!$M$8:$M$997,Reportes!AQ23,Registro!$W$8:$W$997))</f>
        <v/>
      </c>
      <c r="AW23" s="12" t="str">
        <f>IF(AQ23="","",SUMIF(Registro!$M$8:$M$997,Reportes!AQ23,Registro!$X$8:$X$997))</f>
        <v/>
      </c>
      <c r="AX23" s="12" t="str">
        <f>IF(AQ23="","",SUMIF(Registro!$M$8:$M$997,Reportes!AQ23,Registro!$Y$8:$Y$997))</f>
        <v/>
      </c>
      <c r="AY23" s="32"/>
      <c r="AZ23" s="9" t="str">
        <f>Programación!Y19</f>
        <v/>
      </c>
      <c r="BA23" s="10" t="str">
        <f>IF(AZ23="","",IF(COUNTIFS(Registro!$M$8:$M$997,Reportes!AZ23,Registro!$D$8:$D$997,"Abierto")=0,NA(),COUNTIFS(Registro!$M$8:$M$997,Reportes!AZ23,Registro!$D$8:$D$997,"Abierto")))</f>
        <v/>
      </c>
      <c r="BB23" s="10" t="str">
        <f>IF(AZ23="","",IF(COUNTIFS(Registro!$M$8:$M$997,Reportes!AZ23,Registro!$D$8:$D$997,"Resuelto")=0,NA(),COUNTIFS(Registro!$M$8:$M$997,Reportes!AZ23,Registro!$D$8:$D$997,"Resuelto")))</f>
        <v/>
      </c>
    </row>
    <row r="24" spans="2:54">
      <c r="B24" s="32"/>
      <c r="C24" s="40"/>
      <c r="D24" s="40"/>
      <c r="E24" s="40"/>
      <c r="F24" s="40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11" t="str">
        <f>Programación!Y20</f>
        <v/>
      </c>
      <c r="AR24" s="12" t="str">
        <f>IF(AQ24="","",COUNTIFS(Registro!$M$8:$M$997,Reportes!AQ24,Registro!$D$8:$D$997,"Abierto"))</f>
        <v/>
      </c>
      <c r="AS24" s="12" t="str">
        <f>IF(AQ24="","",COUNTIFS(Registro!$M$8:$M$997,Reportes!AQ24,Registro!$D$8:$D$997,"Resuelto"))</f>
        <v/>
      </c>
      <c r="AT24" s="12" t="str">
        <f t="shared" si="0"/>
        <v/>
      </c>
      <c r="AU24" s="12" t="str">
        <f>IF(AQ24="","",SUMIF(Registro!$M$8:$M$997,Reportes!AQ24,Registro!$U$8:$U$997))</f>
        <v/>
      </c>
      <c r="AV24" s="12" t="str">
        <f>IF(AQ24="","",SUMIF(Registro!$M$8:$M$997,Reportes!AQ24,Registro!$W$8:$W$997))</f>
        <v/>
      </c>
      <c r="AW24" s="12" t="str">
        <f>IF(AQ24="","",SUMIF(Registro!$M$8:$M$997,Reportes!AQ24,Registro!$X$8:$X$997))</f>
        <v/>
      </c>
      <c r="AX24" s="12" t="str">
        <f>IF(AQ24="","",SUMIF(Registro!$M$8:$M$997,Reportes!AQ24,Registro!$Y$8:$Y$997))</f>
        <v/>
      </c>
      <c r="AY24" s="32"/>
      <c r="AZ24" s="9" t="str">
        <f>Programación!Y20</f>
        <v/>
      </c>
      <c r="BA24" s="10" t="str">
        <f>IF(AZ24="","",IF(COUNTIFS(Registro!$M$8:$M$997,Reportes!AZ24,Registro!$D$8:$D$997,"Abierto")=0,NA(),COUNTIFS(Registro!$M$8:$M$997,Reportes!AZ24,Registro!$D$8:$D$997,"Abierto")))</f>
        <v/>
      </c>
      <c r="BB24" s="10" t="str">
        <f>IF(AZ24="","",IF(COUNTIFS(Registro!$M$8:$M$997,Reportes!AZ24,Registro!$D$8:$D$997,"Resuelto")=0,NA(),COUNTIFS(Registro!$M$8:$M$997,Reportes!AZ24,Registro!$D$8:$D$997,"Resuelto")))</f>
        <v/>
      </c>
    </row>
    <row r="25" spans="2:54">
      <c r="B25" s="7" t="s">
        <v>8033</v>
      </c>
      <c r="C25" s="40" t="s">
        <v>8034</v>
      </c>
      <c r="D25" s="40"/>
      <c r="E25" s="40"/>
      <c r="F25" s="40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11" t="str">
        <f>Programación!Y21</f>
        <v/>
      </c>
      <c r="AR25" s="12" t="str">
        <f>IF(AQ25="","",COUNTIFS(Registro!$M$8:$M$997,Reportes!AQ25,Registro!$D$8:$D$997,"Abierto"))</f>
        <v/>
      </c>
      <c r="AS25" s="12" t="str">
        <f>IF(AQ25="","",COUNTIFS(Registro!$M$8:$M$997,Reportes!AQ25,Registro!$D$8:$D$997,"Resuelto"))</f>
        <v/>
      </c>
      <c r="AT25" s="12" t="str">
        <f t="shared" si="0"/>
        <v/>
      </c>
      <c r="AU25" s="12" t="str">
        <f>IF(AQ25="","",SUMIF(Registro!$M$8:$M$997,Reportes!AQ25,Registro!$U$8:$U$997))</f>
        <v/>
      </c>
      <c r="AV25" s="12" t="str">
        <f>IF(AQ25="","",SUMIF(Registro!$M$8:$M$997,Reportes!AQ25,Registro!$W$8:$W$997))</f>
        <v/>
      </c>
      <c r="AW25" s="12" t="str">
        <f>IF(AQ25="","",SUMIF(Registro!$M$8:$M$997,Reportes!AQ25,Registro!$X$8:$X$997))</f>
        <v/>
      </c>
      <c r="AX25" s="12" t="str">
        <f>IF(AQ25="","",SUMIF(Registro!$M$8:$M$997,Reportes!AQ25,Registro!$Y$8:$Y$997))</f>
        <v/>
      </c>
      <c r="AY25" s="32"/>
      <c r="AZ25" s="9" t="str">
        <f>Programación!Y21</f>
        <v/>
      </c>
      <c r="BA25" s="10" t="str">
        <f>IF(AZ25="","",IF(COUNTIFS(Registro!$M$8:$M$997,Reportes!AZ25,Registro!$D$8:$D$997,"Abierto")=0,NA(),COUNTIFS(Registro!$M$8:$M$997,Reportes!AZ25,Registro!$D$8:$D$997,"Abierto")))</f>
        <v/>
      </c>
      <c r="BB25" s="10" t="str">
        <f>IF(AZ25="","",IF(COUNTIFS(Registro!$M$8:$M$997,Reportes!AZ25,Registro!$D$8:$D$997,"Resuelto")=0,NA(),COUNTIFS(Registro!$M$8:$M$997,Reportes!AZ25,Registro!$D$8:$D$997,"Resuelto")))</f>
        <v/>
      </c>
    </row>
    <row r="26" spans="2:54">
      <c r="B26" s="32"/>
      <c r="C26" s="40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11" t="str">
        <f>Programación!Y22</f>
        <v/>
      </c>
      <c r="AR26" s="12" t="str">
        <f>IF(AQ26="","",COUNTIFS(Registro!$M$8:$M$997,Reportes!AQ26,Registro!$D$8:$D$997,"Abierto"))</f>
        <v/>
      </c>
      <c r="AS26" s="12" t="str">
        <f>IF(AQ26="","",COUNTIFS(Registro!$M$8:$M$997,Reportes!AQ26,Registro!$D$8:$D$997,"Resuelto"))</f>
        <v/>
      </c>
      <c r="AT26" s="12" t="str">
        <f t="shared" si="0"/>
        <v/>
      </c>
      <c r="AU26" s="12" t="str">
        <f>IF(AQ26="","",SUMIF(Registro!$M$8:$M$997,Reportes!AQ26,Registro!$U$8:$U$997))</f>
        <v/>
      </c>
      <c r="AV26" s="12" t="str">
        <f>IF(AQ26="","",SUMIF(Registro!$M$8:$M$997,Reportes!AQ26,Registro!$W$8:$W$997))</f>
        <v/>
      </c>
      <c r="AW26" s="12" t="str">
        <f>IF(AQ26="","",SUMIF(Registro!$M$8:$M$997,Reportes!AQ26,Registro!$X$8:$X$997))</f>
        <v/>
      </c>
      <c r="AX26" s="12" t="str">
        <f>IF(AQ26="","",SUMIF(Registro!$M$8:$M$997,Reportes!AQ26,Registro!$Y$8:$Y$997))</f>
        <v/>
      </c>
      <c r="AY26" s="32"/>
      <c r="AZ26" s="9" t="str">
        <f>Programación!Y22</f>
        <v/>
      </c>
      <c r="BA26" s="10" t="str">
        <f>IF(AZ26="","",IF(COUNTIFS(Registro!$M$8:$M$997,Reportes!AZ26,Registro!$D$8:$D$997,"Abierto")=0,NA(),COUNTIFS(Registro!$M$8:$M$997,Reportes!AZ26,Registro!$D$8:$D$997,"Abierto")))</f>
        <v/>
      </c>
      <c r="BB26" s="10" t="str">
        <f>IF(AZ26="","",IF(COUNTIFS(Registro!$M$8:$M$997,Reportes!AZ26,Registro!$D$8:$D$997,"Resuelto")=0,NA(),COUNTIFS(Registro!$M$8:$M$997,Reportes!AZ26,Registro!$D$8:$D$997,"Resuelto")))</f>
        <v/>
      </c>
    </row>
    <row r="27" spans="2:54">
      <c r="B27" s="32"/>
      <c r="C27" s="40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11" t="str">
        <f>Programación!Y23</f>
        <v/>
      </c>
      <c r="AR27" s="12" t="str">
        <f>IF(AQ27="","",COUNTIFS(Registro!$M$8:$M$997,Reportes!AQ27,Registro!$D$8:$D$997,"Abierto"))</f>
        <v/>
      </c>
      <c r="AS27" s="12" t="str">
        <f>IF(AQ27="","",COUNTIFS(Registro!$M$8:$M$997,Reportes!AQ27,Registro!$D$8:$D$997,"Resuelto"))</f>
        <v/>
      </c>
      <c r="AT27" s="12" t="str">
        <f t="shared" si="0"/>
        <v/>
      </c>
      <c r="AU27" s="12" t="str">
        <f>IF(AQ27="","",SUMIF(Registro!$M$8:$M$997,Reportes!AQ27,Registro!$U$8:$U$997))</f>
        <v/>
      </c>
      <c r="AV27" s="12" t="str">
        <f>IF(AQ27="","",SUMIF(Registro!$M$8:$M$997,Reportes!AQ27,Registro!$W$8:$W$997))</f>
        <v/>
      </c>
      <c r="AW27" s="12" t="str">
        <f>IF(AQ27="","",SUMIF(Registro!$M$8:$M$997,Reportes!AQ27,Registro!$X$8:$X$997))</f>
        <v/>
      </c>
      <c r="AX27" s="12" t="str">
        <f>IF(AQ27="","",SUMIF(Registro!$M$8:$M$997,Reportes!AQ27,Registro!$Y$8:$Y$997))</f>
        <v/>
      </c>
      <c r="AY27" s="32"/>
      <c r="AZ27" s="9" t="str">
        <f>Programación!Y23</f>
        <v/>
      </c>
      <c r="BA27" s="10" t="str">
        <f>IF(AZ27="","",IF(COUNTIFS(Registro!$M$8:$M$997,Reportes!AZ27,Registro!$D$8:$D$997,"Abierto")=0,NA(),COUNTIFS(Registro!$M$8:$M$997,Reportes!AZ27,Registro!$D$8:$D$997,"Abierto")))</f>
        <v/>
      </c>
      <c r="BB27" s="10" t="str">
        <f>IF(AZ27="","",IF(COUNTIFS(Registro!$M$8:$M$997,Reportes!AZ27,Registro!$D$8:$D$997,"Resuelto")=0,NA(),COUNTIFS(Registro!$M$8:$M$997,Reportes!AZ27,Registro!$D$8:$D$997,"Resuelto")))</f>
        <v/>
      </c>
    </row>
    <row r="28" spans="2:54">
      <c r="B28" s="32"/>
      <c r="C28" s="40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11" t="str">
        <f>Programación!Y24</f>
        <v/>
      </c>
      <c r="AR28" s="12" t="str">
        <f>IF(AQ28="","",COUNTIFS(Registro!$M$8:$M$997,Reportes!AQ28,Registro!$D$8:$D$997,"Abierto"))</f>
        <v/>
      </c>
      <c r="AS28" s="12" t="str">
        <f>IF(AQ28="","",COUNTIFS(Registro!$M$8:$M$997,Reportes!AQ28,Registro!$D$8:$D$997,"Resuelto"))</f>
        <v/>
      </c>
      <c r="AT28" s="12" t="str">
        <f t="shared" si="0"/>
        <v/>
      </c>
      <c r="AU28" s="12" t="str">
        <f>IF(AQ28="","",SUMIF(Registro!$M$8:$M$997,Reportes!AQ28,Registro!$U$8:$U$997))</f>
        <v/>
      </c>
      <c r="AV28" s="12" t="str">
        <f>IF(AQ28="","",SUMIF(Registro!$M$8:$M$997,Reportes!AQ28,Registro!$W$8:$W$997))</f>
        <v/>
      </c>
      <c r="AW28" s="12" t="str">
        <f>IF(AQ28="","",SUMIF(Registro!$M$8:$M$997,Reportes!AQ28,Registro!$X$8:$X$997))</f>
        <v/>
      </c>
      <c r="AX28" s="12" t="str">
        <f>IF(AQ28="","",SUMIF(Registro!$M$8:$M$997,Reportes!AQ28,Registro!$Y$8:$Y$997))</f>
        <v/>
      </c>
      <c r="AY28" s="32"/>
      <c r="AZ28" s="9" t="str">
        <f>Programación!Y24</f>
        <v/>
      </c>
      <c r="BA28" s="10" t="str">
        <f>IF(AZ28="","",IF(COUNTIFS(Registro!$M$8:$M$997,Reportes!AZ28,Registro!$D$8:$D$997,"Abierto")=0,NA(),COUNTIFS(Registro!$M$8:$M$997,Reportes!AZ28,Registro!$D$8:$D$997,"Abierto")))</f>
        <v/>
      </c>
      <c r="BB28" s="10" t="str">
        <f>IF(AZ28="","",IF(COUNTIFS(Registro!$M$8:$M$997,Reportes!AZ28,Registro!$D$8:$D$997,"Resuelto")=0,NA(),COUNTIFS(Registro!$M$8:$M$997,Reportes!AZ28,Registro!$D$8:$D$997,"Resuelto")))</f>
        <v/>
      </c>
    </row>
    <row r="29" spans="2:54">
      <c r="B29" s="32"/>
      <c r="C29" s="40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11" t="str">
        <f>Programación!Y25</f>
        <v/>
      </c>
      <c r="AR29" s="12" t="str">
        <f>IF(AQ29="","",COUNTIFS(Registro!$M$8:$M$997,Reportes!AQ29,Registro!$D$8:$D$997,"Abierto"))</f>
        <v/>
      </c>
      <c r="AS29" s="12" t="str">
        <f>IF(AQ29="","",COUNTIFS(Registro!$M$8:$M$997,Reportes!AQ29,Registro!$D$8:$D$997,"Resuelto"))</f>
        <v/>
      </c>
      <c r="AT29" s="12" t="str">
        <f t="shared" si="0"/>
        <v/>
      </c>
      <c r="AU29" s="12" t="str">
        <f>IF(AQ29="","",SUMIF(Registro!$M$8:$M$997,Reportes!AQ29,Registro!$U$8:$U$997))</f>
        <v/>
      </c>
      <c r="AV29" s="12" t="str">
        <f>IF(AQ29="","",SUMIF(Registro!$M$8:$M$997,Reportes!AQ29,Registro!$W$8:$W$997))</f>
        <v/>
      </c>
      <c r="AW29" s="12" t="str">
        <f>IF(AQ29="","",SUMIF(Registro!$M$8:$M$997,Reportes!AQ29,Registro!$X$8:$X$997))</f>
        <v/>
      </c>
      <c r="AX29" s="12" t="str">
        <f>IF(AQ29="","",SUMIF(Registro!$M$8:$M$997,Reportes!AQ29,Registro!$Y$8:$Y$997))</f>
        <v/>
      </c>
      <c r="AY29" s="32"/>
      <c r="AZ29" s="9" t="str">
        <f>Programación!Y25</f>
        <v/>
      </c>
      <c r="BA29" s="10" t="str">
        <f>IF(AZ29="","",IF(COUNTIFS(Registro!$M$8:$M$997,Reportes!AZ29,Registro!$D$8:$D$997,"Abierto")=0,NA(),COUNTIFS(Registro!$M$8:$M$997,Reportes!AZ29,Registro!$D$8:$D$997,"Abierto")))</f>
        <v/>
      </c>
      <c r="BB29" s="10" t="str">
        <f>IF(AZ29="","",IF(COUNTIFS(Registro!$M$8:$M$997,Reportes!AZ29,Registro!$D$8:$D$997,"Resuelto")=0,NA(),COUNTIFS(Registro!$M$8:$M$997,Reportes!AZ29,Registro!$D$8:$D$997,"Resuelto")))</f>
        <v/>
      </c>
    </row>
    <row r="30" spans="2:54">
      <c r="B30" s="32"/>
      <c r="C30" s="40"/>
      <c r="D30" s="40"/>
      <c r="E30" s="40"/>
      <c r="F30" s="40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11" t="str">
        <f>Programación!Y26</f>
        <v/>
      </c>
      <c r="AR30" s="12" t="str">
        <f>IF(AQ30="","",COUNTIFS(Registro!$M$8:$M$997,Reportes!AQ30,Registro!$D$8:$D$997,"Abierto"))</f>
        <v/>
      </c>
      <c r="AS30" s="12" t="str">
        <f>IF(AQ30="","",COUNTIFS(Registro!$M$8:$M$997,Reportes!AQ30,Registro!$D$8:$D$997,"Resuelto"))</f>
        <v/>
      </c>
      <c r="AT30" s="12" t="str">
        <f t="shared" si="0"/>
        <v/>
      </c>
      <c r="AU30" s="12" t="str">
        <f>IF(AQ30="","",SUMIF(Registro!$M$8:$M$997,Reportes!AQ30,Registro!$U$8:$U$997))</f>
        <v/>
      </c>
      <c r="AV30" s="12" t="str">
        <f>IF(AQ30="","",SUMIF(Registro!$M$8:$M$997,Reportes!AQ30,Registro!$W$8:$W$997))</f>
        <v/>
      </c>
      <c r="AW30" s="12" t="str">
        <f>IF(AQ30="","",SUMIF(Registro!$M$8:$M$997,Reportes!AQ30,Registro!$X$8:$X$997))</f>
        <v/>
      </c>
      <c r="AX30" s="12" t="str">
        <f>IF(AQ30="","",SUMIF(Registro!$M$8:$M$997,Reportes!AQ30,Registro!$Y$8:$Y$997))</f>
        <v/>
      </c>
      <c r="AY30" s="32"/>
      <c r="AZ30" s="9" t="str">
        <f>Programación!Y26</f>
        <v/>
      </c>
      <c r="BA30" s="10" t="str">
        <f>IF(AZ30="","",IF(COUNTIFS(Registro!$M$8:$M$997,Reportes!AZ30,Registro!$D$8:$D$997,"Abierto")=0,NA(),COUNTIFS(Registro!$M$8:$M$997,Reportes!AZ30,Registro!$D$8:$D$997,"Abierto")))</f>
        <v/>
      </c>
      <c r="BB30" s="10" t="str">
        <f>IF(AZ30="","",IF(COUNTIFS(Registro!$M$8:$M$997,Reportes!AZ30,Registro!$D$8:$D$997,"Resuelto")=0,NA(),COUNTIFS(Registro!$M$8:$M$997,Reportes!AZ30,Registro!$D$8:$D$997,"Resuelto")))</f>
        <v/>
      </c>
    </row>
    <row r="31" spans="2:54">
      <c r="B31" s="32"/>
      <c r="C31" s="40"/>
      <c r="D31" s="40"/>
      <c r="E31" s="40"/>
      <c r="F31" s="40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11" t="str">
        <f>Programación!Y27</f>
        <v/>
      </c>
      <c r="AR31" s="12" t="str">
        <f>IF(AQ31="","",COUNTIFS(Registro!$M$8:$M$997,Reportes!AQ31,Registro!$D$8:$D$997,"Abierto"))</f>
        <v/>
      </c>
      <c r="AS31" s="12" t="str">
        <f>IF(AQ31="","",COUNTIFS(Registro!$M$8:$M$997,Reportes!AQ31,Registro!$D$8:$D$997,"Resuelto"))</f>
        <v/>
      </c>
      <c r="AT31" s="12" t="str">
        <f t="shared" si="0"/>
        <v/>
      </c>
      <c r="AU31" s="12" t="str">
        <f>IF(AQ31="","",SUMIF(Registro!$M$8:$M$997,Reportes!AQ31,Registro!$U$8:$U$997))</f>
        <v/>
      </c>
      <c r="AV31" s="12" t="str">
        <f>IF(AQ31="","",SUMIF(Registro!$M$8:$M$997,Reportes!AQ31,Registro!$W$8:$W$997))</f>
        <v/>
      </c>
      <c r="AW31" s="12" t="str">
        <f>IF(AQ31="","",SUMIF(Registro!$M$8:$M$997,Reportes!AQ31,Registro!$X$8:$X$997))</f>
        <v/>
      </c>
      <c r="AX31" s="12" t="str">
        <f>IF(AQ31="","",SUMIF(Registro!$M$8:$M$997,Reportes!AQ31,Registro!$Y$8:$Y$997))</f>
        <v/>
      </c>
      <c r="AY31" s="32"/>
      <c r="AZ31" s="9" t="str">
        <f>Programación!Y27</f>
        <v/>
      </c>
      <c r="BA31" s="10" t="str">
        <f>IF(AZ31="","",IF(COUNTIFS(Registro!$M$8:$M$997,Reportes!AZ31,Registro!$D$8:$D$997,"Abierto")=0,NA(),COUNTIFS(Registro!$M$8:$M$997,Reportes!AZ31,Registro!$D$8:$D$997,"Abierto")))</f>
        <v/>
      </c>
      <c r="BB31" s="10" t="str">
        <f>IF(AZ31="","",IF(COUNTIFS(Registro!$M$8:$M$997,Reportes!AZ31,Registro!$D$8:$D$997,"Resuelto")=0,NA(),COUNTIFS(Registro!$M$8:$M$997,Reportes!AZ31,Registro!$D$8:$D$997,"Resuelto")))</f>
        <v/>
      </c>
    </row>
    <row r="32" spans="2:54">
      <c r="B32" s="32"/>
      <c r="C32" s="40"/>
      <c r="D32" s="40"/>
      <c r="E32" s="40"/>
      <c r="F32" s="40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11" t="str">
        <f>Programación!Y28</f>
        <v/>
      </c>
      <c r="AR32" s="12" t="str">
        <f>IF(AQ32="","",COUNTIFS(Registro!$M$8:$M$997,Reportes!AQ32,Registro!$D$8:$D$997,"Abierto"))</f>
        <v/>
      </c>
      <c r="AS32" s="12" t="str">
        <f>IF(AQ32="","",COUNTIFS(Registro!$M$8:$M$997,Reportes!AQ32,Registro!$D$8:$D$997,"Resuelto"))</f>
        <v/>
      </c>
      <c r="AT32" s="12" t="str">
        <f t="shared" si="0"/>
        <v/>
      </c>
      <c r="AU32" s="12" t="str">
        <f>IF(AQ32="","",SUMIF(Registro!$M$8:$M$997,Reportes!AQ32,Registro!$U$8:$U$997))</f>
        <v/>
      </c>
      <c r="AV32" s="12" t="str">
        <f>IF(AQ32="","",SUMIF(Registro!$M$8:$M$997,Reportes!AQ32,Registro!$W$8:$W$997))</f>
        <v/>
      </c>
      <c r="AW32" s="12" t="str">
        <f>IF(AQ32="","",SUMIF(Registro!$M$8:$M$997,Reportes!AQ32,Registro!$X$8:$X$997))</f>
        <v/>
      </c>
      <c r="AX32" s="12" t="str">
        <f>IF(AQ32="","",SUMIF(Registro!$M$8:$M$997,Reportes!AQ32,Registro!$Y$8:$Y$997))</f>
        <v/>
      </c>
      <c r="AY32" s="32"/>
      <c r="AZ32" s="9" t="str">
        <f>Programación!Y28</f>
        <v/>
      </c>
      <c r="BA32" s="10" t="str">
        <f>IF(AZ32="","",IF(COUNTIFS(Registro!$M$8:$M$997,Reportes!AZ32,Registro!$D$8:$D$997,"Abierto")=0,NA(),COUNTIFS(Registro!$M$8:$M$997,Reportes!AZ32,Registro!$D$8:$D$997,"Abierto")))</f>
        <v/>
      </c>
      <c r="BB32" s="10" t="str">
        <f>IF(AZ32="","",IF(COUNTIFS(Registro!$M$8:$M$997,Reportes!AZ32,Registro!$D$8:$D$997,"Resuelto")=0,NA(),COUNTIFS(Registro!$M$8:$M$997,Reportes!AZ32,Registro!$D$8:$D$997,"Resuelto")))</f>
        <v/>
      </c>
    </row>
    <row r="33" spans="2:54">
      <c r="B33" s="32"/>
      <c r="C33" s="40"/>
      <c r="D33" s="40"/>
      <c r="E33" s="40"/>
      <c r="F33" s="40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11" t="str">
        <f>Programación!Y29</f>
        <v/>
      </c>
      <c r="AR33" s="12" t="str">
        <f>IF(AQ33="","",COUNTIFS(Registro!$M$8:$M$997,Reportes!AQ33,Registro!$D$8:$D$997,"Abierto"))</f>
        <v/>
      </c>
      <c r="AS33" s="12" t="str">
        <f>IF(AQ33="","",COUNTIFS(Registro!$M$8:$M$997,Reportes!AQ33,Registro!$D$8:$D$997,"Resuelto"))</f>
        <v/>
      </c>
      <c r="AT33" s="12" t="str">
        <f t="shared" si="0"/>
        <v/>
      </c>
      <c r="AU33" s="12" t="str">
        <f>IF(AQ33="","",SUMIF(Registro!$M$8:$M$997,Reportes!AQ33,Registro!$U$8:$U$997))</f>
        <v/>
      </c>
      <c r="AV33" s="12" t="str">
        <f>IF(AQ33="","",SUMIF(Registro!$M$8:$M$997,Reportes!AQ33,Registro!$W$8:$W$997))</f>
        <v/>
      </c>
      <c r="AW33" s="12" t="str">
        <f>IF(AQ33="","",SUMIF(Registro!$M$8:$M$997,Reportes!AQ33,Registro!$X$8:$X$997))</f>
        <v/>
      </c>
      <c r="AX33" s="12" t="str">
        <f>IF(AQ33="","",SUMIF(Registro!$M$8:$M$997,Reportes!AQ33,Registro!$Y$8:$Y$997))</f>
        <v/>
      </c>
      <c r="AY33" s="32"/>
      <c r="AZ33" s="9" t="str">
        <f>Programación!Y29</f>
        <v/>
      </c>
      <c r="BA33" s="10" t="str">
        <f>IF(AZ33="","",IF(COUNTIFS(Registro!$M$8:$M$997,Reportes!AZ33,Registro!$D$8:$D$997,"Abierto")=0,NA(),COUNTIFS(Registro!$M$8:$M$997,Reportes!AZ33,Registro!$D$8:$D$997,"Abierto")))</f>
        <v/>
      </c>
      <c r="BB33" s="10" t="str">
        <f>IF(AZ33="","",IF(COUNTIFS(Registro!$M$8:$M$997,Reportes!AZ33,Registro!$D$8:$D$997,"Resuelto")=0,NA(),COUNTIFS(Registro!$M$8:$M$997,Reportes!AZ33,Registro!$D$8:$D$997,"Resuelto")))</f>
        <v/>
      </c>
    </row>
    <row r="34" spans="2:54">
      <c r="B34" s="32"/>
      <c r="C34" s="40"/>
      <c r="D34" s="40"/>
      <c r="E34" s="40"/>
      <c r="F34" s="40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11" t="str">
        <f>Programación!Y30</f>
        <v/>
      </c>
      <c r="AR34" s="12" t="str">
        <f>IF(AQ34="","",COUNTIFS(Registro!$M$8:$M$997,Reportes!AQ34,Registro!$D$8:$D$997,"Abierto"))</f>
        <v/>
      </c>
      <c r="AS34" s="12" t="str">
        <f>IF(AQ34="","",COUNTIFS(Registro!$M$8:$M$997,Reportes!AQ34,Registro!$D$8:$D$997,"Resuelto"))</f>
        <v/>
      </c>
      <c r="AT34" s="12" t="str">
        <f t="shared" si="0"/>
        <v/>
      </c>
      <c r="AU34" s="12" t="str">
        <f>IF(AQ34="","",SUMIF(Registro!$M$8:$M$997,Reportes!AQ34,Registro!$U$8:$U$997))</f>
        <v/>
      </c>
      <c r="AV34" s="12" t="str">
        <f>IF(AQ34="","",SUMIF(Registro!$M$8:$M$997,Reportes!AQ34,Registro!$W$8:$W$997))</f>
        <v/>
      </c>
      <c r="AW34" s="12" t="str">
        <f>IF(AQ34="","",SUMIF(Registro!$M$8:$M$997,Reportes!AQ34,Registro!$X$8:$X$997))</f>
        <v/>
      </c>
      <c r="AX34" s="12" t="str">
        <f>IF(AQ34="","",SUMIF(Registro!$M$8:$M$997,Reportes!AQ34,Registro!$Y$8:$Y$997))</f>
        <v/>
      </c>
      <c r="AY34" s="32"/>
      <c r="AZ34" s="9" t="str">
        <f>Programación!Y30</f>
        <v/>
      </c>
      <c r="BA34" s="10" t="str">
        <f>IF(AZ34="","",IF(COUNTIFS(Registro!$M$8:$M$997,Reportes!AZ34,Registro!$D$8:$D$997,"Abierto")=0,NA(),COUNTIFS(Registro!$M$8:$M$997,Reportes!AZ34,Registro!$D$8:$D$997,"Abierto")))</f>
        <v/>
      </c>
      <c r="BB34" s="10" t="str">
        <f>IF(AZ34="","",IF(COUNTIFS(Registro!$M$8:$M$997,Reportes!AZ34,Registro!$D$8:$D$997,"Resuelto")=0,NA(),COUNTIFS(Registro!$M$8:$M$997,Reportes!AZ34,Registro!$D$8:$D$997,"Resuelto")))</f>
        <v/>
      </c>
    </row>
    <row r="35" spans="2:54">
      <c r="B35" s="32"/>
      <c r="C35" s="40"/>
      <c r="D35" s="40"/>
      <c r="E35" s="40"/>
      <c r="F35" s="40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11" t="str">
        <f>Programación!Y31</f>
        <v/>
      </c>
      <c r="AR35" s="12" t="str">
        <f>IF(AQ35="","",COUNTIFS(Registro!$M$8:$M$997,Reportes!AQ35,Registro!$D$8:$D$997,"Abierto"))</f>
        <v/>
      </c>
      <c r="AS35" s="12" t="str">
        <f>IF(AQ35="","",COUNTIFS(Registro!$M$8:$M$997,Reportes!AQ35,Registro!$D$8:$D$997,"Resuelto"))</f>
        <v/>
      </c>
      <c r="AT35" s="12" t="str">
        <f t="shared" si="0"/>
        <v/>
      </c>
      <c r="AU35" s="12" t="str">
        <f>IF(AQ35="","",SUMIF(Registro!$M$8:$M$997,Reportes!AQ35,Registro!$U$8:$U$997))</f>
        <v/>
      </c>
      <c r="AV35" s="12" t="str">
        <f>IF(AQ35="","",SUMIF(Registro!$M$8:$M$997,Reportes!AQ35,Registro!$W$8:$W$997))</f>
        <v/>
      </c>
      <c r="AW35" s="12" t="str">
        <f>IF(AQ35="","",SUMIF(Registro!$M$8:$M$997,Reportes!AQ35,Registro!$X$8:$X$997))</f>
        <v/>
      </c>
      <c r="AX35" s="12" t="str">
        <f>IF(AQ35="","",SUMIF(Registro!$M$8:$M$997,Reportes!AQ35,Registro!$Y$8:$Y$997))</f>
        <v/>
      </c>
      <c r="AY35" s="32"/>
      <c r="AZ35" s="9" t="str">
        <f>Programación!Y31</f>
        <v/>
      </c>
      <c r="BA35" s="10" t="str">
        <f>IF(AZ35="","",IF(COUNTIFS(Registro!$M$8:$M$997,Reportes!AZ35,Registro!$D$8:$D$997,"Abierto")=0,NA(),COUNTIFS(Registro!$M$8:$M$997,Reportes!AZ35,Registro!$D$8:$D$997,"Abierto")))</f>
        <v/>
      </c>
      <c r="BB35" s="10" t="str">
        <f>IF(AZ35="","",IF(COUNTIFS(Registro!$M$8:$M$997,Reportes!AZ35,Registro!$D$8:$D$997,"Resuelto")=0,NA(),COUNTIFS(Registro!$M$8:$M$997,Reportes!AZ35,Registro!$D$8:$D$997,"Resuelto")))</f>
        <v/>
      </c>
    </row>
    <row r="36" spans="2:54">
      <c r="B36" s="32"/>
      <c r="C36" s="40"/>
      <c r="D36" s="40"/>
      <c r="E36" s="40"/>
      <c r="F36" s="40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11" t="str">
        <f>Programación!Y32</f>
        <v/>
      </c>
      <c r="AR36" s="12" t="str">
        <f>IF(AQ36="","",COUNTIFS(Registro!$M$8:$M$997,Reportes!AQ36,Registro!$D$8:$D$997,"Abierto"))</f>
        <v/>
      </c>
      <c r="AS36" s="12" t="str">
        <f>IF(AQ36="","",COUNTIFS(Registro!$M$8:$M$997,Reportes!AQ36,Registro!$D$8:$D$997,"Resuelto"))</f>
        <v/>
      </c>
      <c r="AT36" s="12" t="str">
        <f t="shared" si="0"/>
        <v/>
      </c>
      <c r="AU36" s="12" t="str">
        <f>IF(AQ36="","",SUMIF(Registro!$M$8:$M$997,Reportes!AQ36,Registro!$U$8:$U$997))</f>
        <v/>
      </c>
      <c r="AV36" s="12" t="str">
        <f>IF(AQ36="","",SUMIF(Registro!$M$8:$M$997,Reportes!AQ36,Registro!$W$8:$W$997))</f>
        <v/>
      </c>
      <c r="AW36" s="12" t="str">
        <f>IF(AQ36="","",SUMIF(Registro!$M$8:$M$997,Reportes!AQ36,Registro!$X$8:$X$997))</f>
        <v/>
      </c>
      <c r="AX36" s="12" t="str">
        <f>IF(AQ36="","",SUMIF(Registro!$M$8:$M$997,Reportes!AQ36,Registro!$Y$8:$Y$997))</f>
        <v/>
      </c>
      <c r="AY36" s="32"/>
      <c r="AZ36" s="9" t="str">
        <f>Programación!Y32</f>
        <v/>
      </c>
      <c r="BA36" s="10" t="str">
        <f>IF(AZ36="","",IF(COUNTIFS(Registro!$M$8:$M$997,Reportes!AZ36,Registro!$D$8:$D$997,"Abierto")=0,NA(),COUNTIFS(Registro!$M$8:$M$997,Reportes!AZ36,Registro!$D$8:$D$997,"Abierto")))</f>
        <v/>
      </c>
      <c r="BB36" s="10" t="str">
        <f>IF(AZ36="","",IF(COUNTIFS(Registro!$M$8:$M$997,Reportes!AZ36,Registro!$D$8:$D$997,"Resuelto")=0,NA(),COUNTIFS(Registro!$M$8:$M$997,Reportes!AZ36,Registro!$D$8:$D$997,"Resuelto")))</f>
        <v/>
      </c>
    </row>
    <row r="37" spans="2:54">
      <c r="B37" s="32"/>
      <c r="C37" s="40"/>
      <c r="D37" s="40"/>
      <c r="E37" s="40"/>
      <c r="F37" s="40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11" t="str">
        <f>Programación!Y33</f>
        <v/>
      </c>
      <c r="AR37" s="12" t="str">
        <f>IF(AQ37="","",COUNTIFS(Registro!$M$8:$M$997,Reportes!AQ37,Registro!$D$8:$D$997,"Abierto"))</f>
        <v/>
      </c>
      <c r="AS37" s="12" t="str">
        <f>IF(AQ37="","",COUNTIFS(Registro!$M$8:$M$997,Reportes!AQ37,Registro!$D$8:$D$997,"Resuelto"))</f>
        <v/>
      </c>
      <c r="AT37" s="12" t="str">
        <f t="shared" si="0"/>
        <v/>
      </c>
      <c r="AU37" s="12" t="str">
        <f>IF(AQ37="","",SUMIF(Registro!$M$8:$M$997,Reportes!AQ37,Registro!$U$8:$U$997))</f>
        <v/>
      </c>
      <c r="AV37" s="12" t="str">
        <f>IF(AQ37="","",SUMIF(Registro!$M$8:$M$997,Reportes!AQ37,Registro!$W$8:$W$997))</f>
        <v/>
      </c>
      <c r="AW37" s="12" t="str">
        <f>IF(AQ37="","",SUMIF(Registro!$M$8:$M$997,Reportes!AQ37,Registro!$X$8:$X$997))</f>
        <v/>
      </c>
      <c r="AX37" s="12" t="str">
        <f>IF(AQ37="","",SUMIF(Registro!$M$8:$M$997,Reportes!AQ37,Registro!$Y$8:$Y$997))</f>
        <v/>
      </c>
      <c r="AY37" s="32"/>
      <c r="AZ37" s="9" t="str">
        <f>Programación!Y33</f>
        <v/>
      </c>
      <c r="BA37" s="10" t="str">
        <f>IF(AZ37="","",IF(COUNTIFS(Registro!$M$8:$M$997,Reportes!AZ37,Registro!$D$8:$D$997,"Abierto")=0,NA(),COUNTIFS(Registro!$M$8:$M$997,Reportes!AZ37,Registro!$D$8:$D$997,"Abierto")))</f>
        <v/>
      </c>
      <c r="BB37" s="10" t="str">
        <f>IF(AZ37="","",IF(COUNTIFS(Registro!$M$8:$M$997,Reportes!AZ37,Registro!$D$8:$D$997,"Resuelto")=0,NA(),COUNTIFS(Registro!$M$8:$M$997,Reportes!AZ37,Registro!$D$8:$D$997,"Resuelto")))</f>
        <v/>
      </c>
    </row>
    <row r="38" spans="2:54">
      <c r="B38" s="32"/>
      <c r="C38" s="40"/>
      <c r="D38" s="40"/>
      <c r="E38" s="40"/>
      <c r="F38" s="40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11" t="str">
        <f>Programación!Y34</f>
        <v/>
      </c>
      <c r="AR38" s="12" t="str">
        <f>IF(AQ38="","",COUNTIFS(Registro!$M$8:$M$997,Reportes!AQ38,Registro!$D$8:$D$997,"Abierto"))</f>
        <v/>
      </c>
      <c r="AS38" s="12" t="str">
        <f>IF(AQ38="","",COUNTIFS(Registro!$M$8:$M$997,Reportes!AQ38,Registro!$D$8:$D$997,"Resuelto"))</f>
        <v/>
      </c>
      <c r="AT38" s="12" t="str">
        <f t="shared" si="0"/>
        <v/>
      </c>
      <c r="AU38" s="12" t="str">
        <f>IF(AQ38="","",SUMIF(Registro!$M$8:$M$997,Reportes!AQ38,Registro!$U$8:$U$997))</f>
        <v/>
      </c>
      <c r="AV38" s="12" t="str">
        <f>IF(AQ38="","",SUMIF(Registro!$M$8:$M$997,Reportes!AQ38,Registro!$W$8:$W$997))</f>
        <v/>
      </c>
      <c r="AW38" s="12" t="str">
        <f>IF(AQ38="","",SUMIF(Registro!$M$8:$M$997,Reportes!AQ38,Registro!$X$8:$X$997))</f>
        <v/>
      </c>
      <c r="AX38" s="12" t="str">
        <f>IF(AQ38="","",SUMIF(Registro!$M$8:$M$997,Reportes!AQ38,Registro!$Y$8:$Y$997))</f>
        <v/>
      </c>
      <c r="AY38" s="32"/>
      <c r="AZ38" s="9" t="str">
        <f>Programación!Y34</f>
        <v/>
      </c>
      <c r="BA38" s="10" t="str">
        <f>IF(AZ38="","",IF(COUNTIFS(Registro!$M$8:$M$997,Reportes!AZ38,Registro!$D$8:$D$997,"Abierto")=0,NA(),COUNTIFS(Registro!$M$8:$M$997,Reportes!AZ38,Registro!$D$8:$D$997,"Abierto")))</f>
        <v/>
      </c>
      <c r="BB38" s="10" t="str">
        <f>IF(AZ38="","",IF(COUNTIFS(Registro!$M$8:$M$997,Reportes!AZ38,Registro!$D$8:$D$997,"Resuelto")=0,NA(),COUNTIFS(Registro!$M$8:$M$997,Reportes!AZ38,Registro!$D$8:$D$997,"Resuelto")))</f>
        <v/>
      </c>
    </row>
    <row r="39" spans="2:54">
      <c r="B39" s="32"/>
      <c r="C39" s="40"/>
      <c r="D39" s="40"/>
      <c r="E39" s="40"/>
      <c r="F39" s="40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11" t="str">
        <f>Programación!Y35</f>
        <v/>
      </c>
      <c r="AR39" s="12" t="str">
        <f>IF(AQ39="","",COUNTIFS(Registro!$M$8:$M$997,Reportes!AQ39,Registro!$D$8:$D$997,"Abierto"))</f>
        <v/>
      </c>
      <c r="AS39" s="12" t="str">
        <f>IF(AQ39="","",COUNTIFS(Registro!$M$8:$M$997,Reportes!AQ39,Registro!$D$8:$D$997,"Resuelto"))</f>
        <v/>
      </c>
      <c r="AT39" s="12" t="str">
        <f t="shared" si="0"/>
        <v/>
      </c>
      <c r="AU39" s="12" t="str">
        <f>IF(AQ39="","",SUMIF(Registro!$M$8:$M$997,Reportes!AQ39,Registro!$U$8:$U$997))</f>
        <v/>
      </c>
      <c r="AV39" s="12" t="str">
        <f>IF(AQ39="","",SUMIF(Registro!$M$8:$M$997,Reportes!AQ39,Registro!$W$8:$W$997))</f>
        <v/>
      </c>
      <c r="AW39" s="12" t="str">
        <f>IF(AQ39="","",SUMIF(Registro!$M$8:$M$997,Reportes!AQ39,Registro!$X$8:$X$997))</f>
        <v/>
      </c>
      <c r="AX39" s="12" t="str">
        <f>IF(AQ39="","",SUMIF(Registro!$M$8:$M$997,Reportes!AQ39,Registro!$Y$8:$Y$997))</f>
        <v/>
      </c>
      <c r="AY39" s="32"/>
      <c r="AZ39" s="9" t="str">
        <f>Programación!Y35</f>
        <v/>
      </c>
      <c r="BA39" s="10" t="str">
        <f>IF(AZ39="","",IF(COUNTIFS(Registro!$M$8:$M$997,Reportes!AZ39,Registro!$D$8:$D$997,"Abierto")=0,NA(),COUNTIFS(Registro!$M$8:$M$997,Reportes!AZ39,Registro!$D$8:$D$997,"Abierto")))</f>
        <v/>
      </c>
      <c r="BB39" s="10" t="str">
        <f>IF(AZ39="","",IF(COUNTIFS(Registro!$M$8:$M$997,Reportes!AZ39,Registro!$D$8:$D$997,"Resuelto")=0,NA(),COUNTIFS(Registro!$M$8:$M$997,Reportes!AZ39,Registro!$D$8:$D$997,"Resuelto")))</f>
        <v/>
      </c>
    </row>
    <row r="40" spans="2:54">
      <c r="B40" s="32"/>
      <c r="C40" s="40"/>
      <c r="D40" s="40"/>
      <c r="E40" s="40"/>
      <c r="F40" s="40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11"/>
      <c r="AR40" s="12"/>
      <c r="AS40" s="12"/>
      <c r="AT40" s="12"/>
      <c r="AU40" s="12"/>
      <c r="AV40" s="12"/>
      <c r="AW40" s="12"/>
      <c r="AX40" s="12"/>
      <c r="AY40" s="32"/>
      <c r="AZ40" s="9"/>
      <c r="BA40" s="10"/>
      <c r="BB40" s="10"/>
    </row>
    <row r="41" spans="2:54">
      <c r="B41" s="32"/>
      <c r="C41" s="40"/>
      <c r="D41" s="40"/>
      <c r="E41" s="40"/>
      <c r="F41" s="40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11" t="str">
        <f>Programación!Y36</f>
        <v/>
      </c>
      <c r="AR41" s="12" t="str">
        <f>IF(AQ41="","",COUNTIFS(Registro!$M$8:$M$997,Reportes!AQ41,Registro!$D$8:$D$997,"Abierto"))</f>
        <v/>
      </c>
      <c r="AS41" s="12" t="str">
        <f>IF(AQ41="","",COUNTIFS(Registro!$M$8:$M$997,Reportes!AQ41,Registro!$D$8:$D$997,"Resuelto"))</f>
        <v/>
      </c>
      <c r="AT41" s="12" t="str">
        <f>IF(AQ41="","",AU41-AV41-AW41-AX41)</f>
        <v/>
      </c>
      <c r="AU41" s="12" t="str">
        <f>IF(AQ41="","",SUMIF(Registro!$M$8:$M$997,Reportes!AQ41,Registro!$U$8:$U$997))</f>
        <v/>
      </c>
      <c r="AV41" s="12" t="str">
        <f>IF(AQ41="","",SUMIF(Registro!$M$8:$M$997,Reportes!AQ41,Registro!$W$8:$W$997))</f>
        <v/>
      </c>
      <c r="AW41" s="12" t="str">
        <f>IF(AQ41="","",SUMIF(Registro!$M$8:$M$997,Reportes!AQ41,Registro!$X$8:$X$997))</f>
        <v/>
      </c>
      <c r="AX41" s="12" t="str">
        <f>IF(AQ41="","",SUMIF(Registro!$M$8:$M$997,Reportes!AQ41,Registro!$Y$8:$Y$997))</f>
        <v/>
      </c>
      <c r="AY41" s="32"/>
      <c r="AZ41" s="9" t="str">
        <f>Programación!Y36</f>
        <v/>
      </c>
      <c r="BA41" s="10" t="str">
        <f>IF(AZ41="","",IF(COUNTIFS(Registro!$M$8:$M$997,Reportes!AZ41,Registro!$D$8:$D$997,"Abierto")=0,NA(),COUNTIFS(Registro!$M$8:$M$997,Reportes!AZ41,Registro!$D$8:$D$997,"Abierto")))</f>
        <v/>
      </c>
      <c r="BB41" s="10" t="str">
        <f>IF(AZ41="","",IF(COUNTIFS(Registro!$M$8:$M$997,Reportes!AZ41,Registro!$D$8:$D$997,"Resuelto")=0,NA(),COUNTIFS(Registro!$M$8:$M$997,Reportes!AZ41,Registro!$D$8:$D$997,"Resuelto")))</f>
        <v/>
      </c>
    </row>
    <row r="42" spans="2:54">
      <c r="B42" s="32"/>
      <c r="C42" s="40"/>
      <c r="D42" s="40"/>
      <c r="E42" s="40"/>
      <c r="F42" s="40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11"/>
      <c r="AR42" s="12"/>
      <c r="AS42" s="12"/>
      <c r="AT42" s="12"/>
      <c r="AU42" s="12"/>
      <c r="AV42" s="12"/>
      <c r="AW42" s="12"/>
      <c r="AX42" s="12"/>
      <c r="AY42" s="32"/>
      <c r="AZ42" s="9"/>
      <c r="BA42" s="10"/>
      <c r="BB42" s="10"/>
    </row>
    <row r="43" spans="2:54">
      <c r="B43" s="32"/>
      <c r="C43" s="40"/>
      <c r="D43" s="40"/>
      <c r="E43" s="40"/>
      <c r="F43" s="40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11" t="str">
        <f>Programación!Y37</f>
        <v/>
      </c>
      <c r="AR43" s="12" t="str">
        <f>IF(AQ43="","",COUNTIFS(Registro!$M$8:$M$997,Reportes!AQ43,Registro!$D$8:$D$997,"Abierto"))</f>
        <v/>
      </c>
      <c r="AS43" s="12" t="str">
        <f>IF(AQ43="","",COUNTIFS(Registro!$M$8:$M$997,Reportes!AQ43,Registro!$D$8:$D$997,"Resuelto"))</f>
        <v/>
      </c>
      <c r="AT43" s="12" t="str">
        <f t="shared" ref="AT43:AT74" si="1">IF(AQ43="","",AU43-AV43-AW43-AX43)</f>
        <v/>
      </c>
      <c r="AU43" s="12" t="str">
        <f>IF(AQ43="","",SUMIF(Registro!$M$8:$M$997,Reportes!AQ43,Registro!$U$8:$U$997))</f>
        <v/>
      </c>
      <c r="AV43" s="12" t="str">
        <f>IF(AQ43="","",SUMIF(Registro!$M$8:$M$997,Reportes!AQ43,Registro!$W$8:$W$997))</f>
        <v/>
      </c>
      <c r="AW43" s="12" t="str">
        <f>IF(AQ43="","",SUMIF(Registro!$M$8:$M$997,Reportes!AQ43,Registro!$X$8:$X$997))</f>
        <v/>
      </c>
      <c r="AX43" s="12" t="str">
        <f>IF(AQ43="","",SUMIF(Registro!$M$8:$M$997,Reportes!AQ43,Registro!$Y$8:$Y$997))</f>
        <v/>
      </c>
      <c r="AY43" s="32"/>
      <c r="AZ43" s="9" t="str">
        <f>Programación!Y37</f>
        <v/>
      </c>
      <c r="BA43" s="10" t="str">
        <f>IF(AZ43="","",IF(COUNTIFS(Registro!$M$8:$M$997,Reportes!AZ43,Registro!$D$8:$D$997,"Abierto")=0,NA(),COUNTIFS(Registro!$M$8:$M$997,Reportes!AZ43,Registro!$D$8:$D$997,"Abierto")))</f>
        <v/>
      </c>
      <c r="BB43" s="10" t="str">
        <f>IF(AZ43="","",IF(COUNTIFS(Registro!$M$8:$M$997,Reportes!AZ43,Registro!$D$8:$D$997,"Resuelto")=0,NA(),COUNTIFS(Registro!$M$8:$M$997,Reportes!AZ43,Registro!$D$8:$D$997,"Resuelto")))</f>
        <v/>
      </c>
    </row>
    <row r="44" spans="2:54">
      <c r="B44" s="32"/>
      <c r="C44" s="40"/>
      <c r="D44" s="40"/>
      <c r="E44" s="40"/>
      <c r="F44" s="40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11" t="str">
        <f>Programación!Y38</f>
        <v/>
      </c>
      <c r="AR44" s="12" t="str">
        <f>IF(AQ44="","",COUNTIFS(Registro!$M$8:$M$997,Reportes!AQ44,Registro!$D$8:$D$997,"Abierto"))</f>
        <v/>
      </c>
      <c r="AS44" s="12" t="str">
        <f>IF(AQ44="","",COUNTIFS(Registro!$M$8:$M$997,Reportes!AQ44,Registro!$D$8:$D$997,"Resuelto"))</f>
        <v/>
      </c>
      <c r="AT44" s="12" t="str">
        <f t="shared" si="1"/>
        <v/>
      </c>
      <c r="AU44" s="12" t="str">
        <f>IF(AQ44="","",SUMIF(Registro!$M$8:$M$997,Reportes!AQ44,Registro!$U$8:$U$997))</f>
        <v/>
      </c>
      <c r="AV44" s="12" t="str">
        <f>IF(AQ44="","",SUMIF(Registro!$M$8:$M$997,Reportes!AQ44,Registro!$W$8:$W$997))</f>
        <v/>
      </c>
      <c r="AW44" s="12" t="str">
        <f>IF(AQ44="","",SUMIF(Registro!$M$8:$M$997,Reportes!AQ44,Registro!$X$8:$X$997))</f>
        <v/>
      </c>
      <c r="AX44" s="12" t="str">
        <f>IF(AQ44="","",SUMIF(Registro!$M$8:$M$997,Reportes!AQ44,Registro!$Y$8:$Y$997))</f>
        <v/>
      </c>
      <c r="AY44" s="32"/>
      <c r="AZ44" s="9" t="str">
        <f>Programación!Y38</f>
        <v/>
      </c>
      <c r="BA44" s="10" t="str">
        <f>IF(AZ44="","",IF(COUNTIFS(Registro!$M$8:$M$997,Reportes!AZ44,Registro!$D$8:$D$997,"Abierto")=0,NA(),COUNTIFS(Registro!$M$8:$M$997,Reportes!AZ44,Registro!$D$8:$D$997,"Abierto")))</f>
        <v/>
      </c>
      <c r="BB44" s="10" t="str">
        <f>IF(AZ44="","",IF(COUNTIFS(Registro!$M$8:$M$997,Reportes!AZ44,Registro!$D$8:$D$997,"Resuelto")=0,NA(),COUNTIFS(Registro!$M$8:$M$997,Reportes!AZ44,Registro!$D$8:$D$997,"Resuelto")))</f>
        <v/>
      </c>
    </row>
    <row r="45" spans="2:54">
      <c r="B45" s="32"/>
      <c r="C45" s="40"/>
      <c r="D45" s="40"/>
      <c r="E45" s="40"/>
      <c r="F45" s="40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11" t="str">
        <f>Programación!Y39</f>
        <v/>
      </c>
      <c r="AR45" s="12" t="str">
        <f>IF(AQ45="","",COUNTIFS(Registro!$M$8:$M$997,Reportes!AQ45,Registro!$D$8:$D$997,"Abierto"))</f>
        <v/>
      </c>
      <c r="AS45" s="12" t="str">
        <f>IF(AQ45="","",COUNTIFS(Registro!$M$8:$M$997,Reportes!AQ45,Registro!$D$8:$D$997,"Resuelto"))</f>
        <v/>
      </c>
      <c r="AT45" s="12" t="str">
        <f t="shared" si="1"/>
        <v/>
      </c>
      <c r="AU45" s="12" t="str">
        <f>IF(AQ45="","",SUMIF(Registro!$M$8:$M$997,Reportes!AQ45,Registro!$U$8:$U$997))</f>
        <v/>
      </c>
      <c r="AV45" s="12" t="str">
        <f>IF(AQ45="","",SUMIF(Registro!$M$8:$M$997,Reportes!AQ45,Registro!$W$8:$W$997))</f>
        <v/>
      </c>
      <c r="AW45" s="12" t="str">
        <f>IF(AQ45="","",SUMIF(Registro!$M$8:$M$997,Reportes!AQ45,Registro!$X$8:$X$997))</f>
        <v/>
      </c>
      <c r="AX45" s="12" t="str">
        <f>IF(AQ45="","",SUMIF(Registro!$M$8:$M$997,Reportes!AQ45,Registro!$Y$8:$Y$997))</f>
        <v/>
      </c>
      <c r="AY45" s="32"/>
      <c r="AZ45" s="9" t="str">
        <f>Programación!Y39</f>
        <v/>
      </c>
      <c r="BA45" s="10" t="str">
        <f>IF(AZ45="","",IF(COUNTIFS(Registro!$M$8:$M$997,Reportes!AZ45,Registro!$D$8:$D$997,"Abierto")=0,NA(),COUNTIFS(Registro!$M$8:$M$997,Reportes!AZ45,Registro!$D$8:$D$997,"Abierto")))</f>
        <v/>
      </c>
      <c r="BB45" s="10" t="str">
        <f>IF(AZ45="","",IF(COUNTIFS(Registro!$M$8:$M$997,Reportes!AZ45,Registro!$D$8:$D$997,"Resuelto")=0,NA(),COUNTIFS(Registro!$M$8:$M$997,Reportes!AZ45,Registro!$D$8:$D$997,"Resuelto")))</f>
        <v/>
      </c>
    </row>
    <row r="46" spans="2:54">
      <c r="B46" s="32"/>
      <c r="C46" s="40"/>
      <c r="D46" s="40"/>
      <c r="E46" s="40"/>
      <c r="F46" s="40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11" t="str">
        <f>Programación!Y40</f>
        <v/>
      </c>
      <c r="AR46" s="12" t="str">
        <f>IF(AQ46="","",COUNTIFS(Registro!$M$8:$M$997,Reportes!AQ46,Registro!$D$8:$D$997,"Abierto"))</f>
        <v/>
      </c>
      <c r="AS46" s="12" t="str">
        <f>IF(AQ46="","",COUNTIFS(Registro!$M$8:$M$997,Reportes!AQ46,Registro!$D$8:$D$997,"Resuelto"))</f>
        <v/>
      </c>
      <c r="AT46" s="12" t="str">
        <f t="shared" si="1"/>
        <v/>
      </c>
      <c r="AU46" s="12" t="str">
        <f>IF(AQ46="","",SUMIF(Registro!$M$8:$M$997,Reportes!AQ46,Registro!$U$8:$U$997))</f>
        <v/>
      </c>
      <c r="AV46" s="12" t="str">
        <f>IF(AQ46="","",SUMIF(Registro!$M$8:$M$997,Reportes!AQ46,Registro!$W$8:$W$997))</f>
        <v/>
      </c>
      <c r="AW46" s="12" t="str">
        <f>IF(AQ46="","",SUMIF(Registro!$M$8:$M$997,Reportes!AQ46,Registro!$X$8:$X$997))</f>
        <v/>
      </c>
      <c r="AX46" s="12" t="str">
        <f>IF(AQ46="","",SUMIF(Registro!$M$8:$M$997,Reportes!AQ46,Registro!$Y$8:$Y$997))</f>
        <v/>
      </c>
      <c r="AY46" s="32"/>
      <c r="AZ46" s="9" t="str">
        <f>Programación!Y40</f>
        <v/>
      </c>
      <c r="BA46" s="10" t="str">
        <f>IF(AZ46="","",IF(COUNTIFS(Registro!$M$8:$M$997,Reportes!AZ46,Registro!$D$8:$D$997,"Abierto")=0,NA(),COUNTIFS(Registro!$M$8:$M$997,Reportes!AZ46,Registro!$D$8:$D$997,"Abierto")))</f>
        <v/>
      </c>
      <c r="BB46" s="10" t="str">
        <f>IF(AZ46="","",IF(COUNTIFS(Registro!$M$8:$M$997,Reportes!AZ46,Registro!$D$8:$D$997,"Resuelto")=0,NA(),COUNTIFS(Registro!$M$8:$M$997,Reportes!AZ46,Registro!$D$8:$D$997,"Resuelto")))</f>
        <v/>
      </c>
    </row>
    <row r="47" spans="2:54">
      <c r="B47" s="32"/>
      <c r="C47" s="40"/>
      <c r="D47" s="40"/>
      <c r="E47" s="40"/>
      <c r="F47" s="40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11" t="str">
        <f>Programación!Y41</f>
        <v/>
      </c>
      <c r="AR47" s="12" t="str">
        <f>IF(AQ47="","",COUNTIFS(Registro!$M$8:$M$997,Reportes!AQ47,Registro!$D$8:$D$997,"Abierto"))</f>
        <v/>
      </c>
      <c r="AS47" s="12" t="str">
        <f>IF(AQ47="","",COUNTIFS(Registro!$M$8:$M$997,Reportes!AQ47,Registro!$D$8:$D$997,"Resuelto"))</f>
        <v/>
      </c>
      <c r="AT47" s="12" t="str">
        <f t="shared" si="1"/>
        <v/>
      </c>
      <c r="AU47" s="12" t="str">
        <f>IF(AQ47="","",SUMIF(Registro!$M$8:$M$997,Reportes!AQ47,Registro!$U$8:$U$997))</f>
        <v/>
      </c>
      <c r="AV47" s="12" t="str">
        <f>IF(AQ47="","",SUMIF(Registro!$M$8:$M$997,Reportes!AQ47,Registro!$W$8:$W$997))</f>
        <v/>
      </c>
      <c r="AW47" s="12" t="str">
        <f>IF(AQ47="","",SUMIF(Registro!$M$8:$M$997,Reportes!AQ47,Registro!$X$8:$X$997))</f>
        <v/>
      </c>
      <c r="AX47" s="12" t="str">
        <f>IF(AQ47="","",SUMIF(Registro!$M$8:$M$997,Reportes!AQ47,Registro!$Y$8:$Y$997))</f>
        <v/>
      </c>
      <c r="AY47" s="32"/>
      <c r="AZ47" s="9" t="str">
        <f>Programación!Y41</f>
        <v/>
      </c>
      <c r="BA47" s="10" t="str">
        <f>IF(AZ47="","",IF(COUNTIFS(Registro!$M$8:$M$997,Reportes!AZ47,Registro!$D$8:$D$997,"Abierto")=0,NA(),COUNTIFS(Registro!$M$8:$M$997,Reportes!AZ47,Registro!$D$8:$D$997,"Abierto")))</f>
        <v/>
      </c>
      <c r="BB47" s="10" t="str">
        <f>IF(AZ47="","",IF(COUNTIFS(Registro!$M$8:$M$997,Reportes!AZ47,Registro!$D$8:$D$997,"Resuelto")=0,NA(),COUNTIFS(Registro!$M$8:$M$997,Reportes!AZ47,Registro!$D$8:$D$997,"Resuelto")))</f>
        <v/>
      </c>
    </row>
    <row r="48" spans="2:54">
      <c r="B48" s="32"/>
      <c r="C48" s="40"/>
      <c r="D48" s="40"/>
      <c r="E48" s="40"/>
      <c r="F48" s="40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11" t="str">
        <f>Programación!Y42</f>
        <v/>
      </c>
      <c r="AR48" s="12" t="str">
        <f>IF(AQ48="","",COUNTIFS(Registro!$M$8:$M$997,Reportes!AQ48,Registro!$D$8:$D$997,"Abierto"))</f>
        <v/>
      </c>
      <c r="AS48" s="12" t="str">
        <f>IF(AQ48="","",COUNTIFS(Registro!$M$8:$M$997,Reportes!AQ48,Registro!$D$8:$D$997,"Resuelto"))</f>
        <v/>
      </c>
      <c r="AT48" s="12" t="str">
        <f t="shared" si="1"/>
        <v/>
      </c>
      <c r="AU48" s="12" t="str">
        <f>IF(AQ48="","",SUMIF(Registro!$M$8:$M$997,Reportes!AQ48,Registro!$U$8:$U$997))</f>
        <v/>
      </c>
      <c r="AV48" s="12" t="str">
        <f>IF(AQ48="","",SUMIF(Registro!$M$8:$M$997,Reportes!AQ48,Registro!$W$8:$W$997))</f>
        <v/>
      </c>
      <c r="AW48" s="12" t="str">
        <f>IF(AQ48="","",SUMIF(Registro!$M$8:$M$997,Reportes!AQ48,Registro!$X$8:$X$997))</f>
        <v/>
      </c>
      <c r="AX48" s="12" t="str">
        <f>IF(AQ48="","",SUMIF(Registro!$M$8:$M$997,Reportes!AQ48,Registro!$Y$8:$Y$997))</f>
        <v/>
      </c>
      <c r="AY48" s="32"/>
      <c r="AZ48" s="9" t="str">
        <f>Programación!Y42</f>
        <v/>
      </c>
      <c r="BA48" s="10" t="str">
        <f>IF(AZ48="","",IF(COUNTIFS(Registro!$M$8:$M$997,Reportes!AZ48,Registro!$D$8:$D$997,"Abierto")=0,NA(),COUNTIFS(Registro!$M$8:$M$997,Reportes!AZ48,Registro!$D$8:$D$997,"Abierto")))</f>
        <v/>
      </c>
      <c r="BB48" s="10" t="str">
        <f>IF(AZ48="","",IF(COUNTIFS(Registro!$M$8:$M$997,Reportes!AZ48,Registro!$D$8:$D$997,"Resuelto")=0,NA(),COUNTIFS(Registro!$M$8:$M$997,Reportes!AZ48,Registro!$D$8:$D$997,"Resuelto")))</f>
        <v/>
      </c>
    </row>
    <row r="49" spans="2:54">
      <c r="B49" s="32"/>
      <c r="C49" s="40"/>
      <c r="D49" s="40"/>
      <c r="E49" s="40"/>
      <c r="F49" s="40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11" t="str">
        <f>Programación!Y43</f>
        <v/>
      </c>
      <c r="AR49" s="12" t="str">
        <f>IF(AQ49="","",COUNTIFS(Registro!$M$8:$M$997,Reportes!AQ49,Registro!$D$8:$D$997,"Abierto"))</f>
        <v/>
      </c>
      <c r="AS49" s="12" t="str">
        <f>IF(AQ49="","",COUNTIFS(Registro!$M$8:$M$997,Reportes!AQ49,Registro!$D$8:$D$997,"Resuelto"))</f>
        <v/>
      </c>
      <c r="AT49" s="12" t="str">
        <f t="shared" si="1"/>
        <v/>
      </c>
      <c r="AU49" s="12" t="str">
        <f>IF(AQ49="","",SUMIF(Registro!$M$8:$M$997,Reportes!AQ49,Registro!$U$8:$U$997))</f>
        <v/>
      </c>
      <c r="AV49" s="12" t="str">
        <f>IF(AQ49="","",SUMIF(Registro!$M$8:$M$997,Reportes!AQ49,Registro!$W$8:$W$997))</f>
        <v/>
      </c>
      <c r="AW49" s="12" t="str">
        <f>IF(AQ49="","",SUMIF(Registro!$M$8:$M$997,Reportes!AQ49,Registro!$X$8:$X$997))</f>
        <v/>
      </c>
      <c r="AX49" s="12" t="str">
        <f>IF(AQ49="","",SUMIF(Registro!$M$8:$M$997,Reportes!AQ49,Registro!$Y$8:$Y$997))</f>
        <v/>
      </c>
      <c r="AY49" s="32"/>
      <c r="AZ49" s="9" t="str">
        <f>Programación!Y43</f>
        <v/>
      </c>
      <c r="BA49" s="10" t="str">
        <f>IF(AZ49="","",IF(COUNTIFS(Registro!$M$8:$M$997,Reportes!AZ49,Registro!$D$8:$D$997,"Abierto")=0,NA(),COUNTIFS(Registro!$M$8:$M$997,Reportes!AZ49,Registro!$D$8:$D$997,"Abierto")))</f>
        <v/>
      </c>
      <c r="BB49" s="10" t="str">
        <f>IF(AZ49="","",IF(COUNTIFS(Registro!$M$8:$M$997,Reportes!AZ49,Registro!$D$8:$D$997,"Resuelto")=0,NA(),COUNTIFS(Registro!$M$8:$M$997,Reportes!AZ49,Registro!$D$8:$D$997,"Resuelto")))</f>
        <v/>
      </c>
    </row>
    <row r="50" spans="2:54">
      <c r="B50" s="32"/>
      <c r="C50" s="40"/>
      <c r="D50" s="40"/>
      <c r="E50" s="40"/>
      <c r="F50" s="40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11" t="str">
        <f>Programación!Y44</f>
        <v/>
      </c>
      <c r="AR50" s="12" t="str">
        <f>IF(AQ50="","",COUNTIFS(Registro!$M$8:$M$997,Reportes!AQ50,Registro!$D$8:$D$997,"Abierto"))</f>
        <v/>
      </c>
      <c r="AS50" s="12" t="str">
        <f>IF(AQ50="","",COUNTIFS(Registro!$M$8:$M$997,Reportes!AQ50,Registro!$D$8:$D$997,"Resuelto"))</f>
        <v/>
      </c>
      <c r="AT50" s="12" t="str">
        <f t="shared" si="1"/>
        <v/>
      </c>
      <c r="AU50" s="12" t="str">
        <f>IF(AQ50="","",SUMIF(Registro!$M$8:$M$997,Reportes!AQ50,Registro!$U$8:$U$997))</f>
        <v/>
      </c>
      <c r="AV50" s="12" t="str">
        <f>IF(AQ50="","",SUMIF(Registro!$M$8:$M$997,Reportes!AQ50,Registro!$W$8:$W$997))</f>
        <v/>
      </c>
      <c r="AW50" s="12" t="str">
        <f>IF(AQ50="","",SUMIF(Registro!$M$8:$M$997,Reportes!AQ50,Registro!$X$8:$X$997))</f>
        <v/>
      </c>
      <c r="AX50" s="12" t="str">
        <f>IF(AQ50="","",SUMIF(Registro!$M$8:$M$997,Reportes!AQ50,Registro!$Y$8:$Y$997))</f>
        <v/>
      </c>
      <c r="AY50" s="32"/>
      <c r="AZ50" s="9" t="str">
        <f>Programación!Y44</f>
        <v/>
      </c>
      <c r="BA50" s="10" t="str">
        <f>IF(AZ50="","",IF(COUNTIFS(Registro!$M$8:$M$997,Reportes!AZ50,Registro!$D$8:$D$997,"Abierto")=0,NA(),COUNTIFS(Registro!$M$8:$M$997,Reportes!AZ50,Registro!$D$8:$D$997,"Abierto")))</f>
        <v/>
      </c>
      <c r="BB50" s="10" t="str">
        <f>IF(AZ50="","",IF(COUNTIFS(Registro!$M$8:$M$997,Reportes!AZ50,Registro!$D$8:$D$997,"Resuelto")=0,NA(),COUNTIFS(Registro!$M$8:$M$997,Reportes!AZ50,Registro!$D$8:$D$997,"Resuelto")))</f>
        <v/>
      </c>
    </row>
    <row r="51" spans="2:54">
      <c r="B51" s="32"/>
      <c r="C51" s="40"/>
      <c r="D51" s="40"/>
      <c r="E51" s="40"/>
      <c r="F51" s="40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11" t="str">
        <f>Programación!Y45</f>
        <v/>
      </c>
      <c r="AR51" s="12" t="str">
        <f>IF(AQ51="","",COUNTIFS(Registro!$M$8:$M$997,Reportes!AQ51,Registro!$D$8:$D$997,"Abierto"))</f>
        <v/>
      </c>
      <c r="AS51" s="12" t="str">
        <f>IF(AQ51="","",COUNTIFS(Registro!$M$8:$M$997,Reportes!AQ51,Registro!$D$8:$D$997,"Resuelto"))</f>
        <v/>
      </c>
      <c r="AT51" s="12" t="str">
        <f t="shared" si="1"/>
        <v/>
      </c>
      <c r="AU51" s="12" t="str">
        <f>IF(AQ51="","",SUMIF(Registro!$M$8:$M$997,Reportes!AQ51,Registro!$U$8:$U$997))</f>
        <v/>
      </c>
      <c r="AV51" s="12" t="str">
        <f>IF(AQ51="","",SUMIF(Registro!$M$8:$M$997,Reportes!AQ51,Registro!$W$8:$W$997))</f>
        <v/>
      </c>
      <c r="AW51" s="12" t="str">
        <f>IF(AQ51="","",SUMIF(Registro!$M$8:$M$997,Reportes!AQ51,Registro!$X$8:$X$997))</f>
        <v/>
      </c>
      <c r="AX51" s="12" t="str">
        <f>IF(AQ51="","",SUMIF(Registro!$M$8:$M$997,Reportes!AQ51,Registro!$Y$8:$Y$997))</f>
        <v/>
      </c>
      <c r="AY51" s="32"/>
      <c r="AZ51" s="9" t="str">
        <f>Programación!Y45</f>
        <v/>
      </c>
      <c r="BA51" s="10" t="str">
        <f>IF(AZ51="","",IF(COUNTIFS(Registro!$M$8:$M$997,Reportes!AZ51,Registro!$D$8:$D$997,"Abierto")=0,NA(),COUNTIFS(Registro!$M$8:$M$997,Reportes!AZ51,Registro!$D$8:$D$997,"Abierto")))</f>
        <v/>
      </c>
      <c r="BB51" s="10" t="str">
        <f>IF(AZ51="","",IF(COUNTIFS(Registro!$M$8:$M$997,Reportes!AZ51,Registro!$D$8:$D$997,"Resuelto")=0,NA(),COUNTIFS(Registro!$M$8:$M$997,Reportes!AZ51,Registro!$D$8:$D$997,"Resuelto")))</f>
        <v/>
      </c>
    </row>
    <row r="52" spans="2:54">
      <c r="B52" s="32"/>
      <c r="C52" s="40"/>
      <c r="D52" s="40"/>
      <c r="E52" s="40"/>
      <c r="F52" s="40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11" t="str">
        <f>Programación!Y46</f>
        <v/>
      </c>
      <c r="AR52" s="12" t="str">
        <f>IF(AQ52="","",COUNTIFS(Registro!$M$8:$M$997,Reportes!AQ52,Registro!$D$8:$D$997,"Abierto"))</f>
        <v/>
      </c>
      <c r="AS52" s="12" t="str">
        <f>IF(AQ52="","",COUNTIFS(Registro!$M$8:$M$997,Reportes!AQ52,Registro!$D$8:$D$997,"Resuelto"))</f>
        <v/>
      </c>
      <c r="AT52" s="12" t="str">
        <f t="shared" si="1"/>
        <v/>
      </c>
      <c r="AU52" s="12" t="str">
        <f>IF(AQ52="","",SUMIF(Registro!$M$8:$M$997,Reportes!AQ52,Registro!$U$8:$U$997))</f>
        <v/>
      </c>
      <c r="AV52" s="12" t="str">
        <f>IF(AQ52="","",SUMIF(Registro!$M$8:$M$997,Reportes!AQ52,Registro!$W$8:$W$997))</f>
        <v/>
      </c>
      <c r="AW52" s="12" t="str">
        <f>IF(AQ52="","",SUMIF(Registro!$M$8:$M$997,Reportes!AQ52,Registro!$X$8:$X$997))</f>
        <v/>
      </c>
      <c r="AX52" s="12" t="str">
        <f>IF(AQ52="","",SUMIF(Registro!$M$8:$M$997,Reportes!AQ52,Registro!$Y$8:$Y$997))</f>
        <v/>
      </c>
      <c r="AY52" s="32"/>
      <c r="AZ52" s="9" t="str">
        <f>Programación!Y46</f>
        <v/>
      </c>
      <c r="BA52" s="10" t="str">
        <f>IF(AZ52="","",IF(COUNTIFS(Registro!$M$8:$M$997,Reportes!AZ52,Registro!$D$8:$D$997,"Abierto")=0,NA(),COUNTIFS(Registro!$M$8:$M$997,Reportes!AZ52,Registro!$D$8:$D$997,"Abierto")))</f>
        <v/>
      </c>
      <c r="BB52" s="10" t="str">
        <f>IF(AZ52="","",IF(COUNTIFS(Registro!$M$8:$M$997,Reportes!AZ52,Registro!$D$8:$D$997,"Resuelto")=0,NA(),COUNTIFS(Registro!$M$8:$M$997,Reportes!AZ52,Registro!$D$8:$D$997,"Resuelto")))</f>
        <v/>
      </c>
    </row>
    <row r="53" spans="2:54">
      <c r="B53" s="32"/>
      <c r="C53" s="40"/>
      <c r="D53" s="40"/>
      <c r="E53" s="40"/>
      <c r="F53" s="40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11" t="str">
        <f>Programación!Y47</f>
        <v/>
      </c>
      <c r="AR53" s="12" t="str">
        <f>IF(AQ53="","",COUNTIFS(Registro!$M$8:$M$997,Reportes!AQ53,Registro!$D$8:$D$997,"Abierto"))</f>
        <v/>
      </c>
      <c r="AS53" s="12" t="str">
        <f>IF(AQ53="","",COUNTIFS(Registro!$M$8:$M$997,Reportes!AQ53,Registro!$D$8:$D$997,"Resuelto"))</f>
        <v/>
      </c>
      <c r="AT53" s="12" t="str">
        <f t="shared" si="1"/>
        <v/>
      </c>
      <c r="AU53" s="12" t="str">
        <f>IF(AQ53="","",SUMIF(Registro!$M$8:$M$997,Reportes!AQ53,Registro!$U$8:$U$997))</f>
        <v/>
      </c>
      <c r="AV53" s="12" t="str">
        <f>IF(AQ53="","",SUMIF(Registro!$M$8:$M$997,Reportes!AQ53,Registro!$W$8:$W$997))</f>
        <v/>
      </c>
      <c r="AW53" s="12" t="str">
        <f>IF(AQ53="","",SUMIF(Registro!$M$8:$M$997,Reportes!AQ53,Registro!$X$8:$X$997))</f>
        <v/>
      </c>
      <c r="AX53" s="12" t="str">
        <f>IF(AQ53="","",SUMIF(Registro!$M$8:$M$997,Reportes!AQ53,Registro!$Y$8:$Y$997))</f>
        <v/>
      </c>
      <c r="AY53" s="32"/>
      <c r="AZ53" s="9" t="str">
        <f>Programación!Y47</f>
        <v/>
      </c>
      <c r="BA53" s="10" t="str">
        <f>IF(AZ53="","",IF(COUNTIFS(Registro!$M$8:$M$997,Reportes!AZ53,Registro!$D$8:$D$997,"Abierto")=0,NA(),COUNTIFS(Registro!$M$8:$M$997,Reportes!AZ53,Registro!$D$8:$D$997,"Abierto")))</f>
        <v/>
      </c>
      <c r="BB53" s="10" t="str">
        <f>IF(AZ53="","",IF(COUNTIFS(Registro!$M$8:$M$997,Reportes!AZ53,Registro!$D$8:$D$997,"Resuelto")=0,NA(),COUNTIFS(Registro!$M$8:$M$997,Reportes!AZ53,Registro!$D$8:$D$997,"Resuelto")))</f>
        <v/>
      </c>
    </row>
    <row r="54" spans="2:54">
      <c r="B54" s="32"/>
      <c r="C54" s="40"/>
      <c r="D54" s="40"/>
      <c r="E54" s="40"/>
      <c r="F54" s="40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11" t="str">
        <f>Programación!Y48</f>
        <v/>
      </c>
      <c r="AR54" s="12" t="str">
        <f>IF(AQ54="","",COUNTIFS(Registro!$M$8:$M$997,Reportes!AQ54,Registro!$D$8:$D$997,"Abierto"))</f>
        <v/>
      </c>
      <c r="AS54" s="12" t="str">
        <f>IF(AQ54="","",COUNTIFS(Registro!$M$8:$M$997,Reportes!AQ54,Registro!$D$8:$D$997,"Resuelto"))</f>
        <v/>
      </c>
      <c r="AT54" s="12" t="str">
        <f t="shared" si="1"/>
        <v/>
      </c>
      <c r="AU54" s="12" t="str">
        <f>IF(AQ54="","",SUMIF(Registro!$M$8:$M$997,Reportes!AQ54,Registro!$U$8:$U$997))</f>
        <v/>
      </c>
      <c r="AV54" s="12" t="str">
        <f>IF(AQ54="","",SUMIF(Registro!$M$8:$M$997,Reportes!AQ54,Registro!$W$8:$W$997))</f>
        <v/>
      </c>
      <c r="AW54" s="12" t="str">
        <f>IF(AQ54="","",SUMIF(Registro!$M$8:$M$997,Reportes!AQ54,Registro!$X$8:$X$997))</f>
        <v/>
      </c>
      <c r="AX54" s="12" t="str">
        <f>IF(AQ54="","",SUMIF(Registro!$M$8:$M$997,Reportes!AQ54,Registro!$Y$8:$Y$997))</f>
        <v/>
      </c>
      <c r="AY54" s="32"/>
      <c r="AZ54" s="9" t="str">
        <f>Programación!Y48</f>
        <v/>
      </c>
      <c r="BA54" s="10" t="str">
        <f>IF(AZ54="","",IF(COUNTIFS(Registro!$M$8:$M$997,Reportes!AZ54,Registro!$D$8:$D$997,"Abierto")=0,NA(),COUNTIFS(Registro!$M$8:$M$997,Reportes!AZ54,Registro!$D$8:$D$997,"Abierto")))</f>
        <v/>
      </c>
      <c r="BB54" s="10" t="str">
        <f>IF(AZ54="","",IF(COUNTIFS(Registro!$M$8:$M$997,Reportes!AZ54,Registro!$D$8:$D$997,"Resuelto")=0,NA(),COUNTIFS(Registro!$M$8:$M$997,Reportes!AZ54,Registro!$D$8:$D$997,"Resuelto")))</f>
        <v/>
      </c>
    </row>
    <row r="55" spans="2:54">
      <c r="B55" s="32"/>
      <c r="C55" s="40"/>
      <c r="D55" s="40"/>
      <c r="E55" s="40"/>
      <c r="F55" s="40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11" t="str">
        <f>Programación!Y49</f>
        <v/>
      </c>
      <c r="AR55" s="12" t="str">
        <f>IF(AQ55="","",COUNTIFS(Registro!$M$8:$M$997,Reportes!AQ55,Registro!$D$8:$D$997,"Abierto"))</f>
        <v/>
      </c>
      <c r="AS55" s="12" t="str">
        <f>IF(AQ55="","",COUNTIFS(Registro!$M$8:$M$997,Reportes!AQ55,Registro!$D$8:$D$997,"Resuelto"))</f>
        <v/>
      </c>
      <c r="AT55" s="12" t="str">
        <f t="shared" si="1"/>
        <v/>
      </c>
      <c r="AU55" s="12" t="str">
        <f>IF(AQ55="","",SUMIF(Registro!$M$8:$M$997,Reportes!AQ55,Registro!$U$8:$U$997))</f>
        <v/>
      </c>
      <c r="AV55" s="12" t="str">
        <f>IF(AQ55="","",SUMIF(Registro!$M$8:$M$997,Reportes!AQ55,Registro!$W$8:$W$997))</f>
        <v/>
      </c>
      <c r="AW55" s="12" t="str">
        <f>IF(AQ55="","",SUMIF(Registro!$M$8:$M$997,Reportes!AQ55,Registro!$X$8:$X$997))</f>
        <v/>
      </c>
      <c r="AX55" s="12" t="str">
        <f>IF(AQ55="","",SUMIF(Registro!$M$8:$M$997,Reportes!AQ55,Registro!$Y$8:$Y$997))</f>
        <v/>
      </c>
      <c r="AY55" s="32"/>
      <c r="AZ55" s="9" t="str">
        <f>Programación!Y49</f>
        <v/>
      </c>
      <c r="BA55" s="10" t="str">
        <f>IF(AZ55="","",IF(COUNTIFS(Registro!$M$8:$M$997,Reportes!AZ55,Registro!$D$8:$D$997,"Abierto")=0,NA(),COUNTIFS(Registro!$M$8:$M$997,Reportes!AZ55,Registro!$D$8:$D$997,"Abierto")))</f>
        <v/>
      </c>
      <c r="BB55" s="10" t="str">
        <f>IF(AZ55="","",IF(COUNTIFS(Registro!$M$8:$M$997,Reportes!AZ55,Registro!$D$8:$D$997,"Resuelto")=0,NA(),COUNTIFS(Registro!$M$8:$M$997,Reportes!AZ55,Registro!$D$8:$D$997,"Resuelto")))</f>
        <v/>
      </c>
    </row>
    <row r="56" spans="2:54">
      <c r="B56" s="32"/>
      <c r="C56" s="40"/>
      <c r="D56" s="40"/>
      <c r="E56" s="40"/>
      <c r="F56" s="40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11" t="str">
        <f>Programación!Y50</f>
        <v/>
      </c>
      <c r="AR56" s="12" t="str">
        <f>IF(AQ56="","",COUNTIFS(Registro!$M$8:$M$997,Reportes!AQ56,Registro!$D$8:$D$997,"Abierto"))</f>
        <v/>
      </c>
      <c r="AS56" s="12" t="str">
        <f>IF(AQ56="","",COUNTIFS(Registro!$M$8:$M$997,Reportes!AQ56,Registro!$D$8:$D$997,"Resuelto"))</f>
        <v/>
      </c>
      <c r="AT56" s="12" t="str">
        <f t="shared" si="1"/>
        <v/>
      </c>
      <c r="AU56" s="12" t="str">
        <f>IF(AQ56="","",SUMIF(Registro!$M$8:$M$997,Reportes!AQ56,Registro!$U$8:$U$997))</f>
        <v/>
      </c>
      <c r="AV56" s="12" t="str">
        <f>IF(AQ56="","",SUMIF(Registro!$M$8:$M$997,Reportes!AQ56,Registro!$W$8:$W$997))</f>
        <v/>
      </c>
      <c r="AW56" s="12" t="str">
        <f>IF(AQ56="","",SUMIF(Registro!$M$8:$M$997,Reportes!AQ56,Registro!$X$8:$X$997))</f>
        <v/>
      </c>
      <c r="AX56" s="12" t="str">
        <f>IF(AQ56="","",SUMIF(Registro!$M$8:$M$997,Reportes!AQ56,Registro!$Y$8:$Y$997))</f>
        <v/>
      </c>
      <c r="AY56" s="32"/>
      <c r="AZ56" s="9" t="str">
        <f>Programación!Y50</f>
        <v/>
      </c>
      <c r="BA56" s="10" t="str">
        <f>IF(AZ56="","",IF(COUNTIFS(Registro!$M$8:$M$997,Reportes!AZ56,Registro!$D$8:$D$997,"Abierto")=0,NA(),COUNTIFS(Registro!$M$8:$M$997,Reportes!AZ56,Registro!$D$8:$D$997,"Abierto")))</f>
        <v/>
      </c>
      <c r="BB56" s="10" t="str">
        <f>IF(AZ56="","",IF(COUNTIFS(Registro!$M$8:$M$997,Reportes!AZ56,Registro!$D$8:$D$997,"Resuelto")=0,NA(),COUNTIFS(Registro!$M$8:$M$997,Reportes!AZ56,Registro!$D$8:$D$997,"Resuelto")))</f>
        <v/>
      </c>
    </row>
    <row r="57" spans="2:54">
      <c r="B57" s="32"/>
      <c r="C57" s="40"/>
      <c r="D57" s="40"/>
      <c r="E57" s="40"/>
      <c r="F57" s="40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11" t="str">
        <f>Programación!Y51</f>
        <v/>
      </c>
      <c r="AR57" s="12" t="str">
        <f>IF(AQ57="","",COUNTIFS(Registro!$M$8:$M$997,Reportes!AQ57,Registro!$D$8:$D$997,"Abierto"))</f>
        <v/>
      </c>
      <c r="AS57" s="12" t="str">
        <f>IF(AQ57="","",COUNTIFS(Registro!$M$8:$M$997,Reportes!AQ57,Registro!$D$8:$D$997,"Resuelto"))</f>
        <v/>
      </c>
      <c r="AT57" s="12" t="str">
        <f t="shared" si="1"/>
        <v/>
      </c>
      <c r="AU57" s="12" t="str">
        <f>IF(AQ57="","",SUMIF(Registro!$M$8:$M$997,Reportes!AQ57,Registro!$U$8:$U$997))</f>
        <v/>
      </c>
      <c r="AV57" s="12" t="str">
        <f>IF(AQ57="","",SUMIF(Registro!$M$8:$M$997,Reportes!AQ57,Registro!$W$8:$W$997))</f>
        <v/>
      </c>
      <c r="AW57" s="12" t="str">
        <f>IF(AQ57="","",SUMIF(Registro!$M$8:$M$997,Reportes!AQ57,Registro!$X$8:$X$997))</f>
        <v/>
      </c>
      <c r="AX57" s="12" t="str">
        <f>IF(AQ57="","",SUMIF(Registro!$M$8:$M$997,Reportes!AQ57,Registro!$Y$8:$Y$997))</f>
        <v/>
      </c>
      <c r="AY57" s="32"/>
      <c r="AZ57" s="9" t="str">
        <f>Programación!Y51</f>
        <v/>
      </c>
      <c r="BA57" s="10" t="str">
        <f>IF(AZ57="","",IF(COUNTIFS(Registro!$M$8:$M$997,Reportes!AZ57,Registro!$D$8:$D$997,"Abierto")=0,NA(),COUNTIFS(Registro!$M$8:$M$997,Reportes!AZ57,Registro!$D$8:$D$997,"Abierto")))</f>
        <v/>
      </c>
      <c r="BB57" s="10" t="str">
        <f>IF(AZ57="","",IF(COUNTIFS(Registro!$M$8:$M$997,Reportes!AZ57,Registro!$D$8:$D$997,"Resuelto")=0,NA(),COUNTIFS(Registro!$M$8:$M$997,Reportes!AZ57,Registro!$D$8:$D$997,"Resuelto")))</f>
        <v/>
      </c>
    </row>
    <row r="58" spans="2:54">
      <c r="B58" s="32"/>
      <c r="C58" s="40"/>
      <c r="D58" s="40"/>
      <c r="E58" s="40"/>
      <c r="F58" s="40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11" t="str">
        <f>Programación!Y52</f>
        <v/>
      </c>
      <c r="AR58" s="12" t="str">
        <f>IF(AQ58="","",COUNTIFS(Registro!$M$8:$M$997,Reportes!AQ58,Registro!$D$8:$D$997,"Abierto"))</f>
        <v/>
      </c>
      <c r="AS58" s="12" t="str">
        <f>IF(AQ58="","",COUNTIFS(Registro!$M$8:$M$997,Reportes!AQ58,Registro!$D$8:$D$997,"Resuelto"))</f>
        <v/>
      </c>
      <c r="AT58" s="12" t="str">
        <f t="shared" si="1"/>
        <v/>
      </c>
      <c r="AU58" s="12" t="str">
        <f>IF(AQ58="","",SUMIF(Registro!$M$8:$M$997,Reportes!AQ58,Registro!$U$8:$U$997))</f>
        <v/>
      </c>
      <c r="AV58" s="12" t="str">
        <f>IF(AQ58="","",SUMIF(Registro!$M$8:$M$997,Reportes!AQ58,Registro!$W$8:$W$997))</f>
        <v/>
      </c>
      <c r="AW58" s="12" t="str">
        <f>IF(AQ58="","",SUMIF(Registro!$M$8:$M$997,Reportes!AQ58,Registro!$X$8:$X$997))</f>
        <v/>
      </c>
      <c r="AX58" s="12" t="str">
        <f>IF(AQ58="","",SUMIF(Registro!$M$8:$M$997,Reportes!AQ58,Registro!$Y$8:$Y$997))</f>
        <v/>
      </c>
      <c r="AY58" s="32"/>
      <c r="AZ58" s="9" t="str">
        <f>Programación!Y52</f>
        <v/>
      </c>
      <c r="BA58" s="10" t="str">
        <f>IF(AZ58="","",IF(COUNTIFS(Registro!$M$8:$M$997,Reportes!AZ58,Registro!$D$8:$D$997,"Abierto")=0,NA(),COUNTIFS(Registro!$M$8:$M$997,Reportes!AZ58,Registro!$D$8:$D$997,"Abierto")))</f>
        <v/>
      </c>
      <c r="BB58" s="10" t="str">
        <f>IF(AZ58="","",IF(COUNTIFS(Registro!$M$8:$M$997,Reportes!AZ58,Registro!$D$8:$D$997,"Resuelto")=0,NA(),COUNTIFS(Registro!$M$8:$M$997,Reportes!AZ58,Registro!$D$8:$D$997,"Resuelto")))</f>
        <v/>
      </c>
    </row>
    <row r="59" spans="2:54">
      <c r="B59" s="32"/>
      <c r="C59" s="40"/>
      <c r="D59" s="40"/>
      <c r="E59" s="40"/>
      <c r="F59" s="40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11" t="str">
        <f>Programación!Y53</f>
        <v/>
      </c>
      <c r="AR59" s="12" t="str">
        <f>IF(AQ59="","",COUNTIFS(Registro!$M$8:$M$997,Reportes!AQ59,Registro!$D$8:$D$997,"Abierto"))</f>
        <v/>
      </c>
      <c r="AS59" s="12" t="str">
        <f>IF(AQ59="","",COUNTIFS(Registro!$M$8:$M$997,Reportes!AQ59,Registro!$D$8:$D$997,"Resuelto"))</f>
        <v/>
      </c>
      <c r="AT59" s="12" t="str">
        <f t="shared" si="1"/>
        <v/>
      </c>
      <c r="AU59" s="12" t="str">
        <f>IF(AQ59="","",SUMIF(Registro!$M$8:$M$997,Reportes!AQ59,Registro!$U$8:$U$997))</f>
        <v/>
      </c>
      <c r="AV59" s="12" t="str">
        <f>IF(AQ59="","",SUMIF(Registro!$M$8:$M$997,Reportes!AQ59,Registro!$W$8:$W$997))</f>
        <v/>
      </c>
      <c r="AW59" s="12" t="str">
        <f>IF(AQ59="","",SUMIF(Registro!$M$8:$M$997,Reportes!AQ59,Registro!$X$8:$X$997))</f>
        <v/>
      </c>
      <c r="AX59" s="12" t="str">
        <f>IF(AQ59="","",SUMIF(Registro!$M$8:$M$997,Reportes!AQ59,Registro!$Y$8:$Y$997))</f>
        <v/>
      </c>
      <c r="AY59" s="32"/>
      <c r="AZ59" s="9" t="str">
        <f>Programación!Y53</f>
        <v/>
      </c>
      <c r="BA59" s="10" t="str">
        <f>IF(AZ59="","",IF(COUNTIFS(Registro!$M$8:$M$997,Reportes!AZ59,Registro!$D$8:$D$997,"Abierto")=0,NA(),COUNTIFS(Registro!$M$8:$M$997,Reportes!AZ59,Registro!$D$8:$D$997,"Abierto")))</f>
        <v/>
      </c>
      <c r="BB59" s="10" t="str">
        <f>IF(AZ59="","",IF(COUNTIFS(Registro!$M$8:$M$997,Reportes!AZ59,Registro!$D$8:$D$997,"Resuelto")=0,NA(),COUNTIFS(Registro!$M$8:$M$997,Reportes!AZ59,Registro!$D$8:$D$997,"Resuelto")))</f>
        <v/>
      </c>
    </row>
    <row r="60" spans="2:54">
      <c r="B60" s="32"/>
      <c r="C60" s="40"/>
      <c r="D60" s="40"/>
      <c r="E60" s="40"/>
      <c r="F60" s="40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11" t="str">
        <f>Programación!Y54</f>
        <v/>
      </c>
      <c r="AR60" s="12" t="str">
        <f>IF(AQ60="","",COUNTIFS(Registro!$M$8:$M$997,Reportes!AQ60,Registro!$D$8:$D$997,"Abierto"))</f>
        <v/>
      </c>
      <c r="AS60" s="12" t="str">
        <f>IF(AQ60="","",COUNTIFS(Registro!$M$8:$M$997,Reportes!AQ60,Registro!$D$8:$D$997,"Resuelto"))</f>
        <v/>
      </c>
      <c r="AT60" s="12" t="str">
        <f t="shared" si="1"/>
        <v/>
      </c>
      <c r="AU60" s="12" t="str">
        <f>IF(AQ60="","",SUMIF(Registro!$M$8:$M$997,Reportes!AQ60,Registro!$U$8:$U$997))</f>
        <v/>
      </c>
      <c r="AV60" s="12" t="str">
        <f>IF(AQ60="","",SUMIF(Registro!$M$8:$M$997,Reportes!AQ60,Registro!$W$8:$W$997))</f>
        <v/>
      </c>
      <c r="AW60" s="12" t="str">
        <f>IF(AQ60="","",SUMIF(Registro!$M$8:$M$997,Reportes!AQ60,Registro!$X$8:$X$997))</f>
        <v/>
      </c>
      <c r="AX60" s="12" t="str">
        <f>IF(AQ60="","",SUMIF(Registro!$M$8:$M$997,Reportes!AQ60,Registro!$Y$8:$Y$997))</f>
        <v/>
      </c>
      <c r="AY60" s="32"/>
      <c r="AZ60" s="9" t="str">
        <f>Programación!Y54</f>
        <v/>
      </c>
      <c r="BA60" s="10" t="str">
        <f>IF(AZ60="","",IF(COUNTIFS(Registro!$M$8:$M$997,Reportes!AZ60,Registro!$D$8:$D$997,"Abierto")=0,NA(),COUNTIFS(Registro!$M$8:$M$997,Reportes!AZ60,Registro!$D$8:$D$997,"Abierto")))</f>
        <v/>
      </c>
      <c r="BB60" s="10" t="str">
        <f>IF(AZ60="","",IF(COUNTIFS(Registro!$M$8:$M$997,Reportes!AZ60,Registro!$D$8:$D$997,"Resuelto")=0,NA(),COUNTIFS(Registro!$M$8:$M$997,Reportes!AZ60,Registro!$D$8:$D$997,"Resuelto")))</f>
        <v/>
      </c>
    </row>
    <row r="61" spans="2:54">
      <c r="B61" s="32"/>
      <c r="C61" s="40"/>
      <c r="D61" s="40"/>
      <c r="E61" s="40"/>
      <c r="F61" s="40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11" t="str">
        <f>Programación!Y55</f>
        <v/>
      </c>
      <c r="AR61" s="12" t="str">
        <f>IF(AQ61="","",COUNTIFS(Registro!$M$8:$M$997,Reportes!AQ61,Registro!$D$8:$D$997,"Abierto"))</f>
        <v/>
      </c>
      <c r="AS61" s="12" t="str">
        <f>IF(AQ61="","",COUNTIFS(Registro!$M$8:$M$997,Reportes!AQ61,Registro!$D$8:$D$997,"Resuelto"))</f>
        <v/>
      </c>
      <c r="AT61" s="12" t="str">
        <f t="shared" si="1"/>
        <v/>
      </c>
      <c r="AU61" s="12" t="str">
        <f>IF(AQ61="","",SUMIF(Registro!$M$8:$M$997,Reportes!AQ61,Registro!$U$8:$U$997))</f>
        <v/>
      </c>
      <c r="AV61" s="12" t="str">
        <f>IF(AQ61="","",SUMIF(Registro!$M$8:$M$997,Reportes!AQ61,Registro!$W$8:$W$997))</f>
        <v/>
      </c>
      <c r="AW61" s="12" t="str">
        <f>IF(AQ61="","",SUMIF(Registro!$M$8:$M$997,Reportes!AQ61,Registro!$X$8:$X$997))</f>
        <v/>
      </c>
      <c r="AX61" s="12" t="str">
        <f>IF(AQ61="","",SUMIF(Registro!$M$8:$M$997,Reportes!AQ61,Registro!$Y$8:$Y$997))</f>
        <v/>
      </c>
      <c r="AY61" s="32"/>
      <c r="AZ61" s="9" t="str">
        <f>Programación!Y55</f>
        <v/>
      </c>
      <c r="BA61" s="10" t="str">
        <f>IF(AZ61="","",IF(COUNTIFS(Registro!$M$8:$M$997,Reportes!AZ61,Registro!$D$8:$D$997,"Abierto")=0,NA(),COUNTIFS(Registro!$M$8:$M$997,Reportes!AZ61,Registro!$D$8:$D$997,"Abierto")))</f>
        <v/>
      </c>
      <c r="BB61" s="10" t="str">
        <f>IF(AZ61="","",IF(COUNTIFS(Registro!$M$8:$M$997,Reportes!AZ61,Registro!$D$8:$D$997,"Resuelto")=0,NA(),COUNTIFS(Registro!$M$8:$M$997,Reportes!AZ61,Registro!$D$8:$D$997,"Resuelto")))</f>
        <v/>
      </c>
    </row>
    <row r="62" spans="2:54">
      <c r="B62" s="32"/>
      <c r="C62" s="40"/>
      <c r="D62" s="40"/>
      <c r="E62" s="40"/>
      <c r="F62" s="40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11" t="str">
        <f>Programación!Y56</f>
        <v/>
      </c>
      <c r="AR62" s="12" t="str">
        <f>IF(AQ62="","",COUNTIFS(Registro!$M$8:$M$997,Reportes!AQ62,Registro!$D$8:$D$997,"Abierto"))</f>
        <v/>
      </c>
      <c r="AS62" s="12" t="str">
        <f>IF(AQ62="","",COUNTIFS(Registro!$M$8:$M$997,Reportes!AQ62,Registro!$D$8:$D$997,"Resuelto"))</f>
        <v/>
      </c>
      <c r="AT62" s="12" t="str">
        <f t="shared" si="1"/>
        <v/>
      </c>
      <c r="AU62" s="12" t="str">
        <f>IF(AQ62="","",SUMIF(Registro!$M$8:$M$997,Reportes!AQ62,Registro!$U$8:$U$997))</f>
        <v/>
      </c>
      <c r="AV62" s="12" t="str">
        <f>IF(AQ62="","",SUMIF(Registro!$M$8:$M$997,Reportes!AQ62,Registro!$W$8:$W$997))</f>
        <v/>
      </c>
      <c r="AW62" s="12" t="str">
        <f>IF(AQ62="","",SUMIF(Registro!$M$8:$M$997,Reportes!AQ62,Registro!$X$8:$X$997))</f>
        <v/>
      </c>
      <c r="AX62" s="12" t="str">
        <f>IF(AQ62="","",SUMIF(Registro!$M$8:$M$997,Reportes!AQ62,Registro!$Y$8:$Y$997))</f>
        <v/>
      </c>
      <c r="AY62" s="32"/>
      <c r="AZ62" s="9" t="str">
        <f>Programación!Y56</f>
        <v/>
      </c>
      <c r="BA62" s="10" t="str">
        <f>IF(AZ62="","",IF(COUNTIFS(Registro!$M$8:$M$997,Reportes!AZ62,Registro!$D$8:$D$997,"Abierto")=0,NA(),COUNTIFS(Registro!$M$8:$M$997,Reportes!AZ62,Registro!$D$8:$D$997,"Abierto")))</f>
        <v/>
      </c>
      <c r="BB62" s="10" t="str">
        <f>IF(AZ62="","",IF(COUNTIFS(Registro!$M$8:$M$997,Reportes!AZ62,Registro!$D$8:$D$997,"Resuelto")=0,NA(),COUNTIFS(Registro!$M$8:$M$997,Reportes!AZ62,Registro!$D$8:$D$997,"Resuelto")))</f>
        <v/>
      </c>
    </row>
    <row r="63" spans="2:54">
      <c r="B63" s="32"/>
      <c r="C63" s="40"/>
      <c r="D63" s="40"/>
      <c r="E63" s="40"/>
      <c r="F63" s="40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11" t="str">
        <f>Programación!Y57</f>
        <v/>
      </c>
      <c r="AR63" s="12" t="str">
        <f>IF(AQ63="","",COUNTIFS(Registro!$M$8:$M$997,Reportes!AQ63,Registro!$D$8:$D$997,"Abierto"))</f>
        <v/>
      </c>
      <c r="AS63" s="12" t="str">
        <f>IF(AQ63="","",COUNTIFS(Registro!$M$8:$M$997,Reportes!AQ63,Registro!$D$8:$D$997,"Resuelto"))</f>
        <v/>
      </c>
      <c r="AT63" s="12" t="str">
        <f t="shared" si="1"/>
        <v/>
      </c>
      <c r="AU63" s="12" t="str">
        <f>IF(AQ63="","",SUMIF(Registro!$M$8:$M$997,Reportes!AQ63,Registro!$U$8:$U$997))</f>
        <v/>
      </c>
      <c r="AV63" s="12" t="str">
        <f>IF(AQ63="","",SUMIF(Registro!$M$8:$M$997,Reportes!AQ63,Registro!$W$8:$W$997))</f>
        <v/>
      </c>
      <c r="AW63" s="12" t="str">
        <f>IF(AQ63="","",SUMIF(Registro!$M$8:$M$997,Reportes!AQ63,Registro!$X$8:$X$997))</f>
        <v/>
      </c>
      <c r="AX63" s="12" t="str">
        <f>IF(AQ63="","",SUMIF(Registro!$M$8:$M$997,Reportes!AQ63,Registro!$Y$8:$Y$997))</f>
        <v/>
      </c>
      <c r="AY63" s="32"/>
      <c r="AZ63" s="9" t="str">
        <f>Programación!Y57</f>
        <v/>
      </c>
      <c r="BA63" s="10" t="str">
        <f>IF(AZ63="","",IF(COUNTIFS(Registro!$M$8:$M$997,Reportes!AZ63,Registro!$D$8:$D$997,"Abierto")=0,NA(),COUNTIFS(Registro!$M$8:$M$997,Reportes!AZ63,Registro!$D$8:$D$997,"Abierto")))</f>
        <v/>
      </c>
      <c r="BB63" s="10" t="str">
        <f>IF(AZ63="","",IF(COUNTIFS(Registro!$M$8:$M$997,Reportes!AZ63,Registro!$D$8:$D$997,"Resuelto")=0,NA(),COUNTIFS(Registro!$M$8:$M$997,Reportes!AZ63,Registro!$D$8:$D$997,"Resuelto")))</f>
        <v/>
      </c>
    </row>
    <row r="64" spans="2:54">
      <c r="B64" s="32"/>
      <c r="C64" s="40"/>
      <c r="D64" s="40"/>
      <c r="E64" s="40"/>
      <c r="F64" s="40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11" t="str">
        <f>Programación!Y58</f>
        <v/>
      </c>
      <c r="AR64" s="12" t="str">
        <f>IF(AQ64="","",COUNTIFS(Registro!$M$8:$M$997,Reportes!AQ64,Registro!$D$8:$D$997,"Abierto"))</f>
        <v/>
      </c>
      <c r="AS64" s="12" t="str">
        <f>IF(AQ64="","",COUNTIFS(Registro!$M$8:$M$997,Reportes!AQ64,Registro!$D$8:$D$997,"Resuelto"))</f>
        <v/>
      </c>
      <c r="AT64" s="12" t="str">
        <f t="shared" si="1"/>
        <v/>
      </c>
      <c r="AU64" s="12" t="str">
        <f>IF(AQ64="","",SUMIF(Registro!$M$8:$M$997,Reportes!AQ64,Registro!$U$8:$U$997))</f>
        <v/>
      </c>
      <c r="AV64" s="12" t="str">
        <f>IF(AQ64="","",SUMIF(Registro!$M$8:$M$997,Reportes!AQ64,Registro!$W$8:$W$997))</f>
        <v/>
      </c>
      <c r="AW64" s="12" t="str">
        <f>IF(AQ64="","",SUMIF(Registro!$M$8:$M$997,Reportes!AQ64,Registro!$X$8:$X$997))</f>
        <v/>
      </c>
      <c r="AX64" s="12" t="str">
        <f>IF(AQ64="","",SUMIF(Registro!$M$8:$M$997,Reportes!AQ64,Registro!$Y$8:$Y$997))</f>
        <v/>
      </c>
      <c r="AY64" s="32"/>
      <c r="AZ64" s="9" t="str">
        <f>Programación!Y58</f>
        <v/>
      </c>
      <c r="BA64" s="10" t="str">
        <f>IF(AZ64="","",IF(COUNTIFS(Registro!$M$8:$M$997,Reportes!AZ64,Registro!$D$8:$D$997,"Abierto")=0,NA(),COUNTIFS(Registro!$M$8:$M$997,Reportes!AZ64,Registro!$D$8:$D$997,"Abierto")))</f>
        <v/>
      </c>
      <c r="BB64" s="10" t="str">
        <f>IF(AZ64="","",IF(COUNTIFS(Registro!$M$8:$M$997,Reportes!AZ64,Registro!$D$8:$D$997,"Resuelto")=0,NA(),COUNTIFS(Registro!$M$8:$M$997,Reportes!AZ64,Registro!$D$8:$D$997,"Resuelto")))</f>
        <v/>
      </c>
    </row>
    <row r="65" spans="43:54">
      <c r="AQ65" s="11" t="str">
        <f>Programación!Y59</f>
        <v/>
      </c>
      <c r="AR65" s="12" t="str">
        <f>IF(AQ65="","",COUNTIFS(Registro!$M$8:$M$997,Reportes!AQ65,Registro!$D$8:$D$997,"Abierto"))</f>
        <v/>
      </c>
      <c r="AS65" s="12" t="str">
        <f>IF(AQ65="","",COUNTIFS(Registro!$M$8:$M$997,Reportes!AQ65,Registro!$D$8:$D$997,"Resuelto"))</f>
        <v/>
      </c>
      <c r="AT65" s="12" t="str">
        <f t="shared" si="1"/>
        <v/>
      </c>
      <c r="AU65" s="12" t="str">
        <f>IF(AQ65="","",SUMIF(Registro!$M$8:$M$997,Reportes!AQ65,Registro!$U$8:$U$997))</f>
        <v/>
      </c>
      <c r="AV65" s="12" t="str">
        <f>IF(AQ65="","",SUMIF(Registro!$M$8:$M$997,Reportes!AQ65,Registro!$W$8:$W$997))</f>
        <v/>
      </c>
      <c r="AW65" s="12" t="str">
        <f>IF(AQ65="","",SUMIF(Registro!$M$8:$M$997,Reportes!AQ65,Registro!$X$8:$X$997))</f>
        <v/>
      </c>
      <c r="AX65" s="12" t="str">
        <f>IF(AQ65="","",SUMIF(Registro!$M$8:$M$997,Reportes!AQ65,Registro!$Y$8:$Y$997))</f>
        <v/>
      </c>
      <c r="AY65" s="32"/>
      <c r="AZ65" s="9" t="str">
        <f>Programación!Y59</f>
        <v/>
      </c>
      <c r="BA65" s="10" t="str">
        <f>IF(AZ65="","",IF(COUNTIFS(Registro!$M$8:$M$997,Reportes!AZ65,Registro!$D$8:$D$997,"Abierto")=0,NA(),COUNTIFS(Registro!$M$8:$M$997,Reportes!AZ65,Registro!$D$8:$D$997,"Abierto")))</f>
        <v/>
      </c>
      <c r="BB65" s="10" t="str">
        <f>IF(AZ65="","",IF(COUNTIFS(Registro!$M$8:$M$997,Reportes!AZ65,Registro!$D$8:$D$997,"Resuelto")=0,NA(),COUNTIFS(Registro!$M$8:$M$997,Reportes!AZ65,Registro!$D$8:$D$997,"Resuelto")))</f>
        <v/>
      </c>
    </row>
    <row r="66" spans="43:54">
      <c r="AQ66" s="11" t="str">
        <f>Programación!Y60</f>
        <v/>
      </c>
      <c r="AR66" s="12" t="str">
        <f>IF(AQ66="","",COUNTIFS(Registro!$M$8:$M$997,Reportes!AQ66,Registro!$D$8:$D$997,"Abierto"))</f>
        <v/>
      </c>
      <c r="AS66" s="12" t="str">
        <f>IF(AQ66="","",COUNTIFS(Registro!$M$8:$M$997,Reportes!AQ66,Registro!$D$8:$D$997,"Resuelto"))</f>
        <v/>
      </c>
      <c r="AT66" s="12" t="str">
        <f t="shared" si="1"/>
        <v/>
      </c>
      <c r="AU66" s="12" t="str">
        <f>IF(AQ66="","",SUMIF(Registro!$M$8:$M$997,Reportes!AQ66,Registro!$U$8:$U$997))</f>
        <v/>
      </c>
      <c r="AV66" s="12" t="str">
        <f>IF(AQ66="","",SUMIF(Registro!$M$8:$M$997,Reportes!AQ66,Registro!$W$8:$W$997))</f>
        <v/>
      </c>
      <c r="AW66" s="12" t="str">
        <f>IF(AQ66="","",SUMIF(Registro!$M$8:$M$997,Reportes!AQ66,Registro!$X$8:$X$997))</f>
        <v/>
      </c>
      <c r="AX66" s="12" t="str">
        <f>IF(AQ66="","",SUMIF(Registro!$M$8:$M$997,Reportes!AQ66,Registro!$Y$8:$Y$997))</f>
        <v/>
      </c>
      <c r="AY66" s="32"/>
      <c r="AZ66" s="9" t="str">
        <f>Programación!Y60</f>
        <v/>
      </c>
      <c r="BA66" s="10" t="str">
        <f>IF(AZ66="","",IF(COUNTIFS(Registro!$M$8:$M$997,Reportes!AZ66,Registro!$D$8:$D$997,"Abierto")=0,NA(),COUNTIFS(Registro!$M$8:$M$997,Reportes!AZ66,Registro!$D$8:$D$997,"Abierto")))</f>
        <v/>
      </c>
      <c r="BB66" s="10" t="str">
        <f>IF(AZ66="","",IF(COUNTIFS(Registro!$M$8:$M$997,Reportes!AZ66,Registro!$D$8:$D$997,"Resuelto")=0,NA(),COUNTIFS(Registro!$M$8:$M$997,Reportes!AZ66,Registro!$D$8:$D$997,"Resuelto")))</f>
        <v/>
      </c>
    </row>
    <row r="67" spans="43:54">
      <c r="AQ67" s="11" t="str">
        <f>Programación!Y61</f>
        <v/>
      </c>
      <c r="AR67" s="12" t="str">
        <f>IF(AQ67="","",COUNTIFS(Registro!$M$8:$M$997,Reportes!AQ67,Registro!$D$8:$D$997,"Abierto"))</f>
        <v/>
      </c>
      <c r="AS67" s="12" t="str">
        <f>IF(AQ67="","",COUNTIFS(Registro!$M$8:$M$997,Reportes!AQ67,Registro!$D$8:$D$997,"Resuelto"))</f>
        <v/>
      </c>
      <c r="AT67" s="12" t="str">
        <f t="shared" si="1"/>
        <v/>
      </c>
      <c r="AU67" s="12" t="str">
        <f>IF(AQ67="","",SUMIF(Registro!$M$8:$M$997,Reportes!AQ67,Registro!$U$8:$U$997))</f>
        <v/>
      </c>
      <c r="AV67" s="12" t="str">
        <f>IF(AQ67="","",SUMIF(Registro!$M$8:$M$997,Reportes!AQ67,Registro!$W$8:$W$997))</f>
        <v/>
      </c>
      <c r="AW67" s="12" t="str">
        <f>IF(AQ67="","",SUMIF(Registro!$M$8:$M$997,Reportes!AQ67,Registro!$X$8:$X$997))</f>
        <v/>
      </c>
      <c r="AX67" s="12" t="str">
        <f>IF(AQ67="","",SUMIF(Registro!$M$8:$M$997,Reportes!AQ67,Registro!$Y$8:$Y$997))</f>
        <v/>
      </c>
      <c r="AY67" s="32"/>
      <c r="AZ67" s="9" t="str">
        <f>Programación!Y61</f>
        <v/>
      </c>
      <c r="BA67" s="10" t="str">
        <f>IF(AZ67="","",IF(COUNTIFS(Registro!$M$8:$M$997,Reportes!AZ67,Registro!$D$8:$D$997,"Abierto")=0,NA(),COUNTIFS(Registro!$M$8:$M$997,Reportes!AZ67,Registro!$D$8:$D$997,"Abierto")))</f>
        <v/>
      </c>
      <c r="BB67" s="10" t="str">
        <f>IF(AZ67="","",IF(COUNTIFS(Registro!$M$8:$M$997,Reportes!AZ67,Registro!$D$8:$D$997,"Resuelto")=0,NA(),COUNTIFS(Registro!$M$8:$M$997,Reportes!AZ67,Registro!$D$8:$D$997,"Resuelto")))</f>
        <v/>
      </c>
    </row>
    <row r="68" spans="43:54">
      <c r="AQ68" s="11" t="str">
        <f>Programación!Y62</f>
        <v/>
      </c>
      <c r="AR68" s="12" t="str">
        <f>IF(AQ68="","",COUNTIFS(Registro!$M$8:$M$997,Reportes!AQ68,Registro!$D$8:$D$997,"Abierto"))</f>
        <v/>
      </c>
      <c r="AS68" s="12" t="str">
        <f>IF(AQ68="","",COUNTIFS(Registro!$M$8:$M$997,Reportes!AQ68,Registro!$D$8:$D$997,"Resuelto"))</f>
        <v/>
      </c>
      <c r="AT68" s="12" t="str">
        <f t="shared" si="1"/>
        <v/>
      </c>
      <c r="AU68" s="12" t="str">
        <f>IF(AQ68="","",SUMIF(Registro!$M$8:$M$997,Reportes!AQ68,Registro!$U$8:$U$997))</f>
        <v/>
      </c>
      <c r="AV68" s="12" t="str">
        <f>IF(AQ68="","",SUMIF(Registro!$M$8:$M$997,Reportes!AQ68,Registro!$W$8:$W$997))</f>
        <v/>
      </c>
      <c r="AW68" s="12" t="str">
        <f>IF(AQ68="","",SUMIF(Registro!$M$8:$M$997,Reportes!AQ68,Registro!$X$8:$X$997))</f>
        <v/>
      </c>
      <c r="AX68" s="12" t="str">
        <f>IF(AQ68="","",SUMIF(Registro!$M$8:$M$997,Reportes!AQ68,Registro!$Y$8:$Y$997))</f>
        <v/>
      </c>
      <c r="AY68" s="32"/>
      <c r="AZ68" s="9" t="str">
        <f>Programación!Y62</f>
        <v/>
      </c>
      <c r="BA68" s="10" t="str">
        <f>IF(AZ68="","",IF(COUNTIFS(Registro!$M$8:$M$997,Reportes!AZ68,Registro!$D$8:$D$997,"Abierto")=0,NA(),COUNTIFS(Registro!$M$8:$M$997,Reportes!AZ68,Registro!$D$8:$D$997,"Abierto")))</f>
        <v/>
      </c>
      <c r="BB68" s="10" t="str">
        <f>IF(AZ68="","",IF(COUNTIFS(Registro!$M$8:$M$997,Reportes!AZ68,Registro!$D$8:$D$997,"Resuelto")=0,NA(),COUNTIFS(Registro!$M$8:$M$997,Reportes!AZ68,Registro!$D$8:$D$997,"Resuelto")))</f>
        <v/>
      </c>
    </row>
    <row r="69" spans="43:54">
      <c r="AQ69" s="11" t="str">
        <f>Programación!Y63</f>
        <v/>
      </c>
      <c r="AR69" s="12" t="str">
        <f>IF(AQ69="","",COUNTIFS(Registro!$M$8:$M$997,Reportes!AQ69,Registro!$D$8:$D$997,"Abierto"))</f>
        <v/>
      </c>
      <c r="AS69" s="12" t="str">
        <f>IF(AQ69="","",COUNTIFS(Registro!$M$8:$M$997,Reportes!AQ69,Registro!$D$8:$D$997,"Resuelto"))</f>
        <v/>
      </c>
      <c r="AT69" s="12" t="str">
        <f t="shared" si="1"/>
        <v/>
      </c>
      <c r="AU69" s="12" t="str">
        <f>IF(AQ69="","",SUMIF(Registro!$M$8:$M$997,Reportes!AQ69,Registro!$U$8:$U$997))</f>
        <v/>
      </c>
      <c r="AV69" s="12" t="str">
        <f>IF(AQ69="","",SUMIF(Registro!$M$8:$M$997,Reportes!AQ69,Registro!$W$8:$W$997))</f>
        <v/>
      </c>
      <c r="AW69" s="12" t="str">
        <f>IF(AQ69="","",SUMIF(Registro!$M$8:$M$997,Reportes!AQ69,Registro!$X$8:$X$997))</f>
        <v/>
      </c>
      <c r="AX69" s="12" t="str">
        <f>IF(AQ69="","",SUMIF(Registro!$M$8:$M$997,Reportes!AQ69,Registro!$Y$8:$Y$997))</f>
        <v/>
      </c>
      <c r="AY69" s="32"/>
      <c r="AZ69" s="9" t="str">
        <f>Programación!Y63</f>
        <v/>
      </c>
      <c r="BA69" s="10" t="str">
        <f>IF(AZ69="","",IF(COUNTIFS(Registro!$M$8:$M$997,Reportes!AZ69,Registro!$D$8:$D$997,"Abierto")=0,NA(),COUNTIFS(Registro!$M$8:$M$997,Reportes!AZ69,Registro!$D$8:$D$997,"Abierto")))</f>
        <v/>
      </c>
      <c r="BB69" s="10" t="str">
        <f>IF(AZ69="","",IF(COUNTIFS(Registro!$M$8:$M$997,Reportes!AZ69,Registro!$D$8:$D$997,"Resuelto")=0,NA(),COUNTIFS(Registro!$M$8:$M$997,Reportes!AZ69,Registro!$D$8:$D$997,"Resuelto")))</f>
        <v/>
      </c>
    </row>
    <row r="70" spans="43:54">
      <c r="AQ70" s="11" t="str">
        <f>Programación!Y64</f>
        <v/>
      </c>
      <c r="AR70" s="12" t="str">
        <f>IF(AQ70="","",COUNTIFS(Registro!$M$8:$M$997,Reportes!AQ70,Registro!$D$8:$D$997,"Abierto"))</f>
        <v/>
      </c>
      <c r="AS70" s="12" t="str">
        <f>IF(AQ70="","",COUNTIFS(Registro!$M$8:$M$997,Reportes!AQ70,Registro!$D$8:$D$997,"Resuelto"))</f>
        <v/>
      </c>
      <c r="AT70" s="12" t="str">
        <f t="shared" si="1"/>
        <v/>
      </c>
      <c r="AU70" s="12" t="str">
        <f>IF(AQ70="","",SUMIF(Registro!$M$8:$M$997,Reportes!AQ70,Registro!$U$8:$U$997))</f>
        <v/>
      </c>
      <c r="AV70" s="12" t="str">
        <f>IF(AQ70="","",SUMIF(Registro!$M$8:$M$997,Reportes!AQ70,Registro!$W$8:$W$997))</f>
        <v/>
      </c>
      <c r="AW70" s="12" t="str">
        <f>IF(AQ70="","",SUMIF(Registro!$M$8:$M$997,Reportes!AQ70,Registro!$X$8:$X$997))</f>
        <v/>
      </c>
      <c r="AX70" s="12" t="str">
        <f>IF(AQ70="","",SUMIF(Registro!$M$8:$M$997,Reportes!AQ70,Registro!$Y$8:$Y$997))</f>
        <v/>
      </c>
      <c r="AY70" s="32"/>
      <c r="AZ70" s="9" t="str">
        <f>Programación!Y64</f>
        <v/>
      </c>
      <c r="BA70" s="10" t="str">
        <f>IF(AZ70="","",IF(COUNTIFS(Registro!$M$8:$M$997,Reportes!AZ70,Registro!$D$8:$D$997,"Abierto")=0,NA(),COUNTIFS(Registro!$M$8:$M$997,Reportes!AZ70,Registro!$D$8:$D$997,"Abierto")))</f>
        <v/>
      </c>
      <c r="BB70" s="10" t="str">
        <f>IF(AZ70="","",IF(COUNTIFS(Registro!$M$8:$M$997,Reportes!AZ70,Registro!$D$8:$D$997,"Resuelto")=0,NA(),COUNTIFS(Registro!$M$8:$M$997,Reportes!AZ70,Registro!$D$8:$D$997,"Resuelto")))</f>
        <v/>
      </c>
    </row>
    <row r="71" spans="43:54">
      <c r="AQ71" s="11" t="str">
        <f>Programación!Y65</f>
        <v/>
      </c>
      <c r="AR71" s="12" t="str">
        <f>IF(AQ71="","",COUNTIFS(Registro!$M$8:$M$997,Reportes!AQ71,Registro!$D$8:$D$997,"Abierto"))</f>
        <v/>
      </c>
      <c r="AS71" s="12" t="str">
        <f>IF(AQ71="","",COUNTIFS(Registro!$M$8:$M$997,Reportes!AQ71,Registro!$D$8:$D$997,"Resuelto"))</f>
        <v/>
      </c>
      <c r="AT71" s="12" t="str">
        <f t="shared" si="1"/>
        <v/>
      </c>
      <c r="AU71" s="12" t="str">
        <f>IF(AQ71="","",SUMIF(Registro!$M$8:$M$997,Reportes!AQ71,Registro!$U$8:$U$997))</f>
        <v/>
      </c>
      <c r="AV71" s="12" t="str">
        <f>IF(AQ71="","",SUMIF(Registro!$M$8:$M$997,Reportes!AQ71,Registro!$W$8:$W$997))</f>
        <v/>
      </c>
      <c r="AW71" s="12" t="str">
        <f>IF(AQ71="","",SUMIF(Registro!$M$8:$M$997,Reportes!AQ71,Registro!$X$8:$X$997))</f>
        <v/>
      </c>
      <c r="AX71" s="12" t="str">
        <f>IF(AQ71="","",SUMIF(Registro!$M$8:$M$997,Reportes!AQ71,Registro!$Y$8:$Y$997))</f>
        <v/>
      </c>
      <c r="AY71" s="32"/>
      <c r="AZ71" s="9" t="str">
        <f>Programación!Y65</f>
        <v/>
      </c>
      <c r="BA71" s="10" t="str">
        <f>IF(AZ71="","",IF(COUNTIFS(Registro!$M$8:$M$997,Reportes!AZ71,Registro!$D$8:$D$997,"Abierto")=0,NA(),COUNTIFS(Registro!$M$8:$M$997,Reportes!AZ71,Registro!$D$8:$D$997,"Abierto")))</f>
        <v/>
      </c>
      <c r="BB71" s="10" t="str">
        <f>IF(AZ71="","",IF(COUNTIFS(Registro!$M$8:$M$997,Reportes!AZ71,Registro!$D$8:$D$997,"Resuelto")=0,NA(),COUNTIFS(Registro!$M$8:$M$997,Reportes!AZ71,Registro!$D$8:$D$997,"Resuelto")))</f>
        <v/>
      </c>
    </row>
    <row r="72" spans="43:54">
      <c r="AQ72" s="11" t="str">
        <f>Programación!Y66</f>
        <v/>
      </c>
      <c r="AR72" s="12" t="str">
        <f>IF(AQ72="","",COUNTIFS(Registro!$M$8:$M$997,Reportes!AQ72,Registro!$D$8:$D$997,"Abierto"))</f>
        <v/>
      </c>
      <c r="AS72" s="12" t="str">
        <f>IF(AQ72="","",COUNTIFS(Registro!$M$8:$M$997,Reportes!AQ72,Registro!$D$8:$D$997,"Resuelto"))</f>
        <v/>
      </c>
      <c r="AT72" s="12" t="str">
        <f t="shared" si="1"/>
        <v/>
      </c>
      <c r="AU72" s="12" t="str">
        <f>IF(AQ72="","",SUMIF(Registro!$M$8:$M$997,Reportes!AQ72,Registro!$U$8:$U$997))</f>
        <v/>
      </c>
      <c r="AV72" s="12" t="str">
        <f>IF(AQ72="","",SUMIF(Registro!$M$8:$M$997,Reportes!AQ72,Registro!$W$8:$W$997))</f>
        <v/>
      </c>
      <c r="AW72" s="12" t="str">
        <f>IF(AQ72="","",SUMIF(Registro!$M$8:$M$997,Reportes!AQ72,Registro!$X$8:$X$997))</f>
        <v/>
      </c>
      <c r="AX72" s="12" t="str">
        <f>IF(AQ72="","",SUMIF(Registro!$M$8:$M$997,Reportes!AQ72,Registro!$Y$8:$Y$997))</f>
        <v/>
      </c>
      <c r="AY72" s="32"/>
      <c r="AZ72" s="9" t="str">
        <f>Programación!Y66</f>
        <v/>
      </c>
      <c r="BA72" s="10" t="str">
        <f>IF(AZ72="","",IF(COUNTIFS(Registro!$M$8:$M$997,Reportes!AZ72,Registro!$D$8:$D$997,"Abierto")=0,NA(),COUNTIFS(Registro!$M$8:$M$997,Reportes!AZ72,Registro!$D$8:$D$997,"Abierto")))</f>
        <v/>
      </c>
      <c r="BB72" s="10" t="str">
        <f>IF(AZ72="","",IF(COUNTIFS(Registro!$M$8:$M$997,Reportes!AZ72,Registro!$D$8:$D$997,"Resuelto")=0,NA(),COUNTIFS(Registro!$M$8:$M$997,Reportes!AZ72,Registro!$D$8:$D$997,"Resuelto")))</f>
        <v/>
      </c>
    </row>
    <row r="73" spans="43:54">
      <c r="AQ73" s="11" t="str">
        <f>Programación!Y67</f>
        <v/>
      </c>
      <c r="AR73" s="12" t="str">
        <f>IF(AQ73="","",COUNTIFS(Registro!$M$8:$M$997,Reportes!AQ73,Registro!$D$8:$D$997,"Abierto"))</f>
        <v/>
      </c>
      <c r="AS73" s="12" t="str">
        <f>IF(AQ73="","",COUNTIFS(Registro!$M$8:$M$997,Reportes!AQ73,Registro!$D$8:$D$997,"Resuelto"))</f>
        <v/>
      </c>
      <c r="AT73" s="12" t="str">
        <f t="shared" si="1"/>
        <v/>
      </c>
      <c r="AU73" s="12" t="str">
        <f>IF(AQ73="","",SUMIF(Registro!$M$8:$M$997,Reportes!AQ73,Registro!$U$8:$U$997))</f>
        <v/>
      </c>
      <c r="AV73" s="12" t="str">
        <f>IF(AQ73="","",SUMIF(Registro!$M$8:$M$997,Reportes!AQ73,Registro!$W$8:$W$997))</f>
        <v/>
      </c>
      <c r="AW73" s="12" t="str">
        <f>IF(AQ73="","",SUMIF(Registro!$M$8:$M$997,Reportes!AQ73,Registro!$X$8:$X$997))</f>
        <v/>
      </c>
      <c r="AX73" s="12" t="str">
        <f>IF(AQ73="","",SUMIF(Registro!$M$8:$M$997,Reportes!AQ73,Registro!$Y$8:$Y$997))</f>
        <v/>
      </c>
      <c r="AY73" s="32"/>
      <c r="AZ73" s="9" t="str">
        <f>Programación!Y67</f>
        <v/>
      </c>
      <c r="BA73" s="10" t="str">
        <f>IF(AZ73="","",IF(COUNTIFS(Registro!$M$8:$M$997,Reportes!AZ73,Registro!$D$8:$D$997,"Abierto")=0,NA(),COUNTIFS(Registro!$M$8:$M$997,Reportes!AZ73,Registro!$D$8:$D$997,"Abierto")))</f>
        <v/>
      </c>
      <c r="BB73" s="10" t="str">
        <f>IF(AZ73="","",IF(COUNTIFS(Registro!$M$8:$M$997,Reportes!AZ73,Registro!$D$8:$D$997,"Resuelto")=0,NA(),COUNTIFS(Registro!$M$8:$M$997,Reportes!AZ73,Registro!$D$8:$D$997,"Resuelto")))</f>
        <v/>
      </c>
    </row>
    <row r="74" spans="43:54">
      <c r="AQ74" s="11" t="str">
        <f>Programación!Y68</f>
        <v/>
      </c>
      <c r="AR74" s="12" t="str">
        <f>IF(AQ74="","",COUNTIFS(Registro!$M$8:$M$997,Reportes!AQ74,Registro!$D$8:$D$997,"Abierto"))</f>
        <v/>
      </c>
      <c r="AS74" s="12" t="str">
        <f>IF(AQ74="","",COUNTIFS(Registro!$M$8:$M$997,Reportes!AQ74,Registro!$D$8:$D$997,"Resuelto"))</f>
        <v/>
      </c>
      <c r="AT74" s="12" t="str">
        <f t="shared" si="1"/>
        <v/>
      </c>
      <c r="AU74" s="12" t="str">
        <f>IF(AQ74="","",SUMIF(Registro!$M$8:$M$997,Reportes!AQ74,Registro!$U$8:$U$997))</f>
        <v/>
      </c>
      <c r="AV74" s="12" t="str">
        <f>IF(AQ74="","",SUMIF(Registro!$M$8:$M$997,Reportes!AQ74,Registro!$W$8:$W$997))</f>
        <v/>
      </c>
      <c r="AW74" s="12" t="str">
        <f>IF(AQ74="","",SUMIF(Registro!$M$8:$M$997,Reportes!AQ74,Registro!$X$8:$X$997))</f>
        <v/>
      </c>
      <c r="AX74" s="12" t="str">
        <f>IF(AQ74="","",SUMIF(Registro!$M$8:$M$997,Reportes!AQ74,Registro!$Y$8:$Y$997))</f>
        <v/>
      </c>
      <c r="AY74" s="32"/>
      <c r="AZ74" s="9" t="str">
        <f>Programación!Y68</f>
        <v/>
      </c>
      <c r="BA74" s="10" t="str">
        <f>IF(AZ74="","",IF(COUNTIFS(Registro!$M$8:$M$997,Reportes!AZ74,Registro!$D$8:$D$997,"Abierto")=0,NA(),COUNTIFS(Registro!$M$8:$M$997,Reportes!AZ74,Registro!$D$8:$D$997,"Abierto")))</f>
        <v/>
      </c>
      <c r="BB74" s="10" t="str">
        <f>IF(AZ74="","",IF(COUNTIFS(Registro!$M$8:$M$997,Reportes!AZ74,Registro!$D$8:$D$997,"Resuelto")=0,NA(),COUNTIFS(Registro!$M$8:$M$997,Reportes!AZ74,Registro!$D$8:$D$997,"Resuelto")))</f>
        <v/>
      </c>
    </row>
    <row r="75" spans="43:54">
      <c r="AQ75" s="11" t="str">
        <f>Programación!Y69</f>
        <v/>
      </c>
      <c r="AR75" s="12" t="str">
        <f>IF(AQ75="","",COUNTIFS(Registro!$M$8:$M$997,Reportes!AQ75,Registro!$D$8:$D$997,"Abierto"))</f>
        <v/>
      </c>
      <c r="AS75" s="12" t="str">
        <f>IF(AQ75="","",COUNTIFS(Registro!$M$8:$M$997,Reportes!AQ75,Registro!$D$8:$D$997,"Resuelto"))</f>
        <v/>
      </c>
      <c r="AT75" s="12" t="str">
        <f t="shared" ref="AT75:AT106" si="2">IF(AQ75="","",AU75-AV75-AW75-AX75)</f>
        <v/>
      </c>
      <c r="AU75" s="12" t="str">
        <f>IF(AQ75="","",SUMIF(Registro!$M$8:$M$997,Reportes!AQ75,Registro!$U$8:$U$997))</f>
        <v/>
      </c>
      <c r="AV75" s="12" t="str">
        <f>IF(AQ75="","",SUMIF(Registro!$M$8:$M$997,Reportes!AQ75,Registro!$W$8:$W$997))</f>
        <v/>
      </c>
      <c r="AW75" s="12" t="str">
        <f>IF(AQ75="","",SUMIF(Registro!$M$8:$M$997,Reportes!AQ75,Registro!$X$8:$X$997))</f>
        <v/>
      </c>
      <c r="AX75" s="12" t="str">
        <f>IF(AQ75="","",SUMIF(Registro!$M$8:$M$997,Reportes!AQ75,Registro!$Y$8:$Y$997))</f>
        <v/>
      </c>
      <c r="AY75" s="32"/>
      <c r="AZ75" s="9" t="str">
        <f>Programación!Y69</f>
        <v/>
      </c>
      <c r="BA75" s="10" t="str">
        <f>IF(AZ75="","",IF(COUNTIFS(Registro!$M$8:$M$997,Reportes!AZ75,Registro!$D$8:$D$997,"Abierto")=0,NA(),COUNTIFS(Registro!$M$8:$M$997,Reportes!AZ75,Registro!$D$8:$D$997,"Abierto")))</f>
        <v/>
      </c>
      <c r="BB75" s="10" t="str">
        <f>IF(AZ75="","",IF(COUNTIFS(Registro!$M$8:$M$997,Reportes!AZ75,Registro!$D$8:$D$997,"Resuelto")=0,NA(),COUNTIFS(Registro!$M$8:$M$997,Reportes!AZ75,Registro!$D$8:$D$997,"Resuelto")))</f>
        <v/>
      </c>
    </row>
    <row r="76" spans="43:54">
      <c r="AQ76" s="11" t="str">
        <f>Programación!Y70</f>
        <v/>
      </c>
      <c r="AR76" s="12" t="str">
        <f>IF(AQ76="","",COUNTIFS(Registro!$M$8:$M$997,Reportes!AQ76,Registro!$D$8:$D$997,"Abierto"))</f>
        <v/>
      </c>
      <c r="AS76" s="12" t="str">
        <f>IF(AQ76="","",COUNTIFS(Registro!$M$8:$M$997,Reportes!AQ76,Registro!$D$8:$D$997,"Resuelto"))</f>
        <v/>
      </c>
      <c r="AT76" s="12" t="str">
        <f t="shared" si="2"/>
        <v/>
      </c>
      <c r="AU76" s="12" t="str">
        <f>IF(AQ76="","",SUMIF(Registro!$M$8:$M$997,Reportes!AQ76,Registro!$U$8:$U$997))</f>
        <v/>
      </c>
      <c r="AV76" s="12" t="str">
        <f>IF(AQ76="","",SUMIF(Registro!$M$8:$M$997,Reportes!AQ76,Registro!$W$8:$W$997))</f>
        <v/>
      </c>
      <c r="AW76" s="12" t="str">
        <f>IF(AQ76="","",SUMIF(Registro!$M$8:$M$997,Reportes!AQ76,Registro!$X$8:$X$997))</f>
        <v/>
      </c>
      <c r="AX76" s="12" t="str">
        <f>IF(AQ76="","",SUMIF(Registro!$M$8:$M$997,Reportes!AQ76,Registro!$Y$8:$Y$997))</f>
        <v/>
      </c>
      <c r="AY76" s="32"/>
      <c r="AZ76" s="9" t="str">
        <f>Programación!Y70</f>
        <v/>
      </c>
      <c r="BA76" s="10" t="str">
        <f>IF(AZ76="","",IF(COUNTIFS(Registro!$M$8:$M$997,Reportes!AZ76,Registro!$D$8:$D$997,"Abierto")=0,NA(),COUNTIFS(Registro!$M$8:$M$997,Reportes!AZ76,Registro!$D$8:$D$997,"Abierto")))</f>
        <v/>
      </c>
      <c r="BB76" s="10" t="str">
        <f>IF(AZ76="","",IF(COUNTIFS(Registro!$M$8:$M$997,Reportes!AZ76,Registro!$D$8:$D$997,"Resuelto")=0,NA(),COUNTIFS(Registro!$M$8:$M$997,Reportes!AZ76,Registro!$D$8:$D$997,"Resuelto")))</f>
        <v/>
      </c>
    </row>
    <row r="77" spans="43:54">
      <c r="AQ77" s="11" t="str">
        <f>Programación!Y71</f>
        <v/>
      </c>
      <c r="AR77" s="12" t="str">
        <f>IF(AQ77="","",COUNTIFS(Registro!$M$8:$M$997,Reportes!AQ77,Registro!$D$8:$D$997,"Abierto"))</f>
        <v/>
      </c>
      <c r="AS77" s="12" t="str">
        <f>IF(AQ77="","",COUNTIFS(Registro!$M$8:$M$997,Reportes!AQ77,Registro!$D$8:$D$997,"Resuelto"))</f>
        <v/>
      </c>
      <c r="AT77" s="12" t="str">
        <f t="shared" si="2"/>
        <v/>
      </c>
      <c r="AU77" s="12" t="str">
        <f>IF(AQ77="","",SUMIF(Registro!$M$8:$M$997,Reportes!AQ77,Registro!$U$8:$U$997))</f>
        <v/>
      </c>
      <c r="AV77" s="12" t="str">
        <f>IF(AQ77="","",SUMIF(Registro!$M$8:$M$997,Reportes!AQ77,Registro!$W$8:$W$997))</f>
        <v/>
      </c>
      <c r="AW77" s="12" t="str">
        <f>IF(AQ77="","",SUMIF(Registro!$M$8:$M$997,Reportes!AQ77,Registro!$X$8:$X$997))</f>
        <v/>
      </c>
      <c r="AX77" s="12" t="str">
        <f>IF(AQ77="","",SUMIF(Registro!$M$8:$M$997,Reportes!AQ77,Registro!$Y$8:$Y$997))</f>
        <v/>
      </c>
      <c r="AY77" s="32"/>
      <c r="AZ77" s="9" t="str">
        <f>Programación!Y71</f>
        <v/>
      </c>
      <c r="BA77" s="10" t="str">
        <f>IF(AZ77="","",IF(COUNTIFS(Registro!$M$8:$M$997,Reportes!AZ77,Registro!$D$8:$D$997,"Abierto")=0,NA(),COUNTIFS(Registro!$M$8:$M$997,Reportes!AZ77,Registro!$D$8:$D$997,"Abierto")))</f>
        <v/>
      </c>
      <c r="BB77" s="10" t="str">
        <f>IF(AZ77="","",IF(COUNTIFS(Registro!$M$8:$M$997,Reportes!AZ77,Registro!$D$8:$D$997,"Resuelto")=0,NA(),COUNTIFS(Registro!$M$8:$M$997,Reportes!AZ77,Registro!$D$8:$D$997,"Resuelto")))</f>
        <v/>
      </c>
    </row>
    <row r="78" spans="43:54">
      <c r="AQ78" s="11" t="str">
        <f>Programación!Y72</f>
        <v/>
      </c>
      <c r="AR78" s="12" t="str">
        <f>IF(AQ78="","",COUNTIFS(Registro!$M$8:$M$997,Reportes!AQ78,Registro!$D$8:$D$997,"Abierto"))</f>
        <v/>
      </c>
      <c r="AS78" s="12" t="str">
        <f>IF(AQ78="","",COUNTIFS(Registro!$M$8:$M$997,Reportes!AQ78,Registro!$D$8:$D$997,"Resuelto"))</f>
        <v/>
      </c>
      <c r="AT78" s="12" t="str">
        <f t="shared" si="2"/>
        <v/>
      </c>
      <c r="AU78" s="12" t="str">
        <f>IF(AQ78="","",SUMIF(Registro!$M$8:$M$997,Reportes!AQ78,Registro!$U$8:$U$997))</f>
        <v/>
      </c>
      <c r="AV78" s="12" t="str">
        <f>IF(AQ78="","",SUMIF(Registro!$M$8:$M$997,Reportes!AQ78,Registro!$W$8:$W$997))</f>
        <v/>
      </c>
      <c r="AW78" s="12" t="str">
        <f>IF(AQ78="","",SUMIF(Registro!$M$8:$M$997,Reportes!AQ78,Registro!$X$8:$X$997))</f>
        <v/>
      </c>
      <c r="AX78" s="12" t="str">
        <f>IF(AQ78="","",SUMIF(Registro!$M$8:$M$997,Reportes!AQ78,Registro!$Y$8:$Y$997))</f>
        <v/>
      </c>
      <c r="AY78" s="32"/>
      <c r="AZ78" s="9" t="str">
        <f>Programación!Y72</f>
        <v/>
      </c>
      <c r="BA78" s="10" t="str">
        <f>IF(AZ78="","",IF(COUNTIFS(Registro!$M$8:$M$997,Reportes!AZ78,Registro!$D$8:$D$997,"Abierto")=0,NA(),COUNTIFS(Registro!$M$8:$M$997,Reportes!AZ78,Registro!$D$8:$D$997,"Abierto")))</f>
        <v/>
      </c>
      <c r="BB78" s="10" t="str">
        <f>IF(AZ78="","",IF(COUNTIFS(Registro!$M$8:$M$997,Reportes!AZ78,Registro!$D$8:$D$997,"Resuelto")=0,NA(),COUNTIFS(Registro!$M$8:$M$997,Reportes!AZ78,Registro!$D$8:$D$997,"Resuelto")))</f>
        <v/>
      </c>
    </row>
    <row r="79" spans="43:54">
      <c r="AQ79" s="11" t="str">
        <f>Programación!Y73</f>
        <v/>
      </c>
      <c r="AR79" s="12" t="str">
        <f>IF(AQ79="","",COUNTIFS(Registro!$M$8:$M$997,Reportes!AQ79,Registro!$D$8:$D$997,"Abierto"))</f>
        <v/>
      </c>
      <c r="AS79" s="12" t="str">
        <f>IF(AQ79="","",COUNTIFS(Registro!$M$8:$M$997,Reportes!AQ79,Registro!$D$8:$D$997,"Resuelto"))</f>
        <v/>
      </c>
      <c r="AT79" s="12" t="str">
        <f t="shared" si="2"/>
        <v/>
      </c>
      <c r="AU79" s="12" t="str">
        <f>IF(AQ79="","",SUMIF(Registro!$M$8:$M$997,Reportes!AQ79,Registro!$U$8:$U$997))</f>
        <v/>
      </c>
      <c r="AV79" s="12" t="str">
        <f>IF(AQ79="","",SUMIF(Registro!$M$8:$M$997,Reportes!AQ79,Registro!$W$8:$W$997))</f>
        <v/>
      </c>
      <c r="AW79" s="12" t="str">
        <f>IF(AQ79="","",SUMIF(Registro!$M$8:$M$997,Reportes!AQ79,Registro!$X$8:$X$997))</f>
        <v/>
      </c>
      <c r="AX79" s="12" t="str">
        <f>IF(AQ79="","",SUMIF(Registro!$M$8:$M$997,Reportes!AQ79,Registro!$Y$8:$Y$997))</f>
        <v/>
      </c>
      <c r="AY79" s="32"/>
      <c r="AZ79" s="9" t="str">
        <f>Programación!Y73</f>
        <v/>
      </c>
      <c r="BA79" s="10" t="str">
        <f>IF(AZ79="","",IF(COUNTIFS(Registro!$M$8:$M$997,Reportes!AZ79,Registro!$D$8:$D$997,"Abierto")=0,NA(),COUNTIFS(Registro!$M$8:$M$997,Reportes!AZ79,Registro!$D$8:$D$997,"Abierto")))</f>
        <v/>
      </c>
      <c r="BB79" s="10" t="str">
        <f>IF(AZ79="","",IF(COUNTIFS(Registro!$M$8:$M$997,Reportes!AZ79,Registro!$D$8:$D$997,"Resuelto")=0,NA(),COUNTIFS(Registro!$M$8:$M$997,Reportes!AZ79,Registro!$D$8:$D$997,"Resuelto")))</f>
        <v/>
      </c>
    </row>
    <row r="80" spans="43:54">
      <c r="AQ80" s="11" t="str">
        <f>Programación!Y74</f>
        <v/>
      </c>
      <c r="AR80" s="12" t="str">
        <f>IF(AQ80="","",COUNTIFS(Registro!$M$8:$M$997,Reportes!AQ80,Registro!$D$8:$D$997,"Abierto"))</f>
        <v/>
      </c>
      <c r="AS80" s="12" t="str">
        <f>IF(AQ80="","",COUNTIFS(Registro!$M$8:$M$997,Reportes!AQ80,Registro!$D$8:$D$997,"Resuelto"))</f>
        <v/>
      </c>
      <c r="AT80" s="12" t="str">
        <f t="shared" si="2"/>
        <v/>
      </c>
      <c r="AU80" s="12" t="str">
        <f>IF(AQ80="","",SUMIF(Registro!$M$8:$M$997,Reportes!AQ80,Registro!$U$8:$U$997))</f>
        <v/>
      </c>
      <c r="AV80" s="12" t="str">
        <f>IF(AQ80="","",SUMIF(Registro!$M$8:$M$997,Reportes!AQ80,Registro!$W$8:$W$997))</f>
        <v/>
      </c>
      <c r="AW80" s="12" t="str">
        <f>IF(AQ80="","",SUMIF(Registro!$M$8:$M$997,Reportes!AQ80,Registro!$X$8:$X$997))</f>
        <v/>
      </c>
      <c r="AX80" s="12" t="str">
        <f>IF(AQ80="","",SUMIF(Registro!$M$8:$M$997,Reportes!AQ80,Registro!$Y$8:$Y$997))</f>
        <v/>
      </c>
      <c r="AY80" s="32"/>
      <c r="AZ80" s="9" t="str">
        <f>Programación!Y74</f>
        <v/>
      </c>
      <c r="BA80" s="10" t="str">
        <f>IF(AZ80="","",IF(COUNTIFS(Registro!$M$8:$M$997,Reportes!AZ80,Registro!$D$8:$D$997,"Abierto")=0,NA(),COUNTIFS(Registro!$M$8:$M$997,Reportes!AZ80,Registro!$D$8:$D$997,"Abierto")))</f>
        <v/>
      </c>
      <c r="BB80" s="10" t="str">
        <f>IF(AZ80="","",IF(COUNTIFS(Registro!$M$8:$M$997,Reportes!AZ80,Registro!$D$8:$D$997,"Resuelto")=0,NA(),COUNTIFS(Registro!$M$8:$M$997,Reportes!AZ80,Registro!$D$8:$D$997,"Resuelto")))</f>
        <v/>
      </c>
    </row>
    <row r="81" spans="43:54">
      <c r="AQ81" s="11" t="str">
        <f>Programación!Y75</f>
        <v/>
      </c>
      <c r="AR81" s="12" t="str">
        <f>IF(AQ81="","",COUNTIFS(Registro!$M$8:$M$997,Reportes!AQ81,Registro!$D$8:$D$997,"Abierto"))</f>
        <v/>
      </c>
      <c r="AS81" s="12" t="str">
        <f>IF(AQ81="","",COUNTIFS(Registro!$M$8:$M$997,Reportes!AQ81,Registro!$D$8:$D$997,"Resuelto"))</f>
        <v/>
      </c>
      <c r="AT81" s="12" t="str">
        <f t="shared" si="2"/>
        <v/>
      </c>
      <c r="AU81" s="12" t="str">
        <f>IF(AQ81="","",SUMIF(Registro!$M$8:$M$997,Reportes!AQ81,Registro!$U$8:$U$997))</f>
        <v/>
      </c>
      <c r="AV81" s="12" t="str">
        <f>IF(AQ81="","",SUMIF(Registro!$M$8:$M$997,Reportes!AQ81,Registro!$W$8:$W$997))</f>
        <v/>
      </c>
      <c r="AW81" s="12" t="str">
        <f>IF(AQ81="","",SUMIF(Registro!$M$8:$M$997,Reportes!AQ81,Registro!$X$8:$X$997))</f>
        <v/>
      </c>
      <c r="AX81" s="12" t="str">
        <f>IF(AQ81="","",SUMIF(Registro!$M$8:$M$997,Reportes!AQ81,Registro!$Y$8:$Y$997))</f>
        <v/>
      </c>
      <c r="AY81" s="32"/>
      <c r="AZ81" s="9" t="str">
        <f>Programación!Y75</f>
        <v/>
      </c>
      <c r="BA81" s="10" t="str">
        <f>IF(AZ81="","",IF(COUNTIFS(Registro!$M$8:$M$997,Reportes!AZ81,Registro!$D$8:$D$997,"Abierto")=0,NA(),COUNTIFS(Registro!$M$8:$M$997,Reportes!AZ81,Registro!$D$8:$D$997,"Abierto")))</f>
        <v/>
      </c>
      <c r="BB81" s="10" t="str">
        <f>IF(AZ81="","",IF(COUNTIFS(Registro!$M$8:$M$997,Reportes!AZ81,Registro!$D$8:$D$997,"Resuelto")=0,NA(),COUNTIFS(Registro!$M$8:$M$997,Reportes!AZ81,Registro!$D$8:$D$997,"Resuelto")))</f>
        <v/>
      </c>
    </row>
    <row r="82" spans="43:54">
      <c r="AQ82" s="11" t="str">
        <f>Programación!Y76</f>
        <v/>
      </c>
      <c r="AR82" s="12" t="str">
        <f>IF(AQ82="","",COUNTIFS(Registro!$M$8:$M$997,Reportes!AQ82,Registro!$D$8:$D$997,"Abierto"))</f>
        <v/>
      </c>
      <c r="AS82" s="12" t="str">
        <f>IF(AQ82="","",COUNTIFS(Registro!$M$8:$M$997,Reportes!AQ82,Registro!$D$8:$D$997,"Resuelto"))</f>
        <v/>
      </c>
      <c r="AT82" s="12" t="str">
        <f t="shared" si="2"/>
        <v/>
      </c>
      <c r="AU82" s="12" t="str">
        <f>IF(AQ82="","",SUMIF(Registro!$M$8:$M$997,Reportes!AQ82,Registro!$U$8:$U$997))</f>
        <v/>
      </c>
      <c r="AV82" s="12" t="str">
        <f>IF(AQ82="","",SUMIF(Registro!$M$8:$M$997,Reportes!AQ82,Registro!$W$8:$W$997))</f>
        <v/>
      </c>
      <c r="AW82" s="12" t="str">
        <f>IF(AQ82="","",SUMIF(Registro!$M$8:$M$997,Reportes!AQ82,Registro!$X$8:$X$997))</f>
        <v/>
      </c>
      <c r="AX82" s="12" t="str">
        <f>IF(AQ82="","",SUMIF(Registro!$M$8:$M$997,Reportes!AQ82,Registro!$Y$8:$Y$997))</f>
        <v/>
      </c>
      <c r="AY82" s="32"/>
      <c r="AZ82" s="9" t="str">
        <f>Programación!Y76</f>
        <v/>
      </c>
      <c r="BA82" s="10" t="str">
        <f>IF(AZ82="","",IF(COUNTIFS(Registro!$M$8:$M$997,Reportes!AZ82,Registro!$D$8:$D$997,"Abierto")=0,NA(),COUNTIFS(Registro!$M$8:$M$997,Reportes!AZ82,Registro!$D$8:$D$997,"Abierto")))</f>
        <v/>
      </c>
      <c r="BB82" s="10" t="str">
        <f>IF(AZ82="","",IF(COUNTIFS(Registro!$M$8:$M$997,Reportes!AZ82,Registro!$D$8:$D$997,"Resuelto")=0,NA(),COUNTIFS(Registro!$M$8:$M$997,Reportes!AZ82,Registro!$D$8:$D$997,"Resuelto")))</f>
        <v/>
      </c>
    </row>
    <row r="83" spans="43:54">
      <c r="AQ83" s="11" t="str">
        <f>Programación!Y77</f>
        <v/>
      </c>
      <c r="AR83" s="12" t="str">
        <f>IF(AQ83="","",COUNTIFS(Registro!$M$8:$M$997,Reportes!AQ83,Registro!$D$8:$D$997,"Abierto"))</f>
        <v/>
      </c>
      <c r="AS83" s="12" t="str">
        <f>IF(AQ83="","",COUNTIFS(Registro!$M$8:$M$997,Reportes!AQ83,Registro!$D$8:$D$997,"Resuelto"))</f>
        <v/>
      </c>
      <c r="AT83" s="12" t="str">
        <f t="shared" si="2"/>
        <v/>
      </c>
      <c r="AU83" s="12" t="str">
        <f>IF(AQ83="","",SUMIF(Registro!$M$8:$M$997,Reportes!AQ83,Registro!$U$8:$U$997))</f>
        <v/>
      </c>
      <c r="AV83" s="12" t="str">
        <f>IF(AQ83="","",SUMIF(Registro!$M$8:$M$997,Reportes!AQ83,Registro!$W$8:$W$997))</f>
        <v/>
      </c>
      <c r="AW83" s="12" t="str">
        <f>IF(AQ83="","",SUMIF(Registro!$M$8:$M$997,Reportes!AQ83,Registro!$X$8:$X$997))</f>
        <v/>
      </c>
      <c r="AX83" s="12" t="str">
        <f>IF(AQ83="","",SUMIF(Registro!$M$8:$M$997,Reportes!AQ83,Registro!$Y$8:$Y$997))</f>
        <v/>
      </c>
      <c r="AY83" s="32"/>
      <c r="AZ83" s="9" t="str">
        <f>Programación!Y77</f>
        <v/>
      </c>
      <c r="BA83" s="10" t="str">
        <f>IF(AZ83="","",IF(COUNTIFS(Registro!$M$8:$M$997,Reportes!AZ83,Registro!$D$8:$D$997,"Abierto")=0,NA(),COUNTIFS(Registro!$M$8:$M$997,Reportes!AZ83,Registro!$D$8:$D$997,"Abierto")))</f>
        <v/>
      </c>
      <c r="BB83" s="10" t="str">
        <f>IF(AZ83="","",IF(COUNTIFS(Registro!$M$8:$M$997,Reportes!AZ83,Registro!$D$8:$D$997,"Resuelto")=0,NA(),COUNTIFS(Registro!$M$8:$M$997,Reportes!AZ83,Registro!$D$8:$D$997,"Resuelto")))</f>
        <v/>
      </c>
    </row>
    <row r="84" spans="43:54">
      <c r="AQ84" s="11" t="str">
        <f>Programación!Y78</f>
        <v/>
      </c>
      <c r="AR84" s="12" t="str">
        <f>IF(AQ84="","",COUNTIFS(Registro!$M$8:$M$997,Reportes!AQ84,Registro!$D$8:$D$997,"Abierto"))</f>
        <v/>
      </c>
      <c r="AS84" s="12" t="str">
        <f>IF(AQ84="","",COUNTIFS(Registro!$M$8:$M$997,Reportes!AQ84,Registro!$D$8:$D$997,"Resuelto"))</f>
        <v/>
      </c>
      <c r="AT84" s="12" t="str">
        <f t="shared" si="2"/>
        <v/>
      </c>
      <c r="AU84" s="12" t="str">
        <f>IF(AQ84="","",SUMIF(Registro!$M$8:$M$997,Reportes!AQ84,Registro!$U$8:$U$997))</f>
        <v/>
      </c>
      <c r="AV84" s="12" t="str">
        <f>IF(AQ84="","",SUMIF(Registro!$M$8:$M$997,Reportes!AQ84,Registro!$W$8:$W$997))</f>
        <v/>
      </c>
      <c r="AW84" s="12" t="str">
        <f>IF(AQ84="","",SUMIF(Registro!$M$8:$M$997,Reportes!AQ84,Registro!$X$8:$X$997))</f>
        <v/>
      </c>
      <c r="AX84" s="12" t="str">
        <f>IF(AQ84="","",SUMIF(Registro!$M$8:$M$997,Reportes!AQ84,Registro!$Y$8:$Y$997))</f>
        <v/>
      </c>
      <c r="AY84" s="32"/>
      <c r="AZ84" s="9" t="str">
        <f>Programación!Y78</f>
        <v/>
      </c>
      <c r="BA84" s="10" t="str">
        <f>IF(AZ84="","",IF(COUNTIFS(Registro!$M$8:$M$997,Reportes!AZ84,Registro!$D$8:$D$997,"Abierto")=0,NA(),COUNTIFS(Registro!$M$8:$M$997,Reportes!AZ84,Registro!$D$8:$D$997,"Abierto")))</f>
        <v/>
      </c>
      <c r="BB84" s="10" t="str">
        <f>IF(AZ84="","",IF(COUNTIFS(Registro!$M$8:$M$997,Reportes!AZ84,Registro!$D$8:$D$997,"Resuelto")=0,NA(),COUNTIFS(Registro!$M$8:$M$997,Reportes!AZ84,Registro!$D$8:$D$997,"Resuelto")))</f>
        <v/>
      </c>
    </row>
    <row r="85" spans="43:54">
      <c r="AQ85" s="11" t="str">
        <f>Programación!Y79</f>
        <v/>
      </c>
      <c r="AR85" s="12" t="str">
        <f>IF(AQ85="","",COUNTIFS(Registro!$M$8:$M$997,Reportes!AQ85,Registro!$D$8:$D$997,"Abierto"))</f>
        <v/>
      </c>
      <c r="AS85" s="12" t="str">
        <f>IF(AQ85="","",COUNTIFS(Registro!$M$8:$M$997,Reportes!AQ85,Registro!$D$8:$D$997,"Resuelto"))</f>
        <v/>
      </c>
      <c r="AT85" s="12" t="str">
        <f t="shared" si="2"/>
        <v/>
      </c>
      <c r="AU85" s="12" t="str">
        <f>IF(AQ85="","",SUMIF(Registro!$M$8:$M$997,Reportes!AQ85,Registro!$U$8:$U$997))</f>
        <v/>
      </c>
      <c r="AV85" s="12" t="str">
        <f>IF(AQ85="","",SUMIF(Registro!$M$8:$M$997,Reportes!AQ85,Registro!$W$8:$W$997))</f>
        <v/>
      </c>
      <c r="AW85" s="12" t="str">
        <f>IF(AQ85="","",SUMIF(Registro!$M$8:$M$997,Reportes!AQ85,Registro!$X$8:$X$997))</f>
        <v/>
      </c>
      <c r="AX85" s="12" t="str">
        <f>IF(AQ85="","",SUMIF(Registro!$M$8:$M$997,Reportes!AQ85,Registro!$Y$8:$Y$997))</f>
        <v/>
      </c>
      <c r="AY85" s="32"/>
      <c r="AZ85" s="9" t="str">
        <f>Programación!Y79</f>
        <v/>
      </c>
      <c r="BA85" s="10" t="str">
        <f>IF(AZ85="","",IF(COUNTIFS(Registro!$M$8:$M$997,Reportes!AZ85,Registro!$D$8:$D$997,"Abierto")=0,NA(),COUNTIFS(Registro!$M$8:$M$997,Reportes!AZ85,Registro!$D$8:$D$997,"Abierto")))</f>
        <v/>
      </c>
      <c r="BB85" s="10" t="str">
        <f>IF(AZ85="","",IF(COUNTIFS(Registro!$M$8:$M$997,Reportes!AZ85,Registro!$D$8:$D$997,"Resuelto")=0,NA(),COUNTIFS(Registro!$M$8:$M$997,Reportes!AZ85,Registro!$D$8:$D$997,"Resuelto")))</f>
        <v/>
      </c>
    </row>
    <row r="86" spans="43:54">
      <c r="AQ86" s="11" t="str">
        <f>Programación!Y80</f>
        <v/>
      </c>
      <c r="AR86" s="12" t="str">
        <f>IF(AQ86="","",COUNTIFS(Registro!$M$8:$M$997,Reportes!AQ86,Registro!$D$8:$D$997,"Abierto"))</f>
        <v/>
      </c>
      <c r="AS86" s="12" t="str">
        <f>IF(AQ86="","",COUNTIFS(Registro!$M$8:$M$997,Reportes!AQ86,Registro!$D$8:$D$997,"Resuelto"))</f>
        <v/>
      </c>
      <c r="AT86" s="12" t="str">
        <f t="shared" si="2"/>
        <v/>
      </c>
      <c r="AU86" s="12" t="str">
        <f>IF(AQ86="","",SUMIF(Registro!$M$8:$M$997,Reportes!AQ86,Registro!$U$8:$U$997))</f>
        <v/>
      </c>
      <c r="AV86" s="12" t="str">
        <f>IF(AQ86="","",SUMIF(Registro!$M$8:$M$997,Reportes!AQ86,Registro!$W$8:$W$997))</f>
        <v/>
      </c>
      <c r="AW86" s="12" t="str">
        <f>IF(AQ86="","",SUMIF(Registro!$M$8:$M$997,Reportes!AQ86,Registro!$X$8:$X$997))</f>
        <v/>
      </c>
      <c r="AX86" s="12" t="str">
        <f>IF(AQ86="","",SUMIF(Registro!$M$8:$M$997,Reportes!AQ86,Registro!$Y$8:$Y$997))</f>
        <v/>
      </c>
      <c r="AY86" s="32"/>
      <c r="AZ86" s="9" t="str">
        <f>Programación!Y80</f>
        <v/>
      </c>
      <c r="BA86" s="10" t="str">
        <f>IF(AZ86="","",IF(COUNTIFS(Registro!$M$8:$M$997,Reportes!AZ86,Registro!$D$8:$D$997,"Abierto")=0,NA(),COUNTIFS(Registro!$M$8:$M$997,Reportes!AZ86,Registro!$D$8:$D$997,"Abierto")))</f>
        <v/>
      </c>
      <c r="BB86" s="10" t="str">
        <f>IF(AZ86="","",IF(COUNTIFS(Registro!$M$8:$M$997,Reportes!AZ86,Registro!$D$8:$D$997,"Resuelto")=0,NA(),COUNTIFS(Registro!$M$8:$M$997,Reportes!AZ86,Registro!$D$8:$D$997,"Resuelto")))</f>
        <v/>
      </c>
    </row>
    <row r="87" spans="43:54">
      <c r="AQ87" s="11" t="str">
        <f>Programación!Y81</f>
        <v/>
      </c>
      <c r="AR87" s="12" t="str">
        <f>IF(AQ87="","",COUNTIFS(Registro!$M$8:$M$997,Reportes!AQ87,Registro!$D$8:$D$997,"Abierto"))</f>
        <v/>
      </c>
      <c r="AS87" s="12" t="str">
        <f>IF(AQ87="","",COUNTIFS(Registro!$M$8:$M$997,Reportes!AQ87,Registro!$D$8:$D$997,"Resuelto"))</f>
        <v/>
      </c>
      <c r="AT87" s="12" t="str">
        <f t="shared" si="2"/>
        <v/>
      </c>
      <c r="AU87" s="12" t="str">
        <f>IF(AQ87="","",SUMIF(Registro!$M$8:$M$997,Reportes!AQ87,Registro!$U$8:$U$997))</f>
        <v/>
      </c>
      <c r="AV87" s="12" t="str">
        <f>IF(AQ87="","",SUMIF(Registro!$M$8:$M$997,Reportes!AQ87,Registro!$W$8:$W$997))</f>
        <v/>
      </c>
      <c r="AW87" s="12" t="str">
        <f>IF(AQ87="","",SUMIF(Registro!$M$8:$M$997,Reportes!AQ87,Registro!$X$8:$X$997))</f>
        <v/>
      </c>
      <c r="AX87" s="12" t="str">
        <f>IF(AQ87="","",SUMIF(Registro!$M$8:$M$997,Reportes!AQ87,Registro!$Y$8:$Y$997))</f>
        <v/>
      </c>
      <c r="AY87" s="32"/>
      <c r="AZ87" s="9" t="str">
        <f>Programación!Y81</f>
        <v/>
      </c>
      <c r="BA87" s="10" t="str">
        <f>IF(AZ87="","",IF(COUNTIFS(Registro!$M$8:$M$997,Reportes!AZ87,Registro!$D$8:$D$997,"Abierto")=0,NA(),COUNTIFS(Registro!$M$8:$M$997,Reportes!AZ87,Registro!$D$8:$D$997,"Abierto")))</f>
        <v/>
      </c>
      <c r="BB87" s="10" t="str">
        <f>IF(AZ87="","",IF(COUNTIFS(Registro!$M$8:$M$997,Reportes!AZ87,Registro!$D$8:$D$997,"Resuelto")=0,NA(),COUNTIFS(Registro!$M$8:$M$997,Reportes!AZ87,Registro!$D$8:$D$997,"Resuelto")))</f>
        <v/>
      </c>
    </row>
    <row r="88" spans="43:54">
      <c r="AQ88" s="11" t="str">
        <f>Programación!Y82</f>
        <v/>
      </c>
      <c r="AR88" s="12" t="str">
        <f>IF(AQ88="","",COUNTIFS(Registro!$M$8:$M$997,Reportes!AQ88,Registro!$D$8:$D$997,"Abierto"))</f>
        <v/>
      </c>
      <c r="AS88" s="12" t="str">
        <f>IF(AQ88="","",COUNTIFS(Registro!$M$8:$M$997,Reportes!AQ88,Registro!$D$8:$D$997,"Resuelto"))</f>
        <v/>
      </c>
      <c r="AT88" s="12" t="str">
        <f t="shared" si="2"/>
        <v/>
      </c>
      <c r="AU88" s="12" t="str">
        <f>IF(AQ88="","",SUMIF(Registro!$M$8:$M$997,Reportes!AQ88,Registro!$U$8:$U$997))</f>
        <v/>
      </c>
      <c r="AV88" s="12" t="str">
        <f>IF(AQ88="","",SUMIF(Registro!$M$8:$M$997,Reportes!AQ88,Registro!$W$8:$W$997))</f>
        <v/>
      </c>
      <c r="AW88" s="12" t="str">
        <f>IF(AQ88="","",SUMIF(Registro!$M$8:$M$997,Reportes!AQ88,Registro!$X$8:$X$997))</f>
        <v/>
      </c>
      <c r="AX88" s="12" t="str">
        <f>IF(AQ88="","",SUMIF(Registro!$M$8:$M$997,Reportes!AQ88,Registro!$Y$8:$Y$997))</f>
        <v/>
      </c>
      <c r="AY88" s="32"/>
      <c r="AZ88" s="9" t="str">
        <f>Programación!Y82</f>
        <v/>
      </c>
      <c r="BA88" s="10" t="str">
        <f>IF(AZ88="","",IF(COUNTIFS(Registro!$M$8:$M$997,Reportes!AZ88,Registro!$D$8:$D$997,"Abierto")=0,NA(),COUNTIFS(Registro!$M$8:$M$997,Reportes!AZ88,Registro!$D$8:$D$997,"Abierto")))</f>
        <v/>
      </c>
      <c r="BB88" s="10" t="str">
        <f>IF(AZ88="","",IF(COUNTIFS(Registro!$M$8:$M$997,Reportes!AZ88,Registro!$D$8:$D$997,"Resuelto")=0,NA(),COUNTIFS(Registro!$M$8:$M$997,Reportes!AZ88,Registro!$D$8:$D$997,"Resuelto")))</f>
        <v/>
      </c>
    </row>
    <row r="89" spans="43:54">
      <c r="AQ89" s="11" t="str">
        <f>Programación!Y83</f>
        <v/>
      </c>
      <c r="AR89" s="12" t="str">
        <f>IF(AQ89="","",COUNTIFS(Registro!$M$8:$M$997,Reportes!AQ89,Registro!$D$8:$D$997,"Abierto"))</f>
        <v/>
      </c>
      <c r="AS89" s="12" t="str">
        <f>IF(AQ89="","",COUNTIFS(Registro!$M$8:$M$997,Reportes!AQ89,Registro!$D$8:$D$997,"Resuelto"))</f>
        <v/>
      </c>
      <c r="AT89" s="12" t="str">
        <f t="shared" si="2"/>
        <v/>
      </c>
      <c r="AU89" s="12" t="str">
        <f>IF(AQ89="","",SUMIF(Registro!$M$8:$M$997,Reportes!AQ89,Registro!$U$8:$U$997))</f>
        <v/>
      </c>
      <c r="AV89" s="12" t="str">
        <f>IF(AQ89="","",SUMIF(Registro!$M$8:$M$997,Reportes!AQ89,Registro!$W$8:$W$997))</f>
        <v/>
      </c>
      <c r="AW89" s="12" t="str">
        <f>IF(AQ89="","",SUMIF(Registro!$M$8:$M$997,Reportes!AQ89,Registro!$X$8:$X$997))</f>
        <v/>
      </c>
      <c r="AX89" s="12" t="str">
        <f>IF(AQ89="","",SUMIF(Registro!$M$8:$M$997,Reportes!AQ89,Registro!$Y$8:$Y$997))</f>
        <v/>
      </c>
      <c r="AY89" s="32"/>
      <c r="AZ89" s="9" t="str">
        <f>Programación!Y83</f>
        <v/>
      </c>
      <c r="BA89" s="10" t="str">
        <f>IF(AZ89="","",IF(COUNTIFS(Registro!$M$8:$M$997,Reportes!AZ89,Registro!$D$8:$D$997,"Abierto")=0,NA(),COUNTIFS(Registro!$M$8:$M$997,Reportes!AZ89,Registro!$D$8:$D$997,"Abierto")))</f>
        <v/>
      </c>
      <c r="BB89" s="10" t="str">
        <f>IF(AZ89="","",IF(COUNTIFS(Registro!$M$8:$M$997,Reportes!AZ89,Registro!$D$8:$D$997,"Resuelto")=0,NA(),COUNTIFS(Registro!$M$8:$M$997,Reportes!AZ89,Registro!$D$8:$D$997,"Resuelto")))</f>
        <v/>
      </c>
    </row>
    <row r="90" spans="43:54">
      <c r="AQ90" s="11" t="str">
        <f>Programación!Y84</f>
        <v/>
      </c>
      <c r="AR90" s="12" t="str">
        <f>IF(AQ90="","",COUNTIFS(Registro!$M$8:$M$997,Reportes!AQ90,Registro!$D$8:$D$997,"Abierto"))</f>
        <v/>
      </c>
      <c r="AS90" s="12" t="str">
        <f>IF(AQ90="","",COUNTIFS(Registro!$M$8:$M$997,Reportes!AQ90,Registro!$D$8:$D$997,"Resuelto"))</f>
        <v/>
      </c>
      <c r="AT90" s="12" t="str">
        <f t="shared" si="2"/>
        <v/>
      </c>
      <c r="AU90" s="12" t="str">
        <f>IF(AQ90="","",SUMIF(Registro!$M$8:$M$997,Reportes!AQ90,Registro!$U$8:$U$997))</f>
        <v/>
      </c>
      <c r="AV90" s="12" t="str">
        <f>IF(AQ90="","",SUMIF(Registro!$M$8:$M$997,Reportes!AQ90,Registro!$W$8:$W$997))</f>
        <v/>
      </c>
      <c r="AW90" s="12" t="str">
        <f>IF(AQ90="","",SUMIF(Registro!$M$8:$M$997,Reportes!AQ90,Registro!$X$8:$X$997))</f>
        <v/>
      </c>
      <c r="AX90" s="12" t="str">
        <f>IF(AQ90="","",SUMIF(Registro!$M$8:$M$997,Reportes!AQ90,Registro!$Y$8:$Y$997))</f>
        <v/>
      </c>
      <c r="AY90" s="32"/>
      <c r="AZ90" s="9" t="str">
        <f>Programación!Y84</f>
        <v/>
      </c>
      <c r="BA90" s="10" t="str">
        <f>IF(AZ90="","",IF(COUNTIFS(Registro!$M$8:$M$997,Reportes!AZ90,Registro!$D$8:$D$997,"Abierto")=0,NA(),COUNTIFS(Registro!$M$8:$M$997,Reportes!AZ90,Registro!$D$8:$D$997,"Abierto")))</f>
        <v/>
      </c>
      <c r="BB90" s="10" t="str">
        <f>IF(AZ90="","",IF(COUNTIFS(Registro!$M$8:$M$997,Reportes!AZ90,Registro!$D$8:$D$997,"Resuelto")=0,NA(),COUNTIFS(Registro!$M$8:$M$997,Reportes!AZ90,Registro!$D$8:$D$997,"Resuelto")))</f>
        <v/>
      </c>
    </row>
    <row r="91" spans="43:54">
      <c r="AQ91" s="11" t="str">
        <f>Programación!Y85</f>
        <v/>
      </c>
      <c r="AR91" s="12" t="str">
        <f>IF(AQ91="","",COUNTIFS(Registro!$M$8:$M$997,Reportes!AQ91,Registro!$D$8:$D$997,"Abierto"))</f>
        <v/>
      </c>
      <c r="AS91" s="12" t="str">
        <f>IF(AQ91="","",COUNTIFS(Registro!$M$8:$M$997,Reportes!AQ91,Registro!$D$8:$D$997,"Resuelto"))</f>
        <v/>
      </c>
      <c r="AT91" s="12" t="str">
        <f t="shared" si="2"/>
        <v/>
      </c>
      <c r="AU91" s="12" t="str">
        <f>IF(AQ91="","",SUMIF(Registro!$M$8:$M$997,Reportes!AQ91,Registro!$U$8:$U$997))</f>
        <v/>
      </c>
      <c r="AV91" s="12" t="str">
        <f>IF(AQ91="","",SUMIF(Registro!$M$8:$M$997,Reportes!AQ91,Registro!$W$8:$W$997))</f>
        <v/>
      </c>
      <c r="AW91" s="12" t="str">
        <f>IF(AQ91="","",SUMIF(Registro!$M$8:$M$997,Reportes!AQ91,Registro!$X$8:$X$997))</f>
        <v/>
      </c>
      <c r="AX91" s="12" t="str">
        <f>IF(AQ91="","",SUMIF(Registro!$M$8:$M$997,Reportes!AQ91,Registro!$Y$8:$Y$997))</f>
        <v/>
      </c>
      <c r="AY91" s="32"/>
      <c r="AZ91" s="9" t="str">
        <f>Programación!Y85</f>
        <v/>
      </c>
      <c r="BA91" s="10" t="str">
        <f>IF(AZ91="","",IF(COUNTIFS(Registro!$M$8:$M$997,Reportes!AZ91,Registro!$D$8:$D$997,"Abierto")=0,NA(),COUNTIFS(Registro!$M$8:$M$997,Reportes!AZ91,Registro!$D$8:$D$997,"Abierto")))</f>
        <v/>
      </c>
      <c r="BB91" s="10" t="str">
        <f>IF(AZ91="","",IF(COUNTIFS(Registro!$M$8:$M$997,Reportes!AZ91,Registro!$D$8:$D$997,"Resuelto")=0,NA(),COUNTIFS(Registro!$M$8:$M$997,Reportes!AZ91,Registro!$D$8:$D$997,"Resuelto")))</f>
        <v/>
      </c>
    </row>
    <row r="92" spans="43:54">
      <c r="AQ92" s="11" t="str">
        <f>Programación!Y86</f>
        <v/>
      </c>
      <c r="AR92" s="12" t="str">
        <f>IF(AQ92="","",COUNTIFS(Registro!$M$8:$M$997,Reportes!AQ92,Registro!$D$8:$D$997,"Abierto"))</f>
        <v/>
      </c>
      <c r="AS92" s="12" t="str">
        <f>IF(AQ92="","",COUNTIFS(Registro!$M$8:$M$997,Reportes!AQ92,Registro!$D$8:$D$997,"Resuelto"))</f>
        <v/>
      </c>
      <c r="AT92" s="12" t="str">
        <f t="shared" si="2"/>
        <v/>
      </c>
      <c r="AU92" s="12" t="str">
        <f>IF(AQ92="","",SUMIF(Registro!$M$8:$M$997,Reportes!AQ92,Registro!$U$8:$U$997))</f>
        <v/>
      </c>
      <c r="AV92" s="12" t="str">
        <f>IF(AQ92="","",SUMIF(Registro!$M$8:$M$997,Reportes!AQ92,Registro!$W$8:$W$997))</f>
        <v/>
      </c>
      <c r="AW92" s="12" t="str">
        <f>IF(AQ92="","",SUMIF(Registro!$M$8:$M$997,Reportes!AQ92,Registro!$X$8:$X$997))</f>
        <v/>
      </c>
      <c r="AX92" s="12" t="str">
        <f>IF(AQ92="","",SUMIF(Registro!$M$8:$M$997,Reportes!AQ92,Registro!$Y$8:$Y$997))</f>
        <v/>
      </c>
      <c r="AY92" s="32"/>
      <c r="AZ92" s="9" t="str">
        <f>Programación!Y86</f>
        <v/>
      </c>
      <c r="BA92" s="10" t="str">
        <f>IF(AZ92="","",IF(COUNTIFS(Registro!$M$8:$M$997,Reportes!AZ92,Registro!$D$8:$D$997,"Abierto")=0,NA(),COUNTIFS(Registro!$M$8:$M$997,Reportes!AZ92,Registro!$D$8:$D$997,"Abierto")))</f>
        <v/>
      </c>
      <c r="BB92" s="10" t="str">
        <f>IF(AZ92="","",IF(COUNTIFS(Registro!$M$8:$M$997,Reportes!AZ92,Registro!$D$8:$D$997,"Resuelto")=0,NA(),COUNTIFS(Registro!$M$8:$M$997,Reportes!AZ92,Registro!$D$8:$D$997,"Resuelto")))</f>
        <v/>
      </c>
    </row>
    <row r="93" spans="43:54">
      <c r="AQ93" s="11" t="str">
        <f>Programación!Y87</f>
        <v/>
      </c>
      <c r="AR93" s="12" t="str">
        <f>IF(AQ93="","",COUNTIFS(Registro!$M$8:$M$997,Reportes!AQ93,Registro!$D$8:$D$997,"Abierto"))</f>
        <v/>
      </c>
      <c r="AS93" s="12" t="str">
        <f>IF(AQ93="","",COUNTIFS(Registro!$M$8:$M$997,Reportes!AQ93,Registro!$D$8:$D$997,"Resuelto"))</f>
        <v/>
      </c>
      <c r="AT93" s="12" t="str">
        <f t="shared" si="2"/>
        <v/>
      </c>
      <c r="AU93" s="12" t="str">
        <f>IF(AQ93="","",SUMIF(Registro!$M$8:$M$997,Reportes!AQ93,Registro!$U$8:$U$997))</f>
        <v/>
      </c>
      <c r="AV93" s="12" t="str">
        <f>IF(AQ93="","",SUMIF(Registro!$M$8:$M$997,Reportes!AQ93,Registro!$W$8:$W$997))</f>
        <v/>
      </c>
      <c r="AW93" s="12" t="str">
        <f>IF(AQ93="","",SUMIF(Registro!$M$8:$M$997,Reportes!AQ93,Registro!$X$8:$X$997))</f>
        <v/>
      </c>
      <c r="AX93" s="12" t="str">
        <f>IF(AQ93="","",SUMIF(Registro!$M$8:$M$997,Reportes!AQ93,Registro!$Y$8:$Y$997))</f>
        <v/>
      </c>
      <c r="AY93" s="32"/>
      <c r="AZ93" s="9" t="str">
        <f>Programación!Y87</f>
        <v/>
      </c>
      <c r="BA93" s="10" t="str">
        <f>IF(AZ93="","",IF(COUNTIFS(Registro!$M$8:$M$997,Reportes!AZ93,Registro!$D$8:$D$997,"Abierto")=0,NA(),COUNTIFS(Registro!$M$8:$M$997,Reportes!AZ93,Registro!$D$8:$D$997,"Abierto")))</f>
        <v/>
      </c>
      <c r="BB93" s="10" t="str">
        <f>IF(AZ93="","",IF(COUNTIFS(Registro!$M$8:$M$997,Reportes!AZ93,Registro!$D$8:$D$997,"Resuelto")=0,NA(),COUNTIFS(Registro!$M$8:$M$997,Reportes!AZ93,Registro!$D$8:$D$997,"Resuelto")))</f>
        <v/>
      </c>
    </row>
    <row r="94" spans="43:54">
      <c r="AQ94" s="11" t="str">
        <f>Programación!Y88</f>
        <v/>
      </c>
      <c r="AR94" s="12" t="str">
        <f>IF(AQ94="","",COUNTIFS(Registro!$M$8:$M$997,Reportes!AQ94,Registro!$D$8:$D$997,"Abierto"))</f>
        <v/>
      </c>
      <c r="AS94" s="12" t="str">
        <f>IF(AQ94="","",COUNTIFS(Registro!$M$8:$M$997,Reportes!AQ94,Registro!$D$8:$D$997,"Resuelto"))</f>
        <v/>
      </c>
      <c r="AT94" s="12" t="str">
        <f t="shared" si="2"/>
        <v/>
      </c>
      <c r="AU94" s="12" t="str">
        <f>IF(AQ94="","",SUMIF(Registro!$M$8:$M$997,Reportes!AQ94,Registro!$U$8:$U$997))</f>
        <v/>
      </c>
      <c r="AV94" s="12" t="str">
        <f>IF(AQ94="","",SUMIF(Registro!$M$8:$M$997,Reportes!AQ94,Registro!$W$8:$W$997))</f>
        <v/>
      </c>
      <c r="AW94" s="12" t="str">
        <f>IF(AQ94="","",SUMIF(Registro!$M$8:$M$997,Reportes!AQ94,Registro!$X$8:$X$997))</f>
        <v/>
      </c>
      <c r="AX94" s="12" t="str">
        <f>IF(AQ94="","",SUMIF(Registro!$M$8:$M$997,Reportes!AQ94,Registro!$Y$8:$Y$997))</f>
        <v/>
      </c>
      <c r="AY94" s="32"/>
      <c r="AZ94" s="9" t="str">
        <f>Programación!Y88</f>
        <v/>
      </c>
      <c r="BA94" s="10" t="str">
        <f>IF(AZ94="","",IF(COUNTIFS(Registro!$M$8:$M$997,Reportes!AZ94,Registro!$D$8:$D$997,"Abierto")=0,NA(),COUNTIFS(Registro!$M$8:$M$997,Reportes!AZ94,Registro!$D$8:$D$997,"Abierto")))</f>
        <v/>
      </c>
      <c r="BB94" s="10" t="str">
        <f>IF(AZ94="","",IF(COUNTIFS(Registro!$M$8:$M$997,Reportes!AZ94,Registro!$D$8:$D$997,"Resuelto")=0,NA(),COUNTIFS(Registro!$M$8:$M$997,Reportes!AZ94,Registro!$D$8:$D$997,"Resuelto")))</f>
        <v/>
      </c>
    </row>
    <row r="95" spans="43:54">
      <c r="AQ95" s="11" t="str">
        <f>Programación!Y89</f>
        <v/>
      </c>
      <c r="AR95" s="12" t="str">
        <f>IF(AQ95="","",COUNTIFS(Registro!$M$8:$M$997,Reportes!AQ95,Registro!$D$8:$D$997,"Abierto"))</f>
        <v/>
      </c>
      <c r="AS95" s="12" t="str">
        <f>IF(AQ95="","",COUNTIFS(Registro!$M$8:$M$997,Reportes!AQ95,Registro!$D$8:$D$997,"Resuelto"))</f>
        <v/>
      </c>
      <c r="AT95" s="12" t="str">
        <f t="shared" si="2"/>
        <v/>
      </c>
      <c r="AU95" s="12" t="str">
        <f>IF(AQ95="","",SUMIF(Registro!$M$8:$M$997,Reportes!AQ95,Registro!$U$8:$U$997))</f>
        <v/>
      </c>
      <c r="AV95" s="12" t="str">
        <f>IF(AQ95="","",SUMIF(Registro!$M$8:$M$997,Reportes!AQ95,Registro!$W$8:$W$997))</f>
        <v/>
      </c>
      <c r="AW95" s="12" t="str">
        <f>IF(AQ95="","",SUMIF(Registro!$M$8:$M$997,Reportes!AQ95,Registro!$X$8:$X$997))</f>
        <v/>
      </c>
      <c r="AX95" s="12" t="str">
        <f>IF(AQ95="","",SUMIF(Registro!$M$8:$M$997,Reportes!AQ95,Registro!$Y$8:$Y$997))</f>
        <v/>
      </c>
      <c r="AY95" s="32"/>
      <c r="AZ95" s="9" t="str">
        <f>Programación!Y89</f>
        <v/>
      </c>
      <c r="BA95" s="10" t="str">
        <f>IF(AZ95="","",IF(COUNTIFS(Registro!$M$8:$M$997,Reportes!AZ95,Registro!$D$8:$D$997,"Abierto")=0,NA(),COUNTIFS(Registro!$M$8:$M$997,Reportes!AZ95,Registro!$D$8:$D$997,"Abierto")))</f>
        <v/>
      </c>
      <c r="BB95" s="10" t="str">
        <f>IF(AZ95="","",IF(COUNTIFS(Registro!$M$8:$M$997,Reportes!AZ95,Registro!$D$8:$D$997,"Resuelto")=0,NA(),COUNTIFS(Registro!$M$8:$M$997,Reportes!AZ95,Registro!$D$8:$D$997,"Resuelto")))</f>
        <v/>
      </c>
    </row>
    <row r="96" spans="43:54">
      <c r="AQ96" s="11" t="str">
        <f>Programación!Y90</f>
        <v/>
      </c>
      <c r="AR96" s="12" t="str">
        <f>IF(AQ96="","",COUNTIFS(Registro!$M$8:$M$997,Reportes!AQ96,Registro!$D$8:$D$997,"Abierto"))</f>
        <v/>
      </c>
      <c r="AS96" s="12" t="str">
        <f>IF(AQ96="","",COUNTIFS(Registro!$M$8:$M$997,Reportes!AQ96,Registro!$D$8:$D$997,"Resuelto"))</f>
        <v/>
      </c>
      <c r="AT96" s="12" t="str">
        <f t="shared" si="2"/>
        <v/>
      </c>
      <c r="AU96" s="12" t="str">
        <f>IF(AQ96="","",SUMIF(Registro!$M$8:$M$997,Reportes!AQ96,Registro!$U$8:$U$997))</f>
        <v/>
      </c>
      <c r="AV96" s="12" t="str">
        <f>IF(AQ96="","",SUMIF(Registro!$M$8:$M$997,Reportes!AQ96,Registro!$W$8:$W$997))</f>
        <v/>
      </c>
      <c r="AW96" s="12" t="str">
        <f>IF(AQ96="","",SUMIF(Registro!$M$8:$M$997,Reportes!AQ96,Registro!$X$8:$X$997))</f>
        <v/>
      </c>
      <c r="AX96" s="12" t="str">
        <f>IF(AQ96="","",SUMIF(Registro!$M$8:$M$997,Reportes!AQ96,Registro!$Y$8:$Y$997))</f>
        <v/>
      </c>
      <c r="AY96" s="32"/>
      <c r="AZ96" s="9" t="str">
        <f>Programación!Y90</f>
        <v/>
      </c>
      <c r="BA96" s="10" t="str">
        <f>IF(AZ96="","",IF(COUNTIFS(Registro!$M$8:$M$997,Reportes!AZ96,Registro!$D$8:$D$997,"Abierto")=0,NA(),COUNTIFS(Registro!$M$8:$M$997,Reportes!AZ96,Registro!$D$8:$D$997,"Abierto")))</f>
        <v/>
      </c>
      <c r="BB96" s="10" t="str">
        <f>IF(AZ96="","",IF(COUNTIFS(Registro!$M$8:$M$997,Reportes!AZ96,Registro!$D$8:$D$997,"Resuelto")=0,NA(),COUNTIFS(Registro!$M$8:$M$997,Reportes!AZ96,Registro!$D$8:$D$997,"Resuelto")))</f>
        <v/>
      </c>
    </row>
    <row r="97" spans="43:54">
      <c r="AQ97" s="11" t="str">
        <f>Programación!Y91</f>
        <v/>
      </c>
      <c r="AR97" s="12" t="str">
        <f>IF(AQ97="","",COUNTIFS(Registro!$M$8:$M$997,Reportes!AQ97,Registro!$D$8:$D$997,"Abierto"))</f>
        <v/>
      </c>
      <c r="AS97" s="12" t="str">
        <f>IF(AQ97="","",COUNTIFS(Registro!$M$8:$M$997,Reportes!AQ97,Registro!$D$8:$D$997,"Resuelto"))</f>
        <v/>
      </c>
      <c r="AT97" s="12" t="str">
        <f t="shared" si="2"/>
        <v/>
      </c>
      <c r="AU97" s="12" t="str">
        <f>IF(AQ97="","",SUMIF(Registro!$M$8:$M$997,Reportes!AQ97,Registro!$U$8:$U$997))</f>
        <v/>
      </c>
      <c r="AV97" s="12" t="str">
        <f>IF(AQ97="","",SUMIF(Registro!$M$8:$M$997,Reportes!AQ97,Registro!$W$8:$W$997))</f>
        <v/>
      </c>
      <c r="AW97" s="12" t="str">
        <f>IF(AQ97="","",SUMIF(Registro!$M$8:$M$997,Reportes!AQ97,Registro!$X$8:$X$997))</f>
        <v/>
      </c>
      <c r="AX97" s="12" t="str">
        <f>IF(AQ97="","",SUMIF(Registro!$M$8:$M$997,Reportes!AQ97,Registro!$Y$8:$Y$997))</f>
        <v/>
      </c>
      <c r="AY97" s="32"/>
      <c r="AZ97" s="9" t="str">
        <f>Programación!Y91</f>
        <v/>
      </c>
      <c r="BA97" s="10" t="str">
        <f>IF(AZ97="","",IF(COUNTIFS(Registro!$M$8:$M$997,Reportes!AZ97,Registro!$D$8:$D$997,"Abierto")=0,NA(),COUNTIFS(Registro!$M$8:$M$997,Reportes!AZ97,Registro!$D$8:$D$997,"Abierto")))</f>
        <v/>
      </c>
      <c r="BB97" s="10" t="str">
        <f>IF(AZ97="","",IF(COUNTIFS(Registro!$M$8:$M$997,Reportes!AZ97,Registro!$D$8:$D$997,"Resuelto")=0,NA(),COUNTIFS(Registro!$M$8:$M$997,Reportes!AZ97,Registro!$D$8:$D$997,"Resuelto")))</f>
        <v/>
      </c>
    </row>
    <row r="98" spans="43:54">
      <c r="AQ98" s="11" t="str">
        <f>Programación!Y92</f>
        <v/>
      </c>
      <c r="AR98" s="12" t="str">
        <f>IF(AQ98="","",COUNTIFS(Registro!$M$8:$M$997,Reportes!AQ98,Registro!$D$8:$D$997,"Abierto"))</f>
        <v/>
      </c>
      <c r="AS98" s="12" t="str">
        <f>IF(AQ98="","",COUNTIFS(Registro!$M$8:$M$997,Reportes!AQ98,Registro!$D$8:$D$997,"Resuelto"))</f>
        <v/>
      </c>
      <c r="AT98" s="12" t="str">
        <f t="shared" si="2"/>
        <v/>
      </c>
      <c r="AU98" s="12" t="str">
        <f>IF(AQ98="","",SUMIF(Registro!$M$8:$M$997,Reportes!AQ98,Registro!$U$8:$U$997))</f>
        <v/>
      </c>
      <c r="AV98" s="12" t="str">
        <f>IF(AQ98="","",SUMIF(Registro!$M$8:$M$997,Reportes!AQ98,Registro!$W$8:$W$997))</f>
        <v/>
      </c>
      <c r="AW98" s="12" t="str">
        <f>IF(AQ98="","",SUMIF(Registro!$M$8:$M$997,Reportes!AQ98,Registro!$X$8:$X$997))</f>
        <v/>
      </c>
      <c r="AX98" s="12" t="str">
        <f>IF(AQ98="","",SUMIF(Registro!$M$8:$M$997,Reportes!AQ98,Registro!$Y$8:$Y$997))</f>
        <v/>
      </c>
      <c r="AY98" s="32"/>
      <c r="AZ98" s="9" t="str">
        <f>Programación!Y92</f>
        <v/>
      </c>
      <c r="BA98" s="10" t="str">
        <f>IF(AZ98="","",IF(COUNTIFS(Registro!$M$8:$M$997,Reportes!AZ98,Registro!$D$8:$D$997,"Abierto")=0,NA(),COUNTIFS(Registro!$M$8:$M$997,Reportes!AZ98,Registro!$D$8:$D$997,"Abierto")))</f>
        <v/>
      </c>
      <c r="BB98" s="10" t="str">
        <f>IF(AZ98="","",IF(COUNTIFS(Registro!$M$8:$M$997,Reportes!AZ98,Registro!$D$8:$D$997,"Resuelto")=0,NA(),COUNTIFS(Registro!$M$8:$M$997,Reportes!AZ98,Registro!$D$8:$D$997,"Resuelto")))</f>
        <v/>
      </c>
    </row>
    <row r="99" spans="43:54">
      <c r="AQ99" s="11" t="str">
        <f>Programación!Y93</f>
        <v/>
      </c>
      <c r="AR99" s="12" t="str">
        <f>IF(AQ99="","",COUNTIFS(Registro!$M$8:$M$997,Reportes!AQ99,Registro!$D$8:$D$997,"Abierto"))</f>
        <v/>
      </c>
      <c r="AS99" s="12" t="str">
        <f>IF(AQ99="","",COUNTIFS(Registro!$M$8:$M$997,Reportes!AQ99,Registro!$D$8:$D$997,"Resuelto"))</f>
        <v/>
      </c>
      <c r="AT99" s="12" t="str">
        <f t="shared" si="2"/>
        <v/>
      </c>
      <c r="AU99" s="12" t="str">
        <f>IF(AQ99="","",SUMIF(Registro!$M$8:$M$997,Reportes!AQ99,Registro!$U$8:$U$997))</f>
        <v/>
      </c>
      <c r="AV99" s="12" t="str">
        <f>IF(AQ99="","",SUMIF(Registro!$M$8:$M$997,Reportes!AQ99,Registro!$W$8:$W$997))</f>
        <v/>
      </c>
      <c r="AW99" s="12" t="str">
        <f>IF(AQ99="","",SUMIF(Registro!$M$8:$M$997,Reportes!AQ99,Registro!$X$8:$X$997))</f>
        <v/>
      </c>
      <c r="AX99" s="12" t="str">
        <f>IF(AQ99="","",SUMIF(Registro!$M$8:$M$997,Reportes!AQ99,Registro!$Y$8:$Y$997))</f>
        <v/>
      </c>
      <c r="AY99" s="32"/>
      <c r="AZ99" s="9" t="str">
        <f>Programación!Y93</f>
        <v/>
      </c>
      <c r="BA99" s="10" t="str">
        <f>IF(AZ99="","",IF(COUNTIFS(Registro!$M$8:$M$997,Reportes!AZ99,Registro!$D$8:$D$997,"Abierto")=0,NA(),COUNTIFS(Registro!$M$8:$M$997,Reportes!AZ99,Registro!$D$8:$D$997,"Abierto")))</f>
        <v/>
      </c>
      <c r="BB99" s="10" t="str">
        <f>IF(AZ99="","",IF(COUNTIFS(Registro!$M$8:$M$997,Reportes!AZ99,Registro!$D$8:$D$997,"Resuelto")=0,NA(),COUNTIFS(Registro!$M$8:$M$997,Reportes!AZ99,Registro!$D$8:$D$997,"Resuelto")))</f>
        <v/>
      </c>
    </row>
    <row r="100" spans="43:54">
      <c r="AQ100" s="11" t="str">
        <f>Programación!Y94</f>
        <v/>
      </c>
      <c r="AR100" s="12" t="str">
        <f>IF(AQ100="","",COUNTIFS(Registro!$M$8:$M$997,Reportes!AQ100,Registro!$D$8:$D$997,"Abierto"))</f>
        <v/>
      </c>
      <c r="AS100" s="12" t="str">
        <f>IF(AQ100="","",COUNTIFS(Registro!$M$8:$M$997,Reportes!AQ100,Registro!$D$8:$D$997,"Resuelto"))</f>
        <v/>
      </c>
      <c r="AT100" s="12" t="str">
        <f t="shared" si="2"/>
        <v/>
      </c>
      <c r="AU100" s="12" t="str">
        <f>IF(AQ100="","",SUMIF(Registro!$M$8:$M$997,Reportes!AQ100,Registro!$U$8:$U$997))</f>
        <v/>
      </c>
      <c r="AV100" s="12" t="str">
        <f>IF(AQ100="","",SUMIF(Registro!$M$8:$M$997,Reportes!AQ100,Registro!$W$8:$W$997))</f>
        <v/>
      </c>
      <c r="AW100" s="12" t="str">
        <f>IF(AQ100="","",SUMIF(Registro!$M$8:$M$997,Reportes!AQ100,Registro!$X$8:$X$997))</f>
        <v/>
      </c>
      <c r="AX100" s="12" t="str">
        <f>IF(AQ100="","",SUMIF(Registro!$M$8:$M$997,Reportes!AQ100,Registro!$Y$8:$Y$997))</f>
        <v/>
      </c>
      <c r="AY100" s="32"/>
      <c r="AZ100" s="9" t="str">
        <f>Programación!Y94</f>
        <v/>
      </c>
      <c r="BA100" s="10" t="str">
        <f>IF(AZ100="","",IF(COUNTIFS(Registro!$M$8:$M$997,Reportes!AZ100,Registro!$D$8:$D$997,"Abierto")=0,NA(),COUNTIFS(Registro!$M$8:$M$997,Reportes!AZ100,Registro!$D$8:$D$997,"Abierto")))</f>
        <v/>
      </c>
      <c r="BB100" s="10" t="str">
        <f>IF(AZ100="","",IF(COUNTIFS(Registro!$M$8:$M$997,Reportes!AZ100,Registro!$D$8:$D$997,"Resuelto")=0,NA(),COUNTIFS(Registro!$M$8:$M$997,Reportes!AZ100,Registro!$D$8:$D$997,"Resuelto")))</f>
        <v/>
      </c>
    </row>
    <row r="101" spans="43:54">
      <c r="AQ101" s="11" t="str">
        <f>Programación!Y95</f>
        <v/>
      </c>
      <c r="AR101" s="12" t="str">
        <f>IF(AQ101="","",COUNTIFS(Registro!$M$8:$M$997,Reportes!AQ101,Registro!$D$8:$D$997,"Abierto"))</f>
        <v/>
      </c>
      <c r="AS101" s="12" t="str">
        <f>IF(AQ101="","",COUNTIFS(Registro!$M$8:$M$997,Reportes!AQ101,Registro!$D$8:$D$997,"Resuelto"))</f>
        <v/>
      </c>
      <c r="AT101" s="12" t="str">
        <f t="shared" si="2"/>
        <v/>
      </c>
      <c r="AU101" s="12" t="str">
        <f>IF(AQ101="","",SUMIF(Registro!$M$8:$M$997,Reportes!AQ101,Registro!$U$8:$U$997))</f>
        <v/>
      </c>
      <c r="AV101" s="12" t="str">
        <f>IF(AQ101="","",SUMIF(Registro!$M$8:$M$997,Reportes!AQ101,Registro!$W$8:$W$997))</f>
        <v/>
      </c>
      <c r="AW101" s="12" t="str">
        <f>IF(AQ101="","",SUMIF(Registro!$M$8:$M$997,Reportes!AQ101,Registro!$X$8:$X$997))</f>
        <v/>
      </c>
      <c r="AX101" s="12" t="str">
        <f>IF(AQ101="","",SUMIF(Registro!$M$8:$M$997,Reportes!AQ101,Registro!$Y$8:$Y$997))</f>
        <v/>
      </c>
      <c r="AY101" s="32"/>
      <c r="AZ101" s="9" t="str">
        <f>Programación!Y95</f>
        <v/>
      </c>
      <c r="BA101" s="10" t="str">
        <f>IF(AZ101="","",IF(COUNTIFS(Registro!$M$8:$M$997,Reportes!AZ101,Registro!$D$8:$D$997,"Abierto")=0,NA(),COUNTIFS(Registro!$M$8:$M$997,Reportes!AZ101,Registro!$D$8:$D$997,"Abierto")))</f>
        <v/>
      </c>
      <c r="BB101" s="10" t="str">
        <f>IF(AZ101="","",IF(COUNTIFS(Registro!$M$8:$M$997,Reportes!AZ101,Registro!$D$8:$D$997,"Resuelto")=0,NA(),COUNTIFS(Registro!$M$8:$M$997,Reportes!AZ101,Registro!$D$8:$D$997,"Resuelto")))</f>
        <v/>
      </c>
    </row>
    <row r="102" spans="43:54">
      <c r="AQ102" s="11" t="str">
        <f>Programación!Y96</f>
        <v/>
      </c>
      <c r="AR102" s="12" t="str">
        <f>IF(AQ102="","",COUNTIFS(Registro!$M$8:$M$997,Reportes!AQ102,Registro!$D$8:$D$997,"Abierto"))</f>
        <v/>
      </c>
      <c r="AS102" s="12" t="str">
        <f>IF(AQ102="","",COUNTIFS(Registro!$M$8:$M$997,Reportes!AQ102,Registro!$D$8:$D$997,"Resuelto"))</f>
        <v/>
      </c>
      <c r="AT102" s="12" t="str">
        <f t="shared" si="2"/>
        <v/>
      </c>
      <c r="AU102" s="12" t="str">
        <f>IF(AQ102="","",SUMIF(Registro!$M$8:$M$997,Reportes!AQ102,Registro!$U$8:$U$997))</f>
        <v/>
      </c>
      <c r="AV102" s="12" t="str">
        <f>IF(AQ102="","",SUMIF(Registro!$M$8:$M$997,Reportes!AQ102,Registro!$W$8:$W$997))</f>
        <v/>
      </c>
      <c r="AW102" s="12" t="str">
        <f>IF(AQ102="","",SUMIF(Registro!$M$8:$M$997,Reportes!AQ102,Registro!$X$8:$X$997))</f>
        <v/>
      </c>
      <c r="AX102" s="12" t="str">
        <f>IF(AQ102="","",SUMIF(Registro!$M$8:$M$997,Reportes!AQ102,Registro!$Y$8:$Y$997))</f>
        <v/>
      </c>
      <c r="AY102" s="32"/>
      <c r="AZ102" s="9" t="str">
        <f>Programación!Y96</f>
        <v/>
      </c>
      <c r="BA102" s="10" t="str">
        <f>IF(AZ102="","",IF(COUNTIFS(Registro!$M$8:$M$997,Reportes!AZ102,Registro!$D$8:$D$997,"Abierto")=0,NA(),COUNTIFS(Registro!$M$8:$M$997,Reportes!AZ102,Registro!$D$8:$D$997,"Abierto")))</f>
        <v/>
      </c>
      <c r="BB102" s="10" t="str">
        <f>IF(AZ102="","",IF(COUNTIFS(Registro!$M$8:$M$997,Reportes!AZ102,Registro!$D$8:$D$997,"Resuelto")=0,NA(),COUNTIFS(Registro!$M$8:$M$997,Reportes!AZ102,Registro!$D$8:$D$997,"Resuelto")))</f>
        <v/>
      </c>
    </row>
    <row r="103" spans="43:54">
      <c r="AQ103" s="11" t="str">
        <f>Programación!Y97</f>
        <v/>
      </c>
      <c r="AR103" s="12" t="str">
        <f>IF(AQ103="","",COUNTIFS(Registro!$M$8:$M$997,Reportes!AQ103,Registro!$D$8:$D$997,"Abierto"))</f>
        <v/>
      </c>
      <c r="AS103" s="12" t="str">
        <f>IF(AQ103="","",COUNTIFS(Registro!$M$8:$M$997,Reportes!AQ103,Registro!$D$8:$D$997,"Resuelto"))</f>
        <v/>
      </c>
      <c r="AT103" s="12" t="str">
        <f t="shared" si="2"/>
        <v/>
      </c>
      <c r="AU103" s="12" t="str">
        <f>IF(AQ103="","",SUMIF(Registro!$M$8:$M$997,Reportes!AQ103,Registro!$U$8:$U$997))</f>
        <v/>
      </c>
      <c r="AV103" s="12" t="str">
        <f>IF(AQ103="","",SUMIF(Registro!$M$8:$M$997,Reportes!AQ103,Registro!$W$8:$W$997))</f>
        <v/>
      </c>
      <c r="AW103" s="12" t="str">
        <f>IF(AQ103="","",SUMIF(Registro!$M$8:$M$997,Reportes!AQ103,Registro!$X$8:$X$997))</f>
        <v/>
      </c>
      <c r="AX103" s="12" t="str">
        <f>IF(AQ103="","",SUMIF(Registro!$M$8:$M$997,Reportes!AQ103,Registro!$Y$8:$Y$997))</f>
        <v/>
      </c>
      <c r="AY103" s="32"/>
      <c r="AZ103" s="9" t="str">
        <f>Programación!Y97</f>
        <v/>
      </c>
      <c r="BA103" s="10" t="str">
        <f>IF(AZ103="","",IF(COUNTIFS(Registro!$M$8:$M$997,Reportes!AZ103,Registro!$D$8:$D$997,"Abierto")=0,NA(),COUNTIFS(Registro!$M$8:$M$997,Reportes!AZ103,Registro!$D$8:$D$997,"Abierto")))</f>
        <v/>
      </c>
      <c r="BB103" s="10" t="str">
        <f>IF(AZ103="","",IF(COUNTIFS(Registro!$M$8:$M$997,Reportes!AZ103,Registro!$D$8:$D$997,"Resuelto")=0,NA(),COUNTIFS(Registro!$M$8:$M$997,Reportes!AZ103,Registro!$D$8:$D$997,"Resuelto")))</f>
        <v/>
      </c>
    </row>
    <row r="104" spans="43:54">
      <c r="AQ104" s="11" t="str">
        <f>Programación!Y98</f>
        <v/>
      </c>
      <c r="AR104" s="12" t="str">
        <f>IF(AQ104="","",COUNTIFS(Registro!$M$8:$M$997,Reportes!AQ104,Registro!$D$8:$D$997,"Abierto"))</f>
        <v/>
      </c>
      <c r="AS104" s="12" t="str">
        <f>IF(AQ104="","",COUNTIFS(Registro!$M$8:$M$997,Reportes!AQ104,Registro!$D$8:$D$997,"Resuelto"))</f>
        <v/>
      </c>
      <c r="AT104" s="12" t="str">
        <f t="shared" si="2"/>
        <v/>
      </c>
      <c r="AU104" s="12" t="str">
        <f>IF(AQ104="","",SUMIF(Registro!$M$8:$M$997,Reportes!AQ104,Registro!$U$8:$U$997))</f>
        <v/>
      </c>
      <c r="AV104" s="12" t="str">
        <f>IF(AQ104="","",SUMIF(Registro!$M$8:$M$997,Reportes!AQ104,Registro!$W$8:$W$997))</f>
        <v/>
      </c>
      <c r="AW104" s="12" t="str">
        <f>IF(AQ104="","",SUMIF(Registro!$M$8:$M$997,Reportes!AQ104,Registro!$X$8:$X$997))</f>
        <v/>
      </c>
      <c r="AX104" s="12" t="str">
        <f>IF(AQ104="","",SUMIF(Registro!$M$8:$M$997,Reportes!AQ104,Registro!$Y$8:$Y$997))</f>
        <v/>
      </c>
      <c r="AY104" s="32"/>
      <c r="AZ104" s="9" t="str">
        <f>Programación!Y98</f>
        <v/>
      </c>
      <c r="BA104" s="10" t="str">
        <f>IF(AZ104="","",IF(COUNTIFS(Registro!$M$8:$M$997,Reportes!AZ104,Registro!$D$8:$D$997,"Abierto")=0,NA(),COUNTIFS(Registro!$M$8:$M$997,Reportes!AZ104,Registro!$D$8:$D$997,"Abierto")))</f>
        <v/>
      </c>
      <c r="BB104" s="10" t="str">
        <f>IF(AZ104="","",IF(COUNTIFS(Registro!$M$8:$M$997,Reportes!AZ104,Registro!$D$8:$D$997,"Resuelto")=0,NA(),COUNTIFS(Registro!$M$8:$M$997,Reportes!AZ104,Registro!$D$8:$D$997,"Resuelto")))</f>
        <v/>
      </c>
    </row>
    <row r="105" spans="43:54">
      <c r="AQ105" s="11" t="str">
        <f>Programación!Y99</f>
        <v/>
      </c>
      <c r="AR105" s="12" t="str">
        <f>IF(AQ105="","",COUNTIFS(Registro!$M$8:$M$997,Reportes!AQ105,Registro!$D$8:$D$997,"Abierto"))</f>
        <v/>
      </c>
      <c r="AS105" s="12" t="str">
        <f>IF(AQ105="","",COUNTIFS(Registro!$M$8:$M$997,Reportes!AQ105,Registro!$D$8:$D$997,"Resuelto"))</f>
        <v/>
      </c>
      <c r="AT105" s="12" t="str">
        <f t="shared" si="2"/>
        <v/>
      </c>
      <c r="AU105" s="12" t="str">
        <f>IF(AQ105="","",SUMIF(Registro!$M$8:$M$997,Reportes!AQ105,Registro!$U$8:$U$997))</f>
        <v/>
      </c>
      <c r="AV105" s="12" t="str">
        <f>IF(AQ105="","",SUMIF(Registro!$M$8:$M$997,Reportes!AQ105,Registro!$W$8:$W$997))</f>
        <v/>
      </c>
      <c r="AW105" s="12" t="str">
        <f>IF(AQ105="","",SUMIF(Registro!$M$8:$M$997,Reportes!AQ105,Registro!$X$8:$X$997))</f>
        <v/>
      </c>
      <c r="AX105" s="12" t="str">
        <f>IF(AQ105="","",SUMIF(Registro!$M$8:$M$997,Reportes!AQ105,Registro!$Y$8:$Y$997))</f>
        <v/>
      </c>
      <c r="AY105" s="32"/>
      <c r="AZ105" s="9" t="str">
        <f>Programación!Y99</f>
        <v/>
      </c>
      <c r="BA105" s="10" t="str">
        <f>IF(AZ105="","",IF(COUNTIFS(Registro!$M$8:$M$997,Reportes!AZ105,Registro!$D$8:$D$997,"Abierto")=0,NA(),COUNTIFS(Registro!$M$8:$M$997,Reportes!AZ105,Registro!$D$8:$D$997,"Abierto")))</f>
        <v/>
      </c>
      <c r="BB105" s="10" t="str">
        <f>IF(AZ105="","",IF(COUNTIFS(Registro!$M$8:$M$997,Reportes!AZ105,Registro!$D$8:$D$997,"Resuelto")=0,NA(),COUNTIFS(Registro!$M$8:$M$997,Reportes!AZ105,Registro!$D$8:$D$997,"Resuelto")))</f>
        <v/>
      </c>
    </row>
    <row r="106" spans="43:54">
      <c r="AQ106" s="11" t="str">
        <f>Programación!Y100</f>
        <v/>
      </c>
      <c r="AR106" s="12" t="str">
        <f>IF(AQ106="","",COUNTIFS(Registro!$M$8:$M$997,Reportes!AQ106,Registro!$D$8:$D$997,"Abierto"))</f>
        <v/>
      </c>
      <c r="AS106" s="12" t="str">
        <f>IF(AQ106="","",COUNTIFS(Registro!$M$8:$M$997,Reportes!AQ106,Registro!$D$8:$D$997,"Resuelto"))</f>
        <v/>
      </c>
      <c r="AT106" s="12" t="str">
        <f t="shared" si="2"/>
        <v/>
      </c>
      <c r="AU106" s="12" t="str">
        <f>IF(AQ106="","",SUMIF(Registro!$M$8:$M$997,Reportes!AQ106,Registro!$U$8:$U$997))</f>
        <v/>
      </c>
      <c r="AV106" s="12" t="str">
        <f>IF(AQ106="","",SUMIF(Registro!$M$8:$M$997,Reportes!AQ106,Registro!$W$8:$W$997))</f>
        <v/>
      </c>
      <c r="AW106" s="12" t="str">
        <f>IF(AQ106="","",SUMIF(Registro!$M$8:$M$997,Reportes!AQ106,Registro!$X$8:$X$997))</f>
        <v/>
      </c>
      <c r="AX106" s="12" t="str">
        <f>IF(AQ106="","",SUMIF(Registro!$M$8:$M$997,Reportes!AQ106,Registro!$Y$8:$Y$997))</f>
        <v/>
      </c>
      <c r="AY106" s="32"/>
      <c r="AZ106" s="9" t="str">
        <f>Programación!Y100</f>
        <v/>
      </c>
      <c r="BA106" s="10" t="str">
        <f>IF(AZ106="","",IF(COUNTIFS(Registro!$M$8:$M$997,Reportes!AZ106,Registro!$D$8:$D$997,"Abierto")=0,NA(),COUNTIFS(Registro!$M$8:$M$997,Reportes!AZ106,Registro!$D$8:$D$997,"Abierto")))</f>
        <v/>
      </c>
      <c r="BB106" s="10" t="str">
        <f>IF(AZ106="","",IF(COUNTIFS(Registro!$M$8:$M$997,Reportes!AZ106,Registro!$D$8:$D$997,"Resuelto")=0,NA(),COUNTIFS(Registro!$M$8:$M$997,Reportes!AZ106,Registro!$D$8:$D$997,"Resuelto")))</f>
        <v/>
      </c>
    </row>
    <row r="107" spans="43:54">
      <c r="AQ107" s="11" t="str">
        <f>Programación!Y101</f>
        <v/>
      </c>
      <c r="AR107" s="12" t="str">
        <f>IF(AQ107="","",COUNTIFS(Registro!$M$8:$M$997,Reportes!AQ107,Registro!$D$8:$D$997,"Abierto"))</f>
        <v/>
      </c>
      <c r="AS107" s="12" t="str">
        <f>IF(AQ107="","",COUNTIFS(Registro!$M$8:$M$997,Reportes!AQ107,Registro!$D$8:$D$997,"Resuelto"))</f>
        <v/>
      </c>
      <c r="AT107" s="12" t="str">
        <f t="shared" ref="AT107:AT138" si="3">IF(AQ107="","",AU107-AV107-AW107-AX107)</f>
        <v/>
      </c>
      <c r="AU107" s="12" t="str">
        <f>IF(AQ107="","",SUMIF(Registro!$M$8:$M$997,Reportes!AQ107,Registro!$U$8:$U$997))</f>
        <v/>
      </c>
      <c r="AV107" s="12" t="str">
        <f>IF(AQ107="","",SUMIF(Registro!$M$8:$M$997,Reportes!AQ107,Registro!$W$8:$W$997))</f>
        <v/>
      </c>
      <c r="AW107" s="12" t="str">
        <f>IF(AQ107="","",SUMIF(Registro!$M$8:$M$997,Reportes!AQ107,Registro!$X$8:$X$997))</f>
        <v/>
      </c>
      <c r="AX107" s="12" t="str">
        <f>IF(AQ107="","",SUMIF(Registro!$M$8:$M$997,Reportes!AQ107,Registro!$Y$8:$Y$997))</f>
        <v/>
      </c>
      <c r="AY107" s="32"/>
      <c r="AZ107" s="9" t="str">
        <f>Programación!Y101</f>
        <v/>
      </c>
      <c r="BA107" s="10" t="str">
        <f>IF(AZ107="","",IF(COUNTIFS(Registro!$M$8:$M$997,Reportes!AZ107,Registro!$D$8:$D$997,"Abierto")=0,NA(),COUNTIFS(Registro!$M$8:$M$997,Reportes!AZ107,Registro!$D$8:$D$997,"Abierto")))</f>
        <v/>
      </c>
      <c r="BB107" s="10" t="str">
        <f>IF(AZ107="","",IF(COUNTIFS(Registro!$M$8:$M$997,Reportes!AZ107,Registro!$D$8:$D$997,"Resuelto")=0,NA(),COUNTIFS(Registro!$M$8:$M$997,Reportes!AZ107,Registro!$D$8:$D$997,"Resuelto")))</f>
        <v/>
      </c>
    </row>
    <row r="108" spans="43:54">
      <c r="AQ108" s="11" t="str">
        <f>Programación!Y102</f>
        <v/>
      </c>
      <c r="AR108" s="12" t="str">
        <f>IF(AQ108="","",COUNTIFS(Registro!$M$8:$M$997,Reportes!AQ108,Registro!$D$8:$D$997,"Abierto"))</f>
        <v/>
      </c>
      <c r="AS108" s="12" t="str">
        <f>IF(AQ108="","",COUNTIFS(Registro!$M$8:$M$997,Reportes!AQ108,Registro!$D$8:$D$997,"Resuelto"))</f>
        <v/>
      </c>
      <c r="AT108" s="12" t="str">
        <f t="shared" si="3"/>
        <v/>
      </c>
      <c r="AU108" s="12" t="str">
        <f>IF(AQ108="","",SUMIF(Registro!$M$8:$M$997,Reportes!AQ108,Registro!$U$8:$U$997))</f>
        <v/>
      </c>
      <c r="AV108" s="12" t="str">
        <f>IF(AQ108="","",SUMIF(Registro!$M$8:$M$997,Reportes!AQ108,Registro!$W$8:$W$997))</f>
        <v/>
      </c>
      <c r="AW108" s="12" t="str">
        <f>IF(AQ108="","",SUMIF(Registro!$M$8:$M$997,Reportes!AQ108,Registro!$X$8:$X$997))</f>
        <v/>
      </c>
      <c r="AX108" s="12" t="str">
        <f>IF(AQ108="","",SUMIF(Registro!$M$8:$M$997,Reportes!AQ108,Registro!$Y$8:$Y$997))</f>
        <v/>
      </c>
      <c r="AY108" s="32"/>
      <c r="AZ108" s="9" t="str">
        <f>Programación!Y102</f>
        <v/>
      </c>
      <c r="BA108" s="10" t="str">
        <f>IF(AZ108="","",IF(COUNTIFS(Registro!$M$8:$M$997,Reportes!AZ108,Registro!$D$8:$D$997,"Abierto")=0,NA(),COUNTIFS(Registro!$M$8:$M$997,Reportes!AZ108,Registro!$D$8:$D$997,"Abierto")))</f>
        <v/>
      </c>
      <c r="BB108" s="10" t="str">
        <f>IF(AZ108="","",IF(COUNTIFS(Registro!$M$8:$M$997,Reportes!AZ108,Registro!$D$8:$D$997,"Resuelto")=0,NA(),COUNTIFS(Registro!$M$8:$M$997,Reportes!AZ108,Registro!$D$8:$D$997,"Resuelto")))</f>
        <v/>
      </c>
    </row>
    <row r="109" spans="43:54">
      <c r="AQ109" s="11" t="str">
        <f>Programación!Y103</f>
        <v/>
      </c>
      <c r="AR109" s="12" t="str">
        <f>IF(AQ109="","",COUNTIFS(Registro!$M$8:$M$997,Reportes!AQ109,Registro!$D$8:$D$997,"Abierto"))</f>
        <v/>
      </c>
      <c r="AS109" s="12" t="str">
        <f>IF(AQ109="","",COUNTIFS(Registro!$M$8:$M$997,Reportes!AQ109,Registro!$D$8:$D$997,"Resuelto"))</f>
        <v/>
      </c>
      <c r="AT109" s="12" t="str">
        <f t="shared" si="3"/>
        <v/>
      </c>
      <c r="AU109" s="12" t="str">
        <f>IF(AQ109="","",SUMIF(Registro!$M$8:$M$997,Reportes!AQ109,Registro!$U$8:$U$997))</f>
        <v/>
      </c>
      <c r="AV109" s="12" t="str">
        <f>IF(AQ109="","",SUMIF(Registro!$M$8:$M$997,Reportes!AQ109,Registro!$W$8:$W$997))</f>
        <v/>
      </c>
      <c r="AW109" s="12" t="str">
        <f>IF(AQ109="","",SUMIF(Registro!$M$8:$M$997,Reportes!AQ109,Registro!$X$8:$X$997))</f>
        <v/>
      </c>
      <c r="AX109" s="12" t="str">
        <f>IF(AQ109="","",SUMIF(Registro!$M$8:$M$997,Reportes!AQ109,Registro!$Y$8:$Y$997))</f>
        <v/>
      </c>
      <c r="AY109" s="32"/>
      <c r="AZ109" s="9" t="str">
        <f>Programación!Y103</f>
        <v/>
      </c>
      <c r="BA109" s="10" t="str">
        <f>IF(AZ109="","",IF(COUNTIFS(Registro!$M$8:$M$997,Reportes!AZ109,Registro!$D$8:$D$997,"Abierto")=0,NA(),COUNTIFS(Registro!$M$8:$M$997,Reportes!AZ109,Registro!$D$8:$D$997,"Abierto")))</f>
        <v/>
      </c>
      <c r="BB109" s="10" t="str">
        <f>IF(AZ109="","",IF(COUNTIFS(Registro!$M$8:$M$997,Reportes!AZ109,Registro!$D$8:$D$997,"Resuelto")=0,NA(),COUNTIFS(Registro!$M$8:$M$997,Reportes!AZ109,Registro!$D$8:$D$997,"Resuelto")))</f>
        <v/>
      </c>
    </row>
    <row r="110" spans="43:54">
      <c r="AQ110" s="11" t="str">
        <f>Programación!Y104</f>
        <v/>
      </c>
      <c r="AR110" s="12" t="str">
        <f>IF(AQ110="","",COUNTIFS(Registro!$M$8:$M$997,Reportes!AQ110,Registro!$D$8:$D$997,"Abierto"))</f>
        <v/>
      </c>
      <c r="AS110" s="12" t="str">
        <f>IF(AQ110="","",COUNTIFS(Registro!$M$8:$M$997,Reportes!AQ110,Registro!$D$8:$D$997,"Resuelto"))</f>
        <v/>
      </c>
      <c r="AT110" s="12" t="str">
        <f t="shared" si="3"/>
        <v/>
      </c>
      <c r="AU110" s="12" t="str">
        <f>IF(AQ110="","",SUMIF(Registro!$M$8:$M$997,Reportes!AQ110,Registro!$U$8:$U$997))</f>
        <v/>
      </c>
      <c r="AV110" s="12" t="str">
        <f>IF(AQ110="","",SUMIF(Registro!$M$8:$M$997,Reportes!AQ110,Registro!$W$8:$W$997))</f>
        <v/>
      </c>
      <c r="AW110" s="12" t="str">
        <f>IF(AQ110="","",SUMIF(Registro!$M$8:$M$997,Reportes!AQ110,Registro!$X$8:$X$997))</f>
        <v/>
      </c>
      <c r="AX110" s="12" t="str">
        <f>IF(AQ110="","",SUMIF(Registro!$M$8:$M$997,Reportes!AQ110,Registro!$Y$8:$Y$997))</f>
        <v/>
      </c>
      <c r="AY110" s="32"/>
      <c r="AZ110" s="9" t="str">
        <f>Programación!Y104</f>
        <v/>
      </c>
      <c r="BA110" s="10" t="str">
        <f>IF(AZ110="","",IF(COUNTIFS(Registro!$M$8:$M$997,Reportes!AZ110,Registro!$D$8:$D$997,"Abierto")=0,NA(),COUNTIFS(Registro!$M$8:$M$997,Reportes!AZ110,Registro!$D$8:$D$997,"Abierto")))</f>
        <v/>
      </c>
      <c r="BB110" s="10" t="str">
        <f>IF(AZ110="","",IF(COUNTIFS(Registro!$M$8:$M$997,Reportes!AZ110,Registro!$D$8:$D$997,"Resuelto")=0,NA(),COUNTIFS(Registro!$M$8:$M$997,Reportes!AZ110,Registro!$D$8:$D$997,"Resuelto")))</f>
        <v/>
      </c>
    </row>
    <row r="111" spans="43:54">
      <c r="AQ111" s="11" t="str">
        <f>Programación!Y105</f>
        <v/>
      </c>
      <c r="AR111" s="12" t="str">
        <f>IF(AQ111="","",COUNTIFS(Registro!$M$8:$M$997,Reportes!AQ111,Registro!$D$8:$D$997,"Abierto"))</f>
        <v/>
      </c>
      <c r="AS111" s="12" t="str">
        <f>IF(AQ111="","",COUNTIFS(Registro!$M$8:$M$997,Reportes!AQ111,Registro!$D$8:$D$997,"Resuelto"))</f>
        <v/>
      </c>
      <c r="AT111" s="12" t="str">
        <f t="shared" si="3"/>
        <v/>
      </c>
      <c r="AU111" s="12" t="str">
        <f>IF(AQ111="","",SUMIF(Registro!$M$8:$M$997,Reportes!AQ111,Registro!$U$8:$U$997))</f>
        <v/>
      </c>
      <c r="AV111" s="12" t="str">
        <f>IF(AQ111="","",SUMIF(Registro!$M$8:$M$997,Reportes!AQ111,Registro!$W$8:$W$997))</f>
        <v/>
      </c>
      <c r="AW111" s="12" t="str">
        <f>IF(AQ111="","",SUMIF(Registro!$M$8:$M$997,Reportes!AQ111,Registro!$X$8:$X$997))</f>
        <v/>
      </c>
      <c r="AX111" s="12" t="str">
        <f>IF(AQ111="","",SUMIF(Registro!$M$8:$M$997,Reportes!AQ111,Registro!$Y$8:$Y$997))</f>
        <v/>
      </c>
      <c r="AY111" s="32"/>
      <c r="AZ111" s="9" t="str">
        <f>Programación!Y105</f>
        <v/>
      </c>
      <c r="BA111" s="10" t="str">
        <f>IF(AZ111="","",IF(COUNTIFS(Registro!$M$8:$M$997,Reportes!AZ111,Registro!$D$8:$D$997,"Abierto")=0,NA(),COUNTIFS(Registro!$M$8:$M$997,Reportes!AZ111,Registro!$D$8:$D$997,"Abierto")))</f>
        <v/>
      </c>
      <c r="BB111" s="10" t="str">
        <f>IF(AZ111="","",IF(COUNTIFS(Registro!$M$8:$M$997,Reportes!AZ111,Registro!$D$8:$D$997,"Resuelto")=0,NA(),COUNTIFS(Registro!$M$8:$M$997,Reportes!AZ111,Registro!$D$8:$D$997,"Resuelto")))</f>
        <v/>
      </c>
    </row>
    <row r="112" spans="43:54">
      <c r="AQ112" s="11" t="str">
        <f>Programación!Y106</f>
        <v/>
      </c>
      <c r="AR112" s="12" t="str">
        <f>IF(AQ112="","",COUNTIFS(Registro!$M$8:$M$997,Reportes!AQ112,Registro!$D$8:$D$997,"Abierto"))</f>
        <v/>
      </c>
      <c r="AS112" s="12" t="str">
        <f>IF(AQ112="","",COUNTIFS(Registro!$M$8:$M$997,Reportes!AQ112,Registro!$D$8:$D$997,"Resuelto"))</f>
        <v/>
      </c>
      <c r="AT112" s="12" t="str">
        <f t="shared" si="3"/>
        <v/>
      </c>
      <c r="AU112" s="12" t="str">
        <f>IF(AQ112="","",SUMIF(Registro!$M$8:$M$997,Reportes!AQ112,Registro!$U$8:$U$997))</f>
        <v/>
      </c>
      <c r="AV112" s="12" t="str">
        <f>IF(AQ112="","",SUMIF(Registro!$M$8:$M$997,Reportes!AQ112,Registro!$W$8:$W$997))</f>
        <v/>
      </c>
      <c r="AW112" s="12" t="str">
        <f>IF(AQ112="","",SUMIF(Registro!$M$8:$M$997,Reportes!AQ112,Registro!$X$8:$X$997))</f>
        <v/>
      </c>
      <c r="AX112" s="12" t="str">
        <f>IF(AQ112="","",SUMIF(Registro!$M$8:$M$997,Reportes!AQ112,Registro!$Y$8:$Y$997))</f>
        <v/>
      </c>
      <c r="AY112" s="32"/>
      <c r="AZ112" s="9" t="str">
        <f>Programación!Y106</f>
        <v/>
      </c>
      <c r="BA112" s="10" t="str">
        <f>IF(AZ112="","",IF(COUNTIFS(Registro!$M$8:$M$997,Reportes!AZ112,Registro!$D$8:$D$997,"Abierto")=0,NA(),COUNTIFS(Registro!$M$8:$M$997,Reportes!AZ112,Registro!$D$8:$D$997,"Abierto")))</f>
        <v/>
      </c>
      <c r="BB112" s="10" t="str">
        <f>IF(AZ112="","",IF(COUNTIFS(Registro!$M$8:$M$997,Reportes!AZ112,Registro!$D$8:$D$997,"Resuelto")=0,NA(),COUNTIFS(Registro!$M$8:$M$997,Reportes!AZ112,Registro!$D$8:$D$997,"Resuelto")))</f>
        <v/>
      </c>
    </row>
    <row r="113" spans="43:54">
      <c r="AQ113" s="11" t="str">
        <f>Programación!Y107</f>
        <v/>
      </c>
      <c r="AR113" s="12" t="str">
        <f>IF(AQ113="","",COUNTIFS(Registro!$M$8:$M$997,Reportes!AQ113,Registro!$D$8:$D$997,"Abierto"))</f>
        <v/>
      </c>
      <c r="AS113" s="12" t="str">
        <f>IF(AQ113="","",COUNTIFS(Registro!$M$8:$M$997,Reportes!AQ113,Registro!$D$8:$D$997,"Resuelto"))</f>
        <v/>
      </c>
      <c r="AT113" s="12" t="str">
        <f t="shared" si="3"/>
        <v/>
      </c>
      <c r="AU113" s="12" t="str">
        <f>IF(AQ113="","",SUMIF(Registro!$M$8:$M$997,Reportes!AQ113,Registro!$U$8:$U$997))</f>
        <v/>
      </c>
      <c r="AV113" s="12" t="str">
        <f>IF(AQ113="","",SUMIF(Registro!$M$8:$M$997,Reportes!AQ113,Registro!$W$8:$W$997))</f>
        <v/>
      </c>
      <c r="AW113" s="12" t="str">
        <f>IF(AQ113="","",SUMIF(Registro!$M$8:$M$997,Reportes!AQ113,Registro!$X$8:$X$997))</f>
        <v/>
      </c>
      <c r="AX113" s="12" t="str">
        <f>IF(AQ113="","",SUMIF(Registro!$M$8:$M$997,Reportes!AQ113,Registro!$Y$8:$Y$997))</f>
        <v/>
      </c>
      <c r="AY113" s="32"/>
      <c r="AZ113" s="9" t="str">
        <f>Programación!Y107</f>
        <v/>
      </c>
      <c r="BA113" s="10" t="str">
        <f>IF(AZ113="","",IF(COUNTIFS(Registro!$M$8:$M$997,Reportes!AZ113,Registro!$D$8:$D$997,"Abierto")=0,NA(),COUNTIFS(Registro!$M$8:$M$997,Reportes!AZ113,Registro!$D$8:$D$997,"Abierto")))</f>
        <v/>
      </c>
      <c r="BB113" s="10" t="str">
        <f>IF(AZ113="","",IF(COUNTIFS(Registro!$M$8:$M$997,Reportes!AZ113,Registro!$D$8:$D$997,"Resuelto")=0,NA(),COUNTIFS(Registro!$M$8:$M$997,Reportes!AZ113,Registro!$D$8:$D$997,"Resuelto")))</f>
        <v/>
      </c>
    </row>
    <row r="114" spans="43:54">
      <c r="AQ114" s="11" t="str">
        <f>Programación!Y108</f>
        <v/>
      </c>
      <c r="AR114" s="12" t="str">
        <f>IF(AQ114="","",COUNTIFS(Registro!$M$8:$M$997,Reportes!AQ114,Registro!$D$8:$D$997,"Abierto"))</f>
        <v/>
      </c>
      <c r="AS114" s="12" t="str">
        <f>IF(AQ114="","",COUNTIFS(Registro!$M$8:$M$997,Reportes!AQ114,Registro!$D$8:$D$997,"Resuelto"))</f>
        <v/>
      </c>
      <c r="AT114" s="12" t="str">
        <f t="shared" si="3"/>
        <v/>
      </c>
      <c r="AU114" s="12" t="str">
        <f>IF(AQ114="","",SUMIF(Registro!$M$8:$M$997,Reportes!AQ114,Registro!$U$8:$U$997))</f>
        <v/>
      </c>
      <c r="AV114" s="12" t="str">
        <f>IF(AQ114="","",SUMIF(Registro!$M$8:$M$997,Reportes!AQ114,Registro!$W$8:$W$997))</f>
        <v/>
      </c>
      <c r="AW114" s="12" t="str">
        <f>IF(AQ114="","",SUMIF(Registro!$M$8:$M$997,Reportes!AQ114,Registro!$X$8:$X$997))</f>
        <v/>
      </c>
      <c r="AX114" s="12" t="str">
        <f>IF(AQ114="","",SUMIF(Registro!$M$8:$M$997,Reportes!AQ114,Registro!$Y$8:$Y$997))</f>
        <v/>
      </c>
      <c r="AY114" s="32"/>
      <c r="AZ114" s="9" t="str">
        <f>Programación!Y108</f>
        <v/>
      </c>
      <c r="BA114" s="10" t="str">
        <f>IF(AZ114="","",IF(COUNTIFS(Registro!$M$8:$M$997,Reportes!AZ114,Registro!$D$8:$D$997,"Abierto")=0,NA(),COUNTIFS(Registro!$M$8:$M$997,Reportes!AZ114,Registro!$D$8:$D$997,"Abierto")))</f>
        <v/>
      </c>
      <c r="BB114" s="10" t="str">
        <f>IF(AZ114="","",IF(COUNTIFS(Registro!$M$8:$M$997,Reportes!AZ114,Registro!$D$8:$D$997,"Resuelto")=0,NA(),COUNTIFS(Registro!$M$8:$M$997,Reportes!AZ114,Registro!$D$8:$D$997,"Resuelto")))</f>
        <v/>
      </c>
    </row>
    <row r="115" spans="43:54">
      <c r="AQ115" s="11" t="str">
        <f>Programación!Y109</f>
        <v/>
      </c>
      <c r="AR115" s="12" t="str">
        <f>IF(AQ115="","",COUNTIFS(Registro!$M$8:$M$997,Reportes!AQ115,Registro!$D$8:$D$997,"Abierto"))</f>
        <v/>
      </c>
      <c r="AS115" s="12" t="str">
        <f>IF(AQ115="","",COUNTIFS(Registro!$M$8:$M$997,Reportes!AQ115,Registro!$D$8:$D$997,"Resuelto"))</f>
        <v/>
      </c>
      <c r="AT115" s="12" t="str">
        <f t="shared" si="3"/>
        <v/>
      </c>
      <c r="AU115" s="12" t="str">
        <f>IF(AQ115="","",SUMIF(Registro!$M$8:$M$997,Reportes!AQ115,Registro!$U$8:$U$997))</f>
        <v/>
      </c>
      <c r="AV115" s="12" t="str">
        <f>IF(AQ115="","",SUMIF(Registro!$M$8:$M$997,Reportes!AQ115,Registro!$W$8:$W$997))</f>
        <v/>
      </c>
      <c r="AW115" s="12" t="str">
        <f>IF(AQ115="","",SUMIF(Registro!$M$8:$M$997,Reportes!AQ115,Registro!$X$8:$X$997))</f>
        <v/>
      </c>
      <c r="AX115" s="12" t="str">
        <f>IF(AQ115="","",SUMIF(Registro!$M$8:$M$997,Reportes!AQ115,Registro!$Y$8:$Y$997))</f>
        <v/>
      </c>
      <c r="AY115" s="32"/>
      <c r="AZ115" s="9" t="str">
        <f>Programación!Y109</f>
        <v/>
      </c>
      <c r="BA115" s="10" t="str">
        <f>IF(AZ115="","",IF(COUNTIFS(Registro!$M$8:$M$997,Reportes!AZ115,Registro!$D$8:$D$997,"Abierto")=0,NA(),COUNTIFS(Registro!$M$8:$M$997,Reportes!AZ115,Registro!$D$8:$D$997,"Abierto")))</f>
        <v/>
      </c>
      <c r="BB115" s="10" t="str">
        <f>IF(AZ115="","",IF(COUNTIFS(Registro!$M$8:$M$997,Reportes!AZ115,Registro!$D$8:$D$997,"Resuelto")=0,NA(),COUNTIFS(Registro!$M$8:$M$997,Reportes!AZ115,Registro!$D$8:$D$997,"Resuelto")))</f>
        <v/>
      </c>
    </row>
    <row r="116" spans="43:54">
      <c r="AQ116" s="11" t="str">
        <f>Programación!Y110</f>
        <v/>
      </c>
      <c r="AR116" s="12" t="str">
        <f>IF(AQ116="","",COUNTIFS(Registro!$M$8:$M$997,Reportes!AQ116,Registro!$D$8:$D$997,"Abierto"))</f>
        <v/>
      </c>
      <c r="AS116" s="12" t="str">
        <f>IF(AQ116="","",COUNTIFS(Registro!$M$8:$M$997,Reportes!AQ116,Registro!$D$8:$D$997,"Resuelto"))</f>
        <v/>
      </c>
      <c r="AT116" s="12" t="str">
        <f t="shared" si="3"/>
        <v/>
      </c>
      <c r="AU116" s="12" t="str">
        <f>IF(AQ116="","",SUMIF(Registro!$M$8:$M$997,Reportes!AQ116,Registro!$U$8:$U$997))</f>
        <v/>
      </c>
      <c r="AV116" s="12" t="str">
        <f>IF(AQ116="","",SUMIF(Registro!$M$8:$M$997,Reportes!AQ116,Registro!$W$8:$W$997))</f>
        <v/>
      </c>
      <c r="AW116" s="12" t="str">
        <f>IF(AQ116="","",SUMIF(Registro!$M$8:$M$997,Reportes!AQ116,Registro!$X$8:$X$997))</f>
        <v/>
      </c>
      <c r="AX116" s="12" t="str">
        <f>IF(AQ116="","",SUMIF(Registro!$M$8:$M$997,Reportes!AQ116,Registro!$Y$8:$Y$997))</f>
        <v/>
      </c>
      <c r="AY116" s="32"/>
      <c r="AZ116" s="9" t="str">
        <f>Programación!Y110</f>
        <v/>
      </c>
      <c r="BA116" s="10" t="str">
        <f>IF(AZ116="","",IF(COUNTIFS(Registro!$M$8:$M$997,Reportes!AZ116,Registro!$D$8:$D$997,"Abierto")=0,NA(),COUNTIFS(Registro!$M$8:$M$997,Reportes!AZ116,Registro!$D$8:$D$997,"Abierto")))</f>
        <v/>
      </c>
      <c r="BB116" s="10" t="str">
        <f>IF(AZ116="","",IF(COUNTIFS(Registro!$M$8:$M$997,Reportes!AZ116,Registro!$D$8:$D$997,"Resuelto")=0,NA(),COUNTIFS(Registro!$M$8:$M$997,Reportes!AZ116,Registro!$D$8:$D$997,"Resuelto")))</f>
        <v/>
      </c>
    </row>
  </sheetData>
  <mergeCells count="1">
    <mergeCell ref="B3:F3"/>
  </mergeCells>
  <conditionalFormatting sqref="AQ13:AX116">
    <cfRule type="expression" dxfId="1" priority="5">
      <formula>$AQ13&lt;&gt;""</formula>
    </cfRule>
  </conditionalFormatting>
  <conditionalFormatting sqref="AZ13:BB116">
    <cfRule type="expression" dxfId="0" priority="6">
      <formula>$AZ13&lt;&gt;""</formula>
    </cfRule>
  </conditionalFormatting>
  <pageMargins left="0.25" right="0.25" top="0.75" bottom="0.75" header="0.3" footer="0.3"/>
  <pageSetup scale="5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Programación</vt:lpstr>
      <vt:lpstr>Listas</vt:lpstr>
      <vt:lpstr>Registro</vt:lpstr>
      <vt:lpstr>GestionDocente</vt:lpstr>
      <vt:lpstr>Datos Reportes</vt:lpstr>
      <vt:lpstr>EjecucionXGrupos</vt:lpstr>
      <vt:lpstr>Sesiones</vt:lpstr>
      <vt:lpstr>Docentes</vt:lpstr>
      <vt:lpstr>DB_Docentes</vt:lpstr>
      <vt:lpstr>Incidencias Abiertas</vt:lpstr>
      <vt:lpstr>Busqueda</vt:lpstr>
      <vt:lpstr>Reportes</vt:lpstr>
      <vt:lpstr>Reportes!Área_de_impresión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11583 - RUBÉN ESTUARDO IXCOT MALDONADO</cp:lastModifiedBy>
  <dcterms:created xsi:type="dcterms:W3CDTF">2017-09-08T12:57:39Z</dcterms:created>
  <dcterms:modified xsi:type="dcterms:W3CDTF">2026-10-16T04:43:03Z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0x010100CE5C9C1D19557D469140CF5831128BA9</vt:lpwstr>
  </property>
  <property fmtid="{D5CDD505-2E9C-101B-9397-08002B2CF9AE}" pid="3" name="Workbook id">
    <vt:lpwstr>5022736b-114a-4733-939f-711af7d80a3b</vt:lpwstr>
  </property>
  <property fmtid="{D5CDD505-2E9C-101B-9397-08002B2CF9AE}" pid="4" name="Workbook type">
    <vt:lpwstr>Custom</vt:lpwstr>
  </property>
  <property fmtid="{D5CDD505-2E9C-101B-9397-08002B2CF9AE}" pid="5" name="Workbook version">
    <vt:lpwstr>Custom</vt:lpwstr>
  </property>
  <property fmtid="{D5CDD505-2E9C-101B-9397-08002B2CF9AE}" pid="6" name="MediaServiceImageTags">
    <vt:lpwstr/>
  </property>
</Properties>
</file>